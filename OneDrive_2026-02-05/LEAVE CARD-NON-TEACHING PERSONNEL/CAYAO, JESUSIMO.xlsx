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05F2149-D967-4673-BFB6-14D75B831B1C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definedNames>
    <definedName name="_xlnm.Print_Area" localSheetId="0">Sheet1!$A$1:$J$84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1" l="1"/>
  <c r="I76" i="1"/>
  <c r="J76" i="1"/>
  <c r="H77" i="1"/>
  <c r="J77" i="1" s="1"/>
  <c r="I77" i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C40" i="1" l="1"/>
  <c r="B40" i="1"/>
  <c r="H40" i="1" s="1"/>
  <c r="H41" i="1" s="1"/>
  <c r="H42" i="1" s="1"/>
  <c r="H43" i="1" l="1"/>
  <c r="I16" i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J42" i="1" l="1"/>
  <c r="H44" i="1"/>
  <c r="J43" i="1"/>
  <c r="J18" i="1"/>
  <c r="J17" i="1"/>
  <c r="J19" i="1"/>
  <c r="J16" i="1"/>
  <c r="H45" i="1" l="1"/>
  <c r="J44" i="1"/>
  <c r="J20" i="1"/>
  <c r="J45" i="1" l="1"/>
  <c r="H46" i="1"/>
  <c r="J21" i="1"/>
  <c r="J46" i="1" l="1"/>
  <c r="H47" i="1"/>
  <c r="J22" i="1"/>
  <c r="H48" i="1" l="1"/>
  <c r="J47" i="1"/>
  <c r="J23" i="1"/>
  <c r="J48" i="1" l="1"/>
  <c r="H49" i="1"/>
  <c r="J24" i="1"/>
  <c r="H50" i="1" l="1"/>
  <c r="J49" i="1"/>
  <c r="J25" i="1"/>
  <c r="J50" i="1" l="1"/>
  <c r="H51" i="1"/>
  <c r="J26" i="1"/>
  <c r="J51" i="1" l="1"/>
  <c r="H52" i="1"/>
  <c r="J27" i="1"/>
  <c r="J52" i="1" l="1"/>
  <c r="H53" i="1"/>
  <c r="J28" i="1"/>
  <c r="J53" i="1" l="1"/>
  <c r="H54" i="1"/>
  <c r="J29" i="1"/>
  <c r="H55" i="1" l="1"/>
  <c r="H56" i="1" s="1"/>
  <c r="J54" i="1"/>
  <c r="J31" i="1"/>
  <c r="J30" i="1"/>
  <c r="J56" i="1" l="1"/>
  <c r="H57" i="1"/>
  <c r="J55" i="1"/>
  <c r="J33" i="1"/>
  <c r="J32" i="1"/>
  <c r="H58" i="1" l="1"/>
  <c r="J57" i="1"/>
  <c r="J34" i="1"/>
  <c r="J58" i="1" l="1"/>
  <c r="H59" i="1"/>
  <c r="J35" i="1"/>
  <c r="J59" i="1" l="1"/>
  <c r="H60" i="1"/>
  <c r="J36" i="1"/>
  <c r="J60" i="1" l="1"/>
  <c r="H61" i="1"/>
  <c r="J38" i="1"/>
  <c r="J37" i="1"/>
  <c r="H62" i="1" l="1"/>
  <c r="J61" i="1"/>
  <c r="J39" i="1"/>
  <c r="J62" i="1" l="1"/>
  <c r="H63" i="1"/>
  <c r="J40" i="1"/>
  <c r="J41" i="1"/>
  <c r="J63" i="1" l="1"/>
  <c r="H64" i="1"/>
  <c r="J64" i="1" l="1"/>
  <c r="H65" i="1"/>
  <c r="J65" i="1" l="1"/>
  <c r="H66" i="1"/>
  <c r="J66" i="1" l="1"/>
  <c r="H67" i="1"/>
  <c r="J67" i="1" l="1"/>
  <c r="H68" i="1"/>
  <c r="H69" i="1" l="1"/>
  <c r="J68" i="1"/>
  <c r="J69" i="1" l="1"/>
  <c r="H70" i="1"/>
  <c r="J70" i="1" l="1"/>
  <c r="H71" i="1"/>
  <c r="J71" i="1" l="1"/>
  <c r="H72" i="1"/>
  <c r="J72" i="1" l="1"/>
  <c r="H73" i="1"/>
  <c r="J73" i="1" l="1"/>
  <c r="H74" i="1"/>
  <c r="J74" i="1" l="1"/>
  <c r="H75" i="1"/>
  <c r="J75" i="1" s="1"/>
</calcChain>
</file>

<file path=xl/sharedStrings.xml><?xml version="1.0" encoding="utf-8"?>
<sst xmlns="http://schemas.openxmlformats.org/spreadsheetml/2006/main" count="93" uniqueCount="86">
  <si>
    <t>Republic of the Philippines</t>
  </si>
  <si>
    <t>Department of Education</t>
  </si>
  <si>
    <t>REGION VI-WESTERN VISAYAS</t>
  </si>
  <si>
    <t>SCHOOLS DIVISION OF SIPALAY CITY</t>
  </si>
  <si>
    <t xml:space="preserve">EMP. NO  : </t>
  </si>
  <si>
    <t>STATION   : GMNHS- MAIN</t>
  </si>
  <si>
    <t>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</si>
  <si>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</si>
  <si>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</si>
  <si>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</si>
  <si>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</si>
  <si>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</si>
  <si>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</si>
  <si>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</si>
  <si>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</si>
  <si>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</si>
  <si>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 xml:space="preserve">DATE OF APPOINTMENT: </t>
  </si>
  <si>
    <t>POSITION:  ADA 3</t>
  </si>
  <si>
    <t>STATION CODE: 529</t>
  </si>
  <si>
    <t>NAME: JESUSIMO O. CAYAO</t>
  </si>
  <si>
    <t>LESS: 25 DAYS MONETIZATION</t>
  </si>
  <si>
    <t>ADD: 04/01/2014-12/31/2014</t>
  </si>
  <si>
    <t>ADD: 01/01/2015-12/31/2015</t>
  </si>
  <si>
    <t>ADD:01/01/2016- 12/31/2016</t>
  </si>
  <si>
    <t>LESS: 29 DAYS MONETIZATION</t>
  </si>
  <si>
    <t>ADD:01/01/2017- 09/30/2017</t>
  </si>
  <si>
    <t>ADD: 10/01/2017- 12/31/2017</t>
  </si>
  <si>
    <t>ADD: 01/01/2018- 10/31/2018</t>
  </si>
  <si>
    <t>LESS: 23 DAYS MONETIZATION</t>
  </si>
  <si>
    <t>ADD: 11/01/2018- 12/31/2018</t>
  </si>
  <si>
    <t>ADD:01/01/2020- 12/31/2020</t>
  </si>
  <si>
    <t>ADD: 01/01/2021-09/30/2021</t>
  </si>
  <si>
    <t>DATE OF ORIGINAL APPOINTMENT: 04/01/2014</t>
  </si>
  <si>
    <t>LESS: FL 2014</t>
  </si>
  <si>
    <t>LESS: FL 2015</t>
  </si>
  <si>
    <t>LESS: FL 2016</t>
  </si>
  <si>
    <t>LESS: FL 2017</t>
  </si>
  <si>
    <t>LESS: FL 2018</t>
  </si>
  <si>
    <t>ADD: 01/01/2019- 12/31/2019</t>
  </si>
  <si>
    <t>LESS: FL 2019</t>
  </si>
  <si>
    <t>LESS: FL 2020</t>
  </si>
  <si>
    <t>LESS: FL 2021</t>
  </si>
  <si>
    <t>Certified Correct:</t>
  </si>
  <si>
    <t>MA. LUISA B. CATIGAN</t>
  </si>
  <si>
    <t>Administrative Officer IV</t>
  </si>
  <si>
    <t>HRMO</t>
  </si>
  <si>
    <t>ADD: 01/01/2022- 09/30/2022</t>
  </si>
  <si>
    <t>LESS: MONETIZATION 2022</t>
  </si>
  <si>
    <t>DISTRICT: _____________________________</t>
  </si>
  <si>
    <t>SCHOOL/OFFICE: _______________________</t>
  </si>
  <si>
    <t>ADD: 10/01/2022- 12/31/2022</t>
  </si>
  <si>
    <t>LESS: FL 2022</t>
  </si>
  <si>
    <t>ADD: 01/01/2023- 03/31/2023</t>
  </si>
  <si>
    <t>LESS: 03/21/2023</t>
  </si>
  <si>
    <t>LESS:02/10/23</t>
  </si>
  <si>
    <t>LESS: 04/04/2023</t>
  </si>
  <si>
    <t>ADD: 04/01/2023- 06/30/2023</t>
  </si>
  <si>
    <t>LESS: 07/06/2023</t>
  </si>
  <si>
    <t>ADD: 07/01/2023 - 08/31/2023</t>
  </si>
  <si>
    <t>ADD:09/01/2023-09/30/2023</t>
  </si>
  <si>
    <t>LESS: 10/19/2023</t>
  </si>
  <si>
    <t>ADD: 10/01/2023-11/30/2023</t>
  </si>
  <si>
    <t>LESS: 12/27/2023</t>
  </si>
  <si>
    <t>ADD: 12/01-31/2023</t>
  </si>
  <si>
    <t>LESS: 01/24/2024</t>
  </si>
  <si>
    <t>ADD: 01/01/2024-02/29/2024</t>
  </si>
  <si>
    <t>LESS: 02/23/2024</t>
  </si>
  <si>
    <t>LESS: 02/20-22/2024</t>
  </si>
  <si>
    <t>ADD: 03/01-31/2024</t>
  </si>
  <si>
    <t>LESS: 04/03-5/2024</t>
  </si>
  <si>
    <t>LESS: FL 2023</t>
  </si>
  <si>
    <t>ADD: 04/1/2024-11/30/2024</t>
  </si>
  <si>
    <t>LESS: 12/27/2024</t>
  </si>
  <si>
    <t>ADD: 12/1-31/2024</t>
  </si>
  <si>
    <t>LESS: 01/27/2025</t>
  </si>
  <si>
    <t>ADD: 01/1/2025-02/28/2025</t>
  </si>
  <si>
    <t>LESS: 03/21/2025</t>
  </si>
  <si>
    <t>ADD: 03/1/2025-06/30/2025</t>
  </si>
  <si>
    <t>LESS: FL 2024</t>
  </si>
  <si>
    <t>LESS: 07/29/2025</t>
  </si>
  <si>
    <t>ADD: 07/1-31/2025</t>
  </si>
  <si>
    <t>LESS: 08/22/2025</t>
  </si>
  <si>
    <t>ADD: 08/1-31/2025</t>
  </si>
  <si>
    <t>LESS: 09/23/2025</t>
  </si>
  <si>
    <t>ADD: 09/1/2025-11/30/2025</t>
  </si>
  <si>
    <t>LESS: 12/22-23/2025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</si>
</sst>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2" fillId="2" borderId="1" xfId="0" applyNumberFormat="1" applyFont="1" applyFill="1" applyBorder="1"/>
    <xf numFmtId="164" fontId="2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/>
    <xf numFmtId="164" fontId="2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vertical="center"/>
    </xf>
    <xf numFmtId="164" fontId="0" fillId="0" borderId="0" xfId="0" applyNumberFormat="1"/>
    <xf numFmtId="164" fontId="5" fillId="0" borderId="0" xfId="0" applyNumberFormat="1" applyFont="1"/>
    <xf numFmtId="164" fontId="6" fillId="7" borderId="11" xfId="0" applyNumberFormat="1" applyFont="1" applyFill="1" applyBorder="1" applyAlignment="1">
      <alignment horizontal="center" vertical="center"/>
    </xf>
    <xf numFmtId="164" fontId="6" fillId="8" borderId="11" xfId="0" applyNumberFormat="1" applyFont="1" applyFill="1" applyBorder="1" applyAlignment="1">
      <alignment horizontal="center" vertical="center"/>
    </xf>
    <xf numFmtId="164" fontId="6" fillId="9" borderId="11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 wrapText="1"/>
    </xf>
    <xf numFmtId="164" fontId="5" fillId="2" borderId="0" xfId="0" applyNumberFormat="1" applyFont="1" applyFill="1"/>
    <xf numFmtId="164" fontId="7" fillId="2" borderId="0" xfId="0" applyNumberFormat="1" applyFon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0" fontId="2" fillId="2" borderId="0" xfId="0" applyFont="1" applyFill="1" applyAlignment="1">
      <alignment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vertical="center"/>
    </xf>
    <xf numFmtId="164" fontId="0" fillId="2" borderId="0" xfId="0" applyNumberFormat="1" applyFill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 wrapText="1"/>
    </xf>
    <xf numFmtId="164" fontId="0" fillId="10" borderId="11" xfId="0" applyNumberFormat="1" applyFill="1" applyBorder="1" applyAlignment="1">
      <alignment horizontal="center" vertical="center"/>
    </xf>
    <xf numFmtId="164" fontId="7" fillId="0" borderId="0" xfId="0" applyNumberFormat="1" applyFont="1"/>
    <xf numFmtId="164" fontId="0" fillId="11" borderId="11" xfId="0" applyNumberForma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64" fontId="1" fillId="0" borderId="1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/>
    </xf>
    <xf numFmtId="164" fontId="6" fillId="3" borderId="6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164" fontId="6" fillId="6" borderId="7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/>
    <xf numFmtId="164" fontId="0" fillId="0" borderId="11" xfId="0" applyNumberFormat="1" applyFill="1" applyBorder="1" applyAlignment="1">
      <alignment horizontal="center" vertical="center"/>
    </xf>
    <xf numFmtId="164" fontId="0" fillId="0" borderId="1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422496</xdr:colOff>
      <xdr:row>0</xdr:row>
      <xdr:rowOff>56043</xdr:rowOff>
    </xdr:from>
    <xdr:to>
      <xdr:col>4</xdr:col>
      <xdr:colOff>369337</xdr:colOff>
      <xdr:row>0</xdr:row>
      <xdr:rowOff>641479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27" y="56043"/>
          <a:ext cx="756790" cy="58543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4"/>
  <sheetViews>
    <sheetView tabSelected="1" view="pageBreakPreview" topLeftCell="A58" zoomScale="98" zoomScaleNormal="98" zoomScaleSheetLayoutView="98" workbookViewId="0">
      <selection activeCell="A76" sqref="A76:XFD76"/>
    </sheetView>
  </sheetViews>
  <sheetFormatPr defaultColWidth="9.140625" defaultRowHeight="15" x14ac:dyDescent="0.25"/>
  <cols>
    <col min="1" max="1" width="33.42578125" style="12" customWidth="1"/>
    <col min="2" max="2" width="11.5703125" style="22" customWidth="1"/>
    <col min="3" max="3" width="11.5703125" style="23" customWidth="1"/>
    <col min="4" max="4" width="11.5703125" style="22" customWidth="1"/>
    <col min="5" max="5" width="11.5703125" style="23" customWidth="1"/>
    <col min="6" max="6" width="11.5703125" style="24" customWidth="1"/>
    <col min="7" max="7" width="11.5703125" style="12" customWidth="1"/>
    <col min="8" max="8" width="11.5703125" style="22" customWidth="1"/>
    <col min="9" max="9" width="11.5703125" style="23" customWidth="1"/>
    <col min="10" max="10" width="11.5703125" style="12" customWidth="1"/>
    <col min="11" max="16384" width="9.140625" style="12"/>
  </cols>
  <sheetData>
    <row r="1" spans="1:10" s="1" customFormat="1" ht="52.5" customHeight="1" x14ac:dyDescent="0.25">
      <c r="G1" s="2"/>
    </row>
    <row r="2" spans="1:10" s="1" customFormat="1" ht="10.5" customHeight="1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s="1" customFormat="1" ht="15.95" customHeight="1" x14ac:dyDescent="0.25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</row>
    <row r="4" spans="1:10" s="1" customFormat="1" ht="15.95" customHeight="1" x14ac:dyDescent="0.25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s="1" customFormat="1" ht="15.95" customHeight="1" x14ac:dyDescent="0.25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s="1" customFormat="1" ht="8.25" customHeight="1" x14ac:dyDescent="0.25">
      <c r="G6" s="2"/>
    </row>
    <row r="7" spans="1:10" s="1" customFormat="1" ht="12" customHeight="1" x14ac:dyDescent="0.25">
      <c r="A7" s="3" t="s">
        <v>19</v>
      </c>
      <c r="B7" s="4" t="s">
        <v>48</v>
      </c>
      <c r="C7" s="4"/>
      <c r="D7" s="11"/>
      <c r="E7" s="11"/>
      <c r="F7" s="4"/>
      <c r="G7" s="4"/>
      <c r="H7" s="4" t="s">
        <v>4</v>
      </c>
      <c r="I7" s="25"/>
      <c r="J7" s="5"/>
    </row>
    <row r="8" spans="1:10" s="1" customFormat="1" ht="12" customHeight="1" x14ac:dyDescent="0.25">
      <c r="A8" s="6"/>
      <c r="B8" s="6"/>
      <c r="C8" s="6"/>
      <c r="D8" s="6"/>
      <c r="E8" s="6"/>
      <c r="F8" s="6"/>
      <c r="G8" s="6"/>
      <c r="H8" s="6" t="s">
        <v>18</v>
      </c>
      <c r="I8" s="3"/>
      <c r="J8" s="8"/>
    </row>
    <row r="9" spans="1:10" s="1" customFormat="1" ht="12" customHeight="1" x14ac:dyDescent="0.25">
      <c r="A9" s="3" t="s">
        <v>17</v>
      </c>
      <c r="B9" s="38" t="s">
        <v>49</v>
      </c>
      <c r="C9" s="38"/>
      <c r="D9" s="38"/>
      <c r="E9" s="38"/>
      <c r="F9" s="6"/>
      <c r="G9" s="6"/>
      <c r="H9" s="29" t="s">
        <v>5</v>
      </c>
      <c r="I9" s="29"/>
      <c r="J9" s="5"/>
    </row>
    <row r="10" spans="1:10" s="1" customFormat="1" ht="12" customHeight="1" x14ac:dyDescent="0.25">
      <c r="A10" s="7"/>
      <c r="B10" s="9"/>
      <c r="C10" s="6"/>
      <c r="D10" s="6"/>
      <c r="E10" s="6"/>
      <c r="F10" s="6"/>
      <c r="G10" s="6"/>
      <c r="H10" s="10"/>
      <c r="I10" s="10"/>
      <c r="J10" s="5"/>
    </row>
    <row r="11" spans="1:10" ht="24.75" customHeight="1" thickBot="1" x14ac:dyDescent="0.3">
      <c r="A11" s="42" t="s">
        <v>6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s="13" customFormat="1" ht="18.75" customHeight="1" thickBot="1" x14ac:dyDescent="0.25">
      <c r="A12" s="43" t="s">
        <v>16</v>
      </c>
      <c r="B12" s="44"/>
      <c r="C12" s="44"/>
      <c r="D12" s="44"/>
      <c r="E12" s="44"/>
      <c r="F12" s="44"/>
      <c r="G12" s="44"/>
      <c r="H12" s="44"/>
      <c r="I12" s="44"/>
      <c r="J12" s="45"/>
    </row>
    <row r="13" spans="1:10" s="13" customFormat="1" ht="18.75" customHeight="1" x14ac:dyDescent="0.2">
      <c r="A13" s="46" t="s">
        <v>7</v>
      </c>
      <c r="B13" s="48" t="s">
        <v>8</v>
      </c>
      <c r="C13" s="49"/>
      <c r="D13" s="50" t="s">
        <v>9</v>
      </c>
      <c r="E13" s="51"/>
      <c r="F13" s="51"/>
      <c r="G13" s="51"/>
      <c r="H13" s="52" t="s">
        <v>10</v>
      </c>
      <c r="I13" s="53"/>
      <c r="J13" s="54" t="s">
        <v>11</v>
      </c>
    </row>
    <row r="14" spans="1:10" s="13" customFormat="1" ht="28.5" customHeight="1" x14ac:dyDescent="0.2">
      <c r="A14" s="47"/>
      <c r="B14" s="14" t="s">
        <v>12</v>
      </c>
      <c r="C14" s="15" t="s">
        <v>13</v>
      </c>
      <c r="D14" s="14" t="s">
        <v>12</v>
      </c>
      <c r="E14" s="15" t="s">
        <v>13</v>
      </c>
      <c r="F14" s="16" t="s">
        <v>14</v>
      </c>
      <c r="G14" s="17" t="s">
        <v>15</v>
      </c>
      <c r="H14" s="14" t="s">
        <v>12</v>
      </c>
      <c r="I14" s="15" t="s">
        <v>13</v>
      </c>
      <c r="J14" s="55"/>
    </row>
    <row r="15" spans="1:10" s="13" customFormat="1" ht="22.5" customHeight="1" x14ac:dyDescent="0.2">
      <c r="A15" s="18"/>
      <c r="B15" s="39" t="s">
        <v>32</v>
      </c>
      <c r="C15" s="40"/>
      <c r="D15" s="40"/>
      <c r="E15" s="40"/>
      <c r="F15" s="40"/>
      <c r="G15" s="40"/>
      <c r="H15" s="40"/>
      <c r="I15" s="40"/>
      <c r="J15" s="41"/>
    </row>
    <row r="16" spans="1:10" s="20" customFormat="1" ht="18" customHeight="1" x14ac:dyDescent="0.2">
      <c r="A16" s="26" t="s">
        <v>21</v>
      </c>
      <c r="B16" s="26">
        <v>11.25</v>
      </c>
      <c r="C16" s="26">
        <v>11.25</v>
      </c>
      <c r="D16" s="26"/>
      <c r="E16" s="26"/>
      <c r="F16" s="26"/>
      <c r="G16" s="19"/>
      <c r="H16" s="26">
        <v>11.25</v>
      </c>
      <c r="I16" s="26">
        <f>C16</f>
        <v>11.25</v>
      </c>
      <c r="J16" s="19">
        <f>H16+I16</f>
        <v>22.5</v>
      </c>
    </row>
    <row r="17" spans="1:10" s="20" customFormat="1" ht="18" customHeight="1" x14ac:dyDescent="0.2">
      <c r="A17" s="26" t="s">
        <v>33</v>
      </c>
      <c r="B17" s="26"/>
      <c r="C17" s="26"/>
      <c r="D17" s="26"/>
      <c r="E17" s="26"/>
      <c r="F17" s="26">
        <v>5</v>
      </c>
      <c r="G17" s="19"/>
      <c r="H17" s="26">
        <f>H16-F17-D17+B17</f>
        <v>6.25</v>
      </c>
      <c r="I17" s="26">
        <f t="shared" ref="I17:I45" si="0">I16-E17+C17</f>
        <v>11.25</v>
      </c>
      <c r="J17" s="19">
        <f t="shared" ref="J17:J41" si="1">H17+I17</f>
        <v>17.5</v>
      </c>
    </row>
    <row r="18" spans="1:10" s="21" customFormat="1" ht="18" customHeight="1" x14ac:dyDescent="0.2">
      <c r="A18" s="19" t="s">
        <v>22</v>
      </c>
      <c r="B18" s="26">
        <v>15</v>
      </c>
      <c r="C18" s="26">
        <v>15</v>
      </c>
      <c r="D18" s="26"/>
      <c r="E18" s="26"/>
      <c r="F18" s="26"/>
      <c r="G18" s="19"/>
      <c r="H18" s="26">
        <f t="shared" ref="H18:H41" si="2">H17-F18-D18+B18</f>
        <v>21.25</v>
      </c>
      <c r="I18" s="26">
        <f t="shared" si="0"/>
        <v>26.25</v>
      </c>
      <c r="J18" s="19">
        <f t="shared" si="1"/>
        <v>47.5</v>
      </c>
    </row>
    <row r="19" spans="1:10" s="21" customFormat="1" ht="18" customHeight="1" x14ac:dyDescent="0.2">
      <c r="A19" s="26" t="s">
        <v>34</v>
      </c>
      <c r="B19" s="26"/>
      <c r="C19" s="26"/>
      <c r="D19" s="26"/>
      <c r="E19" s="26"/>
      <c r="F19" s="26">
        <v>5</v>
      </c>
      <c r="G19" s="19"/>
      <c r="H19" s="26">
        <f t="shared" si="2"/>
        <v>16.25</v>
      </c>
      <c r="I19" s="26">
        <f t="shared" si="0"/>
        <v>26.25</v>
      </c>
      <c r="J19" s="19">
        <f t="shared" si="1"/>
        <v>42.5</v>
      </c>
    </row>
    <row r="20" spans="1:10" s="21" customFormat="1" ht="18" customHeight="1" x14ac:dyDescent="0.2">
      <c r="A20" s="19" t="s">
        <v>20</v>
      </c>
      <c r="B20" s="26"/>
      <c r="C20" s="26"/>
      <c r="D20" s="26">
        <v>15</v>
      </c>
      <c r="E20" s="26">
        <v>10</v>
      </c>
      <c r="F20" s="26"/>
      <c r="G20" s="19"/>
      <c r="H20" s="26">
        <f t="shared" si="2"/>
        <v>1.25</v>
      </c>
      <c r="I20" s="26">
        <f t="shared" si="0"/>
        <v>16.25</v>
      </c>
      <c r="J20" s="19">
        <f t="shared" si="1"/>
        <v>17.5</v>
      </c>
    </row>
    <row r="21" spans="1:10" s="21" customFormat="1" ht="18" customHeight="1" x14ac:dyDescent="0.2">
      <c r="A21" s="19" t="s">
        <v>23</v>
      </c>
      <c r="B21" s="26">
        <v>15</v>
      </c>
      <c r="C21" s="26">
        <v>15</v>
      </c>
      <c r="D21" s="26"/>
      <c r="E21" s="26"/>
      <c r="F21" s="26"/>
      <c r="G21" s="19"/>
      <c r="H21" s="26">
        <f t="shared" si="2"/>
        <v>16.25</v>
      </c>
      <c r="I21" s="26">
        <f t="shared" si="0"/>
        <v>31.25</v>
      </c>
      <c r="J21" s="19">
        <f t="shared" si="1"/>
        <v>47.5</v>
      </c>
    </row>
    <row r="22" spans="1:10" s="21" customFormat="1" ht="18" customHeight="1" x14ac:dyDescent="0.2">
      <c r="A22" s="26" t="s">
        <v>35</v>
      </c>
      <c r="B22" s="26"/>
      <c r="C22" s="26"/>
      <c r="D22" s="26"/>
      <c r="E22" s="26"/>
      <c r="F22" s="26">
        <v>5</v>
      </c>
      <c r="G22" s="19"/>
      <c r="H22" s="26">
        <f t="shared" si="2"/>
        <v>11.25</v>
      </c>
      <c r="I22" s="26">
        <f t="shared" si="0"/>
        <v>31.25</v>
      </c>
      <c r="J22" s="19">
        <f t="shared" si="1"/>
        <v>42.5</v>
      </c>
    </row>
    <row r="23" spans="1:10" s="21" customFormat="1" ht="18" customHeight="1" x14ac:dyDescent="0.2">
      <c r="A23" s="19" t="s">
        <v>24</v>
      </c>
      <c r="B23" s="26"/>
      <c r="C23" s="26"/>
      <c r="D23" s="26">
        <v>6</v>
      </c>
      <c r="E23" s="26">
        <v>23</v>
      </c>
      <c r="F23" s="26"/>
      <c r="G23" s="19"/>
      <c r="H23" s="26">
        <f t="shared" si="2"/>
        <v>5.25</v>
      </c>
      <c r="I23" s="26">
        <f t="shared" si="0"/>
        <v>8.25</v>
      </c>
      <c r="J23" s="19">
        <f t="shared" si="1"/>
        <v>13.5</v>
      </c>
    </row>
    <row r="24" spans="1:10" s="21" customFormat="1" ht="18" customHeight="1" x14ac:dyDescent="0.2">
      <c r="A24" s="19" t="s">
        <v>25</v>
      </c>
      <c r="B24" s="26">
        <v>11.25</v>
      </c>
      <c r="C24" s="26">
        <v>11.25</v>
      </c>
      <c r="D24" s="26"/>
      <c r="E24" s="26"/>
      <c r="F24" s="26"/>
      <c r="G24" s="19"/>
      <c r="H24" s="26">
        <f t="shared" si="2"/>
        <v>16.5</v>
      </c>
      <c r="I24" s="26">
        <f t="shared" si="0"/>
        <v>19.5</v>
      </c>
      <c r="J24" s="19">
        <f t="shared" si="1"/>
        <v>36</v>
      </c>
    </row>
    <row r="25" spans="1:10" s="21" customFormat="1" ht="18" customHeight="1" x14ac:dyDescent="0.2">
      <c r="A25" s="19" t="s">
        <v>24</v>
      </c>
      <c r="B25" s="26"/>
      <c r="C25" s="26"/>
      <c r="D25" s="26">
        <v>11</v>
      </c>
      <c r="E25" s="26">
        <v>18</v>
      </c>
      <c r="F25" s="26"/>
      <c r="G25" s="19"/>
      <c r="H25" s="26">
        <f t="shared" si="2"/>
        <v>5.5</v>
      </c>
      <c r="I25" s="26">
        <f t="shared" si="0"/>
        <v>1.5</v>
      </c>
      <c r="J25" s="19">
        <f t="shared" si="1"/>
        <v>7</v>
      </c>
    </row>
    <row r="26" spans="1:10" s="21" customFormat="1" ht="18" customHeight="1" x14ac:dyDescent="0.2">
      <c r="A26" s="19" t="s">
        <v>26</v>
      </c>
      <c r="B26" s="26">
        <v>3.75</v>
      </c>
      <c r="C26" s="26">
        <v>3.75</v>
      </c>
      <c r="D26" s="26"/>
      <c r="E26" s="26"/>
      <c r="F26" s="26"/>
      <c r="G26" s="19"/>
      <c r="H26" s="26">
        <f t="shared" si="2"/>
        <v>9.25</v>
      </c>
      <c r="I26" s="26">
        <f t="shared" si="0"/>
        <v>5.25</v>
      </c>
      <c r="J26" s="19">
        <f t="shared" si="1"/>
        <v>14.5</v>
      </c>
    </row>
    <row r="27" spans="1:10" s="21" customFormat="1" ht="18" customHeight="1" x14ac:dyDescent="0.2">
      <c r="A27" s="26" t="s">
        <v>36</v>
      </c>
      <c r="B27" s="26"/>
      <c r="C27" s="26"/>
      <c r="D27" s="26"/>
      <c r="E27" s="26"/>
      <c r="F27" s="26">
        <v>5</v>
      </c>
      <c r="G27" s="19"/>
      <c r="H27" s="26">
        <f t="shared" si="2"/>
        <v>4.25</v>
      </c>
      <c r="I27" s="26">
        <f t="shared" si="0"/>
        <v>5.25</v>
      </c>
      <c r="J27" s="19">
        <f t="shared" si="1"/>
        <v>9.5</v>
      </c>
    </row>
    <row r="28" spans="1:10" s="21" customFormat="1" ht="18" customHeight="1" x14ac:dyDescent="0.2">
      <c r="A28" s="19" t="s">
        <v>27</v>
      </c>
      <c r="B28" s="26">
        <v>12.5</v>
      </c>
      <c r="C28" s="26">
        <v>12.5</v>
      </c>
      <c r="D28" s="26"/>
      <c r="E28" s="26"/>
      <c r="F28" s="26"/>
      <c r="G28" s="19"/>
      <c r="H28" s="26">
        <f t="shared" si="2"/>
        <v>16.75</v>
      </c>
      <c r="I28" s="26">
        <f t="shared" si="0"/>
        <v>17.75</v>
      </c>
      <c r="J28" s="19">
        <f t="shared" si="1"/>
        <v>34.5</v>
      </c>
    </row>
    <row r="29" spans="1:10" s="21" customFormat="1" ht="18" customHeight="1" x14ac:dyDescent="0.2">
      <c r="A29" s="19" t="s">
        <v>28</v>
      </c>
      <c r="B29" s="26"/>
      <c r="C29" s="26"/>
      <c r="D29" s="26">
        <v>11</v>
      </c>
      <c r="E29" s="26">
        <v>12</v>
      </c>
      <c r="F29" s="26"/>
      <c r="G29" s="19"/>
      <c r="H29" s="26">
        <f t="shared" si="2"/>
        <v>5.75</v>
      </c>
      <c r="I29" s="26">
        <f t="shared" si="0"/>
        <v>5.75</v>
      </c>
      <c r="J29" s="19">
        <f t="shared" si="1"/>
        <v>11.5</v>
      </c>
    </row>
    <row r="30" spans="1:10" s="21" customFormat="1" ht="18" customHeight="1" x14ac:dyDescent="0.2">
      <c r="A30" s="26" t="s">
        <v>29</v>
      </c>
      <c r="B30" s="26">
        <v>2.5</v>
      </c>
      <c r="C30" s="26">
        <v>2.5</v>
      </c>
      <c r="D30" s="26"/>
      <c r="E30" s="26"/>
      <c r="F30" s="26"/>
      <c r="G30" s="19"/>
      <c r="H30" s="26">
        <f t="shared" si="2"/>
        <v>8.25</v>
      </c>
      <c r="I30" s="26">
        <f t="shared" si="0"/>
        <v>8.25</v>
      </c>
      <c r="J30" s="19">
        <f t="shared" si="1"/>
        <v>16.5</v>
      </c>
    </row>
    <row r="31" spans="1:10" s="21" customFormat="1" ht="18" customHeight="1" x14ac:dyDescent="0.2">
      <c r="A31" s="26" t="s">
        <v>37</v>
      </c>
      <c r="B31" s="26"/>
      <c r="C31" s="26"/>
      <c r="D31" s="26"/>
      <c r="E31" s="26"/>
      <c r="F31" s="26">
        <v>5</v>
      </c>
      <c r="G31" s="19"/>
      <c r="H31" s="26">
        <f t="shared" si="2"/>
        <v>3.25</v>
      </c>
      <c r="I31" s="26">
        <f t="shared" si="0"/>
        <v>8.25</v>
      </c>
      <c r="J31" s="19">
        <f t="shared" si="1"/>
        <v>11.5</v>
      </c>
    </row>
    <row r="32" spans="1:10" s="21" customFormat="1" ht="18" customHeight="1" x14ac:dyDescent="0.2">
      <c r="A32" s="26" t="s">
        <v>38</v>
      </c>
      <c r="B32" s="26">
        <v>13.75</v>
      </c>
      <c r="C32" s="26">
        <v>13.75</v>
      </c>
      <c r="D32" s="27"/>
      <c r="E32" s="26"/>
      <c r="F32" s="26"/>
      <c r="G32" s="19"/>
      <c r="H32" s="26">
        <f t="shared" si="2"/>
        <v>17</v>
      </c>
      <c r="I32" s="26">
        <f t="shared" si="0"/>
        <v>22</v>
      </c>
      <c r="J32" s="19">
        <f t="shared" si="1"/>
        <v>39</v>
      </c>
    </row>
    <row r="33" spans="1:10" s="21" customFormat="1" ht="18" customHeight="1" x14ac:dyDescent="0.2">
      <c r="A33" s="26" t="s">
        <v>39</v>
      </c>
      <c r="B33" s="26"/>
      <c r="C33" s="26"/>
      <c r="D33" s="27"/>
      <c r="E33" s="26"/>
      <c r="F33" s="26">
        <v>5</v>
      </c>
      <c r="G33" s="19"/>
      <c r="H33" s="26">
        <f t="shared" si="2"/>
        <v>12</v>
      </c>
      <c r="I33" s="26">
        <f t="shared" si="0"/>
        <v>22</v>
      </c>
      <c r="J33" s="19">
        <f t="shared" si="1"/>
        <v>34</v>
      </c>
    </row>
    <row r="34" spans="1:10" s="21" customFormat="1" ht="18" customHeight="1" x14ac:dyDescent="0.2">
      <c r="A34" s="26" t="s">
        <v>30</v>
      </c>
      <c r="B34" s="26">
        <v>15</v>
      </c>
      <c r="C34" s="26">
        <v>15</v>
      </c>
      <c r="D34" s="26"/>
      <c r="E34" s="26"/>
      <c r="F34" s="26"/>
      <c r="G34" s="19"/>
      <c r="H34" s="26">
        <f t="shared" si="2"/>
        <v>27</v>
      </c>
      <c r="I34" s="26">
        <f t="shared" si="0"/>
        <v>37</v>
      </c>
      <c r="J34" s="19">
        <f t="shared" si="1"/>
        <v>64</v>
      </c>
    </row>
    <row r="35" spans="1:10" s="21" customFormat="1" ht="18" customHeight="1" x14ac:dyDescent="0.2">
      <c r="A35" s="26" t="s">
        <v>24</v>
      </c>
      <c r="B35" s="26"/>
      <c r="C35" s="26"/>
      <c r="D35" s="26">
        <v>15</v>
      </c>
      <c r="E35" s="26">
        <v>14</v>
      </c>
      <c r="F35" s="26"/>
      <c r="G35" s="19"/>
      <c r="H35" s="26">
        <f t="shared" si="2"/>
        <v>12</v>
      </c>
      <c r="I35" s="26">
        <f t="shared" si="0"/>
        <v>23</v>
      </c>
      <c r="J35" s="19">
        <f t="shared" si="1"/>
        <v>35</v>
      </c>
    </row>
    <row r="36" spans="1:10" s="21" customFormat="1" ht="18" customHeight="1" x14ac:dyDescent="0.2">
      <c r="A36" s="26" t="s">
        <v>40</v>
      </c>
      <c r="B36" s="26"/>
      <c r="C36" s="26"/>
      <c r="D36" s="26"/>
      <c r="E36" s="26"/>
      <c r="F36" s="26">
        <v>5</v>
      </c>
      <c r="G36" s="19"/>
      <c r="H36" s="26">
        <f t="shared" si="2"/>
        <v>7</v>
      </c>
      <c r="I36" s="26">
        <f t="shared" si="0"/>
        <v>23</v>
      </c>
      <c r="J36" s="19">
        <f t="shared" si="1"/>
        <v>30</v>
      </c>
    </row>
    <row r="37" spans="1:10" s="21" customFormat="1" ht="18" customHeight="1" x14ac:dyDescent="0.2">
      <c r="A37" s="26" t="s">
        <v>31</v>
      </c>
      <c r="B37" s="26">
        <v>11.25</v>
      </c>
      <c r="C37" s="26">
        <v>11.25</v>
      </c>
      <c r="D37" s="26"/>
      <c r="E37" s="26"/>
      <c r="F37" s="26"/>
      <c r="G37" s="19"/>
      <c r="H37" s="26">
        <f t="shared" si="2"/>
        <v>18.25</v>
      </c>
      <c r="I37" s="26">
        <f t="shared" si="0"/>
        <v>34.25</v>
      </c>
      <c r="J37" s="19">
        <f t="shared" si="1"/>
        <v>52.5</v>
      </c>
    </row>
    <row r="38" spans="1:10" s="21" customFormat="1" ht="18" customHeight="1" x14ac:dyDescent="0.2">
      <c r="A38" s="26" t="s">
        <v>24</v>
      </c>
      <c r="B38" s="26"/>
      <c r="C38" s="26"/>
      <c r="D38" s="26">
        <v>10</v>
      </c>
      <c r="E38" s="26">
        <v>19</v>
      </c>
      <c r="F38" s="26"/>
      <c r="G38" s="19"/>
      <c r="H38" s="26">
        <f t="shared" si="2"/>
        <v>8.25</v>
      </c>
      <c r="I38" s="26">
        <f t="shared" si="0"/>
        <v>15.25</v>
      </c>
      <c r="J38" s="19">
        <f t="shared" si="1"/>
        <v>23.5</v>
      </c>
    </row>
    <row r="39" spans="1:10" s="21" customFormat="1" ht="18" customHeight="1" x14ac:dyDescent="0.2">
      <c r="A39" s="26" t="s">
        <v>41</v>
      </c>
      <c r="B39" s="26"/>
      <c r="C39" s="26"/>
      <c r="D39" s="26"/>
      <c r="E39" s="26"/>
      <c r="F39" s="26">
        <v>5</v>
      </c>
      <c r="G39" s="19"/>
      <c r="H39" s="26">
        <f t="shared" si="2"/>
        <v>3.25</v>
      </c>
      <c r="I39" s="26">
        <f t="shared" si="0"/>
        <v>15.25</v>
      </c>
      <c r="J39" s="19">
        <f t="shared" si="1"/>
        <v>18.5</v>
      </c>
    </row>
    <row r="40" spans="1:10" s="21" customFormat="1" ht="18" customHeight="1" x14ac:dyDescent="0.2">
      <c r="A40" s="26" t="s">
        <v>46</v>
      </c>
      <c r="B40" s="26">
        <f>9*1.25</f>
        <v>11.25</v>
      </c>
      <c r="C40" s="26">
        <f>9*1.25</f>
        <v>11.25</v>
      </c>
      <c r="D40" s="26"/>
      <c r="E40" s="26"/>
      <c r="F40" s="26"/>
      <c r="G40" s="19"/>
      <c r="H40" s="26">
        <f t="shared" si="2"/>
        <v>14.5</v>
      </c>
      <c r="I40" s="26">
        <f t="shared" si="0"/>
        <v>26.5</v>
      </c>
      <c r="J40" s="19">
        <f t="shared" si="1"/>
        <v>41</v>
      </c>
    </row>
    <row r="41" spans="1:10" s="21" customFormat="1" ht="18" customHeight="1" x14ac:dyDescent="0.2">
      <c r="A41" s="26" t="s">
        <v>47</v>
      </c>
      <c r="B41" s="26"/>
      <c r="C41" s="26"/>
      <c r="D41" s="26">
        <v>4</v>
      </c>
      <c r="E41" s="26">
        <v>21</v>
      </c>
      <c r="F41" s="26"/>
      <c r="G41" s="19"/>
      <c r="H41" s="26">
        <f t="shared" si="2"/>
        <v>10.5</v>
      </c>
      <c r="I41" s="26">
        <f t="shared" si="0"/>
        <v>5.5</v>
      </c>
      <c r="J41" s="19">
        <f t="shared" si="1"/>
        <v>16</v>
      </c>
    </row>
    <row r="42" spans="1:10" s="21" customFormat="1" ht="18" customHeight="1" x14ac:dyDescent="0.2">
      <c r="A42" s="26" t="s">
        <v>50</v>
      </c>
      <c r="B42" s="26">
        <v>3.75</v>
      </c>
      <c r="C42" s="26">
        <v>3.75</v>
      </c>
      <c r="D42" s="26"/>
      <c r="E42" s="26"/>
      <c r="F42" s="26"/>
      <c r="G42" s="19"/>
      <c r="H42" s="26">
        <f t="shared" ref="H42:H45" si="3">H41-F42-D42+B42</f>
        <v>14.25</v>
      </c>
      <c r="I42" s="26">
        <f t="shared" si="0"/>
        <v>9.25</v>
      </c>
      <c r="J42" s="19">
        <f t="shared" ref="J42:J45" si="4">H42+I42</f>
        <v>23.5</v>
      </c>
    </row>
    <row r="43" spans="1:10" s="21" customFormat="1" ht="18" customHeight="1" x14ac:dyDescent="0.2">
      <c r="A43" s="26" t="s">
        <v>51</v>
      </c>
      <c r="B43" s="26"/>
      <c r="C43" s="26"/>
      <c r="D43" s="26"/>
      <c r="E43" s="26"/>
      <c r="F43" s="26">
        <v>5</v>
      </c>
      <c r="G43" s="19"/>
      <c r="H43" s="26">
        <f t="shared" si="3"/>
        <v>9.25</v>
      </c>
      <c r="I43" s="26">
        <f t="shared" si="0"/>
        <v>9.25</v>
      </c>
      <c r="J43" s="19">
        <f t="shared" si="4"/>
        <v>18.5</v>
      </c>
    </row>
    <row r="44" spans="1:10" s="21" customFormat="1" ht="18" customHeight="1" x14ac:dyDescent="0.2">
      <c r="A44" s="26" t="s">
        <v>52</v>
      </c>
      <c r="B44" s="26">
        <v>3.75</v>
      </c>
      <c r="C44" s="26">
        <v>3.75</v>
      </c>
      <c r="D44" s="26"/>
      <c r="E44" s="26"/>
      <c r="F44" s="26"/>
      <c r="G44" s="19"/>
      <c r="H44" s="26">
        <f t="shared" si="3"/>
        <v>13</v>
      </c>
      <c r="I44" s="26">
        <f t="shared" si="0"/>
        <v>13</v>
      </c>
      <c r="J44" s="19">
        <f t="shared" si="4"/>
        <v>26</v>
      </c>
    </row>
    <row r="45" spans="1:10" s="21" customFormat="1" ht="18" customHeight="1" x14ac:dyDescent="0.2">
      <c r="A45" s="26" t="s">
        <v>54</v>
      </c>
      <c r="B45" s="26"/>
      <c r="C45" s="26"/>
      <c r="D45" s="26"/>
      <c r="E45" s="26"/>
      <c r="F45" s="26">
        <v>1</v>
      </c>
      <c r="G45" s="19"/>
      <c r="H45" s="26">
        <f t="shared" si="3"/>
        <v>12</v>
      </c>
      <c r="I45" s="26">
        <f t="shared" si="0"/>
        <v>13</v>
      </c>
      <c r="J45" s="19">
        <f t="shared" si="4"/>
        <v>25</v>
      </c>
    </row>
    <row r="46" spans="1:10" s="21" customFormat="1" ht="18" customHeight="1" x14ac:dyDescent="0.2">
      <c r="A46" s="26" t="s">
        <v>53</v>
      </c>
      <c r="B46" s="26"/>
      <c r="C46" s="26"/>
      <c r="D46" s="26"/>
      <c r="E46" s="26"/>
      <c r="F46" s="26">
        <v>1</v>
      </c>
      <c r="G46" s="19"/>
      <c r="H46" s="26">
        <f t="shared" ref="H46" si="5">H45-F46-D46+B46</f>
        <v>11</v>
      </c>
      <c r="I46" s="26">
        <f t="shared" ref="I46" si="6">I45-E46+C46</f>
        <v>13</v>
      </c>
      <c r="J46" s="19">
        <f t="shared" ref="J46" si="7">H46+I46</f>
        <v>24</v>
      </c>
    </row>
    <row r="47" spans="1:10" s="21" customFormat="1" ht="18" customHeight="1" x14ac:dyDescent="0.2">
      <c r="A47" s="26" t="s">
        <v>55</v>
      </c>
      <c r="B47" s="26"/>
      <c r="C47" s="26"/>
      <c r="D47" s="26"/>
      <c r="E47" s="26">
        <v>1</v>
      </c>
      <c r="F47" s="26"/>
      <c r="G47" s="19"/>
      <c r="H47" s="26">
        <f t="shared" ref="H47" si="8">H46-F47-D47+B47</f>
        <v>11</v>
      </c>
      <c r="I47" s="26">
        <f t="shared" ref="I47" si="9">I46-E47+C47</f>
        <v>12</v>
      </c>
      <c r="J47" s="19">
        <f t="shared" ref="J47" si="10">H47+I47</f>
        <v>23</v>
      </c>
    </row>
    <row r="48" spans="1:10" s="21" customFormat="1" ht="18" customHeight="1" x14ac:dyDescent="0.2">
      <c r="A48" s="26" t="s">
        <v>56</v>
      </c>
      <c r="B48" s="26">
        <v>3.75</v>
      </c>
      <c r="C48" s="26">
        <v>3.75</v>
      </c>
      <c r="D48" s="26"/>
      <c r="E48" s="26"/>
      <c r="F48" s="26"/>
      <c r="G48" s="19"/>
      <c r="H48" s="26">
        <f t="shared" ref="H48:H49" si="11">H47-F48-D48+B48</f>
        <v>14.75</v>
      </c>
      <c r="I48" s="26">
        <f t="shared" ref="I48:I49" si="12">I47-E48+C48</f>
        <v>15.75</v>
      </c>
      <c r="J48" s="19">
        <f t="shared" ref="J48:J49" si="13">H48+I48</f>
        <v>30.5</v>
      </c>
    </row>
    <row r="49" spans="1:10" s="21" customFormat="1" ht="18" customHeight="1" x14ac:dyDescent="0.2">
      <c r="A49" s="26" t="s">
        <v>57</v>
      </c>
      <c r="B49" s="26"/>
      <c r="C49" s="26"/>
      <c r="D49" s="26"/>
      <c r="E49" s="26"/>
      <c r="F49" s="26"/>
      <c r="G49" s="19">
        <v>1</v>
      </c>
      <c r="H49" s="26">
        <f t="shared" si="11"/>
        <v>14.75</v>
      </c>
      <c r="I49" s="26">
        <f t="shared" si="12"/>
        <v>15.75</v>
      </c>
      <c r="J49" s="19">
        <f t="shared" si="13"/>
        <v>30.5</v>
      </c>
    </row>
    <row r="50" spans="1:10" s="21" customFormat="1" ht="18" customHeight="1" x14ac:dyDescent="0.2">
      <c r="A50" s="26" t="s">
        <v>58</v>
      </c>
      <c r="B50" s="26">
        <v>2.5</v>
      </c>
      <c r="C50" s="26">
        <v>2.5</v>
      </c>
      <c r="D50" s="26"/>
      <c r="E50" s="26"/>
      <c r="F50" s="26"/>
      <c r="G50" s="19"/>
      <c r="H50" s="26">
        <f t="shared" ref="H50" si="14">H49-F50-D50+B50</f>
        <v>17.25</v>
      </c>
      <c r="I50" s="26">
        <f t="shared" ref="I50" si="15">I49-E50+C50</f>
        <v>18.25</v>
      </c>
      <c r="J50" s="19">
        <f t="shared" ref="J50" si="16">H50+I50</f>
        <v>35.5</v>
      </c>
    </row>
    <row r="51" spans="1:10" s="21" customFormat="1" ht="18" customHeight="1" x14ac:dyDescent="0.2">
      <c r="A51" s="26" t="s">
        <v>59</v>
      </c>
      <c r="B51" s="26">
        <v>1.25</v>
      </c>
      <c r="C51" s="26">
        <v>1.25</v>
      </c>
      <c r="D51" s="26"/>
      <c r="E51" s="26"/>
      <c r="F51" s="26"/>
      <c r="G51" s="19"/>
      <c r="H51" s="26">
        <f t="shared" ref="H51:H52" si="17">H50-F51-D51+B51</f>
        <v>18.5</v>
      </c>
      <c r="I51" s="26">
        <f t="shared" ref="I51:I52" si="18">I50-E51+C51</f>
        <v>19.5</v>
      </c>
      <c r="J51" s="19">
        <f t="shared" ref="J51:J52" si="19">H51+I51</f>
        <v>38</v>
      </c>
    </row>
    <row r="52" spans="1:10" s="21" customFormat="1" ht="18" customHeight="1" x14ac:dyDescent="0.2">
      <c r="A52" s="26" t="s">
        <v>60</v>
      </c>
      <c r="B52" s="26"/>
      <c r="C52" s="26"/>
      <c r="D52" s="26"/>
      <c r="E52" s="26"/>
      <c r="F52" s="26">
        <v>1</v>
      </c>
      <c r="G52" s="19"/>
      <c r="H52" s="26">
        <f t="shared" si="17"/>
        <v>17.5</v>
      </c>
      <c r="I52" s="26">
        <f t="shared" si="18"/>
        <v>19.5</v>
      </c>
      <c r="J52" s="19">
        <f t="shared" si="19"/>
        <v>37</v>
      </c>
    </row>
    <row r="53" spans="1:10" s="21" customFormat="1" ht="18" customHeight="1" x14ac:dyDescent="0.2">
      <c r="A53" s="26" t="s">
        <v>61</v>
      </c>
      <c r="B53" s="26">
        <v>2.5</v>
      </c>
      <c r="C53" s="26">
        <v>2.5</v>
      </c>
      <c r="D53" s="26"/>
      <c r="E53" s="26"/>
      <c r="F53" s="26"/>
      <c r="G53" s="19"/>
      <c r="H53" s="26">
        <f t="shared" ref="H53" si="20">H52-F53-D53+B53</f>
        <v>20</v>
      </c>
      <c r="I53" s="26">
        <f t="shared" ref="I53" si="21">I52-E53+C53</f>
        <v>22</v>
      </c>
      <c r="J53" s="19">
        <f t="shared" ref="J53" si="22">H53+I53</f>
        <v>42</v>
      </c>
    </row>
    <row r="54" spans="1:10" s="21" customFormat="1" ht="18" customHeight="1" x14ac:dyDescent="0.2">
      <c r="A54" s="26" t="s">
        <v>62</v>
      </c>
      <c r="B54" s="26"/>
      <c r="C54" s="26"/>
      <c r="D54" s="26"/>
      <c r="E54" s="26"/>
      <c r="F54" s="26">
        <v>1</v>
      </c>
      <c r="G54" s="19"/>
      <c r="H54" s="26">
        <f t="shared" ref="H54:H55" si="23">H53-F54-D54+B54</f>
        <v>19</v>
      </c>
      <c r="I54" s="26">
        <f t="shared" ref="I54:I55" si="24">I53-E54+C54</f>
        <v>22</v>
      </c>
      <c r="J54" s="19">
        <f t="shared" ref="J54:J55" si="25">H54+I54</f>
        <v>41</v>
      </c>
    </row>
    <row r="55" spans="1:10" s="21" customFormat="1" ht="18" customHeight="1" x14ac:dyDescent="0.2">
      <c r="A55" s="26" t="s">
        <v>63</v>
      </c>
      <c r="B55" s="26">
        <v>1.25</v>
      </c>
      <c r="C55" s="26">
        <v>1.25</v>
      </c>
      <c r="D55" s="26"/>
      <c r="E55" s="26"/>
      <c r="F55" s="26"/>
      <c r="G55" s="19"/>
      <c r="H55" s="26">
        <f t="shared" si="23"/>
        <v>20.25</v>
      </c>
      <c r="I55" s="26">
        <f t="shared" si="24"/>
        <v>23.25</v>
      </c>
      <c r="J55" s="19">
        <f t="shared" si="25"/>
        <v>43.5</v>
      </c>
    </row>
    <row r="56" spans="1:10" s="21" customFormat="1" ht="18" customHeight="1" x14ac:dyDescent="0.2">
      <c r="A56" s="30" t="s">
        <v>70</v>
      </c>
      <c r="B56" s="30"/>
      <c r="C56" s="30"/>
      <c r="D56" s="30"/>
      <c r="E56" s="30"/>
      <c r="F56" s="30">
        <v>1</v>
      </c>
      <c r="G56" s="31"/>
      <c r="H56" s="26">
        <f t="shared" ref="H56:H63" si="26">H55-F56-D56+B56</f>
        <v>19.25</v>
      </c>
      <c r="I56" s="26">
        <f t="shared" ref="I56:I63" si="27">I55-E56+C56</f>
        <v>23.25</v>
      </c>
      <c r="J56" s="19">
        <f t="shared" ref="J56:J63" si="28">H56+I56</f>
        <v>42.5</v>
      </c>
    </row>
    <row r="57" spans="1:10" s="21" customFormat="1" ht="18" customHeight="1" x14ac:dyDescent="0.2">
      <c r="A57" s="30" t="s">
        <v>64</v>
      </c>
      <c r="B57" s="30"/>
      <c r="C57" s="30"/>
      <c r="D57" s="30">
        <v>1</v>
      </c>
      <c r="E57" s="30"/>
      <c r="F57" s="30"/>
      <c r="G57" s="31"/>
      <c r="H57" s="26">
        <f t="shared" si="26"/>
        <v>18.25</v>
      </c>
      <c r="I57" s="26">
        <f t="shared" si="27"/>
        <v>23.25</v>
      </c>
      <c r="J57" s="19">
        <f t="shared" si="28"/>
        <v>41.5</v>
      </c>
    </row>
    <row r="58" spans="1:10" s="21" customFormat="1" ht="18" customHeight="1" x14ac:dyDescent="0.2">
      <c r="A58" s="30" t="s">
        <v>65</v>
      </c>
      <c r="B58" s="30">
        <v>2.5</v>
      </c>
      <c r="C58" s="30">
        <v>2.5</v>
      </c>
      <c r="D58" s="30"/>
      <c r="E58" s="30"/>
      <c r="F58" s="30"/>
      <c r="G58" s="31"/>
      <c r="H58" s="26">
        <f t="shared" si="26"/>
        <v>20.75</v>
      </c>
      <c r="I58" s="26">
        <f t="shared" si="27"/>
        <v>25.75</v>
      </c>
      <c r="J58" s="19">
        <f t="shared" si="28"/>
        <v>46.5</v>
      </c>
    </row>
    <row r="59" spans="1:10" s="21" customFormat="1" ht="18" customHeight="1" x14ac:dyDescent="0.2">
      <c r="A59" s="30" t="s">
        <v>66</v>
      </c>
      <c r="B59" s="30"/>
      <c r="C59" s="30"/>
      <c r="D59" s="30"/>
      <c r="E59" s="30">
        <v>1</v>
      </c>
      <c r="F59" s="30"/>
      <c r="G59" s="31"/>
      <c r="H59" s="26">
        <f t="shared" si="26"/>
        <v>20.75</v>
      </c>
      <c r="I59" s="26">
        <f t="shared" si="27"/>
        <v>24.75</v>
      </c>
      <c r="J59" s="19">
        <f t="shared" si="28"/>
        <v>45.5</v>
      </c>
    </row>
    <row r="60" spans="1:10" s="21" customFormat="1" ht="18" customHeight="1" x14ac:dyDescent="0.2">
      <c r="A60" s="30" t="s">
        <v>67</v>
      </c>
      <c r="B60" s="30"/>
      <c r="C60" s="30"/>
      <c r="D60" s="30"/>
      <c r="E60" s="30"/>
      <c r="F60" s="30">
        <v>3</v>
      </c>
      <c r="G60" s="31"/>
      <c r="H60" s="26">
        <f t="shared" si="26"/>
        <v>17.75</v>
      </c>
      <c r="I60" s="26">
        <f t="shared" si="27"/>
        <v>24.75</v>
      </c>
      <c r="J60" s="19">
        <f t="shared" si="28"/>
        <v>42.5</v>
      </c>
    </row>
    <row r="61" spans="1:10" s="21" customFormat="1" ht="18" customHeight="1" x14ac:dyDescent="0.2">
      <c r="A61" s="30" t="s">
        <v>68</v>
      </c>
      <c r="B61" s="30">
        <v>1.25</v>
      </c>
      <c r="C61" s="30">
        <v>1.25</v>
      </c>
      <c r="D61" s="30"/>
      <c r="E61" s="30"/>
      <c r="F61" s="30"/>
      <c r="G61" s="31"/>
      <c r="H61" s="26">
        <f t="shared" si="26"/>
        <v>19</v>
      </c>
      <c r="I61" s="26">
        <f t="shared" si="27"/>
        <v>26</v>
      </c>
      <c r="J61" s="19">
        <f t="shared" si="28"/>
        <v>45</v>
      </c>
    </row>
    <row r="62" spans="1:10" s="21" customFormat="1" ht="18" customHeight="1" x14ac:dyDescent="0.2">
      <c r="A62" s="26" t="s">
        <v>69</v>
      </c>
      <c r="B62" s="26"/>
      <c r="C62" s="26"/>
      <c r="D62" s="26"/>
      <c r="E62" s="26">
        <v>3</v>
      </c>
      <c r="F62" s="30"/>
      <c r="G62" s="19"/>
      <c r="H62" s="26">
        <f t="shared" si="26"/>
        <v>19</v>
      </c>
      <c r="I62" s="26">
        <f t="shared" si="27"/>
        <v>23</v>
      </c>
      <c r="J62" s="19">
        <f t="shared" si="28"/>
        <v>42</v>
      </c>
    </row>
    <row r="63" spans="1:10" s="21" customFormat="1" ht="18" customHeight="1" x14ac:dyDescent="0.2">
      <c r="A63" s="26" t="s">
        <v>71</v>
      </c>
      <c r="B63" s="26">
        <v>10</v>
      </c>
      <c r="C63" s="26">
        <v>10</v>
      </c>
      <c r="D63" s="26"/>
      <c r="E63" s="26"/>
      <c r="F63" s="30"/>
      <c r="G63" s="19"/>
      <c r="H63" s="26">
        <f t="shared" si="26"/>
        <v>29</v>
      </c>
      <c r="I63" s="26">
        <f t="shared" si="27"/>
        <v>33</v>
      </c>
      <c r="J63" s="19">
        <f t="shared" si="28"/>
        <v>62</v>
      </c>
    </row>
    <row r="64" spans="1:10" s="21" customFormat="1" ht="18" customHeight="1" x14ac:dyDescent="0.2">
      <c r="A64" s="26" t="s">
        <v>72</v>
      </c>
      <c r="B64" s="26"/>
      <c r="C64" s="26"/>
      <c r="D64" s="26"/>
      <c r="E64" s="26"/>
      <c r="F64" s="30">
        <v>1</v>
      </c>
      <c r="G64" s="19"/>
      <c r="H64" s="26">
        <f t="shared" ref="H64" si="29">H63-F64-D64+B64</f>
        <v>28</v>
      </c>
      <c r="I64" s="26">
        <f t="shared" ref="I64" si="30">I63-E64+C64</f>
        <v>33</v>
      </c>
      <c r="J64" s="19">
        <f t="shared" ref="J64" si="31">H64+I64</f>
        <v>61</v>
      </c>
    </row>
    <row r="65" spans="1:10" s="21" customFormat="1" ht="18" customHeight="1" x14ac:dyDescent="0.2">
      <c r="A65" s="30" t="s">
        <v>73</v>
      </c>
      <c r="B65" s="30">
        <v>1.25</v>
      </c>
      <c r="C65" s="30">
        <v>1.25</v>
      </c>
      <c r="D65" s="30"/>
      <c r="E65" s="30"/>
      <c r="F65" s="30"/>
      <c r="G65" s="31"/>
      <c r="H65" s="26">
        <f t="shared" ref="H65:H66" si="32">H64-F65-D65+B65</f>
        <v>29.25</v>
      </c>
      <c r="I65" s="26">
        <f t="shared" ref="I65:I66" si="33">I64-E65+C65</f>
        <v>34.25</v>
      </c>
      <c r="J65" s="19">
        <f t="shared" ref="J65:J67" si="34">H65+I65</f>
        <v>63.5</v>
      </c>
    </row>
    <row r="66" spans="1:10" s="21" customFormat="1" ht="18" customHeight="1" x14ac:dyDescent="0.2">
      <c r="A66" s="30" t="s">
        <v>78</v>
      </c>
      <c r="B66" s="30"/>
      <c r="C66" s="30"/>
      <c r="D66" s="30"/>
      <c r="E66" s="30"/>
      <c r="F66" s="30">
        <v>1</v>
      </c>
      <c r="G66" s="31"/>
      <c r="H66" s="26">
        <f t="shared" si="32"/>
        <v>28.25</v>
      </c>
      <c r="I66" s="26">
        <f t="shared" si="33"/>
        <v>34.25</v>
      </c>
      <c r="J66" s="19">
        <f t="shared" si="34"/>
        <v>62.5</v>
      </c>
    </row>
    <row r="67" spans="1:10" s="21" customFormat="1" ht="18" customHeight="1" x14ac:dyDescent="0.2">
      <c r="A67" s="30" t="s">
        <v>74</v>
      </c>
      <c r="B67" s="30"/>
      <c r="C67" s="30"/>
      <c r="D67" s="30"/>
      <c r="E67" s="30"/>
      <c r="F67" s="32">
        <v>1</v>
      </c>
      <c r="G67" s="31"/>
      <c r="H67" s="26">
        <f>H66-F67-D67+B67</f>
        <v>27.25</v>
      </c>
      <c r="I67" s="26">
        <f>I66-E67+C67</f>
        <v>34.25</v>
      </c>
      <c r="J67" s="19">
        <f t="shared" si="34"/>
        <v>61.5</v>
      </c>
    </row>
    <row r="68" spans="1:10" s="33" customFormat="1" ht="18" customHeight="1" x14ac:dyDescent="0.2">
      <c r="A68" s="30" t="s">
        <v>75</v>
      </c>
      <c r="B68" s="30">
        <v>2.5</v>
      </c>
      <c r="C68" s="30">
        <v>2.5</v>
      </c>
      <c r="D68" s="30"/>
      <c r="E68" s="30"/>
      <c r="F68" s="30"/>
      <c r="G68" s="31"/>
      <c r="H68" s="26">
        <f t="shared" ref="H68:H69" si="35">H67-F68-D68+B68</f>
        <v>29.75</v>
      </c>
      <c r="I68" s="26">
        <f t="shared" ref="I68:I69" si="36">I67-E68+C68</f>
        <v>36.75</v>
      </c>
      <c r="J68" s="19">
        <f t="shared" ref="J68:J69" si="37">H68+I68</f>
        <v>66.5</v>
      </c>
    </row>
    <row r="69" spans="1:10" s="33" customFormat="1" ht="18" customHeight="1" x14ac:dyDescent="0.2">
      <c r="A69" s="30" t="s">
        <v>76</v>
      </c>
      <c r="B69" s="30"/>
      <c r="C69" s="30"/>
      <c r="D69" s="30"/>
      <c r="E69" s="30"/>
      <c r="F69" s="32">
        <v>1</v>
      </c>
      <c r="G69" s="31"/>
      <c r="H69" s="26">
        <f t="shared" si="35"/>
        <v>28.75</v>
      </c>
      <c r="I69" s="26">
        <f t="shared" si="36"/>
        <v>36.75</v>
      </c>
      <c r="J69" s="19">
        <f t="shared" si="37"/>
        <v>65.5</v>
      </c>
    </row>
    <row r="70" spans="1:10" s="21" customFormat="1" ht="18" customHeight="1" x14ac:dyDescent="0.2">
      <c r="A70" s="30" t="s">
        <v>77</v>
      </c>
      <c r="B70" s="30">
        <v>5</v>
      </c>
      <c r="C70" s="30">
        <v>5</v>
      </c>
      <c r="D70" s="30"/>
      <c r="E70" s="30"/>
      <c r="F70" s="30"/>
      <c r="G70" s="31"/>
      <c r="H70" s="26">
        <f t="shared" ref="H70:H71" si="38">H69-F70-D70+B70</f>
        <v>33.75</v>
      </c>
      <c r="I70" s="26">
        <f t="shared" ref="I70:I71" si="39">I69-E70+C70</f>
        <v>41.75</v>
      </c>
      <c r="J70" s="19">
        <f t="shared" ref="J70:J71" si="40">H70+I70</f>
        <v>75.5</v>
      </c>
    </row>
    <row r="71" spans="1:10" s="21" customFormat="1" ht="18" customHeight="1" x14ac:dyDescent="0.2">
      <c r="A71" s="30" t="s">
        <v>79</v>
      </c>
      <c r="B71" s="30"/>
      <c r="C71" s="30"/>
      <c r="D71" s="30"/>
      <c r="E71" s="30">
        <v>1</v>
      </c>
      <c r="F71" s="30"/>
      <c r="G71" s="31"/>
      <c r="H71" s="26">
        <f t="shared" si="38"/>
        <v>33.75</v>
      </c>
      <c r="I71" s="26">
        <f t="shared" si="39"/>
        <v>40.75</v>
      </c>
      <c r="J71" s="19">
        <f t="shared" si="40"/>
        <v>74.5</v>
      </c>
    </row>
    <row r="72" spans="1:10" s="21" customFormat="1" ht="18" customHeight="1" x14ac:dyDescent="0.2">
      <c r="A72" s="30" t="s">
        <v>80</v>
      </c>
      <c r="B72" s="30">
        <v>1.25</v>
      </c>
      <c r="C72" s="30">
        <v>1.25</v>
      </c>
      <c r="D72" s="30"/>
      <c r="E72" s="30"/>
      <c r="F72" s="30"/>
      <c r="G72" s="31"/>
      <c r="H72" s="26">
        <f t="shared" ref="H72:H73" si="41">H71-F72-D72+B72</f>
        <v>35</v>
      </c>
      <c r="I72" s="26">
        <f t="shared" ref="I72:I73" si="42">I71-E72+C72</f>
        <v>42</v>
      </c>
      <c r="J72" s="19">
        <f t="shared" ref="J72:J73" si="43">H72+I72</f>
        <v>77</v>
      </c>
    </row>
    <row r="73" spans="1:10" s="21" customFormat="1" ht="18" customHeight="1" x14ac:dyDescent="0.2">
      <c r="A73" s="30" t="s">
        <v>81</v>
      </c>
      <c r="B73" s="30"/>
      <c r="C73" s="30"/>
      <c r="D73" s="30"/>
      <c r="E73" s="30"/>
      <c r="F73" s="32">
        <v>1</v>
      </c>
      <c r="G73" s="31"/>
      <c r="H73" s="26">
        <f t="shared" si="41"/>
        <v>34</v>
      </c>
      <c r="I73" s="26">
        <f t="shared" si="42"/>
        <v>42</v>
      </c>
      <c r="J73" s="19">
        <f t="shared" si="43"/>
        <v>76</v>
      </c>
    </row>
    <row r="74" spans="1:10" s="33" customFormat="1" ht="18" customHeight="1" x14ac:dyDescent="0.2">
      <c r="A74" s="30" t="s">
        <v>82</v>
      </c>
      <c r="B74" s="30">
        <v>1.25</v>
      </c>
      <c r="C74" s="30">
        <v>1.25</v>
      </c>
      <c r="D74" s="30"/>
      <c r="E74" s="30"/>
      <c r="F74" s="30"/>
      <c r="G74" s="31"/>
      <c r="H74" s="26">
        <f t="shared" ref="H74:H75" si="44">H73-F74-D74+B74</f>
        <v>35.25</v>
      </c>
      <c r="I74" s="26">
        <f t="shared" ref="I74:I75" si="45">I73-E74+C74</f>
        <v>43.25</v>
      </c>
      <c r="J74" s="19">
        <f t="shared" ref="J74:J75" si="46">H74+I74</f>
        <v>78.5</v>
      </c>
    </row>
    <row r="75" spans="1:10" s="21" customFormat="1" ht="18" customHeight="1" x14ac:dyDescent="0.2">
      <c r="A75" s="30" t="s">
        <v>83</v>
      </c>
      <c r="B75" s="30"/>
      <c r="C75" s="30"/>
      <c r="D75" s="30"/>
      <c r="E75" s="30"/>
      <c r="F75" s="30"/>
      <c r="G75" s="34">
        <v>1</v>
      </c>
      <c r="H75" s="26">
        <f t="shared" si="44"/>
        <v>35.25</v>
      </c>
      <c r="I75" s="26">
        <f t="shared" si="45"/>
        <v>43.25</v>
      </c>
      <c r="J75" s="19">
        <f t="shared" si="46"/>
        <v>78.5</v>
      </c>
    </row>
    <row r="76" spans="1:10" s="56" customFormat="1" ht="18" customHeight="1" x14ac:dyDescent="0.2">
      <c r="A76" s="57" t="s">
        <v>84</v>
      </c>
      <c r="B76" s="57">
        <v>3.75</v>
      </c>
      <c r="C76" s="57">
        <v>3.75</v>
      </c>
      <c r="D76" s="57"/>
      <c r="E76" s="57"/>
      <c r="F76" s="57"/>
      <c r="G76" s="58"/>
      <c r="H76" s="26">
        <f t="shared" ref="H76:H77" si="47">H75-F76-D76+B76</f>
        <v>39</v>
      </c>
      <c r="I76" s="26">
        <f t="shared" ref="I76:I77" si="48">I75-E76+C76</f>
        <v>47</v>
      </c>
      <c r="J76" s="19">
        <f t="shared" ref="J76:J77" si="49">H76+I76</f>
        <v>86</v>
      </c>
    </row>
    <row r="77" spans="1:10" s="56" customFormat="1" ht="18" customHeight="1" x14ac:dyDescent="0.2">
      <c r="A77" s="57" t="s">
        <v>85</v>
      </c>
      <c r="B77" s="57"/>
      <c r="C77" s="57"/>
      <c r="D77" s="57"/>
      <c r="E77" s="57"/>
      <c r="F77" s="32">
        <v>2</v>
      </c>
      <c r="G77" s="58"/>
      <c r="H77" s="26">
        <f t="shared" si="47"/>
        <v>37</v>
      </c>
      <c r="I77" s="26">
        <f t="shared" si="48"/>
        <v>47</v>
      </c>
      <c r="J77" s="19">
        <f t="shared" si="49"/>
        <v>84</v>
      </c>
    </row>
    <row r="78" spans="1:10" s="56" customFormat="1" ht="18" customHeight="1" x14ac:dyDescent="0.2">
      <c r="A78" s="57"/>
      <c r="B78" s="57"/>
      <c r="C78" s="57"/>
      <c r="D78" s="57"/>
      <c r="E78" s="57"/>
      <c r="F78" s="57"/>
      <c r="G78" s="58"/>
      <c r="H78" s="57"/>
      <c r="I78" s="57"/>
      <c r="J78" s="58"/>
    </row>
    <row r="79" spans="1:10" s="28" customFormat="1" ht="18.75" customHeight="1" x14ac:dyDescent="0.25"/>
    <row r="80" spans="1:10" s="28" customFormat="1" ht="18" customHeight="1" x14ac:dyDescent="0.25">
      <c r="G80" s="28" t="s">
        <v>42</v>
      </c>
    </row>
    <row r="81" spans="1:10" s="28" customFormat="1" ht="18.75" customHeight="1" x14ac:dyDescent="0.25"/>
    <row r="82" spans="1:10" x14ac:dyDescent="0.25">
      <c r="B82" s="1"/>
      <c r="C82" s="1"/>
      <c r="D82" s="1"/>
      <c r="E82" s="1"/>
      <c r="F82" s="1"/>
      <c r="G82" s="35" t="s">
        <v>43</v>
      </c>
      <c r="H82" s="35"/>
      <c r="I82" s="1"/>
      <c r="J82" s="1"/>
    </row>
    <row r="83" spans="1:10" x14ac:dyDescent="0.25">
      <c r="B83" s="1"/>
      <c r="C83" s="1"/>
      <c r="D83" s="1"/>
      <c r="E83" s="1"/>
      <c r="F83" s="1"/>
      <c r="G83" s="36" t="s">
        <v>44</v>
      </c>
      <c r="H83" s="36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37" t="s">
        <v>45</v>
      </c>
      <c r="H84" s="37"/>
      <c r="I84" s="1"/>
      <c r="J84" s="1"/>
    </row>
  </sheetData>
  <mergeCells count="16">
    <mergeCell ref="G82:H82"/>
    <mergeCell ref="G83:H83"/>
    <mergeCell ref="G84:H84"/>
    <mergeCell ref="A2:J2"/>
    <mergeCell ref="A3:J3"/>
    <mergeCell ref="A4:J4"/>
    <mergeCell ref="A5:J5"/>
    <mergeCell ref="B9:E9"/>
    <mergeCell ref="B15:J15"/>
    <mergeCell ref="A11:J11"/>
    <mergeCell ref="A12:J12"/>
    <mergeCell ref="A13:A14"/>
    <mergeCell ref="B13:C13"/>
    <mergeCell ref="D13:G13"/>
    <mergeCell ref="H13:I13"/>
    <mergeCell ref="J13:J14"/>
  </mergeCells>
  <printOptions horizontalCentered="1"/>
  <pageMargins left="0.25" right="0.25" top="0.75" bottom="0.75" header="0.3" footer="0.3"/>
  <pageSetup scale="7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JOCELYN MAMUGAY</cp:lastModifiedBy>
  <cp:lastPrinted>2026-01-07T06:45:57Z</cp:lastPrinted>
  <dcterms:created xsi:type="dcterms:W3CDTF">2022-10-11T08:36:20Z</dcterms:created>
  <dcterms:modified xsi:type="dcterms:W3CDTF">2026-01-07T06:47:06Z</dcterms:modified>
</cp:coreProperties>
</file>