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C9A74EA2-DB55-4935-9CDD-9254BD6DC5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RRECTED" sheetId="3" r:id="rId1"/>
    <sheet name="WRONG" sheetId="1" r:id="rId2"/>
  </sheets>
  <definedNames>
    <definedName name="_xlnm.Print_Area" localSheetId="0">CORRECTED!$A$1:$J$103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3" l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I57" i="3" s="1"/>
  <c r="I58" i="3" s="1"/>
  <c r="I59" i="3" s="1"/>
  <c r="I60" i="3" s="1"/>
  <c r="I61" i="3" s="1"/>
  <c r="I62" i="3" s="1"/>
  <c r="I63" i="3" s="1"/>
  <c r="I64" i="3" s="1"/>
  <c r="I65" i="3" s="1"/>
  <c r="I66" i="3" s="1"/>
  <c r="I67" i="3" s="1"/>
  <c r="I68" i="3" s="1"/>
  <c r="I69" i="3" s="1"/>
  <c r="I70" i="3" s="1"/>
  <c r="I71" i="3" s="1"/>
  <c r="I72" i="3" s="1"/>
  <c r="I73" i="3" s="1"/>
  <c r="I74" i="3" s="1"/>
  <c r="I75" i="3" s="1"/>
  <c r="I76" i="3" s="1"/>
  <c r="I77" i="3" s="1"/>
  <c r="I78" i="3" s="1"/>
  <c r="I79" i="3" s="1"/>
  <c r="I80" i="3" s="1"/>
  <c r="I81" i="3" s="1"/>
  <c r="I82" i="3" s="1"/>
  <c r="I83" i="3" s="1"/>
  <c r="I84" i="3" s="1"/>
  <c r="I85" i="3" s="1"/>
  <c r="I86" i="3" s="1"/>
  <c r="I87" i="3" s="1"/>
  <c r="I88" i="3" s="1"/>
  <c r="I89" i="3" s="1"/>
  <c r="I90" i="3" s="1"/>
  <c r="I91" i="3" s="1"/>
  <c r="I92" i="3" s="1"/>
  <c r="I93" i="3" s="1"/>
  <c r="I94" i="3" s="1"/>
  <c r="I95" i="3" s="1"/>
  <c r="H13" i="3"/>
  <c r="H14" i="3" s="1"/>
  <c r="J14" i="3" l="1"/>
  <c r="H15" i="3"/>
  <c r="J13" i="3"/>
  <c r="H16" i="3" l="1"/>
  <c r="J15" i="3"/>
  <c r="J16" i="3" l="1"/>
  <c r="H17" i="3"/>
  <c r="H18" i="3" l="1"/>
  <c r="J17" i="3"/>
  <c r="J18" i="3" l="1"/>
  <c r="H19" i="3"/>
  <c r="H20" i="3" l="1"/>
  <c r="J19" i="3"/>
  <c r="J20" i="3" l="1"/>
  <c r="H21" i="3"/>
  <c r="H22" i="3" l="1"/>
  <c r="J21" i="3"/>
  <c r="J22" i="3" l="1"/>
  <c r="H23" i="3"/>
  <c r="H24" i="3" l="1"/>
  <c r="J23" i="3"/>
  <c r="J24" i="3" l="1"/>
  <c r="H25" i="3"/>
  <c r="H26" i="3" l="1"/>
  <c r="J25" i="3"/>
  <c r="J26" i="3" l="1"/>
  <c r="H27" i="3"/>
  <c r="H28" i="3" l="1"/>
  <c r="J27" i="3"/>
  <c r="J28" i="3" l="1"/>
  <c r="H29" i="3"/>
  <c r="H30" i="3" l="1"/>
  <c r="J29" i="3"/>
  <c r="J30" i="3" l="1"/>
  <c r="H31" i="3"/>
  <c r="H32" i="3" l="1"/>
  <c r="J31" i="3"/>
  <c r="J32" i="3" l="1"/>
  <c r="H33" i="3"/>
  <c r="H34" i="3" l="1"/>
  <c r="J33" i="3"/>
  <c r="J34" i="3" l="1"/>
  <c r="H35" i="3"/>
  <c r="H36" i="3" l="1"/>
  <c r="J35" i="3"/>
  <c r="J36" i="3" l="1"/>
  <c r="H37" i="3"/>
  <c r="H38" i="3" l="1"/>
  <c r="J37" i="3"/>
  <c r="J38" i="3" l="1"/>
  <c r="H39" i="3"/>
  <c r="H40" i="3" l="1"/>
  <c r="J39" i="3"/>
  <c r="J40" i="3" l="1"/>
  <c r="H41" i="3"/>
  <c r="H42" i="3" l="1"/>
  <c r="J41" i="3"/>
  <c r="J42" i="3" l="1"/>
  <c r="H43" i="3"/>
  <c r="H44" i="3" l="1"/>
  <c r="J43" i="3"/>
  <c r="J44" i="3" l="1"/>
  <c r="H45" i="3"/>
  <c r="H46" i="3" l="1"/>
  <c r="J45" i="3"/>
  <c r="J46" i="3" l="1"/>
  <c r="H47" i="3"/>
  <c r="H48" i="3" l="1"/>
  <c r="J47" i="3"/>
  <c r="J48" i="3" l="1"/>
  <c r="H49" i="3"/>
  <c r="H50" i="3" l="1"/>
  <c r="J49" i="3"/>
  <c r="J50" i="3" l="1"/>
  <c r="H51" i="3"/>
  <c r="H52" i="3" l="1"/>
  <c r="J51" i="3"/>
  <c r="J52" i="3" l="1"/>
  <c r="H53" i="3"/>
  <c r="H54" i="3" l="1"/>
  <c r="H55" i="3" s="1"/>
  <c r="J53" i="3"/>
  <c r="J55" i="3" l="1"/>
  <c r="H56" i="3"/>
  <c r="H57" i="3" s="1"/>
  <c r="J54" i="3"/>
  <c r="J57" i="3" l="1"/>
  <c r="H58" i="3"/>
  <c r="H59" i="3" s="1"/>
  <c r="J56" i="3"/>
  <c r="H60" i="3" l="1"/>
  <c r="J59" i="3"/>
  <c r="J58" i="3"/>
  <c r="H61" i="3" l="1"/>
  <c r="J60" i="3"/>
  <c r="H62" i="3" l="1"/>
  <c r="J61" i="3"/>
  <c r="J62" i="3" l="1"/>
  <c r="H63" i="3"/>
  <c r="H64" i="3" l="1"/>
  <c r="J63" i="3"/>
  <c r="J64" i="3" l="1"/>
  <c r="H65" i="3"/>
  <c r="H66" i="3" l="1"/>
  <c r="J65" i="3"/>
  <c r="H67" i="3" l="1"/>
  <c r="J66" i="3"/>
  <c r="J67" i="3" l="1"/>
  <c r="H68" i="3"/>
  <c r="H69" i="3" l="1"/>
  <c r="J68" i="3"/>
  <c r="J69" i="3" l="1"/>
  <c r="H70" i="3"/>
  <c r="H71" i="3" l="1"/>
  <c r="J70" i="3"/>
  <c r="J71" i="3" l="1"/>
  <c r="H72" i="3"/>
  <c r="H73" i="3" l="1"/>
  <c r="J72" i="3"/>
  <c r="J73" i="3" l="1"/>
  <c r="H74" i="3"/>
  <c r="H75" i="3" l="1"/>
  <c r="J74" i="3"/>
  <c r="J75" i="3" l="1"/>
  <c r="H76" i="3"/>
  <c r="H77" i="3" l="1"/>
  <c r="J76" i="3"/>
  <c r="H78" i="3" l="1"/>
  <c r="J77" i="3"/>
  <c r="H79" i="3" l="1"/>
  <c r="J78" i="3"/>
  <c r="J79" i="3" l="1"/>
  <c r="H80" i="3"/>
  <c r="H81" i="3" l="1"/>
  <c r="J80" i="3"/>
  <c r="J81" i="3" l="1"/>
  <c r="H82" i="3"/>
  <c r="H83" i="3" l="1"/>
  <c r="J82" i="3"/>
  <c r="H84" i="3" l="1"/>
  <c r="J83" i="3"/>
  <c r="H85" i="3" l="1"/>
  <c r="J84" i="3"/>
  <c r="H86" i="3" l="1"/>
  <c r="J85" i="3"/>
  <c r="H87" i="3" l="1"/>
  <c r="J86" i="3"/>
  <c r="J87" i="3" l="1"/>
  <c r="H88" i="3"/>
  <c r="H89" i="3" l="1"/>
  <c r="J88" i="3"/>
  <c r="J89" i="3" l="1"/>
  <c r="H90" i="3"/>
  <c r="H91" i="3" l="1"/>
  <c r="J90" i="3"/>
  <c r="J91" i="3" l="1"/>
  <c r="H92" i="3"/>
  <c r="H93" i="3" l="1"/>
  <c r="J92" i="3"/>
  <c r="J93" i="3" l="1"/>
  <c r="H94" i="3"/>
  <c r="H95" i="3" l="1"/>
  <c r="J94" i="3"/>
  <c r="H94" i="1"/>
  <c r="I94" i="1"/>
  <c r="H92" i="1"/>
  <c r="J92" i="1" s="1"/>
  <c r="I92" i="1"/>
  <c r="I93" i="1" s="1"/>
  <c r="B79" i="1"/>
  <c r="J95" i="3" l="1"/>
  <c r="J94" i="1"/>
  <c r="H93" i="1"/>
  <c r="J93" i="1" s="1"/>
  <c r="B77" i="1"/>
  <c r="B71" i="1"/>
  <c r="B65" i="1"/>
  <c r="B58" i="1" l="1"/>
  <c r="B56" i="1"/>
  <c r="B48" i="1"/>
  <c r="B46" i="1"/>
  <c r="B27" i="1"/>
  <c r="B25" i="1"/>
  <c r="I17" i="1" l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H17" i="1"/>
  <c r="J17" i="1" l="1"/>
  <c r="H18" i="1"/>
  <c r="J18" i="1" l="1"/>
  <c r="H19" i="1"/>
  <c r="H20" i="1" l="1"/>
  <c r="J19" i="1"/>
  <c r="H21" i="1" l="1"/>
  <c r="J20" i="1"/>
  <c r="J21" i="1" l="1"/>
  <c r="H22" i="1"/>
  <c r="J22" i="1" l="1"/>
  <c r="H23" i="1"/>
  <c r="H24" i="1" l="1"/>
  <c r="J23" i="1"/>
  <c r="H25" i="1" l="1"/>
  <c r="J24" i="1"/>
  <c r="H26" i="1" l="1"/>
  <c r="J25" i="1"/>
  <c r="H27" i="1" l="1"/>
  <c r="J26" i="1"/>
  <c r="H28" i="1" l="1"/>
  <c r="J27" i="1"/>
  <c r="J28" i="1" l="1"/>
  <c r="H29" i="1"/>
  <c r="H30" i="1" l="1"/>
  <c r="J29" i="1"/>
  <c r="H31" i="1" l="1"/>
  <c r="J30" i="1"/>
  <c r="J31" i="1" l="1"/>
  <c r="H32" i="1"/>
  <c r="H33" i="1" l="1"/>
  <c r="J32" i="1"/>
  <c r="H34" i="1" l="1"/>
  <c r="J33" i="1"/>
  <c r="J34" i="1" l="1"/>
  <c r="H35" i="1"/>
  <c r="H36" i="1" l="1"/>
  <c r="J35" i="1"/>
  <c r="H37" i="1" l="1"/>
  <c r="J36" i="1"/>
  <c r="J37" i="1" l="1"/>
  <c r="H38" i="1"/>
  <c r="H39" i="1" l="1"/>
  <c r="J38" i="1"/>
  <c r="J39" i="1" l="1"/>
  <c r="H40" i="1"/>
  <c r="J40" i="1" l="1"/>
  <c r="H41" i="1"/>
  <c r="H42" i="1" l="1"/>
  <c r="J41" i="1"/>
  <c r="H43" i="1" l="1"/>
  <c r="J42" i="1"/>
  <c r="H44" i="1" l="1"/>
  <c r="J43" i="1"/>
  <c r="H45" i="1" l="1"/>
  <c r="J44" i="1"/>
  <c r="J45" i="1" l="1"/>
  <c r="H46" i="1"/>
  <c r="J46" i="1" l="1"/>
  <c r="H47" i="1"/>
  <c r="H48" i="1" l="1"/>
  <c r="J47" i="1"/>
  <c r="H49" i="1" l="1"/>
  <c r="J48" i="1"/>
  <c r="H50" i="1" l="1"/>
  <c r="J49" i="1"/>
  <c r="H51" i="1" l="1"/>
  <c r="J50" i="1"/>
  <c r="J51" i="1" l="1"/>
  <c r="H52" i="1"/>
  <c r="J52" i="1" l="1"/>
  <c r="H53" i="1"/>
  <c r="H54" i="1" l="1"/>
  <c r="J53" i="1"/>
  <c r="J54" i="1" l="1"/>
  <c r="H55" i="1"/>
  <c r="J55" i="1" l="1"/>
  <c r="H56" i="1"/>
  <c r="J56" i="1" l="1"/>
  <c r="H57" i="1"/>
  <c r="J57" i="1" l="1"/>
  <c r="H58" i="1"/>
  <c r="J58" i="1" l="1"/>
  <c r="H59" i="1"/>
  <c r="H60" i="1" l="1"/>
  <c r="J59" i="1"/>
  <c r="J60" i="1" l="1"/>
  <c r="H61" i="1"/>
  <c r="H62" i="1" l="1"/>
  <c r="J61" i="1"/>
  <c r="J62" i="1" l="1"/>
  <c r="H63" i="1"/>
  <c r="J63" i="1" l="1"/>
  <c r="H64" i="1"/>
  <c r="H65" i="1" l="1"/>
  <c r="J64" i="1"/>
  <c r="J65" i="1" l="1"/>
  <c r="H66" i="1"/>
  <c r="J66" i="1" l="1"/>
  <c r="H67" i="1"/>
  <c r="J67" i="1" l="1"/>
  <c r="H68" i="1"/>
  <c r="J68" i="1" l="1"/>
  <c r="H69" i="1"/>
  <c r="J69" i="1" l="1"/>
  <c r="H70" i="1"/>
  <c r="J70" i="1" l="1"/>
  <c r="H71" i="1"/>
  <c r="J71" i="1" l="1"/>
  <c r="H72" i="1"/>
  <c r="J72" i="1" l="1"/>
  <c r="H73" i="1"/>
  <c r="J73" i="1" l="1"/>
  <c r="H74" i="1"/>
  <c r="J74" i="1" l="1"/>
  <c r="H75" i="1"/>
  <c r="H76" i="1" l="1"/>
  <c r="J75" i="1"/>
  <c r="J76" i="1" l="1"/>
  <c r="H77" i="1"/>
  <c r="J77" i="1" l="1"/>
  <c r="H78" i="1"/>
  <c r="H79" i="1" l="1"/>
  <c r="J78" i="1"/>
  <c r="H80" i="1" l="1"/>
  <c r="J79" i="1"/>
  <c r="H81" i="1" l="1"/>
  <c r="H82" i="1" s="1"/>
  <c r="J80" i="1"/>
  <c r="H83" i="1" l="1"/>
  <c r="J82" i="1"/>
  <c r="J81" i="1"/>
  <c r="H84" i="1" l="1"/>
  <c r="J83" i="1"/>
  <c r="J84" i="1" l="1"/>
  <c r="H85" i="1"/>
  <c r="J85" i="1" l="1"/>
  <c r="H86" i="1"/>
  <c r="H87" i="1" l="1"/>
  <c r="H88" i="1" s="1"/>
  <c r="J86" i="1"/>
  <c r="J88" i="1" l="1"/>
  <c r="H89" i="1"/>
  <c r="J87" i="1"/>
  <c r="J89" i="1" l="1"/>
  <c r="H90" i="1"/>
  <c r="H91" i="1" l="1"/>
  <c r="J91" i="1" s="1"/>
  <c r="J90" i="1"/>
</calcChain>
</file>

<file path=xl/sharedStrings.xml><?xml version="1.0" encoding="utf-8"?>
<sst xmlns="http://schemas.openxmlformats.org/spreadsheetml/2006/main" count="214" uniqueCount="114">
  <si>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</si>
  <si>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</si>
  <si>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</si>
  <si>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</si>
  <si>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</si>
  <si>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</si>
  <si>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</si>
  <si>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</si>
  <si>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</si>
  <si>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</si>
  <si>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</si>
  <si>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</si>
  <si>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</si>
  <si>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</si>
  <si>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</si>
  <si>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</si>
  <si>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</si>
  <si>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</si>
  <si>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</si>
  <si>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SPECIAL PRIVILEGE</t>
  </si>
  <si>
    <t>DATE OF APPOINTMENT: NOVEMBER 15, 2006 (HEAD TEACHER I)</t>
  </si>
  <si>
    <t>01/12/1999-11/14/2006</t>
  </si>
  <si>
    <t>TEACHER-IN-CHARGE</t>
  </si>
  <si>
    <t>ADD: 01/01/2007-12/31/2007</t>
  </si>
  <si>
    <t>ADD: 12/01/2006-12/31/2006</t>
  </si>
  <si>
    <t>LESS:FL 2007</t>
  </si>
  <si>
    <t>LESS: MONETIZATION 2007</t>
  </si>
  <si>
    <t>ADD: 01/01/2008-12/31/2008</t>
  </si>
  <si>
    <t>LESS: FL 2008</t>
  </si>
  <si>
    <t>LESS: MONETIZATION 2008</t>
  </si>
  <si>
    <t>ADD: 01/01/2009-8/31/2009</t>
  </si>
  <si>
    <t>LESS: MONETIZATION 2009(9/2/2009)</t>
  </si>
  <si>
    <t>ADD: 09/01/2009-12/31/2009</t>
  </si>
  <si>
    <t>LESS: FL 2009</t>
  </si>
  <si>
    <t>ADD: 01/01/2010-12/31/2010</t>
  </si>
  <si>
    <t>LESS: MONETIZATION 2010</t>
  </si>
  <si>
    <t>LESS: FL 2010</t>
  </si>
  <si>
    <t>ADD: 01/01/2011-12/31/2011</t>
  </si>
  <si>
    <t>LESS: FL 2011</t>
  </si>
  <si>
    <t>ADD: 01/01/2012-12/31/2012</t>
  </si>
  <si>
    <t>LESS: FL 2012</t>
  </si>
  <si>
    <t>ADD: 01/01/2013-12/31/2013</t>
  </si>
  <si>
    <t>LESS: FL 2013</t>
  </si>
  <si>
    <t>ADD: 01/01/2014-12/31/2014</t>
  </si>
  <si>
    <t>LESS: FL 2014</t>
  </si>
  <si>
    <t>LESS: MONETIZATION 2014</t>
  </si>
  <si>
    <t>ADD: 01/01/2015-12/31/2015</t>
  </si>
  <si>
    <t>LESS: FL 2015</t>
  </si>
  <si>
    <t>LESS: MONETIZATION 2015</t>
  </si>
  <si>
    <t>ADD: 01/01/2016-12/31/2016</t>
  </si>
  <si>
    <t>LESS: FL 2016</t>
  </si>
  <si>
    <t>ADD: 01/01/2017-7/31/2017</t>
  </si>
  <si>
    <t>LESS: 08/03/2017</t>
  </si>
  <si>
    <t>ADD: 08/01/2017-11/30/2017</t>
  </si>
  <si>
    <t>LESS: 11/9-10/2017</t>
  </si>
  <si>
    <t>LESS: MONETIZATION 2017 (12/10/2017)</t>
  </si>
  <si>
    <t>LESS: 12/12/2017</t>
  </si>
  <si>
    <t>ADD: 12/01/2017-12/31/2017</t>
  </si>
  <si>
    <t>LESS:FL 2017</t>
  </si>
  <si>
    <t>ADD: 01/01/2018-01/31/2018</t>
  </si>
  <si>
    <t>LESS: 02/08/2018</t>
  </si>
  <si>
    <t>ADD: 02/01/2018-06/30/2018</t>
  </si>
  <si>
    <t>LESS: MONETIZATION 2018</t>
  </si>
  <si>
    <t>ADD: 07/01/2018-12/31/2018</t>
  </si>
  <si>
    <t>LESS: FL 2018</t>
  </si>
  <si>
    <t>ADD: 01/01/2019-12/31/2019</t>
  </si>
  <si>
    <t>LESS: FL 2019</t>
  </si>
  <si>
    <t>ADD: 01/01/2020-12/31/2020</t>
  </si>
  <si>
    <t>LESS: FL 2020</t>
  </si>
  <si>
    <t>LESS: MONETIZATION 2020</t>
  </si>
  <si>
    <t>ADD: 01/01/2021-09/30/2021</t>
  </si>
  <si>
    <t>LESS: MONETIZATION 2021</t>
  </si>
  <si>
    <t>ADD: 10/01/2021-12/31/2021</t>
  </si>
  <si>
    <t>LESS: FL 2021</t>
  </si>
  <si>
    <t>ADD: 01/01/2022-08/31/2022</t>
  </si>
  <si>
    <t>LESS: MONETIZATION 2022</t>
  </si>
  <si>
    <t>ADD:09/01/2022-11/30/2022</t>
  </si>
  <si>
    <t>LESS: 12/06/2022</t>
  </si>
  <si>
    <t>ADD: 12/01/2022-12/31/2022</t>
  </si>
  <si>
    <t>LESS: FL 2022</t>
  </si>
  <si>
    <t>ADD: 01/01/2023-02/28/2023</t>
  </si>
  <si>
    <t>LESS: 03/13-17/2023</t>
  </si>
  <si>
    <t>ADD: 03/01/2023-08/31/2023</t>
  </si>
  <si>
    <t>LESS: MONETIZATION 2023</t>
  </si>
  <si>
    <t>ADD: 09/01/2023-11/30/2023</t>
  </si>
  <si>
    <t>LESS: 11/29/2023</t>
  </si>
  <si>
    <t>ADD: 12/01-31/2023</t>
  </si>
  <si>
    <t>ADD: 01/01-02/29/2024</t>
  </si>
  <si>
    <t>LESS: 03/05/2024</t>
  </si>
  <si>
    <t>ADD: 03/1/2024-04/30/2024</t>
  </si>
  <si>
    <t>LESS: 05/23/2024</t>
  </si>
  <si>
    <t>LESS: FL 2023</t>
  </si>
  <si>
    <t>ADD: 05/1/2024-09/30/2024</t>
  </si>
  <si>
    <t>LESS: MONETIZATION 2024</t>
  </si>
  <si>
    <t>ADD: 10/1/2024-12/31/2024</t>
  </si>
  <si>
    <t>LESS: 01/13-14/2025</t>
  </si>
  <si>
    <t>ADD: 01/01/2025-04/30/2025</t>
  </si>
  <si>
    <t>LESS: 05/8-9/2025</t>
  </si>
  <si>
    <t>ADD: 05/1/2025-08/31/2025</t>
  </si>
  <si>
    <t>ADD: 11/15/2006-11/30/2006</t>
  </si>
  <si>
    <t>DISTRICT: ___________________________</t>
  </si>
  <si>
    <t>DATE FILED/RECEIVED</t>
  </si>
  <si>
    <t>SPECIAL</t>
  </si>
  <si>
    <t>LESS: FL 2024</t>
  </si>
  <si>
    <t xml:space="preserve">  </t>
  </si>
  <si>
    <r>
      <t xml:space="preserve">ADD: 01/12/1999-11/14/2006              </t>
    </r>
    <r>
      <rPr>
        <b/>
        <sz val="11"/>
        <color theme="1"/>
        <rFont val="Calibri"/>
        <family val="2"/>
        <scheme val="minor"/>
      </rPr>
      <t xml:space="preserve"> TEACHER-IN-CHARGE  (</t>
    </r>
    <r>
      <rPr>
        <sz val="11"/>
        <color theme="1"/>
        <rFont val="Calibri"/>
        <family val="2"/>
        <scheme val="minor"/>
      </rPr>
      <t>Summer &amp; Christmas Vacation)</t>
    </r>
  </si>
  <si>
    <t>LESS:  FL 2024</t>
  </si>
  <si>
    <t>LESS: 09/13-14/2018</t>
  </si>
  <si>
    <t>LESS: 12/11-12/2018</t>
  </si>
  <si>
    <t>ADD: 01/01-31/2019</t>
  </si>
  <si>
    <t>LESS: 02/12/2019</t>
  </si>
  <si>
    <t>ADD: 02/1/2019-12/31/2019</t>
  </si>
  <si>
    <t>LESS: MONETIZATION 2025 (30 DAYS)</t>
  </si>
  <si>
    <t>NEGROS ISLAND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</si>
</sst>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0" fontId="3" fillId="7" borderId="8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0" fillId="7" borderId="0" xfId="0" applyFill="1"/>
    <xf numFmtId="0" fontId="0" fillId="8" borderId="0" xfId="0" applyFill="1"/>
    <xf numFmtId="0" fontId="0" fillId="9" borderId="0" xfId="0" applyFill="1"/>
    <xf numFmtId="164" fontId="0" fillId="0" borderId="0" xfId="0" applyNumberFormat="1"/>
    <xf numFmtId="164" fontId="0" fillId="2" borderId="8" xfId="0" applyNumberFormat="1" applyFill="1" applyBorder="1" applyAlignment="1">
      <alignment horizontal="center" vertical="center"/>
    </xf>
    <xf numFmtId="164" fontId="0" fillId="0" borderId="8" xfId="0" applyNumberFormat="1" applyBorder="1" applyAlignment="1">
      <alignment horizontal="center"/>
    </xf>
    <xf numFmtId="164" fontId="0" fillId="0" borderId="8" xfId="0" applyNumberFormat="1" applyBorder="1" applyAlignment="1">
      <alignment horizontal="center" wrapText="1"/>
    </xf>
    <xf numFmtId="164" fontId="0" fillId="2" borderId="8" xfId="0" applyNumberFormat="1" applyFill="1" applyBorder="1" applyAlignment="1">
      <alignment horizontal="center" wrapText="1"/>
    </xf>
    <xf numFmtId="164" fontId="0" fillId="0" borderId="8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 wrapText="1"/>
    </xf>
    <xf numFmtId="164" fontId="0" fillId="2" borderId="8" xfId="0" applyNumberFormat="1" applyFill="1" applyBorder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vertic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wrapText="1"/>
    </xf>
    <xf numFmtId="0" fontId="1" fillId="2" borderId="17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164" fontId="0" fillId="0" borderId="13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386390</xdr:colOff>
      <xdr:row>0</xdr:row>
      <xdr:rowOff>16054</xdr:rowOff>
    </xdr:from>
    <xdr:to>
      <xdr:col>4</xdr:col>
      <xdr:colOff>212318</xdr:colOff>
      <xdr:row>0</xdr:row>
      <xdr:rowOff>655967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8AFD5C-CDE4-4AF3-9C77-43A53A0C292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121" y="16054"/>
          <a:ext cx="598711" cy="639913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2C87056-CACB-447B-9CD6-C622CB7DD986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MAGRACIA,</a:t>
          </a:r>
          <a:r>
            <a:rPr lang="en-US" sz="1100" baseline="0"/>
            <a:t> MAX C.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731EB33-1F93-4E79-AD7F-82D78DA6E791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PRINCIPAL 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2919F1D-6F39-48BC-A915-A99B900974C8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BRGY. V ES</a:t>
          </a:r>
        </a:p>
      </xdr:txBody>
    </xdr:sp>
    <xdr:clientData/>
  </xdr:twoCellAnchor>
  <xdr:twoCellAnchor>
    <xdr:from>
      <xdr:col>5</xdr:col>
      <xdr:colOff>329481</xdr:colOff>
      <xdr:row>97</xdr:row>
      <xdr:rowOff>8985</xdr:rowOff>
    </xdr:from>
    <xdr:to>
      <xdr:col>9</xdr:col>
      <xdr:colOff>654072</xdr:colOff>
      <xdr:row>102</xdr:row>
      <xdr:rowOff>125802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CA58B24-E91D-472C-91B9-7961F6F49451}"/>
            </a:ext>
          </a:extLst>
        </xdr:cNvPr>
        <xdr:cNvSpPr txBox="1"/>
      </xdr:nvSpPr>
      <xdr:spPr>
        <a:xfrm>
          <a:off x="5853981" y="16953960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123825</xdr:colOff>
      <xdr:row>96</xdr:row>
      <xdr:rowOff>142875</xdr:rowOff>
    </xdr:from>
    <xdr:to>
      <xdr:col>9</xdr:col>
      <xdr:colOff>457200</xdr:colOff>
      <xdr:row>102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1A4EFBD-AB36-4308-8A73-B50B2FE8B9B8}"/>
            </a:ext>
          </a:extLst>
        </xdr:cNvPr>
        <xdr:cNvSpPr txBox="1"/>
      </xdr:nvSpPr>
      <xdr:spPr>
        <a:xfrm>
          <a:off x="6029325" y="17697450"/>
          <a:ext cx="2581275" cy="11525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  HRMO</a:t>
          </a:r>
          <a:endParaRPr lang="en-US" sz="1100"/>
        </a:p>
      </xdr:txBody>
    </xdr:sp>
    <xdr:clientData/>
  </xdr:twoCellAnchor>
  <xdr:twoCellAnchor editAs="oneCell">
    <xdr:from>
      <xdr:col>2</xdr:col>
      <xdr:colOff>723900</xdr:colOff>
      <xdr:row>0</xdr:row>
      <xdr:rowOff>34925</xdr:rowOff>
    </xdr:from>
    <xdr:to>
      <xdr:col>3</xdr:col>
      <xdr:colOff>565393</xdr:colOff>
      <xdr:row>3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C6813E-5DEF-4FCB-82EE-1A3080FF2F4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5" y="34925"/>
          <a:ext cx="613018" cy="536576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6</xdr:row>
      <xdr:rowOff>170961</xdr:rowOff>
    </xdr:from>
    <xdr:to>
      <xdr:col>0</xdr:col>
      <xdr:colOff>2582741</xdr:colOff>
      <xdr:row>8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F5F78BC-BB29-4035-8C37-D31AC4115F9B}"/>
            </a:ext>
          </a:extLst>
        </xdr:cNvPr>
        <xdr:cNvSpPr txBox="1"/>
      </xdr:nvSpPr>
      <xdr:spPr>
        <a:xfrm>
          <a:off x="573942" y="1694961"/>
          <a:ext cx="1656374" cy="3260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MAGRACIA, MAX C.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616683</xdr:colOff>
      <xdr:row>9</xdr:row>
      <xdr:rowOff>61057</xdr:rowOff>
    </xdr:from>
    <xdr:to>
      <xdr:col>0</xdr:col>
      <xdr:colOff>2625482</xdr:colOff>
      <xdr:row>11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CF3A339-246A-4A61-ABA6-6CF95D25334A}"/>
            </a:ext>
          </a:extLst>
        </xdr:cNvPr>
        <xdr:cNvSpPr txBox="1"/>
      </xdr:nvSpPr>
      <xdr:spPr>
        <a:xfrm>
          <a:off x="616683" y="2156557"/>
          <a:ext cx="1608749" cy="319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PRINCIPAL</a:t>
          </a:r>
          <a:r>
            <a:rPr lang="en-US" sz="1100" baseline="0"/>
            <a:t> II</a:t>
          </a:r>
          <a:endParaRPr lang="en-US" sz="1100"/>
        </a:p>
      </xdr:txBody>
    </xdr:sp>
    <xdr:clientData/>
  </xdr:twoCellAnchor>
  <xdr:twoCellAnchor>
    <xdr:from>
      <xdr:col>2</xdr:col>
      <xdr:colOff>415192</xdr:colOff>
      <xdr:row>9</xdr:row>
      <xdr:rowOff>50800</xdr:rowOff>
    </xdr:from>
    <xdr:to>
      <xdr:col>4</xdr:col>
      <xdr:colOff>438149</xdr:colOff>
      <xdr:row>10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27983AF-D1CB-4A9B-82BF-26339A8864B9}"/>
            </a:ext>
          </a:extLst>
        </xdr:cNvPr>
        <xdr:cNvSpPr txBox="1"/>
      </xdr:nvSpPr>
      <xdr:spPr>
        <a:xfrm>
          <a:off x="3415567" y="2146300"/>
          <a:ext cx="1451707" cy="280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BRGY V. 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F6805-233E-4A88-9F95-974CD6B24656}">
  <dimension ref="A1:K99"/>
  <sheetViews>
    <sheetView tabSelected="1" view="pageBreakPreview" topLeftCell="A66" zoomScale="106" zoomScaleNormal="100" zoomScaleSheetLayoutView="106" workbookViewId="0">
      <selection activeCell="B97" sqref="B97"/>
    </sheetView>
  </sheetViews>
  <sheetFormatPr defaultRowHeight="15" x14ac:dyDescent="0.25"/>
  <cols>
    <col min="1" max="1" width="36.5703125" customWidth="1"/>
    <col min="2" max="5" width="11.5703125" customWidth="1"/>
    <col min="6" max="7" width="11.5703125" style="29" customWidth="1"/>
    <col min="8" max="10" width="11.5703125" customWidth="1"/>
    <col min="11" max="11" width="26.42578125" style="26" customWidth="1"/>
  </cols>
  <sheetData>
    <row r="1" spans="1:11" s="1" customFormat="1" ht="52.5" customHeight="1" x14ac:dyDescent="0.25"/>
    <row r="2" spans="1:11" s="1" customFormat="1" ht="10.5" customHeight="1" x14ac:dyDescent="0.25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</row>
    <row r="3" spans="1:11" s="1" customFormat="1" ht="15.95" customHeight="1" x14ac:dyDescent="0.25">
      <c r="A3" s="37" t="s">
        <v>1</v>
      </c>
      <c r="B3" s="37"/>
      <c r="C3" s="37"/>
      <c r="D3" s="37"/>
      <c r="E3" s="37"/>
      <c r="F3" s="37"/>
      <c r="G3" s="37"/>
      <c r="H3" s="37"/>
      <c r="I3" s="37"/>
      <c r="J3" s="37"/>
    </row>
    <row r="4" spans="1:11" s="1" customFormat="1" ht="15.95" customHeight="1" x14ac:dyDescent="0.25">
      <c r="A4" s="37" t="s">
        <v>113</v>
      </c>
      <c r="B4" s="37"/>
      <c r="C4" s="37"/>
      <c r="D4" s="37"/>
      <c r="E4" s="37"/>
      <c r="F4" s="37"/>
      <c r="G4" s="37"/>
      <c r="H4" s="37"/>
      <c r="I4" s="37"/>
      <c r="J4" s="37"/>
    </row>
    <row r="5" spans="1:11" s="1" customFormat="1" ht="15.95" customHeight="1" x14ac:dyDescent="0.25">
      <c r="A5" s="37" t="s">
        <v>3</v>
      </c>
      <c r="B5" s="37"/>
      <c r="C5" s="37"/>
      <c r="D5" s="37"/>
      <c r="E5" s="37"/>
      <c r="F5" s="37"/>
      <c r="G5" s="37"/>
      <c r="H5" s="37"/>
      <c r="I5" s="37"/>
      <c r="J5" s="37"/>
    </row>
    <row r="6" spans="1:11" s="1" customFormat="1" ht="8.25" customHeight="1" x14ac:dyDescent="0.25"/>
    <row r="7" spans="1:11" s="1" customFormat="1" ht="12" customHeight="1" x14ac:dyDescent="0.25">
      <c r="A7" s="1" t="s">
        <v>4</v>
      </c>
      <c r="B7" s="36" t="s">
        <v>100</v>
      </c>
      <c r="C7" s="36"/>
      <c r="D7" s="36"/>
      <c r="H7" s="2" t="s">
        <v>6</v>
      </c>
      <c r="I7" s="3"/>
      <c r="J7" s="2"/>
    </row>
    <row r="8" spans="1:11" s="1" customFormat="1" ht="12" customHeight="1" x14ac:dyDescent="0.25">
      <c r="B8" s="4"/>
      <c r="C8" s="4"/>
      <c r="H8" s="4"/>
      <c r="I8" s="4"/>
      <c r="J8" s="4"/>
    </row>
    <row r="9" spans="1:11" s="1" customFormat="1" ht="12" customHeight="1" x14ac:dyDescent="0.25">
      <c r="A9" s="1" t="s">
        <v>7</v>
      </c>
      <c r="B9" s="36" t="s">
        <v>8</v>
      </c>
      <c r="C9" s="36"/>
      <c r="D9" s="36"/>
      <c r="H9" s="2" t="s">
        <v>9</v>
      </c>
      <c r="I9" s="5"/>
      <c r="J9" s="2"/>
    </row>
    <row r="10" spans="1:11" ht="23.25" customHeight="1" thickBot="1" x14ac:dyDescent="0.3">
      <c r="A10" s="39" t="s">
        <v>10</v>
      </c>
      <c r="B10" s="39"/>
      <c r="C10" s="39"/>
      <c r="D10" s="39"/>
      <c r="E10" s="39"/>
      <c r="F10" s="39"/>
      <c r="G10" s="39"/>
      <c r="H10" s="39"/>
      <c r="I10" s="39"/>
      <c r="J10" s="39"/>
      <c r="K10"/>
    </row>
    <row r="11" spans="1:11" ht="18.75" customHeight="1" x14ac:dyDescent="0.25">
      <c r="A11" s="40" t="s">
        <v>11</v>
      </c>
      <c r="B11" s="42" t="s">
        <v>12</v>
      </c>
      <c r="C11" s="43"/>
      <c r="D11" s="44" t="s">
        <v>13</v>
      </c>
      <c r="E11" s="45"/>
      <c r="F11" s="45"/>
      <c r="G11" s="46"/>
      <c r="H11" s="47" t="s">
        <v>14</v>
      </c>
      <c r="I11" s="48"/>
      <c r="J11" s="49" t="s">
        <v>15</v>
      </c>
      <c r="K11" s="38" t="s">
        <v>101</v>
      </c>
    </row>
    <row r="12" spans="1:11" ht="18.75" customHeight="1" x14ac:dyDescent="0.25">
      <c r="A12" s="41"/>
      <c r="B12" s="25" t="s">
        <v>16</v>
      </c>
      <c r="C12" s="25" t="s">
        <v>17</v>
      </c>
      <c r="D12" s="25" t="s">
        <v>16</v>
      </c>
      <c r="E12" s="25" t="s">
        <v>17</v>
      </c>
      <c r="F12" s="25" t="s">
        <v>18</v>
      </c>
      <c r="G12" s="25" t="s">
        <v>102</v>
      </c>
      <c r="H12" s="25" t="s">
        <v>16</v>
      </c>
      <c r="I12" s="25" t="s">
        <v>17</v>
      </c>
      <c r="J12" s="50"/>
      <c r="K12" s="38"/>
    </row>
    <row r="13" spans="1:11" ht="46.5" customHeight="1" x14ac:dyDescent="0.25">
      <c r="A13" s="30" t="s">
        <v>105</v>
      </c>
      <c r="B13" s="18">
        <v>24.34</v>
      </c>
      <c r="C13" s="18">
        <v>24.34</v>
      </c>
      <c r="D13" s="18"/>
      <c r="E13" s="18"/>
      <c r="F13" s="18"/>
      <c r="G13" s="18"/>
      <c r="H13" s="14">
        <f>B13</f>
        <v>24.34</v>
      </c>
      <c r="I13" s="14">
        <f>C13</f>
        <v>24.34</v>
      </c>
      <c r="J13" s="14">
        <f>SUM(H13:I13)</f>
        <v>48.68</v>
      </c>
    </row>
    <row r="14" spans="1:11" ht="12" customHeight="1" x14ac:dyDescent="0.25">
      <c r="A14" s="31" t="s">
        <v>99</v>
      </c>
      <c r="B14" s="18">
        <v>0.66700000000000004</v>
      </c>
      <c r="C14" s="18">
        <v>0.66700000000000004</v>
      </c>
      <c r="D14" s="18"/>
      <c r="E14" s="18"/>
      <c r="F14" s="18"/>
      <c r="G14" s="18"/>
      <c r="H14" s="14">
        <f>H13-F14-D14+B14</f>
        <v>25.007000000000001</v>
      </c>
      <c r="I14" s="14">
        <f>I13-E14+C14</f>
        <v>25.007000000000001</v>
      </c>
      <c r="J14" s="14">
        <f>SUM(H14:I14)</f>
        <v>50.014000000000003</v>
      </c>
    </row>
    <row r="15" spans="1:11" ht="12" customHeight="1" x14ac:dyDescent="0.25">
      <c r="A15" s="31" t="s">
        <v>24</v>
      </c>
      <c r="B15" s="18">
        <v>1.25</v>
      </c>
      <c r="C15" s="18">
        <v>1.25</v>
      </c>
      <c r="D15" s="18"/>
      <c r="E15" s="18"/>
      <c r="F15" s="18"/>
      <c r="G15" s="18"/>
      <c r="H15" s="14">
        <f t="shared" ref="H15:H43" si="0">H14-F15-D15+B15</f>
        <v>26.257000000000001</v>
      </c>
      <c r="I15" s="14">
        <f t="shared" ref="I15:I43" si="1">I14-E15+C15</f>
        <v>26.257000000000001</v>
      </c>
      <c r="J15" s="14">
        <f t="shared" ref="J15:J43" si="2">SUM(H15:I15)</f>
        <v>52.514000000000003</v>
      </c>
    </row>
    <row r="16" spans="1:11" ht="12.75" customHeight="1" x14ac:dyDescent="0.25">
      <c r="A16" s="31" t="s">
        <v>23</v>
      </c>
      <c r="B16" s="18">
        <v>15</v>
      </c>
      <c r="C16" s="18">
        <v>15</v>
      </c>
      <c r="D16" s="18"/>
      <c r="E16" s="18"/>
      <c r="F16" s="18"/>
      <c r="G16" s="18"/>
      <c r="H16" s="14">
        <f t="shared" si="0"/>
        <v>41.257000000000005</v>
      </c>
      <c r="I16" s="14">
        <f t="shared" si="1"/>
        <v>41.257000000000005</v>
      </c>
      <c r="J16" s="14">
        <f t="shared" si="2"/>
        <v>82.51400000000001</v>
      </c>
    </row>
    <row r="17" spans="1:10" ht="12.75" customHeight="1" x14ac:dyDescent="0.25">
      <c r="A17" s="31" t="s">
        <v>25</v>
      </c>
      <c r="B17" s="18"/>
      <c r="C17" s="18"/>
      <c r="D17" s="18"/>
      <c r="E17" s="18"/>
      <c r="F17" s="18">
        <v>5</v>
      </c>
      <c r="G17" s="18"/>
      <c r="H17" s="14">
        <f>H16-F17-D17+B17</f>
        <v>36.257000000000005</v>
      </c>
      <c r="I17" s="14">
        <f>I16-E17+C17</f>
        <v>41.257000000000005</v>
      </c>
      <c r="J17" s="14">
        <f t="shared" si="2"/>
        <v>77.51400000000001</v>
      </c>
    </row>
    <row r="18" spans="1:10" ht="12" customHeight="1" x14ac:dyDescent="0.25">
      <c r="A18" s="31" t="s">
        <v>26</v>
      </c>
      <c r="B18" s="18"/>
      <c r="C18" s="18"/>
      <c r="D18" s="18">
        <v>10</v>
      </c>
      <c r="E18" s="18">
        <v>5</v>
      </c>
      <c r="F18" s="18"/>
      <c r="G18" s="18"/>
      <c r="H18" s="14">
        <f>H17-F18-D18+B18</f>
        <v>26.257000000000005</v>
      </c>
      <c r="I18" s="14">
        <f>I17-E18+C18</f>
        <v>36.257000000000005</v>
      </c>
      <c r="J18" s="14">
        <f t="shared" si="2"/>
        <v>62.51400000000001</v>
      </c>
    </row>
    <row r="19" spans="1:10" ht="12" customHeight="1" x14ac:dyDescent="0.25">
      <c r="A19" s="31" t="s">
        <v>27</v>
      </c>
      <c r="B19" s="18">
        <v>15</v>
      </c>
      <c r="C19" s="18">
        <v>15</v>
      </c>
      <c r="D19" s="18"/>
      <c r="E19" s="18"/>
      <c r="F19" s="18"/>
      <c r="G19" s="18"/>
      <c r="H19" s="14">
        <f>H18-F19-D19+B19</f>
        <v>41.257000000000005</v>
      </c>
      <c r="I19" s="14">
        <f>I18-E19+C19</f>
        <v>51.257000000000005</v>
      </c>
      <c r="J19" s="14">
        <f t="shared" si="2"/>
        <v>92.51400000000001</v>
      </c>
    </row>
    <row r="20" spans="1:10" ht="12" customHeight="1" x14ac:dyDescent="0.25">
      <c r="A20" s="31" t="s">
        <v>28</v>
      </c>
      <c r="B20" s="18"/>
      <c r="C20" s="18"/>
      <c r="D20" s="18"/>
      <c r="E20" s="18"/>
      <c r="F20" s="18">
        <v>5</v>
      </c>
      <c r="G20" s="18"/>
      <c r="H20" s="14">
        <f t="shared" si="0"/>
        <v>36.257000000000005</v>
      </c>
      <c r="I20" s="14">
        <f t="shared" si="1"/>
        <v>51.257000000000005</v>
      </c>
      <c r="J20" s="14">
        <f t="shared" si="2"/>
        <v>87.51400000000001</v>
      </c>
    </row>
    <row r="21" spans="1:10" ht="12" customHeight="1" x14ac:dyDescent="0.25">
      <c r="A21" s="31" t="s">
        <v>29</v>
      </c>
      <c r="B21" s="18"/>
      <c r="C21" s="18"/>
      <c r="D21" s="18">
        <v>10</v>
      </c>
      <c r="E21" s="18">
        <v>11</v>
      </c>
      <c r="F21" s="18"/>
      <c r="G21" s="18"/>
      <c r="H21" s="14">
        <f t="shared" si="0"/>
        <v>26.257000000000005</v>
      </c>
      <c r="I21" s="14">
        <f t="shared" si="1"/>
        <v>40.257000000000005</v>
      </c>
      <c r="J21" s="14">
        <f t="shared" si="2"/>
        <v>66.51400000000001</v>
      </c>
    </row>
    <row r="22" spans="1:10" ht="12" customHeight="1" x14ac:dyDescent="0.25">
      <c r="A22" s="31" t="s">
        <v>30</v>
      </c>
      <c r="B22" s="18">
        <v>10</v>
      </c>
      <c r="C22" s="18">
        <v>10</v>
      </c>
      <c r="D22" s="18"/>
      <c r="E22" s="18"/>
      <c r="F22" s="18"/>
      <c r="G22" s="18"/>
      <c r="H22" s="14">
        <f t="shared" si="0"/>
        <v>36.257000000000005</v>
      </c>
      <c r="I22" s="14">
        <f t="shared" si="1"/>
        <v>50.257000000000005</v>
      </c>
      <c r="J22" s="14">
        <f t="shared" si="2"/>
        <v>86.51400000000001</v>
      </c>
    </row>
    <row r="23" spans="1:10" ht="12" customHeight="1" x14ac:dyDescent="0.25">
      <c r="A23" s="31" t="s">
        <v>31</v>
      </c>
      <c r="B23" s="18"/>
      <c r="C23" s="18"/>
      <c r="D23" s="18">
        <v>15</v>
      </c>
      <c r="E23" s="18">
        <v>15</v>
      </c>
      <c r="F23" s="18"/>
      <c r="G23" s="18"/>
      <c r="H23" s="14">
        <f t="shared" si="0"/>
        <v>21.257000000000005</v>
      </c>
      <c r="I23" s="14">
        <f t="shared" si="1"/>
        <v>35.257000000000005</v>
      </c>
      <c r="J23" s="14">
        <f t="shared" si="2"/>
        <v>56.51400000000001</v>
      </c>
    </row>
    <row r="24" spans="1:10" ht="12" customHeight="1" x14ac:dyDescent="0.25">
      <c r="A24" s="31" t="s">
        <v>32</v>
      </c>
      <c r="B24" s="18">
        <v>5</v>
      </c>
      <c r="C24" s="18">
        <v>5</v>
      </c>
      <c r="D24" s="18"/>
      <c r="E24" s="18"/>
      <c r="F24" s="18"/>
      <c r="G24" s="18"/>
      <c r="H24" s="14">
        <f t="shared" si="0"/>
        <v>26.257000000000005</v>
      </c>
      <c r="I24" s="14">
        <f t="shared" si="1"/>
        <v>40.257000000000005</v>
      </c>
      <c r="J24" s="14">
        <f t="shared" si="2"/>
        <v>66.51400000000001</v>
      </c>
    </row>
    <row r="25" spans="1:10" ht="12.75" customHeight="1" x14ac:dyDescent="0.25">
      <c r="A25" s="31" t="s">
        <v>33</v>
      </c>
      <c r="B25" s="18"/>
      <c r="C25" s="18"/>
      <c r="D25" s="18"/>
      <c r="E25" s="18"/>
      <c r="F25" s="18">
        <v>5</v>
      </c>
      <c r="G25" s="18"/>
      <c r="H25" s="14">
        <f t="shared" si="0"/>
        <v>21.257000000000005</v>
      </c>
      <c r="I25" s="14">
        <f t="shared" si="1"/>
        <v>40.257000000000005</v>
      </c>
      <c r="J25" s="14">
        <f t="shared" si="2"/>
        <v>61.51400000000001</v>
      </c>
    </row>
    <row r="26" spans="1:10" ht="12" customHeight="1" x14ac:dyDescent="0.25">
      <c r="A26" s="31" t="s">
        <v>34</v>
      </c>
      <c r="B26" s="18">
        <v>15</v>
      </c>
      <c r="C26" s="18">
        <v>15</v>
      </c>
      <c r="D26" s="18"/>
      <c r="E26" s="18"/>
      <c r="F26" s="18"/>
      <c r="G26" s="18"/>
      <c r="H26" s="14">
        <f t="shared" si="0"/>
        <v>36.257000000000005</v>
      </c>
      <c r="I26" s="14">
        <f t="shared" si="1"/>
        <v>55.257000000000005</v>
      </c>
      <c r="J26" s="14">
        <f t="shared" si="2"/>
        <v>91.51400000000001</v>
      </c>
    </row>
    <row r="27" spans="1:10" ht="12" customHeight="1" x14ac:dyDescent="0.25">
      <c r="A27" s="31" t="s">
        <v>35</v>
      </c>
      <c r="B27" s="18"/>
      <c r="C27" s="18"/>
      <c r="D27" s="18">
        <v>10</v>
      </c>
      <c r="E27" s="18">
        <v>20</v>
      </c>
      <c r="F27" s="18"/>
      <c r="G27" s="18"/>
      <c r="H27" s="14">
        <f t="shared" si="0"/>
        <v>26.257000000000005</v>
      </c>
      <c r="I27" s="14">
        <f t="shared" si="1"/>
        <v>35.257000000000005</v>
      </c>
      <c r="J27" s="14">
        <f t="shared" si="2"/>
        <v>61.51400000000001</v>
      </c>
    </row>
    <row r="28" spans="1:10" ht="12" customHeight="1" x14ac:dyDescent="0.25">
      <c r="A28" s="31" t="s">
        <v>36</v>
      </c>
      <c r="B28" s="18"/>
      <c r="C28" s="18"/>
      <c r="D28" s="18"/>
      <c r="E28" s="18"/>
      <c r="F28" s="18">
        <v>5</v>
      </c>
      <c r="G28" s="18"/>
      <c r="H28" s="14">
        <f t="shared" si="0"/>
        <v>21.257000000000005</v>
      </c>
      <c r="I28" s="14">
        <f t="shared" si="1"/>
        <v>35.257000000000005</v>
      </c>
      <c r="J28" s="14">
        <f t="shared" si="2"/>
        <v>56.51400000000001</v>
      </c>
    </row>
    <row r="29" spans="1:10" ht="12" customHeight="1" x14ac:dyDescent="0.25">
      <c r="A29" s="31" t="s">
        <v>37</v>
      </c>
      <c r="B29" s="18">
        <v>15</v>
      </c>
      <c r="C29" s="18">
        <v>15</v>
      </c>
      <c r="D29" s="18"/>
      <c r="E29" s="18"/>
      <c r="F29" s="18"/>
      <c r="G29" s="18"/>
      <c r="H29" s="14">
        <f t="shared" si="0"/>
        <v>36.257000000000005</v>
      </c>
      <c r="I29" s="14">
        <f t="shared" si="1"/>
        <v>50.257000000000005</v>
      </c>
      <c r="J29" s="14">
        <f t="shared" si="2"/>
        <v>86.51400000000001</v>
      </c>
    </row>
    <row r="30" spans="1:10" ht="15" customHeight="1" x14ac:dyDescent="0.25">
      <c r="A30" s="30" t="s">
        <v>38</v>
      </c>
      <c r="B30" s="32"/>
      <c r="C30" s="18"/>
      <c r="D30" s="18"/>
      <c r="E30" s="18"/>
      <c r="F30" s="18">
        <v>5</v>
      </c>
      <c r="G30" s="18"/>
      <c r="H30" s="14">
        <f t="shared" si="0"/>
        <v>31.257000000000005</v>
      </c>
      <c r="I30" s="14">
        <f t="shared" si="1"/>
        <v>50.257000000000005</v>
      </c>
      <c r="J30" s="14">
        <f t="shared" si="2"/>
        <v>81.51400000000001</v>
      </c>
    </row>
    <row r="31" spans="1:10" ht="12" customHeight="1" x14ac:dyDescent="0.25">
      <c r="A31" s="33" t="s">
        <v>39</v>
      </c>
      <c r="B31" s="18">
        <v>15</v>
      </c>
      <c r="C31" s="18">
        <v>15</v>
      </c>
      <c r="D31" s="18"/>
      <c r="E31" s="18"/>
      <c r="F31" s="18"/>
      <c r="G31" s="18"/>
      <c r="H31" s="14">
        <f t="shared" si="0"/>
        <v>46.257000000000005</v>
      </c>
      <c r="I31" s="14">
        <f t="shared" si="1"/>
        <v>65.257000000000005</v>
      </c>
      <c r="J31" s="14">
        <f t="shared" si="2"/>
        <v>111.51400000000001</v>
      </c>
    </row>
    <row r="32" spans="1:10" ht="13.5" customHeight="1" x14ac:dyDescent="0.25">
      <c r="A32" s="33" t="s">
        <v>40</v>
      </c>
      <c r="B32" s="18"/>
      <c r="C32" s="18"/>
      <c r="D32" s="18"/>
      <c r="E32" s="18"/>
      <c r="F32" s="18">
        <v>5</v>
      </c>
      <c r="G32" s="18"/>
      <c r="H32" s="14">
        <f t="shared" si="0"/>
        <v>41.257000000000005</v>
      </c>
      <c r="I32" s="14">
        <f t="shared" si="1"/>
        <v>65.257000000000005</v>
      </c>
      <c r="J32" s="14">
        <f t="shared" si="2"/>
        <v>106.51400000000001</v>
      </c>
    </row>
    <row r="33" spans="1:11" ht="12" customHeight="1" x14ac:dyDescent="0.25">
      <c r="A33" s="31" t="s">
        <v>41</v>
      </c>
      <c r="B33" s="18">
        <v>15</v>
      </c>
      <c r="C33" s="18">
        <v>15</v>
      </c>
      <c r="D33" s="18"/>
      <c r="E33" s="18"/>
      <c r="F33" s="18"/>
      <c r="G33" s="18"/>
      <c r="H33" s="14">
        <f t="shared" si="0"/>
        <v>56.257000000000005</v>
      </c>
      <c r="I33" s="14">
        <f t="shared" si="1"/>
        <v>80.257000000000005</v>
      </c>
      <c r="J33" s="14">
        <f t="shared" si="2"/>
        <v>136.51400000000001</v>
      </c>
    </row>
    <row r="34" spans="1:11" ht="12" customHeight="1" x14ac:dyDescent="0.25">
      <c r="A34" s="31" t="s">
        <v>42</v>
      </c>
      <c r="B34" s="18"/>
      <c r="C34" s="18"/>
      <c r="D34" s="18"/>
      <c r="E34" s="18"/>
      <c r="F34" s="18">
        <v>5</v>
      </c>
      <c r="G34" s="18"/>
      <c r="H34" s="14">
        <f t="shared" si="0"/>
        <v>51.257000000000005</v>
      </c>
      <c r="I34" s="14">
        <f t="shared" si="1"/>
        <v>80.257000000000005</v>
      </c>
      <c r="J34" s="14">
        <f t="shared" si="2"/>
        <v>131.51400000000001</v>
      </c>
    </row>
    <row r="35" spans="1:11" ht="14.25" customHeight="1" x14ac:dyDescent="0.25">
      <c r="A35" s="31" t="s">
        <v>43</v>
      </c>
      <c r="B35" s="18">
        <v>15</v>
      </c>
      <c r="C35" s="18">
        <v>15</v>
      </c>
      <c r="D35" s="18"/>
      <c r="E35" s="18"/>
      <c r="F35" s="18"/>
      <c r="G35" s="18"/>
      <c r="H35" s="14">
        <f t="shared" si="0"/>
        <v>66.257000000000005</v>
      </c>
      <c r="I35" s="14">
        <f t="shared" si="1"/>
        <v>95.257000000000005</v>
      </c>
      <c r="J35" s="14">
        <f t="shared" si="2"/>
        <v>161.51400000000001</v>
      </c>
    </row>
    <row r="36" spans="1:11" ht="12" customHeight="1" x14ac:dyDescent="0.25">
      <c r="A36" s="31" t="s">
        <v>44</v>
      </c>
      <c r="B36" s="18"/>
      <c r="C36" s="18"/>
      <c r="D36" s="18"/>
      <c r="E36" s="18"/>
      <c r="F36" s="18">
        <v>5</v>
      </c>
      <c r="G36" s="18"/>
      <c r="H36" s="14">
        <f t="shared" si="0"/>
        <v>61.257000000000005</v>
      </c>
      <c r="I36" s="14">
        <f t="shared" si="1"/>
        <v>95.257000000000005</v>
      </c>
      <c r="J36" s="14">
        <f t="shared" si="2"/>
        <v>156.51400000000001</v>
      </c>
    </row>
    <row r="37" spans="1:11" ht="12" customHeight="1" x14ac:dyDescent="0.25">
      <c r="A37" s="31" t="s">
        <v>45</v>
      </c>
      <c r="B37" s="18"/>
      <c r="C37" s="18"/>
      <c r="D37" s="18">
        <v>10</v>
      </c>
      <c r="E37" s="18"/>
      <c r="F37" s="18"/>
      <c r="G37" s="18"/>
      <c r="H37" s="14">
        <f t="shared" si="0"/>
        <v>51.257000000000005</v>
      </c>
      <c r="I37" s="14">
        <f t="shared" si="1"/>
        <v>95.257000000000005</v>
      </c>
      <c r="J37" s="14">
        <f t="shared" si="2"/>
        <v>146.51400000000001</v>
      </c>
    </row>
    <row r="38" spans="1:11" ht="12" customHeight="1" x14ac:dyDescent="0.25">
      <c r="A38" s="31" t="s">
        <v>46</v>
      </c>
      <c r="B38" s="18">
        <v>15</v>
      </c>
      <c r="C38" s="18">
        <v>15</v>
      </c>
      <c r="D38" s="18"/>
      <c r="E38" s="18"/>
      <c r="F38" s="18"/>
      <c r="G38" s="18"/>
      <c r="H38" s="14">
        <f t="shared" si="0"/>
        <v>66.257000000000005</v>
      </c>
      <c r="I38" s="14">
        <f t="shared" si="1"/>
        <v>110.25700000000001</v>
      </c>
      <c r="J38" s="14">
        <f t="shared" si="2"/>
        <v>176.51400000000001</v>
      </c>
    </row>
    <row r="39" spans="1:11" s="28" customFormat="1" ht="12" customHeight="1" x14ac:dyDescent="0.25">
      <c r="A39" s="31" t="s">
        <v>47</v>
      </c>
      <c r="B39" s="18"/>
      <c r="C39" s="18"/>
      <c r="D39" s="18"/>
      <c r="E39" s="18"/>
      <c r="F39" s="18">
        <v>5</v>
      </c>
      <c r="G39" s="18"/>
      <c r="H39" s="14">
        <f t="shared" si="0"/>
        <v>61.257000000000005</v>
      </c>
      <c r="I39" s="14">
        <f t="shared" si="1"/>
        <v>110.25700000000001</v>
      </c>
      <c r="J39" s="14">
        <f t="shared" si="2"/>
        <v>171.51400000000001</v>
      </c>
      <c r="K39" s="27"/>
    </row>
    <row r="40" spans="1:11" s="28" customFormat="1" ht="12" customHeight="1" x14ac:dyDescent="0.25">
      <c r="A40" s="31" t="s">
        <v>48</v>
      </c>
      <c r="B40" s="18"/>
      <c r="C40" s="18"/>
      <c r="D40" s="18">
        <v>10</v>
      </c>
      <c r="E40" s="18"/>
      <c r="F40" s="18"/>
      <c r="G40" s="18"/>
      <c r="H40" s="14">
        <f t="shared" si="0"/>
        <v>51.257000000000005</v>
      </c>
      <c r="I40" s="14">
        <f t="shared" si="1"/>
        <v>110.25700000000001</v>
      </c>
      <c r="J40" s="14">
        <f t="shared" si="2"/>
        <v>161.51400000000001</v>
      </c>
      <c r="K40" s="27"/>
    </row>
    <row r="41" spans="1:11" s="28" customFormat="1" ht="12.75" customHeight="1" x14ac:dyDescent="0.25">
      <c r="A41" s="31" t="s">
        <v>49</v>
      </c>
      <c r="B41" s="18">
        <v>15</v>
      </c>
      <c r="C41" s="18">
        <v>15</v>
      </c>
      <c r="D41" s="18"/>
      <c r="E41" s="18"/>
      <c r="F41" s="18"/>
      <c r="G41" s="18"/>
      <c r="H41" s="14">
        <f t="shared" si="0"/>
        <v>66.257000000000005</v>
      </c>
      <c r="I41" s="14">
        <f t="shared" si="1"/>
        <v>125.25700000000001</v>
      </c>
      <c r="J41" s="14">
        <f t="shared" si="2"/>
        <v>191.51400000000001</v>
      </c>
      <c r="K41" s="27"/>
    </row>
    <row r="42" spans="1:11" ht="12" customHeight="1" x14ac:dyDescent="0.25">
      <c r="A42" s="31" t="s">
        <v>50</v>
      </c>
      <c r="B42" s="18"/>
      <c r="C42" s="18"/>
      <c r="D42" s="18"/>
      <c r="E42" s="18"/>
      <c r="F42" s="18">
        <v>5</v>
      </c>
      <c r="G42" s="18"/>
      <c r="H42" s="14">
        <f t="shared" si="0"/>
        <v>61.257000000000005</v>
      </c>
      <c r="I42" s="14">
        <f t="shared" si="1"/>
        <v>125.25700000000001</v>
      </c>
      <c r="J42" s="14">
        <f t="shared" si="2"/>
        <v>186.51400000000001</v>
      </c>
    </row>
    <row r="43" spans="1:11" ht="15.75" customHeight="1" x14ac:dyDescent="0.25">
      <c r="A43" s="31" t="s">
        <v>51</v>
      </c>
      <c r="B43" s="18">
        <v>8.75</v>
      </c>
      <c r="C43" s="18">
        <v>8.75</v>
      </c>
      <c r="D43" s="18"/>
      <c r="E43" s="18"/>
      <c r="F43" s="18"/>
      <c r="G43" s="18"/>
      <c r="H43" s="14">
        <f t="shared" si="0"/>
        <v>70.007000000000005</v>
      </c>
      <c r="I43" s="14">
        <f t="shared" si="1"/>
        <v>134.00700000000001</v>
      </c>
      <c r="J43" s="14">
        <f t="shared" si="2"/>
        <v>204.01400000000001</v>
      </c>
    </row>
    <row r="44" spans="1:11" s="28" customFormat="1" ht="16.5" customHeight="1" x14ac:dyDescent="0.25">
      <c r="A44" s="31" t="s">
        <v>52</v>
      </c>
      <c r="B44" s="18"/>
      <c r="C44" s="18"/>
      <c r="D44" s="18"/>
      <c r="E44" s="18"/>
      <c r="F44" s="18">
        <v>1</v>
      </c>
      <c r="G44" s="18"/>
      <c r="H44" s="14">
        <f>H43-F44-D44+B44</f>
        <v>69.007000000000005</v>
      </c>
      <c r="I44" s="14">
        <f>I43-E44+C44</f>
        <v>134.00700000000001</v>
      </c>
      <c r="J44" s="14">
        <f>SUM(H44:I44)</f>
        <v>203.01400000000001</v>
      </c>
      <c r="K44" s="27"/>
    </row>
    <row r="45" spans="1:11" s="28" customFormat="1" ht="12" customHeight="1" x14ac:dyDescent="0.25">
      <c r="A45" s="31" t="s">
        <v>53</v>
      </c>
      <c r="B45" s="18">
        <v>5</v>
      </c>
      <c r="C45" s="18">
        <v>5</v>
      </c>
      <c r="D45" s="18"/>
      <c r="E45" s="18"/>
      <c r="F45" s="18"/>
      <c r="G45" s="18"/>
      <c r="H45" s="14">
        <f t="shared" ref="H45:H54" si="3">H44-F45-D45+B45</f>
        <v>74.007000000000005</v>
      </c>
      <c r="I45" s="14">
        <f t="shared" ref="I45:I54" si="4">I44-E45+C45</f>
        <v>139.00700000000001</v>
      </c>
      <c r="J45" s="14">
        <f t="shared" ref="J45:J54" si="5">SUM(H45:I45)</f>
        <v>213.01400000000001</v>
      </c>
      <c r="K45" s="27"/>
    </row>
    <row r="46" spans="1:11" ht="12" customHeight="1" x14ac:dyDescent="0.25">
      <c r="A46" s="31" t="s">
        <v>54</v>
      </c>
      <c r="B46" s="18"/>
      <c r="C46" s="18"/>
      <c r="D46" s="18"/>
      <c r="E46" s="18"/>
      <c r="F46" s="18">
        <v>2</v>
      </c>
      <c r="G46" s="18"/>
      <c r="H46" s="14">
        <f t="shared" si="3"/>
        <v>72.007000000000005</v>
      </c>
      <c r="I46" s="14">
        <f t="shared" si="4"/>
        <v>139.00700000000001</v>
      </c>
      <c r="J46" s="14">
        <f t="shared" si="5"/>
        <v>211.01400000000001</v>
      </c>
    </row>
    <row r="47" spans="1:11" ht="16.5" customHeight="1" x14ac:dyDescent="0.25">
      <c r="A47" s="31" t="s">
        <v>55</v>
      </c>
      <c r="B47" s="18"/>
      <c r="C47" s="18"/>
      <c r="D47" s="18">
        <v>15</v>
      </c>
      <c r="E47" s="18"/>
      <c r="F47" s="18"/>
      <c r="G47" s="18"/>
      <c r="H47" s="14">
        <f t="shared" si="3"/>
        <v>57.007000000000005</v>
      </c>
      <c r="I47" s="14">
        <f t="shared" si="4"/>
        <v>139.00700000000001</v>
      </c>
      <c r="J47" s="14">
        <f t="shared" si="5"/>
        <v>196.01400000000001</v>
      </c>
    </row>
    <row r="48" spans="1:11" ht="12" customHeight="1" x14ac:dyDescent="0.25">
      <c r="A48" s="31" t="s">
        <v>56</v>
      </c>
      <c r="B48" s="18"/>
      <c r="C48" s="18"/>
      <c r="D48" s="18"/>
      <c r="E48" s="18"/>
      <c r="F48" s="18">
        <v>1</v>
      </c>
      <c r="G48" s="18"/>
      <c r="H48" s="14">
        <f t="shared" si="3"/>
        <v>56.007000000000005</v>
      </c>
      <c r="I48" s="14">
        <f t="shared" si="4"/>
        <v>139.00700000000001</v>
      </c>
      <c r="J48" s="14">
        <f t="shared" si="5"/>
        <v>195.01400000000001</v>
      </c>
    </row>
    <row r="49" spans="1:10" ht="12" customHeight="1" x14ac:dyDescent="0.25">
      <c r="A49" s="31" t="s">
        <v>57</v>
      </c>
      <c r="B49" s="18">
        <v>1.25</v>
      </c>
      <c r="C49" s="18">
        <v>1.25</v>
      </c>
      <c r="D49" s="18"/>
      <c r="E49" s="18"/>
      <c r="F49" s="18"/>
      <c r="G49" s="18"/>
      <c r="H49" s="14">
        <f t="shared" si="3"/>
        <v>57.257000000000005</v>
      </c>
      <c r="I49" s="14">
        <f t="shared" si="4"/>
        <v>140.25700000000001</v>
      </c>
      <c r="J49" s="14">
        <f t="shared" si="5"/>
        <v>197.51400000000001</v>
      </c>
    </row>
    <row r="50" spans="1:10" ht="12" customHeight="1" x14ac:dyDescent="0.25">
      <c r="A50" s="31" t="s">
        <v>58</v>
      </c>
      <c r="B50" s="18"/>
      <c r="C50" s="18"/>
      <c r="D50" s="18"/>
      <c r="E50" s="18"/>
      <c r="F50" s="18">
        <v>1</v>
      </c>
      <c r="G50" s="18"/>
      <c r="H50" s="14">
        <f t="shared" si="3"/>
        <v>56.257000000000005</v>
      </c>
      <c r="I50" s="14">
        <f t="shared" si="4"/>
        <v>140.25700000000001</v>
      </c>
      <c r="J50" s="14">
        <f t="shared" si="5"/>
        <v>196.51400000000001</v>
      </c>
    </row>
    <row r="51" spans="1:10" ht="12" customHeight="1" x14ac:dyDescent="0.25">
      <c r="A51" s="31" t="s">
        <v>59</v>
      </c>
      <c r="B51" s="18">
        <v>1.25</v>
      </c>
      <c r="C51" s="18">
        <v>1.25</v>
      </c>
      <c r="D51" s="18"/>
      <c r="E51" s="18"/>
      <c r="F51" s="18"/>
      <c r="G51" s="18"/>
      <c r="H51" s="14">
        <f t="shared" si="3"/>
        <v>57.507000000000005</v>
      </c>
      <c r="I51" s="14">
        <f t="shared" si="4"/>
        <v>141.50700000000001</v>
      </c>
      <c r="J51" s="14">
        <f t="shared" si="5"/>
        <v>199.01400000000001</v>
      </c>
    </row>
    <row r="52" spans="1:10" ht="12" customHeight="1" x14ac:dyDescent="0.25">
      <c r="A52" s="31" t="s">
        <v>60</v>
      </c>
      <c r="B52" s="18"/>
      <c r="C52" s="18"/>
      <c r="D52" s="18"/>
      <c r="E52" s="18"/>
      <c r="F52" s="18">
        <v>1</v>
      </c>
      <c r="G52" s="18"/>
      <c r="H52" s="14">
        <f t="shared" si="3"/>
        <v>56.507000000000005</v>
      </c>
      <c r="I52" s="14">
        <f t="shared" si="4"/>
        <v>141.50700000000001</v>
      </c>
      <c r="J52" s="14">
        <f t="shared" si="5"/>
        <v>198.01400000000001</v>
      </c>
    </row>
    <row r="53" spans="1:10" ht="14.25" customHeight="1" x14ac:dyDescent="0.25">
      <c r="A53" s="31" t="s">
        <v>61</v>
      </c>
      <c r="B53" s="18">
        <v>6.25</v>
      </c>
      <c r="C53" s="18">
        <v>6.25</v>
      </c>
      <c r="D53" s="18"/>
      <c r="E53" s="18"/>
      <c r="F53" s="18"/>
      <c r="G53" s="18"/>
      <c r="H53" s="14">
        <f t="shared" si="3"/>
        <v>62.757000000000005</v>
      </c>
      <c r="I53" s="14">
        <f t="shared" si="4"/>
        <v>147.75700000000001</v>
      </c>
      <c r="J53" s="14">
        <f t="shared" si="5"/>
        <v>210.51400000000001</v>
      </c>
    </row>
    <row r="54" spans="1:10" s="26" customFormat="1" ht="12" customHeight="1" x14ac:dyDescent="0.25">
      <c r="A54" s="31" t="s">
        <v>62</v>
      </c>
      <c r="B54" s="18"/>
      <c r="C54" s="18"/>
      <c r="D54" s="18">
        <v>29</v>
      </c>
      <c r="E54" s="18"/>
      <c r="F54" s="18"/>
      <c r="G54" s="18"/>
      <c r="H54" s="14">
        <f t="shared" si="3"/>
        <v>33.757000000000005</v>
      </c>
      <c r="I54" s="14">
        <f t="shared" si="4"/>
        <v>147.75700000000001</v>
      </c>
      <c r="J54" s="14">
        <f t="shared" si="5"/>
        <v>181.51400000000001</v>
      </c>
    </row>
    <row r="55" spans="1:10" s="26" customFormat="1" ht="16.5" customHeight="1" x14ac:dyDescent="0.25">
      <c r="A55" s="31" t="s">
        <v>107</v>
      </c>
      <c r="B55" s="18"/>
      <c r="C55" s="18"/>
      <c r="D55" s="18"/>
      <c r="E55" s="18"/>
      <c r="F55" s="18">
        <v>2</v>
      </c>
      <c r="G55" s="18"/>
      <c r="H55" s="14">
        <f t="shared" ref="H55:H56" si="6">H54-F55-D55+B55</f>
        <v>31.757000000000005</v>
      </c>
      <c r="I55" s="14">
        <f t="shared" ref="I55:I56" si="7">I54-E55+C55</f>
        <v>147.75700000000001</v>
      </c>
      <c r="J55" s="14">
        <f t="shared" ref="J55:J56" si="8">SUM(H55:I55)</f>
        <v>179.51400000000001</v>
      </c>
    </row>
    <row r="56" spans="1:10" s="26" customFormat="1" ht="15.75" customHeight="1" x14ac:dyDescent="0.25">
      <c r="A56" s="31" t="s">
        <v>63</v>
      </c>
      <c r="B56" s="18">
        <v>7.5</v>
      </c>
      <c r="C56" s="18">
        <v>7.5</v>
      </c>
      <c r="D56" s="18"/>
      <c r="E56" s="18"/>
      <c r="F56" s="18"/>
      <c r="G56" s="18"/>
      <c r="H56" s="14">
        <f t="shared" si="6"/>
        <v>39.257000000000005</v>
      </c>
      <c r="I56" s="14">
        <f t="shared" si="7"/>
        <v>155.25700000000001</v>
      </c>
      <c r="J56" s="14">
        <f t="shared" si="8"/>
        <v>194.51400000000001</v>
      </c>
    </row>
    <row r="57" spans="1:10" s="26" customFormat="1" ht="15.75" customHeight="1" x14ac:dyDescent="0.25">
      <c r="A57" s="31" t="s">
        <v>108</v>
      </c>
      <c r="B57" s="18"/>
      <c r="C57" s="18"/>
      <c r="D57" s="18"/>
      <c r="E57" s="18"/>
      <c r="F57" s="18">
        <v>2</v>
      </c>
      <c r="G57" s="18"/>
      <c r="H57" s="14">
        <f t="shared" ref="H57:H58" si="9">H56-F57-D57+B57</f>
        <v>37.257000000000005</v>
      </c>
      <c r="I57" s="14">
        <f t="shared" ref="I57:I58" si="10">I56-E57+C57</f>
        <v>155.25700000000001</v>
      </c>
      <c r="J57" s="14">
        <f t="shared" ref="J57:J58" si="11">SUM(H57:I57)</f>
        <v>192.51400000000001</v>
      </c>
    </row>
    <row r="58" spans="1:10" s="26" customFormat="1" ht="14.25" customHeight="1" x14ac:dyDescent="0.25">
      <c r="A58" s="31" t="s">
        <v>109</v>
      </c>
      <c r="B58" s="18">
        <v>1.25</v>
      </c>
      <c r="C58" s="18">
        <v>1.25</v>
      </c>
      <c r="D58" s="18"/>
      <c r="E58" s="18"/>
      <c r="F58" s="18"/>
      <c r="G58" s="18"/>
      <c r="H58" s="14">
        <f t="shared" si="9"/>
        <v>38.507000000000005</v>
      </c>
      <c r="I58" s="14">
        <f t="shared" si="10"/>
        <v>156.50700000000001</v>
      </c>
      <c r="J58" s="14">
        <f t="shared" si="11"/>
        <v>195.01400000000001</v>
      </c>
    </row>
    <row r="59" spans="1:10" s="26" customFormat="1" ht="14.25" customHeight="1" x14ac:dyDescent="0.25">
      <c r="A59" s="31" t="s">
        <v>110</v>
      </c>
      <c r="B59" s="18"/>
      <c r="C59" s="18"/>
      <c r="D59" s="18"/>
      <c r="E59" s="18"/>
      <c r="F59" s="18">
        <v>1</v>
      </c>
      <c r="G59" s="18"/>
      <c r="H59" s="14">
        <f t="shared" ref="H59:H95" si="12">H58-F59-D59+B59</f>
        <v>37.507000000000005</v>
      </c>
      <c r="I59" s="14">
        <f t="shared" ref="I59:I95" si="13">I58-E59+C59</f>
        <v>156.50700000000001</v>
      </c>
      <c r="J59" s="14">
        <f t="shared" ref="J59:J95" si="14">SUM(H59:I59)</f>
        <v>194.01400000000001</v>
      </c>
    </row>
    <row r="60" spans="1:10" s="26" customFormat="1" ht="14.25" customHeight="1" x14ac:dyDescent="0.25">
      <c r="A60" s="31" t="s">
        <v>111</v>
      </c>
      <c r="B60" s="18">
        <v>13.75</v>
      </c>
      <c r="C60" s="18">
        <v>13.75</v>
      </c>
      <c r="D60" s="18"/>
      <c r="E60" s="18"/>
      <c r="F60" s="18"/>
      <c r="G60" s="18"/>
      <c r="H60" s="14">
        <f t="shared" si="12"/>
        <v>51.257000000000005</v>
      </c>
      <c r="I60" s="14">
        <f t="shared" si="13"/>
        <v>170.25700000000001</v>
      </c>
      <c r="J60" s="14">
        <f t="shared" si="14"/>
        <v>221.51400000000001</v>
      </c>
    </row>
    <row r="61" spans="1:10" s="26" customFormat="1" ht="15" customHeight="1" x14ac:dyDescent="0.25">
      <c r="A61" s="31" t="s">
        <v>66</v>
      </c>
      <c r="B61" s="18"/>
      <c r="C61" s="18"/>
      <c r="D61" s="18"/>
      <c r="E61" s="18"/>
      <c r="F61" s="18">
        <v>4</v>
      </c>
      <c r="G61" s="18"/>
      <c r="H61" s="14">
        <f t="shared" si="12"/>
        <v>47.257000000000005</v>
      </c>
      <c r="I61" s="14">
        <f t="shared" si="13"/>
        <v>170.25700000000001</v>
      </c>
      <c r="J61" s="14">
        <f t="shared" si="14"/>
        <v>217.51400000000001</v>
      </c>
    </row>
    <row r="62" spans="1:10" s="26" customFormat="1" ht="12" customHeight="1" x14ac:dyDescent="0.25">
      <c r="A62" s="31" t="s">
        <v>67</v>
      </c>
      <c r="B62" s="18">
        <v>15</v>
      </c>
      <c r="C62" s="18">
        <v>15</v>
      </c>
      <c r="D62" s="18"/>
      <c r="E62" s="18"/>
      <c r="F62" s="18"/>
      <c r="G62" s="18"/>
      <c r="H62" s="14">
        <f t="shared" si="12"/>
        <v>62.257000000000005</v>
      </c>
      <c r="I62" s="14">
        <f t="shared" si="13"/>
        <v>185.25700000000001</v>
      </c>
      <c r="J62" s="14">
        <f t="shared" si="14"/>
        <v>247.51400000000001</v>
      </c>
    </row>
    <row r="63" spans="1:10" s="26" customFormat="1" ht="12" customHeight="1" x14ac:dyDescent="0.25">
      <c r="A63" s="31" t="s">
        <v>68</v>
      </c>
      <c r="B63" s="18"/>
      <c r="C63" s="18"/>
      <c r="D63" s="18"/>
      <c r="E63" s="18"/>
      <c r="F63" s="18">
        <v>5</v>
      </c>
      <c r="G63" s="18"/>
      <c r="H63" s="14">
        <f t="shared" si="12"/>
        <v>57.257000000000005</v>
      </c>
      <c r="I63" s="14">
        <f t="shared" si="13"/>
        <v>185.25700000000001</v>
      </c>
      <c r="J63" s="14">
        <f t="shared" si="14"/>
        <v>242.51400000000001</v>
      </c>
    </row>
    <row r="64" spans="1:10" s="26" customFormat="1" ht="12" customHeight="1" x14ac:dyDescent="0.25">
      <c r="A64" s="31" t="s">
        <v>69</v>
      </c>
      <c r="B64" s="18"/>
      <c r="C64" s="18"/>
      <c r="D64" s="18">
        <v>5</v>
      </c>
      <c r="E64" s="18"/>
      <c r="F64" s="18"/>
      <c r="G64" s="18"/>
      <c r="H64" s="14">
        <f t="shared" si="12"/>
        <v>52.257000000000005</v>
      </c>
      <c r="I64" s="14">
        <f t="shared" si="13"/>
        <v>185.25700000000001</v>
      </c>
      <c r="J64" s="14">
        <f t="shared" si="14"/>
        <v>237.51400000000001</v>
      </c>
    </row>
    <row r="65" spans="1:10" s="26" customFormat="1" ht="15.75" customHeight="1" x14ac:dyDescent="0.25">
      <c r="A65" s="31" t="s">
        <v>70</v>
      </c>
      <c r="B65" s="18">
        <v>11.25</v>
      </c>
      <c r="C65" s="18">
        <v>11.25</v>
      </c>
      <c r="D65" s="18"/>
      <c r="E65" s="18"/>
      <c r="F65" s="18"/>
      <c r="G65" s="18"/>
      <c r="H65" s="14">
        <f t="shared" si="12"/>
        <v>63.507000000000005</v>
      </c>
      <c r="I65" s="14">
        <f t="shared" si="13"/>
        <v>196.50700000000001</v>
      </c>
      <c r="J65" s="14">
        <f t="shared" si="14"/>
        <v>260.01400000000001</v>
      </c>
    </row>
    <row r="66" spans="1:10" s="26" customFormat="1" ht="13.5" customHeight="1" x14ac:dyDescent="0.25">
      <c r="A66" s="31" t="s">
        <v>71</v>
      </c>
      <c r="B66" s="18"/>
      <c r="C66" s="18"/>
      <c r="D66" s="18">
        <v>29</v>
      </c>
      <c r="E66" s="18"/>
      <c r="F66" s="18"/>
      <c r="G66" s="18"/>
      <c r="H66" s="14">
        <f t="shared" si="12"/>
        <v>34.507000000000005</v>
      </c>
      <c r="I66" s="14">
        <f t="shared" si="13"/>
        <v>196.50700000000001</v>
      </c>
      <c r="J66" s="14">
        <f t="shared" si="14"/>
        <v>231.01400000000001</v>
      </c>
    </row>
    <row r="67" spans="1:10" s="26" customFormat="1" ht="12" customHeight="1" x14ac:dyDescent="0.25">
      <c r="A67" s="31" t="s">
        <v>72</v>
      </c>
      <c r="B67" s="18">
        <v>3.75</v>
      </c>
      <c r="C67" s="18">
        <v>3.75</v>
      </c>
      <c r="D67" s="18"/>
      <c r="E67" s="18"/>
      <c r="F67" s="18"/>
      <c r="G67" s="18"/>
      <c r="H67" s="14">
        <f t="shared" si="12"/>
        <v>38.257000000000005</v>
      </c>
      <c r="I67" s="14">
        <f t="shared" si="13"/>
        <v>200.25700000000001</v>
      </c>
      <c r="J67" s="14">
        <f t="shared" si="14"/>
        <v>238.51400000000001</v>
      </c>
    </row>
    <row r="68" spans="1:10" s="26" customFormat="1" ht="12" customHeight="1" x14ac:dyDescent="0.25">
      <c r="A68" s="31" t="s">
        <v>73</v>
      </c>
      <c r="B68" s="18"/>
      <c r="C68" s="18"/>
      <c r="D68" s="18"/>
      <c r="E68" s="18"/>
      <c r="F68" s="18">
        <v>5</v>
      </c>
      <c r="G68" s="18"/>
      <c r="H68" s="14">
        <f t="shared" si="12"/>
        <v>33.257000000000005</v>
      </c>
      <c r="I68" s="14">
        <f t="shared" si="13"/>
        <v>200.25700000000001</v>
      </c>
      <c r="J68" s="14">
        <f t="shared" si="14"/>
        <v>233.51400000000001</v>
      </c>
    </row>
    <row r="69" spans="1:10" s="26" customFormat="1" ht="12" customHeight="1" x14ac:dyDescent="0.25">
      <c r="A69" s="31" t="s">
        <v>74</v>
      </c>
      <c r="B69" s="18">
        <v>10</v>
      </c>
      <c r="C69" s="18">
        <v>10</v>
      </c>
      <c r="D69" s="18"/>
      <c r="E69" s="18"/>
      <c r="F69" s="18"/>
      <c r="G69" s="18"/>
      <c r="H69" s="14">
        <f t="shared" si="12"/>
        <v>43.257000000000005</v>
      </c>
      <c r="I69" s="14">
        <f t="shared" si="13"/>
        <v>210.25700000000001</v>
      </c>
      <c r="J69" s="14">
        <f t="shared" si="14"/>
        <v>253.51400000000001</v>
      </c>
    </row>
    <row r="70" spans="1:10" s="26" customFormat="1" ht="15" customHeight="1" x14ac:dyDescent="0.25">
      <c r="A70" s="31" t="s">
        <v>75</v>
      </c>
      <c r="B70" s="18"/>
      <c r="C70" s="18"/>
      <c r="D70" s="18">
        <v>29</v>
      </c>
      <c r="E70" s="18"/>
      <c r="F70" s="18"/>
      <c r="G70" s="18"/>
      <c r="H70" s="14">
        <f t="shared" si="12"/>
        <v>14.257000000000005</v>
      </c>
      <c r="I70" s="14">
        <f t="shared" si="13"/>
        <v>210.25700000000001</v>
      </c>
      <c r="J70" s="14">
        <f t="shared" si="14"/>
        <v>224.51400000000001</v>
      </c>
    </row>
    <row r="71" spans="1:10" s="26" customFormat="1" ht="12" customHeight="1" x14ac:dyDescent="0.25">
      <c r="A71" s="31" t="s">
        <v>76</v>
      </c>
      <c r="B71" s="18">
        <v>3.75</v>
      </c>
      <c r="C71" s="18">
        <v>3.75</v>
      </c>
      <c r="D71" s="18"/>
      <c r="E71" s="18"/>
      <c r="F71" s="18"/>
      <c r="G71" s="18"/>
      <c r="H71" s="14">
        <f t="shared" si="12"/>
        <v>18.007000000000005</v>
      </c>
      <c r="I71" s="14">
        <f t="shared" si="13"/>
        <v>214.00700000000001</v>
      </c>
      <c r="J71" s="14">
        <f t="shared" si="14"/>
        <v>232.01400000000001</v>
      </c>
    </row>
    <row r="72" spans="1:10" s="26" customFormat="1" ht="12" customHeight="1" x14ac:dyDescent="0.25">
      <c r="A72" s="31" t="s">
        <v>77</v>
      </c>
      <c r="B72" s="18"/>
      <c r="C72" s="18"/>
      <c r="D72" s="18"/>
      <c r="E72" s="18"/>
      <c r="F72" s="18">
        <v>1</v>
      </c>
      <c r="G72" s="18"/>
      <c r="H72" s="14">
        <f t="shared" si="12"/>
        <v>17.007000000000005</v>
      </c>
      <c r="I72" s="14">
        <f t="shared" si="13"/>
        <v>214.00700000000001</v>
      </c>
      <c r="J72" s="14">
        <f t="shared" si="14"/>
        <v>231.01400000000001</v>
      </c>
    </row>
    <row r="73" spans="1:10" s="26" customFormat="1" ht="12" customHeight="1" x14ac:dyDescent="0.25">
      <c r="A73" s="31" t="s">
        <v>78</v>
      </c>
      <c r="B73" s="18">
        <v>1.25</v>
      </c>
      <c r="C73" s="18">
        <v>1.25</v>
      </c>
      <c r="D73" s="18"/>
      <c r="E73" s="18"/>
      <c r="F73" s="18"/>
      <c r="G73" s="18"/>
      <c r="H73" s="14">
        <f t="shared" si="12"/>
        <v>18.257000000000005</v>
      </c>
      <c r="I73" s="14">
        <f t="shared" si="13"/>
        <v>215.25700000000001</v>
      </c>
      <c r="J73" s="14">
        <f t="shared" si="14"/>
        <v>233.51400000000001</v>
      </c>
    </row>
    <row r="74" spans="1:10" s="26" customFormat="1" ht="12" customHeight="1" x14ac:dyDescent="0.25">
      <c r="A74" s="31" t="s">
        <v>79</v>
      </c>
      <c r="B74" s="18"/>
      <c r="C74" s="18"/>
      <c r="D74" s="18"/>
      <c r="E74" s="18"/>
      <c r="F74" s="18">
        <v>4</v>
      </c>
      <c r="G74" s="18"/>
      <c r="H74" s="14">
        <f t="shared" si="12"/>
        <v>14.257000000000005</v>
      </c>
      <c r="I74" s="14">
        <f t="shared" si="13"/>
        <v>215.25700000000001</v>
      </c>
      <c r="J74" s="14">
        <f t="shared" si="14"/>
        <v>229.51400000000001</v>
      </c>
    </row>
    <row r="75" spans="1:10" s="26" customFormat="1" ht="12" customHeight="1" x14ac:dyDescent="0.25">
      <c r="A75" s="31" t="s">
        <v>80</v>
      </c>
      <c r="B75" s="18">
        <v>2.5</v>
      </c>
      <c r="C75" s="18">
        <v>1.25</v>
      </c>
      <c r="D75" s="18"/>
      <c r="E75" s="18"/>
      <c r="F75" s="18"/>
      <c r="G75" s="18"/>
      <c r="H75" s="14">
        <f t="shared" si="12"/>
        <v>16.757000000000005</v>
      </c>
      <c r="I75" s="14">
        <f t="shared" si="13"/>
        <v>216.50700000000001</v>
      </c>
      <c r="J75" s="14">
        <f t="shared" si="14"/>
        <v>233.26400000000001</v>
      </c>
    </row>
    <row r="76" spans="1:10" s="26" customFormat="1" ht="12" customHeight="1" x14ac:dyDescent="0.25">
      <c r="A76" s="31" t="s">
        <v>81</v>
      </c>
      <c r="B76" s="18"/>
      <c r="C76" s="18"/>
      <c r="D76" s="18"/>
      <c r="E76" s="18">
        <v>5</v>
      </c>
      <c r="F76" s="18"/>
      <c r="G76" s="18"/>
      <c r="H76" s="14">
        <f t="shared" si="12"/>
        <v>16.757000000000005</v>
      </c>
      <c r="I76" s="14">
        <f t="shared" si="13"/>
        <v>211.50700000000001</v>
      </c>
      <c r="J76" s="14">
        <f t="shared" si="14"/>
        <v>228.26400000000001</v>
      </c>
    </row>
    <row r="77" spans="1:10" s="26" customFormat="1" ht="12" customHeight="1" x14ac:dyDescent="0.25">
      <c r="A77" s="31" t="s">
        <v>82</v>
      </c>
      <c r="B77" s="18">
        <v>7.5</v>
      </c>
      <c r="C77" s="18">
        <v>7.5</v>
      </c>
      <c r="D77" s="18"/>
      <c r="E77" s="18"/>
      <c r="F77" s="18"/>
      <c r="G77" s="18"/>
      <c r="H77" s="14">
        <f t="shared" si="12"/>
        <v>24.257000000000005</v>
      </c>
      <c r="I77" s="14">
        <f t="shared" si="13"/>
        <v>219.00700000000001</v>
      </c>
      <c r="J77" s="14">
        <f t="shared" si="14"/>
        <v>243.26400000000001</v>
      </c>
    </row>
    <row r="78" spans="1:10" s="26" customFormat="1" ht="12" customHeight="1" x14ac:dyDescent="0.25">
      <c r="A78" s="31" t="s">
        <v>83</v>
      </c>
      <c r="B78" s="18"/>
      <c r="C78" s="18"/>
      <c r="D78" s="18">
        <v>19</v>
      </c>
      <c r="E78" s="18">
        <v>10</v>
      </c>
      <c r="F78" s="18"/>
      <c r="G78" s="18"/>
      <c r="H78" s="14">
        <f t="shared" si="12"/>
        <v>5.257000000000005</v>
      </c>
      <c r="I78" s="14">
        <f t="shared" si="13"/>
        <v>209.00700000000001</v>
      </c>
      <c r="J78" s="14">
        <f t="shared" si="14"/>
        <v>214.26400000000001</v>
      </c>
    </row>
    <row r="79" spans="1:10" s="26" customFormat="1" ht="12" customHeight="1" x14ac:dyDescent="0.25">
      <c r="A79" s="31" t="s">
        <v>84</v>
      </c>
      <c r="B79" s="18">
        <v>3.75</v>
      </c>
      <c r="C79" s="18">
        <v>3.75</v>
      </c>
      <c r="D79" s="18"/>
      <c r="E79" s="18"/>
      <c r="F79" s="18"/>
      <c r="G79" s="18"/>
      <c r="H79" s="14">
        <f t="shared" si="12"/>
        <v>9.007000000000005</v>
      </c>
      <c r="I79" s="14">
        <f t="shared" si="13"/>
        <v>212.75700000000001</v>
      </c>
      <c r="J79" s="14">
        <f t="shared" si="14"/>
        <v>221.76400000000001</v>
      </c>
    </row>
    <row r="80" spans="1:10" s="26" customFormat="1" ht="12" customHeight="1" x14ac:dyDescent="0.25">
      <c r="A80" s="31" t="s">
        <v>85</v>
      </c>
      <c r="B80" s="18"/>
      <c r="C80" s="18"/>
      <c r="D80" s="18"/>
      <c r="E80" s="18"/>
      <c r="F80" s="18">
        <v>1</v>
      </c>
      <c r="G80" s="18"/>
      <c r="H80" s="14">
        <f t="shared" si="12"/>
        <v>8.007000000000005</v>
      </c>
      <c r="I80" s="14">
        <f t="shared" si="13"/>
        <v>212.75700000000001</v>
      </c>
      <c r="J80" s="14">
        <f t="shared" si="14"/>
        <v>220.76400000000001</v>
      </c>
    </row>
    <row r="81" spans="1:10" s="26" customFormat="1" ht="13.5" customHeight="1" x14ac:dyDescent="0.25">
      <c r="A81" s="31" t="s">
        <v>86</v>
      </c>
      <c r="B81" s="18">
        <v>1.25</v>
      </c>
      <c r="C81" s="18">
        <v>1.25</v>
      </c>
      <c r="D81" s="18"/>
      <c r="E81" s="18"/>
      <c r="F81" s="18"/>
      <c r="G81" s="18"/>
      <c r="H81" s="14">
        <f t="shared" si="12"/>
        <v>9.257000000000005</v>
      </c>
      <c r="I81" s="14">
        <f t="shared" si="13"/>
        <v>214.00700000000001</v>
      </c>
      <c r="J81" s="14">
        <f t="shared" si="14"/>
        <v>223.26400000000001</v>
      </c>
    </row>
    <row r="82" spans="1:10" s="26" customFormat="1" ht="12" customHeight="1" x14ac:dyDescent="0.25">
      <c r="A82" s="31" t="s">
        <v>91</v>
      </c>
      <c r="B82" s="18"/>
      <c r="C82" s="18"/>
      <c r="D82" s="18"/>
      <c r="E82" s="18"/>
      <c r="F82" s="18">
        <v>4</v>
      </c>
      <c r="G82" s="18"/>
      <c r="H82" s="14">
        <f t="shared" si="12"/>
        <v>5.257000000000005</v>
      </c>
      <c r="I82" s="14">
        <f t="shared" si="13"/>
        <v>214.00700000000001</v>
      </c>
      <c r="J82" s="14">
        <f t="shared" si="14"/>
        <v>219.26400000000001</v>
      </c>
    </row>
    <row r="83" spans="1:10" s="26" customFormat="1" ht="12" customHeight="1" x14ac:dyDescent="0.25">
      <c r="A83" s="31" t="s">
        <v>87</v>
      </c>
      <c r="B83" s="18">
        <v>2.5</v>
      </c>
      <c r="C83" s="18">
        <v>2.5</v>
      </c>
      <c r="D83" s="18"/>
      <c r="E83" s="18"/>
      <c r="F83" s="18"/>
      <c r="G83" s="18"/>
      <c r="H83" s="14">
        <f t="shared" si="12"/>
        <v>7.757000000000005</v>
      </c>
      <c r="I83" s="14">
        <f t="shared" si="13"/>
        <v>216.50700000000001</v>
      </c>
      <c r="J83" s="14">
        <f t="shared" si="14"/>
        <v>224.26400000000001</v>
      </c>
    </row>
    <row r="84" spans="1:10" s="26" customFormat="1" ht="14.25" customHeight="1" x14ac:dyDescent="0.25">
      <c r="A84" s="34" t="s">
        <v>88</v>
      </c>
      <c r="B84" s="35"/>
      <c r="C84" s="35"/>
      <c r="D84" s="34"/>
      <c r="E84" s="18"/>
      <c r="F84" s="18">
        <v>1</v>
      </c>
      <c r="G84" s="18"/>
      <c r="H84" s="14">
        <f t="shared" si="12"/>
        <v>6.757000000000005</v>
      </c>
      <c r="I84" s="14">
        <f t="shared" si="13"/>
        <v>216.50700000000001</v>
      </c>
      <c r="J84" s="14">
        <f t="shared" si="14"/>
        <v>223.26400000000001</v>
      </c>
    </row>
    <row r="85" spans="1:10" s="26" customFormat="1" ht="14.25" customHeight="1" x14ac:dyDescent="0.25">
      <c r="A85" s="34" t="s">
        <v>89</v>
      </c>
      <c r="B85" s="34">
        <v>2.5</v>
      </c>
      <c r="C85" s="34">
        <v>2.5</v>
      </c>
      <c r="D85" s="34"/>
      <c r="E85" s="18"/>
      <c r="F85" s="18"/>
      <c r="G85" s="18"/>
      <c r="H85" s="14">
        <f t="shared" si="12"/>
        <v>9.257000000000005</v>
      </c>
      <c r="I85" s="14">
        <f t="shared" si="13"/>
        <v>219.00700000000001</v>
      </c>
      <c r="J85" s="14">
        <f t="shared" si="14"/>
        <v>228.26400000000001</v>
      </c>
    </row>
    <row r="86" spans="1:10" s="26" customFormat="1" ht="14.25" customHeight="1" x14ac:dyDescent="0.25">
      <c r="A86" s="34" t="s">
        <v>90</v>
      </c>
      <c r="B86" s="34"/>
      <c r="C86" s="34"/>
      <c r="D86" s="34"/>
      <c r="E86" s="18">
        <v>1</v>
      </c>
      <c r="F86" s="18"/>
      <c r="G86" s="18"/>
      <c r="H86" s="14">
        <f t="shared" si="12"/>
        <v>9.257000000000005</v>
      </c>
      <c r="I86" s="14">
        <f t="shared" si="13"/>
        <v>218.00700000000001</v>
      </c>
      <c r="J86" s="14">
        <f t="shared" si="14"/>
        <v>227.26400000000001</v>
      </c>
    </row>
    <row r="87" spans="1:10" s="26" customFormat="1" ht="14.25" customHeight="1" x14ac:dyDescent="0.25">
      <c r="A87" s="34" t="s">
        <v>92</v>
      </c>
      <c r="B87" s="34">
        <v>6.25</v>
      </c>
      <c r="C87" s="34">
        <v>6.25</v>
      </c>
      <c r="D87" s="34"/>
      <c r="E87" s="18"/>
      <c r="F87" s="18"/>
      <c r="G87" s="18"/>
      <c r="H87" s="14">
        <f t="shared" si="12"/>
        <v>15.507000000000005</v>
      </c>
      <c r="I87" s="14">
        <f t="shared" si="13"/>
        <v>224.25700000000001</v>
      </c>
      <c r="J87" s="14">
        <f t="shared" si="14"/>
        <v>239.76400000000001</v>
      </c>
    </row>
    <row r="88" spans="1:10" s="26" customFormat="1" ht="14.25" customHeight="1" x14ac:dyDescent="0.25">
      <c r="A88" s="34" t="s">
        <v>93</v>
      </c>
      <c r="B88" s="34"/>
      <c r="C88" s="34"/>
      <c r="D88" s="34">
        <v>10</v>
      </c>
      <c r="E88" s="18"/>
      <c r="F88" s="18"/>
      <c r="G88" s="18"/>
      <c r="H88" s="14">
        <f t="shared" si="12"/>
        <v>5.507000000000005</v>
      </c>
      <c r="I88" s="14">
        <f t="shared" si="13"/>
        <v>224.25700000000001</v>
      </c>
      <c r="J88" s="14">
        <f t="shared" si="14"/>
        <v>229.76400000000001</v>
      </c>
    </row>
    <row r="89" spans="1:10" s="26" customFormat="1" ht="14.25" customHeight="1" x14ac:dyDescent="0.25">
      <c r="A89" s="34" t="s">
        <v>94</v>
      </c>
      <c r="B89" s="34">
        <v>3.75</v>
      </c>
      <c r="C89" s="34">
        <v>3.75</v>
      </c>
      <c r="D89" s="34"/>
      <c r="E89" s="18"/>
      <c r="F89" s="18"/>
      <c r="G89" s="18"/>
      <c r="H89" s="14">
        <f t="shared" si="12"/>
        <v>9.257000000000005</v>
      </c>
      <c r="I89" s="14">
        <f t="shared" si="13"/>
        <v>228.00700000000001</v>
      </c>
      <c r="J89" s="14">
        <f t="shared" si="14"/>
        <v>237.26400000000001</v>
      </c>
    </row>
    <row r="90" spans="1:10" s="26" customFormat="1" ht="14.25" customHeight="1" x14ac:dyDescent="0.25">
      <c r="A90" s="34" t="s">
        <v>106</v>
      </c>
      <c r="B90" s="34"/>
      <c r="C90" s="34"/>
      <c r="D90" s="34"/>
      <c r="E90" s="18"/>
      <c r="F90" s="18">
        <v>4</v>
      </c>
      <c r="G90" s="18"/>
      <c r="H90" s="14">
        <f t="shared" si="12"/>
        <v>5.257000000000005</v>
      </c>
      <c r="I90" s="14">
        <f t="shared" si="13"/>
        <v>228.00700000000001</v>
      </c>
      <c r="J90" s="14">
        <f t="shared" si="14"/>
        <v>233.26400000000001</v>
      </c>
    </row>
    <row r="91" spans="1:10" s="26" customFormat="1" ht="14.25" customHeight="1" x14ac:dyDescent="0.25">
      <c r="A91" s="34" t="s">
        <v>95</v>
      </c>
      <c r="B91" s="34"/>
      <c r="C91" s="34"/>
      <c r="D91" s="34"/>
      <c r="E91" s="18">
        <v>2</v>
      </c>
      <c r="F91" s="18"/>
      <c r="G91" s="18"/>
      <c r="H91" s="14">
        <f t="shared" si="12"/>
        <v>5.257000000000005</v>
      </c>
      <c r="I91" s="14">
        <f t="shared" si="13"/>
        <v>226.00700000000001</v>
      </c>
      <c r="J91" s="14">
        <f t="shared" si="14"/>
        <v>231.26400000000001</v>
      </c>
    </row>
    <row r="92" spans="1:10" s="26" customFormat="1" ht="14.25" customHeight="1" x14ac:dyDescent="0.25">
      <c r="A92" s="34" t="s">
        <v>96</v>
      </c>
      <c r="B92" s="34">
        <v>5</v>
      </c>
      <c r="C92" s="34">
        <v>5</v>
      </c>
      <c r="D92" s="34"/>
      <c r="E92" s="18"/>
      <c r="F92" s="18"/>
      <c r="G92" s="18"/>
      <c r="H92" s="14">
        <f t="shared" si="12"/>
        <v>10.257000000000005</v>
      </c>
      <c r="I92" s="14">
        <f t="shared" si="13"/>
        <v>231.00700000000001</v>
      </c>
      <c r="J92" s="14">
        <f t="shared" si="14"/>
        <v>241.26400000000001</v>
      </c>
    </row>
    <row r="93" spans="1:10" s="26" customFormat="1" ht="14.25" customHeight="1" x14ac:dyDescent="0.25">
      <c r="A93" s="34" t="s">
        <v>97</v>
      </c>
      <c r="B93" s="34"/>
      <c r="C93" s="34"/>
      <c r="D93" s="34"/>
      <c r="E93" s="18">
        <v>2</v>
      </c>
      <c r="F93" s="18"/>
      <c r="G93" s="18"/>
      <c r="H93" s="14">
        <f t="shared" si="12"/>
        <v>10.257000000000005</v>
      </c>
      <c r="I93" s="14">
        <f t="shared" si="13"/>
        <v>229.00700000000001</v>
      </c>
      <c r="J93" s="14">
        <f t="shared" si="14"/>
        <v>239.26400000000001</v>
      </c>
    </row>
    <row r="94" spans="1:10" s="26" customFormat="1" ht="14.25" customHeight="1" x14ac:dyDescent="0.25">
      <c r="A94" s="34" t="s">
        <v>98</v>
      </c>
      <c r="B94" s="34">
        <v>5</v>
      </c>
      <c r="C94" s="34">
        <v>5</v>
      </c>
      <c r="D94" s="34"/>
      <c r="E94" s="18"/>
      <c r="F94" s="18"/>
      <c r="G94" s="18"/>
      <c r="H94" s="14">
        <f t="shared" si="12"/>
        <v>15.257000000000005</v>
      </c>
      <c r="I94" s="14">
        <f t="shared" si="13"/>
        <v>234.00700000000001</v>
      </c>
      <c r="J94" s="14">
        <f t="shared" si="14"/>
        <v>249.26400000000001</v>
      </c>
    </row>
    <row r="95" spans="1:10" s="26" customFormat="1" ht="14.25" customHeight="1" x14ac:dyDescent="0.25">
      <c r="A95" s="34" t="s">
        <v>112</v>
      </c>
      <c r="B95" s="34"/>
      <c r="C95" s="34"/>
      <c r="D95" s="34">
        <v>10.257</v>
      </c>
      <c r="E95" s="18">
        <v>19.742999999999999</v>
      </c>
      <c r="F95" s="18"/>
      <c r="G95" s="18"/>
      <c r="H95" s="14">
        <f t="shared" si="12"/>
        <v>5.0000000000000053</v>
      </c>
      <c r="I95" s="14">
        <f t="shared" si="13"/>
        <v>214.26400000000001</v>
      </c>
      <c r="J95" s="14">
        <f t="shared" si="14"/>
        <v>219.26400000000001</v>
      </c>
    </row>
    <row r="99" spans="1:11" s="29" customFormat="1" x14ac:dyDescent="0.25">
      <c r="A99"/>
      <c r="B99"/>
      <c r="C99"/>
      <c r="D99"/>
      <c r="E99"/>
      <c r="F99" s="29" t="s">
        <v>104</v>
      </c>
      <c r="H99"/>
      <c r="I99"/>
      <c r="J99"/>
      <c r="K99" s="26"/>
    </row>
  </sheetData>
  <mergeCells count="13">
    <mergeCell ref="K11:K12"/>
    <mergeCell ref="A10:J10"/>
    <mergeCell ref="A11:A12"/>
    <mergeCell ref="B11:C11"/>
    <mergeCell ref="D11:G11"/>
    <mergeCell ref="H11:I11"/>
    <mergeCell ref="J11:J12"/>
    <mergeCell ref="B9:D9"/>
    <mergeCell ref="A2:J2"/>
    <mergeCell ref="A3:J3"/>
    <mergeCell ref="A4:J4"/>
    <mergeCell ref="A5:J5"/>
    <mergeCell ref="B7:D7"/>
  </mergeCells>
  <printOptions horizontalCentered="1"/>
  <pageMargins left="0.23622047244094491" right="0.23622047244094491" top="0.70866141732283472" bottom="0.31496062992125984" header="0.31496062992125984" footer="0.31496062992125984"/>
  <pageSetup paperSize="9" scale="70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4"/>
  <sheetViews>
    <sheetView topLeftCell="A7" workbookViewId="0">
      <selection activeCell="E21" sqref="E21"/>
    </sheetView>
  </sheetViews>
  <sheetFormatPr defaultRowHeight="15" x14ac:dyDescent="0.25"/>
  <cols>
    <col min="1" max="1" width="35.42578125" customWidth="1"/>
    <col min="2" max="2" width="11.5703125" style="10" customWidth="1"/>
    <col min="3" max="3" width="11.5703125" style="11" customWidth="1"/>
    <col min="4" max="4" width="9.85546875" style="10" customWidth="1"/>
    <col min="5" max="5" width="10.28515625" style="11" customWidth="1"/>
    <col min="6" max="6" width="9.85546875" style="12" customWidth="1"/>
    <col min="7" max="7" width="10.5703125" customWidth="1"/>
    <col min="8" max="8" width="11.5703125" style="10" customWidth="1"/>
    <col min="9" max="9" width="11.5703125" style="11" customWidth="1"/>
    <col min="10" max="10" width="11.140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37" t="s">
        <v>0</v>
      </c>
      <c r="B4" s="37"/>
      <c r="C4" s="37"/>
      <c r="D4" s="37"/>
      <c r="E4" s="37"/>
      <c r="F4" s="37"/>
      <c r="G4" s="37"/>
      <c r="H4" s="37"/>
      <c r="I4" s="37"/>
      <c r="J4" s="1"/>
    </row>
    <row r="5" spans="1:10" x14ac:dyDescent="0.25">
      <c r="A5" s="37" t="s">
        <v>1</v>
      </c>
      <c r="B5" s="37"/>
      <c r="C5" s="37"/>
      <c r="D5" s="37"/>
      <c r="E5" s="37"/>
      <c r="F5" s="37"/>
      <c r="G5" s="37"/>
      <c r="H5" s="37"/>
      <c r="I5" s="37"/>
      <c r="J5" s="1"/>
    </row>
    <row r="6" spans="1:10" x14ac:dyDescent="0.25">
      <c r="A6" s="37" t="s">
        <v>2</v>
      </c>
      <c r="B6" s="37"/>
      <c r="C6" s="37"/>
      <c r="D6" s="37"/>
      <c r="E6" s="37"/>
      <c r="F6" s="37"/>
      <c r="G6" s="37"/>
      <c r="H6" s="37"/>
      <c r="I6" s="37"/>
      <c r="J6" s="1"/>
    </row>
    <row r="7" spans="1:10" x14ac:dyDescent="0.25">
      <c r="A7" s="37" t="s">
        <v>3</v>
      </c>
      <c r="B7" s="37"/>
      <c r="C7" s="37"/>
      <c r="D7" s="37"/>
      <c r="E7" s="37"/>
      <c r="F7" s="37"/>
      <c r="G7" s="37"/>
      <c r="H7" s="37"/>
      <c r="I7" s="37"/>
      <c r="J7" s="1"/>
    </row>
    <row r="8" spans="1:10" x14ac:dyDescent="0.2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25">
      <c r="A9" s="1" t="s">
        <v>4</v>
      </c>
      <c r="B9" s="2" t="s">
        <v>5</v>
      </c>
      <c r="C9" s="2"/>
      <c r="D9" s="1"/>
      <c r="E9" s="1"/>
      <c r="F9" s="1"/>
      <c r="G9" s="2" t="s">
        <v>6</v>
      </c>
      <c r="H9" s="3"/>
      <c r="I9" s="2"/>
      <c r="J9" s="1"/>
    </row>
    <row r="10" spans="1:10" x14ac:dyDescent="0.25">
      <c r="A10" s="1"/>
      <c r="B10" s="4"/>
      <c r="C10" s="4"/>
      <c r="D10" s="1"/>
      <c r="E10" s="1"/>
      <c r="F10" s="1"/>
      <c r="G10" s="4"/>
      <c r="H10" s="4"/>
      <c r="I10" s="4"/>
      <c r="J10" s="1"/>
    </row>
    <row r="11" spans="1:10" x14ac:dyDescent="0.25">
      <c r="A11" s="1" t="s">
        <v>7</v>
      </c>
      <c r="B11" s="2" t="s">
        <v>8</v>
      </c>
      <c r="C11" s="2"/>
      <c r="D11" s="1"/>
      <c r="E11" s="1"/>
      <c r="F11" s="1"/>
      <c r="G11" s="2" t="s">
        <v>9</v>
      </c>
      <c r="H11" s="5"/>
      <c r="I11" s="2"/>
      <c r="J11" s="1"/>
    </row>
    <row r="12" spans="1:10" ht="21.75" thickBot="1" x14ac:dyDescent="0.3">
      <c r="A12" s="39" t="s">
        <v>10</v>
      </c>
      <c r="B12" s="39"/>
      <c r="C12" s="39"/>
      <c r="D12" s="39"/>
      <c r="E12" s="39"/>
      <c r="F12" s="39"/>
      <c r="G12" s="39"/>
      <c r="H12" s="39"/>
      <c r="I12" s="39"/>
      <c r="J12" s="39"/>
    </row>
    <row r="13" spans="1:10" x14ac:dyDescent="0.25">
      <c r="A13" s="57" t="s">
        <v>11</v>
      </c>
      <c r="B13" s="59" t="s">
        <v>12</v>
      </c>
      <c r="C13" s="60"/>
      <c r="D13" s="61" t="s">
        <v>13</v>
      </c>
      <c r="E13" s="62"/>
      <c r="F13" s="62"/>
      <c r="G13" s="62"/>
      <c r="H13" s="63" t="s">
        <v>14</v>
      </c>
      <c r="I13" s="64"/>
      <c r="J13" s="65" t="s">
        <v>15</v>
      </c>
    </row>
    <row r="14" spans="1:10" ht="24" x14ac:dyDescent="0.25">
      <c r="A14" s="58"/>
      <c r="B14" s="6" t="s">
        <v>16</v>
      </c>
      <c r="C14" s="7" t="s">
        <v>17</v>
      </c>
      <c r="D14" s="6" t="s">
        <v>16</v>
      </c>
      <c r="E14" s="7" t="s">
        <v>17</v>
      </c>
      <c r="F14" s="8" t="s">
        <v>18</v>
      </c>
      <c r="G14" s="9" t="s">
        <v>19</v>
      </c>
      <c r="H14" s="6" t="s">
        <v>16</v>
      </c>
      <c r="I14" s="7" t="s">
        <v>17</v>
      </c>
      <c r="J14" s="66"/>
    </row>
    <row r="15" spans="1:10" ht="15.75" x14ac:dyDescent="0.25">
      <c r="A15" s="51" t="s">
        <v>20</v>
      </c>
      <c r="B15" s="52"/>
      <c r="C15" s="52"/>
      <c r="D15" s="52"/>
      <c r="E15" s="52"/>
      <c r="F15" s="52"/>
      <c r="G15" s="52"/>
      <c r="H15" s="52"/>
      <c r="I15" s="52"/>
      <c r="J15" s="53"/>
    </row>
    <row r="16" spans="1:10" x14ac:dyDescent="0.25">
      <c r="A16" s="15" t="s">
        <v>21</v>
      </c>
      <c r="B16" s="54" t="s">
        <v>22</v>
      </c>
      <c r="C16" s="55"/>
      <c r="D16" s="55"/>
      <c r="E16" s="55"/>
      <c r="F16" s="55"/>
      <c r="G16" s="55"/>
      <c r="H16" s="55"/>
      <c r="I16" s="55"/>
      <c r="J16" s="56"/>
    </row>
    <row r="17" spans="1:10" x14ac:dyDescent="0.25">
      <c r="A17" s="15" t="s">
        <v>99</v>
      </c>
      <c r="B17" s="15">
        <v>0.66700000000000004</v>
      </c>
      <c r="C17" s="15">
        <v>0.66700000000000004</v>
      </c>
      <c r="D17" s="15"/>
      <c r="E17" s="15"/>
      <c r="F17" s="15"/>
      <c r="G17" s="16"/>
      <c r="H17" s="15">
        <f>B17</f>
        <v>0.66700000000000004</v>
      </c>
      <c r="I17" s="15">
        <f>C17</f>
        <v>0.66700000000000004</v>
      </c>
      <c r="J17" s="16">
        <f>SUM(H17:I17)</f>
        <v>1.3340000000000001</v>
      </c>
    </row>
    <row r="18" spans="1:10" x14ac:dyDescent="0.25">
      <c r="A18" s="15" t="s">
        <v>24</v>
      </c>
      <c r="B18" s="15">
        <v>1.25</v>
      </c>
      <c r="C18" s="15">
        <v>1.25</v>
      </c>
      <c r="D18" s="15"/>
      <c r="E18" s="15"/>
      <c r="F18" s="15"/>
      <c r="G18" s="16"/>
      <c r="H18" s="15">
        <f>H17-F18-D18+B18</f>
        <v>1.917</v>
      </c>
      <c r="I18" s="15">
        <f>I17-E18+C18</f>
        <v>1.917</v>
      </c>
      <c r="J18" s="16">
        <f t="shared" ref="J18:J54" si="0">SUM(H18:I18)</f>
        <v>3.8340000000000001</v>
      </c>
    </row>
    <row r="19" spans="1:10" x14ac:dyDescent="0.25">
      <c r="A19" s="15" t="s">
        <v>23</v>
      </c>
      <c r="B19" s="15">
        <v>15</v>
      </c>
      <c r="C19" s="15">
        <v>15</v>
      </c>
      <c r="D19" s="15"/>
      <c r="E19" s="15"/>
      <c r="F19" s="15"/>
      <c r="G19" s="16"/>
      <c r="H19" s="15">
        <f t="shared" ref="H19:H54" si="1">H18-F19-D19+B19</f>
        <v>16.917000000000002</v>
      </c>
      <c r="I19" s="15">
        <f t="shared" ref="I19:I54" si="2">I18-E19+C19</f>
        <v>16.917000000000002</v>
      </c>
      <c r="J19" s="16">
        <f t="shared" si="0"/>
        <v>33.834000000000003</v>
      </c>
    </row>
    <row r="20" spans="1:10" x14ac:dyDescent="0.25">
      <c r="A20" s="15" t="s">
        <v>25</v>
      </c>
      <c r="B20" s="15"/>
      <c r="C20" s="15"/>
      <c r="D20" s="15"/>
      <c r="E20" s="15"/>
      <c r="F20" s="15">
        <v>5</v>
      </c>
      <c r="G20" s="16"/>
      <c r="H20" s="15">
        <f t="shared" si="1"/>
        <v>11.917000000000002</v>
      </c>
      <c r="I20" s="15">
        <f t="shared" si="2"/>
        <v>16.917000000000002</v>
      </c>
      <c r="J20" s="16">
        <f t="shared" si="0"/>
        <v>28.834000000000003</v>
      </c>
    </row>
    <row r="21" spans="1:10" x14ac:dyDescent="0.25">
      <c r="A21" s="15" t="s">
        <v>26</v>
      </c>
      <c r="B21" s="15"/>
      <c r="C21" s="15"/>
      <c r="D21" s="15">
        <v>6</v>
      </c>
      <c r="E21" s="15">
        <v>9</v>
      </c>
      <c r="F21" s="15"/>
      <c r="G21" s="16"/>
      <c r="H21" s="15">
        <f t="shared" si="1"/>
        <v>5.9170000000000016</v>
      </c>
      <c r="I21" s="15">
        <f t="shared" si="2"/>
        <v>7.9170000000000016</v>
      </c>
      <c r="J21" s="16">
        <f t="shared" si="0"/>
        <v>13.834000000000003</v>
      </c>
    </row>
    <row r="22" spans="1:10" x14ac:dyDescent="0.25">
      <c r="A22" s="15" t="s">
        <v>27</v>
      </c>
      <c r="B22" s="15">
        <v>15</v>
      </c>
      <c r="C22" s="15">
        <v>15</v>
      </c>
      <c r="D22" s="15"/>
      <c r="E22" s="15"/>
      <c r="F22" s="15"/>
      <c r="G22" s="16"/>
      <c r="H22" s="15">
        <f t="shared" si="1"/>
        <v>20.917000000000002</v>
      </c>
      <c r="I22" s="15">
        <f t="shared" si="2"/>
        <v>22.917000000000002</v>
      </c>
      <c r="J22" s="16">
        <f t="shared" si="0"/>
        <v>43.834000000000003</v>
      </c>
    </row>
    <row r="23" spans="1:10" x14ac:dyDescent="0.25">
      <c r="A23" s="17" t="s">
        <v>28</v>
      </c>
      <c r="B23" s="15"/>
      <c r="C23" s="15"/>
      <c r="D23" s="15"/>
      <c r="E23" s="15"/>
      <c r="F23" s="15">
        <v>5</v>
      </c>
      <c r="G23" s="16"/>
      <c r="H23" s="15">
        <f t="shared" si="1"/>
        <v>15.917000000000002</v>
      </c>
      <c r="I23" s="15">
        <f t="shared" si="2"/>
        <v>22.917000000000002</v>
      </c>
      <c r="J23" s="16">
        <f t="shared" si="0"/>
        <v>38.834000000000003</v>
      </c>
    </row>
    <row r="24" spans="1:10" x14ac:dyDescent="0.25">
      <c r="A24" s="15" t="s">
        <v>29</v>
      </c>
      <c r="B24" s="15"/>
      <c r="C24" s="15"/>
      <c r="D24" s="15">
        <v>10</v>
      </c>
      <c r="E24" s="15">
        <v>11</v>
      </c>
      <c r="F24" s="15"/>
      <c r="G24" s="16"/>
      <c r="H24" s="15">
        <f t="shared" si="1"/>
        <v>5.9170000000000016</v>
      </c>
      <c r="I24" s="15">
        <f t="shared" si="2"/>
        <v>11.917000000000002</v>
      </c>
      <c r="J24" s="16">
        <f t="shared" si="0"/>
        <v>17.834000000000003</v>
      </c>
    </row>
    <row r="25" spans="1:10" x14ac:dyDescent="0.25">
      <c r="A25" s="17" t="s">
        <v>30</v>
      </c>
      <c r="B25" s="15">
        <f>8*1.25</f>
        <v>10</v>
      </c>
      <c r="C25" s="15">
        <v>10</v>
      </c>
      <c r="D25" s="15"/>
      <c r="E25" s="15"/>
      <c r="F25" s="15"/>
      <c r="G25" s="16"/>
      <c r="H25" s="15">
        <f t="shared" si="1"/>
        <v>15.917000000000002</v>
      </c>
      <c r="I25" s="15">
        <f t="shared" si="2"/>
        <v>21.917000000000002</v>
      </c>
      <c r="J25" s="16">
        <f t="shared" si="0"/>
        <v>37.834000000000003</v>
      </c>
    </row>
    <row r="26" spans="1:10" x14ac:dyDescent="0.25">
      <c r="A26" s="15" t="s">
        <v>31</v>
      </c>
      <c r="B26" s="15"/>
      <c r="C26" s="15"/>
      <c r="D26" s="15">
        <v>10</v>
      </c>
      <c r="E26" s="15">
        <v>20</v>
      </c>
      <c r="F26" s="15"/>
      <c r="G26" s="16"/>
      <c r="H26" s="15">
        <f t="shared" si="1"/>
        <v>5.9170000000000016</v>
      </c>
      <c r="I26" s="15">
        <f t="shared" si="2"/>
        <v>1.9170000000000016</v>
      </c>
      <c r="J26" s="16">
        <f t="shared" si="0"/>
        <v>7.8340000000000032</v>
      </c>
    </row>
    <row r="27" spans="1:10" x14ac:dyDescent="0.25">
      <c r="A27" s="15" t="s">
        <v>32</v>
      </c>
      <c r="B27" s="15">
        <f>1.25*4</f>
        <v>5</v>
      </c>
      <c r="C27" s="15">
        <v>5</v>
      </c>
      <c r="D27" s="15"/>
      <c r="E27" s="15"/>
      <c r="F27" s="15"/>
      <c r="G27" s="16"/>
      <c r="H27" s="15">
        <f t="shared" si="1"/>
        <v>10.917000000000002</v>
      </c>
      <c r="I27" s="15">
        <f t="shared" si="2"/>
        <v>6.9170000000000016</v>
      </c>
      <c r="J27" s="16">
        <f t="shared" si="0"/>
        <v>17.834000000000003</v>
      </c>
    </row>
    <row r="28" spans="1:10" x14ac:dyDescent="0.25">
      <c r="A28" s="17" t="s">
        <v>33</v>
      </c>
      <c r="B28" s="15"/>
      <c r="C28" s="15"/>
      <c r="D28" s="15"/>
      <c r="E28" s="15"/>
      <c r="F28" s="15">
        <v>5</v>
      </c>
      <c r="G28" s="16"/>
      <c r="H28" s="15">
        <f t="shared" si="1"/>
        <v>5.9170000000000016</v>
      </c>
      <c r="I28" s="15">
        <f t="shared" si="2"/>
        <v>6.9170000000000016</v>
      </c>
      <c r="J28" s="16">
        <f t="shared" si="0"/>
        <v>12.834000000000003</v>
      </c>
    </row>
    <row r="29" spans="1:10" x14ac:dyDescent="0.25">
      <c r="A29" s="15" t="s">
        <v>34</v>
      </c>
      <c r="B29" s="15">
        <v>15</v>
      </c>
      <c r="C29" s="15">
        <v>15</v>
      </c>
      <c r="D29" s="15"/>
      <c r="E29" s="15"/>
      <c r="F29" s="15"/>
      <c r="G29" s="16"/>
      <c r="H29" s="15">
        <f t="shared" si="1"/>
        <v>20.917000000000002</v>
      </c>
      <c r="I29" s="15">
        <f t="shared" si="2"/>
        <v>21.917000000000002</v>
      </c>
      <c r="J29" s="16">
        <f t="shared" si="0"/>
        <v>42.834000000000003</v>
      </c>
    </row>
    <row r="30" spans="1:10" x14ac:dyDescent="0.25">
      <c r="A30" s="17" t="s">
        <v>35</v>
      </c>
      <c r="B30" s="15"/>
      <c r="C30" s="15"/>
      <c r="D30" s="15">
        <v>10</v>
      </c>
      <c r="E30" s="15">
        <v>20</v>
      </c>
      <c r="F30" s="15"/>
      <c r="G30" s="16"/>
      <c r="H30" s="15">
        <f t="shared" si="1"/>
        <v>10.917000000000002</v>
      </c>
      <c r="I30" s="15">
        <f t="shared" si="2"/>
        <v>1.9170000000000016</v>
      </c>
      <c r="J30" s="16">
        <f t="shared" si="0"/>
        <v>12.834000000000003</v>
      </c>
    </row>
    <row r="31" spans="1:10" x14ac:dyDescent="0.25">
      <c r="A31" s="15" t="s">
        <v>36</v>
      </c>
      <c r="B31" s="15"/>
      <c r="C31" s="15"/>
      <c r="D31" s="15"/>
      <c r="E31" s="15"/>
      <c r="F31" s="15">
        <v>5</v>
      </c>
      <c r="G31" s="16"/>
      <c r="H31" s="15">
        <f t="shared" si="1"/>
        <v>5.9170000000000016</v>
      </c>
      <c r="I31" s="15">
        <f t="shared" si="2"/>
        <v>1.9170000000000016</v>
      </c>
      <c r="J31" s="16">
        <f t="shared" si="0"/>
        <v>7.8340000000000032</v>
      </c>
    </row>
    <row r="32" spans="1:10" x14ac:dyDescent="0.25">
      <c r="A32" s="17" t="s">
        <v>37</v>
      </c>
      <c r="B32" s="15">
        <v>15</v>
      </c>
      <c r="C32" s="15">
        <v>15</v>
      </c>
      <c r="D32" s="15"/>
      <c r="E32" s="15"/>
      <c r="F32" s="15"/>
      <c r="G32" s="16"/>
      <c r="H32" s="15">
        <f t="shared" si="1"/>
        <v>20.917000000000002</v>
      </c>
      <c r="I32" s="15">
        <f t="shared" si="2"/>
        <v>16.917000000000002</v>
      </c>
      <c r="J32" s="16">
        <f t="shared" si="0"/>
        <v>37.834000000000003</v>
      </c>
    </row>
    <row r="33" spans="1:10" x14ac:dyDescent="0.25">
      <c r="A33" s="17" t="s">
        <v>38</v>
      </c>
      <c r="B33" s="15"/>
      <c r="C33" s="15"/>
      <c r="D33" s="15"/>
      <c r="E33" s="15"/>
      <c r="F33" s="15">
        <v>5</v>
      </c>
      <c r="G33" s="16"/>
      <c r="H33" s="15">
        <f t="shared" si="1"/>
        <v>15.917000000000002</v>
      </c>
      <c r="I33" s="15">
        <f t="shared" si="2"/>
        <v>16.917000000000002</v>
      </c>
      <c r="J33" s="16">
        <f t="shared" si="0"/>
        <v>32.834000000000003</v>
      </c>
    </row>
    <row r="34" spans="1:10" x14ac:dyDescent="0.25">
      <c r="A34" s="17" t="s">
        <v>39</v>
      </c>
      <c r="B34" s="15">
        <v>15</v>
      </c>
      <c r="C34" s="15">
        <v>15</v>
      </c>
      <c r="D34" s="15"/>
      <c r="E34" s="15"/>
      <c r="F34" s="15"/>
      <c r="G34" s="16"/>
      <c r="H34" s="15">
        <f t="shared" si="1"/>
        <v>30.917000000000002</v>
      </c>
      <c r="I34" s="15">
        <f t="shared" si="2"/>
        <v>31.917000000000002</v>
      </c>
      <c r="J34" s="16">
        <f t="shared" si="0"/>
        <v>62.834000000000003</v>
      </c>
    </row>
    <row r="35" spans="1:10" x14ac:dyDescent="0.25">
      <c r="A35" s="17" t="s">
        <v>40</v>
      </c>
      <c r="B35" s="15"/>
      <c r="C35" s="15"/>
      <c r="D35" s="15"/>
      <c r="E35" s="15"/>
      <c r="F35" s="15">
        <v>5</v>
      </c>
      <c r="G35" s="16"/>
      <c r="H35" s="15">
        <f t="shared" si="1"/>
        <v>25.917000000000002</v>
      </c>
      <c r="I35" s="15">
        <f t="shared" si="2"/>
        <v>31.917000000000002</v>
      </c>
      <c r="J35" s="16">
        <f t="shared" si="0"/>
        <v>57.834000000000003</v>
      </c>
    </row>
    <row r="36" spans="1:10" x14ac:dyDescent="0.25">
      <c r="A36" s="17" t="s">
        <v>41</v>
      </c>
      <c r="B36" s="15">
        <v>15</v>
      </c>
      <c r="C36" s="15">
        <v>15</v>
      </c>
      <c r="D36" s="15"/>
      <c r="E36" s="15"/>
      <c r="F36" s="15"/>
      <c r="G36" s="16"/>
      <c r="H36" s="15">
        <f t="shared" si="1"/>
        <v>40.917000000000002</v>
      </c>
      <c r="I36" s="15">
        <f t="shared" si="2"/>
        <v>46.917000000000002</v>
      </c>
      <c r="J36" s="16">
        <f t="shared" si="0"/>
        <v>87.834000000000003</v>
      </c>
    </row>
    <row r="37" spans="1:10" x14ac:dyDescent="0.25">
      <c r="A37" s="17" t="s">
        <v>42</v>
      </c>
      <c r="B37" s="15"/>
      <c r="C37" s="15"/>
      <c r="D37" s="15"/>
      <c r="E37" s="15"/>
      <c r="F37" s="15">
        <v>5</v>
      </c>
      <c r="G37" s="16"/>
      <c r="H37" s="15">
        <f t="shared" si="1"/>
        <v>35.917000000000002</v>
      </c>
      <c r="I37" s="15">
        <f t="shared" si="2"/>
        <v>46.917000000000002</v>
      </c>
      <c r="J37" s="16">
        <f t="shared" si="0"/>
        <v>82.834000000000003</v>
      </c>
    </row>
    <row r="38" spans="1:10" x14ac:dyDescent="0.25">
      <c r="A38" s="17" t="s">
        <v>43</v>
      </c>
      <c r="B38" s="15">
        <v>15</v>
      </c>
      <c r="C38" s="15">
        <v>15</v>
      </c>
      <c r="D38" s="15"/>
      <c r="E38" s="15"/>
      <c r="F38" s="15"/>
      <c r="G38" s="16"/>
      <c r="H38" s="15">
        <f t="shared" si="1"/>
        <v>50.917000000000002</v>
      </c>
      <c r="I38" s="15">
        <f t="shared" si="2"/>
        <v>61.917000000000002</v>
      </c>
      <c r="J38" s="16">
        <f t="shared" si="0"/>
        <v>112.834</v>
      </c>
    </row>
    <row r="39" spans="1:10" x14ac:dyDescent="0.25">
      <c r="A39" s="17" t="s">
        <v>44</v>
      </c>
      <c r="B39" s="15"/>
      <c r="C39" s="15"/>
      <c r="D39" s="15"/>
      <c r="E39" s="15"/>
      <c r="F39" s="15">
        <v>5</v>
      </c>
      <c r="G39" s="16"/>
      <c r="H39" s="15">
        <f t="shared" si="1"/>
        <v>45.917000000000002</v>
      </c>
      <c r="I39" s="15">
        <f t="shared" si="2"/>
        <v>61.917000000000002</v>
      </c>
      <c r="J39" s="16">
        <f t="shared" si="0"/>
        <v>107.834</v>
      </c>
    </row>
    <row r="40" spans="1:10" x14ac:dyDescent="0.25">
      <c r="A40" s="15" t="s">
        <v>45</v>
      </c>
      <c r="B40" s="15"/>
      <c r="C40" s="15"/>
      <c r="D40" s="15">
        <v>10</v>
      </c>
      <c r="E40" s="15"/>
      <c r="F40" s="15"/>
      <c r="G40" s="16"/>
      <c r="H40" s="15">
        <f t="shared" si="1"/>
        <v>35.917000000000002</v>
      </c>
      <c r="I40" s="15">
        <f t="shared" si="2"/>
        <v>61.917000000000002</v>
      </c>
      <c r="J40" s="16">
        <f t="shared" si="0"/>
        <v>97.834000000000003</v>
      </c>
    </row>
    <row r="41" spans="1:10" x14ac:dyDescent="0.25">
      <c r="A41" s="17" t="s">
        <v>46</v>
      </c>
      <c r="B41" s="15">
        <v>15</v>
      </c>
      <c r="C41" s="15">
        <v>15</v>
      </c>
      <c r="D41" s="15"/>
      <c r="E41" s="15"/>
      <c r="F41" s="15"/>
      <c r="G41" s="16"/>
      <c r="H41" s="15">
        <f t="shared" si="1"/>
        <v>50.917000000000002</v>
      </c>
      <c r="I41" s="15">
        <f t="shared" si="2"/>
        <v>76.917000000000002</v>
      </c>
      <c r="J41" s="16">
        <f t="shared" si="0"/>
        <v>127.834</v>
      </c>
    </row>
    <row r="42" spans="1:10" x14ac:dyDescent="0.25">
      <c r="A42" s="17" t="s">
        <v>47</v>
      </c>
      <c r="B42" s="15"/>
      <c r="C42" s="15"/>
      <c r="D42" s="15"/>
      <c r="E42" s="15"/>
      <c r="F42" s="15">
        <v>5</v>
      </c>
      <c r="G42" s="16"/>
      <c r="H42" s="15">
        <f t="shared" si="1"/>
        <v>45.917000000000002</v>
      </c>
      <c r="I42" s="15">
        <f t="shared" si="2"/>
        <v>76.917000000000002</v>
      </c>
      <c r="J42" s="16">
        <f t="shared" si="0"/>
        <v>122.834</v>
      </c>
    </row>
    <row r="43" spans="1:10" x14ac:dyDescent="0.25">
      <c r="A43" s="17" t="s">
        <v>48</v>
      </c>
      <c r="B43" s="15"/>
      <c r="C43" s="15"/>
      <c r="D43" s="15">
        <v>10</v>
      </c>
      <c r="E43" s="15"/>
      <c r="F43" s="15"/>
      <c r="G43" s="16"/>
      <c r="H43" s="15">
        <f t="shared" si="1"/>
        <v>35.917000000000002</v>
      </c>
      <c r="I43" s="15">
        <f t="shared" si="2"/>
        <v>76.917000000000002</v>
      </c>
      <c r="J43" s="16">
        <f t="shared" si="0"/>
        <v>112.834</v>
      </c>
    </row>
    <row r="44" spans="1:10" x14ac:dyDescent="0.25">
      <c r="A44" s="17" t="s">
        <v>49</v>
      </c>
      <c r="B44" s="15">
        <v>15</v>
      </c>
      <c r="C44" s="15">
        <v>15</v>
      </c>
      <c r="D44" s="15"/>
      <c r="E44" s="15"/>
      <c r="F44" s="15"/>
      <c r="G44" s="16"/>
      <c r="H44" s="15">
        <f t="shared" si="1"/>
        <v>50.917000000000002</v>
      </c>
      <c r="I44" s="15">
        <f t="shared" si="2"/>
        <v>91.917000000000002</v>
      </c>
      <c r="J44" s="16">
        <f t="shared" si="0"/>
        <v>142.834</v>
      </c>
    </row>
    <row r="45" spans="1:10" x14ac:dyDescent="0.25">
      <c r="A45" s="17" t="s">
        <v>50</v>
      </c>
      <c r="B45" s="15"/>
      <c r="C45" s="15"/>
      <c r="D45" s="15"/>
      <c r="E45" s="15"/>
      <c r="F45" s="15">
        <v>5</v>
      </c>
      <c r="G45" s="16"/>
      <c r="H45" s="15">
        <f t="shared" si="1"/>
        <v>45.917000000000002</v>
      </c>
      <c r="I45" s="15">
        <f t="shared" si="2"/>
        <v>91.917000000000002</v>
      </c>
      <c r="J45" s="16">
        <f t="shared" si="0"/>
        <v>137.834</v>
      </c>
    </row>
    <row r="46" spans="1:10" x14ac:dyDescent="0.25">
      <c r="A46" s="15" t="s">
        <v>51</v>
      </c>
      <c r="B46" s="15">
        <f>1.25*7</f>
        <v>8.75</v>
      </c>
      <c r="C46" s="15">
        <v>8.75</v>
      </c>
      <c r="D46" s="15"/>
      <c r="E46" s="15"/>
      <c r="F46" s="15"/>
      <c r="G46" s="16"/>
      <c r="H46" s="15">
        <f t="shared" si="1"/>
        <v>54.667000000000002</v>
      </c>
      <c r="I46" s="15">
        <f t="shared" si="2"/>
        <v>100.667</v>
      </c>
      <c r="J46" s="16">
        <f t="shared" si="0"/>
        <v>155.334</v>
      </c>
    </row>
    <row r="47" spans="1:10" x14ac:dyDescent="0.25">
      <c r="A47" s="15" t="s">
        <v>52</v>
      </c>
      <c r="B47" s="15"/>
      <c r="C47" s="15"/>
      <c r="D47" s="15"/>
      <c r="E47" s="15"/>
      <c r="F47" s="15">
        <v>1</v>
      </c>
      <c r="G47" s="16"/>
      <c r="H47" s="15">
        <f t="shared" si="1"/>
        <v>53.667000000000002</v>
      </c>
      <c r="I47" s="15">
        <f t="shared" si="2"/>
        <v>100.667</v>
      </c>
      <c r="J47" s="16">
        <f t="shared" si="0"/>
        <v>154.334</v>
      </c>
    </row>
    <row r="48" spans="1:10" x14ac:dyDescent="0.25">
      <c r="A48" s="18" t="s">
        <v>53</v>
      </c>
      <c r="B48" s="18">
        <f>4*1.25</f>
        <v>5</v>
      </c>
      <c r="C48" s="18">
        <v>5</v>
      </c>
      <c r="D48" s="18"/>
      <c r="E48" s="18"/>
      <c r="F48" s="18"/>
      <c r="G48" s="19"/>
      <c r="H48" s="15">
        <f t="shared" si="1"/>
        <v>58.667000000000002</v>
      </c>
      <c r="I48" s="15">
        <f t="shared" si="2"/>
        <v>105.667</v>
      </c>
      <c r="J48" s="16">
        <f t="shared" si="0"/>
        <v>164.334</v>
      </c>
    </row>
    <row r="49" spans="1:13" x14ac:dyDescent="0.25">
      <c r="A49" s="18" t="s">
        <v>54</v>
      </c>
      <c r="B49" s="18"/>
      <c r="C49" s="18"/>
      <c r="D49" s="18"/>
      <c r="E49" s="18"/>
      <c r="F49" s="18">
        <v>2</v>
      </c>
      <c r="G49" s="19"/>
      <c r="H49" s="15">
        <f t="shared" si="1"/>
        <v>56.667000000000002</v>
      </c>
      <c r="I49" s="15">
        <f t="shared" si="2"/>
        <v>105.667</v>
      </c>
      <c r="J49" s="16">
        <f t="shared" si="0"/>
        <v>162.334</v>
      </c>
    </row>
    <row r="50" spans="1:13" x14ac:dyDescent="0.25">
      <c r="A50" s="18" t="s">
        <v>55</v>
      </c>
      <c r="B50" s="18"/>
      <c r="C50" s="18"/>
      <c r="D50" s="18">
        <v>15</v>
      </c>
      <c r="E50" s="18"/>
      <c r="F50" s="18"/>
      <c r="G50" s="19"/>
      <c r="H50" s="15">
        <f t="shared" si="1"/>
        <v>41.667000000000002</v>
      </c>
      <c r="I50" s="15">
        <f t="shared" si="2"/>
        <v>105.667</v>
      </c>
      <c r="J50" s="16">
        <f t="shared" si="0"/>
        <v>147.334</v>
      </c>
    </row>
    <row r="51" spans="1:13" x14ac:dyDescent="0.25">
      <c r="A51" s="18" t="s">
        <v>56</v>
      </c>
      <c r="B51" s="18"/>
      <c r="C51" s="18"/>
      <c r="D51" s="18"/>
      <c r="E51" s="18"/>
      <c r="F51" s="18">
        <v>1</v>
      </c>
      <c r="G51" s="18"/>
      <c r="H51" s="15">
        <f t="shared" si="1"/>
        <v>40.667000000000002</v>
      </c>
      <c r="I51" s="15">
        <f t="shared" si="2"/>
        <v>105.667</v>
      </c>
      <c r="J51" s="16">
        <f t="shared" si="0"/>
        <v>146.334</v>
      </c>
    </row>
    <row r="52" spans="1:13" x14ac:dyDescent="0.25">
      <c r="A52" s="18" t="s">
        <v>57</v>
      </c>
      <c r="B52" s="18">
        <v>1.25</v>
      </c>
      <c r="C52" s="18">
        <v>1.25</v>
      </c>
      <c r="D52" s="18"/>
      <c r="E52" s="18"/>
      <c r="F52" s="18"/>
      <c r="G52" s="18"/>
      <c r="H52" s="15">
        <f t="shared" si="1"/>
        <v>41.917000000000002</v>
      </c>
      <c r="I52" s="15">
        <f t="shared" si="2"/>
        <v>106.917</v>
      </c>
      <c r="J52" s="16">
        <f t="shared" si="0"/>
        <v>148.834</v>
      </c>
    </row>
    <row r="53" spans="1:13" x14ac:dyDescent="0.25">
      <c r="A53" s="18" t="s">
        <v>58</v>
      </c>
      <c r="B53" s="18"/>
      <c r="C53" s="18"/>
      <c r="D53" s="18"/>
      <c r="E53" s="18"/>
      <c r="F53" s="18">
        <v>1</v>
      </c>
      <c r="G53" s="18"/>
      <c r="H53" s="15">
        <f t="shared" si="1"/>
        <v>40.917000000000002</v>
      </c>
      <c r="I53" s="15">
        <f t="shared" si="2"/>
        <v>106.917</v>
      </c>
      <c r="J53" s="16">
        <f t="shared" si="0"/>
        <v>147.834</v>
      </c>
    </row>
    <row r="54" spans="1:13" x14ac:dyDescent="0.25">
      <c r="A54" s="18" t="s">
        <v>59</v>
      </c>
      <c r="B54" s="18">
        <v>1.25</v>
      </c>
      <c r="C54" s="18">
        <v>1.25</v>
      </c>
      <c r="D54" s="18"/>
      <c r="E54" s="18"/>
      <c r="F54" s="18"/>
      <c r="G54" s="18"/>
      <c r="H54" s="15">
        <f t="shared" si="1"/>
        <v>42.167000000000002</v>
      </c>
      <c r="I54" s="15">
        <f t="shared" si="2"/>
        <v>108.167</v>
      </c>
      <c r="J54" s="16">
        <f t="shared" si="0"/>
        <v>150.334</v>
      </c>
    </row>
    <row r="55" spans="1:13" x14ac:dyDescent="0.25">
      <c r="A55" s="18" t="s">
        <v>60</v>
      </c>
      <c r="B55" s="18"/>
      <c r="C55" s="18"/>
      <c r="D55" s="18"/>
      <c r="E55" s="18"/>
      <c r="F55" s="18">
        <v>1</v>
      </c>
      <c r="G55" s="18"/>
      <c r="H55" s="15">
        <f t="shared" ref="H55:H66" si="3">H54-F55-D55+B55</f>
        <v>41.167000000000002</v>
      </c>
      <c r="I55" s="15">
        <f t="shared" ref="I55:I66" si="4">I54-E55+C55</f>
        <v>108.167</v>
      </c>
      <c r="J55" s="16">
        <f t="shared" ref="J55:J66" si="5">SUM(H55:I55)</f>
        <v>149.334</v>
      </c>
    </row>
    <row r="56" spans="1:13" x14ac:dyDescent="0.25">
      <c r="A56" s="18" t="s">
        <v>61</v>
      </c>
      <c r="B56" s="18">
        <f>5*1.25</f>
        <v>6.25</v>
      </c>
      <c r="C56" s="18">
        <v>6.25</v>
      </c>
      <c r="D56" s="18"/>
      <c r="E56" s="18"/>
      <c r="F56" s="18"/>
      <c r="G56" s="18"/>
      <c r="H56" s="15">
        <f t="shared" si="3"/>
        <v>47.417000000000002</v>
      </c>
      <c r="I56" s="15">
        <f t="shared" si="4"/>
        <v>114.417</v>
      </c>
      <c r="J56" s="16">
        <f t="shared" si="5"/>
        <v>161.834</v>
      </c>
    </row>
    <row r="57" spans="1:13" x14ac:dyDescent="0.25">
      <c r="A57" s="18" t="s">
        <v>62</v>
      </c>
      <c r="B57" s="18"/>
      <c r="C57" s="18"/>
      <c r="D57" s="18">
        <v>29</v>
      </c>
      <c r="E57" s="18"/>
      <c r="F57" s="18"/>
      <c r="G57" s="18"/>
      <c r="H57" s="15">
        <f t="shared" si="3"/>
        <v>18.417000000000002</v>
      </c>
      <c r="I57" s="15">
        <f t="shared" si="4"/>
        <v>114.417</v>
      </c>
      <c r="J57" s="16">
        <f t="shared" si="5"/>
        <v>132.834</v>
      </c>
    </row>
    <row r="58" spans="1:13" x14ac:dyDescent="0.25">
      <c r="A58" s="18" t="s">
        <v>63</v>
      </c>
      <c r="B58" s="18">
        <f>6*1.25</f>
        <v>7.5</v>
      </c>
      <c r="C58" s="18">
        <v>7.5</v>
      </c>
      <c r="D58" s="18"/>
      <c r="E58" s="18"/>
      <c r="F58" s="18"/>
      <c r="G58" s="18"/>
      <c r="H58" s="15">
        <f t="shared" si="3"/>
        <v>25.917000000000002</v>
      </c>
      <c r="I58" s="15">
        <f t="shared" si="4"/>
        <v>121.917</v>
      </c>
      <c r="J58" s="16">
        <f t="shared" si="5"/>
        <v>147.834</v>
      </c>
    </row>
    <row r="59" spans="1:13" x14ac:dyDescent="0.25">
      <c r="A59" s="18" t="s">
        <v>64</v>
      </c>
      <c r="B59" s="18"/>
      <c r="C59" s="18"/>
      <c r="D59" s="18"/>
      <c r="E59" s="18"/>
      <c r="F59" s="18">
        <v>4</v>
      </c>
      <c r="G59" s="18"/>
      <c r="H59" s="15">
        <f t="shared" si="3"/>
        <v>21.917000000000002</v>
      </c>
      <c r="I59" s="15">
        <f t="shared" si="4"/>
        <v>121.917</v>
      </c>
      <c r="J59" s="16">
        <f t="shared" si="5"/>
        <v>143.834</v>
      </c>
    </row>
    <row r="60" spans="1:13" x14ac:dyDescent="0.25">
      <c r="A60" s="18" t="s">
        <v>65</v>
      </c>
      <c r="B60" s="18">
        <v>15</v>
      </c>
      <c r="C60" s="18">
        <v>15</v>
      </c>
      <c r="D60" s="18"/>
      <c r="E60" s="18"/>
      <c r="F60" s="18"/>
      <c r="G60" s="18"/>
      <c r="H60" s="15">
        <f t="shared" si="3"/>
        <v>36.917000000000002</v>
      </c>
      <c r="I60" s="15">
        <f t="shared" si="4"/>
        <v>136.917</v>
      </c>
      <c r="J60" s="16">
        <f t="shared" si="5"/>
        <v>173.834</v>
      </c>
    </row>
    <row r="61" spans="1:13" x14ac:dyDescent="0.25">
      <c r="A61" s="18" t="s">
        <v>66</v>
      </c>
      <c r="B61" s="18"/>
      <c r="C61" s="18"/>
      <c r="D61" s="18"/>
      <c r="E61" s="18"/>
      <c r="F61" s="18">
        <v>5</v>
      </c>
      <c r="G61" s="18"/>
      <c r="H61" s="15">
        <f t="shared" si="3"/>
        <v>31.917000000000002</v>
      </c>
      <c r="I61" s="15">
        <f t="shared" si="4"/>
        <v>136.917</v>
      </c>
      <c r="J61" s="16">
        <f t="shared" si="5"/>
        <v>168.834</v>
      </c>
    </row>
    <row r="62" spans="1:13" x14ac:dyDescent="0.25">
      <c r="A62" s="18" t="s">
        <v>67</v>
      </c>
      <c r="B62" s="18">
        <v>15</v>
      </c>
      <c r="C62" s="18">
        <v>15</v>
      </c>
      <c r="D62" s="18"/>
      <c r="E62" s="18"/>
      <c r="F62" s="18"/>
      <c r="G62" s="18"/>
      <c r="H62" s="15">
        <f t="shared" si="3"/>
        <v>46.917000000000002</v>
      </c>
      <c r="I62" s="15">
        <f t="shared" si="4"/>
        <v>151.917</v>
      </c>
      <c r="J62" s="16">
        <f t="shared" si="5"/>
        <v>198.834</v>
      </c>
    </row>
    <row r="63" spans="1:13" x14ac:dyDescent="0.25">
      <c r="A63" s="18" t="s">
        <v>68</v>
      </c>
      <c r="B63" s="18"/>
      <c r="C63" s="18"/>
      <c r="D63" s="18"/>
      <c r="E63" s="18"/>
      <c r="F63" s="18">
        <v>5</v>
      </c>
      <c r="G63" s="18"/>
      <c r="H63" s="15">
        <f t="shared" si="3"/>
        <v>41.917000000000002</v>
      </c>
      <c r="I63" s="15">
        <f t="shared" si="4"/>
        <v>151.917</v>
      </c>
      <c r="J63" s="16">
        <f t="shared" si="5"/>
        <v>193.834</v>
      </c>
      <c r="M63" s="13"/>
    </row>
    <row r="64" spans="1:13" x14ac:dyDescent="0.25">
      <c r="A64" s="18" t="s">
        <v>69</v>
      </c>
      <c r="B64" s="18"/>
      <c r="C64" s="18"/>
      <c r="D64" s="18">
        <v>5</v>
      </c>
      <c r="E64" s="18"/>
      <c r="F64" s="18"/>
      <c r="G64" s="18"/>
      <c r="H64" s="15">
        <f t="shared" si="3"/>
        <v>36.917000000000002</v>
      </c>
      <c r="I64" s="15">
        <f t="shared" si="4"/>
        <v>151.917</v>
      </c>
      <c r="J64" s="16">
        <f t="shared" si="5"/>
        <v>188.834</v>
      </c>
    </row>
    <row r="65" spans="1:10" x14ac:dyDescent="0.25">
      <c r="A65" s="18" t="s">
        <v>70</v>
      </c>
      <c r="B65" s="18">
        <f>9*1.25</f>
        <v>11.25</v>
      </c>
      <c r="C65" s="18">
        <v>11.25</v>
      </c>
      <c r="D65" s="18"/>
      <c r="E65" s="18"/>
      <c r="F65" s="18"/>
      <c r="G65" s="18"/>
      <c r="H65" s="15">
        <f t="shared" si="3"/>
        <v>48.167000000000002</v>
      </c>
      <c r="I65" s="15">
        <f t="shared" si="4"/>
        <v>163.167</v>
      </c>
      <c r="J65" s="16">
        <f t="shared" si="5"/>
        <v>211.334</v>
      </c>
    </row>
    <row r="66" spans="1:10" x14ac:dyDescent="0.25">
      <c r="A66" s="18" t="s">
        <v>71</v>
      </c>
      <c r="B66" s="18"/>
      <c r="C66" s="18"/>
      <c r="D66" s="18">
        <v>29</v>
      </c>
      <c r="E66" s="18"/>
      <c r="F66" s="18"/>
      <c r="G66" s="18"/>
      <c r="H66" s="15">
        <f t="shared" si="3"/>
        <v>19.167000000000002</v>
      </c>
      <c r="I66" s="15">
        <f t="shared" si="4"/>
        <v>163.167</v>
      </c>
      <c r="J66" s="16">
        <f t="shared" si="5"/>
        <v>182.334</v>
      </c>
    </row>
    <row r="67" spans="1:10" x14ac:dyDescent="0.25">
      <c r="A67" s="18" t="s">
        <v>72</v>
      </c>
      <c r="B67" s="18">
        <v>3.75</v>
      </c>
      <c r="C67" s="18">
        <v>3.75</v>
      </c>
      <c r="D67" s="18"/>
      <c r="E67" s="18"/>
      <c r="F67" s="18"/>
      <c r="G67" s="18"/>
      <c r="H67" s="15">
        <f t="shared" ref="H67:H77" si="6">H66-F67-D67+B67</f>
        <v>22.917000000000002</v>
      </c>
      <c r="I67" s="15">
        <f t="shared" ref="I67:I77" si="7">I66-E67+C67</f>
        <v>166.917</v>
      </c>
      <c r="J67" s="16">
        <f t="shared" ref="J67:J77" si="8">SUM(H67:I67)</f>
        <v>189.834</v>
      </c>
    </row>
    <row r="68" spans="1:10" x14ac:dyDescent="0.25">
      <c r="A68" s="18" t="s">
        <v>73</v>
      </c>
      <c r="B68" s="18"/>
      <c r="C68" s="18"/>
      <c r="D68" s="18"/>
      <c r="E68" s="18"/>
      <c r="F68" s="18">
        <v>5</v>
      </c>
      <c r="G68" s="18"/>
      <c r="H68" s="15">
        <f t="shared" si="6"/>
        <v>17.917000000000002</v>
      </c>
      <c r="I68" s="15">
        <f t="shared" si="7"/>
        <v>166.917</v>
      </c>
      <c r="J68" s="16">
        <f t="shared" si="8"/>
        <v>184.834</v>
      </c>
    </row>
    <row r="69" spans="1:10" x14ac:dyDescent="0.25">
      <c r="A69" s="18" t="s">
        <v>74</v>
      </c>
      <c r="B69" s="18">
        <v>10</v>
      </c>
      <c r="C69" s="18">
        <v>10</v>
      </c>
      <c r="D69" s="18"/>
      <c r="E69" s="18"/>
      <c r="F69" s="18"/>
      <c r="G69" s="18"/>
      <c r="H69" s="15">
        <f t="shared" si="6"/>
        <v>27.917000000000002</v>
      </c>
      <c r="I69" s="15">
        <f t="shared" si="7"/>
        <v>176.917</v>
      </c>
      <c r="J69" s="16">
        <f t="shared" si="8"/>
        <v>204.834</v>
      </c>
    </row>
    <row r="70" spans="1:10" x14ac:dyDescent="0.25">
      <c r="A70" s="18" t="s">
        <v>75</v>
      </c>
      <c r="B70" s="18"/>
      <c r="C70" s="18"/>
      <c r="D70" s="18">
        <v>22</v>
      </c>
      <c r="E70" s="18">
        <v>7</v>
      </c>
      <c r="F70" s="18"/>
      <c r="G70" s="18"/>
      <c r="H70" s="15">
        <f t="shared" si="6"/>
        <v>5.9170000000000016</v>
      </c>
      <c r="I70" s="15">
        <f t="shared" si="7"/>
        <v>169.917</v>
      </c>
      <c r="J70" s="16">
        <f t="shared" si="8"/>
        <v>175.834</v>
      </c>
    </row>
    <row r="71" spans="1:10" x14ac:dyDescent="0.25">
      <c r="A71" s="18" t="s">
        <v>76</v>
      </c>
      <c r="B71" s="18">
        <f>3*1.25</f>
        <v>3.75</v>
      </c>
      <c r="C71" s="18">
        <v>3.75</v>
      </c>
      <c r="D71" s="18"/>
      <c r="E71" s="18"/>
      <c r="F71" s="18"/>
      <c r="G71" s="18"/>
      <c r="H71" s="15">
        <f t="shared" si="6"/>
        <v>9.6670000000000016</v>
      </c>
      <c r="I71" s="15">
        <f t="shared" si="7"/>
        <v>173.667</v>
      </c>
      <c r="J71" s="16">
        <f t="shared" si="8"/>
        <v>183.334</v>
      </c>
    </row>
    <row r="72" spans="1:10" x14ac:dyDescent="0.25">
      <c r="A72" s="18" t="s">
        <v>77</v>
      </c>
      <c r="B72" s="18"/>
      <c r="C72" s="18"/>
      <c r="D72" s="18"/>
      <c r="E72" s="18"/>
      <c r="F72" s="18">
        <v>1</v>
      </c>
      <c r="G72" s="18"/>
      <c r="H72" s="15">
        <f t="shared" si="6"/>
        <v>8.6670000000000016</v>
      </c>
      <c r="I72" s="15">
        <f t="shared" si="7"/>
        <v>173.667</v>
      </c>
      <c r="J72" s="16">
        <f t="shared" si="8"/>
        <v>182.334</v>
      </c>
    </row>
    <row r="73" spans="1:10" x14ac:dyDescent="0.25">
      <c r="A73" s="18" t="s">
        <v>78</v>
      </c>
      <c r="B73" s="18">
        <v>1.25</v>
      </c>
      <c r="C73" s="18">
        <v>1.25</v>
      </c>
      <c r="D73" s="18"/>
      <c r="E73" s="18"/>
      <c r="F73" s="18"/>
      <c r="G73" s="18"/>
      <c r="H73" s="15">
        <f t="shared" si="6"/>
        <v>9.9170000000000016</v>
      </c>
      <c r="I73" s="15">
        <f t="shared" si="7"/>
        <v>174.917</v>
      </c>
      <c r="J73" s="16">
        <f t="shared" si="8"/>
        <v>184.834</v>
      </c>
    </row>
    <row r="74" spans="1:10" x14ac:dyDescent="0.25">
      <c r="A74" s="18" t="s">
        <v>79</v>
      </c>
      <c r="B74" s="18"/>
      <c r="C74" s="18"/>
      <c r="D74" s="18"/>
      <c r="E74" s="18"/>
      <c r="F74" s="18">
        <v>4</v>
      </c>
      <c r="G74" s="18"/>
      <c r="H74" s="15">
        <f t="shared" si="6"/>
        <v>5.9170000000000016</v>
      </c>
      <c r="I74" s="15">
        <f t="shared" si="7"/>
        <v>174.917</v>
      </c>
      <c r="J74" s="16">
        <f t="shared" si="8"/>
        <v>180.834</v>
      </c>
    </row>
    <row r="75" spans="1:10" x14ac:dyDescent="0.25">
      <c r="A75" s="18" t="s">
        <v>80</v>
      </c>
      <c r="B75" s="18">
        <v>2.5</v>
      </c>
      <c r="C75" s="18">
        <v>1.25</v>
      </c>
      <c r="D75" s="18"/>
      <c r="E75" s="18"/>
      <c r="F75" s="18"/>
      <c r="G75" s="18"/>
      <c r="H75" s="15">
        <f t="shared" si="6"/>
        <v>8.4170000000000016</v>
      </c>
      <c r="I75" s="15">
        <f t="shared" si="7"/>
        <v>176.167</v>
      </c>
      <c r="J75" s="16">
        <f t="shared" si="8"/>
        <v>184.584</v>
      </c>
    </row>
    <row r="76" spans="1:10" x14ac:dyDescent="0.25">
      <c r="A76" s="18" t="s">
        <v>81</v>
      </c>
      <c r="B76" s="18"/>
      <c r="C76" s="18"/>
      <c r="D76" s="18"/>
      <c r="E76" s="18">
        <v>5</v>
      </c>
      <c r="F76" s="18"/>
      <c r="G76" s="18"/>
      <c r="H76" s="15">
        <f t="shared" si="6"/>
        <v>8.4170000000000016</v>
      </c>
      <c r="I76" s="15">
        <f t="shared" si="7"/>
        <v>171.167</v>
      </c>
      <c r="J76" s="16">
        <f t="shared" si="8"/>
        <v>179.584</v>
      </c>
    </row>
    <row r="77" spans="1:10" x14ac:dyDescent="0.25">
      <c r="A77" s="18" t="s">
        <v>82</v>
      </c>
      <c r="B77" s="18">
        <f>6*1.25</f>
        <v>7.5</v>
      </c>
      <c r="C77" s="18">
        <v>7.5</v>
      </c>
      <c r="D77" s="18"/>
      <c r="E77" s="18"/>
      <c r="F77" s="18"/>
      <c r="G77" s="18"/>
      <c r="H77" s="15">
        <f t="shared" si="6"/>
        <v>15.917000000000002</v>
      </c>
      <c r="I77" s="15">
        <f t="shared" si="7"/>
        <v>178.667</v>
      </c>
      <c r="J77" s="16">
        <f t="shared" si="8"/>
        <v>194.584</v>
      </c>
    </row>
    <row r="78" spans="1:10" x14ac:dyDescent="0.25">
      <c r="A78" s="18" t="s">
        <v>83</v>
      </c>
      <c r="B78" s="18"/>
      <c r="C78" s="18"/>
      <c r="D78" s="18">
        <v>10</v>
      </c>
      <c r="E78" s="18">
        <v>19</v>
      </c>
      <c r="F78" s="18"/>
      <c r="G78" s="18"/>
      <c r="H78" s="15">
        <f t="shared" ref="H78:H79" si="9">H77-F78-D78+B78</f>
        <v>5.9170000000000016</v>
      </c>
      <c r="I78" s="15">
        <f t="shared" ref="I78:I79" si="10">I77-E78+C78</f>
        <v>159.667</v>
      </c>
      <c r="J78" s="16">
        <f t="shared" ref="J78:J79" si="11">SUM(H78:I78)</f>
        <v>165.584</v>
      </c>
    </row>
    <row r="79" spans="1:10" x14ac:dyDescent="0.25">
      <c r="A79" s="18" t="s">
        <v>84</v>
      </c>
      <c r="B79" s="18">
        <f>3*1.25</f>
        <v>3.75</v>
      </c>
      <c r="C79" s="18">
        <v>3.75</v>
      </c>
      <c r="D79" s="18"/>
      <c r="E79" s="18"/>
      <c r="F79" s="18"/>
      <c r="G79" s="18"/>
      <c r="H79" s="15">
        <f t="shared" si="9"/>
        <v>9.6670000000000016</v>
      </c>
      <c r="I79" s="15">
        <f t="shared" si="10"/>
        <v>163.417</v>
      </c>
      <c r="J79" s="16">
        <f t="shared" si="11"/>
        <v>173.084</v>
      </c>
    </row>
    <row r="80" spans="1:10" x14ac:dyDescent="0.25">
      <c r="A80" s="18" t="s">
        <v>85</v>
      </c>
      <c r="B80" s="18"/>
      <c r="C80" s="18"/>
      <c r="D80" s="18"/>
      <c r="E80" s="18"/>
      <c r="F80" s="18">
        <v>1</v>
      </c>
      <c r="G80" s="18"/>
      <c r="H80" s="15">
        <f t="shared" ref="H80:H81" si="12">H79-F80-D80+B80</f>
        <v>8.6670000000000016</v>
      </c>
      <c r="I80" s="15">
        <f t="shared" ref="I80:I81" si="13">I79-E80+C80</f>
        <v>163.417</v>
      </c>
      <c r="J80" s="16">
        <f t="shared" ref="J80:J81" si="14">SUM(H80:I80)</f>
        <v>172.084</v>
      </c>
    </row>
    <row r="81" spans="1:12" x14ac:dyDescent="0.25">
      <c r="A81" s="18" t="s">
        <v>86</v>
      </c>
      <c r="B81" s="18">
        <v>1.25</v>
      </c>
      <c r="C81" s="18">
        <v>1.25</v>
      </c>
      <c r="D81" s="18"/>
      <c r="E81" s="18"/>
      <c r="F81" s="18"/>
      <c r="G81" s="18"/>
      <c r="H81" s="15">
        <f t="shared" si="12"/>
        <v>9.9170000000000016</v>
      </c>
      <c r="I81" s="15">
        <f t="shared" si="13"/>
        <v>164.667</v>
      </c>
      <c r="J81" s="16">
        <f t="shared" si="14"/>
        <v>174.584</v>
      </c>
    </row>
    <row r="82" spans="1:12" x14ac:dyDescent="0.25">
      <c r="A82" s="18" t="s">
        <v>91</v>
      </c>
      <c r="B82" s="18"/>
      <c r="C82" s="18"/>
      <c r="D82" s="18"/>
      <c r="E82" s="18"/>
      <c r="F82" s="18">
        <v>4</v>
      </c>
      <c r="G82" s="18"/>
      <c r="H82" s="15">
        <f t="shared" ref="H82:H87" si="15">H81-F82-D82+B82</f>
        <v>5.9170000000000016</v>
      </c>
      <c r="I82" s="15">
        <f t="shared" ref="I82:I87" si="16">I81-E82+C82</f>
        <v>164.667</v>
      </c>
      <c r="J82" s="16">
        <f t="shared" ref="J82:J87" si="17">SUM(H82:I82)</f>
        <v>170.584</v>
      </c>
    </row>
    <row r="83" spans="1:12" x14ac:dyDescent="0.25">
      <c r="A83" s="18" t="s">
        <v>87</v>
      </c>
      <c r="B83" s="18">
        <v>2.5</v>
      </c>
      <c r="C83" s="18">
        <v>2.5</v>
      </c>
      <c r="D83" s="18"/>
      <c r="E83" s="18"/>
      <c r="F83" s="18"/>
      <c r="G83" s="18"/>
      <c r="H83" s="15">
        <f t="shared" si="15"/>
        <v>8.4170000000000016</v>
      </c>
      <c r="I83" s="15">
        <f t="shared" si="16"/>
        <v>167.167</v>
      </c>
      <c r="J83" s="16">
        <f t="shared" si="17"/>
        <v>175.584</v>
      </c>
    </row>
    <row r="84" spans="1:12" x14ac:dyDescent="0.25">
      <c r="A84" s="18" t="s">
        <v>88</v>
      </c>
      <c r="B84" s="18"/>
      <c r="C84" s="18"/>
      <c r="D84" s="18"/>
      <c r="E84" s="18"/>
      <c r="F84" s="18">
        <v>1</v>
      </c>
      <c r="G84" s="14"/>
      <c r="H84" s="15">
        <f t="shared" si="15"/>
        <v>7.4170000000000016</v>
      </c>
      <c r="I84" s="15">
        <f t="shared" si="16"/>
        <v>167.167</v>
      </c>
      <c r="J84" s="16">
        <f t="shared" si="17"/>
        <v>174.584</v>
      </c>
    </row>
    <row r="85" spans="1:12" x14ac:dyDescent="0.25">
      <c r="A85" s="18" t="s">
        <v>89</v>
      </c>
      <c r="B85" s="18">
        <v>2.5</v>
      </c>
      <c r="C85" s="18">
        <v>2.5</v>
      </c>
      <c r="D85" s="18"/>
      <c r="E85" s="18"/>
      <c r="F85" s="18"/>
      <c r="G85" s="14"/>
      <c r="H85" s="15">
        <f t="shared" si="15"/>
        <v>9.9170000000000016</v>
      </c>
      <c r="I85" s="15">
        <f t="shared" si="16"/>
        <v>169.667</v>
      </c>
      <c r="J85" s="16">
        <f t="shared" si="17"/>
        <v>179.584</v>
      </c>
    </row>
    <row r="86" spans="1:12" x14ac:dyDescent="0.25">
      <c r="A86" s="18" t="s">
        <v>90</v>
      </c>
      <c r="B86" s="18"/>
      <c r="C86" s="18"/>
      <c r="D86" s="18"/>
      <c r="E86" s="18">
        <v>1</v>
      </c>
      <c r="F86" s="18"/>
      <c r="G86" s="14"/>
      <c r="H86" s="15">
        <f t="shared" si="15"/>
        <v>9.9170000000000016</v>
      </c>
      <c r="I86" s="15">
        <f t="shared" si="16"/>
        <v>168.667</v>
      </c>
      <c r="J86" s="16">
        <f t="shared" si="17"/>
        <v>178.584</v>
      </c>
    </row>
    <row r="87" spans="1:12" x14ac:dyDescent="0.25">
      <c r="A87" s="18" t="s">
        <v>92</v>
      </c>
      <c r="B87" s="18">
        <v>6.25</v>
      </c>
      <c r="C87" s="18">
        <v>6.25</v>
      </c>
      <c r="D87" s="18"/>
      <c r="E87" s="18"/>
      <c r="F87" s="18"/>
      <c r="G87" s="18"/>
      <c r="H87" s="15">
        <f t="shared" si="15"/>
        <v>16.167000000000002</v>
      </c>
      <c r="I87" s="15">
        <f t="shared" si="16"/>
        <v>174.917</v>
      </c>
      <c r="J87" s="16">
        <f t="shared" si="17"/>
        <v>191.084</v>
      </c>
    </row>
    <row r="88" spans="1:12" x14ac:dyDescent="0.25">
      <c r="A88" s="14" t="s">
        <v>93</v>
      </c>
      <c r="B88" s="20"/>
      <c r="C88" s="20"/>
      <c r="D88" s="14">
        <v>10</v>
      </c>
      <c r="E88" s="20"/>
      <c r="F88" s="20"/>
      <c r="G88" s="20"/>
      <c r="H88" s="15">
        <f t="shared" ref="H88" si="18">H87-F88-D88+B88</f>
        <v>6.1670000000000016</v>
      </c>
      <c r="I88" s="15">
        <f t="shared" ref="I88" si="19">I87-E88+C88</f>
        <v>174.917</v>
      </c>
      <c r="J88" s="16">
        <f t="shared" ref="J88" si="20">SUM(H88:I88)</f>
        <v>181.084</v>
      </c>
      <c r="K88" s="1"/>
      <c r="L88" s="1"/>
    </row>
    <row r="89" spans="1:12" x14ac:dyDescent="0.25">
      <c r="A89" s="14" t="s">
        <v>94</v>
      </c>
      <c r="B89" s="14">
        <v>3.75</v>
      </c>
      <c r="C89" s="14">
        <v>3.75</v>
      </c>
      <c r="D89" s="14"/>
      <c r="E89" s="20"/>
      <c r="F89" s="20"/>
      <c r="G89" s="20"/>
      <c r="H89" s="15">
        <f t="shared" ref="H89:H91" si="21">H88-F89-D89+B89</f>
        <v>9.9170000000000016</v>
      </c>
      <c r="I89" s="15">
        <f t="shared" ref="I89:I91" si="22">I88-E89+C89</f>
        <v>178.667</v>
      </c>
      <c r="J89" s="16">
        <f t="shared" ref="J89:J91" si="23">SUM(H89:I89)</f>
        <v>188.584</v>
      </c>
      <c r="K89" s="1"/>
      <c r="L89" s="1"/>
    </row>
    <row r="90" spans="1:12" x14ac:dyDescent="0.25">
      <c r="A90" s="14" t="s">
        <v>103</v>
      </c>
      <c r="B90" s="14"/>
      <c r="C90" s="14"/>
      <c r="D90" s="14"/>
      <c r="E90" s="20"/>
      <c r="F90" s="14">
        <v>4</v>
      </c>
      <c r="G90" s="20"/>
      <c r="H90" s="15">
        <f t="shared" si="21"/>
        <v>5.9170000000000016</v>
      </c>
      <c r="I90" s="15">
        <f t="shared" si="22"/>
        <v>178.667</v>
      </c>
      <c r="J90" s="16">
        <f t="shared" si="23"/>
        <v>184.584</v>
      </c>
      <c r="K90" s="1"/>
      <c r="L90" s="1"/>
    </row>
    <row r="91" spans="1:12" x14ac:dyDescent="0.25">
      <c r="A91" s="14" t="s">
        <v>95</v>
      </c>
      <c r="B91" s="14"/>
      <c r="C91" s="14"/>
      <c r="D91" s="14"/>
      <c r="E91" s="14">
        <v>2</v>
      </c>
      <c r="F91" s="20"/>
      <c r="G91" s="20"/>
      <c r="H91" s="15">
        <f t="shared" si="21"/>
        <v>5.9170000000000016</v>
      </c>
      <c r="I91" s="15">
        <f t="shared" si="22"/>
        <v>176.667</v>
      </c>
      <c r="J91" s="16">
        <f t="shared" si="23"/>
        <v>182.584</v>
      </c>
      <c r="K91" s="1"/>
      <c r="L91" s="1"/>
    </row>
    <row r="92" spans="1:12" x14ac:dyDescent="0.25">
      <c r="A92" s="14" t="s">
        <v>96</v>
      </c>
      <c r="B92" s="14">
        <v>5</v>
      </c>
      <c r="C92" s="14">
        <v>5</v>
      </c>
      <c r="D92" s="14"/>
      <c r="E92" s="14"/>
      <c r="F92" s="20"/>
      <c r="G92" s="20"/>
      <c r="H92" s="15">
        <f t="shared" ref="H92:H93" si="24">H91-F92-D92+B92</f>
        <v>10.917000000000002</v>
      </c>
      <c r="I92" s="15">
        <f t="shared" ref="I92:I93" si="25">I91-E92+C92</f>
        <v>181.667</v>
      </c>
      <c r="J92" s="16">
        <f t="shared" ref="J92:J93" si="26">SUM(H92:I92)</f>
        <v>192.584</v>
      </c>
      <c r="K92" s="1"/>
      <c r="L92" s="1"/>
    </row>
    <row r="93" spans="1:12" x14ac:dyDescent="0.25">
      <c r="A93" s="14" t="s">
        <v>97</v>
      </c>
      <c r="B93" s="14"/>
      <c r="C93" s="14"/>
      <c r="D93" s="14"/>
      <c r="E93" s="14">
        <v>2</v>
      </c>
      <c r="F93" s="20"/>
      <c r="G93" s="20"/>
      <c r="H93" s="15">
        <f t="shared" si="24"/>
        <v>10.917000000000002</v>
      </c>
      <c r="I93" s="15">
        <f t="shared" si="25"/>
        <v>179.667</v>
      </c>
      <c r="J93" s="16">
        <f t="shared" si="26"/>
        <v>190.584</v>
      </c>
      <c r="K93" s="1"/>
      <c r="L93" s="1"/>
    </row>
    <row r="94" spans="1:12" x14ac:dyDescent="0.25">
      <c r="A94" s="14" t="s">
        <v>98</v>
      </c>
      <c r="B94" s="14">
        <v>5</v>
      </c>
      <c r="C94" s="14">
        <v>5</v>
      </c>
      <c r="D94" s="14"/>
      <c r="E94" s="14"/>
      <c r="F94" s="20"/>
      <c r="G94" s="20"/>
      <c r="H94" s="15">
        <f t="shared" ref="H94" si="27">H93-F94-D94+B94</f>
        <v>15.917000000000002</v>
      </c>
      <c r="I94" s="15">
        <f t="shared" ref="I94" si="28">I93-E94+C94</f>
        <v>184.667</v>
      </c>
      <c r="J94" s="16">
        <f t="shared" ref="J94" si="29">SUM(H94:I94)</f>
        <v>200.584</v>
      </c>
      <c r="K94" s="1"/>
      <c r="L94" s="1"/>
    </row>
    <row r="95" spans="1:12" x14ac:dyDescent="0.25">
      <c r="A95" s="14"/>
      <c r="B95" s="14"/>
      <c r="C95" s="14"/>
      <c r="D95" s="14"/>
      <c r="E95" s="14"/>
      <c r="F95" s="20"/>
      <c r="G95" s="20"/>
      <c r="H95" s="15"/>
      <c r="I95" s="15"/>
      <c r="J95" s="16"/>
      <c r="K95" s="1"/>
      <c r="L95" s="1"/>
    </row>
    <row r="96" spans="1:12" x14ac:dyDescent="0.25">
      <c r="A96" s="21"/>
      <c r="B96" s="22"/>
      <c r="C96" s="22"/>
      <c r="D96" s="21"/>
      <c r="E96" s="22"/>
      <c r="F96" s="22"/>
      <c r="G96" s="22"/>
      <c r="H96" s="23"/>
      <c r="I96" s="23"/>
      <c r="J96" s="24"/>
      <c r="K96" s="1"/>
      <c r="L96" s="1"/>
    </row>
    <row r="97" spans="1:1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</sheetData>
  <mergeCells count="12">
    <mergeCell ref="A15:J15"/>
    <mergeCell ref="B16:J16"/>
    <mergeCell ref="A4:I4"/>
    <mergeCell ref="A5:I5"/>
    <mergeCell ref="A6:I6"/>
    <mergeCell ref="A7:I7"/>
    <mergeCell ref="A12:J12"/>
    <mergeCell ref="A13:A14"/>
    <mergeCell ref="B13:C13"/>
    <mergeCell ref="D13:G13"/>
    <mergeCell ref="H13:I13"/>
    <mergeCell ref="J13:J14"/>
  </mergeCells>
  <printOptions horizontalCentered="1"/>
  <pageMargins left="0.43307086614173229" right="0.23622047244094491" top="0.35433070866141736" bottom="0.35433070866141736" header="0.31496062992125984" footer="0.31496062992125984"/>
  <pageSetup paperSize="9" scale="70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CORRECTED</vt:lpstr>
      <vt:lpstr>WRONG</vt:lpstr>
      <vt:lpstr>CORRECTED!Print_Area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2025-09-02T01:44:10Z</cp:lastPrinted>
  <dcterms:created xsi:type="dcterms:W3CDTF">2023-10-09T02:45:42Z</dcterms:created>
  <dcterms:modified xsi:type="dcterms:W3CDTF">2025-09-02T01:52:13Z</dcterms:modified>
</cp:coreProperties>
</file>