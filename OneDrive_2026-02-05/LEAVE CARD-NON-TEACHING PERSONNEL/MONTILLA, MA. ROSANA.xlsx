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(NE)" sheetId="6" r:id="rId1"/>
    <sheet name="CTO" sheetId="8" r:id="rId2"/>
  </sheets>
  <definedNames>
    <definedName name="_xlnm.Print_Area" localSheetId="0">'Leave Card (NE)'!$A$1:$J$93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<sst xmlns="http://schemas.openxmlformats.org/spreadsheetml/2006/main" count="146" uniqueCount="120">
  <si>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</si>
  <si>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</si>
  <si>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</si>
  <si>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</si>
  <si>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</si>
  <si>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</si>
  <si>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</si>
  <si>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</si>
  <si>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</si>
  <si>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</si>
  <si>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</si>
  <si>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</si>
  <si>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</si>
  <si>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</si>
  <si>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</si>
  <si>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</si>
  <si>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</si>
  <si>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</si>
  <si>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</si>
  <si>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</si>
  <si>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</si>
  <si>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07/15/2019 - 7/31/2019</t>
  </si>
  <si>
    <t>ADD: 08/01/2019 - 12/31/2019</t>
  </si>
  <si>
    <t>LESS: 12/23,26 &amp; 27/2019</t>
  </si>
  <si>
    <t>ADD: 01/01/2020 - 12/31/2020</t>
  </si>
  <si>
    <t>LESS: 03/06/2020</t>
  </si>
  <si>
    <t>LESS: 11/16/2020</t>
  </si>
  <si>
    <t>LESS: 12/23,28, 29 &amp; 31/2020</t>
  </si>
  <si>
    <t>ADD: 01/01/2021 - 12/31/2021</t>
  </si>
  <si>
    <t>LESS: 05/07/2021</t>
  </si>
  <si>
    <t>LESS: MONETIZATION 2021</t>
  </si>
  <si>
    <t>LESS: 12/23, 27, 28 &amp; 29/2021</t>
  </si>
  <si>
    <t>ADD: 01/01/22 - 02/28/22</t>
  </si>
  <si>
    <t>LESS: APRIL 1, 2022</t>
  </si>
  <si>
    <t>ADD: 03/01/22 - 04/30/22</t>
  </si>
  <si>
    <t>LESS: 05/17/22</t>
  </si>
  <si>
    <t>ADD: 05/01/22 - 06/30/22</t>
  </si>
  <si>
    <t>LESS: 05/30 &amp; 07/01 /22</t>
  </si>
  <si>
    <t>ADD: 07/01/22 - 07/31/22</t>
  </si>
  <si>
    <t>LESS: 08/17/22</t>
  </si>
  <si>
    <t>ADD: 08/01/22 - 08/31/22</t>
  </si>
  <si>
    <t>LESS: 09/15 &amp; 16/22</t>
  </si>
  <si>
    <t>LESS: 09/21, 22 &amp; 23/22</t>
  </si>
  <si>
    <t>LESS: MONETIZATION 2022</t>
  </si>
  <si>
    <t>ADD: 09/01/22 - 12/31/22</t>
  </si>
  <si>
    <t>ADD: 01/01/223- 01/31/23</t>
  </si>
  <si>
    <t>LESS: 02/06/23</t>
  </si>
  <si>
    <t>ADD: 02/01/223- 03/31/23</t>
  </si>
  <si>
    <t>LESS: 03/24, 27 &amp; 28/23</t>
  </si>
  <si>
    <t>LESS: 03/29 &amp; 04, 03, 04 &amp; 05(AM)/23</t>
  </si>
  <si>
    <t>LESS: 04/28/2023</t>
  </si>
  <si>
    <t>ADD: 04/01/23- 04/30/23</t>
  </si>
  <si>
    <t>LESS: 05/26/2023</t>
  </si>
  <si>
    <t>ADD: 05/01/23- 06/30/23</t>
  </si>
  <si>
    <t>LESS: 06/30/2023 &amp; 07/10/2023</t>
  </si>
  <si>
    <t>LESS: 08/11/2023</t>
  </si>
  <si>
    <t>ADD: 07/01/23- 08/31/23</t>
  </si>
  <si>
    <t>LESS: MONETIZATION 2023</t>
  </si>
  <si>
    <t>LESS: 09/4-8/2023</t>
  </si>
  <si>
    <t>ADD:09/01/2023-10/31/2023</t>
  </si>
  <si>
    <t>LESS: 11/3&amp;17/2023</t>
  </si>
  <si>
    <t>ADD: 11/01/2023-11/30/2023</t>
  </si>
  <si>
    <t>LESS: 12/27-29/2023</t>
  </si>
  <si>
    <t>ADD: 12/01-31/2023</t>
  </si>
  <si>
    <t>ADD: 01/01/2024-03/31/2024</t>
  </si>
  <si>
    <t>LESS: 04/29/2024 (UNDERTIME)</t>
  </si>
  <si>
    <t>LESS: 04/30/2024</t>
  </si>
  <si>
    <t>ADD: 04/1-30/2024</t>
  </si>
  <si>
    <t>LESS: 05/20/2024</t>
  </si>
  <si>
    <t>LESS: 05/30/2024</t>
  </si>
  <si>
    <t>ADD: 05/1-31/2024</t>
  </si>
  <si>
    <t>LESS: 06/20/2024</t>
  </si>
  <si>
    <t>LESS: 06/21/2024</t>
  </si>
  <si>
    <t>LESS: 06/28/2024</t>
  </si>
  <si>
    <t>ADD: 06/1/2024-10/31/2024</t>
  </si>
  <si>
    <t>LESS: 12/23, 26, 27/2024</t>
  </si>
  <si>
    <t>ADD: 11/1/2024-12/31/2024</t>
  </si>
  <si>
    <t>LESS: 01/6/2025</t>
  </si>
  <si>
    <t>LESS: 01/23-24/2025</t>
  </si>
  <si>
    <t>ADD: 1/1-31/2025</t>
  </si>
  <si>
    <t>LESS: 12/26 &amp; 29/2025</t>
  </si>
  <si>
    <t>ADD: 02/1/2025-04/30/2025</t>
  </si>
  <si>
    <t>LESS: 04/24-25/2025</t>
  </si>
  <si>
    <t>ADD: 05/1/2025-06/30/2025</t>
  </si>
  <si>
    <t>LESS: MONETIZATION 2025</t>
  </si>
  <si>
    <t>LESS: 05/26/2025</t>
  </si>
  <si>
    <t>ADD: 07/1-31/2025</t>
  </si>
  <si>
    <t>LESS: 08/14/2025</t>
  </si>
  <si>
    <t>ADD: 08/1/2025-10/31/2025</t>
  </si>
  <si>
    <t>LESS: 11/14/2025</t>
  </si>
  <si>
    <t>LESS: 11/17/2025</t>
  </si>
  <si>
    <t>LESS: 11/28/2025</t>
  </si>
  <si>
    <t>ADD: 11/1-30/2025</t>
  </si>
  <si>
    <t>LESS: 12/16, 23/2025</t>
  </si>
  <si>
    <t>LESS: 12/22/2025</t>
  </si>
  <si>
    <t>Certified Correct:</t>
  </si>
  <si>
    <t>MA. LUISA B. CATIGAN</t>
  </si>
  <si>
    <t>Administrative Officer IV</t>
  </si>
  <si>
    <t>HRMO</t>
  </si>
  <si>
    <t>COMPENSATORY TIME OFF (CTO)</t>
  </si>
  <si>
    <t>Special Order No. and Date Issued</t>
  </si>
  <si>
    <t>No. of Days Granted</t>
  </si>
  <si>
    <t>No. of Days Used</t>
  </si>
  <si>
    <t>Balance</t>
  </si>
  <si>
    <t>ADD: 10/17/2023</t>
  </si>
  <si>
    <t>SO# 159, S. 2023 125TH PHIL. INDEPENDENCE DAY</t>
  </si>
  <si>
    <t>ADD: 06/26/2024</t>
  </si>
  <si>
    <t>SO# 024 S. 2024 126TH PHIL. INDEPENDENCE DAY</t>
  </si>
  <si>
    <t>LESS: 10/18/2024</t>
  </si>
  <si>
    <t>ADD:  07/08/2024</t>
  </si>
  <si>
    <t>SO# 025, S. 2024 DCP ADOPTION PROGRAM</t>
  </si>
  <si>
    <t>LESS: 08/1-2/2024</t>
  </si>
  <si>
    <t>LESS: 11/04/2024</t>
  </si>
  <si>
    <t>ADD:  12/18/2024</t>
  </si>
  <si>
    <t>SO# 082 S. 2024 FISCAL YEAR 2023 NQUESH ADMINISTRATION</t>
  </si>
  <si>
    <t>LESS: 02/6/2025</t>
  </si>
  <si>
    <t>LESS: 02/28/2025</t>
  </si>
  <si>
    <t>LESS: 05/02/2025 &amp; 08/22/2025</t>
  </si>
  <si>
    <t>LESS: 04/10-11/2025</t>
  </si>
  <si>
    <t>NOTE:  Valid for one (1) year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</si>
</sst>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8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.5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3" borderId="2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24" applyNumberFormat="0" applyAlignment="0" applyProtection="0">
      <alignment vertical="center"/>
    </xf>
    <xf numFmtId="0" fontId="22" fillId="15" borderId="25" applyNumberFormat="0" applyAlignment="0" applyProtection="0">
      <alignment vertical="center"/>
    </xf>
    <xf numFmtId="0" fontId="23" fillId="15" borderId="24" applyNumberFormat="0" applyAlignment="0" applyProtection="0">
      <alignment vertical="center"/>
    </xf>
    <xf numFmtId="0" fontId="24" fillId="16" borderId="26" applyNumberFormat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0" borderId="0"/>
  </cellStyleXfs>
  <cellXfs count="87">
    <xf numFmtId="0" fontId="0" fillId="0" borderId="0" xfId="0"/>
    <xf numFmtId="0" fontId="0" fillId="0" borderId="0" xfId="49"/>
    <xf numFmtId="0" fontId="0" fillId="2" borderId="0" xfId="49" applyFill="1"/>
    <xf numFmtId="0" fontId="0" fillId="2" borderId="0" xfId="49" applyFill="1" applyAlignment="1">
      <alignment horizontal="center" vertical="center"/>
    </xf>
    <xf numFmtId="0" fontId="1" fillId="2" borderId="0" xfId="49" applyFont="1" applyFill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/>
    <xf numFmtId="0" fontId="1" fillId="2" borderId="1" xfId="49" applyFont="1" applyFill="1" applyBorder="1" applyAlignment="1">
      <alignment vertical="center"/>
    </xf>
    <xf numFmtId="0" fontId="2" fillId="2" borderId="2" xfId="49" applyFont="1" applyFill="1" applyBorder="1" applyAlignment="1">
      <alignment horizontal="center" vertical="center"/>
    </xf>
    <xf numFmtId="0" fontId="3" fillId="3" borderId="3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3" fillId="4" borderId="5" xfId="49" applyFont="1" applyFill="1" applyBorder="1" applyAlignment="1">
      <alignment horizontal="center" vertical="center"/>
    </xf>
    <xf numFmtId="0" fontId="3" fillId="3" borderId="6" xfId="49" applyFont="1" applyFill="1" applyBorder="1" applyAlignment="1">
      <alignment horizontal="center" vertical="center"/>
    </xf>
    <xf numFmtId="0" fontId="4" fillId="5" borderId="7" xfId="49" applyFont="1" applyFill="1" applyBorder="1" applyAlignment="1">
      <alignment horizontal="center" vertical="center" wrapText="1"/>
    </xf>
    <xf numFmtId="0" fontId="4" fillId="5" borderId="8" xfId="49" applyFont="1" applyFill="1" applyBorder="1" applyAlignment="1">
      <alignment horizontal="center" vertical="center" wrapText="1"/>
    </xf>
    <xf numFmtId="0" fontId="4" fillId="5" borderId="9" xfId="49" applyFont="1" applyFill="1" applyBorder="1" applyAlignment="1">
      <alignment horizontal="center" vertical="center" wrapText="1"/>
    </xf>
    <xf numFmtId="0" fontId="0" fillId="0" borderId="6" xfId="49" applyFont="1" applyBorder="1" applyAlignment="1">
      <alignment horizontal="center" vertical="center" wrapText="1"/>
    </xf>
    <xf numFmtId="0" fontId="4" fillId="0" borderId="7" xfId="49" applyFont="1" applyBorder="1" applyAlignment="1">
      <alignment horizontal="center" vertical="center" wrapText="1"/>
    </xf>
    <xf numFmtId="0" fontId="4" fillId="0" borderId="8" xfId="49" applyFont="1" applyBorder="1" applyAlignment="1">
      <alignment horizontal="center" vertical="center" wrapText="1"/>
    </xf>
    <xf numFmtId="0" fontId="4" fillId="0" borderId="9" xfId="49" applyFont="1" applyBorder="1" applyAlignment="1">
      <alignment horizontal="center" vertical="center" wrapText="1"/>
    </xf>
    <xf numFmtId="0" fontId="0" fillId="0" borderId="10" xfId="49" applyFont="1" applyBorder="1" applyAlignment="1">
      <alignment horizontal="center" vertical="center" wrapText="1"/>
    </xf>
    <xf numFmtId="0" fontId="5" fillId="0" borderId="7" xfId="49" applyFont="1" applyBorder="1" applyAlignment="1">
      <alignment horizontal="center" vertical="center" wrapText="1"/>
    </xf>
    <xf numFmtId="0" fontId="5" fillId="0" borderId="8" xfId="49" applyFont="1" applyBorder="1" applyAlignment="1">
      <alignment horizontal="center" vertical="center" wrapText="1"/>
    </xf>
    <xf numFmtId="0" fontId="5" fillId="0" borderId="9" xfId="49" applyFont="1" applyBorder="1" applyAlignment="1">
      <alignment horizontal="center" vertical="center" wrapText="1"/>
    </xf>
    <xf numFmtId="0" fontId="0" fillId="2" borderId="6" xfId="49" applyFont="1" applyFill="1" applyBorder="1" applyAlignment="1">
      <alignment horizontal="center" vertical="center" wrapText="1"/>
    </xf>
    <xf numFmtId="0" fontId="4" fillId="2" borderId="7" xfId="49" applyFont="1" applyFill="1" applyBorder="1" applyAlignment="1">
      <alignment horizontal="center" vertical="center" wrapText="1"/>
    </xf>
    <xf numFmtId="0" fontId="4" fillId="2" borderId="9" xfId="49" applyFont="1" applyFill="1" applyBorder="1" applyAlignment="1">
      <alignment horizontal="center" vertical="center" wrapText="1"/>
    </xf>
    <xf numFmtId="0" fontId="4" fillId="2" borderId="8" xfId="49" applyFont="1" applyFill="1" applyBorder="1" applyAlignment="1">
      <alignment horizontal="center" vertical="center" wrapText="1"/>
    </xf>
    <xf numFmtId="0" fontId="0" fillId="0" borderId="0" xfId="49" applyAlignment="1">
      <alignment vertical="center"/>
    </xf>
    <xf numFmtId="0" fontId="4" fillId="2" borderId="0" xfId="49" applyFont="1" applyFill="1" applyAlignment="1">
      <alignment horizontal="center" vertical="center" wrapText="1"/>
    </xf>
    <xf numFmtId="0" fontId="6" fillId="2" borderId="0" xfId="49" applyFont="1" applyFill="1" applyAlignment="1">
      <alignment horizontal="center" vertical="center"/>
    </xf>
    <xf numFmtId="0" fontId="0" fillId="2" borderId="0" xfId="49" applyFill="1" applyAlignment="1">
      <alignment horizontal="center"/>
    </xf>
    <xf numFmtId="0" fontId="1" fillId="0" borderId="0" xfId="49" applyFont="1" applyAlignment="1">
      <alignment horizontal="center" vertical="center"/>
    </xf>
    <xf numFmtId="0" fontId="0" fillId="0" borderId="0" xfId="49" applyAlignment="1">
      <alignment horizontal="center"/>
    </xf>
    <xf numFmtId="0" fontId="0" fillId="0" borderId="0" xfId="49" applyAlignment="1">
      <alignment horizontal="center" vertical="center"/>
    </xf>
    <xf numFmtId="0" fontId="3" fillId="3" borderId="11" xfId="49" applyFont="1" applyFill="1" applyBorder="1" applyAlignment="1">
      <alignment horizontal="center" vertical="center"/>
    </xf>
    <xf numFmtId="0" fontId="3" fillId="3" borderId="12" xfId="49" applyFont="1" applyFill="1" applyBorder="1" applyAlignment="1">
      <alignment horizontal="center" vertical="center"/>
    </xf>
    <xf numFmtId="0" fontId="0" fillId="0" borderId="13" xfId="49" applyBorder="1" applyAlignment="1">
      <alignment horizontal="center" vertical="center" wrapText="1"/>
    </xf>
    <xf numFmtId="0" fontId="0" fillId="6" borderId="10" xfId="49" applyFill="1" applyBorder="1" applyAlignment="1">
      <alignment horizontal="center" vertical="center" wrapText="1"/>
    </xf>
    <xf numFmtId="0" fontId="0" fillId="2" borderId="13" xfId="49" applyFill="1" applyBorder="1" applyAlignment="1">
      <alignment horizontal="center" vertical="center" wrapText="1"/>
    </xf>
    <xf numFmtId="0" fontId="0" fillId="6" borderId="13" xfId="49" applyFill="1" applyBorder="1" applyAlignment="1">
      <alignment horizontal="center" vertical="center" wrapText="1"/>
    </xf>
    <xf numFmtId="0" fontId="0" fillId="2" borderId="0" xfId="49" applyFill="1" applyAlignment="1">
      <alignment horizontal="center" vertical="center" wrapText="1"/>
    </xf>
    <xf numFmtId="0" fontId="7" fillId="0" borderId="0" xfId="49" applyFont="1" applyAlignment="1">
      <alignment vertical="center"/>
    </xf>
    <xf numFmtId="0" fontId="1" fillId="0" borderId="0" xfId="49" applyFont="1" applyAlignment="1">
      <alignment vertical="center"/>
    </xf>
    <xf numFmtId="0" fontId="0" fillId="2" borderId="0" xfId="0" applyFill="1"/>
    <xf numFmtId="0" fontId="0" fillId="0" borderId="0" xfId="0" applyFill="1"/>
    <xf numFmtId="0" fontId="8" fillId="0" borderId="0" xfId="0" applyFont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2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6" fontId="9" fillId="2" borderId="18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9" fillId="2" borderId="10" xfId="0" applyNumberFormat="1" applyFont="1" applyFill="1" applyBorder="1" applyAlignment="1">
      <alignment horizontal="center" vertical="center"/>
    </xf>
    <xf numFmtId="58" fontId="0" fillId="0" borderId="10" xfId="0" applyNumberFormat="1" applyBorder="1" applyAlignment="1">
      <alignment horizontal="center" vertical="center"/>
    </xf>
    <xf numFmtId="176" fontId="3" fillId="2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76" fontId="10" fillId="2" borderId="10" xfId="0" applyNumberFormat="1" applyFont="1" applyFill="1" applyBorder="1" applyAlignment="1">
      <alignment horizontal="center" vertical="center" wrapText="1"/>
    </xf>
    <xf numFmtId="176" fontId="0" fillId="2" borderId="10" xfId="0" applyNumberForma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/>
    </xf>
    <xf numFmtId="176" fontId="0" fillId="0" borderId="10" xfId="0" applyNumberFormat="1" applyBorder="1" applyAlignment="1">
      <alignment horizontal="center" vertical="center"/>
    </xf>
    <xf numFmtId="176" fontId="0" fillId="0" borderId="10" xfId="0" applyNumberFormat="1" applyBorder="1"/>
    <xf numFmtId="0" fontId="0" fillId="0" borderId="10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7" borderId="11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176" fontId="9" fillId="0" borderId="10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8" fillId="0" borderId="0" xfId="0" applyFont="1" applyFill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247649</xdr:colOff>
      <xdr:row>0</xdr:row>
      <xdr:rowOff>66675</xdr:rowOff>
    </xdr:from>
    <xdr:to>
      <xdr:col>4</xdr:col>
      <xdr:colOff>171579</xdr:colOff>
      <xdr:row>0</xdr:row>
      <xdr:rowOff>635000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48505" y="66675"/>
          <a:ext cx="718185" cy="5683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4" name="TextBox 3"/>
        <xdr:cNvSpPr txBox="1"/>
      </xdr:nvSpPr>
      <xdr:spPr>
        <a:xfrm>
          <a:off x="573405" y="1376045"/>
          <a:ext cx="200914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MONTILLA, MA. ROSSANA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5" name="TextBox 4"/>
        <xdr:cNvSpPr txBox="1"/>
      </xdr:nvSpPr>
      <xdr:spPr>
        <a:xfrm>
          <a:off x="616585" y="1725930"/>
          <a:ext cx="200850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ITO III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6" name="TextBox 5"/>
        <xdr:cNvSpPr txBox="1"/>
      </xdr:nvSpPr>
      <xdr:spPr>
        <a:xfrm>
          <a:off x="392239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272596</xdr:colOff>
      <xdr:row>0</xdr:row>
      <xdr:rowOff>29030</xdr:rowOff>
    </xdr:from>
    <xdr:ext cx="708251" cy="594449"/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35730" y="28575"/>
          <a:ext cx="708025" cy="594360"/>
        </a:xfrm>
        <a:prstGeom prst="rect">
          <a:avLst/>
        </a:prstGeom>
        <a:noFill/>
      </xdr:spPr>
    </xdr:pic>
    <xdr:clientData/>
  </xdr:oneCellAnchor>
  <xdr:twoCellAnchor>
    <xdr:from>
      <xdr:col>0</xdr:col>
      <xdr:colOff>573942</xdr:colOff>
      <xdr:row>6</xdr:row>
      <xdr:rowOff>170961</xdr:rowOff>
    </xdr:from>
    <xdr:to>
      <xdr:col>1</xdr:col>
      <xdr:colOff>946150</xdr:colOff>
      <xdr:row>8</xdr:row>
      <xdr:rowOff>88900</xdr:rowOff>
    </xdr:to>
    <xdr:sp>
      <xdr:nvSpPr>
        <xdr:cNvPr id="3" name="TextBox 2"/>
        <xdr:cNvSpPr txBox="1"/>
      </xdr:nvSpPr>
      <xdr:spPr>
        <a:xfrm>
          <a:off x="573405" y="1268095"/>
          <a:ext cx="1836420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MONTILLA, MA. ROSANA E.</a:t>
          </a:r>
          <a:endParaRPr lang="en-US" sz="1100"/>
        </a:p>
      </xdr:txBody>
    </xdr:sp>
    <xdr:clientData/>
  </xdr:twoCellAnchor>
  <xdr:twoCellAnchor>
    <xdr:from>
      <xdr:col>0</xdr:col>
      <xdr:colOff>654051</xdr:colOff>
      <xdr:row>9</xdr:row>
      <xdr:rowOff>19051</xdr:rowOff>
    </xdr:from>
    <xdr:to>
      <xdr:col>0</xdr:col>
      <xdr:colOff>1720850</xdr:colOff>
      <xdr:row>10</xdr:row>
      <xdr:rowOff>114301</xdr:rowOff>
    </xdr:to>
    <xdr:sp>
      <xdr:nvSpPr>
        <xdr:cNvPr id="4" name="TextBox 3"/>
        <xdr:cNvSpPr txBox="1"/>
      </xdr:nvSpPr>
      <xdr:spPr>
        <a:xfrm>
          <a:off x="654050" y="1664970"/>
          <a:ext cx="972185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OFFICER 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9</xdr:row>
      <xdr:rowOff>42410</xdr:rowOff>
    </xdr:from>
    <xdr:to>
      <xdr:col>5</xdr:col>
      <xdr:colOff>463323</xdr:colOff>
      <xdr:row>12</xdr:row>
      <xdr:rowOff>10714</xdr:rowOff>
    </xdr:to>
    <xdr:sp>
      <xdr:nvSpPr>
        <xdr:cNvPr id="5" name="TextBox 4"/>
        <xdr:cNvSpPr txBox="1"/>
      </xdr:nvSpPr>
      <xdr:spPr>
        <a:xfrm>
          <a:off x="3562985" y="1687830"/>
          <a:ext cx="1454785" cy="516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93"/>
  <sheetViews>
    <sheetView tabSelected="1" view="pageBreakPreview" zoomScaleNormal="100" topLeftCell="A71" workbookViewId="0">
      <selection activeCell="A84" sqref="$A84:$XFD84"/>
    </sheetView>
  </sheetViews>
  <sheetFormatPr defaultColWidth="9" defaultRowHeight="14.4"/>
  <cols>
    <col min="1" max="1" width="39.5740740740741" customWidth="1"/>
    <col min="2" max="10" width="11.5740740740741" customWidth="1"/>
    <col min="11" max="11" width="26.4259259259259" style="46" customWidth="1"/>
  </cols>
  <sheetData>
    <row r="1" s="44" customFormat="1" ht="52.5" customHeight="1"/>
    <row r="2" s="44" customFormat="1" ht="10.5" customHeight="1" spans="1:10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</row>
    <row r="3" s="44" customFormat="1" ht="15.95" customHeight="1" spans="1:10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</row>
    <row r="4" s="44" customFormat="1" ht="15.95" customHeight="1" spans="1:10">
      <c r="A4" s="47" t="s">
        <v>2</v>
      </c>
      <c r="B4" s="47"/>
      <c r="C4" s="47"/>
      <c r="D4" s="47"/>
      <c r="E4" s="47"/>
      <c r="F4" s="47"/>
      <c r="G4" s="47"/>
      <c r="H4" s="47"/>
      <c r="I4" s="47"/>
      <c r="J4" s="47"/>
    </row>
    <row r="5" s="44" customFormat="1" ht="15.95" customHeight="1" spans="1:10">
      <c r="A5" s="47" t="s">
        <v>3</v>
      </c>
      <c r="B5" s="47"/>
      <c r="C5" s="47"/>
      <c r="D5" s="47"/>
      <c r="E5" s="47"/>
      <c r="F5" s="47"/>
      <c r="G5" s="47"/>
      <c r="H5" s="47"/>
      <c r="I5" s="47"/>
      <c r="J5" s="47"/>
    </row>
    <row r="6" s="44" customFormat="1" ht="8.25" customHeight="1"/>
    <row r="7" s="44" customFormat="1" ht="12" customHeight="1" spans="1:10">
      <c r="A7" s="44" t="s">
        <v>4</v>
      </c>
      <c r="B7" s="48" t="s">
        <v>5</v>
      </c>
      <c r="C7" s="48"/>
      <c r="D7" s="48"/>
      <c r="H7" s="49" t="s">
        <v>6</v>
      </c>
      <c r="I7" s="73"/>
      <c r="J7" s="49"/>
    </row>
    <row r="8" s="44" customFormat="1" ht="12" customHeight="1" spans="2:10">
      <c r="B8" s="50"/>
      <c r="C8" s="50"/>
      <c r="H8" s="50"/>
      <c r="I8" s="50"/>
      <c r="J8" s="50"/>
    </row>
    <row r="9" s="44" customFormat="1" ht="12" customHeight="1" spans="1:10">
      <c r="A9" s="44" t="s">
        <v>7</v>
      </c>
      <c r="B9" s="48" t="s">
        <v>8</v>
      </c>
      <c r="C9" s="48"/>
      <c r="D9" s="48"/>
      <c r="H9" s="49" t="s">
        <v>9</v>
      </c>
      <c r="I9" s="74"/>
      <c r="J9" s="49"/>
    </row>
    <row r="10" ht="16.5" customHeight="1" spans="1:11">
      <c r="A10" s="51" t="s">
        <v>10</v>
      </c>
      <c r="B10" s="51"/>
      <c r="C10" s="51"/>
      <c r="D10" s="51"/>
      <c r="E10" s="51"/>
      <c r="F10" s="51"/>
      <c r="G10" s="51"/>
      <c r="H10" s="51"/>
      <c r="I10" s="51"/>
      <c r="J10" s="51"/>
      <c r="K10"/>
    </row>
    <row r="11" ht="18.75" customHeight="1" spans="1:11">
      <c r="A11" s="52" t="s">
        <v>11</v>
      </c>
      <c r="B11" s="53" t="s">
        <v>12</v>
      </c>
      <c r="C11" s="53"/>
      <c r="D11" s="54" t="s">
        <v>13</v>
      </c>
      <c r="E11" s="55"/>
      <c r="F11" s="55"/>
      <c r="G11" s="56"/>
      <c r="H11" s="57" t="s">
        <v>14</v>
      </c>
      <c r="I11" s="57"/>
      <c r="J11" s="75" t="s">
        <v>15</v>
      </c>
      <c r="K11" s="76" t="s">
        <v>16</v>
      </c>
    </row>
    <row r="12" ht="18.75" customHeight="1" spans="1:11">
      <c r="A12" s="58"/>
      <c r="B12" s="59" t="s">
        <v>17</v>
      </c>
      <c r="C12" s="59" t="s">
        <v>18</v>
      </c>
      <c r="D12" s="59" t="s">
        <v>17</v>
      </c>
      <c r="E12" s="59" t="s">
        <v>18</v>
      </c>
      <c r="F12" s="59" t="s">
        <v>19</v>
      </c>
      <c r="G12" s="59" t="s">
        <v>20</v>
      </c>
      <c r="H12" s="59" t="s">
        <v>17</v>
      </c>
      <c r="I12" s="59" t="s">
        <v>18</v>
      </c>
      <c r="J12" s="77"/>
      <c r="K12" s="76"/>
    </row>
    <row r="13" ht="18.75" customHeight="1" spans="1:10">
      <c r="A13" s="60" t="s">
        <v>21</v>
      </c>
      <c r="B13" s="61">
        <v>0.708</v>
      </c>
      <c r="C13" s="61">
        <v>0.708</v>
      </c>
      <c r="D13" s="61"/>
      <c r="E13" s="61"/>
      <c r="F13" s="61"/>
      <c r="G13" s="61"/>
      <c r="H13" s="61">
        <f>B13</f>
        <v>0.708</v>
      </c>
      <c r="I13" s="61">
        <f>C13</f>
        <v>0.708</v>
      </c>
      <c r="J13" s="61">
        <f>SUM(H13:I13)</f>
        <v>1.416</v>
      </c>
    </row>
    <row r="14" ht="18.75" customHeight="1" spans="1:10">
      <c r="A14" s="62" t="s">
        <v>22</v>
      </c>
      <c r="B14" s="63">
        <v>6.25</v>
      </c>
      <c r="C14" s="63">
        <v>6.25</v>
      </c>
      <c r="D14" s="63"/>
      <c r="E14" s="63"/>
      <c r="F14" s="63"/>
      <c r="G14" s="63"/>
      <c r="H14" s="63">
        <f>H13-F14-D14+B14</f>
        <v>6.958</v>
      </c>
      <c r="I14" s="63">
        <f>I13-E14+C14</f>
        <v>6.958</v>
      </c>
      <c r="J14" s="63">
        <f t="shared" ref="J14" si="0">SUM(H14:I14)</f>
        <v>13.916</v>
      </c>
    </row>
    <row r="15" ht="18.75" customHeight="1" spans="1:10">
      <c r="A15" s="62" t="s">
        <v>23</v>
      </c>
      <c r="B15" s="63"/>
      <c r="C15" s="63"/>
      <c r="D15" s="63"/>
      <c r="E15" s="63"/>
      <c r="F15" s="63">
        <v>3</v>
      </c>
      <c r="G15" s="63"/>
      <c r="H15" s="63">
        <f t="shared" ref="H15:H56" si="1">H14-F15-D15+B15</f>
        <v>3.958</v>
      </c>
      <c r="I15" s="63">
        <f t="shared" ref="I15:I56" si="2">I14-E15+C15</f>
        <v>6.958</v>
      </c>
      <c r="J15" s="63">
        <f t="shared" ref="J15:J56" si="3">SUM(H15:I15)</f>
        <v>10.916</v>
      </c>
    </row>
    <row r="16" ht="18.75" customHeight="1" spans="1:10">
      <c r="A16" s="62" t="s">
        <v>24</v>
      </c>
      <c r="B16" s="63">
        <v>15</v>
      </c>
      <c r="C16" s="63">
        <v>15</v>
      </c>
      <c r="D16" s="63"/>
      <c r="E16" s="63"/>
      <c r="F16" s="63"/>
      <c r="G16" s="63"/>
      <c r="H16" s="63">
        <f t="shared" si="1"/>
        <v>18.958</v>
      </c>
      <c r="I16" s="63">
        <f t="shared" si="2"/>
        <v>21.958</v>
      </c>
      <c r="J16" s="63">
        <f t="shared" si="3"/>
        <v>40.916</v>
      </c>
    </row>
    <row r="17" ht="18.75" customHeight="1" spans="1:10">
      <c r="A17" s="62" t="s">
        <v>25</v>
      </c>
      <c r="B17" s="63"/>
      <c r="C17" s="63"/>
      <c r="D17" s="63"/>
      <c r="E17" s="63"/>
      <c r="F17" s="63">
        <v>1</v>
      </c>
      <c r="G17" s="63"/>
      <c r="H17" s="63">
        <f t="shared" si="1"/>
        <v>17.958</v>
      </c>
      <c r="I17" s="63">
        <f t="shared" si="2"/>
        <v>21.958</v>
      </c>
      <c r="J17" s="63">
        <f t="shared" si="3"/>
        <v>39.916</v>
      </c>
    </row>
    <row r="18" ht="18.75" customHeight="1" spans="1:10">
      <c r="A18" s="62" t="s">
        <v>26</v>
      </c>
      <c r="B18" s="63"/>
      <c r="C18" s="63"/>
      <c r="D18" s="63">
        <v>1</v>
      </c>
      <c r="E18" s="63"/>
      <c r="F18" s="63"/>
      <c r="G18" s="63"/>
      <c r="H18" s="63">
        <f t="shared" si="1"/>
        <v>16.958</v>
      </c>
      <c r="I18" s="63">
        <f t="shared" si="2"/>
        <v>21.958</v>
      </c>
      <c r="J18" s="63">
        <f t="shared" si="3"/>
        <v>38.916</v>
      </c>
    </row>
    <row r="19" ht="18.75" customHeight="1" spans="1:10">
      <c r="A19" s="62" t="s">
        <v>27</v>
      </c>
      <c r="B19" s="63"/>
      <c r="C19" s="63"/>
      <c r="D19" s="63"/>
      <c r="E19" s="63"/>
      <c r="F19" s="63">
        <v>4</v>
      </c>
      <c r="G19" s="63"/>
      <c r="H19" s="63">
        <f t="shared" si="1"/>
        <v>12.958</v>
      </c>
      <c r="I19" s="63">
        <f t="shared" si="2"/>
        <v>21.958</v>
      </c>
      <c r="J19" s="63">
        <f t="shared" si="3"/>
        <v>34.916</v>
      </c>
    </row>
    <row r="20" ht="18.75" customHeight="1" spans="1:10">
      <c r="A20" s="62" t="s">
        <v>28</v>
      </c>
      <c r="B20" s="63">
        <v>15</v>
      </c>
      <c r="C20" s="63">
        <v>15</v>
      </c>
      <c r="D20" s="63"/>
      <c r="E20" s="63"/>
      <c r="F20" s="63"/>
      <c r="G20" s="63"/>
      <c r="H20" s="63">
        <f t="shared" si="1"/>
        <v>27.958</v>
      </c>
      <c r="I20" s="63">
        <f t="shared" si="2"/>
        <v>36.958</v>
      </c>
      <c r="J20" s="63">
        <f t="shared" si="3"/>
        <v>64.916</v>
      </c>
    </row>
    <row r="21" ht="18.75" customHeight="1" spans="1:10">
      <c r="A21" s="62" t="s">
        <v>29</v>
      </c>
      <c r="B21" s="63"/>
      <c r="C21" s="63"/>
      <c r="D21" s="63"/>
      <c r="E21" s="63"/>
      <c r="F21" s="63">
        <v>1</v>
      </c>
      <c r="G21" s="63"/>
      <c r="H21" s="63">
        <f t="shared" si="1"/>
        <v>26.958</v>
      </c>
      <c r="I21" s="63">
        <f t="shared" si="2"/>
        <v>36.958</v>
      </c>
      <c r="J21" s="63">
        <f t="shared" si="3"/>
        <v>63.916</v>
      </c>
    </row>
    <row r="22" ht="18.75" customHeight="1" spans="1:10">
      <c r="A22" s="62" t="s">
        <v>30</v>
      </c>
      <c r="B22" s="63"/>
      <c r="C22" s="63"/>
      <c r="D22" s="63">
        <v>20</v>
      </c>
      <c r="E22" s="63"/>
      <c r="F22" s="63"/>
      <c r="G22" s="63"/>
      <c r="H22" s="63">
        <f t="shared" si="1"/>
        <v>6.958</v>
      </c>
      <c r="I22" s="63">
        <f t="shared" si="2"/>
        <v>36.958</v>
      </c>
      <c r="J22" s="63">
        <f t="shared" si="3"/>
        <v>43.916</v>
      </c>
    </row>
    <row r="23" ht="18.75" customHeight="1" spans="1:10">
      <c r="A23" s="62" t="s">
        <v>31</v>
      </c>
      <c r="B23" s="63"/>
      <c r="C23" s="63"/>
      <c r="D23" s="63"/>
      <c r="E23" s="63"/>
      <c r="F23" s="63">
        <v>4</v>
      </c>
      <c r="G23" s="63"/>
      <c r="H23" s="63">
        <f t="shared" si="1"/>
        <v>2.958</v>
      </c>
      <c r="I23" s="63">
        <f t="shared" si="2"/>
        <v>36.958</v>
      </c>
      <c r="J23" s="63">
        <f t="shared" si="3"/>
        <v>39.916</v>
      </c>
    </row>
    <row r="24" ht="18.75" customHeight="1" spans="1:10">
      <c r="A24" s="62" t="s">
        <v>32</v>
      </c>
      <c r="B24" s="63">
        <v>2.5</v>
      </c>
      <c r="C24" s="63">
        <v>2.5</v>
      </c>
      <c r="D24" s="63"/>
      <c r="E24" s="63"/>
      <c r="F24" s="63"/>
      <c r="G24" s="63"/>
      <c r="H24" s="63">
        <f t="shared" si="1"/>
        <v>5.458</v>
      </c>
      <c r="I24" s="63">
        <f t="shared" si="2"/>
        <v>39.458</v>
      </c>
      <c r="J24" s="63">
        <f t="shared" si="3"/>
        <v>44.916</v>
      </c>
    </row>
    <row r="25" ht="18.75" customHeight="1" spans="1:10">
      <c r="A25" s="64" t="s">
        <v>33</v>
      </c>
      <c r="B25" s="63"/>
      <c r="C25" s="63"/>
      <c r="D25" s="63"/>
      <c r="E25" s="63"/>
      <c r="F25" s="63">
        <v>1</v>
      </c>
      <c r="G25" s="63"/>
      <c r="H25" s="63">
        <f t="shared" si="1"/>
        <v>4.458</v>
      </c>
      <c r="I25" s="63">
        <f t="shared" si="2"/>
        <v>39.458</v>
      </c>
      <c r="J25" s="63">
        <f t="shared" si="3"/>
        <v>43.916</v>
      </c>
    </row>
    <row r="26" ht="18.75" customHeight="1" spans="1:10">
      <c r="A26" s="62" t="s">
        <v>34</v>
      </c>
      <c r="B26" s="63">
        <v>2.5</v>
      </c>
      <c r="C26" s="63">
        <v>2.5</v>
      </c>
      <c r="D26" s="63"/>
      <c r="E26" s="63"/>
      <c r="F26" s="63"/>
      <c r="G26" s="63"/>
      <c r="H26" s="63">
        <f t="shared" si="1"/>
        <v>6.958</v>
      </c>
      <c r="I26" s="63">
        <f t="shared" si="2"/>
        <v>41.958</v>
      </c>
      <c r="J26" s="63">
        <f t="shared" si="3"/>
        <v>48.916</v>
      </c>
    </row>
    <row r="27" ht="18.75" customHeight="1" spans="1:10">
      <c r="A27" s="62" t="s">
        <v>35</v>
      </c>
      <c r="B27" s="65"/>
      <c r="C27" s="63"/>
      <c r="D27" s="63"/>
      <c r="E27" s="63"/>
      <c r="F27" s="63">
        <v>1</v>
      </c>
      <c r="G27" s="63"/>
      <c r="H27" s="63">
        <f t="shared" si="1"/>
        <v>5.958</v>
      </c>
      <c r="I27" s="63">
        <f t="shared" si="2"/>
        <v>41.958</v>
      </c>
      <c r="J27" s="63">
        <f t="shared" si="3"/>
        <v>47.916</v>
      </c>
    </row>
    <row r="28" ht="18.75" customHeight="1" spans="1:10">
      <c r="A28" s="62" t="s">
        <v>36</v>
      </c>
      <c r="B28" s="63">
        <v>2.5</v>
      </c>
      <c r="C28" s="63">
        <v>2.5</v>
      </c>
      <c r="D28" s="63"/>
      <c r="E28" s="63"/>
      <c r="F28" s="63"/>
      <c r="G28" s="63"/>
      <c r="H28" s="63">
        <f t="shared" si="1"/>
        <v>8.458</v>
      </c>
      <c r="I28" s="63">
        <f t="shared" si="2"/>
        <v>44.458</v>
      </c>
      <c r="J28" s="63">
        <f t="shared" si="3"/>
        <v>52.916</v>
      </c>
    </row>
    <row r="29" ht="18.75" customHeight="1" spans="1:10">
      <c r="A29" s="62" t="s">
        <v>37</v>
      </c>
      <c r="B29" s="63"/>
      <c r="C29" s="63"/>
      <c r="D29" s="63"/>
      <c r="E29" s="63">
        <v>2</v>
      </c>
      <c r="F29" s="63"/>
      <c r="G29" s="63"/>
      <c r="H29" s="63">
        <f t="shared" si="1"/>
        <v>8.458</v>
      </c>
      <c r="I29" s="63">
        <f t="shared" si="2"/>
        <v>42.458</v>
      </c>
      <c r="J29" s="63">
        <f t="shared" si="3"/>
        <v>50.916</v>
      </c>
    </row>
    <row r="30" ht="18.75" customHeight="1" spans="1:10">
      <c r="A30" s="62" t="s">
        <v>38</v>
      </c>
      <c r="B30" s="63">
        <v>1.25</v>
      </c>
      <c r="C30" s="63">
        <v>1.25</v>
      </c>
      <c r="D30" s="63"/>
      <c r="E30" s="63"/>
      <c r="F30" s="63"/>
      <c r="G30" s="63"/>
      <c r="H30" s="63">
        <f t="shared" si="1"/>
        <v>9.708</v>
      </c>
      <c r="I30" s="63">
        <f t="shared" si="2"/>
        <v>43.708</v>
      </c>
      <c r="J30" s="63">
        <f t="shared" si="3"/>
        <v>53.416</v>
      </c>
    </row>
    <row r="31" ht="18.75" customHeight="1" spans="1:10">
      <c r="A31" s="62" t="s">
        <v>39</v>
      </c>
      <c r="B31" s="63"/>
      <c r="C31" s="63"/>
      <c r="D31" s="63"/>
      <c r="E31" s="63"/>
      <c r="F31" s="63">
        <v>1</v>
      </c>
      <c r="G31" s="63"/>
      <c r="H31" s="63">
        <f t="shared" si="1"/>
        <v>8.708</v>
      </c>
      <c r="I31" s="63">
        <f t="shared" si="2"/>
        <v>43.708</v>
      </c>
      <c r="J31" s="63">
        <f t="shared" si="3"/>
        <v>52.416</v>
      </c>
    </row>
    <row r="32" ht="18.75" customHeight="1" spans="1:10">
      <c r="A32" s="62" t="s">
        <v>40</v>
      </c>
      <c r="B32" s="63">
        <v>1.25</v>
      </c>
      <c r="C32" s="63">
        <v>1.25</v>
      </c>
      <c r="D32" s="63"/>
      <c r="E32" s="63"/>
      <c r="F32" s="63"/>
      <c r="G32" s="63"/>
      <c r="H32" s="63">
        <f t="shared" si="1"/>
        <v>9.958</v>
      </c>
      <c r="I32" s="63">
        <f t="shared" si="2"/>
        <v>44.958</v>
      </c>
      <c r="J32" s="63">
        <f t="shared" si="3"/>
        <v>54.916</v>
      </c>
    </row>
    <row r="33" ht="18.75" customHeight="1" spans="1:10">
      <c r="A33" s="62" t="s">
        <v>41</v>
      </c>
      <c r="B33" s="63"/>
      <c r="C33" s="63"/>
      <c r="D33" s="63"/>
      <c r="E33" s="63"/>
      <c r="F33" s="63">
        <v>2</v>
      </c>
      <c r="G33" s="63"/>
      <c r="H33" s="63">
        <f t="shared" si="1"/>
        <v>7.958</v>
      </c>
      <c r="I33" s="63">
        <f t="shared" si="2"/>
        <v>44.958</v>
      </c>
      <c r="J33" s="63">
        <f t="shared" si="3"/>
        <v>52.916</v>
      </c>
    </row>
    <row r="34" ht="18.75" customHeight="1" spans="1:10">
      <c r="A34" s="62" t="s">
        <v>42</v>
      </c>
      <c r="B34" s="63"/>
      <c r="C34" s="63"/>
      <c r="D34" s="63"/>
      <c r="E34" s="63"/>
      <c r="F34" s="63"/>
      <c r="G34" s="63">
        <v>3</v>
      </c>
      <c r="H34" s="63">
        <f t="shared" si="1"/>
        <v>7.958</v>
      </c>
      <c r="I34" s="63">
        <f t="shared" si="2"/>
        <v>44.958</v>
      </c>
      <c r="J34" s="63">
        <f t="shared" si="3"/>
        <v>52.916</v>
      </c>
    </row>
    <row r="35" ht="18.75" customHeight="1" spans="1:10">
      <c r="A35" s="66" t="s">
        <v>43</v>
      </c>
      <c r="B35" s="63"/>
      <c r="C35" s="63"/>
      <c r="D35" s="63"/>
      <c r="E35" s="63">
        <v>29</v>
      </c>
      <c r="F35" s="63"/>
      <c r="G35" s="63"/>
      <c r="H35" s="63">
        <f t="shared" si="1"/>
        <v>7.958</v>
      </c>
      <c r="I35" s="63">
        <f t="shared" si="2"/>
        <v>15.958</v>
      </c>
      <c r="J35" s="63">
        <f t="shared" si="3"/>
        <v>23.916</v>
      </c>
    </row>
    <row r="36" ht="18.75" customHeight="1" spans="1:10">
      <c r="A36" s="62" t="s">
        <v>44</v>
      </c>
      <c r="B36" s="63">
        <v>5</v>
      </c>
      <c r="C36" s="63">
        <v>5</v>
      </c>
      <c r="D36" s="63"/>
      <c r="E36" s="63"/>
      <c r="F36" s="63"/>
      <c r="G36" s="63"/>
      <c r="H36" s="63">
        <f t="shared" si="1"/>
        <v>12.958</v>
      </c>
      <c r="I36" s="63">
        <f t="shared" si="2"/>
        <v>20.958</v>
      </c>
      <c r="J36" s="63">
        <f t="shared" si="3"/>
        <v>33.916</v>
      </c>
    </row>
    <row r="37" ht="18.75" customHeight="1" spans="1:10">
      <c r="A37" s="62" t="s">
        <v>45</v>
      </c>
      <c r="B37" s="63">
        <v>1.25</v>
      </c>
      <c r="C37" s="63">
        <v>1.25</v>
      </c>
      <c r="D37" s="63"/>
      <c r="E37" s="63"/>
      <c r="F37" s="63"/>
      <c r="G37" s="63"/>
      <c r="H37" s="63">
        <f t="shared" si="1"/>
        <v>14.208</v>
      </c>
      <c r="I37" s="63">
        <f t="shared" si="2"/>
        <v>22.208</v>
      </c>
      <c r="J37" s="63">
        <f t="shared" si="3"/>
        <v>36.416</v>
      </c>
    </row>
    <row r="38" ht="18.75" customHeight="1" spans="1:10">
      <c r="A38" s="66" t="s">
        <v>46</v>
      </c>
      <c r="B38" s="63"/>
      <c r="C38" s="63"/>
      <c r="D38" s="63"/>
      <c r="E38" s="63">
        <v>1</v>
      </c>
      <c r="F38" s="63"/>
      <c r="G38" s="63"/>
      <c r="H38" s="63">
        <f t="shared" si="1"/>
        <v>14.208</v>
      </c>
      <c r="I38" s="63">
        <f t="shared" si="2"/>
        <v>21.208</v>
      </c>
      <c r="J38" s="63">
        <f t="shared" si="3"/>
        <v>35.416</v>
      </c>
    </row>
    <row r="39" ht="18.75" customHeight="1" spans="1:10">
      <c r="A39" s="62" t="s">
        <v>47</v>
      </c>
      <c r="B39" s="63">
        <v>2.5</v>
      </c>
      <c r="C39" s="63">
        <v>2.5</v>
      </c>
      <c r="D39" s="63"/>
      <c r="E39" s="63"/>
      <c r="F39" s="63"/>
      <c r="G39" s="63"/>
      <c r="H39" s="63">
        <f t="shared" si="1"/>
        <v>16.708</v>
      </c>
      <c r="I39" s="63">
        <f t="shared" si="2"/>
        <v>23.708</v>
      </c>
      <c r="J39" s="63">
        <f t="shared" si="3"/>
        <v>40.416</v>
      </c>
    </row>
    <row r="40" ht="18.75" customHeight="1" spans="1:10">
      <c r="A40" s="66" t="s">
        <v>48</v>
      </c>
      <c r="B40" s="63"/>
      <c r="C40" s="63"/>
      <c r="D40" s="63"/>
      <c r="E40" s="63"/>
      <c r="F40" s="63"/>
      <c r="G40" s="63">
        <v>3</v>
      </c>
      <c r="H40" s="63">
        <f t="shared" si="1"/>
        <v>16.708</v>
      </c>
      <c r="I40" s="63">
        <f t="shared" si="2"/>
        <v>23.708</v>
      </c>
      <c r="J40" s="63">
        <f t="shared" si="3"/>
        <v>40.416</v>
      </c>
    </row>
    <row r="41" ht="18.75" customHeight="1" spans="1:10">
      <c r="A41" s="66" t="s">
        <v>49</v>
      </c>
      <c r="B41" s="67"/>
      <c r="C41" s="67"/>
      <c r="D41" s="67"/>
      <c r="E41" s="68">
        <v>3.5</v>
      </c>
      <c r="F41" s="67"/>
      <c r="G41" s="67"/>
      <c r="H41" s="63">
        <f t="shared" si="1"/>
        <v>16.708</v>
      </c>
      <c r="I41" s="63">
        <f t="shared" si="2"/>
        <v>20.208</v>
      </c>
      <c r="J41" s="63">
        <f t="shared" si="3"/>
        <v>36.916</v>
      </c>
    </row>
    <row r="42" ht="15.6" spans="1:10">
      <c r="A42" s="66" t="s">
        <v>50</v>
      </c>
      <c r="B42" s="69"/>
      <c r="C42" s="69"/>
      <c r="D42" s="69"/>
      <c r="E42" s="69"/>
      <c r="F42" s="70">
        <v>1</v>
      </c>
      <c r="G42" s="70"/>
      <c r="H42" s="63">
        <f t="shared" si="1"/>
        <v>15.708</v>
      </c>
      <c r="I42" s="63">
        <f t="shared" si="2"/>
        <v>20.208</v>
      </c>
      <c r="J42" s="63">
        <f t="shared" si="3"/>
        <v>35.916</v>
      </c>
    </row>
    <row r="43" ht="15.6" spans="1:10">
      <c r="A43" s="62" t="s">
        <v>51</v>
      </c>
      <c r="B43" s="63">
        <v>1.25</v>
      </c>
      <c r="C43" s="63">
        <v>1.25</v>
      </c>
      <c r="D43" s="69"/>
      <c r="E43" s="69"/>
      <c r="F43" s="69"/>
      <c r="G43" s="69"/>
      <c r="H43" s="63">
        <f t="shared" si="1"/>
        <v>16.958</v>
      </c>
      <c r="I43" s="63">
        <f t="shared" si="2"/>
        <v>21.458</v>
      </c>
      <c r="J43" s="63">
        <f t="shared" si="3"/>
        <v>38.416</v>
      </c>
    </row>
    <row r="44" ht="15.6" spans="1:10">
      <c r="A44" s="66" t="s">
        <v>52</v>
      </c>
      <c r="B44" s="69"/>
      <c r="C44" s="69"/>
      <c r="D44" s="69"/>
      <c r="E44" s="69"/>
      <c r="F44" s="70">
        <v>1</v>
      </c>
      <c r="G44" s="70"/>
      <c r="H44" s="63">
        <f t="shared" si="1"/>
        <v>15.958</v>
      </c>
      <c r="I44" s="63">
        <f t="shared" si="2"/>
        <v>21.458</v>
      </c>
      <c r="J44" s="63">
        <f t="shared" si="3"/>
        <v>37.416</v>
      </c>
    </row>
    <row r="45" ht="15.6" spans="1:10">
      <c r="A45" s="62" t="s">
        <v>53</v>
      </c>
      <c r="B45" s="70">
        <v>2.5</v>
      </c>
      <c r="C45" s="70">
        <v>2.5</v>
      </c>
      <c r="D45" s="71"/>
      <c r="E45" s="71"/>
      <c r="F45" s="71"/>
      <c r="G45" s="71"/>
      <c r="H45" s="63">
        <f t="shared" si="1"/>
        <v>18.458</v>
      </c>
      <c r="I45" s="63">
        <f t="shared" si="2"/>
        <v>23.958</v>
      </c>
      <c r="J45" s="63">
        <f t="shared" si="3"/>
        <v>42.416</v>
      </c>
    </row>
    <row r="46" ht="15.6" spans="1:10">
      <c r="A46" s="66" t="s">
        <v>54</v>
      </c>
      <c r="B46" s="72"/>
      <c r="C46" s="72"/>
      <c r="D46" s="72"/>
      <c r="E46" s="70">
        <v>2</v>
      </c>
      <c r="F46" s="72"/>
      <c r="G46" s="72"/>
      <c r="H46" s="63">
        <f t="shared" si="1"/>
        <v>18.458</v>
      </c>
      <c r="I46" s="63">
        <f t="shared" si="2"/>
        <v>21.958</v>
      </c>
      <c r="J46" s="63">
        <f t="shared" si="3"/>
        <v>40.416</v>
      </c>
    </row>
    <row r="47" ht="15.6" spans="1:10">
      <c r="A47" s="62" t="s">
        <v>55</v>
      </c>
      <c r="B47" s="72"/>
      <c r="C47" s="72"/>
      <c r="D47" s="70">
        <v>1</v>
      </c>
      <c r="E47" s="66"/>
      <c r="F47" s="70"/>
      <c r="G47" s="72"/>
      <c r="H47" s="63">
        <f t="shared" si="1"/>
        <v>17.458</v>
      </c>
      <c r="I47" s="63">
        <f t="shared" si="2"/>
        <v>21.958</v>
      </c>
      <c r="J47" s="63">
        <f t="shared" si="3"/>
        <v>39.416</v>
      </c>
    </row>
    <row r="48" ht="15.6" spans="1:10">
      <c r="A48" s="62" t="s">
        <v>56</v>
      </c>
      <c r="B48" s="70">
        <v>2.5</v>
      </c>
      <c r="C48" s="70">
        <v>2.5</v>
      </c>
      <c r="D48" s="72"/>
      <c r="E48" s="66"/>
      <c r="F48" s="72"/>
      <c r="G48" s="72"/>
      <c r="H48" s="63">
        <f t="shared" si="1"/>
        <v>19.958</v>
      </c>
      <c r="I48" s="63">
        <f t="shared" si="2"/>
        <v>24.458</v>
      </c>
      <c r="J48" s="63">
        <f t="shared" si="3"/>
        <v>44.416</v>
      </c>
    </row>
    <row r="49" ht="15.6" spans="1:10">
      <c r="A49" s="62" t="s">
        <v>57</v>
      </c>
      <c r="B49" s="72"/>
      <c r="C49" s="72"/>
      <c r="D49" s="70">
        <v>14</v>
      </c>
      <c r="E49" s="70">
        <v>6</v>
      </c>
      <c r="F49" s="70"/>
      <c r="G49" s="72"/>
      <c r="H49" s="63">
        <f t="shared" si="1"/>
        <v>5.958</v>
      </c>
      <c r="I49" s="63">
        <f t="shared" si="2"/>
        <v>18.458</v>
      </c>
      <c r="J49" s="63">
        <f t="shared" si="3"/>
        <v>24.416</v>
      </c>
    </row>
    <row r="50" ht="15.6" spans="1:10">
      <c r="A50" s="66" t="s">
        <v>58</v>
      </c>
      <c r="B50" s="66"/>
      <c r="C50" s="66"/>
      <c r="D50" s="66">
        <v>5</v>
      </c>
      <c r="E50" s="66"/>
      <c r="F50" s="66"/>
      <c r="G50" s="66"/>
      <c r="H50" s="63">
        <f t="shared" si="1"/>
        <v>0.957999999999998</v>
      </c>
      <c r="I50" s="63">
        <f t="shared" si="2"/>
        <v>18.458</v>
      </c>
      <c r="J50" s="63">
        <f t="shared" si="3"/>
        <v>19.416</v>
      </c>
    </row>
    <row r="51" ht="15.6" spans="1:10">
      <c r="A51" s="66" t="s">
        <v>59</v>
      </c>
      <c r="B51" s="66">
        <v>2.5</v>
      </c>
      <c r="C51" s="66">
        <v>2.5</v>
      </c>
      <c r="D51" s="66"/>
      <c r="E51" s="66"/>
      <c r="F51" s="66"/>
      <c r="G51" s="66"/>
      <c r="H51" s="63">
        <f t="shared" si="1"/>
        <v>3.458</v>
      </c>
      <c r="I51" s="63">
        <f t="shared" si="2"/>
        <v>20.958</v>
      </c>
      <c r="J51" s="63">
        <f t="shared" si="3"/>
        <v>24.416</v>
      </c>
    </row>
    <row r="52" ht="15.6" spans="1:10">
      <c r="A52" s="66" t="s">
        <v>60</v>
      </c>
      <c r="B52" s="66"/>
      <c r="C52" s="66"/>
      <c r="D52" s="66"/>
      <c r="E52" s="66">
        <v>2</v>
      </c>
      <c r="F52" s="66"/>
      <c r="G52" s="66"/>
      <c r="H52" s="63">
        <f t="shared" si="1"/>
        <v>3.458</v>
      </c>
      <c r="I52" s="63">
        <f t="shared" si="2"/>
        <v>18.958</v>
      </c>
      <c r="J52" s="63">
        <f t="shared" si="3"/>
        <v>22.416</v>
      </c>
    </row>
    <row r="53" ht="15.6" spans="1:10">
      <c r="A53" s="66" t="s">
        <v>61</v>
      </c>
      <c r="B53" s="66">
        <v>1.25</v>
      </c>
      <c r="C53" s="66">
        <v>1.25</v>
      </c>
      <c r="D53" s="66"/>
      <c r="E53" s="66"/>
      <c r="F53" s="66"/>
      <c r="G53" s="66"/>
      <c r="H53" s="63">
        <f t="shared" si="1"/>
        <v>4.708</v>
      </c>
      <c r="I53" s="63">
        <f t="shared" si="2"/>
        <v>20.208</v>
      </c>
      <c r="J53" s="63">
        <f t="shared" si="3"/>
        <v>24.916</v>
      </c>
    </row>
    <row r="54" ht="15.6" spans="1:10">
      <c r="A54" s="66" t="s">
        <v>62</v>
      </c>
      <c r="B54" s="66"/>
      <c r="C54" s="66"/>
      <c r="D54" s="66"/>
      <c r="E54" s="66"/>
      <c r="F54" s="66">
        <v>3</v>
      </c>
      <c r="G54" s="66"/>
      <c r="H54" s="63">
        <f t="shared" si="1"/>
        <v>1.708</v>
      </c>
      <c r="I54" s="63">
        <f t="shared" si="2"/>
        <v>20.208</v>
      </c>
      <c r="J54" s="63">
        <f t="shared" si="3"/>
        <v>21.916</v>
      </c>
    </row>
    <row r="55" ht="15.6" spans="1:10">
      <c r="A55" s="66" t="s">
        <v>63</v>
      </c>
      <c r="B55" s="66">
        <v>1.25</v>
      </c>
      <c r="C55" s="66">
        <v>1.25</v>
      </c>
      <c r="D55" s="66"/>
      <c r="E55" s="66"/>
      <c r="F55" s="66"/>
      <c r="G55" s="66"/>
      <c r="H55" s="63">
        <f t="shared" si="1"/>
        <v>2.958</v>
      </c>
      <c r="I55" s="63">
        <f t="shared" si="2"/>
        <v>21.458</v>
      </c>
      <c r="J55" s="63">
        <f t="shared" si="3"/>
        <v>24.416</v>
      </c>
    </row>
    <row r="56" ht="15.6" spans="1:10">
      <c r="A56" s="66" t="s">
        <v>64</v>
      </c>
      <c r="B56" s="66">
        <v>3.75</v>
      </c>
      <c r="C56" s="66">
        <v>3.75</v>
      </c>
      <c r="D56" s="66"/>
      <c r="E56" s="66"/>
      <c r="F56" s="66"/>
      <c r="G56" s="66"/>
      <c r="H56" s="63">
        <f t="shared" si="1"/>
        <v>6.708</v>
      </c>
      <c r="I56" s="63">
        <f t="shared" si="2"/>
        <v>25.208</v>
      </c>
      <c r="J56" s="63">
        <f t="shared" si="3"/>
        <v>31.916</v>
      </c>
    </row>
    <row r="57" ht="15.6" spans="1:10">
      <c r="A57" s="66" t="s">
        <v>65</v>
      </c>
      <c r="B57" s="66"/>
      <c r="C57" s="66"/>
      <c r="D57" s="66">
        <v>0.5</v>
      </c>
      <c r="E57" s="66"/>
      <c r="F57" s="66"/>
      <c r="G57" s="66"/>
      <c r="H57" s="63">
        <f t="shared" ref="H57:H76" si="4">H56-F57-D57+B57</f>
        <v>6.208</v>
      </c>
      <c r="I57" s="63">
        <f t="shared" ref="I57:I76" si="5">I56-E57+C57</f>
        <v>25.208</v>
      </c>
      <c r="J57" s="63">
        <f t="shared" ref="J57:J76" si="6">SUM(H57:I57)</f>
        <v>31.416</v>
      </c>
    </row>
    <row r="58" ht="15.6" spans="1:10">
      <c r="A58" s="66" t="s">
        <v>66</v>
      </c>
      <c r="B58" s="66"/>
      <c r="C58" s="66"/>
      <c r="D58" s="66"/>
      <c r="E58" s="66"/>
      <c r="F58" s="66">
        <v>1</v>
      </c>
      <c r="G58" s="66"/>
      <c r="H58" s="63">
        <f t="shared" si="4"/>
        <v>5.208</v>
      </c>
      <c r="I58" s="63">
        <f t="shared" si="5"/>
        <v>25.208</v>
      </c>
      <c r="J58" s="63">
        <f t="shared" si="6"/>
        <v>30.416</v>
      </c>
    </row>
    <row r="59" ht="15.6" spans="1:10">
      <c r="A59" s="66" t="s">
        <v>67</v>
      </c>
      <c r="B59" s="66">
        <v>1.25</v>
      </c>
      <c r="C59" s="66">
        <v>1.25</v>
      </c>
      <c r="D59" s="66"/>
      <c r="E59" s="66"/>
      <c r="F59" s="66"/>
      <c r="G59" s="66"/>
      <c r="H59" s="63">
        <f t="shared" si="4"/>
        <v>6.458</v>
      </c>
      <c r="I59" s="63">
        <f t="shared" si="5"/>
        <v>26.458</v>
      </c>
      <c r="J59" s="63">
        <f t="shared" si="6"/>
        <v>32.916</v>
      </c>
    </row>
    <row r="60" ht="15.6" spans="1:10">
      <c r="A60" s="66" t="s">
        <v>68</v>
      </c>
      <c r="B60" s="66"/>
      <c r="C60" s="66"/>
      <c r="D60" s="66"/>
      <c r="E60" s="66">
        <v>1</v>
      </c>
      <c r="F60" s="66"/>
      <c r="G60" s="66"/>
      <c r="H60" s="63">
        <f t="shared" si="4"/>
        <v>6.458</v>
      </c>
      <c r="I60" s="63">
        <f t="shared" si="5"/>
        <v>25.458</v>
      </c>
      <c r="J60" s="63">
        <f t="shared" si="6"/>
        <v>31.916</v>
      </c>
    </row>
    <row r="61" ht="15.6" spans="1:10">
      <c r="A61" s="66" t="s">
        <v>69</v>
      </c>
      <c r="B61" s="66"/>
      <c r="C61" s="66"/>
      <c r="D61" s="66"/>
      <c r="E61" s="66"/>
      <c r="F61" s="66"/>
      <c r="G61" s="66">
        <v>1</v>
      </c>
      <c r="H61" s="63">
        <f t="shared" si="4"/>
        <v>6.458</v>
      </c>
      <c r="I61" s="63">
        <f t="shared" si="5"/>
        <v>25.458</v>
      </c>
      <c r="J61" s="63">
        <f t="shared" si="6"/>
        <v>31.916</v>
      </c>
    </row>
    <row r="62" ht="15.6" spans="1:10">
      <c r="A62" s="66" t="s">
        <v>70</v>
      </c>
      <c r="B62" s="66">
        <v>1.25</v>
      </c>
      <c r="C62" s="66">
        <v>1.25</v>
      </c>
      <c r="D62" s="66"/>
      <c r="E62" s="66"/>
      <c r="F62" s="66"/>
      <c r="G62" s="66"/>
      <c r="H62" s="63">
        <f t="shared" si="4"/>
        <v>7.708</v>
      </c>
      <c r="I62" s="63">
        <f t="shared" si="5"/>
        <v>26.708</v>
      </c>
      <c r="J62" s="63">
        <f t="shared" si="6"/>
        <v>34.416</v>
      </c>
    </row>
    <row r="63" ht="18" customHeight="1" spans="1:10">
      <c r="A63" s="66" t="s">
        <v>71</v>
      </c>
      <c r="B63" s="66"/>
      <c r="C63" s="66"/>
      <c r="D63" s="66"/>
      <c r="E63" s="66"/>
      <c r="F63" s="66">
        <v>1</v>
      </c>
      <c r="G63" s="66"/>
      <c r="H63" s="63">
        <f t="shared" si="4"/>
        <v>6.708</v>
      </c>
      <c r="I63" s="63">
        <f t="shared" si="5"/>
        <v>26.708</v>
      </c>
      <c r="J63" s="63">
        <f t="shared" si="6"/>
        <v>33.416</v>
      </c>
    </row>
    <row r="64" ht="18" customHeight="1" spans="1:10">
      <c r="A64" s="66" t="s">
        <v>72</v>
      </c>
      <c r="B64" s="66"/>
      <c r="C64" s="66"/>
      <c r="D64" s="66"/>
      <c r="E64" s="66"/>
      <c r="F64" s="66"/>
      <c r="G64" s="66">
        <v>1</v>
      </c>
      <c r="H64" s="63">
        <f t="shared" si="4"/>
        <v>6.708</v>
      </c>
      <c r="I64" s="63">
        <f t="shared" si="5"/>
        <v>26.708</v>
      </c>
      <c r="J64" s="63">
        <f t="shared" si="6"/>
        <v>33.416</v>
      </c>
    </row>
    <row r="65" ht="18" customHeight="1" spans="1:10">
      <c r="A65" s="66" t="s">
        <v>73</v>
      </c>
      <c r="B65" s="66"/>
      <c r="C65" s="66"/>
      <c r="D65" s="66"/>
      <c r="E65" s="66"/>
      <c r="F65" s="66"/>
      <c r="G65" s="66">
        <v>1</v>
      </c>
      <c r="H65" s="63">
        <f t="shared" si="4"/>
        <v>6.708</v>
      </c>
      <c r="I65" s="63">
        <f t="shared" si="5"/>
        <v>26.708</v>
      </c>
      <c r="J65" s="63">
        <f t="shared" si="6"/>
        <v>33.416</v>
      </c>
    </row>
    <row r="66" ht="18" customHeight="1" spans="1:10">
      <c r="A66" s="66" t="s">
        <v>74</v>
      </c>
      <c r="B66" s="66">
        <v>6.25</v>
      </c>
      <c r="C66" s="66">
        <v>6.25</v>
      </c>
      <c r="D66" s="66"/>
      <c r="E66" s="66"/>
      <c r="F66" s="66"/>
      <c r="G66" s="66"/>
      <c r="H66" s="63">
        <f t="shared" si="4"/>
        <v>12.958</v>
      </c>
      <c r="I66" s="63">
        <f t="shared" si="5"/>
        <v>32.958</v>
      </c>
      <c r="J66" s="63">
        <f t="shared" si="6"/>
        <v>45.916</v>
      </c>
    </row>
    <row r="67" ht="18" customHeight="1" spans="1:10">
      <c r="A67" s="66" t="s">
        <v>75</v>
      </c>
      <c r="B67" s="66"/>
      <c r="C67" s="66"/>
      <c r="D67" s="66"/>
      <c r="E67" s="66"/>
      <c r="F67" s="66">
        <v>3</v>
      </c>
      <c r="G67" s="66"/>
      <c r="H67" s="63">
        <f t="shared" si="4"/>
        <v>9.958</v>
      </c>
      <c r="I67" s="63">
        <f t="shared" si="5"/>
        <v>32.958</v>
      </c>
      <c r="J67" s="63">
        <f t="shared" si="6"/>
        <v>42.916</v>
      </c>
    </row>
    <row r="68" ht="18" customHeight="1" spans="1:10">
      <c r="A68" s="66" t="s">
        <v>76</v>
      </c>
      <c r="B68" s="66">
        <v>2.5</v>
      </c>
      <c r="C68" s="66">
        <v>2.5</v>
      </c>
      <c r="D68" s="66"/>
      <c r="E68" s="66"/>
      <c r="F68" s="66"/>
      <c r="G68" s="66"/>
      <c r="H68" s="63">
        <f t="shared" si="4"/>
        <v>12.458</v>
      </c>
      <c r="I68" s="63">
        <f t="shared" si="5"/>
        <v>35.458</v>
      </c>
      <c r="J68" s="63">
        <f t="shared" si="6"/>
        <v>47.916</v>
      </c>
    </row>
    <row r="69" ht="18" customHeight="1" spans="1:10">
      <c r="A69" s="66" t="s">
        <v>77</v>
      </c>
      <c r="B69" s="66"/>
      <c r="C69" s="66"/>
      <c r="D69" s="66"/>
      <c r="E69" s="66">
        <v>1</v>
      </c>
      <c r="F69" s="66"/>
      <c r="G69" s="66"/>
      <c r="H69" s="63">
        <f t="shared" si="4"/>
        <v>12.458</v>
      </c>
      <c r="I69" s="63">
        <f t="shared" si="5"/>
        <v>34.458</v>
      </c>
      <c r="J69" s="63">
        <f t="shared" si="6"/>
        <v>46.916</v>
      </c>
    </row>
    <row r="70" ht="18" customHeight="1" spans="1:10">
      <c r="A70" s="66" t="s">
        <v>78</v>
      </c>
      <c r="B70" s="66"/>
      <c r="C70" s="66"/>
      <c r="D70" s="66"/>
      <c r="E70" s="66">
        <v>2</v>
      </c>
      <c r="F70" s="66"/>
      <c r="G70" s="66"/>
      <c r="H70" s="63">
        <f t="shared" si="4"/>
        <v>12.458</v>
      </c>
      <c r="I70" s="63">
        <f t="shared" si="5"/>
        <v>32.458</v>
      </c>
      <c r="J70" s="63">
        <f t="shared" si="6"/>
        <v>44.916</v>
      </c>
    </row>
    <row r="71" ht="18" customHeight="1" spans="1:10">
      <c r="A71" s="66" t="s">
        <v>79</v>
      </c>
      <c r="B71" s="66">
        <v>1.25</v>
      </c>
      <c r="C71" s="66">
        <v>1.25</v>
      </c>
      <c r="D71" s="66"/>
      <c r="E71" s="66"/>
      <c r="F71" s="66"/>
      <c r="G71" s="66"/>
      <c r="H71" s="63">
        <f t="shared" si="4"/>
        <v>13.708</v>
      </c>
      <c r="I71" s="63">
        <f t="shared" si="5"/>
        <v>33.708</v>
      </c>
      <c r="J71" s="63">
        <f t="shared" si="6"/>
        <v>47.416</v>
      </c>
    </row>
    <row r="72" ht="18" customHeight="1" spans="1:10">
      <c r="A72" s="66" t="s">
        <v>80</v>
      </c>
      <c r="B72" s="66"/>
      <c r="C72" s="66"/>
      <c r="D72" s="66"/>
      <c r="E72" s="66"/>
      <c r="F72" s="78">
        <v>2</v>
      </c>
      <c r="G72" s="66"/>
      <c r="H72" s="63">
        <f t="shared" si="4"/>
        <v>11.708</v>
      </c>
      <c r="I72" s="63">
        <f t="shared" si="5"/>
        <v>33.708</v>
      </c>
      <c r="J72" s="63">
        <f t="shared" si="6"/>
        <v>45.416</v>
      </c>
    </row>
    <row r="73" ht="18" customHeight="1" spans="1:10">
      <c r="A73" s="66" t="s">
        <v>81</v>
      </c>
      <c r="B73" s="66">
        <v>3.75</v>
      </c>
      <c r="C73" s="66">
        <v>3.75</v>
      </c>
      <c r="D73" s="66"/>
      <c r="E73" s="66"/>
      <c r="F73" s="66"/>
      <c r="G73" s="66"/>
      <c r="H73" s="63">
        <f t="shared" si="4"/>
        <v>15.458</v>
      </c>
      <c r="I73" s="63">
        <f t="shared" si="5"/>
        <v>37.458</v>
      </c>
      <c r="J73" s="63">
        <f t="shared" si="6"/>
        <v>52.916</v>
      </c>
    </row>
    <row r="74" ht="18" customHeight="1" spans="1:10">
      <c r="A74" s="66" t="s">
        <v>82</v>
      </c>
      <c r="B74" s="66"/>
      <c r="C74" s="66"/>
      <c r="D74" s="66"/>
      <c r="E74" s="66">
        <v>2</v>
      </c>
      <c r="F74" s="66"/>
      <c r="G74" s="66"/>
      <c r="H74" s="63">
        <f t="shared" si="4"/>
        <v>15.458</v>
      </c>
      <c r="I74" s="63">
        <f t="shared" si="5"/>
        <v>35.458</v>
      </c>
      <c r="J74" s="63">
        <f t="shared" si="6"/>
        <v>50.916</v>
      </c>
    </row>
    <row r="75" ht="18" customHeight="1" spans="1:10">
      <c r="A75" s="66" t="s">
        <v>83</v>
      </c>
      <c r="B75" s="66">
        <v>2.5</v>
      </c>
      <c r="C75" s="66">
        <v>2.5</v>
      </c>
      <c r="D75" s="66"/>
      <c r="E75" s="66"/>
      <c r="F75" s="66"/>
      <c r="G75" s="66"/>
      <c r="H75" s="63">
        <f t="shared" si="4"/>
        <v>17.958</v>
      </c>
      <c r="I75" s="63">
        <f t="shared" si="5"/>
        <v>37.958</v>
      </c>
      <c r="J75" s="63">
        <f t="shared" si="6"/>
        <v>55.916</v>
      </c>
    </row>
    <row r="76" ht="18" customHeight="1" spans="1:10">
      <c r="A76" s="66" t="s">
        <v>84</v>
      </c>
      <c r="B76" s="66"/>
      <c r="C76" s="66"/>
      <c r="D76" s="66">
        <v>10</v>
      </c>
      <c r="E76" s="66"/>
      <c r="F76" s="66"/>
      <c r="G76" s="66"/>
      <c r="H76" s="63">
        <f t="shared" si="4"/>
        <v>7.958</v>
      </c>
      <c r="I76" s="63">
        <f t="shared" si="5"/>
        <v>37.958</v>
      </c>
      <c r="J76" s="63">
        <f t="shared" si="6"/>
        <v>45.916</v>
      </c>
    </row>
    <row r="77" ht="18" customHeight="1" spans="1:10">
      <c r="A77" s="66" t="s">
        <v>85</v>
      </c>
      <c r="B77" s="66"/>
      <c r="C77" s="66"/>
      <c r="D77" s="66"/>
      <c r="E77" s="66">
        <v>1</v>
      </c>
      <c r="F77" s="66"/>
      <c r="G77" s="66"/>
      <c r="H77" s="63">
        <f t="shared" ref="H77" si="7">H76-F77-D77+B77</f>
        <v>7.958</v>
      </c>
      <c r="I77" s="63">
        <f t="shared" ref="I77" si="8">I76-E77+C77</f>
        <v>36.958</v>
      </c>
      <c r="J77" s="63">
        <f t="shared" ref="J77" si="9">SUM(H77:I77)</f>
        <v>44.916</v>
      </c>
    </row>
    <row r="78" ht="18" customHeight="1" spans="1:10">
      <c r="A78" s="66" t="s">
        <v>86</v>
      </c>
      <c r="B78" s="66">
        <v>1.25</v>
      </c>
      <c r="C78" s="66">
        <v>1.25</v>
      </c>
      <c r="D78" s="66"/>
      <c r="E78" s="66"/>
      <c r="F78" s="66"/>
      <c r="G78" s="66"/>
      <c r="H78" s="63">
        <f t="shared" ref="H78:H79" si="10">H77-F78-D78+B78</f>
        <v>9.208</v>
      </c>
      <c r="I78" s="63">
        <f t="shared" ref="I78:I79" si="11">I77-E78+C78</f>
        <v>38.208</v>
      </c>
      <c r="J78" s="63">
        <f t="shared" ref="J78:J79" si="12">SUM(H78:I78)</f>
        <v>47.416</v>
      </c>
    </row>
    <row r="79" ht="18" customHeight="1" spans="1:10">
      <c r="A79" s="66" t="s">
        <v>87</v>
      </c>
      <c r="B79" s="66"/>
      <c r="C79" s="66"/>
      <c r="D79" s="66"/>
      <c r="E79" s="66"/>
      <c r="F79" s="66"/>
      <c r="G79" s="79">
        <v>1</v>
      </c>
      <c r="H79" s="63">
        <f t="shared" si="10"/>
        <v>9.208</v>
      </c>
      <c r="I79" s="63">
        <f t="shared" si="11"/>
        <v>38.208</v>
      </c>
      <c r="J79" s="63">
        <f t="shared" si="12"/>
        <v>47.416</v>
      </c>
    </row>
    <row r="80" ht="18" customHeight="1" spans="1:10">
      <c r="A80" s="66" t="s">
        <v>88</v>
      </c>
      <c r="B80" s="66">
        <v>3.75</v>
      </c>
      <c r="C80" s="66">
        <v>3.75</v>
      </c>
      <c r="D80" s="66"/>
      <c r="E80" s="66"/>
      <c r="F80" s="66"/>
      <c r="G80" s="66"/>
      <c r="H80" s="63">
        <f t="shared" ref="H80:H82" si="13">H79-F80-D80+B80</f>
        <v>12.958</v>
      </c>
      <c r="I80" s="63">
        <f t="shared" ref="I80:I82" si="14">I79-E80+C80</f>
        <v>41.958</v>
      </c>
      <c r="J80" s="63">
        <f t="shared" ref="J80:J82" si="15">SUM(H80:I80)</f>
        <v>54.916</v>
      </c>
    </row>
    <row r="81" ht="18" customHeight="1" spans="1:10">
      <c r="A81" s="66" t="s">
        <v>89</v>
      </c>
      <c r="B81" s="66"/>
      <c r="C81" s="66"/>
      <c r="D81" s="66"/>
      <c r="E81" s="66"/>
      <c r="F81" s="66"/>
      <c r="G81" s="79">
        <v>1</v>
      </c>
      <c r="H81" s="63">
        <f t="shared" si="13"/>
        <v>12.958</v>
      </c>
      <c r="I81" s="63">
        <f t="shared" si="14"/>
        <v>41.958</v>
      </c>
      <c r="J81" s="63">
        <f t="shared" si="15"/>
        <v>54.916</v>
      </c>
    </row>
    <row r="82" ht="18" customHeight="1" spans="1:10">
      <c r="A82" s="66" t="s">
        <v>90</v>
      </c>
      <c r="B82" s="66"/>
      <c r="C82" s="66"/>
      <c r="D82" s="66"/>
      <c r="E82" s="66"/>
      <c r="F82" s="78">
        <v>1</v>
      </c>
      <c r="G82" s="66"/>
      <c r="H82" s="63">
        <f t="shared" si="13"/>
        <v>11.958</v>
      </c>
      <c r="I82" s="63">
        <f t="shared" si="14"/>
        <v>41.958</v>
      </c>
      <c r="J82" s="63">
        <f t="shared" si="15"/>
        <v>53.916</v>
      </c>
    </row>
    <row r="83" ht="18" customHeight="1" spans="1:10">
      <c r="A83" s="80" t="s">
        <v>91</v>
      </c>
      <c r="B83" s="80"/>
      <c r="C83" s="80"/>
      <c r="D83" s="80"/>
      <c r="E83" s="80"/>
      <c r="F83" s="80"/>
      <c r="G83" s="79">
        <v>1</v>
      </c>
      <c r="H83" s="63">
        <f t="shared" ref="H83" si="16">H82-F83-D83+B83</f>
        <v>11.958</v>
      </c>
      <c r="I83" s="63">
        <f t="shared" ref="I83" si="17">I82-E83+C83</f>
        <v>41.958</v>
      </c>
      <c r="J83" s="63">
        <f t="shared" ref="J83" si="18">SUM(H83:I83)</f>
        <v>53.916</v>
      </c>
    </row>
    <row r="84" s="45" customFormat="1" ht="18" customHeight="1" spans="1:11">
      <c r="A84" s="81" t="s">
        <v>92</v>
      </c>
      <c r="B84" s="81">
        <v>1.25</v>
      </c>
      <c r="C84" s="81">
        <v>1.25</v>
      </c>
      <c r="D84" s="81"/>
      <c r="E84" s="81"/>
      <c r="F84" s="81"/>
      <c r="G84" s="82"/>
      <c r="H84" s="63">
        <f>H83-F84-D84+B84</f>
        <v>13.208</v>
      </c>
      <c r="I84" s="63">
        <f>I83-E84+C84</f>
        <v>43.208</v>
      </c>
      <c r="J84" s="63">
        <f>SUM(H84:I84)</f>
        <v>56.416</v>
      </c>
      <c r="K84" s="86"/>
    </row>
    <row r="85" s="45" customFormat="1" ht="18" customHeight="1" spans="1:11">
      <c r="A85" s="81" t="s">
        <v>93</v>
      </c>
      <c r="B85" s="81"/>
      <c r="C85" s="81"/>
      <c r="D85" s="81"/>
      <c r="E85" s="81"/>
      <c r="F85" s="78">
        <v>2</v>
      </c>
      <c r="G85" s="82"/>
      <c r="H85" s="63">
        <f>H84-F85-D85+B85</f>
        <v>11.208</v>
      </c>
      <c r="I85" s="63">
        <f>I84-E85+C85</f>
        <v>43.208</v>
      </c>
      <c r="J85" s="63">
        <f>SUM(H85:I85)</f>
        <v>54.416</v>
      </c>
      <c r="K85" s="86"/>
    </row>
    <row r="86" s="45" customFormat="1" ht="18" customHeight="1" spans="1:11">
      <c r="A86" s="81" t="s">
        <v>94</v>
      </c>
      <c r="B86" s="81"/>
      <c r="C86" s="81"/>
      <c r="D86" s="81">
        <v>1</v>
      </c>
      <c r="E86" s="81"/>
      <c r="F86" s="81"/>
      <c r="G86" s="82"/>
      <c r="H86" s="63">
        <f>H85-F86-D86+B86</f>
        <v>10.208</v>
      </c>
      <c r="I86" s="63">
        <f>I85-E86+C86</f>
        <v>43.208</v>
      </c>
      <c r="J86" s="63">
        <f>SUM(H86:I86)</f>
        <v>53.416</v>
      </c>
      <c r="K86" s="86"/>
    </row>
    <row r="87" ht="18" customHeight="1" spans="1:10">
      <c r="A87" s="80"/>
      <c r="B87" s="80"/>
      <c r="C87" s="80"/>
      <c r="D87" s="80"/>
      <c r="E87" s="80"/>
      <c r="F87" s="80"/>
      <c r="G87" s="80"/>
      <c r="H87" s="83"/>
      <c r="I87" s="83"/>
      <c r="J87" s="83"/>
    </row>
    <row r="88" s="44" customFormat="1" ht="15" customHeight="1"/>
    <row r="89" s="44" customFormat="1" ht="15" customHeight="1" spans="7:7">
      <c r="G89" s="44" t="s">
        <v>95</v>
      </c>
    </row>
    <row r="90" s="44" customFormat="1" ht="15" customHeight="1"/>
    <row r="91" s="44" customFormat="1" ht="15" customHeight="1" spans="7:9">
      <c r="G91" s="84" t="s">
        <v>96</v>
      </c>
      <c r="H91" s="84"/>
      <c r="I91" s="84"/>
    </row>
    <row r="92" s="44" customFormat="1" ht="15" customHeight="1" spans="7:9">
      <c r="G92" s="85" t="s">
        <v>97</v>
      </c>
      <c r="H92" s="85"/>
      <c r="I92" s="85"/>
    </row>
    <row r="93" spans="7:9">
      <c r="G93" s="85" t="s">
        <v>98</v>
      </c>
      <c r="H93" s="85"/>
      <c r="I93" s="85"/>
    </row>
  </sheetData>
  <mergeCells count="16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G91:I91"/>
    <mergeCell ref="G92:I92"/>
    <mergeCell ref="G93:I93"/>
    <mergeCell ref="A11:A12"/>
    <mergeCell ref="J11:J12"/>
    <mergeCell ref="K11:K12"/>
  </mergeCells>
  <printOptions horizontalCentered="1"/>
  <pageMargins left="0.236220472440945" right="0.236220472440945" top="0.62992125984252" bottom="0.236220472440945" header="0.31496062992126" footer="0.31496062992126"/>
  <pageSetup paperSize="9" scale="69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4"/>
  <sheetViews>
    <sheetView view="pageBreakPreview" zoomScaleNormal="100" topLeftCell="A10" workbookViewId="0">
      <selection activeCell="H27" sqref="H27:I27"/>
    </sheetView>
  </sheetViews>
  <sheetFormatPr defaultColWidth="9" defaultRowHeight="14.4"/>
  <cols>
    <col min="1" max="1" width="23.712962962963" style="1" customWidth="1"/>
    <col min="2" max="2" width="11.4259259259259" style="1" customWidth="1"/>
    <col min="3" max="4" width="9.13888888888889" style="1"/>
    <col min="5" max="5" width="13" style="1" customWidth="1"/>
    <col min="6" max="12" width="9.13888888888889" style="1"/>
  </cols>
  <sheetData>
    <row r="1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" t="s">
        <v>4</v>
      </c>
      <c r="B9" s="2"/>
      <c r="C9" s="4" t="s">
        <v>5</v>
      </c>
      <c r="D9" s="4"/>
      <c r="E9" s="2"/>
      <c r="F9" s="2"/>
      <c r="G9" s="4" t="s">
        <v>6</v>
      </c>
      <c r="H9" s="5"/>
      <c r="I9" s="2"/>
      <c r="J9" s="2"/>
      <c r="K9" s="2"/>
      <c r="L9" s="2"/>
    </row>
    <row r="10" spans="1:12">
      <c r="A10" s="2"/>
      <c r="B10" s="2"/>
      <c r="C10" s="6"/>
      <c r="D10" s="2"/>
      <c r="E10" s="2"/>
      <c r="F10" s="2"/>
      <c r="G10" s="6"/>
      <c r="H10" s="6"/>
      <c r="I10" s="2"/>
      <c r="J10" s="2"/>
      <c r="K10" s="2"/>
      <c r="L10" s="2"/>
    </row>
    <row r="11" spans="1:12">
      <c r="A11" s="2" t="s">
        <v>7</v>
      </c>
      <c r="B11" s="2"/>
      <c r="C11" s="4" t="s">
        <v>8</v>
      </c>
      <c r="D11" s="4"/>
      <c r="E11" s="2"/>
      <c r="F11" s="2"/>
      <c r="G11" s="4" t="s">
        <v>9</v>
      </c>
      <c r="H11" s="7"/>
      <c r="I11" s="2"/>
      <c r="J11" s="2"/>
      <c r="K11" s="2"/>
      <c r="L11" s="2"/>
    </row>
    <row r="12" spans="1:12">
      <c r="A12" s="2"/>
      <c r="B12" s="2"/>
      <c r="C12" s="4"/>
      <c r="D12" s="4"/>
      <c r="E12" s="2"/>
      <c r="F12" s="2"/>
      <c r="G12" s="4"/>
      <c r="H12" s="4"/>
      <c r="I12" s="2"/>
      <c r="J12" s="2"/>
      <c r="K12" s="2"/>
      <c r="L12" s="2"/>
    </row>
    <row r="13" ht="21.75" spans="1:12">
      <c r="A13" s="8" t="s">
        <v>99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>
      <c r="A14" s="9" t="s">
        <v>11</v>
      </c>
      <c r="B14" s="10" t="s">
        <v>12</v>
      </c>
      <c r="C14" s="11"/>
      <c r="D14" s="11"/>
      <c r="E14" s="11"/>
      <c r="F14" s="11"/>
      <c r="G14" s="11"/>
      <c r="H14" s="11"/>
      <c r="I14" s="11"/>
      <c r="J14" s="11"/>
      <c r="K14" s="11"/>
      <c r="L14" s="35" t="s">
        <v>15</v>
      </c>
    </row>
    <row r="15" spans="1:12">
      <c r="A15" s="12"/>
      <c r="B15" s="13" t="s">
        <v>100</v>
      </c>
      <c r="C15" s="14"/>
      <c r="D15" s="14"/>
      <c r="E15" s="15"/>
      <c r="F15" s="13" t="s">
        <v>101</v>
      </c>
      <c r="G15" s="15"/>
      <c r="H15" s="13" t="s">
        <v>102</v>
      </c>
      <c r="I15" s="15"/>
      <c r="J15" s="13" t="s">
        <v>103</v>
      </c>
      <c r="K15" s="15"/>
      <c r="L15" s="36"/>
    </row>
    <row r="16" ht="26.1" hidden="1" customHeight="1" spans="1:12">
      <c r="A16" s="16" t="s">
        <v>104</v>
      </c>
      <c r="B16" s="17" t="s">
        <v>105</v>
      </c>
      <c r="C16" s="18"/>
      <c r="D16" s="18"/>
      <c r="E16" s="19"/>
      <c r="F16" s="17">
        <v>1</v>
      </c>
      <c r="G16" s="19"/>
      <c r="H16" s="17">
        <v>0</v>
      </c>
      <c r="I16" s="19"/>
      <c r="J16" s="17">
        <v>1</v>
      </c>
      <c r="K16" s="19"/>
      <c r="L16" s="37">
        <v>1</v>
      </c>
    </row>
    <row r="17" ht="30" hidden="1" customHeight="1" spans="1:12">
      <c r="A17" s="20" t="s">
        <v>73</v>
      </c>
      <c r="B17" s="21"/>
      <c r="C17" s="22"/>
      <c r="D17" s="22"/>
      <c r="E17" s="23"/>
      <c r="F17" s="17"/>
      <c r="G17" s="19"/>
      <c r="H17" s="17">
        <v>1</v>
      </c>
      <c r="I17" s="19"/>
      <c r="J17" s="17">
        <v>0</v>
      </c>
      <c r="K17" s="19"/>
      <c r="L17" s="38">
        <v>0</v>
      </c>
    </row>
    <row r="18" ht="37.5" hidden="1" customHeight="1" spans="1:12">
      <c r="A18" s="24" t="s">
        <v>106</v>
      </c>
      <c r="B18" s="17" t="s">
        <v>107</v>
      </c>
      <c r="C18" s="18"/>
      <c r="D18" s="18"/>
      <c r="E18" s="19"/>
      <c r="F18" s="25">
        <v>1</v>
      </c>
      <c r="G18" s="26"/>
      <c r="H18" s="25">
        <v>0</v>
      </c>
      <c r="I18" s="26"/>
      <c r="J18" s="25">
        <v>1</v>
      </c>
      <c r="K18" s="26"/>
      <c r="L18" s="39">
        <v>1</v>
      </c>
    </row>
    <row r="19" ht="26.1" hidden="1" customHeight="1" spans="1:12">
      <c r="A19" s="16" t="s">
        <v>108</v>
      </c>
      <c r="B19" s="25"/>
      <c r="C19" s="27"/>
      <c r="D19" s="27"/>
      <c r="E19" s="26"/>
      <c r="F19" s="17"/>
      <c r="G19" s="19"/>
      <c r="H19" s="17">
        <v>1</v>
      </c>
      <c r="I19" s="19"/>
      <c r="J19" s="17">
        <v>0</v>
      </c>
      <c r="K19" s="19"/>
      <c r="L19" s="40">
        <v>0</v>
      </c>
    </row>
    <row r="20" ht="37.5" hidden="1" customHeight="1" spans="1:12">
      <c r="A20" s="24" t="s">
        <v>109</v>
      </c>
      <c r="B20" s="17" t="s">
        <v>110</v>
      </c>
      <c r="C20" s="18"/>
      <c r="D20" s="18"/>
      <c r="E20" s="19"/>
      <c r="F20" s="25">
        <v>3</v>
      </c>
      <c r="G20" s="26"/>
      <c r="H20" s="25">
        <v>0</v>
      </c>
      <c r="I20" s="26"/>
      <c r="J20" s="25">
        <v>3</v>
      </c>
      <c r="K20" s="26"/>
      <c r="L20" s="39">
        <v>3</v>
      </c>
    </row>
    <row r="21" ht="26.1" hidden="1" customHeight="1" spans="1:12">
      <c r="A21" s="16" t="s">
        <v>111</v>
      </c>
      <c r="B21" s="25"/>
      <c r="C21" s="27"/>
      <c r="D21" s="27"/>
      <c r="E21" s="26"/>
      <c r="F21" s="17"/>
      <c r="G21" s="19"/>
      <c r="H21" s="17">
        <v>2</v>
      </c>
      <c r="I21" s="19"/>
      <c r="J21" s="17">
        <v>1</v>
      </c>
      <c r="K21" s="19"/>
      <c r="L21" s="37">
        <v>1</v>
      </c>
    </row>
    <row r="22" ht="26.1" hidden="1" customHeight="1" spans="1:12">
      <c r="A22" s="16" t="s">
        <v>112</v>
      </c>
      <c r="B22" s="25"/>
      <c r="C22" s="27"/>
      <c r="D22" s="27"/>
      <c r="E22" s="26"/>
      <c r="F22" s="17"/>
      <c r="G22" s="19"/>
      <c r="H22" s="17">
        <v>1</v>
      </c>
      <c r="I22" s="19"/>
      <c r="J22" s="17">
        <v>0</v>
      </c>
      <c r="K22" s="19"/>
      <c r="L22" s="40">
        <v>0</v>
      </c>
    </row>
    <row r="23" ht="37.5" customHeight="1" spans="1:12">
      <c r="A23" s="24" t="s">
        <v>113</v>
      </c>
      <c r="B23" s="17" t="s">
        <v>114</v>
      </c>
      <c r="C23" s="18"/>
      <c r="D23" s="18"/>
      <c r="E23" s="19"/>
      <c r="F23" s="25">
        <v>7.5</v>
      </c>
      <c r="G23" s="26"/>
      <c r="H23" s="25">
        <v>0</v>
      </c>
      <c r="I23" s="26"/>
      <c r="J23" s="25">
        <v>7.5</v>
      </c>
      <c r="K23" s="26"/>
      <c r="L23" s="39">
        <v>7.5</v>
      </c>
    </row>
    <row r="24" ht="26.1" customHeight="1" spans="1:12">
      <c r="A24" s="16" t="s">
        <v>115</v>
      </c>
      <c r="B24" s="17" t="s">
        <v>114</v>
      </c>
      <c r="C24" s="18"/>
      <c r="D24" s="18"/>
      <c r="E24" s="19"/>
      <c r="F24" s="17"/>
      <c r="G24" s="19"/>
      <c r="H24" s="17">
        <v>1</v>
      </c>
      <c r="I24" s="19"/>
      <c r="J24" s="17">
        <v>6.5</v>
      </c>
      <c r="K24" s="19"/>
      <c r="L24" s="37">
        <v>6.5</v>
      </c>
    </row>
    <row r="25" ht="26.1" customHeight="1" spans="1:12">
      <c r="A25" s="16" t="s">
        <v>116</v>
      </c>
      <c r="B25" s="17" t="s">
        <v>114</v>
      </c>
      <c r="C25" s="18"/>
      <c r="D25" s="18"/>
      <c r="E25" s="19"/>
      <c r="F25" s="17"/>
      <c r="G25" s="19"/>
      <c r="H25" s="17">
        <v>1</v>
      </c>
      <c r="I25" s="19"/>
      <c r="J25" s="17">
        <v>5.5</v>
      </c>
      <c r="K25" s="19"/>
      <c r="L25" s="37">
        <v>5.5</v>
      </c>
    </row>
    <row r="26" ht="38.25" customHeight="1" spans="1:12">
      <c r="A26" s="16" t="s">
        <v>117</v>
      </c>
      <c r="B26" s="17" t="s">
        <v>114</v>
      </c>
      <c r="C26" s="18"/>
      <c r="D26" s="18"/>
      <c r="E26" s="19"/>
      <c r="F26" s="17"/>
      <c r="G26" s="19"/>
      <c r="H26" s="17">
        <v>2</v>
      </c>
      <c r="I26" s="19"/>
      <c r="J26" s="17">
        <v>3.5</v>
      </c>
      <c r="K26" s="19"/>
      <c r="L26" s="37">
        <v>3.5</v>
      </c>
    </row>
    <row r="27" ht="38.25" customHeight="1" spans="1:12">
      <c r="A27" s="16" t="s">
        <v>118</v>
      </c>
      <c r="B27" s="17" t="s">
        <v>114</v>
      </c>
      <c r="C27" s="18"/>
      <c r="D27" s="18"/>
      <c r="E27" s="19"/>
      <c r="F27" s="17"/>
      <c r="G27" s="19"/>
      <c r="H27" s="17">
        <v>2</v>
      </c>
      <c r="I27" s="19"/>
      <c r="J27" s="17">
        <v>1.5</v>
      </c>
      <c r="K27" s="19"/>
      <c r="L27" s="37">
        <v>1.5</v>
      </c>
    </row>
    <row r="28" spans="1:12">
      <c r="A28" s="28" t="s">
        <v>119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41"/>
    </row>
    <row r="29" ht="4.5" customHeight="1" spans="1:12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</row>
    <row r="30" spans="1:12">
      <c r="A30" s="2"/>
      <c r="B30" s="2"/>
      <c r="C30" s="31"/>
      <c r="D30" s="2"/>
      <c r="E30" s="2"/>
      <c r="F30" s="2"/>
      <c r="G30" s="2"/>
      <c r="H30" s="2"/>
      <c r="I30" s="2" t="s">
        <v>95</v>
      </c>
      <c r="J30" s="2"/>
      <c r="K30" s="2"/>
      <c r="L30" s="2"/>
    </row>
    <row r="31" ht="12.75" customHeight="1" spans="1:12">
      <c r="A31" s="2"/>
      <c r="B31" s="2"/>
      <c r="C31" s="31"/>
      <c r="D31" s="2"/>
      <c r="E31" s="2"/>
      <c r="F31" s="2"/>
      <c r="G31" s="2"/>
      <c r="H31" s="2"/>
      <c r="I31" s="2"/>
      <c r="J31" s="2"/>
      <c r="K31" s="2"/>
      <c r="L31" s="2"/>
    </row>
    <row r="32" spans="1:10">
      <c r="A32" s="32"/>
      <c r="B32" s="32"/>
      <c r="I32" s="42" t="s">
        <v>96</v>
      </c>
      <c r="J32" s="43"/>
    </row>
    <row r="33" spans="1:9">
      <c r="A33" s="33"/>
      <c r="B33" s="33"/>
      <c r="I33" s="1" t="s">
        <v>97</v>
      </c>
    </row>
    <row r="34" spans="1:10">
      <c r="A34" s="34"/>
      <c r="B34" s="34"/>
      <c r="I34" s="34" t="s">
        <v>98</v>
      </c>
      <c r="J34" s="34"/>
    </row>
  </sheetData>
  <mergeCells count="65">
    <mergeCell ref="A4:L4"/>
    <mergeCell ref="A5:L5"/>
    <mergeCell ref="A6:L6"/>
    <mergeCell ref="A7:L7"/>
    <mergeCell ref="A13:L13"/>
    <mergeCell ref="B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A29:L29"/>
    <mergeCell ref="A32:B32"/>
    <mergeCell ref="A33:B33"/>
    <mergeCell ref="A34:B34"/>
    <mergeCell ref="I34:J34"/>
    <mergeCell ref="A14:A15"/>
    <mergeCell ref="L14:L15"/>
  </mergeCells>
  <pageMargins left="0.7" right="0.7" top="0.75" bottom="0.75" header="0.3" footer="0.3"/>
  <pageSetup paperSize="9" scale="67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Leave Card (NE)</vt:lpstr>
      <vt:lpstr>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2025-12-22T07:07:00Z</cp:lastPrinted>
  <dcterms:modified xsi:type="dcterms:W3CDTF">2026-01-02T08:23:45Z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589A62B6E5E84C9A95A25776C5F6E276_12</vt:lpwstr>
  </property>
  <property fmtid="{D5CDD505-2E9C-101B-9397-08002B2CF9AE}" pid="3" name="KSOProductBuildVer">
    <vt:lpwstr>1033-12.2.0.23196</vt:lpwstr>
  </property>
</Properties>
</file>