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46D0888C-B846-4AB9-BC43-F0008C9BF5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Election &amp; NLC" sheetId="4" r:id="rId2"/>
    <sheet name="CTO" sheetId="13" r:id="rId3"/>
  </sheets>
  <definedNames>
    <definedName name="_xlnm.Print_Area" localSheetId="2">CTO!$A$1:$L$20</definedName>
    <definedName name="_xlnm.Print_Area" localSheetId="1">'Election &amp; NLC'!$A$1:$G$22</definedName>
    <definedName name="_xlnm.Print_Area" localSheetId="0">'Leave Card as TIC'!$A$1:$J$28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3" l="1"/>
  <c r="I21" i="3"/>
  <c r="J21" i="3"/>
  <c r="J15" i="13"/>
  <c r="J14" i="13"/>
  <c r="I14" i="3" l="1"/>
  <c r="I15" i="3" s="1"/>
  <c r="I16" i="3" s="1"/>
  <c r="I17" i="3" s="1"/>
  <c r="I18" i="3" s="1"/>
  <c r="I19" i="3" s="1"/>
  <c r="I20" i="3" s="1"/>
  <c r="H14" i="3"/>
  <c r="H15" i="3" l="1"/>
  <c r="H16" i="3" s="1"/>
  <c r="J16" i="3" s="1"/>
  <c r="J14" i="3"/>
  <c r="H17" i="3" l="1"/>
  <c r="H18" i="3" s="1"/>
  <c r="H19" i="3" s="1"/>
  <c r="J15" i="3"/>
  <c r="J19" i="3" l="1"/>
  <c r="H20" i="3"/>
  <c r="J20" i="3" s="1"/>
  <c r="J17" i="3"/>
  <c r="J18" i="3"/>
</calcChain>
</file>

<file path=xl/sharedStrings.xml><?xml version="1.0" encoding="utf-8"?>
<sst xmlns="http://schemas.openxmlformats.org/spreadsheetml/2006/main" count="88" uniqueCount="66">
  <si>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</si>
  <si>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</si>
  <si>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</si>
  <si>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</si>
  <si>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</si>
  <si>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</si>
  <si>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</si>
  <si>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</si>
  <si>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</si>
  <si>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</si>
  <si>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</si>
  <si>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</si>
  <si>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</si>
  <si>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</si>
  <si>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</si>
  <si>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</si>
  <si>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</si>
  <si>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</si>
  <si>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</si>
  <si>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</si>
  <si>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</si>
  <si>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</si>
  <si>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</si>
  <si>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</si>
  <si>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</si>
  <si>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</si>
  <si>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</si>
  <si>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</si>
  <si>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</si>
  <si>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</si>
  <si>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</si>
  <si>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</si>
  <si>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</si>
  <si>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</si>
  <si>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</si>
  <si>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</si>
  <si>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</si>
  <si>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</si>
  <si>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</si>
  <si>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</si>
  <si>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</si>
  <si>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</si>
  <si>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DESIGNATED AS TIC (NON-TEACHING): EFFECTIVE JULY 29, 2024</t>
  </si>
  <si>
    <t>29 DAYS-CONVERTED</t>
  </si>
  <si>
    <t>POSITION   : TEACHER III</t>
  </si>
  <si>
    <t xml:space="preserve">  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</si>
  <si>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  <r>
      <rPr>
        <b/>
        <sz val="12"/>
        <color theme="1"/>
        <rFont val="Calibri"/>
        <family val="2"/>
        <scheme val="minor"/>
      </rPr>
      <t>II</t>
    </r>
  </si>
  <si>
    <t>ADD: SEPTEMBER 02, 2022</t>
  </si>
  <si>
    <r>
      <t>NAME          :</t>
    </r>
    <r>
      <rPr>
        <b/>
        <u/>
        <sz val="12"/>
        <color theme="1"/>
        <rFont val="Calibri"/>
        <family val="2"/>
        <scheme val="minor"/>
      </rPr>
      <t>CABAG, CHARMLOT</t>
    </r>
  </si>
  <si>
    <t>NAME         : CABAG, CHARMLOT</t>
  </si>
  <si>
    <t>SCHOOL/OFFICE : MARICALUM FARM SCHOOL</t>
  </si>
  <si>
    <t>S.O. # 072, S. 2022. COMPLETE PROGRESS MONITORING REPORT AND INVENTORY REPORTY OF SLMs AND LAS FOR QUARTER 1 - 4</t>
  </si>
  <si>
    <t>LESS: NOVEMBER 28, 2022</t>
  </si>
  <si>
    <t>LESS: MARCH 2, 2023</t>
  </si>
  <si>
    <t>LESS: APRIL 17 - 28, 2023</t>
  </si>
  <si>
    <t>170, S. 2023</t>
  </si>
  <si>
    <t>11/23/2023</t>
  </si>
  <si>
    <t>2023 BRIGADA ESKWELA AND OPLAN BALIK ESKWELA</t>
  </si>
  <si>
    <t>ADD: 08/1/2024-12/31/2024</t>
  </si>
  <si>
    <t>ADD: 01/1/2025-08/31/2025</t>
  </si>
  <si>
    <t>LESS: 08/11/2025</t>
  </si>
  <si>
    <r>
      <t xml:space="preserve">ADD: UNUSED VSC </t>
    </r>
    <r>
      <rPr>
        <b/>
        <sz val="11"/>
        <color rgb="FF002060"/>
        <rFont val="Calibri"/>
        <family val="2"/>
        <scheme val="minor"/>
      </rPr>
      <t>9 DAYS</t>
    </r>
    <r>
      <rPr>
        <sz val="11"/>
        <color theme="1"/>
        <rFont val="Calibri"/>
        <family val="2"/>
        <scheme val="minor"/>
      </rPr>
      <t xml:space="preserve">:  </t>
    </r>
    <r>
      <rPr>
        <sz val="11"/>
        <color rgb="FF002060"/>
        <rFont val="Calibri"/>
        <family val="2"/>
        <scheme val="minor"/>
      </rPr>
      <t xml:space="preserve">SO # 170, S. 2023  </t>
    </r>
    <r>
      <rPr>
        <sz val="11"/>
        <color theme="1"/>
        <rFont val="Calibri"/>
        <family val="2"/>
        <scheme val="minor"/>
      </rPr>
      <t xml:space="preserve">                                                         FORMULA: 30Y/69/2 </t>
    </r>
  </si>
  <si>
    <t>NEGROS ISLAND REGION</t>
  </si>
  <si>
    <t>ADD: 09/1/2025-10/31/2025</t>
  </si>
  <si>
    <t>LESS: 12/1-5/2025</t>
  </si>
  <si>
    <t>LESS: 12/26 &amp; 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</si>
</sst>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00206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4">
    <xf numFmtId="0" fontId="0" fillId="0" borderId="0"/>
    <xf numFmtId="0" fontId="9" fillId="0" borderId="0"/>
    <xf numFmtId="0" fontId="12" fillId="0" borderId="0"/>
    <xf numFmtId="0" fontId="9" fillId="0" borderId="0"/>
  </cellStyleXfs>
  <cellXfs count="12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4" xfId="0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11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2" fillId="2" borderId="0" xfId="2" applyFill="1"/>
    <xf numFmtId="0" fontId="12" fillId="2" borderId="0" xfId="2" applyFill="1" applyAlignment="1">
      <alignment horizontal="center"/>
    </xf>
    <xf numFmtId="0" fontId="13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5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2" fillId="0" borderId="0" xfId="2"/>
    <xf numFmtId="0" fontId="3" fillId="3" borderId="21" xfId="2" applyFont="1" applyFill="1" applyBorder="1" applyAlignment="1">
      <alignment horizontal="center" vertical="center" wrapText="1"/>
    </xf>
    <xf numFmtId="0" fontId="3" fillId="3" borderId="21" xfId="2" applyFont="1" applyFill="1" applyBorder="1" applyAlignment="1">
      <alignment horizontal="center" vertical="center"/>
    </xf>
    <xf numFmtId="0" fontId="5" fillId="5" borderId="24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 vertical="center"/>
    </xf>
    <xf numFmtId="0" fontId="4" fillId="0" borderId="0" xfId="2" applyFont="1"/>
    <xf numFmtId="0" fontId="16" fillId="2" borderId="6" xfId="2" applyFont="1" applyFill="1" applyBorder="1" applyAlignment="1">
      <alignment horizontal="center" vertical="center" wrapText="1"/>
    </xf>
    <xf numFmtId="0" fontId="13" fillId="2" borderId="15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3" fillId="2" borderId="16" xfId="2" applyFont="1" applyFill="1" applyBorder="1" applyAlignment="1">
      <alignment horizontal="center" vertical="center" wrapText="1"/>
    </xf>
    <xf numFmtId="0" fontId="6" fillId="0" borderId="0" xfId="2" applyFont="1"/>
    <xf numFmtId="0" fontId="6" fillId="2" borderId="0" xfId="2" applyFont="1" applyFill="1" applyAlignment="1">
      <alignment horizontal="center" vertical="center"/>
    </xf>
    <xf numFmtId="0" fontId="12" fillId="6" borderId="0" xfId="2" applyFill="1"/>
    <xf numFmtId="0" fontId="12" fillId="7" borderId="0" xfId="2" applyFill="1"/>
    <xf numFmtId="0" fontId="5" fillId="5" borderId="10" xfId="2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vertical="center" wrapText="1"/>
    </xf>
    <xf numFmtId="0" fontId="18" fillId="2" borderId="16" xfId="2" applyFont="1" applyFill="1" applyBorder="1" applyAlignment="1">
      <alignment horizontal="center" vertical="center" wrapText="1"/>
    </xf>
    <xf numFmtId="0" fontId="0" fillId="2" borderId="17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14" fontId="0" fillId="2" borderId="7" xfId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10" borderId="21" xfId="0" applyFont="1" applyFill="1" applyBorder="1" applyAlignment="1">
      <alignment horizontal="left" vertical="center"/>
    </xf>
    <xf numFmtId="0" fontId="1" fillId="10" borderId="23" xfId="0" applyFont="1" applyFill="1" applyBorder="1" applyAlignment="1">
      <alignment horizontal="left" vertical="center"/>
    </xf>
    <xf numFmtId="0" fontId="1" fillId="10" borderId="2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13" borderId="18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3" fillId="2" borderId="26" xfId="2" applyFont="1" applyFill="1" applyBorder="1" applyAlignment="1">
      <alignment horizontal="right" vertical="center" wrapText="1"/>
    </xf>
    <xf numFmtId="0" fontId="13" fillId="2" borderId="2" xfId="2" applyFont="1" applyFill="1" applyBorder="1" applyAlignment="1">
      <alignment horizontal="right" vertical="center" wrapText="1"/>
    </xf>
    <xf numFmtId="0" fontId="13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0" fontId="11" fillId="0" borderId="0" xfId="0" applyFont="1" applyFill="1"/>
    <xf numFmtId="0" fontId="0" fillId="0" borderId="0" xfId="0" applyFill="1"/>
    <xf numFmtId="0" fontId="0" fillId="0" borderId="4" xfId="0" applyFill="1" applyBorder="1" applyAlignment="1">
      <alignment horizontal="center"/>
    </xf>
    <xf numFmtId="0" fontId="0" fillId="0" borderId="4" xfId="0" applyFill="1" applyBorder="1"/>
    <xf numFmtId="0" fontId="0" fillId="0" borderId="4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</cellXfs>
  <cellStyles count="4">
    <cellStyle name="Normal" xfId="0" builtinId="0"/>
    <cellStyle name="Normal 2" xfId="2" xr:uid="{29DC33C2-ED34-47D9-B6FD-D61DD017D699}"/>
    <cellStyle name="Normal 2 2" xfId="3" xr:uid="{21219274-95D8-49BC-93E5-5A5DFD6A046E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745825</xdr:colOff>
      <xdr:row>0</xdr:row>
      <xdr:rowOff>25040</xdr:rowOff>
    </xdr:from>
    <xdr:to>
      <xdr:col>4</xdr:col>
      <xdr:colOff>571753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9575" y="25040"/>
          <a:ext cx="598711" cy="639913"/>
        </a:xfrm>
        <a:prstGeom prst="rect">
          <a:avLst/>
        </a:prstGeom>
        <a:noFill/>
      </xdr:spPr>
    </xdr:pic>
    <xdr:clientData/>
  </xdr:twoCellAnchor>
  <xdr:twoCellAnchor>
    <xdr:from>
      <xdr:col>0</xdr:col>
      <xdr:colOff>367266</xdr:colOff>
      <xdr:row>4</xdr:row>
      <xdr:rowOff>161976</xdr:rowOff>
    </xdr:from>
    <xdr:to>
      <xdr:col>1</xdr:col>
      <xdr:colOff>53915</xdr:colOff>
      <xdr:row>6</xdr:row>
      <xdr:rowOff>107025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367266" y="1357094"/>
          <a:ext cx="1474833" cy="250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CABAG, CHARMLOT G.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to HT-I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3141" y="1696137"/>
          <a:ext cx="1903156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JMMNHS</a:t>
          </a:r>
        </a:p>
      </xdr:txBody>
    </xdr:sp>
    <xdr:clientData/>
  </xdr:twoCellAnchor>
  <xdr:twoCellAnchor>
    <xdr:from>
      <xdr:col>5</xdr:col>
      <xdr:colOff>383395</xdr:colOff>
      <xdr:row>22</xdr:row>
      <xdr:rowOff>53914</xdr:rowOff>
    </xdr:from>
    <xdr:to>
      <xdr:col>9</xdr:col>
      <xdr:colOff>707986</xdr:colOff>
      <xdr:row>27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262711" y="4960188"/>
          <a:ext cx="3415723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868128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E47761-1F3B-4E02-B6B1-CBB91B2B8EE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300" y="28770"/>
          <a:ext cx="618403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206602</xdr:colOff>
      <xdr:row>18</xdr:row>
      <xdr:rowOff>16783</xdr:rowOff>
    </xdr:from>
    <xdr:to>
      <xdr:col>3</xdr:col>
      <xdr:colOff>17463</xdr:colOff>
      <xdr:row>19</xdr:row>
      <xdr:rowOff>112487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CAF2B1-6BC9-4F36-8F96-07138CE5D185}"/>
            </a:ext>
          </a:extLst>
        </xdr:cNvPr>
        <xdr:cNvSpPr txBox="1"/>
      </xdr:nvSpPr>
      <xdr:spPr>
        <a:xfrm>
          <a:off x="206602" y="4036333"/>
          <a:ext cx="3049361" cy="10577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077EBEE-47FF-4563-8AD9-4D6BD81DC443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25"/>
  <sheetViews>
    <sheetView tabSelected="1" view="pageBreakPreview" zoomScale="106" zoomScaleNormal="100" zoomScaleSheetLayoutView="106" workbookViewId="0">
      <selection activeCell="B17" sqref="B17"/>
    </sheetView>
  </sheetViews>
  <sheetFormatPr defaultRowHeight="15" x14ac:dyDescent="0.25"/>
  <cols>
    <col min="1" max="1" width="26.85546875" customWidth="1"/>
    <col min="2" max="5" width="11.5703125" customWidth="1"/>
    <col min="6" max="7" width="11.5703125" style="30" customWidth="1"/>
    <col min="8" max="10" width="11.5703125" customWidth="1"/>
    <col min="11" max="11" width="26.42578125" style="27" customWidth="1"/>
  </cols>
  <sheetData>
    <row r="1" spans="1:11" s="1" customFormat="1" ht="52.5" customHeight="1" x14ac:dyDescent="0.25"/>
    <row r="2" spans="1:11" s="1" customFormat="1" ht="10.5" customHeight="1" x14ac:dyDescent="0.25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</row>
    <row r="3" spans="1:11" s="1" customFormat="1" ht="15.95" customHeight="1" x14ac:dyDescent="0.25">
      <c r="A3" s="73" t="s">
        <v>1</v>
      </c>
      <c r="B3" s="73"/>
      <c r="C3" s="73"/>
      <c r="D3" s="73"/>
      <c r="E3" s="73"/>
      <c r="F3" s="73"/>
      <c r="G3" s="73"/>
      <c r="H3" s="73"/>
      <c r="I3" s="73"/>
      <c r="J3" s="73"/>
    </row>
    <row r="4" spans="1:11" s="1" customFormat="1" ht="15.95" customHeight="1" x14ac:dyDescent="0.25">
      <c r="A4" s="73" t="s">
        <v>62</v>
      </c>
      <c r="B4" s="73"/>
      <c r="C4" s="73"/>
      <c r="D4" s="73"/>
      <c r="E4" s="73"/>
      <c r="F4" s="73"/>
      <c r="G4" s="73"/>
      <c r="H4" s="73"/>
      <c r="I4" s="73"/>
      <c r="J4" s="73"/>
    </row>
    <row r="5" spans="1:11" s="1" customFormat="1" ht="15.95" customHeight="1" x14ac:dyDescent="0.25">
      <c r="A5" s="73" t="s">
        <v>3</v>
      </c>
      <c r="B5" s="73"/>
      <c r="C5" s="73"/>
      <c r="D5" s="73"/>
      <c r="E5" s="73"/>
      <c r="F5" s="73"/>
      <c r="G5" s="73"/>
      <c r="H5" s="73"/>
      <c r="I5" s="73"/>
      <c r="J5" s="73"/>
    </row>
    <row r="6" spans="1:11" s="1" customFormat="1" ht="8.25" customHeight="1" x14ac:dyDescent="0.25"/>
    <row r="7" spans="1:11" s="1" customFormat="1" ht="12" customHeight="1" x14ac:dyDescent="0.25">
      <c r="A7" s="1" t="s">
        <v>17</v>
      </c>
      <c r="B7" s="72" t="s">
        <v>18</v>
      </c>
      <c r="C7" s="72"/>
      <c r="D7" s="72"/>
      <c r="H7" s="5" t="s">
        <v>19</v>
      </c>
      <c r="I7" s="19"/>
      <c r="J7" s="5"/>
    </row>
    <row r="8" spans="1:11" s="1" customFormat="1" ht="12" customHeight="1" x14ac:dyDescent="0.25">
      <c r="B8" s="6"/>
      <c r="C8" s="6"/>
      <c r="H8" s="6"/>
      <c r="I8" s="6"/>
      <c r="J8" s="6"/>
    </row>
    <row r="9" spans="1:11" s="1" customFormat="1" ht="12" customHeight="1" x14ac:dyDescent="0.25">
      <c r="A9" s="1" t="s">
        <v>20</v>
      </c>
      <c r="B9" s="72" t="s">
        <v>21</v>
      </c>
      <c r="C9" s="72"/>
      <c r="D9" s="72"/>
      <c r="H9" s="5" t="s">
        <v>22</v>
      </c>
      <c r="I9" s="20"/>
      <c r="J9" s="5"/>
    </row>
    <row r="10" spans="1:11" ht="23.25" customHeight="1" thickBot="1" x14ac:dyDescent="0.3">
      <c r="A10" s="78" t="s">
        <v>23</v>
      </c>
      <c r="B10" s="78"/>
      <c r="C10" s="78"/>
      <c r="D10" s="78"/>
      <c r="E10" s="78"/>
      <c r="F10" s="78"/>
      <c r="G10" s="78"/>
      <c r="H10" s="78"/>
      <c r="I10" s="78"/>
      <c r="J10" s="78"/>
      <c r="K10"/>
    </row>
    <row r="11" spans="1:11" ht="18.75" customHeight="1" x14ac:dyDescent="0.25">
      <c r="A11" s="79" t="s">
        <v>9</v>
      </c>
      <c r="B11" s="81" t="s">
        <v>10</v>
      </c>
      <c r="C11" s="82"/>
      <c r="D11" s="83" t="s">
        <v>24</v>
      </c>
      <c r="E11" s="84"/>
      <c r="F11" s="84"/>
      <c r="G11" s="85"/>
      <c r="H11" s="86" t="s">
        <v>25</v>
      </c>
      <c r="I11" s="87"/>
      <c r="J11" s="88" t="s">
        <v>11</v>
      </c>
      <c r="K11" s="74" t="s">
        <v>26</v>
      </c>
    </row>
    <row r="12" spans="1:11" ht="15.75" thickBot="1" x14ac:dyDescent="0.3">
      <c r="A12" s="80"/>
      <c r="B12" s="21" t="s">
        <v>27</v>
      </c>
      <c r="C12" s="21" t="s">
        <v>28</v>
      </c>
      <c r="D12" s="21" t="s">
        <v>27</v>
      </c>
      <c r="E12" s="21" t="s">
        <v>28</v>
      </c>
      <c r="F12" s="21" t="s">
        <v>29</v>
      </c>
      <c r="G12" s="21" t="s">
        <v>30</v>
      </c>
      <c r="H12" s="21" t="s">
        <v>27</v>
      </c>
      <c r="I12" s="21" t="s">
        <v>28</v>
      </c>
      <c r="J12" s="89"/>
      <c r="K12" s="74"/>
    </row>
    <row r="13" spans="1:11" ht="15.75" thickBot="1" x14ac:dyDescent="0.3">
      <c r="A13" s="75" t="s">
        <v>42</v>
      </c>
      <c r="B13" s="76"/>
      <c r="C13" s="76"/>
      <c r="D13" s="76"/>
      <c r="E13" s="76"/>
      <c r="F13" s="76"/>
      <c r="G13" s="76"/>
      <c r="H13" s="76"/>
      <c r="I13" s="76"/>
      <c r="J13" s="77"/>
      <c r="K13" s="22"/>
    </row>
    <row r="14" spans="1:11" ht="48.75" customHeight="1" x14ac:dyDescent="0.25">
      <c r="A14" s="23" t="s">
        <v>61</v>
      </c>
      <c r="B14" s="31">
        <v>1.956</v>
      </c>
      <c r="C14" s="32">
        <v>1.956</v>
      </c>
      <c r="D14" s="32"/>
      <c r="E14" s="31"/>
      <c r="F14" s="31"/>
      <c r="G14" s="31"/>
      <c r="H14" s="25">
        <f>B14</f>
        <v>1.956</v>
      </c>
      <c r="I14" s="25">
        <f>C14</f>
        <v>1.956</v>
      </c>
      <c r="J14" s="26">
        <f>SUM(H14:I14)</f>
        <v>3.9119999999999999</v>
      </c>
    </row>
    <row r="15" spans="1:11" ht="17.25" customHeight="1" x14ac:dyDescent="0.25">
      <c r="A15" s="23" t="s">
        <v>32</v>
      </c>
      <c r="B15" s="31">
        <v>0.125</v>
      </c>
      <c r="C15" s="32">
        <v>0.125</v>
      </c>
      <c r="D15" s="24"/>
      <c r="E15" s="17"/>
      <c r="F15" s="17"/>
      <c r="G15" s="17"/>
      <c r="H15" s="28">
        <f>H14-F15-D15+B15</f>
        <v>2.081</v>
      </c>
      <c r="I15" s="28">
        <f>I14-E15+C15</f>
        <v>2.081</v>
      </c>
      <c r="J15" s="29">
        <f>SUM(H15:I15)</f>
        <v>4.1619999999999999</v>
      </c>
    </row>
    <row r="16" spans="1:11" ht="17.25" customHeight="1" x14ac:dyDescent="0.25">
      <c r="A16" s="23" t="s">
        <v>58</v>
      </c>
      <c r="B16" s="31">
        <v>5</v>
      </c>
      <c r="C16" s="32">
        <v>5</v>
      </c>
      <c r="D16" s="24"/>
      <c r="E16" s="17"/>
      <c r="F16" s="17"/>
      <c r="G16" s="17"/>
      <c r="H16" s="28">
        <f t="shared" ref="H16:H18" si="0">H15-F16-D16+B16</f>
        <v>7.0809999999999995</v>
      </c>
      <c r="I16" s="28">
        <f t="shared" ref="I16:I18" si="1">I15-E16+C16</f>
        <v>7.0809999999999995</v>
      </c>
      <c r="J16" s="29">
        <f t="shared" ref="J16:J18" si="2">SUM(H16:I16)</f>
        <v>14.161999999999999</v>
      </c>
    </row>
    <row r="17" spans="1:11" ht="15.75" customHeight="1" x14ac:dyDescent="0.25">
      <c r="A17" s="23" t="s">
        <v>59</v>
      </c>
      <c r="B17" s="17">
        <v>10</v>
      </c>
      <c r="C17" s="24">
        <v>10</v>
      </c>
      <c r="D17" s="24"/>
      <c r="E17" s="17"/>
      <c r="F17" s="17"/>
      <c r="G17" s="17"/>
      <c r="H17" s="28">
        <f t="shared" si="0"/>
        <v>17.081</v>
      </c>
      <c r="I17" s="28">
        <f t="shared" si="1"/>
        <v>17.081</v>
      </c>
      <c r="J17" s="29">
        <f t="shared" si="2"/>
        <v>34.161999999999999</v>
      </c>
    </row>
    <row r="18" spans="1:11" ht="15.75" customHeight="1" x14ac:dyDescent="0.25">
      <c r="A18" s="23" t="s">
        <v>60</v>
      </c>
      <c r="B18" s="17"/>
      <c r="C18" s="24"/>
      <c r="D18" s="24"/>
      <c r="E18" s="17">
        <v>1</v>
      </c>
      <c r="F18" s="71"/>
      <c r="G18" s="17"/>
      <c r="H18" s="28">
        <f t="shared" si="0"/>
        <v>17.081</v>
      </c>
      <c r="I18" s="28">
        <f t="shared" si="1"/>
        <v>16.081</v>
      </c>
      <c r="J18" s="29">
        <f t="shared" si="2"/>
        <v>33.161999999999999</v>
      </c>
    </row>
    <row r="19" spans="1:11" x14ac:dyDescent="0.25">
      <c r="A19" s="119" t="s">
        <v>63</v>
      </c>
      <c r="B19" s="119">
        <v>2.5</v>
      </c>
      <c r="C19" s="119">
        <v>2.5</v>
      </c>
      <c r="D19" s="118"/>
      <c r="E19" s="118"/>
      <c r="F19" s="71"/>
      <c r="G19" s="71"/>
      <c r="H19" s="28">
        <f t="shared" ref="H19:H20" si="3">H18-F19-D19+B19</f>
        <v>19.581</v>
      </c>
      <c r="I19" s="28">
        <f t="shared" ref="I19:I20" si="4">I18-E19+C19</f>
        <v>18.581</v>
      </c>
      <c r="J19" s="29">
        <f t="shared" ref="J19:J20" si="5">SUM(H19:I19)</f>
        <v>38.161999999999999</v>
      </c>
    </row>
    <row r="20" spans="1:11" x14ac:dyDescent="0.25">
      <c r="A20" s="119" t="s">
        <v>64</v>
      </c>
      <c r="B20" s="119"/>
      <c r="C20" s="119"/>
      <c r="D20" s="118"/>
      <c r="E20" s="118"/>
      <c r="F20" s="120">
        <v>5</v>
      </c>
      <c r="G20" s="71"/>
      <c r="H20" s="28">
        <f t="shared" si="3"/>
        <v>14.581</v>
      </c>
      <c r="I20" s="28">
        <f t="shared" si="4"/>
        <v>18.581</v>
      </c>
      <c r="J20" s="29">
        <f t="shared" si="5"/>
        <v>33.161999999999999</v>
      </c>
    </row>
    <row r="21" spans="1:11" s="122" customFormat="1" x14ac:dyDescent="0.25">
      <c r="A21" s="123" t="s">
        <v>65</v>
      </c>
      <c r="B21" s="123"/>
      <c r="C21" s="123"/>
      <c r="D21" s="124"/>
      <c r="E21" s="124"/>
      <c r="F21" s="125"/>
      <c r="G21" s="126">
        <v>2</v>
      </c>
      <c r="H21" s="28">
        <f t="shared" ref="H21" si="6">H20-F21-D21+B21</f>
        <v>14.581</v>
      </c>
      <c r="I21" s="28">
        <f t="shared" ref="I21" si="7">I20-E21+C21</f>
        <v>18.581</v>
      </c>
      <c r="J21" s="29">
        <f t="shared" ref="J21" si="8">SUM(H21:I21)</f>
        <v>33.161999999999999</v>
      </c>
      <c r="K21" s="121"/>
    </row>
    <row r="25" spans="1:11" x14ac:dyDescent="0.25">
      <c r="F25" s="30" t="s">
        <v>31</v>
      </c>
    </row>
  </sheetData>
  <mergeCells count="14">
    <mergeCell ref="K11:K12"/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6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2"/>
  <sheetViews>
    <sheetView view="pageBreakPreview" zoomScaleNormal="100" workbookViewId="0">
      <selection activeCell="A4" sqref="A4:G4"/>
    </sheetView>
  </sheetViews>
  <sheetFormatPr defaultColWidth="9" defaultRowHeight="15" x14ac:dyDescent="0.25"/>
  <cols>
    <col min="1" max="1" width="23.5703125" style="42" customWidth="1"/>
    <col min="2" max="2" width="18.85546875" style="42" customWidth="1"/>
    <col min="3" max="3" width="35" style="54" customWidth="1"/>
    <col min="4" max="4" width="11.7109375" style="55" customWidth="1"/>
    <col min="5" max="5" width="11" style="42" customWidth="1"/>
    <col min="6" max="6" width="11.85546875" style="55" customWidth="1"/>
    <col min="7" max="7" width="22" style="42" customWidth="1"/>
    <col min="8" max="16384" width="9" style="42"/>
  </cols>
  <sheetData>
    <row r="1" spans="1:7" s="34" customFormat="1" ht="52.5" customHeight="1" x14ac:dyDescent="0.25">
      <c r="E1" s="35"/>
    </row>
    <row r="2" spans="1:7" s="34" customFormat="1" ht="10.5" customHeight="1" x14ac:dyDescent="0.25">
      <c r="A2" s="93" t="s">
        <v>0</v>
      </c>
      <c r="B2" s="93"/>
      <c r="C2" s="93"/>
      <c r="D2" s="93"/>
      <c r="E2" s="93"/>
      <c r="F2" s="93"/>
      <c r="G2" s="93"/>
    </row>
    <row r="3" spans="1:7" s="34" customFormat="1" ht="15.95" customHeight="1" x14ac:dyDescent="0.25">
      <c r="A3" s="93" t="s">
        <v>1</v>
      </c>
      <c r="B3" s="93"/>
      <c r="C3" s="93"/>
      <c r="D3" s="93"/>
      <c r="E3" s="93"/>
      <c r="F3" s="93"/>
      <c r="G3" s="93"/>
    </row>
    <row r="4" spans="1:7" s="34" customFormat="1" ht="15.95" customHeight="1" x14ac:dyDescent="0.25">
      <c r="A4" s="93" t="s">
        <v>2</v>
      </c>
      <c r="B4" s="93"/>
      <c r="C4" s="93"/>
      <c r="D4" s="93"/>
      <c r="E4" s="93"/>
      <c r="F4" s="93"/>
      <c r="G4" s="93"/>
    </row>
    <row r="5" spans="1:7" s="34" customFormat="1" ht="15.95" customHeight="1" x14ac:dyDescent="0.25">
      <c r="A5" s="93" t="s">
        <v>3</v>
      </c>
      <c r="B5" s="93"/>
      <c r="C5" s="93"/>
      <c r="D5" s="93"/>
      <c r="E5" s="93"/>
      <c r="F5" s="93"/>
      <c r="G5" s="93"/>
    </row>
    <row r="6" spans="1:7" s="34" customFormat="1" ht="8.25" customHeight="1" x14ac:dyDescent="0.25">
      <c r="E6" s="35"/>
    </row>
    <row r="7" spans="1:7" s="34" customFormat="1" ht="8.25" customHeight="1" x14ac:dyDescent="0.25">
      <c r="E7" s="35"/>
    </row>
    <row r="8" spans="1:7" s="34" customFormat="1" ht="17.25" customHeight="1" x14ac:dyDescent="0.25">
      <c r="A8" s="36" t="s">
        <v>48</v>
      </c>
      <c r="B8" s="36"/>
      <c r="C8" s="36" t="s">
        <v>33</v>
      </c>
      <c r="D8" s="37"/>
      <c r="E8" s="36" t="s">
        <v>34</v>
      </c>
      <c r="F8" s="37"/>
      <c r="G8" s="38"/>
    </row>
    <row r="9" spans="1:7" s="34" customFormat="1" ht="12" customHeight="1" x14ac:dyDescent="0.25">
      <c r="A9" s="39"/>
      <c r="B9" s="39"/>
      <c r="C9" s="40"/>
      <c r="E9" s="36" t="s">
        <v>35</v>
      </c>
      <c r="F9" s="41"/>
      <c r="G9" s="40"/>
    </row>
    <row r="10" spans="1:7" s="34" customFormat="1" ht="14.25" customHeight="1" x14ac:dyDescent="0.25">
      <c r="A10" s="36" t="s">
        <v>46</v>
      </c>
      <c r="B10" s="36"/>
      <c r="C10" s="36" t="s">
        <v>36</v>
      </c>
      <c r="D10" s="37"/>
      <c r="E10" s="36" t="s">
        <v>37</v>
      </c>
      <c r="F10" s="37"/>
      <c r="G10" s="38"/>
    </row>
    <row r="11" spans="1:7" s="34" customFormat="1" ht="12" customHeight="1" thickBot="1" x14ac:dyDescent="0.3">
      <c r="A11" s="38"/>
      <c r="B11" s="38"/>
      <c r="C11" s="38"/>
      <c r="F11" s="37"/>
      <c r="G11" s="38"/>
    </row>
    <row r="12" spans="1:7" ht="23.25" customHeight="1" thickBot="1" x14ac:dyDescent="0.3">
      <c r="A12" s="94" t="s">
        <v>38</v>
      </c>
      <c r="B12" s="95"/>
      <c r="C12" s="95"/>
      <c r="D12" s="95"/>
      <c r="E12" s="95"/>
      <c r="F12" s="95"/>
      <c r="G12" s="96"/>
    </row>
    <row r="13" spans="1:7" s="47" customFormat="1" ht="37.5" customHeight="1" thickBot="1" x14ac:dyDescent="0.25">
      <c r="A13" s="43" t="s">
        <v>39</v>
      </c>
      <c r="B13" s="44" t="s">
        <v>40</v>
      </c>
      <c r="C13" s="56" t="s">
        <v>41</v>
      </c>
      <c r="D13" s="56" t="s">
        <v>13</v>
      </c>
      <c r="E13" s="45" t="s">
        <v>14</v>
      </c>
      <c r="F13" s="45" t="s">
        <v>15</v>
      </c>
      <c r="G13" s="46" t="s">
        <v>11</v>
      </c>
    </row>
    <row r="14" spans="1:7" s="47" customFormat="1" ht="24.75" customHeight="1" x14ac:dyDescent="0.2">
      <c r="A14" s="59" t="s">
        <v>55</v>
      </c>
      <c r="B14" s="69" t="s">
        <v>56</v>
      </c>
      <c r="C14" s="57" t="s">
        <v>57</v>
      </c>
      <c r="D14" s="33">
        <v>9</v>
      </c>
      <c r="E14" s="48">
        <v>0</v>
      </c>
      <c r="F14" s="48">
        <v>9</v>
      </c>
      <c r="G14" s="49">
        <v>9</v>
      </c>
    </row>
    <row r="15" spans="1:7" s="47" customFormat="1" ht="15.75" customHeight="1" x14ac:dyDescent="0.2">
      <c r="A15" s="59"/>
      <c r="B15" s="60"/>
      <c r="C15" s="65"/>
      <c r="D15" s="66"/>
      <c r="E15" s="48"/>
      <c r="F15" s="48"/>
      <c r="G15" s="49"/>
    </row>
    <row r="16" spans="1:7" s="47" customFormat="1" ht="15.75" customHeight="1" x14ac:dyDescent="0.2">
      <c r="A16" s="59"/>
      <c r="B16" s="60"/>
      <c r="C16" s="57"/>
      <c r="D16" s="33"/>
      <c r="E16" s="48"/>
      <c r="F16" s="48"/>
      <c r="G16" s="49"/>
    </row>
    <row r="17" spans="1:7" s="52" customFormat="1" ht="27" customHeight="1" x14ac:dyDescent="0.2">
      <c r="A17" s="18"/>
      <c r="B17" s="18"/>
      <c r="C17" s="64"/>
      <c r="D17" s="50"/>
      <c r="E17" s="50"/>
      <c r="F17" s="50"/>
      <c r="G17" s="49"/>
    </row>
    <row r="18" spans="1:7" s="52" customFormat="1" ht="15.75" x14ac:dyDescent="0.2">
      <c r="A18" s="18"/>
      <c r="B18" s="18"/>
      <c r="C18" s="57"/>
      <c r="D18" s="50"/>
      <c r="E18" s="50"/>
      <c r="F18" s="50"/>
      <c r="G18" s="51"/>
    </row>
    <row r="19" spans="1:7" s="52" customFormat="1" ht="15.75" x14ac:dyDescent="0.2">
      <c r="A19" s="90" t="s">
        <v>11</v>
      </c>
      <c r="B19" s="91"/>
      <c r="C19" s="91"/>
      <c r="D19" s="91"/>
      <c r="E19" s="91"/>
      <c r="F19" s="92"/>
      <c r="G19" s="58" t="s">
        <v>43</v>
      </c>
    </row>
    <row r="20" spans="1:7" s="34" customFormat="1" ht="75.75" customHeight="1" x14ac:dyDescent="0.25">
      <c r="A20" s="53"/>
      <c r="B20" s="53"/>
      <c r="G20" s="53"/>
    </row>
    <row r="21" spans="1:7" s="34" customFormat="1" x14ac:dyDescent="0.25"/>
    <row r="22" spans="1:7" s="34" customFormat="1" x14ac:dyDescent="0.25"/>
  </sheetData>
  <mergeCells count="6">
    <mergeCell ref="A19:F19"/>
    <mergeCell ref="A2:G2"/>
    <mergeCell ref="A3:G3"/>
    <mergeCell ref="A4:G4"/>
    <mergeCell ref="A5:G5"/>
    <mergeCell ref="A12:G12"/>
  </mergeCells>
  <phoneticPr fontId="8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0B25-015F-4866-B437-89E0FB143721}">
  <dimension ref="A1:L23"/>
  <sheetViews>
    <sheetView view="pageBreakPreview" topLeftCell="A3" zoomScale="112" zoomScaleNormal="100" workbookViewId="0">
      <selection activeCell="A19" sqref="A19:L19"/>
    </sheetView>
  </sheetViews>
  <sheetFormatPr defaultColWidth="9"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15.5703125" style="13" customWidth="1"/>
    <col min="6" max="6" width="10.85546875" style="15" customWidth="1"/>
    <col min="7" max="7" width="7.140625" style="16" customWidth="1"/>
    <col min="8" max="8" width="10.85546875" customWidth="1"/>
    <col min="9" max="9" width="6.7109375" style="13" customWidth="1"/>
    <col min="10" max="10" width="10" style="15" customWidth="1"/>
    <col min="11" max="11" width="7" style="16" customWidth="1"/>
    <col min="12" max="12" width="7.5703125" customWidth="1"/>
  </cols>
  <sheetData>
    <row r="1" spans="1:12" s="1" customFormat="1" ht="52.5" customHeight="1" x14ac:dyDescent="0.25">
      <c r="C1" s="2"/>
      <c r="D1" s="3"/>
      <c r="H1" s="4"/>
    </row>
    <row r="2" spans="1:12" s="1" customFormat="1" ht="10.5" customHeight="1" x14ac:dyDescent="0.25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s="1" customFormat="1" ht="15.95" customHeight="1" x14ac:dyDescent="0.25">
      <c r="A3" s="73" t="s">
        <v>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2" s="1" customFormat="1" ht="15.95" customHeight="1" x14ac:dyDescent="0.25">
      <c r="A4" s="73" t="s">
        <v>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s="1" customFormat="1" ht="15.95" customHeight="1" x14ac:dyDescent="0.25">
      <c r="A5" s="73" t="s">
        <v>3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s="1" customFormat="1" ht="8.25" customHeight="1" x14ac:dyDescent="0.25">
      <c r="C6" s="4"/>
      <c r="H6" s="4"/>
    </row>
    <row r="7" spans="1:12" s="1" customFormat="1" ht="8.25" customHeight="1" x14ac:dyDescent="0.25">
      <c r="C7" s="4"/>
      <c r="H7" s="4"/>
    </row>
    <row r="8" spans="1:12" s="1" customFormat="1" ht="12" customHeight="1" x14ac:dyDescent="0.25">
      <c r="A8" s="5" t="s">
        <v>49</v>
      </c>
      <c r="B8" s="5"/>
      <c r="C8" s="72" t="s">
        <v>4</v>
      </c>
      <c r="D8" s="72"/>
      <c r="E8" s="72"/>
      <c r="F8" s="72"/>
      <c r="G8" s="72"/>
      <c r="I8" s="72" t="s">
        <v>5</v>
      </c>
      <c r="J8" s="72"/>
      <c r="K8" s="72"/>
      <c r="L8" s="5"/>
    </row>
    <row r="9" spans="1:12" s="1" customFormat="1" ht="12" customHeight="1" x14ac:dyDescent="0.25">
      <c r="B9" s="6"/>
      <c r="C9" s="72" t="s">
        <v>50</v>
      </c>
      <c r="D9" s="72"/>
      <c r="E9" s="72"/>
      <c r="F9" s="72"/>
      <c r="G9" s="72"/>
      <c r="I9" s="108" t="s">
        <v>6</v>
      </c>
      <c r="J9" s="108"/>
      <c r="K9" s="108"/>
      <c r="L9" s="6"/>
    </row>
    <row r="10" spans="1:12" s="1" customFormat="1" ht="12" customHeight="1" x14ac:dyDescent="0.25">
      <c r="A10" s="5" t="s">
        <v>44</v>
      </c>
      <c r="B10" s="5"/>
      <c r="C10" s="7"/>
      <c r="D10" s="6"/>
      <c r="E10" s="6"/>
      <c r="I10" s="72" t="s">
        <v>7</v>
      </c>
      <c r="J10" s="72"/>
      <c r="K10" s="72"/>
      <c r="L10" s="5"/>
    </row>
    <row r="11" spans="1:12" ht="16.5" customHeight="1" thickBot="1" x14ac:dyDescent="0.3">
      <c r="A11" s="78" t="s">
        <v>8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</row>
    <row r="12" spans="1:12" s="8" customFormat="1" ht="18.75" customHeight="1" x14ac:dyDescent="0.2">
      <c r="A12" s="109" t="s">
        <v>9</v>
      </c>
      <c r="B12" s="111" t="s">
        <v>10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3" t="s">
        <v>11</v>
      </c>
    </row>
    <row r="13" spans="1:12" s="8" customFormat="1" ht="24" customHeight="1" x14ac:dyDescent="0.2">
      <c r="A13" s="110"/>
      <c r="B13" s="115" t="s">
        <v>12</v>
      </c>
      <c r="C13" s="116"/>
      <c r="D13" s="116"/>
      <c r="E13" s="117"/>
      <c r="F13" s="115" t="s">
        <v>13</v>
      </c>
      <c r="G13" s="117"/>
      <c r="H13" s="115" t="s">
        <v>14</v>
      </c>
      <c r="I13" s="117"/>
      <c r="J13" s="115" t="s">
        <v>15</v>
      </c>
      <c r="K13" s="117"/>
      <c r="L13" s="114"/>
    </row>
    <row r="14" spans="1:12" s="8" customFormat="1" ht="21" customHeight="1" x14ac:dyDescent="0.2">
      <c r="A14" s="61" t="s">
        <v>47</v>
      </c>
      <c r="B14" s="98" t="s">
        <v>51</v>
      </c>
      <c r="C14" s="99"/>
      <c r="D14" s="99"/>
      <c r="E14" s="100"/>
      <c r="F14" s="63">
        <v>15</v>
      </c>
      <c r="G14" s="70"/>
      <c r="H14" s="101">
        <v>0</v>
      </c>
      <c r="I14" s="102"/>
      <c r="J14" s="101">
        <f>F14-H14</f>
        <v>15</v>
      </c>
      <c r="K14" s="102"/>
      <c r="L14" s="62">
        <v>15</v>
      </c>
    </row>
    <row r="15" spans="1:12" s="9" customFormat="1" ht="20.100000000000001" customHeight="1" x14ac:dyDescent="0.2">
      <c r="A15" s="23" t="s">
        <v>52</v>
      </c>
      <c r="B15" s="98" t="s">
        <v>51</v>
      </c>
      <c r="C15" s="99"/>
      <c r="D15" s="99"/>
      <c r="E15" s="100"/>
      <c r="F15" s="63">
        <v>15</v>
      </c>
      <c r="G15" s="70"/>
      <c r="H15" s="101">
        <v>1</v>
      </c>
      <c r="I15" s="102"/>
      <c r="J15" s="101">
        <f>F15-H15</f>
        <v>14</v>
      </c>
      <c r="K15" s="102"/>
      <c r="L15" s="62">
        <v>14</v>
      </c>
    </row>
    <row r="16" spans="1:12" s="9" customFormat="1" ht="19.5" customHeight="1" x14ac:dyDescent="0.2">
      <c r="A16" s="23" t="s">
        <v>53</v>
      </c>
      <c r="B16" s="98" t="s">
        <v>51</v>
      </c>
      <c r="C16" s="99"/>
      <c r="D16" s="99"/>
      <c r="E16" s="100"/>
      <c r="F16" s="101">
        <v>14</v>
      </c>
      <c r="G16" s="102"/>
      <c r="H16" s="101">
        <v>1</v>
      </c>
      <c r="I16" s="102"/>
      <c r="J16" s="101">
        <v>13</v>
      </c>
      <c r="K16" s="102"/>
      <c r="L16" s="62">
        <v>13</v>
      </c>
    </row>
    <row r="17" spans="1:12" s="9" customFormat="1" ht="20.100000000000001" customHeight="1" x14ac:dyDescent="0.2">
      <c r="A17" s="67" t="s">
        <v>54</v>
      </c>
      <c r="B17" s="103" t="s">
        <v>51</v>
      </c>
      <c r="C17" s="104"/>
      <c r="D17" s="104"/>
      <c r="E17" s="105"/>
      <c r="F17" s="106">
        <v>13</v>
      </c>
      <c r="G17" s="107"/>
      <c r="H17" s="106">
        <v>10</v>
      </c>
      <c r="I17" s="107"/>
      <c r="J17" s="106">
        <v>3</v>
      </c>
      <c r="K17" s="107"/>
      <c r="L17" s="68">
        <v>3</v>
      </c>
    </row>
    <row r="18" spans="1:12" s="9" customFormat="1" x14ac:dyDescent="0.2">
      <c r="A18" s="10" t="s">
        <v>16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2"/>
    </row>
    <row r="19" spans="1:12" ht="75.75" customHeight="1" x14ac:dyDescent="0.25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</row>
    <row r="20" spans="1:12" s="1" customFormat="1" x14ac:dyDescent="0.25">
      <c r="C20" s="4"/>
    </row>
    <row r="21" spans="1:12" s="1" customFormat="1" x14ac:dyDescent="0.25">
      <c r="C21" s="4"/>
    </row>
    <row r="23" spans="1:12" x14ac:dyDescent="0.25">
      <c r="G23" s="16" t="s">
        <v>45</v>
      </c>
    </row>
  </sheetData>
  <mergeCells count="32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B14:E14"/>
    <mergeCell ref="H14:I14"/>
    <mergeCell ref="J14:K14"/>
    <mergeCell ref="B15:E15"/>
    <mergeCell ref="H15:I15"/>
    <mergeCell ref="J15:K15"/>
    <mergeCell ref="A19:L19"/>
    <mergeCell ref="B16:E16"/>
    <mergeCell ref="F16:G16"/>
    <mergeCell ref="H16:I16"/>
    <mergeCell ref="J16:K16"/>
    <mergeCell ref="B17:E17"/>
    <mergeCell ref="F17:G17"/>
    <mergeCell ref="H17:I17"/>
    <mergeCell ref="J17:K17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as TIC</vt:lpstr>
      <vt:lpstr>Election &amp; NLC</vt:lpstr>
      <vt:lpstr>CTO</vt:lpstr>
      <vt:lpstr>CTO!Print_Area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2025-12-12T05:00:31Z</cp:lastPrinted>
  <dcterms:created xsi:type="dcterms:W3CDTF">2022-11-24T07:01:13Z</dcterms:created>
  <dcterms:modified xsi:type="dcterms:W3CDTF">2025-12-12T05:10:59Z</dcterms:modified>
</cp:coreProperties>
</file>