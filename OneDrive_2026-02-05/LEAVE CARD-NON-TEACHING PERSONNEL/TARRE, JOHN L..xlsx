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817F5FC-0A49-42BF-BD21-AE0B808D9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CTO" sheetId="16" r:id="rId3"/>
  </sheets>
  <definedNames>
    <definedName name="_xlnm.Print_Area" localSheetId="2">CTO!$A$1:$L$17</definedName>
    <definedName name="_xlnm.Print_Area" localSheetId="1">'Election &amp; NLC'!$A$1:$G$22</definedName>
    <definedName name="_xlnm.Print_Area" localSheetId="0">'Leave Card as TIC'!$A$1:$J$28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I14" i="3"/>
  <c r="I15" i="3" s="1"/>
  <c r="I16" i="3" s="1"/>
  <c r="I17" i="3" s="1"/>
  <c r="I18" i="3" s="1"/>
  <c r="I19" i="3" s="1"/>
  <c r="H14" i="3"/>
  <c r="H15" i="3" l="1"/>
  <c r="H16" i="3" s="1"/>
  <c r="J16" i="3" s="1"/>
  <c r="J14" i="3"/>
  <c r="H17" i="3" l="1"/>
  <c r="H18" i="3" s="1"/>
  <c r="J15" i="3"/>
  <c r="J18" i="3" l="1"/>
  <c r="H19" i="3"/>
  <c r="J17" i="3"/>
  <c r="J19" i="3" l="1"/>
  <c r="H20" i="3"/>
  <c r="J20" i="3" s="1"/>
</calcChain>
</file>

<file path=xl/sharedStrings.xml><?xml version="1.0" encoding="utf-8"?>
<sst xmlns="http://schemas.openxmlformats.org/spreadsheetml/2006/main" count="82" uniqueCount="63">
  <si>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</si>
  <si>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</si>
  <si>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</si>
  <si>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</si>
  <si>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</si>
  <si>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</si>
  <si>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</si>
  <si>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</si>
  <si>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</si>
  <si>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</si>
  <si>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</si>
  <si>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</si>
  <si>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</si>
  <si>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</si>
  <si>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</si>
  <si>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</si>
  <si>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</si>
  <si>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LESS: 06/24/2024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</si>
  <si>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</si>
  <si>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</si>
  <si>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</si>
  <si>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</si>
  <si>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</si>
  <si>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</si>
  <si>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</si>
  <si>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</si>
  <si>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</si>
  <si>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</si>
  <si>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</si>
  <si>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</si>
  <si>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</si>
  <si>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</si>
  <si>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</si>
  <si>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</si>
  <si>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</si>
  <si>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</si>
  <si>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</si>
  <si>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</si>
  <si>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</si>
  <si>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</si>
  <si>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</si>
  <si>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</si>
  <si>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</si>
  <si>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</si>
  <si>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ADD: 10/17/2023</t>
  </si>
  <si>
    <t xml:space="preserve">  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</si>
  <si>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</si>
  <si>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NAME          :TARRE, JOHN L.</t>
  </si>
  <si>
    <t>NAME         : TARRE, JOHN</t>
  </si>
  <si>
    <t>SCHOOL/OFFICE : CANTACA ES</t>
  </si>
  <si>
    <t>POSITION   : TEACHER III/TIC</t>
  </si>
  <si>
    <t>S.O. # 159, S. 2023. 125TH PHILIPPINE INDEPENDENCE DAY CELEBRATION</t>
  </si>
  <si>
    <t>015, S. 2024</t>
  </si>
  <si>
    <t>05/20/2024</t>
  </si>
  <si>
    <t>PALARONG PANLALAWIGAN 2024</t>
  </si>
  <si>
    <t>3 DAYS-CONVERTED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</si>
  <si>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3 DAYS</t>
    </r>
    <r>
      <rPr>
        <sz val="11"/>
        <color theme="1"/>
        <rFont val="Calibri"/>
        <family val="2"/>
        <scheme val="minor"/>
      </rPr>
      <t xml:space="preserve">:                         FORMULA: 30Y/69/2 </t>
    </r>
  </si>
  <si>
    <t>ADD: 08/1/2024-11/30/2024</t>
  </si>
  <si>
    <t>LESS: 12/26-27/2024</t>
  </si>
  <si>
    <t>ADD: 12/1-31/2024</t>
  </si>
  <si>
    <t>ADD: 01/1/2025-08/31/2025</t>
  </si>
  <si>
    <t>NEGROS ISLAND REGION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</si>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</sst>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8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2" xfId="2" applyFont="1" applyFill="1" applyBorder="1" applyAlignment="1">
      <alignment horizontal="center" vertical="center" wrapText="1"/>
    </xf>
    <xf numFmtId="0" fontId="3" fillId="3" borderId="22" xfId="2" applyFont="1" applyFill="1" applyBorder="1" applyAlignment="1">
      <alignment horizontal="center" vertical="center"/>
    </xf>
    <xf numFmtId="0" fontId="5" fillId="5" borderId="25" xfId="2" applyFont="1" applyFill="1" applyBorder="1" applyAlignment="1">
      <alignment horizontal="center" vertical="center" wrapText="1"/>
    </xf>
    <xf numFmtId="0" fontId="3" fillId="3" borderId="26" xfId="2" applyFont="1" applyFill="1" applyBorder="1" applyAlignment="1">
      <alignment horizontal="center" vertical="center"/>
    </xf>
    <xf numFmtId="0" fontId="4" fillId="0" borderId="0" xfId="2" applyFont="1"/>
    <xf numFmtId="0" fontId="16" fillId="2" borderId="7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7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5" fillId="5" borderId="11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8" fillId="2" borderId="17" xfId="2" applyFont="1" applyFill="1" applyBorder="1" applyAlignment="1">
      <alignment horizontal="center" vertical="center" wrapText="1"/>
    </xf>
    <xf numFmtId="0" fontId="0" fillId="2" borderId="18" xfId="1" applyFont="1" applyFill="1" applyBorder="1" applyAlignment="1">
      <alignment horizontal="center" vertical="center" wrapText="1"/>
    </xf>
    <xf numFmtId="0" fontId="0" fillId="2" borderId="8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0" fillId="2" borderId="8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" fillId="10" borderId="22" xfId="0" applyFont="1" applyFill="1" applyBorder="1" applyAlignment="1">
      <alignment horizontal="left" vertical="center"/>
    </xf>
    <xf numFmtId="0" fontId="1" fillId="10" borderId="24" xfId="0" applyFont="1" applyFill="1" applyBorder="1" applyAlignment="1">
      <alignment horizontal="left" vertical="center"/>
    </xf>
    <xf numFmtId="0" fontId="1" fillId="10" borderId="23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2" borderId="27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2" fillId="2" borderId="24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80873</xdr:rowOff>
    </xdr:from>
    <xdr:to>
      <xdr:col>4</xdr:col>
      <xdr:colOff>215661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178" y="80873"/>
          <a:ext cx="637997" cy="5840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TARRE,</a:t>
          </a:r>
          <a:r>
            <a:rPr lang="en-US" sz="1100" baseline="0"/>
            <a:t> JOHN L.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(TEACHER-IN-CHARGE)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PATAG MAGBANUA  ES</a:t>
          </a:r>
        </a:p>
      </xdr:txBody>
    </xdr:sp>
    <xdr:clientData/>
  </xdr:twoCellAnchor>
  <xdr:twoCellAnchor>
    <xdr:from>
      <xdr:col>5</xdr:col>
      <xdr:colOff>347452</xdr:colOff>
      <xdr:row>22</xdr:row>
      <xdr:rowOff>53914</xdr:rowOff>
    </xdr:from>
    <xdr:to>
      <xdr:col>9</xdr:col>
      <xdr:colOff>672043</xdr:colOff>
      <xdr:row>27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13022-C71E-439B-92D4-08CDA323B23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515597</xdr:colOff>
      <xdr:row>15</xdr:row>
      <xdr:rowOff>81983</xdr:rowOff>
    </xdr:from>
    <xdr:to>
      <xdr:col>11</xdr:col>
      <xdr:colOff>315118</xdr:colOff>
      <xdr:row>16</xdr:row>
      <xdr:rowOff>852374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A0E333-0463-4A85-8FEC-3189346E0E2A}"/>
            </a:ext>
          </a:extLst>
        </xdr:cNvPr>
        <xdr:cNvSpPr txBox="1"/>
      </xdr:nvSpPr>
      <xdr:spPr>
        <a:xfrm>
          <a:off x="5640047" y="3472883"/>
          <a:ext cx="3066596" cy="9608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715C37E-ED9A-49CE-A8BA-F46B9ED8A302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26"/>
  <sheetViews>
    <sheetView tabSelected="1" view="pageBreakPreview" zoomScale="106" zoomScaleNormal="100" zoomScaleSheetLayoutView="106" workbookViewId="0">
      <selection activeCell="A19" sqref="A19:XFD19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0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</row>
    <row r="3" spans="1:11" s="1" customFormat="1" ht="15.95" customHeight="1" x14ac:dyDescent="0.25">
      <c r="A3" s="87" t="s">
        <v>1</v>
      </c>
      <c r="B3" s="87"/>
      <c r="C3" s="87"/>
      <c r="D3" s="87"/>
      <c r="E3" s="87"/>
      <c r="F3" s="87"/>
      <c r="G3" s="87"/>
      <c r="H3" s="87"/>
      <c r="I3" s="87"/>
      <c r="J3" s="87"/>
    </row>
    <row r="4" spans="1:11" s="1" customFormat="1" ht="15.95" customHeight="1" x14ac:dyDescent="0.25">
      <c r="A4" s="87" t="s">
        <v>61</v>
      </c>
      <c r="B4" s="87"/>
      <c r="C4" s="87"/>
      <c r="D4" s="87"/>
      <c r="E4" s="87"/>
      <c r="F4" s="87"/>
      <c r="G4" s="87"/>
      <c r="H4" s="87"/>
      <c r="I4" s="87"/>
      <c r="J4" s="87"/>
    </row>
    <row r="5" spans="1:11" s="1" customFormat="1" ht="15.95" customHeight="1" x14ac:dyDescent="0.25">
      <c r="A5" s="87" t="s">
        <v>3</v>
      </c>
      <c r="B5" s="87"/>
      <c r="C5" s="87"/>
      <c r="D5" s="87"/>
      <c r="E5" s="87"/>
      <c r="F5" s="87"/>
      <c r="G5" s="87"/>
      <c r="H5" s="87"/>
      <c r="I5" s="87"/>
      <c r="J5" s="87"/>
    </row>
    <row r="6" spans="1:11" s="1" customFormat="1" ht="8.25" customHeight="1" x14ac:dyDescent="0.25"/>
    <row r="7" spans="1:11" s="1" customFormat="1" ht="12" customHeight="1" x14ac:dyDescent="0.25">
      <c r="A7" s="1" t="s">
        <v>18</v>
      </c>
      <c r="B7" s="86" t="s">
        <v>19</v>
      </c>
      <c r="C7" s="86"/>
      <c r="D7" s="86"/>
      <c r="H7" s="5" t="s">
        <v>20</v>
      </c>
      <c r="I7" s="19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21</v>
      </c>
      <c r="B9" s="86" t="s">
        <v>22</v>
      </c>
      <c r="C9" s="86"/>
      <c r="D9" s="86"/>
      <c r="H9" s="5" t="s">
        <v>23</v>
      </c>
      <c r="I9" s="20"/>
      <c r="J9" s="5"/>
    </row>
    <row r="10" spans="1:11" ht="23.25" customHeight="1" thickBot="1" x14ac:dyDescent="0.3">
      <c r="A10" s="74" t="s">
        <v>24</v>
      </c>
      <c r="B10" s="74"/>
      <c r="C10" s="74"/>
      <c r="D10" s="74"/>
      <c r="E10" s="74"/>
      <c r="F10" s="74"/>
      <c r="G10" s="74"/>
      <c r="H10" s="74"/>
      <c r="I10" s="74"/>
      <c r="J10" s="74"/>
      <c r="K10"/>
    </row>
    <row r="11" spans="1:11" ht="18.75" customHeight="1" x14ac:dyDescent="0.25">
      <c r="A11" s="75" t="s">
        <v>9</v>
      </c>
      <c r="B11" s="77" t="s">
        <v>10</v>
      </c>
      <c r="C11" s="78"/>
      <c r="D11" s="79" t="s">
        <v>25</v>
      </c>
      <c r="E11" s="80"/>
      <c r="F11" s="80"/>
      <c r="G11" s="81"/>
      <c r="H11" s="82" t="s">
        <v>26</v>
      </c>
      <c r="I11" s="83"/>
      <c r="J11" s="84" t="s">
        <v>11</v>
      </c>
      <c r="K11" s="70" t="s">
        <v>27</v>
      </c>
    </row>
    <row r="12" spans="1:11" ht="15.75" thickBot="1" x14ac:dyDescent="0.3">
      <c r="A12" s="76"/>
      <c r="B12" s="21" t="s">
        <v>28</v>
      </c>
      <c r="C12" s="21" t="s">
        <v>29</v>
      </c>
      <c r="D12" s="21" t="s">
        <v>28</v>
      </c>
      <c r="E12" s="21" t="s">
        <v>29</v>
      </c>
      <c r="F12" s="21" t="s">
        <v>30</v>
      </c>
      <c r="G12" s="21" t="s">
        <v>31</v>
      </c>
      <c r="H12" s="21" t="s">
        <v>28</v>
      </c>
      <c r="I12" s="21" t="s">
        <v>29</v>
      </c>
      <c r="J12" s="85"/>
      <c r="K12" s="70"/>
    </row>
    <row r="13" spans="1:11" ht="15.75" thickBot="1" x14ac:dyDescent="0.3">
      <c r="A13" s="71" t="s">
        <v>43</v>
      </c>
      <c r="B13" s="72"/>
      <c r="C13" s="72"/>
      <c r="D13" s="72"/>
      <c r="E13" s="72"/>
      <c r="F13" s="72"/>
      <c r="G13" s="72"/>
      <c r="H13" s="72"/>
      <c r="I13" s="72"/>
      <c r="J13" s="73"/>
      <c r="K13" s="22"/>
    </row>
    <row r="14" spans="1:11" ht="29.25" customHeight="1" x14ac:dyDescent="0.25">
      <c r="A14" s="23" t="s">
        <v>56</v>
      </c>
      <c r="B14" s="32">
        <v>0.65200000000000002</v>
      </c>
      <c r="C14" s="33">
        <v>0.65200000000000002</v>
      </c>
      <c r="D14" s="33"/>
      <c r="E14" s="32"/>
      <c r="F14" s="32"/>
      <c r="G14" s="32"/>
      <c r="H14" s="25">
        <f>B14</f>
        <v>0.65200000000000002</v>
      </c>
      <c r="I14" s="25">
        <f>C14</f>
        <v>0.65200000000000002</v>
      </c>
      <c r="J14" s="26">
        <f>SUM(H14:I14)</f>
        <v>1.304</v>
      </c>
    </row>
    <row r="15" spans="1:11" ht="17.25" customHeight="1" x14ac:dyDescent="0.25">
      <c r="A15" s="23" t="s">
        <v>33</v>
      </c>
      <c r="B15" s="32">
        <v>0.125</v>
      </c>
      <c r="C15" s="33">
        <v>0.125</v>
      </c>
      <c r="D15" s="24"/>
      <c r="E15" s="17"/>
      <c r="F15" s="17"/>
      <c r="G15" s="17"/>
      <c r="H15" s="28">
        <f>H14-F15-D15+B15</f>
        <v>0.77700000000000002</v>
      </c>
      <c r="I15" s="28">
        <f>I14-E15+C15</f>
        <v>0.77700000000000002</v>
      </c>
      <c r="J15" s="29">
        <f>SUM(H15:I15)</f>
        <v>1.554</v>
      </c>
    </row>
    <row r="16" spans="1:11" ht="17.25" customHeight="1" x14ac:dyDescent="0.25">
      <c r="A16" s="23" t="s">
        <v>57</v>
      </c>
      <c r="B16" s="32">
        <v>5</v>
      </c>
      <c r="C16" s="33">
        <v>5</v>
      </c>
      <c r="D16" s="24"/>
      <c r="E16" s="17"/>
      <c r="F16" s="17"/>
      <c r="G16" s="17"/>
      <c r="H16" s="28">
        <f t="shared" ref="H16:H17" si="0">H15-F16-D16+B16</f>
        <v>5.7770000000000001</v>
      </c>
      <c r="I16" s="28">
        <f t="shared" ref="I16:I17" si="1">I15-E16+C16</f>
        <v>5.7770000000000001</v>
      </c>
      <c r="J16" s="29">
        <f t="shared" ref="J16:J17" si="2">SUM(H16:I16)</f>
        <v>11.554</v>
      </c>
    </row>
    <row r="17" spans="1:10" ht="15.75" customHeight="1" x14ac:dyDescent="0.25">
      <c r="A17" s="23" t="s">
        <v>58</v>
      </c>
      <c r="B17" s="17"/>
      <c r="C17" s="24"/>
      <c r="D17" s="24"/>
      <c r="E17" s="17"/>
      <c r="F17" s="113">
        <v>2</v>
      </c>
      <c r="G17" s="17"/>
      <c r="H17" s="28">
        <f t="shared" si="0"/>
        <v>3.7770000000000001</v>
      </c>
      <c r="I17" s="28">
        <f t="shared" si="1"/>
        <v>5.7770000000000001</v>
      </c>
      <c r="J17" s="29">
        <f t="shared" si="2"/>
        <v>9.5540000000000003</v>
      </c>
    </row>
    <row r="18" spans="1:10" ht="15.75" customHeight="1" x14ac:dyDescent="0.25">
      <c r="A18" s="66" t="s">
        <v>59</v>
      </c>
      <c r="B18" s="69">
        <v>1.25</v>
      </c>
      <c r="C18" s="66">
        <v>1.25</v>
      </c>
      <c r="D18" s="66"/>
      <c r="E18" s="69"/>
      <c r="F18" s="69"/>
      <c r="G18" s="69"/>
      <c r="H18" s="28">
        <f t="shared" ref="H18:H19" si="3">H17-F18-D18+B18</f>
        <v>5.0270000000000001</v>
      </c>
      <c r="I18" s="28">
        <f t="shared" ref="I18:I19" si="4">I17-E18+C18</f>
        <v>7.0270000000000001</v>
      </c>
      <c r="J18" s="29">
        <f t="shared" ref="J18:J19" si="5">SUM(H18:I18)</f>
        <v>12.054</v>
      </c>
    </row>
    <row r="19" spans="1:10" ht="15.75" customHeight="1" x14ac:dyDescent="0.25">
      <c r="A19" s="66" t="s">
        <v>60</v>
      </c>
      <c r="B19" s="69">
        <v>10</v>
      </c>
      <c r="C19" s="66">
        <v>10</v>
      </c>
      <c r="D19" s="66"/>
      <c r="E19" s="69"/>
      <c r="F19" s="69"/>
      <c r="G19" s="69"/>
      <c r="H19" s="28">
        <f t="shared" si="3"/>
        <v>15.027000000000001</v>
      </c>
      <c r="I19" s="28">
        <f t="shared" si="4"/>
        <v>17.027000000000001</v>
      </c>
      <c r="J19" s="29">
        <f t="shared" si="5"/>
        <v>32.054000000000002</v>
      </c>
    </row>
    <row r="20" spans="1:10" ht="15.75" customHeight="1" x14ac:dyDescent="0.25">
      <c r="A20" s="66" t="s">
        <v>62</v>
      </c>
      <c r="B20" s="69"/>
      <c r="C20" s="66"/>
      <c r="D20" s="66">
        <v>10</v>
      </c>
      <c r="E20" s="69"/>
      <c r="F20" s="69"/>
      <c r="G20" s="69"/>
      <c r="H20" s="28">
        <f t="shared" ref="H20" si="6">H19-F20-D20+B20</f>
        <v>5.027000000000001</v>
      </c>
      <c r="I20" s="28">
        <f t="shared" ref="I20" si="7">I19-E20+C20</f>
        <v>17.027000000000001</v>
      </c>
      <c r="J20" s="29">
        <f t="shared" ref="J20" si="8">SUM(H20:I20)</f>
        <v>22.054000000000002</v>
      </c>
    </row>
    <row r="21" spans="1:10" ht="15.75" customHeight="1" x14ac:dyDescent="0.25">
      <c r="A21" s="110"/>
      <c r="B21" s="111"/>
      <c r="C21" s="110"/>
      <c r="D21" s="110"/>
      <c r="E21" s="111"/>
      <c r="F21" s="111"/>
      <c r="G21" s="111"/>
      <c r="H21" s="112"/>
      <c r="I21" s="112"/>
      <c r="J21" s="112"/>
    </row>
    <row r="22" spans="1:10" x14ac:dyDescent="0.25">
      <c r="H22" s="31"/>
      <c r="I22" s="31"/>
      <c r="J22" s="31"/>
    </row>
    <row r="26" spans="1:10" x14ac:dyDescent="0.25">
      <c r="F26" s="30" t="s">
        <v>32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2"/>
  <sheetViews>
    <sheetView view="pageBreakPreview" zoomScaleNormal="100" workbookViewId="0">
      <selection activeCell="C17" sqref="C17"/>
    </sheetView>
  </sheetViews>
  <sheetFormatPr defaultColWidth="9" defaultRowHeight="15" x14ac:dyDescent="0.25"/>
  <cols>
    <col min="1" max="1" width="23.5703125" style="43" customWidth="1"/>
    <col min="2" max="2" width="18.85546875" style="43" customWidth="1"/>
    <col min="3" max="3" width="35" style="55" customWidth="1"/>
    <col min="4" max="4" width="11.7109375" style="56" customWidth="1"/>
    <col min="5" max="5" width="11" style="43" customWidth="1"/>
    <col min="6" max="6" width="11.85546875" style="56" customWidth="1"/>
    <col min="7" max="7" width="22" style="43" customWidth="1"/>
    <col min="8" max="16384" width="9" style="43"/>
  </cols>
  <sheetData>
    <row r="1" spans="1:7" s="35" customFormat="1" ht="52.5" customHeight="1" x14ac:dyDescent="0.25">
      <c r="E1" s="36"/>
    </row>
    <row r="2" spans="1:7" s="35" customFormat="1" ht="10.5" customHeight="1" x14ac:dyDescent="0.25">
      <c r="A2" s="91" t="s">
        <v>0</v>
      </c>
      <c r="B2" s="91"/>
      <c r="C2" s="91"/>
      <c r="D2" s="91"/>
      <c r="E2" s="91"/>
      <c r="F2" s="91"/>
      <c r="G2" s="91"/>
    </row>
    <row r="3" spans="1:7" s="35" customFormat="1" ht="15.95" customHeight="1" x14ac:dyDescent="0.25">
      <c r="A3" s="91" t="s">
        <v>1</v>
      </c>
      <c r="B3" s="91"/>
      <c r="C3" s="91"/>
      <c r="D3" s="91"/>
      <c r="E3" s="91"/>
      <c r="F3" s="91"/>
      <c r="G3" s="91"/>
    </row>
    <row r="4" spans="1:7" s="35" customFormat="1" ht="15.95" customHeight="1" x14ac:dyDescent="0.25">
      <c r="A4" s="91" t="s">
        <v>2</v>
      </c>
      <c r="B4" s="91"/>
      <c r="C4" s="91"/>
      <c r="D4" s="91"/>
      <c r="E4" s="91"/>
      <c r="F4" s="91"/>
      <c r="G4" s="91"/>
    </row>
    <row r="5" spans="1:7" s="35" customFormat="1" ht="15.95" customHeight="1" x14ac:dyDescent="0.25">
      <c r="A5" s="91" t="s">
        <v>3</v>
      </c>
      <c r="B5" s="91"/>
      <c r="C5" s="91"/>
      <c r="D5" s="91"/>
      <c r="E5" s="91"/>
      <c r="F5" s="91"/>
      <c r="G5" s="91"/>
    </row>
    <row r="6" spans="1:7" s="35" customFormat="1" ht="8.25" customHeight="1" x14ac:dyDescent="0.25">
      <c r="E6" s="36"/>
    </row>
    <row r="7" spans="1:7" s="35" customFormat="1" ht="8.25" customHeight="1" x14ac:dyDescent="0.25">
      <c r="E7" s="36"/>
    </row>
    <row r="8" spans="1:7" s="35" customFormat="1" ht="17.25" customHeight="1" x14ac:dyDescent="0.25">
      <c r="A8" s="37" t="s">
        <v>47</v>
      </c>
      <c r="B8" s="37"/>
      <c r="C8" s="37" t="s">
        <v>34</v>
      </c>
      <c r="D8" s="38"/>
      <c r="E8" s="37" t="s">
        <v>35</v>
      </c>
      <c r="F8" s="38"/>
      <c r="G8" s="39"/>
    </row>
    <row r="9" spans="1:7" s="35" customFormat="1" ht="12" customHeight="1" x14ac:dyDescent="0.25">
      <c r="A9" s="40"/>
      <c r="B9" s="40"/>
      <c r="C9" s="41"/>
      <c r="E9" s="37" t="s">
        <v>36</v>
      </c>
      <c r="F9" s="42"/>
      <c r="G9" s="41"/>
    </row>
    <row r="10" spans="1:7" s="35" customFormat="1" ht="14.25" customHeight="1" x14ac:dyDescent="0.25">
      <c r="A10" s="37" t="s">
        <v>46</v>
      </c>
      <c r="B10" s="37"/>
      <c r="C10" s="37" t="s">
        <v>37</v>
      </c>
      <c r="D10" s="38"/>
      <c r="E10" s="37" t="s">
        <v>38</v>
      </c>
      <c r="F10" s="38"/>
      <c r="G10" s="39"/>
    </row>
    <row r="11" spans="1:7" s="35" customFormat="1" ht="12" customHeight="1" thickBot="1" x14ac:dyDescent="0.3">
      <c r="A11" s="39"/>
      <c r="B11" s="39"/>
      <c r="C11" s="39"/>
      <c r="F11" s="38"/>
      <c r="G11" s="39"/>
    </row>
    <row r="12" spans="1:7" ht="23.25" customHeight="1" thickBot="1" x14ac:dyDescent="0.3">
      <c r="A12" s="92" t="s">
        <v>39</v>
      </c>
      <c r="B12" s="93"/>
      <c r="C12" s="93"/>
      <c r="D12" s="93"/>
      <c r="E12" s="93"/>
      <c r="F12" s="93"/>
      <c r="G12" s="94"/>
    </row>
    <row r="13" spans="1:7" s="48" customFormat="1" ht="37.5" customHeight="1" thickBot="1" x14ac:dyDescent="0.25">
      <c r="A13" s="44" t="s">
        <v>40</v>
      </c>
      <c r="B13" s="45" t="s">
        <v>41</v>
      </c>
      <c r="C13" s="57" t="s">
        <v>42</v>
      </c>
      <c r="D13" s="57" t="s">
        <v>13</v>
      </c>
      <c r="E13" s="46" t="s">
        <v>14</v>
      </c>
      <c r="F13" s="46" t="s">
        <v>15</v>
      </c>
      <c r="G13" s="47" t="s">
        <v>11</v>
      </c>
    </row>
    <row r="14" spans="1:7" s="48" customFormat="1" ht="24.75" customHeight="1" x14ac:dyDescent="0.2">
      <c r="A14" s="60"/>
      <c r="B14" s="65"/>
      <c r="C14" s="58"/>
      <c r="D14" s="34"/>
      <c r="E14" s="49"/>
      <c r="F14" s="49"/>
      <c r="G14" s="50"/>
    </row>
    <row r="15" spans="1:7" s="48" customFormat="1" ht="15.75" customHeight="1" x14ac:dyDescent="0.2">
      <c r="A15" s="60" t="s">
        <v>52</v>
      </c>
      <c r="B15" s="61" t="s">
        <v>53</v>
      </c>
      <c r="C15" s="63" t="s">
        <v>54</v>
      </c>
      <c r="D15" s="64">
        <v>3</v>
      </c>
      <c r="E15" s="49">
        <v>0</v>
      </c>
      <c r="F15" s="49">
        <v>3</v>
      </c>
      <c r="G15" s="50">
        <v>3</v>
      </c>
    </row>
    <row r="16" spans="1:7" s="48" customFormat="1" ht="15.75" customHeight="1" x14ac:dyDescent="0.2">
      <c r="A16" s="60"/>
      <c r="B16" s="61"/>
      <c r="C16" s="58"/>
      <c r="D16" s="34"/>
      <c r="E16" s="49"/>
      <c r="F16" s="49"/>
      <c r="G16" s="50"/>
    </row>
    <row r="17" spans="1:7" s="53" customFormat="1" ht="27" customHeight="1" x14ac:dyDescent="0.2">
      <c r="A17" s="18"/>
      <c r="B17" s="18"/>
      <c r="C17" s="62"/>
      <c r="D17" s="51"/>
      <c r="E17" s="51"/>
      <c r="F17" s="51"/>
      <c r="G17" s="50"/>
    </row>
    <row r="18" spans="1:7" s="53" customFormat="1" ht="15.75" x14ac:dyDescent="0.2">
      <c r="A18" s="18"/>
      <c r="B18" s="18"/>
      <c r="C18" s="58"/>
      <c r="D18" s="51"/>
      <c r="E18" s="51"/>
      <c r="F18" s="51"/>
      <c r="G18" s="52"/>
    </row>
    <row r="19" spans="1:7" s="53" customFormat="1" ht="15.75" x14ac:dyDescent="0.2">
      <c r="A19" s="88" t="s">
        <v>11</v>
      </c>
      <c r="B19" s="89"/>
      <c r="C19" s="89"/>
      <c r="D19" s="89"/>
      <c r="E19" s="89"/>
      <c r="F19" s="90"/>
      <c r="G19" s="59" t="s">
        <v>55</v>
      </c>
    </row>
    <row r="20" spans="1:7" s="35" customFormat="1" ht="75.75" customHeight="1" x14ac:dyDescent="0.25">
      <c r="A20" s="54"/>
      <c r="B20" s="54"/>
      <c r="G20" s="54"/>
    </row>
    <row r="21" spans="1:7" s="35" customFormat="1" x14ac:dyDescent="0.25"/>
    <row r="22" spans="1:7" s="35" customFormat="1" x14ac:dyDescent="0.25"/>
  </sheetData>
  <mergeCells count="6">
    <mergeCell ref="A19:F19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9463-0153-436B-ACA2-C7CA055EC70D}">
  <dimension ref="A1:L21"/>
  <sheetViews>
    <sheetView view="pageBreakPreview" topLeftCell="A3" zoomScale="112" zoomScaleNormal="100" workbookViewId="0">
      <selection activeCell="E27" sqref="E27"/>
    </sheetView>
  </sheetViews>
  <sheetFormatPr defaultColWidth="9"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2" s="1" customFormat="1" ht="52.5" customHeight="1" x14ac:dyDescent="0.25">
      <c r="C1" s="2"/>
      <c r="D1" s="3"/>
      <c r="H1" s="4"/>
    </row>
    <row r="2" spans="1:12" s="1" customFormat="1" ht="10.5" customHeight="1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s="1" customFormat="1" ht="15.95" customHeight="1" x14ac:dyDescent="0.25">
      <c r="A3" s="87" t="s">
        <v>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2" s="1" customFormat="1" ht="15.95" customHeight="1" x14ac:dyDescent="0.25">
      <c r="A4" s="87" t="s">
        <v>2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s="1" customFormat="1" ht="15.95" customHeight="1" x14ac:dyDescent="0.25">
      <c r="A5" s="87" t="s">
        <v>3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s="1" customFormat="1" ht="8.25" customHeight="1" x14ac:dyDescent="0.25">
      <c r="C6" s="4"/>
      <c r="H6" s="4"/>
    </row>
    <row r="7" spans="1:12" s="1" customFormat="1" ht="8.25" customHeight="1" x14ac:dyDescent="0.25">
      <c r="C7" s="4"/>
      <c r="H7" s="4"/>
    </row>
    <row r="8" spans="1:12" s="1" customFormat="1" ht="12" customHeight="1" x14ac:dyDescent="0.25">
      <c r="A8" s="5" t="s">
        <v>48</v>
      </c>
      <c r="B8" s="5"/>
      <c r="C8" s="86" t="s">
        <v>4</v>
      </c>
      <c r="D8" s="86"/>
      <c r="E8" s="86"/>
      <c r="F8" s="86"/>
      <c r="G8" s="86"/>
      <c r="I8" s="86" t="s">
        <v>5</v>
      </c>
      <c r="J8" s="86"/>
      <c r="K8" s="86"/>
      <c r="L8" s="5"/>
    </row>
    <row r="9" spans="1:12" s="1" customFormat="1" ht="12" customHeight="1" x14ac:dyDescent="0.25">
      <c r="B9" s="6"/>
      <c r="C9" s="86" t="s">
        <v>49</v>
      </c>
      <c r="D9" s="86"/>
      <c r="E9" s="86"/>
      <c r="F9" s="86"/>
      <c r="G9" s="86"/>
      <c r="I9" s="95" t="s">
        <v>6</v>
      </c>
      <c r="J9" s="95"/>
      <c r="K9" s="95"/>
      <c r="L9" s="6"/>
    </row>
    <row r="10" spans="1:12" s="1" customFormat="1" ht="12" customHeight="1" x14ac:dyDescent="0.25">
      <c r="A10" s="5" t="s">
        <v>50</v>
      </c>
      <c r="B10" s="5"/>
      <c r="C10" s="7"/>
      <c r="D10" s="6"/>
      <c r="E10" s="6"/>
      <c r="I10" s="86" t="s">
        <v>7</v>
      </c>
      <c r="J10" s="86"/>
      <c r="K10" s="86"/>
      <c r="L10" s="5"/>
    </row>
    <row r="11" spans="1:12" ht="16.5" customHeight="1" thickBot="1" x14ac:dyDescent="0.3">
      <c r="A11" s="74" t="s">
        <v>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spans="1:12" s="8" customFormat="1" ht="18.75" customHeight="1" x14ac:dyDescent="0.2">
      <c r="A12" s="96" t="s">
        <v>9</v>
      </c>
      <c r="B12" s="98" t="s">
        <v>10</v>
      </c>
      <c r="C12" s="99"/>
      <c r="D12" s="99"/>
      <c r="E12" s="99"/>
      <c r="F12" s="99"/>
      <c r="G12" s="99"/>
      <c r="H12" s="99"/>
      <c r="I12" s="99"/>
      <c r="J12" s="99"/>
      <c r="K12" s="99"/>
      <c r="L12" s="100" t="s">
        <v>11</v>
      </c>
    </row>
    <row r="13" spans="1:12" s="8" customFormat="1" ht="24" customHeight="1" x14ac:dyDescent="0.2">
      <c r="A13" s="97"/>
      <c r="B13" s="102" t="s">
        <v>12</v>
      </c>
      <c r="C13" s="103"/>
      <c r="D13" s="103"/>
      <c r="E13" s="104"/>
      <c r="F13" s="102" t="s">
        <v>13</v>
      </c>
      <c r="G13" s="104"/>
      <c r="H13" s="102" t="s">
        <v>14</v>
      </c>
      <c r="I13" s="104"/>
      <c r="J13" s="102" t="s">
        <v>15</v>
      </c>
      <c r="K13" s="104"/>
      <c r="L13" s="101"/>
    </row>
    <row r="14" spans="1:12" s="9" customFormat="1" ht="22.5" customHeight="1" x14ac:dyDescent="0.2">
      <c r="A14" s="12" t="s">
        <v>44</v>
      </c>
      <c r="B14" s="106" t="s">
        <v>51</v>
      </c>
      <c r="C14" s="107"/>
      <c r="D14" s="107"/>
      <c r="E14" s="108"/>
      <c r="F14" s="106">
        <v>1</v>
      </c>
      <c r="G14" s="108"/>
      <c r="H14" s="106">
        <v>0</v>
      </c>
      <c r="I14" s="108"/>
      <c r="J14" s="106">
        <v>1</v>
      </c>
      <c r="K14" s="108"/>
      <c r="L14" s="67">
        <v>1</v>
      </c>
    </row>
    <row r="15" spans="1:12" s="9" customFormat="1" ht="22.5" customHeight="1" x14ac:dyDescent="0.2">
      <c r="A15" s="66" t="s">
        <v>17</v>
      </c>
      <c r="B15" s="109"/>
      <c r="C15" s="109"/>
      <c r="D15" s="109"/>
      <c r="E15" s="109"/>
      <c r="F15" s="109"/>
      <c r="G15" s="109"/>
      <c r="H15" s="109">
        <v>1</v>
      </c>
      <c r="I15" s="109"/>
      <c r="J15" s="109">
        <v>0</v>
      </c>
      <c r="K15" s="109"/>
      <c r="L15" s="68">
        <v>0</v>
      </c>
    </row>
    <row r="16" spans="1:12" s="9" customFormat="1" x14ac:dyDescent="0.2">
      <c r="A16" s="10" t="s">
        <v>16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</row>
    <row r="17" spans="1:12" ht="67.5" customHeight="1" x14ac:dyDescent="0.2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</row>
    <row r="18" spans="1:12" s="1" customFormat="1" x14ac:dyDescent="0.25">
      <c r="C18" s="4"/>
    </row>
    <row r="19" spans="1:12" s="1" customFormat="1" x14ac:dyDescent="0.25">
      <c r="C19" s="4"/>
    </row>
    <row r="21" spans="1:12" x14ac:dyDescent="0.25">
      <c r="G21" s="16" t="s">
        <v>45</v>
      </c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2025-09-04T02:27:09Z</cp:lastPrinted>
  <dcterms:created xsi:type="dcterms:W3CDTF">2022-11-24T07:01:13Z</dcterms:created>
  <dcterms:modified xsi:type="dcterms:W3CDTF">2025-09-04T02:31:18Z</dcterms:modified>
</cp:coreProperties>
</file>