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C75FA9C-58A9-488A-A707-64569C1C56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12" r:id="rId1"/>
    <sheet name="Election &amp; NLC" sheetId="13" r:id="rId2"/>
    <sheet name="CTO" sheetId="11" r:id="rId3"/>
  </sheets>
  <definedNames>
    <definedName name="_xlnm.Print_Area" localSheetId="1">'Election &amp; NLC'!$A$1:$G$21</definedName>
    <definedName name="_xlnm.Print_Area" localSheetId="0">'Leave Card (NE)'!$A$1:$J$32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2" l="1"/>
  <c r="I25" i="12" s="1"/>
  <c r="I13" i="12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H13" i="12"/>
  <c r="H14" i="12" s="1"/>
  <c r="H15" i="12" s="1"/>
  <c r="J13" i="12" l="1"/>
  <c r="J15" i="12"/>
  <c r="H16" i="12"/>
  <c r="J14" i="12"/>
  <c r="H17" i="12" l="1"/>
  <c r="J16" i="12"/>
  <c r="J17" i="12" l="1"/>
  <c r="H18" i="12"/>
  <c r="H19" i="12" l="1"/>
  <c r="J18" i="12"/>
  <c r="J19" i="12" l="1"/>
  <c r="H20" i="12"/>
  <c r="H21" i="12" l="1"/>
  <c r="J20" i="12"/>
  <c r="J21" i="12" l="1"/>
  <c r="H22" i="12"/>
  <c r="H23" i="12" l="1"/>
  <c r="H24" i="12" s="1"/>
  <c r="J22" i="12"/>
  <c r="H25" i="12" l="1"/>
  <c r="J25" i="12" s="1"/>
  <c r="J24" i="12"/>
  <c r="J23" i="12"/>
</calcChain>
</file>

<file path=xl/sharedStrings.xml><?xml version="1.0" encoding="utf-8"?>
<sst xmlns="http://schemas.openxmlformats.org/spreadsheetml/2006/main" count="101" uniqueCount="72">
  <si>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</si>
  <si>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</si>
  <si>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</si>
  <si>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</si>
  <si>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</si>
  <si>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</si>
  <si>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</si>
  <si>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</si>
  <si>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</si>
  <si>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</si>
  <si>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</si>
  <si>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</si>
  <si>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</si>
  <si>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</si>
  <si>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</si>
  <si>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</si>
  <si>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</si>
  <si>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</si>
  <si>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</si>
  <si>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</si>
  <si>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</si>
  <si>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</si>
  <si>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</si>
  <si>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</si>
  <si>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</si>
  <si>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</si>
  <si>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</si>
  <si>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</si>
  <si>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ADD: 11/23/2023</t>
  </si>
  <si>
    <t>S.O. #170, S. 2023. BRIGADA ESKWELA AND OPLAN BALIK ESKWELA 2023</t>
  </si>
  <si>
    <t>LESS:  03/11/2024</t>
  </si>
  <si>
    <t>LESS: 03/19/2024</t>
  </si>
  <si>
    <t>LESS: 04/08/2024</t>
  </si>
  <si>
    <t>LESS: 04/23/2024</t>
  </si>
  <si>
    <t>LESS: 05/22-24/2024</t>
  </si>
  <si>
    <t>LESS: 06/05/2024</t>
  </si>
  <si>
    <t>LESS: 06/11/2024</t>
  </si>
  <si>
    <t>ADD: 04/29/2024</t>
  </si>
  <si>
    <t>S.O. #011, S. 2024. SCREENING OF DOCUMENTS OF ATHLETES, COACHES, ASST. COACHES, AND CHAPERONES FOR SY 2023-2024 DISTRICT MEET</t>
  </si>
  <si>
    <t>LESS: 06/24/2024</t>
  </si>
  <si>
    <t>SERVICE LEAVE CARD</t>
  </si>
  <si>
    <t>DATE FILED/RECEIVED</t>
  </si>
  <si>
    <t>SPECIAL</t>
  </si>
  <si>
    <t xml:space="preserve">  </t>
  </si>
  <si>
    <t>MAY 15, 2024 (APPOINTMENT DATE)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</si>
  <si>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</si>
  <si>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</si>
  <si>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</si>
  <si>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</si>
  <si>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</si>
  <si>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</si>
  <si>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</si>
  <si>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</si>
  <si>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</si>
  <si>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</si>
  <si>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SAYSON, JOAN</t>
    </r>
  </si>
  <si>
    <t>170, S. 2023</t>
  </si>
  <si>
    <t>11/23/2023</t>
  </si>
  <si>
    <t>BRIGADA ESKWELA AND OPLAN BALIK ESKWELA 2023</t>
  </si>
  <si>
    <t>011, S. 2024</t>
  </si>
  <si>
    <t>04/29/2024</t>
  </si>
  <si>
    <t>SCREENING OF DOCUMENTS OF ATHLETES, COACHES, ASST. COACHES, AND CHAPERONES FOR SY 2023-2024 DISTRICT MEET</t>
  </si>
  <si>
    <t>7 DAYS-CONVERTED</t>
  </si>
  <si>
    <t>ADD: 05/15-31/2024</t>
  </si>
  <si>
    <t>LESS: 06/5/2024</t>
  </si>
  <si>
    <r>
      <t xml:space="preserve">ADD: UNUSED VSC </t>
    </r>
    <r>
      <rPr>
        <b/>
        <sz val="12"/>
        <color rgb="FF0070C0"/>
        <rFont val="Calibri"/>
        <family val="2"/>
        <scheme val="minor"/>
      </rPr>
      <t>7</t>
    </r>
    <r>
      <rPr>
        <sz val="11"/>
        <color rgb="FF0070C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DAYS:                                         FORMULA: 30Y/69/2 </t>
    </r>
  </si>
  <si>
    <t>ADD: 06/1/2024-11/30/2024</t>
  </si>
  <si>
    <t>LESS: 12/26-27/2024</t>
  </si>
  <si>
    <t>ADD: 12/1-31/2024</t>
  </si>
  <si>
    <t>LESS: 05/7-10/2025 (TRAVEL ABROAD)</t>
  </si>
  <si>
    <t>ADD: 01/1/2025-02/28/2025</t>
  </si>
  <si>
    <t>LESS: 03/25-27/2025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</si>
</sst>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5" fillId="0" borderId="0"/>
  </cellStyleXfs>
  <cellXfs count="10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5" fillId="2" borderId="0" xfId="2" applyFill="1"/>
    <xf numFmtId="0" fontId="1" fillId="2" borderId="0" xfId="2" applyFont="1" applyFill="1" applyAlignment="1">
      <alignment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0" xfId="2" applyFont="1" applyFill="1"/>
    <xf numFmtId="0" fontId="1" fillId="2" borderId="4" xfId="2" applyFont="1" applyFill="1" applyBorder="1" applyAlignment="1">
      <alignment vertical="center"/>
    </xf>
    <xf numFmtId="0" fontId="0" fillId="2" borderId="1" xfId="2" applyFont="1" applyFill="1" applyBorder="1" applyAlignment="1">
      <alignment horizontal="center" vertical="center" wrapText="1"/>
    </xf>
    <xf numFmtId="0" fontId="5" fillId="2" borderId="2" xfId="2" applyFill="1" applyBorder="1" applyAlignment="1">
      <alignment horizontal="center" vertical="center" wrapText="1"/>
    </xf>
    <xf numFmtId="0" fontId="5" fillId="2" borderId="1" xfId="2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7" fillId="2" borderId="0" xfId="2" applyFont="1" applyFill="1" applyAlignment="1">
      <alignment horizontal="center" vertical="center" wrapText="1"/>
    </xf>
    <xf numFmtId="0" fontId="5" fillId="2" borderId="0" xfId="2" applyFill="1" applyAlignment="1">
      <alignment horizontal="center" vertical="center" wrapText="1"/>
    </xf>
    <xf numFmtId="0" fontId="5" fillId="2" borderId="0" xfId="2" applyFill="1" applyAlignment="1">
      <alignment horizontal="center"/>
    </xf>
    <xf numFmtId="0" fontId="5" fillId="0" borderId="0" xfId="2"/>
    <xf numFmtId="0" fontId="1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11" fillId="0" borderId="0" xfId="0" applyFont="1"/>
    <xf numFmtId="0" fontId="0" fillId="0" borderId="7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2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4" fillId="2" borderId="0" xfId="2" applyFont="1" applyFill="1"/>
    <xf numFmtId="0" fontId="1" fillId="2" borderId="0" xfId="2" applyFont="1" applyFill="1" applyAlignment="1">
      <alignment horizontal="left"/>
    </xf>
    <xf numFmtId="0" fontId="2" fillId="7" borderId="21" xfId="2" applyFont="1" applyFill="1" applyBorder="1" applyAlignment="1">
      <alignment horizontal="center" vertical="center" wrapText="1"/>
    </xf>
    <xf numFmtId="0" fontId="2" fillId="7" borderId="21" xfId="2" applyFont="1" applyFill="1" applyBorder="1" applyAlignment="1">
      <alignment horizontal="center" vertical="center"/>
    </xf>
    <xf numFmtId="0" fontId="7" fillId="9" borderId="24" xfId="2" applyFont="1" applyFill="1" applyBorder="1" applyAlignment="1">
      <alignment horizontal="center" vertical="center" wrapText="1"/>
    </xf>
    <xf numFmtId="0" fontId="7" fillId="9" borderId="25" xfId="2" applyFont="1" applyFill="1" applyBorder="1" applyAlignment="1">
      <alignment horizontal="center" vertical="center" wrapText="1"/>
    </xf>
    <xf numFmtId="0" fontId="2" fillId="7" borderId="26" xfId="2" applyFont="1" applyFill="1" applyBorder="1" applyAlignment="1">
      <alignment horizontal="center" vertical="center"/>
    </xf>
    <xf numFmtId="0" fontId="15" fillId="0" borderId="0" xfId="2" applyFont="1"/>
    <xf numFmtId="0" fontId="7" fillId="2" borderId="1" xfId="3" applyFont="1" applyFill="1" applyBorder="1" applyAlignment="1">
      <alignment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16" fillId="2" borderId="27" xfId="2" applyFont="1" applyFill="1" applyBorder="1" applyAlignment="1">
      <alignment horizontal="center" vertical="center" wrapText="1"/>
    </xf>
    <xf numFmtId="0" fontId="12" fillId="2" borderId="3" xfId="2" applyFont="1" applyFill="1" applyBorder="1" applyAlignment="1">
      <alignment horizontal="center" vertical="center" wrapText="1"/>
    </xf>
    <xf numFmtId="0" fontId="0" fillId="2" borderId="4" xfId="3" applyFont="1" applyFill="1" applyBorder="1" applyAlignment="1">
      <alignment horizontal="center" vertical="center" wrapText="1"/>
    </xf>
    <xf numFmtId="0" fontId="0" fillId="2" borderId="20" xfId="3" applyFont="1" applyFill="1" applyBorder="1" applyAlignment="1">
      <alignment horizontal="center" vertical="center"/>
    </xf>
    <xf numFmtId="0" fontId="0" fillId="2" borderId="1" xfId="3" applyFont="1" applyFill="1" applyBorder="1" applyAlignment="1">
      <alignment horizontal="center" vertical="center" wrapText="1"/>
    </xf>
    <xf numFmtId="0" fontId="16" fillId="2" borderId="13" xfId="2" applyFont="1" applyFill="1" applyBorder="1" applyAlignment="1">
      <alignment horizontal="center" vertical="center" wrapText="1"/>
    </xf>
    <xf numFmtId="0" fontId="3" fillId="0" borderId="0" xfId="2" applyFont="1"/>
    <xf numFmtId="0" fontId="12" fillId="2" borderId="2" xfId="2" applyFont="1" applyFill="1" applyBorder="1" applyAlignment="1">
      <alignment horizontal="center" vertical="center" wrapText="1"/>
    </xf>
    <xf numFmtId="0" fontId="17" fillId="2" borderId="2" xfId="2" applyFont="1" applyFill="1" applyBorder="1" applyAlignment="1">
      <alignment horizontal="center" vertical="center" wrapText="1"/>
    </xf>
    <xf numFmtId="0" fontId="5" fillId="10" borderId="0" xfId="2" applyFill="1"/>
    <xf numFmtId="0" fontId="5" fillId="11" borderId="0" xfId="2" applyFill="1"/>
    <xf numFmtId="0" fontId="0" fillId="2" borderId="6" xfId="3" applyFont="1" applyFill="1" applyBorder="1" applyAlignment="1">
      <alignment horizontal="center" vertical="center" wrapText="1"/>
    </xf>
    <xf numFmtId="0" fontId="0" fillId="12" borderId="1" xfId="2" applyFont="1" applyFill="1" applyBorder="1" applyAlignment="1">
      <alignment horizontal="center" vertical="center" wrapText="1"/>
    </xf>
    <xf numFmtId="0" fontId="5" fillId="12" borderId="1" xfId="2" applyFill="1" applyBorder="1" applyAlignment="1">
      <alignment horizontal="center" vertical="center" wrapText="1"/>
    </xf>
    <xf numFmtId="0" fontId="5" fillId="12" borderId="2" xfId="2" applyFill="1" applyBorder="1" applyAlignment="1">
      <alignment horizontal="center" vertical="center" wrapText="1"/>
    </xf>
    <xf numFmtId="164" fontId="0" fillId="13" borderId="1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2" fillId="2" borderId="7" xfId="2" applyFont="1" applyFill="1" applyBorder="1" applyAlignment="1">
      <alignment horizontal="right" vertical="center" wrapText="1"/>
    </xf>
    <xf numFmtId="0" fontId="12" fillId="2" borderId="12" xfId="2" applyFont="1" applyFill="1" applyBorder="1" applyAlignment="1">
      <alignment horizontal="right" vertical="center" wrapText="1"/>
    </xf>
    <xf numFmtId="0" fontId="12" fillId="2" borderId="14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6" fillId="2" borderId="22" xfId="2" applyFont="1" applyFill="1" applyBorder="1" applyAlignment="1">
      <alignment horizontal="center" vertical="center"/>
    </xf>
    <xf numFmtId="0" fontId="6" fillId="2" borderId="23" xfId="2" applyFont="1" applyFill="1" applyBorder="1" applyAlignment="1">
      <alignment horizontal="center" vertical="center"/>
    </xf>
    <xf numFmtId="0" fontId="7" fillId="12" borderId="13" xfId="2" applyFont="1" applyFill="1" applyBorder="1" applyAlignment="1">
      <alignment horizontal="center" vertical="center" wrapText="1"/>
    </xf>
    <xf numFmtId="0" fontId="7" fillId="12" borderId="12" xfId="2" applyFont="1" applyFill="1" applyBorder="1" applyAlignment="1">
      <alignment horizontal="center" vertical="center" wrapText="1"/>
    </xf>
    <xf numFmtId="0" fontId="7" fillId="12" borderId="14" xfId="2" applyFont="1" applyFill="1" applyBorder="1" applyAlignment="1">
      <alignment horizontal="center" vertical="center" wrapText="1"/>
    </xf>
    <xf numFmtId="0" fontId="2" fillId="7" borderId="5" xfId="2" applyFont="1" applyFill="1" applyBorder="1" applyAlignment="1">
      <alignment horizontal="center" vertical="center"/>
    </xf>
    <xf numFmtId="0" fontId="2" fillId="7" borderId="6" xfId="2" applyFont="1" applyFill="1" applyBorder="1" applyAlignment="1">
      <alignment horizontal="center" vertical="center"/>
    </xf>
    <xf numFmtId="0" fontId="2" fillId="8" borderId="9" xfId="2" applyFont="1" applyFill="1" applyBorder="1" applyAlignment="1">
      <alignment horizontal="center" vertical="center"/>
    </xf>
    <xf numFmtId="0" fontId="2" fillId="8" borderId="10" xfId="2" applyFont="1" applyFill="1" applyBorder="1" applyAlignment="1">
      <alignment horizontal="center" vertical="center"/>
    </xf>
    <xf numFmtId="0" fontId="7" fillId="2" borderId="13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 wrapText="1"/>
    </xf>
    <xf numFmtId="0" fontId="7" fillId="2" borderId="14" xfId="2" applyFont="1" applyFill="1" applyBorder="1" applyAlignment="1">
      <alignment horizontal="center" vertical="center" wrapText="1"/>
    </xf>
    <xf numFmtId="0" fontId="2" fillId="7" borderId="8" xfId="2" applyFont="1" applyFill="1" applyBorder="1" applyAlignment="1">
      <alignment horizontal="center" vertical="center"/>
    </xf>
    <xf numFmtId="0" fontId="2" fillId="7" borderId="3" xfId="2" applyFont="1" applyFill="1" applyBorder="1" applyAlignment="1">
      <alignment horizontal="center" vertical="center"/>
    </xf>
    <xf numFmtId="0" fontId="7" fillId="9" borderId="13" xfId="2" applyFont="1" applyFill="1" applyBorder="1" applyAlignment="1">
      <alignment horizontal="center" vertical="center" wrapText="1"/>
    </xf>
    <xf numFmtId="0" fontId="7" fillId="9" borderId="12" xfId="2" applyFont="1" applyFill="1" applyBorder="1" applyAlignment="1">
      <alignment horizontal="center" vertical="center" wrapText="1"/>
    </xf>
    <xf numFmtId="0" fontId="7" fillId="9" borderId="14" xfId="2" applyFont="1" applyFill="1" applyBorder="1" applyAlignment="1">
      <alignment horizontal="center" vertical="center" wrapText="1"/>
    </xf>
    <xf numFmtId="0" fontId="5" fillId="2" borderId="0" xfId="2" applyFill="1" applyAlignment="1">
      <alignment horizontal="center" vertical="center"/>
    </xf>
    <xf numFmtId="0" fontId="6" fillId="2" borderId="11" xfId="2" applyFont="1" applyFill="1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3" fillId="2" borderId="0" xfId="2" applyFont="1" applyFill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B69E4AAF-A2C9-45E9-B86C-EB70A98F8F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4B340-1C12-47D0-8CF6-A9B5565BCEF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77ED4B-8824-4EC0-A38E-171CCD872E24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SAYSON, JOAN L.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8893AA-71A5-4F2A-AA62-594F664AE66E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PRINCIPAL 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E13A66-FA5A-4FBF-8730-4A75F777DB5F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SCNHS</a:t>
          </a:r>
        </a:p>
      </xdr:txBody>
    </xdr:sp>
    <xdr:clientData/>
  </xdr:twoCellAnchor>
  <xdr:twoCellAnchor>
    <xdr:from>
      <xdr:col>5</xdr:col>
      <xdr:colOff>347452</xdr:colOff>
      <xdr:row>26</xdr:row>
      <xdr:rowOff>53914</xdr:rowOff>
    </xdr:from>
    <xdr:to>
      <xdr:col>9</xdr:col>
      <xdr:colOff>672043</xdr:colOff>
      <xdr:row>31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C0D008-6924-4F33-B04B-44FF2FF9A519}"/>
            </a:ext>
          </a:extLst>
        </xdr:cNvPr>
        <xdr:cNvSpPr txBox="1"/>
      </xdr:nvSpPr>
      <xdr:spPr>
        <a:xfrm>
          <a:off x="5871952" y="119315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779C77-6DFE-4345-8056-615A993EC2A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962025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5AC5E3-ED27-4FAD-8D7C-3823CEA15936}"/>
            </a:ext>
          </a:extLst>
        </xdr:cNvPr>
        <xdr:cNvSpPr txBox="1"/>
      </xdr:nvSpPr>
      <xdr:spPr>
        <a:xfrm>
          <a:off x="76200" y="4295775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18</xdr:row>
      <xdr:rowOff>236220</xdr:rowOff>
    </xdr:from>
    <xdr:to>
      <xdr:col>6</xdr:col>
      <xdr:colOff>476250</xdr:colOff>
      <xdr:row>20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26CB98-4B02-4B6D-9216-1D1B790C966B}"/>
            </a:ext>
          </a:extLst>
        </xdr:cNvPr>
        <xdr:cNvSpPr txBox="1"/>
      </xdr:nvSpPr>
      <xdr:spPr>
        <a:xfrm>
          <a:off x="5238750" y="43224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F0C9D-B320-4AF6-B41F-54D9AB64A2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51EA99-18D2-47B7-8A06-2B2867013338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SAYSON, JOAN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231B04-7AD3-466F-81FB-0FC355537594}"/>
            </a:ext>
          </a:extLst>
        </xdr:cNvPr>
        <xdr:cNvSpPr txBox="1"/>
      </xdr:nvSpPr>
      <xdr:spPr>
        <a:xfrm>
          <a:off x="654051" y="19240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B202FC-E709-4773-AB10-B0ED60F84653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F371-121F-45D2-995B-D74602729AA3}">
  <sheetPr>
    <pageSetUpPr fitToPage="1"/>
  </sheetPr>
  <dimension ref="A1:K30"/>
  <sheetViews>
    <sheetView tabSelected="1" view="pageBreakPreview" topLeftCell="A10" zoomScaleNormal="100" zoomScaleSheetLayoutView="100" workbookViewId="0">
      <selection activeCell="F23" sqref="F23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31" customWidth="1"/>
    <col min="8" max="10" width="11.5703125" customWidth="1"/>
    <col min="11" max="11" width="26.42578125" style="26" customWidth="1"/>
  </cols>
  <sheetData>
    <row r="1" spans="1:11" s="1" customFormat="1" ht="52.5" customHeight="1" x14ac:dyDescent="0.25"/>
    <row r="2" spans="1:11" s="1" customFormat="1" ht="10.5" customHeight="1" x14ac:dyDescent="0.25">
      <c r="A2" s="77" t="s">
        <v>8</v>
      </c>
      <c r="B2" s="77"/>
      <c r="C2" s="77"/>
      <c r="D2" s="77"/>
      <c r="E2" s="77"/>
      <c r="F2" s="77"/>
      <c r="G2" s="77"/>
      <c r="H2" s="77"/>
      <c r="I2" s="77"/>
      <c r="J2" s="77"/>
    </row>
    <row r="3" spans="1:11" s="1" customFormat="1" ht="15.95" customHeight="1" x14ac:dyDescent="0.25">
      <c r="A3" s="77" t="s">
        <v>9</v>
      </c>
      <c r="B3" s="77"/>
      <c r="C3" s="77"/>
      <c r="D3" s="77"/>
      <c r="E3" s="77"/>
      <c r="F3" s="77"/>
      <c r="G3" s="77"/>
      <c r="H3" s="77"/>
      <c r="I3" s="77"/>
      <c r="J3" s="77"/>
    </row>
    <row r="4" spans="1:11" s="1" customFormat="1" ht="15.95" customHeight="1" x14ac:dyDescent="0.25">
      <c r="A4" s="77" t="s">
        <v>10</v>
      </c>
      <c r="B4" s="77"/>
      <c r="C4" s="77"/>
      <c r="D4" s="77"/>
      <c r="E4" s="77"/>
      <c r="F4" s="77"/>
      <c r="G4" s="77"/>
      <c r="H4" s="77"/>
      <c r="I4" s="77"/>
      <c r="J4" s="77"/>
    </row>
    <row r="5" spans="1:11" s="1" customFormat="1" ht="15.95" customHeight="1" x14ac:dyDescent="0.25">
      <c r="A5" s="77" t="s">
        <v>11</v>
      </c>
      <c r="B5" s="77"/>
      <c r="C5" s="77"/>
      <c r="D5" s="77"/>
      <c r="E5" s="77"/>
      <c r="F5" s="77"/>
      <c r="G5" s="77"/>
      <c r="H5" s="77"/>
      <c r="I5" s="77"/>
      <c r="J5" s="77"/>
    </row>
    <row r="6" spans="1:11" s="1" customFormat="1" ht="8.25" customHeight="1" x14ac:dyDescent="0.25"/>
    <row r="7" spans="1:11" s="1" customFormat="1" ht="12" customHeight="1" x14ac:dyDescent="0.25">
      <c r="A7" s="1" t="s">
        <v>12</v>
      </c>
      <c r="B7" s="76" t="s">
        <v>13</v>
      </c>
      <c r="C7" s="76"/>
      <c r="D7" s="76"/>
      <c r="H7" s="3" t="s">
        <v>14</v>
      </c>
      <c r="I7" s="19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15</v>
      </c>
      <c r="B9" s="76" t="s">
        <v>16</v>
      </c>
      <c r="C9" s="76"/>
      <c r="D9" s="76"/>
      <c r="H9" s="3" t="s">
        <v>17</v>
      </c>
      <c r="I9" s="20"/>
      <c r="J9" s="3"/>
    </row>
    <row r="10" spans="1:11" ht="23.25" customHeight="1" thickBot="1" x14ac:dyDescent="0.3">
      <c r="A10" s="64" t="s">
        <v>40</v>
      </c>
      <c r="B10" s="64"/>
      <c r="C10" s="64"/>
      <c r="D10" s="64"/>
      <c r="E10" s="64"/>
      <c r="F10" s="64"/>
      <c r="G10" s="64"/>
      <c r="H10" s="64"/>
      <c r="I10" s="64"/>
      <c r="J10" s="64"/>
      <c r="K10"/>
    </row>
    <row r="11" spans="1:11" ht="18.75" customHeight="1" x14ac:dyDescent="0.25">
      <c r="A11" s="65" t="s">
        <v>3</v>
      </c>
      <c r="B11" s="67" t="s">
        <v>4</v>
      </c>
      <c r="C11" s="68"/>
      <c r="D11" s="69" t="s">
        <v>5</v>
      </c>
      <c r="E11" s="70"/>
      <c r="F11" s="70"/>
      <c r="G11" s="71"/>
      <c r="H11" s="72" t="s">
        <v>6</v>
      </c>
      <c r="I11" s="73"/>
      <c r="J11" s="74" t="s">
        <v>7</v>
      </c>
      <c r="K11" s="63" t="s">
        <v>41</v>
      </c>
    </row>
    <row r="12" spans="1:11" ht="18.75" customHeight="1" thickBot="1" x14ac:dyDescent="0.3">
      <c r="A12" s="66"/>
      <c r="B12" s="21" t="s">
        <v>0</v>
      </c>
      <c r="C12" s="21" t="s">
        <v>1</v>
      </c>
      <c r="D12" s="21" t="s">
        <v>0</v>
      </c>
      <c r="E12" s="21" t="s">
        <v>1</v>
      </c>
      <c r="F12" s="21" t="s">
        <v>2</v>
      </c>
      <c r="G12" s="21" t="s">
        <v>42</v>
      </c>
      <c r="H12" s="21" t="s">
        <v>0</v>
      </c>
      <c r="I12" s="21" t="s">
        <v>1</v>
      </c>
      <c r="J12" s="75"/>
      <c r="K12" s="63"/>
    </row>
    <row r="13" spans="1:11" ht="16.5" customHeight="1" x14ac:dyDescent="0.25">
      <c r="A13" s="22" t="s">
        <v>44</v>
      </c>
      <c r="B13" s="23"/>
      <c r="C13" s="23"/>
      <c r="D13" s="23"/>
      <c r="E13" s="23"/>
      <c r="F13" s="23"/>
      <c r="G13" s="23"/>
      <c r="H13" s="24">
        <f>B13</f>
        <v>0</v>
      </c>
      <c r="I13" s="24">
        <f>C13</f>
        <v>0</v>
      </c>
      <c r="J13" s="25">
        <f>SUM(H13:I13)</f>
        <v>0</v>
      </c>
    </row>
    <row r="14" spans="1:11" ht="34.5" customHeight="1" x14ac:dyDescent="0.25">
      <c r="A14" s="33" t="s">
        <v>65</v>
      </c>
      <c r="B14" s="28">
        <v>1.5209999999999999</v>
      </c>
      <c r="C14" s="28">
        <v>1.5209999999999999</v>
      </c>
      <c r="D14" s="28"/>
      <c r="E14" s="28"/>
      <c r="F14" s="28"/>
      <c r="G14" s="28"/>
      <c r="H14" s="29">
        <f>H13-F14-D14+B14</f>
        <v>1.5209999999999999</v>
      </c>
      <c r="I14" s="29">
        <f>I13-E14+C14</f>
        <v>1.5209999999999999</v>
      </c>
      <c r="J14" s="30">
        <f>SUM(H14:I14)</f>
        <v>3.0419999999999998</v>
      </c>
    </row>
    <row r="15" spans="1:11" ht="16.5" customHeight="1" x14ac:dyDescent="0.25">
      <c r="A15" s="27" t="s">
        <v>63</v>
      </c>
      <c r="B15" s="28">
        <v>0.70799999999999996</v>
      </c>
      <c r="C15" s="28">
        <v>0.70799999999999996</v>
      </c>
      <c r="D15" s="28"/>
      <c r="E15" s="28"/>
      <c r="F15" s="28"/>
      <c r="G15" s="28"/>
      <c r="H15" s="29">
        <f t="shared" ref="H15:H23" si="0">H14-F15-D15+B15</f>
        <v>2.2290000000000001</v>
      </c>
      <c r="I15" s="29">
        <f t="shared" ref="I15:I23" si="1">I14-E15+C15</f>
        <v>2.2290000000000001</v>
      </c>
      <c r="J15" s="30">
        <f t="shared" ref="J15:J23" si="2">SUM(H15:I15)</f>
        <v>4.4580000000000002</v>
      </c>
    </row>
    <row r="16" spans="1:11" ht="15.75" customHeight="1" x14ac:dyDescent="0.25">
      <c r="A16" s="27" t="s">
        <v>34</v>
      </c>
      <c r="B16" s="28"/>
      <c r="C16" s="28"/>
      <c r="D16" s="28"/>
      <c r="E16" s="28"/>
      <c r="F16" s="28"/>
      <c r="G16" s="28">
        <v>3</v>
      </c>
      <c r="H16" s="29">
        <f t="shared" si="0"/>
        <v>2.2290000000000001</v>
      </c>
      <c r="I16" s="29">
        <f t="shared" si="1"/>
        <v>2.2290000000000001</v>
      </c>
      <c r="J16" s="30">
        <f t="shared" si="2"/>
        <v>4.4580000000000002</v>
      </c>
    </row>
    <row r="17" spans="1:10" ht="17.25" customHeight="1" x14ac:dyDescent="0.25">
      <c r="A17" s="27" t="s">
        <v>64</v>
      </c>
      <c r="B17" s="28"/>
      <c r="C17" s="28"/>
      <c r="D17" s="28"/>
      <c r="E17" s="28">
        <v>1</v>
      </c>
      <c r="F17" s="28"/>
      <c r="G17" s="28"/>
      <c r="H17" s="29">
        <f t="shared" si="0"/>
        <v>2.2290000000000001</v>
      </c>
      <c r="I17" s="29">
        <f t="shared" si="1"/>
        <v>1.2290000000000001</v>
      </c>
      <c r="J17" s="30">
        <f t="shared" si="2"/>
        <v>3.4580000000000002</v>
      </c>
    </row>
    <row r="18" spans="1:10" ht="15" customHeight="1" x14ac:dyDescent="0.25">
      <c r="A18" s="27" t="s">
        <v>36</v>
      </c>
      <c r="B18" s="28"/>
      <c r="C18" s="28"/>
      <c r="D18" s="28"/>
      <c r="E18" s="28"/>
      <c r="F18" s="28">
        <v>1</v>
      </c>
      <c r="G18" s="28"/>
      <c r="H18" s="29">
        <f t="shared" si="0"/>
        <v>1.2290000000000001</v>
      </c>
      <c r="I18" s="29">
        <f t="shared" si="1"/>
        <v>1.2290000000000001</v>
      </c>
      <c r="J18" s="30">
        <f t="shared" si="2"/>
        <v>2.4580000000000002</v>
      </c>
    </row>
    <row r="19" spans="1:10" ht="14.25" customHeight="1" x14ac:dyDescent="0.25">
      <c r="A19" s="27" t="s">
        <v>39</v>
      </c>
      <c r="B19" s="28"/>
      <c r="C19" s="28"/>
      <c r="D19" s="28"/>
      <c r="E19" s="28">
        <v>1</v>
      </c>
      <c r="F19" s="28"/>
      <c r="G19" s="28"/>
      <c r="H19" s="29">
        <f t="shared" si="0"/>
        <v>1.2290000000000001</v>
      </c>
      <c r="I19" s="29">
        <f t="shared" si="1"/>
        <v>0.22900000000000009</v>
      </c>
      <c r="J19" s="30">
        <f t="shared" si="2"/>
        <v>1.4580000000000002</v>
      </c>
    </row>
    <row r="20" spans="1:10" ht="16.5" customHeight="1" x14ac:dyDescent="0.25">
      <c r="A20" s="27" t="s">
        <v>66</v>
      </c>
      <c r="B20" s="28">
        <v>7.5</v>
      </c>
      <c r="C20" s="28">
        <v>7.5</v>
      </c>
      <c r="D20" s="28"/>
      <c r="E20" s="28"/>
      <c r="F20" s="28"/>
      <c r="G20" s="28"/>
      <c r="H20" s="29">
        <f t="shared" si="0"/>
        <v>8.7289999999999992</v>
      </c>
      <c r="I20" s="29">
        <f t="shared" si="1"/>
        <v>7.7290000000000001</v>
      </c>
      <c r="J20" s="30">
        <f t="shared" si="2"/>
        <v>16.457999999999998</v>
      </c>
    </row>
    <row r="21" spans="1:10" ht="18" customHeight="1" x14ac:dyDescent="0.25">
      <c r="A21" s="27" t="s">
        <v>67</v>
      </c>
      <c r="B21" s="28"/>
      <c r="C21" s="28"/>
      <c r="D21" s="28"/>
      <c r="E21" s="28">
        <v>2</v>
      </c>
      <c r="F21" s="28"/>
      <c r="G21" s="28"/>
      <c r="H21" s="29">
        <f t="shared" si="0"/>
        <v>8.7289999999999992</v>
      </c>
      <c r="I21" s="29">
        <f t="shared" si="1"/>
        <v>5.7290000000000001</v>
      </c>
      <c r="J21" s="30">
        <f t="shared" si="2"/>
        <v>14.457999999999998</v>
      </c>
    </row>
    <row r="22" spans="1:10" ht="14.25" customHeight="1" x14ac:dyDescent="0.25">
      <c r="A22" s="27" t="s">
        <v>68</v>
      </c>
      <c r="B22" s="28">
        <v>1.25</v>
      </c>
      <c r="C22" s="28">
        <v>1.25</v>
      </c>
      <c r="D22" s="28"/>
      <c r="E22" s="28"/>
      <c r="F22" s="28"/>
      <c r="G22" s="28"/>
      <c r="H22" s="29">
        <f t="shared" si="0"/>
        <v>9.9789999999999992</v>
      </c>
      <c r="I22" s="29">
        <f t="shared" si="1"/>
        <v>6.9790000000000001</v>
      </c>
      <c r="J22" s="30">
        <f t="shared" si="2"/>
        <v>16.957999999999998</v>
      </c>
    </row>
    <row r="23" spans="1:10" ht="15.75" customHeight="1" x14ac:dyDescent="0.25">
      <c r="A23" s="27" t="s">
        <v>69</v>
      </c>
      <c r="B23" s="28"/>
      <c r="C23" s="28"/>
      <c r="D23" s="28"/>
      <c r="E23" s="28"/>
      <c r="F23" s="61">
        <v>3</v>
      </c>
      <c r="G23" s="28"/>
      <c r="H23" s="29">
        <f t="shared" si="0"/>
        <v>6.9789999999999992</v>
      </c>
      <c r="I23" s="29">
        <f t="shared" si="1"/>
        <v>6.9790000000000001</v>
      </c>
      <c r="J23" s="30">
        <f t="shared" si="2"/>
        <v>13.957999999999998</v>
      </c>
    </row>
    <row r="24" spans="1:10" ht="15.75" customHeight="1" x14ac:dyDescent="0.25">
      <c r="A24" s="27" t="s">
        <v>70</v>
      </c>
      <c r="B24" s="28">
        <v>2.5</v>
      </c>
      <c r="C24" s="28">
        <v>2.5</v>
      </c>
      <c r="D24" s="28"/>
      <c r="E24" s="28"/>
      <c r="F24" s="28"/>
      <c r="G24" s="28"/>
      <c r="H24" s="29">
        <f t="shared" ref="H24:H25" si="3">H23-F24-D24+B24</f>
        <v>9.4789999999999992</v>
      </c>
      <c r="I24" s="29">
        <f t="shared" ref="I24:I25" si="4">I23-E24+C24</f>
        <v>9.4789999999999992</v>
      </c>
      <c r="J24" s="30">
        <f t="shared" ref="J24:J25" si="5">SUM(H24:I24)</f>
        <v>18.957999999999998</v>
      </c>
    </row>
    <row r="25" spans="1:10" ht="15.75" customHeight="1" x14ac:dyDescent="0.25">
      <c r="A25" s="27" t="s">
        <v>71</v>
      </c>
      <c r="B25" s="28"/>
      <c r="C25" s="28"/>
      <c r="D25" s="28"/>
      <c r="E25" s="28"/>
      <c r="F25" s="28"/>
      <c r="G25" s="62">
        <v>3</v>
      </c>
      <c r="H25" s="29">
        <f t="shared" si="3"/>
        <v>9.4789999999999992</v>
      </c>
      <c r="I25" s="29">
        <f t="shared" si="4"/>
        <v>9.4789999999999992</v>
      </c>
      <c r="J25" s="30">
        <f t="shared" si="5"/>
        <v>18.957999999999998</v>
      </c>
    </row>
    <row r="30" spans="1:10" x14ac:dyDescent="0.25">
      <c r="F30" s="31" t="s">
        <v>43</v>
      </c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B71D-6FBA-42C4-894C-EC15E091CCF5}">
  <dimension ref="A1:G21"/>
  <sheetViews>
    <sheetView view="pageBreakPreview" zoomScaleNormal="100" workbookViewId="0">
      <selection activeCell="G15" sqref="G15"/>
    </sheetView>
  </sheetViews>
  <sheetFormatPr defaultColWidth="9" defaultRowHeight="15" x14ac:dyDescent="0.25"/>
  <cols>
    <col min="1" max="1" width="23.5703125" style="16" customWidth="1"/>
    <col min="2" max="2" width="18.85546875" style="16" customWidth="1"/>
    <col min="3" max="3" width="35" style="55" customWidth="1"/>
    <col min="4" max="4" width="11.7109375" style="56" customWidth="1"/>
    <col min="5" max="5" width="11" style="16" customWidth="1"/>
    <col min="6" max="6" width="11.85546875" style="56" customWidth="1"/>
    <col min="7" max="7" width="22" style="16" customWidth="1"/>
    <col min="8" max="16384" width="9" style="16"/>
  </cols>
  <sheetData>
    <row r="1" spans="1:7" s="4" customFormat="1" ht="52.5" customHeight="1" x14ac:dyDescent="0.25">
      <c r="E1" s="15"/>
    </row>
    <row r="2" spans="1:7" s="4" customFormat="1" ht="10.5" customHeight="1" x14ac:dyDescent="0.25">
      <c r="A2" s="81" t="s">
        <v>8</v>
      </c>
      <c r="B2" s="81"/>
      <c r="C2" s="81"/>
      <c r="D2" s="81"/>
      <c r="E2" s="81"/>
      <c r="F2" s="81"/>
      <c r="G2" s="81"/>
    </row>
    <row r="3" spans="1:7" s="4" customFormat="1" ht="15.95" customHeight="1" x14ac:dyDescent="0.25">
      <c r="A3" s="81" t="s">
        <v>9</v>
      </c>
      <c r="B3" s="81"/>
      <c r="C3" s="81"/>
      <c r="D3" s="81"/>
      <c r="E3" s="81"/>
      <c r="F3" s="81"/>
      <c r="G3" s="81"/>
    </row>
    <row r="4" spans="1:7" s="4" customFormat="1" ht="15.95" customHeight="1" x14ac:dyDescent="0.25">
      <c r="A4" s="81" t="s">
        <v>10</v>
      </c>
      <c r="B4" s="81"/>
      <c r="C4" s="81"/>
      <c r="D4" s="81"/>
      <c r="E4" s="81"/>
      <c r="F4" s="81"/>
      <c r="G4" s="81"/>
    </row>
    <row r="5" spans="1:7" s="4" customFormat="1" ht="15.95" customHeight="1" x14ac:dyDescent="0.25">
      <c r="A5" s="81" t="s">
        <v>11</v>
      </c>
      <c r="B5" s="81"/>
      <c r="C5" s="81"/>
      <c r="D5" s="81"/>
      <c r="E5" s="81"/>
      <c r="F5" s="81"/>
      <c r="G5" s="81"/>
    </row>
    <row r="6" spans="1:7" s="4" customFormat="1" ht="8.25" customHeight="1" x14ac:dyDescent="0.25">
      <c r="E6" s="15"/>
    </row>
    <row r="7" spans="1:7" s="4" customFormat="1" ht="8.25" customHeight="1" x14ac:dyDescent="0.25">
      <c r="E7" s="15"/>
    </row>
    <row r="8" spans="1:7" s="4" customFormat="1" ht="17.25" customHeight="1" x14ac:dyDescent="0.25">
      <c r="A8" s="34" t="s">
        <v>55</v>
      </c>
      <c r="B8" s="34"/>
      <c r="C8" s="34" t="s">
        <v>45</v>
      </c>
      <c r="D8" s="35"/>
      <c r="E8" s="34" t="s">
        <v>46</v>
      </c>
      <c r="F8" s="35"/>
      <c r="G8" s="5"/>
    </row>
    <row r="9" spans="1:7" s="4" customFormat="1" ht="12" customHeight="1" x14ac:dyDescent="0.25">
      <c r="A9" s="36"/>
      <c r="B9" s="36"/>
      <c r="C9" s="7"/>
      <c r="E9" s="34" t="s">
        <v>47</v>
      </c>
      <c r="F9" s="37"/>
      <c r="G9" s="7"/>
    </row>
    <row r="10" spans="1:7" s="4" customFormat="1" ht="14.25" customHeight="1" x14ac:dyDescent="0.25">
      <c r="A10" s="34" t="s">
        <v>48</v>
      </c>
      <c r="B10" s="34"/>
      <c r="C10" s="34" t="s">
        <v>49</v>
      </c>
      <c r="D10" s="35"/>
      <c r="E10" s="34" t="s">
        <v>50</v>
      </c>
      <c r="F10" s="35"/>
      <c r="G10" s="5"/>
    </row>
    <row r="11" spans="1:7" s="4" customFormat="1" ht="12" customHeight="1" thickBot="1" x14ac:dyDescent="0.3">
      <c r="A11" s="5"/>
      <c r="B11" s="5"/>
      <c r="C11" s="5"/>
      <c r="F11" s="35"/>
      <c r="G11" s="5"/>
    </row>
    <row r="12" spans="1:7" ht="23.25" customHeight="1" thickBot="1" x14ac:dyDescent="0.3">
      <c r="A12" s="82" t="s">
        <v>51</v>
      </c>
      <c r="B12" s="83"/>
      <c r="C12" s="83"/>
      <c r="D12" s="83"/>
      <c r="E12" s="83"/>
      <c r="F12" s="83"/>
      <c r="G12" s="84"/>
    </row>
    <row r="13" spans="1:7" s="43" customFormat="1" ht="37.5" customHeight="1" thickBot="1" x14ac:dyDescent="0.25">
      <c r="A13" s="38" t="s">
        <v>52</v>
      </c>
      <c r="B13" s="39" t="s">
        <v>53</v>
      </c>
      <c r="C13" s="40" t="s">
        <v>54</v>
      </c>
      <c r="D13" s="40" t="s">
        <v>20</v>
      </c>
      <c r="E13" s="41" t="s">
        <v>21</v>
      </c>
      <c r="F13" s="41" t="s">
        <v>22</v>
      </c>
      <c r="G13" s="42" t="s">
        <v>7</v>
      </c>
    </row>
    <row r="14" spans="1:7" s="43" customFormat="1" ht="24" customHeight="1" x14ac:dyDescent="0.2">
      <c r="A14" s="57" t="s">
        <v>56</v>
      </c>
      <c r="B14" s="49" t="s">
        <v>57</v>
      </c>
      <c r="C14" s="44" t="s">
        <v>58</v>
      </c>
      <c r="D14" s="45">
        <v>9</v>
      </c>
      <c r="E14" s="46">
        <v>4</v>
      </c>
      <c r="F14" s="46">
        <v>5</v>
      </c>
      <c r="G14" s="47">
        <v>5</v>
      </c>
    </row>
    <row r="15" spans="1:7" s="43" customFormat="1" ht="42" customHeight="1" x14ac:dyDescent="0.2">
      <c r="A15" s="48" t="s">
        <v>59</v>
      </c>
      <c r="B15" s="49" t="s">
        <v>60</v>
      </c>
      <c r="C15" s="44" t="s">
        <v>61</v>
      </c>
      <c r="D15" s="45">
        <v>2</v>
      </c>
      <c r="E15" s="46">
        <v>0</v>
      </c>
      <c r="F15" s="46">
        <v>2</v>
      </c>
      <c r="G15" s="47">
        <v>2</v>
      </c>
    </row>
    <row r="16" spans="1:7" s="52" customFormat="1" ht="15.75" x14ac:dyDescent="0.2">
      <c r="A16" s="50"/>
      <c r="B16" s="50"/>
      <c r="C16" s="44"/>
      <c r="D16" s="51"/>
      <c r="E16" s="51"/>
      <c r="F16" s="51"/>
      <c r="G16" s="47"/>
    </row>
    <row r="17" spans="1:7" s="52" customFormat="1" ht="15.75" x14ac:dyDescent="0.2">
      <c r="A17" s="50"/>
      <c r="B17" s="50"/>
      <c r="C17" s="44"/>
      <c r="D17" s="51"/>
      <c r="E17" s="51"/>
      <c r="F17" s="51"/>
      <c r="G17" s="53"/>
    </row>
    <row r="18" spans="1:7" s="52" customFormat="1" ht="15.75" x14ac:dyDescent="0.2">
      <c r="A18" s="78" t="s">
        <v>7</v>
      </c>
      <c r="B18" s="79"/>
      <c r="C18" s="79"/>
      <c r="D18" s="79"/>
      <c r="E18" s="79"/>
      <c r="F18" s="80"/>
      <c r="G18" s="54" t="s">
        <v>62</v>
      </c>
    </row>
    <row r="19" spans="1:7" s="4" customFormat="1" ht="75.75" customHeight="1" x14ac:dyDescent="0.25">
      <c r="A19" s="32"/>
      <c r="B19" s="32"/>
      <c r="G19" s="32"/>
    </row>
    <row r="20" spans="1:7" s="4" customFormat="1" x14ac:dyDescent="0.25"/>
    <row r="21" spans="1:7" s="4" customFormat="1" x14ac:dyDescent="0.25"/>
  </sheetData>
  <mergeCells count="6">
    <mergeCell ref="A18:F18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2"/>
  <sheetViews>
    <sheetView topLeftCell="A7" workbookViewId="0">
      <selection activeCell="L20" sqref="L20"/>
    </sheetView>
  </sheetViews>
  <sheetFormatPr defaultRowHeight="15" x14ac:dyDescent="0.25"/>
  <cols>
    <col min="1" max="1" width="33.5703125" style="16" customWidth="1"/>
    <col min="2" max="8" width="9.140625" style="16"/>
    <col min="9" max="9" width="7.7109375" style="16" customWidth="1"/>
    <col min="10" max="10" width="9.140625" style="16"/>
    <col min="11" max="11" width="6" style="16" customWidth="1"/>
    <col min="12" max="12" width="9.140625" style="16"/>
  </cols>
  <sheetData>
    <row r="1" spans="1:12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100" t="s">
        <v>8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</row>
    <row r="6" spans="1:12" x14ac:dyDescent="0.25">
      <c r="A6" s="100" t="s">
        <v>9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x14ac:dyDescent="0.25">
      <c r="A7" s="100" t="s">
        <v>10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</row>
    <row r="8" spans="1:12" x14ac:dyDescent="0.25">
      <c r="A8" s="100" t="s">
        <v>11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 t="s">
        <v>12</v>
      </c>
      <c r="B10" s="4"/>
      <c r="C10" s="5" t="s">
        <v>13</v>
      </c>
      <c r="D10" s="5"/>
      <c r="E10" s="4"/>
      <c r="F10" s="4"/>
      <c r="G10" s="5" t="s">
        <v>14</v>
      </c>
      <c r="H10" s="6"/>
      <c r="I10" s="4"/>
      <c r="J10" s="4"/>
      <c r="K10" s="4"/>
      <c r="L10" s="4"/>
    </row>
    <row r="11" spans="1:12" x14ac:dyDescent="0.25">
      <c r="A11" s="4"/>
      <c r="B11" s="4"/>
      <c r="C11" s="7"/>
      <c r="D11" s="4"/>
      <c r="E11" s="4"/>
      <c r="F11" s="4"/>
      <c r="G11" s="7"/>
      <c r="H11" s="7"/>
      <c r="I11" s="4"/>
      <c r="J11" s="4"/>
      <c r="K11" s="4"/>
      <c r="L11" s="4"/>
    </row>
    <row r="12" spans="1:12" x14ac:dyDescent="0.25">
      <c r="A12" s="4" t="s">
        <v>15</v>
      </c>
      <c r="B12" s="4"/>
      <c r="C12" s="5" t="s">
        <v>16</v>
      </c>
      <c r="D12" s="5"/>
      <c r="E12" s="4"/>
      <c r="F12" s="4"/>
      <c r="G12" s="5" t="s">
        <v>17</v>
      </c>
      <c r="H12" s="8"/>
      <c r="I12" s="4"/>
      <c r="J12" s="4"/>
      <c r="K12" s="4"/>
      <c r="L12" s="4"/>
    </row>
    <row r="13" spans="1:12" ht="21.75" thickBot="1" x14ac:dyDescent="0.3">
      <c r="A13" s="101" t="s">
        <v>18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</row>
    <row r="14" spans="1:12" x14ac:dyDescent="0.25">
      <c r="A14" s="88" t="s">
        <v>3</v>
      </c>
      <c r="B14" s="90" t="s">
        <v>4</v>
      </c>
      <c r="C14" s="91"/>
      <c r="D14" s="91"/>
      <c r="E14" s="91"/>
      <c r="F14" s="91"/>
      <c r="G14" s="91"/>
      <c r="H14" s="91"/>
      <c r="I14" s="91"/>
      <c r="J14" s="91"/>
      <c r="K14" s="91"/>
      <c r="L14" s="95" t="s">
        <v>7</v>
      </c>
    </row>
    <row r="15" spans="1:12" x14ac:dyDescent="0.25">
      <c r="A15" s="89"/>
      <c r="B15" s="97" t="s">
        <v>19</v>
      </c>
      <c r="C15" s="98"/>
      <c r="D15" s="98"/>
      <c r="E15" s="99"/>
      <c r="F15" s="97" t="s">
        <v>20</v>
      </c>
      <c r="G15" s="99"/>
      <c r="H15" s="97" t="s">
        <v>21</v>
      </c>
      <c r="I15" s="99"/>
      <c r="J15" s="97" t="s">
        <v>22</v>
      </c>
      <c r="K15" s="99"/>
      <c r="L15" s="96"/>
    </row>
    <row r="16" spans="1:12" ht="22.5" customHeight="1" x14ac:dyDescent="0.25">
      <c r="A16" s="9" t="s">
        <v>28</v>
      </c>
      <c r="B16" s="92" t="s">
        <v>29</v>
      </c>
      <c r="C16" s="93"/>
      <c r="D16" s="93"/>
      <c r="E16" s="94"/>
      <c r="F16" s="92">
        <v>9</v>
      </c>
      <c r="G16" s="94"/>
      <c r="H16" s="92">
        <v>0</v>
      </c>
      <c r="I16" s="94"/>
      <c r="J16" s="92">
        <v>9</v>
      </c>
      <c r="K16" s="94"/>
      <c r="L16" s="10">
        <v>9</v>
      </c>
    </row>
    <row r="17" spans="1:12" ht="22.5" customHeight="1" x14ac:dyDescent="0.25">
      <c r="A17" s="9" t="s">
        <v>30</v>
      </c>
      <c r="B17" s="92"/>
      <c r="C17" s="93"/>
      <c r="D17" s="93"/>
      <c r="E17" s="94"/>
      <c r="F17" s="92"/>
      <c r="G17" s="94"/>
      <c r="H17" s="92">
        <v>1</v>
      </c>
      <c r="I17" s="94"/>
      <c r="J17" s="92">
        <v>8</v>
      </c>
      <c r="K17" s="94"/>
      <c r="L17" s="11">
        <v>8</v>
      </c>
    </row>
    <row r="18" spans="1:12" ht="22.5" customHeight="1" x14ac:dyDescent="0.25">
      <c r="A18" s="9" t="s">
        <v>31</v>
      </c>
      <c r="B18" s="92"/>
      <c r="C18" s="93"/>
      <c r="D18" s="93"/>
      <c r="E18" s="94"/>
      <c r="F18" s="92"/>
      <c r="G18" s="94"/>
      <c r="H18" s="92">
        <v>1</v>
      </c>
      <c r="I18" s="94"/>
      <c r="J18" s="92">
        <v>7</v>
      </c>
      <c r="K18" s="94"/>
      <c r="L18" s="11">
        <v>7</v>
      </c>
    </row>
    <row r="19" spans="1:12" ht="22.5" customHeight="1" x14ac:dyDescent="0.25">
      <c r="A19" s="9" t="s">
        <v>32</v>
      </c>
      <c r="B19" s="92"/>
      <c r="C19" s="93"/>
      <c r="D19" s="93"/>
      <c r="E19" s="94"/>
      <c r="F19" s="92"/>
      <c r="G19" s="94"/>
      <c r="H19" s="92">
        <v>1</v>
      </c>
      <c r="I19" s="94"/>
      <c r="J19" s="92">
        <v>6</v>
      </c>
      <c r="K19" s="94"/>
      <c r="L19" s="11">
        <v>6</v>
      </c>
    </row>
    <row r="20" spans="1:12" ht="22.5" customHeight="1" x14ac:dyDescent="0.25">
      <c r="A20" s="9" t="s">
        <v>33</v>
      </c>
      <c r="B20" s="92"/>
      <c r="C20" s="93"/>
      <c r="D20" s="93"/>
      <c r="E20" s="94"/>
      <c r="F20" s="92"/>
      <c r="G20" s="94"/>
      <c r="H20" s="92">
        <v>1</v>
      </c>
      <c r="I20" s="94"/>
      <c r="J20" s="92">
        <v>5</v>
      </c>
      <c r="K20" s="94"/>
      <c r="L20" s="11">
        <v>5</v>
      </c>
    </row>
    <row r="21" spans="1:12" ht="22.5" hidden="1" customHeight="1" x14ac:dyDescent="0.25">
      <c r="A21" s="58" t="s">
        <v>34</v>
      </c>
      <c r="B21" s="85"/>
      <c r="C21" s="86"/>
      <c r="D21" s="86"/>
      <c r="E21" s="87"/>
      <c r="F21" s="85"/>
      <c r="G21" s="87"/>
      <c r="H21" s="85">
        <v>3</v>
      </c>
      <c r="I21" s="87"/>
      <c r="J21" s="85">
        <v>2</v>
      </c>
      <c r="K21" s="87"/>
      <c r="L21" s="59">
        <v>2</v>
      </c>
    </row>
    <row r="22" spans="1:12" ht="22.5" hidden="1" customHeight="1" x14ac:dyDescent="0.25">
      <c r="A22" s="58" t="s">
        <v>35</v>
      </c>
      <c r="B22" s="85"/>
      <c r="C22" s="86"/>
      <c r="D22" s="86"/>
      <c r="E22" s="87"/>
      <c r="F22" s="85"/>
      <c r="G22" s="87"/>
      <c r="H22" s="85">
        <v>1</v>
      </c>
      <c r="I22" s="87"/>
      <c r="J22" s="85">
        <v>1</v>
      </c>
      <c r="K22" s="87"/>
      <c r="L22" s="59">
        <v>1</v>
      </c>
    </row>
    <row r="23" spans="1:12" ht="22.5" hidden="1" customHeight="1" x14ac:dyDescent="0.25">
      <c r="A23" s="58" t="s">
        <v>36</v>
      </c>
      <c r="B23" s="85"/>
      <c r="C23" s="86"/>
      <c r="D23" s="86"/>
      <c r="E23" s="87"/>
      <c r="F23" s="85"/>
      <c r="G23" s="87"/>
      <c r="H23" s="85">
        <v>1</v>
      </c>
      <c r="I23" s="87"/>
      <c r="J23" s="85">
        <v>0</v>
      </c>
      <c r="K23" s="87"/>
      <c r="L23" s="59">
        <v>0</v>
      </c>
    </row>
    <row r="24" spans="1:12" ht="39.75" hidden="1" customHeight="1" x14ac:dyDescent="0.25">
      <c r="A24" s="58" t="s">
        <v>37</v>
      </c>
      <c r="B24" s="85" t="s">
        <v>38</v>
      </c>
      <c r="C24" s="86"/>
      <c r="D24" s="86"/>
      <c r="E24" s="87"/>
      <c r="F24" s="85">
        <v>2</v>
      </c>
      <c r="G24" s="87"/>
      <c r="H24" s="85">
        <v>0</v>
      </c>
      <c r="I24" s="87"/>
      <c r="J24" s="85">
        <v>2</v>
      </c>
      <c r="K24" s="87"/>
      <c r="L24" s="60">
        <v>2</v>
      </c>
    </row>
    <row r="25" spans="1:12" ht="22.5" hidden="1" customHeight="1" x14ac:dyDescent="0.25">
      <c r="A25" s="58" t="s">
        <v>39</v>
      </c>
      <c r="B25" s="85"/>
      <c r="C25" s="86"/>
      <c r="D25" s="86"/>
      <c r="E25" s="87"/>
      <c r="F25" s="85"/>
      <c r="G25" s="87"/>
      <c r="H25" s="85">
        <v>1</v>
      </c>
      <c r="I25" s="87"/>
      <c r="J25" s="85">
        <v>1</v>
      </c>
      <c r="K25" s="87"/>
      <c r="L25" s="60">
        <v>1</v>
      </c>
    </row>
    <row r="26" spans="1:12" x14ac:dyDescent="0.25">
      <c r="A26" s="12" t="s">
        <v>23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x14ac:dyDescent="0.25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</row>
    <row r="28" spans="1:12" x14ac:dyDescent="0.25">
      <c r="C28" s="15"/>
      <c r="D28" s="4"/>
      <c r="E28" s="4"/>
      <c r="F28" s="4"/>
      <c r="G28" s="4" t="s">
        <v>24</v>
      </c>
      <c r="H28" s="4"/>
      <c r="I28" s="4"/>
      <c r="J28" s="4"/>
      <c r="K28" s="4"/>
      <c r="L28" s="4"/>
    </row>
    <row r="29" spans="1:12" x14ac:dyDescent="0.25">
      <c r="C29" s="15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G30" s="18" t="s">
        <v>25</v>
      </c>
      <c r="H30" s="17"/>
    </row>
    <row r="31" spans="1:12" x14ac:dyDescent="0.25">
      <c r="G31" s="16" t="s">
        <v>26</v>
      </c>
    </row>
    <row r="32" spans="1:12" x14ac:dyDescent="0.25">
      <c r="G32" s="102" t="s">
        <v>27</v>
      </c>
      <c r="H32" s="102"/>
    </row>
  </sheetData>
  <mergeCells count="54">
    <mergeCell ref="F24:G24"/>
    <mergeCell ref="H24:I24"/>
    <mergeCell ref="J24:K24"/>
    <mergeCell ref="B25:E25"/>
    <mergeCell ref="F25:G25"/>
    <mergeCell ref="H25:I25"/>
    <mergeCell ref="J25:K25"/>
    <mergeCell ref="G32:H32"/>
    <mergeCell ref="A27:L27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B24:E24"/>
    <mergeCell ref="J21:K21"/>
    <mergeCell ref="B22:E22"/>
    <mergeCell ref="F22:G22"/>
    <mergeCell ref="H22:I22"/>
    <mergeCell ref="J22:K22"/>
    <mergeCell ref="A5:L5"/>
    <mergeCell ref="A6:L6"/>
    <mergeCell ref="A7:L7"/>
    <mergeCell ref="A8:L8"/>
    <mergeCell ref="A13:L13"/>
    <mergeCell ref="L14:L15"/>
    <mergeCell ref="B15:E15"/>
    <mergeCell ref="F15:G15"/>
    <mergeCell ref="H15:I15"/>
    <mergeCell ref="J15:K15"/>
    <mergeCell ref="B23:E23"/>
    <mergeCell ref="F23:G23"/>
    <mergeCell ref="H23:I23"/>
    <mergeCell ref="J23:K23"/>
    <mergeCell ref="A14:A15"/>
    <mergeCell ref="B14:K14"/>
    <mergeCell ref="B16:E16"/>
    <mergeCell ref="F16:G16"/>
    <mergeCell ref="H16:I16"/>
    <mergeCell ref="J16:K16"/>
    <mergeCell ref="F20:G20"/>
    <mergeCell ref="H20:I20"/>
    <mergeCell ref="J20:K20"/>
    <mergeCell ref="B21:E21"/>
    <mergeCell ref="F21:G21"/>
    <mergeCell ref="H21:I21"/>
  </mergeCells>
  <phoneticPr fontId="8" type="noConversion"/>
  <pageMargins left="0.7" right="0.7" top="0.75" bottom="0.75" header="0.3" footer="0.3"/>
  <pageSetup paperSize="9" scale="6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(NE)</vt:lpstr>
      <vt:lpstr>Election &amp; NLC</vt:lpstr>
      <vt:lpstr>CTO</vt:lpstr>
      <vt:lpstr>'Election &amp; NLC'!Print_Area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2025-03-14T06:02:45Z</cp:lastPrinted>
  <dcterms:created xsi:type="dcterms:W3CDTF">2021-10-07T06:10:16Z</dcterms:created>
  <dcterms:modified xsi:type="dcterms:W3CDTF">2025-05-29T05:54:12Z</dcterms:modified>
</cp:coreProperties>
</file>