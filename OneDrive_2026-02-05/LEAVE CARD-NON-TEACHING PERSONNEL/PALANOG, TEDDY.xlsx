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BFCDFFEC-6C73-42BC-A650-222B880EF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</sheets>
  <definedNames>
    <definedName name="_xlnm.Print_Area" localSheetId="0">'Leave Card (NE)'!$A$1:$J$104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8" i="6" s="1"/>
  <c r="I79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H13" i="6"/>
  <c r="H14" i="6" l="1"/>
  <c r="H15" i="6" s="1"/>
  <c r="H16" i="6" s="1"/>
  <c r="J15" i="6" l="1"/>
  <c r="J14" i="6"/>
  <c r="H17" i="6"/>
  <c r="H18" i="6" s="1"/>
  <c r="J16" i="6"/>
  <c r="J13" i="6"/>
  <c r="H19" i="6" l="1"/>
  <c r="J18" i="6"/>
  <c r="J17" i="6"/>
  <c r="H20" i="6" l="1"/>
  <c r="J19" i="6"/>
  <c r="H21" i="6" l="1"/>
  <c r="J20" i="6"/>
  <c r="J21" i="6" l="1"/>
  <c r="H22" i="6"/>
  <c r="J22" i="6" l="1"/>
  <c r="H23" i="6"/>
  <c r="H24" i="6" l="1"/>
  <c r="J23" i="6"/>
  <c r="H25" i="6" l="1"/>
  <c r="J24" i="6"/>
  <c r="J25" i="6" l="1"/>
  <c r="H26" i="6"/>
  <c r="H27" i="6" l="1"/>
  <c r="J26" i="6"/>
  <c r="J27" i="6" l="1"/>
  <c r="H28" i="6"/>
  <c r="H29" i="6" l="1"/>
  <c r="J28" i="6"/>
  <c r="J29" i="6" l="1"/>
  <c r="H30" i="6"/>
  <c r="J30" i="6" l="1"/>
  <c r="H31" i="6"/>
  <c r="H32" i="6" l="1"/>
  <c r="J31" i="6"/>
  <c r="J32" i="6" l="1"/>
  <c r="H33" i="6"/>
  <c r="H34" i="6" l="1"/>
  <c r="J33" i="6"/>
  <c r="J34" i="6" l="1"/>
  <c r="H35" i="6"/>
  <c r="H36" i="6" l="1"/>
  <c r="J35" i="6"/>
  <c r="J36" i="6" l="1"/>
  <c r="H37" i="6"/>
  <c r="H38" i="6" l="1"/>
  <c r="J37" i="6"/>
  <c r="H39" i="6" l="1"/>
  <c r="J38" i="6"/>
  <c r="J39" i="6" l="1"/>
  <c r="H40" i="6"/>
  <c r="J40" i="6" l="1"/>
  <c r="H41" i="6"/>
  <c r="H42" i="6" l="1"/>
  <c r="J41" i="6"/>
  <c r="H43" i="6" l="1"/>
  <c r="J42" i="6"/>
  <c r="H44" i="6" l="1"/>
  <c r="J43" i="6"/>
  <c r="J44" i="6" l="1"/>
  <c r="H45" i="6"/>
  <c r="J45" i="6" l="1"/>
  <c r="H46" i="6"/>
  <c r="J46" i="6" l="1"/>
  <c r="H47" i="6"/>
  <c r="J47" i="6" l="1"/>
  <c r="H48" i="6"/>
  <c r="J48" i="6" l="1"/>
  <c r="H49" i="6"/>
  <c r="H50" i="6" l="1"/>
  <c r="J49" i="6"/>
  <c r="H51" i="6" l="1"/>
  <c r="J50" i="6"/>
  <c r="J51" i="6" l="1"/>
  <c r="H52" i="6"/>
  <c r="H53" i="6" l="1"/>
  <c r="J52" i="6"/>
  <c r="J53" i="6" l="1"/>
  <c r="H54" i="6"/>
  <c r="H55" i="6" l="1"/>
  <c r="J54" i="6"/>
  <c r="J55" i="6" l="1"/>
  <c r="H56" i="6"/>
  <c r="H57" i="6" l="1"/>
  <c r="J56" i="6"/>
  <c r="H58" i="6" l="1"/>
  <c r="J57" i="6"/>
  <c r="H59" i="6" l="1"/>
  <c r="J58" i="6"/>
  <c r="J59" i="6" l="1"/>
  <c r="H60" i="6"/>
  <c r="J60" i="6" l="1"/>
  <c r="H61" i="6"/>
  <c r="H62" i="6" l="1"/>
  <c r="J61" i="6"/>
  <c r="H63" i="6" l="1"/>
  <c r="J62" i="6"/>
  <c r="H64" i="6" l="1"/>
  <c r="J63" i="6"/>
  <c r="J64" i="6" l="1"/>
  <c r="H65" i="6"/>
  <c r="J65" i="6" l="1"/>
  <c r="H66" i="6"/>
  <c r="J66" i="6" l="1"/>
  <c r="H67" i="6"/>
  <c r="J67" i="6" l="1"/>
  <c r="H68" i="6"/>
  <c r="H69" i="6" l="1"/>
  <c r="J68" i="6"/>
  <c r="H70" i="6" l="1"/>
  <c r="J69" i="6"/>
  <c r="J70" i="6" l="1"/>
  <c r="H71" i="6"/>
  <c r="J71" i="6" l="1"/>
  <c r="H72" i="6"/>
  <c r="J72" i="6" l="1"/>
  <c r="H73" i="6"/>
  <c r="J73" i="6" l="1"/>
  <c r="H74" i="6"/>
  <c r="H75" i="6" l="1"/>
  <c r="J74" i="6"/>
  <c r="H76" i="6" l="1"/>
  <c r="J75" i="6"/>
  <c r="J76" i="6" l="1"/>
  <c r="H78" i="6"/>
  <c r="J78" i="6" l="1"/>
  <c r="H79" i="6"/>
  <c r="H81" i="6" l="1"/>
  <c r="J79" i="6"/>
  <c r="J81" i="6" l="1"/>
  <c r="H82" i="6"/>
  <c r="J82" i="6" l="1"/>
  <c r="H83" i="6"/>
  <c r="J83" i="6" l="1"/>
  <c r="H84" i="6"/>
  <c r="H85" i="6" l="1"/>
  <c r="J84" i="6"/>
  <c r="J85" i="6" l="1"/>
  <c r="H86" i="6"/>
  <c r="H87" i="6" l="1"/>
  <c r="J86" i="6"/>
  <c r="J87" i="6" l="1"/>
  <c r="H88" i="6"/>
  <c r="J88" i="6" l="1"/>
  <c r="H89" i="6"/>
  <c r="J89" i="6" l="1"/>
  <c r="H90" i="6"/>
  <c r="J90" i="6" l="1"/>
  <c r="H91" i="6"/>
  <c r="J91" i="6" l="1"/>
  <c r="H92" i="6"/>
  <c r="J92" i="6" l="1"/>
  <c r="H93" i="6"/>
  <c r="J93" i="6" l="1"/>
  <c r="H94" i="6"/>
  <c r="J94" i="6" l="1"/>
  <c r="H95" i="6"/>
  <c r="J95" i="6" l="1"/>
  <c r="H96" i="6"/>
  <c r="H97" i="6" l="1"/>
  <c r="J96" i="6"/>
  <c r="J97" i="6" l="1"/>
  <c r="H98" i="6"/>
  <c r="J98" i="6" s="1"/>
</calcChain>
</file>

<file path=xl/sharedStrings.xml><?xml version="1.0" encoding="utf-8"?>
<sst xmlns="http://schemas.openxmlformats.org/spreadsheetml/2006/main" count="115" uniqueCount="111">
  <si>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</si>
  <si>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</si>
  <si>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</si>
  <si>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</si>
  <si>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</si>
  <si>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</si>
  <si>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</si>
  <si>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</si>
  <si>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</si>
  <si>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</si>
  <si>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</si>
  <si>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</si>
  <si>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LESS: 01/17, 18, 19 &amp; 20/22</t>
  </si>
  <si>
    <t>LESS: 01/31/2022</t>
  </si>
  <si>
    <t>ADD: 03/01/22 - 03/31/22</t>
  </si>
  <si>
    <t>LESS: 03/30/22 &amp; 04/01/22</t>
  </si>
  <si>
    <t>LESS: 04/05/2022</t>
  </si>
  <si>
    <t>LESS: 05/31/2022</t>
  </si>
  <si>
    <t>LESS: 05/31 - 06/01, 02 &amp; 03/2022</t>
  </si>
  <si>
    <t>LESS: 06/24/22</t>
  </si>
  <si>
    <t>ADD: 06/01/22  - 06/30/22</t>
  </si>
  <si>
    <t>LESS: 07/15/2022</t>
  </si>
  <si>
    <t>ADD: 07/01/22  - 08/31/22</t>
  </si>
  <si>
    <t>LESS: 09/06/2022</t>
  </si>
  <si>
    <t>LESS: 09/07, 08 &amp; 09/2022</t>
  </si>
  <si>
    <t>LESS: MONETIZATION 2022</t>
  </si>
  <si>
    <t>LESS: 09/16/2022</t>
  </si>
  <si>
    <t>ADD: 09/01/22  - 10/31/22</t>
  </si>
  <si>
    <t>LESS: 11/11/2022</t>
  </si>
  <si>
    <t>LESS: 11/18/2022</t>
  </si>
  <si>
    <t>ADD: 11/01/22  - 12/31/22</t>
  </si>
  <si>
    <t>LESS: 12/23/2022</t>
  </si>
  <si>
    <t>LESS: 12/29/2022</t>
  </si>
  <si>
    <t>LESS: 01/27/2023</t>
  </si>
  <si>
    <t>ADD: 01/01/23  - 01/31/23</t>
  </si>
  <si>
    <t>LESS: 01/9, 10, 11, 12 &amp; 13/2023</t>
  </si>
  <si>
    <t>LESS: 01/16/2023</t>
  </si>
  <si>
    <t>ADD: 02/01/23  - 02/28/23</t>
  </si>
  <si>
    <t>LESS: 02/20, 21, 22 &amp; 23/2023</t>
  </si>
  <si>
    <t>ADD: 03/01/23  - 03/31/23</t>
  </si>
  <si>
    <t>LESS: 02/27 &amp; 28/2023</t>
  </si>
  <si>
    <t>LESS: 04/11- 14/2023</t>
  </si>
  <si>
    <t>LESS: 03/15 &amp; 17/2023</t>
  </si>
  <si>
    <t>LESS: 03/1 - 3/2023</t>
  </si>
  <si>
    <t>ADD: 04/01/23  - 04/30/23</t>
  </si>
  <si>
    <t>LESS: 05/22-26/2023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</si>
  <si>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</si>
  <si>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</si>
  <si>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</si>
  <si>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</si>
  <si>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</si>
  <si>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</si>
  <si>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</si>
  <si>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</si>
  <si>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</si>
  <si>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04/01/2019 - 12/31/2019</t>
  </si>
  <si>
    <t>ADD: 03/27/2019 - 03/31/2019</t>
  </si>
  <si>
    <t>LESS: 09/18 - 20/2019</t>
  </si>
  <si>
    <t>ADD: 01/01/2020 - 12/31/2020</t>
  </si>
  <si>
    <t>LESS: 01/02 &amp; 03/2020</t>
  </si>
  <si>
    <t>LESS: 02/24/2020</t>
  </si>
  <si>
    <t>ADD: 01/01/2021 - 12/31/2021</t>
  </si>
  <si>
    <t>LESS: 12/28 - 29/2020</t>
  </si>
  <si>
    <t>LESS: 01/04 -08/2021</t>
  </si>
  <si>
    <t>LESS: 04/29 - 30/2021</t>
  </si>
  <si>
    <t>LESS: 05/29 - 30/2021</t>
  </si>
  <si>
    <t>LESS: 11/16/2021</t>
  </si>
  <si>
    <t>LESS: 09/1,6,10,13-17, 20-23, 27-29/2021</t>
  </si>
  <si>
    <t>LESS: MONETIZATION 2021</t>
  </si>
  <si>
    <t>LESS: 11/04, 06, 07 &amp; 08/2019</t>
  </si>
  <si>
    <t>LESS: 12/23, 26 &amp; 27/2019</t>
  </si>
  <si>
    <t>ADD: 05/01/23  - 07/31/23</t>
  </si>
  <si>
    <t>Certified Correct:</t>
  </si>
  <si>
    <t>MA. LUISA B. CATIGAN</t>
  </si>
  <si>
    <t>Administrative Officer IV</t>
  </si>
  <si>
    <t>ADD: 08/01-31/2023</t>
  </si>
  <si>
    <t>LESS: 09/12-13/2023</t>
  </si>
  <si>
    <t>ADD: 09/01/2023-10/31/2023</t>
  </si>
  <si>
    <t>ADD: 11/01/2023-11/15/2023</t>
  </si>
  <si>
    <t>LESS: 08/1-4,7-8,18/2023</t>
  </si>
  <si>
    <t>LESS: 08/25,29,30,31/2023</t>
  </si>
  <si>
    <t>ADD: 11/16/2023-11/30/2023</t>
  </si>
  <si>
    <t>ADD: 12/01/2023-12/31/2023</t>
  </si>
  <si>
    <t>LESS: 11/3,20,21,22/2023</t>
  </si>
  <si>
    <t>ADD: 01/01/2024-01/31/2024</t>
  </si>
  <si>
    <t>LESS: 02/08/2024</t>
  </si>
  <si>
    <t>ADD: 02/01/2024-02/29/2024</t>
  </si>
  <si>
    <t>LESS: 01/03/2024</t>
  </si>
  <si>
    <t>LESS: 01/02/2024</t>
  </si>
  <si>
    <t>ADD: 03/1-31/2024</t>
  </si>
  <si>
    <t>LESS: 04/08/2024</t>
  </si>
  <si>
    <t>LESS: FL 2023</t>
  </si>
  <si>
    <t>ADD: 04/1/2024-08/31/2024</t>
  </si>
  <si>
    <t>LESS: MANDATORY FL 2019</t>
  </si>
  <si>
    <t>ADD: 01/01/22 - 02/28/22</t>
  </si>
  <si>
    <t>ADD: 04/01/22  - 05/31/22</t>
  </si>
  <si>
    <t xml:space="preserve">               HRMO</t>
  </si>
  <si>
    <t>LESS: 02/19, 20, 22, 23/2024</t>
  </si>
  <si>
    <t>LESS: 03/04, 11, 22/2024</t>
  </si>
  <si>
    <t>LESS: 04/1-2/2024</t>
  </si>
  <si>
    <t>LESS: 04/15, 16, 25, 26/2024</t>
  </si>
  <si>
    <t>LESS: 04/29-30/2024</t>
  </si>
  <si>
    <t>LESS: 06/3 &amp; 10/2024</t>
  </si>
  <si>
    <t>LESS: 06/24/2024</t>
  </si>
  <si>
    <t>LESS: 07/1-2/2024</t>
  </si>
  <si>
    <t>LESS: 07/3-4/2024</t>
  </si>
  <si>
    <t>LEAVE WITHOUT PAY 07/5, 12, 15, 16, 17, 18, 19/2024 (7 DAYS)</t>
  </si>
  <si>
    <t>LEAVE WITHOUT PAY 08/2,5, 12 &amp; 30/2024     (4 DAYS)</t>
  </si>
  <si>
    <t>LEAVE WITHOUT PAY 12/18, 22, 27, 28 &amp; 29/2023         (5 DAYS)</t>
  </si>
  <si>
    <t>LEAVE WITHOUT PAY 01/4-5/2024    (2 DAYS)</t>
  </si>
  <si>
    <t>LEAVE WITHOUT PAY 10/2,6,9 &amp; 23/2023           (4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</si>
</sst>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3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7" borderId="1" xfId="0" applyNumberForma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4" fillId="0" borderId="13" xfId="0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0" fontId="8" fillId="2" borderId="0" xfId="0" applyFont="1" applyFill="1"/>
    <xf numFmtId="164" fontId="0" fillId="8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215901</xdr:colOff>
      <xdr:row>0</xdr:row>
      <xdr:rowOff>53975</xdr:rowOff>
    </xdr:from>
    <xdr:to>
      <xdr:col>4</xdr:col>
      <xdr:colOff>95250</xdr:colOff>
      <xdr:row>0</xdr:row>
      <xdr:rowOff>657225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4526" y="53975"/>
          <a:ext cx="650874" cy="6032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840642</xdr:colOff>
      <xdr:row>4</xdr:row>
      <xdr:rowOff>145561</xdr:rowOff>
    </xdr:from>
    <xdr:to>
      <xdr:col>1</xdr:col>
      <xdr:colOff>30041</xdr:colOff>
      <xdr:row>6</xdr:row>
      <xdr:rowOff>90610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7B58E4-1F95-4E5F-9B85-4817DAB3864C}"/>
            </a:ext>
          </a:extLst>
        </xdr:cNvPr>
        <xdr:cNvSpPr txBox="1"/>
      </xdr:nvSpPr>
      <xdr:spPr>
        <a:xfrm>
          <a:off x="840642" y="13520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PALANOG, TEDDY P.</a:t>
          </a:r>
        </a:p>
      </xdr:txBody>
    </xdr:sp>
    <xdr:clientData/>
  </xdr:twoCellAnchor>
  <xdr:twoCellAnchor>
    <xdr:from>
      <xdr:col>0</xdr:col>
      <xdr:colOff>832583</xdr:colOff>
      <xdr:row>7</xdr:row>
      <xdr:rowOff>35657</xdr:rowOff>
    </xdr:from>
    <xdr:to>
      <xdr:col>1</xdr:col>
      <xdr:colOff>161682</xdr:colOff>
      <xdr:row>8</xdr:row>
      <xdr:rowOff>133105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08D4DD2-BDE0-4CC5-BD81-D781B65669A8}"/>
            </a:ext>
          </a:extLst>
        </xdr:cNvPr>
        <xdr:cNvSpPr txBox="1"/>
      </xdr:nvSpPr>
      <xdr:spPr>
        <a:xfrm>
          <a:off x="832583" y="16993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ENGINEER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C398F3-E441-44B4-8598-1A3DB29203DE}"/>
            </a:ext>
          </a:extLst>
        </xdr:cNvPr>
        <xdr:cNvSpPr txBox="1"/>
      </xdr:nvSpPr>
      <xdr:spPr>
        <a:xfrm>
          <a:off x="3831493" y="1706441"/>
          <a:ext cx="16624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7"/>
  <sheetViews>
    <sheetView tabSelected="1" view="pageBreakPreview" topLeftCell="A52" zoomScaleNormal="100" zoomScaleSheetLayoutView="100" workbookViewId="0">
      <selection activeCell="A77" sqref="A77"/>
    </sheetView>
  </sheetViews>
  <sheetFormatPr defaultRowHeight="15" x14ac:dyDescent="0.25"/>
  <cols>
    <col min="1" max="1" width="40.42578125" customWidth="1"/>
    <col min="2" max="10" width="11.5703125" customWidth="1"/>
    <col min="11" max="11" width="26.42578125" style="8" customWidth="1"/>
  </cols>
  <sheetData>
    <row r="1" spans="1:11" s="1" customFormat="1" ht="52.5" customHeight="1" x14ac:dyDescent="0.25">
      <c r="A1" s="14"/>
    </row>
    <row r="2" spans="1:11" s="1" customFormat="1" ht="10.5" customHeight="1" x14ac:dyDescent="0.25">
      <c r="A2" s="36" t="s">
        <v>47</v>
      </c>
      <c r="B2" s="36"/>
      <c r="C2" s="36"/>
      <c r="D2" s="36"/>
      <c r="E2" s="36"/>
      <c r="F2" s="36"/>
      <c r="G2" s="36"/>
      <c r="H2" s="36"/>
      <c r="I2" s="36"/>
      <c r="J2" s="36"/>
    </row>
    <row r="3" spans="1:11" s="1" customFormat="1" ht="15.95" customHeight="1" x14ac:dyDescent="0.25">
      <c r="A3" s="36" t="s">
        <v>48</v>
      </c>
      <c r="B3" s="36"/>
      <c r="C3" s="36"/>
      <c r="D3" s="36"/>
      <c r="E3" s="36"/>
      <c r="F3" s="36"/>
      <c r="G3" s="36"/>
      <c r="H3" s="36"/>
      <c r="I3" s="36"/>
      <c r="J3" s="36"/>
    </row>
    <row r="4" spans="1:11" s="1" customFormat="1" ht="15.95" customHeight="1" x14ac:dyDescent="0.25">
      <c r="A4" s="36" t="s">
        <v>49</v>
      </c>
      <c r="B4" s="36"/>
      <c r="C4" s="36"/>
      <c r="D4" s="36"/>
      <c r="E4" s="36"/>
      <c r="F4" s="36"/>
      <c r="G4" s="36"/>
      <c r="H4" s="36"/>
      <c r="I4" s="36"/>
      <c r="J4" s="36"/>
    </row>
    <row r="5" spans="1:11" s="1" customFormat="1" ht="15.95" customHeight="1" x14ac:dyDescent="0.25">
      <c r="A5" s="36" t="s">
        <v>50</v>
      </c>
      <c r="B5" s="36"/>
      <c r="C5" s="36"/>
      <c r="D5" s="36"/>
      <c r="E5" s="36"/>
      <c r="F5" s="36"/>
      <c r="G5" s="36"/>
      <c r="H5" s="36"/>
      <c r="I5" s="36"/>
      <c r="J5" s="36"/>
    </row>
    <row r="6" spans="1:11" s="1" customFormat="1" ht="8.25" customHeight="1" x14ac:dyDescent="0.25">
      <c r="A6" s="14"/>
    </row>
    <row r="7" spans="1:11" s="1" customFormat="1" ht="12" customHeight="1" x14ac:dyDescent="0.25">
      <c r="A7" s="14" t="s">
        <v>51</v>
      </c>
      <c r="B7" s="34" t="s">
        <v>52</v>
      </c>
      <c r="C7" s="34"/>
      <c r="D7" s="34"/>
      <c r="H7" s="6" t="s">
        <v>9</v>
      </c>
      <c r="I7" s="11"/>
      <c r="J7" s="6"/>
    </row>
    <row r="8" spans="1:11" s="1" customFormat="1" ht="12" customHeight="1" x14ac:dyDescent="0.25">
      <c r="A8" s="14"/>
      <c r="B8" s="3"/>
      <c r="C8" s="3"/>
      <c r="H8" s="3"/>
      <c r="I8" s="3"/>
      <c r="J8" s="3"/>
    </row>
    <row r="9" spans="1:11" s="1" customFormat="1" ht="12" customHeight="1" x14ac:dyDescent="0.25">
      <c r="A9" s="14" t="s">
        <v>53</v>
      </c>
      <c r="B9" s="34" t="s">
        <v>54</v>
      </c>
      <c r="C9" s="34"/>
      <c r="D9" s="34"/>
      <c r="H9" s="6" t="s">
        <v>10</v>
      </c>
      <c r="I9" s="7"/>
      <c r="J9" s="6"/>
    </row>
    <row r="10" spans="1:11" ht="16.5" customHeight="1" thickBot="1" x14ac:dyDescent="0.3">
      <c r="A10" s="35" t="s">
        <v>0</v>
      </c>
      <c r="B10" s="35"/>
      <c r="C10" s="35"/>
      <c r="D10" s="35"/>
      <c r="E10" s="35"/>
      <c r="F10" s="35"/>
      <c r="G10" s="35"/>
      <c r="H10" s="35"/>
      <c r="I10" s="35"/>
      <c r="J10" s="35"/>
      <c r="K10"/>
    </row>
    <row r="11" spans="1:11" ht="18.75" customHeight="1" x14ac:dyDescent="0.25">
      <c r="A11" s="43" t="s">
        <v>4</v>
      </c>
      <c r="B11" s="38" t="s">
        <v>5</v>
      </c>
      <c r="C11" s="38"/>
      <c r="D11" s="39" t="s">
        <v>6</v>
      </c>
      <c r="E11" s="40"/>
      <c r="F11" s="40"/>
      <c r="G11" s="41"/>
      <c r="H11" s="42" t="s">
        <v>7</v>
      </c>
      <c r="I11" s="42"/>
      <c r="J11" s="45" t="s">
        <v>8</v>
      </c>
      <c r="K11" s="37" t="s">
        <v>11</v>
      </c>
    </row>
    <row r="12" spans="1:11" ht="18.75" customHeight="1" x14ac:dyDescent="0.25">
      <c r="A12" s="44"/>
      <c r="B12" s="5" t="s">
        <v>1</v>
      </c>
      <c r="C12" s="5" t="s">
        <v>2</v>
      </c>
      <c r="D12" s="5" t="s">
        <v>1</v>
      </c>
      <c r="E12" s="5" t="s">
        <v>2</v>
      </c>
      <c r="F12" s="5" t="s">
        <v>3</v>
      </c>
      <c r="G12" s="5" t="s">
        <v>46</v>
      </c>
      <c r="H12" s="5" t="s">
        <v>1</v>
      </c>
      <c r="I12" s="5" t="s">
        <v>2</v>
      </c>
      <c r="J12" s="46"/>
      <c r="K12" s="37"/>
    </row>
    <row r="13" spans="1:11" ht="18.75" customHeight="1" x14ac:dyDescent="0.25">
      <c r="A13" s="10" t="s">
        <v>56</v>
      </c>
      <c r="B13" s="2">
        <v>0.20799999999999999</v>
      </c>
      <c r="C13" s="2">
        <v>0.20799999999999999</v>
      </c>
      <c r="D13" s="2"/>
      <c r="E13" s="2"/>
      <c r="F13" s="2"/>
      <c r="G13" s="2"/>
      <c r="H13" s="2">
        <f>B13</f>
        <v>0.20799999999999999</v>
      </c>
      <c r="I13" s="2">
        <f>C13</f>
        <v>0.20799999999999999</v>
      </c>
      <c r="J13" s="4">
        <f>SUM(H13:I13)</f>
        <v>0.41599999999999998</v>
      </c>
    </row>
    <row r="14" spans="1:11" ht="18.75" customHeight="1" x14ac:dyDescent="0.25">
      <c r="A14" s="10" t="s">
        <v>55</v>
      </c>
      <c r="B14" s="2">
        <f>9*1.25</f>
        <v>11.25</v>
      </c>
      <c r="C14" s="2">
        <v>11.25</v>
      </c>
      <c r="D14" s="2"/>
      <c r="E14" s="2"/>
      <c r="F14" s="2"/>
      <c r="G14" s="2"/>
      <c r="H14" s="2">
        <f>H13-F14-D14+B14</f>
        <v>11.458</v>
      </c>
      <c r="I14" s="2">
        <f>I13-E14+C14</f>
        <v>11.458</v>
      </c>
      <c r="J14" s="4">
        <f>SUM(H14:I14)</f>
        <v>22.916</v>
      </c>
    </row>
    <row r="15" spans="1:11" ht="18.75" customHeight="1" x14ac:dyDescent="0.25">
      <c r="A15" s="10" t="s">
        <v>57</v>
      </c>
      <c r="B15" s="2"/>
      <c r="C15" s="2"/>
      <c r="D15" s="2"/>
      <c r="E15" s="2">
        <v>3</v>
      </c>
      <c r="F15" s="2"/>
      <c r="G15" s="2"/>
      <c r="H15" s="2">
        <f t="shared" ref="H15:H17" si="0">H14-F15-D15+B15</f>
        <v>11.458</v>
      </c>
      <c r="I15" s="2">
        <f t="shared" ref="I15:I17" si="1">I14-E15+C15</f>
        <v>8.4580000000000002</v>
      </c>
      <c r="J15" s="4">
        <f t="shared" ref="J15:J17" si="2">SUM(H15:I15)</f>
        <v>19.916</v>
      </c>
    </row>
    <row r="16" spans="1:11" ht="18.75" customHeight="1" x14ac:dyDescent="0.25">
      <c r="A16" s="10" t="s">
        <v>69</v>
      </c>
      <c r="B16" s="2"/>
      <c r="C16" s="2"/>
      <c r="D16" s="2"/>
      <c r="E16" s="2"/>
      <c r="F16" s="2">
        <v>4</v>
      </c>
      <c r="G16" s="2"/>
      <c r="H16" s="2">
        <f t="shared" si="0"/>
        <v>7.4580000000000002</v>
      </c>
      <c r="I16" s="2">
        <f t="shared" si="1"/>
        <v>8.4580000000000002</v>
      </c>
      <c r="J16" s="4">
        <f t="shared" si="2"/>
        <v>15.916</v>
      </c>
    </row>
    <row r="17" spans="1:10" ht="18.75" customHeight="1" x14ac:dyDescent="0.25">
      <c r="A17" s="10" t="s">
        <v>70</v>
      </c>
      <c r="B17" s="2"/>
      <c r="C17" s="2"/>
      <c r="D17" s="2"/>
      <c r="E17" s="2">
        <v>3</v>
      </c>
      <c r="F17" s="2"/>
      <c r="G17" s="2"/>
      <c r="H17" s="2">
        <f t="shared" si="0"/>
        <v>7.4580000000000002</v>
      </c>
      <c r="I17" s="2">
        <f t="shared" si="1"/>
        <v>5.4580000000000002</v>
      </c>
      <c r="J17" s="4">
        <f t="shared" si="2"/>
        <v>12.916</v>
      </c>
    </row>
    <row r="18" spans="1:10" ht="18.75" customHeight="1" x14ac:dyDescent="0.25">
      <c r="A18" s="10" t="s">
        <v>93</v>
      </c>
      <c r="B18" s="2"/>
      <c r="C18" s="2"/>
      <c r="D18" s="2"/>
      <c r="E18" s="2"/>
      <c r="F18" s="2">
        <v>1</v>
      </c>
      <c r="G18" s="2"/>
      <c r="H18" s="2">
        <f t="shared" ref="H18:H83" si="3">H17-F18-D18+B18</f>
        <v>6.4580000000000002</v>
      </c>
      <c r="I18" s="2">
        <f t="shared" ref="I18:I83" si="4">I17-E18+C18</f>
        <v>5.4580000000000002</v>
      </c>
      <c r="J18" s="4">
        <f t="shared" ref="J18:J83" si="5">SUM(H18:I18)</f>
        <v>11.916</v>
      </c>
    </row>
    <row r="19" spans="1:10" ht="18.75" customHeight="1" x14ac:dyDescent="0.25">
      <c r="A19" s="10" t="s">
        <v>58</v>
      </c>
      <c r="B19" s="2">
        <v>15</v>
      </c>
      <c r="C19" s="2">
        <v>15</v>
      </c>
      <c r="D19" s="2"/>
      <c r="E19" s="2"/>
      <c r="F19" s="2"/>
      <c r="G19" s="2"/>
      <c r="H19" s="2">
        <f t="shared" si="3"/>
        <v>21.457999999999998</v>
      </c>
      <c r="I19" s="2">
        <f t="shared" si="4"/>
        <v>20.457999999999998</v>
      </c>
      <c r="J19" s="4">
        <f t="shared" si="5"/>
        <v>41.915999999999997</v>
      </c>
    </row>
    <row r="20" spans="1:10" ht="18.75" customHeight="1" x14ac:dyDescent="0.25">
      <c r="A20" s="10" t="s">
        <v>59</v>
      </c>
      <c r="B20" s="2"/>
      <c r="C20" s="2"/>
      <c r="D20" s="2"/>
      <c r="E20" s="2"/>
      <c r="F20" s="2">
        <v>2</v>
      </c>
      <c r="G20" s="2"/>
      <c r="H20" s="2">
        <f t="shared" si="3"/>
        <v>19.457999999999998</v>
      </c>
      <c r="I20" s="2">
        <f t="shared" si="4"/>
        <v>20.457999999999998</v>
      </c>
      <c r="J20" s="4">
        <f t="shared" si="5"/>
        <v>39.915999999999997</v>
      </c>
    </row>
    <row r="21" spans="1:10" ht="18.600000000000001" customHeight="1" x14ac:dyDescent="0.25">
      <c r="A21" s="10" t="s">
        <v>60</v>
      </c>
      <c r="B21" s="2"/>
      <c r="C21" s="2"/>
      <c r="D21" s="2"/>
      <c r="E21" s="2"/>
      <c r="F21" s="2">
        <v>1</v>
      </c>
      <c r="G21" s="2"/>
      <c r="H21" s="2">
        <f t="shared" si="3"/>
        <v>18.457999999999998</v>
      </c>
      <c r="I21" s="2">
        <f t="shared" si="4"/>
        <v>20.457999999999998</v>
      </c>
      <c r="J21" s="4">
        <f t="shared" si="5"/>
        <v>38.915999999999997</v>
      </c>
    </row>
    <row r="22" spans="1:10" ht="18.75" customHeight="1" x14ac:dyDescent="0.25">
      <c r="A22" s="10" t="s">
        <v>62</v>
      </c>
      <c r="B22" s="2"/>
      <c r="C22" s="2"/>
      <c r="D22" s="2"/>
      <c r="E22" s="2"/>
      <c r="F22" s="2">
        <v>2</v>
      </c>
      <c r="G22" s="2"/>
      <c r="H22" s="2">
        <f t="shared" si="3"/>
        <v>16.457999999999998</v>
      </c>
      <c r="I22" s="2">
        <f t="shared" si="4"/>
        <v>20.457999999999998</v>
      </c>
      <c r="J22" s="4">
        <f t="shared" si="5"/>
        <v>36.915999999999997</v>
      </c>
    </row>
    <row r="23" spans="1:10" ht="18.75" customHeight="1" x14ac:dyDescent="0.25">
      <c r="A23" s="10" t="s">
        <v>61</v>
      </c>
      <c r="B23" s="2">
        <v>15</v>
      </c>
      <c r="C23" s="2">
        <v>15</v>
      </c>
      <c r="D23" s="2"/>
      <c r="E23" s="2"/>
      <c r="F23" s="2"/>
      <c r="G23" s="2"/>
      <c r="H23" s="2">
        <f t="shared" si="3"/>
        <v>31.457999999999998</v>
      </c>
      <c r="I23" s="2">
        <f t="shared" si="4"/>
        <v>35.457999999999998</v>
      </c>
      <c r="J23" s="4">
        <f t="shared" si="5"/>
        <v>66.915999999999997</v>
      </c>
    </row>
    <row r="24" spans="1:10" ht="18.75" customHeight="1" x14ac:dyDescent="0.25">
      <c r="A24" s="10" t="s">
        <v>63</v>
      </c>
      <c r="B24" s="2"/>
      <c r="C24" s="2"/>
      <c r="D24" s="2"/>
      <c r="E24" s="2"/>
      <c r="F24" s="2">
        <v>4</v>
      </c>
      <c r="G24" s="2"/>
      <c r="H24" s="2">
        <f t="shared" si="3"/>
        <v>27.457999999999998</v>
      </c>
      <c r="I24" s="2">
        <f t="shared" si="4"/>
        <v>35.457999999999998</v>
      </c>
      <c r="J24" s="4">
        <f t="shared" si="5"/>
        <v>62.915999999999997</v>
      </c>
    </row>
    <row r="25" spans="1:10" ht="18.75" customHeight="1" x14ac:dyDescent="0.25">
      <c r="A25" s="10" t="s">
        <v>64</v>
      </c>
      <c r="B25" s="2"/>
      <c r="C25" s="2"/>
      <c r="D25" s="2"/>
      <c r="E25" s="2"/>
      <c r="F25" s="2">
        <v>1</v>
      </c>
      <c r="G25" s="2">
        <v>1</v>
      </c>
      <c r="H25" s="2">
        <f t="shared" si="3"/>
        <v>26.457999999999998</v>
      </c>
      <c r="I25" s="2">
        <f t="shared" si="4"/>
        <v>35.457999999999998</v>
      </c>
      <c r="J25" s="4">
        <f t="shared" si="5"/>
        <v>61.915999999999997</v>
      </c>
    </row>
    <row r="26" spans="1:10" ht="18.75" customHeight="1" x14ac:dyDescent="0.25">
      <c r="A26" s="10" t="s">
        <v>65</v>
      </c>
      <c r="B26" s="2"/>
      <c r="C26" s="2"/>
      <c r="D26" s="2">
        <v>1</v>
      </c>
      <c r="E26" s="2"/>
      <c r="F26" s="2"/>
      <c r="G26" s="2">
        <v>1</v>
      </c>
      <c r="H26" s="2">
        <f t="shared" si="3"/>
        <v>25.457999999999998</v>
      </c>
      <c r="I26" s="2">
        <f t="shared" si="4"/>
        <v>35.457999999999998</v>
      </c>
      <c r="J26" s="4">
        <f t="shared" si="5"/>
        <v>60.915999999999997</v>
      </c>
    </row>
    <row r="27" spans="1:10" ht="18.75" customHeight="1" x14ac:dyDescent="0.25">
      <c r="A27" s="10" t="s">
        <v>66</v>
      </c>
      <c r="B27" s="2"/>
      <c r="C27" s="2"/>
      <c r="D27" s="2"/>
      <c r="E27" s="2"/>
      <c r="F27" s="2"/>
      <c r="G27" s="2">
        <v>1</v>
      </c>
      <c r="H27" s="2">
        <f t="shared" si="3"/>
        <v>25.457999999999998</v>
      </c>
      <c r="I27" s="2">
        <f t="shared" si="4"/>
        <v>35.457999999999998</v>
      </c>
      <c r="J27" s="4">
        <f t="shared" si="5"/>
        <v>60.915999999999997</v>
      </c>
    </row>
    <row r="28" spans="1:10" ht="18.75" customHeight="1" x14ac:dyDescent="0.25">
      <c r="A28" s="10" t="s">
        <v>67</v>
      </c>
      <c r="B28" s="2"/>
      <c r="C28" s="2"/>
      <c r="D28" s="2"/>
      <c r="E28" s="2">
        <v>15</v>
      </c>
      <c r="F28" s="2"/>
      <c r="G28" s="2"/>
      <c r="H28" s="2">
        <f t="shared" si="3"/>
        <v>25.457999999999998</v>
      </c>
      <c r="I28" s="2">
        <f t="shared" si="4"/>
        <v>20.457999999999998</v>
      </c>
      <c r="J28" s="4">
        <f t="shared" si="5"/>
        <v>45.915999999999997</v>
      </c>
    </row>
    <row r="29" spans="1:10" ht="18.75" customHeight="1" x14ac:dyDescent="0.25">
      <c r="A29" s="10" t="s">
        <v>68</v>
      </c>
      <c r="B29" s="2"/>
      <c r="C29" s="2"/>
      <c r="D29" s="2">
        <v>16</v>
      </c>
      <c r="E29" s="2"/>
      <c r="F29" s="2"/>
      <c r="G29" s="2"/>
      <c r="H29" s="2">
        <f t="shared" si="3"/>
        <v>9.4579999999999984</v>
      </c>
      <c r="I29" s="2">
        <f t="shared" si="4"/>
        <v>20.457999999999998</v>
      </c>
      <c r="J29" s="4">
        <f t="shared" si="5"/>
        <v>29.915999999999997</v>
      </c>
    </row>
    <row r="30" spans="1:10" ht="18.75" customHeight="1" x14ac:dyDescent="0.25">
      <c r="A30" s="10" t="s">
        <v>12</v>
      </c>
      <c r="B30" s="25"/>
      <c r="C30" s="25"/>
      <c r="D30" s="25">
        <v>4</v>
      </c>
      <c r="E30" s="25"/>
      <c r="F30" s="25"/>
      <c r="G30" s="25"/>
      <c r="H30" s="2">
        <f t="shared" si="3"/>
        <v>5.4579999999999984</v>
      </c>
      <c r="I30" s="2">
        <f t="shared" si="4"/>
        <v>20.457999999999998</v>
      </c>
      <c r="J30" s="4">
        <f t="shared" si="5"/>
        <v>25.915999999999997</v>
      </c>
    </row>
    <row r="31" spans="1:10" ht="18.75" customHeight="1" x14ac:dyDescent="0.25">
      <c r="A31" s="10" t="s">
        <v>13</v>
      </c>
      <c r="B31" s="25"/>
      <c r="C31" s="25"/>
      <c r="D31" s="25"/>
      <c r="E31" s="25">
        <v>1</v>
      </c>
      <c r="F31" s="25"/>
      <c r="G31" s="25"/>
      <c r="H31" s="2">
        <f t="shared" si="3"/>
        <v>5.4579999999999984</v>
      </c>
      <c r="I31" s="2">
        <f t="shared" si="4"/>
        <v>19.457999999999998</v>
      </c>
      <c r="J31" s="4">
        <f t="shared" si="5"/>
        <v>24.915999999999997</v>
      </c>
    </row>
    <row r="32" spans="1:10" ht="18.75" customHeight="1" x14ac:dyDescent="0.25">
      <c r="A32" s="10" t="s">
        <v>94</v>
      </c>
      <c r="B32" s="9">
        <v>2.5</v>
      </c>
      <c r="C32" s="9">
        <v>2.5</v>
      </c>
      <c r="D32" s="25"/>
      <c r="E32" s="25"/>
      <c r="F32" s="25"/>
      <c r="G32" s="25"/>
      <c r="H32" s="2">
        <f t="shared" si="3"/>
        <v>7.9579999999999984</v>
      </c>
      <c r="I32" s="2">
        <f t="shared" si="4"/>
        <v>21.957999999999998</v>
      </c>
      <c r="J32" s="4">
        <f t="shared" si="5"/>
        <v>29.915999999999997</v>
      </c>
    </row>
    <row r="33" spans="1:10" ht="18.75" customHeight="1" x14ac:dyDescent="0.25">
      <c r="A33" s="10" t="s">
        <v>14</v>
      </c>
      <c r="B33" s="9">
        <v>1.25</v>
      </c>
      <c r="C33" s="9">
        <v>1.25</v>
      </c>
      <c r="D33" s="25"/>
      <c r="E33" s="25"/>
      <c r="F33" s="25"/>
      <c r="G33" s="25"/>
      <c r="H33" s="2">
        <f t="shared" si="3"/>
        <v>9.2079999999999984</v>
      </c>
      <c r="I33" s="2">
        <f t="shared" si="4"/>
        <v>23.207999999999998</v>
      </c>
      <c r="J33" s="4">
        <f t="shared" si="5"/>
        <v>32.415999999999997</v>
      </c>
    </row>
    <row r="34" spans="1:10" ht="18.75" customHeight="1" x14ac:dyDescent="0.25">
      <c r="A34" s="10" t="s">
        <v>15</v>
      </c>
      <c r="B34" s="25"/>
      <c r="C34" s="25"/>
      <c r="D34" s="25"/>
      <c r="E34" s="25"/>
      <c r="F34" s="25">
        <v>2</v>
      </c>
      <c r="G34" s="25"/>
      <c r="H34" s="2">
        <f t="shared" si="3"/>
        <v>7.2079999999999984</v>
      </c>
      <c r="I34" s="2">
        <f t="shared" si="4"/>
        <v>23.207999999999998</v>
      </c>
      <c r="J34" s="4">
        <f t="shared" si="5"/>
        <v>30.415999999999997</v>
      </c>
    </row>
    <row r="35" spans="1:10" ht="18.75" customHeight="1" x14ac:dyDescent="0.25">
      <c r="A35" s="10" t="s">
        <v>16</v>
      </c>
      <c r="B35" s="25"/>
      <c r="C35" s="25"/>
      <c r="D35" s="25"/>
      <c r="E35" s="25"/>
      <c r="F35" s="25">
        <v>1</v>
      </c>
      <c r="G35" s="25"/>
      <c r="H35" s="2">
        <f t="shared" si="3"/>
        <v>6.2079999999999984</v>
      </c>
      <c r="I35" s="2">
        <f t="shared" si="4"/>
        <v>23.207999999999998</v>
      </c>
      <c r="J35" s="4">
        <f t="shared" si="5"/>
        <v>29.415999999999997</v>
      </c>
    </row>
    <row r="36" spans="1:10" ht="18.75" customHeight="1" x14ac:dyDescent="0.25">
      <c r="A36" s="10" t="s">
        <v>17</v>
      </c>
      <c r="B36" s="25"/>
      <c r="C36" s="25"/>
      <c r="D36" s="25"/>
      <c r="E36" s="25"/>
      <c r="F36" s="25"/>
      <c r="G36" s="26">
        <v>1</v>
      </c>
      <c r="H36" s="2">
        <f t="shared" si="3"/>
        <v>6.2079999999999984</v>
      </c>
      <c r="I36" s="2">
        <f t="shared" si="4"/>
        <v>23.207999999999998</v>
      </c>
      <c r="J36" s="4">
        <f t="shared" si="5"/>
        <v>29.415999999999997</v>
      </c>
    </row>
    <row r="37" spans="1:10" ht="18.75" customHeight="1" x14ac:dyDescent="0.25">
      <c r="A37" s="10" t="s">
        <v>95</v>
      </c>
      <c r="B37" s="9">
        <v>2.5</v>
      </c>
      <c r="C37" s="9">
        <v>2.5</v>
      </c>
      <c r="D37" s="25"/>
      <c r="E37" s="25"/>
      <c r="F37" s="25"/>
      <c r="G37" s="25"/>
      <c r="H37" s="2">
        <f t="shared" si="3"/>
        <v>8.7079999999999984</v>
      </c>
      <c r="I37" s="2">
        <f t="shared" si="4"/>
        <v>25.707999999999998</v>
      </c>
      <c r="J37" s="4">
        <f t="shared" si="5"/>
        <v>34.415999999999997</v>
      </c>
    </row>
    <row r="38" spans="1:10" ht="18.75" customHeight="1" x14ac:dyDescent="0.25">
      <c r="A38" s="10" t="s">
        <v>18</v>
      </c>
      <c r="B38" s="25"/>
      <c r="C38" s="25"/>
      <c r="D38" s="25"/>
      <c r="E38" s="25">
        <v>5</v>
      </c>
      <c r="F38" s="25"/>
      <c r="G38" s="25"/>
      <c r="H38" s="2">
        <f t="shared" si="3"/>
        <v>8.7079999999999984</v>
      </c>
      <c r="I38" s="2">
        <f t="shared" si="4"/>
        <v>20.707999999999998</v>
      </c>
      <c r="J38" s="4">
        <f t="shared" si="5"/>
        <v>29.415999999999997</v>
      </c>
    </row>
    <row r="39" spans="1:10" ht="18.75" customHeight="1" x14ac:dyDescent="0.25">
      <c r="A39" s="27" t="s">
        <v>19</v>
      </c>
      <c r="B39" s="25"/>
      <c r="C39" s="25"/>
      <c r="D39" s="25"/>
      <c r="E39" s="25"/>
      <c r="F39" s="25">
        <v>1</v>
      </c>
      <c r="G39" s="25"/>
      <c r="H39" s="2">
        <f t="shared" si="3"/>
        <v>7.7079999999999984</v>
      </c>
      <c r="I39" s="2">
        <f t="shared" si="4"/>
        <v>20.707999999999998</v>
      </c>
      <c r="J39" s="4">
        <f t="shared" si="5"/>
        <v>28.415999999999997</v>
      </c>
    </row>
    <row r="40" spans="1:10" ht="18.75" customHeight="1" x14ac:dyDescent="0.25">
      <c r="A40" s="10" t="s">
        <v>20</v>
      </c>
      <c r="B40" s="9">
        <v>1.25</v>
      </c>
      <c r="C40" s="9">
        <v>1.25</v>
      </c>
      <c r="D40" s="25"/>
      <c r="E40" s="25"/>
      <c r="F40" s="25"/>
      <c r="G40" s="25"/>
      <c r="H40" s="2">
        <f t="shared" si="3"/>
        <v>8.9579999999999984</v>
      </c>
      <c r="I40" s="2">
        <f t="shared" si="4"/>
        <v>21.957999999999998</v>
      </c>
      <c r="J40" s="4">
        <f t="shared" si="5"/>
        <v>30.915999999999997</v>
      </c>
    </row>
    <row r="41" spans="1:10" ht="18.75" customHeight="1" x14ac:dyDescent="0.25">
      <c r="A41" s="10" t="s">
        <v>21</v>
      </c>
      <c r="B41" s="25"/>
      <c r="C41" s="25"/>
      <c r="D41" s="25"/>
      <c r="E41" s="25"/>
      <c r="F41" s="25"/>
      <c r="G41" s="26">
        <v>1</v>
      </c>
      <c r="H41" s="2">
        <f t="shared" si="3"/>
        <v>8.9579999999999984</v>
      </c>
      <c r="I41" s="2">
        <f t="shared" si="4"/>
        <v>21.957999999999998</v>
      </c>
      <c r="J41" s="4">
        <f t="shared" si="5"/>
        <v>30.915999999999997</v>
      </c>
    </row>
    <row r="42" spans="1:10" ht="18.75" customHeight="1" x14ac:dyDescent="0.25">
      <c r="A42" s="10" t="s">
        <v>22</v>
      </c>
      <c r="B42" s="25">
        <v>2.5</v>
      </c>
      <c r="C42" s="25">
        <v>2.5</v>
      </c>
      <c r="D42" s="25"/>
      <c r="E42" s="25"/>
      <c r="F42" s="25"/>
      <c r="G42" s="25"/>
      <c r="H42" s="2">
        <f t="shared" si="3"/>
        <v>11.457999999999998</v>
      </c>
      <c r="I42" s="2">
        <f t="shared" si="4"/>
        <v>24.457999999999998</v>
      </c>
      <c r="J42" s="4">
        <f t="shared" si="5"/>
        <v>35.915999999999997</v>
      </c>
    </row>
    <row r="43" spans="1:10" ht="18.75" customHeight="1" x14ac:dyDescent="0.25">
      <c r="A43" s="10" t="s">
        <v>23</v>
      </c>
      <c r="B43" s="25"/>
      <c r="C43" s="25"/>
      <c r="D43" s="25"/>
      <c r="E43" s="25"/>
      <c r="F43" s="25">
        <v>1</v>
      </c>
      <c r="G43" s="25"/>
      <c r="H43" s="2">
        <f t="shared" si="3"/>
        <v>10.457999999999998</v>
      </c>
      <c r="I43" s="2">
        <f t="shared" si="4"/>
        <v>24.457999999999998</v>
      </c>
      <c r="J43" s="4">
        <f t="shared" si="5"/>
        <v>34.915999999999997</v>
      </c>
    </row>
    <row r="44" spans="1:10" ht="18.75" customHeight="1" x14ac:dyDescent="0.25">
      <c r="A44" s="27" t="s">
        <v>24</v>
      </c>
      <c r="B44" s="25"/>
      <c r="C44" s="25"/>
      <c r="D44" s="25"/>
      <c r="E44" s="25">
        <v>3</v>
      </c>
      <c r="F44" s="25"/>
      <c r="G44" s="25"/>
      <c r="H44" s="2">
        <f t="shared" si="3"/>
        <v>10.457999999999998</v>
      </c>
      <c r="I44" s="2">
        <f t="shared" si="4"/>
        <v>21.457999999999998</v>
      </c>
      <c r="J44" s="4">
        <f t="shared" si="5"/>
        <v>31.915999999999997</v>
      </c>
    </row>
    <row r="45" spans="1:10" ht="18.75" customHeight="1" x14ac:dyDescent="0.25">
      <c r="A45" s="10" t="s">
        <v>26</v>
      </c>
      <c r="B45" s="25"/>
      <c r="C45" s="25"/>
      <c r="D45" s="25"/>
      <c r="E45" s="25">
        <v>1</v>
      </c>
      <c r="F45" s="25"/>
      <c r="G45" s="25"/>
      <c r="H45" s="2">
        <f t="shared" si="3"/>
        <v>10.457999999999998</v>
      </c>
      <c r="I45" s="2">
        <f t="shared" si="4"/>
        <v>20.457999999999998</v>
      </c>
      <c r="J45" s="4">
        <f t="shared" si="5"/>
        <v>30.915999999999997</v>
      </c>
    </row>
    <row r="46" spans="1:10" ht="18.75" customHeight="1" x14ac:dyDescent="0.25">
      <c r="A46" s="27" t="s">
        <v>25</v>
      </c>
      <c r="B46" s="25"/>
      <c r="C46" s="25"/>
      <c r="D46" s="25">
        <v>5</v>
      </c>
      <c r="E46" s="25">
        <v>15</v>
      </c>
      <c r="F46" s="25"/>
      <c r="G46" s="25"/>
      <c r="H46" s="2">
        <f t="shared" si="3"/>
        <v>5.4579999999999984</v>
      </c>
      <c r="I46" s="2">
        <f t="shared" si="4"/>
        <v>5.4579999999999984</v>
      </c>
      <c r="J46" s="4">
        <f t="shared" si="5"/>
        <v>10.915999999999997</v>
      </c>
    </row>
    <row r="47" spans="1:10" ht="18.75" customHeight="1" x14ac:dyDescent="0.25">
      <c r="A47" s="10" t="s">
        <v>27</v>
      </c>
      <c r="B47" s="25">
        <v>2.5</v>
      </c>
      <c r="C47" s="25">
        <v>2.5</v>
      </c>
      <c r="D47" s="25"/>
      <c r="E47" s="25"/>
      <c r="F47" s="25"/>
      <c r="G47" s="25"/>
      <c r="H47" s="2">
        <f t="shared" si="3"/>
        <v>7.9579999999999984</v>
      </c>
      <c r="I47" s="2">
        <f t="shared" si="4"/>
        <v>7.9579999999999984</v>
      </c>
      <c r="J47" s="4">
        <f t="shared" si="5"/>
        <v>15.915999999999997</v>
      </c>
    </row>
    <row r="48" spans="1:10" ht="18.75" customHeight="1" x14ac:dyDescent="0.25">
      <c r="A48" s="12" t="s">
        <v>28</v>
      </c>
      <c r="B48" s="28"/>
      <c r="C48" s="28"/>
      <c r="D48" s="29">
        <v>1</v>
      </c>
      <c r="E48" s="28"/>
      <c r="F48" s="28"/>
      <c r="G48" s="28"/>
      <c r="H48" s="2">
        <f t="shared" si="3"/>
        <v>6.9579999999999984</v>
      </c>
      <c r="I48" s="2">
        <f t="shared" si="4"/>
        <v>7.9579999999999984</v>
      </c>
      <c r="J48" s="4">
        <f t="shared" si="5"/>
        <v>14.915999999999997</v>
      </c>
    </row>
    <row r="49" spans="1:10" ht="15.75" x14ac:dyDescent="0.25">
      <c r="A49" s="12" t="s">
        <v>29</v>
      </c>
      <c r="B49" s="25"/>
      <c r="C49" s="25"/>
      <c r="D49" s="25"/>
      <c r="E49" s="25"/>
      <c r="F49" s="25"/>
      <c r="G49" s="25">
        <v>1</v>
      </c>
      <c r="H49" s="2">
        <f t="shared" si="3"/>
        <v>6.9579999999999984</v>
      </c>
      <c r="I49" s="2">
        <f t="shared" si="4"/>
        <v>7.9579999999999984</v>
      </c>
      <c r="J49" s="4">
        <f t="shared" si="5"/>
        <v>14.915999999999997</v>
      </c>
    </row>
    <row r="50" spans="1:10" ht="15.75" x14ac:dyDescent="0.25">
      <c r="A50" s="10" t="s">
        <v>30</v>
      </c>
      <c r="B50" s="25">
        <v>2.5</v>
      </c>
      <c r="C50" s="25">
        <v>2.5</v>
      </c>
      <c r="D50" s="15"/>
      <c r="E50" s="15"/>
      <c r="F50" s="15"/>
      <c r="G50" s="16"/>
      <c r="H50" s="2">
        <f t="shared" si="3"/>
        <v>9.4579999999999984</v>
      </c>
      <c r="I50" s="2">
        <f t="shared" si="4"/>
        <v>10.457999999999998</v>
      </c>
      <c r="J50" s="4">
        <f t="shared" si="5"/>
        <v>19.915999999999997</v>
      </c>
    </row>
    <row r="51" spans="1:10" ht="15.75" x14ac:dyDescent="0.25">
      <c r="A51" s="12" t="s">
        <v>31</v>
      </c>
      <c r="B51" s="15"/>
      <c r="C51" s="15"/>
      <c r="D51" s="9"/>
      <c r="E51" s="9">
        <v>1</v>
      </c>
      <c r="F51" s="9"/>
      <c r="G51" s="17"/>
      <c r="H51" s="2">
        <f t="shared" si="3"/>
        <v>9.4579999999999984</v>
      </c>
      <c r="I51" s="2">
        <f t="shared" si="4"/>
        <v>9.4579999999999984</v>
      </c>
      <c r="J51" s="4">
        <f t="shared" si="5"/>
        <v>18.915999999999997</v>
      </c>
    </row>
    <row r="52" spans="1:10" ht="15.75" x14ac:dyDescent="0.25">
      <c r="A52" s="12" t="s">
        <v>32</v>
      </c>
      <c r="B52" s="15"/>
      <c r="C52" s="15"/>
      <c r="D52" s="9">
        <v>1</v>
      </c>
      <c r="E52" s="9"/>
      <c r="F52" s="9"/>
      <c r="G52" s="17"/>
      <c r="H52" s="2">
        <f t="shared" si="3"/>
        <v>8.4579999999999984</v>
      </c>
      <c r="I52" s="2">
        <f t="shared" si="4"/>
        <v>9.4579999999999984</v>
      </c>
      <c r="J52" s="4">
        <f t="shared" si="5"/>
        <v>17.915999999999997</v>
      </c>
    </row>
    <row r="53" spans="1:10" ht="15.75" x14ac:dyDescent="0.25">
      <c r="A53" s="12" t="s">
        <v>33</v>
      </c>
      <c r="B53" s="16"/>
      <c r="C53" s="16"/>
      <c r="D53" s="17"/>
      <c r="E53" s="17"/>
      <c r="F53" s="17">
        <v>1</v>
      </c>
      <c r="G53" s="17"/>
      <c r="H53" s="2">
        <f t="shared" si="3"/>
        <v>7.4579999999999984</v>
      </c>
      <c r="I53" s="2">
        <f t="shared" si="4"/>
        <v>9.4579999999999984</v>
      </c>
      <c r="J53" s="4">
        <f t="shared" si="5"/>
        <v>16.915999999999997</v>
      </c>
    </row>
    <row r="54" spans="1:10" ht="15.75" x14ac:dyDescent="0.25">
      <c r="A54" s="10" t="s">
        <v>34</v>
      </c>
      <c r="B54" s="9">
        <v>1.25</v>
      </c>
      <c r="C54" s="9">
        <v>1.25</v>
      </c>
      <c r="D54" s="15"/>
      <c r="E54" s="15"/>
      <c r="F54" s="15"/>
      <c r="G54" s="16"/>
      <c r="H54" s="2">
        <f t="shared" si="3"/>
        <v>8.7079999999999984</v>
      </c>
      <c r="I54" s="2">
        <f t="shared" si="4"/>
        <v>10.707999999999998</v>
      </c>
      <c r="J54" s="4">
        <f t="shared" si="5"/>
        <v>19.415999999999997</v>
      </c>
    </row>
    <row r="55" spans="1:10" ht="15.75" x14ac:dyDescent="0.25">
      <c r="A55" s="12" t="s">
        <v>35</v>
      </c>
      <c r="B55" s="15"/>
      <c r="C55" s="15"/>
      <c r="D55" s="9">
        <v>5</v>
      </c>
      <c r="E55" s="15"/>
      <c r="F55" s="15"/>
      <c r="G55" s="16"/>
      <c r="H55" s="2">
        <f t="shared" si="3"/>
        <v>3.7079999999999984</v>
      </c>
      <c r="I55" s="2">
        <f t="shared" si="4"/>
        <v>10.707999999999998</v>
      </c>
      <c r="J55" s="4">
        <f t="shared" si="5"/>
        <v>14.415999999999997</v>
      </c>
    </row>
    <row r="56" spans="1:10" ht="16.5" customHeight="1" x14ac:dyDescent="0.25">
      <c r="A56" s="12" t="s">
        <v>36</v>
      </c>
      <c r="B56" s="15"/>
      <c r="C56" s="15"/>
      <c r="D56" s="15"/>
      <c r="E56" s="15"/>
      <c r="F56" s="15"/>
      <c r="G56" s="16">
        <v>1</v>
      </c>
      <c r="H56" s="2">
        <f t="shared" si="3"/>
        <v>3.7079999999999984</v>
      </c>
      <c r="I56" s="2">
        <f t="shared" si="4"/>
        <v>10.707999999999998</v>
      </c>
      <c r="J56" s="4">
        <f t="shared" si="5"/>
        <v>14.415999999999997</v>
      </c>
    </row>
    <row r="57" spans="1:10" ht="15.75" x14ac:dyDescent="0.25">
      <c r="A57" s="10" t="s">
        <v>37</v>
      </c>
      <c r="B57" s="9">
        <v>1.25</v>
      </c>
      <c r="C57" s="9">
        <v>1.25</v>
      </c>
      <c r="D57" s="9"/>
      <c r="E57" s="9"/>
      <c r="F57" s="9"/>
      <c r="G57" s="9"/>
      <c r="H57" s="2">
        <f t="shared" si="3"/>
        <v>4.9579999999999984</v>
      </c>
      <c r="I57" s="2">
        <f t="shared" si="4"/>
        <v>11.957999999999998</v>
      </c>
      <c r="J57" s="4">
        <f t="shared" si="5"/>
        <v>16.915999999999997</v>
      </c>
    </row>
    <row r="58" spans="1:10" ht="15.75" x14ac:dyDescent="0.25">
      <c r="A58" s="12" t="s">
        <v>38</v>
      </c>
      <c r="B58" s="15"/>
      <c r="C58" s="15"/>
      <c r="D58" s="15"/>
      <c r="E58" s="9">
        <v>4</v>
      </c>
      <c r="F58" s="15"/>
      <c r="G58" s="15"/>
      <c r="H58" s="2">
        <f t="shared" si="3"/>
        <v>4.9579999999999984</v>
      </c>
      <c r="I58" s="2">
        <f t="shared" si="4"/>
        <v>7.9579999999999984</v>
      </c>
      <c r="J58" s="4">
        <f t="shared" si="5"/>
        <v>12.915999999999997</v>
      </c>
    </row>
    <row r="59" spans="1:10" ht="15.75" x14ac:dyDescent="0.25">
      <c r="A59" s="10" t="s">
        <v>39</v>
      </c>
      <c r="B59" s="9">
        <v>1.25</v>
      </c>
      <c r="C59" s="9">
        <v>1.25</v>
      </c>
      <c r="D59" s="15"/>
      <c r="E59" s="15"/>
      <c r="F59" s="15"/>
      <c r="G59" s="15"/>
      <c r="H59" s="2">
        <f t="shared" si="3"/>
        <v>6.2079999999999984</v>
      </c>
      <c r="I59" s="2">
        <f t="shared" si="4"/>
        <v>9.2079999999999984</v>
      </c>
      <c r="J59" s="4">
        <f t="shared" si="5"/>
        <v>15.415999999999997</v>
      </c>
    </row>
    <row r="60" spans="1:10" ht="15.75" x14ac:dyDescent="0.25">
      <c r="A60" s="12" t="s">
        <v>42</v>
      </c>
      <c r="B60" s="9"/>
      <c r="C60" s="9"/>
      <c r="D60" s="15"/>
      <c r="E60" s="15"/>
      <c r="F60" s="15"/>
      <c r="G60" s="15">
        <v>2</v>
      </c>
      <c r="H60" s="2">
        <f t="shared" si="3"/>
        <v>6.2079999999999984</v>
      </c>
      <c r="I60" s="2">
        <f t="shared" si="4"/>
        <v>9.2079999999999984</v>
      </c>
      <c r="J60" s="4">
        <f t="shared" si="5"/>
        <v>15.415999999999997</v>
      </c>
    </row>
    <row r="61" spans="1:10" ht="15.75" x14ac:dyDescent="0.25">
      <c r="A61" s="12" t="s">
        <v>40</v>
      </c>
      <c r="B61" s="15"/>
      <c r="C61" s="15"/>
      <c r="D61" s="15"/>
      <c r="E61" s="9"/>
      <c r="F61" s="9">
        <v>2</v>
      </c>
      <c r="G61" s="9"/>
      <c r="H61" s="2">
        <f t="shared" si="3"/>
        <v>4.2079999999999984</v>
      </c>
      <c r="I61" s="2">
        <f t="shared" si="4"/>
        <v>9.2079999999999984</v>
      </c>
      <c r="J61" s="4">
        <f t="shared" si="5"/>
        <v>13.415999999999997</v>
      </c>
    </row>
    <row r="62" spans="1:10" ht="15.75" x14ac:dyDescent="0.25">
      <c r="A62" s="13" t="s">
        <v>41</v>
      </c>
      <c r="B62" s="15"/>
      <c r="C62" s="15"/>
      <c r="D62" s="15"/>
      <c r="E62" s="9">
        <v>4</v>
      </c>
      <c r="F62" s="9"/>
      <c r="G62" s="9"/>
      <c r="H62" s="2">
        <f t="shared" si="3"/>
        <v>4.2079999999999984</v>
      </c>
      <c r="I62" s="2">
        <f t="shared" si="4"/>
        <v>5.2079999999999984</v>
      </c>
      <c r="J62" s="4">
        <f t="shared" si="5"/>
        <v>9.4159999999999968</v>
      </c>
    </row>
    <row r="63" spans="1:10" ht="15.75" x14ac:dyDescent="0.25">
      <c r="A63" s="10" t="s">
        <v>44</v>
      </c>
      <c r="B63" s="9">
        <v>1.25</v>
      </c>
      <c r="C63" s="9">
        <v>1.25</v>
      </c>
      <c r="D63" s="15"/>
      <c r="E63" s="9"/>
      <c r="F63" s="9"/>
      <c r="G63" s="9"/>
      <c r="H63" s="2">
        <f t="shared" si="3"/>
        <v>5.4579999999999984</v>
      </c>
      <c r="I63" s="2">
        <f t="shared" si="4"/>
        <v>6.4579999999999984</v>
      </c>
      <c r="J63" s="4">
        <f t="shared" si="5"/>
        <v>11.915999999999997</v>
      </c>
    </row>
    <row r="64" spans="1:10" ht="15.75" x14ac:dyDescent="0.25">
      <c r="A64" s="13" t="s">
        <v>43</v>
      </c>
      <c r="B64" s="15"/>
      <c r="C64" s="15"/>
      <c r="D64" s="15"/>
      <c r="E64" s="9">
        <v>3</v>
      </c>
      <c r="F64" s="15"/>
      <c r="G64" s="15"/>
      <c r="H64" s="2">
        <f t="shared" si="3"/>
        <v>5.4579999999999984</v>
      </c>
      <c r="I64" s="2">
        <f t="shared" si="4"/>
        <v>3.4579999999999984</v>
      </c>
      <c r="J64" s="4">
        <f t="shared" si="5"/>
        <v>8.9159999999999968</v>
      </c>
    </row>
    <row r="65" spans="1:10" ht="15.75" x14ac:dyDescent="0.25">
      <c r="A65" s="10" t="s">
        <v>71</v>
      </c>
      <c r="B65" s="9">
        <v>3.75</v>
      </c>
      <c r="C65" s="9">
        <v>3.75</v>
      </c>
      <c r="D65" s="15"/>
      <c r="E65" s="15"/>
      <c r="F65" s="15"/>
      <c r="G65" s="15"/>
      <c r="H65" s="2">
        <f t="shared" si="3"/>
        <v>9.2079999999999984</v>
      </c>
      <c r="I65" s="2">
        <f t="shared" si="4"/>
        <v>7.2079999999999984</v>
      </c>
      <c r="J65" s="4">
        <f t="shared" si="5"/>
        <v>16.415999999999997</v>
      </c>
    </row>
    <row r="66" spans="1:10" ht="15.75" x14ac:dyDescent="0.25">
      <c r="A66" s="13" t="s">
        <v>45</v>
      </c>
      <c r="B66" s="15"/>
      <c r="C66" s="15"/>
      <c r="D66" s="15">
        <v>1</v>
      </c>
      <c r="E66" s="15">
        <v>4</v>
      </c>
      <c r="F66" s="15"/>
      <c r="G66" s="15"/>
      <c r="H66" s="2">
        <f t="shared" si="3"/>
        <v>8.2079999999999984</v>
      </c>
      <c r="I66" s="2">
        <f t="shared" si="4"/>
        <v>3.2079999999999984</v>
      </c>
      <c r="J66" s="4">
        <f t="shared" si="5"/>
        <v>11.415999999999997</v>
      </c>
    </row>
    <row r="67" spans="1:10" ht="15.75" x14ac:dyDescent="0.25">
      <c r="A67" s="13" t="s">
        <v>75</v>
      </c>
      <c r="B67" s="15">
        <v>1.25</v>
      </c>
      <c r="C67" s="15">
        <v>1.25</v>
      </c>
      <c r="D67" s="15"/>
      <c r="E67" s="15"/>
      <c r="F67" s="15"/>
      <c r="G67" s="15"/>
      <c r="H67" s="2">
        <f t="shared" si="3"/>
        <v>9.4579999999999984</v>
      </c>
      <c r="I67" s="2">
        <f t="shared" si="4"/>
        <v>4.4579999999999984</v>
      </c>
      <c r="J67" s="4">
        <f t="shared" si="5"/>
        <v>13.915999999999997</v>
      </c>
    </row>
    <row r="68" spans="1:10" ht="15.75" x14ac:dyDescent="0.25">
      <c r="A68" s="13" t="s">
        <v>76</v>
      </c>
      <c r="B68" s="15"/>
      <c r="C68" s="15"/>
      <c r="D68" s="15">
        <v>2</v>
      </c>
      <c r="E68" s="15"/>
      <c r="F68" s="15"/>
      <c r="G68" s="15"/>
      <c r="H68" s="2">
        <f t="shared" si="3"/>
        <v>7.4579999999999984</v>
      </c>
      <c r="I68" s="2">
        <f t="shared" si="4"/>
        <v>4.4579999999999984</v>
      </c>
      <c r="J68" s="4">
        <f t="shared" si="5"/>
        <v>11.915999999999997</v>
      </c>
    </row>
    <row r="69" spans="1:10" ht="15.75" x14ac:dyDescent="0.25">
      <c r="A69" s="13" t="s">
        <v>77</v>
      </c>
      <c r="B69" s="15">
        <v>2.5</v>
      </c>
      <c r="C69" s="15">
        <v>2.5</v>
      </c>
      <c r="D69" s="15"/>
      <c r="E69" s="15"/>
      <c r="F69" s="15"/>
      <c r="G69" s="15"/>
      <c r="H69" s="2">
        <f t="shared" si="3"/>
        <v>9.9579999999999984</v>
      </c>
      <c r="I69" s="2">
        <f t="shared" si="4"/>
        <v>6.9579999999999984</v>
      </c>
      <c r="J69" s="4">
        <f t="shared" si="5"/>
        <v>16.915999999999997</v>
      </c>
    </row>
    <row r="70" spans="1:10" ht="15.75" x14ac:dyDescent="0.25">
      <c r="A70" s="13" t="s">
        <v>78</v>
      </c>
      <c r="B70" s="15">
        <v>0.62539999999999996</v>
      </c>
      <c r="C70" s="15">
        <v>0.625</v>
      </c>
      <c r="D70" s="15"/>
      <c r="E70" s="15"/>
      <c r="F70" s="15"/>
      <c r="G70" s="15"/>
      <c r="H70" s="2">
        <f t="shared" si="3"/>
        <v>10.583399999999997</v>
      </c>
      <c r="I70" s="2">
        <f t="shared" si="4"/>
        <v>7.5829999999999984</v>
      </c>
      <c r="J70" s="4">
        <f t="shared" si="5"/>
        <v>18.166399999999996</v>
      </c>
    </row>
    <row r="71" spans="1:10" ht="15.75" x14ac:dyDescent="0.25">
      <c r="A71" s="13" t="s">
        <v>79</v>
      </c>
      <c r="B71" s="15"/>
      <c r="C71" s="15"/>
      <c r="D71" s="15">
        <v>7</v>
      </c>
      <c r="E71" s="15"/>
      <c r="F71" s="15"/>
      <c r="G71" s="15"/>
      <c r="H71" s="2">
        <f t="shared" si="3"/>
        <v>3.5833999999999975</v>
      </c>
      <c r="I71" s="2">
        <f t="shared" si="4"/>
        <v>7.5829999999999984</v>
      </c>
      <c r="J71" s="4">
        <f t="shared" si="5"/>
        <v>11.166399999999996</v>
      </c>
    </row>
    <row r="72" spans="1:10" ht="15.75" x14ac:dyDescent="0.25">
      <c r="A72" s="13" t="s">
        <v>80</v>
      </c>
      <c r="B72" s="15"/>
      <c r="C72" s="15"/>
      <c r="D72" s="15"/>
      <c r="E72" s="15">
        <v>4</v>
      </c>
      <c r="F72" s="15"/>
      <c r="G72" s="15"/>
      <c r="H72" s="2">
        <f t="shared" si="3"/>
        <v>3.5833999999999975</v>
      </c>
      <c r="I72" s="2">
        <f t="shared" si="4"/>
        <v>3.5829999999999984</v>
      </c>
      <c r="J72" s="4">
        <f t="shared" si="5"/>
        <v>7.1663999999999959</v>
      </c>
    </row>
    <row r="73" spans="1:10" ht="30" x14ac:dyDescent="0.25">
      <c r="A73" s="32" t="s">
        <v>110</v>
      </c>
      <c r="B73" s="15"/>
      <c r="C73" s="15"/>
      <c r="D73" s="15"/>
      <c r="E73" s="15"/>
      <c r="F73" s="15"/>
      <c r="G73" s="15"/>
      <c r="H73" s="2">
        <f t="shared" si="3"/>
        <v>3.5833999999999975</v>
      </c>
      <c r="I73" s="2">
        <f t="shared" si="4"/>
        <v>3.5829999999999984</v>
      </c>
      <c r="J73" s="4">
        <f t="shared" si="5"/>
        <v>7.1663999999999959</v>
      </c>
    </row>
    <row r="74" spans="1:10" ht="15.75" x14ac:dyDescent="0.25">
      <c r="A74" s="13" t="s">
        <v>81</v>
      </c>
      <c r="B74" s="15">
        <v>0.62539999999999996</v>
      </c>
      <c r="C74" s="15">
        <v>0.625</v>
      </c>
      <c r="D74" s="15"/>
      <c r="E74" s="15"/>
      <c r="F74" s="15"/>
      <c r="G74" s="15"/>
      <c r="H74" s="2">
        <f t="shared" si="3"/>
        <v>4.2087999999999974</v>
      </c>
      <c r="I74" s="2">
        <f t="shared" si="4"/>
        <v>4.2079999999999984</v>
      </c>
      <c r="J74" s="4">
        <f t="shared" si="5"/>
        <v>8.416799999999995</v>
      </c>
    </row>
    <row r="75" spans="1:10" ht="15.75" x14ac:dyDescent="0.25">
      <c r="A75" s="13" t="s">
        <v>82</v>
      </c>
      <c r="B75" s="15">
        <v>1.25</v>
      </c>
      <c r="C75" s="15">
        <v>1.25</v>
      </c>
      <c r="D75" s="15"/>
      <c r="E75" s="15"/>
      <c r="F75" s="15"/>
      <c r="G75" s="15"/>
      <c r="H75" s="2">
        <f t="shared" si="3"/>
        <v>5.4587999999999974</v>
      </c>
      <c r="I75" s="2">
        <f t="shared" si="4"/>
        <v>5.4579999999999984</v>
      </c>
      <c r="J75" s="4">
        <f t="shared" si="5"/>
        <v>10.916799999999995</v>
      </c>
    </row>
    <row r="76" spans="1:10" ht="15.75" x14ac:dyDescent="0.25">
      <c r="A76" s="13" t="s">
        <v>83</v>
      </c>
      <c r="B76" s="15"/>
      <c r="C76" s="15"/>
      <c r="D76" s="15">
        <v>1.5</v>
      </c>
      <c r="E76" s="15">
        <v>2.5</v>
      </c>
      <c r="F76" s="15"/>
      <c r="G76" s="15"/>
      <c r="H76" s="2">
        <f t="shared" si="3"/>
        <v>3.9587999999999974</v>
      </c>
      <c r="I76" s="2">
        <f t="shared" si="4"/>
        <v>2.9579999999999984</v>
      </c>
      <c r="J76" s="4">
        <f t="shared" si="5"/>
        <v>6.9167999999999958</v>
      </c>
    </row>
    <row r="77" spans="1:10" ht="30" x14ac:dyDescent="0.25">
      <c r="A77" s="32" t="s">
        <v>108</v>
      </c>
      <c r="B77" s="15"/>
      <c r="C77" s="15"/>
      <c r="D77" s="15"/>
      <c r="E77" s="15"/>
      <c r="F77" s="15"/>
      <c r="G77" s="15"/>
      <c r="H77" s="2"/>
      <c r="I77" s="2"/>
      <c r="J77" s="4"/>
    </row>
    <row r="78" spans="1:10" ht="15.75" x14ac:dyDescent="0.25">
      <c r="A78" s="13" t="s">
        <v>91</v>
      </c>
      <c r="B78" s="15"/>
      <c r="C78" s="15"/>
      <c r="D78" s="15"/>
      <c r="E78" s="15"/>
      <c r="F78" s="15">
        <v>2</v>
      </c>
      <c r="G78" s="15"/>
      <c r="H78" s="2">
        <f>H76-F78-D78+B78</f>
        <v>1.9587999999999974</v>
      </c>
      <c r="I78" s="2">
        <f>I76-E78+C78</f>
        <v>2.9579999999999984</v>
      </c>
      <c r="J78" s="4">
        <f t="shared" si="5"/>
        <v>4.9167999999999958</v>
      </c>
    </row>
    <row r="79" spans="1:10" ht="15.75" x14ac:dyDescent="0.25">
      <c r="A79" s="13" t="s">
        <v>84</v>
      </c>
      <c r="B79" s="15">
        <v>1.25</v>
      </c>
      <c r="C79" s="15">
        <v>1.25</v>
      </c>
      <c r="D79" s="15"/>
      <c r="E79" s="15"/>
      <c r="F79" s="15"/>
      <c r="G79" s="15"/>
      <c r="H79" s="2">
        <f t="shared" si="3"/>
        <v>3.2087999999999974</v>
      </c>
      <c r="I79" s="2">
        <f t="shared" si="4"/>
        <v>4.2079999999999984</v>
      </c>
      <c r="J79" s="4">
        <f t="shared" si="5"/>
        <v>7.4167999999999958</v>
      </c>
    </row>
    <row r="80" spans="1:10" ht="27" customHeight="1" x14ac:dyDescent="0.25">
      <c r="A80" s="32" t="s">
        <v>109</v>
      </c>
      <c r="B80" s="15"/>
      <c r="C80" s="15"/>
      <c r="D80" s="15"/>
      <c r="E80" s="15"/>
      <c r="F80" s="15"/>
      <c r="G80" s="15"/>
      <c r="H80" s="2"/>
      <c r="I80" s="2"/>
      <c r="J80" s="4"/>
    </row>
    <row r="81" spans="1:10" ht="15.75" x14ac:dyDescent="0.25">
      <c r="A81" s="13" t="s">
        <v>85</v>
      </c>
      <c r="B81" s="15"/>
      <c r="C81" s="15"/>
      <c r="D81" s="15"/>
      <c r="E81" s="15"/>
      <c r="F81" s="24">
        <v>1</v>
      </c>
      <c r="G81" s="15"/>
      <c r="H81" s="2">
        <f>H79-F81-D81+B81</f>
        <v>2.2087999999999974</v>
      </c>
      <c r="I81" s="2">
        <f>I79-E81+C81</f>
        <v>4.2079999999999984</v>
      </c>
      <c r="J81" s="4">
        <f t="shared" si="5"/>
        <v>6.4167999999999958</v>
      </c>
    </row>
    <row r="82" spans="1:10" ht="15.75" x14ac:dyDescent="0.25">
      <c r="A82" s="13" t="s">
        <v>86</v>
      </c>
      <c r="B82" s="15">
        <v>1.25</v>
      </c>
      <c r="C82" s="15">
        <v>1.25</v>
      </c>
      <c r="D82" s="15"/>
      <c r="E82" s="15"/>
      <c r="F82" s="15"/>
      <c r="G82" s="15"/>
      <c r="H82" s="2">
        <f t="shared" si="3"/>
        <v>3.4587999999999974</v>
      </c>
      <c r="I82" s="2">
        <f t="shared" si="4"/>
        <v>5.4579999999999984</v>
      </c>
      <c r="J82" s="4">
        <f t="shared" si="5"/>
        <v>8.916799999999995</v>
      </c>
    </row>
    <row r="83" spans="1:10" ht="15.75" x14ac:dyDescent="0.25">
      <c r="A83" s="20" t="s">
        <v>87</v>
      </c>
      <c r="B83" s="18"/>
      <c r="C83" s="18"/>
      <c r="D83" s="18"/>
      <c r="E83" s="18"/>
      <c r="F83" s="24">
        <v>1</v>
      </c>
      <c r="G83" s="18"/>
      <c r="H83" s="2">
        <f t="shared" si="3"/>
        <v>2.4587999999999974</v>
      </c>
      <c r="I83" s="2">
        <f t="shared" si="4"/>
        <v>5.4579999999999984</v>
      </c>
      <c r="J83" s="4">
        <f t="shared" si="5"/>
        <v>7.9167999999999958</v>
      </c>
    </row>
    <row r="84" spans="1:10" ht="15.75" x14ac:dyDescent="0.25">
      <c r="A84" s="20" t="s">
        <v>88</v>
      </c>
      <c r="B84" s="15"/>
      <c r="C84" s="15"/>
      <c r="D84" s="15"/>
      <c r="E84" s="15">
        <v>1</v>
      </c>
      <c r="F84" s="15"/>
      <c r="G84" s="18"/>
      <c r="H84" s="2">
        <f t="shared" ref="H84:H87" si="6">H83-F84-D84+B84</f>
        <v>2.4587999999999974</v>
      </c>
      <c r="I84" s="2">
        <f t="shared" ref="I84:I87" si="7">I83-E84+C84</f>
        <v>4.4579999999999984</v>
      </c>
      <c r="J84" s="4">
        <f t="shared" ref="J84:J87" si="8">SUM(H84:I84)</f>
        <v>6.9167999999999958</v>
      </c>
    </row>
    <row r="85" spans="1:10" ht="15.75" x14ac:dyDescent="0.25">
      <c r="A85" s="20" t="s">
        <v>89</v>
      </c>
      <c r="B85" s="15">
        <v>1.25</v>
      </c>
      <c r="C85" s="15">
        <v>1.25</v>
      </c>
      <c r="D85" s="15"/>
      <c r="E85" s="15"/>
      <c r="F85" s="15"/>
      <c r="G85" s="18"/>
      <c r="H85" s="2">
        <f t="shared" si="6"/>
        <v>3.7087999999999974</v>
      </c>
      <c r="I85" s="2">
        <f t="shared" si="7"/>
        <v>5.7079999999999984</v>
      </c>
      <c r="J85" s="4">
        <f t="shared" si="8"/>
        <v>9.416799999999995</v>
      </c>
    </row>
    <row r="86" spans="1:10" ht="15.75" x14ac:dyDescent="0.25">
      <c r="A86" s="20" t="s">
        <v>90</v>
      </c>
      <c r="B86" s="15"/>
      <c r="C86" s="15"/>
      <c r="D86" s="15"/>
      <c r="E86" s="15"/>
      <c r="F86" s="24">
        <v>1</v>
      </c>
      <c r="G86" s="18"/>
      <c r="H86" s="2">
        <f t="shared" si="6"/>
        <v>2.7087999999999974</v>
      </c>
      <c r="I86" s="2">
        <f t="shared" si="7"/>
        <v>5.7079999999999984</v>
      </c>
      <c r="J86" s="4">
        <f t="shared" si="8"/>
        <v>8.416799999999995</v>
      </c>
    </row>
    <row r="87" spans="1:10" ht="15.75" x14ac:dyDescent="0.25">
      <c r="A87" s="20" t="s">
        <v>92</v>
      </c>
      <c r="B87" s="15">
        <v>6.25</v>
      </c>
      <c r="C87" s="15">
        <v>6.25</v>
      </c>
      <c r="D87" s="15"/>
      <c r="E87" s="15"/>
      <c r="F87" s="18"/>
      <c r="G87" s="18"/>
      <c r="H87" s="2">
        <f t="shared" si="6"/>
        <v>8.9587999999999965</v>
      </c>
      <c r="I87" s="2">
        <f t="shared" si="7"/>
        <v>11.957999999999998</v>
      </c>
      <c r="J87" s="4">
        <f t="shared" si="8"/>
        <v>20.916799999999995</v>
      </c>
    </row>
    <row r="88" spans="1:10" ht="15.75" x14ac:dyDescent="0.25">
      <c r="A88" s="20" t="s">
        <v>97</v>
      </c>
      <c r="B88" s="15"/>
      <c r="C88" s="15"/>
      <c r="D88" s="15">
        <v>4</v>
      </c>
      <c r="E88" s="15"/>
      <c r="F88" s="18"/>
      <c r="G88" s="18"/>
      <c r="H88" s="2">
        <f t="shared" ref="H88" si="9">H87-F88-D88+B88</f>
        <v>4.9587999999999965</v>
      </c>
      <c r="I88" s="2">
        <f t="shared" ref="I88" si="10">I87-E88+C88</f>
        <v>11.957999999999998</v>
      </c>
      <c r="J88" s="4">
        <f t="shared" ref="J88" si="11">SUM(H88:I88)</f>
        <v>16.916799999999995</v>
      </c>
    </row>
    <row r="89" spans="1:10" ht="15.75" x14ac:dyDescent="0.25">
      <c r="A89" s="20" t="s">
        <v>98</v>
      </c>
      <c r="B89" s="15"/>
      <c r="C89" s="15"/>
      <c r="D89" s="15"/>
      <c r="E89" s="15">
        <v>3</v>
      </c>
      <c r="F89" s="18"/>
      <c r="G89" s="18"/>
      <c r="H89" s="2">
        <f t="shared" ref="H89:H90" si="12">H88-F89-D89+B89</f>
        <v>4.9587999999999965</v>
      </c>
      <c r="I89" s="2">
        <f t="shared" ref="I89:I90" si="13">I88-E89+C89</f>
        <v>8.9579999999999984</v>
      </c>
      <c r="J89" s="4">
        <f t="shared" ref="J89:J90" si="14">SUM(H89:I89)</f>
        <v>13.916799999999995</v>
      </c>
    </row>
    <row r="90" spans="1:10" ht="15.75" x14ac:dyDescent="0.25">
      <c r="A90" s="20" t="s">
        <v>99</v>
      </c>
      <c r="B90" s="15"/>
      <c r="C90" s="15"/>
      <c r="D90" s="15"/>
      <c r="E90" s="15"/>
      <c r="F90" s="24">
        <v>2</v>
      </c>
      <c r="G90" s="18"/>
      <c r="H90" s="2">
        <f t="shared" si="12"/>
        <v>2.9587999999999965</v>
      </c>
      <c r="I90" s="2">
        <f t="shared" si="13"/>
        <v>8.9579999999999984</v>
      </c>
      <c r="J90" s="4">
        <f t="shared" si="14"/>
        <v>11.916799999999995</v>
      </c>
    </row>
    <row r="91" spans="1:10" ht="15.75" x14ac:dyDescent="0.25">
      <c r="A91" s="20" t="s">
        <v>100</v>
      </c>
      <c r="B91" s="15"/>
      <c r="C91" s="15"/>
      <c r="D91" s="15"/>
      <c r="E91" s="15">
        <v>4</v>
      </c>
      <c r="F91" s="18"/>
      <c r="G91" s="18"/>
      <c r="H91" s="2">
        <f t="shared" ref="H91:H94" si="15">H90-F91-D91+B91</f>
        <v>2.9587999999999965</v>
      </c>
      <c r="I91" s="2">
        <f t="shared" ref="I91:I94" si="16">I90-E91+C91</f>
        <v>4.9579999999999984</v>
      </c>
      <c r="J91" s="4">
        <f t="shared" ref="J91:J94" si="17">SUM(H91:I91)</f>
        <v>7.916799999999995</v>
      </c>
    </row>
    <row r="92" spans="1:10" ht="15.75" x14ac:dyDescent="0.25">
      <c r="A92" s="20" t="s">
        <v>101</v>
      </c>
      <c r="B92" s="15"/>
      <c r="C92" s="15"/>
      <c r="D92" s="15"/>
      <c r="E92" s="15"/>
      <c r="F92" s="18"/>
      <c r="G92" s="31">
        <v>2</v>
      </c>
      <c r="H92" s="2">
        <f t="shared" si="15"/>
        <v>2.9587999999999965</v>
      </c>
      <c r="I92" s="2">
        <f t="shared" si="16"/>
        <v>4.9579999999999984</v>
      </c>
      <c r="J92" s="4">
        <f t="shared" si="17"/>
        <v>7.916799999999995</v>
      </c>
    </row>
    <row r="93" spans="1:10" ht="15.75" x14ac:dyDescent="0.25">
      <c r="A93" s="20" t="s">
        <v>102</v>
      </c>
      <c r="B93" s="15"/>
      <c r="C93" s="15"/>
      <c r="D93" s="15"/>
      <c r="E93" s="15">
        <v>2</v>
      </c>
      <c r="F93" s="18"/>
      <c r="G93" s="18"/>
      <c r="H93" s="2">
        <f t="shared" si="15"/>
        <v>2.9587999999999965</v>
      </c>
      <c r="I93" s="2">
        <f t="shared" si="16"/>
        <v>2.9579999999999984</v>
      </c>
      <c r="J93" s="4">
        <f t="shared" si="17"/>
        <v>5.916799999999995</v>
      </c>
    </row>
    <row r="94" spans="1:10" ht="15.75" x14ac:dyDescent="0.25">
      <c r="A94" s="20" t="s">
        <v>103</v>
      </c>
      <c r="B94" s="15"/>
      <c r="C94" s="15"/>
      <c r="D94" s="15"/>
      <c r="E94" s="15"/>
      <c r="F94" s="18"/>
      <c r="G94" s="31">
        <v>1</v>
      </c>
      <c r="H94" s="2">
        <f t="shared" si="15"/>
        <v>2.9587999999999965</v>
      </c>
      <c r="I94" s="2">
        <f t="shared" si="16"/>
        <v>2.9579999999999984</v>
      </c>
      <c r="J94" s="4">
        <f t="shared" si="17"/>
        <v>5.916799999999995</v>
      </c>
    </row>
    <row r="95" spans="1:10" ht="15.75" x14ac:dyDescent="0.25">
      <c r="A95" s="20" t="s">
        <v>104</v>
      </c>
      <c r="B95" s="15"/>
      <c r="C95" s="15"/>
      <c r="D95" s="15">
        <v>2</v>
      </c>
      <c r="E95" s="15"/>
      <c r="F95" s="18"/>
      <c r="G95" s="15"/>
      <c r="H95" s="2">
        <f t="shared" ref="H95:H98" si="18">H94-F95-D95+B95</f>
        <v>0.95879999999999654</v>
      </c>
      <c r="I95" s="2">
        <f t="shared" ref="I95:I98" si="19">I94-E95+C95</f>
        <v>2.9579999999999984</v>
      </c>
      <c r="J95" s="4">
        <f t="shared" ref="J95:J98" si="20">SUM(H95:I95)</f>
        <v>3.916799999999995</v>
      </c>
    </row>
    <row r="96" spans="1:10" ht="15.75" x14ac:dyDescent="0.25">
      <c r="A96" s="20" t="s">
        <v>105</v>
      </c>
      <c r="B96" s="15"/>
      <c r="C96" s="15"/>
      <c r="D96" s="15"/>
      <c r="E96" s="15">
        <v>2</v>
      </c>
      <c r="F96" s="18"/>
      <c r="G96" s="15"/>
      <c r="H96" s="2">
        <f t="shared" si="18"/>
        <v>0.95879999999999654</v>
      </c>
      <c r="I96" s="2">
        <f t="shared" si="19"/>
        <v>0.95799999999999841</v>
      </c>
      <c r="J96" s="4">
        <f t="shared" si="20"/>
        <v>1.916799999999995</v>
      </c>
    </row>
    <row r="97" spans="1:10" ht="30" x14ac:dyDescent="0.25">
      <c r="A97" s="33" t="s">
        <v>106</v>
      </c>
      <c r="B97" s="15"/>
      <c r="C97" s="15"/>
      <c r="D97" s="15"/>
      <c r="E97" s="15"/>
      <c r="F97" s="18"/>
      <c r="G97" s="15"/>
      <c r="H97" s="2">
        <f t="shared" si="18"/>
        <v>0.95879999999999654</v>
      </c>
      <c r="I97" s="2">
        <f t="shared" si="19"/>
        <v>0.95799999999999841</v>
      </c>
      <c r="J97" s="4">
        <f t="shared" si="20"/>
        <v>1.916799999999995</v>
      </c>
    </row>
    <row r="98" spans="1:10" ht="30" x14ac:dyDescent="0.25">
      <c r="A98" s="33" t="s">
        <v>107</v>
      </c>
      <c r="B98" s="15"/>
      <c r="C98" s="15"/>
      <c r="D98" s="15"/>
      <c r="E98" s="15"/>
      <c r="F98" s="18"/>
      <c r="G98" s="15"/>
      <c r="H98" s="2">
        <f t="shared" si="18"/>
        <v>0.95879999999999654</v>
      </c>
      <c r="I98" s="2">
        <f t="shared" si="19"/>
        <v>0.95799999999999841</v>
      </c>
      <c r="J98" s="4">
        <f t="shared" si="20"/>
        <v>1.916799999999995</v>
      </c>
    </row>
    <row r="99" spans="1:10" ht="15.75" x14ac:dyDescent="0.25">
      <c r="A99" s="21"/>
      <c r="B99" s="19"/>
      <c r="C99" s="19"/>
      <c r="D99" s="19"/>
      <c r="E99" s="19"/>
      <c r="F99" s="19"/>
      <c r="G99" s="19"/>
      <c r="H99" s="22"/>
      <c r="I99" s="22"/>
      <c r="J99" s="23"/>
    </row>
    <row r="100" spans="1:10" s="1" customFormat="1" ht="15" customHeight="1" x14ac:dyDescent="0.25">
      <c r="G100" s="1" t="s">
        <v>72</v>
      </c>
      <c r="J100"/>
    </row>
    <row r="101" spans="1:10" s="1" customFormat="1" ht="15" customHeight="1" x14ac:dyDescent="0.25"/>
    <row r="102" spans="1:10" s="1" customFormat="1" ht="15" customHeight="1" x14ac:dyDescent="0.25">
      <c r="G102" s="30" t="s">
        <v>73</v>
      </c>
    </row>
    <row r="103" spans="1:10" s="1" customFormat="1" ht="15" customHeight="1" x14ac:dyDescent="0.25">
      <c r="G103" s="1" t="s">
        <v>74</v>
      </c>
    </row>
    <row r="104" spans="1:10" s="1" customFormat="1" ht="15" customHeight="1" x14ac:dyDescent="0.25">
      <c r="G104" s="1" t="s">
        <v>96</v>
      </c>
    </row>
    <row r="105" spans="1:10" x14ac:dyDescent="0.25">
      <c r="B105" s="19"/>
      <c r="C105" s="19"/>
      <c r="D105" s="19"/>
      <c r="E105" s="19"/>
      <c r="F105" s="19"/>
      <c r="G105" s="19"/>
      <c r="H105" s="19"/>
      <c r="I105" s="19"/>
      <c r="J105" s="19"/>
    </row>
    <row r="106" spans="1:10" x14ac:dyDescent="0.25">
      <c r="B106" s="19"/>
      <c r="C106" s="19"/>
      <c r="D106" s="19"/>
      <c r="E106" s="19"/>
      <c r="F106" s="19"/>
      <c r="G106" s="19"/>
      <c r="H106" s="19"/>
      <c r="I106" s="19"/>
      <c r="J106" s="19"/>
    </row>
    <row r="107" spans="1:10" x14ac:dyDescent="0.25">
      <c r="B107" s="19"/>
      <c r="C107" s="19"/>
      <c r="D107" s="19"/>
      <c r="E107" s="19"/>
      <c r="F107" s="19"/>
      <c r="G107" s="19"/>
      <c r="H107" s="19"/>
      <c r="I107" s="19"/>
      <c r="J107" s="19"/>
    </row>
  </sheetData>
  <mergeCells count="13">
    <mergeCell ref="K11:K12"/>
    <mergeCell ref="B11:C11"/>
    <mergeCell ref="D11:G11"/>
    <mergeCell ref="H11:I11"/>
    <mergeCell ref="A11:A12"/>
    <mergeCell ref="J11:J12"/>
    <mergeCell ref="B9:D9"/>
    <mergeCell ref="A10:J10"/>
    <mergeCell ref="A2:J2"/>
    <mergeCell ref="A3:J3"/>
    <mergeCell ref="A4:J4"/>
    <mergeCell ref="A5:J5"/>
    <mergeCell ref="B7:D7"/>
  </mergeCells>
  <phoneticPr fontId="7" type="noConversion"/>
  <printOptions horizontalCentered="1"/>
  <pageMargins left="0.25" right="0.25" top="0.25" bottom="0.25" header="0.3" footer="0.3"/>
  <pageSetup paperSize="14" scale="5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 (NE)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2024-09-12T03:13:13Z</cp:lastPrinted>
  <dcterms:created xsi:type="dcterms:W3CDTF">2021-10-07T06:10:16Z</dcterms:created>
  <dcterms:modified xsi:type="dcterms:W3CDTF">2025-08-12T07:21:08Z</dcterms:modified>
</cp:coreProperties>
</file>