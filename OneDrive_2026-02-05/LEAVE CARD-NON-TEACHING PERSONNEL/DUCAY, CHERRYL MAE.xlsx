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(NE)" sheetId="6" r:id="rId1"/>
    <sheet name="CTO" sheetId="10" r:id="rId2"/>
    <sheet name="Other types of leave" sheetId="9" r:id="rId3"/>
  </sheets>
  <definedNames>
    <definedName name="_xlnm.Print_Area" localSheetId="0">'Leave Card (NE)'!$A$1:$J$83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<sst xmlns="http://schemas.openxmlformats.org/spreadsheetml/2006/main" count="156" uniqueCount="127">
  <si>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</si>
  <si>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</si>
  <si>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</si>
  <si>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</si>
  <si>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</si>
  <si>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</si>
  <si>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</si>
  <si>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</si>
  <si>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</si>
  <si>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</si>
  <si>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</si>
  <si>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</si>
  <si>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</si>
  <si>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</si>
  <si>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</si>
  <si>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</si>
  <si>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</si>
  <si>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</si>
  <si>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</si>
  <si>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 LEAVE</t>
  </si>
  <si>
    <t>DATE OF ORIGINAL APPOINTMENT: APRIL 19, 2021</t>
  </si>
  <si>
    <t>ADD: 4/19/2021 - 4/30/2021</t>
  </si>
  <si>
    <t>ADD: 5/01/2021 - 11/31/2021</t>
  </si>
  <si>
    <t>LESS: 12/24 &amp; 29/2021</t>
  </si>
  <si>
    <t>ADD: 12/01/2021 - 12/31/2021</t>
  </si>
  <si>
    <t>LESS:  FL 2021</t>
  </si>
  <si>
    <t>ADD: 01/01/22 - 02/28/22</t>
  </si>
  <si>
    <t>LESS: 03/04/22</t>
  </si>
  <si>
    <t>ADD: 03/01/22 - 03/31/22</t>
  </si>
  <si>
    <t>LESS: 04/27/22</t>
  </si>
  <si>
    <t>ADD: 04/01/22 - 08/31/22</t>
  </si>
  <si>
    <t>LESS: MONETIZATION 2022</t>
  </si>
  <si>
    <t>LESS: 12/23/2022</t>
  </si>
  <si>
    <t>ADD: 09/01/22 - 11/30/22</t>
  </si>
  <si>
    <t>LESS: 12/06/2022</t>
  </si>
  <si>
    <t>LESS: 12/19/2022</t>
  </si>
  <si>
    <t>ADD: 12/01/22 - 12/31/22</t>
  </si>
  <si>
    <t>LESS: 01/17/2023</t>
  </si>
  <si>
    <t>ADD: 01/01/23 - 01/31/23</t>
  </si>
  <si>
    <t>LESS: 02/13-14/23</t>
  </si>
  <si>
    <t>LESS: 02/15-16/23</t>
  </si>
  <si>
    <t>LESS: 02/17,20-23/23</t>
  </si>
  <si>
    <t>ADD: 02/01-28/23</t>
  </si>
  <si>
    <t>LESS: 03/07 &amp; 08/2023</t>
  </si>
  <si>
    <t>ADD: 03/01/23-04/30/23</t>
  </si>
  <si>
    <t>LESS:05/26/23</t>
  </si>
  <si>
    <t>LESS: 05/29/2023</t>
  </si>
  <si>
    <t>ADD: 05/01/23-07/31/23</t>
  </si>
  <si>
    <t>LESS: 08/7-11/23</t>
  </si>
  <si>
    <t>ADD: 08/01/23 -08/31/23</t>
  </si>
  <si>
    <t>LESS: 08/14-18/23</t>
  </si>
  <si>
    <t>LESS: MONETIZATION 2023</t>
  </si>
  <si>
    <t>ADD: 09/01/2023-10/31/2023</t>
  </si>
  <si>
    <t>LESS: 11/14-15/2023</t>
  </si>
  <si>
    <t>LESS: 11/16/2023</t>
  </si>
  <si>
    <t>ADD: 11/01/2023-11/30/2023</t>
  </si>
  <si>
    <t>LESS: 12/29/2023</t>
  </si>
  <si>
    <t>ADD: 12/01/2023-12/31/2023</t>
  </si>
  <si>
    <t>LESS: FL 2023</t>
  </si>
  <si>
    <t>LESS: 01/04/2024</t>
  </si>
  <si>
    <t>ADD: 01/01-31/2024 - 04/30/2024</t>
  </si>
  <si>
    <t>LESS: 05/27/2024</t>
  </si>
  <si>
    <t>LESS: 05/31/2024</t>
  </si>
  <si>
    <t>ADD: 05/1/2024-10/31/2024</t>
  </si>
  <si>
    <t>LESS: 11/15/2024</t>
  </si>
  <si>
    <t>LESS: 11/28/2024, 12/ 26-27/2024</t>
  </si>
  <si>
    <t>LESS: 12/23/2024</t>
  </si>
  <si>
    <t>ADD: 11/1/2024-12/31/2024</t>
  </si>
  <si>
    <t>ADD: 01/1/2025-03/31/2025</t>
  </si>
  <si>
    <t>LESS: 04/21/2025</t>
  </si>
  <si>
    <t>ADD: 04/1-30/2025</t>
  </si>
  <si>
    <t>LESS: 05/23/2025</t>
  </si>
  <si>
    <t>ADD: 05/1/2025-06/30/2025</t>
  </si>
  <si>
    <t>LESS: MONETIZATION 2025</t>
  </si>
  <si>
    <t>ADD: 07/1-31/2025</t>
  </si>
  <si>
    <t>LESS: 08/22/2025</t>
  </si>
  <si>
    <t>ADD: 08/1-31/2025</t>
  </si>
  <si>
    <t>LESS: 09/19/2025</t>
  </si>
  <si>
    <t>ADD: 09/1-30/2025</t>
  </si>
  <si>
    <t>LESS: 10/17/2025</t>
  </si>
  <si>
    <t>LESS: 11/7/2025</t>
  </si>
  <si>
    <t>ADD: 10/1/2025-11/30/2025</t>
  </si>
  <si>
    <t>LESS: 12/23 &amp; 26/2025</t>
  </si>
  <si>
    <t>Certified Correct:</t>
  </si>
  <si>
    <t>MA. LUISA B. CATIGAN</t>
  </si>
  <si>
    <t>Administrative Officer IV</t>
  </si>
  <si>
    <t xml:space="preserve">               HRMO</t>
  </si>
  <si>
    <t>REGION VI-WESTERN VISAYAS</t>
  </si>
  <si>
    <t>COMPENSATORY TIME OFF (CTO)</t>
  </si>
  <si>
    <t>Special Order No. and Date Issued</t>
  </si>
  <si>
    <t>No. of Days Granted</t>
  </si>
  <si>
    <t>No. of Days Used</t>
  </si>
  <si>
    <t>Balance</t>
  </si>
  <si>
    <t>ADD: 10/17/2023</t>
  </si>
  <si>
    <t>S.O. # 159, S. 2023. 125TH PHILIPPINE INDEPENDENCE DAY CELEBRATION</t>
  </si>
  <si>
    <t>LESS: 11/13/2023</t>
  </si>
  <si>
    <t>ADD: 06/26/2024</t>
  </si>
  <si>
    <t>S.O. # 024, S. 2024 126TH PHILIPPINE INDEPENDENCE DAY CELEBRATION</t>
  </si>
  <si>
    <t>LESS: 01/3/2025</t>
  </si>
  <si>
    <t>ADD: 02/5/2025</t>
  </si>
  <si>
    <t>SO # 002, S. 2025 RIZAL DAY 2024 CELEBRATION</t>
  </si>
  <si>
    <t>LESS: 11/20/2025</t>
  </si>
  <si>
    <t>ADD: 07/01/2025</t>
  </si>
  <si>
    <t>SO # 044, S. 2025 127th PHIL. INDEPENCE DAY</t>
  </si>
  <si>
    <t>LESS: 11/21/2025</t>
  </si>
  <si>
    <t>NOTE:  Valid for one (1) year only</t>
  </si>
  <si>
    <t>HRMO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</si>
  <si>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</si>
  <si>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</si>
  <si>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</si>
  <si>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</si>
  <si>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</si>
  <si>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</si>
  <si>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</si>
  <si>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</si>
  <si>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</si>
  <si>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</si>
  <si>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</si>
  <si>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</si>
  <si>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</si>
  <si>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</si>
  <si>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</si>
  <si>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</si>
  <si>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</si>
  <si>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</si>
  <si>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01/21/2022</t>
  </si>
  <si>
    <t>LESS: 12/28 &amp; 29/2022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</si>
</sst>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6" borderId="1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7" borderId="20" applyNumberFormat="0" applyAlignment="0" applyProtection="0">
      <alignment vertical="center"/>
    </xf>
    <xf numFmtId="0" fontId="19" fillId="18" borderId="21" applyNumberFormat="0" applyAlignment="0" applyProtection="0">
      <alignment vertical="center"/>
    </xf>
    <xf numFmtId="0" fontId="20" fillId="18" borderId="20" applyNumberFormat="0" applyAlignment="0" applyProtection="0">
      <alignment vertical="center"/>
    </xf>
    <xf numFmtId="0" fontId="21" fillId="19" borderId="22" applyNumberFormat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0" fillId="0" borderId="0"/>
  </cellStyleXfs>
  <cellXfs count="10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3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176" fontId="0" fillId="2" borderId="3" xfId="0" applyNumberFormat="1" applyFill="1" applyBorder="1" applyAlignment="1">
      <alignment horizontal="center" vertical="center"/>
    </xf>
    <xf numFmtId="0" fontId="0" fillId="0" borderId="0" xfId="49"/>
    <xf numFmtId="0" fontId="0" fillId="2" borderId="0" xfId="49" applyFill="1"/>
    <xf numFmtId="0" fontId="0" fillId="2" borderId="0" xfId="49" applyFill="1" applyAlignment="1">
      <alignment horizontal="center" vertical="center"/>
    </xf>
    <xf numFmtId="0" fontId="3" fillId="2" borderId="0" xfId="49" applyFont="1" applyFill="1" applyAlignment="1">
      <alignment vertical="center"/>
    </xf>
    <xf numFmtId="0" fontId="3" fillId="2" borderId="8" xfId="49" applyFont="1" applyFill="1" applyBorder="1" applyAlignment="1">
      <alignment horizontal="center" vertical="center"/>
    </xf>
    <xf numFmtId="0" fontId="3" fillId="2" borderId="0" xfId="49" applyFont="1" applyFill="1"/>
    <xf numFmtId="0" fontId="3" fillId="2" borderId="8" xfId="49" applyFont="1" applyFill="1" applyBorder="1" applyAlignment="1">
      <alignment vertical="center"/>
    </xf>
    <xf numFmtId="0" fontId="4" fillId="2" borderId="1" xfId="49" applyFont="1" applyFill="1" applyBorder="1" applyAlignment="1">
      <alignment horizontal="center" vertical="center"/>
    </xf>
    <xf numFmtId="0" fontId="5" fillId="3" borderId="9" xfId="49" applyFont="1" applyFill="1" applyBorder="1" applyAlignment="1">
      <alignment horizontal="center" vertical="center"/>
    </xf>
    <xf numFmtId="0" fontId="5" fillId="5" borderId="10" xfId="49" applyFont="1" applyFill="1" applyBorder="1" applyAlignment="1">
      <alignment horizontal="center" vertical="center"/>
    </xf>
    <xf numFmtId="0" fontId="5" fillId="5" borderId="11" xfId="49" applyFont="1" applyFill="1" applyBorder="1" applyAlignment="1">
      <alignment horizontal="center" vertical="center"/>
    </xf>
    <xf numFmtId="0" fontId="5" fillId="3" borderId="4" xfId="49" applyFont="1" applyFill="1" applyBorder="1" applyAlignment="1">
      <alignment horizontal="center" vertical="center"/>
    </xf>
    <xf numFmtId="0" fontId="6" fillId="4" borderId="12" xfId="49" applyFont="1" applyFill="1" applyBorder="1" applyAlignment="1">
      <alignment horizontal="center" vertical="center" wrapText="1"/>
    </xf>
    <xf numFmtId="0" fontId="6" fillId="4" borderId="13" xfId="49" applyFont="1" applyFill="1" applyBorder="1" applyAlignment="1">
      <alignment horizontal="center" vertical="center" wrapText="1"/>
    </xf>
    <xf numFmtId="0" fontId="6" fillId="4" borderId="14" xfId="49" applyFont="1" applyFill="1" applyBorder="1" applyAlignment="1">
      <alignment horizontal="center" vertical="center" wrapText="1"/>
    </xf>
    <xf numFmtId="0" fontId="0" fillId="2" borderId="4" xfId="49" applyFont="1" applyFill="1" applyBorder="1" applyAlignment="1">
      <alignment horizontal="center" vertical="center" wrapText="1"/>
    </xf>
    <xf numFmtId="0" fontId="6" fillId="2" borderId="12" xfId="49" applyFont="1" applyFill="1" applyBorder="1" applyAlignment="1">
      <alignment horizontal="center" vertical="center" wrapText="1"/>
    </xf>
    <xf numFmtId="0" fontId="6" fillId="2" borderId="13" xfId="49" applyFont="1" applyFill="1" applyBorder="1" applyAlignment="1">
      <alignment horizontal="center" vertical="center" wrapText="1"/>
    </xf>
    <xf numFmtId="0" fontId="6" fillId="2" borderId="14" xfId="49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0" fillId="0" borderId="0" xfId="49" applyAlignment="1">
      <alignment vertical="center"/>
    </xf>
    <xf numFmtId="0" fontId="6" fillId="2" borderId="0" xfId="49" applyFont="1" applyFill="1" applyAlignment="1">
      <alignment horizontal="center" vertical="center" wrapText="1"/>
    </xf>
    <xf numFmtId="0" fontId="2" fillId="2" borderId="0" xfId="49" applyFont="1" applyFill="1" applyAlignment="1">
      <alignment horizontal="center" vertical="center"/>
    </xf>
    <xf numFmtId="0" fontId="0" fillId="2" borderId="0" xfId="49" applyFill="1" applyAlignment="1">
      <alignment horizontal="center"/>
    </xf>
    <xf numFmtId="0" fontId="3" fillId="0" borderId="0" xfId="49" applyFont="1" applyAlignment="1">
      <alignment horizontal="center" vertical="center"/>
    </xf>
    <xf numFmtId="0" fontId="0" fillId="0" borderId="0" xfId="49" applyAlignment="1">
      <alignment horizontal="center"/>
    </xf>
    <xf numFmtId="0" fontId="0" fillId="0" borderId="0" xfId="49" applyAlignment="1">
      <alignment horizontal="center" vertical="center"/>
    </xf>
    <xf numFmtId="0" fontId="5" fillId="3" borderId="15" xfId="49" applyFont="1" applyFill="1" applyBorder="1" applyAlignment="1">
      <alignment horizontal="center" vertical="center"/>
    </xf>
    <xf numFmtId="0" fontId="1" fillId="0" borderId="0" xfId="49" applyFont="1"/>
    <xf numFmtId="0" fontId="5" fillId="3" borderId="6" xfId="49" applyFont="1" applyFill="1" applyBorder="1" applyAlignment="1">
      <alignment horizontal="center" vertical="center"/>
    </xf>
    <xf numFmtId="0" fontId="0" fillId="2" borderId="7" xfId="49" applyFill="1" applyBorder="1" applyAlignment="1">
      <alignment horizontal="center" vertical="center" wrapText="1"/>
    </xf>
    <xf numFmtId="0" fontId="6" fillId="6" borderId="12" xfId="49" applyFont="1" applyFill="1" applyBorder="1" applyAlignment="1">
      <alignment horizontal="center" vertical="center" wrapText="1"/>
    </xf>
    <xf numFmtId="0" fontId="6" fillId="6" borderId="14" xfId="49" applyFont="1" applyFill="1" applyBorder="1" applyAlignment="1">
      <alignment horizontal="center" vertical="center" wrapText="1"/>
    </xf>
    <xf numFmtId="0" fontId="0" fillId="6" borderId="7" xfId="49" applyFill="1" applyBorder="1" applyAlignment="1">
      <alignment horizontal="center" vertical="center" wrapText="1"/>
    </xf>
    <xf numFmtId="0" fontId="2" fillId="0" borderId="0" xfId="49" applyFont="1"/>
    <xf numFmtId="0" fontId="6" fillId="0" borderId="12" xfId="49" applyFont="1" applyFill="1" applyBorder="1" applyAlignment="1">
      <alignment horizontal="center" vertical="center" wrapText="1"/>
    </xf>
    <xf numFmtId="0" fontId="6" fillId="0" borderId="14" xfId="49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2" borderId="0" xfId="49" applyFill="1" applyAlignment="1">
      <alignment horizontal="center" vertical="center" wrapText="1"/>
    </xf>
    <xf numFmtId="0" fontId="0" fillId="0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5" fillId="10" borderId="9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12" borderId="10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5" fillId="13" borderId="10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176" fontId="0" fillId="2" borderId="3" xfId="0" applyNumberFormat="1" applyFill="1" applyBorder="1" applyAlignment="1">
      <alignment vertical="center"/>
    </xf>
    <xf numFmtId="0" fontId="0" fillId="14" borderId="3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13" borderId="11" xfId="0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8" fillId="2" borderId="0" xfId="0" applyFont="1" applyFill="1"/>
    <xf numFmtId="176" fontId="0" fillId="0" borderId="0" xfId="0" applyNumberFormat="1" applyFill="1" applyAlignment="1">
      <alignment horizontal="center" vertical="center" wrapText="1"/>
    </xf>
    <xf numFmtId="176" fontId="0" fillId="2" borderId="0" xfId="0" applyNumberFormat="1" applyFill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375503</xdr:colOff>
      <xdr:row>0</xdr:row>
      <xdr:rowOff>31261</xdr:rowOff>
    </xdr:from>
    <xdr:to>
      <xdr:col>4</xdr:col>
      <xdr:colOff>256441</xdr:colOff>
      <xdr:row>1</xdr:row>
      <xdr:rowOff>6105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29455" y="31115"/>
          <a:ext cx="674370" cy="6413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5" name="TextBox 4"/>
        <xdr:cNvSpPr txBox="1"/>
      </xdr:nvSpPr>
      <xdr:spPr>
        <a:xfrm>
          <a:off x="573405" y="1376045"/>
          <a:ext cx="199326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DUCAY, CHERRYL MAE P.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6" name="TextBox 5"/>
        <xdr:cNvSpPr txBox="1"/>
      </xdr:nvSpPr>
      <xdr:spPr>
        <a:xfrm>
          <a:off x="616585" y="1725930"/>
          <a:ext cx="195008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ADAS-III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518991</xdr:colOff>
      <xdr:row>8</xdr:row>
      <xdr:rowOff>140434</xdr:rowOff>
    </xdr:to>
    <xdr:sp>
      <xdr:nvSpPr>
        <xdr:cNvPr id="7" name="TextBox 6"/>
        <xdr:cNvSpPr txBox="1"/>
      </xdr:nvSpPr>
      <xdr:spPr>
        <a:xfrm>
          <a:off x="3775075" y="1707515"/>
          <a:ext cx="169164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GPAES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24265</xdr:colOff>
      <xdr:row>0</xdr:row>
      <xdr:rowOff>192769</xdr:rowOff>
    </xdr:from>
    <xdr:to>
      <xdr:col>5</xdr:col>
      <xdr:colOff>87538</xdr:colOff>
      <xdr:row>1</xdr:row>
      <xdr:rowOff>29028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6875" y="192405"/>
          <a:ext cx="689610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>
      <xdr:nvSpPr>
        <xdr:cNvPr id="3" name="TextBox 2"/>
        <xdr:cNvSpPr txBox="1"/>
      </xdr:nvSpPr>
      <xdr:spPr>
        <a:xfrm>
          <a:off x="573405" y="1500505"/>
          <a:ext cx="2355850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DUCAY, CHERRYL MAE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>
      <xdr:nvSpPr>
        <xdr:cNvPr id="4" name="TextBox 3"/>
        <xdr:cNvSpPr txBox="1"/>
      </xdr:nvSpPr>
      <xdr:spPr>
        <a:xfrm>
          <a:off x="654050" y="1897380"/>
          <a:ext cx="1066800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</a:t>
          </a:r>
          <a:r>
            <a:rPr lang="en-US" sz="1100" baseline="0"/>
            <a:t> VI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>
      <xdr:nvSpPr>
        <xdr:cNvPr id="5" name="TextBox 4"/>
        <xdr:cNvSpPr txBox="1"/>
      </xdr:nvSpPr>
      <xdr:spPr>
        <a:xfrm>
          <a:off x="4082415" y="1920240"/>
          <a:ext cx="1189990" cy="334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385" y="28575"/>
          <a:ext cx="683895" cy="6254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749165"/>
          <a:ext cx="297497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816429</xdr:colOff>
      <xdr:row>5</xdr:row>
      <xdr:rowOff>58317</xdr:rowOff>
    </xdr:from>
    <xdr:to>
      <xdr:col>2</xdr:col>
      <xdr:colOff>252830</xdr:colOff>
      <xdr:row>7</xdr:row>
      <xdr:rowOff>101307</xdr:rowOff>
    </xdr:to>
    <xdr:sp>
      <xdr:nvSpPr>
        <xdr:cNvPr id="4" name="TextBox 3"/>
        <xdr:cNvSpPr txBox="1"/>
      </xdr:nvSpPr>
      <xdr:spPr>
        <a:xfrm>
          <a:off x="815975" y="1465580"/>
          <a:ext cx="1954530" cy="252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DUCAY, CHERRYL MAE</a:t>
          </a:r>
          <a:endParaRPr lang="en-US" sz="1100"/>
        </a:p>
      </xdr:txBody>
    </xdr:sp>
    <xdr:clientData/>
  </xdr:twoCellAnchor>
  <xdr:twoCellAnchor>
    <xdr:from>
      <xdr:col>0</xdr:col>
      <xdr:colOff>822908</xdr:colOff>
      <xdr:row>8</xdr:row>
      <xdr:rowOff>32398</xdr:rowOff>
    </xdr:from>
    <xdr:to>
      <xdr:col>2</xdr:col>
      <xdr:colOff>246609</xdr:colOff>
      <xdr:row>9</xdr:row>
      <xdr:rowOff>127225</xdr:rowOff>
    </xdr:to>
    <xdr:sp>
      <xdr:nvSpPr>
        <xdr:cNvPr id="5" name="TextBox 4"/>
        <xdr:cNvSpPr txBox="1"/>
      </xdr:nvSpPr>
      <xdr:spPr>
        <a:xfrm>
          <a:off x="822325" y="1802130"/>
          <a:ext cx="1941830" cy="247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 VI</a:t>
          </a:r>
          <a:endParaRPr lang="en-US" sz="1100"/>
        </a:p>
      </xdr:txBody>
    </xdr:sp>
    <xdr:clientData/>
  </xdr:twoCellAnchor>
  <xdr:twoCellAnchor>
    <xdr:from>
      <xdr:col>3</xdr:col>
      <xdr:colOff>596122</xdr:colOff>
      <xdr:row>7</xdr:row>
      <xdr:rowOff>84236</xdr:rowOff>
    </xdr:from>
    <xdr:to>
      <xdr:col>6</xdr:col>
      <xdr:colOff>21557</xdr:colOff>
      <xdr:row>9</xdr:row>
      <xdr:rowOff>23552</xdr:rowOff>
    </xdr:to>
    <xdr:sp>
      <xdr:nvSpPr>
        <xdr:cNvPr id="6" name="TextBox 5"/>
        <xdr:cNvSpPr txBox="1"/>
      </xdr:nvSpPr>
      <xdr:spPr>
        <a:xfrm>
          <a:off x="3769995" y="1701165"/>
          <a:ext cx="1395095" cy="244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83"/>
  <sheetViews>
    <sheetView tabSelected="1" view="pageBreakPreview" zoomScale="104" zoomScaleNormal="100" topLeftCell="A49" workbookViewId="0">
      <selection activeCell="D63" sqref="D63"/>
    </sheetView>
  </sheetViews>
  <sheetFormatPr defaultColWidth="9" defaultRowHeight="14.4"/>
  <cols>
    <col min="1" max="1" width="37.4259259259259" customWidth="1"/>
    <col min="2" max="2" width="11.5740740740741" style="72" customWidth="1"/>
    <col min="3" max="3" width="11.5740740740741" style="73" customWidth="1"/>
    <col min="4" max="4" width="11.5740740740741" style="72" customWidth="1"/>
    <col min="5" max="5" width="11.5740740740741" style="73" customWidth="1"/>
    <col min="6" max="7" width="11.5740740740741" style="74" customWidth="1"/>
    <col min="8" max="8" width="11.5740740740741" style="72" customWidth="1"/>
    <col min="9" max="9" width="11.5740740740741" style="73" customWidth="1"/>
    <col min="10" max="10" width="11.5740740740741" customWidth="1"/>
  </cols>
  <sheetData>
    <row r="1" s="1" customFormat="1" ht="52.5" customHeight="1"/>
    <row r="2" s="1" customFormat="1" ht="10.5" customHeight="1" spans="1:10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</row>
    <row r="3" s="1" customFormat="1" ht="15.95" customHeight="1" spans="1:10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</row>
    <row r="4" s="1" customFormat="1" ht="15.95" customHeight="1" spans="1:10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</row>
    <row r="5" s="1" customFormat="1" ht="15.95" customHeight="1" spans="1:10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</row>
    <row r="6" s="1" customFormat="1" ht="8.25" customHeight="1"/>
    <row r="7" s="1" customFormat="1" ht="12" customHeight="1" spans="1:10">
      <c r="A7" s="1" t="s">
        <v>4</v>
      </c>
      <c r="B7" s="9" t="s">
        <v>5</v>
      </c>
      <c r="C7" s="9"/>
      <c r="D7" s="9"/>
      <c r="H7" s="8" t="s">
        <v>6</v>
      </c>
      <c r="I7" s="91"/>
      <c r="J7" s="8"/>
    </row>
    <row r="8" s="1" customFormat="1" ht="12" customHeight="1" spans="2:10">
      <c r="B8" s="10"/>
      <c r="C8" s="10"/>
      <c r="H8" s="10"/>
      <c r="I8" s="10"/>
      <c r="J8" s="10"/>
    </row>
    <row r="9" s="1" customFormat="1" ht="12" customHeight="1" spans="1:10">
      <c r="A9" s="1" t="s">
        <v>7</v>
      </c>
      <c r="B9" s="9" t="s">
        <v>8</v>
      </c>
      <c r="C9" s="9"/>
      <c r="D9" s="9"/>
      <c r="H9" s="8" t="s">
        <v>9</v>
      </c>
      <c r="I9" s="92"/>
      <c r="J9" s="8"/>
    </row>
    <row r="10" ht="16.5" customHeight="1" spans="1:10">
      <c r="A10" s="12" t="s">
        <v>10</v>
      </c>
      <c r="B10" s="12"/>
      <c r="C10" s="12"/>
      <c r="D10" s="12"/>
      <c r="E10" s="12"/>
      <c r="F10" s="12"/>
      <c r="G10" s="12"/>
      <c r="H10" s="12"/>
      <c r="I10" s="12"/>
      <c r="J10" s="12"/>
    </row>
    <row r="11" s="2" customFormat="1" ht="15.95" customHeight="1" spans="1:10">
      <c r="A11" s="75" t="s">
        <v>11</v>
      </c>
      <c r="B11" s="76" t="s">
        <v>12</v>
      </c>
      <c r="C11" s="77"/>
      <c r="D11" s="78" t="s">
        <v>13</v>
      </c>
      <c r="E11" s="79"/>
      <c r="F11" s="79"/>
      <c r="G11" s="79"/>
      <c r="H11" s="80" t="s">
        <v>14</v>
      </c>
      <c r="I11" s="93"/>
      <c r="J11" s="94" t="s">
        <v>15</v>
      </c>
    </row>
    <row r="12" s="2" customFormat="1" ht="39" customHeight="1" spans="1:10">
      <c r="A12" s="81"/>
      <c r="B12" s="82" t="s">
        <v>16</v>
      </c>
      <c r="C12" s="83" t="s">
        <v>17</v>
      </c>
      <c r="D12" s="82" t="s">
        <v>16</v>
      </c>
      <c r="E12" s="83" t="s">
        <v>17</v>
      </c>
      <c r="F12" s="84" t="s">
        <v>18</v>
      </c>
      <c r="G12" s="85" t="s">
        <v>19</v>
      </c>
      <c r="H12" s="82" t="s">
        <v>16</v>
      </c>
      <c r="I12" s="83" t="s">
        <v>17</v>
      </c>
      <c r="J12" s="95"/>
    </row>
    <row r="13" s="2" customFormat="1" ht="15.95" customHeight="1" spans="1:10">
      <c r="A13" s="86" t="s">
        <v>20</v>
      </c>
      <c r="B13" s="87"/>
      <c r="C13" s="87"/>
      <c r="D13" s="87"/>
      <c r="E13" s="87"/>
      <c r="F13" s="87"/>
      <c r="G13" s="87"/>
      <c r="H13" s="87"/>
      <c r="I13" s="87"/>
      <c r="J13" s="96"/>
    </row>
    <row r="14" s="2" customFormat="1" ht="15.95" customHeight="1" spans="1:10">
      <c r="A14" s="16" t="s">
        <v>21</v>
      </c>
      <c r="B14" s="25">
        <v>0.5</v>
      </c>
      <c r="C14" s="25">
        <v>0.5</v>
      </c>
      <c r="D14" s="25"/>
      <c r="E14" s="25"/>
      <c r="F14" s="25"/>
      <c r="G14" s="25"/>
      <c r="H14" s="25">
        <f>B14</f>
        <v>0.5</v>
      </c>
      <c r="I14" s="25">
        <f>C14</f>
        <v>0.5</v>
      </c>
      <c r="J14" s="97">
        <f t="shared" ref="J14:J15" si="0">H14+I14</f>
        <v>1</v>
      </c>
    </row>
    <row r="15" s="3" customFormat="1" ht="15.95" customHeight="1" spans="1:10">
      <c r="A15" s="17" t="s">
        <v>22</v>
      </c>
      <c r="B15" s="25">
        <v>8.75</v>
      </c>
      <c r="C15" s="25">
        <v>8.75</v>
      </c>
      <c r="D15" s="25"/>
      <c r="E15" s="25"/>
      <c r="F15" s="25"/>
      <c r="G15" s="25"/>
      <c r="H15" s="25">
        <f>H14-F15-D15+B15</f>
        <v>9.25</v>
      </c>
      <c r="I15" s="25">
        <f>I14-E15+C15</f>
        <v>9.25</v>
      </c>
      <c r="J15" s="97">
        <f t="shared" si="0"/>
        <v>18.5</v>
      </c>
    </row>
    <row r="16" s="3" customFormat="1" ht="15.95" customHeight="1" spans="1:10">
      <c r="A16" s="17" t="s">
        <v>23</v>
      </c>
      <c r="B16" s="25"/>
      <c r="C16" s="25"/>
      <c r="D16" s="25"/>
      <c r="E16" s="25"/>
      <c r="F16" s="25"/>
      <c r="G16" s="25">
        <v>2</v>
      </c>
      <c r="H16" s="25">
        <f t="shared" ref="H16:H17" si="1">H15-F16-D16+B16</f>
        <v>9.25</v>
      </c>
      <c r="I16" s="25">
        <f t="shared" ref="I16:I17" si="2">I15-E16+C16</f>
        <v>9.25</v>
      </c>
      <c r="J16" s="97">
        <f t="shared" ref="J16:J17" si="3">H16+I16</f>
        <v>18.5</v>
      </c>
    </row>
    <row r="17" s="3" customFormat="1" ht="15.95" customHeight="1" spans="1:10">
      <c r="A17" s="17" t="s">
        <v>24</v>
      </c>
      <c r="B17" s="25">
        <v>1.25</v>
      </c>
      <c r="C17" s="25">
        <v>1.25</v>
      </c>
      <c r="D17" s="25"/>
      <c r="E17" s="25"/>
      <c r="F17" s="25"/>
      <c r="G17" s="25"/>
      <c r="H17" s="25">
        <f t="shared" si="1"/>
        <v>10.5</v>
      </c>
      <c r="I17" s="25">
        <f t="shared" si="2"/>
        <v>10.5</v>
      </c>
      <c r="J17" s="97">
        <f t="shared" si="3"/>
        <v>21</v>
      </c>
    </row>
    <row r="18" s="3" customFormat="1" ht="15.95" customHeight="1" spans="1:10">
      <c r="A18" s="17" t="s">
        <v>25</v>
      </c>
      <c r="B18" s="25"/>
      <c r="C18" s="25"/>
      <c r="D18" s="25"/>
      <c r="E18" s="25"/>
      <c r="F18" s="25">
        <v>5</v>
      </c>
      <c r="G18" s="25"/>
      <c r="H18" s="25">
        <f t="shared" ref="H18:H34" si="4">H17-F18-D18+B18</f>
        <v>5.5</v>
      </c>
      <c r="I18" s="25">
        <f t="shared" ref="I18:I34" si="5">I17-E18+C18</f>
        <v>10.5</v>
      </c>
      <c r="J18" s="97">
        <f t="shared" ref="J18:J34" si="6">H18+I18</f>
        <v>16</v>
      </c>
    </row>
    <row r="19" s="3" customFormat="1" ht="15.95" customHeight="1" spans="1:10">
      <c r="A19" s="16" t="s">
        <v>26</v>
      </c>
      <c r="B19" s="25">
        <v>2.5</v>
      </c>
      <c r="C19" s="25">
        <v>2.5</v>
      </c>
      <c r="D19" s="25"/>
      <c r="E19" s="25"/>
      <c r="F19" s="25"/>
      <c r="G19" s="25"/>
      <c r="H19" s="25">
        <f t="shared" si="4"/>
        <v>8</v>
      </c>
      <c r="I19" s="25">
        <f t="shared" si="5"/>
        <v>13</v>
      </c>
      <c r="J19" s="97">
        <f t="shared" si="6"/>
        <v>21</v>
      </c>
    </row>
    <row r="20" s="3" customFormat="1" ht="15.95" customHeight="1" spans="1:10">
      <c r="A20" s="16" t="s">
        <v>27</v>
      </c>
      <c r="B20" s="88"/>
      <c r="C20" s="25"/>
      <c r="D20" s="25"/>
      <c r="E20" s="25"/>
      <c r="F20" s="25">
        <v>1</v>
      </c>
      <c r="G20" s="25"/>
      <c r="H20" s="25">
        <f t="shared" si="4"/>
        <v>7</v>
      </c>
      <c r="I20" s="25">
        <f t="shared" si="5"/>
        <v>13</v>
      </c>
      <c r="J20" s="97">
        <f t="shared" si="6"/>
        <v>20</v>
      </c>
    </row>
    <row r="21" s="3" customFormat="1" ht="15.95" customHeight="1" spans="1:10">
      <c r="A21" s="16" t="s">
        <v>28</v>
      </c>
      <c r="B21" s="25">
        <v>1.25</v>
      </c>
      <c r="C21" s="25">
        <v>1.25</v>
      </c>
      <c r="D21" s="25"/>
      <c r="E21" s="25"/>
      <c r="F21" s="25"/>
      <c r="G21" s="25"/>
      <c r="H21" s="25">
        <f t="shared" si="4"/>
        <v>8.25</v>
      </c>
      <c r="I21" s="25">
        <f t="shared" si="5"/>
        <v>14.25</v>
      </c>
      <c r="J21" s="97">
        <f t="shared" si="6"/>
        <v>22.5</v>
      </c>
    </row>
    <row r="22" s="3" customFormat="1" ht="15.95" customHeight="1" spans="1:10">
      <c r="A22" s="16" t="s">
        <v>29</v>
      </c>
      <c r="B22" s="25"/>
      <c r="C22" s="25"/>
      <c r="D22" s="25"/>
      <c r="E22" s="25"/>
      <c r="F22" s="25">
        <v>1</v>
      </c>
      <c r="G22" s="25"/>
      <c r="H22" s="25">
        <f t="shared" si="4"/>
        <v>7.25</v>
      </c>
      <c r="I22" s="25">
        <f t="shared" si="5"/>
        <v>14.25</v>
      </c>
      <c r="J22" s="97">
        <f t="shared" si="6"/>
        <v>21.5</v>
      </c>
    </row>
    <row r="23" ht="15.95" customHeight="1" spans="1:10">
      <c r="A23" s="16" t="s">
        <v>30</v>
      </c>
      <c r="B23" s="25">
        <v>6.25</v>
      </c>
      <c r="C23" s="25">
        <v>6.25</v>
      </c>
      <c r="D23" s="88"/>
      <c r="E23" s="88"/>
      <c r="F23" s="88"/>
      <c r="G23" s="88"/>
      <c r="H23" s="25">
        <f t="shared" si="4"/>
        <v>13.5</v>
      </c>
      <c r="I23" s="25">
        <f t="shared" si="5"/>
        <v>20.5</v>
      </c>
      <c r="J23" s="97">
        <f t="shared" si="6"/>
        <v>34</v>
      </c>
    </row>
    <row r="24" ht="15.95" customHeight="1" spans="1:10">
      <c r="A24" s="16" t="s">
        <v>31</v>
      </c>
      <c r="B24" s="25"/>
      <c r="C24" s="25"/>
      <c r="D24" s="25">
        <v>7</v>
      </c>
      <c r="E24" s="25">
        <v>13</v>
      </c>
      <c r="F24" s="25"/>
      <c r="G24" s="25"/>
      <c r="H24" s="25">
        <f t="shared" si="4"/>
        <v>6.5</v>
      </c>
      <c r="I24" s="25">
        <f t="shared" si="5"/>
        <v>7.5</v>
      </c>
      <c r="J24" s="97">
        <f t="shared" si="6"/>
        <v>14</v>
      </c>
    </row>
    <row r="25" ht="15.95" customHeight="1" spans="1:10">
      <c r="A25" s="16" t="s">
        <v>32</v>
      </c>
      <c r="B25" s="25"/>
      <c r="C25" s="25"/>
      <c r="D25" s="88"/>
      <c r="E25" s="25"/>
      <c r="F25" s="25">
        <v>1</v>
      </c>
      <c r="G25" s="25"/>
      <c r="H25" s="25">
        <f t="shared" si="4"/>
        <v>5.5</v>
      </c>
      <c r="I25" s="25">
        <f t="shared" si="5"/>
        <v>7.5</v>
      </c>
      <c r="J25" s="97">
        <f t="shared" si="6"/>
        <v>13</v>
      </c>
    </row>
    <row r="26" ht="15.95" customHeight="1" spans="1:10">
      <c r="A26" s="16" t="s">
        <v>33</v>
      </c>
      <c r="B26" s="25">
        <v>3.75</v>
      </c>
      <c r="C26" s="25">
        <v>3.75</v>
      </c>
      <c r="D26" s="25"/>
      <c r="E26" s="25"/>
      <c r="F26" s="25"/>
      <c r="G26" s="25"/>
      <c r="H26" s="25">
        <f t="shared" si="4"/>
        <v>9.25</v>
      </c>
      <c r="I26" s="25">
        <f t="shared" si="5"/>
        <v>11.25</v>
      </c>
      <c r="J26" s="97">
        <f t="shared" si="6"/>
        <v>20.5</v>
      </c>
    </row>
    <row r="27" ht="15.95" customHeight="1" spans="1:10">
      <c r="A27" s="16" t="s">
        <v>34</v>
      </c>
      <c r="B27" s="25"/>
      <c r="C27" s="25"/>
      <c r="D27" s="25"/>
      <c r="E27" s="25"/>
      <c r="F27" s="25">
        <v>1</v>
      </c>
      <c r="G27" s="25"/>
      <c r="H27" s="25">
        <f t="shared" si="4"/>
        <v>8.25</v>
      </c>
      <c r="I27" s="25">
        <f t="shared" si="5"/>
        <v>11.25</v>
      </c>
      <c r="J27" s="97">
        <f t="shared" si="6"/>
        <v>19.5</v>
      </c>
    </row>
    <row r="28" ht="15.95" customHeight="1" spans="1:10">
      <c r="A28" s="16" t="s">
        <v>35</v>
      </c>
      <c r="B28" s="25"/>
      <c r="C28" s="25"/>
      <c r="D28" s="25"/>
      <c r="E28" s="25"/>
      <c r="F28" s="25">
        <v>1</v>
      </c>
      <c r="G28" s="25"/>
      <c r="H28" s="25">
        <f t="shared" si="4"/>
        <v>7.25</v>
      </c>
      <c r="I28" s="25">
        <f t="shared" si="5"/>
        <v>11.25</v>
      </c>
      <c r="J28" s="97">
        <f t="shared" si="6"/>
        <v>18.5</v>
      </c>
    </row>
    <row r="29" ht="15.95" customHeight="1" spans="1:10">
      <c r="A29" s="16" t="s">
        <v>36</v>
      </c>
      <c r="B29" s="25">
        <v>1.25</v>
      </c>
      <c r="C29" s="25">
        <v>1.25</v>
      </c>
      <c r="D29" s="88"/>
      <c r="E29" s="25"/>
      <c r="F29" s="25"/>
      <c r="G29" s="25"/>
      <c r="H29" s="25">
        <f t="shared" si="4"/>
        <v>8.5</v>
      </c>
      <c r="I29" s="25">
        <f t="shared" si="5"/>
        <v>12.5</v>
      </c>
      <c r="J29" s="97">
        <f t="shared" si="6"/>
        <v>21</v>
      </c>
    </row>
    <row r="30" ht="15.95" customHeight="1" spans="1:10">
      <c r="A30" s="16" t="s">
        <v>37</v>
      </c>
      <c r="B30" s="25"/>
      <c r="C30" s="25"/>
      <c r="D30" s="25"/>
      <c r="E30" s="25">
        <v>1</v>
      </c>
      <c r="F30" s="25"/>
      <c r="G30" s="25"/>
      <c r="H30" s="25">
        <f t="shared" si="4"/>
        <v>8.5</v>
      </c>
      <c r="I30" s="25">
        <f t="shared" si="5"/>
        <v>11.5</v>
      </c>
      <c r="J30" s="97">
        <f t="shared" si="6"/>
        <v>20</v>
      </c>
    </row>
    <row r="31" ht="15.95" customHeight="1" spans="1:10">
      <c r="A31" s="16" t="s">
        <v>38</v>
      </c>
      <c r="B31" s="25">
        <v>1.25</v>
      </c>
      <c r="C31" s="25">
        <v>1.25</v>
      </c>
      <c r="D31" s="25"/>
      <c r="E31" s="25"/>
      <c r="F31" s="25"/>
      <c r="G31" s="25"/>
      <c r="H31" s="25">
        <f t="shared" si="4"/>
        <v>9.75</v>
      </c>
      <c r="I31" s="25">
        <f t="shared" si="5"/>
        <v>12.75</v>
      </c>
      <c r="J31" s="97">
        <f t="shared" si="6"/>
        <v>22.5</v>
      </c>
    </row>
    <row r="32" ht="15.95" customHeight="1" spans="1:10">
      <c r="A32" s="16" t="s">
        <v>39</v>
      </c>
      <c r="B32" s="25"/>
      <c r="C32" s="25"/>
      <c r="D32" s="25"/>
      <c r="E32" s="25"/>
      <c r="F32" s="25">
        <v>2</v>
      </c>
      <c r="G32" s="25"/>
      <c r="H32" s="25">
        <f t="shared" si="4"/>
        <v>7.75</v>
      </c>
      <c r="I32" s="25">
        <f t="shared" si="5"/>
        <v>12.75</v>
      </c>
      <c r="J32" s="97">
        <f t="shared" si="6"/>
        <v>20.5</v>
      </c>
    </row>
    <row r="33" ht="15.95" customHeight="1" spans="1:10">
      <c r="A33" s="16" t="s">
        <v>40</v>
      </c>
      <c r="B33" s="25"/>
      <c r="C33" s="25"/>
      <c r="D33" s="25"/>
      <c r="E33" s="25"/>
      <c r="F33" s="25"/>
      <c r="G33" s="25">
        <v>2</v>
      </c>
      <c r="H33" s="25">
        <f t="shared" si="4"/>
        <v>7.75</v>
      </c>
      <c r="I33" s="25">
        <f t="shared" si="5"/>
        <v>12.75</v>
      </c>
      <c r="J33" s="97">
        <f t="shared" si="6"/>
        <v>20.5</v>
      </c>
    </row>
    <row r="34" ht="15.95" customHeight="1" spans="1:10">
      <c r="A34" s="16" t="s">
        <v>41</v>
      </c>
      <c r="B34" s="25"/>
      <c r="C34" s="25"/>
      <c r="D34" s="25"/>
      <c r="E34" s="25">
        <v>5</v>
      </c>
      <c r="F34" s="25"/>
      <c r="G34" s="25"/>
      <c r="H34" s="25">
        <f t="shared" si="4"/>
        <v>7.75</v>
      </c>
      <c r="I34" s="25">
        <f t="shared" si="5"/>
        <v>7.75</v>
      </c>
      <c r="J34" s="97">
        <f t="shared" si="6"/>
        <v>15.5</v>
      </c>
    </row>
    <row r="35" ht="15.95" customHeight="1" spans="1:10">
      <c r="A35" s="16" t="s">
        <v>42</v>
      </c>
      <c r="B35" s="25">
        <v>1.25</v>
      </c>
      <c r="C35" s="25">
        <v>1.25</v>
      </c>
      <c r="D35" s="25"/>
      <c r="E35" s="25"/>
      <c r="F35" s="25"/>
      <c r="G35" s="25"/>
      <c r="H35" s="25">
        <f t="shared" ref="H35:H56" si="7">H34-F35-D35+B35</f>
        <v>9</v>
      </c>
      <c r="I35" s="25">
        <f t="shared" ref="I35:I56" si="8">I34-E35+C35</f>
        <v>9</v>
      </c>
      <c r="J35" s="97">
        <f t="shared" ref="J35:J56" si="9">H35+I35</f>
        <v>18</v>
      </c>
    </row>
    <row r="36" ht="15.95" customHeight="1" spans="1:10">
      <c r="A36" s="16" t="s">
        <v>43</v>
      </c>
      <c r="B36" s="25"/>
      <c r="C36" s="25"/>
      <c r="D36" s="25"/>
      <c r="E36" s="25"/>
      <c r="F36" s="25">
        <v>2</v>
      </c>
      <c r="G36" s="25"/>
      <c r="H36" s="25">
        <f t="shared" si="7"/>
        <v>7</v>
      </c>
      <c r="I36" s="25">
        <f t="shared" si="8"/>
        <v>9</v>
      </c>
      <c r="J36" s="97">
        <f t="shared" si="9"/>
        <v>16</v>
      </c>
    </row>
    <row r="37" ht="15.95" customHeight="1" spans="1:10">
      <c r="A37" s="16" t="s">
        <v>44</v>
      </c>
      <c r="B37" s="25">
        <v>2.5</v>
      </c>
      <c r="C37" s="25">
        <v>2.5</v>
      </c>
      <c r="D37" s="25"/>
      <c r="E37" s="25"/>
      <c r="F37" s="25"/>
      <c r="G37" s="25"/>
      <c r="H37" s="25">
        <f t="shared" si="7"/>
        <v>9.5</v>
      </c>
      <c r="I37" s="25">
        <f t="shared" si="8"/>
        <v>11.5</v>
      </c>
      <c r="J37" s="97">
        <f t="shared" si="9"/>
        <v>21</v>
      </c>
    </row>
    <row r="38" ht="15.95" customHeight="1" spans="1:10">
      <c r="A38" s="16" t="s">
        <v>45</v>
      </c>
      <c r="B38" s="25"/>
      <c r="C38" s="25"/>
      <c r="D38" s="25"/>
      <c r="E38" s="25"/>
      <c r="F38" s="25"/>
      <c r="G38" s="25">
        <v>1</v>
      </c>
      <c r="H38" s="25">
        <f t="shared" si="7"/>
        <v>9.5</v>
      </c>
      <c r="I38" s="25">
        <f t="shared" si="8"/>
        <v>11.5</v>
      </c>
      <c r="J38" s="97">
        <f t="shared" si="9"/>
        <v>21</v>
      </c>
    </row>
    <row r="39" ht="15.95" customHeight="1" spans="1:10">
      <c r="A39" s="16" t="s">
        <v>46</v>
      </c>
      <c r="B39" s="25"/>
      <c r="C39" s="25"/>
      <c r="D39" s="25"/>
      <c r="E39" s="25">
        <v>1</v>
      </c>
      <c r="F39" s="25"/>
      <c r="G39" s="25"/>
      <c r="H39" s="25">
        <f t="shared" si="7"/>
        <v>9.5</v>
      </c>
      <c r="I39" s="25">
        <f t="shared" si="8"/>
        <v>10.5</v>
      </c>
      <c r="J39" s="97">
        <f t="shared" si="9"/>
        <v>20</v>
      </c>
    </row>
    <row r="40" ht="15.95" customHeight="1" spans="1:10">
      <c r="A40" s="16" t="s">
        <v>47</v>
      </c>
      <c r="B40" s="25">
        <f>1.25*3</f>
        <v>3.75</v>
      </c>
      <c r="C40" s="25">
        <v>3.75</v>
      </c>
      <c r="D40" s="25"/>
      <c r="E40" s="25"/>
      <c r="F40" s="25"/>
      <c r="G40" s="25"/>
      <c r="H40" s="25">
        <f t="shared" si="7"/>
        <v>13.25</v>
      </c>
      <c r="I40" s="25">
        <f t="shared" si="8"/>
        <v>14.25</v>
      </c>
      <c r="J40" s="97">
        <f t="shared" si="9"/>
        <v>27.5</v>
      </c>
    </row>
    <row r="41" ht="15.95" customHeight="1" spans="1:10">
      <c r="A41" s="16" t="s">
        <v>48</v>
      </c>
      <c r="B41" s="16"/>
      <c r="C41" s="16"/>
      <c r="D41" s="25">
        <v>5</v>
      </c>
      <c r="E41" s="16"/>
      <c r="F41" s="16"/>
      <c r="G41" s="16"/>
      <c r="H41" s="25">
        <f t="shared" si="7"/>
        <v>8.25</v>
      </c>
      <c r="I41" s="25">
        <f t="shared" si="8"/>
        <v>14.25</v>
      </c>
      <c r="J41" s="97">
        <f t="shared" si="9"/>
        <v>22.5</v>
      </c>
    </row>
    <row r="42" ht="15.95" customHeight="1" spans="1:10">
      <c r="A42" s="16" t="s">
        <v>49</v>
      </c>
      <c r="B42" s="25">
        <v>1.25</v>
      </c>
      <c r="C42" s="25">
        <v>1.25</v>
      </c>
      <c r="D42" s="16"/>
      <c r="E42" s="16"/>
      <c r="F42" s="16"/>
      <c r="G42" s="16"/>
      <c r="H42" s="25">
        <f t="shared" si="7"/>
        <v>9.5</v>
      </c>
      <c r="I42" s="25">
        <f t="shared" si="8"/>
        <v>15.5</v>
      </c>
      <c r="J42" s="97">
        <f t="shared" si="9"/>
        <v>25</v>
      </c>
    </row>
    <row r="43" ht="15.95" customHeight="1" spans="1:10">
      <c r="A43" s="16" t="s">
        <v>50</v>
      </c>
      <c r="B43" s="16"/>
      <c r="C43" s="16"/>
      <c r="D43" s="25"/>
      <c r="E43" s="25">
        <v>5</v>
      </c>
      <c r="F43" s="16"/>
      <c r="G43" s="16"/>
      <c r="H43" s="25">
        <f t="shared" si="7"/>
        <v>9.5</v>
      </c>
      <c r="I43" s="25">
        <f t="shared" si="8"/>
        <v>10.5</v>
      </c>
      <c r="J43" s="97">
        <f t="shared" si="9"/>
        <v>20</v>
      </c>
    </row>
    <row r="44" ht="15.95" customHeight="1" spans="1:10">
      <c r="A44" s="16" t="s">
        <v>51</v>
      </c>
      <c r="B44" s="16"/>
      <c r="C44" s="16"/>
      <c r="D44" s="25">
        <v>9</v>
      </c>
      <c r="E44" s="25">
        <v>5</v>
      </c>
      <c r="F44" s="16"/>
      <c r="G44" s="16"/>
      <c r="H44" s="25">
        <f t="shared" si="7"/>
        <v>0.5</v>
      </c>
      <c r="I44" s="25">
        <f t="shared" si="8"/>
        <v>5.5</v>
      </c>
      <c r="J44" s="97">
        <f t="shared" si="9"/>
        <v>6</v>
      </c>
    </row>
    <row r="45" ht="15.95" customHeight="1" spans="1:10">
      <c r="A45" s="16" t="s">
        <v>52</v>
      </c>
      <c r="B45" s="16">
        <v>2.5</v>
      </c>
      <c r="C45" s="16">
        <v>2.5</v>
      </c>
      <c r="D45" s="16"/>
      <c r="E45" s="16"/>
      <c r="F45" s="16"/>
      <c r="G45" s="16"/>
      <c r="H45" s="25">
        <f t="shared" si="7"/>
        <v>3</v>
      </c>
      <c r="I45" s="25">
        <f t="shared" si="8"/>
        <v>8</v>
      </c>
      <c r="J45" s="97">
        <f t="shared" si="9"/>
        <v>11</v>
      </c>
    </row>
    <row r="46" ht="15.95" customHeight="1" spans="1:10">
      <c r="A46" s="16" t="s">
        <v>53</v>
      </c>
      <c r="B46" s="16"/>
      <c r="C46" s="16"/>
      <c r="D46" s="16">
        <v>2</v>
      </c>
      <c r="E46" s="16"/>
      <c r="F46" s="16"/>
      <c r="G46" s="16"/>
      <c r="H46" s="25">
        <f t="shared" si="7"/>
        <v>1</v>
      </c>
      <c r="I46" s="25">
        <f t="shared" si="8"/>
        <v>8</v>
      </c>
      <c r="J46" s="97">
        <f t="shared" si="9"/>
        <v>9</v>
      </c>
    </row>
    <row r="47" ht="15.95" customHeight="1" spans="1:10">
      <c r="A47" s="16" t="s">
        <v>54</v>
      </c>
      <c r="B47" s="16"/>
      <c r="C47" s="16"/>
      <c r="D47" s="16"/>
      <c r="E47" s="16">
        <v>1</v>
      </c>
      <c r="F47" s="16"/>
      <c r="G47" s="16"/>
      <c r="H47" s="25">
        <f t="shared" si="7"/>
        <v>1</v>
      </c>
      <c r="I47" s="25">
        <f t="shared" si="8"/>
        <v>7</v>
      </c>
      <c r="J47" s="97">
        <f t="shared" si="9"/>
        <v>8</v>
      </c>
    </row>
    <row r="48" ht="15.95" customHeight="1" spans="1:10">
      <c r="A48" s="16" t="s">
        <v>55</v>
      </c>
      <c r="B48" s="16">
        <v>1.25</v>
      </c>
      <c r="C48" s="16">
        <v>1.25</v>
      </c>
      <c r="D48" s="16"/>
      <c r="E48" s="16"/>
      <c r="F48" s="16"/>
      <c r="G48" s="16"/>
      <c r="H48" s="25">
        <f t="shared" si="7"/>
        <v>2.25</v>
      </c>
      <c r="I48" s="25">
        <f t="shared" si="8"/>
        <v>8.25</v>
      </c>
      <c r="J48" s="97">
        <f t="shared" si="9"/>
        <v>10.5</v>
      </c>
    </row>
    <row r="49" ht="15.95" customHeight="1" spans="1:10">
      <c r="A49" s="16" t="s">
        <v>56</v>
      </c>
      <c r="B49" s="16"/>
      <c r="C49" s="16"/>
      <c r="D49" s="16">
        <v>1</v>
      </c>
      <c r="E49" s="16"/>
      <c r="F49" s="16"/>
      <c r="G49" s="16"/>
      <c r="H49" s="25">
        <f t="shared" si="7"/>
        <v>1.25</v>
      </c>
      <c r="I49" s="25">
        <f t="shared" si="8"/>
        <v>8.25</v>
      </c>
      <c r="J49" s="97">
        <f t="shared" si="9"/>
        <v>9.5</v>
      </c>
    </row>
    <row r="50" ht="15.95" customHeight="1" spans="1:10">
      <c r="A50" s="16" t="s">
        <v>57</v>
      </c>
      <c r="B50" s="16">
        <v>1.25</v>
      </c>
      <c r="C50" s="16">
        <v>1.25</v>
      </c>
      <c r="D50" s="16"/>
      <c r="E50" s="16"/>
      <c r="F50" s="16"/>
      <c r="G50" s="16"/>
      <c r="H50" s="25">
        <f t="shared" si="7"/>
        <v>2.5</v>
      </c>
      <c r="I50" s="25">
        <f t="shared" si="8"/>
        <v>9.5</v>
      </c>
      <c r="J50" s="97">
        <f t="shared" si="9"/>
        <v>12</v>
      </c>
    </row>
    <row r="51" ht="15.95" customHeight="1" spans="1:10">
      <c r="A51" s="19" t="s">
        <v>58</v>
      </c>
      <c r="B51" s="19"/>
      <c r="C51" s="19"/>
      <c r="D51" s="19"/>
      <c r="E51" s="19"/>
      <c r="F51" s="19">
        <v>1</v>
      </c>
      <c r="G51" s="19"/>
      <c r="H51" s="25">
        <f t="shared" si="7"/>
        <v>1.5</v>
      </c>
      <c r="I51" s="25">
        <f t="shared" si="8"/>
        <v>9.5</v>
      </c>
      <c r="J51" s="97">
        <f t="shared" si="9"/>
        <v>11</v>
      </c>
    </row>
    <row r="52" ht="15.95" customHeight="1" spans="1:10">
      <c r="A52" s="16" t="s">
        <v>59</v>
      </c>
      <c r="B52" s="16"/>
      <c r="C52" s="16"/>
      <c r="D52" s="16"/>
      <c r="E52" s="16"/>
      <c r="F52" s="19"/>
      <c r="G52" s="19">
        <v>1</v>
      </c>
      <c r="H52" s="25">
        <f t="shared" si="7"/>
        <v>1.5</v>
      </c>
      <c r="I52" s="25">
        <f t="shared" si="8"/>
        <v>9.5</v>
      </c>
      <c r="J52" s="97">
        <f t="shared" si="9"/>
        <v>11</v>
      </c>
    </row>
    <row r="53" ht="15.95" customHeight="1" spans="1:10">
      <c r="A53" s="16" t="s">
        <v>60</v>
      </c>
      <c r="B53" s="16">
        <v>5</v>
      </c>
      <c r="C53" s="16">
        <v>5</v>
      </c>
      <c r="D53" s="16"/>
      <c r="E53" s="16"/>
      <c r="F53" s="19"/>
      <c r="G53" s="19"/>
      <c r="H53" s="25">
        <f t="shared" si="7"/>
        <v>6.5</v>
      </c>
      <c r="I53" s="25">
        <f t="shared" si="8"/>
        <v>14.5</v>
      </c>
      <c r="J53" s="97">
        <f t="shared" si="9"/>
        <v>21</v>
      </c>
    </row>
    <row r="54" ht="15.95" customHeight="1" spans="1:10">
      <c r="A54" s="16" t="s">
        <v>61</v>
      </c>
      <c r="B54" s="16"/>
      <c r="C54" s="16"/>
      <c r="D54" s="16"/>
      <c r="E54" s="16"/>
      <c r="F54" s="19"/>
      <c r="G54" s="19">
        <v>1</v>
      </c>
      <c r="H54" s="25">
        <f t="shared" si="7"/>
        <v>6.5</v>
      </c>
      <c r="I54" s="25">
        <f t="shared" si="8"/>
        <v>14.5</v>
      </c>
      <c r="J54" s="97">
        <f t="shared" si="9"/>
        <v>21</v>
      </c>
    </row>
    <row r="55" ht="15.95" customHeight="1" spans="1:10">
      <c r="A55" s="16" t="s">
        <v>62</v>
      </c>
      <c r="B55" s="16"/>
      <c r="C55" s="16"/>
      <c r="D55" s="16"/>
      <c r="E55" s="16"/>
      <c r="F55" s="19">
        <v>1</v>
      </c>
      <c r="G55" s="19"/>
      <c r="H55" s="25">
        <f t="shared" si="7"/>
        <v>5.5</v>
      </c>
      <c r="I55" s="25">
        <f t="shared" si="8"/>
        <v>14.5</v>
      </c>
      <c r="J55" s="97">
        <f t="shared" si="9"/>
        <v>20</v>
      </c>
    </row>
    <row r="56" ht="15.95" customHeight="1" spans="1:10">
      <c r="A56" s="19" t="s">
        <v>63</v>
      </c>
      <c r="B56" s="19">
        <v>7.5</v>
      </c>
      <c r="C56" s="19">
        <v>7.5</v>
      </c>
      <c r="D56" s="19"/>
      <c r="E56" s="19"/>
      <c r="F56" s="19"/>
      <c r="G56" s="19"/>
      <c r="H56" s="25">
        <f t="shared" si="7"/>
        <v>13</v>
      </c>
      <c r="I56" s="25">
        <f t="shared" si="8"/>
        <v>22</v>
      </c>
      <c r="J56" s="97">
        <f t="shared" si="9"/>
        <v>35</v>
      </c>
    </row>
    <row r="57" ht="15.95" customHeight="1" spans="1:10">
      <c r="A57" s="19" t="s">
        <v>64</v>
      </c>
      <c r="B57" s="19"/>
      <c r="C57" s="19"/>
      <c r="D57" s="19"/>
      <c r="E57" s="19"/>
      <c r="F57" s="19">
        <v>1</v>
      </c>
      <c r="G57" s="19"/>
      <c r="H57" s="25">
        <f t="shared" ref="H57" si="10">H56-F57-D57+B57</f>
        <v>12</v>
      </c>
      <c r="I57" s="25">
        <f t="shared" ref="I57" si="11">I56-E57+C57</f>
        <v>22</v>
      </c>
      <c r="J57" s="97">
        <f t="shared" ref="J57" si="12">H57+I57</f>
        <v>34</v>
      </c>
    </row>
    <row r="58" ht="15.95" customHeight="1" spans="1:10">
      <c r="A58" s="19" t="s">
        <v>65</v>
      </c>
      <c r="B58" s="19"/>
      <c r="C58" s="19"/>
      <c r="D58" s="19"/>
      <c r="E58" s="19"/>
      <c r="F58" s="19">
        <v>3</v>
      </c>
      <c r="G58" s="19"/>
      <c r="H58" s="25">
        <f t="shared" ref="H58:H59" si="13">H57-F58-D58+B58</f>
        <v>9</v>
      </c>
      <c r="I58" s="25">
        <f t="shared" ref="I58:I59" si="14">I57-E58+C58</f>
        <v>22</v>
      </c>
      <c r="J58" s="97">
        <f t="shared" ref="J58:J59" si="15">H58+I58</f>
        <v>31</v>
      </c>
    </row>
    <row r="59" ht="15.95" customHeight="1" spans="1:10">
      <c r="A59" s="19" t="s">
        <v>66</v>
      </c>
      <c r="B59" s="19"/>
      <c r="C59" s="19"/>
      <c r="D59" s="19"/>
      <c r="E59" s="19"/>
      <c r="F59" s="19"/>
      <c r="G59" s="19">
        <v>1</v>
      </c>
      <c r="H59" s="25">
        <f t="shared" si="13"/>
        <v>9</v>
      </c>
      <c r="I59" s="25">
        <f t="shared" si="14"/>
        <v>22</v>
      </c>
      <c r="J59" s="97">
        <f t="shared" si="15"/>
        <v>31</v>
      </c>
    </row>
    <row r="60" ht="15.95" customHeight="1" spans="1:10">
      <c r="A60" s="19" t="s">
        <v>67</v>
      </c>
      <c r="B60" s="19">
        <v>2.5</v>
      </c>
      <c r="C60" s="19">
        <v>2.5</v>
      </c>
      <c r="D60" s="19"/>
      <c r="E60" s="19"/>
      <c r="F60" s="19"/>
      <c r="G60" s="19"/>
      <c r="H60" s="25">
        <f t="shared" ref="H60" si="16">H59-F60-D60+B60</f>
        <v>11.5</v>
      </c>
      <c r="I60" s="25">
        <f t="shared" ref="I60" si="17">I59-E60+C60</f>
        <v>24.5</v>
      </c>
      <c r="J60" s="97">
        <f t="shared" ref="J60" si="18">H60+I60</f>
        <v>36</v>
      </c>
    </row>
    <row r="61" ht="15.95" customHeight="1" spans="1:10">
      <c r="A61" s="19" t="s">
        <v>68</v>
      </c>
      <c r="B61" s="19">
        <v>3.75</v>
      </c>
      <c r="C61" s="19">
        <v>3.75</v>
      </c>
      <c r="D61" s="19"/>
      <c r="E61" s="19"/>
      <c r="F61" s="19"/>
      <c r="G61" s="19"/>
      <c r="H61" s="25">
        <f t="shared" ref="H61:H62" si="19">H60-F61-D61+B61</f>
        <v>15.25</v>
      </c>
      <c r="I61" s="25">
        <f t="shared" ref="I61:I62" si="20">I60-E61+C61</f>
        <v>28.25</v>
      </c>
      <c r="J61" s="97">
        <f t="shared" ref="J61:J62" si="21">H61+I61</f>
        <v>43.5</v>
      </c>
    </row>
    <row r="62" ht="15.95" customHeight="1" spans="1:10">
      <c r="A62" s="19" t="s">
        <v>69</v>
      </c>
      <c r="B62" s="19"/>
      <c r="C62" s="19"/>
      <c r="D62" s="19"/>
      <c r="E62" s="19"/>
      <c r="F62" s="89">
        <v>1</v>
      </c>
      <c r="G62" s="19"/>
      <c r="H62" s="25">
        <f t="shared" si="19"/>
        <v>14.25</v>
      </c>
      <c r="I62" s="25">
        <f t="shared" si="20"/>
        <v>28.25</v>
      </c>
      <c r="J62" s="97">
        <f t="shared" si="21"/>
        <v>42.5</v>
      </c>
    </row>
    <row r="63" ht="15.95" customHeight="1" spans="1:10">
      <c r="A63" s="19" t="s">
        <v>70</v>
      </c>
      <c r="B63" s="19">
        <v>1.25</v>
      </c>
      <c r="C63" s="19">
        <v>1.25</v>
      </c>
      <c r="D63" s="19"/>
      <c r="E63" s="19"/>
      <c r="F63" s="19"/>
      <c r="G63" s="19"/>
      <c r="H63" s="25">
        <f t="shared" ref="H63:H64" si="22">H62-F63-D63+B63</f>
        <v>15.5</v>
      </c>
      <c r="I63" s="25">
        <f t="shared" ref="I63:I64" si="23">I62-E63+C63</f>
        <v>29.5</v>
      </c>
      <c r="J63" s="97">
        <f t="shared" ref="J63:J64" si="24">H63+I63</f>
        <v>45</v>
      </c>
    </row>
    <row r="64" ht="15.95" customHeight="1" spans="1:10">
      <c r="A64" s="19" t="s">
        <v>71</v>
      </c>
      <c r="B64" s="19"/>
      <c r="C64" s="19"/>
      <c r="D64" s="19"/>
      <c r="E64" s="19"/>
      <c r="F64" s="19"/>
      <c r="G64" s="90">
        <v>1</v>
      </c>
      <c r="H64" s="25">
        <f t="shared" si="22"/>
        <v>15.5</v>
      </c>
      <c r="I64" s="25">
        <f t="shared" si="23"/>
        <v>29.5</v>
      </c>
      <c r="J64" s="97">
        <f t="shared" si="24"/>
        <v>45</v>
      </c>
    </row>
    <row r="65" ht="15.95" customHeight="1" spans="1:10">
      <c r="A65" s="19" t="s">
        <v>72</v>
      </c>
      <c r="B65" s="19">
        <v>2.5</v>
      </c>
      <c r="C65" s="19">
        <v>2.5</v>
      </c>
      <c r="D65" s="19"/>
      <c r="E65" s="19"/>
      <c r="F65" s="19"/>
      <c r="G65" s="19"/>
      <c r="H65" s="25">
        <f t="shared" ref="H65:H66" si="25">H64-F65-D65+B65</f>
        <v>18</v>
      </c>
      <c r="I65" s="25">
        <f t="shared" ref="I65:I66" si="26">I64-E65+C65</f>
        <v>32</v>
      </c>
      <c r="J65" s="97">
        <f t="shared" ref="J65:J66" si="27">H65+I65</f>
        <v>50</v>
      </c>
    </row>
    <row r="66" ht="15.95" customHeight="1" spans="1:10">
      <c r="A66" s="19" t="s">
        <v>73</v>
      </c>
      <c r="B66" s="19"/>
      <c r="C66" s="19"/>
      <c r="D66" s="19">
        <v>10</v>
      </c>
      <c r="E66" s="19"/>
      <c r="F66" s="19"/>
      <c r="G66" s="19"/>
      <c r="H66" s="25">
        <f t="shared" si="25"/>
        <v>8</v>
      </c>
      <c r="I66" s="25">
        <f t="shared" si="26"/>
        <v>32</v>
      </c>
      <c r="J66" s="97">
        <f t="shared" si="27"/>
        <v>40</v>
      </c>
    </row>
    <row r="67" ht="15.95" customHeight="1" spans="1:10">
      <c r="A67" s="19" t="s">
        <v>74</v>
      </c>
      <c r="B67" s="19">
        <v>1.25</v>
      </c>
      <c r="C67" s="19">
        <v>1.25</v>
      </c>
      <c r="D67" s="19"/>
      <c r="E67" s="19"/>
      <c r="F67" s="19"/>
      <c r="G67" s="19"/>
      <c r="H67" s="25">
        <f t="shared" ref="H67:H68" si="28">H66-F67-D67+B67</f>
        <v>9.25</v>
      </c>
      <c r="I67" s="25">
        <f t="shared" ref="I67:I68" si="29">I66-E67+C67</f>
        <v>33.25</v>
      </c>
      <c r="J67" s="97">
        <f t="shared" ref="J67:J68" si="30">H67+I67</f>
        <v>42.5</v>
      </c>
    </row>
    <row r="68" ht="15.95" customHeight="1" spans="1:10">
      <c r="A68" s="19" t="s">
        <v>75</v>
      </c>
      <c r="B68" s="19"/>
      <c r="C68" s="19"/>
      <c r="D68" s="19"/>
      <c r="E68" s="19"/>
      <c r="F68" s="89">
        <v>1</v>
      </c>
      <c r="G68" s="19"/>
      <c r="H68" s="25">
        <f t="shared" si="28"/>
        <v>8.25</v>
      </c>
      <c r="I68" s="25">
        <f t="shared" si="29"/>
        <v>33.25</v>
      </c>
      <c r="J68" s="97">
        <f t="shared" si="30"/>
        <v>41.5</v>
      </c>
    </row>
    <row r="69" ht="15.95" customHeight="1" spans="1:10">
      <c r="A69" s="19" t="s">
        <v>76</v>
      </c>
      <c r="B69" s="19">
        <v>1.25</v>
      </c>
      <c r="C69" s="19">
        <v>1.25</v>
      </c>
      <c r="D69" s="19"/>
      <c r="E69" s="19"/>
      <c r="F69" s="19"/>
      <c r="G69" s="19"/>
      <c r="H69" s="25">
        <f t="shared" ref="H69:H70" si="31">H68-F69-D69+B69</f>
        <v>9.5</v>
      </c>
      <c r="I69" s="25">
        <f t="shared" ref="I69:I70" si="32">I68-E69+C69</f>
        <v>34.5</v>
      </c>
      <c r="J69" s="97">
        <f t="shared" ref="J69:J70" si="33">H69+I69</f>
        <v>44</v>
      </c>
    </row>
    <row r="70" ht="15.95" customHeight="1" spans="1:10">
      <c r="A70" s="19" t="s">
        <v>77</v>
      </c>
      <c r="B70" s="19"/>
      <c r="C70" s="19"/>
      <c r="D70" s="19"/>
      <c r="E70" s="19"/>
      <c r="F70" s="19"/>
      <c r="G70" s="90">
        <v>1</v>
      </c>
      <c r="H70" s="25">
        <f t="shared" si="31"/>
        <v>9.5</v>
      </c>
      <c r="I70" s="25">
        <f t="shared" si="32"/>
        <v>34.5</v>
      </c>
      <c r="J70" s="97">
        <f t="shared" si="33"/>
        <v>44</v>
      </c>
    </row>
    <row r="71" ht="15.95" customHeight="1" spans="1:10">
      <c r="A71" s="19" t="s">
        <v>78</v>
      </c>
      <c r="B71" s="19">
        <v>1.25</v>
      </c>
      <c r="C71" s="19">
        <v>1.25</v>
      </c>
      <c r="D71" s="19"/>
      <c r="E71" s="19"/>
      <c r="F71" s="19"/>
      <c r="G71" s="19"/>
      <c r="H71" s="25">
        <f t="shared" ref="H71:H72" si="34">H70-F71-D71+B71</f>
        <v>10.75</v>
      </c>
      <c r="I71" s="25">
        <f t="shared" ref="I71:I72" si="35">I70-E71+C71</f>
        <v>35.75</v>
      </c>
      <c r="J71" s="97">
        <f t="shared" ref="J71:J72" si="36">H71+I71</f>
        <v>46.5</v>
      </c>
    </row>
    <row r="72" ht="15.95" customHeight="1" spans="1:10">
      <c r="A72" s="19" t="s">
        <v>79</v>
      </c>
      <c r="B72" s="19"/>
      <c r="C72" s="19"/>
      <c r="D72" s="19"/>
      <c r="E72" s="19"/>
      <c r="F72" s="89">
        <v>1</v>
      </c>
      <c r="G72" s="19"/>
      <c r="H72" s="25">
        <f t="shared" si="34"/>
        <v>9.75</v>
      </c>
      <c r="I72" s="25">
        <f t="shared" si="35"/>
        <v>35.75</v>
      </c>
      <c r="J72" s="97">
        <f t="shared" si="36"/>
        <v>45.5</v>
      </c>
    </row>
    <row r="73" ht="15.95" customHeight="1" spans="1:10">
      <c r="A73" s="19" t="s">
        <v>80</v>
      </c>
      <c r="B73" s="19"/>
      <c r="C73" s="19"/>
      <c r="D73" s="19"/>
      <c r="E73" s="19"/>
      <c r="F73" s="19"/>
      <c r="G73" s="90">
        <v>1</v>
      </c>
      <c r="H73" s="25">
        <f t="shared" ref="H73" si="37">H72-F73-D73+B73</f>
        <v>9.75</v>
      </c>
      <c r="I73" s="25">
        <f t="shared" ref="I73" si="38">I72-E73+C73</f>
        <v>35.75</v>
      </c>
      <c r="J73" s="97">
        <f t="shared" ref="J73" si="39">H73+I73</f>
        <v>45.5</v>
      </c>
    </row>
    <row r="74" s="71" customFormat="1" ht="15.95" customHeight="1" spans="1:10">
      <c r="A74" s="98" t="s">
        <v>81</v>
      </c>
      <c r="B74" s="98">
        <v>2.5</v>
      </c>
      <c r="C74" s="98">
        <v>2.5</v>
      </c>
      <c r="D74" s="98"/>
      <c r="E74" s="98"/>
      <c r="F74" s="98"/>
      <c r="G74" s="98"/>
      <c r="H74" s="25">
        <f>H73-F74-D74+B74</f>
        <v>12.25</v>
      </c>
      <c r="I74" s="25">
        <f>I73-E74+C74</f>
        <v>38.25</v>
      </c>
      <c r="J74" s="97">
        <f>H74+I74</f>
        <v>50.5</v>
      </c>
    </row>
    <row r="75" s="71" customFormat="1" ht="15.95" customHeight="1" spans="1:10">
      <c r="A75" s="98" t="s">
        <v>82</v>
      </c>
      <c r="B75" s="98"/>
      <c r="C75" s="98"/>
      <c r="D75" s="98"/>
      <c r="E75" s="98"/>
      <c r="F75" s="89">
        <v>2</v>
      </c>
      <c r="G75" s="98"/>
      <c r="H75" s="25">
        <f>H74-F75-D75+B75</f>
        <v>10.25</v>
      </c>
      <c r="I75" s="25">
        <f>I74-E75+C75</f>
        <v>38.25</v>
      </c>
      <c r="J75" s="97">
        <f>H75+I75</f>
        <v>48.5</v>
      </c>
    </row>
    <row r="76" s="71" customFormat="1" ht="15.95" customHeight="1" spans="1:10">
      <c r="A76" s="99"/>
      <c r="B76" s="99"/>
      <c r="C76" s="99"/>
      <c r="D76" s="99"/>
      <c r="E76" s="99"/>
      <c r="F76" s="99"/>
      <c r="G76" s="99"/>
      <c r="H76" s="100"/>
      <c r="I76" s="100"/>
      <c r="J76" s="104"/>
    </row>
    <row r="77" ht="15.95" customHeight="1" spans="1:10">
      <c r="A77" s="101"/>
      <c r="B77" s="101"/>
      <c r="C77" s="101"/>
      <c r="D77" s="101"/>
      <c r="E77" s="101"/>
      <c r="F77" s="101"/>
      <c r="G77" s="101"/>
      <c r="H77" s="102"/>
      <c r="I77" s="102"/>
      <c r="J77" s="105"/>
    </row>
    <row r="78" ht="15.95" customHeight="1" spans="1:10">
      <c r="A78" s="21"/>
      <c r="B78" s="21"/>
      <c r="C78" s="21"/>
      <c r="D78" s="21"/>
      <c r="E78" s="21"/>
      <c r="F78" s="21"/>
      <c r="G78" s="21"/>
      <c r="H78" s="21"/>
      <c r="I78" s="21"/>
      <c r="J78" s="21"/>
    </row>
    <row r="79" s="1" customFormat="1" ht="15.95" customHeight="1" spans="7:7">
      <c r="G79" s="1" t="s">
        <v>83</v>
      </c>
    </row>
    <row r="80" s="1" customFormat="1" ht="15.95" customHeight="1"/>
    <row r="81" s="1" customFormat="1" ht="15.95" customHeight="1" spans="8:8">
      <c r="H81" s="103" t="s">
        <v>84</v>
      </c>
    </row>
    <row r="82" s="1" customFormat="1" ht="15.95" customHeight="1" spans="8:8">
      <c r="H82" s="1" t="s">
        <v>85</v>
      </c>
    </row>
    <row r="83" s="1" customFormat="1" ht="15.95" customHeight="1" spans="8:8">
      <c r="H83" s="1" t="s">
        <v>86</v>
      </c>
    </row>
  </sheetData>
  <mergeCells count="14">
    <mergeCell ref="A2:J2"/>
    <mergeCell ref="A3:J3"/>
    <mergeCell ref="A4:J4"/>
    <mergeCell ref="A5:J5"/>
    <mergeCell ref="B7:D7"/>
    <mergeCell ref="B9:D9"/>
    <mergeCell ref="A10:J10"/>
    <mergeCell ref="B11:C11"/>
    <mergeCell ref="D11:F11"/>
    <mergeCell ref="H11:I11"/>
    <mergeCell ref="A13:J13"/>
    <mergeCell ref="A78:J78"/>
    <mergeCell ref="A11:A12"/>
    <mergeCell ref="J11:J12"/>
  </mergeCells>
  <printOptions horizontalCentered="1"/>
  <pageMargins left="0.433070866141732" right="0.433070866141732" top="0.511811023622047" bottom="0.511811023622047" header="0.31496062992126" footer="0.31496062992126"/>
  <pageSetup paperSize="9" scale="57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7"/>
  <sheetViews>
    <sheetView topLeftCell="A10" workbookViewId="0">
      <selection activeCell="A26" sqref="A25:A26"/>
    </sheetView>
  </sheetViews>
  <sheetFormatPr defaultColWidth="9" defaultRowHeight="14.4"/>
  <cols>
    <col min="1" max="1" width="33.5740740740741" style="26" customWidth="1"/>
    <col min="2" max="10" width="9.13888888888889" style="26"/>
    <col min="11" max="11" width="6.85185185185185" style="26" customWidth="1"/>
    <col min="12" max="13" width="9.13888888888889" style="26"/>
  </cols>
  <sheetData>
    <row r="1" ht="61.5" customHeight="1" spans="1:1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7"/>
    </row>
    <row r="3" spans="1:13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7"/>
    </row>
    <row r="4" spans="1:13">
      <c r="A4" s="28" t="s">
        <v>87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7"/>
    </row>
    <row r="5" spans="1:13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7"/>
    </row>
    <row r="6" spans="1:13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>
      <c r="A7" s="27" t="s">
        <v>4</v>
      </c>
      <c r="B7" s="27"/>
      <c r="C7" s="29" t="s">
        <v>5</v>
      </c>
      <c r="D7" s="29"/>
      <c r="E7" s="27"/>
      <c r="F7" s="27"/>
      <c r="G7" s="29" t="s">
        <v>6</v>
      </c>
      <c r="H7" s="30"/>
      <c r="I7" s="27"/>
      <c r="J7" s="27"/>
      <c r="K7" s="27"/>
      <c r="L7" s="27"/>
      <c r="M7" s="27"/>
    </row>
    <row r="8" spans="1:13">
      <c r="A8" s="27"/>
      <c r="B8" s="27"/>
      <c r="C8" s="31"/>
      <c r="D8" s="27"/>
      <c r="E8" s="27"/>
      <c r="F8" s="27"/>
      <c r="G8" s="31"/>
      <c r="H8" s="31"/>
      <c r="I8" s="27"/>
      <c r="J8" s="27"/>
      <c r="K8" s="27"/>
      <c r="L8" s="27"/>
      <c r="M8" s="27"/>
    </row>
    <row r="9" spans="1:13">
      <c r="A9" s="27" t="s">
        <v>7</v>
      </c>
      <c r="B9" s="27"/>
      <c r="C9" s="29" t="s">
        <v>8</v>
      </c>
      <c r="D9" s="29"/>
      <c r="E9" s="27"/>
      <c r="F9" s="27"/>
      <c r="G9" s="29" t="s">
        <v>9</v>
      </c>
      <c r="H9" s="32"/>
      <c r="I9" s="27"/>
      <c r="J9" s="27"/>
      <c r="K9" s="27"/>
      <c r="L9" s="27"/>
      <c r="M9" s="27"/>
    </row>
    <row r="10" ht="21.75" spans="1:12">
      <c r="A10" s="33" t="s">
        <v>88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3">
      <c r="A11" s="34" t="s">
        <v>11</v>
      </c>
      <c r="B11" s="35" t="s">
        <v>12</v>
      </c>
      <c r="C11" s="36"/>
      <c r="D11" s="36"/>
      <c r="E11" s="36"/>
      <c r="F11" s="36"/>
      <c r="G11" s="36"/>
      <c r="H11" s="36"/>
      <c r="I11" s="36"/>
      <c r="J11" s="36"/>
      <c r="K11" s="36"/>
      <c r="L11" s="58" t="s">
        <v>15</v>
      </c>
      <c r="M11" s="59"/>
    </row>
    <row r="12" spans="1:13">
      <c r="A12" s="37"/>
      <c r="B12" s="38" t="s">
        <v>89</v>
      </c>
      <c r="C12" s="39"/>
      <c r="D12" s="39"/>
      <c r="E12" s="40"/>
      <c r="F12" s="38" t="s">
        <v>90</v>
      </c>
      <c r="G12" s="40"/>
      <c r="H12" s="38" t="s">
        <v>91</v>
      </c>
      <c r="I12" s="40"/>
      <c r="J12" s="38" t="s">
        <v>92</v>
      </c>
      <c r="K12" s="40"/>
      <c r="L12" s="60"/>
      <c r="M12" s="59"/>
    </row>
    <row r="13" ht="48.75" hidden="1" customHeight="1" spans="1:13">
      <c r="A13" s="41" t="s">
        <v>93</v>
      </c>
      <c r="B13" s="42" t="s">
        <v>94</v>
      </c>
      <c r="C13" s="43"/>
      <c r="D13" s="43"/>
      <c r="E13" s="44"/>
      <c r="F13" s="42">
        <v>1</v>
      </c>
      <c r="G13" s="44"/>
      <c r="H13" s="42">
        <v>0</v>
      </c>
      <c r="I13" s="44"/>
      <c r="J13" s="42">
        <v>1</v>
      </c>
      <c r="K13" s="44"/>
      <c r="L13" s="61">
        <v>1</v>
      </c>
      <c r="M13" s="59"/>
    </row>
    <row r="14" ht="48.75" hidden="1" customHeight="1" spans="1:13">
      <c r="A14" s="41" t="s">
        <v>95</v>
      </c>
      <c r="B14" s="42" t="s">
        <v>94</v>
      </c>
      <c r="C14" s="43"/>
      <c r="D14" s="43"/>
      <c r="E14" s="44"/>
      <c r="F14" s="42"/>
      <c r="G14" s="44"/>
      <c r="H14" s="42">
        <v>1</v>
      </c>
      <c r="I14" s="44"/>
      <c r="J14" s="62">
        <v>0</v>
      </c>
      <c r="K14" s="63"/>
      <c r="L14" s="64">
        <v>0</v>
      </c>
      <c r="M14" s="65"/>
    </row>
    <row r="15" ht="48.75" customHeight="1" spans="1:13">
      <c r="A15" s="41" t="s">
        <v>96</v>
      </c>
      <c r="B15" s="42" t="s">
        <v>97</v>
      </c>
      <c r="C15" s="43"/>
      <c r="D15" s="43"/>
      <c r="E15" s="44"/>
      <c r="F15" s="42">
        <v>1</v>
      </c>
      <c r="G15" s="44"/>
      <c r="H15" s="42">
        <v>0</v>
      </c>
      <c r="I15" s="44"/>
      <c r="J15" s="42">
        <v>1</v>
      </c>
      <c r="K15" s="44"/>
      <c r="L15" s="61">
        <v>1</v>
      </c>
      <c r="M15" s="59"/>
    </row>
    <row r="16" ht="48.75" customHeight="1" spans="1:13">
      <c r="A16" s="41" t="s">
        <v>98</v>
      </c>
      <c r="B16" s="42" t="s">
        <v>97</v>
      </c>
      <c r="C16" s="43"/>
      <c r="D16" s="43"/>
      <c r="E16" s="44"/>
      <c r="F16" s="42"/>
      <c r="G16" s="44"/>
      <c r="H16" s="42">
        <v>1</v>
      </c>
      <c r="I16" s="44"/>
      <c r="J16" s="66">
        <v>0</v>
      </c>
      <c r="K16" s="67"/>
      <c r="L16" s="64">
        <v>0</v>
      </c>
      <c r="M16" s="65"/>
    </row>
    <row r="17" s="2" customFormat="1" ht="19.5" customHeight="1" spans="1:12">
      <c r="A17" s="45" t="s">
        <v>99</v>
      </c>
      <c r="B17" s="46" t="s">
        <v>100</v>
      </c>
      <c r="C17" s="47"/>
      <c r="D17" s="47"/>
      <c r="E17" s="48"/>
      <c r="F17" s="49">
        <v>1</v>
      </c>
      <c r="G17" s="50"/>
      <c r="H17" s="46">
        <v>0</v>
      </c>
      <c r="I17" s="48"/>
      <c r="J17" s="46">
        <v>1</v>
      </c>
      <c r="K17" s="48"/>
      <c r="L17" s="68">
        <v>1</v>
      </c>
    </row>
    <row r="18" s="2" customFormat="1" ht="19.5" customHeight="1" spans="1:12">
      <c r="A18" s="45" t="s">
        <v>101</v>
      </c>
      <c r="B18" s="46" t="s">
        <v>100</v>
      </c>
      <c r="C18" s="47"/>
      <c r="D18" s="47"/>
      <c r="E18" s="48"/>
      <c r="F18" s="49"/>
      <c r="G18" s="50"/>
      <c r="H18" s="46">
        <v>1</v>
      </c>
      <c r="I18" s="48"/>
      <c r="J18" s="46">
        <v>0</v>
      </c>
      <c r="K18" s="48"/>
      <c r="L18" s="69">
        <v>0</v>
      </c>
    </row>
    <row r="19" s="2" customFormat="1" ht="19.5" customHeight="1" spans="1:12">
      <c r="A19" s="45" t="s">
        <v>102</v>
      </c>
      <c r="B19" s="46" t="s">
        <v>103</v>
      </c>
      <c r="C19" s="47"/>
      <c r="D19" s="47"/>
      <c r="E19" s="48"/>
      <c r="F19" s="49">
        <v>1</v>
      </c>
      <c r="G19" s="50"/>
      <c r="H19" s="46">
        <v>0</v>
      </c>
      <c r="I19" s="48"/>
      <c r="J19" s="46">
        <v>1</v>
      </c>
      <c r="K19" s="48"/>
      <c r="L19" s="68">
        <v>1</v>
      </c>
    </row>
    <row r="20" s="2" customFormat="1" ht="19.5" customHeight="1" spans="1:12">
      <c r="A20" s="45" t="s">
        <v>104</v>
      </c>
      <c r="B20" s="46" t="s">
        <v>103</v>
      </c>
      <c r="C20" s="47"/>
      <c r="D20" s="47"/>
      <c r="E20" s="48"/>
      <c r="F20" s="49"/>
      <c r="G20" s="50"/>
      <c r="H20" s="46">
        <v>1</v>
      </c>
      <c r="I20" s="48"/>
      <c r="J20" s="46">
        <v>0</v>
      </c>
      <c r="K20" s="48"/>
      <c r="L20" s="69">
        <v>0</v>
      </c>
    </row>
    <row r="21" spans="1:13">
      <c r="A21" s="51" t="s">
        <v>105</v>
      </c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70"/>
      <c r="M21" s="65"/>
    </row>
    <row r="22" spans="1:1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</row>
    <row r="23" spans="3:13">
      <c r="C23" s="54"/>
      <c r="D23" s="27"/>
      <c r="E23" s="27"/>
      <c r="F23" s="27"/>
      <c r="G23" s="27"/>
      <c r="H23" s="27" t="s">
        <v>83</v>
      </c>
      <c r="I23" s="27"/>
      <c r="J23" s="27"/>
      <c r="K23" s="27"/>
      <c r="L23" s="27"/>
      <c r="M23" s="27"/>
    </row>
    <row r="24" spans="3:13">
      <c r="C24" s="54"/>
      <c r="D24" s="27"/>
      <c r="E24" s="27"/>
      <c r="F24" s="27"/>
      <c r="G24" s="27"/>
      <c r="H24" s="27"/>
      <c r="I24" s="27"/>
      <c r="J24" s="27"/>
      <c r="K24" s="27"/>
      <c r="L24" s="27"/>
      <c r="M24" s="27"/>
    </row>
    <row r="25" spans="8:10">
      <c r="H25" s="55" t="s">
        <v>84</v>
      </c>
      <c r="I25" s="55"/>
      <c r="J25" s="55"/>
    </row>
    <row r="26" spans="8:10">
      <c r="H26" s="56" t="s">
        <v>85</v>
      </c>
      <c r="I26" s="56"/>
      <c r="J26" s="56"/>
    </row>
    <row r="27" spans="8:10">
      <c r="H27" s="57" t="s">
        <v>106</v>
      </c>
      <c r="I27" s="57"/>
      <c r="J27" s="57"/>
    </row>
  </sheetData>
  <mergeCells count="44">
    <mergeCell ref="A2:L2"/>
    <mergeCell ref="A3:L3"/>
    <mergeCell ref="A4:L4"/>
    <mergeCell ref="A5:L5"/>
    <mergeCell ref="A10:L10"/>
    <mergeCell ref="B11:K11"/>
    <mergeCell ref="B12:E12"/>
    <mergeCell ref="F12:G12"/>
    <mergeCell ref="H12:I12"/>
    <mergeCell ref="J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H17:I17"/>
    <mergeCell ref="J17:K17"/>
    <mergeCell ref="B18:E18"/>
    <mergeCell ref="H18:I18"/>
    <mergeCell ref="J18:K18"/>
    <mergeCell ref="B19:E19"/>
    <mergeCell ref="H19:I19"/>
    <mergeCell ref="J19:K19"/>
    <mergeCell ref="B20:E20"/>
    <mergeCell ref="H20:I20"/>
    <mergeCell ref="J20:K20"/>
    <mergeCell ref="A22:L22"/>
    <mergeCell ref="H25:J25"/>
    <mergeCell ref="H26:J26"/>
    <mergeCell ref="H27:J27"/>
    <mergeCell ref="A11:A12"/>
    <mergeCell ref="L11:L12"/>
  </mergeCells>
  <pageMargins left="0.7" right="0.7" top="0.75" bottom="0.75" header="0.3" footer="0.3"/>
  <pageSetup paperSize="9" scale="62" fitToHeight="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view="pageBreakPreview" zoomScale="98" zoomScaleNormal="100" topLeftCell="A4" workbookViewId="0">
      <selection activeCell="B16" sqref="B16"/>
    </sheetView>
  </sheetViews>
  <sheetFormatPr defaultColWidth="9" defaultRowHeight="14.4"/>
  <cols>
    <col min="1" max="1" width="27.1388888888889" customWidth="1"/>
    <col min="2" max="11" width="9.57407407407407" customWidth="1"/>
    <col min="12" max="12" width="7.57407407407407" customWidth="1"/>
    <col min="13" max="13" width="8.71296296296296" hidden="1" customWidth="1"/>
  </cols>
  <sheetData>
    <row r="1" s="1" customFormat="1" ht="52.5" customHeight="1" spans="3:8">
      <c r="C1" s="4"/>
      <c r="D1" s="5"/>
      <c r="H1" s="6"/>
    </row>
    <row r="2" s="1" customFormat="1" ht="10.5" customHeight="1" spans="1:1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="1" customFormat="1" ht="15.95" customHeight="1" spans="1:12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="1" customFormat="1" ht="15.95" customHeight="1" spans="1:12">
      <c r="A4" s="7" t="s">
        <v>87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="1" customFormat="1" ht="15.95" customHeight="1" spans="1:12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="1" customFormat="1" ht="8.25" customHeight="1" spans="3:8">
      <c r="C6" s="6"/>
      <c r="H6" s="6"/>
    </row>
    <row r="7" s="1" customFormat="1" ht="8.25" customHeight="1" spans="3:8">
      <c r="C7" s="6"/>
      <c r="H7" s="6"/>
    </row>
    <row r="8" s="1" customFormat="1" ht="12" customHeight="1" spans="1:12">
      <c r="A8" s="8" t="s">
        <v>107</v>
      </c>
      <c r="B8" s="8"/>
      <c r="C8" s="9" t="s">
        <v>108</v>
      </c>
      <c r="D8" s="9"/>
      <c r="E8" s="9"/>
      <c r="F8" s="9"/>
      <c r="G8" s="9"/>
      <c r="I8" s="9" t="s">
        <v>109</v>
      </c>
      <c r="J8" s="9"/>
      <c r="K8" s="9"/>
      <c r="L8" s="8"/>
    </row>
    <row r="9" s="1" customFormat="1" ht="12" customHeight="1" spans="2:12">
      <c r="B9" s="10"/>
      <c r="C9" s="9" t="s">
        <v>110</v>
      </c>
      <c r="D9" s="9"/>
      <c r="E9" s="9"/>
      <c r="F9" s="9"/>
      <c r="G9" s="9"/>
      <c r="I9" s="22" t="s">
        <v>111</v>
      </c>
      <c r="J9" s="22"/>
      <c r="K9" s="22"/>
      <c r="L9" s="10"/>
    </row>
    <row r="10" s="1" customFormat="1" ht="12" customHeight="1" spans="1:12">
      <c r="A10" s="8" t="s">
        <v>112</v>
      </c>
      <c r="B10" s="8"/>
      <c r="C10" s="11"/>
      <c r="D10" s="10"/>
      <c r="E10" s="10"/>
      <c r="I10" s="9" t="s">
        <v>113</v>
      </c>
      <c r="J10" s="9"/>
      <c r="K10" s="9"/>
      <c r="L10" s="8"/>
    </row>
    <row r="11" ht="16.5" customHeight="1" spans="1:12">
      <c r="A11" s="12" t="s">
        <v>114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="2" customFormat="1" ht="48" spans="1:12">
      <c r="A12" s="13" t="s">
        <v>11</v>
      </c>
      <c r="B12" s="14" t="s">
        <v>115</v>
      </c>
      <c r="C12" s="14" t="s">
        <v>116</v>
      </c>
      <c r="D12" s="14" t="s">
        <v>117</v>
      </c>
      <c r="E12" s="14" t="s">
        <v>118</v>
      </c>
      <c r="F12" s="14" t="s">
        <v>119</v>
      </c>
      <c r="G12" s="14" t="s">
        <v>120</v>
      </c>
      <c r="H12" s="14" t="s">
        <v>121</v>
      </c>
      <c r="I12" s="14" t="s">
        <v>122</v>
      </c>
      <c r="J12" s="14" t="s">
        <v>123</v>
      </c>
      <c r="K12" s="14" t="s">
        <v>124</v>
      </c>
      <c r="L12" s="23" t="s">
        <v>15</v>
      </c>
    </row>
    <row r="13" s="2" customFormat="1" spans="1:12">
      <c r="A13" s="15" t="s">
        <v>125</v>
      </c>
      <c r="B13" s="16"/>
      <c r="C13" s="17"/>
      <c r="D13" s="17">
        <v>1</v>
      </c>
      <c r="E13" s="16"/>
      <c r="F13" s="16"/>
      <c r="G13" s="16"/>
      <c r="H13" s="17"/>
      <c r="I13" s="16"/>
      <c r="J13" s="16"/>
      <c r="K13" s="16"/>
      <c r="L13" s="24">
        <v>1</v>
      </c>
    </row>
    <row r="14" s="2" customFormat="1" spans="1:12">
      <c r="A14" s="15" t="s">
        <v>126</v>
      </c>
      <c r="B14" s="16"/>
      <c r="C14" s="17"/>
      <c r="D14" s="17">
        <v>2</v>
      </c>
      <c r="E14" s="16"/>
      <c r="F14" s="16"/>
      <c r="G14" s="16"/>
      <c r="H14" s="17"/>
      <c r="I14" s="16"/>
      <c r="J14" s="16"/>
      <c r="K14" s="16"/>
      <c r="L14" s="24"/>
    </row>
    <row r="15" s="3" customFormat="1" spans="1:12">
      <c r="A15" s="18"/>
      <c r="B15" s="16"/>
      <c r="C15" s="17"/>
      <c r="D15" s="17"/>
      <c r="E15" s="16"/>
      <c r="F15" s="16"/>
      <c r="G15" s="16"/>
      <c r="H15" s="17"/>
      <c r="I15" s="16"/>
      <c r="J15" s="16"/>
      <c r="K15" s="16"/>
      <c r="L15" s="24"/>
    </row>
    <row r="16" s="3" customFormat="1" spans="1:12">
      <c r="A16" s="19"/>
      <c r="B16" s="16"/>
      <c r="C16" s="17"/>
      <c r="D16" s="17"/>
      <c r="E16" s="16"/>
      <c r="F16" s="16"/>
      <c r="G16" s="16"/>
      <c r="H16" s="17"/>
      <c r="I16" s="16"/>
      <c r="J16" s="16"/>
      <c r="K16" s="16"/>
      <c r="L16" s="24"/>
    </row>
    <row r="17" s="3" customFormat="1" spans="1:12">
      <c r="A17" s="17"/>
      <c r="B17" s="16"/>
      <c r="C17" s="17"/>
      <c r="D17" s="17"/>
      <c r="E17" s="16"/>
      <c r="F17" s="16"/>
      <c r="G17" s="16"/>
      <c r="H17" s="17"/>
      <c r="I17" s="16"/>
      <c r="J17" s="16"/>
      <c r="K17" s="16"/>
      <c r="L17" s="24"/>
    </row>
    <row r="18" s="3" customFormat="1" spans="1:12">
      <c r="A18" s="15"/>
      <c r="B18" s="16"/>
      <c r="C18" s="17"/>
      <c r="D18" s="17"/>
      <c r="E18" s="16"/>
      <c r="F18" s="16"/>
      <c r="G18" s="16"/>
      <c r="H18" s="17"/>
      <c r="I18" s="16"/>
      <c r="J18" s="16"/>
      <c r="K18" s="16"/>
      <c r="L18" s="24"/>
    </row>
    <row r="19" s="3" customFormat="1" spans="1:12">
      <c r="A19" s="15"/>
      <c r="B19" s="16"/>
      <c r="C19" s="17"/>
      <c r="D19" s="17"/>
      <c r="E19" s="16"/>
      <c r="F19" s="16"/>
      <c r="G19" s="16"/>
      <c r="H19" s="17"/>
      <c r="I19" s="16"/>
      <c r="J19" s="16"/>
      <c r="K19" s="16"/>
      <c r="L19" s="24"/>
    </row>
    <row r="20" s="3" customFormat="1" spans="1:12">
      <c r="A20" s="15"/>
      <c r="B20" s="16"/>
      <c r="C20" s="17"/>
      <c r="D20" s="17"/>
      <c r="E20" s="16"/>
      <c r="F20" s="16"/>
      <c r="G20" s="16"/>
      <c r="H20" s="17"/>
      <c r="I20" s="16"/>
      <c r="J20" s="16"/>
      <c r="K20" s="16"/>
      <c r="L20" s="24"/>
    </row>
    <row r="21" s="3" customFormat="1" spans="1:12">
      <c r="A21" s="20"/>
      <c r="B21" s="16"/>
      <c r="C21" s="17"/>
      <c r="D21" s="17"/>
      <c r="E21" s="16"/>
      <c r="F21" s="16"/>
      <c r="G21" s="16"/>
      <c r="H21" s="17"/>
      <c r="I21" s="16"/>
      <c r="J21" s="16"/>
      <c r="K21" s="25"/>
      <c r="L21" s="24"/>
    </row>
    <row r="22" ht="75.75" customHeight="1" spans="1:1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="1" customFormat="1" spans="3:3">
      <c r="C23" s="6"/>
    </row>
    <row r="24" s="1" customFormat="1" spans="3:3">
      <c r="C24" s="6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2:L22"/>
  </mergeCells>
  <printOptions horizontalCentered="1"/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Other types of leave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2025-12-03T06:26:00Z</cp:lastPrinted>
  <dcterms:modified xsi:type="dcterms:W3CDTF">2026-01-01T03:52:37Z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F5CF62699BE641B489429F2B96116195_12</vt:lpwstr>
  </property>
  <property fmtid="{D5CDD505-2E9C-101B-9397-08002B2CF9AE}" pid="3" name="KSOProductBuildVer">
    <vt:lpwstr>1033-12.2.0.23196</vt:lpwstr>
  </property>
</Properties>
</file>