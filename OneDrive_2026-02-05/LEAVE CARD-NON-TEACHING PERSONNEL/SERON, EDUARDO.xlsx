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9335E0F1-2608-447D-9E65-EBF8156435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 (2)" sheetId="10" r:id="rId2"/>
    <sheet name="CTO" sheetId="8" r:id="rId3"/>
    <sheet name="Other types of leave" sheetId="9" r:id="rId4"/>
    <sheet name="ELECTION2" sheetId="12" r:id="rId5"/>
  </sheets>
  <definedNames>
    <definedName name="_xlnm.Print_Area" localSheetId="0">'Leave Card (NE)'!$A$1:$J$110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6" l="1"/>
  <c r="I100" i="6"/>
  <c r="I101" i="6" s="1"/>
  <c r="I102" i="6" s="1"/>
  <c r="J100" i="6"/>
  <c r="H101" i="6"/>
  <c r="H102" i="6" s="1"/>
  <c r="B14" i="6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H13" i="6"/>
  <c r="J102" i="6" l="1"/>
  <c r="J101" i="6"/>
  <c r="H14" i="6"/>
  <c r="H15" i="6" s="1"/>
  <c r="J15" i="6" s="1"/>
  <c r="J14" i="8"/>
  <c r="H16" i="6" l="1"/>
  <c r="J16" i="6" s="1"/>
  <c r="J14" i="6"/>
  <c r="C67" i="6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B67" i="6"/>
  <c r="H17" i="6" l="1"/>
  <c r="H18" i="6" s="1"/>
  <c r="J13" i="6"/>
  <c r="J17" i="6" l="1"/>
  <c r="J18" i="6"/>
  <c r="H19" i="6"/>
  <c r="H20" i="6" l="1"/>
  <c r="J19" i="6"/>
  <c r="J20" i="6" l="1"/>
  <c r="H21" i="6"/>
  <c r="J21" i="6" l="1"/>
  <c r="H22" i="6"/>
  <c r="H23" i="6" s="1"/>
  <c r="J23" i="6" l="1"/>
  <c r="H24" i="6"/>
  <c r="J22" i="6"/>
  <c r="H25" i="6" l="1"/>
  <c r="J24" i="6"/>
  <c r="J25" i="6" l="1"/>
  <c r="H26" i="6"/>
  <c r="H27" i="6" l="1"/>
  <c r="J26" i="6"/>
  <c r="J27" i="6" l="1"/>
  <c r="H28" i="6"/>
  <c r="J28" i="6" l="1"/>
  <c r="H29" i="6"/>
  <c r="H30" i="6" l="1"/>
  <c r="J29" i="6"/>
  <c r="H31" i="6" l="1"/>
  <c r="J30" i="6"/>
  <c r="J82" i="6" l="1"/>
  <c r="H83" i="6"/>
  <c r="J31" i="6"/>
  <c r="H32" i="6"/>
  <c r="H84" i="6" l="1"/>
  <c r="J83" i="6"/>
  <c r="H33" i="6"/>
  <c r="J32" i="6"/>
  <c r="J84" i="6" l="1"/>
  <c r="H85" i="6"/>
  <c r="J33" i="6"/>
  <c r="H34" i="6"/>
  <c r="H86" i="6" l="1"/>
  <c r="J85" i="6"/>
  <c r="J34" i="6"/>
  <c r="H35" i="6"/>
  <c r="J86" i="6" l="1"/>
  <c r="H87" i="6"/>
  <c r="J35" i="6"/>
  <c r="H36" i="6"/>
  <c r="J87" i="6" l="1"/>
  <c r="H88" i="6"/>
  <c r="H37" i="6"/>
  <c r="J36" i="6"/>
  <c r="J88" i="6" l="1"/>
  <c r="H89" i="6"/>
  <c r="J37" i="6"/>
  <c r="H38" i="6"/>
  <c r="H90" i="6" l="1"/>
  <c r="J89" i="6"/>
  <c r="H39" i="6"/>
  <c r="J38" i="6"/>
  <c r="J90" i="6" l="1"/>
  <c r="H91" i="6"/>
  <c r="H40" i="6"/>
  <c r="H41" i="6" s="1"/>
  <c r="J39" i="6"/>
  <c r="H92" i="6" l="1"/>
  <c r="J91" i="6"/>
  <c r="H42" i="6"/>
  <c r="J41" i="6"/>
  <c r="J40" i="6"/>
  <c r="J92" i="6" l="1"/>
  <c r="H93" i="6"/>
  <c r="J42" i="6"/>
  <c r="H43" i="6"/>
  <c r="J93" i="6" l="1"/>
  <c r="H94" i="6"/>
  <c r="J43" i="6"/>
  <c r="H44" i="6"/>
  <c r="H95" i="6" l="1"/>
  <c r="J94" i="6"/>
  <c r="H45" i="6"/>
  <c r="J44" i="6"/>
  <c r="H96" i="6" l="1"/>
  <c r="J95" i="6"/>
  <c r="J45" i="6"/>
  <c r="H46" i="6"/>
  <c r="H97" i="6" l="1"/>
  <c r="J96" i="6"/>
  <c r="H47" i="6"/>
  <c r="J46" i="6"/>
  <c r="J97" i="6" l="1"/>
  <c r="H98" i="6"/>
  <c r="H48" i="6"/>
  <c r="J47" i="6"/>
  <c r="J98" i="6" l="1"/>
  <c r="H99" i="6"/>
  <c r="J99" i="6" s="1"/>
  <c r="H49" i="6"/>
  <c r="J48" i="6"/>
  <c r="J49" i="6" l="1"/>
  <c r="H50" i="6"/>
  <c r="H51" i="6" l="1"/>
  <c r="J50" i="6"/>
  <c r="H52" i="6" l="1"/>
  <c r="J51" i="6"/>
  <c r="J52" i="6" l="1"/>
  <c r="H53" i="6"/>
  <c r="H54" i="6" l="1"/>
  <c r="J53" i="6"/>
  <c r="H55" i="6" l="1"/>
  <c r="J54" i="6"/>
  <c r="H56" i="6" l="1"/>
  <c r="J55" i="6"/>
  <c r="J56" i="6" l="1"/>
  <c r="H57" i="6"/>
  <c r="H58" i="6" l="1"/>
  <c r="J57" i="6"/>
  <c r="J58" i="6" l="1"/>
  <c r="H59" i="6"/>
  <c r="H60" i="6" l="1"/>
  <c r="J59" i="6"/>
  <c r="J60" i="6" l="1"/>
  <c r="H61" i="6"/>
  <c r="H62" i="6" l="1"/>
  <c r="J61" i="6"/>
  <c r="J62" i="6" l="1"/>
  <c r="H63" i="6"/>
  <c r="J63" i="6" l="1"/>
  <c r="H64" i="6"/>
  <c r="J64" i="6" l="1"/>
  <c r="H65" i="6"/>
  <c r="H66" i="6" l="1"/>
  <c r="J65" i="6"/>
  <c r="J66" i="6" l="1"/>
  <c r="H67" i="6"/>
  <c r="H68" i="6" l="1"/>
  <c r="J67" i="6"/>
  <c r="J68" i="6" l="1"/>
  <c r="H69" i="6"/>
  <c r="H70" i="6" l="1"/>
  <c r="J69" i="6"/>
  <c r="J70" i="6" l="1"/>
  <c r="H71" i="6"/>
  <c r="H72" i="6" l="1"/>
  <c r="J71" i="6"/>
  <c r="J72" i="6" l="1"/>
  <c r="H73" i="6"/>
  <c r="H74" i="6" l="1"/>
  <c r="J73" i="6"/>
  <c r="J74" i="6" l="1"/>
  <c r="H75" i="6"/>
  <c r="J75" i="6" l="1"/>
  <c r="H76" i="6"/>
  <c r="J76" i="6" l="1"/>
  <c r="H77" i="6"/>
  <c r="H78" i="6" l="1"/>
  <c r="J77" i="6"/>
  <c r="H79" i="6" l="1"/>
  <c r="J78" i="6"/>
  <c r="H80" i="6" l="1"/>
  <c r="J79" i="6"/>
  <c r="H81" i="6" l="1"/>
  <c r="J81" i="6" s="1"/>
  <c r="J80" i="6"/>
</calcChain>
</file>

<file path=xl/sharedStrings.xml><?xml version="1.0" encoding="utf-8"?>
<sst xmlns="http://schemas.openxmlformats.org/spreadsheetml/2006/main" count="257" uniqueCount="175">
  <si>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</si>
  <si>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</si>
  <si>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</si>
  <si>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</si>
  <si>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</si>
  <si>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</si>
  <si>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</si>
  <si>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</si>
  <si>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</si>
  <si>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</si>
  <si>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</si>
  <si>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JAN 10, 14,18,19 &amp; 20, 2022</t>
  </si>
  <si>
    <t>ADD: 01/01/22 - 01/31/22</t>
  </si>
  <si>
    <t>ADD: 02/01/22 - 02/28/22</t>
  </si>
  <si>
    <t>LESS: 03/03/22</t>
  </si>
  <si>
    <t>LESS: 03/08/22</t>
  </si>
  <si>
    <t>ADD: 03/01/22 - 03/31/22</t>
  </si>
  <si>
    <t>LESS: 03/30/22</t>
  </si>
  <si>
    <t>03/28 - 29/22</t>
  </si>
  <si>
    <t>LESS: 05/10/22</t>
  </si>
  <si>
    <t>ADD: 04/01/22 - 04/30/22</t>
  </si>
  <si>
    <t>LESS: 05/17/22</t>
  </si>
  <si>
    <t>ADD: 05/01/22 - 06/30/22</t>
  </si>
  <si>
    <t>LESS: 06/30/22 &amp; 07/01/22</t>
  </si>
  <si>
    <t>LESS: 07/19/22</t>
  </si>
  <si>
    <t>LESS: 07/22 &amp; 26/22</t>
  </si>
  <si>
    <t>LESS: MONETIZATION 2022</t>
  </si>
  <si>
    <t>ADD: 07/01/22 &amp; 08/31/22</t>
  </si>
  <si>
    <t>ADD: 09/01/22 &amp; 09/30/22</t>
  </si>
  <si>
    <t>LESS: 10/03/22</t>
  </si>
  <si>
    <t>ADD: 10/01/22 -12/31/22</t>
  </si>
  <si>
    <t>LESS:12/29/2022</t>
  </si>
  <si>
    <t>ADD: 01/01/23 &amp; 01/31/23</t>
  </si>
  <si>
    <t>LESS: 02/14/23</t>
  </si>
  <si>
    <t>ADD: 02/01/23 &amp; 03/31/23</t>
  </si>
  <si>
    <t>LESS: 04/12 &amp; 13/23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</si>
  <si>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</si>
  <si>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</si>
  <si>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</si>
  <si>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</si>
  <si>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</si>
  <si>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</si>
  <si>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</si>
  <si>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</si>
  <si>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</si>
  <si>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</si>
  <si>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</si>
  <si>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</si>
  <si>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</si>
  <si>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APRIL 12, 2023</t>
  </si>
  <si>
    <t>S.O. # 047, S. 2023. PERFORMANCE PLANNING &amp; COMMITMENT FOR SY 2023</t>
  </si>
  <si>
    <t>NOTE:  Valid for one (1) year only</t>
  </si>
  <si>
    <t>Certified Correct:</t>
  </si>
  <si>
    <t>MA. LUISA B. CATIGAN</t>
  </si>
  <si>
    <t>Administrative Officer IV</t>
  </si>
  <si>
    <t>HRMO</t>
  </si>
  <si>
    <t>LESS: 04/25 &amp; 28/23</t>
  </si>
  <si>
    <t>ADD:01/10/23</t>
  </si>
  <si>
    <t>S.O. # 03, S. 2022. UPSKILLING OF REGION &amp; DIVISION READING SUPERVISORS/COORDINATORS</t>
  </si>
  <si>
    <t>LESS:07/28/23</t>
  </si>
  <si>
    <t>SPECIAL PRIVILEGE LEAVE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</si>
  <si>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</si>
  <si>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</si>
  <si>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</si>
  <si>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</si>
  <si>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</si>
  <si>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</si>
  <si>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</si>
  <si>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</si>
  <si>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</si>
  <si>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</si>
  <si>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</si>
  <si>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</si>
  <si>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</si>
  <si>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</si>
  <si>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</si>
  <si>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</si>
  <si>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</si>
  <si>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</si>
  <si>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SERVICE LEAVE CARD</t>
  </si>
  <si>
    <t>ADD: 03/16/2015 - 03/31/2015</t>
  </si>
  <si>
    <t>ADD: 04/01/2015 - 12/31/2015</t>
  </si>
  <si>
    <t>LESS: 04/16/2015</t>
  </si>
  <si>
    <t>LESS: 08/11/2015</t>
  </si>
  <si>
    <t>LESS: MONETIZATION 2015</t>
  </si>
  <si>
    <t>LESS: 12/21/2015</t>
  </si>
  <si>
    <t>LESS: 12/25/2015</t>
  </si>
  <si>
    <t>LESS: 12/28 &amp; 29/2015</t>
  </si>
  <si>
    <t>LESS: 12/11/2015</t>
  </si>
  <si>
    <t>ADD: 01/01/2016 - 12/31/2016</t>
  </si>
  <si>
    <t>LESS: FL 2016</t>
  </si>
  <si>
    <t>LESS: 04/25/2016</t>
  </si>
  <si>
    <t>LESS: MONETIZATION 2016</t>
  </si>
  <si>
    <t>LESS: 03/17 &amp; 21/2016</t>
  </si>
  <si>
    <t>LESS: 07/28/2016</t>
  </si>
  <si>
    <t>LESS: 11/14/2016</t>
  </si>
  <si>
    <t>LESS: ADDT'L MONETIZATION 12/07/2016</t>
  </si>
  <si>
    <t>ADD: 01/01/2017 - 12/31/2017</t>
  </si>
  <si>
    <t>LESS: 04/03/2017</t>
  </si>
  <si>
    <t>LESS: MONETIZATION 2017</t>
  </si>
  <si>
    <t>LESS: ADDT'L MONETIZATION 11/30/2017</t>
  </si>
  <si>
    <t>LESS: FL 2017</t>
  </si>
  <si>
    <t>ADD: 01/01/2018 - 12/31/2018</t>
  </si>
  <si>
    <t>LESS: 5/3/2018</t>
  </si>
  <si>
    <t>LESS: MONETIZATION 2018</t>
  </si>
  <si>
    <t>LESS: FL 2018</t>
  </si>
  <si>
    <t>ADD: 01/01/2019 - 12/31/2019</t>
  </si>
  <si>
    <t>LESS: MONETIZATION 2019</t>
  </si>
  <si>
    <t>LESS: FL 2019</t>
  </si>
  <si>
    <t>ADD: 01/01/2020 - 12/31/2020</t>
  </si>
  <si>
    <t>LESS: MONETIZATION 2020</t>
  </si>
  <si>
    <t>LESS: 12/21-23 &amp; 28-29/2020</t>
  </si>
  <si>
    <t>ADD: 01/01/2021 - 12/31/2021</t>
  </si>
  <si>
    <t>LESS: MONETIZATION 2021</t>
  </si>
  <si>
    <t>LESS: 12/22,23, 27, 28 &amp; 29/2021</t>
  </si>
  <si>
    <t>ADD: 04/01/23 - 08/31/23</t>
  </si>
  <si>
    <t>LESS: MONETIZATION 2023</t>
  </si>
  <si>
    <t>LESS: 08/29/2023</t>
  </si>
  <si>
    <t>LESS: 09/05/2023</t>
  </si>
  <si>
    <t>ADD: 5/05/2023</t>
  </si>
  <si>
    <t>S.O. #052, s. 2023 - 2023 Palarong panlalawigan</t>
  </si>
  <si>
    <t>LESS: 10/16/2023</t>
  </si>
  <si>
    <t>ADD: 09/01/2023-09/30/2023</t>
  </si>
  <si>
    <t>LESS: 12/26,27 &amp;29/2023</t>
  </si>
  <si>
    <t>ADD: 10/01/2023-10/31/2023</t>
  </si>
  <si>
    <t>LESS: ADDITIONAL MONETIZATION 2023</t>
  </si>
  <si>
    <t>LESS: 11/3/2023</t>
  </si>
  <si>
    <t>ADD: 11/01/2023-11/30/2023</t>
  </si>
  <si>
    <t>LESS: 12/21&amp;28/2023</t>
  </si>
  <si>
    <t>ADD: 12/01/2023-12/31/2023</t>
  </si>
  <si>
    <t>ADD: DISAPPROVED FL (12/27,29/2023)</t>
  </si>
  <si>
    <t xml:space="preserve"> </t>
  </si>
  <si>
    <t>SO# 015, S.2024 PALARONG PANLALWIGAN 2024</t>
  </si>
  <si>
    <t>LESS: 06/11/2024</t>
  </si>
  <si>
    <t>ADD: 01/01/2024-07/31/2024</t>
  </si>
  <si>
    <t>LESS: MONETIZATION 2024</t>
  </si>
  <si>
    <r>
      <t xml:space="preserve">ADD: CONVERTED UNUSED LEAVE CREDITS EARNED FROM ELECTION  =   </t>
    </r>
    <r>
      <rPr>
        <b/>
        <sz val="11"/>
        <color theme="1"/>
        <rFont val="Calibri"/>
        <family val="2"/>
        <scheme val="minor"/>
      </rPr>
      <t>(25 DAYS)</t>
    </r>
    <r>
      <rPr>
        <sz val="11"/>
        <color theme="1"/>
        <rFont val="Calibri"/>
        <family val="2"/>
        <scheme val="minor"/>
      </rPr>
      <t xml:space="preserve"> FORMULA: 30Y/69/2</t>
    </r>
  </si>
  <si>
    <t xml:space="preserve">            DISTRICT: ___________________________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</si>
  <si>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</si>
  <si>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</si>
  <si>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</si>
  <si>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</si>
  <si>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BRGY. &amp; SK ELECTION</t>
  </si>
  <si>
    <t>NATIONAL &amp; LOCAL ELECTION</t>
  </si>
  <si>
    <t>MAY 10, 2004</t>
  </si>
  <si>
    <t>COMELEC CERTIFICATION</t>
  </si>
  <si>
    <t>OCTOBER 28, 2013</t>
  </si>
  <si>
    <t>MAY 14, 2018</t>
  </si>
  <si>
    <t>MAY 14, 2007</t>
  </si>
  <si>
    <t>OCTOBER 29,  2007</t>
  </si>
  <si>
    <t>OCTOBER 25, 2010</t>
  </si>
  <si>
    <t>MAY 13, 2013</t>
  </si>
  <si>
    <r>
      <rPr>
        <b/>
        <sz val="12"/>
        <color rgb="FFFF0000"/>
        <rFont val="Calibri"/>
        <family val="2"/>
        <scheme val="minor"/>
      </rPr>
      <t>(CONVERTED FOR MONETIZATION 2024/CANNOT BE USED ANYMORE)</t>
    </r>
    <r>
      <rPr>
        <b/>
        <sz val="12"/>
        <color theme="1"/>
        <rFont val="Calibri"/>
        <family val="2"/>
        <scheme val="minor"/>
      </rPr>
      <t xml:space="preserve"> TOTAL UNUSED  SERVICE LEAVE CREDITS</t>
    </r>
  </si>
  <si>
    <t>LESS: 09/06/2024</t>
  </si>
  <si>
    <t xml:space="preserve">   MA. LUISA B. CATIGAN</t>
  </si>
  <si>
    <t>ADD: 08/1/2024-10/31/2024</t>
  </si>
  <si>
    <t>LESS: 12/2, 3,9,10 &amp; 12/2024</t>
  </si>
  <si>
    <t>LESS: 11/21/2024</t>
  </si>
  <si>
    <t>ADD: 11/1-30/2024</t>
  </si>
  <si>
    <t>LESS: 12/26-27/2024</t>
  </si>
  <si>
    <t>ADD: 12/1-31/2024</t>
  </si>
  <si>
    <t xml:space="preserve">ADD: MAY 20, 2024 </t>
  </si>
  <si>
    <t>ADD: 06/26/2024</t>
  </si>
  <si>
    <t>SO# 024, S.2024 126th PHIL. IND. DAY</t>
  </si>
  <si>
    <t>LESS: 02/18/2025</t>
  </si>
  <si>
    <t>ADD: 1/1/2025-02/28/2025</t>
  </si>
  <si>
    <t>LESS: 03/26/2025</t>
  </si>
  <si>
    <t>ADD: 03/1-31/2025</t>
  </si>
  <si>
    <t>LESS: MONETIZATION 2025</t>
  </si>
  <si>
    <t>ADD: 04/1/2025-05/31/2025</t>
  </si>
  <si>
    <t>ADD: 06/1-15/2025</t>
  </si>
  <si>
    <t>JUNE 16, 2025 - EFFECTIVE DATE OF TRANSFER TO SDO-KABANKALAN CITY</t>
  </si>
  <si>
    <t>NEGROS ISLAND REGION</t>
  </si>
  <si>
    <r>
      <t xml:space="preserve">ADD: SO # 144, S. 2018 </t>
    </r>
    <r>
      <rPr>
        <b/>
        <sz val="11"/>
        <color theme="1"/>
        <rFont val="Calibri"/>
        <family val="2"/>
        <scheme val="minor"/>
      </rPr>
      <t>(4 DAYS)</t>
    </r>
  </si>
  <si>
    <t>ADD: 12/2,3,9, 10 &amp; 12/2024              (DISAPPROVED FL) -exigency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</si>
</sst>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63">
    <xf numFmtId="0" fontId="0" fillId="0" borderId="0" xfId="0"/>
    <xf numFmtId="0" fontId="0" fillId="2" borderId="0" xfId="0" applyFill="1"/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2" borderId="0" xfId="1" applyFill="1"/>
    <xf numFmtId="0" fontId="1" fillId="2" borderId="0" xfId="1" applyFont="1" applyFill="1" applyAlignment="1">
      <alignment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4" xfId="1" applyFont="1" applyFill="1" applyBorder="1" applyAlignment="1">
      <alignment vertical="center"/>
    </xf>
    <xf numFmtId="0" fontId="8" fillId="0" borderId="0" xfId="1"/>
    <xf numFmtId="0" fontId="9" fillId="0" borderId="0" xfId="1" applyFont="1"/>
    <xf numFmtId="0" fontId="11" fillId="0" borderId="0" xfId="1" applyFont="1"/>
    <xf numFmtId="0" fontId="8" fillId="0" borderId="0" xfId="1" applyAlignment="1">
      <alignment vertical="center"/>
    </xf>
    <xf numFmtId="0" fontId="10" fillId="2" borderId="0" xfId="1" applyFont="1" applyFill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4" fillId="8" borderId="18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0" fontId="16" fillId="0" borderId="0" xfId="0" applyFont="1"/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7" fillId="0" borderId="0" xfId="0" applyFont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2" borderId="0" xfId="1" applyFont="1" applyFill="1" applyAlignment="1">
      <alignment horizontal="center" vertical="center"/>
    </xf>
    <xf numFmtId="0" fontId="8" fillId="2" borderId="1" xfId="1" applyFill="1" applyBorder="1" applyAlignment="1">
      <alignment horizontal="center" vertical="center" wrapText="1"/>
    </xf>
    <xf numFmtId="0" fontId="0" fillId="11" borderId="7" xfId="1" applyFont="1" applyFill="1" applyBorder="1" applyAlignment="1">
      <alignment horizontal="center" vertical="center" wrapText="1"/>
    </xf>
    <xf numFmtId="0" fontId="8" fillId="11" borderId="2" xfId="1" applyFill="1" applyBorder="1" applyAlignment="1">
      <alignment horizontal="center" vertical="center" wrapText="1"/>
    </xf>
    <xf numFmtId="0" fontId="0" fillId="11" borderId="1" xfId="1" applyFont="1" applyFill="1" applyBorder="1" applyAlignment="1">
      <alignment horizontal="center" vertical="center" wrapText="1"/>
    </xf>
    <xf numFmtId="0" fontId="8" fillId="11" borderId="1" xfId="1" applyFill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9" fillId="0" borderId="0" xfId="0" applyFont="1"/>
    <xf numFmtId="0" fontId="0" fillId="2" borderId="32" xfId="0" applyFill="1" applyBorder="1" applyAlignment="1">
      <alignment horizontal="center" vertical="center" wrapText="1"/>
    </xf>
    <xf numFmtId="0" fontId="19" fillId="2" borderId="33" xfId="0" applyFont="1" applyFill="1" applyBorder="1" applyAlignment="1">
      <alignment horizontal="center" vertical="center" wrapText="1"/>
    </xf>
    <xf numFmtId="0" fontId="20" fillId="2" borderId="33" xfId="0" applyFont="1" applyFill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0" xfId="0" applyFont="1"/>
    <xf numFmtId="0" fontId="19" fillId="2" borderId="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0" fillId="2" borderId="0" xfId="1" applyFont="1" applyFill="1"/>
    <xf numFmtId="0" fontId="0" fillId="0" borderId="1" xfId="0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1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3" fillId="2" borderId="32" xfId="0" applyNumberFormat="1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8" fillId="0" borderId="0" xfId="1" applyAlignment="1">
      <alignment horizontal="center"/>
    </xf>
    <xf numFmtId="0" fontId="1" fillId="0" borderId="0" xfId="1" applyFont="1" applyAlignment="1">
      <alignment horizontal="center" vertical="center"/>
    </xf>
    <xf numFmtId="0" fontId="8" fillId="0" borderId="0" xfId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10" borderId="12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8" fillId="2" borderId="0" xfId="1" applyFill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4" fillId="9" borderId="16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0" fontId="10" fillId="10" borderId="13" xfId="1" applyFont="1" applyFill="1" applyBorder="1" applyAlignment="1">
      <alignment horizontal="center" vertical="center" wrapText="1"/>
    </xf>
    <xf numFmtId="0" fontId="10" fillId="11" borderId="12" xfId="1" applyFont="1" applyFill="1" applyBorder="1" applyAlignment="1">
      <alignment horizontal="center" vertical="center" wrapText="1"/>
    </xf>
    <xf numFmtId="0" fontId="10" fillId="11" borderId="9" xfId="1" applyFont="1" applyFill="1" applyBorder="1" applyAlignment="1">
      <alignment horizontal="center" vertical="center" wrapText="1"/>
    </xf>
    <xf numFmtId="0" fontId="10" fillId="11" borderId="13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13" fillId="2" borderId="1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27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19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23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28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22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right" vertical="center" wrapText="1"/>
    </xf>
    <xf numFmtId="0" fontId="21" fillId="2" borderId="13" xfId="0" applyFont="1" applyFill="1" applyBorder="1" applyAlignment="1">
      <alignment horizontal="right" vertical="center" wrapText="1"/>
    </xf>
    <xf numFmtId="0" fontId="21" fillId="2" borderId="9" xfId="0" applyFont="1" applyFill="1" applyBorder="1" applyAlignment="1">
      <alignment horizontal="right" vertical="center" wrapText="1"/>
    </xf>
    <xf numFmtId="0" fontId="0" fillId="0" borderId="0" xfId="0" applyBorder="1" applyAlignment="1">
      <alignment horizontal="center" wrapText="1"/>
    </xf>
    <xf numFmtId="164" fontId="0" fillId="0" borderId="0" xfId="0" applyNumberFormat="1" applyBorder="1" applyAlignment="1">
      <alignment horizontal="center"/>
    </xf>
    <xf numFmtId="164" fontId="3" fillId="0" borderId="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269875</xdr:colOff>
      <xdr:row>0</xdr:row>
      <xdr:rowOff>98690</xdr:rowOff>
    </xdr:from>
    <xdr:to>
      <xdr:col>4</xdr:col>
      <xdr:colOff>116017</xdr:colOff>
      <xdr:row>0</xdr:row>
      <xdr:rowOff>626799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438" y="98690"/>
          <a:ext cx="616079" cy="5281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77CFC27-C731-49D0-ADEE-9910D292D40A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EDUARDO L. SERON JR.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150F7D-2079-494A-8D26-32C1FE0FB5CD}"/>
            </a:ext>
          </a:extLst>
        </xdr:cNvPr>
        <xdr:cNvSpPr txBox="1"/>
      </xdr:nvSpPr>
      <xdr:spPr>
        <a:xfrm>
          <a:off x="616683" y="172475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927EC6F-0933-4F94-8293-C69682962BB3}"/>
            </a:ext>
          </a:extLst>
        </xdr:cNvPr>
        <xdr:cNvSpPr txBox="1"/>
      </xdr:nvSpPr>
      <xdr:spPr>
        <a:xfrm>
          <a:off x="433949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2F114-6455-458C-BBBC-2F00ADB4687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815" y="4036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178451-6DC5-4C58-A27A-0BDA333DF743}"/>
            </a:ext>
          </a:extLst>
        </xdr:cNvPr>
        <xdr:cNvSpPr txBox="1"/>
      </xdr:nvSpPr>
      <xdr:spPr>
        <a:xfrm>
          <a:off x="573942" y="1371111"/>
          <a:ext cx="2248633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SERON, EDUARDO JR.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9787356-EA57-41F0-9217-74E585461329}"/>
            </a:ext>
          </a:extLst>
        </xdr:cNvPr>
        <xdr:cNvSpPr txBox="1"/>
      </xdr:nvSpPr>
      <xdr:spPr>
        <a:xfrm>
          <a:off x="654051" y="167640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A3DE8E-E250-459C-ABD8-9277D721ADE2}"/>
            </a:ext>
          </a:extLst>
        </xdr:cNvPr>
        <xdr:cNvSpPr txBox="1"/>
      </xdr:nvSpPr>
      <xdr:spPr>
        <a:xfrm>
          <a:off x="3927248" y="1699760"/>
          <a:ext cx="109855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123C6-1F67-48F3-B8F8-DBB6A01DB84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8E3166-943E-4902-9274-F747E688EAA9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SERON, EDUARDO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01B3E8-5B04-4C6F-868C-07E3C1E08153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964500-6E97-41F4-9F83-EFF468C124DE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84FFC-31EE-4D55-BCB0-4FCD4DB0E5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3612" y="28769"/>
          <a:ext cx="70050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AF6BB0-60D0-4882-8102-E48F8F8F3D28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CD6881-C8E2-441D-89F9-9B6F768A24B2}"/>
            </a:ext>
          </a:extLst>
        </xdr:cNvPr>
        <xdr:cNvSpPr txBox="1"/>
      </xdr:nvSpPr>
      <xdr:spPr>
        <a:xfrm>
          <a:off x="777551" y="1487455"/>
          <a:ext cx="1535793" cy="242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SERON, EDUARDO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1F9276-7568-40DE-ADF2-A0C9BB9D494C}"/>
            </a:ext>
          </a:extLst>
        </xdr:cNvPr>
        <xdr:cNvSpPr txBox="1"/>
      </xdr:nvSpPr>
      <xdr:spPr>
        <a:xfrm>
          <a:off x="751632" y="1804177"/>
          <a:ext cx="1360845" cy="230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65D2D5-B631-41C2-BE26-C609925650E1}"/>
            </a:ext>
          </a:extLst>
        </xdr:cNvPr>
        <xdr:cNvSpPr txBox="1"/>
      </xdr:nvSpPr>
      <xdr:spPr>
        <a:xfrm>
          <a:off x="3743778" y="1710094"/>
          <a:ext cx="1530215" cy="24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23</xdr:row>
      <xdr:rowOff>285750</xdr:rowOff>
    </xdr:from>
    <xdr:to>
      <xdr:col>12</xdr:col>
      <xdr:colOff>381000</xdr:colOff>
      <xdr:row>26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A00415-E046-4CF0-9761-3708292795D5}"/>
            </a:ext>
          </a:extLst>
        </xdr:cNvPr>
        <xdr:cNvSpPr txBox="1"/>
      </xdr:nvSpPr>
      <xdr:spPr>
        <a:xfrm>
          <a:off x="6724650" y="7534275"/>
          <a:ext cx="3086100" cy="1181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3B8E4-4AD5-4790-9900-653E9671911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8407"/>
          <a:ext cx="664756" cy="6212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6F7FC2-B31F-4C1E-AD37-B3388D6FE09E}"/>
            </a:ext>
          </a:extLst>
        </xdr:cNvPr>
        <xdr:cNvSpPr txBox="1"/>
      </xdr:nvSpPr>
      <xdr:spPr>
        <a:xfrm>
          <a:off x="554892" y="1418736"/>
          <a:ext cx="1559658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SERON,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EDUARDO L.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B51F0F-7766-4912-9D01-124CCBF3D774}"/>
            </a:ext>
          </a:extLst>
        </xdr:cNvPr>
        <xdr:cNvSpPr txBox="1"/>
      </xdr:nvSpPr>
      <xdr:spPr>
        <a:xfrm>
          <a:off x="654783" y="1746982"/>
          <a:ext cx="1303949" cy="577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E3E2DB9-697F-4F45-8269-433C24C5BB7A}"/>
            </a:ext>
          </a:extLst>
        </xdr:cNvPr>
        <xdr:cNvSpPr txBox="1"/>
      </xdr:nvSpPr>
      <xdr:spPr>
        <a:xfrm>
          <a:off x="2982845" y="1750584"/>
          <a:ext cx="1914608" cy="565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  <xdr:twoCellAnchor>
    <xdr:from>
      <xdr:col>0</xdr:col>
      <xdr:colOff>171450</xdr:colOff>
      <xdr:row>23</xdr:row>
      <xdr:rowOff>276225</xdr:rowOff>
    </xdr:from>
    <xdr:to>
      <xdr:col>2</xdr:col>
      <xdr:colOff>28575</xdr:colOff>
      <xdr:row>26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07E974-1A31-45C5-806E-A2DAD267EF4E}"/>
            </a:ext>
          </a:extLst>
        </xdr:cNvPr>
        <xdr:cNvSpPr txBox="1"/>
      </xdr:nvSpPr>
      <xdr:spPr>
        <a:xfrm>
          <a:off x="171450" y="7524750"/>
          <a:ext cx="3086100" cy="1181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 </a:t>
          </a:r>
          <a:r>
            <a:rPr lang="en-US" sz="1200" b="1" u="sng" baseline="0">
              <a:latin typeface="+mn-lt"/>
            </a:rPr>
            <a:t>JOCELYN M. PLOTEÑA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                            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0"/>
  <sheetViews>
    <sheetView tabSelected="1" view="pageBreakPreview" topLeftCell="A79" zoomScale="120" zoomScaleNormal="100" zoomScaleSheetLayoutView="120" workbookViewId="0">
      <selection activeCell="C100" sqref="C100"/>
    </sheetView>
  </sheetViews>
  <sheetFormatPr defaultRowHeight="15" x14ac:dyDescent="0.25"/>
  <cols>
    <col min="1" max="1" width="38.7109375" customWidth="1"/>
    <col min="2" max="10" width="11.5703125" customWidth="1"/>
    <col min="11" max="11" width="26.42578125" style="7" customWidth="1"/>
  </cols>
  <sheetData>
    <row r="1" spans="1:11" s="1" customFormat="1" ht="52.5" customHeight="1" x14ac:dyDescent="0.25">
      <c r="A1" s="25"/>
    </row>
    <row r="2" spans="1:11" s="1" customFormat="1" ht="10.5" customHeight="1" x14ac:dyDescent="0.25">
      <c r="A2" s="83" t="s">
        <v>36</v>
      </c>
      <c r="B2" s="83"/>
      <c r="C2" s="83"/>
      <c r="D2" s="83"/>
      <c r="E2" s="83"/>
      <c r="F2" s="83"/>
      <c r="G2" s="83"/>
      <c r="H2" s="83"/>
      <c r="I2" s="83"/>
      <c r="J2" s="83"/>
    </row>
    <row r="3" spans="1:11" s="1" customFormat="1" ht="15.95" customHeight="1" x14ac:dyDescent="0.25">
      <c r="A3" s="83" t="s">
        <v>37</v>
      </c>
      <c r="B3" s="83"/>
      <c r="C3" s="83"/>
      <c r="D3" s="83"/>
      <c r="E3" s="83"/>
      <c r="F3" s="83"/>
      <c r="G3" s="83"/>
      <c r="H3" s="83"/>
      <c r="I3" s="83"/>
      <c r="J3" s="83"/>
    </row>
    <row r="4" spans="1:11" s="1" customFormat="1" ht="15.95" customHeight="1" x14ac:dyDescent="0.25">
      <c r="A4" s="83" t="s">
        <v>172</v>
      </c>
      <c r="B4" s="83"/>
      <c r="C4" s="83"/>
      <c r="D4" s="83"/>
      <c r="E4" s="83"/>
      <c r="F4" s="83"/>
      <c r="G4" s="83"/>
      <c r="H4" s="83"/>
      <c r="I4" s="83"/>
      <c r="J4" s="83"/>
    </row>
    <row r="5" spans="1:11" s="1" customFormat="1" ht="15.95" customHeight="1" x14ac:dyDescent="0.25">
      <c r="A5" s="83" t="s">
        <v>39</v>
      </c>
      <c r="B5" s="83"/>
      <c r="C5" s="83"/>
      <c r="D5" s="83"/>
      <c r="E5" s="83"/>
      <c r="F5" s="83"/>
      <c r="G5" s="83"/>
      <c r="H5" s="83"/>
      <c r="I5" s="83"/>
      <c r="J5" s="83"/>
    </row>
    <row r="6" spans="1:11" s="1" customFormat="1" ht="8.25" customHeight="1" x14ac:dyDescent="0.25">
      <c r="A6" s="25"/>
    </row>
    <row r="7" spans="1:11" s="1" customFormat="1" ht="12" customHeight="1" x14ac:dyDescent="0.25">
      <c r="A7" s="41" t="s">
        <v>40</v>
      </c>
      <c r="B7" s="84" t="s">
        <v>41</v>
      </c>
      <c r="C7" s="84"/>
      <c r="D7" s="84"/>
      <c r="H7" s="4" t="s">
        <v>8</v>
      </c>
      <c r="I7" s="21"/>
      <c r="J7" s="4"/>
    </row>
    <row r="8" spans="1:11" s="1" customFormat="1" ht="12" customHeight="1" x14ac:dyDescent="0.25">
      <c r="A8" s="25"/>
      <c r="B8" s="3"/>
      <c r="C8" s="3"/>
      <c r="H8" s="3"/>
      <c r="I8" s="3"/>
      <c r="J8" s="3"/>
    </row>
    <row r="9" spans="1:11" s="1" customFormat="1" ht="12" customHeight="1" x14ac:dyDescent="0.25">
      <c r="A9" s="41" t="s">
        <v>42</v>
      </c>
      <c r="B9" s="84" t="s">
        <v>43</v>
      </c>
      <c r="C9" s="84"/>
      <c r="D9" s="84"/>
      <c r="H9" s="4" t="s">
        <v>9</v>
      </c>
      <c r="I9" s="5"/>
      <c r="J9" s="4"/>
    </row>
    <row r="10" spans="1:11" ht="16.5" customHeight="1" thickBot="1" x14ac:dyDescent="0.3">
      <c r="A10" s="91" t="s">
        <v>79</v>
      </c>
      <c r="B10" s="91"/>
      <c r="C10" s="91"/>
      <c r="D10" s="91"/>
      <c r="E10" s="91"/>
      <c r="F10" s="91"/>
      <c r="G10" s="91"/>
      <c r="H10" s="91"/>
      <c r="I10" s="91"/>
      <c r="J10" s="91"/>
      <c r="K10"/>
    </row>
    <row r="11" spans="1:11" ht="18.75" customHeight="1" x14ac:dyDescent="0.25">
      <c r="A11" s="87" t="s">
        <v>3</v>
      </c>
      <c r="B11" s="95" t="s">
        <v>4</v>
      </c>
      <c r="C11" s="95"/>
      <c r="D11" s="92" t="s">
        <v>5</v>
      </c>
      <c r="E11" s="93"/>
      <c r="F11" s="93"/>
      <c r="G11" s="94"/>
      <c r="H11" s="86" t="s">
        <v>6</v>
      </c>
      <c r="I11" s="86"/>
      <c r="J11" s="89" t="s">
        <v>7</v>
      </c>
      <c r="K11" s="85" t="s">
        <v>10</v>
      </c>
    </row>
    <row r="12" spans="1:11" ht="42.75" customHeight="1" thickBot="1" x14ac:dyDescent="0.3">
      <c r="A12" s="88"/>
      <c r="B12" s="81" t="s">
        <v>0</v>
      </c>
      <c r="C12" s="81" t="s">
        <v>1</v>
      </c>
      <c r="D12" s="81" t="s">
        <v>0</v>
      </c>
      <c r="E12" s="81" t="s">
        <v>1</v>
      </c>
      <c r="F12" s="81" t="s">
        <v>2</v>
      </c>
      <c r="G12" s="82" t="s">
        <v>60</v>
      </c>
      <c r="H12" s="81" t="s">
        <v>0</v>
      </c>
      <c r="I12" s="81" t="s">
        <v>1</v>
      </c>
      <c r="J12" s="90"/>
      <c r="K12" s="85"/>
    </row>
    <row r="13" spans="1:11" ht="18.75" customHeight="1" x14ac:dyDescent="0.25">
      <c r="A13" s="79" t="s">
        <v>80</v>
      </c>
      <c r="B13" s="80">
        <v>0.66700000000000004</v>
      </c>
      <c r="C13" s="80">
        <v>0.66700000000000004</v>
      </c>
      <c r="D13" s="80"/>
      <c r="E13" s="80"/>
      <c r="F13" s="80"/>
      <c r="G13" s="80"/>
      <c r="H13" s="80">
        <f>B13</f>
        <v>0.66700000000000004</v>
      </c>
      <c r="I13" s="80">
        <f>C13</f>
        <v>0.66700000000000004</v>
      </c>
      <c r="J13" s="80">
        <f>SUM(H13:I13)</f>
        <v>1.3340000000000001</v>
      </c>
    </row>
    <row r="14" spans="1:11" ht="18.75" customHeight="1" x14ac:dyDescent="0.25">
      <c r="A14" s="38" t="s">
        <v>81</v>
      </c>
      <c r="B14" s="2">
        <f>9*1.25</f>
        <v>11.25</v>
      </c>
      <c r="C14" s="2">
        <v>11.25</v>
      </c>
      <c r="D14" s="2"/>
      <c r="E14" s="2"/>
      <c r="F14" s="2"/>
      <c r="G14" s="2"/>
      <c r="H14" s="2">
        <f>H13-F14-D14+B14</f>
        <v>11.917</v>
      </c>
      <c r="I14" s="2">
        <f>I13-E14+C14</f>
        <v>11.917</v>
      </c>
      <c r="J14" s="2">
        <f>SUM(H14:I14)</f>
        <v>23.834</v>
      </c>
    </row>
    <row r="15" spans="1:11" ht="18.75" customHeight="1" x14ac:dyDescent="0.25">
      <c r="A15" s="38" t="s">
        <v>82</v>
      </c>
      <c r="B15" s="2"/>
      <c r="C15" s="2"/>
      <c r="D15" s="2"/>
      <c r="E15" s="2"/>
      <c r="F15" s="2"/>
      <c r="G15" s="2">
        <v>1</v>
      </c>
      <c r="H15" s="2">
        <f t="shared" ref="H15:H22" si="0">H14-F15-D15+B15</f>
        <v>11.917</v>
      </c>
      <c r="I15" s="2">
        <f t="shared" ref="I15:I22" si="1">I14-E15+C15</f>
        <v>11.917</v>
      </c>
      <c r="J15" s="2">
        <f t="shared" ref="J15:J22" si="2">SUM(H15:I15)</f>
        <v>23.834</v>
      </c>
    </row>
    <row r="16" spans="1:11" ht="18.75" customHeight="1" x14ac:dyDescent="0.25">
      <c r="A16" s="38" t="s">
        <v>83</v>
      </c>
      <c r="B16" s="2"/>
      <c r="C16" s="2"/>
      <c r="D16" s="2">
        <v>1</v>
      </c>
      <c r="E16" s="2"/>
      <c r="F16" s="2"/>
      <c r="G16" s="2"/>
      <c r="H16" s="2">
        <f t="shared" si="0"/>
        <v>10.917</v>
      </c>
      <c r="I16" s="2">
        <f t="shared" si="1"/>
        <v>11.917</v>
      </c>
      <c r="J16" s="2">
        <f t="shared" si="2"/>
        <v>22.834</v>
      </c>
    </row>
    <row r="17" spans="1:10" ht="18.75" customHeight="1" x14ac:dyDescent="0.25">
      <c r="A17" s="38" t="s">
        <v>84</v>
      </c>
      <c r="B17" s="2"/>
      <c r="C17" s="2"/>
      <c r="D17" s="2">
        <v>3</v>
      </c>
      <c r="E17" s="2">
        <v>5</v>
      </c>
      <c r="F17" s="2"/>
      <c r="G17" s="2"/>
      <c r="H17" s="2">
        <f t="shared" si="0"/>
        <v>7.9169999999999998</v>
      </c>
      <c r="I17" s="2">
        <f t="shared" si="1"/>
        <v>6.9169999999999998</v>
      </c>
      <c r="J17" s="2">
        <f t="shared" si="2"/>
        <v>14.834</v>
      </c>
    </row>
    <row r="18" spans="1:10" ht="18.75" customHeight="1" x14ac:dyDescent="0.25">
      <c r="A18" s="38" t="s">
        <v>88</v>
      </c>
      <c r="B18" s="2"/>
      <c r="C18" s="2"/>
      <c r="D18" s="2"/>
      <c r="E18" s="2"/>
      <c r="F18" s="2">
        <v>1</v>
      </c>
      <c r="G18" s="2"/>
      <c r="H18" s="2">
        <f t="shared" si="0"/>
        <v>6.9169999999999998</v>
      </c>
      <c r="I18" s="2">
        <f t="shared" si="1"/>
        <v>6.9169999999999998</v>
      </c>
      <c r="J18" s="2">
        <f t="shared" si="2"/>
        <v>13.834</v>
      </c>
    </row>
    <row r="19" spans="1:10" ht="18.75" customHeight="1" x14ac:dyDescent="0.25">
      <c r="A19" s="38" t="s">
        <v>85</v>
      </c>
      <c r="B19" s="2"/>
      <c r="C19" s="2"/>
      <c r="D19" s="2"/>
      <c r="E19" s="2"/>
      <c r="F19" s="2">
        <v>1</v>
      </c>
      <c r="G19" s="2"/>
      <c r="H19" s="2">
        <f t="shared" si="0"/>
        <v>5.9169999999999998</v>
      </c>
      <c r="I19" s="2">
        <f t="shared" si="1"/>
        <v>6.9169999999999998</v>
      </c>
      <c r="J19" s="2">
        <f t="shared" si="2"/>
        <v>12.834</v>
      </c>
    </row>
    <row r="20" spans="1:10" ht="18.75" customHeight="1" x14ac:dyDescent="0.25">
      <c r="A20" s="38" t="s">
        <v>86</v>
      </c>
      <c r="B20" s="2"/>
      <c r="C20" s="2"/>
      <c r="D20" s="2"/>
      <c r="E20" s="2"/>
      <c r="F20" s="2">
        <v>1</v>
      </c>
      <c r="G20" s="2"/>
      <c r="H20" s="2">
        <f t="shared" si="0"/>
        <v>4.9169999999999998</v>
      </c>
      <c r="I20" s="2">
        <f t="shared" si="1"/>
        <v>6.9169999999999998</v>
      </c>
      <c r="J20" s="2">
        <f t="shared" si="2"/>
        <v>11.834</v>
      </c>
    </row>
    <row r="21" spans="1:10" ht="18.75" customHeight="1" x14ac:dyDescent="0.25">
      <c r="A21" s="38" t="s">
        <v>87</v>
      </c>
      <c r="B21" s="2"/>
      <c r="C21" s="2"/>
      <c r="D21" s="2"/>
      <c r="E21" s="2"/>
      <c r="F21" s="2">
        <v>2</v>
      </c>
      <c r="G21" s="2"/>
      <c r="H21" s="2">
        <f t="shared" si="0"/>
        <v>2.9169999999999998</v>
      </c>
      <c r="I21" s="2">
        <f t="shared" si="1"/>
        <v>6.9169999999999998</v>
      </c>
      <c r="J21" s="2">
        <f t="shared" si="2"/>
        <v>9.8339999999999996</v>
      </c>
    </row>
    <row r="22" spans="1:10" ht="18.75" customHeight="1" x14ac:dyDescent="0.25">
      <c r="A22" s="38" t="s">
        <v>89</v>
      </c>
      <c r="B22" s="2">
        <v>15</v>
      </c>
      <c r="C22" s="2">
        <v>15</v>
      </c>
      <c r="D22" s="2"/>
      <c r="E22" s="2"/>
      <c r="F22" s="2"/>
      <c r="G22" s="2"/>
      <c r="H22" s="2">
        <f t="shared" si="0"/>
        <v>17.917000000000002</v>
      </c>
      <c r="I22" s="2">
        <f t="shared" si="1"/>
        <v>21.917000000000002</v>
      </c>
      <c r="J22" s="2">
        <f t="shared" si="2"/>
        <v>39.834000000000003</v>
      </c>
    </row>
    <row r="23" spans="1:10" ht="18.75" customHeight="1" x14ac:dyDescent="0.25">
      <c r="A23" s="38" t="s">
        <v>91</v>
      </c>
      <c r="B23" s="2"/>
      <c r="C23" s="2"/>
      <c r="D23" s="2"/>
      <c r="E23" s="2"/>
      <c r="F23" s="2"/>
      <c r="G23" s="2">
        <v>1</v>
      </c>
      <c r="H23" s="2">
        <f t="shared" ref="H23:H40" si="3">H22-F23-D23+B23</f>
        <v>17.917000000000002</v>
      </c>
      <c r="I23" s="2">
        <f t="shared" ref="I23:I40" si="4">I22-E23+C23</f>
        <v>21.917000000000002</v>
      </c>
      <c r="J23" s="2">
        <f t="shared" ref="J23:J40" si="5">SUM(H23:I23)</f>
        <v>39.834000000000003</v>
      </c>
    </row>
    <row r="24" spans="1:10" ht="18.75" customHeight="1" x14ac:dyDescent="0.25">
      <c r="A24" s="38" t="s">
        <v>92</v>
      </c>
      <c r="B24" s="2"/>
      <c r="C24" s="2"/>
      <c r="D24" s="2">
        <v>5</v>
      </c>
      <c r="E24" s="2">
        <v>10</v>
      </c>
      <c r="F24" s="2"/>
      <c r="G24" s="2"/>
      <c r="H24" s="2">
        <f t="shared" si="3"/>
        <v>12.917000000000002</v>
      </c>
      <c r="I24" s="2">
        <f t="shared" si="4"/>
        <v>11.917000000000002</v>
      </c>
      <c r="J24" s="2">
        <f t="shared" si="5"/>
        <v>24.834000000000003</v>
      </c>
    </row>
    <row r="25" spans="1:10" ht="18.75" customHeight="1" x14ac:dyDescent="0.25">
      <c r="A25" s="38" t="s">
        <v>93</v>
      </c>
      <c r="B25" s="2"/>
      <c r="C25" s="2"/>
      <c r="D25" s="2"/>
      <c r="E25" s="2"/>
      <c r="F25" s="2">
        <v>2</v>
      </c>
      <c r="G25" s="2"/>
      <c r="H25" s="2">
        <f t="shared" si="3"/>
        <v>10.917000000000002</v>
      </c>
      <c r="I25" s="2">
        <f t="shared" si="4"/>
        <v>11.917000000000002</v>
      </c>
      <c r="J25" s="2">
        <f t="shared" si="5"/>
        <v>22.834000000000003</v>
      </c>
    </row>
    <row r="26" spans="1:10" ht="18.75" customHeight="1" x14ac:dyDescent="0.25">
      <c r="A26" s="38" t="s">
        <v>94</v>
      </c>
      <c r="B26" s="2"/>
      <c r="C26" s="2"/>
      <c r="D26" s="2"/>
      <c r="E26" s="2"/>
      <c r="F26" s="2">
        <v>1</v>
      </c>
      <c r="G26" s="2"/>
      <c r="H26" s="2">
        <f t="shared" si="3"/>
        <v>9.9170000000000016</v>
      </c>
      <c r="I26" s="2">
        <f t="shared" si="4"/>
        <v>11.917000000000002</v>
      </c>
      <c r="J26" s="2">
        <f t="shared" si="5"/>
        <v>21.834000000000003</v>
      </c>
    </row>
    <row r="27" spans="1:10" ht="18.75" customHeight="1" x14ac:dyDescent="0.25">
      <c r="A27" s="38" t="s">
        <v>95</v>
      </c>
      <c r="B27" s="2"/>
      <c r="C27" s="2"/>
      <c r="D27" s="2"/>
      <c r="E27" s="2"/>
      <c r="F27" s="2">
        <v>1</v>
      </c>
      <c r="G27" s="2"/>
      <c r="H27" s="2">
        <f t="shared" si="3"/>
        <v>8.9170000000000016</v>
      </c>
      <c r="I27" s="2">
        <f t="shared" si="4"/>
        <v>11.917000000000002</v>
      </c>
      <c r="J27" s="2">
        <f t="shared" si="5"/>
        <v>20.834000000000003</v>
      </c>
    </row>
    <row r="28" spans="1:10" ht="18.75" customHeight="1" x14ac:dyDescent="0.25">
      <c r="A28" s="38" t="s">
        <v>96</v>
      </c>
      <c r="B28" s="2"/>
      <c r="C28" s="2"/>
      <c r="D28" s="2">
        <v>3</v>
      </c>
      <c r="E28" s="2">
        <v>11</v>
      </c>
      <c r="F28" s="2"/>
      <c r="G28" s="2"/>
      <c r="H28" s="2">
        <f t="shared" si="3"/>
        <v>5.9170000000000016</v>
      </c>
      <c r="I28" s="2">
        <f t="shared" si="4"/>
        <v>0.91700000000000159</v>
      </c>
      <c r="J28" s="2">
        <f t="shared" si="5"/>
        <v>6.8340000000000032</v>
      </c>
    </row>
    <row r="29" spans="1:10" ht="18.75" customHeight="1" x14ac:dyDescent="0.25">
      <c r="A29" s="38" t="s">
        <v>90</v>
      </c>
      <c r="B29" s="2"/>
      <c r="C29" s="2"/>
      <c r="D29" s="2"/>
      <c r="E29" s="2"/>
      <c r="F29" s="2">
        <v>1</v>
      </c>
      <c r="G29" s="2"/>
      <c r="H29" s="2">
        <f t="shared" si="3"/>
        <v>4.9170000000000016</v>
      </c>
      <c r="I29" s="2">
        <f t="shared" si="4"/>
        <v>0.91700000000000159</v>
      </c>
      <c r="J29" s="2">
        <f t="shared" si="5"/>
        <v>5.8340000000000032</v>
      </c>
    </row>
    <row r="30" spans="1:10" ht="18.75" customHeight="1" x14ac:dyDescent="0.25">
      <c r="A30" s="38" t="s">
        <v>97</v>
      </c>
      <c r="B30" s="2">
        <v>15</v>
      </c>
      <c r="C30" s="2">
        <v>15</v>
      </c>
      <c r="D30" s="2"/>
      <c r="E30" s="2"/>
      <c r="F30" s="2"/>
      <c r="G30" s="2"/>
      <c r="H30" s="2">
        <f t="shared" si="3"/>
        <v>19.917000000000002</v>
      </c>
      <c r="I30" s="2">
        <f t="shared" si="4"/>
        <v>15.917000000000002</v>
      </c>
      <c r="J30" s="2">
        <f t="shared" si="5"/>
        <v>35.834000000000003</v>
      </c>
    </row>
    <row r="31" spans="1:10" ht="18.75" customHeight="1" x14ac:dyDescent="0.25">
      <c r="A31" s="38" t="s">
        <v>98</v>
      </c>
      <c r="B31" s="2"/>
      <c r="C31" s="2"/>
      <c r="D31" s="2"/>
      <c r="E31" s="2"/>
      <c r="F31" s="2">
        <v>1</v>
      </c>
      <c r="G31" s="2"/>
      <c r="H31" s="2">
        <f t="shared" si="3"/>
        <v>18.917000000000002</v>
      </c>
      <c r="I31" s="2">
        <f t="shared" si="4"/>
        <v>15.917000000000002</v>
      </c>
      <c r="J31" s="2">
        <f t="shared" si="5"/>
        <v>34.834000000000003</v>
      </c>
    </row>
    <row r="32" spans="1:10" ht="18.75" customHeight="1" x14ac:dyDescent="0.25">
      <c r="A32" s="38" t="s">
        <v>99</v>
      </c>
      <c r="B32" s="2"/>
      <c r="C32" s="2"/>
      <c r="D32" s="2">
        <v>7.5</v>
      </c>
      <c r="E32" s="2">
        <v>4.5</v>
      </c>
      <c r="F32" s="2"/>
      <c r="G32" s="2"/>
      <c r="H32" s="2">
        <f t="shared" si="3"/>
        <v>11.417000000000002</v>
      </c>
      <c r="I32" s="2">
        <f t="shared" si="4"/>
        <v>11.417000000000002</v>
      </c>
      <c r="J32" s="2">
        <f t="shared" si="5"/>
        <v>22.834000000000003</v>
      </c>
    </row>
    <row r="33" spans="1:10" ht="18.75" customHeight="1" x14ac:dyDescent="0.25">
      <c r="A33" s="38" t="s">
        <v>100</v>
      </c>
      <c r="B33" s="2"/>
      <c r="C33" s="2"/>
      <c r="D33" s="2">
        <v>5.5</v>
      </c>
      <c r="E33" s="2">
        <v>4.5</v>
      </c>
      <c r="F33" s="2"/>
      <c r="G33" s="2"/>
      <c r="H33" s="2">
        <f t="shared" si="3"/>
        <v>5.9170000000000016</v>
      </c>
      <c r="I33" s="2">
        <f t="shared" si="4"/>
        <v>6.9170000000000016</v>
      </c>
      <c r="J33" s="2">
        <f t="shared" si="5"/>
        <v>12.834000000000003</v>
      </c>
    </row>
    <row r="34" spans="1:10" ht="18.75" customHeight="1" x14ac:dyDescent="0.25">
      <c r="A34" s="38" t="s">
        <v>101</v>
      </c>
      <c r="B34" s="2"/>
      <c r="C34" s="2"/>
      <c r="D34" s="2"/>
      <c r="E34" s="2"/>
      <c r="F34" s="2">
        <v>4</v>
      </c>
      <c r="G34" s="2"/>
      <c r="H34" s="2">
        <f t="shared" si="3"/>
        <v>1.9170000000000016</v>
      </c>
      <c r="I34" s="2">
        <f t="shared" si="4"/>
        <v>6.9170000000000016</v>
      </c>
      <c r="J34" s="2">
        <f t="shared" si="5"/>
        <v>8.8340000000000032</v>
      </c>
    </row>
    <row r="35" spans="1:10" ht="18.75" customHeight="1" x14ac:dyDescent="0.25">
      <c r="A35" s="38" t="s">
        <v>102</v>
      </c>
      <c r="B35" s="2">
        <v>15</v>
      </c>
      <c r="C35" s="2">
        <v>15</v>
      </c>
      <c r="D35" s="2"/>
      <c r="E35" s="2"/>
      <c r="F35" s="2"/>
      <c r="G35" s="2"/>
      <c r="H35" s="2">
        <f t="shared" si="3"/>
        <v>16.917000000000002</v>
      </c>
      <c r="I35" s="2">
        <f t="shared" si="4"/>
        <v>21.917000000000002</v>
      </c>
      <c r="J35" s="2">
        <f t="shared" si="5"/>
        <v>38.834000000000003</v>
      </c>
    </row>
    <row r="36" spans="1:10" ht="18.75" customHeight="1" x14ac:dyDescent="0.25">
      <c r="A36" s="38" t="s">
        <v>103</v>
      </c>
      <c r="B36" s="2"/>
      <c r="C36" s="2"/>
      <c r="D36" s="2"/>
      <c r="E36" s="2"/>
      <c r="F36" s="2">
        <v>1</v>
      </c>
      <c r="G36" s="2"/>
      <c r="H36" s="2">
        <f t="shared" si="3"/>
        <v>15.917000000000002</v>
      </c>
      <c r="I36" s="2">
        <f t="shared" si="4"/>
        <v>21.917000000000002</v>
      </c>
      <c r="J36" s="2">
        <f t="shared" si="5"/>
        <v>37.834000000000003</v>
      </c>
    </row>
    <row r="37" spans="1:10" ht="18.75" customHeight="1" x14ac:dyDescent="0.25">
      <c r="A37" s="38" t="s">
        <v>104</v>
      </c>
      <c r="B37" s="2"/>
      <c r="C37" s="2"/>
      <c r="D37" s="2">
        <v>5</v>
      </c>
      <c r="E37" s="2">
        <v>7</v>
      </c>
      <c r="F37" s="2"/>
      <c r="G37" s="2"/>
      <c r="H37" s="2">
        <f t="shared" si="3"/>
        <v>10.917000000000002</v>
      </c>
      <c r="I37" s="2">
        <f t="shared" si="4"/>
        <v>14.917000000000002</v>
      </c>
      <c r="J37" s="2">
        <f t="shared" si="5"/>
        <v>25.834000000000003</v>
      </c>
    </row>
    <row r="38" spans="1:10" ht="18.75" customHeight="1" x14ac:dyDescent="0.25">
      <c r="A38" s="38" t="s">
        <v>105</v>
      </c>
      <c r="B38" s="2"/>
      <c r="C38" s="2"/>
      <c r="D38" s="2"/>
      <c r="E38" s="2"/>
      <c r="F38" s="2">
        <v>4</v>
      </c>
      <c r="G38" s="2"/>
      <c r="H38" s="2">
        <f t="shared" si="3"/>
        <v>6.9170000000000016</v>
      </c>
      <c r="I38" s="2">
        <f t="shared" si="4"/>
        <v>14.917000000000002</v>
      </c>
      <c r="J38" s="2">
        <f t="shared" si="5"/>
        <v>21.834000000000003</v>
      </c>
    </row>
    <row r="39" spans="1:10" ht="18.75" customHeight="1" x14ac:dyDescent="0.25">
      <c r="A39" s="38" t="s">
        <v>106</v>
      </c>
      <c r="B39" s="2">
        <v>15</v>
      </c>
      <c r="C39" s="2">
        <v>15</v>
      </c>
      <c r="D39" s="2"/>
      <c r="E39" s="2"/>
      <c r="F39" s="2"/>
      <c r="G39" s="2"/>
      <c r="H39" s="2">
        <f t="shared" si="3"/>
        <v>21.917000000000002</v>
      </c>
      <c r="I39" s="2">
        <f t="shared" si="4"/>
        <v>29.917000000000002</v>
      </c>
      <c r="J39" s="2">
        <f t="shared" si="5"/>
        <v>51.834000000000003</v>
      </c>
    </row>
    <row r="40" spans="1:10" ht="18.75" customHeight="1" x14ac:dyDescent="0.25">
      <c r="A40" s="38" t="s">
        <v>107</v>
      </c>
      <c r="B40" s="2"/>
      <c r="C40" s="2"/>
      <c r="D40" s="2">
        <v>16</v>
      </c>
      <c r="E40" s="2">
        <v>13</v>
      </c>
      <c r="F40" s="2"/>
      <c r="G40" s="2"/>
      <c r="H40" s="2">
        <f t="shared" si="3"/>
        <v>5.9170000000000016</v>
      </c>
      <c r="I40" s="2">
        <f t="shared" si="4"/>
        <v>16.917000000000002</v>
      </c>
      <c r="J40" s="2">
        <f t="shared" si="5"/>
        <v>22.834000000000003</v>
      </c>
    </row>
    <row r="41" spans="1:10" ht="18.75" customHeight="1" x14ac:dyDescent="0.25">
      <c r="A41" s="38" t="s">
        <v>108</v>
      </c>
      <c r="B41" s="2"/>
      <c r="C41" s="2"/>
      <c r="D41" s="2"/>
      <c r="E41" s="2"/>
      <c r="F41" s="2">
        <v>5</v>
      </c>
      <c r="G41" s="2"/>
      <c r="H41" s="2">
        <f t="shared" ref="H41:H50" si="6">H40-F41-D41+B41</f>
        <v>0.91700000000000159</v>
      </c>
      <c r="I41" s="2">
        <f t="shared" ref="I41:I50" si="7">I40-E41+C41</f>
        <v>16.917000000000002</v>
      </c>
      <c r="J41" s="2">
        <f t="shared" ref="J41:J50" si="8">SUM(H41:I41)</f>
        <v>17.834000000000003</v>
      </c>
    </row>
    <row r="42" spans="1:10" ht="18.75" customHeight="1" x14ac:dyDescent="0.25">
      <c r="A42" s="38" t="s">
        <v>109</v>
      </c>
      <c r="B42" s="2">
        <v>15</v>
      </c>
      <c r="C42" s="2">
        <v>15</v>
      </c>
      <c r="D42" s="2"/>
      <c r="E42" s="2"/>
      <c r="F42" s="2"/>
      <c r="G42" s="2"/>
      <c r="H42" s="2">
        <f t="shared" si="6"/>
        <v>15.917000000000002</v>
      </c>
      <c r="I42" s="2">
        <f t="shared" si="7"/>
        <v>31.917000000000002</v>
      </c>
      <c r="J42" s="2">
        <f t="shared" si="8"/>
        <v>47.834000000000003</v>
      </c>
    </row>
    <row r="43" spans="1:10" ht="18.75" customHeight="1" x14ac:dyDescent="0.25">
      <c r="A43" s="38" t="s">
        <v>110</v>
      </c>
      <c r="B43" s="2"/>
      <c r="C43" s="2"/>
      <c r="D43" s="2">
        <v>5</v>
      </c>
      <c r="E43" s="2"/>
      <c r="F43" s="2"/>
      <c r="G43" s="2"/>
      <c r="H43" s="2">
        <f t="shared" si="6"/>
        <v>10.917000000000002</v>
      </c>
      <c r="I43" s="2">
        <f t="shared" si="7"/>
        <v>31.917000000000002</v>
      </c>
      <c r="J43" s="2">
        <f t="shared" si="8"/>
        <v>42.834000000000003</v>
      </c>
    </row>
    <row r="44" spans="1:10" ht="18.75" customHeight="1" x14ac:dyDescent="0.25">
      <c r="A44" s="38" t="s">
        <v>111</v>
      </c>
      <c r="B44" s="2"/>
      <c r="C44" s="2"/>
      <c r="D44" s="2"/>
      <c r="E44" s="2"/>
      <c r="F44" s="2">
        <v>5</v>
      </c>
      <c r="G44" s="2"/>
      <c r="H44" s="2">
        <f t="shared" si="6"/>
        <v>5.9170000000000016</v>
      </c>
      <c r="I44" s="2">
        <f t="shared" si="7"/>
        <v>31.917000000000002</v>
      </c>
      <c r="J44" s="2">
        <f t="shared" si="8"/>
        <v>37.834000000000003</v>
      </c>
    </row>
    <row r="45" spans="1:10" ht="18.75" customHeight="1" x14ac:dyDescent="0.25">
      <c r="A45" s="38" t="s">
        <v>112</v>
      </c>
      <c r="B45" s="2">
        <v>15</v>
      </c>
      <c r="C45" s="2">
        <v>15</v>
      </c>
      <c r="D45" s="2"/>
      <c r="E45" s="2"/>
      <c r="F45" s="2"/>
      <c r="G45" s="2"/>
      <c r="H45" s="2">
        <f t="shared" si="6"/>
        <v>20.917000000000002</v>
      </c>
      <c r="I45" s="2">
        <f t="shared" si="7"/>
        <v>46.917000000000002</v>
      </c>
      <c r="J45" s="2">
        <f t="shared" si="8"/>
        <v>67.834000000000003</v>
      </c>
    </row>
    <row r="46" spans="1:10" ht="18.75" customHeight="1" x14ac:dyDescent="0.25">
      <c r="A46" s="38" t="s">
        <v>113</v>
      </c>
      <c r="B46" s="2"/>
      <c r="C46" s="2"/>
      <c r="D46" s="2">
        <v>10</v>
      </c>
      <c r="E46" s="2">
        <v>19</v>
      </c>
      <c r="F46" s="2"/>
      <c r="G46" s="2"/>
      <c r="H46" s="2">
        <f t="shared" si="6"/>
        <v>10.917000000000002</v>
      </c>
      <c r="I46" s="2">
        <f t="shared" si="7"/>
        <v>27.917000000000002</v>
      </c>
      <c r="J46" s="2">
        <f t="shared" si="8"/>
        <v>38.834000000000003</v>
      </c>
    </row>
    <row r="47" spans="1:10" ht="18.75" customHeight="1" x14ac:dyDescent="0.25">
      <c r="A47" s="38" t="s">
        <v>114</v>
      </c>
      <c r="B47" s="2"/>
      <c r="C47" s="2"/>
      <c r="D47" s="2"/>
      <c r="E47" s="2"/>
      <c r="F47" s="2">
        <v>5</v>
      </c>
      <c r="G47" s="2"/>
      <c r="H47" s="2">
        <f t="shared" si="6"/>
        <v>5.9170000000000016</v>
      </c>
      <c r="I47" s="2">
        <f t="shared" si="7"/>
        <v>27.917000000000002</v>
      </c>
      <c r="J47" s="2">
        <f t="shared" si="8"/>
        <v>33.834000000000003</v>
      </c>
    </row>
    <row r="48" spans="1:10" ht="18.75" customHeight="1" x14ac:dyDescent="0.25">
      <c r="A48" s="78" t="s">
        <v>12</v>
      </c>
      <c r="B48" s="2">
        <v>1.25</v>
      </c>
      <c r="C48" s="2">
        <v>1.25</v>
      </c>
      <c r="D48" s="2"/>
      <c r="E48" s="2"/>
      <c r="F48" s="2"/>
      <c r="G48" s="2"/>
      <c r="H48" s="2">
        <f t="shared" si="6"/>
        <v>7.1670000000000016</v>
      </c>
      <c r="I48" s="2">
        <f t="shared" si="7"/>
        <v>29.167000000000002</v>
      </c>
      <c r="J48" s="2">
        <f t="shared" si="8"/>
        <v>36.334000000000003</v>
      </c>
    </row>
    <row r="49" spans="1:11" ht="18.75" customHeight="1" x14ac:dyDescent="0.25">
      <c r="A49" s="78" t="s">
        <v>13</v>
      </c>
      <c r="B49" s="2">
        <v>1.25</v>
      </c>
      <c r="C49" s="2">
        <v>1.25</v>
      </c>
      <c r="D49" s="2"/>
      <c r="E49" s="2"/>
      <c r="F49" s="2"/>
      <c r="G49" s="2"/>
      <c r="H49" s="2">
        <f t="shared" si="6"/>
        <v>8.4170000000000016</v>
      </c>
      <c r="I49" s="2">
        <f t="shared" si="7"/>
        <v>30.417000000000002</v>
      </c>
      <c r="J49" s="2">
        <f t="shared" si="8"/>
        <v>38.834000000000003</v>
      </c>
    </row>
    <row r="50" spans="1:11" ht="18.75" customHeight="1" x14ac:dyDescent="0.25">
      <c r="A50" s="78" t="s">
        <v>14</v>
      </c>
      <c r="B50" s="2"/>
      <c r="C50" s="2"/>
      <c r="D50" s="2"/>
      <c r="E50" s="2">
        <v>1</v>
      </c>
      <c r="F50" s="2"/>
      <c r="G50" s="2"/>
      <c r="H50" s="2">
        <f t="shared" si="6"/>
        <v>8.4170000000000016</v>
      </c>
      <c r="I50" s="2">
        <f t="shared" si="7"/>
        <v>29.417000000000002</v>
      </c>
      <c r="J50" s="2">
        <f t="shared" si="8"/>
        <v>37.834000000000003</v>
      </c>
    </row>
    <row r="51" spans="1:11" ht="18.75" customHeight="1" x14ac:dyDescent="0.25">
      <c r="A51" s="78">
        <v>44645</v>
      </c>
      <c r="B51" s="2"/>
      <c r="C51" s="2"/>
      <c r="D51" s="2"/>
      <c r="E51" s="2"/>
      <c r="F51" s="2"/>
      <c r="G51" s="2">
        <v>1</v>
      </c>
      <c r="H51" s="2">
        <f t="shared" ref="H51:H74" si="9">H50-F51-D51+B51</f>
        <v>8.4170000000000016</v>
      </c>
      <c r="I51" s="2">
        <f t="shared" ref="I51:I74" si="10">I50-E51+C51</f>
        <v>29.417000000000002</v>
      </c>
      <c r="J51" s="2">
        <f t="shared" ref="J51:J74" si="11">SUM(H51:I51)</f>
        <v>37.834000000000003</v>
      </c>
    </row>
    <row r="52" spans="1:11" ht="18.75" customHeight="1" x14ac:dyDescent="0.25">
      <c r="A52" s="38" t="s">
        <v>15</v>
      </c>
      <c r="B52" s="40"/>
      <c r="C52" s="2"/>
      <c r="D52" s="2"/>
      <c r="E52" s="2">
        <v>1</v>
      </c>
      <c r="F52" s="2"/>
      <c r="G52" s="2"/>
      <c r="H52" s="2">
        <f t="shared" si="9"/>
        <v>8.4170000000000016</v>
      </c>
      <c r="I52" s="2">
        <f t="shared" si="10"/>
        <v>28.417000000000002</v>
      </c>
      <c r="J52" s="2">
        <f t="shared" si="11"/>
        <v>36.834000000000003</v>
      </c>
    </row>
    <row r="53" spans="1:11" ht="18.75" customHeight="1" x14ac:dyDescent="0.25">
      <c r="A53" s="78" t="s">
        <v>16</v>
      </c>
      <c r="B53" s="2">
        <v>1.25</v>
      </c>
      <c r="C53" s="2">
        <v>1.25</v>
      </c>
      <c r="D53" s="2"/>
      <c r="E53" s="2"/>
      <c r="F53" s="2"/>
      <c r="G53" s="2"/>
      <c r="H53" s="2">
        <f t="shared" si="9"/>
        <v>9.6670000000000016</v>
      </c>
      <c r="I53" s="2">
        <f t="shared" si="10"/>
        <v>29.667000000000002</v>
      </c>
      <c r="J53" s="2">
        <f t="shared" si="11"/>
        <v>39.334000000000003</v>
      </c>
    </row>
    <row r="54" spans="1:11" ht="18.75" customHeight="1" x14ac:dyDescent="0.25">
      <c r="A54" s="38" t="s">
        <v>18</v>
      </c>
      <c r="B54" s="2"/>
      <c r="C54" s="2"/>
      <c r="D54" s="2"/>
      <c r="E54" s="2"/>
      <c r="F54" s="2"/>
      <c r="G54" s="2">
        <v>2</v>
      </c>
      <c r="H54" s="2">
        <f t="shared" si="9"/>
        <v>9.6670000000000016</v>
      </c>
      <c r="I54" s="2">
        <f t="shared" si="10"/>
        <v>29.667000000000002</v>
      </c>
      <c r="J54" s="2">
        <f t="shared" si="11"/>
        <v>39.334000000000003</v>
      </c>
    </row>
    <row r="55" spans="1:11" ht="18.75" customHeight="1" x14ac:dyDescent="0.25">
      <c r="A55" s="38" t="s">
        <v>17</v>
      </c>
      <c r="B55" s="2"/>
      <c r="C55" s="2"/>
      <c r="D55" s="2"/>
      <c r="E55" s="2"/>
      <c r="F55" s="2">
        <v>1</v>
      </c>
      <c r="G55" s="2"/>
      <c r="H55" s="2">
        <f t="shared" si="9"/>
        <v>8.6670000000000016</v>
      </c>
      <c r="I55" s="2">
        <f t="shared" si="10"/>
        <v>29.667000000000002</v>
      </c>
      <c r="J55" s="2">
        <f t="shared" si="11"/>
        <v>38.334000000000003</v>
      </c>
    </row>
    <row r="56" spans="1:11" ht="18.75" customHeight="1" x14ac:dyDescent="0.25">
      <c r="A56" s="38" t="s">
        <v>19</v>
      </c>
      <c r="B56" s="2"/>
      <c r="C56" s="2"/>
      <c r="D56" s="2"/>
      <c r="E56" s="2"/>
      <c r="F56" s="2">
        <v>1</v>
      </c>
      <c r="G56" s="2"/>
      <c r="H56" s="2">
        <f t="shared" si="9"/>
        <v>7.6670000000000016</v>
      </c>
      <c r="I56" s="2">
        <f t="shared" si="10"/>
        <v>29.667000000000002</v>
      </c>
      <c r="J56" s="2">
        <f t="shared" si="11"/>
        <v>37.334000000000003</v>
      </c>
    </row>
    <row r="57" spans="1:11" s="9" customFormat="1" ht="18.75" customHeight="1" x14ac:dyDescent="0.25">
      <c r="A57" s="38" t="s">
        <v>20</v>
      </c>
      <c r="B57" s="2">
        <v>1.25</v>
      </c>
      <c r="C57" s="2">
        <v>1.25</v>
      </c>
      <c r="D57" s="2"/>
      <c r="E57" s="2"/>
      <c r="F57" s="2"/>
      <c r="G57" s="2"/>
      <c r="H57" s="2">
        <f t="shared" si="9"/>
        <v>8.9170000000000016</v>
      </c>
      <c r="I57" s="2">
        <f t="shared" si="10"/>
        <v>30.917000000000002</v>
      </c>
      <c r="J57" s="2">
        <f t="shared" si="11"/>
        <v>39.834000000000003</v>
      </c>
      <c r="K57" s="8"/>
    </row>
    <row r="58" spans="1:11" s="9" customFormat="1" ht="18.75" customHeight="1" x14ac:dyDescent="0.25">
      <c r="A58" s="38" t="s">
        <v>21</v>
      </c>
      <c r="B58" s="2"/>
      <c r="C58" s="2"/>
      <c r="D58" s="2"/>
      <c r="E58" s="2"/>
      <c r="F58" s="2">
        <v>1</v>
      </c>
      <c r="G58" s="2"/>
      <c r="H58" s="2">
        <f t="shared" si="9"/>
        <v>7.9170000000000016</v>
      </c>
      <c r="I58" s="2">
        <f t="shared" si="10"/>
        <v>30.917000000000002</v>
      </c>
      <c r="J58" s="2">
        <f t="shared" si="11"/>
        <v>38.834000000000003</v>
      </c>
      <c r="K58" s="8"/>
    </row>
    <row r="59" spans="1:11" s="9" customFormat="1" ht="18.75" customHeight="1" x14ac:dyDescent="0.25">
      <c r="A59" s="38" t="s">
        <v>22</v>
      </c>
      <c r="B59" s="2">
        <v>2.5</v>
      </c>
      <c r="C59" s="2">
        <v>2.5</v>
      </c>
      <c r="D59" s="2"/>
      <c r="E59" s="2"/>
      <c r="F59" s="2"/>
      <c r="G59" s="2"/>
      <c r="H59" s="2">
        <f t="shared" si="9"/>
        <v>10.417000000000002</v>
      </c>
      <c r="I59" s="2">
        <f t="shared" si="10"/>
        <v>33.417000000000002</v>
      </c>
      <c r="J59" s="2">
        <f t="shared" si="11"/>
        <v>43.834000000000003</v>
      </c>
      <c r="K59" s="8"/>
    </row>
    <row r="60" spans="1:11" ht="18.75" customHeight="1" x14ac:dyDescent="0.25">
      <c r="A60" s="38" t="s">
        <v>23</v>
      </c>
      <c r="B60" s="2"/>
      <c r="C60" s="2"/>
      <c r="D60" s="2"/>
      <c r="E60" s="2"/>
      <c r="F60" s="2">
        <v>2</v>
      </c>
      <c r="G60" s="2"/>
      <c r="H60" s="2">
        <f t="shared" si="9"/>
        <v>8.4170000000000016</v>
      </c>
      <c r="I60" s="2">
        <f t="shared" si="10"/>
        <v>33.417000000000002</v>
      </c>
      <c r="J60" s="2">
        <f t="shared" si="11"/>
        <v>41.834000000000003</v>
      </c>
    </row>
    <row r="61" spans="1:11" ht="18.75" customHeight="1" x14ac:dyDescent="0.25">
      <c r="A61" s="38" t="s">
        <v>24</v>
      </c>
      <c r="B61" s="2"/>
      <c r="C61" s="2"/>
      <c r="D61" s="2"/>
      <c r="E61" s="2">
        <v>1</v>
      </c>
      <c r="F61" s="2"/>
      <c r="G61" s="2"/>
      <c r="H61" s="2">
        <f t="shared" si="9"/>
        <v>8.4170000000000016</v>
      </c>
      <c r="I61" s="2">
        <f t="shared" si="10"/>
        <v>32.417000000000002</v>
      </c>
      <c r="J61" s="2">
        <f t="shared" si="11"/>
        <v>40.834000000000003</v>
      </c>
    </row>
    <row r="62" spans="1:11" ht="18.75" customHeight="1" x14ac:dyDescent="0.25">
      <c r="A62" s="38" t="s">
        <v>25</v>
      </c>
      <c r="B62" s="2"/>
      <c r="C62" s="2"/>
      <c r="D62" s="2"/>
      <c r="E62" s="2">
        <v>2</v>
      </c>
      <c r="F62" s="2"/>
      <c r="G62" s="2"/>
      <c r="H62" s="2">
        <f t="shared" si="9"/>
        <v>8.4170000000000016</v>
      </c>
      <c r="I62" s="2">
        <f t="shared" si="10"/>
        <v>30.417000000000002</v>
      </c>
      <c r="J62" s="2">
        <f t="shared" si="11"/>
        <v>38.834000000000003</v>
      </c>
    </row>
    <row r="63" spans="1:11" ht="18.75" customHeight="1" x14ac:dyDescent="0.25">
      <c r="A63" s="38" t="s">
        <v>27</v>
      </c>
      <c r="B63" s="2">
        <v>2.5</v>
      </c>
      <c r="C63" s="2">
        <v>2.5</v>
      </c>
      <c r="D63" s="2"/>
      <c r="E63" s="2"/>
      <c r="F63" s="2"/>
      <c r="G63" s="2"/>
      <c r="H63" s="2">
        <f t="shared" si="9"/>
        <v>10.917000000000002</v>
      </c>
      <c r="I63" s="2">
        <f t="shared" si="10"/>
        <v>32.917000000000002</v>
      </c>
      <c r="J63" s="2">
        <f t="shared" si="11"/>
        <v>43.834000000000003</v>
      </c>
    </row>
    <row r="64" spans="1:11" ht="18.75" customHeight="1" x14ac:dyDescent="0.25">
      <c r="A64" s="38" t="s">
        <v>28</v>
      </c>
      <c r="B64" s="2">
        <v>1.25</v>
      </c>
      <c r="C64" s="2">
        <v>1.25</v>
      </c>
      <c r="D64" s="2"/>
      <c r="E64" s="2"/>
      <c r="F64" s="2"/>
      <c r="G64" s="2"/>
      <c r="H64" s="2">
        <f t="shared" si="9"/>
        <v>12.167000000000002</v>
      </c>
      <c r="I64" s="2">
        <f t="shared" si="10"/>
        <v>34.167000000000002</v>
      </c>
      <c r="J64" s="2">
        <f t="shared" si="11"/>
        <v>46.334000000000003</v>
      </c>
    </row>
    <row r="65" spans="1:10" ht="18.75" customHeight="1" x14ac:dyDescent="0.25">
      <c r="A65" s="38" t="s">
        <v>29</v>
      </c>
      <c r="B65" s="2"/>
      <c r="C65" s="2"/>
      <c r="D65" s="2"/>
      <c r="E65" s="2">
        <v>1</v>
      </c>
      <c r="F65" s="2"/>
      <c r="G65" s="2"/>
      <c r="H65" s="2">
        <f t="shared" si="9"/>
        <v>12.167000000000002</v>
      </c>
      <c r="I65" s="2">
        <f t="shared" si="10"/>
        <v>33.167000000000002</v>
      </c>
      <c r="J65" s="2">
        <f t="shared" si="11"/>
        <v>45.334000000000003</v>
      </c>
    </row>
    <row r="66" spans="1:10" ht="18.75" customHeight="1" x14ac:dyDescent="0.25">
      <c r="A66" s="42" t="s">
        <v>26</v>
      </c>
      <c r="B66" s="2"/>
      <c r="C66" s="2"/>
      <c r="D66" s="2">
        <v>3</v>
      </c>
      <c r="E66" s="2">
        <v>26</v>
      </c>
      <c r="F66" s="2"/>
      <c r="G66" s="2"/>
      <c r="H66" s="2">
        <f t="shared" si="9"/>
        <v>9.1670000000000016</v>
      </c>
      <c r="I66" s="2">
        <f t="shared" si="10"/>
        <v>7.1670000000000016</v>
      </c>
      <c r="J66" s="2">
        <f t="shared" si="11"/>
        <v>16.334000000000003</v>
      </c>
    </row>
    <row r="67" spans="1:10" ht="15.75" x14ac:dyDescent="0.25">
      <c r="A67" s="38" t="s">
        <v>30</v>
      </c>
      <c r="B67" s="43">
        <f>1.25*3</f>
        <v>3.75</v>
      </c>
      <c r="C67" s="43">
        <f>1.25*3</f>
        <v>3.75</v>
      </c>
      <c r="D67" s="43"/>
      <c r="E67" s="43"/>
      <c r="F67" s="43"/>
      <c r="G67" s="43"/>
      <c r="H67" s="2">
        <f t="shared" si="9"/>
        <v>12.917000000000002</v>
      </c>
      <c r="I67" s="2">
        <f t="shared" si="10"/>
        <v>10.917000000000002</v>
      </c>
      <c r="J67" s="2">
        <f t="shared" si="11"/>
        <v>23.834000000000003</v>
      </c>
    </row>
    <row r="68" spans="1:10" ht="15.75" x14ac:dyDescent="0.25">
      <c r="A68" s="42" t="s">
        <v>31</v>
      </c>
      <c r="B68" s="43"/>
      <c r="C68" s="43"/>
      <c r="D68" s="43"/>
      <c r="E68" s="44">
        <v>1</v>
      </c>
      <c r="F68" s="43"/>
      <c r="G68" s="43"/>
      <c r="H68" s="2">
        <f t="shared" si="9"/>
        <v>12.917000000000002</v>
      </c>
      <c r="I68" s="2">
        <f t="shared" si="10"/>
        <v>9.9170000000000016</v>
      </c>
      <c r="J68" s="2">
        <f t="shared" si="11"/>
        <v>22.834000000000003</v>
      </c>
    </row>
    <row r="69" spans="1:10" ht="15.75" x14ac:dyDescent="0.25">
      <c r="A69" s="38" t="s">
        <v>32</v>
      </c>
      <c r="B69" s="2">
        <v>1.25</v>
      </c>
      <c r="C69" s="2">
        <v>1.25</v>
      </c>
      <c r="D69" s="43"/>
      <c r="E69" s="44"/>
      <c r="F69" s="43"/>
      <c r="G69" s="43"/>
      <c r="H69" s="2">
        <f t="shared" si="9"/>
        <v>14.167000000000002</v>
      </c>
      <c r="I69" s="2">
        <f t="shared" si="10"/>
        <v>11.167000000000002</v>
      </c>
      <c r="J69" s="2">
        <f t="shared" si="11"/>
        <v>25.334000000000003</v>
      </c>
    </row>
    <row r="70" spans="1:10" ht="15.75" x14ac:dyDescent="0.25">
      <c r="A70" s="42" t="s">
        <v>33</v>
      </c>
      <c r="B70" s="43"/>
      <c r="C70" s="43"/>
      <c r="D70" s="43"/>
      <c r="E70" s="44">
        <v>1</v>
      </c>
      <c r="F70" s="43"/>
      <c r="G70" s="43"/>
      <c r="H70" s="2">
        <f t="shared" si="9"/>
        <v>14.167000000000002</v>
      </c>
      <c r="I70" s="2">
        <f t="shared" si="10"/>
        <v>10.167000000000002</v>
      </c>
      <c r="J70" s="2">
        <f t="shared" si="11"/>
        <v>24.334000000000003</v>
      </c>
    </row>
    <row r="71" spans="1:10" ht="15.75" x14ac:dyDescent="0.25">
      <c r="A71" s="38" t="s">
        <v>34</v>
      </c>
      <c r="B71" s="2">
        <v>2.5</v>
      </c>
      <c r="C71" s="2">
        <v>2.5</v>
      </c>
      <c r="D71" s="43"/>
      <c r="E71" s="43"/>
      <c r="F71" s="43"/>
      <c r="G71" s="43"/>
      <c r="H71" s="2">
        <f t="shared" si="9"/>
        <v>16.667000000000002</v>
      </c>
      <c r="I71" s="2">
        <f t="shared" si="10"/>
        <v>12.667000000000002</v>
      </c>
      <c r="J71" s="2">
        <f t="shared" si="11"/>
        <v>29.334000000000003</v>
      </c>
    </row>
    <row r="72" spans="1:10" ht="15.75" x14ac:dyDescent="0.25">
      <c r="A72" s="42" t="s">
        <v>35</v>
      </c>
      <c r="B72" s="43"/>
      <c r="C72" s="43"/>
      <c r="D72" s="43"/>
      <c r="E72" s="43"/>
      <c r="F72" s="44">
        <v>2</v>
      </c>
      <c r="G72" s="44"/>
      <c r="H72" s="2">
        <f t="shared" si="9"/>
        <v>14.667000000000002</v>
      </c>
      <c r="I72" s="2">
        <f t="shared" si="10"/>
        <v>12.667000000000002</v>
      </c>
      <c r="J72" s="2">
        <f t="shared" si="11"/>
        <v>27.334000000000003</v>
      </c>
    </row>
    <row r="73" spans="1:10" ht="15.75" x14ac:dyDescent="0.25">
      <c r="A73" s="38" t="s">
        <v>115</v>
      </c>
      <c r="B73" s="43">
        <v>6.25</v>
      </c>
      <c r="C73" s="43">
        <v>6.25</v>
      </c>
      <c r="D73" s="43"/>
      <c r="E73" s="43"/>
      <c r="F73" s="43"/>
      <c r="G73" s="43"/>
      <c r="H73" s="2">
        <f t="shared" si="9"/>
        <v>20.917000000000002</v>
      </c>
      <c r="I73" s="2">
        <f t="shared" si="10"/>
        <v>18.917000000000002</v>
      </c>
      <c r="J73" s="2">
        <f t="shared" si="11"/>
        <v>39.834000000000003</v>
      </c>
    </row>
    <row r="74" spans="1:10" ht="15.75" x14ac:dyDescent="0.25">
      <c r="A74" s="42" t="s">
        <v>116</v>
      </c>
      <c r="B74" s="43"/>
      <c r="C74" s="43"/>
      <c r="D74" s="43">
        <v>15</v>
      </c>
      <c r="E74" s="43">
        <v>10</v>
      </c>
      <c r="F74" s="43"/>
      <c r="G74" s="43"/>
      <c r="H74" s="2">
        <f t="shared" si="9"/>
        <v>5.9170000000000016</v>
      </c>
      <c r="I74" s="2">
        <f t="shared" si="10"/>
        <v>8.9170000000000016</v>
      </c>
      <c r="J74" s="2">
        <f t="shared" si="11"/>
        <v>14.834000000000003</v>
      </c>
    </row>
    <row r="75" spans="1:10" ht="15.75" x14ac:dyDescent="0.25">
      <c r="A75" s="42" t="s">
        <v>122</v>
      </c>
      <c r="B75" s="43">
        <v>1.25</v>
      </c>
      <c r="C75" s="43">
        <v>1.25</v>
      </c>
      <c r="D75" s="43"/>
      <c r="E75" s="43"/>
      <c r="F75" s="43"/>
      <c r="G75" s="43"/>
      <c r="H75" s="2">
        <f t="shared" ref="H75:H86" si="12">H74-F75-D75+B75</f>
        <v>7.1670000000000016</v>
      </c>
      <c r="I75" s="2">
        <f t="shared" ref="I75:I86" si="13">I74-E75+C75</f>
        <v>10.167000000000002</v>
      </c>
      <c r="J75" s="2">
        <f t="shared" ref="J75:J86" si="14">SUM(H75:I75)</f>
        <v>17.334000000000003</v>
      </c>
    </row>
    <row r="76" spans="1:10" ht="15.75" x14ac:dyDescent="0.25">
      <c r="A76" s="42" t="s">
        <v>123</v>
      </c>
      <c r="B76" s="43"/>
      <c r="C76" s="43"/>
      <c r="D76" s="43"/>
      <c r="E76" s="43"/>
      <c r="F76" s="43">
        <v>3</v>
      </c>
      <c r="G76" s="43"/>
      <c r="H76" s="2">
        <f t="shared" si="12"/>
        <v>4.1670000000000016</v>
      </c>
      <c r="I76" s="2">
        <f t="shared" si="13"/>
        <v>10.167000000000002</v>
      </c>
      <c r="J76" s="2">
        <f t="shared" si="14"/>
        <v>14.334000000000003</v>
      </c>
    </row>
    <row r="77" spans="1:10" ht="15.75" x14ac:dyDescent="0.25">
      <c r="A77" s="42" t="s">
        <v>126</v>
      </c>
      <c r="B77" s="43"/>
      <c r="C77" s="43"/>
      <c r="D77" s="43"/>
      <c r="E77" s="43"/>
      <c r="F77" s="43"/>
      <c r="G77" s="43">
        <v>1</v>
      </c>
      <c r="H77" s="2">
        <f t="shared" si="12"/>
        <v>4.1670000000000016</v>
      </c>
      <c r="I77" s="2">
        <f t="shared" si="13"/>
        <v>10.167000000000002</v>
      </c>
      <c r="J77" s="2">
        <f t="shared" si="14"/>
        <v>14.334000000000003</v>
      </c>
    </row>
    <row r="78" spans="1:10" ht="15.75" x14ac:dyDescent="0.25">
      <c r="A78" s="42" t="s">
        <v>124</v>
      </c>
      <c r="B78" s="43">
        <v>1.25</v>
      </c>
      <c r="C78" s="43">
        <v>1.25</v>
      </c>
      <c r="D78" s="43"/>
      <c r="E78" s="43"/>
      <c r="F78" s="43"/>
      <c r="G78" s="43"/>
      <c r="H78" s="2">
        <f t="shared" si="12"/>
        <v>5.4170000000000016</v>
      </c>
      <c r="I78" s="2">
        <f t="shared" si="13"/>
        <v>11.417000000000002</v>
      </c>
      <c r="J78" s="2">
        <f t="shared" si="14"/>
        <v>16.834000000000003</v>
      </c>
    </row>
    <row r="79" spans="1:10" ht="15.75" x14ac:dyDescent="0.25">
      <c r="A79" s="42" t="s">
        <v>125</v>
      </c>
      <c r="B79" s="43"/>
      <c r="C79" s="43"/>
      <c r="D79" s="43"/>
      <c r="E79" s="43">
        <v>4</v>
      </c>
      <c r="F79" s="43"/>
      <c r="G79" s="43"/>
      <c r="H79" s="2">
        <f t="shared" si="12"/>
        <v>5.4170000000000016</v>
      </c>
      <c r="I79" s="2">
        <f t="shared" si="13"/>
        <v>7.4170000000000016</v>
      </c>
      <c r="J79" s="2">
        <f t="shared" si="14"/>
        <v>12.834000000000003</v>
      </c>
    </row>
    <row r="80" spans="1:10" ht="15.75" x14ac:dyDescent="0.25">
      <c r="A80" s="42" t="s">
        <v>127</v>
      </c>
      <c r="B80" s="43">
        <v>1.25</v>
      </c>
      <c r="C80" s="43">
        <v>1.25</v>
      </c>
      <c r="D80" s="43"/>
      <c r="E80" s="43"/>
      <c r="F80" s="43"/>
      <c r="G80" s="43"/>
      <c r="H80" s="2">
        <f t="shared" si="12"/>
        <v>6.6670000000000016</v>
      </c>
      <c r="I80" s="2">
        <f t="shared" si="13"/>
        <v>8.6670000000000016</v>
      </c>
      <c r="J80" s="2">
        <f t="shared" si="14"/>
        <v>15.334000000000003</v>
      </c>
    </row>
    <row r="81" spans="1:10" ht="15.75" x14ac:dyDescent="0.25">
      <c r="A81" s="42" t="s">
        <v>128</v>
      </c>
      <c r="B81" s="43"/>
      <c r="C81" s="43"/>
      <c r="D81" s="43"/>
      <c r="E81" s="43"/>
      <c r="F81" s="43"/>
      <c r="G81" s="43">
        <v>2</v>
      </c>
      <c r="H81" s="2">
        <f t="shared" si="12"/>
        <v>6.6670000000000016</v>
      </c>
      <c r="I81" s="2">
        <f t="shared" si="13"/>
        <v>8.6670000000000016</v>
      </c>
      <c r="J81" s="2">
        <f t="shared" si="14"/>
        <v>15.334000000000003</v>
      </c>
    </row>
    <row r="82" spans="1:10" ht="15.75" x14ac:dyDescent="0.25">
      <c r="A82" s="42" t="s">
        <v>129</v>
      </c>
      <c r="B82" s="43">
        <v>1.25</v>
      </c>
      <c r="C82" s="43">
        <v>1.25</v>
      </c>
      <c r="D82" s="43"/>
      <c r="E82" s="43"/>
      <c r="F82" s="43" t="s">
        <v>131</v>
      </c>
      <c r="G82" s="43"/>
      <c r="H82" s="2">
        <v>7.9169999999999998</v>
      </c>
      <c r="I82" s="2">
        <f t="shared" si="13"/>
        <v>9.9170000000000016</v>
      </c>
      <c r="J82" s="2">
        <f t="shared" si="14"/>
        <v>17.834000000000003</v>
      </c>
    </row>
    <row r="83" spans="1:10" ht="15.75" x14ac:dyDescent="0.25">
      <c r="A83" s="42" t="s">
        <v>130</v>
      </c>
      <c r="B83" s="43">
        <v>2</v>
      </c>
      <c r="C83" s="43"/>
      <c r="D83" s="43"/>
      <c r="E83" s="43"/>
      <c r="F83" s="43"/>
      <c r="G83" s="43"/>
      <c r="H83" s="2">
        <f t="shared" si="12"/>
        <v>9.9169999999999998</v>
      </c>
      <c r="I83" s="2">
        <f t="shared" si="13"/>
        <v>9.9170000000000016</v>
      </c>
      <c r="J83" s="2">
        <f t="shared" si="14"/>
        <v>19.834000000000003</v>
      </c>
    </row>
    <row r="84" spans="1:10" ht="15.75" x14ac:dyDescent="0.25">
      <c r="A84" s="42" t="s">
        <v>134</v>
      </c>
      <c r="B84" s="43">
        <v>8.75</v>
      </c>
      <c r="C84" s="43">
        <v>8.75</v>
      </c>
      <c r="D84" s="43"/>
      <c r="E84" s="43"/>
      <c r="F84" s="43"/>
      <c r="G84" s="43"/>
      <c r="H84" s="2">
        <f t="shared" si="12"/>
        <v>18.667000000000002</v>
      </c>
      <c r="I84" s="2">
        <f t="shared" si="13"/>
        <v>18.667000000000002</v>
      </c>
      <c r="J84" s="2">
        <f t="shared" si="14"/>
        <v>37.334000000000003</v>
      </c>
    </row>
    <row r="85" spans="1:10" ht="45" x14ac:dyDescent="0.25">
      <c r="A85" s="74" t="s">
        <v>136</v>
      </c>
      <c r="B85" s="43">
        <v>5.4349999999999996</v>
      </c>
      <c r="C85" s="43">
        <v>5.4349999999999996</v>
      </c>
      <c r="D85" s="43"/>
      <c r="E85" s="43"/>
      <c r="F85" s="43"/>
      <c r="G85" s="43"/>
      <c r="H85" s="75">
        <f t="shared" si="12"/>
        <v>24.102</v>
      </c>
      <c r="I85" s="75">
        <f t="shared" si="13"/>
        <v>24.102</v>
      </c>
      <c r="J85" s="75">
        <f t="shared" si="14"/>
        <v>48.204000000000001</v>
      </c>
    </row>
    <row r="86" spans="1:10" ht="15.75" x14ac:dyDescent="0.25">
      <c r="A86" s="42" t="s">
        <v>135</v>
      </c>
      <c r="B86" s="43"/>
      <c r="C86" s="43"/>
      <c r="D86" s="43">
        <v>19</v>
      </c>
      <c r="E86" s="43"/>
      <c r="F86" s="43"/>
      <c r="G86" s="43"/>
      <c r="H86" s="75">
        <f t="shared" si="12"/>
        <v>5.1020000000000003</v>
      </c>
      <c r="I86" s="75">
        <f t="shared" si="13"/>
        <v>24.102</v>
      </c>
      <c r="J86" s="75">
        <f t="shared" si="14"/>
        <v>29.204000000000001</v>
      </c>
    </row>
    <row r="87" spans="1:10" ht="15.75" x14ac:dyDescent="0.25">
      <c r="A87" s="42" t="s">
        <v>155</v>
      </c>
      <c r="B87" s="43">
        <v>3.75</v>
      </c>
      <c r="C87" s="43">
        <v>3.75</v>
      </c>
      <c r="D87" s="43"/>
      <c r="E87" s="43"/>
      <c r="F87" s="43"/>
      <c r="G87" s="43"/>
      <c r="H87" s="75">
        <f t="shared" ref="H87" si="15">H86-F87-D87+B87</f>
        <v>8.8520000000000003</v>
      </c>
      <c r="I87" s="75">
        <f t="shared" ref="I87" si="16">I86-E87+C87</f>
        <v>27.852</v>
      </c>
      <c r="J87" s="75">
        <f t="shared" ref="J87" si="17">SUM(H87:I87)</f>
        <v>36.704000000000001</v>
      </c>
    </row>
    <row r="88" spans="1:10" ht="15.75" x14ac:dyDescent="0.25">
      <c r="A88" s="42" t="s">
        <v>156</v>
      </c>
      <c r="B88" s="43"/>
      <c r="C88" s="43"/>
      <c r="D88" s="43"/>
      <c r="E88" s="43"/>
      <c r="F88" s="43">
        <v>5</v>
      </c>
      <c r="G88" s="43"/>
      <c r="H88" s="75">
        <f t="shared" ref="H88" si="18">H87-F88-D88+B88</f>
        <v>3.8520000000000003</v>
      </c>
      <c r="I88" s="75">
        <f t="shared" ref="I88" si="19">I87-E88+C88</f>
        <v>27.852</v>
      </c>
      <c r="J88" s="75">
        <f t="shared" ref="J88" si="20">SUM(H88:I88)</f>
        <v>31.704000000000001</v>
      </c>
    </row>
    <row r="89" spans="1:10" ht="15.75" x14ac:dyDescent="0.25">
      <c r="A89" s="42" t="s">
        <v>158</v>
      </c>
      <c r="B89" s="43">
        <v>1.25</v>
      </c>
      <c r="C89" s="43">
        <v>1.25</v>
      </c>
      <c r="D89" s="43"/>
      <c r="E89" s="43"/>
      <c r="F89" s="43"/>
      <c r="G89" s="43"/>
      <c r="H89" s="75">
        <f t="shared" ref="H89:H90" si="21">H88-F89-D89+B89</f>
        <v>5.1020000000000003</v>
      </c>
      <c r="I89" s="75">
        <f t="shared" ref="I89:I90" si="22">I88-E89+C89</f>
        <v>29.102</v>
      </c>
      <c r="J89" s="75">
        <f t="shared" ref="J89:J90" si="23">SUM(H89:I89)</f>
        <v>34.204000000000001</v>
      </c>
    </row>
    <row r="90" spans="1:10" ht="15.75" x14ac:dyDescent="0.25">
      <c r="A90" s="42" t="s">
        <v>159</v>
      </c>
      <c r="B90" s="43"/>
      <c r="C90" s="43"/>
      <c r="D90" s="43"/>
      <c r="E90" s="43"/>
      <c r="F90" s="43"/>
      <c r="G90" s="43">
        <v>2</v>
      </c>
      <c r="H90" s="75">
        <f t="shared" si="21"/>
        <v>5.1020000000000003</v>
      </c>
      <c r="I90" s="75">
        <f t="shared" si="22"/>
        <v>29.102</v>
      </c>
      <c r="J90" s="75">
        <f t="shared" si="23"/>
        <v>34.204000000000001</v>
      </c>
    </row>
    <row r="91" spans="1:10" ht="15.75" x14ac:dyDescent="0.25">
      <c r="A91" s="42" t="s">
        <v>160</v>
      </c>
      <c r="B91" s="43">
        <v>1.25</v>
      </c>
      <c r="C91" s="43">
        <v>1.25</v>
      </c>
      <c r="D91" s="43"/>
      <c r="E91" s="43"/>
      <c r="F91" s="43"/>
      <c r="G91" s="43"/>
      <c r="H91" s="75">
        <f t="shared" ref="H91:H92" si="24">H90-F91-D91+B91</f>
        <v>6.3520000000000003</v>
      </c>
      <c r="I91" s="75">
        <f t="shared" ref="I91:I92" si="25">I90-E91+C91</f>
        <v>30.352</v>
      </c>
      <c r="J91" s="75">
        <f t="shared" ref="J91:J92" si="26">SUM(H91:I91)</f>
        <v>36.704000000000001</v>
      </c>
    </row>
    <row r="92" spans="1:10" ht="30" x14ac:dyDescent="0.25">
      <c r="A92" s="76" t="s">
        <v>174</v>
      </c>
      <c r="B92" s="43">
        <v>5</v>
      </c>
      <c r="C92" s="43"/>
      <c r="D92" s="43"/>
      <c r="E92" s="43"/>
      <c r="F92" s="43"/>
      <c r="G92" s="43"/>
      <c r="H92" s="75">
        <f t="shared" si="24"/>
        <v>11.352</v>
      </c>
      <c r="I92" s="75">
        <f t="shared" si="25"/>
        <v>30.352</v>
      </c>
      <c r="J92" s="75">
        <f t="shared" si="26"/>
        <v>41.704000000000001</v>
      </c>
    </row>
    <row r="93" spans="1:10" ht="15.75" x14ac:dyDescent="0.25">
      <c r="A93" s="76" t="s">
        <v>165</v>
      </c>
      <c r="B93" s="43">
        <v>2.5</v>
      </c>
      <c r="C93" s="43">
        <v>2.5</v>
      </c>
      <c r="D93" s="43"/>
      <c r="E93" s="43"/>
      <c r="F93" s="43"/>
      <c r="G93" s="43"/>
      <c r="H93" s="75">
        <f t="shared" ref="H93" si="27">H92-F93-D93+B93</f>
        <v>13.852</v>
      </c>
      <c r="I93" s="75">
        <f t="shared" ref="I93" si="28">I92-E93+C93</f>
        <v>32.852000000000004</v>
      </c>
      <c r="J93" s="75">
        <f t="shared" ref="J93" si="29">SUM(H93:I93)</f>
        <v>46.704000000000008</v>
      </c>
    </row>
    <row r="94" spans="1:10" ht="15" hidden="1" customHeight="1" x14ac:dyDescent="0.25">
      <c r="A94" s="76"/>
      <c r="B94" s="43"/>
      <c r="C94" s="43"/>
      <c r="D94" s="43"/>
      <c r="E94" s="43"/>
      <c r="F94" s="43"/>
      <c r="G94" s="43"/>
      <c r="H94" s="75">
        <f t="shared" ref="H94:H97" si="30">H93-F94-D94+B94</f>
        <v>13.852</v>
      </c>
      <c r="I94" s="75">
        <f t="shared" ref="I94:I97" si="31">I93-E94+C94</f>
        <v>32.852000000000004</v>
      </c>
      <c r="J94" s="75">
        <f t="shared" ref="J94:J97" si="32">SUM(H94:I94)</f>
        <v>46.704000000000008</v>
      </c>
    </row>
    <row r="95" spans="1:10" ht="15.75" hidden="1" x14ac:dyDescent="0.25">
      <c r="A95" s="76"/>
      <c r="B95" s="43"/>
      <c r="C95" s="43"/>
      <c r="D95" s="43"/>
      <c r="E95" s="43"/>
      <c r="F95" s="43"/>
      <c r="G95" s="43"/>
      <c r="H95" s="75">
        <f t="shared" si="30"/>
        <v>13.852</v>
      </c>
      <c r="I95" s="75">
        <f t="shared" si="31"/>
        <v>32.852000000000004</v>
      </c>
      <c r="J95" s="75">
        <f t="shared" si="32"/>
        <v>46.704000000000008</v>
      </c>
    </row>
    <row r="96" spans="1:10" ht="15.75" hidden="1" x14ac:dyDescent="0.25">
      <c r="A96" s="76"/>
      <c r="B96" s="43"/>
      <c r="C96" s="43"/>
      <c r="D96" s="43"/>
      <c r="E96" s="43"/>
      <c r="F96" s="43"/>
      <c r="G96" s="43"/>
      <c r="H96" s="75">
        <f t="shared" si="30"/>
        <v>13.852</v>
      </c>
      <c r="I96" s="75">
        <f t="shared" si="31"/>
        <v>32.852000000000004</v>
      </c>
      <c r="J96" s="75">
        <f t="shared" si="32"/>
        <v>46.704000000000008</v>
      </c>
    </row>
    <row r="97" spans="1:11" ht="15.75" x14ac:dyDescent="0.25">
      <c r="A97" s="76" t="s">
        <v>166</v>
      </c>
      <c r="B97" s="43"/>
      <c r="C97" s="43"/>
      <c r="D97" s="43"/>
      <c r="E97" s="43"/>
      <c r="F97" s="43"/>
      <c r="G97" s="77">
        <v>1</v>
      </c>
      <c r="H97" s="75">
        <f t="shared" si="30"/>
        <v>13.852</v>
      </c>
      <c r="I97" s="75">
        <f t="shared" si="31"/>
        <v>32.852000000000004</v>
      </c>
      <c r="J97" s="75">
        <f t="shared" si="32"/>
        <v>46.704000000000008</v>
      </c>
    </row>
    <row r="98" spans="1:11" ht="15.75" x14ac:dyDescent="0.25">
      <c r="A98" s="76" t="s">
        <v>167</v>
      </c>
      <c r="B98" s="43">
        <v>1.25</v>
      </c>
      <c r="C98" s="43">
        <v>1.25</v>
      </c>
      <c r="D98" s="43"/>
      <c r="E98" s="43"/>
      <c r="F98" s="43"/>
      <c r="G98" s="43"/>
      <c r="H98" s="75">
        <f t="shared" ref="H98" si="33">H97-F98-D98+B98</f>
        <v>15.102</v>
      </c>
      <c r="I98" s="75">
        <f t="shared" ref="I98" si="34">I97-E98+C98</f>
        <v>34.102000000000004</v>
      </c>
      <c r="J98" s="75">
        <f t="shared" ref="J98" si="35">SUM(H98:I98)</f>
        <v>49.204000000000008</v>
      </c>
    </row>
    <row r="99" spans="1:11" ht="15.75" x14ac:dyDescent="0.25">
      <c r="A99" s="76" t="s">
        <v>168</v>
      </c>
      <c r="B99" s="43"/>
      <c r="C99" s="43"/>
      <c r="D99" s="43">
        <v>10</v>
      </c>
      <c r="E99" s="43"/>
      <c r="F99" s="43"/>
      <c r="G99" s="43"/>
      <c r="H99" s="75">
        <f t="shared" ref="H99" si="36">H98-F99-D99+B99</f>
        <v>5.1020000000000003</v>
      </c>
      <c r="I99" s="75">
        <f t="shared" ref="I99" si="37">I98-E99+C99</f>
        <v>34.102000000000004</v>
      </c>
      <c r="J99" s="75">
        <f t="shared" ref="J99" si="38">SUM(H99:I99)</f>
        <v>39.204000000000008</v>
      </c>
    </row>
    <row r="100" spans="1:11" ht="15.75" x14ac:dyDescent="0.25">
      <c r="A100" s="162" t="s">
        <v>173</v>
      </c>
      <c r="B100" s="43">
        <v>0.87</v>
      </c>
      <c r="C100" s="43">
        <v>0.87</v>
      </c>
      <c r="D100" s="43"/>
      <c r="E100" s="43"/>
      <c r="F100" s="43"/>
      <c r="G100" s="43"/>
      <c r="H100" s="75">
        <f t="shared" ref="H100:H102" si="39">H99-F100-D100+B100</f>
        <v>5.9720000000000004</v>
      </c>
      <c r="I100" s="75">
        <f t="shared" ref="I100:I102" si="40">I99-E100+C100</f>
        <v>34.972000000000001</v>
      </c>
      <c r="J100" s="75">
        <f t="shared" ref="J100:J102" si="41">SUM(H100:I100)</f>
        <v>40.944000000000003</v>
      </c>
    </row>
    <row r="101" spans="1:11" ht="15.75" x14ac:dyDescent="0.25">
      <c r="A101" s="76" t="s">
        <v>169</v>
      </c>
      <c r="B101" s="43">
        <v>2.5</v>
      </c>
      <c r="C101" s="43">
        <v>2.5</v>
      </c>
      <c r="D101" s="43"/>
      <c r="E101" s="43"/>
      <c r="F101" s="43"/>
      <c r="G101" s="43"/>
      <c r="H101" s="75">
        <f t="shared" si="39"/>
        <v>8.4720000000000013</v>
      </c>
      <c r="I101" s="75">
        <f t="shared" si="40"/>
        <v>37.472000000000001</v>
      </c>
      <c r="J101" s="75">
        <f t="shared" si="41"/>
        <v>45.944000000000003</v>
      </c>
    </row>
    <row r="102" spans="1:11" ht="15.75" x14ac:dyDescent="0.25">
      <c r="A102" s="76" t="s">
        <v>170</v>
      </c>
      <c r="B102" s="43">
        <v>0.625</v>
      </c>
      <c r="C102" s="43">
        <v>0.625</v>
      </c>
      <c r="D102" s="43"/>
      <c r="E102" s="43"/>
      <c r="F102" s="43"/>
      <c r="G102" s="43"/>
      <c r="H102" s="75">
        <f t="shared" si="39"/>
        <v>9.0970000000000013</v>
      </c>
      <c r="I102" s="75">
        <f t="shared" si="40"/>
        <v>38.097000000000001</v>
      </c>
      <c r="J102" s="75">
        <f t="shared" si="41"/>
        <v>47.194000000000003</v>
      </c>
    </row>
    <row r="103" spans="1:11" ht="17.25" customHeight="1" x14ac:dyDescent="0.25">
      <c r="A103" s="159" t="s">
        <v>171</v>
      </c>
      <c r="B103" s="160"/>
      <c r="C103" s="160"/>
      <c r="D103" s="160"/>
      <c r="E103" s="160"/>
      <c r="F103" s="160"/>
      <c r="G103" s="160"/>
      <c r="H103" s="160"/>
      <c r="I103" s="160"/>
      <c r="J103" s="161"/>
    </row>
    <row r="104" spans="1:11" ht="15.75" x14ac:dyDescent="0.25">
      <c r="A104" s="156"/>
      <c r="B104" s="157"/>
      <c r="C104" s="157"/>
      <c r="D104" s="157"/>
      <c r="E104" s="157"/>
      <c r="F104" s="157"/>
      <c r="G104" s="157"/>
      <c r="H104" s="158"/>
      <c r="I104" s="158"/>
      <c r="J104" s="158"/>
    </row>
    <row r="105" spans="1:11" ht="15.75" x14ac:dyDescent="0.25">
      <c r="A105" s="54"/>
      <c r="B105" s="55"/>
      <c r="C105" s="55"/>
      <c r="D105" s="55"/>
      <c r="E105" s="55"/>
      <c r="F105" s="55"/>
      <c r="G105" s="55"/>
      <c r="H105" s="56"/>
      <c r="I105" s="56"/>
      <c r="J105" s="56"/>
    </row>
    <row r="106" spans="1:11" s="45" customFormat="1" ht="15" customHeight="1" x14ac:dyDescent="0.25">
      <c r="G106" s="45" t="s">
        <v>52</v>
      </c>
    </row>
    <row r="107" spans="1:11" s="45" customFormat="1" ht="15" customHeight="1" x14ac:dyDescent="0.25"/>
    <row r="108" spans="1:11" s="45" customFormat="1" ht="15" customHeight="1" x14ac:dyDescent="0.25">
      <c r="H108" s="53" t="s">
        <v>53</v>
      </c>
    </row>
    <row r="109" spans="1:11" s="45" customFormat="1" ht="15" customHeight="1" x14ac:dyDescent="0.25">
      <c r="H109" s="25" t="s">
        <v>54</v>
      </c>
    </row>
    <row r="110" spans="1:11" ht="15" customHeight="1" x14ac:dyDescent="0.25">
      <c r="B110" s="1"/>
      <c r="C110" s="1"/>
      <c r="D110" s="1"/>
      <c r="E110" s="1"/>
      <c r="F110" s="1"/>
      <c r="G110" s="1"/>
      <c r="H110" s="25" t="s">
        <v>55</v>
      </c>
      <c r="I110" s="1"/>
      <c r="J110" s="1"/>
      <c r="K110" s="1"/>
    </row>
  </sheetData>
  <mergeCells count="14">
    <mergeCell ref="A103:J103"/>
    <mergeCell ref="K11:K12"/>
    <mergeCell ref="H11:I11"/>
    <mergeCell ref="A11:A12"/>
    <mergeCell ref="J11:J12"/>
    <mergeCell ref="B9:D9"/>
    <mergeCell ref="A10:J10"/>
    <mergeCell ref="D11:G11"/>
    <mergeCell ref="B11:C11"/>
    <mergeCell ref="A2:J2"/>
    <mergeCell ref="A3:J3"/>
    <mergeCell ref="A4:J4"/>
    <mergeCell ref="A5:J5"/>
    <mergeCell ref="B7:D7"/>
  </mergeCells>
  <phoneticPr fontId="7" type="noConversion"/>
  <printOptions horizontalCentered="1"/>
  <pageMargins left="0.23622047244094491" right="0.23622047244094491" top="0.55118110236220474" bottom="0.62992125984251968" header="0.31496062992125984" footer="0.31496062992125984"/>
  <pageSetup paperSize="9" scale="69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B116-5445-4165-85A2-1D0595933621}">
  <sheetPr codeName="Sheet2">
    <pageSetUpPr fitToPage="1"/>
  </sheetPr>
  <dimension ref="A1:L24"/>
  <sheetViews>
    <sheetView view="pageBreakPreview" zoomScale="112" zoomScaleNormal="100" zoomScaleSheetLayoutView="112" workbookViewId="0">
      <selection activeCell="B16" sqref="B16:E16"/>
    </sheetView>
  </sheetViews>
  <sheetFormatPr defaultColWidth="8.7109375" defaultRowHeight="15" x14ac:dyDescent="0.25"/>
  <cols>
    <col min="1" max="1" width="33.5703125" style="15" customWidth="1"/>
    <col min="2" max="16384" width="8.7109375" style="15"/>
  </cols>
  <sheetData>
    <row r="1" spans="1:12" s="10" customFormat="1" ht="52.5" customHeight="1" x14ac:dyDescent="0.25"/>
    <row r="2" spans="1:12" s="10" customFormat="1" ht="10.5" customHeight="1" x14ac:dyDescent="0.25">
      <c r="A2" s="104" t="s">
        <v>36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0" customFormat="1" ht="15.95" customHeight="1" x14ac:dyDescent="0.25">
      <c r="A3" s="104" t="s">
        <v>37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" s="10" customFormat="1" ht="15.95" customHeight="1" x14ac:dyDescent="0.25">
      <c r="A4" s="104" t="s">
        <v>38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s="10" customFormat="1" ht="15.95" customHeight="1" x14ac:dyDescent="0.25">
      <c r="A5" s="104" t="s">
        <v>39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s="10" customFormat="1" ht="8.25" customHeight="1" x14ac:dyDescent="0.25"/>
    <row r="7" spans="1:12" s="10" customFormat="1" ht="12" customHeight="1" x14ac:dyDescent="0.25">
      <c r="A7" s="10" t="s">
        <v>40</v>
      </c>
      <c r="C7" s="11" t="s">
        <v>41</v>
      </c>
      <c r="D7" s="11"/>
      <c r="G7" s="11" t="s">
        <v>8</v>
      </c>
      <c r="H7" s="12"/>
    </row>
    <row r="8" spans="1:12" s="10" customFormat="1" ht="12" customHeight="1" x14ac:dyDescent="0.25">
      <c r="C8" s="13"/>
      <c r="G8" s="13"/>
      <c r="H8" s="13"/>
    </row>
    <row r="9" spans="1:12" s="10" customFormat="1" ht="12" customHeight="1" x14ac:dyDescent="0.25">
      <c r="A9" s="10" t="s">
        <v>42</v>
      </c>
      <c r="C9" s="11" t="s">
        <v>43</v>
      </c>
      <c r="D9" s="11"/>
      <c r="G9" s="11" t="s">
        <v>9</v>
      </c>
      <c r="H9" s="14"/>
    </row>
    <row r="10" spans="1:12" ht="16.5" customHeight="1" thickBot="1" x14ac:dyDescent="0.3">
      <c r="A10" s="105" t="s">
        <v>44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</row>
    <row r="11" spans="1:12" s="16" customFormat="1" ht="18.75" customHeight="1" x14ac:dyDescent="0.2">
      <c r="A11" s="106" t="s">
        <v>3</v>
      </c>
      <c r="B11" s="108" t="s">
        <v>4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10" t="s">
        <v>7</v>
      </c>
    </row>
    <row r="12" spans="1:12" s="16" customFormat="1" ht="24" customHeight="1" x14ac:dyDescent="0.2">
      <c r="A12" s="107"/>
      <c r="B12" s="102" t="s">
        <v>45</v>
      </c>
      <c r="C12" s="112"/>
      <c r="D12" s="112"/>
      <c r="E12" s="103"/>
      <c r="F12" s="102" t="s">
        <v>46</v>
      </c>
      <c r="G12" s="103"/>
      <c r="H12" s="102" t="s">
        <v>47</v>
      </c>
      <c r="I12" s="103"/>
      <c r="J12" s="102" t="s">
        <v>48</v>
      </c>
      <c r="K12" s="103"/>
      <c r="L12" s="111"/>
    </row>
    <row r="13" spans="1:12" s="17" customFormat="1" ht="22.5" customHeight="1" x14ac:dyDescent="0.2">
      <c r="A13" s="38" t="s">
        <v>161</v>
      </c>
      <c r="B13" s="99" t="s">
        <v>132</v>
      </c>
      <c r="C13" s="99"/>
      <c r="D13" s="99"/>
      <c r="E13" s="99"/>
      <c r="F13" s="100">
        <v>3</v>
      </c>
      <c r="G13" s="101"/>
      <c r="H13" s="100">
        <v>0</v>
      </c>
      <c r="I13" s="101"/>
      <c r="J13" s="100">
        <v>3</v>
      </c>
      <c r="K13" s="101"/>
      <c r="L13" s="52">
        <v>3</v>
      </c>
    </row>
    <row r="14" spans="1:12" s="17" customFormat="1" ht="22.5" customHeight="1" x14ac:dyDescent="0.2">
      <c r="A14" s="38" t="s">
        <v>133</v>
      </c>
      <c r="B14" s="99" t="s">
        <v>132</v>
      </c>
      <c r="C14" s="99"/>
      <c r="D14" s="99"/>
      <c r="E14" s="99"/>
      <c r="F14" s="100"/>
      <c r="G14" s="101"/>
      <c r="H14" s="100">
        <v>1</v>
      </c>
      <c r="I14" s="101"/>
      <c r="J14" s="100">
        <v>2</v>
      </c>
      <c r="K14" s="101"/>
      <c r="L14" s="52">
        <v>2</v>
      </c>
    </row>
    <row r="15" spans="1:12" s="17" customFormat="1" ht="22.5" customHeight="1" x14ac:dyDescent="0.2">
      <c r="A15" s="38" t="s">
        <v>153</v>
      </c>
      <c r="B15" s="99" t="s">
        <v>132</v>
      </c>
      <c r="C15" s="99"/>
      <c r="D15" s="99"/>
      <c r="E15" s="99"/>
      <c r="F15" s="100"/>
      <c r="G15" s="101"/>
      <c r="H15" s="100">
        <v>1</v>
      </c>
      <c r="I15" s="101"/>
      <c r="J15" s="100">
        <v>1</v>
      </c>
      <c r="K15" s="101"/>
      <c r="L15" s="52">
        <v>1</v>
      </c>
    </row>
    <row r="16" spans="1:12" s="17" customFormat="1" ht="22.5" customHeight="1" x14ac:dyDescent="0.2">
      <c r="A16" s="38" t="s">
        <v>157</v>
      </c>
      <c r="B16" s="99" t="s">
        <v>132</v>
      </c>
      <c r="C16" s="99"/>
      <c r="D16" s="99"/>
      <c r="E16" s="99"/>
      <c r="F16" s="100"/>
      <c r="G16" s="101"/>
      <c r="H16" s="100">
        <v>1</v>
      </c>
      <c r="I16" s="101"/>
      <c r="J16" s="100">
        <v>0</v>
      </c>
      <c r="K16" s="101"/>
      <c r="L16" s="51">
        <v>0</v>
      </c>
    </row>
    <row r="17" spans="1:12" s="17" customFormat="1" ht="22.5" customHeight="1" x14ac:dyDescent="0.2">
      <c r="A17" s="38" t="s">
        <v>162</v>
      </c>
      <c r="B17" s="99" t="s">
        <v>163</v>
      </c>
      <c r="C17" s="99"/>
      <c r="D17" s="99"/>
      <c r="E17" s="99"/>
      <c r="F17" s="100">
        <v>1</v>
      </c>
      <c r="G17" s="101"/>
      <c r="H17" s="100">
        <v>0</v>
      </c>
      <c r="I17" s="101"/>
      <c r="J17" s="100">
        <v>1</v>
      </c>
      <c r="K17" s="101"/>
      <c r="L17" s="52">
        <v>1</v>
      </c>
    </row>
    <row r="18" spans="1:12" s="17" customFormat="1" ht="22.5" customHeight="1" x14ac:dyDescent="0.2">
      <c r="A18" s="38" t="s">
        <v>164</v>
      </c>
      <c r="B18" s="99" t="s">
        <v>163</v>
      </c>
      <c r="C18" s="99"/>
      <c r="D18" s="99"/>
      <c r="E18" s="99"/>
      <c r="F18" s="100"/>
      <c r="G18" s="101"/>
      <c r="H18" s="100">
        <v>1</v>
      </c>
      <c r="I18" s="101"/>
      <c r="J18" s="100">
        <v>0</v>
      </c>
      <c r="K18" s="101"/>
      <c r="L18" s="51">
        <v>0</v>
      </c>
    </row>
    <row r="19" spans="1:12" ht="18.95" customHeight="1" x14ac:dyDescent="0.25">
      <c r="A19" s="18" t="s">
        <v>51</v>
      </c>
      <c r="B19" s="19"/>
      <c r="C19" s="19"/>
      <c r="D19" s="19"/>
      <c r="E19" s="19"/>
      <c r="F19" s="46"/>
      <c r="G19" s="46"/>
      <c r="H19" s="46"/>
      <c r="I19" s="46"/>
      <c r="J19" s="46"/>
      <c r="K19" s="46"/>
      <c r="L19" s="46"/>
    </row>
    <row r="20" spans="1:12" s="10" customFormat="1" x14ac:dyDescent="0.25">
      <c r="A20" s="46"/>
      <c r="B20" s="46"/>
      <c r="C20" s="46"/>
      <c r="D20" s="46"/>
      <c r="E20" s="46"/>
      <c r="I20" s="73" t="s">
        <v>52</v>
      </c>
    </row>
    <row r="21" spans="1:12" s="10" customFormat="1" x14ac:dyDescent="0.25">
      <c r="C21" s="20"/>
    </row>
    <row r="22" spans="1:12" x14ac:dyDescent="0.25">
      <c r="C22" s="20"/>
      <c r="D22" s="10"/>
      <c r="E22" s="10"/>
      <c r="I22" s="97" t="s">
        <v>154</v>
      </c>
      <c r="J22" s="97"/>
      <c r="K22" s="97"/>
    </row>
    <row r="23" spans="1:12" x14ac:dyDescent="0.25">
      <c r="I23" s="96" t="s">
        <v>54</v>
      </c>
      <c r="J23" s="96"/>
      <c r="K23" s="96"/>
    </row>
    <row r="24" spans="1:12" x14ac:dyDescent="0.25">
      <c r="I24" s="98" t="s">
        <v>55</v>
      </c>
      <c r="J24" s="98"/>
      <c r="K24" s="98"/>
    </row>
  </sheetData>
  <mergeCells count="39">
    <mergeCell ref="H12:I12"/>
    <mergeCell ref="J12:K12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B13:E13"/>
    <mergeCell ref="F13:G13"/>
    <mergeCell ref="H13:I13"/>
    <mergeCell ref="J13:K13"/>
    <mergeCell ref="B16:E16"/>
    <mergeCell ref="F16:G16"/>
    <mergeCell ref="H16:I16"/>
    <mergeCell ref="J16:K16"/>
    <mergeCell ref="B15:E15"/>
    <mergeCell ref="F15:G15"/>
    <mergeCell ref="H15:I15"/>
    <mergeCell ref="J15:K15"/>
    <mergeCell ref="B14:E14"/>
    <mergeCell ref="F14:G14"/>
    <mergeCell ref="H14:I14"/>
    <mergeCell ref="J14:K14"/>
    <mergeCell ref="I23:K23"/>
    <mergeCell ref="I22:K22"/>
    <mergeCell ref="I24:K24"/>
    <mergeCell ref="B17:E17"/>
    <mergeCell ref="F17:G17"/>
    <mergeCell ref="H17:I17"/>
    <mergeCell ref="J17:K17"/>
    <mergeCell ref="B18:E18"/>
    <mergeCell ref="F18:G18"/>
    <mergeCell ref="H18:I18"/>
    <mergeCell ref="J18:K18"/>
  </mergeCells>
  <phoneticPr fontId="7" type="noConversion"/>
  <pageMargins left="0.7" right="0.7" top="0.75" bottom="0.75" header="0.3" footer="0.3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27"/>
  <sheetViews>
    <sheetView view="pageBreakPreview" topLeftCell="A10" zoomScale="112" zoomScaleNormal="100" zoomScaleSheetLayoutView="112" workbookViewId="0">
      <selection activeCell="E21" sqref="E21"/>
    </sheetView>
  </sheetViews>
  <sheetFormatPr defaultColWidth="8.7109375" defaultRowHeight="15" x14ac:dyDescent="0.25"/>
  <cols>
    <col min="1" max="1" width="33.5703125" style="15" customWidth="1"/>
    <col min="2" max="16384" width="8.7109375" style="15"/>
  </cols>
  <sheetData>
    <row r="1" spans="1:12" s="10" customFormat="1" ht="52.5" customHeight="1" x14ac:dyDescent="0.25"/>
    <row r="2" spans="1:12" s="10" customFormat="1" ht="10.5" customHeight="1" x14ac:dyDescent="0.25">
      <c r="A2" s="104" t="s">
        <v>36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0" customFormat="1" ht="15.95" customHeight="1" x14ac:dyDescent="0.25">
      <c r="A3" s="104" t="s">
        <v>37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" s="10" customFormat="1" ht="15.95" customHeight="1" x14ac:dyDescent="0.25">
      <c r="A4" s="104" t="s">
        <v>38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</row>
    <row r="5" spans="1:12" s="10" customFormat="1" ht="15.95" customHeight="1" x14ac:dyDescent="0.25">
      <c r="A5" s="104" t="s">
        <v>39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s="10" customFormat="1" ht="8.25" customHeight="1" x14ac:dyDescent="0.25"/>
    <row r="7" spans="1:12" s="10" customFormat="1" ht="12" customHeight="1" x14ac:dyDescent="0.25">
      <c r="A7" s="10" t="s">
        <v>40</v>
      </c>
      <c r="C7" s="11" t="s">
        <v>41</v>
      </c>
      <c r="D7" s="11"/>
      <c r="G7" s="11" t="s">
        <v>8</v>
      </c>
      <c r="H7" s="12"/>
    </row>
    <row r="8" spans="1:12" s="10" customFormat="1" ht="12" customHeight="1" x14ac:dyDescent="0.25">
      <c r="C8" s="13"/>
      <c r="G8" s="13"/>
      <c r="H8" s="13"/>
    </row>
    <row r="9" spans="1:12" s="10" customFormat="1" ht="12" customHeight="1" x14ac:dyDescent="0.25">
      <c r="A9" s="10" t="s">
        <v>42</v>
      </c>
      <c r="C9" s="11" t="s">
        <v>43</v>
      </c>
      <c r="D9" s="11"/>
      <c r="G9" s="11" t="s">
        <v>9</v>
      </c>
      <c r="H9" s="14"/>
    </row>
    <row r="10" spans="1:12" ht="16.5" customHeight="1" thickBot="1" x14ac:dyDescent="0.3">
      <c r="A10" s="105" t="s">
        <v>44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</row>
    <row r="11" spans="1:12" s="16" customFormat="1" ht="18.75" customHeight="1" x14ac:dyDescent="0.2">
      <c r="A11" s="106" t="s">
        <v>3</v>
      </c>
      <c r="B11" s="108" t="s">
        <v>4</v>
      </c>
      <c r="C11" s="109"/>
      <c r="D11" s="109"/>
      <c r="E11" s="109"/>
      <c r="F11" s="109"/>
      <c r="G11" s="109"/>
      <c r="H11" s="109"/>
      <c r="I11" s="109"/>
      <c r="J11" s="109"/>
      <c r="K11" s="109"/>
      <c r="L11" s="110" t="s">
        <v>7</v>
      </c>
    </row>
    <row r="12" spans="1:12" s="16" customFormat="1" ht="24" customHeight="1" x14ac:dyDescent="0.2">
      <c r="A12" s="107"/>
      <c r="B12" s="102" t="s">
        <v>45</v>
      </c>
      <c r="C12" s="112"/>
      <c r="D12" s="112"/>
      <c r="E12" s="103"/>
      <c r="F12" s="102" t="s">
        <v>46</v>
      </c>
      <c r="G12" s="103"/>
      <c r="H12" s="102" t="s">
        <v>47</v>
      </c>
      <c r="I12" s="103"/>
      <c r="J12" s="102" t="s">
        <v>48</v>
      </c>
      <c r="K12" s="103"/>
      <c r="L12" s="111"/>
    </row>
    <row r="13" spans="1:12" s="16" customFormat="1" ht="22.5" customHeight="1" x14ac:dyDescent="0.2">
      <c r="A13" s="48" t="s">
        <v>49</v>
      </c>
      <c r="B13" s="113" t="s">
        <v>50</v>
      </c>
      <c r="C13" s="115"/>
      <c r="D13" s="115"/>
      <c r="E13" s="114"/>
      <c r="F13" s="113">
        <v>2</v>
      </c>
      <c r="G13" s="114"/>
      <c r="H13" s="113">
        <v>0</v>
      </c>
      <c r="I13" s="114"/>
      <c r="J13" s="113">
        <v>2</v>
      </c>
      <c r="K13" s="114"/>
      <c r="L13" s="49">
        <v>2</v>
      </c>
    </row>
    <row r="14" spans="1:12" s="17" customFormat="1" ht="22.5" customHeight="1" x14ac:dyDescent="0.2">
      <c r="A14" s="48" t="s">
        <v>56</v>
      </c>
      <c r="B14" s="113" t="s">
        <v>50</v>
      </c>
      <c r="C14" s="115"/>
      <c r="D14" s="115"/>
      <c r="E14" s="114"/>
      <c r="F14" s="113">
        <v>2</v>
      </c>
      <c r="G14" s="114"/>
      <c r="H14" s="113">
        <v>2</v>
      </c>
      <c r="I14" s="114"/>
      <c r="J14" s="113">
        <f>F14-H14</f>
        <v>0</v>
      </c>
      <c r="K14" s="114"/>
      <c r="L14" s="49">
        <v>0</v>
      </c>
    </row>
    <row r="15" spans="1:12" s="17" customFormat="1" ht="22.5" customHeight="1" x14ac:dyDescent="0.2">
      <c r="A15" s="48" t="s">
        <v>57</v>
      </c>
      <c r="B15" s="113" t="s">
        <v>58</v>
      </c>
      <c r="C15" s="115"/>
      <c r="D15" s="115"/>
      <c r="E15" s="114"/>
      <c r="F15" s="113">
        <v>3</v>
      </c>
      <c r="G15" s="114"/>
      <c r="H15" s="113">
        <v>0</v>
      </c>
      <c r="I15" s="114"/>
      <c r="J15" s="113">
        <v>3</v>
      </c>
      <c r="K15" s="114"/>
      <c r="L15" s="49">
        <v>3</v>
      </c>
    </row>
    <row r="16" spans="1:12" s="17" customFormat="1" ht="22.5" customHeight="1" x14ac:dyDescent="0.2">
      <c r="A16" s="48" t="s">
        <v>59</v>
      </c>
      <c r="B16" s="113" t="s">
        <v>58</v>
      </c>
      <c r="C16" s="115"/>
      <c r="D16" s="115"/>
      <c r="E16" s="114"/>
      <c r="F16" s="113">
        <v>3</v>
      </c>
      <c r="G16" s="114"/>
      <c r="H16" s="113">
        <v>1</v>
      </c>
      <c r="I16" s="114"/>
      <c r="J16" s="113">
        <v>2</v>
      </c>
      <c r="K16" s="114"/>
      <c r="L16" s="49">
        <v>2</v>
      </c>
    </row>
    <row r="17" spans="1:12" s="17" customFormat="1" ht="22.5" customHeight="1" x14ac:dyDescent="0.2">
      <c r="A17" s="50" t="s">
        <v>117</v>
      </c>
      <c r="B17" s="113" t="s">
        <v>58</v>
      </c>
      <c r="C17" s="115"/>
      <c r="D17" s="115"/>
      <c r="E17" s="114"/>
      <c r="F17" s="113">
        <v>2</v>
      </c>
      <c r="G17" s="114"/>
      <c r="H17" s="113">
        <v>1</v>
      </c>
      <c r="I17" s="114"/>
      <c r="J17" s="113">
        <v>1</v>
      </c>
      <c r="K17" s="114"/>
      <c r="L17" s="51">
        <v>1</v>
      </c>
    </row>
    <row r="18" spans="1:12" s="17" customFormat="1" ht="22.5" customHeight="1" x14ac:dyDescent="0.2">
      <c r="A18" s="50" t="s">
        <v>118</v>
      </c>
      <c r="B18" s="113" t="s">
        <v>58</v>
      </c>
      <c r="C18" s="115"/>
      <c r="D18" s="115"/>
      <c r="E18" s="114"/>
      <c r="F18" s="113">
        <v>1</v>
      </c>
      <c r="G18" s="114"/>
      <c r="H18" s="113">
        <v>1</v>
      </c>
      <c r="I18" s="114"/>
      <c r="J18" s="113">
        <v>0</v>
      </c>
      <c r="K18" s="114"/>
      <c r="L18" s="51">
        <v>0</v>
      </c>
    </row>
    <row r="19" spans="1:12" s="17" customFormat="1" ht="22.5" customHeight="1" x14ac:dyDescent="0.2">
      <c r="A19" s="6" t="s">
        <v>119</v>
      </c>
      <c r="B19" s="116" t="s">
        <v>120</v>
      </c>
      <c r="C19" s="116"/>
      <c r="D19" s="116"/>
      <c r="E19" s="116"/>
      <c r="F19" s="117">
        <v>3</v>
      </c>
      <c r="G19" s="118"/>
      <c r="H19" s="117">
        <v>0</v>
      </c>
      <c r="I19" s="118"/>
      <c r="J19" s="117">
        <v>3</v>
      </c>
      <c r="K19" s="118"/>
      <c r="L19" s="47">
        <v>3</v>
      </c>
    </row>
    <row r="20" spans="1:12" s="17" customFormat="1" ht="22.5" customHeight="1" x14ac:dyDescent="0.2">
      <c r="A20" s="6" t="s">
        <v>121</v>
      </c>
      <c r="B20" s="116" t="s">
        <v>120</v>
      </c>
      <c r="C20" s="116"/>
      <c r="D20" s="116"/>
      <c r="E20" s="116"/>
      <c r="F20" s="117">
        <v>3</v>
      </c>
      <c r="G20" s="118"/>
      <c r="H20" s="117">
        <v>1</v>
      </c>
      <c r="I20" s="118"/>
      <c r="J20" s="117">
        <v>2</v>
      </c>
      <c r="K20" s="118"/>
      <c r="L20" s="51">
        <v>2</v>
      </c>
    </row>
    <row r="21" spans="1:12" ht="18.95" customHeight="1" x14ac:dyDescent="0.25">
      <c r="A21" s="18" t="s">
        <v>51</v>
      </c>
      <c r="B21" s="19"/>
      <c r="C21" s="19"/>
      <c r="D21" s="19"/>
      <c r="E21" s="19"/>
      <c r="F21" s="46"/>
      <c r="G21" s="46"/>
      <c r="H21" s="46"/>
      <c r="I21" s="46"/>
      <c r="J21" s="46"/>
      <c r="K21" s="46"/>
      <c r="L21" s="46"/>
    </row>
    <row r="22" spans="1:12" s="10" customFormat="1" x14ac:dyDescent="0.25">
      <c r="A22" s="46"/>
      <c r="B22" s="46"/>
      <c r="C22" s="46"/>
      <c r="D22" s="46"/>
      <c r="E22" s="46"/>
    </row>
    <row r="23" spans="1:12" s="10" customFormat="1" x14ac:dyDescent="0.25">
      <c r="A23" s="10" t="s">
        <v>52</v>
      </c>
      <c r="C23" s="20"/>
    </row>
    <row r="24" spans="1:12" x14ac:dyDescent="0.25">
      <c r="A24" s="10"/>
      <c r="B24" s="10"/>
      <c r="C24" s="20"/>
      <c r="D24" s="10"/>
      <c r="E24" s="10"/>
    </row>
    <row r="25" spans="1:12" x14ac:dyDescent="0.25">
      <c r="A25" s="97" t="s">
        <v>53</v>
      </c>
      <c r="B25" s="97"/>
    </row>
    <row r="26" spans="1:12" x14ac:dyDescent="0.25">
      <c r="A26" s="96" t="s">
        <v>54</v>
      </c>
      <c r="B26" s="96"/>
    </row>
    <row r="27" spans="1:12" x14ac:dyDescent="0.25">
      <c r="A27" s="98" t="s">
        <v>55</v>
      </c>
      <c r="B27" s="98"/>
    </row>
  </sheetData>
  <mergeCells count="47">
    <mergeCell ref="A2:L2"/>
    <mergeCell ref="A3:L3"/>
    <mergeCell ref="A4:L4"/>
    <mergeCell ref="A5:L5"/>
    <mergeCell ref="A10:L10"/>
    <mergeCell ref="L11:L12"/>
    <mergeCell ref="B12:E12"/>
    <mergeCell ref="F12:G12"/>
    <mergeCell ref="B15:E15"/>
    <mergeCell ref="F15:G15"/>
    <mergeCell ref="J15:K15"/>
    <mergeCell ref="J14:K14"/>
    <mergeCell ref="B14:E14"/>
    <mergeCell ref="F14:G14"/>
    <mergeCell ref="H14:I14"/>
    <mergeCell ref="H15:I15"/>
    <mergeCell ref="A11:A12"/>
    <mergeCell ref="B11:K11"/>
    <mergeCell ref="J16:K16"/>
    <mergeCell ref="B20:E20"/>
    <mergeCell ref="F20:G20"/>
    <mergeCell ref="H20:I20"/>
    <mergeCell ref="J20:K20"/>
    <mergeCell ref="J19:K19"/>
    <mergeCell ref="J17:K17"/>
    <mergeCell ref="H12:I12"/>
    <mergeCell ref="J12:K12"/>
    <mergeCell ref="B13:E13"/>
    <mergeCell ref="F13:G13"/>
    <mergeCell ref="H13:I13"/>
    <mergeCell ref="J13:K13"/>
    <mergeCell ref="B17:E17"/>
    <mergeCell ref="J18:K18"/>
    <mergeCell ref="A26:B26"/>
    <mergeCell ref="A27:B27"/>
    <mergeCell ref="A25:B25"/>
    <mergeCell ref="B16:E16"/>
    <mergeCell ref="F16:G16"/>
    <mergeCell ref="H16:I16"/>
    <mergeCell ref="F18:G18"/>
    <mergeCell ref="H18:I18"/>
    <mergeCell ref="F17:G17"/>
    <mergeCell ref="H17:I17"/>
    <mergeCell ref="B19:E19"/>
    <mergeCell ref="F19:G19"/>
    <mergeCell ref="H19:I19"/>
    <mergeCell ref="B18:E18"/>
  </mergeCells>
  <pageMargins left="0.7" right="0.7" top="0.75" bottom="0.75" header="0.3" footer="0.3"/>
  <pageSetup paperSize="9" scale="9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M24"/>
  <sheetViews>
    <sheetView view="pageBreakPreview" zoomScale="98" zoomScaleNormal="100" zoomScaleSheetLayoutView="98" workbookViewId="0">
      <selection sqref="A1:XFD10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23"/>
      <c r="D1" s="24"/>
      <c r="H1" s="22"/>
    </row>
    <row r="2" spans="1:12" s="1" customFormat="1" ht="10.5" customHeight="1" x14ac:dyDescent="0.25">
      <c r="A2" s="83" t="s">
        <v>36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s="1" customFormat="1" ht="15.95" customHeight="1" x14ac:dyDescent="0.25">
      <c r="A3" s="83" t="s">
        <v>37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2" s="1" customFormat="1" ht="15.95" customHeight="1" x14ac:dyDescent="0.25">
      <c r="A4" s="83" t="s">
        <v>38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2" s="1" customFormat="1" ht="15.95" customHeight="1" x14ac:dyDescent="0.25">
      <c r="A5" s="83" t="s">
        <v>39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2" s="1" customFormat="1" ht="8.25" customHeight="1" x14ac:dyDescent="0.25">
      <c r="C6" s="22"/>
      <c r="H6" s="22"/>
    </row>
    <row r="7" spans="1:12" s="1" customFormat="1" ht="8.25" customHeight="1" x14ac:dyDescent="0.25">
      <c r="C7" s="22"/>
      <c r="H7" s="22"/>
    </row>
    <row r="8" spans="1:12" s="1" customFormat="1" ht="12" customHeight="1" x14ac:dyDescent="0.25">
      <c r="A8" s="26" t="s">
        <v>61</v>
      </c>
      <c r="B8" s="26"/>
      <c r="C8" s="119" t="s">
        <v>62</v>
      </c>
      <c r="D8" s="119"/>
      <c r="E8" s="119"/>
      <c r="F8" s="119"/>
      <c r="G8" s="119"/>
      <c r="I8" s="119" t="s">
        <v>63</v>
      </c>
      <c r="J8" s="119"/>
      <c r="K8" s="119"/>
      <c r="L8" s="26"/>
    </row>
    <row r="9" spans="1:12" s="1" customFormat="1" ht="12" customHeight="1" x14ac:dyDescent="0.25">
      <c r="B9" s="27"/>
      <c r="C9" s="119" t="s">
        <v>64</v>
      </c>
      <c r="D9" s="119"/>
      <c r="E9" s="119"/>
      <c r="F9" s="119"/>
      <c r="G9" s="119"/>
      <c r="I9" s="120" t="s">
        <v>65</v>
      </c>
      <c r="J9" s="120"/>
      <c r="K9" s="120"/>
      <c r="L9" s="27"/>
    </row>
    <row r="10" spans="1:12" s="1" customFormat="1" ht="12" customHeight="1" x14ac:dyDescent="0.25">
      <c r="A10" s="26" t="s">
        <v>66</v>
      </c>
      <c r="B10" s="26"/>
      <c r="C10" s="28"/>
      <c r="D10" s="27"/>
      <c r="E10" s="27"/>
      <c r="I10" s="119" t="s">
        <v>67</v>
      </c>
      <c r="J10" s="119"/>
      <c r="K10" s="119"/>
      <c r="L10" s="26"/>
    </row>
    <row r="11" spans="1:12" ht="16.5" customHeight="1" thickBot="1" x14ac:dyDescent="0.3">
      <c r="A11" s="121" t="s">
        <v>68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</row>
    <row r="12" spans="1:12" s="32" customFormat="1" ht="48" x14ac:dyDescent="0.2">
      <c r="A12" s="29" t="s">
        <v>3</v>
      </c>
      <c r="B12" s="30" t="s">
        <v>69</v>
      </c>
      <c r="C12" s="30" t="s">
        <v>70</v>
      </c>
      <c r="D12" s="30" t="s">
        <v>71</v>
      </c>
      <c r="E12" s="30" t="s">
        <v>72</v>
      </c>
      <c r="F12" s="30" t="s">
        <v>73</v>
      </c>
      <c r="G12" s="30" t="s">
        <v>74</v>
      </c>
      <c r="H12" s="30" t="s">
        <v>75</v>
      </c>
      <c r="I12" s="30" t="s">
        <v>76</v>
      </c>
      <c r="J12" s="30" t="s">
        <v>77</v>
      </c>
      <c r="K12" s="30" t="s">
        <v>78</v>
      </c>
      <c r="L12" s="31" t="s">
        <v>7</v>
      </c>
    </row>
    <row r="13" spans="1:12" s="32" customFormat="1" x14ac:dyDescent="0.2">
      <c r="A13" s="33" t="s">
        <v>11</v>
      </c>
      <c r="B13" s="6"/>
      <c r="C13" s="34"/>
      <c r="D13" s="34"/>
      <c r="E13" s="6"/>
      <c r="F13" s="6"/>
      <c r="G13" s="6"/>
      <c r="H13" s="34"/>
      <c r="I13" s="6"/>
      <c r="J13" s="6">
        <v>5</v>
      </c>
      <c r="K13" s="6"/>
      <c r="L13" s="35">
        <v>5</v>
      </c>
    </row>
    <row r="14" spans="1:12" s="32" customFormat="1" x14ac:dyDescent="0.2">
      <c r="A14" s="33"/>
      <c r="B14" s="6"/>
      <c r="C14" s="34"/>
      <c r="D14" s="34"/>
      <c r="E14" s="6"/>
      <c r="F14" s="6"/>
      <c r="G14" s="6"/>
      <c r="H14" s="34"/>
      <c r="I14" s="6"/>
      <c r="J14" s="6"/>
      <c r="K14" s="6"/>
      <c r="L14" s="35"/>
    </row>
    <row r="15" spans="1:12" s="37" customFormat="1" x14ac:dyDescent="0.2">
      <c r="A15" s="36"/>
      <c r="B15" s="6"/>
      <c r="C15" s="34"/>
      <c r="D15" s="34"/>
      <c r="E15" s="6"/>
      <c r="F15" s="6"/>
      <c r="G15" s="6"/>
      <c r="H15" s="34"/>
      <c r="I15" s="6"/>
      <c r="J15" s="6"/>
      <c r="K15" s="6"/>
      <c r="L15" s="35"/>
    </row>
    <row r="16" spans="1:12" s="37" customFormat="1" x14ac:dyDescent="0.2">
      <c r="A16" s="38"/>
      <c r="B16" s="6"/>
      <c r="C16" s="34"/>
      <c r="D16" s="34"/>
      <c r="E16" s="6"/>
      <c r="F16" s="6"/>
      <c r="G16" s="6"/>
      <c r="H16" s="34"/>
      <c r="I16" s="6"/>
      <c r="J16" s="6"/>
      <c r="K16" s="6"/>
      <c r="L16" s="35"/>
    </row>
    <row r="17" spans="1:12" s="37" customFormat="1" x14ac:dyDescent="0.2">
      <c r="A17" s="34"/>
      <c r="B17" s="6"/>
      <c r="C17" s="34"/>
      <c r="D17" s="34"/>
      <c r="E17" s="6"/>
      <c r="F17" s="6"/>
      <c r="G17" s="6"/>
      <c r="H17" s="34"/>
      <c r="I17" s="6"/>
      <c r="J17" s="6"/>
      <c r="K17" s="6"/>
      <c r="L17" s="35"/>
    </row>
    <row r="18" spans="1:12" s="37" customFormat="1" x14ac:dyDescent="0.2">
      <c r="A18" s="33"/>
      <c r="B18" s="6"/>
      <c r="C18" s="34"/>
      <c r="D18" s="34"/>
      <c r="E18" s="6"/>
      <c r="F18" s="6"/>
      <c r="G18" s="6"/>
      <c r="H18" s="34"/>
      <c r="I18" s="6"/>
      <c r="J18" s="6"/>
      <c r="K18" s="6"/>
      <c r="L18" s="35"/>
    </row>
    <row r="19" spans="1:12" s="37" customFormat="1" x14ac:dyDescent="0.2">
      <c r="A19" s="33"/>
      <c r="B19" s="6"/>
      <c r="C19" s="34"/>
      <c r="D19" s="34"/>
      <c r="E19" s="6"/>
      <c r="F19" s="6"/>
      <c r="G19" s="6"/>
      <c r="H19" s="34"/>
      <c r="I19" s="6"/>
      <c r="J19" s="6"/>
      <c r="K19" s="6"/>
      <c r="L19" s="35"/>
    </row>
    <row r="20" spans="1:12" s="37" customFormat="1" x14ac:dyDescent="0.2">
      <c r="A20" s="33"/>
      <c r="B20" s="6"/>
      <c r="C20" s="34"/>
      <c r="D20" s="34"/>
      <c r="E20" s="6"/>
      <c r="F20" s="6"/>
      <c r="G20" s="6"/>
      <c r="H20" s="34"/>
      <c r="I20" s="6"/>
      <c r="J20" s="6"/>
      <c r="K20" s="6"/>
      <c r="L20" s="35"/>
    </row>
    <row r="21" spans="1:12" s="37" customFormat="1" x14ac:dyDescent="0.2">
      <c r="A21" s="39"/>
      <c r="B21" s="6"/>
      <c r="C21" s="34"/>
      <c r="D21" s="34"/>
      <c r="E21" s="6"/>
      <c r="F21" s="6"/>
      <c r="G21" s="6"/>
      <c r="H21" s="34"/>
      <c r="I21" s="6"/>
      <c r="J21" s="6"/>
      <c r="K21" s="40"/>
      <c r="L21" s="35"/>
    </row>
    <row r="22" spans="1:12" ht="75.75" customHeight="1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</row>
    <row r="23" spans="1:12" s="1" customFormat="1" x14ac:dyDescent="0.25">
      <c r="C23" s="22"/>
    </row>
    <row r="24" spans="1:12" s="1" customFormat="1" x14ac:dyDescent="0.25">
      <c r="C24" s="22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93F7-6358-4FAA-A8DD-5EBFF7551EE1}">
  <sheetPr codeName="Sheet6">
    <pageSetUpPr fitToPage="1"/>
  </sheetPr>
  <dimension ref="A1:M26"/>
  <sheetViews>
    <sheetView view="pageBreakPreview" topLeftCell="A4" zoomScaleNormal="100" zoomScaleSheetLayoutView="100" workbookViewId="0">
      <selection activeCell="A23" sqref="A23:L23"/>
    </sheetView>
  </sheetViews>
  <sheetFormatPr defaultRowHeight="15" x14ac:dyDescent="0.25"/>
  <cols>
    <col min="1" max="1" width="28.85546875" customWidth="1"/>
    <col min="2" max="2" width="19.5703125" customWidth="1"/>
    <col min="3" max="3" width="18.85546875" customWidth="1"/>
    <col min="4" max="4" width="13.140625" customWidth="1"/>
    <col min="5" max="5" width="8.7109375" customWidth="1"/>
    <col min="6" max="6" width="10.28515625" customWidth="1"/>
    <col min="8" max="8" width="9.140625" customWidth="1"/>
    <col min="9" max="9" width="7.5703125" customWidth="1"/>
    <col min="10" max="10" width="5.140625" customWidth="1"/>
    <col min="11" max="11" width="7.140625" customWidth="1"/>
    <col min="12" max="12" width="3.85546875" customWidth="1"/>
    <col min="13" max="13" width="8" customWidth="1"/>
  </cols>
  <sheetData>
    <row r="1" spans="1:13" s="1" customFormat="1" ht="52.5" customHeight="1" x14ac:dyDescent="0.25"/>
    <row r="2" spans="1:13" s="1" customFormat="1" ht="10.5" customHeight="1" x14ac:dyDescent="0.25">
      <c r="A2" s="83" t="s">
        <v>36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3" s="1" customFormat="1" ht="15.95" customHeight="1" x14ac:dyDescent="0.25">
      <c r="A3" s="83" t="s">
        <v>37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3" s="1" customFormat="1" ht="15.95" customHeight="1" x14ac:dyDescent="0.25">
      <c r="A4" s="83" t="s">
        <v>38</v>
      </c>
      <c r="B4" s="83"/>
      <c r="C4" s="83"/>
      <c r="D4" s="83"/>
      <c r="E4" s="83"/>
      <c r="F4" s="83"/>
      <c r="G4" s="83"/>
      <c r="H4" s="83"/>
      <c r="I4" s="83"/>
      <c r="J4" s="83"/>
      <c r="K4" s="83"/>
    </row>
    <row r="5" spans="1:13" s="1" customFormat="1" ht="15.95" customHeight="1" x14ac:dyDescent="0.25">
      <c r="A5" s="83" t="s">
        <v>39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3" s="1" customFormat="1" ht="8.25" customHeight="1" x14ac:dyDescent="0.25"/>
    <row r="7" spans="1:13" s="1" customFormat="1" ht="12" customHeight="1" x14ac:dyDescent="0.25">
      <c r="A7" s="1" t="s">
        <v>40</v>
      </c>
      <c r="B7" s="84" t="s">
        <v>137</v>
      </c>
      <c r="C7" s="84"/>
      <c r="D7" s="84"/>
      <c r="H7" s="4" t="s">
        <v>8</v>
      </c>
      <c r="I7" s="123"/>
      <c r="J7" s="123"/>
      <c r="K7" s="4"/>
    </row>
    <row r="8" spans="1:13" s="1" customFormat="1" ht="12" customHeight="1" x14ac:dyDescent="0.25">
      <c r="B8" s="3"/>
      <c r="C8" s="3"/>
      <c r="H8" s="3"/>
      <c r="I8" s="3"/>
      <c r="J8" s="3"/>
      <c r="K8" s="3"/>
    </row>
    <row r="9" spans="1:13" s="1" customFormat="1" ht="14.25" customHeight="1" x14ac:dyDescent="0.25">
      <c r="A9" s="1" t="s">
        <v>42</v>
      </c>
      <c r="B9" s="84" t="s">
        <v>43</v>
      </c>
      <c r="C9" s="84"/>
      <c r="D9" s="84"/>
      <c r="H9" s="4" t="s">
        <v>9</v>
      </c>
      <c r="I9" s="5"/>
      <c r="J9" s="5"/>
      <c r="K9" s="4"/>
    </row>
    <row r="10" spans="1:13" s="1" customFormat="1" ht="12" customHeight="1" x14ac:dyDescent="0.25">
      <c r="B10" s="57"/>
      <c r="C10" s="57"/>
      <c r="D10" s="57"/>
      <c r="H10" s="4"/>
      <c r="I10" s="4"/>
      <c r="J10" s="4"/>
      <c r="K10" s="4"/>
    </row>
    <row r="11" spans="1:13" s="1" customFormat="1" ht="12" customHeight="1" x14ac:dyDescent="0.25">
      <c r="B11" s="57"/>
      <c r="C11" s="57"/>
      <c r="D11" s="57"/>
      <c r="H11" s="4"/>
      <c r="I11" s="4"/>
      <c r="J11" s="4"/>
      <c r="K11" s="4"/>
    </row>
    <row r="12" spans="1:13" ht="16.5" customHeight="1" thickBot="1" x14ac:dyDescent="0.3">
      <c r="A12" s="91" t="s">
        <v>138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</row>
    <row r="13" spans="1:13" s="58" customFormat="1" ht="18.75" customHeight="1" x14ac:dyDescent="0.2">
      <c r="A13" s="124" t="s">
        <v>139</v>
      </c>
      <c r="B13" s="127" t="s">
        <v>3</v>
      </c>
      <c r="C13" s="130" t="s">
        <v>140</v>
      </c>
      <c r="D13" s="131"/>
      <c r="E13" s="136" t="s">
        <v>141</v>
      </c>
      <c r="F13" s="137"/>
      <c r="G13" s="142" t="s">
        <v>46</v>
      </c>
      <c r="H13" s="137"/>
      <c r="I13" s="142" t="s">
        <v>47</v>
      </c>
      <c r="J13" s="137"/>
      <c r="K13" s="142" t="s">
        <v>48</v>
      </c>
      <c r="L13" s="137"/>
      <c r="M13" s="145" t="s">
        <v>7</v>
      </c>
    </row>
    <row r="14" spans="1:13" s="58" customFormat="1" ht="18.75" customHeight="1" x14ac:dyDescent="0.2">
      <c r="A14" s="125"/>
      <c r="B14" s="128"/>
      <c r="C14" s="132"/>
      <c r="D14" s="133"/>
      <c r="E14" s="138"/>
      <c r="F14" s="139"/>
      <c r="G14" s="143"/>
      <c r="H14" s="139"/>
      <c r="I14" s="143"/>
      <c r="J14" s="139"/>
      <c r="K14" s="143"/>
      <c r="L14" s="139"/>
      <c r="M14" s="146"/>
    </row>
    <row r="15" spans="1:13" s="58" customFormat="1" ht="24" customHeight="1" thickBot="1" x14ac:dyDescent="0.25">
      <c r="A15" s="126"/>
      <c r="B15" s="129"/>
      <c r="C15" s="134"/>
      <c r="D15" s="135"/>
      <c r="E15" s="140"/>
      <c r="F15" s="141"/>
      <c r="G15" s="144"/>
      <c r="H15" s="141"/>
      <c r="I15" s="144"/>
      <c r="J15" s="141"/>
      <c r="K15" s="144"/>
      <c r="L15" s="141"/>
      <c r="M15" s="147"/>
    </row>
    <row r="16" spans="1:13" s="64" customFormat="1" ht="39" customHeight="1" x14ac:dyDescent="0.2">
      <c r="A16" s="59" t="s">
        <v>145</v>
      </c>
      <c r="B16" s="65" t="s">
        <v>144</v>
      </c>
      <c r="C16" s="148" t="s">
        <v>143</v>
      </c>
      <c r="D16" s="149"/>
      <c r="E16" s="150"/>
      <c r="F16" s="151"/>
      <c r="G16" s="61">
        <v>3</v>
      </c>
      <c r="H16" s="62"/>
      <c r="I16" s="61">
        <v>0</v>
      </c>
      <c r="J16" s="62"/>
      <c r="K16" s="61">
        <v>3</v>
      </c>
      <c r="L16" s="62"/>
      <c r="M16" s="63">
        <v>3</v>
      </c>
    </row>
    <row r="17" spans="1:13" s="64" customFormat="1" ht="39" customHeight="1" x14ac:dyDescent="0.2">
      <c r="A17" s="59" t="s">
        <v>145</v>
      </c>
      <c r="B17" s="60" t="s">
        <v>148</v>
      </c>
      <c r="C17" s="148" t="s">
        <v>143</v>
      </c>
      <c r="D17" s="149"/>
      <c r="E17" s="152"/>
      <c r="F17" s="152"/>
      <c r="G17" s="61">
        <v>5</v>
      </c>
      <c r="H17" s="62"/>
      <c r="I17" s="61">
        <v>0</v>
      </c>
      <c r="J17" s="62"/>
      <c r="K17" s="61">
        <v>5</v>
      </c>
      <c r="L17" s="62"/>
      <c r="M17" s="63">
        <v>5</v>
      </c>
    </row>
    <row r="18" spans="1:13" s="64" customFormat="1" ht="39" customHeight="1" x14ac:dyDescent="0.2">
      <c r="A18" s="34" t="s">
        <v>145</v>
      </c>
      <c r="B18" s="66" t="s">
        <v>149</v>
      </c>
      <c r="C18" s="148"/>
      <c r="D18" s="149"/>
      <c r="E18" s="152" t="s">
        <v>142</v>
      </c>
      <c r="F18" s="152"/>
      <c r="G18" s="61">
        <v>3</v>
      </c>
      <c r="H18" s="62"/>
      <c r="I18" s="61">
        <v>0</v>
      </c>
      <c r="J18" s="62"/>
      <c r="K18" s="61">
        <v>3</v>
      </c>
      <c r="L18" s="62"/>
      <c r="M18" s="63">
        <v>3</v>
      </c>
    </row>
    <row r="19" spans="1:13" s="64" customFormat="1" ht="39" customHeight="1" x14ac:dyDescent="0.2">
      <c r="A19" s="34" t="s">
        <v>145</v>
      </c>
      <c r="B19" s="66" t="s">
        <v>150</v>
      </c>
      <c r="C19" s="148"/>
      <c r="D19" s="149"/>
      <c r="E19" s="152" t="s">
        <v>142</v>
      </c>
      <c r="F19" s="152"/>
      <c r="G19" s="61">
        <v>3</v>
      </c>
      <c r="H19" s="62"/>
      <c r="I19" s="61">
        <v>0</v>
      </c>
      <c r="J19" s="62"/>
      <c r="K19" s="61">
        <v>3</v>
      </c>
      <c r="L19" s="62"/>
      <c r="M19" s="63">
        <v>3</v>
      </c>
    </row>
    <row r="20" spans="1:13" s="64" customFormat="1" ht="39" customHeight="1" x14ac:dyDescent="0.2">
      <c r="A20" s="34" t="s">
        <v>145</v>
      </c>
      <c r="B20" s="66" t="s">
        <v>151</v>
      </c>
      <c r="C20" s="148" t="s">
        <v>143</v>
      </c>
      <c r="D20" s="149"/>
      <c r="E20" s="66"/>
      <c r="F20" s="67"/>
      <c r="G20" s="61">
        <v>3</v>
      </c>
      <c r="H20" s="62"/>
      <c r="I20" s="61">
        <v>0</v>
      </c>
      <c r="J20" s="62"/>
      <c r="K20" s="61">
        <v>3</v>
      </c>
      <c r="L20" s="62"/>
      <c r="M20" s="63">
        <v>3</v>
      </c>
    </row>
    <row r="21" spans="1:13" s="64" customFormat="1" ht="39" customHeight="1" x14ac:dyDescent="0.2">
      <c r="A21" s="34" t="s">
        <v>145</v>
      </c>
      <c r="B21" s="66" t="s">
        <v>146</v>
      </c>
      <c r="C21" s="148"/>
      <c r="D21" s="149"/>
      <c r="E21" s="152" t="s">
        <v>142</v>
      </c>
      <c r="F21" s="152"/>
      <c r="G21" s="61">
        <v>3</v>
      </c>
      <c r="H21" s="62"/>
      <c r="I21" s="61">
        <v>0</v>
      </c>
      <c r="J21" s="62"/>
      <c r="K21" s="61">
        <v>3</v>
      </c>
      <c r="L21" s="62"/>
      <c r="M21" s="63">
        <v>3</v>
      </c>
    </row>
    <row r="22" spans="1:13" s="64" customFormat="1" ht="39" customHeight="1" x14ac:dyDescent="0.2">
      <c r="A22" s="34" t="s">
        <v>145</v>
      </c>
      <c r="B22" s="66" t="s">
        <v>147</v>
      </c>
      <c r="C22" s="148"/>
      <c r="D22" s="149"/>
      <c r="E22" s="152" t="s">
        <v>142</v>
      </c>
      <c r="F22" s="152"/>
      <c r="G22" s="68">
        <v>5</v>
      </c>
      <c r="H22" s="69"/>
      <c r="I22" s="68">
        <v>0</v>
      </c>
      <c r="J22" s="69"/>
      <c r="K22" s="68">
        <v>5</v>
      </c>
      <c r="L22" s="69"/>
      <c r="M22" s="70">
        <v>5</v>
      </c>
    </row>
    <row r="23" spans="1:13" s="64" customFormat="1" ht="39" customHeight="1" x14ac:dyDescent="0.2">
      <c r="A23" s="153" t="s">
        <v>152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5"/>
      <c r="M23" s="71">
        <v>25</v>
      </c>
    </row>
    <row r="24" spans="1:13" s="1" customFormat="1" ht="75.75" customHeight="1" x14ac:dyDescent="0.25">
      <c r="A24" s="72"/>
      <c r="B24" s="72"/>
      <c r="D24" s="22"/>
      <c r="M24" s="72"/>
    </row>
    <row r="25" spans="1:13" s="1" customFormat="1" x14ac:dyDescent="0.25">
      <c r="D25" s="22"/>
    </row>
    <row r="26" spans="1:13" s="1" customFormat="1" x14ac:dyDescent="0.25">
      <c r="D26" s="22"/>
    </row>
  </sheetData>
  <mergeCells count="30">
    <mergeCell ref="A23:L23"/>
    <mergeCell ref="C19:D19"/>
    <mergeCell ref="E19:F19"/>
    <mergeCell ref="C20:D20"/>
    <mergeCell ref="C21:D21"/>
    <mergeCell ref="E21:F21"/>
    <mergeCell ref="C22:D22"/>
    <mergeCell ref="E22:F22"/>
    <mergeCell ref="C16:D16"/>
    <mergeCell ref="E16:F16"/>
    <mergeCell ref="C17:D17"/>
    <mergeCell ref="E17:F17"/>
    <mergeCell ref="C18:D18"/>
    <mergeCell ref="E18:F18"/>
    <mergeCell ref="B9:D9"/>
    <mergeCell ref="A12:M12"/>
    <mergeCell ref="A13:A15"/>
    <mergeCell ref="B13:B15"/>
    <mergeCell ref="C13:D15"/>
    <mergeCell ref="E13:F15"/>
    <mergeCell ref="G13:H15"/>
    <mergeCell ref="I13:J15"/>
    <mergeCell ref="K13:L15"/>
    <mergeCell ref="M13:M15"/>
    <mergeCell ref="A2:K2"/>
    <mergeCell ref="A3:K3"/>
    <mergeCell ref="A4:K4"/>
    <mergeCell ref="A5:K5"/>
    <mergeCell ref="B7:D7"/>
    <mergeCell ref="I7:J7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1" fitToWidth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Leave Card (NE)</vt:lpstr>
      <vt:lpstr>CTO (2)</vt:lpstr>
      <vt:lpstr>CTO</vt:lpstr>
      <vt:lpstr>Other types of leave</vt:lpstr>
      <vt:lpstr>ELECTION2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2025-11-07T06:59:01Z</cp:lastPrinted>
  <dcterms:created xsi:type="dcterms:W3CDTF">2021-10-07T06:10:16Z</dcterms:created>
  <dcterms:modified xsi:type="dcterms:W3CDTF">2025-11-07T07:00:37Z</dcterms:modified>
</cp:coreProperties>
</file>