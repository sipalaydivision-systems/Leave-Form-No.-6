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3F78AC00-0341-4F3B-B0BD-401F93657478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CTO" sheetId="7" r:id="rId2"/>
  </sheets>
  <definedNames>
    <definedName name="_xlnm.Print_Area" localSheetId="0">'Leave Card (NE)'!$A$1:$J$76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6" l="1"/>
  <c r="I67" i="6"/>
  <c r="J67" i="6" s="1"/>
  <c r="H68" i="6"/>
  <c r="H69" i="6" s="1"/>
  <c r="I14" i="6"/>
  <c r="I15" i="6" s="1"/>
  <c r="I16" i="6" s="1"/>
  <c r="I17" i="6" s="1"/>
  <c r="B14" i="6"/>
  <c r="H14" i="6" s="1"/>
  <c r="J69" i="6" l="1"/>
  <c r="H70" i="6"/>
  <c r="I68" i="6"/>
  <c r="I69" i="6" s="1"/>
  <c r="I70" i="6" s="1"/>
  <c r="H15" i="6"/>
  <c r="J14" i="6"/>
  <c r="I18" i="6"/>
  <c r="I19" i="6" s="1"/>
  <c r="I20" i="6" s="1"/>
  <c r="I21" i="6" s="1"/>
  <c r="I22" i="6" s="1"/>
  <c r="I23" i="6" s="1"/>
  <c r="I24" i="6" s="1"/>
  <c r="J68" i="6" l="1"/>
  <c r="J70" i="6"/>
  <c r="I25" i="6"/>
  <c r="I26" i="6" s="1"/>
  <c r="H16" i="6"/>
  <c r="J15" i="6"/>
  <c r="I27" i="6" l="1"/>
  <c r="I28" i="6" s="1"/>
  <c r="I29" i="6" s="1"/>
  <c r="H17" i="6"/>
  <c r="J16" i="6"/>
  <c r="I30" i="6" l="1"/>
  <c r="H18" i="6"/>
  <c r="J17" i="6"/>
  <c r="J13" i="6"/>
  <c r="I31" i="6" l="1"/>
  <c r="I32" i="6" s="1"/>
  <c r="I33" i="6" s="1"/>
  <c r="H19" i="6"/>
  <c r="J18" i="6"/>
  <c r="I34" i="6" l="1"/>
  <c r="I35" i="6" s="1"/>
  <c r="I36" i="6" s="1"/>
  <c r="I37" i="6" s="1"/>
  <c r="I38" i="6" s="1"/>
  <c r="I39" i="6" s="1"/>
  <c r="I40" i="6" s="1"/>
  <c r="I41" i="6" s="1"/>
  <c r="H20" i="6"/>
  <c r="J19" i="6"/>
  <c r="I42" i="6" l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H21" i="6"/>
  <c r="J20" i="6"/>
  <c r="H22" i="6" l="1"/>
  <c r="J21" i="6"/>
  <c r="H23" i="6" l="1"/>
  <c r="H24" i="6" s="1"/>
  <c r="J22" i="6"/>
  <c r="H25" i="6" l="1"/>
  <c r="J24" i="6"/>
  <c r="J23" i="6"/>
  <c r="H26" i="6" l="1"/>
  <c r="J25" i="6"/>
  <c r="H27" i="6" l="1"/>
  <c r="J26" i="6"/>
  <c r="H28" i="6" l="1"/>
  <c r="J27" i="6"/>
  <c r="J28" i="6" l="1"/>
  <c r="H29" i="6"/>
  <c r="H30" i="6" l="1"/>
  <c r="J29" i="6"/>
  <c r="H31" i="6" l="1"/>
  <c r="J30" i="6"/>
  <c r="J31" i="6" l="1"/>
  <c r="H32" i="6"/>
  <c r="J32" i="6" l="1"/>
  <c r="H33" i="6"/>
  <c r="H34" i="6" l="1"/>
  <c r="J33" i="6"/>
  <c r="H35" i="6" l="1"/>
  <c r="J34" i="6"/>
  <c r="J35" i="6" l="1"/>
  <c r="H36" i="6"/>
  <c r="H37" i="6" l="1"/>
  <c r="J36" i="6"/>
  <c r="J37" i="6" l="1"/>
  <c r="H38" i="6"/>
  <c r="H39" i="6" l="1"/>
  <c r="J38" i="6"/>
  <c r="J39" i="6" l="1"/>
  <c r="H40" i="6"/>
  <c r="H41" i="6" l="1"/>
  <c r="J40" i="6"/>
  <c r="H42" i="6" l="1"/>
  <c r="J41" i="6"/>
  <c r="H43" i="6" l="1"/>
  <c r="J42" i="6"/>
  <c r="H44" i="6" l="1"/>
  <c r="J43" i="6"/>
  <c r="H45" i="6" l="1"/>
  <c r="J44" i="6"/>
  <c r="H46" i="6" l="1"/>
  <c r="J45" i="6"/>
  <c r="H47" i="6" l="1"/>
  <c r="J46" i="6"/>
  <c r="H48" i="6" l="1"/>
  <c r="J47" i="6"/>
  <c r="H49" i="6" l="1"/>
  <c r="J48" i="6"/>
  <c r="H50" i="6" l="1"/>
  <c r="J49" i="6"/>
  <c r="H51" i="6" l="1"/>
  <c r="J50" i="6"/>
  <c r="H52" i="6" l="1"/>
  <c r="J51" i="6"/>
  <c r="H53" i="6" l="1"/>
  <c r="J52" i="6"/>
  <c r="J53" i="6" l="1"/>
  <c r="H54" i="6"/>
  <c r="H55" i="6" l="1"/>
  <c r="J54" i="6"/>
  <c r="J55" i="6" l="1"/>
  <c r="H56" i="6"/>
  <c r="H57" i="6" l="1"/>
  <c r="J56" i="6"/>
  <c r="J57" i="6" l="1"/>
  <c r="H58" i="6"/>
  <c r="J58" i="6" l="1"/>
  <c r="H59" i="6"/>
  <c r="J59" i="6" l="1"/>
  <c r="H60" i="6"/>
  <c r="J60" i="6" l="1"/>
  <c r="H61" i="6"/>
  <c r="J61" i="6" l="1"/>
  <c r="H62" i="6"/>
  <c r="J62" i="6" l="1"/>
  <c r="H63" i="6"/>
  <c r="J63" i="6" l="1"/>
  <c r="H64" i="6"/>
  <c r="J64" i="6" l="1"/>
  <c r="H65" i="6"/>
  <c r="J65" i="6" l="1"/>
  <c r="H66" i="6"/>
  <c r="J66" i="6" s="1"/>
</calcChain>
</file>

<file path=xl/sharedStrings.xml><?xml version="1.0" encoding="utf-8"?>
<sst xmlns="http://schemas.openxmlformats.org/spreadsheetml/2006/main" count="123" uniqueCount="99">
  <si>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</si>
  <si>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</si>
  <si>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</si>
  <si>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</si>
  <si>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</si>
  <si>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</si>
  <si>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</si>
  <si>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</si>
  <si>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</si>
  <si>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</si>
  <si>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</si>
  <si>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</si>
  <si>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01/01/22 - 03/31/22</t>
  </si>
  <si>
    <t>LESS: 05/04/22</t>
  </si>
  <si>
    <t>ADD: 04/01/22 - 04/30/22</t>
  </si>
  <si>
    <t>LESS: 05/16 &amp; 17/22</t>
  </si>
  <si>
    <t>ADD: 05/01/22 - 06/30/22</t>
  </si>
  <si>
    <t>LESS: 07/29/22</t>
  </si>
  <si>
    <t>ADD: 08/01/22 - 08/31/22</t>
  </si>
  <si>
    <t>LESS: MONETIZATION 2022</t>
  </si>
  <si>
    <t>ADD: 09/01/22 - 11/30/22</t>
  </si>
  <si>
    <t>LESS: 12/22/22</t>
  </si>
  <si>
    <t>LESS: 12/27 &amp; 28/22</t>
  </si>
  <si>
    <t>ADD: DISAPPROVED FL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</si>
  <si>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</si>
  <si>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</si>
  <si>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</si>
  <si>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</si>
  <si>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</si>
  <si>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</si>
  <si>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</si>
  <si>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</si>
  <si>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</si>
  <si>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BALANCE FORWARDED AS OF 5/31/2017</t>
  </si>
  <si>
    <t>ADD: 06/01/2017 - 10/31/2017</t>
  </si>
  <si>
    <t>LESS: 10/30, 11/2,3,16 &amp; 17/2017</t>
  </si>
  <si>
    <t>ADD: 11/01/2017 - 12/31/2017</t>
  </si>
  <si>
    <t>LESS: MONETIZATION 2017</t>
  </si>
  <si>
    <t>ADD: 01/01/2018 - 06/30/2018</t>
  </si>
  <si>
    <t>LESS: MONETIZATION 2018</t>
  </si>
  <si>
    <t>ADD: 07/01/2018 - 12/31/2018</t>
  </si>
  <si>
    <t>LESS: FL 2018</t>
  </si>
  <si>
    <t>LESS: MONETIZATION 2019</t>
  </si>
  <si>
    <t>ADD: 01/01/2019 - 12/31/2019</t>
  </si>
  <si>
    <t>ADD: 01/01/2020 - 12/31/2020</t>
  </si>
  <si>
    <t>LESS: MONETIZATION 2020</t>
  </si>
  <si>
    <t>LESS: 12/21,22,23, 28 &amp; 29/ 2020</t>
  </si>
  <si>
    <t>ADD: 01/01/2021 - 12/31/2021</t>
  </si>
  <si>
    <t>LESS: MONETIZATION 2021</t>
  </si>
  <si>
    <t>LESS: 12/23,24,27,28 &amp; 31, 2021</t>
  </si>
  <si>
    <t>LESS: FL 2019</t>
  </si>
  <si>
    <t>LESS: FL 2022</t>
  </si>
  <si>
    <t>ADD: 12/01/22 - 12/31/22</t>
  </si>
  <si>
    <t>ADD: 01/01/23 - 04/30/23</t>
  </si>
  <si>
    <t>LESS: 05/15 - 17/2023</t>
  </si>
  <si>
    <t>ADD: 05/01/23 - 08/31/23</t>
  </si>
  <si>
    <t>LESS: MONETIZATION 2023</t>
  </si>
  <si>
    <t>LESS: 08/22 &amp; 23/2023</t>
  </si>
  <si>
    <t>Certified Correct:</t>
  </si>
  <si>
    <t>MA. LUISA B. CATIGAN</t>
  </si>
  <si>
    <t>Administrative Officer IV</t>
  </si>
  <si>
    <t>ADD: 09/01/2023-10/31/2023</t>
  </si>
  <si>
    <t>LESS: 12/1,4,5/2023</t>
  </si>
  <si>
    <t>ADD: 11/01/2023-12/31/2023</t>
  </si>
  <si>
    <t>ADD: 01/01-31/2024</t>
  </si>
  <si>
    <t>ADD: 02/1/2024-04/30/2024</t>
  </si>
  <si>
    <t>LESS: 05/16/2024</t>
  </si>
  <si>
    <t>ADD: 05/1-31/2024</t>
  </si>
  <si>
    <t>LESS: 06/20-21/2024</t>
  </si>
  <si>
    <t>ADD: JUNE-JULY 31, 2024</t>
  </si>
  <si>
    <t>LESS: MONETIZATION 2024</t>
  </si>
  <si>
    <t>COMPENSATORY TIME OFF (CTO)</t>
  </si>
  <si>
    <t>Special Order No. and Date Issued</t>
  </si>
  <si>
    <t>No. of Days Granted</t>
  </si>
  <si>
    <t>No. of Days Used</t>
  </si>
  <si>
    <t>Balance</t>
  </si>
  <si>
    <t>S.O. # 024, S. 2024. 126TH PHIL. IND. DAY</t>
  </si>
  <si>
    <t>ADD: JUNE 26, 2024</t>
  </si>
  <si>
    <t xml:space="preserve">                 HRMO</t>
  </si>
  <si>
    <t>ADD: 05/20/2024</t>
  </si>
  <si>
    <t>SO # 015., S2024 PALARONG PANLALAWIGAN 2024</t>
  </si>
  <si>
    <t xml:space="preserve">  HRMO</t>
  </si>
  <si>
    <t>LESS: 09/16 &amp; 17/2024</t>
  </si>
  <si>
    <t>ADD: 08/1/2024-09/30/2024</t>
  </si>
  <si>
    <t>LESS: 10/25/2024</t>
  </si>
  <si>
    <t>LESS: 11/4/2024</t>
  </si>
  <si>
    <t>LESS: 12/6/2024</t>
  </si>
  <si>
    <t>ADD: 10/1/2024-11/30/2024</t>
  </si>
  <si>
    <t>LESS: 12/9, 10, 12, 19, &amp; 26/2024</t>
  </si>
  <si>
    <t>ADD: 12/1-31/2024</t>
  </si>
  <si>
    <t>LESS: 01/23-24/2025</t>
  </si>
  <si>
    <t>ADD:05/13/2025</t>
  </si>
  <si>
    <t>S.O. # 019, S. 2025  PROVINCIAL MEET 2025</t>
  </si>
  <si>
    <t>LESS: 05/2/2025</t>
  </si>
  <si>
    <t>ADD: 01/1/2025-10/31/2025</t>
  </si>
  <si>
    <t>LESS: 11/21/2025</t>
  </si>
  <si>
    <t>LESS: 11/28/2025</t>
  </si>
  <si>
    <t>LESS: 12/1-2/2025</t>
  </si>
  <si>
    <t>LESS: 12/11-12/2025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</si>
</sst>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4" fillId="2" borderId="1" xfId="0" applyNumberFormat="1" applyFont="1" applyFill="1" applyBorder="1" applyAlignment="1">
      <alignment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7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0" fontId="8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8" fillId="0" borderId="0" xfId="1"/>
    <xf numFmtId="0" fontId="10" fillId="0" borderId="0" xfId="1" applyFont="1"/>
    <xf numFmtId="0" fontId="0" fillId="2" borderId="7" xfId="1" applyFont="1" applyFill="1" applyBorder="1" applyAlignment="1">
      <alignment horizontal="center" vertical="center" wrapText="1"/>
    </xf>
    <xf numFmtId="0" fontId="8" fillId="2" borderId="2" xfId="1" applyFill="1" applyBorder="1" applyAlignment="1">
      <alignment horizontal="center" vertical="center" wrapText="1"/>
    </xf>
    <xf numFmtId="0" fontId="12" fillId="0" borderId="0" xfId="1" applyFont="1"/>
    <xf numFmtId="0" fontId="8" fillId="2" borderId="0" xfId="1" applyFill="1" applyAlignment="1">
      <alignment horizontal="center"/>
    </xf>
    <xf numFmtId="0" fontId="13" fillId="2" borderId="0" xfId="0" applyFont="1" applyFill="1"/>
    <xf numFmtId="0" fontId="8" fillId="0" borderId="2" xfId="1" applyBorder="1" applyAlignment="1">
      <alignment horizontal="center" vertical="center" wrapText="1"/>
    </xf>
    <xf numFmtId="0" fontId="13" fillId="0" borderId="0" xfId="1" applyFont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8" fillId="11" borderId="2" xfId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16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9" fillId="8" borderId="6" xfId="1" applyFont="1" applyFill="1" applyBorder="1" applyAlignment="1">
      <alignment horizontal="center" vertical="center"/>
    </xf>
    <xf numFmtId="0" fontId="9" fillId="8" borderId="7" xfId="1" applyFont="1" applyFill="1" applyBorder="1" applyAlignment="1">
      <alignment horizontal="center" vertical="center"/>
    </xf>
    <xf numFmtId="0" fontId="9" fillId="9" borderId="11" xfId="1" applyFont="1" applyFill="1" applyBorder="1" applyAlignment="1">
      <alignment horizontal="center" vertical="center"/>
    </xf>
    <xf numFmtId="0" fontId="9" fillId="9" borderId="12" xfId="1" applyFont="1" applyFill="1" applyBorder="1" applyAlignment="1">
      <alignment horizontal="center" vertical="center"/>
    </xf>
    <xf numFmtId="0" fontId="9" fillId="8" borderId="9" xfId="1" applyFont="1" applyFill="1" applyBorder="1" applyAlignment="1">
      <alignment horizontal="center" vertical="center"/>
    </xf>
    <xf numFmtId="0" fontId="9" fillId="8" borderId="3" xfId="1" applyFont="1" applyFill="1" applyBorder="1" applyAlignment="1">
      <alignment horizontal="center" vertical="center"/>
    </xf>
    <xf numFmtId="0" fontId="11" fillId="10" borderId="16" xfId="1" applyFont="1" applyFill="1" applyBorder="1" applyAlignment="1">
      <alignment horizontal="center" vertical="center" wrapText="1"/>
    </xf>
    <xf numFmtId="0" fontId="11" fillId="10" borderId="17" xfId="1" applyFont="1" applyFill="1" applyBorder="1" applyAlignment="1">
      <alignment horizontal="center" vertical="center" wrapText="1"/>
    </xf>
    <xf numFmtId="0" fontId="11" fillId="10" borderId="8" xfId="1" applyFont="1" applyFill="1" applyBorder="1" applyAlignment="1">
      <alignment horizontal="center" vertical="center" wrapText="1"/>
    </xf>
    <xf numFmtId="0" fontId="8" fillId="2" borderId="0" xfId="1" applyFill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8" fillId="0" borderId="0" xfId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 2" xfId="1" xr:uid="{BECEF7FF-02E9-4E7F-8B1C-1F341CBC2E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253999</xdr:colOff>
      <xdr:row>0</xdr:row>
      <xdr:rowOff>98425</xdr:rowOff>
    </xdr:from>
    <xdr:to>
      <xdr:col>4</xdr:col>
      <xdr:colOff>123954</xdr:colOff>
      <xdr:row>0</xdr:row>
      <xdr:rowOff>628650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4" y="98425"/>
          <a:ext cx="639893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E95995-BF99-49F3-8EB9-C39528B8E427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DEGUIT, MYRAH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182563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786E11E-791B-47C1-B3D3-C7A6FF2127E3}"/>
            </a:ext>
          </a:extLst>
        </xdr:cNvPr>
        <xdr:cNvSpPr txBox="1"/>
      </xdr:nvSpPr>
      <xdr:spPr>
        <a:xfrm>
          <a:off x="616683" y="1712057"/>
          <a:ext cx="2008799" cy="423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HT-I (02/27/1995) /PSDS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4A37E9-268B-428C-B829-FE7C66E3AE98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EAE5F-2C71-4F67-B59C-76EC92CB227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815" y="403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E6AA38-193E-42C2-B493-C5126F55E955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DEGUIT, MYRAH A.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3F77B6-5F63-41B6-AD53-E4F120D74D5D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09029E-CED9-409E-84C9-283BC47E0D17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K81"/>
  <sheetViews>
    <sheetView tabSelected="1" view="pageBreakPreview" topLeftCell="A57" zoomScale="120" zoomScaleNormal="100" zoomScaleSheetLayoutView="120" workbookViewId="0">
      <selection activeCell="A69" sqref="A69:XFD70"/>
    </sheetView>
  </sheetViews>
  <sheetFormatPr defaultRowHeight="15" x14ac:dyDescent="0.25"/>
  <cols>
    <col min="1" max="1" width="39.570312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51" t="s">
        <v>25</v>
      </c>
      <c r="B2" s="51"/>
      <c r="C2" s="51"/>
      <c r="D2" s="51"/>
      <c r="E2" s="51"/>
      <c r="F2" s="51"/>
      <c r="G2" s="51"/>
      <c r="H2" s="51"/>
      <c r="I2" s="51"/>
      <c r="J2" s="51"/>
    </row>
    <row r="3" spans="1:11" s="1" customFormat="1" ht="15.95" customHeight="1" x14ac:dyDescent="0.25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</row>
    <row r="4" spans="1:11" s="1" customFormat="1" ht="15.95" customHeight="1" x14ac:dyDescent="0.25">
      <c r="A4" s="51" t="s">
        <v>27</v>
      </c>
      <c r="B4" s="51"/>
      <c r="C4" s="51"/>
      <c r="D4" s="51"/>
      <c r="E4" s="51"/>
      <c r="F4" s="51"/>
      <c r="G4" s="51"/>
      <c r="H4" s="51"/>
      <c r="I4" s="51"/>
      <c r="J4" s="51"/>
    </row>
    <row r="5" spans="1:11" s="1" customFormat="1" ht="15.95" customHeight="1" x14ac:dyDescent="0.25">
      <c r="A5" s="51" t="s">
        <v>28</v>
      </c>
      <c r="B5" s="51"/>
      <c r="C5" s="51"/>
      <c r="D5" s="51"/>
      <c r="E5" s="51"/>
      <c r="F5" s="51"/>
      <c r="G5" s="51"/>
      <c r="H5" s="51"/>
      <c r="I5" s="51"/>
      <c r="J5" s="51"/>
    </row>
    <row r="6" spans="1:11" s="1" customFormat="1" ht="8.25" customHeight="1" x14ac:dyDescent="0.25"/>
    <row r="7" spans="1:11" s="1" customFormat="1" ht="12" customHeight="1" x14ac:dyDescent="0.25">
      <c r="A7" s="1" t="s">
        <v>29</v>
      </c>
      <c r="B7" s="49" t="s">
        <v>30</v>
      </c>
      <c r="C7" s="49"/>
      <c r="D7" s="49"/>
      <c r="H7" s="4" t="s">
        <v>9</v>
      </c>
      <c r="I7" s="7"/>
      <c r="J7" s="4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31</v>
      </c>
      <c r="B9" s="49" t="s">
        <v>32</v>
      </c>
      <c r="C9" s="49"/>
      <c r="D9" s="49"/>
      <c r="H9" s="4" t="s">
        <v>10</v>
      </c>
      <c r="I9" s="5"/>
      <c r="J9" s="4"/>
    </row>
    <row r="10" spans="1:11" ht="16.5" customHeight="1" thickBot="1" x14ac:dyDescent="0.3">
      <c r="A10" s="50" t="s">
        <v>0</v>
      </c>
      <c r="B10" s="50"/>
      <c r="C10" s="50"/>
      <c r="D10" s="50"/>
      <c r="E10" s="50"/>
      <c r="F10" s="50"/>
      <c r="G10" s="50"/>
      <c r="H10" s="50"/>
      <c r="I10" s="50"/>
      <c r="J10" s="50"/>
      <c r="K10"/>
    </row>
    <row r="11" spans="1:11" ht="18.75" customHeight="1" x14ac:dyDescent="0.25">
      <c r="A11" s="47" t="s">
        <v>4</v>
      </c>
      <c r="B11" s="42" t="s">
        <v>5</v>
      </c>
      <c r="C11" s="42"/>
      <c r="D11" s="43" t="s">
        <v>6</v>
      </c>
      <c r="E11" s="44"/>
      <c r="F11" s="44"/>
      <c r="G11" s="45"/>
      <c r="H11" s="46" t="s">
        <v>7</v>
      </c>
      <c r="I11" s="46"/>
      <c r="J11" s="48" t="s">
        <v>8</v>
      </c>
      <c r="K11" s="41" t="s">
        <v>11</v>
      </c>
    </row>
    <row r="12" spans="1:11" ht="18.75" customHeight="1" x14ac:dyDescent="0.25">
      <c r="A12" s="71"/>
      <c r="B12" s="72" t="s">
        <v>1</v>
      </c>
      <c r="C12" s="72" t="s">
        <v>2</v>
      </c>
      <c r="D12" s="72" t="s">
        <v>1</v>
      </c>
      <c r="E12" s="72" t="s">
        <v>2</v>
      </c>
      <c r="F12" s="72" t="s">
        <v>3</v>
      </c>
      <c r="G12" s="72" t="s">
        <v>24</v>
      </c>
      <c r="H12" s="72" t="s">
        <v>1</v>
      </c>
      <c r="I12" s="72" t="s">
        <v>2</v>
      </c>
      <c r="J12" s="73"/>
      <c r="K12" s="41"/>
    </row>
    <row r="13" spans="1:11" ht="18.75" customHeight="1" x14ac:dyDescent="0.25">
      <c r="A13" s="11" t="s">
        <v>33</v>
      </c>
      <c r="B13" s="2"/>
      <c r="C13" s="2"/>
      <c r="D13" s="2"/>
      <c r="E13" s="2"/>
      <c r="F13" s="2"/>
      <c r="G13" s="2"/>
      <c r="H13" s="2">
        <v>17.829999999999998</v>
      </c>
      <c r="I13" s="2">
        <v>233.36699999999999</v>
      </c>
      <c r="J13" s="2">
        <f>SUM(H13:I13)</f>
        <v>251.197</v>
      </c>
    </row>
    <row r="14" spans="1:11" ht="18.75" customHeight="1" x14ac:dyDescent="0.25">
      <c r="A14" s="11" t="s">
        <v>34</v>
      </c>
      <c r="B14" s="2">
        <f>1.25*5</f>
        <v>6.25</v>
      </c>
      <c r="C14" s="2">
        <v>6.25</v>
      </c>
      <c r="D14" s="2"/>
      <c r="E14" s="2"/>
      <c r="F14" s="2"/>
      <c r="G14" s="2"/>
      <c r="H14" s="2">
        <f>H13-F14-D14+B14</f>
        <v>24.08</v>
      </c>
      <c r="I14" s="2">
        <f>I13-E14+C14</f>
        <v>239.61699999999999</v>
      </c>
      <c r="J14" s="2">
        <f t="shared" ref="J14:J23" si="0">SUM(H14:I14)</f>
        <v>263.697</v>
      </c>
    </row>
    <row r="15" spans="1:11" ht="18.75" customHeight="1" x14ac:dyDescent="0.25">
      <c r="A15" s="11" t="s">
        <v>35</v>
      </c>
      <c r="B15" s="2"/>
      <c r="C15" s="2"/>
      <c r="D15" s="2"/>
      <c r="E15" s="2"/>
      <c r="F15" s="2">
        <v>5</v>
      </c>
      <c r="G15" s="2"/>
      <c r="H15" s="2">
        <f t="shared" ref="H15:H23" si="1">H14-F15-D15+B15</f>
        <v>19.079999999999998</v>
      </c>
      <c r="I15" s="2">
        <f t="shared" ref="I15:I23" si="2">I14-E15+C15</f>
        <v>239.61699999999999</v>
      </c>
      <c r="J15" s="2">
        <f t="shared" si="0"/>
        <v>258.697</v>
      </c>
    </row>
    <row r="16" spans="1:11" ht="18.75" customHeight="1" x14ac:dyDescent="0.25">
      <c r="A16" s="11" t="s">
        <v>36</v>
      </c>
      <c r="B16" s="2">
        <v>2.5</v>
      </c>
      <c r="C16" s="2">
        <v>2.5</v>
      </c>
      <c r="D16" s="2"/>
      <c r="E16" s="2"/>
      <c r="F16" s="2"/>
      <c r="G16" s="2"/>
      <c r="H16" s="2">
        <f t="shared" si="1"/>
        <v>21.58</v>
      </c>
      <c r="I16" s="2">
        <f t="shared" si="2"/>
        <v>242.11699999999999</v>
      </c>
      <c r="J16" s="2">
        <f t="shared" si="0"/>
        <v>263.697</v>
      </c>
    </row>
    <row r="17" spans="1:10" ht="18.75" customHeight="1" x14ac:dyDescent="0.25">
      <c r="A17" s="11" t="s">
        <v>37</v>
      </c>
      <c r="B17" s="2"/>
      <c r="C17" s="2"/>
      <c r="D17" s="2">
        <v>15</v>
      </c>
      <c r="E17" s="2"/>
      <c r="F17" s="2"/>
      <c r="G17" s="2"/>
      <c r="H17" s="2">
        <f t="shared" si="1"/>
        <v>6.5799999999999983</v>
      </c>
      <c r="I17" s="2">
        <f t="shared" si="2"/>
        <v>242.11699999999999</v>
      </c>
      <c r="J17" s="2">
        <f t="shared" si="0"/>
        <v>248.697</v>
      </c>
    </row>
    <row r="18" spans="1:10" ht="18.75" customHeight="1" x14ac:dyDescent="0.25">
      <c r="A18" s="11" t="s">
        <v>38</v>
      </c>
      <c r="B18" s="2">
        <v>7.5</v>
      </c>
      <c r="C18" s="2">
        <v>7.5</v>
      </c>
      <c r="D18" s="2"/>
      <c r="E18" s="2"/>
      <c r="F18" s="2"/>
      <c r="G18" s="2"/>
      <c r="H18" s="2">
        <f t="shared" si="1"/>
        <v>14.079999999999998</v>
      </c>
      <c r="I18" s="2">
        <f t="shared" si="2"/>
        <v>249.61699999999999</v>
      </c>
      <c r="J18" s="2">
        <f t="shared" si="0"/>
        <v>263.697</v>
      </c>
    </row>
    <row r="19" spans="1:10" ht="18.75" customHeight="1" x14ac:dyDescent="0.25">
      <c r="A19" s="11" t="s">
        <v>39</v>
      </c>
      <c r="B19" s="2"/>
      <c r="C19" s="2"/>
      <c r="D19" s="2">
        <v>9</v>
      </c>
      <c r="E19" s="2">
        <v>11</v>
      </c>
      <c r="F19" s="2"/>
      <c r="G19" s="2"/>
      <c r="H19" s="2">
        <f t="shared" si="1"/>
        <v>5.0799999999999983</v>
      </c>
      <c r="I19" s="2">
        <f t="shared" si="2"/>
        <v>238.61699999999999</v>
      </c>
      <c r="J19" s="2">
        <f t="shared" si="0"/>
        <v>243.697</v>
      </c>
    </row>
    <row r="20" spans="1:10" ht="18.75" customHeight="1" x14ac:dyDescent="0.25">
      <c r="A20" s="11" t="s">
        <v>40</v>
      </c>
      <c r="B20" s="2">
        <v>7.5</v>
      </c>
      <c r="C20" s="2">
        <v>7.5</v>
      </c>
      <c r="D20" s="2"/>
      <c r="E20" s="2"/>
      <c r="F20" s="2"/>
      <c r="G20" s="2"/>
      <c r="H20" s="2">
        <f t="shared" si="1"/>
        <v>12.579999999999998</v>
      </c>
      <c r="I20" s="2">
        <f t="shared" si="2"/>
        <v>246.11699999999999</v>
      </c>
      <c r="J20" s="2">
        <f t="shared" si="0"/>
        <v>258.697</v>
      </c>
    </row>
    <row r="21" spans="1:10" ht="18.75" customHeight="1" x14ac:dyDescent="0.25">
      <c r="A21" s="11" t="s">
        <v>41</v>
      </c>
      <c r="B21" s="2"/>
      <c r="C21" s="2"/>
      <c r="D21" s="2"/>
      <c r="E21" s="2"/>
      <c r="F21" s="2">
        <v>5</v>
      </c>
      <c r="G21" s="2"/>
      <c r="H21" s="2">
        <f t="shared" si="1"/>
        <v>7.5799999999999983</v>
      </c>
      <c r="I21" s="2">
        <f t="shared" si="2"/>
        <v>246.11699999999999</v>
      </c>
      <c r="J21" s="2">
        <f t="shared" si="0"/>
        <v>253.697</v>
      </c>
    </row>
    <row r="22" spans="1:10" ht="18.75" customHeight="1" x14ac:dyDescent="0.25">
      <c r="A22" s="11" t="s">
        <v>43</v>
      </c>
      <c r="B22" s="2">
        <v>15</v>
      </c>
      <c r="C22" s="2">
        <v>15</v>
      </c>
      <c r="D22" s="2"/>
      <c r="E22" s="2"/>
      <c r="F22" s="2"/>
      <c r="G22" s="2"/>
      <c r="H22" s="2">
        <f t="shared" si="1"/>
        <v>22.58</v>
      </c>
      <c r="I22" s="2">
        <f t="shared" si="2"/>
        <v>261.11699999999996</v>
      </c>
      <c r="J22" s="2">
        <f t="shared" si="0"/>
        <v>283.69699999999995</v>
      </c>
    </row>
    <row r="23" spans="1:10" ht="18.75" customHeight="1" x14ac:dyDescent="0.25">
      <c r="A23" s="11" t="s">
        <v>42</v>
      </c>
      <c r="B23" s="2"/>
      <c r="C23" s="2"/>
      <c r="D23" s="2">
        <v>10</v>
      </c>
      <c r="E23" s="2"/>
      <c r="F23" s="2"/>
      <c r="G23" s="2"/>
      <c r="H23" s="2">
        <f t="shared" si="1"/>
        <v>12.579999999999998</v>
      </c>
      <c r="I23" s="2">
        <f t="shared" si="2"/>
        <v>261.11699999999996</v>
      </c>
      <c r="J23" s="2">
        <f t="shared" si="0"/>
        <v>273.69699999999995</v>
      </c>
    </row>
    <row r="24" spans="1:10" ht="18.75" customHeight="1" x14ac:dyDescent="0.25">
      <c r="A24" s="11" t="s">
        <v>50</v>
      </c>
      <c r="B24" s="2"/>
      <c r="C24" s="2"/>
      <c r="D24" s="2"/>
      <c r="E24" s="2"/>
      <c r="F24" s="2">
        <v>5</v>
      </c>
      <c r="G24" s="2"/>
      <c r="H24" s="2">
        <f t="shared" ref="H24:H25" si="3">H23-F24-D24+B24</f>
        <v>7.5799999999999983</v>
      </c>
      <c r="I24" s="2">
        <f t="shared" ref="I24:I25" si="4">I23-E24+C24</f>
        <v>261.11699999999996</v>
      </c>
      <c r="J24" s="2">
        <f t="shared" ref="J24:J25" si="5">SUM(H24:I24)</f>
        <v>268.69699999999995</v>
      </c>
    </row>
    <row r="25" spans="1:10" ht="18.75" customHeight="1" x14ac:dyDescent="0.25">
      <c r="A25" s="11" t="s">
        <v>44</v>
      </c>
      <c r="B25" s="2">
        <v>15</v>
      </c>
      <c r="C25" s="2">
        <v>15</v>
      </c>
      <c r="D25" s="2"/>
      <c r="E25" s="2"/>
      <c r="F25" s="2"/>
      <c r="G25" s="2"/>
      <c r="H25" s="2">
        <f t="shared" si="3"/>
        <v>22.58</v>
      </c>
      <c r="I25" s="2">
        <f t="shared" si="4"/>
        <v>276.11699999999996</v>
      </c>
      <c r="J25" s="2">
        <f t="shared" si="5"/>
        <v>298.69699999999995</v>
      </c>
    </row>
    <row r="26" spans="1:10" ht="18.75" customHeight="1" x14ac:dyDescent="0.25">
      <c r="A26" s="11" t="s">
        <v>45</v>
      </c>
      <c r="B26" s="2"/>
      <c r="C26" s="2"/>
      <c r="D26" s="2">
        <v>5</v>
      </c>
      <c r="E26" s="2"/>
      <c r="F26" s="2"/>
      <c r="G26" s="2"/>
      <c r="H26" s="2">
        <f t="shared" ref="H26:H42" si="6">H25-F26-D26+B26</f>
        <v>17.579999999999998</v>
      </c>
      <c r="I26" s="2">
        <f t="shared" ref="I26:I42" si="7">I25-E26+C26</f>
        <v>276.11699999999996</v>
      </c>
      <c r="J26" s="2">
        <f t="shared" ref="J26:J42" si="8">SUM(H26:I26)</f>
        <v>293.69699999999995</v>
      </c>
    </row>
    <row r="27" spans="1:10" ht="18.75" customHeight="1" x14ac:dyDescent="0.25">
      <c r="A27" s="11" t="s">
        <v>46</v>
      </c>
      <c r="B27" s="2"/>
      <c r="C27" s="2"/>
      <c r="D27" s="2"/>
      <c r="E27" s="2"/>
      <c r="F27" s="2">
        <v>5</v>
      </c>
      <c r="G27" s="2"/>
      <c r="H27" s="2">
        <f t="shared" si="6"/>
        <v>12.579999999999998</v>
      </c>
      <c r="I27" s="2">
        <f t="shared" si="7"/>
        <v>276.11699999999996</v>
      </c>
      <c r="J27" s="2">
        <f t="shared" si="8"/>
        <v>288.69699999999995</v>
      </c>
    </row>
    <row r="28" spans="1:10" ht="18.75" customHeight="1" x14ac:dyDescent="0.25">
      <c r="A28" s="11" t="s">
        <v>47</v>
      </c>
      <c r="B28" s="2">
        <v>15</v>
      </c>
      <c r="C28" s="2">
        <v>15</v>
      </c>
      <c r="D28" s="2"/>
      <c r="E28" s="2"/>
      <c r="F28" s="2"/>
      <c r="G28" s="2"/>
      <c r="H28" s="2">
        <f t="shared" si="6"/>
        <v>27.58</v>
      </c>
      <c r="I28" s="2">
        <f t="shared" si="7"/>
        <v>291.11699999999996</v>
      </c>
      <c r="J28" s="2">
        <f t="shared" si="8"/>
        <v>318.69699999999995</v>
      </c>
    </row>
    <row r="29" spans="1:10" ht="18.75" customHeight="1" x14ac:dyDescent="0.25">
      <c r="A29" s="11" t="s">
        <v>48</v>
      </c>
      <c r="B29" s="2"/>
      <c r="C29" s="2"/>
      <c r="D29" s="2">
        <v>18</v>
      </c>
      <c r="E29" s="2">
        <v>11</v>
      </c>
      <c r="F29" s="2"/>
      <c r="G29" s="2"/>
      <c r="H29" s="2">
        <f t="shared" si="6"/>
        <v>9.5799999999999983</v>
      </c>
      <c r="I29" s="2">
        <f t="shared" si="7"/>
        <v>280.11699999999996</v>
      </c>
      <c r="J29" s="2">
        <f t="shared" si="8"/>
        <v>289.69699999999995</v>
      </c>
    </row>
    <row r="30" spans="1:10" ht="18.75" customHeight="1" x14ac:dyDescent="0.25">
      <c r="A30" s="11" t="s">
        <v>49</v>
      </c>
      <c r="B30" s="2"/>
      <c r="C30" s="2"/>
      <c r="D30" s="2"/>
      <c r="E30" s="2"/>
      <c r="F30" s="2">
        <v>5</v>
      </c>
      <c r="G30" s="2"/>
      <c r="H30" s="2">
        <f t="shared" si="6"/>
        <v>4.5799999999999983</v>
      </c>
      <c r="I30" s="2">
        <f t="shared" si="7"/>
        <v>280.11699999999996</v>
      </c>
      <c r="J30" s="2">
        <f t="shared" si="8"/>
        <v>284.69699999999995</v>
      </c>
    </row>
    <row r="31" spans="1:10" ht="18.75" customHeight="1" x14ac:dyDescent="0.25">
      <c r="A31" s="11" t="s">
        <v>12</v>
      </c>
      <c r="B31" s="2">
        <v>3.75</v>
      </c>
      <c r="C31" s="2">
        <v>3.75</v>
      </c>
      <c r="D31" s="2"/>
      <c r="E31" s="2"/>
      <c r="F31" s="2"/>
      <c r="G31" s="2"/>
      <c r="H31" s="2">
        <f t="shared" si="6"/>
        <v>8.3299999999999983</v>
      </c>
      <c r="I31" s="2">
        <f t="shared" si="7"/>
        <v>283.86699999999996</v>
      </c>
      <c r="J31" s="2">
        <f t="shared" si="8"/>
        <v>292.19699999999995</v>
      </c>
    </row>
    <row r="32" spans="1:10" ht="18.75" customHeight="1" x14ac:dyDescent="0.25">
      <c r="A32" s="74" t="s">
        <v>13</v>
      </c>
      <c r="B32" s="9"/>
      <c r="C32" s="9"/>
      <c r="D32" s="9"/>
      <c r="E32" s="9"/>
      <c r="F32" s="9"/>
      <c r="G32" s="2">
        <v>1</v>
      </c>
      <c r="H32" s="2">
        <f t="shared" si="6"/>
        <v>8.3299999999999983</v>
      </c>
      <c r="I32" s="2">
        <f t="shared" si="7"/>
        <v>283.86699999999996</v>
      </c>
      <c r="J32" s="2">
        <f t="shared" si="8"/>
        <v>292.19699999999995</v>
      </c>
    </row>
    <row r="33" spans="1:10" ht="18.75" customHeight="1" x14ac:dyDescent="0.25">
      <c r="A33" s="11" t="s">
        <v>14</v>
      </c>
      <c r="B33" s="2">
        <v>1.25</v>
      </c>
      <c r="C33" s="2">
        <v>1.25</v>
      </c>
      <c r="D33" s="2"/>
      <c r="E33" s="2"/>
      <c r="F33" s="2"/>
      <c r="G33" s="2"/>
      <c r="H33" s="2">
        <f t="shared" si="6"/>
        <v>9.5799999999999983</v>
      </c>
      <c r="I33" s="2">
        <f t="shared" si="7"/>
        <v>285.11699999999996</v>
      </c>
      <c r="J33" s="2">
        <f t="shared" si="8"/>
        <v>294.69699999999995</v>
      </c>
    </row>
    <row r="34" spans="1:10" ht="18.75" customHeight="1" x14ac:dyDescent="0.25">
      <c r="A34" s="11" t="s">
        <v>15</v>
      </c>
      <c r="B34" s="10"/>
      <c r="C34" s="10"/>
      <c r="D34" s="10"/>
      <c r="E34" s="10"/>
      <c r="F34" s="10"/>
      <c r="G34" s="75">
        <v>2</v>
      </c>
      <c r="H34" s="2">
        <f t="shared" si="6"/>
        <v>9.5799999999999983</v>
      </c>
      <c r="I34" s="2">
        <f t="shared" si="7"/>
        <v>285.11699999999996</v>
      </c>
      <c r="J34" s="2">
        <f t="shared" si="8"/>
        <v>294.69699999999995</v>
      </c>
    </row>
    <row r="35" spans="1:10" ht="18.75" customHeight="1" x14ac:dyDescent="0.25">
      <c r="A35" s="11" t="s">
        <v>16</v>
      </c>
      <c r="B35" s="2">
        <v>2.5</v>
      </c>
      <c r="C35" s="2">
        <v>2.5</v>
      </c>
      <c r="D35" s="2"/>
      <c r="E35" s="2"/>
      <c r="F35" s="2"/>
      <c r="G35" s="2"/>
      <c r="H35" s="2">
        <f t="shared" si="6"/>
        <v>12.079999999999998</v>
      </c>
      <c r="I35" s="2">
        <f t="shared" si="7"/>
        <v>287.61699999999996</v>
      </c>
      <c r="J35" s="2">
        <f t="shared" si="8"/>
        <v>299.69699999999995</v>
      </c>
    </row>
    <row r="36" spans="1:10" ht="18.75" customHeight="1" x14ac:dyDescent="0.25">
      <c r="A36" s="74" t="s">
        <v>17</v>
      </c>
      <c r="B36" s="2"/>
      <c r="C36" s="2"/>
      <c r="D36" s="2"/>
      <c r="E36" s="2"/>
      <c r="F36" s="2">
        <v>1</v>
      </c>
      <c r="G36" s="2"/>
      <c r="H36" s="2">
        <f t="shared" si="6"/>
        <v>11.079999999999998</v>
      </c>
      <c r="I36" s="2">
        <f t="shared" si="7"/>
        <v>287.61699999999996</v>
      </c>
      <c r="J36" s="2">
        <f t="shared" si="8"/>
        <v>298.69699999999995</v>
      </c>
    </row>
    <row r="37" spans="1:10" ht="18.75" customHeight="1" x14ac:dyDescent="0.25">
      <c r="A37" s="11" t="s">
        <v>18</v>
      </c>
      <c r="B37" s="2">
        <v>2.5</v>
      </c>
      <c r="C37" s="2">
        <v>2.5</v>
      </c>
      <c r="D37" s="2"/>
      <c r="E37" s="2"/>
      <c r="F37" s="2"/>
      <c r="G37" s="2"/>
      <c r="H37" s="2">
        <f t="shared" si="6"/>
        <v>13.579999999999998</v>
      </c>
      <c r="I37" s="2">
        <f t="shared" si="7"/>
        <v>290.11699999999996</v>
      </c>
      <c r="J37" s="2">
        <f t="shared" si="8"/>
        <v>303.69699999999995</v>
      </c>
    </row>
    <row r="38" spans="1:10" ht="18.75" customHeight="1" x14ac:dyDescent="0.25">
      <c r="A38" s="11" t="s">
        <v>19</v>
      </c>
      <c r="B38" s="2"/>
      <c r="C38" s="2"/>
      <c r="D38" s="2">
        <v>5</v>
      </c>
      <c r="E38" s="2">
        <v>24</v>
      </c>
      <c r="F38" s="2"/>
      <c r="G38" s="2"/>
      <c r="H38" s="2">
        <f t="shared" si="6"/>
        <v>8.5799999999999983</v>
      </c>
      <c r="I38" s="2">
        <f t="shared" si="7"/>
        <v>266.11699999999996</v>
      </c>
      <c r="J38" s="2">
        <f t="shared" si="8"/>
        <v>274.69699999999995</v>
      </c>
    </row>
    <row r="39" spans="1:10" ht="18.75" customHeight="1" x14ac:dyDescent="0.25">
      <c r="A39" s="11" t="s">
        <v>20</v>
      </c>
      <c r="B39" s="2">
        <v>3.75</v>
      </c>
      <c r="C39" s="2">
        <v>3.75</v>
      </c>
      <c r="D39" s="2"/>
      <c r="E39" s="2"/>
      <c r="F39" s="2"/>
      <c r="G39" s="2"/>
      <c r="H39" s="2">
        <f t="shared" si="6"/>
        <v>12.329999999999998</v>
      </c>
      <c r="I39" s="2">
        <f t="shared" si="7"/>
        <v>269.86699999999996</v>
      </c>
      <c r="J39" s="2">
        <f t="shared" si="8"/>
        <v>282.19699999999995</v>
      </c>
    </row>
    <row r="40" spans="1:10" ht="18.75" customHeight="1" x14ac:dyDescent="0.25">
      <c r="A40" s="74" t="s">
        <v>21</v>
      </c>
      <c r="B40" s="2"/>
      <c r="C40" s="2"/>
      <c r="D40" s="2"/>
      <c r="E40" s="2"/>
      <c r="F40" s="2">
        <v>1</v>
      </c>
      <c r="G40" s="2"/>
      <c r="H40" s="2">
        <f t="shared" si="6"/>
        <v>11.329999999999998</v>
      </c>
      <c r="I40" s="2">
        <f t="shared" si="7"/>
        <v>269.86699999999996</v>
      </c>
      <c r="J40" s="2">
        <f t="shared" si="8"/>
        <v>281.19699999999995</v>
      </c>
    </row>
    <row r="41" spans="1:10" ht="18.75" customHeight="1" x14ac:dyDescent="0.25">
      <c r="A41" s="74" t="s">
        <v>22</v>
      </c>
      <c r="B41" s="2"/>
      <c r="C41" s="2"/>
      <c r="D41" s="2"/>
      <c r="E41" s="2"/>
      <c r="F41" s="2">
        <v>2</v>
      </c>
      <c r="G41" s="2"/>
      <c r="H41" s="2">
        <f t="shared" si="6"/>
        <v>9.3299999999999983</v>
      </c>
      <c r="I41" s="2">
        <f t="shared" si="7"/>
        <v>269.86699999999996</v>
      </c>
      <c r="J41" s="2">
        <f t="shared" si="8"/>
        <v>279.19699999999995</v>
      </c>
    </row>
    <row r="42" spans="1:10" ht="18.75" customHeight="1" x14ac:dyDescent="0.25">
      <c r="A42" s="11" t="s">
        <v>23</v>
      </c>
      <c r="B42" s="2">
        <v>2</v>
      </c>
      <c r="C42" s="2"/>
      <c r="D42" s="2"/>
      <c r="E42" s="2"/>
      <c r="F42" s="2"/>
      <c r="G42" s="2"/>
      <c r="H42" s="2">
        <f t="shared" si="6"/>
        <v>11.329999999999998</v>
      </c>
      <c r="I42" s="2">
        <f t="shared" si="7"/>
        <v>269.86699999999996</v>
      </c>
      <c r="J42" s="2">
        <f t="shared" si="8"/>
        <v>281.19699999999995</v>
      </c>
    </row>
    <row r="43" spans="1:10" ht="18.75" customHeight="1" x14ac:dyDescent="0.25">
      <c r="A43" s="11" t="s">
        <v>51</v>
      </c>
      <c r="B43" s="2"/>
      <c r="C43" s="2"/>
      <c r="D43" s="2"/>
      <c r="E43" s="2"/>
      <c r="F43" s="2">
        <v>1</v>
      </c>
      <c r="G43" s="2"/>
      <c r="H43" s="2">
        <f t="shared" ref="H43" si="9">H42-F43-D43+B43</f>
        <v>10.329999999999998</v>
      </c>
      <c r="I43" s="2">
        <f t="shared" ref="I43" si="10">I42-E43+C43</f>
        <v>269.86699999999996</v>
      </c>
      <c r="J43" s="2">
        <f t="shared" ref="J43:J49" si="11">SUM(H43:I43)</f>
        <v>280.19699999999995</v>
      </c>
    </row>
    <row r="44" spans="1:10" ht="18.75" customHeight="1" x14ac:dyDescent="0.25">
      <c r="A44" s="11" t="s">
        <v>52</v>
      </c>
      <c r="B44" s="2">
        <v>1.25</v>
      </c>
      <c r="C44" s="2">
        <v>1.25</v>
      </c>
      <c r="D44" s="2"/>
      <c r="E44" s="2"/>
      <c r="F44" s="2"/>
      <c r="G44" s="2"/>
      <c r="H44" s="2">
        <f t="shared" ref="H44:H45" si="12">H43-F44-D44+B44</f>
        <v>11.579999999999998</v>
      </c>
      <c r="I44" s="2">
        <f t="shared" ref="I44:I45" si="13">I43-E44+C44</f>
        <v>271.11699999999996</v>
      </c>
      <c r="J44" s="2">
        <f t="shared" si="11"/>
        <v>282.69699999999995</v>
      </c>
    </row>
    <row r="45" spans="1:10" ht="18.75" customHeight="1" x14ac:dyDescent="0.25">
      <c r="A45" s="11" t="s">
        <v>53</v>
      </c>
      <c r="B45" s="2">
        <v>5</v>
      </c>
      <c r="C45" s="2">
        <v>5</v>
      </c>
      <c r="D45" s="2"/>
      <c r="E45" s="2"/>
      <c r="F45" s="2"/>
      <c r="G45" s="2"/>
      <c r="H45" s="2">
        <f t="shared" si="12"/>
        <v>16.579999999999998</v>
      </c>
      <c r="I45" s="2">
        <f t="shared" si="13"/>
        <v>276.11699999999996</v>
      </c>
      <c r="J45" s="2">
        <f t="shared" si="11"/>
        <v>292.69699999999995</v>
      </c>
    </row>
    <row r="46" spans="1:10" ht="18.75" customHeight="1" x14ac:dyDescent="0.25">
      <c r="A46" s="11" t="s">
        <v>54</v>
      </c>
      <c r="B46" s="2"/>
      <c r="C46" s="2"/>
      <c r="D46" s="2"/>
      <c r="E46" s="2"/>
      <c r="F46" s="2"/>
      <c r="G46" s="2">
        <v>3</v>
      </c>
      <c r="H46" s="2">
        <f t="shared" ref="H46" si="14">H45-F46-D46+B46</f>
        <v>16.579999999999998</v>
      </c>
      <c r="I46" s="2">
        <f t="shared" ref="I46" si="15">I45-E46+C46</f>
        <v>276.11699999999996</v>
      </c>
      <c r="J46" s="2">
        <f t="shared" si="11"/>
        <v>292.69699999999995</v>
      </c>
    </row>
    <row r="47" spans="1:10" ht="18.75" customHeight="1" x14ac:dyDescent="0.25">
      <c r="A47" s="11" t="s">
        <v>55</v>
      </c>
      <c r="B47" s="2">
        <v>5</v>
      </c>
      <c r="C47" s="2">
        <v>5</v>
      </c>
      <c r="D47" s="2"/>
      <c r="E47" s="2"/>
      <c r="F47" s="2"/>
      <c r="G47" s="2"/>
      <c r="H47" s="2">
        <f t="shared" ref="H47:H48" si="16">H46-F47-D47+B47</f>
        <v>21.58</v>
      </c>
      <c r="I47" s="2">
        <f t="shared" ref="I47:I48" si="17">I46-E47+C47</f>
        <v>281.11699999999996</v>
      </c>
      <c r="J47" s="2">
        <f t="shared" si="11"/>
        <v>302.69699999999995</v>
      </c>
    </row>
    <row r="48" spans="1:10" ht="18.75" customHeight="1" x14ac:dyDescent="0.25">
      <c r="A48" s="11" t="s">
        <v>56</v>
      </c>
      <c r="B48" s="2"/>
      <c r="C48" s="2"/>
      <c r="D48" s="2">
        <v>11</v>
      </c>
      <c r="E48" s="2">
        <v>18</v>
      </c>
      <c r="F48" s="2"/>
      <c r="G48" s="2"/>
      <c r="H48" s="2">
        <f t="shared" si="16"/>
        <v>10.579999999999998</v>
      </c>
      <c r="I48" s="2">
        <f t="shared" si="17"/>
        <v>263.11699999999996</v>
      </c>
      <c r="J48" s="2">
        <f t="shared" si="11"/>
        <v>273.69699999999995</v>
      </c>
    </row>
    <row r="49" spans="1:10" ht="18.75" customHeight="1" x14ac:dyDescent="0.25">
      <c r="A49" s="11" t="s">
        <v>57</v>
      </c>
      <c r="B49" s="12"/>
      <c r="C49" s="12"/>
      <c r="D49" s="12"/>
      <c r="E49" s="12"/>
      <c r="F49" s="13">
        <v>2</v>
      </c>
      <c r="G49" s="12"/>
      <c r="H49" s="2">
        <f t="shared" ref="H49" si="18">H48-F49-D49+B49</f>
        <v>8.5799999999999983</v>
      </c>
      <c r="I49" s="2">
        <f t="shared" ref="I49" si="19">I48-E49+C49</f>
        <v>263.11699999999996</v>
      </c>
      <c r="J49" s="2">
        <f t="shared" si="11"/>
        <v>271.69699999999995</v>
      </c>
    </row>
    <row r="50" spans="1:10" ht="18.75" customHeight="1" x14ac:dyDescent="0.25">
      <c r="A50" s="11" t="s">
        <v>61</v>
      </c>
      <c r="B50" s="13">
        <v>2.5</v>
      </c>
      <c r="C50" s="13">
        <v>2.5</v>
      </c>
      <c r="D50" s="34"/>
      <c r="E50" s="34"/>
      <c r="F50" s="13"/>
      <c r="G50" s="12"/>
      <c r="H50" s="2">
        <f t="shared" ref="H50:H53" si="20">H49-F50-D50+B50</f>
        <v>11.079999999999998</v>
      </c>
      <c r="I50" s="2">
        <f t="shared" ref="I50:I53" si="21">I49-E50+C50</f>
        <v>265.61699999999996</v>
      </c>
      <c r="J50" s="2">
        <f t="shared" ref="J50:J53" si="22">SUM(H50:I50)</f>
        <v>276.69699999999995</v>
      </c>
    </row>
    <row r="51" spans="1:10" ht="18.75" customHeight="1" x14ac:dyDescent="0.25">
      <c r="A51" s="11" t="s">
        <v>62</v>
      </c>
      <c r="B51" s="13"/>
      <c r="C51" s="13"/>
      <c r="D51" s="34"/>
      <c r="E51" s="34"/>
      <c r="F51" s="13">
        <v>3</v>
      </c>
      <c r="G51" s="12"/>
      <c r="H51" s="2">
        <f t="shared" si="20"/>
        <v>8.0799999999999983</v>
      </c>
      <c r="I51" s="2">
        <f t="shared" si="21"/>
        <v>265.61699999999996</v>
      </c>
      <c r="J51" s="2">
        <f t="shared" si="22"/>
        <v>273.69699999999995</v>
      </c>
    </row>
    <row r="52" spans="1:10" ht="18.75" customHeight="1" x14ac:dyDescent="0.25">
      <c r="A52" s="11" t="s">
        <v>63</v>
      </c>
      <c r="B52" s="13">
        <v>2.5</v>
      </c>
      <c r="C52" s="13">
        <v>2.5</v>
      </c>
      <c r="D52" s="34"/>
      <c r="E52" s="34"/>
      <c r="F52" s="13"/>
      <c r="G52" s="12"/>
      <c r="H52" s="2">
        <f t="shared" si="20"/>
        <v>10.579999999999998</v>
      </c>
      <c r="I52" s="2">
        <f t="shared" si="21"/>
        <v>268.11699999999996</v>
      </c>
      <c r="J52" s="2">
        <f t="shared" si="22"/>
        <v>278.69699999999995</v>
      </c>
    </row>
    <row r="53" spans="1:10" ht="18.75" customHeight="1" x14ac:dyDescent="0.25">
      <c r="A53" s="11" t="s">
        <v>64</v>
      </c>
      <c r="B53" s="13">
        <v>1.25</v>
      </c>
      <c r="C53" s="13">
        <v>1.25</v>
      </c>
      <c r="D53" s="34"/>
      <c r="E53" s="34"/>
      <c r="F53" s="13"/>
      <c r="G53" s="12"/>
      <c r="H53" s="2">
        <f t="shared" si="20"/>
        <v>11.829999999999998</v>
      </c>
      <c r="I53" s="2">
        <f t="shared" si="21"/>
        <v>269.36699999999996</v>
      </c>
      <c r="J53" s="2">
        <f t="shared" si="22"/>
        <v>281.19699999999995</v>
      </c>
    </row>
    <row r="54" spans="1:10" ht="18.75" customHeight="1" x14ac:dyDescent="0.25">
      <c r="A54" s="11" t="s">
        <v>65</v>
      </c>
      <c r="B54" s="13">
        <v>3.75</v>
      </c>
      <c r="C54" s="13">
        <v>3.75</v>
      </c>
      <c r="D54" s="34"/>
      <c r="E54" s="34"/>
      <c r="F54" s="14"/>
      <c r="G54" s="38"/>
      <c r="H54" s="2">
        <f t="shared" ref="H54:H55" si="23">H53-F54-D54+B54</f>
        <v>15.579999999999998</v>
      </c>
      <c r="I54" s="2">
        <f t="shared" ref="I54:I55" si="24">I53-E54+C54</f>
        <v>273.11699999999996</v>
      </c>
      <c r="J54" s="2">
        <f t="shared" ref="J54:J55" si="25">SUM(H54:I54)</f>
        <v>288.69699999999995</v>
      </c>
    </row>
    <row r="55" spans="1:10" ht="18.75" customHeight="1" x14ac:dyDescent="0.25">
      <c r="A55" s="11" t="s">
        <v>66</v>
      </c>
      <c r="B55" s="13"/>
      <c r="C55" s="13"/>
      <c r="D55" s="34"/>
      <c r="E55" s="34"/>
      <c r="F55" s="14"/>
      <c r="G55" s="39">
        <v>1</v>
      </c>
      <c r="H55" s="2">
        <f t="shared" si="23"/>
        <v>15.579999999999998</v>
      </c>
      <c r="I55" s="2">
        <f t="shared" si="24"/>
        <v>273.11699999999996</v>
      </c>
      <c r="J55" s="2">
        <f t="shared" si="25"/>
        <v>288.69699999999995</v>
      </c>
    </row>
    <row r="56" spans="1:10" ht="18.75" customHeight="1" x14ac:dyDescent="0.25">
      <c r="A56" s="11" t="s">
        <v>67</v>
      </c>
      <c r="B56" s="13">
        <v>1.25</v>
      </c>
      <c r="C56" s="13">
        <v>1.25</v>
      </c>
      <c r="D56" s="34"/>
      <c r="E56" s="34"/>
      <c r="F56" s="14"/>
      <c r="G56" s="39"/>
      <c r="H56" s="2">
        <f t="shared" ref="H56:H57" si="26">H55-F56-D56+B56</f>
        <v>16.829999999999998</v>
      </c>
      <c r="I56" s="2">
        <f t="shared" ref="I56:I57" si="27">I55-E56+C56</f>
        <v>274.36699999999996</v>
      </c>
      <c r="J56" s="2">
        <f t="shared" ref="J56:J57" si="28">SUM(H56:I56)</f>
        <v>291.19699999999995</v>
      </c>
    </row>
    <row r="57" spans="1:10" ht="18.75" customHeight="1" x14ac:dyDescent="0.25">
      <c r="A57" s="11" t="s">
        <v>68</v>
      </c>
      <c r="B57" s="13"/>
      <c r="C57" s="13"/>
      <c r="D57" s="34"/>
      <c r="E57" s="34"/>
      <c r="F57" s="14"/>
      <c r="G57" s="39">
        <v>2</v>
      </c>
      <c r="H57" s="2">
        <f t="shared" si="26"/>
        <v>16.829999999999998</v>
      </c>
      <c r="I57" s="2">
        <f t="shared" si="27"/>
        <v>274.36699999999996</v>
      </c>
      <c r="J57" s="2">
        <f t="shared" si="28"/>
        <v>291.19699999999995</v>
      </c>
    </row>
    <row r="58" spans="1:10" ht="18.75" customHeight="1" x14ac:dyDescent="0.25">
      <c r="A58" s="11" t="s">
        <v>69</v>
      </c>
      <c r="B58" s="14">
        <v>2.5</v>
      </c>
      <c r="C58" s="14">
        <v>2.5</v>
      </c>
      <c r="D58" s="35"/>
      <c r="E58" s="35"/>
      <c r="F58" s="14"/>
      <c r="G58" s="38"/>
      <c r="H58" s="2">
        <f t="shared" ref="H58" si="29">H57-F58-D58+B58</f>
        <v>19.329999999999998</v>
      </c>
      <c r="I58" s="2">
        <f t="shared" ref="I58" si="30">I57-E58+C58</f>
        <v>276.86699999999996</v>
      </c>
      <c r="J58" s="2">
        <f t="shared" ref="J58" si="31">SUM(H58:I58)</f>
        <v>296.19699999999995</v>
      </c>
    </row>
    <row r="59" spans="1:10" ht="18.75" customHeight="1" x14ac:dyDescent="0.25">
      <c r="A59" s="11" t="s">
        <v>70</v>
      </c>
      <c r="B59" s="14"/>
      <c r="C59" s="14"/>
      <c r="D59" s="14">
        <v>14.33</v>
      </c>
      <c r="E59" s="14">
        <v>15.67</v>
      </c>
      <c r="F59" s="14"/>
      <c r="G59" s="40"/>
      <c r="H59" s="33">
        <f t="shared" ref="H59" si="32">H58-F59-D59+B59</f>
        <v>4.9999999999999982</v>
      </c>
      <c r="I59" s="33">
        <f t="shared" ref="I59" si="33">I58-E59+C59</f>
        <v>261.19699999999995</v>
      </c>
      <c r="J59" s="33">
        <f t="shared" ref="J59" si="34">SUM(H59:I59)</f>
        <v>266.19699999999995</v>
      </c>
    </row>
    <row r="60" spans="1:10" ht="18.75" customHeight="1" x14ac:dyDescent="0.25">
      <c r="A60" s="11" t="s">
        <v>83</v>
      </c>
      <c r="B60" s="14">
        <v>2.5</v>
      </c>
      <c r="C60" s="14">
        <v>2.5</v>
      </c>
      <c r="D60" s="14"/>
      <c r="E60" s="14"/>
      <c r="F60" s="14"/>
      <c r="G60" s="40"/>
      <c r="H60" s="33">
        <f t="shared" ref="H60" si="35">H59-F60-D60+B60</f>
        <v>7.4999999999999982</v>
      </c>
      <c r="I60" s="33">
        <f t="shared" ref="I60" si="36">I59-E60+C60</f>
        <v>263.69699999999995</v>
      </c>
      <c r="J60" s="33">
        <f t="shared" ref="J60" si="37">SUM(H60:I60)</f>
        <v>271.19699999999995</v>
      </c>
    </row>
    <row r="61" spans="1:10" ht="18.75" customHeight="1" x14ac:dyDescent="0.25">
      <c r="A61" s="11" t="s">
        <v>84</v>
      </c>
      <c r="B61" s="14"/>
      <c r="C61" s="14"/>
      <c r="D61" s="14"/>
      <c r="E61" s="14">
        <v>1</v>
      </c>
      <c r="F61" s="14"/>
      <c r="G61" s="40"/>
      <c r="H61" s="33">
        <f t="shared" ref="H61" si="38">H60-F61-D61+B61</f>
        <v>7.4999999999999982</v>
      </c>
      <c r="I61" s="33">
        <f t="shared" ref="I61" si="39">I60-E61+C61</f>
        <v>262.69699999999995</v>
      </c>
      <c r="J61" s="33">
        <f t="shared" ref="J61" si="40">SUM(H61:I61)</f>
        <v>270.19699999999995</v>
      </c>
    </row>
    <row r="62" spans="1:10" ht="18.75" customHeight="1" x14ac:dyDescent="0.25">
      <c r="A62" s="11" t="s">
        <v>87</v>
      </c>
      <c r="B62" s="14">
        <v>2.5</v>
      </c>
      <c r="C62" s="14">
        <v>2.5</v>
      </c>
      <c r="D62" s="14"/>
      <c r="E62" s="14"/>
      <c r="F62" s="14"/>
      <c r="G62" s="40"/>
      <c r="H62" s="33">
        <f t="shared" ref="H62:H63" si="41">H61-F62-D62+B62</f>
        <v>9.9999999999999982</v>
      </c>
      <c r="I62" s="33">
        <f t="shared" ref="I62:I63" si="42">I61-E62+C62</f>
        <v>265.19699999999995</v>
      </c>
      <c r="J62" s="33">
        <f t="shared" ref="J62:J63" si="43">SUM(H62:I62)</f>
        <v>275.19699999999995</v>
      </c>
    </row>
    <row r="63" spans="1:10" ht="18.75" customHeight="1" x14ac:dyDescent="0.25">
      <c r="A63" s="11" t="s">
        <v>88</v>
      </c>
      <c r="B63" s="14"/>
      <c r="C63" s="14"/>
      <c r="D63" s="14"/>
      <c r="E63" s="14"/>
      <c r="F63" s="14">
        <v>5</v>
      </c>
      <c r="G63" s="40"/>
      <c r="H63" s="33">
        <f t="shared" si="41"/>
        <v>4.9999999999999982</v>
      </c>
      <c r="I63" s="33">
        <f t="shared" si="42"/>
        <v>265.19699999999995</v>
      </c>
      <c r="J63" s="33">
        <f t="shared" si="43"/>
        <v>270.19699999999995</v>
      </c>
    </row>
    <row r="64" spans="1:10" ht="18.75" customHeight="1" x14ac:dyDescent="0.25">
      <c r="A64" s="11" t="s">
        <v>89</v>
      </c>
      <c r="B64" s="14">
        <v>1.25</v>
      </c>
      <c r="C64" s="14">
        <v>1.25</v>
      </c>
      <c r="D64" s="14"/>
      <c r="E64" s="14"/>
      <c r="F64" s="14"/>
      <c r="G64" s="40"/>
      <c r="H64" s="33">
        <f t="shared" ref="H64:H65" si="44">H63-F64-D64+B64</f>
        <v>6.2499999999999982</v>
      </c>
      <c r="I64" s="33">
        <f t="shared" ref="I64:I65" si="45">I63-E64+C64</f>
        <v>266.44699999999995</v>
      </c>
      <c r="J64" s="33">
        <f t="shared" ref="J64:J65" si="46">SUM(H64:I64)</f>
        <v>272.69699999999995</v>
      </c>
    </row>
    <row r="65" spans="1:10" ht="18.75" customHeight="1" x14ac:dyDescent="0.25">
      <c r="A65" s="11" t="s">
        <v>90</v>
      </c>
      <c r="B65" s="14"/>
      <c r="C65" s="14"/>
      <c r="D65" s="14"/>
      <c r="E65" s="14"/>
      <c r="F65" s="14"/>
      <c r="G65" s="36">
        <v>2</v>
      </c>
      <c r="H65" s="33">
        <f t="shared" si="44"/>
        <v>6.2499999999999982</v>
      </c>
      <c r="I65" s="33">
        <f t="shared" si="45"/>
        <v>266.44699999999995</v>
      </c>
      <c r="J65" s="33">
        <f t="shared" si="46"/>
        <v>272.69699999999995</v>
      </c>
    </row>
    <row r="66" spans="1:10" ht="18.75" customHeight="1" x14ac:dyDescent="0.25">
      <c r="A66" s="11" t="s">
        <v>94</v>
      </c>
      <c r="B66" s="14">
        <v>12.5</v>
      </c>
      <c r="C66" s="14">
        <v>12.5</v>
      </c>
      <c r="D66" s="14"/>
      <c r="E66" s="14"/>
      <c r="F66" s="14"/>
      <c r="G66" s="70"/>
      <c r="H66" s="33">
        <f t="shared" ref="H66" si="47">H65-F66-D66+B66</f>
        <v>18.75</v>
      </c>
      <c r="I66" s="33">
        <f t="shared" ref="I66" si="48">I65-E66+C66</f>
        <v>278.94699999999995</v>
      </c>
      <c r="J66" s="33">
        <f t="shared" ref="J66" si="49">SUM(H66:I66)</f>
        <v>297.69699999999995</v>
      </c>
    </row>
    <row r="67" spans="1:10" ht="18.75" customHeight="1" x14ac:dyDescent="0.25">
      <c r="A67" s="11" t="s">
        <v>95</v>
      </c>
      <c r="B67" s="14"/>
      <c r="C67" s="14"/>
      <c r="D67" s="14"/>
      <c r="E67" s="14"/>
      <c r="F67" s="14"/>
      <c r="G67" s="36">
        <v>1</v>
      </c>
      <c r="H67" s="33">
        <f t="shared" ref="H67:H70" si="50">H66-F67-D67+B67</f>
        <v>18.75</v>
      </c>
      <c r="I67" s="33">
        <f t="shared" ref="I67:I70" si="51">I66-E67+C67</f>
        <v>278.94699999999995</v>
      </c>
      <c r="J67" s="33">
        <f t="shared" ref="J67:J70" si="52">SUM(H67:I67)</f>
        <v>297.69699999999995</v>
      </c>
    </row>
    <row r="68" spans="1:10" ht="18.75" customHeight="1" x14ac:dyDescent="0.25">
      <c r="A68" s="11" t="s">
        <v>96</v>
      </c>
      <c r="B68" s="14"/>
      <c r="C68" s="14"/>
      <c r="D68" s="14"/>
      <c r="E68" s="14"/>
      <c r="F68" s="69">
        <v>1</v>
      </c>
      <c r="G68" s="39"/>
      <c r="H68" s="33">
        <f t="shared" si="50"/>
        <v>17.75</v>
      </c>
      <c r="I68" s="33">
        <f t="shared" si="51"/>
        <v>278.94699999999995</v>
      </c>
      <c r="J68" s="33">
        <f t="shared" si="52"/>
        <v>296.69699999999995</v>
      </c>
    </row>
    <row r="69" spans="1:10" ht="18.75" hidden="1" customHeight="1" x14ac:dyDescent="0.25">
      <c r="A69" s="11" t="s">
        <v>97</v>
      </c>
      <c r="B69" s="14"/>
      <c r="C69" s="14"/>
      <c r="D69" s="14"/>
      <c r="E69" s="14"/>
      <c r="F69" s="69">
        <v>2</v>
      </c>
      <c r="G69" s="39"/>
      <c r="H69" s="33">
        <f t="shared" si="50"/>
        <v>15.75</v>
      </c>
      <c r="I69" s="33">
        <f t="shared" si="51"/>
        <v>278.94699999999995</v>
      </c>
      <c r="J69" s="33">
        <f t="shared" si="52"/>
        <v>294.69699999999995</v>
      </c>
    </row>
    <row r="70" spans="1:10" ht="18.75" hidden="1" customHeight="1" x14ac:dyDescent="0.25">
      <c r="A70" s="11" t="s">
        <v>98</v>
      </c>
      <c r="B70" s="14"/>
      <c r="C70" s="14"/>
      <c r="D70" s="14"/>
      <c r="E70" s="14"/>
      <c r="F70" s="69">
        <v>2</v>
      </c>
      <c r="G70" s="39"/>
      <c r="H70" s="33">
        <f t="shared" si="50"/>
        <v>13.75</v>
      </c>
      <c r="I70" s="33">
        <f t="shared" si="51"/>
        <v>278.94699999999995</v>
      </c>
      <c r="J70" s="33">
        <f t="shared" si="52"/>
        <v>292.69699999999995</v>
      </c>
    </row>
    <row r="71" spans="1:10" ht="18.75" customHeight="1" x14ac:dyDescent="0.25">
      <c r="A71" s="8"/>
      <c r="B71" s="15"/>
      <c r="C71" s="15"/>
      <c r="D71" s="16"/>
      <c r="E71" s="16"/>
      <c r="F71" s="17"/>
      <c r="G71" s="16"/>
      <c r="H71" s="18"/>
      <c r="I71" s="18"/>
      <c r="J71" s="18"/>
    </row>
    <row r="72" spans="1:10" s="1" customFormat="1" x14ac:dyDescent="0.25">
      <c r="G72" s="1" t="s">
        <v>58</v>
      </c>
    </row>
    <row r="73" spans="1:10" s="1" customFormat="1" x14ac:dyDescent="0.25"/>
    <row r="74" spans="1:10" s="1" customFormat="1" x14ac:dyDescent="0.25">
      <c r="G74" s="30" t="s">
        <v>59</v>
      </c>
    </row>
    <row r="75" spans="1:10" s="1" customFormat="1" x14ac:dyDescent="0.25">
      <c r="G75" s="1" t="s">
        <v>60</v>
      </c>
    </row>
    <row r="76" spans="1:10" s="1" customFormat="1" x14ac:dyDescent="0.25">
      <c r="G76" s="1" t="s">
        <v>78</v>
      </c>
    </row>
    <row r="77" spans="1:10" x14ac:dyDescent="0.25">
      <c r="A77" s="8"/>
    </row>
    <row r="78" spans="1:10" x14ac:dyDescent="0.25">
      <c r="A78" s="8"/>
    </row>
    <row r="79" spans="1:10" x14ac:dyDescent="0.25">
      <c r="A79" s="8"/>
    </row>
    <row r="80" spans="1:10" x14ac:dyDescent="0.25">
      <c r="A80" s="8"/>
    </row>
    <row r="81" spans="1:1" x14ac:dyDescent="0.25">
      <c r="A81" s="8"/>
    </row>
  </sheetData>
  <mergeCells count="13">
    <mergeCell ref="B9:D9"/>
    <mergeCell ref="A10:J10"/>
    <mergeCell ref="A2:J2"/>
    <mergeCell ref="A3:J3"/>
    <mergeCell ref="A4:J4"/>
    <mergeCell ref="A5:J5"/>
    <mergeCell ref="B7:D7"/>
    <mergeCell ref="K11:K12"/>
    <mergeCell ref="B11:C11"/>
    <mergeCell ref="D11:G11"/>
    <mergeCell ref="H11:I11"/>
    <mergeCell ref="A11:A12"/>
    <mergeCell ref="J11:J12"/>
  </mergeCells>
  <printOptions horizontalCentered="1"/>
  <pageMargins left="0.23622047244094491" right="0.23622047244094491" top="0.70866141732283472" bottom="0.62992125984251968" header="0.31496062992125984" footer="0.31496062992125984"/>
  <pageSetup paperSize="9" scale="68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8B02-6F5C-4FC6-8653-3B5393F0AB55}">
  <sheetPr>
    <pageSetUpPr fitToPage="1"/>
  </sheetPr>
  <dimension ref="A1:L25"/>
  <sheetViews>
    <sheetView view="pageBreakPreview" zoomScale="112" zoomScaleNormal="100" zoomScaleSheetLayoutView="112" workbookViewId="0">
      <selection activeCell="A18" sqref="A18:XFD18"/>
    </sheetView>
  </sheetViews>
  <sheetFormatPr defaultColWidth="8.7109375" defaultRowHeight="15" x14ac:dyDescent="0.25"/>
  <cols>
    <col min="1" max="1" width="33.5703125" style="24" customWidth="1"/>
    <col min="2" max="16384" width="8.7109375" style="24"/>
  </cols>
  <sheetData>
    <row r="1" spans="1:12" s="19" customFormat="1" ht="52.5" customHeight="1" x14ac:dyDescent="0.25"/>
    <row r="2" spans="1:12" s="19" customFormat="1" ht="10.5" customHeight="1" x14ac:dyDescent="0.25">
      <c r="A2" s="64" t="s">
        <v>25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s="19" customFormat="1" ht="15.95" customHeight="1" x14ac:dyDescent="0.25">
      <c r="A3" s="64" t="s">
        <v>26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9" customFormat="1" ht="15.95" customHeight="1" x14ac:dyDescent="0.25">
      <c r="A4" s="64" t="s">
        <v>27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s="19" customFormat="1" ht="15.95" customHeight="1" x14ac:dyDescent="0.25">
      <c r="A5" s="64" t="s">
        <v>28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s="19" customFormat="1" ht="8.25" customHeight="1" x14ac:dyDescent="0.25"/>
    <row r="7" spans="1:12" s="19" customFormat="1" ht="12" customHeight="1" x14ac:dyDescent="0.25">
      <c r="A7" s="19" t="s">
        <v>29</v>
      </c>
      <c r="C7" s="20" t="s">
        <v>30</v>
      </c>
      <c r="D7" s="20"/>
      <c r="G7" s="20" t="s">
        <v>9</v>
      </c>
      <c r="H7" s="21"/>
    </row>
    <row r="8" spans="1:12" s="19" customFormat="1" ht="12" customHeight="1" x14ac:dyDescent="0.25">
      <c r="C8" s="22"/>
      <c r="G8" s="22"/>
      <c r="H8" s="22"/>
    </row>
    <row r="9" spans="1:12" s="19" customFormat="1" ht="12" customHeight="1" x14ac:dyDescent="0.25">
      <c r="A9" s="19" t="s">
        <v>31</v>
      </c>
      <c r="C9" s="20" t="s">
        <v>32</v>
      </c>
      <c r="D9" s="20"/>
      <c r="G9" s="20" t="s">
        <v>10</v>
      </c>
      <c r="H9" s="23"/>
    </row>
    <row r="10" spans="1:12" ht="16.5" customHeight="1" thickBot="1" x14ac:dyDescent="0.3">
      <c r="A10" s="65" t="s">
        <v>71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spans="1:12" s="25" customFormat="1" ht="18.75" customHeight="1" x14ac:dyDescent="0.2">
      <c r="A11" s="55" t="s">
        <v>4</v>
      </c>
      <c r="B11" s="57" t="s">
        <v>5</v>
      </c>
      <c r="C11" s="58"/>
      <c r="D11" s="58"/>
      <c r="E11" s="58"/>
      <c r="F11" s="58"/>
      <c r="G11" s="58"/>
      <c r="H11" s="58"/>
      <c r="I11" s="58"/>
      <c r="J11" s="58"/>
      <c r="K11" s="58"/>
      <c r="L11" s="59" t="s">
        <v>8</v>
      </c>
    </row>
    <row r="12" spans="1:12" s="25" customFormat="1" ht="24" customHeight="1" x14ac:dyDescent="0.2">
      <c r="A12" s="56"/>
      <c r="B12" s="61" t="s">
        <v>72</v>
      </c>
      <c r="C12" s="62"/>
      <c r="D12" s="62"/>
      <c r="E12" s="63"/>
      <c r="F12" s="61" t="s">
        <v>73</v>
      </c>
      <c r="G12" s="63"/>
      <c r="H12" s="61" t="s">
        <v>74</v>
      </c>
      <c r="I12" s="63"/>
      <c r="J12" s="61" t="s">
        <v>75</v>
      </c>
      <c r="K12" s="63"/>
      <c r="L12" s="60"/>
    </row>
    <row r="13" spans="1:12" s="28" customFormat="1" ht="25.5" customHeight="1" x14ac:dyDescent="0.2">
      <c r="A13" s="26" t="s">
        <v>79</v>
      </c>
      <c r="B13" s="52" t="s">
        <v>80</v>
      </c>
      <c r="C13" s="53"/>
      <c r="D13" s="53"/>
      <c r="E13" s="54"/>
      <c r="F13" s="52">
        <v>3</v>
      </c>
      <c r="G13" s="54"/>
      <c r="H13" s="52">
        <v>0</v>
      </c>
      <c r="I13" s="54"/>
      <c r="J13" s="52">
        <v>3</v>
      </c>
      <c r="K13" s="54"/>
      <c r="L13" s="31">
        <v>3</v>
      </c>
    </row>
    <row r="14" spans="1:12" s="28" customFormat="1" ht="25.5" customHeight="1" x14ac:dyDescent="0.2">
      <c r="A14" s="26" t="s">
        <v>82</v>
      </c>
      <c r="B14" s="52" t="s">
        <v>80</v>
      </c>
      <c r="C14" s="53"/>
      <c r="D14" s="53"/>
      <c r="E14" s="54"/>
      <c r="F14" s="52"/>
      <c r="G14" s="54"/>
      <c r="H14" s="52">
        <v>2</v>
      </c>
      <c r="I14" s="54"/>
      <c r="J14" s="52">
        <v>1</v>
      </c>
      <c r="K14" s="54"/>
      <c r="L14" s="31">
        <v>1</v>
      </c>
    </row>
    <row r="15" spans="1:12" s="28" customFormat="1" ht="25.5" customHeight="1" x14ac:dyDescent="0.2">
      <c r="A15" s="26" t="s">
        <v>85</v>
      </c>
      <c r="B15" s="52" t="s">
        <v>80</v>
      </c>
      <c r="C15" s="53"/>
      <c r="D15" s="53"/>
      <c r="E15" s="54"/>
      <c r="F15" s="52"/>
      <c r="G15" s="54"/>
      <c r="H15" s="52">
        <v>1</v>
      </c>
      <c r="I15" s="54"/>
      <c r="J15" s="52">
        <v>0</v>
      </c>
      <c r="K15" s="54"/>
      <c r="L15" s="37">
        <v>0</v>
      </c>
    </row>
    <row r="16" spans="1:12" s="25" customFormat="1" ht="24.95" customHeight="1" x14ac:dyDescent="0.2">
      <c r="A16" s="26" t="s">
        <v>77</v>
      </c>
      <c r="B16" s="52" t="s">
        <v>76</v>
      </c>
      <c r="C16" s="53"/>
      <c r="D16" s="53"/>
      <c r="E16" s="54"/>
      <c r="F16" s="52">
        <v>1</v>
      </c>
      <c r="G16" s="54"/>
      <c r="H16" s="52">
        <v>0</v>
      </c>
      <c r="I16" s="54"/>
      <c r="J16" s="52">
        <v>1</v>
      </c>
      <c r="K16" s="54"/>
      <c r="L16" s="27">
        <v>1</v>
      </c>
    </row>
    <row r="17" spans="1:12" s="25" customFormat="1" ht="24.95" customHeight="1" x14ac:dyDescent="0.2">
      <c r="A17" s="26" t="s">
        <v>86</v>
      </c>
      <c r="B17" s="52" t="s">
        <v>76</v>
      </c>
      <c r="C17" s="53"/>
      <c r="D17" s="53"/>
      <c r="E17" s="54"/>
      <c r="F17" s="52"/>
      <c r="G17" s="54"/>
      <c r="H17" s="52">
        <v>1</v>
      </c>
      <c r="I17" s="54"/>
      <c r="J17" s="52">
        <v>0</v>
      </c>
      <c r="K17" s="54"/>
      <c r="L17" s="37">
        <v>0</v>
      </c>
    </row>
    <row r="18" spans="1:12" s="25" customFormat="1" ht="24.95" customHeight="1" x14ac:dyDescent="0.2">
      <c r="A18" s="26" t="s">
        <v>91</v>
      </c>
      <c r="B18" s="52" t="s">
        <v>92</v>
      </c>
      <c r="C18" s="53"/>
      <c r="D18" s="53"/>
      <c r="E18" s="54"/>
      <c r="F18" s="52">
        <v>3</v>
      </c>
      <c r="G18" s="54"/>
      <c r="H18" s="52">
        <v>0</v>
      </c>
      <c r="I18" s="54"/>
      <c r="J18" s="52">
        <v>3</v>
      </c>
      <c r="K18" s="54"/>
      <c r="L18" s="27">
        <v>3</v>
      </c>
    </row>
    <row r="19" spans="1:12" s="25" customFormat="1" ht="24.95" customHeight="1" x14ac:dyDescent="0.2">
      <c r="A19" s="26" t="s">
        <v>93</v>
      </c>
      <c r="B19" s="52" t="s">
        <v>92</v>
      </c>
      <c r="C19" s="53"/>
      <c r="D19" s="53"/>
      <c r="E19" s="54"/>
      <c r="F19" s="52"/>
      <c r="G19" s="54"/>
      <c r="H19" s="52">
        <v>1</v>
      </c>
      <c r="I19" s="54"/>
      <c r="J19" s="52">
        <v>2</v>
      </c>
      <c r="K19" s="54"/>
      <c r="L19" s="31">
        <v>2</v>
      </c>
    </row>
    <row r="20" spans="1:12" ht="18.95" customHeight="1" x14ac:dyDescent="0.2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</row>
    <row r="21" spans="1:12" s="19" customFormat="1" x14ac:dyDescent="0.25">
      <c r="C21" s="29"/>
      <c r="I21" s="19" t="s">
        <v>58</v>
      </c>
    </row>
    <row r="22" spans="1:12" s="19" customFormat="1" x14ac:dyDescent="0.25">
      <c r="C22" s="29"/>
    </row>
    <row r="23" spans="1:12" x14ac:dyDescent="0.25">
      <c r="I23" s="32" t="s">
        <v>59</v>
      </c>
      <c r="J23" s="32"/>
    </row>
    <row r="24" spans="1:12" x14ac:dyDescent="0.25">
      <c r="I24" s="24" t="s">
        <v>60</v>
      </c>
    </row>
    <row r="25" spans="1:12" x14ac:dyDescent="0.25">
      <c r="I25" s="66" t="s">
        <v>81</v>
      </c>
      <c r="J25" s="67"/>
    </row>
  </sheetData>
  <mergeCells count="42">
    <mergeCell ref="H16:I16"/>
    <mergeCell ref="J16:K16"/>
    <mergeCell ref="B17:E17"/>
    <mergeCell ref="F17:G17"/>
    <mergeCell ref="H17:I17"/>
    <mergeCell ref="J17:K17"/>
    <mergeCell ref="I25:J25"/>
    <mergeCell ref="A20:L20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14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2025-12-12T01:51:04Z</cp:lastPrinted>
  <dcterms:created xsi:type="dcterms:W3CDTF">2021-10-07T06:10:16Z</dcterms:created>
  <dcterms:modified xsi:type="dcterms:W3CDTF">2025-12-12T01:52:03Z</dcterms:modified>
</cp:coreProperties>
</file>