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60CAAAB-F2E0-4CB9-845A-21F9249F5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  <sheet name="ELECTION-NLC" sheetId="9" r:id="rId3"/>
  </sheets>
  <definedNames>
    <definedName name="_xlnm.Print_Area" localSheetId="0">'Leave Card (NE)'!$A$1:$J$85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8" l="1"/>
  <c r="J15" i="8" l="1"/>
  <c r="B47" i="6" l="1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H13" i="6"/>
  <c r="H14" i="6" s="1"/>
  <c r="H15" i="6" s="1"/>
  <c r="J15" i="6" l="1"/>
  <c r="H16" i="6"/>
  <c r="J14" i="6"/>
  <c r="H17" i="6" l="1"/>
  <c r="H18" i="6" s="1"/>
  <c r="J16" i="6"/>
  <c r="K14" i="9"/>
  <c r="H19" i="6" l="1"/>
  <c r="J18" i="6"/>
  <c r="J17" i="6"/>
  <c r="B45" i="6"/>
  <c r="J19" i="6" l="1"/>
  <c r="H20" i="6"/>
  <c r="H21" i="6" l="1"/>
  <c r="J20" i="6"/>
  <c r="J13" i="6"/>
  <c r="J21" i="6" l="1"/>
  <c r="H22" i="6"/>
  <c r="J22" i="6" l="1"/>
  <c r="H23" i="6"/>
  <c r="H24" i="6" l="1"/>
  <c r="J23" i="6"/>
  <c r="H25" i="6" l="1"/>
  <c r="J24" i="6"/>
  <c r="J25" i="6" l="1"/>
  <c r="H26" i="6"/>
  <c r="H27" i="6" l="1"/>
  <c r="J26" i="6"/>
  <c r="J27" i="6" l="1"/>
  <c r="H28" i="6"/>
  <c r="H29" i="6" l="1"/>
  <c r="J28" i="6"/>
  <c r="H30" i="6" l="1"/>
  <c r="J29" i="6"/>
  <c r="J30" i="6" l="1"/>
  <c r="H31" i="6"/>
  <c r="J31" i="6" l="1"/>
  <c r="H32" i="6"/>
  <c r="H33" i="6" l="1"/>
  <c r="J32" i="6"/>
  <c r="J33" i="6" l="1"/>
  <c r="H34" i="6"/>
  <c r="H35" i="6" l="1"/>
  <c r="J34" i="6"/>
  <c r="H36" i="6" l="1"/>
  <c r="J35" i="6"/>
  <c r="J36" i="6" l="1"/>
  <c r="H37" i="6"/>
  <c r="H38" i="6" l="1"/>
  <c r="J37" i="6"/>
  <c r="J38" i="6" l="1"/>
  <c r="H39" i="6"/>
  <c r="H40" i="6" l="1"/>
  <c r="J39" i="6"/>
  <c r="H41" i="6" l="1"/>
  <c r="J40" i="6"/>
  <c r="H42" i="6" l="1"/>
  <c r="J41" i="6"/>
  <c r="H43" i="6" l="1"/>
  <c r="J42" i="6"/>
  <c r="H44" i="6" l="1"/>
  <c r="J43" i="6"/>
  <c r="H45" i="6" l="1"/>
  <c r="J44" i="6"/>
  <c r="J45" i="6" l="1"/>
  <c r="H46" i="6"/>
  <c r="J46" i="6" l="1"/>
  <c r="H47" i="6"/>
  <c r="J47" i="6" l="1"/>
  <c r="H48" i="6"/>
  <c r="H49" i="6" l="1"/>
  <c r="J48" i="6"/>
  <c r="H50" i="6" l="1"/>
  <c r="J49" i="6"/>
  <c r="J50" i="6" l="1"/>
  <c r="H51" i="6"/>
  <c r="J51" i="6" l="1"/>
  <c r="H52" i="6"/>
  <c r="J52" i="6" l="1"/>
  <c r="H53" i="6"/>
  <c r="H54" i="6" l="1"/>
  <c r="J53" i="6"/>
  <c r="H55" i="6" l="1"/>
  <c r="J54" i="6"/>
  <c r="J55" i="6" l="1"/>
  <c r="H56" i="6"/>
  <c r="J56" i="6" l="1"/>
  <c r="H57" i="6"/>
  <c r="H58" i="6" l="1"/>
  <c r="J57" i="6"/>
  <c r="H59" i="6" l="1"/>
  <c r="J58" i="6"/>
  <c r="J59" i="6" l="1"/>
  <c r="H60" i="6"/>
  <c r="H61" i="6" l="1"/>
  <c r="J60" i="6"/>
  <c r="J61" i="6" l="1"/>
  <c r="H62" i="6"/>
  <c r="J62" i="6" l="1"/>
  <c r="H63" i="6"/>
  <c r="J63" i="6" l="1"/>
  <c r="H64" i="6"/>
  <c r="J64" i="6" l="1"/>
  <c r="H65" i="6"/>
  <c r="J65" i="6" l="1"/>
  <c r="H66" i="6"/>
  <c r="H67" i="6" l="1"/>
  <c r="J66" i="6"/>
  <c r="J67" i="6" l="1"/>
  <c r="H68" i="6"/>
  <c r="H69" i="6" l="1"/>
  <c r="J68" i="6"/>
  <c r="H70" i="6" l="1"/>
  <c r="J69" i="6"/>
  <c r="H71" i="6" l="1"/>
  <c r="J70" i="6"/>
  <c r="J71" i="6" l="1"/>
  <c r="H72" i="6"/>
  <c r="H73" i="6" l="1"/>
  <c r="J72" i="6"/>
  <c r="H74" i="6" l="1"/>
  <c r="J73" i="6"/>
  <c r="H75" i="6" l="1"/>
  <c r="J74" i="6"/>
  <c r="J75" i="6" l="1"/>
  <c r="H76" i="6"/>
  <c r="J76" i="6" l="1"/>
  <c r="H77" i="6"/>
  <c r="H78" i="6" l="1"/>
  <c r="J78" i="6" s="1"/>
  <c r="J77" i="6"/>
</calcChain>
</file>

<file path=xl/sharedStrings.xml><?xml version="1.0" encoding="utf-8"?>
<sst xmlns="http://schemas.openxmlformats.org/spreadsheetml/2006/main" count="184" uniqueCount="142">
  <si>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</si>
  <si>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</si>
  <si>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</si>
  <si>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</si>
  <si>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</si>
  <si>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</si>
  <si>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</si>
  <si>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</si>
  <si>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</si>
  <si>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</si>
  <si>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</si>
  <si>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</si>
  <si>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01/05-06/22</t>
  </si>
  <si>
    <t>ADD: 01/01/22 - 02/28/22</t>
  </si>
  <si>
    <t>LESS: 03/09/22</t>
  </si>
  <si>
    <t>LESS: 03/25/22</t>
  </si>
  <si>
    <t>ADD: 03/01/22 - 03/31/22</t>
  </si>
  <si>
    <t>LESS: 04/22/22</t>
  </si>
  <si>
    <t>ADD: 04/01/22 - 04/30/22</t>
  </si>
  <si>
    <t>LESS: 05/06/22</t>
  </si>
  <si>
    <t>ADD: 05/01/22 - 06/30/22</t>
  </si>
  <si>
    <t>LESS: 06/30/22</t>
  </si>
  <si>
    <t>ADD: 07/01/22 - 08/31/22</t>
  </si>
  <si>
    <t>LESS: MONETIZATION 2022</t>
  </si>
  <si>
    <t>ADD: 09/01/22 - 10/30/22</t>
  </si>
  <si>
    <t>LESS: 11/03/22</t>
  </si>
  <si>
    <t>LESS: 11/25 &amp; /12/16/2022</t>
  </si>
  <si>
    <t>ADD: 11/01/22 - 12/31/22</t>
  </si>
  <si>
    <t>ADD: 01/01/23 - 01/31/23</t>
  </si>
  <si>
    <t>LESS: 02/24 &amp; 27/2023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</si>
  <si>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</si>
  <si>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</si>
  <si>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</si>
  <si>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</si>
  <si>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</si>
  <si>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</si>
  <si>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</si>
  <si>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</si>
  <si>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</si>
  <si>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</si>
  <si>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</si>
  <si>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</si>
  <si>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</si>
  <si>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</si>
  <si>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</si>
  <si>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</si>
  <si>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</si>
  <si>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</si>
  <si>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JAN 18, 2023</t>
  </si>
  <si>
    <t>LESS: 02/28/23</t>
  </si>
  <si>
    <t>S.O. # 001, S. 2023. 126TH ANNIVERSARY OF THE MARTYRDOM OF DR. JOSE P. RIZAL</t>
  </si>
  <si>
    <t>ADD: 02/01/23-04/30/23</t>
  </si>
  <si>
    <t>LESS: 06/02/23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</si>
  <si>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</si>
  <si>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</si>
  <si>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</si>
  <si>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</si>
  <si>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S.0 # 1211, S. 2002</t>
  </si>
  <si>
    <t>ADD: MAY 14, 2001</t>
  </si>
  <si>
    <t xml:space="preserve"> MAY 14, 2001 NATIONAL AND LOCAL ELECTION</t>
  </si>
  <si>
    <t>LESS: JULY 13, 14 &amp; 17, 2023</t>
  </si>
  <si>
    <t>SECIAL PRIVILEGE LEAVE</t>
  </si>
  <si>
    <t>ADD: 07/15/2019 - 07/31/2019</t>
  </si>
  <si>
    <t>ADD: 08/1/2019 - 12/31/2019</t>
  </si>
  <si>
    <t>LESS: 10/23/2019</t>
  </si>
  <si>
    <t>LESS: 11/25/2019</t>
  </si>
  <si>
    <t>LESS: 12/26 &amp; 27/2019</t>
  </si>
  <si>
    <t>ADD: 01/1/2020 - 12/31/2020</t>
  </si>
  <si>
    <t>LESS: 01/10/2020</t>
  </si>
  <si>
    <t>LESS: MONETIZATION 2020</t>
  </si>
  <si>
    <t>LESS: FL 2020</t>
  </si>
  <si>
    <t>ADD: 01/1/2021 - 12/31/2021</t>
  </si>
  <si>
    <t>LESS: 03/12/2021</t>
  </si>
  <si>
    <t>LESS: 05/27/2021</t>
  </si>
  <si>
    <t>LESS: MONETIZATION 2021</t>
  </si>
  <si>
    <t>LESS: FL 2021</t>
  </si>
  <si>
    <t>LESS: MONETIZATION 2023</t>
  </si>
  <si>
    <t>ADD: 05/01/23 - 09/31/23</t>
  </si>
  <si>
    <t>ADD: 10/01/2023 - 10/31/2023</t>
  </si>
  <si>
    <t>LESS: 11/10/2023</t>
  </si>
  <si>
    <t>LESS: 11/17/2023</t>
  </si>
  <si>
    <t>LESS: ADDITIONAL MONETIZATION 2023</t>
  </si>
  <si>
    <t>LESS: 11/30/2023&amp;12/01/2023</t>
  </si>
  <si>
    <t>LESS: 12/21/2023</t>
  </si>
  <si>
    <t>LESS: 12/28-29/2023</t>
  </si>
  <si>
    <t>LESS: 11/14/2023</t>
  </si>
  <si>
    <t>ADD: 11/01/2023-11/30/2023</t>
  </si>
  <si>
    <t>LESS: 01/05/2024</t>
  </si>
  <si>
    <t>ADD: 12/01/2023-12/31/2023</t>
  </si>
  <si>
    <t>ADD: 01/01/2024-01/31/2024</t>
  </si>
  <si>
    <t>ADD:(DISAPPROVED FL-12/28/2023)</t>
  </si>
  <si>
    <t>ADD: 10/17/2023</t>
  </si>
  <si>
    <t>LESS: 02/26/2024</t>
  </si>
  <si>
    <t>S.O # 159, S. 2023 125TH PHILIPPINE INDEPENDENCE DAY CELEBRATION</t>
  </si>
  <si>
    <t>ADD: JULY 15, 2002</t>
  </si>
  <si>
    <t>JULY 15, 2002 BRGY. &amp; SK ELECTION</t>
  </si>
  <si>
    <t>ADD: 02/01/2024-03/31/2024</t>
  </si>
  <si>
    <t>ADD: SO # 2135, S. 2004</t>
  </si>
  <si>
    <t>MAY 10, 2004</t>
  </si>
  <si>
    <t xml:space="preserve"> MAY 10, 2004  NATIONAL AND LOCAL ELECTION</t>
  </si>
  <si>
    <t>ADD: SO #19, S. 1995</t>
  </si>
  <si>
    <t xml:space="preserve">LESS: 02/29/2024 , 03/01, 03/04, 03/05/2024            </t>
  </si>
  <si>
    <t>REGISTRATION DAY &amp; NATIONAL ELECTION DAY @ NABULAO NHS</t>
  </si>
  <si>
    <t>LESS: 04/05/2024</t>
  </si>
  <si>
    <t>LESS: 04/11/2024</t>
  </si>
  <si>
    <t>LESS: 03/6/2024</t>
  </si>
  <si>
    <t>ADD: D.O. 1576 S. 2003</t>
  </si>
  <si>
    <t>LESS: 04/26/2024</t>
  </si>
  <si>
    <t>LESS: 05/3/2024</t>
  </si>
  <si>
    <t xml:space="preserve"> </t>
  </si>
  <si>
    <t>ADD: SO# 010, S. 2024</t>
  </si>
  <si>
    <t>ADD: APRIL 30, 2024</t>
  </si>
  <si>
    <t>OCT. 30, 2023 ELECTION</t>
  </si>
  <si>
    <t>LESS: MONETIZATION 2024</t>
  </si>
  <si>
    <t>CONVERTED FOR MONETIZATION 2024</t>
  </si>
  <si>
    <t>ADD: 04/1/2024-07/31/2024</t>
  </si>
  <si>
    <t>LESS: 08/15/2024</t>
  </si>
  <si>
    <t>ADD: 08/1/2024-10/31/2024</t>
  </si>
  <si>
    <t>LESS: 11/7-8/2024</t>
  </si>
  <si>
    <t>ADD:  UNUSED LEAVE CREDITS EARNED FROM NATIONAL/LOCAL ELECTION                    (15 DAYS)</t>
  </si>
  <si>
    <t>ADD: 11/1/2024-12/31/2024</t>
  </si>
  <si>
    <t>ADD: 01/1-31/2025</t>
  </si>
  <si>
    <t>LESS: 02/18-19/2025</t>
  </si>
  <si>
    <t>ADD: 02/1/2025-03/31/2025</t>
  </si>
  <si>
    <t>LESS: 04/25/2025 &amp; 05/02/2025</t>
  </si>
  <si>
    <t>ADD: 04/1/2025-06/30/2025</t>
  </si>
  <si>
    <t>LESS: FL 2024</t>
  </si>
  <si>
    <t>LESS: MONETIZATION 2025 (30 DAYS)</t>
  </si>
  <si>
    <t>NEGROS ISLAND REGION</t>
  </si>
  <si>
    <t>ADD: 02/5/2025</t>
  </si>
  <si>
    <t>RIZAL DAY 2024</t>
  </si>
  <si>
    <t>ADD: 08/28/2025</t>
  </si>
  <si>
    <t>2024 SPECIAL PHILIPPINE EDUCATIONAL PLACEMENT TEST (PEPT) OCT. 12-13, 2024</t>
  </si>
  <si>
    <t>1.5 DAYS &amp; 3 HOURS</t>
  </si>
  <si>
    <t>.5 DAYS &amp; 3 HOURS</t>
  </si>
  <si>
    <t>LESS: 09/17/2025</t>
  </si>
  <si>
    <t>DATE FILED: 09/11/2025</t>
  </si>
  <si>
    <t>DATE FILED: 09/12/2025</t>
  </si>
  <si>
    <t>LESS: 09/19/2025</t>
  </si>
  <si>
    <t>ADD: 07/1/2025-10/31/2025</t>
  </si>
  <si>
    <t>LESS: 11/10/2025</t>
  </si>
  <si>
    <t>LESS: 11/21/2025, 12/3,5,19, &amp;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</si>
</sst>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6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6" fillId="0" borderId="0" xfId="1"/>
    <xf numFmtId="0" fontId="9" fillId="0" borderId="0" xfId="1" applyFont="1"/>
    <xf numFmtId="0" fontId="11" fillId="0" borderId="0" xfId="1" applyFont="1"/>
    <xf numFmtId="0" fontId="6" fillId="0" borderId="0" xfId="1" applyAlignment="1">
      <alignment vertical="center"/>
    </xf>
    <xf numFmtId="0" fontId="10" fillId="2" borderId="0" xfId="1" applyFont="1" applyFill="1" applyAlignment="1">
      <alignment horizontal="center" vertical="center" wrapText="1"/>
    </xf>
    <xf numFmtId="0" fontId="6" fillId="2" borderId="0" xfId="1" applyFill="1" applyAlignment="1">
      <alignment horizontal="center" vertical="center" wrapText="1"/>
    </xf>
    <xf numFmtId="0" fontId="6" fillId="2" borderId="0" xfId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1" fillId="0" borderId="0" xfId="0" applyFont="1"/>
    <xf numFmtId="0" fontId="1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1" applyFont="1" applyFill="1"/>
    <xf numFmtId="0" fontId="0" fillId="0" borderId="1" xfId="0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11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64" fontId="0" fillId="12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 wrapText="1"/>
    </xf>
    <xf numFmtId="0" fontId="6" fillId="11" borderId="1" xfId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6" fillId="0" borderId="0" xfId="1" applyAlignment="1">
      <alignment horizontal="center"/>
    </xf>
    <xf numFmtId="0" fontId="6" fillId="0" borderId="0" xfId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0" fillId="10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277091</xdr:colOff>
      <xdr:row>0</xdr:row>
      <xdr:rowOff>88900</xdr:rowOff>
    </xdr:from>
    <xdr:to>
      <xdr:col>4</xdr:col>
      <xdr:colOff>139541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7477" y="88900"/>
          <a:ext cx="63310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TABIANO, BALTAZAR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V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759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CITY-OSDS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589642</xdr:colOff>
      <xdr:row>0</xdr:row>
      <xdr:rowOff>31865</xdr:rowOff>
    </xdr:from>
    <xdr:to>
      <xdr:col>4</xdr:col>
      <xdr:colOff>460373</xdr:colOff>
      <xdr:row>0</xdr:row>
      <xdr:rowOff>649174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048" y="31865"/>
          <a:ext cx="670151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TABIANO,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BALTAZAR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V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563307</xdr:colOff>
      <xdr:row>29</xdr:row>
      <xdr:rowOff>250518</xdr:rowOff>
    </xdr:from>
    <xdr:to>
      <xdr:col>12</xdr:col>
      <xdr:colOff>446958</xdr:colOff>
      <xdr:row>31</xdr:row>
      <xdr:rowOff>164794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629355" y="6508341"/>
          <a:ext cx="4523248" cy="1071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              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                                  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                                 Administrative Officer IV</a:t>
          </a:r>
        </a:p>
        <a:p>
          <a:r>
            <a:rPr lang="en-US" sz="1100" baseline="0"/>
            <a:t>	                               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687029</xdr:colOff>
      <xdr:row>0</xdr:row>
      <xdr:rowOff>50800</xdr:rowOff>
    </xdr:from>
    <xdr:to>
      <xdr:col>3</xdr:col>
      <xdr:colOff>419920</xdr:colOff>
      <xdr:row>1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1787" y="50800"/>
          <a:ext cx="634181" cy="6212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2068391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73942" y="1377461"/>
          <a:ext cx="14944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TABIANO, BALTAZAR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16683" y="1724757"/>
          <a:ext cx="145634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V</a:t>
          </a:r>
          <a:endParaRPr lang="en-US" sz="1100"/>
        </a:p>
      </xdr:txBody>
    </xdr:sp>
    <xdr:clientData/>
  </xdr:twoCellAnchor>
  <xdr:twoCellAnchor>
    <xdr:from>
      <xdr:col>1</xdr:col>
      <xdr:colOff>1173095</xdr:colOff>
      <xdr:row>7</xdr:row>
      <xdr:rowOff>83709</xdr:rowOff>
    </xdr:from>
    <xdr:to>
      <xdr:col>3</xdr:col>
      <xdr:colOff>525478</xdr:colOff>
      <xdr:row>9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243195" y="1747409"/>
          <a:ext cx="1333583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  <xdr:twoCellAnchor>
    <xdr:from>
      <xdr:col>0</xdr:col>
      <xdr:colOff>61452</xdr:colOff>
      <xdr:row>29</xdr:row>
      <xdr:rowOff>235564</xdr:rowOff>
    </xdr:from>
    <xdr:to>
      <xdr:col>3</xdr:col>
      <xdr:colOff>518652</xdr:colOff>
      <xdr:row>31</xdr:row>
      <xdr:rowOff>149840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1452" y="6493387"/>
          <a:ext cx="4523248" cy="1071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  </a:t>
          </a:r>
          <a:r>
            <a:rPr lang="en-US" sz="1100" b="1" u="sng" baseline="0"/>
            <a:t>JOCELYN M. PLOTEÑA</a:t>
          </a: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13</xdr:col>
      <xdr:colOff>215080</xdr:colOff>
      <xdr:row>19</xdr:row>
      <xdr:rowOff>143387</xdr:rowOff>
    </xdr:from>
    <xdr:to>
      <xdr:col>13</xdr:col>
      <xdr:colOff>737419</xdr:colOff>
      <xdr:row>27</xdr:row>
      <xdr:rowOff>389194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A4009A17-087D-6BE7-A018-EA00A8AE8C16}"/>
            </a:ext>
          </a:extLst>
        </xdr:cNvPr>
        <xdr:cNvSpPr/>
      </xdr:nvSpPr>
      <xdr:spPr>
        <a:xfrm>
          <a:off x="9924435" y="6063226"/>
          <a:ext cx="522339" cy="401483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5"/>
  <sheetViews>
    <sheetView tabSelected="1" view="pageBreakPreview" topLeftCell="A56" zoomScale="110" zoomScaleNormal="100" zoomScaleSheetLayoutView="110" workbookViewId="0">
      <selection activeCell="E64" sqref="E64"/>
    </sheetView>
  </sheetViews>
  <sheetFormatPr defaultRowHeight="15" x14ac:dyDescent="0.25"/>
  <cols>
    <col min="1" max="1" width="38.85546875" customWidth="1"/>
    <col min="2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72" t="s">
        <v>30</v>
      </c>
      <c r="B2" s="72"/>
      <c r="C2" s="72"/>
      <c r="D2" s="72"/>
      <c r="E2" s="72"/>
      <c r="F2" s="72"/>
      <c r="G2" s="72"/>
      <c r="H2" s="72"/>
      <c r="I2" s="72"/>
      <c r="J2" s="72"/>
    </row>
    <row r="3" spans="1:11" s="1" customFormat="1" ht="15.95" customHeight="1" x14ac:dyDescent="0.25">
      <c r="A3" s="72" t="s">
        <v>31</v>
      </c>
      <c r="B3" s="72"/>
      <c r="C3" s="72"/>
      <c r="D3" s="72"/>
      <c r="E3" s="72"/>
      <c r="F3" s="72"/>
      <c r="G3" s="72"/>
      <c r="H3" s="72"/>
      <c r="I3" s="72"/>
      <c r="J3" s="72"/>
    </row>
    <row r="4" spans="1:11" s="1" customFormat="1" ht="15.95" customHeight="1" x14ac:dyDescent="0.25">
      <c r="A4" s="72" t="s">
        <v>128</v>
      </c>
      <c r="B4" s="72"/>
      <c r="C4" s="72"/>
      <c r="D4" s="72"/>
      <c r="E4" s="72"/>
      <c r="F4" s="72"/>
      <c r="G4" s="72"/>
      <c r="H4" s="72"/>
      <c r="I4" s="72"/>
      <c r="J4" s="72"/>
    </row>
    <row r="5" spans="1:11" s="1" customFormat="1" ht="15.95" customHeight="1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s="1" customFormat="1" ht="8.25" customHeight="1" x14ac:dyDescent="0.25"/>
    <row r="7" spans="1:11" s="1" customFormat="1" ht="12" customHeight="1" x14ac:dyDescent="0.25">
      <c r="A7" s="1" t="s">
        <v>34</v>
      </c>
      <c r="B7" s="63" t="s">
        <v>35</v>
      </c>
      <c r="C7" s="63"/>
      <c r="D7" s="63"/>
      <c r="H7" s="3" t="s">
        <v>9</v>
      </c>
      <c r="I7" s="30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36</v>
      </c>
      <c r="B9" s="63" t="s">
        <v>37</v>
      </c>
      <c r="C9" s="63"/>
      <c r="D9" s="63"/>
      <c r="H9" s="3" t="s">
        <v>10</v>
      </c>
      <c r="I9" s="4"/>
      <c r="J9" s="3"/>
    </row>
    <row r="10" spans="1:11" ht="16.5" customHeight="1" thickBot="1" x14ac:dyDescent="0.3">
      <c r="A10" s="64" t="s">
        <v>0</v>
      </c>
      <c r="B10" s="64"/>
      <c r="C10" s="64"/>
      <c r="D10" s="64"/>
      <c r="E10" s="64"/>
      <c r="F10" s="64"/>
      <c r="G10" s="64"/>
      <c r="H10" s="64"/>
      <c r="I10" s="64"/>
      <c r="J10" s="64"/>
      <c r="K10"/>
    </row>
    <row r="11" spans="1:11" ht="18.75" customHeight="1" x14ac:dyDescent="0.25">
      <c r="A11" s="66" t="s">
        <v>4</v>
      </c>
      <c r="B11" s="70" t="s">
        <v>5</v>
      </c>
      <c r="C11" s="70"/>
      <c r="D11" s="71" t="s">
        <v>6</v>
      </c>
      <c r="E11" s="71"/>
      <c r="F11" s="71"/>
      <c r="G11" s="31"/>
      <c r="H11" s="65" t="s">
        <v>7</v>
      </c>
      <c r="I11" s="65"/>
      <c r="J11" s="68" t="s">
        <v>8</v>
      </c>
      <c r="K11" s="62" t="s">
        <v>11</v>
      </c>
    </row>
    <row r="12" spans="1:11" ht="22.5" customHeight="1" thickBot="1" x14ac:dyDescent="0.3">
      <c r="A12" s="67"/>
      <c r="B12" s="55" t="s">
        <v>1</v>
      </c>
      <c r="C12" s="55" t="s">
        <v>2</v>
      </c>
      <c r="D12" s="55" t="s">
        <v>1</v>
      </c>
      <c r="E12" s="55" t="s">
        <v>2</v>
      </c>
      <c r="F12" s="55" t="s">
        <v>3</v>
      </c>
      <c r="G12" s="56" t="s">
        <v>61</v>
      </c>
      <c r="H12" s="55" t="s">
        <v>1</v>
      </c>
      <c r="I12" s="55" t="s">
        <v>2</v>
      </c>
      <c r="J12" s="69"/>
      <c r="K12" s="62"/>
    </row>
    <row r="13" spans="1:11" ht="15.95" customHeight="1" x14ac:dyDescent="0.25">
      <c r="A13" s="53" t="s">
        <v>62</v>
      </c>
      <c r="B13" s="54">
        <v>0.70799999999999996</v>
      </c>
      <c r="C13" s="54">
        <v>0.70799999999999996</v>
      </c>
      <c r="D13" s="54"/>
      <c r="E13" s="54"/>
      <c r="F13" s="54"/>
      <c r="G13" s="54"/>
      <c r="H13" s="54">
        <f>B13</f>
        <v>0.70799999999999996</v>
      </c>
      <c r="I13" s="54">
        <f>C13</f>
        <v>0.70799999999999996</v>
      </c>
      <c r="J13" s="54">
        <f>SUM(H13:I13)</f>
        <v>1.4159999999999999</v>
      </c>
    </row>
    <row r="14" spans="1:11" ht="15.95" customHeight="1" x14ac:dyDescent="0.25">
      <c r="A14" s="21" t="s">
        <v>63</v>
      </c>
      <c r="B14" s="32">
        <v>6.25</v>
      </c>
      <c r="C14" s="32">
        <v>6.25</v>
      </c>
      <c r="D14" s="32"/>
      <c r="E14" s="32"/>
      <c r="F14" s="32"/>
      <c r="G14" s="32"/>
      <c r="H14" s="32">
        <f>H13-F14-D14+B14</f>
        <v>6.9580000000000002</v>
      </c>
      <c r="I14" s="32">
        <f>I13-E14+C14</f>
        <v>6.9580000000000002</v>
      </c>
      <c r="J14" s="32">
        <f>SUM(H14:I14)</f>
        <v>13.916</v>
      </c>
    </row>
    <row r="15" spans="1:11" ht="15.95" customHeight="1" x14ac:dyDescent="0.25">
      <c r="A15" s="21" t="s">
        <v>64</v>
      </c>
      <c r="B15" s="32"/>
      <c r="C15" s="32"/>
      <c r="D15" s="32">
        <v>1</v>
      </c>
      <c r="E15" s="32"/>
      <c r="F15" s="32"/>
      <c r="G15" s="32"/>
      <c r="H15" s="32">
        <f t="shared" ref="H15:H17" si="0">H14-F15-D15+B15</f>
        <v>5.9580000000000002</v>
      </c>
      <c r="I15" s="32">
        <f t="shared" ref="I15:I17" si="1">I14-E15+C15</f>
        <v>6.9580000000000002</v>
      </c>
      <c r="J15" s="32">
        <f t="shared" ref="J15:J17" si="2">SUM(H15:I15)</f>
        <v>12.916</v>
      </c>
    </row>
    <row r="16" spans="1:11" ht="15.95" customHeight="1" x14ac:dyDescent="0.25">
      <c r="A16" s="21" t="s">
        <v>65</v>
      </c>
      <c r="B16" s="32"/>
      <c r="C16" s="32"/>
      <c r="D16" s="32">
        <v>1</v>
      </c>
      <c r="E16" s="32"/>
      <c r="F16" s="32"/>
      <c r="G16" s="32"/>
      <c r="H16" s="32">
        <f t="shared" si="0"/>
        <v>4.9580000000000002</v>
      </c>
      <c r="I16" s="32">
        <f t="shared" si="1"/>
        <v>6.9580000000000002</v>
      </c>
      <c r="J16" s="32">
        <f t="shared" si="2"/>
        <v>11.916</v>
      </c>
    </row>
    <row r="17" spans="1:10" ht="15.95" customHeight="1" x14ac:dyDescent="0.25">
      <c r="A17" s="21" t="s">
        <v>66</v>
      </c>
      <c r="B17" s="32"/>
      <c r="C17" s="32"/>
      <c r="D17" s="32"/>
      <c r="E17" s="32"/>
      <c r="F17" s="32">
        <v>2</v>
      </c>
      <c r="G17" s="32"/>
      <c r="H17" s="32">
        <f t="shared" si="0"/>
        <v>2.9580000000000002</v>
      </c>
      <c r="I17" s="32">
        <f t="shared" si="1"/>
        <v>6.9580000000000002</v>
      </c>
      <c r="J17" s="32">
        <f t="shared" si="2"/>
        <v>9.9160000000000004</v>
      </c>
    </row>
    <row r="18" spans="1:10" ht="15.95" customHeight="1" x14ac:dyDescent="0.25">
      <c r="A18" s="21" t="s">
        <v>67</v>
      </c>
      <c r="B18" s="32">
        <v>15</v>
      </c>
      <c r="C18" s="32">
        <v>15</v>
      </c>
      <c r="D18" s="32"/>
      <c r="E18" s="32"/>
      <c r="F18" s="32"/>
      <c r="G18" s="32"/>
      <c r="H18" s="32">
        <f t="shared" ref="H18:H28" si="3">H17-F18-D18+B18</f>
        <v>17.957999999999998</v>
      </c>
      <c r="I18" s="32">
        <f t="shared" ref="I18:I28" si="4">I17-E18+C18</f>
        <v>21.957999999999998</v>
      </c>
      <c r="J18" s="32">
        <f t="shared" ref="J18:J28" si="5">SUM(H18:I18)</f>
        <v>39.915999999999997</v>
      </c>
    </row>
    <row r="19" spans="1:10" ht="15.95" customHeight="1" x14ac:dyDescent="0.25">
      <c r="A19" s="21" t="s">
        <v>68</v>
      </c>
      <c r="B19" s="32"/>
      <c r="C19" s="32"/>
      <c r="D19" s="32"/>
      <c r="E19" s="32"/>
      <c r="F19" s="32">
        <v>1</v>
      </c>
      <c r="G19" s="32"/>
      <c r="H19" s="32">
        <f t="shared" si="3"/>
        <v>16.957999999999998</v>
      </c>
      <c r="I19" s="32">
        <f t="shared" si="4"/>
        <v>21.957999999999998</v>
      </c>
      <c r="J19" s="32">
        <f t="shared" si="5"/>
        <v>38.915999999999997</v>
      </c>
    </row>
    <row r="20" spans="1:10" ht="15.95" customHeight="1" x14ac:dyDescent="0.25">
      <c r="A20" s="21" t="s">
        <v>69</v>
      </c>
      <c r="B20" s="32"/>
      <c r="C20" s="32"/>
      <c r="D20" s="32">
        <v>5</v>
      </c>
      <c r="E20" s="32">
        <v>5</v>
      </c>
      <c r="F20" s="32"/>
      <c r="G20" s="32"/>
      <c r="H20" s="32">
        <f t="shared" si="3"/>
        <v>11.957999999999998</v>
      </c>
      <c r="I20" s="32">
        <f t="shared" si="4"/>
        <v>16.957999999999998</v>
      </c>
      <c r="J20" s="32">
        <f t="shared" si="5"/>
        <v>28.915999999999997</v>
      </c>
    </row>
    <row r="21" spans="1:10" ht="15.95" customHeight="1" x14ac:dyDescent="0.25">
      <c r="A21" s="21" t="s">
        <v>70</v>
      </c>
      <c r="B21" s="32"/>
      <c r="C21" s="32"/>
      <c r="D21" s="32"/>
      <c r="E21" s="32"/>
      <c r="F21" s="32">
        <v>4</v>
      </c>
      <c r="G21" s="32"/>
      <c r="H21" s="32">
        <f t="shared" si="3"/>
        <v>7.9579999999999984</v>
      </c>
      <c r="I21" s="32">
        <f t="shared" si="4"/>
        <v>16.957999999999998</v>
      </c>
      <c r="J21" s="32">
        <f t="shared" si="5"/>
        <v>24.915999999999997</v>
      </c>
    </row>
    <row r="22" spans="1:10" ht="15.95" customHeight="1" x14ac:dyDescent="0.25">
      <c r="A22" s="21" t="s">
        <v>71</v>
      </c>
      <c r="B22" s="32">
        <v>15</v>
      </c>
      <c r="C22" s="32">
        <v>15</v>
      </c>
      <c r="D22" s="32"/>
      <c r="E22" s="32"/>
      <c r="F22" s="32"/>
      <c r="G22" s="32"/>
      <c r="H22" s="32">
        <f t="shared" si="3"/>
        <v>22.957999999999998</v>
      </c>
      <c r="I22" s="32">
        <f t="shared" si="4"/>
        <v>31.957999999999998</v>
      </c>
      <c r="J22" s="32">
        <f t="shared" si="5"/>
        <v>54.915999999999997</v>
      </c>
    </row>
    <row r="23" spans="1:10" ht="15.95" customHeight="1" x14ac:dyDescent="0.25">
      <c r="A23" s="21" t="s">
        <v>72</v>
      </c>
      <c r="B23" s="32"/>
      <c r="C23" s="32"/>
      <c r="D23" s="32"/>
      <c r="E23" s="32"/>
      <c r="F23" s="32">
        <v>1</v>
      </c>
      <c r="G23" s="32"/>
      <c r="H23" s="32">
        <f t="shared" si="3"/>
        <v>21.957999999999998</v>
      </c>
      <c r="I23" s="32">
        <f t="shared" si="4"/>
        <v>31.957999999999998</v>
      </c>
      <c r="J23" s="32">
        <f t="shared" si="5"/>
        <v>53.915999999999997</v>
      </c>
    </row>
    <row r="24" spans="1:10" ht="15.95" customHeight="1" x14ac:dyDescent="0.25">
      <c r="A24" s="21" t="s">
        <v>73</v>
      </c>
      <c r="B24" s="32"/>
      <c r="C24" s="32"/>
      <c r="D24" s="32"/>
      <c r="E24" s="32">
        <v>1</v>
      </c>
      <c r="F24" s="32"/>
      <c r="G24" s="32"/>
      <c r="H24" s="32">
        <f t="shared" si="3"/>
        <v>21.957999999999998</v>
      </c>
      <c r="I24" s="32">
        <f t="shared" si="4"/>
        <v>30.957999999999998</v>
      </c>
      <c r="J24" s="32">
        <f t="shared" si="5"/>
        <v>52.915999999999997</v>
      </c>
    </row>
    <row r="25" spans="1:10" ht="15.95" customHeight="1" x14ac:dyDescent="0.25">
      <c r="A25" s="21" t="s">
        <v>74</v>
      </c>
      <c r="B25" s="32"/>
      <c r="C25" s="32"/>
      <c r="D25" s="32">
        <v>15</v>
      </c>
      <c r="E25" s="32">
        <v>14</v>
      </c>
      <c r="F25" s="32"/>
      <c r="G25" s="32"/>
      <c r="H25" s="32">
        <f t="shared" si="3"/>
        <v>6.9579999999999984</v>
      </c>
      <c r="I25" s="32">
        <f t="shared" si="4"/>
        <v>16.957999999999998</v>
      </c>
      <c r="J25" s="32">
        <f t="shared" si="5"/>
        <v>23.915999999999997</v>
      </c>
    </row>
    <row r="26" spans="1:10" ht="15.95" customHeight="1" x14ac:dyDescent="0.25">
      <c r="A26" s="21" t="s">
        <v>75</v>
      </c>
      <c r="B26" s="32"/>
      <c r="C26" s="32"/>
      <c r="D26" s="32"/>
      <c r="E26" s="32"/>
      <c r="F26" s="32">
        <v>4</v>
      </c>
      <c r="G26" s="32"/>
      <c r="H26" s="32">
        <f t="shared" si="3"/>
        <v>2.9579999999999984</v>
      </c>
      <c r="I26" s="32">
        <f t="shared" si="4"/>
        <v>16.957999999999998</v>
      </c>
      <c r="J26" s="32">
        <f t="shared" si="5"/>
        <v>19.915999999999997</v>
      </c>
    </row>
    <row r="27" spans="1:10" ht="15.95" customHeight="1" x14ac:dyDescent="0.25">
      <c r="A27" s="21" t="s">
        <v>13</v>
      </c>
      <c r="B27" s="32">
        <v>2.5</v>
      </c>
      <c r="C27" s="32">
        <v>2.5</v>
      </c>
      <c r="D27" s="32"/>
      <c r="E27" s="32"/>
      <c r="F27" s="32"/>
      <c r="G27" s="32"/>
      <c r="H27" s="32">
        <f t="shared" si="3"/>
        <v>5.4579999999999984</v>
      </c>
      <c r="I27" s="32">
        <f t="shared" si="4"/>
        <v>19.457999999999998</v>
      </c>
      <c r="J27" s="32">
        <f t="shared" si="5"/>
        <v>24.915999999999997</v>
      </c>
    </row>
    <row r="28" spans="1:10" ht="15.95" customHeight="1" x14ac:dyDescent="0.25">
      <c r="A28" s="34" t="s">
        <v>12</v>
      </c>
      <c r="B28" s="32"/>
      <c r="C28" s="32"/>
      <c r="D28" s="32"/>
      <c r="E28" s="32"/>
      <c r="F28" s="32">
        <v>2</v>
      </c>
      <c r="G28" s="32"/>
      <c r="H28" s="32">
        <f t="shared" si="3"/>
        <v>3.4579999999999984</v>
      </c>
      <c r="I28" s="32">
        <f t="shared" si="4"/>
        <v>19.457999999999998</v>
      </c>
      <c r="J28" s="32">
        <f t="shared" si="5"/>
        <v>22.915999999999997</v>
      </c>
    </row>
    <row r="29" spans="1:10" ht="15.95" customHeight="1" x14ac:dyDescent="0.25">
      <c r="A29" s="34" t="s">
        <v>14</v>
      </c>
      <c r="B29" s="32"/>
      <c r="C29" s="32"/>
      <c r="D29" s="32"/>
      <c r="E29" s="32"/>
      <c r="F29" s="32">
        <v>1</v>
      </c>
      <c r="G29" s="32"/>
      <c r="H29" s="32">
        <f t="shared" ref="H29:H41" si="6">H28-F29-D29+B29</f>
        <v>2.4579999999999984</v>
      </c>
      <c r="I29" s="32">
        <f t="shared" ref="I29:I41" si="7">I28-E29+C29</f>
        <v>19.457999999999998</v>
      </c>
      <c r="J29" s="32">
        <f t="shared" ref="J29:J41" si="8">SUM(H29:I29)</f>
        <v>21.915999999999997</v>
      </c>
    </row>
    <row r="30" spans="1:10" ht="15.95" customHeight="1" x14ac:dyDescent="0.25">
      <c r="A30" s="21" t="s">
        <v>15</v>
      </c>
      <c r="B30" s="32"/>
      <c r="C30" s="32"/>
      <c r="D30" s="32"/>
      <c r="E30" s="32"/>
      <c r="F30" s="32">
        <v>1</v>
      </c>
      <c r="G30" s="32"/>
      <c r="H30" s="32">
        <f t="shared" si="6"/>
        <v>1.4579999999999984</v>
      </c>
      <c r="I30" s="32">
        <f t="shared" si="7"/>
        <v>19.457999999999998</v>
      </c>
      <c r="J30" s="32">
        <f t="shared" si="8"/>
        <v>20.915999999999997</v>
      </c>
    </row>
    <row r="31" spans="1:10" ht="15.95" customHeight="1" x14ac:dyDescent="0.25">
      <c r="A31" s="21" t="s">
        <v>16</v>
      </c>
      <c r="B31" s="32">
        <v>1.25</v>
      </c>
      <c r="C31" s="32">
        <v>1.25</v>
      </c>
      <c r="D31" s="32"/>
      <c r="E31" s="32"/>
      <c r="F31" s="32"/>
      <c r="G31" s="32"/>
      <c r="H31" s="32">
        <f t="shared" si="6"/>
        <v>2.7079999999999984</v>
      </c>
      <c r="I31" s="32">
        <f t="shared" si="7"/>
        <v>20.707999999999998</v>
      </c>
      <c r="J31" s="32">
        <f t="shared" si="8"/>
        <v>23.415999999999997</v>
      </c>
    </row>
    <row r="32" spans="1:10" ht="15.95" customHeight="1" x14ac:dyDescent="0.25">
      <c r="A32" s="21" t="s">
        <v>17</v>
      </c>
      <c r="B32" s="32"/>
      <c r="C32" s="32"/>
      <c r="D32" s="32"/>
      <c r="E32" s="32"/>
      <c r="F32" s="32">
        <v>1</v>
      </c>
      <c r="G32" s="32"/>
      <c r="H32" s="32">
        <f t="shared" si="6"/>
        <v>1.7079999999999984</v>
      </c>
      <c r="I32" s="32">
        <f t="shared" si="7"/>
        <v>20.707999999999998</v>
      </c>
      <c r="J32" s="32">
        <f t="shared" si="8"/>
        <v>22.415999999999997</v>
      </c>
    </row>
    <row r="33" spans="1:11" ht="15.95" customHeight="1" x14ac:dyDescent="0.25">
      <c r="A33" s="21" t="s">
        <v>18</v>
      </c>
      <c r="B33" s="32">
        <v>1.25</v>
      </c>
      <c r="C33" s="32">
        <v>1.25</v>
      </c>
      <c r="D33" s="32"/>
      <c r="E33" s="32"/>
      <c r="F33" s="32"/>
      <c r="G33" s="32"/>
      <c r="H33" s="32">
        <f t="shared" si="6"/>
        <v>2.9579999999999984</v>
      </c>
      <c r="I33" s="32">
        <f t="shared" si="7"/>
        <v>21.957999999999998</v>
      </c>
      <c r="J33" s="32">
        <f t="shared" si="8"/>
        <v>24.915999999999997</v>
      </c>
    </row>
    <row r="34" spans="1:11" ht="15.95" customHeight="1" x14ac:dyDescent="0.25">
      <c r="A34" s="21" t="s">
        <v>19</v>
      </c>
      <c r="B34" s="32"/>
      <c r="C34" s="32"/>
      <c r="D34" s="32">
        <v>1</v>
      </c>
      <c r="E34" s="32"/>
      <c r="F34" s="32"/>
      <c r="G34" s="32"/>
      <c r="H34" s="32">
        <f t="shared" si="6"/>
        <v>1.9579999999999984</v>
      </c>
      <c r="I34" s="32">
        <f t="shared" si="7"/>
        <v>21.957999999999998</v>
      </c>
      <c r="J34" s="32">
        <f t="shared" si="8"/>
        <v>23.915999999999997</v>
      </c>
    </row>
    <row r="35" spans="1:11" ht="15.95" customHeight="1" x14ac:dyDescent="0.25">
      <c r="A35" s="21" t="s">
        <v>20</v>
      </c>
      <c r="B35" s="32">
        <v>2.5</v>
      </c>
      <c r="C35" s="32">
        <v>2.5</v>
      </c>
      <c r="D35" s="32"/>
      <c r="E35" s="32"/>
      <c r="F35" s="32"/>
      <c r="G35" s="32"/>
      <c r="H35" s="32">
        <f t="shared" si="6"/>
        <v>4.4579999999999984</v>
      </c>
      <c r="I35" s="32">
        <f t="shared" si="7"/>
        <v>24.457999999999998</v>
      </c>
      <c r="J35" s="32">
        <f t="shared" si="8"/>
        <v>28.915999999999997</v>
      </c>
    </row>
    <row r="36" spans="1:11" ht="15.95" customHeight="1" x14ac:dyDescent="0.25">
      <c r="A36" s="21" t="s">
        <v>21</v>
      </c>
      <c r="B36" s="32"/>
      <c r="C36" s="32"/>
      <c r="D36" s="32"/>
      <c r="E36" s="32">
        <v>1</v>
      </c>
      <c r="F36" s="32"/>
      <c r="G36" s="32"/>
      <c r="H36" s="32">
        <f t="shared" si="6"/>
        <v>4.4579999999999984</v>
      </c>
      <c r="I36" s="32">
        <f t="shared" si="7"/>
        <v>23.457999999999998</v>
      </c>
      <c r="J36" s="32">
        <f t="shared" si="8"/>
        <v>27.915999999999997</v>
      </c>
    </row>
    <row r="37" spans="1:11" ht="15.95" customHeight="1" x14ac:dyDescent="0.25">
      <c r="A37" s="21" t="s">
        <v>22</v>
      </c>
      <c r="B37" s="32">
        <v>2.5</v>
      </c>
      <c r="C37" s="32">
        <v>2.5</v>
      </c>
      <c r="D37" s="32"/>
      <c r="E37" s="32"/>
      <c r="F37" s="32"/>
      <c r="G37" s="32"/>
      <c r="H37" s="32">
        <f t="shared" si="6"/>
        <v>6.9579999999999984</v>
      </c>
      <c r="I37" s="32">
        <f t="shared" si="7"/>
        <v>25.957999999999998</v>
      </c>
      <c r="J37" s="32">
        <f t="shared" si="8"/>
        <v>32.915999999999997</v>
      </c>
    </row>
    <row r="38" spans="1:11" ht="15.95" customHeight="1" x14ac:dyDescent="0.25">
      <c r="A38" s="21" t="s">
        <v>23</v>
      </c>
      <c r="B38" s="32"/>
      <c r="C38" s="32"/>
      <c r="D38" s="32">
        <v>5</v>
      </c>
      <c r="E38" s="32">
        <v>24</v>
      </c>
      <c r="F38" s="32"/>
      <c r="G38" s="32"/>
      <c r="H38" s="32">
        <f t="shared" si="6"/>
        <v>1.9579999999999984</v>
      </c>
      <c r="I38" s="32">
        <f t="shared" si="7"/>
        <v>1.9579999999999984</v>
      </c>
      <c r="J38" s="32">
        <f t="shared" si="8"/>
        <v>3.9159999999999968</v>
      </c>
    </row>
    <row r="39" spans="1:11" ht="15.95" customHeight="1" x14ac:dyDescent="0.25">
      <c r="A39" s="21" t="s">
        <v>24</v>
      </c>
      <c r="B39" s="32">
        <v>2.5</v>
      </c>
      <c r="C39" s="32">
        <v>2.5</v>
      </c>
      <c r="D39" s="32"/>
      <c r="E39" s="32"/>
      <c r="F39" s="32"/>
      <c r="G39" s="32"/>
      <c r="H39" s="32">
        <f t="shared" si="6"/>
        <v>4.4579999999999984</v>
      </c>
      <c r="I39" s="32">
        <f t="shared" si="7"/>
        <v>4.4579999999999984</v>
      </c>
      <c r="J39" s="32">
        <f t="shared" si="8"/>
        <v>8.9159999999999968</v>
      </c>
    </row>
    <row r="40" spans="1:11" ht="15.95" customHeight="1" x14ac:dyDescent="0.25">
      <c r="A40" s="21" t="s">
        <v>25</v>
      </c>
      <c r="B40" s="32"/>
      <c r="C40" s="32"/>
      <c r="D40" s="32"/>
      <c r="E40" s="32"/>
      <c r="F40" s="32"/>
      <c r="G40" s="32">
        <v>1</v>
      </c>
      <c r="H40" s="32">
        <f t="shared" si="6"/>
        <v>4.4579999999999984</v>
      </c>
      <c r="I40" s="32">
        <f t="shared" si="7"/>
        <v>4.4579999999999984</v>
      </c>
      <c r="J40" s="32">
        <f t="shared" si="8"/>
        <v>8.9159999999999968</v>
      </c>
    </row>
    <row r="41" spans="1:11" ht="15.95" customHeight="1" x14ac:dyDescent="0.25">
      <c r="A41" s="29" t="s">
        <v>26</v>
      </c>
      <c r="B41" s="32"/>
      <c r="C41" s="32"/>
      <c r="D41" s="32"/>
      <c r="E41" s="32"/>
      <c r="F41" s="32"/>
      <c r="G41" s="32">
        <v>2</v>
      </c>
      <c r="H41" s="32">
        <f t="shared" si="6"/>
        <v>4.4579999999999984</v>
      </c>
      <c r="I41" s="32">
        <f t="shared" si="7"/>
        <v>4.4579999999999984</v>
      </c>
      <c r="J41" s="32">
        <f t="shared" si="8"/>
        <v>8.9159999999999968</v>
      </c>
    </row>
    <row r="42" spans="1:11" ht="15.95" customHeight="1" x14ac:dyDescent="0.25">
      <c r="A42" s="21" t="s">
        <v>27</v>
      </c>
      <c r="B42" s="32">
        <v>2.5</v>
      </c>
      <c r="C42" s="32">
        <v>2.5</v>
      </c>
      <c r="D42" s="32"/>
      <c r="E42" s="32"/>
      <c r="F42" s="32"/>
      <c r="G42" s="32"/>
      <c r="H42" s="32">
        <f t="shared" ref="H42:H62" si="9">H41-F42-D42+B42</f>
        <v>6.9579999999999984</v>
      </c>
      <c r="I42" s="32">
        <f t="shared" ref="I42:I62" si="10">I41-E42+C42</f>
        <v>6.9579999999999984</v>
      </c>
      <c r="J42" s="32">
        <f t="shared" ref="J42:J62" si="11">SUM(H42:I42)</f>
        <v>13.915999999999997</v>
      </c>
    </row>
    <row r="43" spans="1:11" ht="15.95" customHeight="1" x14ac:dyDescent="0.25">
      <c r="A43" s="21" t="s">
        <v>28</v>
      </c>
      <c r="B43" s="32">
        <v>1.25</v>
      </c>
      <c r="C43" s="32">
        <v>1.25</v>
      </c>
      <c r="D43" s="32"/>
      <c r="E43" s="32"/>
      <c r="F43" s="32"/>
      <c r="G43" s="32"/>
      <c r="H43" s="32">
        <f t="shared" si="9"/>
        <v>8.2079999999999984</v>
      </c>
      <c r="I43" s="32">
        <f t="shared" si="10"/>
        <v>8.2079999999999984</v>
      </c>
      <c r="J43" s="32">
        <f t="shared" si="11"/>
        <v>16.415999999999997</v>
      </c>
    </row>
    <row r="44" spans="1:11" ht="15.95" customHeight="1" x14ac:dyDescent="0.25">
      <c r="A44" s="29" t="s">
        <v>29</v>
      </c>
      <c r="B44" s="32"/>
      <c r="C44" s="32"/>
      <c r="D44" s="32"/>
      <c r="E44" s="32"/>
      <c r="F44" s="32"/>
      <c r="G44" s="32">
        <v>2</v>
      </c>
      <c r="H44" s="32">
        <f t="shared" si="9"/>
        <v>8.2079999999999984</v>
      </c>
      <c r="I44" s="32">
        <f t="shared" si="10"/>
        <v>8.2079999999999984</v>
      </c>
      <c r="J44" s="32">
        <f t="shared" si="11"/>
        <v>16.415999999999997</v>
      </c>
    </row>
    <row r="45" spans="1:11" s="19" customFormat="1" ht="15.95" customHeight="1" x14ac:dyDescent="0.25">
      <c r="A45" s="21" t="s">
        <v>51</v>
      </c>
      <c r="B45" s="35">
        <f>1.25*3</f>
        <v>3.75</v>
      </c>
      <c r="C45" s="35">
        <v>3.75</v>
      </c>
      <c r="D45" s="35"/>
      <c r="E45" s="35"/>
      <c r="F45" s="35"/>
      <c r="G45" s="35"/>
      <c r="H45" s="32">
        <f t="shared" si="9"/>
        <v>11.957999999999998</v>
      </c>
      <c r="I45" s="32">
        <f t="shared" si="10"/>
        <v>11.957999999999998</v>
      </c>
      <c r="J45" s="32">
        <f t="shared" si="11"/>
        <v>23.915999999999997</v>
      </c>
      <c r="K45" s="18"/>
    </row>
    <row r="46" spans="1:11" ht="15.95" customHeight="1" x14ac:dyDescent="0.25">
      <c r="A46" s="29" t="s">
        <v>52</v>
      </c>
      <c r="B46" s="32"/>
      <c r="C46" s="32"/>
      <c r="D46" s="32"/>
      <c r="E46" s="32"/>
      <c r="F46" s="32"/>
      <c r="G46" s="32">
        <v>1</v>
      </c>
      <c r="H46" s="32">
        <f t="shared" si="9"/>
        <v>11.957999999999998</v>
      </c>
      <c r="I46" s="32">
        <f t="shared" si="10"/>
        <v>11.957999999999998</v>
      </c>
      <c r="J46" s="32">
        <f t="shared" si="11"/>
        <v>23.915999999999997</v>
      </c>
    </row>
    <row r="47" spans="1:11" ht="15.95" customHeight="1" x14ac:dyDescent="0.25">
      <c r="A47" s="21" t="s">
        <v>77</v>
      </c>
      <c r="B47" s="32">
        <f>1.25*5</f>
        <v>6.25</v>
      </c>
      <c r="C47" s="32">
        <v>6.25</v>
      </c>
      <c r="D47" s="32"/>
      <c r="E47" s="32"/>
      <c r="F47" s="32"/>
      <c r="G47" s="32"/>
      <c r="H47" s="32">
        <f t="shared" si="9"/>
        <v>18.207999999999998</v>
      </c>
      <c r="I47" s="32">
        <f t="shared" si="10"/>
        <v>18.207999999999998</v>
      </c>
      <c r="J47" s="32">
        <f t="shared" si="11"/>
        <v>36.415999999999997</v>
      </c>
    </row>
    <row r="48" spans="1:11" ht="15.95" customHeight="1" x14ac:dyDescent="0.25">
      <c r="A48" s="29" t="s">
        <v>76</v>
      </c>
      <c r="B48" s="33"/>
      <c r="C48" s="33"/>
      <c r="D48" s="33">
        <v>12</v>
      </c>
      <c r="E48" s="33">
        <v>13</v>
      </c>
      <c r="F48" s="33"/>
      <c r="G48" s="33"/>
      <c r="H48" s="32">
        <f t="shared" si="9"/>
        <v>6.2079999999999984</v>
      </c>
      <c r="I48" s="32">
        <f t="shared" si="10"/>
        <v>5.2079999999999984</v>
      </c>
      <c r="J48" s="32">
        <f t="shared" si="11"/>
        <v>11.415999999999997</v>
      </c>
    </row>
    <row r="49" spans="1:10" ht="15.95" customHeight="1" x14ac:dyDescent="0.25">
      <c r="A49" s="29" t="s">
        <v>78</v>
      </c>
      <c r="B49" s="33">
        <v>1.25</v>
      </c>
      <c r="C49" s="33">
        <v>1.25</v>
      </c>
      <c r="D49" s="33"/>
      <c r="E49" s="33"/>
      <c r="F49" s="33"/>
      <c r="G49" s="33"/>
      <c r="H49" s="32">
        <f t="shared" si="9"/>
        <v>7.4579999999999984</v>
      </c>
      <c r="I49" s="32">
        <f t="shared" si="10"/>
        <v>6.4579999999999984</v>
      </c>
      <c r="J49" s="32">
        <f t="shared" si="11"/>
        <v>13.915999999999997</v>
      </c>
    </row>
    <row r="50" spans="1:10" ht="15.95" customHeight="1" x14ac:dyDescent="0.25">
      <c r="A50" s="29" t="s">
        <v>81</v>
      </c>
      <c r="B50" s="33"/>
      <c r="C50" s="33"/>
      <c r="D50" s="33">
        <v>2</v>
      </c>
      <c r="E50" s="33">
        <v>2</v>
      </c>
      <c r="F50" s="33"/>
      <c r="G50" s="33"/>
      <c r="H50" s="32">
        <f t="shared" si="9"/>
        <v>5.4579999999999984</v>
      </c>
      <c r="I50" s="32">
        <f t="shared" si="10"/>
        <v>4.4579999999999984</v>
      </c>
      <c r="J50" s="32">
        <f t="shared" si="11"/>
        <v>9.9159999999999968</v>
      </c>
    </row>
    <row r="51" spans="1:10" ht="15.95" customHeight="1" x14ac:dyDescent="0.25">
      <c r="A51" s="29" t="s">
        <v>82</v>
      </c>
      <c r="B51" s="33"/>
      <c r="C51" s="33"/>
      <c r="D51" s="33"/>
      <c r="E51" s="33"/>
      <c r="F51" s="33">
        <v>2</v>
      </c>
      <c r="G51" s="33"/>
      <c r="H51" s="32">
        <f t="shared" si="9"/>
        <v>3.4579999999999984</v>
      </c>
      <c r="I51" s="32">
        <f t="shared" si="10"/>
        <v>4.4579999999999984</v>
      </c>
      <c r="J51" s="32">
        <f t="shared" si="11"/>
        <v>7.9159999999999968</v>
      </c>
    </row>
    <row r="52" spans="1:10" ht="15.95" customHeight="1" x14ac:dyDescent="0.25">
      <c r="A52" s="29" t="s">
        <v>83</v>
      </c>
      <c r="B52" s="33"/>
      <c r="C52" s="33"/>
      <c r="D52" s="33"/>
      <c r="E52" s="33"/>
      <c r="F52" s="33">
        <v>1</v>
      </c>
      <c r="G52" s="33"/>
      <c r="H52" s="32">
        <f t="shared" si="9"/>
        <v>2.4579999999999984</v>
      </c>
      <c r="I52" s="32">
        <f t="shared" si="10"/>
        <v>4.4579999999999984</v>
      </c>
      <c r="J52" s="32">
        <f t="shared" si="11"/>
        <v>6.9159999999999968</v>
      </c>
    </row>
    <row r="53" spans="1:10" ht="15.95" customHeight="1" x14ac:dyDescent="0.25">
      <c r="A53" s="29" t="s">
        <v>84</v>
      </c>
      <c r="B53" s="33"/>
      <c r="C53" s="33"/>
      <c r="D53" s="33"/>
      <c r="E53" s="33"/>
      <c r="F53" s="33">
        <v>2</v>
      </c>
      <c r="G53" s="33"/>
      <c r="H53" s="32">
        <f t="shared" si="9"/>
        <v>0.45799999999999841</v>
      </c>
      <c r="I53" s="32">
        <f t="shared" si="10"/>
        <v>4.4579999999999984</v>
      </c>
      <c r="J53" s="32">
        <f t="shared" si="11"/>
        <v>4.9159999999999968</v>
      </c>
    </row>
    <row r="54" spans="1:10" ht="15.95" customHeight="1" x14ac:dyDescent="0.25">
      <c r="A54" s="29" t="s">
        <v>86</v>
      </c>
      <c r="B54" s="33">
        <v>1.25</v>
      </c>
      <c r="C54" s="33">
        <v>1.25</v>
      </c>
      <c r="D54" s="33"/>
      <c r="E54" s="33"/>
      <c r="F54" s="33"/>
      <c r="G54" s="33"/>
      <c r="H54" s="32">
        <f t="shared" si="9"/>
        <v>1.7079999999999984</v>
      </c>
      <c r="I54" s="32">
        <f t="shared" si="10"/>
        <v>5.7079999999999984</v>
      </c>
      <c r="J54" s="32">
        <f t="shared" si="11"/>
        <v>7.4159999999999968</v>
      </c>
    </row>
    <row r="55" spans="1:10" ht="15.95" customHeight="1" x14ac:dyDescent="0.25">
      <c r="A55" s="29" t="s">
        <v>87</v>
      </c>
      <c r="B55" s="33"/>
      <c r="C55" s="33"/>
      <c r="D55" s="33"/>
      <c r="E55" s="33"/>
      <c r="F55" s="33"/>
      <c r="G55" s="33">
        <v>1</v>
      </c>
      <c r="H55" s="32">
        <f t="shared" si="9"/>
        <v>1.7079999999999984</v>
      </c>
      <c r="I55" s="32">
        <f t="shared" si="10"/>
        <v>5.7079999999999984</v>
      </c>
      <c r="J55" s="32">
        <f t="shared" si="11"/>
        <v>7.4159999999999968</v>
      </c>
    </row>
    <row r="56" spans="1:10" ht="15.95" customHeight="1" x14ac:dyDescent="0.25">
      <c r="A56" s="29" t="s">
        <v>88</v>
      </c>
      <c r="B56" s="33">
        <v>1.25</v>
      </c>
      <c r="C56" s="33">
        <v>1.25</v>
      </c>
      <c r="D56" s="33"/>
      <c r="E56" s="33"/>
      <c r="F56" s="33"/>
      <c r="G56" s="33"/>
      <c r="H56" s="32">
        <f t="shared" si="9"/>
        <v>2.9579999999999984</v>
      </c>
      <c r="I56" s="32">
        <f t="shared" si="10"/>
        <v>6.9579999999999984</v>
      </c>
      <c r="J56" s="32">
        <f t="shared" si="11"/>
        <v>9.9159999999999968</v>
      </c>
    </row>
    <row r="57" spans="1:10" ht="15.95" customHeight="1" x14ac:dyDescent="0.25">
      <c r="A57" s="29" t="s">
        <v>89</v>
      </c>
      <c r="B57" s="33">
        <v>1.25</v>
      </c>
      <c r="C57" s="33">
        <v>1.25</v>
      </c>
      <c r="D57" s="33"/>
      <c r="E57" s="33"/>
      <c r="F57" s="33"/>
      <c r="G57" s="33"/>
      <c r="H57" s="32">
        <f t="shared" si="9"/>
        <v>4.2079999999999984</v>
      </c>
      <c r="I57" s="32">
        <f t="shared" si="10"/>
        <v>8.2079999999999984</v>
      </c>
      <c r="J57" s="32">
        <f t="shared" si="11"/>
        <v>12.415999999999997</v>
      </c>
    </row>
    <row r="58" spans="1:10" ht="19.5" customHeight="1" x14ac:dyDescent="0.25">
      <c r="A58" s="29" t="s">
        <v>90</v>
      </c>
      <c r="B58" s="33">
        <v>1</v>
      </c>
      <c r="C58" s="33"/>
      <c r="D58" s="33"/>
      <c r="E58" s="33"/>
      <c r="F58" s="33"/>
      <c r="G58" s="33"/>
      <c r="H58" s="32">
        <f t="shared" si="9"/>
        <v>5.2079999999999984</v>
      </c>
      <c r="I58" s="32">
        <f t="shared" si="10"/>
        <v>8.2079999999999984</v>
      </c>
      <c r="J58" s="32">
        <f t="shared" si="11"/>
        <v>13.415999999999997</v>
      </c>
    </row>
    <row r="59" spans="1:10" ht="18" customHeight="1" x14ac:dyDescent="0.25">
      <c r="A59" s="29" t="s">
        <v>96</v>
      </c>
      <c r="B59" s="33">
        <v>2.5</v>
      </c>
      <c r="C59" s="33">
        <v>2.5</v>
      </c>
      <c r="D59" s="33"/>
      <c r="E59" s="33"/>
      <c r="F59" s="33"/>
      <c r="G59" s="33"/>
      <c r="H59" s="32">
        <f t="shared" si="9"/>
        <v>7.7079999999999984</v>
      </c>
      <c r="I59" s="32">
        <f t="shared" si="10"/>
        <v>10.707999999999998</v>
      </c>
      <c r="J59" s="32">
        <f t="shared" si="11"/>
        <v>18.415999999999997</v>
      </c>
    </row>
    <row r="60" spans="1:10" ht="46.5" customHeight="1" x14ac:dyDescent="0.25">
      <c r="A60" s="51" t="s">
        <v>119</v>
      </c>
      <c r="B60" s="33">
        <v>3.26</v>
      </c>
      <c r="C60" s="33">
        <v>3.26</v>
      </c>
      <c r="D60" s="33"/>
      <c r="E60" s="33"/>
      <c r="F60" s="33"/>
      <c r="G60" s="33"/>
      <c r="H60" s="33">
        <f t="shared" si="9"/>
        <v>10.967999999999998</v>
      </c>
      <c r="I60" s="33">
        <f t="shared" si="10"/>
        <v>13.967999999999998</v>
      </c>
      <c r="J60" s="33">
        <f t="shared" si="11"/>
        <v>24.935999999999996</v>
      </c>
    </row>
    <row r="61" spans="1:10" ht="18" customHeight="1" x14ac:dyDescent="0.25">
      <c r="A61" s="29" t="s">
        <v>115</v>
      </c>
      <c r="B61" s="33">
        <v>5</v>
      </c>
      <c r="C61" s="33">
        <v>5</v>
      </c>
      <c r="D61" s="33"/>
      <c r="E61" s="33"/>
      <c r="F61" s="33"/>
      <c r="G61" s="33"/>
      <c r="H61" s="33">
        <f t="shared" si="9"/>
        <v>15.967999999999998</v>
      </c>
      <c r="I61" s="33">
        <f t="shared" si="10"/>
        <v>18.967999999999996</v>
      </c>
      <c r="J61" s="33">
        <f t="shared" si="11"/>
        <v>34.935999999999993</v>
      </c>
    </row>
    <row r="62" spans="1:10" ht="18" customHeight="1" x14ac:dyDescent="0.25">
      <c r="A62" s="29" t="s">
        <v>113</v>
      </c>
      <c r="B62" s="33"/>
      <c r="C62" s="33"/>
      <c r="D62" s="33">
        <v>10</v>
      </c>
      <c r="E62" s="33"/>
      <c r="F62" s="33"/>
      <c r="G62" s="33"/>
      <c r="H62" s="33">
        <f t="shared" si="9"/>
        <v>5.9679999999999982</v>
      </c>
      <c r="I62" s="33">
        <f t="shared" si="10"/>
        <v>18.967999999999996</v>
      </c>
      <c r="J62" s="33">
        <f t="shared" si="11"/>
        <v>24.935999999999993</v>
      </c>
    </row>
    <row r="63" spans="1:10" ht="18" customHeight="1" x14ac:dyDescent="0.25">
      <c r="A63" s="29" t="s">
        <v>116</v>
      </c>
      <c r="B63" s="33"/>
      <c r="C63" s="33"/>
      <c r="D63" s="33"/>
      <c r="E63" s="33"/>
      <c r="F63" s="33">
        <v>1</v>
      </c>
      <c r="G63" s="33"/>
      <c r="H63" s="33">
        <f t="shared" ref="H63" si="12">H62-F63-D63+B63</f>
        <v>4.9679999999999982</v>
      </c>
      <c r="I63" s="33">
        <f t="shared" ref="I63" si="13">I62-E63+C63</f>
        <v>18.967999999999996</v>
      </c>
      <c r="J63" s="33">
        <f t="shared" ref="J63" si="14">SUM(H63:I63)</f>
        <v>23.935999999999993</v>
      </c>
    </row>
    <row r="64" spans="1:10" ht="18" customHeight="1" x14ac:dyDescent="0.25">
      <c r="A64" s="29" t="s">
        <v>117</v>
      </c>
      <c r="B64" s="33">
        <v>3.75</v>
      </c>
      <c r="C64" s="33">
        <v>3.75</v>
      </c>
      <c r="D64" s="33"/>
      <c r="E64" s="33"/>
      <c r="F64" s="33"/>
      <c r="G64" s="33"/>
      <c r="H64" s="33">
        <f t="shared" ref="H64" si="15">H63-F64-D64+B64</f>
        <v>8.7179999999999982</v>
      </c>
      <c r="I64" s="33">
        <f t="shared" ref="I64" si="16">I63-E64+C64</f>
        <v>22.717999999999996</v>
      </c>
      <c r="J64" s="33">
        <f t="shared" ref="J64" si="17">SUM(H64:I64)</f>
        <v>31.435999999999993</v>
      </c>
    </row>
    <row r="65" spans="1:10" ht="18" customHeight="1" x14ac:dyDescent="0.25">
      <c r="A65" s="29" t="s">
        <v>118</v>
      </c>
      <c r="B65" s="33"/>
      <c r="C65" s="33"/>
      <c r="D65" s="33"/>
      <c r="E65" s="33"/>
      <c r="F65" s="33"/>
      <c r="G65" s="33">
        <v>2</v>
      </c>
      <c r="H65" s="33">
        <f t="shared" ref="H65" si="18">H64-F65-D65+B65</f>
        <v>8.7179999999999982</v>
      </c>
      <c r="I65" s="33">
        <f t="shared" ref="I65" si="19">I64-E65+C65</f>
        <v>22.717999999999996</v>
      </c>
      <c r="J65" s="33">
        <f t="shared" ref="J65" si="20">SUM(H65:I65)</f>
        <v>31.435999999999993</v>
      </c>
    </row>
    <row r="66" spans="1:10" ht="18" hidden="1" customHeight="1" x14ac:dyDescent="0.25">
      <c r="A66" s="29"/>
      <c r="B66" s="33"/>
      <c r="C66" s="33"/>
      <c r="D66" s="33"/>
      <c r="E66" s="33"/>
      <c r="F66" s="33"/>
      <c r="G66" s="33"/>
      <c r="H66" s="33">
        <f t="shared" ref="H66:H71" si="21">H65-F66-D66+B66</f>
        <v>8.7179999999999982</v>
      </c>
      <c r="I66" s="33">
        <f t="shared" ref="I66:I71" si="22">I65-E66+C66</f>
        <v>22.717999999999996</v>
      </c>
      <c r="J66" s="33">
        <f t="shared" ref="J66:J71" si="23">SUM(H66:I66)</f>
        <v>31.435999999999993</v>
      </c>
    </row>
    <row r="67" spans="1:10" ht="18" hidden="1" customHeight="1" x14ac:dyDescent="0.25">
      <c r="A67" s="29"/>
      <c r="B67" s="33"/>
      <c r="C67" s="33"/>
      <c r="D67" s="33"/>
      <c r="E67" s="33"/>
      <c r="F67" s="33"/>
      <c r="G67" s="33"/>
      <c r="H67" s="33">
        <f t="shared" si="21"/>
        <v>8.7179999999999982</v>
      </c>
      <c r="I67" s="33">
        <f t="shared" si="22"/>
        <v>22.717999999999996</v>
      </c>
      <c r="J67" s="33">
        <f t="shared" si="23"/>
        <v>31.435999999999993</v>
      </c>
    </row>
    <row r="68" spans="1:10" ht="18" customHeight="1" x14ac:dyDescent="0.25">
      <c r="A68" s="29" t="s">
        <v>120</v>
      </c>
      <c r="B68" s="33">
        <v>2.5</v>
      </c>
      <c r="C68" s="33">
        <v>2.5</v>
      </c>
      <c r="D68" s="33"/>
      <c r="E68" s="33"/>
      <c r="F68" s="33"/>
      <c r="G68" s="33"/>
      <c r="H68" s="33">
        <f t="shared" si="21"/>
        <v>11.217999999999998</v>
      </c>
      <c r="I68" s="33">
        <f t="shared" si="22"/>
        <v>25.217999999999996</v>
      </c>
      <c r="J68" s="33">
        <f t="shared" si="23"/>
        <v>36.435999999999993</v>
      </c>
    </row>
    <row r="69" spans="1:10" ht="18" customHeight="1" x14ac:dyDescent="0.25">
      <c r="A69" s="29" t="s">
        <v>126</v>
      </c>
      <c r="B69" s="33"/>
      <c r="C69" s="33"/>
      <c r="D69" s="33"/>
      <c r="E69" s="33"/>
      <c r="F69" s="33">
        <v>4</v>
      </c>
      <c r="G69" s="33"/>
      <c r="H69" s="33">
        <f t="shared" si="21"/>
        <v>7.2179999999999982</v>
      </c>
      <c r="I69" s="33">
        <f t="shared" si="22"/>
        <v>25.217999999999996</v>
      </c>
      <c r="J69" s="33">
        <f t="shared" si="23"/>
        <v>32.435999999999993</v>
      </c>
    </row>
    <row r="70" spans="1:10" ht="18" customHeight="1" x14ac:dyDescent="0.25">
      <c r="A70" s="29" t="s">
        <v>121</v>
      </c>
      <c r="B70" s="33">
        <v>1.25</v>
      </c>
      <c r="C70" s="33">
        <v>1.25</v>
      </c>
      <c r="D70" s="33"/>
      <c r="E70" s="33"/>
      <c r="F70" s="33"/>
      <c r="G70" s="33"/>
      <c r="H70" s="33">
        <f t="shared" si="21"/>
        <v>8.4679999999999982</v>
      </c>
      <c r="I70" s="33">
        <f t="shared" si="22"/>
        <v>26.467999999999996</v>
      </c>
      <c r="J70" s="33">
        <f t="shared" si="23"/>
        <v>34.935999999999993</v>
      </c>
    </row>
    <row r="71" spans="1:10" ht="18" customHeight="1" x14ac:dyDescent="0.25">
      <c r="A71" s="29" t="s">
        <v>122</v>
      </c>
      <c r="B71" s="33"/>
      <c r="C71" s="33"/>
      <c r="D71" s="33"/>
      <c r="E71" s="33">
        <v>2</v>
      </c>
      <c r="F71" s="33"/>
      <c r="G71" s="33"/>
      <c r="H71" s="33">
        <f t="shared" si="21"/>
        <v>8.4679999999999982</v>
      </c>
      <c r="I71" s="33">
        <f t="shared" si="22"/>
        <v>24.467999999999996</v>
      </c>
      <c r="J71" s="33">
        <f t="shared" si="23"/>
        <v>32.935999999999993</v>
      </c>
    </row>
    <row r="72" spans="1:10" ht="18" customHeight="1" x14ac:dyDescent="0.25">
      <c r="A72" s="29" t="s">
        <v>123</v>
      </c>
      <c r="B72" s="33">
        <v>2.5</v>
      </c>
      <c r="C72" s="33">
        <v>2.5</v>
      </c>
      <c r="D72" s="33"/>
      <c r="E72" s="33"/>
      <c r="F72" s="33"/>
      <c r="G72" s="33"/>
      <c r="H72" s="33">
        <f t="shared" ref="H72:H73" si="24">H71-F72-D72+B72</f>
        <v>10.967999999999998</v>
      </c>
      <c r="I72" s="33">
        <f t="shared" ref="I72:I73" si="25">I71-E72+C72</f>
        <v>26.967999999999996</v>
      </c>
      <c r="J72" s="33">
        <f t="shared" ref="J72:J73" si="26">SUM(H72:I72)</f>
        <v>37.935999999999993</v>
      </c>
    </row>
    <row r="73" spans="1:10" ht="18" customHeight="1" x14ac:dyDescent="0.25">
      <c r="A73" s="29" t="s">
        <v>124</v>
      </c>
      <c r="B73" s="33"/>
      <c r="C73" s="33"/>
      <c r="D73" s="33"/>
      <c r="E73" s="33"/>
      <c r="F73" s="33"/>
      <c r="G73" s="52">
        <v>2</v>
      </c>
      <c r="H73" s="33">
        <f t="shared" si="24"/>
        <v>10.967999999999998</v>
      </c>
      <c r="I73" s="33">
        <f t="shared" si="25"/>
        <v>26.967999999999996</v>
      </c>
      <c r="J73" s="33">
        <f t="shared" si="26"/>
        <v>37.935999999999993</v>
      </c>
    </row>
    <row r="74" spans="1:10" ht="18" customHeight="1" x14ac:dyDescent="0.25">
      <c r="A74" s="29" t="s">
        <v>125</v>
      </c>
      <c r="B74" s="33">
        <v>3.75</v>
      </c>
      <c r="C74" s="33">
        <v>3.75</v>
      </c>
      <c r="D74" s="33"/>
      <c r="E74" s="33"/>
      <c r="F74" s="33"/>
      <c r="G74" s="33"/>
      <c r="H74" s="33">
        <f t="shared" ref="H74" si="27">H73-F74-D74+B74</f>
        <v>14.717999999999998</v>
      </c>
      <c r="I74" s="33">
        <f t="shared" ref="I74" si="28">I73-E74+C74</f>
        <v>30.717999999999996</v>
      </c>
      <c r="J74" s="33">
        <f t="shared" ref="J74" si="29">SUM(H74:I74)</f>
        <v>45.435999999999993</v>
      </c>
    </row>
    <row r="75" spans="1:10" ht="18" customHeight="1" x14ac:dyDescent="0.25">
      <c r="A75" s="29" t="s">
        <v>127</v>
      </c>
      <c r="B75" s="33"/>
      <c r="C75" s="33"/>
      <c r="D75" s="33">
        <v>9.718</v>
      </c>
      <c r="E75" s="33">
        <v>20.282</v>
      </c>
      <c r="F75" s="33"/>
      <c r="G75" s="33"/>
      <c r="H75" s="33">
        <f t="shared" ref="H75" si="30">H74-F75-D75+B75</f>
        <v>4.9999999999999982</v>
      </c>
      <c r="I75" s="33">
        <f t="shared" ref="I75" si="31">I74-E75+C75</f>
        <v>10.435999999999996</v>
      </c>
      <c r="J75" s="33">
        <f t="shared" ref="J75" si="32">SUM(H75:I75)</f>
        <v>15.435999999999995</v>
      </c>
    </row>
    <row r="76" spans="1:10" ht="18" customHeight="1" x14ac:dyDescent="0.25">
      <c r="A76" s="29" t="s">
        <v>139</v>
      </c>
      <c r="B76" s="33">
        <v>5</v>
      </c>
      <c r="C76" s="33">
        <v>5</v>
      </c>
      <c r="D76" s="33"/>
      <c r="E76" s="33"/>
      <c r="F76" s="33"/>
      <c r="G76" s="33"/>
      <c r="H76" s="33">
        <f t="shared" ref="H76" si="33">H75-F76-D76+B76</f>
        <v>9.9999999999999982</v>
      </c>
      <c r="I76" s="33">
        <f t="shared" ref="I76" si="34">I75-E76+C76</f>
        <v>15.435999999999996</v>
      </c>
      <c r="J76" s="33">
        <f t="shared" ref="J76" si="35">SUM(H76:I76)</f>
        <v>25.435999999999993</v>
      </c>
    </row>
    <row r="77" spans="1:10" ht="18" customHeight="1" x14ac:dyDescent="0.25">
      <c r="A77" s="29" t="s">
        <v>140</v>
      </c>
      <c r="B77" s="33"/>
      <c r="C77" s="33"/>
      <c r="D77" s="33"/>
      <c r="E77" s="33"/>
      <c r="F77" s="33"/>
      <c r="G77" s="52">
        <v>1</v>
      </c>
      <c r="H77" s="33">
        <f t="shared" ref="H77:H78" si="36">H76-F77-D77+B77</f>
        <v>9.9999999999999982</v>
      </c>
      <c r="I77" s="33">
        <f t="shared" ref="I77:I78" si="37">I76-E77+C77</f>
        <v>15.435999999999996</v>
      </c>
      <c r="J77" s="33">
        <f t="shared" ref="J77:J78" si="38">SUM(H77:I77)</f>
        <v>25.435999999999993</v>
      </c>
    </row>
    <row r="78" spans="1:10" ht="18" customHeight="1" x14ac:dyDescent="0.25">
      <c r="A78" s="29" t="s">
        <v>141</v>
      </c>
      <c r="B78" s="33"/>
      <c r="C78" s="33"/>
      <c r="D78" s="33"/>
      <c r="E78" s="33"/>
      <c r="F78" s="108">
        <v>5</v>
      </c>
      <c r="G78" s="33"/>
      <c r="H78" s="33">
        <f t="shared" si="36"/>
        <v>4.9999999999999982</v>
      </c>
      <c r="I78" s="33">
        <f t="shared" si="37"/>
        <v>15.435999999999996</v>
      </c>
      <c r="J78" s="33">
        <f t="shared" si="38"/>
        <v>20.435999999999993</v>
      </c>
    </row>
    <row r="79" spans="1:10" ht="18" customHeight="1" x14ac:dyDescent="0.25">
      <c r="A79" s="29"/>
      <c r="B79" s="33"/>
      <c r="C79" s="33"/>
      <c r="D79" s="33"/>
      <c r="E79" s="33"/>
      <c r="F79" s="33"/>
      <c r="G79" s="33"/>
      <c r="H79" s="32"/>
      <c r="I79" s="32"/>
      <c r="J79" s="32"/>
    </row>
    <row r="80" spans="1:10" ht="18" customHeight="1" x14ac:dyDescent="0.25">
      <c r="A80" s="109"/>
      <c r="B80" s="110"/>
      <c r="C80" s="110"/>
      <c r="D80" s="110"/>
      <c r="E80" s="110"/>
      <c r="F80" s="110"/>
      <c r="G80" s="110"/>
      <c r="H80" s="111"/>
      <c r="I80" s="111"/>
      <c r="J80" s="111"/>
    </row>
    <row r="81" spans="2:11" s="36" customFormat="1" ht="15" customHeight="1" x14ac:dyDescent="0.25">
      <c r="G81" s="36" t="s">
        <v>44</v>
      </c>
    </row>
    <row r="82" spans="2:11" s="36" customFormat="1" ht="15" customHeight="1" x14ac:dyDescent="0.25"/>
    <row r="83" spans="2:11" s="36" customFormat="1" ht="15" customHeight="1" x14ac:dyDescent="0.25">
      <c r="H83" s="50" t="s">
        <v>45</v>
      </c>
    </row>
    <row r="84" spans="2:11" s="36" customFormat="1" ht="15" customHeight="1" x14ac:dyDescent="0.25">
      <c r="H84" s="37" t="s">
        <v>46</v>
      </c>
    </row>
    <row r="85" spans="2:11" ht="15" customHeight="1" x14ac:dyDescent="0.25">
      <c r="B85" s="1"/>
      <c r="C85" s="1"/>
      <c r="D85" s="1"/>
      <c r="E85" s="1"/>
      <c r="F85" s="1"/>
      <c r="G85" s="1"/>
      <c r="H85" s="37" t="s">
        <v>47</v>
      </c>
      <c r="I85" s="1"/>
      <c r="J85" s="1"/>
      <c r="K85" s="1"/>
    </row>
  </sheetData>
  <mergeCells count="13">
    <mergeCell ref="A2:J2"/>
    <mergeCell ref="A3:J3"/>
    <mergeCell ref="A4:J4"/>
    <mergeCell ref="A5:J5"/>
    <mergeCell ref="B7:D7"/>
    <mergeCell ref="K11:K12"/>
    <mergeCell ref="B9:D9"/>
    <mergeCell ref="A10:J10"/>
    <mergeCell ref="H11:I11"/>
    <mergeCell ref="A11:A12"/>
    <mergeCell ref="J11:J12"/>
    <mergeCell ref="B11:C11"/>
    <mergeCell ref="D11:F11"/>
  </mergeCells>
  <phoneticPr fontId="5" type="noConversion"/>
  <printOptions horizontalCentered="1"/>
  <pageMargins left="0.27559055118110237" right="0.23622047244094491" top="0.62992125984251968" bottom="0.62992125984251968" header="0.31496062992125984" footer="0.31496062992125984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view="pageBreakPreview" topLeftCell="A11" zoomScale="112" zoomScaleNormal="100" zoomScaleSheetLayoutView="112" workbookViewId="0">
      <selection activeCell="C24" sqref="C24"/>
    </sheetView>
  </sheetViews>
  <sheetFormatPr defaultColWidth="8.7109375" defaultRowHeight="15" x14ac:dyDescent="0.25"/>
  <cols>
    <col min="1" max="1" width="22" style="11" customWidth="1"/>
    <col min="2" max="4" width="12" style="11" customWidth="1"/>
    <col min="5" max="5" width="14.42578125" style="11" customWidth="1"/>
    <col min="6" max="6" width="8.28515625" style="11" customWidth="1"/>
    <col min="7" max="7" width="5.5703125" style="11" customWidth="1"/>
    <col min="8" max="8" width="8.28515625" style="11" customWidth="1"/>
    <col min="9" max="9" width="8.42578125" style="11" customWidth="1"/>
    <col min="10" max="11" width="8.140625" style="11" customWidth="1"/>
    <col min="12" max="12" width="16.85546875" style="11" customWidth="1"/>
    <col min="13" max="16384" width="8.7109375" style="11"/>
  </cols>
  <sheetData>
    <row r="1" spans="1:12" s="6" customFormat="1" ht="52.5" customHeight="1" x14ac:dyDescent="0.25"/>
    <row r="2" spans="1:12" s="6" customFormat="1" ht="10.5" customHeight="1" x14ac:dyDescent="0.25">
      <c r="A2" s="81" t="s">
        <v>30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s="6" customFormat="1" ht="15.95" customHeight="1" x14ac:dyDescent="0.25">
      <c r="A3" s="81" t="s">
        <v>31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s="6" customFormat="1" ht="15.95" customHeight="1" x14ac:dyDescent="0.25">
      <c r="A4" s="81" t="s">
        <v>32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s="6" customFormat="1" ht="15.95" customHeight="1" x14ac:dyDescent="0.25">
      <c r="A5" s="81" t="s">
        <v>33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s="6" customFormat="1" ht="8.25" customHeight="1" x14ac:dyDescent="0.25"/>
    <row r="7" spans="1:12" s="6" customFormat="1" ht="12" customHeight="1" x14ac:dyDescent="0.25">
      <c r="A7" s="6" t="s">
        <v>34</v>
      </c>
      <c r="C7" s="7" t="s">
        <v>35</v>
      </c>
      <c r="D7" s="7"/>
      <c r="G7" s="7" t="s">
        <v>9</v>
      </c>
      <c r="H7" s="8"/>
    </row>
    <row r="8" spans="1:12" s="6" customFormat="1" ht="12" customHeight="1" x14ac:dyDescent="0.25">
      <c r="C8" s="9"/>
      <c r="G8" s="9"/>
      <c r="H8" s="9"/>
    </row>
    <row r="9" spans="1:12" s="6" customFormat="1" ht="12" customHeight="1" x14ac:dyDescent="0.25">
      <c r="A9" s="6" t="s">
        <v>36</v>
      </c>
      <c r="C9" s="7" t="s">
        <v>37</v>
      </c>
      <c r="D9" s="7"/>
      <c r="G9" s="7" t="s">
        <v>10</v>
      </c>
      <c r="H9" s="10"/>
    </row>
    <row r="10" spans="1:12" ht="16.5" customHeight="1" x14ac:dyDescent="0.25">
      <c r="A10" s="82" t="s">
        <v>38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</row>
    <row r="11" spans="1:12" s="12" customFormat="1" ht="18.75" customHeight="1" x14ac:dyDescent="0.2">
      <c r="A11" s="79" t="s">
        <v>4</v>
      </c>
      <c r="B11" s="80" t="s">
        <v>5</v>
      </c>
      <c r="C11" s="80"/>
      <c r="D11" s="80"/>
      <c r="E11" s="80"/>
      <c r="F11" s="80"/>
      <c r="G11" s="80"/>
      <c r="H11" s="80"/>
      <c r="I11" s="80"/>
      <c r="J11" s="80"/>
      <c r="K11" s="80"/>
      <c r="L11" s="79" t="s">
        <v>8</v>
      </c>
    </row>
    <row r="12" spans="1:12" s="12" customFormat="1" ht="24" customHeight="1" x14ac:dyDescent="0.2">
      <c r="A12" s="79"/>
      <c r="B12" s="78" t="s">
        <v>39</v>
      </c>
      <c r="C12" s="78"/>
      <c r="D12" s="78"/>
      <c r="E12" s="78"/>
      <c r="F12" s="78" t="s">
        <v>40</v>
      </c>
      <c r="G12" s="78"/>
      <c r="H12" s="78" t="s">
        <v>41</v>
      </c>
      <c r="I12" s="78"/>
      <c r="J12" s="78" t="s">
        <v>42</v>
      </c>
      <c r="K12" s="78"/>
      <c r="L12" s="79"/>
    </row>
    <row r="13" spans="1:12" s="12" customFormat="1" ht="24.95" customHeight="1" x14ac:dyDescent="0.2">
      <c r="A13" s="41" t="s">
        <v>48</v>
      </c>
      <c r="B13" s="76" t="s">
        <v>50</v>
      </c>
      <c r="C13" s="76"/>
      <c r="D13" s="76"/>
      <c r="E13" s="76"/>
      <c r="F13" s="76">
        <v>1</v>
      </c>
      <c r="G13" s="76"/>
      <c r="H13" s="76">
        <v>0</v>
      </c>
      <c r="I13" s="76"/>
      <c r="J13" s="76">
        <v>1</v>
      </c>
      <c r="K13" s="76"/>
      <c r="L13" s="60">
        <v>1</v>
      </c>
    </row>
    <row r="14" spans="1:12" s="13" customFormat="1" ht="25.5" customHeight="1" x14ac:dyDescent="0.2">
      <c r="A14" s="41" t="s">
        <v>49</v>
      </c>
      <c r="B14" s="76" t="s">
        <v>50</v>
      </c>
      <c r="C14" s="76"/>
      <c r="D14" s="76"/>
      <c r="E14" s="76"/>
      <c r="F14" s="76"/>
      <c r="G14" s="76"/>
      <c r="H14" s="76">
        <v>1</v>
      </c>
      <c r="I14" s="76"/>
      <c r="J14" s="76">
        <v>0</v>
      </c>
      <c r="K14" s="76"/>
      <c r="L14" s="57">
        <v>0</v>
      </c>
    </row>
    <row r="15" spans="1:12" s="13" customFormat="1" ht="25.5" customHeight="1" x14ac:dyDescent="0.2">
      <c r="A15" s="41" t="s">
        <v>91</v>
      </c>
      <c r="B15" s="76" t="s">
        <v>93</v>
      </c>
      <c r="C15" s="76"/>
      <c r="D15" s="76"/>
      <c r="E15" s="76"/>
      <c r="F15" s="76">
        <v>1</v>
      </c>
      <c r="G15" s="76"/>
      <c r="H15" s="76">
        <v>0</v>
      </c>
      <c r="I15" s="76"/>
      <c r="J15" s="76">
        <f>F15-H15</f>
        <v>1</v>
      </c>
      <c r="K15" s="76"/>
      <c r="L15" s="58">
        <v>1</v>
      </c>
    </row>
    <row r="16" spans="1:12" s="13" customFormat="1" ht="25.5" customHeight="1" x14ac:dyDescent="0.2">
      <c r="A16" s="41" t="s">
        <v>92</v>
      </c>
      <c r="B16" s="76" t="s">
        <v>93</v>
      </c>
      <c r="C16" s="76"/>
      <c r="D16" s="76"/>
      <c r="E16" s="76"/>
      <c r="F16" s="76"/>
      <c r="G16" s="76"/>
      <c r="H16" s="76">
        <v>1</v>
      </c>
      <c r="I16" s="76"/>
      <c r="J16" s="76">
        <v>0</v>
      </c>
      <c r="K16" s="76"/>
      <c r="L16" s="57">
        <v>0</v>
      </c>
    </row>
    <row r="17" spans="1:13" s="13" customFormat="1" ht="25.5" customHeight="1" x14ac:dyDescent="0.2">
      <c r="A17" s="41" t="s">
        <v>129</v>
      </c>
      <c r="B17" s="76" t="s">
        <v>130</v>
      </c>
      <c r="C17" s="76"/>
      <c r="D17" s="76"/>
      <c r="E17" s="76"/>
      <c r="F17" s="76">
        <v>1</v>
      </c>
      <c r="G17" s="76"/>
      <c r="H17" s="76">
        <v>0</v>
      </c>
      <c r="I17" s="76"/>
      <c r="J17" s="76">
        <f>F17-H17</f>
        <v>1</v>
      </c>
      <c r="K17" s="76"/>
      <c r="L17" s="58">
        <v>1</v>
      </c>
    </row>
    <row r="18" spans="1:13" s="13" customFormat="1" ht="25.5" customHeight="1" x14ac:dyDescent="0.2">
      <c r="A18" s="41" t="s">
        <v>135</v>
      </c>
      <c r="B18" s="76" t="s">
        <v>130</v>
      </c>
      <c r="C18" s="76"/>
      <c r="D18" s="76"/>
      <c r="E18" s="76"/>
      <c r="F18" s="76"/>
      <c r="G18" s="76"/>
      <c r="H18" s="76">
        <v>1</v>
      </c>
      <c r="I18" s="76"/>
      <c r="J18" s="76">
        <v>0</v>
      </c>
      <c r="K18" s="76"/>
      <c r="L18" s="57">
        <v>0</v>
      </c>
      <c r="M18" s="13" t="s">
        <v>136</v>
      </c>
    </row>
    <row r="19" spans="1:13" s="13" customFormat="1" ht="25.5" customHeight="1" x14ac:dyDescent="0.2">
      <c r="A19" s="41" t="s">
        <v>131</v>
      </c>
      <c r="B19" s="76" t="s">
        <v>132</v>
      </c>
      <c r="C19" s="76"/>
      <c r="D19" s="76"/>
      <c r="E19" s="76"/>
      <c r="F19" s="76" t="s">
        <v>133</v>
      </c>
      <c r="G19" s="76"/>
      <c r="H19" s="76">
        <v>0</v>
      </c>
      <c r="I19" s="76"/>
      <c r="J19" s="76" t="s">
        <v>133</v>
      </c>
      <c r="K19" s="76"/>
      <c r="L19" s="61" t="s">
        <v>133</v>
      </c>
    </row>
    <row r="20" spans="1:13" s="13" customFormat="1" ht="25.5" customHeight="1" x14ac:dyDescent="0.2">
      <c r="A20" s="41" t="s">
        <v>138</v>
      </c>
      <c r="B20" s="76" t="s">
        <v>132</v>
      </c>
      <c r="C20" s="76"/>
      <c r="D20" s="76"/>
      <c r="E20" s="76"/>
      <c r="F20" s="76"/>
      <c r="G20" s="76"/>
      <c r="H20" s="76">
        <v>1</v>
      </c>
      <c r="I20" s="76"/>
      <c r="J20" s="76" t="s">
        <v>134</v>
      </c>
      <c r="K20" s="76"/>
      <c r="L20" s="59" t="s">
        <v>134</v>
      </c>
      <c r="M20" s="13" t="s">
        <v>137</v>
      </c>
    </row>
    <row r="21" spans="1:13" s="13" customFormat="1" x14ac:dyDescent="0.2">
      <c r="A21" s="14" t="s">
        <v>43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3" ht="18.95" customHeigh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3" s="6" customFormat="1" x14ac:dyDescent="0.25">
      <c r="C23" s="17"/>
      <c r="J23" s="6" t="s">
        <v>44</v>
      </c>
    </row>
    <row r="24" spans="1:13" s="6" customFormat="1" x14ac:dyDescent="0.25">
      <c r="C24" s="17"/>
      <c r="H24" s="39"/>
    </row>
    <row r="25" spans="1:13" x14ac:dyDescent="0.25">
      <c r="J25" s="73" t="s">
        <v>45</v>
      </c>
      <c r="K25" s="73"/>
      <c r="L25" s="73"/>
    </row>
    <row r="26" spans="1:13" x14ac:dyDescent="0.25">
      <c r="J26" s="74" t="s">
        <v>46</v>
      </c>
      <c r="K26" s="74"/>
      <c r="L26" s="74"/>
    </row>
    <row r="27" spans="1:13" x14ac:dyDescent="0.25">
      <c r="J27" s="75" t="s">
        <v>47</v>
      </c>
      <c r="K27" s="75"/>
      <c r="L27" s="75"/>
    </row>
  </sheetData>
  <mergeCells count="48">
    <mergeCell ref="A2:L2"/>
    <mergeCell ref="A3:L3"/>
    <mergeCell ref="A4:L4"/>
    <mergeCell ref="A5:L5"/>
    <mergeCell ref="A10:L10"/>
    <mergeCell ref="J14:K14"/>
    <mergeCell ref="A22:L22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J15:K15"/>
    <mergeCell ref="J16:K16"/>
    <mergeCell ref="B16:E16"/>
    <mergeCell ref="F16:G16"/>
    <mergeCell ref="H16:I16"/>
    <mergeCell ref="B17:E17"/>
    <mergeCell ref="F17:G17"/>
    <mergeCell ref="H17:I17"/>
    <mergeCell ref="B14:E14"/>
    <mergeCell ref="F14:G14"/>
    <mergeCell ref="H14:I14"/>
    <mergeCell ref="B15:E15"/>
    <mergeCell ref="F15:G15"/>
    <mergeCell ref="H15:I15"/>
    <mergeCell ref="B20:E20"/>
    <mergeCell ref="F20:G20"/>
    <mergeCell ref="H20:I20"/>
    <mergeCell ref="J20:K20"/>
    <mergeCell ref="J17:K17"/>
    <mergeCell ref="B18:E18"/>
    <mergeCell ref="F18:G18"/>
    <mergeCell ref="H18:I18"/>
    <mergeCell ref="J18:K18"/>
    <mergeCell ref="B19:E19"/>
    <mergeCell ref="F19:G19"/>
    <mergeCell ref="J25:L25"/>
    <mergeCell ref="J26:L26"/>
    <mergeCell ref="J27:L27"/>
    <mergeCell ref="H19:I19"/>
    <mergeCell ref="J19:K19"/>
  </mergeCells>
  <phoneticPr fontId="5" type="noConversion"/>
  <pageMargins left="0.51181102362204722" right="0.51181102362204722" top="0.74803149606299213" bottom="0.74803149606299213" header="0.31496062992125984" footer="0.31496062992125984"/>
  <pageSetup paperSize="9" scale="6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2"/>
  <sheetViews>
    <sheetView view="pageBreakPreview" topLeftCell="A20" zoomScale="93" zoomScaleNormal="100" zoomScaleSheetLayoutView="93" workbookViewId="0">
      <selection activeCell="J30" sqref="J30"/>
    </sheetView>
  </sheetViews>
  <sheetFormatPr defaultRowHeight="15" x14ac:dyDescent="0.25"/>
  <cols>
    <col min="1" max="1" width="30.5703125" customWidth="1"/>
    <col min="2" max="2" width="21.5703125" customWidth="1"/>
    <col min="3" max="3" width="13.5703125" customWidth="1"/>
    <col min="4" max="4" width="12.28515625" customWidth="1"/>
    <col min="6" max="6" width="8.5703125" customWidth="1"/>
    <col min="8" max="8" width="9" customWidth="1"/>
    <col min="9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  <col min="14" max="14" width="14.5703125" customWidth="1"/>
  </cols>
  <sheetData>
    <row r="1" spans="1:13" s="1" customFormat="1" ht="52.5" customHeight="1" x14ac:dyDescent="0.25">
      <c r="G1"/>
      <c r="H1"/>
    </row>
    <row r="2" spans="1:13" s="1" customFormat="1" ht="10.5" customHeight="1" x14ac:dyDescent="0.25">
      <c r="A2" s="72" t="s">
        <v>30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3" s="1" customFormat="1" ht="15.95" customHeight="1" x14ac:dyDescent="0.25">
      <c r="A3" s="72" t="s">
        <v>31</v>
      </c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3" s="1" customFormat="1" ht="15.95" customHeight="1" x14ac:dyDescent="0.25">
      <c r="A4" s="72" t="s">
        <v>32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3" s="1" customFormat="1" ht="15.95" customHeight="1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3" s="1" customFormat="1" ht="8.25" customHeight="1" x14ac:dyDescent="0.25">
      <c r="G6"/>
      <c r="H6"/>
    </row>
    <row r="7" spans="1:13" s="1" customFormat="1" ht="12" customHeight="1" x14ac:dyDescent="0.25">
      <c r="A7" s="1" t="s">
        <v>34</v>
      </c>
      <c r="B7" s="63" t="s">
        <v>35</v>
      </c>
      <c r="C7" s="63"/>
      <c r="D7" s="63"/>
      <c r="G7"/>
      <c r="H7" s="43" t="s">
        <v>9</v>
      </c>
      <c r="I7" s="89"/>
      <c r="J7" s="89"/>
      <c r="K7" s="3"/>
    </row>
    <row r="8" spans="1:13" s="1" customFormat="1" ht="12" customHeight="1" x14ac:dyDescent="0.25">
      <c r="B8" s="2"/>
      <c r="C8" s="2"/>
      <c r="G8"/>
      <c r="H8" s="44"/>
      <c r="I8" s="2"/>
      <c r="J8" s="2"/>
      <c r="K8" s="2"/>
    </row>
    <row r="9" spans="1:13" s="1" customFormat="1" ht="12" customHeight="1" x14ac:dyDescent="0.25">
      <c r="A9" s="1" t="s">
        <v>36</v>
      </c>
      <c r="B9" s="63" t="s">
        <v>37</v>
      </c>
      <c r="C9" s="63"/>
      <c r="D9" s="63"/>
      <c r="G9"/>
      <c r="H9" s="43" t="s">
        <v>10</v>
      </c>
      <c r="I9" s="4"/>
      <c r="J9" s="4"/>
      <c r="K9" s="3"/>
    </row>
    <row r="10" spans="1:13" ht="16.5" customHeight="1" thickBot="1" x14ac:dyDescent="0.3">
      <c r="A10" s="90" t="s">
        <v>53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</row>
    <row r="11" spans="1:13" s="22" customFormat="1" ht="18.75" customHeight="1" x14ac:dyDescent="0.2">
      <c r="A11" s="91" t="s">
        <v>54</v>
      </c>
      <c r="B11" s="94" t="s">
        <v>4</v>
      </c>
      <c r="C11" s="97" t="s">
        <v>55</v>
      </c>
      <c r="D11" s="98"/>
      <c r="E11" s="97" t="s">
        <v>56</v>
      </c>
      <c r="F11" s="98"/>
      <c r="G11" s="97" t="s">
        <v>40</v>
      </c>
      <c r="H11" s="98"/>
      <c r="I11" s="97" t="s">
        <v>41</v>
      </c>
      <c r="J11" s="98"/>
      <c r="K11" s="97" t="s">
        <v>42</v>
      </c>
      <c r="L11" s="98"/>
      <c r="M11" s="103" t="s">
        <v>8</v>
      </c>
    </row>
    <row r="12" spans="1:13" s="22" customFormat="1" ht="18.75" customHeight="1" x14ac:dyDescent="0.2">
      <c r="A12" s="92"/>
      <c r="B12" s="95"/>
      <c r="C12" s="99"/>
      <c r="D12" s="100"/>
      <c r="E12" s="99"/>
      <c r="F12" s="100"/>
      <c r="G12" s="99"/>
      <c r="H12" s="100"/>
      <c r="I12" s="99"/>
      <c r="J12" s="100"/>
      <c r="K12" s="99"/>
      <c r="L12" s="100"/>
      <c r="M12" s="104"/>
    </row>
    <row r="13" spans="1:13" s="22" customFormat="1" ht="24" customHeight="1" x14ac:dyDescent="0.2">
      <c r="A13" s="93"/>
      <c r="B13" s="96"/>
      <c r="C13" s="101"/>
      <c r="D13" s="102"/>
      <c r="E13" s="101"/>
      <c r="F13" s="102"/>
      <c r="G13" s="101"/>
      <c r="H13" s="102"/>
      <c r="I13" s="101"/>
      <c r="J13" s="102"/>
      <c r="K13" s="101"/>
      <c r="L13" s="102"/>
      <c r="M13" s="105"/>
    </row>
    <row r="14" spans="1:13" s="22" customFormat="1" ht="36.75" customHeight="1" x14ac:dyDescent="0.2">
      <c r="A14" s="23" t="s">
        <v>57</v>
      </c>
      <c r="B14" s="24" t="s">
        <v>58</v>
      </c>
      <c r="C14" s="83" t="s">
        <v>59</v>
      </c>
      <c r="D14" s="84"/>
      <c r="E14" s="83"/>
      <c r="F14" s="84"/>
      <c r="G14" s="85">
        <v>10</v>
      </c>
      <c r="H14" s="87"/>
      <c r="I14" s="83">
        <v>0</v>
      </c>
      <c r="J14" s="88"/>
      <c r="K14" s="83">
        <f>G14-I14</f>
        <v>10</v>
      </c>
      <c r="L14" s="88"/>
      <c r="M14" s="25">
        <v>10</v>
      </c>
    </row>
    <row r="15" spans="1:13" s="27" customFormat="1" ht="36.75" customHeight="1" x14ac:dyDescent="0.2">
      <c r="A15" s="23"/>
      <c r="B15" s="26" t="s">
        <v>60</v>
      </c>
      <c r="C15" s="83"/>
      <c r="D15" s="84"/>
      <c r="E15" s="83"/>
      <c r="F15" s="84"/>
      <c r="G15" s="85"/>
      <c r="H15" s="87"/>
      <c r="I15" s="83">
        <v>3</v>
      </c>
      <c r="J15" s="88"/>
      <c r="K15" s="83">
        <v>7</v>
      </c>
      <c r="L15" s="88"/>
      <c r="M15" s="25">
        <v>7</v>
      </c>
    </row>
    <row r="16" spans="1:13" s="27" customFormat="1" ht="36.75" customHeight="1" x14ac:dyDescent="0.2">
      <c r="A16" s="38"/>
      <c r="B16" s="21" t="s">
        <v>79</v>
      </c>
      <c r="C16" s="83"/>
      <c r="D16" s="84"/>
      <c r="E16" s="83"/>
      <c r="F16" s="84"/>
      <c r="G16" s="85"/>
      <c r="H16" s="87"/>
      <c r="I16" s="83">
        <v>1</v>
      </c>
      <c r="J16" s="88"/>
      <c r="K16" s="83">
        <v>6</v>
      </c>
      <c r="L16" s="88"/>
      <c r="M16" s="38">
        <v>6</v>
      </c>
    </row>
    <row r="17" spans="1:16" s="27" customFormat="1" ht="36.75" customHeight="1" x14ac:dyDescent="0.2">
      <c r="A17" s="38"/>
      <c r="B17" s="21" t="s">
        <v>85</v>
      </c>
      <c r="C17" s="83"/>
      <c r="D17" s="84"/>
      <c r="E17" s="83"/>
      <c r="F17" s="84"/>
      <c r="G17" s="85"/>
      <c r="H17" s="87"/>
      <c r="I17" s="83">
        <v>1</v>
      </c>
      <c r="J17" s="88"/>
      <c r="K17" s="83">
        <v>5</v>
      </c>
      <c r="L17" s="88"/>
      <c r="M17" s="38">
        <v>5</v>
      </c>
    </row>
    <row r="18" spans="1:16" s="27" customFormat="1" ht="36.75" customHeight="1" x14ac:dyDescent="0.2">
      <c r="A18" s="38"/>
      <c r="B18" s="21" t="s">
        <v>80</v>
      </c>
      <c r="C18" s="83"/>
      <c r="D18" s="84"/>
      <c r="E18" s="83"/>
      <c r="F18" s="84"/>
      <c r="G18" s="85"/>
      <c r="H18" s="87"/>
      <c r="I18" s="83">
        <v>1</v>
      </c>
      <c r="J18" s="88"/>
      <c r="K18" s="83">
        <v>4</v>
      </c>
      <c r="L18" s="88"/>
      <c r="M18" s="40">
        <v>4</v>
      </c>
    </row>
    <row r="19" spans="1:16" s="27" customFormat="1" ht="47.25" customHeight="1" x14ac:dyDescent="0.2">
      <c r="A19" s="40"/>
      <c r="B19" s="40" t="s">
        <v>101</v>
      </c>
      <c r="C19" s="85"/>
      <c r="D19" s="86"/>
      <c r="E19" s="83"/>
      <c r="F19" s="84"/>
      <c r="G19" s="85"/>
      <c r="H19" s="87"/>
      <c r="I19" s="85">
        <v>4</v>
      </c>
      <c r="J19" s="87"/>
      <c r="K19" s="85">
        <v>0</v>
      </c>
      <c r="L19" s="87"/>
      <c r="M19" s="45">
        <v>0</v>
      </c>
    </row>
    <row r="20" spans="1:16" s="27" customFormat="1" ht="36.75" customHeight="1" x14ac:dyDescent="0.2">
      <c r="A20" s="38" t="s">
        <v>106</v>
      </c>
      <c r="B20" s="21" t="s">
        <v>94</v>
      </c>
      <c r="C20" s="83"/>
      <c r="D20" s="84"/>
      <c r="E20" s="83" t="s">
        <v>95</v>
      </c>
      <c r="F20" s="84"/>
      <c r="G20" s="85">
        <v>5</v>
      </c>
      <c r="H20" s="87"/>
      <c r="I20" s="85">
        <v>0</v>
      </c>
      <c r="J20" s="87"/>
      <c r="K20" s="83">
        <v>5</v>
      </c>
      <c r="L20" s="88"/>
      <c r="M20" s="40">
        <v>5</v>
      </c>
    </row>
    <row r="21" spans="1:16" s="27" customFormat="1" ht="36.75" customHeight="1" x14ac:dyDescent="0.2">
      <c r="A21" s="38"/>
      <c r="B21" s="40" t="s">
        <v>105</v>
      </c>
      <c r="C21" s="83"/>
      <c r="D21" s="84"/>
      <c r="E21" s="83"/>
      <c r="F21" s="84"/>
      <c r="G21" s="85"/>
      <c r="H21" s="87"/>
      <c r="I21" s="85">
        <v>1</v>
      </c>
      <c r="J21" s="87"/>
      <c r="K21" s="83">
        <v>4</v>
      </c>
      <c r="L21" s="88"/>
      <c r="M21" s="40">
        <v>4</v>
      </c>
    </row>
    <row r="22" spans="1:16" s="27" customFormat="1" ht="36.75" customHeight="1" x14ac:dyDescent="0.2">
      <c r="A22" s="38"/>
      <c r="B22" s="40" t="s">
        <v>107</v>
      </c>
      <c r="C22" s="85"/>
      <c r="D22" s="86"/>
      <c r="E22" s="85"/>
      <c r="F22" s="86"/>
      <c r="G22" s="85"/>
      <c r="H22" s="87"/>
      <c r="I22" s="85">
        <v>1</v>
      </c>
      <c r="J22" s="87"/>
      <c r="K22" s="85">
        <v>3</v>
      </c>
      <c r="L22" s="87"/>
      <c r="M22" s="40">
        <v>3</v>
      </c>
    </row>
    <row r="23" spans="1:16" s="27" customFormat="1" ht="36.75" customHeight="1" x14ac:dyDescent="0.2">
      <c r="A23" s="38"/>
      <c r="B23" s="40" t="s">
        <v>108</v>
      </c>
      <c r="C23" s="85"/>
      <c r="D23" s="86"/>
      <c r="E23" s="85"/>
      <c r="F23" s="86"/>
      <c r="G23" s="85"/>
      <c r="H23" s="87"/>
      <c r="I23" s="85">
        <v>1</v>
      </c>
      <c r="J23" s="87"/>
      <c r="K23" s="85">
        <v>2</v>
      </c>
      <c r="L23" s="87"/>
      <c r="M23" s="42">
        <v>2</v>
      </c>
    </row>
    <row r="24" spans="1:16" s="27" customFormat="1" ht="36.75" customHeight="1" x14ac:dyDescent="0.2">
      <c r="A24" s="38" t="s">
        <v>97</v>
      </c>
      <c r="B24" s="40" t="s">
        <v>98</v>
      </c>
      <c r="C24" s="83" t="s">
        <v>99</v>
      </c>
      <c r="D24" s="84"/>
      <c r="E24" s="83"/>
      <c r="F24" s="84"/>
      <c r="G24" s="85">
        <v>5</v>
      </c>
      <c r="H24" s="87"/>
      <c r="I24" s="85">
        <v>0</v>
      </c>
      <c r="J24" s="87"/>
      <c r="K24" s="83">
        <v>5</v>
      </c>
      <c r="L24" s="88"/>
      <c r="M24" s="42">
        <v>5</v>
      </c>
      <c r="N24" s="106" t="s">
        <v>114</v>
      </c>
      <c r="O24" s="107"/>
      <c r="P24" s="107"/>
    </row>
    <row r="25" spans="1:16" s="27" customFormat="1" ht="36.75" customHeight="1" x14ac:dyDescent="0.2">
      <c r="A25" s="38" t="s">
        <v>100</v>
      </c>
      <c r="B25" s="40">
        <v>1995</v>
      </c>
      <c r="C25" s="83" t="s">
        <v>102</v>
      </c>
      <c r="D25" s="84"/>
      <c r="E25" s="83"/>
      <c r="F25" s="84"/>
      <c r="G25" s="85">
        <v>5</v>
      </c>
      <c r="H25" s="87"/>
      <c r="I25" s="85">
        <v>0</v>
      </c>
      <c r="J25" s="87"/>
      <c r="K25" s="83">
        <v>5</v>
      </c>
      <c r="L25" s="88"/>
      <c r="M25" s="40">
        <v>5</v>
      </c>
    </row>
    <row r="26" spans="1:16" s="27" customFormat="1" ht="36.75" customHeight="1" x14ac:dyDescent="0.2">
      <c r="A26" s="38"/>
      <c r="B26" s="40" t="s">
        <v>103</v>
      </c>
      <c r="C26" s="83"/>
      <c r="D26" s="84"/>
      <c r="E26" s="83"/>
      <c r="F26" s="84"/>
      <c r="G26" s="85"/>
      <c r="H26" s="87"/>
      <c r="I26" s="85">
        <v>1</v>
      </c>
      <c r="J26" s="87"/>
      <c r="K26" s="83">
        <v>4</v>
      </c>
      <c r="L26" s="88"/>
      <c r="M26" s="40">
        <v>4</v>
      </c>
      <c r="N26" s="27" t="s">
        <v>109</v>
      </c>
    </row>
    <row r="27" spans="1:16" s="27" customFormat="1" ht="36.75" customHeight="1" x14ac:dyDescent="0.2">
      <c r="A27" s="40"/>
      <c r="B27" s="40" t="s">
        <v>104</v>
      </c>
      <c r="C27" s="85"/>
      <c r="D27" s="86"/>
      <c r="E27" s="85"/>
      <c r="F27" s="86"/>
      <c r="G27" s="85"/>
      <c r="H27" s="87"/>
      <c r="I27" s="85">
        <v>1</v>
      </c>
      <c r="J27" s="87"/>
      <c r="K27" s="85">
        <v>3</v>
      </c>
      <c r="L27" s="87"/>
      <c r="M27" s="42">
        <v>3</v>
      </c>
    </row>
    <row r="28" spans="1:16" s="27" customFormat="1" ht="36.75" customHeight="1" x14ac:dyDescent="0.2">
      <c r="A28" s="40" t="s">
        <v>110</v>
      </c>
      <c r="B28" s="40" t="s">
        <v>111</v>
      </c>
      <c r="C28" s="85"/>
      <c r="D28" s="86"/>
      <c r="E28" s="85" t="s">
        <v>112</v>
      </c>
      <c r="F28" s="86"/>
      <c r="G28" s="85">
        <v>5</v>
      </c>
      <c r="H28" s="87"/>
      <c r="I28" s="85">
        <v>0</v>
      </c>
      <c r="J28" s="87"/>
      <c r="K28" s="85">
        <v>5</v>
      </c>
      <c r="L28" s="87"/>
      <c r="M28" s="42">
        <v>5</v>
      </c>
    </row>
    <row r="29" spans="1:16" s="27" customFormat="1" ht="36.75" customHeight="1" x14ac:dyDescent="0.2">
      <c r="A29" s="46"/>
      <c r="B29" s="47"/>
      <c r="C29" s="48"/>
      <c r="D29" s="48"/>
      <c r="E29" s="48"/>
      <c r="F29" s="48"/>
      <c r="G29" s="49"/>
      <c r="H29" s="49"/>
      <c r="I29" s="49"/>
      <c r="J29" s="49"/>
      <c r="K29" s="48"/>
      <c r="L29" s="48"/>
      <c r="M29" s="47"/>
    </row>
    <row r="30" spans="1:16" s="1" customFormat="1" ht="75.75" customHeight="1" x14ac:dyDescent="0.25">
      <c r="A30" s="28"/>
      <c r="B30" s="28"/>
      <c r="D30" s="20"/>
      <c r="G30"/>
      <c r="H30"/>
      <c r="M30" s="28"/>
    </row>
    <row r="31" spans="1:16" s="1" customFormat="1" x14ac:dyDescent="0.25">
      <c r="D31" s="20"/>
      <c r="G31"/>
      <c r="H31"/>
    </row>
    <row r="32" spans="1:16" s="1" customFormat="1" x14ac:dyDescent="0.25">
      <c r="D32" s="20"/>
      <c r="G32"/>
      <c r="H32"/>
    </row>
  </sheetData>
  <mergeCells count="92">
    <mergeCell ref="K27:L27"/>
    <mergeCell ref="C22:D22"/>
    <mergeCell ref="E22:F22"/>
    <mergeCell ref="G22:H22"/>
    <mergeCell ref="I22:J22"/>
    <mergeCell ref="K22:L22"/>
    <mergeCell ref="N24:P24"/>
    <mergeCell ref="G20:H20"/>
    <mergeCell ref="I20:J20"/>
    <mergeCell ref="K20:L20"/>
    <mergeCell ref="C19:D19"/>
    <mergeCell ref="G19:H19"/>
    <mergeCell ref="C24:D24"/>
    <mergeCell ref="E24:F24"/>
    <mergeCell ref="G24:H24"/>
    <mergeCell ref="I24:J24"/>
    <mergeCell ref="K24:L24"/>
    <mergeCell ref="I19:J19"/>
    <mergeCell ref="K19:L19"/>
    <mergeCell ref="C21:D21"/>
    <mergeCell ref="E21:F21"/>
    <mergeCell ref="C20:D20"/>
    <mergeCell ref="K18:L18"/>
    <mergeCell ref="E17:F17"/>
    <mergeCell ref="C18:D18"/>
    <mergeCell ref="E18:F18"/>
    <mergeCell ref="G17:H17"/>
    <mergeCell ref="I17:J17"/>
    <mergeCell ref="K17:L17"/>
    <mergeCell ref="K21:L21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G21:H21"/>
    <mergeCell ref="C16:D16"/>
    <mergeCell ref="C17:D17"/>
    <mergeCell ref="G18:H18"/>
    <mergeCell ref="I18:J18"/>
    <mergeCell ref="E16:F16"/>
    <mergeCell ref="B9:D9"/>
    <mergeCell ref="A10:M10"/>
    <mergeCell ref="A11:A13"/>
    <mergeCell ref="B11:B13"/>
    <mergeCell ref="C11:D13"/>
    <mergeCell ref="E11:F13"/>
    <mergeCell ref="G11:H13"/>
    <mergeCell ref="I11:J13"/>
    <mergeCell ref="K11:L13"/>
    <mergeCell ref="M11:M13"/>
    <mergeCell ref="G16:H16"/>
    <mergeCell ref="I16:J16"/>
    <mergeCell ref="K16:L16"/>
    <mergeCell ref="A2:K2"/>
    <mergeCell ref="A3:K3"/>
    <mergeCell ref="A4:K4"/>
    <mergeCell ref="A5:K5"/>
    <mergeCell ref="B7:D7"/>
    <mergeCell ref="I7:J7"/>
    <mergeCell ref="K28:L28"/>
    <mergeCell ref="C23:D23"/>
    <mergeCell ref="E23:F23"/>
    <mergeCell ref="G23:H23"/>
    <mergeCell ref="I23:J23"/>
    <mergeCell ref="K23:L23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E19:F19"/>
    <mergeCell ref="C28:D28"/>
    <mergeCell ref="E28:F28"/>
    <mergeCell ref="G28:H28"/>
    <mergeCell ref="I28:J28"/>
    <mergeCell ref="E20:F20"/>
    <mergeCell ref="I21:J21"/>
    <mergeCell ref="C27:D27"/>
    <mergeCell ref="E27:F27"/>
    <mergeCell ref="G27:H27"/>
    <mergeCell ref="I27:J27"/>
  </mergeCells>
  <phoneticPr fontId="5" type="noConversion"/>
  <pageMargins left="0.7" right="0.7" top="0.75" bottom="0.75" header="0.3" footer="0.3"/>
  <pageSetup paperSize="9" scale="4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ELECTION-NLC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2025-12-11T05:49:46Z</cp:lastPrinted>
  <dcterms:created xsi:type="dcterms:W3CDTF">2021-10-07T06:10:16Z</dcterms:created>
  <dcterms:modified xsi:type="dcterms:W3CDTF">2025-12-11T06:00:46Z</dcterms:modified>
</cp:coreProperties>
</file>