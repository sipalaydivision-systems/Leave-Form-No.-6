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B0D9D8BA-E405-4F97-8D88-218D219F4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7" r:id="rId2"/>
  </sheets>
  <definedNames>
    <definedName name="_xlnm.Print_Area" localSheetId="0">'Leave Card (NE)'!$A$1:$J$65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6" l="1"/>
  <c r="I52" i="6"/>
  <c r="J52" i="6"/>
  <c r="H53" i="6"/>
  <c r="J53" i="6" s="1"/>
  <c r="I53" i="6"/>
  <c r="I51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H13" i="6"/>
  <c r="H14" i="6" s="1"/>
  <c r="H15" i="6" s="1"/>
  <c r="J15" i="6" l="1"/>
  <c r="H16" i="6"/>
  <c r="J14" i="6"/>
  <c r="H17" i="6" l="1"/>
  <c r="J16" i="6"/>
  <c r="J13" i="6"/>
  <c r="J17" i="6" l="1"/>
  <c r="H18" i="6"/>
  <c r="J18" i="6" l="1"/>
  <c r="H19" i="6"/>
  <c r="H20" i="6" l="1"/>
  <c r="J19" i="6"/>
  <c r="J20" i="6" l="1"/>
  <c r="H21" i="6"/>
  <c r="H22" i="6" l="1"/>
  <c r="J21" i="6"/>
  <c r="H23" i="6" l="1"/>
  <c r="J22" i="6"/>
  <c r="J23" i="6" l="1"/>
  <c r="H24" i="6"/>
  <c r="H25" i="6" l="1"/>
  <c r="J24" i="6"/>
  <c r="J25" i="6" l="1"/>
  <c r="H26" i="6"/>
  <c r="J26" i="6" l="1"/>
  <c r="H27" i="6"/>
  <c r="J27" i="6" l="1"/>
  <c r="H28" i="6"/>
  <c r="H29" i="6" l="1"/>
  <c r="J28" i="6"/>
  <c r="J29" i="6" l="1"/>
  <c r="H30" i="6"/>
  <c r="H31" i="6" l="1"/>
  <c r="J30" i="6"/>
  <c r="J31" i="6" l="1"/>
  <c r="H32" i="6"/>
  <c r="J32" i="6" l="1"/>
  <c r="H33" i="6"/>
  <c r="J33" i="6" l="1"/>
  <c r="H34" i="6"/>
  <c r="H35" i="6" l="1"/>
  <c r="J34" i="6"/>
  <c r="J35" i="6" l="1"/>
  <c r="H36" i="6"/>
  <c r="H37" i="6" l="1"/>
  <c r="J36" i="6"/>
  <c r="J37" i="6" l="1"/>
  <c r="H38" i="6"/>
  <c r="J38" i="6" l="1"/>
  <c r="H39" i="6"/>
  <c r="H40" i="6" l="1"/>
  <c r="J39" i="6"/>
  <c r="J40" i="6" l="1"/>
  <c r="H41" i="6"/>
  <c r="J41" i="6" l="1"/>
  <c r="H42" i="6"/>
  <c r="H43" i="6" l="1"/>
  <c r="J42" i="6"/>
  <c r="J43" i="6" l="1"/>
  <c r="H44" i="6"/>
  <c r="J44" i="6" l="1"/>
  <c r="H45" i="6"/>
  <c r="H46" i="6" l="1"/>
  <c r="J45" i="6"/>
  <c r="H47" i="6" l="1"/>
  <c r="J46" i="6"/>
  <c r="J47" i="6" l="1"/>
  <c r="H48" i="6"/>
  <c r="J48" i="6" l="1"/>
  <c r="H49" i="6"/>
  <c r="J49" i="6" l="1"/>
  <c r="H50" i="6"/>
  <c r="J50" i="6" l="1"/>
  <c r="H51" i="6"/>
  <c r="J51" i="6" s="1"/>
</calcChain>
</file>

<file path=xl/sharedStrings.xml><?xml version="1.0" encoding="utf-8"?>
<sst xmlns="http://schemas.openxmlformats.org/spreadsheetml/2006/main" count="93" uniqueCount="76">
  <si>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</si>
  <si>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</si>
  <si>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</si>
  <si>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</si>
  <si>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</si>
  <si>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</si>
  <si>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</si>
  <si>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</si>
  <si>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</si>
  <si>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</si>
  <si>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</si>
  <si>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01/01/22 - 08/31/22</t>
  </si>
  <si>
    <t>LESS: MONETIZATION 2022</t>
  </si>
  <si>
    <t>LESS: 12/14 &amp; 15/22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</si>
  <si>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</si>
  <si>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</si>
  <si>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</si>
  <si>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</si>
  <si>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</si>
  <si>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</si>
  <si>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</si>
  <si>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</si>
  <si>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</si>
  <si>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01/07/2019 - 01/31/2019</t>
  </si>
  <si>
    <t>ADD: 02/01/2019 - 12/31/2019</t>
  </si>
  <si>
    <t>ADD: 01/01/2020 - 12/31/2020</t>
  </si>
  <si>
    <t>LESS: FL 2020</t>
  </si>
  <si>
    <t>LESS: MONETIZATION 2020</t>
  </si>
  <si>
    <t>ADD: 01/01/2021 - 12/31/2021</t>
  </si>
  <si>
    <t>LESS: FL 2021</t>
  </si>
  <si>
    <t>LESS: MONETIZATION 2021</t>
  </si>
  <si>
    <t>ADD: 12/01/22- 12/31/22</t>
  </si>
  <si>
    <t>ADD: 01/01/2023 - 03/31/2023</t>
  </si>
  <si>
    <t>LESS: 04/14/23 - 04/28/23</t>
  </si>
  <si>
    <t>ADD: 04/01/2023 - 05/31/2023</t>
  </si>
  <si>
    <t>ADD: 06/01/2023 - 08/31/2023</t>
  </si>
  <si>
    <t>LESS: MONETIZATION 2023</t>
  </si>
  <si>
    <t>Certified Correct:</t>
  </si>
  <si>
    <t>MA. LUISA B. CATIGAN</t>
  </si>
  <si>
    <t>Administrative Officer IV</t>
  </si>
  <si>
    <t>ADD: 09/01/2023-12/31/2023</t>
  </si>
  <si>
    <t>ADD: 01/01/2024-02/29/2024</t>
  </si>
  <si>
    <t>LESS: MAR. 12-14, 2024</t>
  </si>
  <si>
    <t>LESS: MAR. 15 &amp; 18, 2024</t>
  </si>
  <si>
    <t>ADD: 03/1/2024-06/30/2024</t>
  </si>
  <si>
    <t>LESS: 06/24/2024</t>
  </si>
  <si>
    <t>ADD: 07/1-31/2024</t>
  </si>
  <si>
    <t>ADD: 08/1/2024-10/31/2024</t>
  </si>
  <si>
    <t>LESS: 11/28-29/2024</t>
  </si>
  <si>
    <t>LESS: 12/2/2024</t>
  </si>
  <si>
    <t>LESS: 12/3-4/2024</t>
  </si>
  <si>
    <t>ADD: 11/1-30/2024</t>
  </si>
  <si>
    <t>LESS: MONETIZATION 2024</t>
  </si>
  <si>
    <t>ADD: 12/1-31/2024</t>
  </si>
  <si>
    <t>COMPENSATORY TIME OFF (CTO)</t>
  </si>
  <si>
    <t>Special Order No. and Date Issued</t>
  </si>
  <si>
    <t>No. of Days Granted</t>
  </si>
  <si>
    <t>No. of Days Used</t>
  </si>
  <si>
    <t>Balance</t>
  </si>
  <si>
    <t>ADD: 02/5/2025</t>
  </si>
  <si>
    <t>S.O. # 002, S. 2025. RIZAL DAY 2024</t>
  </si>
  <si>
    <t>NOTE:  Valid for one (1) year only</t>
  </si>
  <si>
    <t>HRMO</t>
  </si>
  <si>
    <t>LESS: 05/28/2025</t>
  </si>
  <si>
    <t>ADD: 09/01/22 - 11/30/22</t>
  </si>
  <si>
    <t>LESS: FL 2019</t>
  </si>
  <si>
    <t>ADD: 01/1/2025-08/31/2025</t>
  </si>
  <si>
    <t>LESS: FL 2022</t>
  </si>
  <si>
    <t>LESS:  FL 2023</t>
  </si>
  <si>
    <t xml:space="preserve">LESS: MONETIZATION 2025 </t>
  </si>
  <si>
    <t>NEGROS ISLAND REGION</t>
  </si>
  <si>
    <t>DATE FILED: AUG 27,SEPT 1 &amp; 5</t>
  </si>
  <si>
    <t>LESS: 08/28-29 &amp; 09/5, 19 &amp; 22/2025</t>
  </si>
  <si>
    <t>LESS: 10/3/2025</t>
  </si>
  <si>
    <t>ADD: 09/1/2025-11/30/2025</t>
  </si>
  <si>
    <t>LESS: 12/22-23/2025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</si>
</sst>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8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4" fillId="2" borderId="0" xfId="0" applyFont="1" applyFill="1"/>
    <xf numFmtId="164" fontId="3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5" fillId="0" borderId="0" xfId="1"/>
    <xf numFmtId="0" fontId="7" fillId="0" borderId="0" xfId="1" applyFont="1"/>
    <xf numFmtId="0" fontId="0" fillId="2" borderId="1" xfId="1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9" fillId="0" borderId="0" xfId="1" applyFont="1"/>
    <xf numFmtId="0" fontId="5" fillId="10" borderId="1" xfId="1" applyFill="1" applyBorder="1" applyAlignment="1">
      <alignment horizontal="center" vertical="center" wrapText="1"/>
    </xf>
    <xf numFmtId="0" fontId="0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5" fillId="0" borderId="0" xfId="1" applyAlignment="1">
      <alignment vertical="center"/>
    </xf>
    <xf numFmtId="0" fontId="5" fillId="2" borderId="0" xfId="1" applyFill="1" applyAlignment="1">
      <alignment horizontal="center" vertical="center" wrapText="1"/>
    </xf>
    <xf numFmtId="0" fontId="5" fillId="2" borderId="0" xfId="1" applyFill="1" applyAlignment="1">
      <alignment horizontal="center"/>
    </xf>
    <xf numFmtId="0" fontId="4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7" xfId="0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9" borderId="14" xfId="1" applyFont="1" applyFill="1" applyBorder="1" applyAlignment="1">
      <alignment horizontal="center" vertical="center" wrapText="1"/>
    </xf>
    <xf numFmtId="0" fontId="8" fillId="9" borderId="16" xfId="1" applyFont="1" applyFill="1" applyBorder="1" applyAlignment="1">
      <alignment horizontal="center" vertical="center" wrapText="1"/>
    </xf>
    <xf numFmtId="0" fontId="5" fillId="2" borderId="0" xfId="1" applyFill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6" fillId="7" borderId="6" xfId="1" applyFont="1" applyFill="1" applyBorder="1" applyAlignment="1">
      <alignment horizontal="center" vertical="center"/>
    </xf>
    <xf numFmtId="0" fontId="6" fillId="7" borderId="7" xfId="1" applyFont="1" applyFill="1" applyBorder="1" applyAlignment="1">
      <alignment horizontal="center" vertical="center"/>
    </xf>
    <xf numFmtId="0" fontId="6" fillId="8" borderId="10" xfId="1" applyFont="1" applyFill="1" applyBorder="1" applyAlignment="1">
      <alignment horizontal="center" vertical="center"/>
    </xf>
    <xf numFmtId="0" fontId="6" fillId="8" borderId="11" xfId="1" applyFont="1" applyFill="1" applyBorder="1" applyAlignment="1">
      <alignment horizontal="center" vertical="center"/>
    </xf>
    <xf numFmtId="0" fontId="6" fillId="7" borderId="9" xfId="1" applyFont="1" applyFill="1" applyBorder="1" applyAlignment="1">
      <alignment horizontal="center" vertical="center"/>
    </xf>
    <xf numFmtId="0" fontId="6" fillId="7" borderId="3" xfId="1" applyFont="1" applyFill="1" applyBorder="1" applyAlignment="1">
      <alignment horizontal="center" vertical="center"/>
    </xf>
    <xf numFmtId="0" fontId="8" fillId="9" borderId="15" xfId="1" applyFont="1" applyFill="1" applyBorder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8" fillId="2" borderId="14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2">
    <cellStyle name="Normal" xfId="0" builtinId="0"/>
    <cellStyle name="Normal 2 2" xfId="1" xr:uid="{079E29DC-6936-43E8-BCC5-E025D51E5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0</xdr:row>
      <xdr:rowOff>85725</xdr:rowOff>
    </xdr:from>
    <xdr:to>
      <xdr:col>4</xdr:col>
      <xdr:colOff>333375</xdr:colOff>
      <xdr:row>0</xdr:row>
      <xdr:rowOff>615950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85725"/>
          <a:ext cx="54292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392966</xdr:colOff>
      <xdr:row>4</xdr:row>
      <xdr:rowOff>199536</xdr:rowOff>
    </xdr:from>
    <xdr:to>
      <xdr:col>1</xdr:col>
      <xdr:colOff>114300</xdr:colOff>
      <xdr:row>6</xdr:row>
      <xdr:rowOff>144585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DFD95E9-DE7C-430D-AF5E-AE5FE2F817F7}"/>
            </a:ext>
          </a:extLst>
        </xdr:cNvPr>
        <xdr:cNvSpPr txBox="1"/>
      </xdr:nvSpPr>
      <xdr:spPr>
        <a:xfrm>
          <a:off x="392966" y="1399686"/>
          <a:ext cx="177873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DEBUYAN,</a:t>
          </a:r>
          <a:r>
            <a:rPr lang="en-US" sz="1100" baseline="0"/>
            <a:t> ETHEL GRACE S.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E8EC06-AE5D-4CE4-B213-5105DEA0C374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870113-45C4-4D7C-9579-702417CE8747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CAYHAGAN</a:t>
          </a:r>
          <a:r>
            <a:rPr lang="en-US" sz="1100" baseline="0"/>
            <a:t> NHS</a:t>
          </a:r>
          <a:endParaRPr lang="en-US" sz="1100"/>
        </a:p>
      </xdr:txBody>
    </xdr:sp>
    <xdr:clientData/>
  </xdr:twoCellAnchor>
  <xdr:twoCellAnchor>
    <xdr:from>
      <xdr:col>5</xdr:col>
      <xdr:colOff>361950</xdr:colOff>
      <xdr:row>57</xdr:row>
      <xdr:rowOff>85725</xdr:rowOff>
    </xdr:from>
    <xdr:to>
      <xdr:col>9</xdr:col>
      <xdr:colOff>691573</xdr:colOff>
      <xdr:row>63</xdr:row>
      <xdr:rowOff>3056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A21A55-58E4-412A-87D3-8C8DE55D737F}"/>
            </a:ext>
          </a:extLst>
        </xdr:cNvPr>
        <xdr:cNvSpPr txBox="1"/>
      </xdr:nvSpPr>
      <xdr:spPr>
        <a:xfrm>
          <a:off x="6105525" y="9991725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Personnel</a:t>
          </a:r>
          <a:r>
            <a:rPr lang="en-PH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Section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1B345-6F68-47C9-99BD-4ABA37EE50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815" y="403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31378B-EB51-44D0-A0B5-4DCC3FE567AA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DEBUYAN,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ETHEL GRACE 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4B8964-AEF8-436D-A67E-E05D3E37F6EC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6</xdr:col>
      <xdr:colOff>34018</xdr:colOff>
      <xdr:row>10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845930-6998-4BB6-8B84-7C58708DF317}"/>
            </a:ext>
          </a:extLst>
        </xdr:cNvPr>
        <xdr:cNvSpPr txBox="1"/>
      </xdr:nvSpPr>
      <xdr:spPr>
        <a:xfrm>
          <a:off x="3920104" y="1709285"/>
          <a:ext cx="1242106" cy="427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CAYHAGAN</a:t>
          </a:r>
          <a:r>
            <a:rPr lang="en-US" sz="1100" baseline="0"/>
            <a:t> NHS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tabSelected="1" view="pageBreakPreview" topLeftCell="A36" zoomScaleNormal="100" zoomScaleSheetLayoutView="100" workbookViewId="0">
      <selection activeCell="A57" sqref="A57"/>
    </sheetView>
  </sheetViews>
  <sheetFormatPr defaultRowHeight="15" x14ac:dyDescent="0.25"/>
  <cols>
    <col min="1" max="1" width="35.5703125" customWidth="1"/>
    <col min="2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54" t="s">
        <v>15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s="1" customFormat="1" ht="15.95" customHeight="1" x14ac:dyDescent="0.25">
      <c r="A3" s="54" t="s">
        <v>16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s="1" customFormat="1" ht="15.95" customHeight="1" x14ac:dyDescent="0.25">
      <c r="A4" s="54" t="s">
        <v>70</v>
      </c>
      <c r="B4" s="54"/>
      <c r="C4" s="54"/>
      <c r="D4" s="54"/>
      <c r="E4" s="54"/>
      <c r="F4" s="54"/>
      <c r="G4" s="54"/>
      <c r="H4" s="54"/>
      <c r="I4" s="54"/>
      <c r="J4" s="54"/>
    </row>
    <row r="5" spans="1:10" s="1" customFormat="1" ht="15.95" customHeight="1" x14ac:dyDescent="0.25">
      <c r="A5" s="54" t="s">
        <v>18</v>
      </c>
      <c r="B5" s="54"/>
      <c r="C5" s="54"/>
      <c r="D5" s="54"/>
      <c r="E5" s="54"/>
      <c r="F5" s="54"/>
      <c r="G5" s="54"/>
      <c r="H5" s="54"/>
      <c r="I5" s="54"/>
      <c r="J5" s="54"/>
    </row>
    <row r="6" spans="1:10" s="1" customFormat="1" ht="8.25" customHeight="1" x14ac:dyDescent="0.25"/>
    <row r="7" spans="1:10" s="1" customFormat="1" ht="12" customHeight="1" x14ac:dyDescent="0.25">
      <c r="A7" s="1" t="s">
        <v>19</v>
      </c>
      <c r="B7" s="52" t="s">
        <v>20</v>
      </c>
      <c r="C7" s="52"/>
      <c r="D7" s="52"/>
      <c r="H7" s="5" t="s">
        <v>9</v>
      </c>
      <c r="I7" s="8"/>
      <c r="J7" s="5"/>
    </row>
    <row r="8" spans="1:10" s="1" customFormat="1" ht="12" customHeight="1" x14ac:dyDescent="0.25">
      <c r="B8" s="3"/>
      <c r="C8" s="3"/>
      <c r="H8" s="3"/>
      <c r="I8" s="3"/>
      <c r="J8" s="3"/>
    </row>
    <row r="9" spans="1:10" s="1" customFormat="1" ht="12" customHeight="1" x14ac:dyDescent="0.25">
      <c r="A9" s="1" t="s">
        <v>21</v>
      </c>
      <c r="B9" s="52" t="s">
        <v>22</v>
      </c>
      <c r="C9" s="52"/>
      <c r="D9" s="52"/>
      <c r="H9" s="5" t="s">
        <v>10</v>
      </c>
      <c r="I9" s="6"/>
      <c r="J9" s="5"/>
    </row>
    <row r="10" spans="1:10" ht="16.5" customHeight="1" thickBot="1" x14ac:dyDescent="0.3">
      <c r="A10" s="53" t="s">
        <v>0</v>
      </c>
      <c r="B10" s="53"/>
      <c r="C10" s="53"/>
      <c r="D10" s="53"/>
      <c r="E10" s="53"/>
      <c r="F10" s="53"/>
      <c r="G10" s="53"/>
      <c r="H10" s="53"/>
      <c r="I10" s="53"/>
      <c r="J10" s="53"/>
    </row>
    <row r="11" spans="1:10" ht="18.75" customHeight="1" x14ac:dyDescent="0.25">
      <c r="A11" s="44" t="s">
        <v>4</v>
      </c>
      <c r="B11" s="51" t="s">
        <v>5</v>
      </c>
      <c r="C11" s="51"/>
      <c r="D11" s="48" t="s">
        <v>6</v>
      </c>
      <c r="E11" s="49"/>
      <c r="F11" s="49"/>
      <c r="G11" s="50"/>
      <c r="H11" s="43" t="s">
        <v>7</v>
      </c>
      <c r="I11" s="43"/>
      <c r="J11" s="46" t="s">
        <v>8</v>
      </c>
    </row>
    <row r="12" spans="1:10" ht="15.95" customHeight="1" thickBot="1" x14ac:dyDescent="0.3">
      <c r="A12" s="45"/>
      <c r="B12" s="40" t="s">
        <v>1</v>
      </c>
      <c r="C12" s="40" t="s">
        <v>2</v>
      </c>
      <c r="D12" s="40" t="s">
        <v>1</v>
      </c>
      <c r="E12" s="40" t="s">
        <v>2</v>
      </c>
      <c r="F12" s="40" t="s">
        <v>3</v>
      </c>
      <c r="G12" s="40" t="s">
        <v>14</v>
      </c>
      <c r="H12" s="40" t="s">
        <v>1</v>
      </c>
      <c r="I12" s="40" t="s">
        <v>2</v>
      </c>
      <c r="J12" s="47"/>
    </row>
    <row r="13" spans="1:10" ht="14.1" customHeight="1" x14ac:dyDescent="0.25">
      <c r="A13" s="36" t="s">
        <v>23</v>
      </c>
      <c r="B13" s="37">
        <v>1.042</v>
      </c>
      <c r="C13" s="37">
        <v>1.042</v>
      </c>
      <c r="D13" s="38"/>
      <c r="E13" s="38"/>
      <c r="F13" s="38"/>
      <c r="G13" s="38"/>
      <c r="H13" s="38">
        <f>B13</f>
        <v>1.042</v>
      </c>
      <c r="I13" s="38">
        <f>C13</f>
        <v>1.042</v>
      </c>
      <c r="J13" s="39">
        <f>SUM(H13:I13)</f>
        <v>2.0840000000000001</v>
      </c>
    </row>
    <row r="14" spans="1:10" ht="14.1" customHeight="1" x14ac:dyDescent="0.25">
      <c r="A14" s="9" t="s">
        <v>24</v>
      </c>
      <c r="B14" s="15">
        <v>13.75</v>
      </c>
      <c r="C14" s="15">
        <v>13.75</v>
      </c>
      <c r="D14" s="2"/>
      <c r="E14" s="2"/>
      <c r="F14" s="2"/>
      <c r="G14" s="2"/>
      <c r="H14" s="2">
        <f>H13-F14-D14+B14</f>
        <v>14.792</v>
      </c>
      <c r="I14" s="2">
        <f>I13-E14+C14</f>
        <v>14.792</v>
      </c>
      <c r="J14" s="4">
        <f>SUM(H14:I14)</f>
        <v>29.584</v>
      </c>
    </row>
    <row r="15" spans="1:10" ht="14.1" customHeight="1" x14ac:dyDescent="0.25">
      <c r="A15" s="9" t="s">
        <v>65</v>
      </c>
      <c r="B15" s="15"/>
      <c r="C15" s="15"/>
      <c r="D15" s="2"/>
      <c r="E15" s="2"/>
      <c r="F15" s="2">
        <v>5</v>
      </c>
      <c r="G15" s="2"/>
      <c r="H15" s="2">
        <f t="shared" ref="H15:H48" si="0">H14-F15-D15+B15</f>
        <v>9.7919999999999998</v>
      </c>
      <c r="I15" s="2">
        <f t="shared" ref="I15:I48" si="1">I14-E15+C15</f>
        <v>14.792</v>
      </c>
      <c r="J15" s="4">
        <f t="shared" ref="J15:J48" si="2">SUM(H15:I15)</f>
        <v>24.584</v>
      </c>
    </row>
    <row r="16" spans="1:10" ht="14.1" customHeight="1" x14ac:dyDescent="0.25">
      <c r="A16" s="9" t="s">
        <v>25</v>
      </c>
      <c r="B16" s="15">
        <v>15</v>
      </c>
      <c r="C16" s="15">
        <v>15</v>
      </c>
      <c r="D16" s="15"/>
      <c r="E16" s="15"/>
      <c r="F16" s="15"/>
      <c r="G16" s="2"/>
      <c r="H16" s="2">
        <f t="shared" si="0"/>
        <v>24.792000000000002</v>
      </c>
      <c r="I16" s="2">
        <f t="shared" si="1"/>
        <v>29.792000000000002</v>
      </c>
      <c r="J16" s="4">
        <f t="shared" si="2"/>
        <v>54.584000000000003</v>
      </c>
    </row>
    <row r="17" spans="1:10" ht="14.1" customHeight="1" x14ac:dyDescent="0.25">
      <c r="A17" s="9" t="s">
        <v>26</v>
      </c>
      <c r="B17" s="15"/>
      <c r="C17" s="15"/>
      <c r="D17" s="15"/>
      <c r="E17" s="15"/>
      <c r="F17" s="15">
        <v>5</v>
      </c>
      <c r="G17" s="2"/>
      <c r="H17" s="2">
        <f t="shared" si="0"/>
        <v>19.792000000000002</v>
      </c>
      <c r="I17" s="2">
        <f t="shared" si="1"/>
        <v>29.792000000000002</v>
      </c>
      <c r="J17" s="4">
        <f t="shared" si="2"/>
        <v>49.584000000000003</v>
      </c>
    </row>
    <row r="18" spans="1:10" ht="14.1" customHeight="1" x14ac:dyDescent="0.25">
      <c r="A18" s="9" t="s">
        <v>27</v>
      </c>
      <c r="B18" s="15"/>
      <c r="C18" s="15"/>
      <c r="D18" s="15">
        <v>10</v>
      </c>
      <c r="E18" s="15"/>
      <c r="F18" s="15"/>
      <c r="G18" s="2"/>
      <c r="H18" s="2">
        <f t="shared" si="0"/>
        <v>9.7920000000000016</v>
      </c>
      <c r="I18" s="2">
        <f t="shared" si="1"/>
        <v>29.792000000000002</v>
      </c>
      <c r="J18" s="4">
        <f t="shared" si="2"/>
        <v>39.584000000000003</v>
      </c>
    </row>
    <row r="19" spans="1:10" ht="14.1" customHeight="1" x14ac:dyDescent="0.25">
      <c r="A19" s="9" t="s">
        <v>28</v>
      </c>
      <c r="B19" s="15">
        <v>15</v>
      </c>
      <c r="C19" s="15">
        <v>15</v>
      </c>
      <c r="D19" s="15"/>
      <c r="E19" s="15"/>
      <c r="F19" s="15"/>
      <c r="G19" s="2"/>
      <c r="H19" s="2">
        <f t="shared" si="0"/>
        <v>24.792000000000002</v>
      </c>
      <c r="I19" s="2">
        <f t="shared" si="1"/>
        <v>44.792000000000002</v>
      </c>
      <c r="J19" s="4">
        <f t="shared" si="2"/>
        <v>69.584000000000003</v>
      </c>
    </row>
    <row r="20" spans="1:10" ht="14.1" customHeight="1" x14ac:dyDescent="0.25">
      <c r="A20" s="9" t="s">
        <v>29</v>
      </c>
      <c r="B20" s="15"/>
      <c r="C20" s="15"/>
      <c r="D20" s="15"/>
      <c r="E20" s="15"/>
      <c r="F20" s="15">
        <v>5</v>
      </c>
      <c r="G20" s="2"/>
      <c r="H20" s="2">
        <f t="shared" si="0"/>
        <v>19.792000000000002</v>
      </c>
      <c r="I20" s="2">
        <f t="shared" si="1"/>
        <v>44.792000000000002</v>
      </c>
      <c r="J20" s="4">
        <f t="shared" si="2"/>
        <v>64.584000000000003</v>
      </c>
    </row>
    <row r="21" spans="1:10" ht="14.1" customHeight="1" x14ac:dyDescent="0.25">
      <c r="A21" s="9" t="s">
        <v>30</v>
      </c>
      <c r="B21" s="15"/>
      <c r="C21" s="15"/>
      <c r="D21" s="15">
        <v>15</v>
      </c>
      <c r="E21" s="15">
        <v>14</v>
      </c>
      <c r="F21" s="15"/>
      <c r="G21" s="2"/>
      <c r="H21" s="2">
        <f t="shared" si="0"/>
        <v>4.7920000000000016</v>
      </c>
      <c r="I21" s="2">
        <f t="shared" si="1"/>
        <v>30.792000000000002</v>
      </c>
      <c r="J21" s="4">
        <f t="shared" si="2"/>
        <v>35.584000000000003</v>
      </c>
    </row>
    <row r="22" spans="1:10" ht="14.1" customHeight="1" x14ac:dyDescent="0.25">
      <c r="A22" s="9" t="s">
        <v>11</v>
      </c>
      <c r="B22" s="2">
        <v>10</v>
      </c>
      <c r="C22" s="2">
        <v>10</v>
      </c>
      <c r="D22" s="2"/>
      <c r="E22" s="2"/>
      <c r="F22" s="2"/>
      <c r="G22" s="2"/>
      <c r="H22" s="2">
        <f t="shared" si="0"/>
        <v>14.792000000000002</v>
      </c>
      <c r="I22" s="2">
        <f t="shared" si="1"/>
        <v>40.792000000000002</v>
      </c>
      <c r="J22" s="4">
        <f t="shared" si="2"/>
        <v>55.584000000000003</v>
      </c>
    </row>
    <row r="23" spans="1:10" ht="14.1" customHeight="1" x14ac:dyDescent="0.25">
      <c r="A23" s="9" t="s">
        <v>12</v>
      </c>
      <c r="B23" s="2"/>
      <c r="C23" s="2"/>
      <c r="D23" s="2">
        <v>10</v>
      </c>
      <c r="E23" s="2">
        <v>19</v>
      </c>
      <c r="F23" s="2"/>
      <c r="G23" s="2"/>
      <c r="H23" s="2">
        <f t="shared" si="0"/>
        <v>4.7920000000000016</v>
      </c>
      <c r="I23" s="2">
        <f t="shared" si="1"/>
        <v>21.792000000000002</v>
      </c>
      <c r="J23" s="4">
        <f t="shared" si="2"/>
        <v>26.584000000000003</v>
      </c>
    </row>
    <row r="24" spans="1:10" ht="14.1" customHeight="1" x14ac:dyDescent="0.25">
      <c r="A24" s="9" t="s">
        <v>64</v>
      </c>
      <c r="B24" s="2">
        <v>3.75</v>
      </c>
      <c r="C24" s="2">
        <v>3.75</v>
      </c>
      <c r="D24" s="2"/>
      <c r="E24" s="2"/>
      <c r="F24" s="2"/>
      <c r="G24" s="2"/>
      <c r="H24" s="2">
        <f t="shared" si="0"/>
        <v>8.5420000000000016</v>
      </c>
      <c r="I24" s="2">
        <f t="shared" si="1"/>
        <v>25.542000000000002</v>
      </c>
      <c r="J24" s="4">
        <f t="shared" si="2"/>
        <v>34.084000000000003</v>
      </c>
    </row>
    <row r="25" spans="1:10" ht="14.1" customHeight="1" x14ac:dyDescent="0.25">
      <c r="A25" s="9" t="s">
        <v>13</v>
      </c>
      <c r="B25" s="2"/>
      <c r="C25" s="2"/>
      <c r="D25" s="2"/>
      <c r="E25" s="2"/>
      <c r="F25" s="2">
        <v>2</v>
      </c>
      <c r="G25" s="2"/>
      <c r="H25" s="2">
        <f t="shared" si="0"/>
        <v>6.5420000000000016</v>
      </c>
      <c r="I25" s="2">
        <f t="shared" si="1"/>
        <v>25.542000000000002</v>
      </c>
      <c r="J25" s="4">
        <f t="shared" si="2"/>
        <v>32.084000000000003</v>
      </c>
    </row>
    <row r="26" spans="1:10" ht="14.1" customHeight="1" x14ac:dyDescent="0.25">
      <c r="A26" s="9" t="s">
        <v>31</v>
      </c>
      <c r="B26" s="2">
        <v>1.25</v>
      </c>
      <c r="C26" s="2">
        <v>1.25</v>
      </c>
      <c r="D26" s="2"/>
      <c r="E26" s="2"/>
      <c r="F26" s="2"/>
      <c r="G26" s="2"/>
      <c r="H26" s="2">
        <f t="shared" si="0"/>
        <v>7.7920000000000016</v>
      </c>
      <c r="I26" s="2">
        <f t="shared" si="1"/>
        <v>26.792000000000002</v>
      </c>
      <c r="J26" s="4">
        <f t="shared" si="2"/>
        <v>34.584000000000003</v>
      </c>
    </row>
    <row r="27" spans="1:10" ht="16.5" customHeight="1" x14ac:dyDescent="0.25">
      <c r="A27" s="9" t="s">
        <v>67</v>
      </c>
      <c r="B27" s="15"/>
      <c r="C27" s="15"/>
      <c r="D27" s="15"/>
      <c r="E27" s="15"/>
      <c r="F27" s="15">
        <v>3</v>
      </c>
      <c r="G27" s="2"/>
      <c r="H27" s="2">
        <f t="shared" si="0"/>
        <v>4.7920000000000016</v>
      </c>
      <c r="I27" s="2">
        <f t="shared" si="1"/>
        <v>26.792000000000002</v>
      </c>
      <c r="J27" s="4">
        <f t="shared" si="2"/>
        <v>31.584000000000003</v>
      </c>
    </row>
    <row r="28" spans="1:10" ht="14.1" customHeight="1" x14ac:dyDescent="0.25">
      <c r="A28" s="9" t="s">
        <v>32</v>
      </c>
      <c r="B28" s="15">
        <v>3.75</v>
      </c>
      <c r="C28" s="15">
        <v>3.75</v>
      </c>
      <c r="D28" s="15"/>
      <c r="E28" s="15"/>
      <c r="F28" s="15"/>
      <c r="G28" s="2"/>
      <c r="H28" s="2">
        <f t="shared" si="0"/>
        <v>8.5420000000000016</v>
      </c>
      <c r="I28" s="2">
        <f t="shared" si="1"/>
        <v>30.542000000000002</v>
      </c>
      <c r="J28" s="4">
        <f t="shared" si="2"/>
        <v>39.084000000000003</v>
      </c>
    </row>
    <row r="29" spans="1:10" ht="14.1" customHeight="1" x14ac:dyDescent="0.25">
      <c r="A29" s="9" t="s">
        <v>33</v>
      </c>
      <c r="B29" s="15"/>
      <c r="C29" s="15"/>
      <c r="D29" s="15"/>
      <c r="E29" s="15">
        <v>10</v>
      </c>
      <c r="F29" s="15"/>
      <c r="G29" s="2"/>
      <c r="H29" s="2">
        <f t="shared" si="0"/>
        <v>8.5420000000000016</v>
      </c>
      <c r="I29" s="2">
        <f t="shared" si="1"/>
        <v>20.542000000000002</v>
      </c>
      <c r="J29" s="4">
        <f t="shared" si="2"/>
        <v>29.084000000000003</v>
      </c>
    </row>
    <row r="30" spans="1:10" ht="14.1" customHeight="1" x14ac:dyDescent="0.25">
      <c r="A30" s="9" t="s">
        <v>34</v>
      </c>
      <c r="B30" s="15">
        <v>2.5</v>
      </c>
      <c r="C30" s="15">
        <v>2.5</v>
      </c>
      <c r="D30" s="15"/>
      <c r="E30" s="15"/>
      <c r="F30" s="15"/>
      <c r="G30" s="2"/>
      <c r="H30" s="2">
        <f t="shared" si="0"/>
        <v>11.042000000000002</v>
      </c>
      <c r="I30" s="2">
        <f t="shared" si="1"/>
        <v>23.042000000000002</v>
      </c>
      <c r="J30" s="4">
        <f t="shared" si="2"/>
        <v>34.084000000000003</v>
      </c>
    </row>
    <row r="31" spans="1:10" ht="14.1" customHeight="1" x14ac:dyDescent="0.25">
      <c r="A31" s="9" t="s">
        <v>35</v>
      </c>
      <c r="B31" s="15">
        <v>3.75</v>
      </c>
      <c r="C31" s="15">
        <v>3.75</v>
      </c>
      <c r="D31" s="15"/>
      <c r="E31" s="15"/>
      <c r="F31" s="15"/>
      <c r="G31" s="2"/>
      <c r="H31" s="2">
        <f t="shared" si="0"/>
        <v>14.792000000000002</v>
      </c>
      <c r="I31" s="2">
        <f t="shared" si="1"/>
        <v>26.792000000000002</v>
      </c>
      <c r="J31" s="4">
        <f t="shared" si="2"/>
        <v>41.584000000000003</v>
      </c>
    </row>
    <row r="32" spans="1:10" s="10" customFormat="1" ht="14.1" customHeight="1" x14ac:dyDescent="0.25">
      <c r="A32" s="9" t="s">
        <v>36</v>
      </c>
      <c r="B32" s="15"/>
      <c r="C32" s="15"/>
      <c r="D32" s="15">
        <v>8</v>
      </c>
      <c r="E32" s="15">
        <v>21</v>
      </c>
      <c r="F32" s="15"/>
      <c r="G32" s="2"/>
      <c r="H32" s="2">
        <f t="shared" si="0"/>
        <v>6.7920000000000016</v>
      </c>
      <c r="I32" s="2">
        <f t="shared" si="1"/>
        <v>5.7920000000000016</v>
      </c>
      <c r="J32" s="4">
        <f t="shared" si="2"/>
        <v>12.584000000000003</v>
      </c>
    </row>
    <row r="33" spans="1:10" ht="14.1" customHeight="1" x14ac:dyDescent="0.25">
      <c r="A33" s="7" t="s">
        <v>40</v>
      </c>
      <c r="B33" s="15">
        <v>5</v>
      </c>
      <c r="C33" s="15">
        <v>5</v>
      </c>
      <c r="D33" s="15"/>
      <c r="E33" s="15"/>
      <c r="F33" s="15"/>
      <c r="G33" s="2"/>
      <c r="H33" s="2">
        <f t="shared" si="0"/>
        <v>11.792000000000002</v>
      </c>
      <c r="I33" s="2">
        <f t="shared" si="1"/>
        <v>10.792000000000002</v>
      </c>
      <c r="J33" s="4">
        <f t="shared" si="2"/>
        <v>22.584000000000003</v>
      </c>
    </row>
    <row r="34" spans="1:10" ht="15" customHeight="1" x14ac:dyDescent="0.25">
      <c r="A34" s="9" t="s">
        <v>68</v>
      </c>
      <c r="B34" s="15"/>
      <c r="C34" s="15"/>
      <c r="D34" s="15"/>
      <c r="E34" s="15"/>
      <c r="F34" s="15">
        <v>5</v>
      </c>
      <c r="G34" s="2"/>
      <c r="H34" s="2">
        <f t="shared" si="0"/>
        <v>6.7920000000000016</v>
      </c>
      <c r="I34" s="2">
        <f t="shared" si="1"/>
        <v>10.792000000000002</v>
      </c>
      <c r="J34" s="4">
        <f t="shared" si="2"/>
        <v>17.584000000000003</v>
      </c>
    </row>
    <row r="35" spans="1:10" ht="14.1" customHeight="1" x14ac:dyDescent="0.25">
      <c r="A35" s="7" t="s">
        <v>41</v>
      </c>
      <c r="B35" s="2">
        <v>2.5</v>
      </c>
      <c r="C35" s="2">
        <v>2.5</v>
      </c>
      <c r="D35" s="2"/>
      <c r="E35" s="2"/>
      <c r="F35" s="2"/>
      <c r="G35" s="2"/>
      <c r="H35" s="2">
        <f t="shared" si="0"/>
        <v>9.2920000000000016</v>
      </c>
      <c r="I35" s="2">
        <f t="shared" si="1"/>
        <v>13.292000000000002</v>
      </c>
      <c r="J35" s="4">
        <f t="shared" si="2"/>
        <v>22.584000000000003</v>
      </c>
    </row>
    <row r="36" spans="1:10" ht="14.1" customHeight="1" x14ac:dyDescent="0.25">
      <c r="A36" s="7" t="s">
        <v>42</v>
      </c>
      <c r="B36" s="2"/>
      <c r="C36" s="2"/>
      <c r="D36" s="2"/>
      <c r="E36" s="2"/>
      <c r="F36" s="15">
        <v>3</v>
      </c>
      <c r="G36" s="15"/>
      <c r="H36" s="2">
        <f t="shared" si="0"/>
        <v>6.2920000000000016</v>
      </c>
      <c r="I36" s="2">
        <f t="shared" si="1"/>
        <v>13.292000000000002</v>
      </c>
      <c r="J36" s="4">
        <f t="shared" si="2"/>
        <v>19.584000000000003</v>
      </c>
    </row>
    <row r="37" spans="1:10" ht="14.1" customHeight="1" x14ac:dyDescent="0.25">
      <c r="A37" s="11" t="s">
        <v>43</v>
      </c>
      <c r="B37" s="2"/>
      <c r="C37" s="2"/>
      <c r="D37" s="2"/>
      <c r="E37" s="2"/>
      <c r="F37" s="15"/>
      <c r="G37" s="15">
        <v>2</v>
      </c>
      <c r="H37" s="2">
        <f t="shared" si="0"/>
        <v>6.2920000000000016</v>
      </c>
      <c r="I37" s="2">
        <f t="shared" si="1"/>
        <v>13.292000000000002</v>
      </c>
      <c r="J37" s="4">
        <f t="shared" si="2"/>
        <v>19.584000000000003</v>
      </c>
    </row>
    <row r="38" spans="1:10" ht="15.75" customHeight="1" x14ac:dyDescent="0.25">
      <c r="A38" s="11" t="s">
        <v>44</v>
      </c>
      <c r="B38" s="2">
        <v>5</v>
      </c>
      <c r="C38" s="2">
        <v>5</v>
      </c>
      <c r="D38" s="2"/>
      <c r="E38" s="2"/>
      <c r="F38" s="15"/>
      <c r="G38" s="15"/>
      <c r="H38" s="2">
        <f t="shared" si="0"/>
        <v>11.292000000000002</v>
      </c>
      <c r="I38" s="2">
        <f t="shared" si="1"/>
        <v>18.292000000000002</v>
      </c>
      <c r="J38" s="4">
        <f t="shared" si="2"/>
        <v>29.584000000000003</v>
      </c>
    </row>
    <row r="39" spans="1:10" ht="15.75" customHeight="1" x14ac:dyDescent="0.25">
      <c r="A39" s="11" t="s">
        <v>45</v>
      </c>
      <c r="B39" s="2"/>
      <c r="C39" s="2"/>
      <c r="D39" s="2"/>
      <c r="E39" s="2">
        <v>1</v>
      </c>
      <c r="F39" s="15"/>
      <c r="G39" s="15"/>
      <c r="H39" s="2">
        <f t="shared" si="0"/>
        <v>11.292000000000002</v>
      </c>
      <c r="I39" s="2">
        <f t="shared" si="1"/>
        <v>17.292000000000002</v>
      </c>
      <c r="J39" s="4">
        <f t="shared" si="2"/>
        <v>28.584000000000003</v>
      </c>
    </row>
    <row r="40" spans="1:10" ht="15.75" customHeight="1" x14ac:dyDescent="0.25">
      <c r="A40" s="11" t="s">
        <v>46</v>
      </c>
      <c r="B40" s="15">
        <v>1.25</v>
      </c>
      <c r="C40" s="15">
        <v>1.25</v>
      </c>
      <c r="D40" s="15"/>
      <c r="E40" s="15"/>
      <c r="F40" s="15"/>
      <c r="G40" s="15"/>
      <c r="H40" s="2">
        <f t="shared" si="0"/>
        <v>12.542000000000002</v>
      </c>
      <c r="I40" s="2">
        <f t="shared" si="1"/>
        <v>18.542000000000002</v>
      </c>
      <c r="J40" s="4">
        <f t="shared" si="2"/>
        <v>31.084000000000003</v>
      </c>
    </row>
    <row r="41" spans="1:10" ht="15.75" customHeight="1" x14ac:dyDescent="0.25">
      <c r="A41" s="11" t="s">
        <v>47</v>
      </c>
      <c r="B41" s="15">
        <v>3.75</v>
      </c>
      <c r="C41" s="15">
        <v>3.75</v>
      </c>
      <c r="D41" s="15"/>
      <c r="E41" s="15"/>
      <c r="F41" s="15"/>
      <c r="G41" s="15"/>
      <c r="H41" s="2">
        <f t="shared" si="0"/>
        <v>16.292000000000002</v>
      </c>
      <c r="I41" s="2">
        <f t="shared" si="1"/>
        <v>22.292000000000002</v>
      </c>
      <c r="J41" s="4">
        <f t="shared" si="2"/>
        <v>38.584000000000003</v>
      </c>
    </row>
    <row r="42" spans="1:10" ht="15.75" customHeight="1" x14ac:dyDescent="0.25">
      <c r="A42" s="11" t="s">
        <v>48</v>
      </c>
      <c r="B42" s="15"/>
      <c r="C42" s="15"/>
      <c r="D42" s="15"/>
      <c r="E42" s="15">
        <v>2</v>
      </c>
      <c r="F42" s="15"/>
      <c r="G42" s="15"/>
      <c r="H42" s="2">
        <f t="shared" si="0"/>
        <v>16.292000000000002</v>
      </c>
      <c r="I42" s="2">
        <f t="shared" si="1"/>
        <v>20.292000000000002</v>
      </c>
      <c r="J42" s="4">
        <f t="shared" si="2"/>
        <v>36.584000000000003</v>
      </c>
    </row>
    <row r="43" spans="1:10" ht="15.75" customHeight="1" x14ac:dyDescent="0.25">
      <c r="A43" s="11" t="s">
        <v>49</v>
      </c>
      <c r="B43" s="15"/>
      <c r="C43" s="15"/>
      <c r="D43" s="15"/>
      <c r="E43" s="15"/>
      <c r="F43" s="15"/>
      <c r="G43" s="15">
        <v>1</v>
      </c>
      <c r="H43" s="2">
        <f t="shared" si="0"/>
        <v>16.292000000000002</v>
      </c>
      <c r="I43" s="2">
        <f t="shared" si="1"/>
        <v>20.292000000000002</v>
      </c>
      <c r="J43" s="4">
        <f t="shared" si="2"/>
        <v>36.584000000000003</v>
      </c>
    </row>
    <row r="44" spans="1:10" ht="15.75" customHeight="1" x14ac:dyDescent="0.25">
      <c r="A44" s="11" t="s">
        <v>50</v>
      </c>
      <c r="B44" s="15"/>
      <c r="C44" s="15"/>
      <c r="D44" s="15"/>
      <c r="E44" s="15"/>
      <c r="F44" s="15">
        <v>2</v>
      </c>
      <c r="G44" s="15"/>
      <c r="H44" s="2">
        <f t="shared" si="0"/>
        <v>14.292000000000002</v>
      </c>
      <c r="I44" s="2">
        <f t="shared" si="1"/>
        <v>20.292000000000002</v>
      </c>
      <c r="J44" s="4">
        <f t="shared" si="2"/>
        <v>34.584000000000003</v>
      </c>
    </row>
    <row r="45" spans="1:10" ht="15.75" customHeight="1" x14ac:dyDescent="0.25">
      <c r="A45" s="11" t="s">
        <v>51</v>
      </c>
      <c r="B45" s="15">
        <v>1.25</v>
      </c>
      <c r="C45" s="15">
        <v>1.25</v>
      </c>
      <c r="D45" s="15"/>
      <c r="E45" s="15"/>
      <c r="F45" s="15"/>
      <c r="G45" s="15"/>
      <c r="H45" s="2">
        <f t="shared" si="0"/>
        <v>15.542000000000002</v>
      </c>
      <c r="I45" s="2">
        <f t="shared" si="1"/>
        <v>21.542000000000002</v>
      </c>
      <c r="J45" s="4">
        <f t="shared" si="2"/>
        <v>37.084000000000003</v>
      </c>
    </row>
    <row r="46" spans="1:10" ht="15.75" customHeight="1" x14ac:dyDescent="0.25">
      <c r="A46" s="11" t="s">
        <v>52</v>
      </c>
      <c r="B46" s="15"/>
      <c r="C46" s="15"/>
      <c r="D46" s="15">
        <v>10</v>
      </c>
      <c r="E46" s="15"/>
      <c r="F46" s="15"/>
      <c r="G46" s="15"/>
      <c r="H46" s="2">
        <f t="shared" si="0"/>
        <v>5.5420000000000016</v>
      </c>
      <c r="I46" s="2">
        <f t="shared" si="1"/>
        <v>21.542000000000002</v>
      </c>
      <c r="J46" s="4">
        <f t="shared" si="2"/>
        <v>27.084000000000003</v>
      </c>
    </row>
    <row r="47" spans="1:10" ht="15.75" customHeight="1" x14ac:dyDescent="0.25">
      <c r="A47" s="11" t="s">
        <v>53</v>
      </c>
      <c r="B47" s="15">
        <v>1.25</v>
      </c>
      <c r="C47" s="15">
        <v>1.25</v>
      </c>
      <c r="D47" s="15"/>
      <c r="E47" s="15"/>
      <c r="F47" s="15"/>
      <c r="G47" s="15"/>
      <c r="H47" s="2">
        <f t="shared" si="0"/>
        <v>6.7920000000000016</v>
      </c>
      <c r="I47" s="2">
        <f t="shared" si="1"/>
        <v>22.792000000000002</v>
      </c>
      <c r="J47" s="4">
        <f t="shared" si="2"/>
        <v>29.584000000000003</v>
      </c>
    </row>
    <row r="48" spans="1:10" ht="15.75" customHeight="1" x14ac:dyDescent="0.25">
      <c r="A48" s="11" t="s">
        <v>66</v>
      </c>
      <c r="B48" s="15">
        <v>10</v>
      </c>
      <c r="C48" s="15">
        <v>10</v>
      </c>
      <c r="D48" s="15"/>
      <c r="E48" s="15"/>
      <c r="F48" s="15"/>
      <c r="G48" s="15"/>
      <c r="H48" s="2">
        <f t="shared" si="0"/>
        <v>16.792000000000002</v>
      </c>
      <c r="I48" s="2">
        <f t="shared" si="1"/>
        <v>32.792000000000002</v>
      </c>
      <c r="J48" s="4">
        <f t="shared" si="2"/>
        <v>49.584000000000003</v>
      </c>
    </row>
    <row r="49" spans="1:11" ht="15.75" customHeight="1" x14ac:dyDescent="0.25">
      <c r="A49" s="11" t="s">
        <v>69</v>
      </c>
      <c r="B49" s="15"/>
      <c r="C49" s="15"/>
      <c r="D49" s="15">
        <v>10</v>
      </c>
      <c r="E49" s="15"/>
      <c r="F49" s="15"/>
      <c r="G49" s="15"/>
      <c r="H49" s="2">
        <f t="shared" ref="H49" si="3">H48-F49-D49+B49</f>
        <v>6.7920000000000016</v>
      </c>
      <c r="I49" s="2">
        <f t="shared" ref="I49" si="4">I48-E49+C49</f>
        <v>32.792000000000002</v>
      </c>
      <c r="J49" s="4">
        <f t="shared" ref="J49" si="5">SUM(H49:I49)</f>
        <v>39.584000000000003</v>
      </c>
    </row>
    <row r="50" spans="1:11" ht="15.75" customHeight="1" x14ac:dyDescent="0.25">
      <c r="A50" s="72" t="s">
        <v>72</v>
      </c>
      <c r="B50" s="15"/>
      <c r="C50" s="15"/>
      <c r="D50" s="15"/>
      <c r="E50" s="15"/>
      <c r="F50" s="41">
        <v>5</v>
      </c>
      <c r="G50" s="15"/>
      <c r="H50" s="2">
        <f t="shared" ref="H50" si="6">H49-F50-D50+B50</f>
        <v>1.7920000000000016</v>
      </c>
      <c r="I50" s="2">
        <f t="shared" ref="I50" si="7">I49-E50+C50</f>
        <v>32.792000000000002</v>
      </c>
      <c r="J50" s="4">
        <f t="shared" ref="J50" si="8">SUM(H50:I50)</f>
        <v>34.584000000000003</v>
      </c>
      <c r="K50" t="s">
        <v>71</v>
      </c>
    </row>
    <row r="51" spans="1:11" ht="15.75" customHeight="1" x14ac:dyDescent="0.25">
      <c r="A51" s="72" t="s">
        <v>73</v>
      </c>
      <c r="B51" s="15"/>
      <c r="C51" s="15"/>
      <c r="D51" s="15"/>
      <c r="E51" s="15"/>
      <c r="F51" s="15"/>
      <c r="G51" s="42">
        <v>1</v>
      </c>
      <c r="H51" s="2">
        <f t="shared" ref="H51" si="9">H50-F51-D51+B51</f>
        <v>1.7920000000000016</v>
      </c>
      <c r="I51" s="2">
        <f t="shared" ref="I51" si="10">I50-E51+C51</f>
        <v>32.792000000000002</v>
      </c>
      <c r="J51" s="4">
        <f t="shared" ref="J51" si="11">SUM(H51:I51)</f>
        <v>34.584000000000003</v>
      </c>
    </row>
    <row r="52" spans="1:11" ht="15.75" customHeight="1" x14ac:dyDescent="0.25">
      <c r="A52" s="73" t="s">
        <v>74</v>
      </c>
      <c r="B52" s="71">
        <v>3.75</v>
      </c>
      <c r="C52" s="71">
        <v>3.75</v>
      </c>
      <c r="D52" s="71"/>
      <c r="E52" s="71"/>
      <c r="F52" s="71"/>
      <c r="G52" s="71"/>
      <c r="H52" s="2">
        <f t="shared" ref="H52:H53" si="12">H51-F52-D52+B52</f>
        <v>5.5420000000000016</v>
      </c>
      <c r="I52" s="2">
        <f t="shared" ref="I52:I53" si="13">I51-E52+C52</f>
        <v>36.542000000000002</v>
      </c>
      <c r="J52" s="4">
        <f t="shared" ref="J52:J53" si="14">SUM(H52:I52)</f>
        <v>42.084000000000003</v>
      </c>
    </row>
    <row r="53" spans="1:11" ht="15.75" customHeight="1" x14ac:dyDescent="0.25">
      <c r="A53" s="73" t="s">
        <v>75</v>
      </c>
      <c r="B53" s="71"/>
      <c r="C53" s="71"/>
      <c r="D53" s="71"/>
      <c r="E53" s="71"/>
      <c r="F53" s="71"/>
      <c r="G53" s="42">
        <v>2</v>
      </c>
      <c r="H53" s="2">
        <f t="shared" si="12"/>
        <v>5.5420000000000016</v>
      </c>
      <c r="I53" s="2">
        <f t="shared" si="13"/>
        <v>36.542000000000002</v>
      </c>
      <c r="J53" s="4">
        <f t="shared" si="14"/>
        <v>42.084000000000003</v>
      </c>
    </row>
    <row r="54" spans="1:11" ht="15.75" customHeight="1" x14ac:dyDescent="0.25">
      <c r="A54" s="73"/>
      <c r="B54" s="71"/>
      <c r="C54" s="71"/>
      <c r="D54" s="71"/>
      <c r="E54" s="71"/>
      <c r="F54" s="71"/>
      <c r="G54" s="71"/>
      <c r="H54" s="71"/>
      <c r="I54" s="71"/>
      <c r="J54" s="71"/>
    </row>
    <row r="55" spans="1:11" ht="14.1" customHeight="1" x14ac:dyDescent="0.25">
      <c r="A55" s="12"/>
      <c r="B55" s="13"/>
      <c r="C55" s="13"/>
      <c r="D55" s="13"/>
      <c r="E55" s="13"/>
      <c r="F55" s="13"/>
      <c r="G55" s="13"/>
      <c r="H55" s="13"/>
      <c r="I55" s="13"/>
      <c r="J55" s="13"/>
    </row>
    <row r="56" spans="1:11" s="1" customFormat="1" x14ac:dyDescent="0.25"/>
    <row r="57" spans="1:11" s="1" customFormat="1" x14ac:dyDescent="0.25"/>
    <row r="58" spans="1:11" s="1" customFormat="1" x14ac:dyDescent="0.25">
      <c r="G58" s="14"/>
    </row>
    <row r="59" spans="1:11" s="1" customFormat="1" x14ac:dyDescent="0.25"/>
    <row r="60" spans="1:11" s="1" customFormat="1" x14ac:dyDescent="0.25">
      <c r="G60" s="16"/>
      <c r="H60" s="16"/>
    </row>
  </sheetData>
  <mergeCells count="12">
    <mergeCell ref="B9:D9"/>
    <mergeCell ref="A10:J10"/>
    <mergeCell ref="A2:J2"/>
    <mergeCell ref="A3:J3"/>
    <mergeCell ref="A4:J4"/>
    <mergeCell ref="A5:J5"/>
    <mergeCell ref="B7:D7"/>
    <mergeCell ref="H11:I11"/>
    <mergeCell ref="A11:A12"/>
    <mergeCell ref="J11:J12"/>
    <mergeCell ref="D11:G11"/>
    <mergeCell ref="B11:C11"/>
  </mergeCells>
  <printOptions horizontalCentered="1"/>
  <pageMargins left="0.25" right="0.25" top="0.25" bottom="0.25" header="0.3" footer="0.3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56FB-1CDE-4212-8224-036C0783E5AC}">
  <sheetPr>
    <pageSetUpPr fitToPage="1"/>
  </sheetPr>
  <dimension ref="A1:L23"/>
  <sheetViews>
    <sheetView view="pageBreakPreview" zoomScale="112" zoomScaleNormal="100" zoomScaleSheetLayoutView="112" workbookViewId="0">
      <selection activeCell="H19" sqref="H19"/>
    </sheetView>
  </sheetViews>
  <sheetFormatPr defaultColWidth="8.7109375" defaultRowHeight="15" x14ac:dyDescent="0.25"/>
  <cols>
    <col min="1" max="1" width="33.5703125" style="22" customWidth="1"/>
    <col min="2" max="16384" width="8.7109375" style="22"/>
  </cols>
  <sheetData>
    <row r="1" spans="1:12" s="17" customFormat="1" ht="52.5" customHeight="1" x14ac:dyDescent="0.25"/>
    <row r="2" spans="1:12" s="17" customFormat="1" ht="10.5" customHeight="1" x14ac:dyDescent="0.25">
      <c r="A2" s="57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17" customFormat="1" ht="15.95" customHeight="1" x14ac:dyDescent="0.25">
      <c r="A3" s="57" t="s">
        <v>16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s="17" customFormat="1" ht="15.95" customHeight="1" x14ac:dyDescent="0.25">
      <c r="A4" s="57" t="s">
        <v>17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s="17" customFormat="1" ht="15.95" customHeight="1" x14ac:dyDescent="0.25">
      <c r="A5" s="57" t="s">
        <v>18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2" s="17" customFormat="1" ht="8.25" customHeight="1" x14ac:dyDescent="0.25"/>
    <row r="7" spans="1:12" s="17" customFormat="1" ht="12" customHeight="1" x14ac:dyDescent="0.25">
      <c r="A7" s="17" t="s">
        <v>19</v>
      </c>
      <c r="C7" s="18" t="s">
        <v>20</v>
      </c>
      <c r="D7" s="18"/>
      <c r="G7" s="18" t="s">
        <v>9</v>
      </c>
      <c r="H7" s="19"/>
    </row>
    <row r="8" spans="1:12" s="17" customFormat="1" ht="12" customHeight="1" x14ac:dyDescent="0.25">
      <c r="C8" s="20"/>
      <c r="G8" s="20"/>
      <c r="H8" s="20"/>
    </row>
    <row r="9" spans="1:12" s="17" customFormat="1" ht="12" customHeight="1" x14ac:dyDescent="0.25">
      <c r="A9" s="17" t="s">
        <v>21</v>
      </c>
      <c r="C9" s="18" t="s">
        <v>22</v>
      </c>
      <c r="D9" s="18"/>
      <c r="G9" s="18" t="s">
        <v>10</v>
      </c>
      <c r="H9" s="21"/>
    </row>
    <row r="10" spans="1:12" s="17" customFormat="1" ht="12" customHeight="1" x14ac:dyDescent="0.25">
      <c r="C10" s="18"/>
      <c r="D10" s="18"/>
      <c r="G10" s="18"/>
      <c r="H10" s="18"/>
    </row>
    <row r="11" spans="1:12" ht="16.5" customHeight="1" thickBot="1" x14ac:dyDescent="0.3">
      <c r="A11" s="58" t="s">
        <v>54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2" s="23" customFormat="1" ht="18.75" customHeight="1" x14ac:dyDescent="0.2">
      <c r="A12" s="59" t="s">
        <v>4</v>
      </c>
      <c r="B12" s="61" t="s">
        <v>5</v>
      </c>
      <c r="C12" s="62"/>
      <c r="D12" s="62"/>
      <c r="E12" s="62"/>
      <c r="F12" s="62"/>
      <c r="G12" s="62"/>
      <c r="H12" s="62"/>
      <c r="I12" s="62"/>
      <c r="J12" s="62"/>
      <c r="K12" s="62"/>
      <c r="L12" s="63" t="s">
        <v>8</v>
      </c>
    </row>
    <row r="13" spans="1:12" s="23" customFormat="1" ht="24" customHeight="1" x14ac:dyDescent="0.2">
      <c r="A13" s="60"/>
      <c r="B13" s="55" t="s">
        <v>55</v>
      </c>
      <c r="C13" s="65"/>
      <c r="D13" s="65"/>
      <c r="E13" s="56"/>
      <c r="F13" s="55" t="s">
        <v>56</v>
      </c>
      <c r="G13" s="56"/>
      <c r="H13" s="55" t="s">
        <v>57</v>
      </c>
      <c r="I13" s="56"/>
      <c r="J13" s="55" t="s">
        <v>58</v>
      </c>
      <c r="K13" s="56"/>
      <c r="L13" s="64"/>
    </row>
    <row r="14" spans="1:12" s="26" customFormat="1" ht="25.5" customHeight="1" x14ac:dyDescent="0.2">
      <c r="A14" s="24" t="s">
        <v>59</v>
      </c>
      <c r="B14" s="67" t="s">
        <v>60</v>
      </c>
      <c r="C14" s="68"/>
      <c r="D14" s="68"/>
      <c r="E14" s="69"/>
      <c r="F14" s="67">
        <v>1</v>
      </c>
      <c r="G14" s="69"/>
      <c r="H14" s="67">
        <v>1</v>
      </c>
      <c r="I14" s="69"/>
      <c r="J14" s="67">
        <v>0</v>
      </c>
      <c r="K14" s="69"/>
      <c r="L14" s="25">
        <v>0</v>
      </c>
    </row>
    <row r="15" spans="1:12" s="26" customFormat="1" ht="25.5" customHeight="1" x14ac:dyDescent="0.2">
      <c r="A15" s="24" t="s">
        <v>63</v>
      </c>
      <c r="B15" s="67" t="s">
        <v>60</v>
      </c>
      <c r="C15" s="68"/>
      <c r="D15" s="68"/>
      <c r="E15" s="69"/>
      <c r="F15" s="67"/>
      <c r="G15" s="69"/>
      <c r="H15" s="67">
        <v>1</v>
      </c>
      <c r="I15" s="69"/>
      <c r="J15" s="67">
        <v>0</v>
      </c>
      <c r="K15" s="69"/>
      <c r="L15" s="27">
        <v>0</v>
      </c>
    </row>
    <row r="16" spans="1:12" s="26" customFormat="1" ht="25.5" customHeight="1" x14ac:dyDescent="0.2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26" customFormat="1" x14ac:dyDescent="0.2">
      <c r="A17" s="31" t="s">
        <v>61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2"/>
    </row>
    <row r="18" spans="1:12" ht="18.95" customHeight="1" x14ac:dyDescent="0.25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</row>
    <row r="19" spans="1:12" s="17" customFormat="1" x14ac:dyDescent="0.25">
      <c r="C19" s="33"/>
      <c r="I19" s="17" t="s">
        <v>37</v>
      </c>
    </row>
    <row r="20" spans="1:12" s="17" customFormat="1" x14ac:dyDescent="0.25">
      <c r="C20" s="33"/>
    </row>
    <row r="21" spans="1:12" x14ac:dyDescent="0.25">
      <c r="I21" s="34" t="s">
        <v>38</v>
      </c>
      <c r="J21" s="35"/>
    </row>
    <row r="22" spans="1:12" x14ac:dyDescent="0.25">
      <c r="I22" s="22" t="s">
        <v>39</v>
      </c>
    </row>
    <row r="23" spans="1:12" x14ac:dyDescent="0.25">
      <c r="I23" s="66" t="s">
        <v>62</v>
      </c>
      <c r="J23" s="66"/>
    </row>
  </sheetData>
  <mergeCells count="22">
    <mergeCell ref="I23:J23"/>
    <mergeCell ref="B14:E14"/>
    <mergeCell ref="F14:G14"/>
    <mergeCell ref="H14:I14"/>
    <mergeCell ref="J14:K14"/>
    <mergeCell ref="B15:E15"/>
    <mergeCell ref="F15:G15"/>
    <mergeCell ref="H15:I15"/>
    <mergeCell ref="J15:K15"/>
    <mergeCell ref="A18:L18"/>
    <mergeCell ref="H13:I13"/>
    <mergeCell ref="J13:K13"/>
    <mergeCell ref="A2:L2"/>
    <mergeCell ref="A3:L3"/>
    <mergeCell ref="A4:L4"/>
    <mergeCell ref="A5:L5"/>
    <mergeCell ref="A11:L11"/>
    <mergeCell ref="A12:A13"/>
    <mergeCell ref="B12:K12"/>
    <mergeCell ref="L12:L13"/>
    <mergeCell ref="B13:E13"/>
    <mergeCell ref="F13:G13"/>
  </mergeCells>
  <pageMargins left="0.7" right="0.7" top="0.75" bottom="0.75" header="0.3" footer="0.3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2026-01-14T02:14:20Z</cp:lastPrinted>
  <dcterms:created xsi:type="dcterms:W3CDTF">2021-10-07T06:10:16Z</dcterms:created>
  <dcterms:modified xsi:type="dcterms:W3CDTF">2026-01-14T02:15:07Z</dcterms:modified>
</cp:coreProperties>
</file>