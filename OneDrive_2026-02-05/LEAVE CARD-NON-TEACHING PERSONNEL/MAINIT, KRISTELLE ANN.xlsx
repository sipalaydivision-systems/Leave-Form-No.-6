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Leave Card (NE)" sheetId="6" r:id="rId1"/>
    <sheet name="Sheet1" sheetId="8" r:id="rId2"/>
  </sheets>
  <definedNames>
    <definedName name="_xlnm.Print_Area" localSheetId="0">'Leave Card (NE)'!$A$1:$J$122</definedName>
    <definedName name="_xlnm.Print_Area" localSheetId="1">Sheet1!$A$1:$K$24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<sst xmlns="http://schemas.openxmlformats.org/spreadsheetml/2006/main" count="167" uniqueCount="154">
  <si>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</si>
  <si>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</si>
  <si>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</si>
  <si>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</si>
  <si>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</si>
  <si>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</si>
  <si>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</si>
  <si>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</si>
  <si>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</si>
  <si>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</si>
  <si>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</si>
  <si>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</si>
  <si>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</si>
  <si>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</si>
  <si>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</si>
  <si>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</si>
  <si>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</si>
  <si>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</si>
  <si>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</si>
  <si>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</si>
  <si>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</si>
  <si>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07/15/2019 - 07/31/2019</t>
  </si>
  <si>
    <t>ADD: 08/01/2019 - 12/31/2019</t>
  </si>
  <si>
    <t>ADD: 01/01/2020 - 12/31/2020</t>
  </si>
  <si>
    <t>LESS: 01/2&amp;3/2020</t>
  </si>
  <si>
    <t>LESS: 02/24/2020</t>
  </si>
  <si>
    <t>LESS: FL 2020</t>
  </si>
  <si>
    <t>ADD: 01/01/2021 - 12/31/2021</t>
  </si>
  <si>
    <t>LESS: 04/05/2021</t>
  </si>
  <si>
    <t>LESS: 05/5 - 7/2021</t>
  </si>
  <si>
    <t>LESS: 09/13-15/2021</t>
  </si>
  <si>
    <t>LESS: MONETIZATION 2021</t>
  </si>
  <si>
    <t>ADD: 01/01/22 - 05/31/22</t>
  </si>
  <si>
    <t>LESS: 06/13/22</t>
  </si>
  <si>
    <t>ADD: 06/01/22 - 06/30/22</t>
  </si>
  <si>
    <t>LESS: 07/06/22</t>
  </si>
  <si>
    <t>ADD: 07/01/22 - 07/31/22</t>
  </si>
  <si>
    <t>LESS: 08/24/22</t>
  </si>
  <si>
    <t>ADD: 08/01/22 - 08/31/22</t>
  </si>
  <si>
    <t>ADD: 09/01/22 - 09/30/22</t>
  </si>
  <si>
    <t>LESS: 10/04/22</t>
  </si>
  <si>
    <t>LESS: 10/06/22</t>
  </si>
  <si>
    <t>LESS: MONETIZATION 2022</t>
  </si>
  <si>
    <t>LESS: 10/13/22</t>
  </si>
  <si>
    <t>ADD: 10/01/22 - 11/30/22</t>
  </si>
  <si>
    <t>LESS: 12/07 &amp; 09/22</t>
  </si>
  <si>
    <t>LESS: 12/23/22</t>
  </si>
  <si>
    <t>ADD: 12/01/22 - 12/31/22</t>
  </si>
  <si>
    <t>LESS: 12/21/22</t>
  </si>
  <si>
    <t>LESS: 1/11 &amp; 12/23</t>
  </si>
  <si>
    <t>LESS: 01/31/23</t>
  </si>
  <si>
    <t>ADD: 01/01/23 - 2/28/23</t>
  </si>
  <si>
    <t>LESS: 03/20 &amp; 21/23</t>
  </si>
  <si>
    <t>ADD: 03/01/23 - 3/31/23</t>
  </si>
  <si>
    <t>LESS: 04/25/23</t>
  </si>
  <si>
    <t>ADD: 04/01/23 - 4/30/23</t>
  </si>
  <si>
    <t>LESS: 05/09/23</t>
  </si>
  <si>
    <t>LESS: 05/22 - 23/23</t>
  </si>
  <si>
    <t>ADD: 05/01/23 - 5/31/23</t>
  </si>
  <si>
    <t>LESS: 06/01/23</t>
  </si>
  <si>
    <t>LESS: 06/15 &amp; 16/23</t>
  </si>
  <si>
    <t>ADD: 06/01/23 - 6/30/23</t>
  </si>
  <si>
    <t>LESS: 06/30/23</t>
  </si>
  <si>
    <t>LESS: 07/17/23</t>
  </si>
  <si>
    <t>LESS: 07/27/23</t>
  </si>
  <si>
    <t>ADD: 07/01/23 - 8/31/23</t>
  </si>
  <si>
    <t>LESS: 08/04/23</t>
  </si>
  <si>
    <t>LESS: MONETIZATION 2023</t>
  </si>
  <si>
    <t>LESS: 08/29/2023</t>
  </si>
  <si>
    <t>LESS: 09/18/2023</t>
  </si>
  <si>
    <t>ADD:09/01/2023-09/30/2023</t>
  </si>
  <si>
    <t>LESS: 10/06/2023</t>
  </si>
  <si>
    <t>ADD: 10/01/2023-10/31/2023</t>
  </si>
  <si>
    <t>LESS:11/08/2023</t>
  </si>
  <si>
    <t>LESS: 11/20/2023</t>
  </si>
  <si>
    <t>LESS: 11/24/2023</t>
  </si>
  <si>
    <t>ADD: 11/01/2023-12/31/2023</t>
  </si>
  <si>
    <t>LESS: 01/02/2024</t>
  </si>
  <si>
    <t>LESS: 01/8-9/2024</t>
  </si>
  <si>
    <t>LESS: 01/22/2024</t>
  </si>
  <si>
    <t>ADD: 01/01-31/2024</t>
  </si>
  <si>
    <t>LESS: 02/02/2024</t>
  </si>
  <si>
    <t>ADD: 02/01/2024-02/29/2024</t>
  </si>
  <si>
    <t>LESS: 02/14/2024</t>
  </si>
  <si>
    <t>ADD: 03/01-31/2024</t>
  </si>
  <si>
    <t>LESS: 03/20/2024</t>
  </si>
  <si>
    <t>LESS: 03/22/2024</t>
  </si>
  <si>
    <t>LESS: 04/17/2024</t>
  </si>
  <si>
    <t>ADD: 04/1-30/2024</t>
  </si>
  <si>
    <t>LESS: 04/30/2024</t>
  </si>
  <si>
    <t>ADD: 05/1-31/2024</t>
  </si>
  <si>
    <t>LESS: 05/20/2024</t>
  </si>
  <si>
    <t>LESS: 05/28-29/2024</t>
  </si>
  <si>
    <t>LESS: 06/3-4/2024</t>
  </si>
  <si>
    <t>LESS: 06/10,14, 18,19/2024</t>
  </si>
  <si>
    <t>ADD: 06/1-30/2024</t>
  </si>
  <si>
    <t>LESS: 06/25-26 &amp; 07/03/2024</t>
  </si>
  <si>
    <t>LESS: 07/16-17/2024</t>
  </si>
  <si>
    <t>ADD: 07/1-31/2024</t>
  </si>
  <si>
    <t>LESS: 07/15 &amp; 30/2024</t>
  </si>
  <si>
    <t>LESS: 08/27/2024</t>
  </si>
  <si>
    <t>ADD: 08/1-31/2024</t>
  </si>
  <si>
    <t>LESS: 09/04/2024</t>
  </si>
  <si>
    <t>LESS: 09/10/2024</t>
  </si>
  <si>
    <t>LESS: 09/20/2024</t>
  </si>
  <si>
    <t>ADD: 09/1-30/2024</t>
  </si>
  <si>
    <t>LESS: 09/20/2024 &amp; 10/01/2024</t>
  </si>
  <si>
    <t>LESS: 10/16/2024</t>
  </si>
  <si>
    <t>LESS: 10/30/2024</t>
  </si>
  <si>
    <t>ADD: 10/1-31/2024</t>
  </si>
  <si>
    <t>LESS: 11/4 &amp; 12/2024</t>
  </si>
  <si>
    <t>ADD: 11/1/2024-12/31/2024</t>
  </si>
  <si>
    <t>ADD: 01/1/2025-03/31/2025</t>
  </si>
  <si>
    <t>LESS: 04/24/2025</t>
  </si>
  <si>
    <t>LESS: 05/9/2025</t>
  </si>
  <si>
    <t>ADD: 04/1/2025-05/31/2025</t>
  </si>
  <si>
    <t>LESS: 06/9/2025</t>
  </si>
  <si>
    <t>ADD: 06/1-30/2025</t>
  </si>
  <si>
    <t>LESS: 06/4/2025</t>
  </si>
  <si>
    <t>ADD: 07/1/2025-09/30/2025</t>
  </si>
  <si>
    <t>LESS: 09/11/2025</t>
  </si>
  <si>
    <t>LESS: 10/2/2025</t>
  </si>
  <si>
    <t>ADD: 10/1/2025-11/30/2025</t>
  </si>
  <si>
    <t>LESS: 11/17-19/2025</t>
  </si>
  <si>
    <t>LESS: 12/15-16/2025</t>
  </si>
  <si>
    <t>Certified Correct:</t>
  </si>
  <si>
    <t>MA. LUISA B. CATIGAN</t>
  </si>
  <si>
    <t>Administrative Officer IV</t>
  </si>
  <si>
    <t>HRMO</t>
  </si>
  <si>
    <t>NEGROS ISLAND REGION</t>
  </si>
  <si>
    <t xml:space="preserve">NAME          : </t>
  </si>
  <si>
    <t>DISTRICT                : _______________________</t>
  </si>
  <si>
    <t>EMPLOYEE NO    : __________</t>
  </si>
  <si>
    <t>STATION CODE    : __________</t>
  </si>
  <si>
    <t xml:space="preserve">POSITION   : </t>
  </si>
  <si>
    <t>SCHOOL/OFFICE : _________________________</t>
  </si>
  <si>
    <t>DIVISION CODE   : __________</t>
  </si>
  <si>
    <t>SPECIAL ORDER FOR ELECTION (NATONAL/BARANGAY AND SK ELECTION)</t>
  </si>
  <si>
    <t>SPECIAL ORDER NO. AND DATE ISSUED</t>
  </si>
  <si>
    <t>RELEASED DATE</t>
  </si>
  <si>
    <t>ELECTION</t>
  </si>
  <si>
    <t>No. of Days Granted</t>
  </si>
  <si>
    <t>No. of Days Used</t>
  </si>
  <si>
    <t>Balance</t>
  </si>
  <si>
    <t>ADD: S.0 # 051, S. 2022, JULY 1, 2022</t>
  </si>
  <si>
    <t xml:space="preserve"> MAY 9, 2022 NATIONAL AND LOCAL ELECTION</t>
  </si>
  <si>
    <t>LESS: 11/17, 21,23 &amp; 25/2022</t>
  </si>
  <si>
    <t>LESS: 12/18/2023</t>
  </si>
  <si>
    <t>ADD: S.0 # 010, S. 2024, APRIL 30, 2024</t>
  </si>
  <si>
    <t>04/30/2024</t>
  </si>
  <si>
    <t>OCTOBER 30, 2023 LOCAL ELECTION</t>
  </si>
  <si>
    <t>LESS: 03/7, 10, 11/2025</t>
  </si>
  <si>
    <t>LESS: 05/19/2025</t>
  </si>
  <si>
    <t>LESS: 08/14/2025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</si>
</sst>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32" applyNumberFormat="0" applyAlignment="0" applyProtection="0">
      <alignment vertical="center"/>
    </xf>
    <xf numFmtId="0" fontId="20" fillId="12" borderId="33" applyNumberFormat="0" applyAlignment="0" applyProtection="0">
      <alignment vertical="center"/>
    </xf>
    <xf numFmtId="0" fontId="21" fillId="12" borderId="32" applyNumberFormat="0" applyAlignment="0" applyProtection="0">
      <alignment vertical="center"/>
    </xf>
    <xf numFmtId="0" fontId="22" fillId="13" borderId="34" applyNumberFormat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58" fontId="0" fillId="2" borderId="12" xfId="0" applyNumberForma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76" fontId="7" fillId="2" borderId="19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176" fontId="7" fillId="2" borderId="19" xfId="0" applyNumberFormat="1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371475</xdr:colOff>
      <xdr:row>0</xdr:row>
      <xdr:rowOff>47626</xdr:rowOff>
    </xdr:from>
    <xdr:to>
      <xdr:col>4</xdr:col>
      <xdr:colOff>260480</xdr:colOff>
      <xdr:row>0</xdr:row>
      <xdr:rowOff>650875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8960" y="47625"/>
          <a:ext cx="682625" cy="6032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485776</xdr:colOff>
      <xdr:row>4</xdr:row>
      <xdr:rowOff>170961</xdr:rowOff>
    </xdr:from>
    <xdr:to>
      <xdr:col>1</xdr:col>
      <xdr:colOff>1467</xdr:colOff>
      <xdr:row>6</xdr:row>
      <xdr:rowOff>116010</xdr:rowOff>
    </xdr:to>
    <xdr:sp>
      <xdr:nvSpPr>
        <xdr:cNvPr id="4" name="TextBox 3"/>
        <xdr:cNvSpPr txBox="1"/>
      </xdr:nvSpPr>
      <xdr:spPr>
        <a:xfrm>
          <a:off x="485775" y="1376045"/>
          <a:ext cx="193548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MAINIT, KRISTELLE ANN F.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80340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62839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518771</xdr:colOff>
      <xdr:row>0</xdr:row>
      <xdr:rowOff>85045</xdr:rowOff>
    </xdr:from>
    <xdr:to>
      <xdr:col>3</xdr:col>
      <xdr:colOff>416719</xdr:colOff>
      <xdr:row>0</xdr:row>
      <xdr:rowOff>629330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5520" y="84455"/>
          <a:ext cx="515620" cy="54483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331334</xdr:colOff>
      <xdr:row>21</xdr:row>
      <xdr:rowOff>243569</xdr:rowOff>
    </xdr:from>
    <xdr:to>
      <xdr:col>10</xdr:col>
      <xdr:colOff>637835</xdr:colOff>
      <xdr:row>23</xdr:row>
      <xdr:rowOff>157844</xdr:rowOff>
    </xdr:to>
    <xdr:sp>
      <xdr:nvSpPr>
        <xdr:cNvPr id="3" name="TextBox 2"/>
        <xdr:cNvSpPr txBox="1"/>
      </xdr:nvSpPr>
      <xdr:spPr>
        <a:xfrm>
          <a:off x="4572635" y="6657975"/>
          <a:ext cx="28733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2834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77085"/>
          <a:ext cx="22834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952500</xdr:colOff>
      <xdr:row>5</xdr:row>
      <xdr:rowOff>88194</xdr:rowOff>
    </xdr:from>
    <xdr:to>
      <xdr:col>2</xdr:col>
      <xdr:colOff>29398</xdr:colOff>
      <xdr:row>7</xdr:row>
      <xdr:rowOff>99954</xdr:rowOff>
    </xdr:to>
    <xdr:sp>
      <xdr:nvSpPr>
        <xdr:cNvPr id="6" name="TextBox 5"/>
        <xdr:cNvSpPr txBox="1"/>
      </xdr:nvSpPr>
      <xdr:spPr>
        <a:xfrm>
          <a:off x="952500" y="1495425"/>
          <a:ext cx="2084070" cy="2216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MAINIT, KRISTELLE ANN M.</a:t>
          </a:r>
          <a:endParaRPr lang="en-US" sz="1100"/>
        </a:p>
      </xdr:txBody>
    </xdr:sp>
    <xdr:clientData/>
  </xdr:twoCellAnchor>
  <xdr:twoCellAnchor>
    <xdr:from>
      <xdr:col>0</xdr:col>
      <xdr:colOff>829027</xdr:colOff>
      <xdr:row>8</xdr:row>
      <xdr:rowOff>52916</xdr:rowOff>
    </xdr:from>
    <xdr:to>
      <xdr:col>1</xdr:col>
      <xdr:colOff>1493425</xdr:colOff>
      <xdr:row>9</xdr:row>
      <xdr:rowOff>111713</xdr:rowOff>
    </xdr:to>
    <xdr:sp>
      <xdr:nvSpPr>
        <xdr:cNvPr id="7" name="TextBox 6"/>
        <xdr:cNvSpPr txBox="1"/>
      </xdr:nvSpPr>
      <xdr:spPr>
        <a:xfrm>
          <a:off x="828675" y="1822450"/>
          <a:ext cx="2178685" cy="2228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120531</xdr:rowOff>
    </xdr:from>
    <xdr:to>
      <xdr:col>6</xdr:col>
      <xdr:colOff>483600</xdr:colOff>
      <xdr:row>9</xdr:row>
      <xdr:rowOff>126412</xdr:rowOff>
    </xdr:to>
    <xdr:sp>
      <xdr:nvSpPr>
        <xdr:cNvPr id="8" name="TextBox 7"/>
        <xdr:cNvSpPr txBox="1"/>
      </xdr:nvSpPr>
      <xdr:spPr>
        <a:xfrm>
          <a:off x="4241800" y="1889760"/>
          <a:ext cx="1355090" cy="1708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2"/>
  <sheetViews>
    <sheetView tabSelected="1" view="pageBreakPreview" zoomScaleNormal="100" topLeftCell="A106" workbookViewId="0">
      <selection activeCell="A114" sqref="$A114:$XFD114"/>
    </sheetView>
  </sheetViews>
  <sheetFormatPr defaultColWidth="9" defaultRowHeight="14.4"/>
  <cols>
    <col min="1" max="1" width="35.287037037037" customWidth="1"/>
    <col min="2" max="10" width="11.5740740740741" customWidth="1"/>
    <col min="11" max="11" width="26.4259259259259" style="45" customWidth="1"/>
  </cols>
  <sheetData>
    <row r="1" s="1" customFormat="1" ht="52.5" customHeight="1"/>
    <row r="2" s="1" customFormat="1" ht="10.5" customHeight="1" spans="1:10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ht="15.95" customHeight="1" spans="1:10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5.95" customHeight="1" spans="1:10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</row>
    <row r="5" s="1" customFormat="1" ht="15.95" customHeight="1" spans="1:10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</row>
    <row r="6" s="1" customFormat="1" ht="8.25" customHeight="1"/>
    <row r="7" s="1" customFormat="1" ht="12" customHeight="1" spans="1:10">
      <c r="A7" s="1" t="s">
        <v>4</v>
      </c>
      <c r="B7" s="8" t="s">
        <v>5</v>
      </c>
      <c r="C7" s="8"/>
      <c r="D7" s="8"/>
      <c r="H7" s="7" t="s">
        <v>6</v>
      </c>
      <c r="I7" s="60"/>
      <c r="J7" s="7"/>
    </row>
    <row r="8" s="1" customFormat="1" ht="12" customHeight="1" spans="2:10">
      <c r="B8" s="9"/>
      <c r="C8" s="9"/>
      <c r="H8" s="9"/>
      <c r="I8" s="9"/>
      <c r="J8" s="9"/>
    </row>
    <row r="9" s="1" customFormat="1" ht="12" customHeight="1" spans="1:10">
      <c r="A9" s="1" t="s">
        <v>7</v>
      </c>
      <c r="B9" s="8" t="s">
        <v>8</v>
      </c>
      <c r="C9" s="8"/>
      <c r="D9" s="8"/>
      <c r="H9" s="7" t="s">
        <v>9</v>
      </c>
      <c r="I9" s="61"/>
      <c r="J9" s="7"/>
    </row>
    <row r="10" ht="16.5" customHeight="1" spans="1:11">
      <c r="A10" s="10" t="s">
        <v>10</v>
      </c>
      <c r="B10" s="10"/>
      <c r="C10" s="10"/>
      <c r="D10" s="10"/>
      <c r="E10" s="10"/>
      <c r="F10" s="10"/>
      <c r="G10" s="10"/>
      <c r="H10" s="10"/>
      <c r="I10" s="10"/>
      <c r="J10" s="10"/>
      <c r="K10"/>
    </row>
    <row r="11" ht="18.75" customHeight="1" spans="1:11">
      <c r="A11" s="46" t="s">
        <v>11</v>
      </c>
      <c r="B11" s="47" t="s">
        <v>12</v>
      </c>
      <c r="C11" s="47"/>
      <c r="D11" s="48" t="s">
        <v>13</v>
      </c>
      <c r="E11" s="49"/>
      <c r="F11" s="49"/>
      <c r="G11" s="50"/>
      <c r="H11" s="51" t="s">
        <v>14</v>
      </c>
      <c r="I11" s="51"/>
      <c r="J11" s="62" t="s">
        <v>15</v>
      </c>
      <c r="K11" s="63" t="s">
        <v>16</v>
      </c>
    </row>
    <row r="12" ht="18.75" customHeight="1" spans="1:11">
      <c r="A12" s="52"/>
      <c r="B12" s="53" t="s">
        <v>17</v>
      </c>
      <c r="C12" s="53" t="s">
        <v>18</v>
      </c>
      <c r="D12" s="53" t="s">
        <v>17</v>
      </c>
      <c r="E12" s="53" t="s">
        <v>18</v>
      </c>
      <c r="F12" s="53" t="s">
        <v>19</v>
      </c>
      <c r="G12" s="53" t="s">
        <v>20</v>
      </c>
      <c r="H12" s="53" t="s">
        <v>17</v>
      </c>
      <c r="I12" s="53" t="s">
        <v>18</v>
      </c>
      <c r="J12" s="64"/>
      <c r="K12" s="63"/>
    </row>
    <row r="13" ht="15.95" customHeight="1" spans="1:10">
      <c r="A13" s="54" t="s">
        <v>21</v>
      </c>
      <c r="B13" s="55">
        <v>0.708</v>
      </c>
      <c r="C13" s="55">
        <v>0.708</v>
      </c>
      <c r="D13" s="55"/>
      <c r="E13" s="55"/>
      <c r="F13" s="55"/>
      <c r="G13" s="55"/>
      <c r="H13" s="55">
        <f>B13</f>
        <v>0.708</v>
      </c>
      <c r="I13" s="55">
        <f>C13</f>
        <v>0.708</v>
      </c>
      <c r="J13" s="55">
        <f t="shared" ref="J13:J16" si="0">SUM(H13:I13)</f>
        <v>1.416</v>
      </c>
    </row>
    <row r="14" ht="15.95" customHeight="1" spans="1:10">
      <c r="A14" s="54" t="s">
        <v>22</v>
      </c>
      <c r="B14" s="55">
        <f>5*1.25</f>
        <v>6.25</v>
      </c>
      <c r="C14" s="55">
        <v>6.25</v>
      </c>
      <c r="D14" s="55"/>
      <c r="E14" s="55"/>
      <c r="F14" s="55"/>
      <c r="G14" s="55"/>
      <c r="H14" s="55">
        <f>H13-F14-D14+B14</f>
        <v>6.958</v>
      </c>
      <c r="I14" s="55">
        <f>I13-E14+C14</f>
        <v>6.958</v>
      </c>
      <c r="J14" s="55">
        <f t="shared" si="0"/>
        <v>13.916</v>
      </c>
    </row>
    <row r="15" ht="15.95" customHeight="1" spans="1:10">
      <c r="A15" s="54" t="s">
        <v>23</v>
      </c>
      <c r="B15" s="55">
        <v>15</v>
      </c>
      <c r="C15" s="55">
        <v>15</v>
      </c>
      <c r="D15" s="55"/>
      <c r="E15" s="55"/>
      <c r="F15" s="55"/>
      <c r="G15" s="55"/>
      <c r="H15" s="55">
        <f t="shared" ref="H15:H41" si="1">H14-F15-D15+B15</f>
        <v>21.958</v>
      </c>
      <c r="I15" s="55">
        <f t="shared" ref="I15:I41" si="2">I14-E15+C15</f>
        <v>21.958</v>
      </c>
      <c r="J15" s="55">
        <f t="shared" si="0"/>
        <v>43.916</v>
      </c>
    </row>
    <row r="16" ht="15.95" customHeight="1" spans="1:10">
      <c r="A16" s="54" t="s">
        <v>24</v>
      </c>
      <c r="B16" s="55"/>
      <c r="C16" s="55"/>
      <c r="D16" s="55"/>
      <c r="E16" s="55"/>
      <c r="F16" s="55">
        <v>1</v>
      </c>
      <c r="G16" s="55">
        <v>1</v>
      </c>
      <c r="H16" s="55">
        <f t="shared" si="1"/>
        <v>20.958</v>
      </c>
      <c r="I16" s="55">
        <f t="shared" si="2"/>
        <v>21.958</v>
      </c>
      <c r="J16" s="55">
        <f t="shared" si="0"/>
        <v>42.916</v>
      </c>
    </row>
    <row r="17" ht="15.95" customHeight="1" spans="1:10">
      <c r="A17" s="54" t="s">
        <v>25</v>
      </c>
      <c r="B17" s="55"/>
      <c r="C17" s="55"/>
      <c r="D17" s="55"/>
      <c r="E17" s="55"/>
      <c r="F17" s="55">
        <v>1</v>
      </c>
      <c r="G17" s="55"/>
      <c r="H17" s="55">
        <f t="shared" si="1"/>
        <v>19.958</v>
      </c>
      <c r="I17" s="55">
        <f t="shared" si="2"/>
        <v>21.958</v>
      </c>
      <c r="J17" s="55">
        <f t="shared" ref="J17:J18" si="3">SUM(H17:I17)</f>
        <v>41.916</v>
      </c>
    </row>
    <row r="18" ht="15.95" customHeight="1" spans="1:10">
      <c r="A18" s="54" t="s">
        <v>26</v>
      </c>
      <c r="B18" s="55"/>
      <c r="C18" s="55"/>
      <c r="D18" s="55"/>
      <c r="E18" s="55"/>
      <c r="F18" s="55">
        <v>3</v>
      </c>
      <c r="G18" s="55"/>
      <c r="H18" s="55">
        <f t="shared" si="1"/>
        <v>16.958</v>
      </c>
      <c r="I18" s="55">
        <f t="shared" si="2"/>
        <v>21.958</v>
      </c>
      <c r="J18" s="55">
        <f t="shared" si="3"/>
        <v>38.916</v>
      </c>
    </row>
    <row r="19" ht="15.95" customHeight="1" spans="1:10">
      <c r="A19" s="54" t="s">
        <v>27</v>
      </c>
      <c r="B19" s="55">
        <v>15</v>
      </c>
      <c r="C19" s="55">
        <v>15</v>
      </c>
      <c r="D19" s="55"/>
      <c r="E19" s="55"/>
      <c r="F19" s="55"/>
      <c r="G19" s="55"/>
      <c r="H19" s="55">
        <f t="shared" si="1"/>
        <v>31.958</v>
      </c>
      <c r="I19" s="55">
        <f t="shared" si="2"/>
        <v>36.958</v>
      </c>
      <c r="J19" s="55">
        <f t="shared" ref="J19" si="4">SUM(H19:I19)</f>
        <v>68.916</v>
      </c>
    </row>
    <row r="20" ht="15.95" customHeight="1" spans="1:10">
      <c r="A20" s="54" t="s">
        <v>28</v>
      </c>
      <c r="B20" s="55"/>
      <c r="C20" s="55"/>
      <c r="D20" s="55"/>
      <c r="E20" s="55"/>
      <c r="F20" s="55">
        <v>1</v>
      </c>
      <c r="G20" s="55"/>
      <c r="H20" s="55">
        <f t="shared" si="1"/>
        <v>30.958</v>
      </c>
      <c r="I20" s="55">
        <f t="shared" si="2"/>
        <v>36.958</v>
      </c>
      <c r="J20" s="55">
        <f t="shared" ref="J20:J41" si="5">SUM(H20:I20)</f>
        <v>67.916</v>
      </c>
    </row>
    <row r="21" ht="15.95" customHeight="1" spans="1:10">
      <c r="A21" s="54" t="s">
        <v>29</v>
      </c>
      <c r="B21" s="55"/>
      <c r="C21" s="55"/>
      <c r="D21" s="55"/>
      <c r="E21" s="55"/>
      <c r="F21" s="55">
        <v>3</v>
      </c>
      <c r="G21" s="55"/>
      <c r="H21" s="55">
        <f t="shared" si="1"/>
        <v>27.958</v>
      </c>
      <c r="I21" s="55">
        <f t="shared" si="2"/>
        <v>36.958</v>
      </c>
      <c r="J21" s="55">
        <f t="shared" si="5"/>
        <v>64.916</v>
      </c>
    </row>
    <row r="22" ht="15.95" customHeight="1" spans="1:10">
      <c r="A22" s="54" t="s">
        <v>30</v>
      </c>
      <c r="B22" s="55"/>
      <c r="C22" s="55"/>
      <c r="D22" s="55">
        <v>2</v>
      </c>
      <c r="E22" s="55"/>
      <c r="F22" s="55">
        <v>1</v>
      </c>
      <c r="G22" s="55"/>
      <c r="H22" s="55">
        <f t="shared" si="1"/>
        <v>24.958</v>
      </c>
      <c r="I22" s="55">
        <f t="shared" si="2"/>
        <v>36.958</v>
      </c>
      <c r="J22" s="55">
        <f t="shared" si="5"/>
        <v>61.916</v>
      </c>
    </row>
    <row r="23" ht="15.95" customHeight="1" spans="1:10">
      <c r="A23" s="54" t="s">
        <v>31</v>
      </c>
      <c r="B23" s="55"/>
      <c r="C23" s="55"/>
      <c r="D23" s="55">
        <v>18</v>
      </c>
      <c r="E23" s="55"/>
      <c r="F23" s="55"/>
      <c r="G23" s="55"/>
      <c r="H23" s="55">
        <f t="shared" si="1"/>
        <v>6.958</v>
      </c>
      <c r="I23" s="55">
        <f t="shared" si="2"/>
        <v>36.958</v>
      </c>
      <c r="J23" s="55">
        <f t="shared" si="5"/>
        <v>43.916</v>
      </c>
    </row>
    <row r="24" ht="15.95" customHeight="1" spans="1:10">
      <c r="A24" s="54" t="s">
        <v>32</v>
      </c>
      <c r="B24" s="55">
        <v>6.25</v>
      </c>
      <c r="C24" s="55">
        <v>6.25</v>
      </c>
      <c r="D24" s="55"/>
      <c r="E24" s="55"/>
      <c r="F24" s="55"/>
      <c r="G24" s="55"/>
      <c r="H24" s="55">
        <f t="shared" si="1"/>
        <v>13.208</v>
      </c>
      <c r="I24" s="55">
        <f t="shared" si="2"/>
        <v>43.208</v>
      </c>
      <c r="J24" s="55">
        <f t="shared" si="5"/>
        <v>56.416</v>
      </c>
    </row>
    <row r="25" ht="15.95" customHeight="1" spans="1:10">
      <c r="A25" s="54" t="s">
        <v>33</v>
      </c>
      <c r="B25" s="55"/>
      <c r="C25" s="55"/>
      <c r="D25" s="55"/>
      <c r="E25" s="55"/>
      <c r="F25" s="55"/>
      <c r="G25" s="55">
        <v>1</v>
      </c>
      <c r="H25" s="55">
        <f t="shared" si="1"/>
        <v>13.208</v>
      </c>
      <c r="I25" s="55">
        <f t="shared" si="2"/>
        <v>43.208</v>
      </c>
      <c r="J25" s="55">
        <f t="shared" si="5"/>
        <v>56.416</v>
      </c>
    </row>
    <row r="26" ht="15.95" customHeight="1" spans="1:10">
      <c r="A26" s="54" t="s">
        <v>34</v>
      </c>
      <c r="B26" s="55">
        <v>1.25</v>
      </c>
      <c r="C26" s="55">
        <v>1.25</v>
      </c>
      <c r="D26" s="55"/>
      <c r="E26" s="55"/>
      <c r="F26" s="55"/>
      <c r="G26" s="55"/>
      <c r="H26" s="55">
        <f t="shared" si="1"/>
        <v>14.458</v>
      </c>
      <c r="I26" s="55">
        <f t="shared" si="2"/>
        <v>44.458</v>
      </c>
      <c r="J26" s="55">
        <f t="shared" si="5"/>
        <v>58.916</v>
      </c>
    </row>
    <row r="27" ht="15.95" customHeight="1" spans="1:10">
      <c r="A27" s="54" t="s">
        <v>35</v>
      </c>
      <c r="B27" s="55"/>
      <c r="C27" s="55"/>
      <c r="D27" s="55"/>
      <c r="E27" s="55"/>
      <c r="F27" s="55">
        <v>1</v>
      </c>
      <c r="G27" s="55"/>
      <c r="H27" s="55">
        <f t="shared" si="1"/>
        <v>13.458</v>
      </c>
      <c r="I27" s="55">
        <f t="shared" si="2"/>
        <v>44.458</v>
      </c>
      <c r="J27" s="55">
        <f t="shared" si="5"/>
        <v>57.916</v>
      </c>
    </row>
    <row r="28" ht="15.95" customHeight="1" spans="1:10">
      <c r="A28" s="54" t="s">
        <v>36</v>
      </c>
      <c r="B28" s="55">
        <v>1.25</v>
      </c>
      <c r="C28" s="55">
        <v>1.25</v>
      </c>
      <c r="D28" s="55"/>
      <c r="E28" s="55"/>
      <c r="F28" s="55"/>
      <c r="G28" s="55"/>
      <c r="H28" s="55">
        <f t="shared" si="1"/>
        <v>14.708</v>
      </c>
      <c r="I28" s="55">
        <f t="shared" si="2"/>
        <v>45.708</v>
      </c>
      <c r="J28" s="55">
        <f t="shared" si="5"/>
        <v>60.416</v>
      </c>
    </row>
    <row r="29" ht="15.95" customHeight="1" spans="1:10">
      <c r="A29" s="54" t="s">
        <v>37</v>
      </c>
      <c r="B29" s="55"/>
      <c r="C29" s="55"/>
      <c r="D29" s="55"/>
      <c r="E29" s="55">
        <v>1</v>
      </c>
      <c r="F29" s="55"/>
      <c r="G29" s="55"/>
      <c r="H29" s="55">
        <f t="shared" si="1"/>
        <v>14.708</v>
      </c>
      <c r="I29" s="55">
        <f t="shared" si="2"/>
        <v>44.708</v>
      </c>
      <c r="J29" s="55">
        <f t="shared" si="5"/>
        <v>59.416</v>
      </c>
    </row>
    <row r="30" ht="15.95" customHeight="1" spans="1:10">
      <c r="A30" s="54" t="s">
        <v>38</v>
      </c>
      <c r="B30" s="55">
        <v>1.25</v>
      </c>
      <c r="C30" s="55">
        <v>1.25</v>
      </c>
      <c r="D30" s="55"/>
      <c r="E30" s="55"/>
      <c r="F30" s="55"/>
      <c r="G30" s="55"/>
      <c r="H30" s="55">
        <f t="shared" si="1"/>
        <v>15.958</v>
      </c>
      <c r="I30" s="55">
        <f t="shared" si="2"/>
        <v>45.958</v>
      </c>
      <c r="J30" s="55">
        <f t="shared" si="5"/>
        <v>61.916</v>
      </c>
    </row>
    <row r="31" ht="15.95" customHeight="1" spans="1:10">
      <c r="A31" s="54" t="s">
        <v>39</v>
      </c>
      <c r="B31" s="55">
        <v>1.25</v>
      </c>
      <c r="C31" s="55">
        <v>1.25</v>
      </c>
      <c r="D31" s="55"/>
      <c r="E31" s="55"/>
      <c r="F31" s="55"/>
      <c r="G31" s="55"/>
      <c r="H31" s="55">
        <f t="shared" si="1"/>
        <v>17.208</v>
      </c>
      <c r="I31" s="55">
        <f t="shared" si="2"/>
        <v>47.208</v>
      </c>
      <c r="J31" s="55">
        <f t="shared" si="5"/>
        <v>64.416</v>
      </c>
    </row>
    <row r="32" ht="15.95" customHeight="1" spans="1:10">
      <c r="A32" s="54" t="s">
        <v>40</v>
      </c>
      <c r="B32" s="55"/>
      <c r="C32" s="55"/>
      <c r="D32" s="55"/>
      <c r="E32" s="55"/>
      <c r="F32" s="55">
        <v>1</v>
      </c>
      <c r="G32" s="55"/>
      <c r="H32" s="55">
        <f t="shared" si="1"/>
        <v>16.208</v>
      </c>
      <c r="I32" s="55">
        <f t="shared" si="2"/>
        <v>47.208</v>
      </c>
      <c r="J32" s="55">
        <f t="shared" si="5"/>
        <v>63.416</v>
      </c>
    </row>
    <row r="33" ht="15.95" customHeight="1" spans="1:10">
      <c r="A33" s="54" t="s">
        <v>41</v>
      </c>
      <c r="B33" s="55"/>
      <c r="C33" s="55"/>
      <c r="D33" s="55"/>
      <c r="E33" s="55"/>
      <c r="F33" s="55"/>
      <c r="G33" s="55">
        <v>1</v>
      </c>
      <c r="H33" s="55">
        <f t="shared" si="1"/>
        <v>16.208</v>
      </c>
      <c r="I33" s="55">
        <f t="shared" si="2"/>
        <v>47.208</v>
      </c>
      <c r="J33" s="55">
        <f t="shared" si="5"/>
        <v>63.416</v>
      </c>
    </row>
    <row r="34" ht="15.95" customHeight="1" spans="1:10">
      <c r="A34" s="54" t="s">
        <v>42</v>
      </c>
      <c r="B34" s="55"/>
      <c r="C34" s="55"/>
      <c r="D34" s="55">
        <v>9</v>
      </c>
      <c r="E34" s="55">
        <v>20</v>
      </c>
      <c r="F34" s="55"/>
      <c r="G34" s="55"/>
      <c r="H34" s="55">
        <f t="shared" si="1"/>
        <v>7.208</v>
      </c>
      <c r="I34" s="55">
        <f t="shared" si="2"/>
        <v>27.208</v>
      </c>
      <c r="J34" s="55">
        <f t="shared" si="5"/>
        <v>34.416</v>
      </c>
    </row>
    <row r="35" ht="15.95" customHeight="1" spans="1:10">
      <c r="A35" s="54" t="s">
        <v>43</v>
      </c>
      <c r="B35" s="55"/>
      <c r="C35" s="55"/>
      <c r="D35" s="55"/>
      <c r="E35" s="55">
        <v>1</v>
      </c>
      <c r="F35" s="55"/>
      <c r="G35" s="55"/>
      <c r="H35" s="55">
        <f t="shared" si="1"/>
        <v>7.208</v>
      </c>
      <c r="I35" s="55">
        <f t="shared" si="2"/>
        <v>26.208</v>
      </c>
      <c r="J35" s="55">
        <f t="shared" si="5"/>
        <v>33.416</v>
      </c>
    </row>
    <row r="36" ht="15.95" customHeight="1" spans="1:10">
      <c r="A36" s="54" t="s">
        <v>44</v>
      </c>
      <c r="B36" s="55">
        <v>2.5</v>
      </c>
      <c r="C36" s="55">
        <v>2.5</v>
      </c>
      <c r="D36" s="55"/>
      <c r="E36" s="55"/>
      <c r="F36" s="55"/>
      <c r="G36" s="55"/>
      <c r="H36" s="55">
        <f t="shared" si="1"/>
        <v>9.708</v>
      </c>
      <c r="I36" s="55">
        <f t="shared" si="2"/>
        <v>28.708</v>
      </c>
      <c r="J36" s="55">
        <f t="shared" si="5"/>
        <v>38.416</v>
      </c>
    </row>
    <row r="37" ht="15.95" customHeight="1" spans="1:10">
      <c r="A37" s="56" t="s">
        <v>45</v>
      </c>
      <c r="B37" s="55"/>
      <c r="C37" s="55"/>
      <c r="D37" s="55"/>
      <c r="E37" s="55"/>
      <c r="F37" s="55">
        <v>2</v>
      </c>
      <c r="G37" s="55"/>
      <c r="H37" s="55">
        <f t="shared" si="1"/>
        <v>7.708</v>
      </c>
      <c r="I37" s="55">
        <f t="shared" si="2"/>
        <v>28.708</v>
      </c>
      <c r="J37" s="55">
        <f t="shared" si="5"/>
        <v>36.416</v>
      </c>
    </row>
    <row r="38" ht="15.95" customHeight="1" spans="1:10">
      <c r="A38" s="54" t="s">
        <v>46</v>
      </c>
      <c r="B38" s="55"/>
      <c r="C38" s="55"/>
      <c r="D38" s="55"/>
      <c r="E38" s="55"/>
      <c r="F38" s="55"/>
      <c r="G38" s="55">
        <v>1</v>
      </c>
      <c r="H38" s="55">
        <f t="shared" si="1"/>
        <v>7.708</v>
      </c>
      <c r="I38" s="55">
        <f t="shared" si="2"/>
        <v>28.708</v>
      </c>
      <c r="J38" s="55">
        <f t="shared" si="5"/>
        <v>36.416</v>
      </c>
    </row>
    <row r="39" ht="15.95" customHeight="1" spans="1:10">
      <c r="A39" s="54" t="s">
        <v>47</v>
      </c>
      <c r="B39" s="55">
        <v>1.25</v>
      </c>
      <c r="C39" s="55">
        <v>1.25</v>
      </c>
      <c r="D39" s="55"/>
      <c r="E39" s="55"/>
      <c r="F39" s="55"/>
      <c r="G39" s="55"/>
      <c r="H39" s="55">
        <f t="shared" si="1"/>
        <v>8.958</v>
      </c>
      <c r="I39" s="55">
        <f t="shared" si="2"/>
        <v>29.958</v>
      </c>
      <c r="J39" s="55">
        <f t="shared" si="5"/>
        <v>38.916</v>
      </c>
    </row>
    <row r="40" ht="15.95" customHeight="1" spans="1:10">
      <c r="A40" s="54" t="s">
        <v>48</v>
      </c>
      <c r="B40" s="55"/>
      <c r="C40" s="55"/>
      <c r="D40" s="55"/>
      <c r="E40" s="55"/>
      <c r="F40" s="55">
        <v>1</v>
      </c>
      <c r="G40" s="55"/>
      <c r="H40" s="55">
        <f t="shared" si="1"/>
        <v>7.958</v>
      </c>
      <c r="I40" s="55">
        <f t="shared" si="2"/>
        <v>29.958</v>
      </c>
      <c r="J40" s="55">
        <f t="shared" si="5"/>
        <v>37.916</v>
      </c>
    </row>
    <row r="41" ht="15.95" customHeight="1" spans="1:10">
      <c r="A41" s="54" t="s">
        <v>49</v>
      </c>
      <c r="B41" s="55"/>
      <c r="C41" s="55"/>
      <c r="D41" s="55"/>
      <c r="E41" s="55">
        <v>2</v>
      </c>
      <c r="F41" s="55"/>
      <c r="G41" s="55"/>
      <c r="H41" s="55">
        <f t="shared" si="1"/>
        <v>7.958</v>
      </c>
      <c r="I41" s="55">
        <f t="shared" si="2"/>
        <v>27.958</v>
      </c>
      <c r="J41" s="55">
        <f t="shared" si="5"/>
        <v>35.916</v>
      </c>
    </row>
    <row r="42" ht="15.95" customHeight="1" spans="1:10">
      <c r="A42" s="54" t="s">
        <v>50</v>
      </c>
      <c r="B42" s="55"/>
      <c r="C42" s="55"/>
      <c r="D42" s="55"/>
      <c r="E42" s="55"/>
      <c r="F42" s="55">
        <v>1</v>
      </c>
      <c r="G42" s="55"/>
      <c r="H42" s="55">
        <f t="shared" ref="H42" si="6">H41-F42-D42+B42</f>
        <v>6.958</v>
      </c>
      <c r="I42" s="55">
        <f t="shared" ref="I42" si="7">I41-E42+C42</f>
        <v>27.958</v>
      </c>
      <c r="J42" s="55">
        <f t="shared" ref="J42" si="8">SUM(H42:I42)</f>
        <v>34.916</v>
      </c>
    </row>
    <row r="43" ht="15.95" customHeight="1" spans="1:10">
      <c r="A43" s="54" t="s">
        <v>51</v>
      </c>
      <c r="B43" s="55">
        <v>2.5</v>
      </c>
      <c r="C43" s="55">
        <v>2.5</v>
      </c>
      <c r="D43" s="57"/>
      <c r="E43" s="57"/>
      <c r="F43" s="57"/>
      <c r="G43" s="57"/>
      <c r="H43" s="55">
        <f t="shared" ref="H43:H106" si="9">H42-F43-D43+B43</f>
        <v>9.458</v>
      </c>
      <c r="I43" s="55">
        <f t="shared" ref="I43:I106" si="10">I42-E43+C43</f>
        <v>30.458</v>
      </c>
      <c r="J43" s="55">
        <f t="shared" ref="J43:J106" si="11">SUM(H43:I43)</f>
        <v>39.916</v>
      </c>
    </row>
    <row r="44" ht="15.95" customHeight="1" spans="1:10">
      <c r="A44" s="54" t="s">
        <v>52</v>
      </c>
      <c r="B44" s="57"/>
      <c r="C44" s="57"/>
      <c r="D44" s="57"/>
      <c r="E44" s="57">
        <v>2</v>
      </c>
      <c r="F44" s="57"/>
      <c r="G44" s="57"/>
      <c r="H44" s="55">
        <f t="shared" si="9"/>
        <v>9.458</v>
      </c>
      <c r="I44" s="55">
        <f t="shared" si="10"/>
        <v>28.458</v>
      </c>
      <c r="J44" s="55">
        <f t="shared" si="11"/>
        <v>37.916</v>
      </c>
    </row>
    <row r="45" ht="15.95" customHeight="1" spans="1:10">
      <c r="A45" s="54" t="s">
        <v>53</v>
      </c>
      <c r="B45" s="55">
        <v>1.25</v>
      </c>
      <c r="C45" s="55">
        <v>1.25</v>
      </c>
      <c r="D45" s="57"/>
      <c r="E45" s="57"/>
      <c r="F45" s="57"/>
      <c r="G45" s="57"/>
      <c r="H45" s="55">
        <f t="shared" si="9"/>
        <v>10.708</v>
      </c>
      <c r="I45" s="55">
        <f t="shared" si="10"/>
        <v>29.708</v>
      </c>
      <c r="J45" s="55">
        <f t="shared" si="11"/>
        <v>40.416</v>
      </c>
    </row>
    <row r="46" ht="15.95" customHeight="1" spans="1:10">
      <c r="A46" s="54" t="s">
        <v>54</v>
      </c>
      <c r="B46" s="57"/>
      <c r="C46" s="57"/>
      <c r="D46" s="57"/>
      <c r="E46" s="57"/>
      <c r="F46" s="57">
        <v>1</v>
      </c>
      <c r="G46" s="57"/>
      <c r="H46" s="55">
        <f t="shared" si="9"/>
        <v>9.708</v>
      </c>
      <c r="I46" s="55">
        <f t="shared" si="10"/>
        <v>29.708</v>
      </c>
      <c r="J46" s="55">
        <f t="shared" si="11"/>
        <v>39.416</v>
      </c>
    </row>
    <row r="47" ht="15.95" customHeight="1" spans="1:10">
      <c r="A47" s="54" t="s">
        <v>55</v>
      </c>
      <c r="B47" s="55">
        <v>1.25</v>
      </c>
      <c r="C47" s="55">
        <v>1.25</v>
      </c>
      <c r="D47" s="57"/>
      <c r="E47" s="57"/>
      <c r="F47" s="57"/>
      <c r="G47" s="57"/>
      <c r="H47" s="55">
        <f t="shared" si="9"/>
        <v>10.958</v>
      </c>
      <c r="I47" s="55">
        <f t="shared" si="10"/>
        <v>30.958</v>
      </c>
      <c r="J47" s="55">
        <f t="shared" si="11"/>
        <v>41.916</v>
      </c>
    </row>
    <row r="48" ht="15.95" customHeight="1" spans="1:10">
      <c r="A48" s="54" t="s">
        <v>56</v>
      </c>
      <c r="B48" s="57"/>
      <c r="C48" s="57"/>
      <c r="D48" s="57"/>
      <c r="E48" s="57"/>
      <c r="F48" s="57"/>
      <c r="G48" s="57">
        <v>1</v>
      </c>
      <c r="H48" s="55">
        <f t="shared" si="9"/>
        <v>10.958</v>
      </c>
      <c r="I48" s="55">
        <f t="shared" si="10"/>
        <v>30.958</v>
      </c>
      <c r="J48" s="55">
        <f t="shared" si="11"/>
        <v>41.916</v>
      </c>
    </row>
    <row r="49" spans="1:10">
      <c r="A49" s="54" t="s">
        <v>57</v>
      </c>
      <c r="B49" s="57"/>
      <c r="C49" s="57"/>
      <c r="D49" s="57"/>
      <c r="E49" s="57">
        <v>2</v>
      </c>
      <c r="F49" s="57"/>
      <c r="G49" s="57"/>
      <c r="H49" s="55">
        <f t="shared" si="9"/>
        <v>10.958</v>
      </c>
      <c r="I49" s="55">
        <f t="shared" si="10"/>
        <v>28.958</v>
      </c>
      <c r="J49" s="55">
        <f t="shared" si="11"/>
        <v>39.916</v>
      </c>
    </row>
    <row r="50" spans="1:10">
      <c r="A50" s="54" t="s">
        <v>58</v>
      </c>
      <c r="B50" s="55">
        <v>1.25</v>
      </c>
      <c r="C50" s="55">
        <v>1.25</v>
      </c>
      <c r="D50" s="57"/>
      <c r="E50" s="57"/>
      <c r="F50" s="57"/>
      <c r="G50" s="57"/>
      <c r="H50" s="55">
        <f t="shared" si="9"/>
        <v>12.208</v>
      </c>
      <c r="I50" s="55">
        <f t="shared" si="10"/>
        <v>30.208</v>
      </c>
      <c r="J50" s="55">
        <f t="shared" si="11"/>
        <v>42.416</v>
      </c>
    </row>
    <row r="51" spans="1:10">
      <c r="A51" s="56" t="s">
        <v>59</v>
      </c>
      <c r="B51" s="58"/>
      <c r="C51" s="58"/>
      <c r="D51" s="58"/>
      <c r="E51" s="57">
        <v>1</v>
      </c>
      <c r="F51" s="58"/>
      <c r="G51" s="58"/>
      <c r="H51" s="55">
        <f t="shared" si="9"/>
        <v>12.208</v>
      </c>
      <c r="I51" s="55">
        <f t="shared" si="10"/>
        <v>29.208</v>
      </c>
      <c r="J51" s="55">
        <f t="shared" si="11"/>
        <v>41.416</v>
      </c>
    </row>
    <row r="52" spans="1:10">
      <c r="A52" s="56" t="s">
        <v>60</v>
      </c>
      <c r="B52" s="58"/>
      <c r="C52" s="58"/>
      <c r="D52" s="58"/>
      <c r="E52" s="57">
        <v>2</v>
      </c>
      <c r="F52" s="58"/>
      <c r="G52" s="58"/>
      <c r="H52" s="55">
        <f t="shared" si="9"/>
        <v>12.208</v>
      </c>
      <c r="I52" s="55">
        <f t="shared" si="10"/>
        <v>27.208</v>
      </c>
      <c r="J52" s="55">
        <f t="shared" si="11"/>
        <v>39.416</v>
      </c>
    </row>
    <row r="53" spans="1:10">
      <c r="A53" s="54" t="s">
        <v>61</v>
      </c>
      <c r="B53" s="55">
        <v>1.25</v>
      </c>
      <c r="C53" s="55">
        <v>1.25</v>
      </c>
      <c r="D53" s="58"/>
      <c r="E53" s="57"/>
      <c r="F53" s="58"/>
      <c r="G53" s="58"/>
      <c r="H53" s="55">
        <f t="shared" si="9"/>
        <v>13.458</v>
      </c>
      <c r="I53" s="55">
        <f t="shared" si="10"/>
        <v>28.458</v>
      </c>
      <c r="J53" s="55">
        <f t="shared" si="11"/>
        <v>41.916</v>
      </c>
    </row>
    <row r="54" spans="1:10">
      <c r="A54" s="56" t="s">
        <v>62</v>
      </c>
      <c r="B54" s="58"/>
      <c r="C54" s="58"/>
      <c r="D54" s="58"/>
      <c r="E54" s="57">
        <v>1</v>
      </c>
      <c r="F54" s="58"/>
      <c r="G54" s="58"/>
      <c r="H54" s="55">
        <f t="shared" si="9"/>
        <v>13.458</v>
      </c>
      <c r="I54" s="55">
        <f t="shared" si="10"/>
        <v>27.458</v>
      </c>
      <c r="J54" s="55">
        <f t="shared" si="11"/>
        <v>40.916</v>
      </c>
    </row>
    <row r="55" spans="1:10">
      <c r="A55" s="56" t="s">
        <v>63</v>
      </c>
      <c r="B55" s="58"/>
      <c r="C55" s="58"/>
      <c r="D55" s="58"/>
      <c r="E55" s="58"/>
      <c r="F55" s="57">
        <v>1</v>
      </c>
      <c r="G55" s="58"/>
      <c r="H55" s="55">
        <f t="shared" si="9"/>
        <v>12.458</v>
      </c>
      <c r="I55" s="55">
        <f t="shared" si="10"/>
        <v>27.458</v>
      </c>
      <c r="J55" s="55">
        <f t="shared" si="11"/>
        <v>39.916</v>
      </c>
    </row>
    <row r="56" spans="1:10">
      <c r="A56" s="56" t="s">
        <v>64</v>
      </c>
      <c r="B56" s="58"/>
      <c r="C56" s="58"/>
      <c r="D56" s="58"/>
      <c r="E56" s="57">
        <v>1</v>
      </c>
      <c r="F56" s="58"/>
      <c r="G56" s="58"/>
      <c r="H56" s="55">
        <f t="shared" si="9"/>
        <v>12.458</v>
      </c>
      <c r="I56" s="55">
        <f t="shared" si="10"/>
        <v>26.458</v>
      </c>
      <c r="J56" s="55">
        <f t="shared" si="11"/>
        <v>38.916</v>
      </c>
    </row>
    <row r="57" ht="15.75" customHeight="1" spans="1:10">
      <c r="A57" s="54" t="s">
        <v>65</v>
      </c>
      <c r="B57" s="55">
        <v>2.5</v>
      </c>
      <c r="C57" s="55">
        <v>2.5</v>
      </c>
      <c r="D57" s="58"/>
      <c r="E57" s="58"/>
      <c r="F57" s="58"/>
      <c r="G57" s="58"/>
      <c r="H57" s="55">
        <f t="shared" si="9"/>
        <v>14.958</v>
      </c>
      <c r="I57" s="55">
        <f t="shared" si="10"/>
        <v>28.958</v>
      </c>
      <c r="J57" s="55">
        <f t="shared" si="11"/>
        <v>43.916</v>
      </c>
    </row>
    <row r="58" spans="1:10">
      <c r="A58" s="56" t="s">
        <v>66</v>
      </c>
      <c r="B58" s="58"/>
      <c r="C58" s="58"/>
      <c r="D58" s="58"/>
      <c r="E58" s="55">
        <v>1</v>
      </c>
      <c r="F58" s="58"/>
      <c r="G58" s="58"/>
      <c r="H58" s="55">
        <f t="shared" si="9"/>
        <v>14.958</v>
      </c>
      <c r="I58" s="55">
        <f t="shared" si="10"/>
        <v>27.958</v>
      </c>
      <c r="J58" s="55">
        <f t="shared" si="11"/>
        <v>42.916</v>
      </c>
    </row>
    <row r="59" spans="1:10">
      <c r="A59" s="56" t="s">
        <v>67</v>
      </c>
      <c r="B59" s="58"/>
      <c r="C59" s="58"/>
      <c r="D59" s="57">
        <v>9</v>
      </c>
      <c r="E59" s="57">
        <v>11</v>
      </c>
      <c r="F59" s="58"/>
      <c r="G59" s="58"/>
      <c r="H59" s="55">
        <f t="shared" si="9"/>
        <v>5.958</v>
      </c>
      <c r="I59" s="55">
        <f t="shared" si="10"/>
        <v>16.958</v>
      </c>
      <c r="J59" s="55">
        <f t="shared" si="11"/>
        <v>22.916</v>
      </c>
    </row>
    <row r="60" spans="1:10">
      <c r="A60" s="56" t="s">
        <v>68</v>
      </c>
      <c r="B60" s="58"/>
      <c r="C60" s="58"/>
      <c r="D60" s="58"/>
      <c r="E60" s="58">
        <v>1</v>
      </c>
      <c r="F60" s="58"/>
      <c r="G60" s="58"/>
      <c r="H60" s="55">
        <f t="shared" si="9"/>
        <v>5.958</v>
      </c>
      <c r="I60" s="55">
        <f t="shared" si="10"/>
        <v>15.958</v>
      </c>
      <c r="J60" s="55">
        <f t="shared" si="11"/>
        <v>21.916</v>
      </c>
    </row>
    <row r="61" spans="1:10">
      <c r="A61" s="59" t="s">
        <v>69</v>
      </c>
      <c r="B61" s="59"/>
      <c r="C61" s="59"/>
      <c r="D61" s="59"/>
      <c r="E61" s="59"/>
      <c r="F61" s="59">
        <v>1</v>
      </c>
      <c r="G61" s="59"/>
      <c r="H61" s="55">
        <f t="shared" si="9"/>
        <v>4.958</v>
      </c>
      <c r="I61" s="55">
        <f t="shared" si="10"/>
        <v>15.958</v>
      </c>
      <c r="J61" s="55">
        <f t="shared" si="11"/>
        <v>20.916</v>
      </c>
    </row>
    <row r="62" spans="1:10">
      <c r="A62" s="59" t="s">
        <v>70</v>
      </c>
      <c r="B62" s="59">
        <v>1.25</v>
      </c>
      <c r="C62" s="59">
        <v>1.25</v>
      </c>
      <c r="D62" s="59"/>
      <c r="E62" s="59"/>
      <c r="F62" s="59"/>
      <c r="G62" s="59"/>
      <c r="H62" s="55">
        <f t="shared" si="9"/>
        <v>6.208</v>
      </c>
      <c r="I62" s="55">
        <f t="shared" si="10"/>
        <v>17.208</v>
      </c>
      <c r="J62" s="55">
        <f t="shared" si="11"/>
        <v>23.416</v>
      </c>
    </row>
    <row r="63" spans="1:10">
      <c r="A63" s="59" t="s">
        <v>71</v>
      </c>
      <c r="B63" s="59"/>
      <c r="C63" s="59"/>
      <c r="D63" s="59"/>
      <c r="E63" s="59"/>
      <c r="F63" s="59"/>
      <c r="G63" s="59">
        <v>1</v>
      </c>
      <c r="H63" s="55">
        <f t="shared" si="9"/>
        <v>6.208</v>
      </c>
      <c r="I63" s="55">
        <f t="shared" si="10"/>
        <v>17.208</v>
      </c>
      <c r="J63" s="55">
        <f t="shared" si="11"/>
        <v>23.416</v>
      </c>
    </row>
    <row r="64" spans="1:10">
      <c r="A64" s="54" t="s">
        <v>72</v>
      </c>
      <c r="B64" s="59">
        <v>1.25</v>
      </c>
      <c r="C64" s="59">
        <v>1.25</v>
      </c>
      <c r="D64" s="59"/>
      <c r="E64" s="59"/>
      <c r="F64" s="59"/>
      <c r="G64" s="59"/>
      <c r="H64" s="55">
        <f t="shared" si="9"/>
        <v>7.458</v>
      </c>
      <c r="I64" s="55">
        <f t="shared" si="10"/>
        <v>18.458</v>
      </c>
      <c r="J64" s="55">
        <f t="shared" si="11"/>
        <v>25.916</v>
      </c>
    </row>
    <row r="65" spans="1:10">
      <c r="A65" s="54" t="s">
        <v>73</v>
      </c>
      <c r="B65" s="59"/>
      <c r="C65" s="59"/>
      <c r="D65" s="59"/>
      <c r="E65" s="59">
        <v>1</v>
      </c>
      <c r="F65" s="59"/>
      <c r="G65" s="59"/>
      <c r="H65" s="55">
        <f t="shared" si="9"/>
        <v>7.458</v>
      </c>
      <c r="I65" s="55">
        <f t="shared" si="10"/>
        <v>17.458</v>
      </c>
      <c r="J65" s="55">
        <f t="shared" si="11"/>
        <v>24.916</v>
      </c>
    </row>
    <row r="66" spans="1:10">
      <c r="A66" s="54" t="s">
        <v>74</v>
      </c>
      <c r="B66" s="59"/>
      <c r="C66" s="59"/>
      <c r="D66" s="59"/>
      <c r="E66" s="59"/>
      <c r="F66" s="59"/>
      <c r="G66" s="59">
        <v>1</v>
      </c>
      <c r="H66" s="55">
        <f t="shared" si="9"/>
        <v>7.458</v>
      </c>
      <c r="I66" s="55">
        <f t="shared" si="10"/>
        <v>17.458</v>
      </c>
      <c r="J66" s="55">
        <f t="shared" si="11"/>
        <v>24.916</v>
      </c>
    </row>
    <row r="67" spans="1:10">
      <c r="A67" s="54" t="s">
        <v>75</v>
      </c>
      <c r="B67" s="59"/>
      <c r="C67" s="59"/>
      <c r="D67" s="59"/>
      <c r="E67" s="59"/>
      <c r="F67" s="59">
        <v>1</v>
      </c>
      <c r="G67" s="59"/>
      <c r="H67" s="55">
        <f t="shared" si="9"/>
        <v>6.458</v>
      </c>
      <c r="I67" s="55">
        <f t="shared" si="10"/>
        <v>17.458</v>
      </c>
      <c r="J67" s="55">
        <f t="shared" si="11"/>
        <v>23.916</v>
      </c>
    </row>
    <row r="68" spans="1:10">
      <c r="A68" s="54" t="s">
        <v>76</v>
      </c>
      <c r="B68" s="59">
        <v>2.5</v>
      </c>
      <c r="C68" s="59">
        <v>2.5</v>
      </c>
      <c r="D68" s="59"/>
      <c r="E68" s="59"/>
      <c r="F68" s="59"/>
      <c r="G68" s="59"/>
      <c r="H68" s="55">
        <f t="shared" si="9"/>
        <v>8.958</v>
      </c>
      <c r="I68" s="55">
        <f t="shared" si="10"/>
        <v>19.958</v>
      </c>
      <c r="J68" s="55">
        <f t="shared" si="11"/>
        <v>28.916</v>
      </c>
    </row>
    <row r="69" spans="1:10">
      <c r="A69" s="54" t="s">
        <v>77</v>
      </c>
      <c r="B69" s="59"/>
      <c r="C69" s="59"/>
      <c r="D69" s="59"/>
      <c r="E69" s="59"/>
      <c r="F69" s="59"/>
      <c r="G69" s="59">
        <v>1</v>
      </c>
      <c r="H69" s="55">
        <f t="shared" si="9"/>
        <v>8.958</v>
      </c>
      <c r="I69" s="55">
        <f t="shared" si="10"/>
        <v>19.958</v>
      </c>
      <c r="J69" s="55">
        <f t="shared" si="11"/>
        <v>28.916</v>
      </c>
    </row>
    <row r="70" spans="1:10">
      <c r="A70" s="54" t="s">
        <v>78</v>
      </c>
      <c r="B70" s="59"/>
      <c r="C70" s="59"/>
      <c r="D70" s="59"/>
      <c r="E70" s="59"/>
      <c r="F70" s="59">
        <v>2</v>
      </c>
      <c r="G70" s="59"/>
      <c r="H70" s="55">
        <f t="shared" si="9"/>
        <v>6.958</v>
      </c>
      <c r="I70" s="55">
        <f t="shared" si="10"/>
        <v>19.958</v>
      </c>
      <c r="J70" s="55">
        <f t="shared" si="11"/>
        <v>26.916</v>
      </c>
    </row>
    <row r="71" spans="1:10">
      <c r="A71" s="54" t="s">
        <v>79</v>
      </c>
      <c r="B71" s="59"/>
      <c r="C71" s="59"/>
      <c r="D71" s="59"/>
      <c r="E71" s="59"/>
      <c r="F71" s="59">
        <v>1</v>
      </c>
      <c r="G71" s="59"/>
      <c r="H71" s="55">
        <f t="shared" si="9"/>
        <v>5.958</v>
      </c>
      <c r="I71" s="55">
        <f t="shared" si="10"/>
        <v>19.958</v>
      </c>
      <c r="J71" s="55">
        <f t="shared" si="11"/>
        <v>25.916</v>
      </c>
    </row>
    <row r="72" spans="1:10">
      <c r="A72" s="54" t="s">
        <v>80</v>
      </c>
      <c r="B72" s="59">
        <v>1.25</v>
      </c>
      <c r="C72" s="59">
        <v>1.25</v>
      </c>
      <c r="D72" s="59"/>
      <c r="E72" s="59"/>
      <c r="F72" s="59"/>
      <c r="G72" s="59"/>
      <c r="H72" s="55">
        <f t="shared" si="9"/>
        <v>7.208</v>
      </c>
      <c r="I72" s="55">
        <f t="shared" si="10"/>
        <v>21.208</v>
      </c>
      <c r="J72" s="55">
        <f t="shared" si="11"/>
        <v>28.416</v>
      </c>
    </row>
    <row r="73" spans="1:10">
      <c r="A73" s="54" t="s">
        <v>81</v>
      </c>
      <c r="B73" s="59"/>
      <c r="C73" s="59"/>
      <c r="D73" s="59"/>
      <c r="E73" s="59">
        <v>1</v>
      </c>
      <c r="F73" s="59"/>
      <c r="G73" s="59"/>
      <c r="H73" s="55">
        <f t="shared" si="9"/>
        <v>7.208</v>
      </c>
      <c r="I73" s="55">
        <f t="shared" si="10"/>
        <v>20.208</v>
      </c>
      <c r="J73" s="55">
        <f t="shared" si="11"/>
        <v>27.416</v>
      </c>
    </row>
    <row r="74" spans="1:10">
      <c r="A74" s="54" t="s">
        <v>82</v>
      </c>
      <c r="B74" s="59">
        <v>1.25</v>
      </c>
      <c r="C74" s="59">
        <v>1.25</v>
      </c>
      <c r="D74" s="59"/>
      <c r="E74" s="59"/>
      <c r="F74" s="59"/>
      <c r="G74" s="59"/>
      <c r="H74" s="55">
        <f t="shared" si="9"/>
        <v>8.458</v>
      </c>
      <c r="I74" s="55">
        <f t="shared" si="10"/>
        <v>21.458</v>
      </c>
      <c r="J74" s="55">
        <f t="shared" si="11"/>
        <v>29.916</v>
      </c>
    </row>
    <row r="75" spans="1:10">
      <c r="A75" s="54" t="s">
        <v>83</v>
      </c>
      <c r="B75" s="59"/>
      <c r="C75" s="59"/>
      <c r="D75" s="59"/>
      <c r="E75" s="59"/>
      <c r="F75" s="59">
        <v>1</v>
      </c>
      <c r="G75" s="59"/>
      <c r="H75" s="55">
        <f t="shared" si="9"/>
        <v>7.458</v>
      </c>
      <c r="I75" s="55">
        <f t="shared" si="10"/>
        <v>21.458</v>
      </c>
      <c r="J75" s="55">
        <f t="shared" si="11"/>
        <v>28.916</v>
      </c>
    </row>
    <row r="76" spans="1:10">
      <c r="A76" s="54" t="s">
        <v>84</v>
      </c>
      <c r="B76" s="59">
        <v>1.25</v>
      </c>
      <c r="C76" s="59">
        <v>1.25</v>
      </c>
      <c r="D76" s="59"/>
      <c r="E76" s="59"/>
      <c r="F76" s="59"/>
      <c r="G76" s="59"/>
      <c r="H76" s="55">
        <f t="shared" si="9"/>
        <v>8.708</v>
      </c>
      <c r="I76" s="55">
        <f t="shared" si="10"/>
        <v>22.708</v>
      </c>
      <c r="J76" s="55">
        <f t="shared" si="11"/>
        <v>31.416</v>
      </c>
    </row>
    <row r="77" spans="1:10">
      <c r="A77" s="54" t="s">
        <v>85</v>
      </c>
      <c r="B77" s="59"/>
      <c r="C77" s="59"/>
      <c r="D77" s="59"/>
      <c r="E77" s="59">
        <v>1</v>
      </c>
      <c r="F77" s="59"/>
      <c r="G77" s="59"/>
      <c r="H77" s="55">
        <f t="shared" si="9"/>
        <v>8.708</v>
      </c>
      <c r="I77" s="55">
        <f t="shared" si="10"/>
        <v>21.708</v>
      </c>
      <c r="J77" s="55">
        <f t="shared" si="11"/>
        <v>30.416</v>
      </c>
    </row>
    <row r="78" spans="1:10">
      <c r="A78" s="54" t="s">
        <v>86</v>
      </c>
      <c r="B78" s="59"/>
      <c r="C78" s="59"/>
      <c r="D78" s="59"/>
      <c r="E78" s="59">
        <v>1</v>
      </c>
      <c r="F78" s="59"/>
      <c r="G78" s="59"/>
      <c r="H78" s="55">
        <f t="shared" si="9"/>
        <v>8.708</v>
      </c>
      <c r="I78" s="55">
        <f t="shared" si="10"/>
        <v>20.708</v>
      </c>
      <c r="J78" s="55">
        <f t="shared" si="11"/>
        <v>29.416</v>
      </c>
    </row>
    <row r="79" spans="1:10">
      <c r="A79" s="54" t="s">
        <v>87</v>
      </c>
      <c r="B79" s="59"/>
      <c r="C79" s="59"/>
      <c r="D79" s="59"/>
      <c r="E79" s="59">
        <v>1</v>
      </c>
      <c r="F79" s="59"/>
      <c r="G79" s="59"/>
      <c r="H79" s="55">
        <f t="shared" si="9"/>
        <v>8.708</v>
      </c>
      <c r="I79" s="55">
        <f t="shared" si="10"/>
        <v>19.708</v>
      </c>
      <c r="J79" s="55">
        <f t="shared" si="11"/>
        <v>28.416</v>
      </c>
    </row>
    <row r="80" spans="1:10">
      <c r="A80" s="54" t="s">
        <v>88</v>
      </c>
      <c r="B80" s="59">
        <v>1.25</v>
      </c>
      <c r="C80" s="59">
        <v>1.25</v>
      </c>
      <c r="D80" s="59"/>
      <c r="E80" s="59"/>
      <c r="F80" s="59"/>
      <c r="G80" s="59"/>
      <c r="H80" s="55">
        <f t="shared" si="9"/>
        <v>9.958</v>
      </c>
      <c r="I80" s="55">
        <f t="shared" si="10"/>
        <v>20.958</v>
      </c>
      <c r="J80" s="55">
        <f t="shared" si="11"/>
        <v>30.916</v>
      </c>
    </row>
    <row r="81" spans="1:10">
      <c r="A81" s="54" t="s">
        <v>89</v>
      </c>
      <c r="B81" s="59"/>
      <c r="C81" s="59"/>
      <c r="D81" s="59"/>
      <c r="E81" s="59">
        <v>1</v>
      </c>
      <c r="F81" s="59"/>
      <c r="G81" s="59"/>
      <c r="H81" s="55">
        <f t="shared" si="9"/>
        <v>9.958</v>
      </c>
      <c r="I81" s="55">
        <f t="shared" si="10"/>
        <v>19.958</v>
      </c>
      <c r="J81" s="55">
        <f t="shared" si="11"/>
        <v>29.916</v>
      </c>
    </row>
    <row r="82" spans="1:10">
      <c r="A82" s="54" t="s">
        <v>90</v>
      </c>
      <c r="B82" s="59">
        <v>1.25</v>
      </c>
      <c r="C82" s="59">
        <v>1.25</v>
      </c>
      <c r="D82" s="59"/>
      <c r="E82" s="59"/>
      <c r="F82" s="59"/>
      <c r="G82" s="59"/>
      <c r="H82" s="55">
        <f t="shared" si="9"/>
        <v>11.208</v>
      </c>
      <c r="I82" s="55">
        <f t="shared" si="10"/>
        <v>21.208</v>
      </c>
      <c r="J82" s="55">
        <f t="shared" si="11"/>
        <v>32.416</v>
      </c>
    </row>
    <row r="83" spans="1:10">
      <c r="A83" s="54" t="s">
        <v>91</v>
      </c>
      <c r="B83" s="59"/>
      <c r="C83" s="59"/>
      <c r="D83" s="59"/>
      <c r="E83" s="59">
        <v>1</v>
      </c>
      <c r="F83" s="59"/>
      <c r="G83" s="59"/>
      <c r="H83" s="55">
        <f t="shared" si="9"/>
        <v>11.208</v>
      </c>
      <c r="I83" s="55">
        <f t="shared" si="10"/>
        <v>20.208</v>
      </c>
      <c r="J83" s="55">
        <f t="shared" si="11"/>
        <v>31.416</v>
      </c>
    </row>
    <row r="84" spans="1:10">
      <c r="A84" s="54" t="s">
        <v>92</v>
      </c>
      <c r="B84" s="59"/>
      <c r="C84" s="59"/>
      <c r="D84" s="59"/>
      <c r="E84" s="59">
        <v>2</v>
      </c>
      <c r="F84" s="59"/>
      <c r="G84" s="59"/>
      <c r="H84" s="55">
        <f t="shared" si="9"/>
        <v>11.208</v>
      </c>
      <c r="I84" s="55">
        <f t="shared" si="10"/>
        <v>18.208</v>
      </c>
      <c r="J84" s="55">
        <f t="shared" si="11"/>
        <v>29.416</v>
      </c>
    </row>
    <row r="85" spans="1:10">
      <c r="A85" s="54" t="s">
        <v>93</v>
      </c>
      <c r="B85" s="59"/>
      <c r="C85" s="59"/>
      <c r="D85" s="59"/>
      <c r="E85" s="59">
        <v>2</v>
      </c>
      <c r="F85" s="59"/>
      <c r="G85" s="59"/>
      <c r="H85" s="55">
        <f t="shared" si="9"/>
        <v>11.208</v>
      </c>
      <c r="I85" s="55">
        <f t="shared" si="10"/>
        <v>16.208</v>
      </c>
      <c r="J85" s="55">
        <f t="shared" si="11"/>
        <v>27.416</v>
      </c>
    </row>
    <row r="86" spans="1:10">
      <c r="A86" s="54" t="s">
        <v>94</v>
      </c>
      <c r="B86" s="59"/>
      <c r="C86" s="59"/>
      <c r="D86" s="59"/>
      <c r="E86" s="59">
        <v>4</v>
      </c>
      <c r="F86" s="59"/>
      <c r="G86" s="59"/>
      <c r="H86" s="55">
        <f t="shared" si="9"/>
        <v>11.208</v>
      </c>
      <c r="I86" s="55">
        <f t="shared" si="10"/>
        <v>12.208</v>
      </c>
      <c r="J86" s="55">
        <f t="shared" si="11"/>
        <v>23.416</v>
      </c>
    </row>
    <row r="87" spans="1:10">
      <c r="A87" s="54" t="s">
        <v>95</v>
      </c>
      <c r="B87" s="59">
        <v>1.25</v>
      </c>
      <c r="C87" s="59">
        <v>1.25</v>
      </c>
      <c r="D87" s="59"/>
      <c r="E87" s="59"/>
      <c r="F87" s="59"/>
      <c r="G87" s="59"/>
      <c r="H87" s="55">
        <f t="shared" si="9"/>
        <v>12.458</v>
      </c>
      <c r="I87" s="55">
        <f t="shared" si="10"/>
        <v>13.458</v>
      </c>
      <c r="J87" s="55">
        <f t="shared" si="11"/>
        <v>25.916</v>
      </c>
    </row>
    <row r="88" spans="1:10">
      <c r="A88" s="54" t="s">
        <v>96</v>
      </c>
      <c r="B88" s="59"/>
      <c r="C88" s="59"/>
      <c r="D88" s="59"/>
      <c r="E88" s="59">
        <v>3</v>
      </c>
      <c r="F88" s="59"/>
      <c r="G88" s="59"/>
      <c r="H88" s="55">
        <f t="shared" si="9"/>
        <v>12.458</v>
      </c>
      <c r="I88" s="55">
        <f t="shared" si="10"/>
        <v>10.458</v>
      </c>
      <c r="J88" s="55">
        <f t="shared" si="11"/>
        <v>22.916</v>
      </c>
    </row>
    <row r="89" spans="1:10">
      <c r="A89" s="54" t="s">
        <v>97</v>
      </c>
      <c r="B89" s="59"/>
      <c r="C89" s="59"/>
      <c r="D89" s="59"/>
      <c r="E89" s="59"/>
      <c r="F89" s="59"/>
      <c r="G89" s="59">
        <v>2</v>
      </c>
      <c r="H89" s="55">
        <f t="shared" si="9"/>
        <v>12.458</v>
      </c>
      <c r="I89" s="55">
        <f t="shared" si="10"/>
        <v>10.458</v>
      </c>
      <c r="J89" s="55">
        <f t="shared" si="11"/>
        <v>22.916</v>
      </c>
    </row>
    <row r="90" spans="1:10">
      <c r="A90" s="54" t="s">
        <v>98</v>
      </c>
      <c r="B90" s="59">
        <v>1.25</v>
      </c>
      <c r="C90" s="59">
        <v>1.25</v>
      </c>
      <c r="D90" s="59"/>
      <c r="E90" s="59"/>
      <c r="F90" s="59"/>
      <c r="G90" s="59"/>
      <c r="H90" s="55">
        <f t="shared" si="9"/>
        <v>13.708</v>
      </c>
      <c r="I90" s="55">
        <f t="shared" si="10"/>
        <v>11.708</v>
      </c>
      <c r="J90" s="55">
        <f t="shared" si="11"/>
        <v>25.416</v>
      </c>
    </row>
    <row r="91" spans="1:10">
      <c r="A91" s="54" t="s">
        <v>99</v>
      </c>
      <c r="B91" s="59"/>
      <c r="C91" s="59"/>
      <c r="D91" s="59"/>
      <c r="E91" s="59">
        <v>2</v>
      </c>
      <c r="F91" s="59"/>
      <c r="G91" s="59"/>
      <c r="H91" s="55">
        <f t="shared" si="9"/>
        <v>13.708</v>
      </c>
      <c r="I91" s="55">
        <f t="shared" si="10"/>
        <v>9.708</v>
      </c>
      <c r="J91" s="55">
        <f t="shared" si="11"/>
        <v>23.416</v>
      </c>
    </row>
    <row r="92" spans="1:10">
      <c r="A92" s="54" t="s">
        <v>100</v>
      </c>
      <c r="B92" s="59"/>
      <c r="C92" s="59"/>
      <c r="D92" s="59"/>
      <c r="E92" s="59">
        <v>1</v>
      </c>
      <c r="F92" s="59"/>
      <c r="G92" s="59"/>
      <c r="H92" s="55">
        <f t="shared" si="9"/>
        <v>13.708</v>
      </c>
      <c r="I92" s="55">
        <f t="shared" si="10"/>
        <v>8.708</v>
      </c>
      <c r="J92" s="55">
        <f t="shared" si="11"/>
        <v>22.416</v>
      </c>
    </row>
    <row r="93" spans="1:10">
      <c r="A93" s="54" t="s">
        <v>101</v>
      </c>
      <c r="B93" s="59">
        <v>1.25</v>
      </c>
      <c r="C93" s="59">
        <v>1.25</v>
      </c>
      <c r="D93" s="59"/>
      <c r="E93" s="59"/>
      <c r="F93" s="59"/>
      <c r="G93" s="59"/>
      <c r="H93" s="55">
        <f t="shared" si="9"/>
        <v>14.958</v>
      </c>
      <c r="I93" s="55">
        <f t="shared" si="10"/>
        <v>9.958</v>
      </c>
      <c r="J93" s="55">
        <f t="shared" si="11"/>
        <v>24.916</v>
      </c>
    </row>
    <row r="94" spans="1:10">
      <c r="A94" s="54" t="s">
        <v>102</v>
      </c>
      <c r="B94" s="59"/>
      <c r="C94" s="59"/>
      <c r="D94" s="59"/>
      <c r="E94" s="59">
        <v>1</v>
      </c>
      <c r="F94" s="59"/>
      <c r="G94" s="59"/>
      <c r="H94" s="55">
        <f t="shared" si="9"/>
        <v>14.958</v>
      </c>
      <c r="I94" s="55">
        <f t="shared" si="10"/>
        <v>8.958</v>
      </c>
      <c r="J94" s="55">
        <f t="shared" si="11"/>
        <v>23.916</v>
      </c>
    </row>
    <row r="95" spans="1:10">
      <c r="A95" s="54" t="s">
        <v>103</v>
      </c>
      <c r="B95" s="59"/>
      <c r="C95" s="59"/>
      <c r="D95" s="59"/>
      <c r="E95" s="59"/>
      <c r="F95" s="59">
        <v>1</v>
      </c>
      <c r="G95" s="59"/>
      <c r="H95" s="55">
        <f t="shared" si="9"/>
        <v>13.958</v>
      </c>
      <c r="I95" s="55">
        <f t="shared" si="10"/>
        <v>8.958</v>
      </c>
      <c r="J95" s="55">
        <f t="shared" si="11"/>
        <v>22.916</v>
      </c>
    </row>
    <row r="96" spans="1:10">
      <c r="A96" s="54" t="s">
        <v>104</v>
      </c>
      <c r="B96" s="59"/>
      <c r="C96" s="59"/>
      <c r="D96" s="59"/>
      <c r="E96" s="59">
        <v>1</v>
      </c>
      <c r="F96" s="59"/>
      <c r="G96" s="59"/>
      <c r="H96" s="55">
        <f t="shared" si="9"/>
        <v>13.958</v>
      </c>
      <c r="I96" s="55">
        <f t="shared" si="10"/>
        <v>7.958</v>
      </c>
      <c r="J96" s="55">
        <f t="shared" si="11"/>
        <v>21.916</v>
      </c>
    </row>
    <row r="97" spans="1:10">
      <c r="A97" s="54" t="s">
        <v>105</v>
      </c>
      <c r="B97" s="59">
        <v>1.25</v>
      </c>
      <c r="C97" s="59">
        <v>1.25</v>
      </c>
      <c r="D97" s="59"/>
      <c r="E97" s="59"/>
      <c r="F97" s="59"/>
      <c r="G97" s="59"/>
      <c r="H97" s="55">
        <f t="shared" si="9"/>
        <v>15.208</v>
      </c>
      <c r="I97" s="55">
        <f t="shared" si="10"/>
        <v>9.208</v>
      </c>
      <c r="J97" s="55">
        <f t="shared" si="11"/>
        <v>24.416</v>
      </c>
    </row>
    <row r="98" spans="1:10">
      <c r="A98" s="54" t="s">
        <v>106</v>
      </c>
      <c r="B98" s="59"/>
      <c r="C98" s="59"/>
      <c r="D98" s="59"/>
      <c r="E98" s="59">
        <v>2</v>
      </c>
      <c r="F98" s="59"/>
      <c r="G98" s="59"/>
      <c r="H98" s="55">
        <f t="shared" si="9"/>
        <v>15.208</v>
      </c>
      <c r="I98" s="55">
        <f t="shared" si="10"/>
        <v>7.208</v>
      </c>
      <c r="J98" s="55">
        <f t="shared" si="11"/>
        <v>22.416</v>
      </c>
    </row>
    <row r="99" spans="1:10">
      <c r="A99" s="54" t="s">
        <v>107</v>
      </c>
      <c r="B99" s="59"/>
      <c r="C99" s="59"/>
      <c r="D99" s="59"/>
      <c r="E99" s="59">
        <v>1</v>
      </c>
      <c r="F99" s="59"/>
      <c r="G99" s="59"/>
      <c r="H99" s="55">
        <f t="shared" si="9"/>
        <v>15.208</v>
      </c>
      <c r="I99" s="55">
        <f t="shared" si="10"/>
        <v>6.208</v>
      </c>
      <c r="J99" s="55">
        <f t="shared" si="11"/>
        <v>21.416</v>
      </c>
    </row>
    <row r="100" spans="1:10">
      <c r="A100" s="54" t="s">
        <v>108</v>
      </c>
      <c r="B100" s="59"/>
      <c r="C100" s="59"/>
      <c r="D100" s="59">
        <v>1</v>
      </c>
      <c r="E100" s="59"/>
      <c r="F100" s="59"/>
      <c r="G100" s="59"/>
      <c r="H100" s="55">
        <f t="shared" si="9"/>
        <v>14.208</v>
      </c>
      <c r="I100" s="55">
        <f t="shared" si="10"/>
        <v>6.208</v>
      </c>
      <c r="J100" s="55">
        <f t="shared" si="11"/>
        <v>20.416</v>
      </c>
    </row>
    <row r="101" spans="1:10">
      <c r="A101" s="54" t="s">
        <v>109</v>
      </c>
      <c r="B101" s="59">
        <v>1.25</v>
      </c>
      <c r="C101" s="59">
        <v>1.25</v>
      </c>
      <c r="D101" s="59"/>
      <c r="E101" s="59"/>
      <c r="F101" s="59"/>
      <c r="G101" s="59"/>
      <c r="H101" s="55">
        <f t="shared" si="9"/>
        <v>15.458</v>
      </c>
      <c r="I101" s="55">
        <f t="shared" si="10"/>
        <v>7.458</v>
      </c>
      <c r="J101" s="55">
        <f t="shared" si="11"/>
        <v>22.916</v>
      </c>
    </row>
    <row r="102" spans="1:10">
      <c r="A102" s="54" t="s">
        <v>110</v>
      </c>
      <c r="B102" s="59"/>
      <c r="C102" s="59"/>
      <c r="D102" s="59"/>
      <c r="E102" s="59">
        <v>2</v>
      </c>
      <c r="F102" s="59"/>
      <c r="G102" s="59"/>
      <c r="H102" s="55">
        <f t="shared" si="9"/>
        <v>15.458</v>
      </c>
      <c r="I102" s="55">
        <f t="shared" si="10"/>
        <v>5.458</v>
      </c>
      <c r="J102" s="55">
        <f t="shared" si="11"/>
        <v>20.916</v>
      </c>
    </row>
    <row r="103" spans="1:10">
      <c r="A103" s="54" t="s">
        <v>111</v>
      </c>
      <c r="B103" s="59">
        <v>2.5</v>
      </c>
      <c r="C103" s="59">
        <v>2.5</v>
      </c>
      <c r="D103" s="59"/>
      <c r="E103" s="59"/>
      <c r="F103" s="59"/>
      <c r="G103" s="59"/>
      <c r="H103" s="55">
        <f t="shared" si="9"/>
        <v>17.958</v>
      </c>
      <c r="I103" s="55">
        <f t="shared" si="10"/>
        <v>7.958</v>
      </c>
      <c r="J103" s="55">
        <f t="shared" si="11"/>
        <v>25.916</v>
      </c>
    </row>
    <row r="104" spans="1:10">
      <c r="A104" s="54" t="s">
        <v>112</v>
      </c>
      <c r="B104" s="59">
        <v>3.75</v>
      </c>
      <c r="C104" s="59">
        <v>3.75</v>
      </c>
      <c r="D104" s="59"/>
      <c r="E104" s="59"/>
      <c r="F104" s="59"/>
      <c r="G104" s="59"/>
      <c r="H104" s="55">
        <f t="shared" si="9"/>
        <v>21.708</v>
      </c>
      <c r="I104" s="55">
        <f t="shared" si="10"/>
        <v>11.708</v>
      </c>
      <c r="J104" s="55">
        <f t="shared" si="11"/>
        <v>33.416</v>
      </c>
    </row>
    <row r="105" spans="1:10">
      <c r="A105" s="54" t="s">
        <v>113</v>
      </c>
      <c r="B105" s="59"/>
      <c r="C105" s="59"/>
      <c r="D105" s="59"/>
      <c r="E105" s="59">
        <v>1</v>
      </c>
      <c r="F105" s="59"/>
      <c r="G105" s="59"/>
      <c r="H105" s="55">
        <f t="shared" si="9"/>
        <v>21.708</v>
      </c>
      <c r="I105" s="55">
        <f t="shared" si="10"/>
        <v>10.708</v>
      </c>
      <c r="J105" s="55">
        <f t="shared" si="11"/>
        <v>32.416</v>
      </c>
    </row>
    <row r="106" spans="1:10">
      <c r="A106" s="54" t="s">
        <v>114</v>
      </c>
      <c r="B106" s="59"/>
      <c r="C106" s="59"/>
      <c r="D106" s="59"/>
      <c r="E106" s="59"/>
      <c r="F106" s="59"/>
      <c r="G106" s="65">
        <v>1</v>
      </c>
      <c r="H106" s="55">
        <f t="shared" si="9"/>
        <v>21.708</v>
      </c>
      <c r="I106" s="55">
        <f t="shared" si="10"/>
        <v>10.708</v>
      </c>
      <c r="J106" s="55">
        <f t="shared" si="11"/>
        <v>32.416</v>
      </c>
    </row>
    <row r="107" spans="1:10">
      <c r="A107" s="54" t="s">
        <v>115</v>
      </c>
      <c r="B107" s="59">
        <v>2.5</v>
      </c>
      <c r="C107" s="59">
        <v>2.5</v>
      </c>
      <c r="D107" s="59"/>
      <c r="E107" s="59"/>
      <c r="F107" s="59"/>
      <c r="G107" s="59"/>
      <c r="H107" s="55">
        <f t="shared" ref="H107" si="12">H106-F107-D107+B107</f>
        <v>24.208</v>
      </c>
      <c r="I107" s="55">
        <f t="shared" ref="I107" si="13">I106-E107+C107</f>
        <v>13.208</v>
      </c>
      <c r="J107" s="55">
        <f t="shared" ref="J107" si="14">SUM(H107:I107)</f>
        <v>37.416</v>
      </c>
    </row>
    <row r="108" spans="1:10">
      <c r="A108" s="54" t="s">
        <v>116</v>
      </c>
      <c r="B108" s="59"/>
      <c r="C108" s="59"/>
      <c r="D108" s="59">
        <v>1</v>
      </c>
      <c r="E108" s="59"/>
      <c r="F108" s="59"/>
      <c r="G108" s="59"/>
      <c r="H108" s="55">
        <f t="shared" ref="H108" si="15">H107-F108-D108+B108</f>
        <v>23.208</v>
      </c>
      <c r="I108" s="55">
        <f t="shared" ref="I108" si="16">I107-E108+C108</f>
        <v>13.208</v>
      </c>
      <c r="J108" s="55">
        <f t="shared" ref="J108" si="17">SUM(H108:I108)</f>
        <v>36.416</v>
      </c>
    </row>
    <row r="109" spans="1:10">
      <c r="A109" s="54" t="s">
        <v>117</v>
      </c>
      <c r="B109" s="59">
        <v>1.25</v>
      </c>
      <c r="C109" s="59">
        <v>1.25</v>
      </c>
      <c r="D109" s="59"/>
      <c r="E109" s="59"/>
      <c r="F109" s="59"/>
      <c r="G109" s="59"/>
      <c r="H109" s="55">
        <f t="shared" ref="H109:H110" si="18">H108-F109-D109+B109</f>
        <v>24.458</v>
      </c>
      <c r="I109" s="55">
        <f t="shared" ref="I109:I110" si="19">I108-E109+C109</f>
        <v>14.458</v>
      </c>
      <c r="J109" s="55">
        <f t="shared" ref="J109:J110" si="20">SUM(H109:I109)</f>
        <v>38.916</v>
      </c>
    </row>
    <row r="110" spans="1:10">
      <c r="A110" s="54" t="s">
        <v>118</v>
      </c>
      <c r="B110" s="59"/>
      <c r="C110" s="59"/>
      <c r="D110" s="59"/>
      <c r="E110" s="59">
        <v>1</v>
      </c>
      <c r="F110" s="59"/>
      <c r="G110" s="59"/>
      <c r="H110" s="55">
        <f t="shared" si="18"/>
        <v>24.458</v>
      </c>
      <c r="I110" s="55">
        <f t="shared" si="19"/>
        <v>13.458</v>
      </c>
      <c r="J110" s="55">
        <f t="shared" si="20"/>
        <v>37.916</v>
      </c>
    </row>
    <row r="111" spans="1:10">
      <c r="A111" s="54" t="s">
        <v>119</v>
      </c>
      <c r="B111" s="59">
        <v>3.75</v>
      </c>
      <c r="C111" s="59">
        <v>3.75</v>
      </c>
      <c r="D111" s="59"/>
      <c r="E111" s="59"/>
      <c r="F111" s="59"/>
      <c r="G111" s="59"/>
      <c r="H111" s="55">
        <f t="shared" ref="H111" si="21">H110-F111-D111+B111</f>
        <v>28.208</v>
      </c>
      <c r="I111" s="55">
        <f t="shared" ref="I111" si="22">I110-E111+C111</f>
        <v>17.208</v>
      </c>
      <c r="J111" s="55">
        <f t="shared" ref="J111" si="23">SUM(H111:I111)</f>
        <v>45.416</v>
      </c>
    </row>
    <row r="112" spans="1:10">
      <c r="A112" s="54" t="s">
        <v>120</v>
      </c>
      <c r="B112" s="59"/>
      <c r="C112" s="59"/>
      <c r="D112" s="59"/>
      <c r="E112" s="59">
        <v>1</v>
      </c>
      <c r="F112" s="59"/>
      <c r="G112" s="59"/>
      <c r="H112" s="55">
        <f t="shared" ref="H112" si="24">H111-F112-D112+B112</f>
        <v>28.208</v>
      </c>
      <c r="I112" s="55">
        <f t="shared" ref="I112" si="25">I111-E112+C112</f>
        <v>16.208</v>
      </c>
      <c r="J112" s="55">
        <f t="shared" ref="J112" si="26">SUM(H112:I112)</f>
        <v>44.416</v>
      </c>
    </row>
    <row r="113" spans="1:10">
      <c r="A113" s="54" t="s">
        <v>121</v>
      </c>
      <c r="B113" s="59"/>
      <c r="C113" s="59"/>
      <c r="D113" s="59"/>
      <c r="E113" s="59">
        <v>1</v>
      </c>
      <c r="F113" s="59"/>
      <c r="G113" s="59"/>
      <c r="H113" s="55">
        <f t="shared" ref="H113" si="27">H112-F113-D113+B113</f>
        <v>28.208</v>
      </c>
      <c r="I113" s="55">
        <f t="shared" ref="I113" si="28">I112-E113+C113</f>
        <v>15.208</v>
      </c>
      <c r="J113" s="55">
        <f t="shared" ref="J113" si="29">SUM(H113:I113)</f>
        <v>43.416</v>
      </c>
    </row>
    <row r="114" spans="1:10">
      <c r="A114" s="66" t="s">
        <v>122</v>
      </c>
      <c r="B114" s="67">
        <v>2.5</v>
      </c>
      <c r="C114" s="67">
        <v>2.5</v>
      </c>
      <c r="D114" s="67"/>
      <c r="E114" s="67"/>
      <c r="F114" s="67"/>
      <c r="G114" s="67"/>
      <c r="H114" s="55">
        <f>H113-F114-D114+B114</f>
        <v>30.708</v>
      </c>
      <c r="I114" s="55">
        <f>I113-E114+C114</f>
        <v>17.708</v>
      </c>
      <c r="J114" s="55">
        <f>SUM(H114:I114)</f>
        <v>48.416</v>
      </c>
    </row>
    <row r="115" spans="1:10">
      <c r="A115" s="66" t="s">
        <v>123</v>
      </c>
      <c r="B115" s="67"/>
      <c r="C115" s="67"/>
      <c r="D115" s="67"/>
      <c r="E115" s="67">
        <v>3</v>
      </c>
      <c r="F115" s="67"/>
      <c r="G115" s="67"/>
      <c r="H115" s="55">
        <f>H114-F115-D115+B115</f>
        <v>30.708</v>
      </c>
      <c r="I115" s="55">
        <f>I114-E115+C115</f>
        <v>14.708</v>
      </c>
      <c r="J115" s="55">
        <f>SUM(H115:I115)</f>
        <v>45.416</v>
      </c>
    </row>
    <row r="116" spans="1:10">
      <c r="A116" s="66" t="s">
        <v>124</v>
      </c>
      <c r="B116" s="67"/>
      <c r="C116" s="67"/>
      <c r="D116" s="67"/>
      <c r="E116" s="67"/>
      <c r="F116" s="67"/>
      <c r="G116" s="65">
        <v>2</v>
      </c>
      <c r="H116" s="55">
        <f>H115-F116-D116+B116</f>
        <v>30.708</v>
      </c>
      <c r="I116" s="55">
        <f>I115-E116+C116</f>
        <v>14.708</v>
      </c>
      <c r="J116" s="55">
        <f>SUM(H116:I116)</f>
        <v>45.416</v>
      </c>
    </row>
    <row r="117" spans="1:10">
      <c r="A117" s="68"/>
      <c r="B117" s="69"/>
      <c r="C117" s="69"/>
      <c r="D117" s="69"/>
      <c r="E117" s="69"/>
      <c r="F117" s="69"/>
      <c r="G117" s="69"/>
      <c r="H117" s="70"/>
      <c r="I117" s="70"/>
      <c r="J117" s="72"/>
    </row>
    <row r="118" s="44" customFormat="1" ht="15" customHeight="1" spans="6:6">
      <c r="F118" s="44" t="s">
        <v>125</v>
      </c>
    </row>
    <row r="119" s="44" customFormat="1" ht="15" customHeight="1"/>
    <row r="120" s="44" customFormat="1" ht="15" customHeight="1" spans="8:8">
      <c r="H120" s="71" t="s">
        <v>126</v>
      </c>
    </row>
    <row r="121" s="44" customFormat="1" ht="15" customHeight="1" spans="8:8">
      <c r="H121" s="6" t="s">
        <v>127</v>
      </c>
    </row>
    <row r="122" ht="15" customHeight="1" spans="2:11">
      <c r="B122" s="1"/>
      <c r="C122" s="1"/>
      <c r="D122" s="1"/>
      <c r="G122" s="1"/>
      <c r="H122" s="6" t="s">
        <v>128</v>
      </c>
      <c r="I122" s="1"/>
      <c r="J122" s="1"/>
      <c r="K122" s="1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433070866141732" bottom="0.433070866141732" header="0.31496062992126" footer="0.31496062992126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view="pageBreakPreview" zoomScale="112" zoomScaleNormal="100" topLeftCell="A11" workbookViewId="0">
      <selection activeCell="A20" sqref="$A20:$XFD20"/>
    </sheetView>
  </sheetViews>
  <sheetFormatPr defaultColWidth="9" defaultRowHeight="14.4"/>
  <cols>
    <col min="1" max="1" width="26.1388888888889" customWidth="1"/>
    <col min="2" max="2" width="17.712962962963" customWidth="1"/>
    <col min="6" max="6" width="3.71296296296296" customWidth="1"/>
    <col min="8" max="8" width="2.71296296296296" customWidth="1"/>
    <col min="10" max="10" width="4" customWidth="1"/>
    <col min="11" max="11" width="10.712962962963" customWidth="1"/>
  </cols>
  <sheetData>
    <row r="1" s="1" customFormat="1" ht="52.5" customHeight="1" spans="4:7">
      <c r="D1" s="4"/>
      <c r="G1" s="5"/>
    </row>
    <row r="2" s="1" customFormat="1" ht="10.5" customHeight="1" spans="1:1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="1" customFormat="1" ht="15.95" customHeight="1" spans="1:1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="1" customFormat="1" ht="15.95" customHeight="1" spans="1:11">
      <c r="A4" s="6" t="s">
        <v>129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="1" customFormat="1" ht="15.95" customHeight="1" spans="1:11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="1" customFormat="1" ht="8.25" customHeight="1" spans="4:7">
      <c r="D6" s="5"/>
      <c r="G6" s="5"/>
    </row>
    <row r="7" s="1" customFormat="1" ht="8.25" customHeight="1" spans="4:7">
      <c r="D7" s="5"/>
      <c r="G7" s="5"/>
    </row>
    <row r="8" s="1" customFormat="1" ht="12" customHeight="1" spans="1:11">
      <c r="A8" s="7" t="s">
        <v>130</v>
      </c>
      <c r="B8" s="7"/>
      <c r="C8" s="7"/>
      <c r="D8" s="8" t="s">
        <v>131</v>
      </c>
      <c r="E8" s="8"/>
      <c r="F8" s="8"/>
      <c r="H8" s="7" t="s">
        <v>132</v>
      </c>
      <c r="I8" s="7"/>
      <c r="J8" s="7"/>
      <c r="K8" s="7"/>
    </row>
    <row r="9" s="1" customFormat="1" ht="12.95" customHeight="1" spans="3:11">
      <c r="C9" s="9"/>
      <c r="D9" s="8"/>
      <c r="E9" s="8"/>
      <c r="F9" s="8"/>
      <c r="H9" s="9" t="s">
        <v>133</v>
      </c>
      <c r="I9" s="9"/>
      <c r="J9" s="9"/>
      <c r="K9" s="9"/>
    </row>
    <row r="10" s="1" customFormat="1" ht="15.6" customHeight="1" spans="1:11">
      <c r="A10" s="7" t="s">
        <v>134</v>
      </c>
      <c r="B10" s="7"/>
      <c r="C10" s="7"/>
      <c r="D10" s="8" t="s">
        <v>135</v>
      </c>
      <c r="E10" s="8"/>
      <c r="F10" s="8"/>
      <c r="H10" s="7" t="s">
        <v>136</v>
      </c>
      <c r="I10" s="7"/>
      <c r="J10" s="7"/>
      <c r="K10" s="7"/>
    </row>
    <row r="11" ht="16.5" customHeight="1" spans="1:11">
      <c r="A11" s="10" t="s">
        <v>137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="2" customFormat="1" ht="18.75" customHeight="1" spans="1:11">
      <c r="A12" s="11" t="s">
        <v>138</v>
      </c>
      <c r="B12" s="12" t="s">
        <v>139</v>
      </c>
      <c r="C12" s="13" t="s">
        <v>140</v>
      </c>
      <c r="D12" s="14"/>
      <c r="E12" s="13" t="s">
        <v>141</v>
      </c>
      <c r="F12" s="14"/>
      <c r="G12" s="13" t="s">
        <v>142</v>
      </c>
      <c r="H12" s="14"/>
      <c r="I12" s="13" t="s">
        <v>143</v>
      </c>
      <c r="J12" s="14"/>
      <c r="K12" s="37" t="s">
        <v>15</v>
      </c>
    </row>
    <row r="13" s="2" customFormat="1" ht="18.75" customHeight="1" spans="1:11">
      <c r="A13" s="15"/>
      <c r="B13" s="16"/>
      <c r="C13" s="17"/>
      <c r="D13" s="18"/>
      <c r="E13" s="17"/>
      <c r="F13" s="18"/>
      <c r="G13" s="17"/>
      <c r="H13" s="18"/>
      <c r="I13" s="17"/>
      <c r="J13" s="18"/>
      <c r="K13" s="38"/>
    </row>
    <row r="14" s="2" customFormat="1" ht="24" customHeight="1" spans="1:11">
      <c r="A14" s="19"/>
      <c r="B14" s="20"/>
      <c r="C14" s="21"/>
      <c r="D14" s="22"/>
      <c r="E14" s="21"/>
      <c r="F14" s="22"/>
      <c r="G14" s="21"/>
      <c r="H14" s="22"/>
      <c r="I14" s="21"/>
      <c r="J14" s="22"/>
      <c r="K14" s="39"/>
    </row>
    <row r="15" s="2" customFormat="1" ht="32.1" customHeight="1" spans="1:11">
      <c r="A15" s="23" t="s">
        <v>144</v>
      </c>
      <c r="B15" s="24">
        <v>44568</v>
      </c>
      <c r="C15" s="25" t="s">
        <v>145</v>
      </c>
      <c r="D15" s="26"/>
      <c r="E15" s="25">
        <v>5</v>
      </c>
      <c r="F15" s="27"/>
      <c r="G15" s="25">
        <v>0</v>
      </c>
      <c r="H15" s="27"/>
      <c r="I15" s="25">
        <f>E15-G15</f>
        <v>5</v>
      </c>
      <c r="J15" s="27"/>
      <c r="K15" s="40">
        <v>5</v>
      </c>
    </row>
    <row r="16" s="3" customFormat="1" ht="39" customHeight="1" spans="1:11">
      <c r="A16" s="28" t="s">
        <v>146</v>
      </c>
      <c r="B16" s="28"/>
      <c r="C16" s="29" t="s">
        <v>145</v>
      </c>
      <c r="D16" s="30"/>
      <c r="E16" s="29"/>
      <c r="F16" s="31"/>
      <c r="G16" s="29">
        <v>4</v>
      </c>
      <c r="H16" s="31"/>
      <c r="I16" s="29">
        <v>4</v>
      </c>
      <c r="J16" s="31"/>
      <c r="K16" s="41">
        <v>4</v>
      </c>
    </row>
    <row r="17" s="3" customFormat="1" ht="39" customHeight="1" spans="1:11">
      <c r="A17" s="32" t="s">
        <v>147</v>
      </c>
      <c r="B17" s="32"/>
      <c r="C17" s="29" t="s">
        <v>145</v>
      </c>
      <c r="D17" s="30"/>
      <c r="E17" s="29"/>
      <c r="F17" s="31"/>
      <c r="G17" s="29">
        <v>1</v>
      </c>
      <c r="H17" s="31"/>
      <c r="I17" s="29">
        <v>0</v>
      </c>
      <c r="J17" s="31"/>
      <c r="K17" s="42">
        <v>0</v>
      </c>
    </row>
    <row r="18" s="2" customFormat="1" ht="32.1" customHeight="1" spans="1:11">
      <c r="A18" s="33" t="s">
        <v>148</v>
      </c>
      <c r="B18" s="34" t="s">
        <v>149</v>
      </c>
      <c r="C18" s="29" t="s">
        <v>150</v>
      </c>
      <c r="D18" s="30"/>
      <c r="E18" s="29">
        <v>5</v>
      </c>
      <c r="F18" s="31"/>
      <c r="G18" s="29">
        <v>0</v>
      </c>
      <c r="H18" s="31"/>
      <c r="I18" s="29">
        <f>E18-G18</f>
        <v>5</v>
      </c>
      <c r="J18" s="31"/>
      <c r="K18" s="41">
        <v>5</v>
      </c>
    </row>
    <row r="19" s="3" customFormat="1" ht="39" customHeight="1" spans="1:11">
      <c r="A19" s="35" t="s">
        <v>151</v>
      </c>
      <c r="B19" s="35"/>
      <c r="C19" s="29" t="s">
        <v>150</v>
      </c>
      <c r="D19" s="30"/>
      <c r="E19" s="29"/>
      <c r="F19" s="31"/>
      <c r="G19" s="29">
        <v>3</v>
      </c>
      <c r="H19" s="31"/>
      <c r="I19" s="29">
        <v>2</v>
      </c>
      <c r="J19" s="31"/>
      <c r="K19" s="41">
        <v>2</v>
      </c>
    </row>
    <row r="20" s="3" customFormat="1" ht="39" customHeight="1" spans="1:11">
      <c r="A20" s="35" t="s">
        <v>152</v>
      </c>
      <c r="B20" s="35"/>
      <c r="C20" s="29" t="s">
        <v>150</v>
      </c>
      <c r="D20" s="30"/>
      <c r="E20" s="29"/>
      <c r="F20" s="31"/>
      <c r="G20" s="29">
        <v>1</v>
      </c>
      <c r="H20" s="31"/>
      <c r="I20" s="29">
        <v>1</v>
      </c>
      <c r="J20" s="31"/>
      <c r="K20" s="41">
        <v>1</v>
      </c>
    </row>
    <row r="21" s="3" customFormat="1" ht="39" customHeight="1" spans="1:11">
      <c r="A21" s="35" t="s">
        <v>153</v>
      </c>
      <c r="B21" s="35"/>
      <c r="C21" s="29" t="s">
        <v>150</v>
      </c>
      <c r="D21" s="30"/>
      <c r="E21" s="29"/>
      <c r="F21" s="31"/>
      <c r="G21" s="29">
        <v>1</v>
      </c>
      <c r="H21" s="31"/>
      <c r="I21" s="29">
        <v>0</v>
      </c>
      <c r="J21" s="31"/>
      <c r="K21" s="43">
        <v>0</v>
      </c>
    </row>
    <row r="22" s="1" customFormat="1" ht="75.75" customHeight="1" spans="1:11">
      <c r="A22" s="36"/>
      <c r="B22" s="36"/>
      <c r="D22" s="5"/>
      <c r="K22" s="36"/>
    </row>
    <row r="23" s="1" customFormat="1" spans="4:4">
      <c r="D23" s="5"/>
    </row>
    <row r="24" s="1" customFormat="1" spans="4:4">
      <c r="D24" s="5"/>
    </row>
  </sheetData>
  <mergeCells count="43">
    <mergeCell ref="A2:K2"/>
    <mergeCell ref="A3:K3"/>
    <mergeCell ref="A4:K4"/>
    <mergeCell ref="A5:K5"/>
    <mergeCell ref="D8:F8"/>
    <mergeCell ref="D9:F9"/>
    <mergeCell ref="D10:F10"/>
    <mergeCell ref="A11:K11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A12:A14"/>
    <mergeCell ref="B12:B14"/>
    <mergeCell ref="K12:K14"/>
    <mergeCell ref="C12:D14"/>
    <mergeCell ref="E12:F14"/>
    <mergeCell ref="G12:H14"/>
    <mergeCell ref="I12:J14"/>
  </mergeCells>
  <pageMargins left="0.7" right="0.7" top="0.75" bottom="0.75" header="0.3" footer="0.3"/>
  <pageSetup paperSize="1" scale="82" fitToHeight="0" orientation="portrait"/>
  <headerFooter/>
  <colBreaks count="1" manualBreakCount="1">
    <brk id="11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2025-10-29T06:00:00Z</cp:lastPrinted>
  <dcterms:modified xsi:type="dcterms:W3CDTF">2026-01-01T01:29:44Z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EA1B97989004437F96A27D002914E840</vt:lpwstr>
  </property>
  <property fmtid="{D5CDD505-2E9C-101B-9397-08002B2CF9AE}" pid="3" name="KSOProductBuildVer">
    <vt:lpwstr>1033-12.2.0.23196</vt:lpwstr>
  </property>
</Properties>
</file>