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2" documentId="11_F60F691B0838F6C64E993BB9E65F1E6FCDEAC3A5" xr6:coauthVersionLast="47" xr6:coauthVersionMax="47" xr10:uidLastSave="{7805BAA5-558C-4CC5-976E-749FFF6847B7}"/>
  <bookViews>
    <workbookView xWindow="0" yWindow="0" windowWidth="22188" windowHeight="9000" activeTab="1" xr2:uid="{00000000-000D-0000-FFFF-FFFF00000000}"/>
  </bookViews>
  <sheets>
    <sheet name="Leave Card (NE)" sheetId="6" r:id="rId1"/>
    <sheet name="CTO" sheetId="10" r:id="rId2"/>
    <sheet name="ELECTION" sheetId="9" r:id="rId3"/>
  </sheets>
  <definedNames>
    <definedName name="_xlnm.Print_Area" localSheetId="2">ELECTION!$A$1:$M$30</definedName>
    <definedName name="_xlnm.Print_Area" localSheetId="0">'Leave Card (NE)'!$A$1:$J$56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6" l="1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</calcChain>
</file>

<file path=xl/sharedStrings.xml><?xml version="1.0" encoding="utf-8"?>
<sst xmlns="http://schemas.openxmlformats.org/spreadsheetml/2006/main" count="131" uniqueCount="98">
  <si>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</si>
  <si>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</si>
  <si>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</si>
  <si>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</si>
  <si>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</si>
  <si>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</si>
  <si>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</si>
  <si>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</si>
  <si>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</si>
  <si>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</si>
  <si>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</si>
  <si>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</si>
  <si>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</si>
  <si>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</si>
  <si>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</si>
  <si>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</si>
  <si>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</si>
  <si>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</si>
  <si>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</si>
  <si>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</si>
  <si>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</si>
  <si>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01/08/2024 - 01/31/2024</t>
  </si>
  <si>
    <t>ADD: 02/01/2024 - 03/31/2024</t>
  </si>
  <si>
    <t>LESS: 05/3/2024</t>
  </si>
  <si>
    <t>ADD: 04/1/2024-06/30/2024</t>
  </si>
  <si>
    <t>LESS: 07/02/2024</t>
  </si>
  <si>
    <t>LESS: 07/17/2024 UNDERTIME (PM)</t>
  </si>
  <si>
    <t>ADD: 07/1/2024-08/31/2024</t>
  </si>
  <si>
    <t>LESS: 08/02/2024 (UNDERTIME PM)</t>
  </si>
  <si>
    <t>LESS: 09/27/2024</t>
  </si>
  <si>
    <t>ADD: 09/1-30/2024</t>
  </si>
  <si>
    <t>LESS: 10/15/2024</t>
  </si>
  <si>
    <t>LESS: 10/28/2024</t>
  </si>
  <si>
    <t>ADD: 10/1-31/2024</t>
  </si>
  <si>
    <t>LESS: 12/19, 26, 27/2024</t>
  </si>
  <si>
    <t>ADD: 11/1-30/2024</t>
  </si>
  <si>
    <t>LESS: 12/18/2024</t>
  </si>
  <si>
    <t>ADD: 12/1-31/2024</t>
  </si>
  <si>
    <t>LESS:  FL 2024</t>
  </si>
  <si>
    <t>LESS: 01/14/2025 (PM) UNDERTIME</t>
  </si>
  <si>
    <t>LESS: 01/15-16/2025</t>
  </si>
  <si>
    <t>ADD: 01/1-31/2025</t>
  </si>
  <si>
    <t>LESS: 02/25/2025</t>
  </si>
  <si>
    <t>ADD: 02/1/2025-03/31/2025</t>
  </si>
  <si>
    <t>LESS: 04/7/2025</t>
  </si>
  <si>
    <t>LESS: 04/28-29/2025</t>
  </si>
  <si>
    <t>LESS: 05/19, 21 &amp; 22/2025</t>
  </si>
  <si>
    <t>ADD: 04/1-30/2025</t>
  </si>
  <si>
    <t>LESS: 05/19/2025 AM-UNDERTIME</t>
  </si>
  <si>
    <t>LESS: 05/27/2025 UNDERTIME (AM- 2HRS)</t>
  </si>
  <si>
    <t>ADD: 05/1-31/2025</t>
  </si>
  <si>
    <t>LESS: 06/19/2025</t>
  </si>
  <si>
    <t>LESS: 06/25/2025</t>
  </si>
  <si>
    <t>ADD: 06/1/2025-09/30/2025</t>
  </si>
  <si>
    <t>LESS: 10/17/2025</t>
  </si>
  <si>
    <t>ADD: 10/1-31/2025</t>
  </si>
  <si>
    <t>LESS: MONETIZATION 2025 (20 DAYS)</t>
  </si>
  <si>
    <t>LESS: 11/11/2025</t>
  </si>
  <si>
    <t>ADD: 11/1-30/2025</t>
  </si>
  <si>
    <t xml:space="preserve">  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</si>
  <si>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</si>
  <si>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</si>
  <si>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</si>
  <si>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</si>
  <si>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</si>
  <si>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</si>
  <si>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06/26/2024</t>
  </si>
  <si>
    <t>SO # 024, S.2024, 126TH PHILIPPINE IND. DAY</t>
  </si>
  <si>
    <t>LESS: 05/23/2025</t>
  </si>
  <si>
    <t>ADD: 02/5/2025</t>
  </si>
  <si>
    <t>SO # 002, S. 2025 RIZAL DAY 2024</t>
  </si>
  <si>
    <t>LESS: 04/22/2025</t>
  </si>
  <si>
    <t>ADD: 06/05/2025</t>
  </si>
  <si>
    <t>SO # 024, S.2025 A&amp; E TEST 2025</t>
  </si>
  <si>
    <t>LESS: 10/3/2025 PM</t>
  </si>
  <si>
    <t>LESS: 02/25/2026</t>
  </si>
  <si>
    <t>date filed 12/29/2025 &amp; 12/26/2025</t>
  </si>
  <si>
    <t>ADD: 08/28/2025</t>
  </si>
  <si>
    <t>S.O # 114, S. 2025 PEPT</t>
  </si>
  <si>
    <t>3 DAYS &amp; 3 HRS</t>
  </si>
  <si>
    <t>LESS: 12/12 &amp; 15/2025</t>
  </si>
  <si>
    <t>1 DAY &amp; 3 HRS</t>
  </si>
  <si>
    <t>NOTE:  Valid for one (1) year only</t>
  </si>
  <si>
    <t>Certified Correct:</t>
  </si>
  <si>
    <t>MA. LUISA B. CATIGAN</t>
  </si>
  <si>
    <t>Administrative Officer IV</t>
  </si>
  <si>
    <t>HRMO</t>
  </si>
  <si>
    <t>NAME          : CALAMUHAY, NOEL C.</t>
  </si>
  <si>
    <t>DISTRICT                : _______________________</t>
  </si>
  <si>
    <t>EMPLOYEE NO    : __________</t>
  </si>
  <si>
    <t>SCHOOL/OFFICE : NABULAO ES</t>
  </si>
  <si>
    <t>STATION CODE    : __________</t>
  </si>
  <si>
    <t>POSITION   : TIII/TIC-HT I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</si>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</sst>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/>
  </cellStyleXfs>
  <cellXfs count="9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2" borderId="8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1" fillId="0" borderId="19" xfId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/>
    <xf numFmtId="0" fontId="3" fillId="2" borderId="2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8" fontId="0" fillId="2" borderId="11" xfId="0" applyNumberFormat="1" applyFill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8" fontId="0" fillId="2" borderId="15" xfId="0" applyNumberFormat="1" applyFill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8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168" fontId="0" fillId="11" borderId="15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63110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EYOY,</a:t>
          </a:r>
          <a:r>
            <a:rPr lang="en-US" sz="1100" baseline="0"/>
            <a:t> RICA BELLE LORECHO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3413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OSDS-HR</a:t>
          </a:r>
        </a:p>
        <a:p>
          <a:endParaRPr lang="en-US" sz="1100"/>
        </a:p>
      </xdr:txBody>
    </xdr:sp>
    <xdr:clientData/>
  </xdr:twoCellAnchor>
  <xdr:twoCellAnchor>
    <xdr:from>
      <xdr:col>5</xdr:col>
      <xdr:colOff>347452</xdr:colOff>
      <xdr:row>50</xdr:row>
      <xdr:rowOff>53914</xdr:rowOff>
    </xdr:from>
    <xdr:to>
      <xdr:col>9</xdr:col>
      <xdr:colOff>672043</xdr:colOff>
      <xdr:row>55</xdr:row>
      <xdr:rowOff>170731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148070" y="1058926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452120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880" y="45720"/>
          <a:ext cx="765810" cy="5892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54050" y="1684020"/>
          <a:ext cx="825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28415" y="1706880"/>
          <a:ext cx="9410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61975" y="1353820"/>
          <a:ext cx="198310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EYOY,</a:t>
          </a:r>
          <a:r>
            <a:rPr lang="en-US" sz="1100" baseline="0"/>
            <a:t> RICA BELLE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78804</xdr:colOff>
      <xdr:row>0</xdr:row>
      <xdr:rowOff>21626</xdr:rowOff>
    </xdr:from>
    <xdr:to>
      <xdr:col>5</xdr:col>
      <xdr:colOff>251355</xdr:colOff>
      <xdr:row>0</xdr:row>
      <xdr:rowOff>654844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115" y="21590"/>
          <a:ext cx="789305" cy="6330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769408</xdr:colOff>
      <xdr:row>8</xdr:row>
      <xdr:rowOff>16140</xdr:rowOff>
    </xdr:from>
    <xdr:to>
      <xdr:col>2</xdr:col>
      <xdr:colOff>45508</xdr:colOff>
      <xdr:row>8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68985" y="17856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0580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6614</xdr:rowOff>
    </xdr:from>
    <xdr:to>
      <xdr:col>3</xdr:col>
      <xdr:colOff>128275</xdr:colOff>
      <xdr:row>29</xdr:row>
      <xdr:rowOff>52916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0" y="5707380"/>
          <a:ext cx="3527425" cy="9607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BALTAZAR B. TABIANO</a:t>
          </a:r>
        </a:p>
        <a:p>
          <a:r>
            <a:rPr lang="en-US" sz="1100" baseline="0"/>
            <a:t>	Administrative Officer V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view="pageBreakPreview" topLeftCell="A35" zoomScale="106" zoomScaleNormal="100" workbookViewId="0">
      <selection activeCell="H49" sqref="H49:J50"/>
    </sheetView>
  </sheetViews>
  <sheetFormatPr defaultColWidth="9" defaultRowHeight="14.45"/>
  <cols>
    <col min="1" max="1" width="38.25" customWidth="1"/>
    <col min="2" max="5" width="11.625" customWidth="1"/>
    <col min="6" max="7" width="11.625" style="24" customWidth="1"/>
    <col min="8" max="10" width="11.625" customWidth="1"/>
    <col min="11" max="11" width="26.375" style="31" customWidth="1"/>
  </cols>
  <sheetData>
    <row r="1" spans="1:11" s="1" customFormat="1" ht="52.5" customHeight="1"/>
    <row r="2" spans="1:11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3" spans="1:11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</row>
    <row r="4" spans="1:11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</row>
    <row r="5" spans="1:11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</row>
    <row r="6" spans="1:11" s="1" customFormat="1" ht="8.25" customHeight="1"/>
    <row r="7" spans="1:11" s="1" customFormat="1" ht="12" customHeight="1">
      <c r="A7" s="1" t="s">
        <v>4</v>
      </c>
      <c r="B7" s="43" t="s">
        <v>5</v>
      </c>
      <c r="C7" s="43"/>
      <c r="D7" s="43"/>
      <c r="H7" s="7" t="s">
        <v>6</v>
      </c>
      <c r="I7" s="16"/>
      <c r="J7" s="7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7</v>
      </c>
      <c r="B9" s="43" t="s">
        <v>8</v>
      </c>
      <c r="C9" s="43"/>
      <c r="D9" s="43"/>
      <c r="H9" s="7" t="s">
        <v>9</v>
      </c>
      <c r="I9" s="17"/>
      <c r="J9" s="7"/>
    </row>
    <row r="10" spans="1:11" ht="23.25" customHeight="1">
      <c r="A10" s="44" t="s">
        <v>10</v>
      </c>
      <c r="B10" s="44"/>
      <c r="C10" s="44"/>
      <c r="D10" s="44"/>
      <c r="E10" s="44"/>
      <c r="F10" s="44"/>
      <c r="G10" s="44"/>
      <c r="H10" s="44"/>
      <c r="I10" s="44"/>
      <c r="J10" s="44"/>
      <c r="K10"/>
    </row>
    <row r="11" spans="1:11" ht="18.75" customHeight="1">
      <c r="A11" s="45" t="s">
        <v>11</v>
      </c>
      <c r="B11" s="90" t="s">
        <v>12</v>
      </c>
      <c r="C11" s="91"/>
      <c r="D11" s="92" t="s">
        <v>13</v>
      </c>
      <c r="E11" s="93"/>
      <c r="F11" s="93"/>
      <c r="G11" s="94"/>
      <c r="H11" s="95" t="s">
        <v>14</v>
      </c>
      <c r="I11" s="96"/>
      <c r="J11" s="47" t="s">
        <v>15</v>
      </c>
      <c r="K11" s="49" t="s">
        <v>16</v>
      </c>
    </row>
    <row r="12" spans="1:11" ht="18.75" customHeight="1">
      <c r="A12" s="46"/>
      <c r="B12" s="32" t="s">
        <v>17</v>
      </c>
      <c r="C12" s="32" t="s">
        <v>18</v>
      </c>
      <c r="D12" s="32" t="s">
        <v>17</v>
      </c>
      <c r="E12" s="32" t="s">
        <v>18</v>
      </c>
      <c r="F12" s="32" t="s">
        <v>19</v>
      </c>
      <c r="G12" s="32" t="s">
        <v>20</v>
      </c>
      <c r="H12" s="32" t="s">
        <v>17</v>
      </c>
      <c r="I12" s="32" t="s">
        <v>18</v>
      </c>
      <c r="J12" s="48"/>
      <c r="K12" s="49"/>
    </row>
    <row r="13" spans="1:11" ht="16.5" customHeight="1">
      <c r="A13" s="33" t="s">
        <v>21</v>
      </c>
      <c r="B13" s="34">
        <v>1</v>
      </c>
      <c r="C13" s="34">
        <v>1</v>
      </c>
      <c r="D13" s="35"/>
      <c r="E13" s="35"/>
      <c r="F13" s="35"/>
      <c r="G13" s="35"/>
      <c r="H13" s="34">
        <f>B13</f>
        <v>1</v>
      </c>
      <c r="I13" s="34">
        <f>C13</f>
        <v>1</v>
      </c>
      <c r="J13" s="34">
        <f>SUM(H13:I13)</f>
        <v>2</v>
      </c>
    </row>
    <row r="14" spans="1:11" ht="12" customHeight="1">
      <c r="A14" s="36" t="s">
        <v>22</v>
      </c>
      <c r="B14" s="37">
        <v>2.5</v>
      </c>
      <c r="C14" s="37">
        <v>2.5</v>
      </c>
      <c r="D14" s="38"/>
      <c r="E14" s="38"/>
      <c r="F14" s="38"/>
      <c r="G14" s="38"/>
      <c r="H14" s="37">
        <f>H13-F14-D14+B14</f>
        <v>3.5</v>
      </c>
      <c r="I14" s="37">
        <f>I13-E14+C14</f>
        <v>3.5</v>
      </c>
      <c r="J14" s="37">
        <f>SUM(H14:I14)</f>
        <v>7</v>
      </c>
    </row>
    <row r="15" spans="1:11" ht="12" customHeight="1">
      <c r="A15" s="36" t="s">
        <v>23</v>
      </c>
      <c r="B15" s="37"/>
      <c r="C15" s="37"/>
      <c r="D15" s="38"/>
      <c r="E15" s="38"/>
      <c r="F15" s="38"/>
      <c r="G15" s="38">
        <v>1</v>
      </c>
      <c r="H15" s="37">
        <f t="shared" ref="H15:H17" si="0">H14-F15-D15+B15</f>
        <v>3.5</v>
      </c>
      <c r="I15" s="37">
        <f t="shared" ref="I15:I17" si="1">I14-E15+C15</f>
        <v>3.5</v>
      </c>
      <c r="J15" s="37">
        <f t="shared" ref="J15:J17" si="2">SUM(H15:I15)</f>
        <v>7</v>
      </c>
    </row>
    <row r="16" spans="1:11" ht="12" customHeight="1">
      <c r="A16" s="36" t="s">
        <v>24</v>
      </c>
      <c r="B16" s="38">
        <v>3.75</v>
      </c>
      <c r="C16" s="38">
        <v>3.75</v>
      </c>
      <c r="D16" s="38"/>
      <c r="E16" s="38"/>
      <c r="F16" s="38"/>
      <c r="G16" s="38"/>
      <c r="H16" s="37">
        <f t="shared" si="0"/>
        <v>7.25</v>
      </c>
      <c r="I16" s="37">
        <f t="shared" si="1"/>
        <v>7.25</v>
      </c>
      <c r="J16" s="37">
        <f t="shared" si="2"/>
        <v>14.5</v>
      </c>
    </row>
    <row r="17" spans="1:10" ht="17.25" customHeight="1">
      <c r="A17" s="36" t="s">
        <v>25</v>
      </c>
      <c r="B17" s="38"/>
      <c r="C17" s="38"/>
      <c r="D17" s="38"/>
      <c r="E17" s="38"/>
      <c r="F17" s="38"/>
      <c r="G17" s="38">
        <v>1</v>
      </c>
      <c r="H17" s="37">
        <f t="shared" si="0"/>
        <v>7.25</v>
      </c>
      <c r="I17" s="37">
        <f t="shared" si="1"/>
        <v>7.25</v>
      </c>
      <c r="J17" s="37">
        <f t="shared" si="2"/>
        <v>14.5</v>
      </c>
    </row>
    <row r="18" spans="1:10" ht="16.5" customHeight="1">
      <c r="A18" s="36" t="s">
        <v>26</v>
      </c>
      <c r="B18" s="38"/>
      <c r="C18" s="38"/>
      <c r="D18" s="38">
        <v>0.5</v>
      </c>
      <c r="E18" s="38"/>
      <c r="F18" s="38"/>
      <c r="G18" s="38"/>
      <c r="H18" s="37">
        <f t="shared" ref="H18" si="3">H17-F18-D18+B18</f>
        <v>6.75</v>
      </c>
      <c r="I18" s="37">
        <f t="shared" ref="I18" si="4">I17-E18+C18</f>
        <v>7.25</v>
      </c>
      <c r="J18" s="37">
        <f t="shared" ref="J18" si="5">SUM(H18:I18)</f>
        <v>14</v>
      </c>
    </row>
    <row r="19" spans="1:10" ht="16.5" customHeight="1">
      <c r="A19" s="36" t="s">
        <v>27</v>
      </c>
      <c r="B19" s="38">
        <v>2.5</v>
      </c>
      <c r="C19" s="38">
        <v>2.5</v>
      </c>
      <c r="D19" s="38"/>
      <c r="E19" s="38"/>
      <c r="F19" s="38"/>
      <c r="G19" s="38"/>
      <c r="H19" s="37">
        <f t="shared" ref="H19" si="6">H18-F19-D19+B19</f>
        <v>9.25</v>
      </c>
      <c r="I19" s="37">
        <f t="shared" ref="I19" si="7">I18-E19+C19</f>
        <v>9.75</v>
      </c>
      <c r="J19" s="37">
        <f t="shared" ref="J19" si="8">SUM(H19:I19)</f>
        <v>19</v>
      </c>
    </row>
    <row r="20" spans="1:10" ht="16.5" customHeight="1">
      <c r="A20" s="36" t="s">
        <v>28</v>
      </c>
      <c r="B20" s="38"/>
      <c r="C20" s="38"/>
      <c r="D20" s="38">
        <v>0.5</v>
      </c>
      <c r="E20" s="38"/>
      <c r="F20" s="38"/>
      <c r="G20" s="38"/>
      <c r="H20" s="37">
        <f t="shared" ref="H20" si="9">H19-F20-D20+B20</f>
        <v>8.75</v>
      </c>
      <c r="I20" s="37">
        <f t="shared" ref="I20" si="10">I19-E20+C20</f>
        <v>9.75</v>
      </c>
      <c r="J20" s="37">
        <f t="shared" ref="J20" si="11">SUM(H20:I20)</f>
        <v>18.5</v>
      </c>
    </row>
    <row r="21" spans="1:10" ht="16.5" customHeight="1">
      <c r="A21" s="36" t="s">
        <v>29</v>
      </c>
      <c r="B21" s="38"/>
      <c r="C21" s="38"/>
      <c r="D21" s="38"/>
      <c r="E21" s="38"/>
      <c r="F21" s="38">
        <v>1</v>
      </c>
      <c r="G21" s="38"/>
      <c r="H21" s="37">
        <f t="shared" ref="H21" si="12">H20-F21-D21+B21</f>
        <v>7.75</v>
      </c>
      <c r="I21" s="37">
        <f t="shared" ref="I21" si="13">I20-E21+C21</f>
        <v>9.75</v>
      </c>
      <c r="J21" s="37">
        <f t="shared" ref="J21" si="14">SUM(H21:I21)</f>
        <v>17.5</v>
      </c>
    </row>
    <row r="22" spans="1:10" ht="16.5" customHeight="1">
      <c r="A22" s="36" t="s">
        <v>30</v>
      </c>
      <c r="B22" s="38">
        <v>1.25</v>
      </c>
      <c r="C22" s="38">
        <v>1.25</v>
      </c>
      <c r="D22" s="38"/>
      <c r="E22" s="38"/>
      <c r="F22" s="38"/>
      <c r="G22" s="38"/>
      <c r="H22" s="37">
        <f t="shared" ref="H22:H23" si="15">H21-F22-D22+B22</f>
        <v>9</v>
      </c>
      <c r="I22" s="37">
        <f t="shared" ref="I22:I23" si="16">I21-E22+C22</f>
        <v>11</v>
      </c>
      <c r="J22" s="37">
        <f t="shared" ref="J22:J23" si="17">SUM(H22:I22)</f>
        <v>20</v>
      </c>
    </row>
    <row r="23" spans="1:10" ht="16.5" customHeight="1">
      <c r="A23" s="36" t="s">
        <v>31</v>
      </c>
      <c r="B23" s="38"/>
      <c r="C23" s="38"/>
      <c r="D23" s="38"/>
      <c r="E23" s="38">
        <v>1</v>
      </c>
      <c r="F23" s="38"/>
      <c r="G23" s="38"/>
      <c r="H23" s="37">
        <f t="shared" si="15"/>
        <v>9</v>
      </c>
      <c r="I23" s="37">
        <f t="shared" si="16"/>
        <v>10</v>
      </c>
      <c r="J23" s="37">
        <f t="shared" si="17"/>
        <v>19</v>
      </c>
    </row>
    <row r="24" spans="1:10" ht="16.5" customHeight="1">
      <c r="A24" s="36" t="s">
        <v>32</v>
      </c>
      <c r="B24" s="38"/>
      <c r="C24" s="38"/>
      <c r="D24" s="38"/>
      <c r="E24" s="38">
        <v>1</v>
      </c>
      <c r="F24" s="38"/>
      <c r="G24" s="38"/>
      <c r="H24" s="37">
        <f t="shared" ref="H24" si="18">H23-F24-D24+B24</f>
        <v>9</v>
      </c>
      <c r="I24" s="37">
        <f t="shared" ref="I24" si="19">I23-E24+C24</f>
        <v>9</v>
      </c>
      <c r="J24" s="37">
        <f t="shared" ref="J24" si="20">SUM(H24:I24)</f>
        <v>18</v>
      </c>
    </row>
    <row r="25" spans="1:10" ht="16.5" customHeight="1">
      <c r="A25" s="36" t="s">
        <v>33</v>
      </c>
      <c r="B25" s="38">
        <v>1.25</v>
      </c>
      <c r="C25" s="38">
        <v>1.25</v>
      </c>
      <c r="D25" s="38"/>
      <c r="E25" s="38"/>
      <c r="F25" s="38"/>
      <c r="G25" s="38"/>
      <c r="H25" s="37">
        <f t="shared" ref="H25:H26" si="21">H24-F25-D25+B25</f>
        <v>10.25</v>
      </c>
      <c r="I25" s="37">
        <f t="shared" ref="I25:I26" si="22">I24-E25+C25</f>
        <v>10.25</v>
      </c>
      <c r="J25" s="37">
        <f t="shared" ref="J25:J26" si="23">SUM(H25:I25)</f>
        <v>20.5</v>
      </c>
    </row>
    <row r="26" spans="1:10" ht="16.5" customHeight="1">
      <c r="A26" s="36" t="s">
        <v>34</v>
      </c>
      <c r="B26" s="38"/>
      <c r="C26" s="38"/>
      <c r="D26" s="38"/>
      <c r="E26" s="38"/>
      <c r="F26" s="38">
        <v>3</v>
      </c>
      <c r="G26" s="38"/>
      <c r="H26" s="37">
        <f t="shared" si="21"/>
        <v>7.25</v>
      </c>
      <c r="I26" s="37">
        <f t="shared" si="22"/>
        <v>10.25</v>
      </c>
      <c r="J26" s="37">
        <f t="shared" si="23"/>
        <v>17.5</v>
      </c>
    </row>
    <row r="27" spans="1:10" ht="16.5" customHeight="1">
      <c r="A27" s="36" t="s">
        <v>35</v>
      </c>
      <c r="B27" s="38">
        <v>1.25</v>
      </c>
      <c r="C27" s="38">
        <v>1.25</v>
      </c>
      <c r="D27" s="38"/>
      <c r="E27" s="38"/>
      <c r="F27" s="38"/>
      <c r="G27" s="38"/>
      <c r="H27" s="37">
        <f t="shared" ref="H27:H28" si="24">H26-F27-D27+B27</f>
        <v>8.5</v>
      </c>
      <c r="I27" s="37">
        <f t="shared" ref="I27:I28" si="25">I26-E27+C27</f>
        <v>11.5</v>
      </c>
      <c r="J27" s="37">
        <f t="shared" ref="J27:J28" si="26">SUM(H27:I27)</f>
        <v>20</v>
      </c>
    </row>
    <row r="28" spans="1:10" ht="16.5" customHeight="1">
      <c r="A28" s="36" t="s">
        <v>36</v>
      </c>
      <c r="B28" s="38"/>
      <c r="C28" s="38"/>
      <c r="D28" s="38"/>
      <c r="E28" s="38"/>
      <c r="F28" s="38"/>
      <c r="G28" s="38">
        <v>1</v>
      </c>
      <c r="H28" s="37">
        <f t="shared" si="24"/>
        <v>8.5</v>
      </c>
      <c r="I28" s="37">
        <f t="shared" si="25"/>
        <v>11.5</v>
      </c>
      <c r="J28" s="37">
        <f t="shared" si="26"/>
        <v>20</v>
      </c>
    </row>
    <row r="29" spans="1:10" ht="16.5" customHeight="1">
      <c r="A29" s="36" t="s">
        <v>37</v>
      </c>
      <c r="B29" s="38">
        <v>1.25</v>
      </c>
      <c r="C29" s="38">
        <v>1.25</v>
      </c>
      <c r="D29" s="38"/>
      <c r="E29" s="38"/>
      <c r="F29" s="38"/>
      <c r="G29" s="38"/>
      <c r="H29" s="37">
        <f t="shared" ref="H29" si="27">H28-F29-D29+B29</f>
        <v>9.75</v>
      </c>
      <c r="I29" s="37">
        <f t="shared" ref="I29" si="28">I28-E29+C29</f>
        <v>12.75</v>
      </c>
      <c r="J29" s="37">
        <f t="shared" ref="J29" si="29">SUM(H29:I29)</f>
        <v>22.5</v>
      </c>
    </row>
    <row r="30" spans="1:10" ht="16.5" customHeight="1">
      <c r="A30" s="36" t="s">
        <v>38</v>
      </c>
      <c r="B30" s="38"/>
      <c r="C30" s="38"/>
      <c r="D30" s="38"/>
      <c r="E30" s="38"/>
      <c r="F30" s="38">
        <v>1</v>
      </c>
      <c r="G30" s="38"/>
      <c r="H30" s="37">
        <f t="shared" ref="H30:H32" si="30">H29-F30-D30+B30</f>
        <v>8.75</v>
      </c>
      <c r="I30" s="37">
        <f t="shared" ref="I30:I32" si="31">I29-E30+C30</f>
        <v>12.75</v>
      </c>
      <c r="J30" s="37">
        <f t="shared" ref="J30:J32" si="32">SUM(H30:I30)</f>
        <v>21.5</v>
      </c>
    </row>
    <row r="31" spans="1:10" ht="16.5" customHeight="1">
      <c r="A31" s="36" t="s">
        <v>39</v>
      </c>
      <c r="B31" s="38"/>
      <c r="C31" s="38"/>
      <c r="D31" s="38">
        <v>0.5</v>
      </c>
      <c r="E31" s="38"/>
      <c r="F31" s="38"/>
      <c r="G31" s="38"/>
      <c r="H31" s="37">
        <f t="shared" si="30"/>
        <v>8.25</v>
      </c>
      <c r="I31" s="37">
        <f t="shared" si="31"/>
        <v>12.75</v>
      </c>
      <c r="J31" s="37">
        <f t="shared" si="32"/>
        <v>21</v>
      </c>
    </row>
    <row r="32" spans="1:10" ht="16.5" customHeight="1">
      <c r="A32" s="36" t="s">
        <v>40</v>
      </c>
      <c r="B32" s="38"/>
      <c r="C32" s="38"/>
      <c r="D32" s="38"/>
      <c r="E32" s="38">
        <v>2</v>
      </c>
      <c r="F32" s="38"/>
      <c r="G32" s="38"/>
      <c r="H32" s="37">
        <f t="shared" si="30"/>
        <v>8.25</v>
      </c>
      <c r="I32" s="37">
        <f t="shared" si="31"/>
        <v>10.75</v>
      </c>
      <c r="J32" s="37">
        <f t="shared" si="32"/>
        <v>19</v>
      </c>
    </row>
    <row r="33" spans="1:10" ht="16.5" customHeight="1">
      <c r="A33" s="36" t="s">
        <v>41</v>
      </c>
      <c r="B33" s="38">
        <v>1.25</v>
      </c>
      <c r="C33" s="38">
        <v>1.25</v>
      </c>
      <c r="D33" s="38"/>
      <c r="E33" s="38"/>
      <c r="F33" s="38"/>
      <c r="G33" s="38"/>
      <c r="H33" s="37">
        <f t="shared" ref="H33:H34" si="33">H32-F33-D33+B33</f>
        <v>9.5</v>
      </c>
      <c r="I33" s="37">
        <f t="shared" ref="I33:I34" si="34">I32-E33+C33</f>
        <v>12</v>
      </c>
      <c r="J33" s="37">
        <f t="shared" ref="J33:J34" si="35">SUM(H33:I33)</f>
        <v>21.5</v>
      </c>
    </row>
    <row r="34" spans="1:10" ht="16.5" customHeight="1">
      <c r="A34" s="36" t="s">
        <v>42</v>
      </c>
      <c r="B34" s="38"/>
      <c r="C34" s="38"/>
      <c r="D34" s="38"/>
      <c r="E34" s="38"/>
      <c r="F34" s="38"/>
      <c r="G34" s="97">
        <v>1</v>
      </c>
      <c r="H34" s="37">
        <f t="shared" si="33"/>
        <v>9.5</v>
      </c>
      <c r="I34" s="37">
        <f t="shared" si="34"/>
        <v>12</v>
      </c>
      <c r="J34" s="37">
        <f t="shared" si="35"/>
        <v>21.5</v>
      </c>
    </row>
    <row r="35" spans="1:10" ht="16.5" customHeight="1">
      <c r="A35" s="36" t="s">
        <v>43</v>
      </c>
      <c r="B35" s="38">
        <v>2.5</v>
      </c>
      <c r="C35" s="38">
        <v>2.5</v>
      </c>
      <c r="D35" s="38"/>
      <c r="E35" s="38"/>
      <c r="F35" s="38"/>
      <c r="G35" s="38"/>
      <c r="H35" s="37">
        <f t="shared" ref="H35:H36" si="36">H34-F35-D35+B35</f>
        <v>12</v>
      </c>
      <c r="I35" s="37">
        <f t="shared" ref="I35:I36" si="37">I34-E35+C35</f>
        <v>14.5</v>
      </c>
      <c r="J35" s="37">
        <f t="shared" ref="J35:J36" si="38">SUM(H35:I35)</f>
        <v>26.5</v>
      </c>
    </row>
    <row r="36" spans="1:10" ht="16.5" customHeight="1">
      <c r="A36" s="36" t="s">
        <v>44</v>
      </c>
      <c r="B36" s="38"/>
      <c r="C36" s="38"/>
      <c r="D36" s="38"/>
      <c r="E36" s="38">
        <v>1</v>
      </c>
      <c r="F36" s="38"/>
      <c r="G36" s="38"/>
      <c r="H36" s="37">
        <f t="shared" si="36"/>
        <v>12</v>
      </c>
      <c r="I36" s="37">
        <f t="shared" si="37"/>
        <v>13.5</v>
      </c>
      <c r="J36" s="37">
        <f t="shared" si="38"/>
        <v>25.5</v>
      </c>
    </row>
    <row r="37" spans="1:10" ht="16.5" customHeight="1">
      <c r="A37" s="36" t="s">
        <v>45</v>
      </c>
      <c r="B37" s="38"/>
      <c r="C37" s="38"/>
      <c r="D37" s="38"/>
      <c r="E37" s="38">
        <v>2</v>
      </c>
      <c r="F37" s="38"/>
      <c r="G37" s="38"/>
      <c r="H37" s="37">
        <f t="shared" ref="H37" si="39">H36-F37-D37+B37</f>
        <v>12</v>
      </c>
      <c r="I37" s="37">
        <f t="shared" ref="I37" si="40">I36-E37+C37</f>
        <v>11.5</v>
      </c>
      <c r="J37" s="37">
        <f t="shared" ref="J37" si="41">SUM(H37:I37)</f>
        <v>23.5</v>
      </c>
    </row>
    <row r="38" spans="1:10" ht="16.5" customHeight="1">
      <c r="A38" s="36" t="s">
        <v>46</v>
      </c>
      <c r="B38" s="38"/>
      <c r="C38" s="38"/>
      <c r="D38" s="38"/>
      <c r="E38" s="38"/>
      <c r="F38" s="39">
        <v>3</v>
      </c>
      <c r="G38" s="38"/>
      <c r="H38" s="37">
        <f t="shared" ref="H38" si="42">H37-F38-D38+B38</f>
        <v>9</v>
      </c>
      <c r="I38" s="37">
        <f t="shared" ref="I38" si="43">I37-E38+C38</f>
        <v>11.5</v>
      </c>
      <c r="J38" s="37">
        <f t="shared" ref="J38" si="44">SUM(H38:I38)</f>
        <v>20.5</v>
      </c>
    </row>
    <row r="39" spans="1:10" ht="16.5" customHeight="1">
      <c r="A39" s="36" t="s">
        <v>47</v>
      </c>
      <c r="B39" s="38">
        <v>1.25</v>
      </c>
      <c r="C39" s="38">
        <v>1.25</v>
      </c>
      <c r="D39" s="38"/>
      <c r="E39" s="38"/>
      <c r="F39" s="38"/>
      <c r="G39" s="38"/>
      <c r="H39" s="37">
        <f t="shared" ref="H39:H41" si="45">H38-F39-D39+B39</f>
        <v>10.25</v>
      </c>
      <c r="I39" s="37">
        <f t="shared" ref="I39:I41" si="46">I38-E39+C39</f>
        <v>12.75</v>
      </c>
      <c r="J39" s="37">
        <f t="shared" ref="J39:J41" si="47">SUM(H39:I39)</f>
        <v>23</v>
      </c>
    </row>
    <row r="40" spans="1:10" ht="16.5" customHeight="1">
      <c r="A40" s="36" t="s">
        <v>48</v>
      </c>
      <c r="B40" s="38"/>
      <c r="C40" s="38"/>
      <c r="D40" s="38">
        <v>0.5</v>
      </c>
      <c r="E40" s="38"/>
      <c r="F40" s="38"/>
      <c r="G40" s="38"/>
      <c r="H40" s="37">
        <f t="shared" si="45"/>
        <v>9.75</v>
      </c>
      <c r="I40" s="37">
        <f t="shared" si="46"/>
        <v>12.75</v>
      </c>
      <c r="J40" s="37">
        <f t="shared" si="47"/>
        <v>22.5</v>
      </c>
    </row>
    <row r="41" spans="1:10" ht="16.5" customHeight="1">
      <c r="A41" s="36" t="s">
        <v>49</v>
      </c>
      <c r="B41" s="38"/>
      <c r="C41" s="38"/>
      <c r="D41" s="38">
        <v>0.25</v>
      </c>
      <c r="E41" s="38"/>
      <c r="F41" s="38"/>
      <c r="G41" s="38"/>
      <c r="H41" s="37">
        <f t="shared" si="45"/>
        <v>9.5</v>
      </c>
      <c r="I41" s="37">
        <f t="shared" si="46"/>
        <v>12.75</v>
      </c>
      <c r="J41" s="37">
        <f t="shared" si="47"/>
        <v>22.25</v>
      </c>
    </row>
    <row r="42" spans="1:10" ht="16.5" customHeight="1">
      <c r="A42" s="36" t="s">
        <v>50</v>
      </c>
      <c r="B42" s="38">
        <v>1.25</v>
      </c>
      <c r="C42" s="38">
        <v>1.25</v>
      </c>
      <c r="D42" s="38"/>
      <c r="E42" s="38"/>
      <c r="F42" s="38"/>
      <c r="G42" s="38"/>
      <c r="H42" s="37">
        <f t="shared" ref="H42:H43" si="48">H41-F42-D42+B42</f>
        <v>10.75</v>
      </c>
      <c r="I42" s="37">
        <f t="shared" ref="I42:I43" si="49">I41-E42+C42</f>
        <v>14</v>
      </c>
      <c r="J42" s="37">
        <f t="shared" ref="J42:J43" si="50">SUM(H42:I42)</f>
        <v>24.75</v>
      </c>
    </row>
    <row r="43" spans="1:10" ht="16.5" customHeight="1">
      <c r="A43" s="36" t="s">
        <v>51</v>
      </c>
      <c r="B43" s="38"/>
      <c r="C43" s="38"/>
      <c r="D43" s="38"/>
      <c r="E43" s="38">
        <v>1</v>
      </c>
      <c r="F43" s="38"/>
      <c r="G43" s="38"/>
      <c r="H43" s="37">
        <f t="shared" si="48"/>
        <v>10.75</v>
      </c>
      <c r="I43" s="37">
        <f t="shared" si="49"/>
        <v>13</v>
      </c>
      <c r="J43" s="37">
        <f t="shared" si="50"/>
        <v>23.75</v>
      </c>
    </row>
    <row r="44" spans="1:10" ht="16.5" customHeight="1">
      <c r="A44" s="36" t="s">
        <v>52</v>
      </c>
      <c r="B44" s="38"/>
      <c r="C44" s="38"/>
      <c r="D44" s="38"/>
      <c r="E44" s="38"/>
      <c r="F44" s="38"/>
      <c r="G44" s="97">
        <v>1</v>
      </c>
      <c r="H44" s="37">
        <f t="shared" ref="H44" si="51">H43-F44-D44+B44</f>
        <v>10.75</v>
      </c>
      <c r="I44" s="37">
        <f t="shared" ref="I44" si="52">I43-E44+C44</f>
        <v>13</v>
      </c>
      <c r="J44" s="37">
        <f t="shared" ref="J44" si="53">SUM(H44:I44)</f>
        <v>23.75</v>
      </c>
    </row>
    <row r="45" spans="1:10" ht="16.5" customHeight="1">
      <c r="A45" s="36" t="s">
        <v>53</v>
      </c>
      <c r="B45" s="38">
        <v>5</v>
      </c>
      <c r="C45" s="38">
        <v>5</v>
      </c>
      <c r="D45" s="38"/>
      <c r="E45" s="38"/>
      <c r="F45" s="38"/>
      <c r="G45" s="38"/>
      <c r="H45" s="37">
        <f t="shared" ref="H45" si="54">H44-F45-D45+B45</f>
        <v>15.75</v>
      </c>
      <c r="I45" s="37">
        <f t="shared" ref="I45" si="55">I44-E45+C45</f>
        <v>18</v>
      </c>
      <c r="J45" s="37">
        <f t="shared" ref="J45" si="56">SUM(H45:I45)</f>
        <v>33.75</v>
      </c>
    </row>
    <row r="46" spans="1:10" ht="16.5" customHeight="1">
      <c r="A46" s="36" t="s">
        <v>54</v>
      </c>
      <c r="B46" s="38"/>
      <c r="C46" s="38"/>
      <c r="D46" s="38"/>
      <c r="E46" s="38"/>
      <c r="F46" s="39">
        <v>1</v>
      </c>
      <c r="G46" s="38"/>
      <c r="H46" s="37">
        <f t="shared" ref="H46" si="57">H45-F46-D46+B46</f>
        <v>14.75</v>
      </c>
      <c r="I46" s="37">
        <f t="shared" ref="I46" si="58">I45-E46+C46</f>
        <v>18</v>
      </c>
      <c r="J46" s="37">
        <f t="shared" ref="J46" si="59">SUM(H46:I46)</f>
        <v>32.75</v>
      </c>
    </row>
    <row r="47" spans="1:10" ht="16.5" customHeight="1">
      <c r="A47" s="36" t="s">
        <v>55</v>
      </c>
      <c r="B47" s="38">
        <v>1.25</v>
      </c>
      <c r="C47" s="38">
        <v>1.25</v>
      </c>
      <c r="D47" s="38"/>
      <c r="E47" s="38"/>
      <c r="F47" s="38"/>
      <c r="G47" s="38"/>
      <c r="H47" s="37">
        <f t="shared" ref="H47" si="60">H46-F47-D47+B47</f>
        <v>16</v>
      </c>
      <c r="I47" s="37">
        <f t="shared" ref="I47" si="61">I46-E47+C47</f>
        <v>19.25</v>
      </c>
      <c r="J47" s="37">
        <f t="shared" ref="J47" si="62">SUM(H47:I47)</f>
        <v>35.25</v>
      </c>
    </row>
    <row r="48" spans="1:10" ht="16.5" customHeight="1">
      <c r="A48" s="36" t="s">
        <v>56</v>
      </c>
      <c r="B48" s="38"/>
      <c r="C48" s="38"/>
      <c r="D48" s="38">
        <v>11</v>
      </c>
      <c r="E48" s="38">
        <v>9</v>
      </c>
      <c r="F48" s="38"/>
      <c r="G48" s="38"/>
      <c r="H48" s="37">
        <f t="shared" ref="H48" si="63">H47-F48-D48+B48</f>
        <v>5</v>
      </c>
      <c r="I48" s="37">
        <f t="shared" ref="I48" si="64">I47-E48+C48</f>
        <v>10.25</v>
      </c>
      <c r="J48" s="37">
        <f t="shared" ref="J48" si="65">SUM(H48:I48)</f>
        <v>15.25</v>
      </c>
    </row>
    <row r="49" spans="1:10" ht="16.5" customHeight="1">
      <c r="A49" s="36" t="s">
        <v>57</v>
      </c>
      <c r="B49" s="38"/>
      <c r="C49" s="38"/>
      <c r="D49" s="38"/>
      <c r="E49" s="38"/>
      <c r="F49" s="38"/>
      <c r="G49" s="97">
        <v>1</v>
      </c>
      <c r="H49" s="37">
        <f t="shared" ref="H49" si="66">H48-F49-D49+B49</f>
        <v>5</v>
      </c>
      <c r="I49" s="37">
        <f t="shared" ref="I49" si="67">I48-E49+C49</f>
        <v>10.25</v>
      </c>
      <c r="J49" s="37">
        <f t="shared" ref="J49" si="68">SUM(H49:I49)</f>
        <v>15.25</v>
      </c>
    </row>
    <row r="50" spans="1:10" ht="15.95" customHeight="1">
      <c r="A50" s="40" t="s">
        <v>58</v>
      </c>
      <c r="B50" s="40">
        <v>1.25</v>
      </c>
      <c r="C50" s="40">
        <v>1.25</v>
      </c>
      <c r="D50" s="41"/>
      <c r="E50" s="41"/>
      <c r="F50" s="36"/>
      <c r="G50" s="36"/>
      <c r="H50" s="37">
        <f>H49-F50-D50+B50</f>
        <v>6.25</v>
      </c>
      <c r="I50" s="37">
        <f>I49-E50+C50</f>
        <v>11.5</v>
      </c>
      <c r="J50" s="37">
        <f>SUM(H50:I50)</f>
        <v>17.75</v>
      </c>
    </row>
    <row r="54" spans="1:10">
      <c r="F54" s="24" t="s">
        <v>59</v>
      </c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23622047244094499" bottom="0.23622047244094499" header="0.31496062992126" footer="0.31496062992126"/>
  <pageSetup paperSize="9" scale="68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8"/>
  <sheetViews>
    <sheetView tabSelected="1" view="pageBreakPreview" topLeftCell="A7" zoomScale="108" zoomScaleNormal="100" workbookViewId="0">
      <selection activeCell="B26" sqref="B26"/>
    </sheetView>
  </sheetViews>
  <sheetFormatPr defaultColWidth="9" defaultRowHeight="14.45"/>
  <cols>
    <col min="1" max="1" width="21.625" customWidth="1"/>
    <col min="2" max="2" width="17.625" customWidth="1"/>
    <col min="5" max="5" width="5.625" customWidth="1"/>
    <col min="12" max="12" width="14.75" customWidth="1"/>
  </cols>
  <sheetData>
    <row r="1" spans="1:12" s="1" customFormat="1" ht="52.5" customHeight="1"/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60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/>
    <row r="7" spans="1:12" s="1" customFormat="1" ht="12" customHeight="1">
      <c r="A7" s="1" t="s">
        <v>4</v>
      </c>
      <c r="C7" s="7" t="s">
        <v>5</v>
      </c>
      <c r="D7" s="7"/>
      <c r="G7" s="7" t="s">
        <v>6</v>
      </c>
      <c r="H7" s="16"/>
    </row>
    <row r="8" spans="1:12" s="1" customFormat="1" ht="12" customHeight="1">
      <c r="C8" s="8"/>
      <c r="G8" s="8"/>
      <c r="H8" s="8"/>
    </row>
    <row r="9" spans="1:12" s="1" customFormat="1" ht="12" customHeight="1">
      <c r="A9" s="1" t="s">
        <v>7</v>
      </c>
      <c r="C9" s="7" t="s">
        <v>8</v>
      </c>
      <c r="D9" s="7"/>
      <c r="G9" s="7" t="s">
        <v>9</v>
      </c>
      <c r="H9" s="17"/>
    </row>
    <row r="10" spans="1:12" ht="16.5" customHeight="1">
      <c r="A10" s="44" t="s">
        <v>61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 s="2" customFormat="1" ht="18.75" customHeight="1">
      <c r="A11" s="67" t="s">
        <v>11</v>
      </c>
      <c r="B11" s="50" t="s">
        <v>12</v>
      </c>
      <c r="C11" s="51"/>
      <c r="D11" s="51"/>
      <c r="E11" s="51"/>
      <c r="F11" s="51"/>
      <c r="G11" s="51"/>
      <c r="H11" s="51"/>
      <c r="I11" s="51"/>
      <c r="J11" s="51"/>
      <c r="K11" s="51"/>
      <c r="L11" s="69" t="s">
        <v>15</v>
      </c>
    </row>
    <row r="12" spans="1:12" s="2" customFormat="1" ht="24" customHeight="1">
      <c r="A12" s="68"/>
      <c r="B12" s="52" t="s">
        <v>62</v>
      </c>
      <c r="C12" s="53"/>
      <c r="D12" s="53"/>
      <c r="E12" s="54"/>
      <c r="F12" s="52" t="s">
        <v>63</v>
      </c>
      <c r="G12" s="54"/>
      <c r="H12" s="52" t="s">
        <v>64</v>
      </c>
      <c r="I12" s="54"/>
      <c r="J12" s="52" t="s">
        <v>65</v>
      </c>
      <c r="K12" s="54"/>
      <c r="L12" s="70"/>
    </row>
    <row r="13" spans="1:12" s="2" customFormat="1" ht="24.95" customHeight="1">
      <c r="A13" s="18" t="s">
        <v>66</v>
      </c>
      <c r="B13" s="55" t="s">
        <v>67</v>
      </c>
      <c r="C13" s="56"/>
      <c r="D13" s="56"/>
      <c r="E13" s="57"/>
      <c r="F13" s="55">
        <v>1</v>
      </c>
      <c r="G13" s="57"/>
      <c r="H13" s="55">
        <v>0</v>
      </c>
      <c r="I13" s="57"/>
      <c r="J13" s="55">
        <v>1</v>
      </c>
      <c r="K13" s="57"/>
      <c r="L13" s="25">
        <v>1</v>
      </c>
    </row>
    <row r="14" spans="1:12" s="2" customFormat="1" ht="24.95" customHeight="1">
      <c r="A14" s="18" t="s">
        <v>68</v>
      </c>
      <c r="B14" s="55" t="s">
        <v>67</v>
      </c>
      <c r="C14" s="56"/>
      <c r="D14" s="56"/>
      <c r="E14" s="57"/>
      <c r="F14" s="55"/>
      <c r="G14" s="57"/>
      <c r="H14" s="55">
        <v>1</v>
      </c>
      <c r="I14" s="57"/>
      <c r="J14" s="58">
        <v>0</v>
      </c>
      <c r="K14" s="59"/>
      <c r="L14" s="26">
        <v>0</v>
      </c>
    </row>
    <row r="15" spans="1:12" s="2" customFormat="1" ht="24.95" customHeight="1">
      <c r="A15" s="18" t="s">
        <v>69</v>
      </c>
      <c r="B15" s="55" t="s">
        <v>70</v>
      </c>
      <c r="C15" s="56"/>
      <c r="D15" s="56"/>
      <c r="E15" s="57"/>
      <c r="F15" s="55">
        <v>1</v>
      </c>
      <c r="G15" s="57"/>
      <c r="H15" s="55">
        <v>0</v>
      </c>
      <c r="I15" s="57"/>
      <c r="J15" s="55">
        <v>1</v>
      </c>
      <c r="K15" s="57"/>
      <c r="L15" s="25">
        <v>1</v>
      </c>
    </row>
    <row r="16" spans="1:12" s="2" customFormat="1" ht="24.95" customHeight="1">
      <c r="A16" s="19" t="s">
        <v>71</v>
      </c>
      <c r="B16" s="55" t="s">
        <v>70</v>
      </c>
      <c r="C16" s="56"/>
      <c r="D16" s="56"/>
      <c r="E16" s="57"/>
      <c r="F16" s="60"/>
      <c r="G16" s="61"/>
      <c r="H16" s="60">
        <v>1</v>
      </c>
      <c r="I16" s="61"/>
      <c r="J16" s="58">
        <v>0</v>
      </c>
      <c r="K16" s="59"/>
      <c r="L16" s="26">
        <v>0</v>
      </c>
    </row>
    <row r="17" spans="1:13" s="2" customFormat="1" ht="24.95" customHeight="1">
      <c r="A17" s="18" t="s">
        <v>72</v>
      </c>
      <c r="B17" s="55" t="s">
        <v>73</v>
      </c>
      <c r="C17" s="56"/>
      <c r="D17" s="56"/>
      <c r="E17" s="57"/>
      <c r="F17" s="55">
        <v>1.5</v>
      </c>
      <c r="G17" s="57"/>
      <c r="H17" s="55">
        <v>0</v>
      </c>
      <c r="I17" s="57"/>
      <c r="J17" s="55">
        <v>1.5</v>
      </c>
      <c r="K17" s="57"/>
      <c r="L17" s="25">
        <v>1.5</v>
      </c>
    </row>
    <row r="18" spans="1:13" s="2" customFormat="1" ht="24.95" customHeight="1">
      <c r="A18" s="18" t="s">
        <v>74</v>
      </c>
      <c r="B18" s="55" t="s">
        <v>73</v>
      </c>
      <c r="C18" s="56"/>
      <c r="D18" s="56"/>
      <c r="E18" s="57"/>
      <c r="F18" s="55"/>
      <c r="G18" s="57"/>
      <c r="H18" s="55">
        <v>0.5</v>
      </c>
      <c r="I18" s="57"/>
      <c r="J18" s="55">
        <v>1</v>
      </c>
      <c r="K18" s="57"/>
      <c r="L18" s="27">
        <v>1</v>
      </c>
    </row>
    <row r="19" spans="1:13" s="2" customFormat="1" ht="24.95" customHeight="1">
      <c r="A19" s="18" t="s">
        <v>75</v>
      </c>
      <c r="B19" s="55" t="s">
        <v>73</v>
      </c>
      <c r="C19" s="56"/>
      <c r="D19" s="56"/>
      <c r="E19" s="57"/>
      <c r="F19" s="55"/>
      <c r="G19" s="57"/>
      <c r="H19" s="55">
        <v>1</v>
      </c>
      <c r="I19" s="57"/>
      <c r="J19" s="58">
        <v>0</v>
      </c>
      <c r="K19" s="59"/>
      <c r="L19" s="26">
        <v>0</v>
      </c>
      <c r="M19" s="2" t="s">
        <v>76</v>
      </c>
    </row>
    <row r="20" spans="1:13" ht="26.25" customHeight="1">
      <c r="A20" s="20" t="s">
        <v>77</v>
      </c>
      <c r="B20" s="62" t="s">
        <v>78</v>
      </c>
      <c r="C20" s="63"/>
      <c r="D20" s="63"/>
      <c r="E20" s="64"/>
      <c r="F20" s="62" t="s">
        <v>79</v>
      </c>
      <c r="G20" s="64"/>
      <c r="H20" s="62">
        <v>0</v>
      </c>
      <c r="I20" s="64"/>
      <c r="J20" s="62" t="s">
        <v>79</v>
      </c>
      <c r="K20" s="64"/>
      <c r="L20" s="28" t="s">
        <v>79</v>
      </c>
    </row>
    <row r="21" spans="1:13" ht="26.25" customHeight="1">
      <c r="A21" s="20" t="s">
        <v>80</v>
      </c>
      <c r="B21" s="62" t="s">
        <v>78</v>
      </c>
      <c r="C21" s="63"/>
      <c r="D21" s="63"/>
      <c r="E21" s="64"/>
      <c r="F21" s="62"/>
      <c r="G21" s="64"/>
      <c r="H21" s="62">
        <v>2</v>
      </c>
      <c r="I21" s="64"/>
      <c r="J21" s="62" t="s">
        <v>81</v>
      </c>
      <c r="K21" s="64"/>
      <c r="L21" s="28" t="s">
        <v>81</v>
      </c>
    </row>
    <row r="22" spans="1:13" s="3" customFormat="1">
      <c r="A22" s="21" t="s">
        <v>82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9"/>
    </row>
    <row r="23" spans="1:13" ht="18.9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</row>
    <row r="24" spans="1:13" s="1" customFormat="1">
      <c r="C24" s="6"/>
      <c r="H24" s="1" t="s">
        <v>83</v>
      </c>
    </row>
    <row r="25" spans="1:13" s="1" customFormat="1">
      <c r="C25" s="6"/>
    </row>
    <row r="26" spans="1:13">
      <c r="H26" s="23" t="s">
        <v>84</v>
      </c>
      <c r="I26" s="30"/>
    </row>
    <row r="27" spans="1:13">
      <c r="H27" t="s">
        <v>85</v>
      </c>
    </row>
    <row r="28" spans="1:13">
      <c r="H28" s="66" t="s">
        <v>86</v>
      </c>
      <c r="I28" s="66"/>
    </row>
  </sheetData>
  <mergeCells count="50">
    <mergeCell ref="H28:I28"/>
    <mergeCell ref="A11:A12"/>
    <mergeCell ref="L11:L12"/>
    <mergeCell ref="B21:E21"/>
    <mergeCell ref="F21:G21"/>
    <mergeCell ref="H21:I21"/>
    <mergeCell ref="J21:K21"/>
    <mergeCell ref="A23:L23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5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view="pageBreakPreview" zoomScale="96" zoomScaleNormal="100" workbookViewId="0">
      <selection activeCell="G17" sqref="G17:H17"/>
    </sheetView>
  </sheetViews>
  <sheetFormatPr defaultColWidth="9" defaultRowHeight="14.45"/>
  <cols>
    <col min="1" max="1" width="21.875" customWidth="1"/>
    <col min="2" max="2" width="18.75" customWidth="1"/>
    <col min="6" max="6" width="6.875" customWidth="1"/>
    <col min="8" max="8" width="7.375" customWidth="1"/>
    <col min="10" max="10" width="7" customWidth="1"/>
  </cols>
  <sheetData>
    <row r="1" spans="1:13" s="1" customFormat="1" ht="52.5" customHeight="1">
      <c r="D1" s="4"/>
      <c r="E1" s="5"/>
      <c r="I1" s="6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60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6"/>
      <c r="I6" s="6"/>
    </row>
    <row r="7" spans="1:13" s="1" customFormat="1" ht="8.25" customHeight="1">
      <c r="D7" s="6"/>
      <c r="I7" s="6"/>
    </row>
    <row r="8" spans="1:13" s="1" customFormat="1" ht="12" customHeight="1">
      <c r="A8" s="7" t="s">
        <v>87</v>
      </c>
      <c r="B8" s="7"/>
      <c r="C8" s="7"/>
      <c r="D8" s="43" t="s">
        <v>88</v>
      </c>
      <c r="E8" s="43"/>
      <c r="F8" s="43"/>
      <c r="G8" s="43"/>
      <c r="H8" s="43"/>
      <c r="J8" s="43" t="s">
        <v>89</v>
      </c>
      <c r="K8" s="43"/>
      <c r="L8" s="43"/>
      <c r="M8" s="7"/>
    </row>
    <row r="9" spans="1:13" s="1" customFormat="1" ht="12" customHeight="1">
      <c r="C9" s="8"/>
      <c r="D9" s="43" t="s">
        <v>90</v>
      </c>
      <c r="E9" s="43"/>
      <c r="F9" s="43"/>
      <c r="G9" s="43"/>
      <c r="H9" s="43"/>
      <c r="J9" s="71" t="s">
        <v>91</v>
      </c>
      <c r="K9" s="71"/>
      <c r="L9" s="71"/>
      <c r="M9" s="8"/>
    </row>
    <row r="10" spans="1:13" s="1" customFormat="1" ht="12" customHeight="1">
      <c r="A10" s="7" t="s">
        <v>92</v>
      </c>
      <c r="B10" s="7"/>
      <c r="C10" s="7"/>
      <c r="D10" s="9"/>
      <c r="E10" s="8"/>
      <c r="F10" s="8"/>
      <c r="J10" s="43" t="s">
        <v>93</v>
      </c>
      <c r="K10" s="43"/>
      <c r="L10" s="43"/>
      <c r="M10" s="7"/>
    </row>
    <row r="11" spans="1:13" ht="30.75" customHeight="1">
      <c r="A11" s="44" t="s">
        <v>94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79" t="s">
        <v>95</v>
      </c>
      <c r="B12" s="67" t="s">
        <v>11</v>
      </c>
      <c r="C12" s="84" t="s">
        <v>96</v>
      </c>
      <c r="D12" s="85"/>
      <c r="E12" s="84" t="s">
        <v>97</v>
      </c>
      <c r="F12" s="85"/>
      <c r="G12" s="84" t="s">
        <v>63</v>
      </c>
      <c r="H12" s="85"/>
      <c r="I12" s="84" t="s">
        <v>64</v>
      </c>
      <c r="J12" s="85"/>
      <c r="K12" s="84" t="s">
        <v>65</v>
      </c>
      <c r="L12" s="85"/>
      <c r="M12" s="69" t="s">
        <v>15</v>
      </c>
    </row>
    <row r="13" spans="1:13" s="2" customFormat="1" ht="11.1" customHeight="1">
      <c r="A13" s="80"/>
      <c r="B13" s="82"/>
      <c r="C13" s="86"/>
      <c r="D13" s="87"/>
      <c r="E13" s="86"/>
      <c r="F13" s="87"/>
      <c r="G13" s="86"/>
      <c r="H13" s="87"/>
      <c r="I13" s="86"/>
      <c r="J13" s="87"/>
      <c r="K13" s="86"/>
      <c r="L13" s="87"/>
      <c r="M13" s="83"/>
    </row>
    <row r="14" spans="1:13" s="2" customFormat="1" ht="5.45" customHeight="1">
      <c r="A14" s="81"/>
      <c r="B14" s="68"/>
      <c r="C14" s="88"/>
      <c r="D14" s="89"/>
      <c r="E14" s="88"/>
      <c r="F14" s="89"/>
      <c r="G14" s="88"/>
      <c r="H14" s="89"/>
      <c r="I14" s="88"/>
      <c r="J14" s="89"/>
      <c r="K14" s="88"/>
      <c r="L14" s="89"/>
      <c r="M14" s="70"/>
    </row>
    <row r="15" spans="1:13" s="2" customFormat="1" ht="21.95" customHeight="1">
      <c r="A15" s="10"/>
      <c r="B15" s="11"/>
      <c r="C15" s="72"/>
      <c r="D15" s="73"/>
      <c r="E15" s="72"/>
      <c r="F15" s="73"/>
      <c r="G15" s="72"/>
      <c r="H15" s="74"/>
      <c r="I15" s="72"/>
      <c r="J15" s="74"/>
      <c r="K15" s="72"/>
      <c r="L15" s="74"/>
      <c r="M15" s="14"/>
    </row>
    <row r="16" spans="1:13" s="1" customFormat="1" ht="21.95" customHeight="1">
      <c r="A16" s="10"/>
      <c r="B16" s="12"/>
      <c r="C16" s="3"/>
      <c r="D16" s="3"/>
      <c r="E16" s="72"/>
      <c r="F16" s="74"/>
      <c r="G16" s="72"/>
      <c r="H16" s="74"/>
      <c r="I16" s="72"/>
      <c r="J16" s="74"/>
      <c r="K16" s="72"/>
      <c r="L16" s="74"/>
      <c r="M16" s="12"/>
    </row>
    <row r="17" spans="1:13" s="1" customFormat="1" ht="21.95" customHeight="1">
      <c r="A17" s="10"/>
      <c r="B17" s="12"/>
      <c r="C17" s="72"/>
      <c r="D17" s="73"/>
      <c r="E17" s="72"/>
      <c r="F17" s="74"/>
      <c r="G17" s="72"/>
      <c r="H17" s="74"/>
      <c r="I17" s="72"/>
      <c r="J17" s="74"/>
      <c r="K17" s="72"/>
      <c r="L17" s="74"/>
      <c r="M17" s="12"/>
    </row>
    <row r="18" spans="1:13" s="3" customFormat="1" ht="21.95" customHeight="1">
      <c r="A18" s="12"/>
      <c r="B18" s="12"/>
      <c r="C18" s="72"/>
      <c r="D18" s="73"/>
      <c r="E18" s="72"/>
      <c r="F18" s="74"/>
      <c r="G18" s="72"/>
      <c r="H18" s="74"/>
      <c r="I18" s="72"/>
      <c r="J18" s="74"/>
      <c r="K18" s="72"/>
      <c r="L18" s="74"/>
      <c r="M18" s="12"/>
    </row>
    <row r="19" spans="1:13" s="1" customFormat="1" ht="21.95" customHeight="1">
      <c r="A19" s="12"/>
      <c r="B19" s="12"/>
      <c r="C19" s="72"/>
      <c r="D19" s="73"/>
      <c r="E19" s="72"/>
      <c r="F19" s="74"/>
      <c r="G19" s="72"/>
      <c r="H19" s="74"/>
      <c r="I19" s="72"/>
      <c r="J19" s="74"/>
      <c r="K19" s="72"/>
      <c r="L19" s="74"/>
      <c r="M19" s="12"/>
    </row>
    <row r="20" spans="1:13" s="1" customFormat="1" ht="21.95" customHeight="1">
      <c r="A20" s="12"/>
      <c r="B20" s="12"/>
      <c r="C20" s="72"/>
      <c r="D20" s="73"/>
      <c r="E20" s="72"/>
      <c r="F20" s="74"/>
      <c r="G20" s="72"/>
      <c r="H20" s="74"/>
      <c r="I20" s="72"/>
      <c r="J20" s="74"/>
      <c r="K20" s="72"/>
      <c r="L20" s="74"/>
      <c r="M20" s="12"/>
    </row>
    <row r="21" spans="1:13" s="1" customFormat="1" ht="21.95" customHeight="1">
      <c r="A21" s="13"/>
      <c r="B21" s="12"/>
      <c r="C21" s="72"/>
      <c r="D21" s="73"/>
      <c r="E21" s="72"/>
      <c r="F21" s="74"/>
      <c r="G21" s="75"/>
      <c r="H21" s="76"/>
      <c r="I21" s="77"/>
      <c r="J21" s="78"/>
      <c r="K21" s="75"/>
      <c r="L21" s="76"/>
      <c r="M21" s="15"/>
    </row>
    <row r="22" spans="1:13" s="1" customFormat="1" ht="21.95" customHeight="1">
      <c r="A22" s="13"/>
      <c r="B22" s="12"/>
      <c r="C22" s="72"/>
      <c r="D22" s="73"/>
      <c r="E22" s="72"/>
      <c r="F22" s="74"/>
      <c r="G22" s="75"/>
      <c r="H22" s="76"/>
      <c r="I22" s="77"/>
      <c r="J22" s="78"/>
      <c r="K22" s="75"/>
      <c r="L22" s="76"/>
      <c r="M22" s="15"/>
    </row>
    <row r="23" spans="1:13" s="1" customFormat="1" ht="21.95" customHeight="1">
      <c r="A23" s="13"/>
      <c r="B23" s="12"/>
      <c r="C23" s="72"/>
      <c r="D23" s="73"/>
      <c r="E23" s="72"/>
      <c r="F23" s="74"/>
      <c r="G23" s="75"/>
      <c r="H23" s="76"/>
      <c r="I23" s="77"/>
      <c r="J23" s="78"/>
      <c r="K23" s="75"/>
      <c r="L23" s="76"/>
      <c r="M23" s="15"/>
    </row>
    <row r="24" spans="1:13" s="1" customFormat="1" ht="21.95" customHeight="1">
      <c r="A24" s="13"/>
      <c r="B24" s="12"/>
      <c r="C24" s="72"/>
      <c r="D24" s="73"/>
      <c r="E24" s="72"/>
      <c r="F24" s="74"/>
      <c r="G24" s="75"/>
      <c r="H24" s="76"/>
      <c r="I24" s="77"/>
      <c r="J24" s="78"/>
      <c r="K24" s="75"/>
      <c r="L24" s="76"/>
      <c r="M24" s="15"/>
    </row>
    <row r="25" spans="1:13" s="1" customFormat="1">
      <c r="D25" s="6"/>
    </row>
  </sheetData>
  <mergeCells count="67">
    <mergeCell ref="K12:L14"/>
    <mergeCell ref="C24:D24"/>
    <mergeCell ref="E24:F24"/>
    <mergeCell ref="G24:H24"/>
    <mergeCell ref="I24:J24"/>
    <mergeCell ref="K24:L24"/>
    <mergeCell ref="C23:D23"/>
    <mergeCell ref="E23:F23"/>
    <mergeCell ref="G23:H23"/>
    <mergeCell ref="I23:J23"/>
    <mergeCell ref="K23:L23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rintOptions horizontalCentered="1"/>
  <pageMargins left="0.7" right="0.7" top="0.25" bottom="0.25" header="0.3" footer="0.3"/>
  <pageSetup paperSize="9" scale="9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6D0BAAF4F7BC46B2A93C5DECA42A1C1D_12</vt:lpwstr>
  </property>
  <property fmtid="{D5CDD505-2E9C-101B-9397-08002B2CF9AE}" pid="3" name="KSOProductBuildVer">
    <vt:lpwstr>1033-12.2.0.23196</vt:lpwstr>
  </property>
</Properties>
</file>