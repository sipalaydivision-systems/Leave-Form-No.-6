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65C694DE-2D8A-44F4-BF8D-7E654BEE26CC}" xr6:coauthVersionLast="47" xr6:coauthVersionMax="47" xr10:uidLastSave="{00000000-0000-0000-0000-000000000000}"/>
  <bookViews>
    <workbookView xWindow="-120" yWindow="-120" windowWidth="29040" windowHeight="15720" xr2:uid="{DD8E7FD2-4EFF-494D-9345-D375E88A9301}"/>
  </bookViews>
  <sheets>
    <sheet name="Sheet1" sheetId="1" r:id="rId1"/>
  </sheets>
  <definedNames>
    <definedName name="_xlnm.Print_Area" localSheetId="0">Sheet1!$A$1:$J$46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1" l="1"/>
  <c r="I40" i="1"/>
  <c r="J40" i="1"/>
  <c r="I14" i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H14" i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J29" i="1" l="1"/>
  <c r="I30" i="1"/>
  <c r="J28" i="1"/>
  <c r="J27" i="1"/>
  <c r="J26" i="1"/>
  <c r="J25" i="1"/>
  <c r="J24" i="1"/>
  <c r="J23" i="1"/>
  <c r="J22" i="1"/>
  <c r="J21" i="1"/>
  <c r="J20" i="1"/>
  <c r="J19" i="1"/>
  <c r="J15" i="1"/>
  <c r="J14" i="1"/>
  <c r="J30" i="1" l="1"/>
  <c r="I31" i="1"/>
  <c r="I32" i="1" l="1"/>
  <c r="J31" i="1"/>
  <c r="J32" i="1" l="1"/>
  <c r="I33" i="1"/>
  <c r="J33" i="1" l="1"/>
  <c r="I34" i="1"/>
  <c r="J34" i="1" l="1"/>
  <c r="I35" i="1"/>
  <c r="I36" i="1" l="1"/>
  <c r="J35" i="1"/>
  <c r="J36" i="1" l="1"/>
  <c r="I37" i="1"/>
  <c r="I38" i="1" l="1"/>
  <c r="J37" i="1"/>
  <c r="J38" i="1" l="1"/>
  <c r="I39" i="1"/>
  <c r="J39" i="1" s="1"/>
</calcChain>
</file>

<file path=xl/sharedStrings.xml><?xml version="1.0" encoding="utf-8"?>
<sst xmlns="http://schemas.openxmlformats.org/spreadsheetml/2006/main" count="59" uniqueCount="55">
  <si>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</si>
  <si>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</si>
  <si>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</si>
  <si>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</si>
  <si>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</si>
  <si>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r>
      <t xml:space="preserve">DISTRICT: </t>
    </r>
    <r>
      <rPr>
        <b/>
        <u/>
        <sz val="11"/>
        <color theme="1"/>
        <rFont val="Calibri"/>
        <family val="2"/>
        <scheme val="minor"/>
      </rPr>
      <t>SIPALAY II</t>
    </r>
  </si>
  <si>
    <t>EMP. NO  :</t>
  </si>
  <si>
    <t>POSITION: __________________________</t>
  </si>
  <si>
    <t>SCHOOL/OFFICE:</t>
  </si>
  <si>
    <t>STATION   :</t>
  </si>
  <si>
    <t>047</t>
  </si>
  <si>
    <t>SERVICE LEAVE CARD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</si>
  <si>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</si>
  <si>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</si>
  <si>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</si>
  <si>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</si>
  <si>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</si>
  <si>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</si>
  <si>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</si>
  <si>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</si>
  <si>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SPECIAL</t>
  </si>
  <si>
    <t>ADD: 12/01/2016-12/31/2016</t>
  </si>
  <si>
    <t>ADD: 01/01/2017- 12/31/2017</t>
  </si>
  <si>
    <t>LESS: FL 2017</t>
  </si>
  <si>
    <t>ADD: 01/01/2018-12/31/2018</t>
  </si>
  <si>
    <t>LESS: FL 2018</t>
  </si>
  <si>
    <t>ADD: 01/01/2019-12/31/2019</t>
  </si>
  <si>
    <t>LESS: FL 2019</t>
  </si>
  <si>
    <t>ADD: 01/01/2020-12/31/2020</t>
  </si>
  <si>
    <t>LESS: FL 2020</t>
  </si>
  <si>
    <t>ADD: 01/01/2021-12/31/2021</t>
  </si>
  <si>
    <t>LESS: FL 2021</t>
  </si>
  <si>
    <t>ADD: 01/01/2022-12/31/2022</t>
  </si>
  <si>
    <t>LESS: FL 2022</t>
  </si>
  <si>
    <t>LESS: 04/19-20/2023</t>
  </si>
  <si>
    <t xml:space="preserve">  </t>
  </si>
  <si>
    <t xml:space="preserve"> </t>
  </si>
  <si>
    <t>ADD: 11/07/2016 - 11/30/2016</t>
  </si>
  <si>
    <t>ADD: 01/01/2023-04/30/2023</t>
  </si>
  <si>
    <t>ADD: 05/01/2023-08/31/2023</t>
  </si>
  <si>
    <t>LESS: MONETIZATION 2023</t>
  </si>
  <si>
    <t>Certified Correct:</t>
  </si>
  <si>
    <t>MA. LUISA B. CATIGAN</t>
  </si>
  <si>
    <t>Administrative Officer IV</t>
  </si>
  <si>
    <t>ADD: SEPT.-DEC.31, 2023</t>
  </si>
  <si>
    <t>LESS: FL 2023</t>
  </si>
  <si>
    <t>ADD: JAN.-JULY 31, 2024</t>
  </si>
  <si>
    <t xml:space="preserve">                  HRMO</t>
  </si>
  <si>
    <t>LESS: MONETIZATION 2024</t>
  </si>
  <si>
    <t>ADD: 08/1/2024-12/31/2024</t>
  </si>
  <si>
    <t>LESS: MANDATORY FL 2024</t>
  </si>
  <si>
    <t>ADD: 01/1/2025-02/28/2025</t>
  </si>
  <si>
    <t>LESS: 02/6/2025</t>
  </si>
  <si>
    <t>ADD: 03/1-31/2025</t>
  </si>
  <si>
    <t>LESS: MONETIZATION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</si>
</sst>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/>
    <xf numFmtId="49" fontId="1" fillId="2" borderId="1" xfId="0" applyNumberFormat="1" applyFont="1" applyFill="1" applyBorder="1" applyAlignment="1">
      <alignment vertical="center"/>
    </xf>
    <xf numFmtId="0" fontId="1" fillId="2" borderId="10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4" fillId="2" borderId="10" xfId="0" applyNumberFormat="1" applyFont="1" applyFill="1" applyBorder="1" applyAlignment="1">
      <alignment horizontal="center" vertical="center"/>
    </xf>
    <xf numFmtId="164" fontId="4" fillId="2" borderId="13" xfId="0" applyNumberFormat="1" applyFont="1" applyFill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64" fontId="4" fillId="2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2" fillId="2" borderId="0" xfId="0" applyFont="1" applyFill="1"/>
    <xf numFmtId="14" fontId="0" fillId="0" borderId="0" xfId="0" applyNumberFormat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676277</xdr:colOff>
      <xdr:row>0</xdr:row>
      <xdr:rowOff>38100</xdr:rowOff>
    </xdr:from>
    <xdr:to>
      <xdr:col>3</xdr:col>
      <xdr:colOff>654051</xdr:colOff>
      <xdr:row>0</xdr:row>
      <xdr:rowOff>749300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D9179B-2BDA-4097-9026-E36FB6AE8C3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27" y="38100"/>
          <a:ext cx="790574" cy="7112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637442</xdr:colOff>
      <xdr:row>5</xdr:row>
      <xdr:rowOff>139211</xdr:rowOff>
    </xdr:from>
    <xdr:to>
      <xdr:col>0</xdr:col>
      <xdr:colOff>2189041</xdr:colOff>
      <xdr:row>7</xdr:row>
      <xdr:rowOff>135060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A5CB10-0036-44E4-BCF4-BEE6CA7F6957}"/>
            </a:ext>
          </a:extLst>
        </xdr:cNvPr>
        <xdr:cNvSpPr txBox="1"/>
      </xdr:nvSpPr>
      <xdr:spPr>
        <a:xfrm>
          <a:off x="637442" y="1650511"/>
          <a:ext cx="1551599" cy="3641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SYREEL</a:t>
          </a:r>
          <a:r>
            <a:rPr lang="en-US" sz="1100" b="1" baseline="0"/>
            <a:t> Y. JUCABAN</a:t>
          </a:r>
          <a:endParaRPr lang="en-US" sz="1100" b="1"/>
        </a:p>
      </xdr:txBody>
    </xdr:sp>
    <xdr:clientData/>
  </xdr:twoCellAnchor>
  <xdr:twoCellAnchor>
    <xdr:from>
      <xdr:col>0</xdr:col>
      <xdr:colOff>750033</xdr:colOff>
      <xdr:row>7</xdr:row>
      <xdr:rowOff>80107</xdr:rowOff>
    </xdr:from>
    <xdr:to>
      <xdr:col>1</xdr:col>
      <xdr:colOff>79132</xdr:colOff>
      <xdr:row>9</xdr:row>
      <xdr:rowOff>25155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E40CCC2-2977-4B3C-BA1C-E4A6A7AEDB26}"/>
            </a:ext>
          </a:extLst>
        </xdr:cNvPr>
        <xdr:cNvSpPr txBox="1"/>
      </xdr:nvSpPr>
      <xdr:spPr>
        <a:xfrm>
          <a:off x="750033" y="1839057"/>
          <a:ext cx="20087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ADAS</a:t>
          </a:r>
          <a:r>
            <a:rPr lang="en-US" sz="1100" b="1" baseline="0"/>
            <a:t> II</a:t>
          </a:r>
          <a:endParaRPr lang="en-US" sz="1100" b="1"/>
        </a:p>
      </xdr:txBody>
    </xdr:sp>
    <xdr:clientData/>
  </xdr:twoCellAnchor>
  <xdr:twoCellAnchor>
    <xdr:from>
      <xdr:col>2</xdr:col>
      <xdr:colOff>237392</xdr:colOff>
      <xdr:row>7</xdr:row>
      <xdr:rowOff>114301</xdr:rowOff>
    </xdr:from>
    <xdr:to>
      <xdr:col>4</xdr:col>
      <xdr:colOff>660399</xdr:colOff>
      <xdr:row>9</xdr:row>
      <xdr:rowOff>95985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D7ADC39-74F3-4CE0-98DA-293C5586B9FA}"/>
            </a:ext>
          </a:extLst>
        </xdr:cNvPr>
        <xdr:cNvSpPr txBox="1"/>
      </xdr:nvSpPr>
      <xdr:spPr>
        <a:xfrm>
          <a:off x="3653692" y="1873251"/>
          <a:ext cx="1896207" cy="2864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GMNHS-MANLUCAHOC</a:t>
          </a:r>
          <a:r>
            <a:rPr lang="en-US" sz="1100" b="1" u="sng" baseline="0"/>
            <a:t> EXT.</a:t>
          </a:r>
          <a:endParaRPr lang="en-US" sz="1100" b="1" u="sng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5CBE6-9C6B-411B-8231-01E98BD3DA45}">
  <sheetPr>
    <pageSetUpPr fitToPage="1"/>
  </sheetPr>
  <dimension ref="A1:Q47"/>
  <sheetViews>
    <sheetView tabSelected="1" view="pageBreakPreview" topLeftCell="A23" zoomScaleNormal="100" zoomScaleSheetLayoutView="100" workbookViewId="0">
      <selection activeCell="H40" sqref="H40:J40"/>
    </sheetView>
  </sheetViews>
  <sheetFormatPr defaultRowHeight="15" x14ac:dyDescent="0.25"/>
  <cols>
    <col min="1" max="1" width="38.85546875" customWidth="1"/>
    <col min="2" max="10" width="11.5703125" customWidth="1"/>
  </cols>
  <sheetData>
    <row r="1" spans="1:12" ht="60.9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</row>
    <row r="2" spans="1:12" x14ac:dyDescent="0.25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  <c r="L2" t="s">
        <v>35</v>
      </c>
    </row>
    <row r="3" spans="1:12" x14ac:dyDescent="0.25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</row>
    <row r="4" spans="1:12" x14ac:dyDescent="0.25">
      <c r="A4" s="20" t="s">
        <v>2</v>
      </c>
      <c r="B4" s="20"/>
      <c r="C4" s="20"/>
      <c r="D4" s="20"/>
      <c r="E4" s="20"/>
      <c r="F4" s="20"/>
      <c r="G4" s="20"/>
      <c r="H4" s="20"/>
      <c r="I4" s="20"/>
      <c r="J4" s="20"/>
    </row>
    <row r="5" spans="1:12" x14ac:dyDescent="0.25">
      <c r="A5" s="20" t="s">
        <v>3</v>
      </c>
      <c r="B5" s="20"/>
      <c r="C5" s="20"/>
      <c r="D5" s="20"/>
      <c r="E5" s="20"/>
      <c r="F5" s="20"/>
      <c r="G5" s="20"/>
      <c r="H5" s="20"/>
      <c r="I5" s="20"/>
      <c r="J5" s="20"/>
    </row>
    <row r="6" spans="1:12" x14ac:dyDescent="0.25">
      <c r="A6" s="1"/>
      <c r="B6" s="2"/>
      <c r="C6" s="2"/>
      <c r="D6" s="2"/>
      <c r="E6" s="2"/>
      <c r="F6" s="2"/>
      <c r="G6" s="2"/>
      <c r="H6" s="2"/>
      <c r="I6" s="2"/>
      <c r="J6" s="2"/>
    </row>
    <row r="7" spans="1:12" x14ac:dyDescent="0.25">
      <c r="A7" s="1" t="s">
        <v>4</v>
      </c>
      <c r="B7" s="19" t="s">
        <v>5</v>
      </c>
      <c r="C7" s="19"/>
      <c r="D7" s="19"/>
      <c r="E7" s="2"/>
      <c r="F7" s="2"/>
      <c r="G7" s="2"/>
      <c r="H7" s="3" t="s">
        <v>6</v>
      </c>
      <c r="I7" s="4">
        <v>6312013</v>
      </c>
      <c r="J7" s="3"/>
    </row>
    <row r="8" spans="1:12" x14ac:dyDescent="0.25">
      <c r="A8" s="1"/>
      <c r="B8" s="5"/>
      <c r="C8" s="5"/>
      <c r="D8" s="2"/>
      <c r="E8" s="2"/>
      <c r="F8" s="2"/>
      <c r="G8" s="2"/>
      <c r="H8" s="5"/>
      <c r="I8" s="5"/>
      <c r="J8" s="5"/>
    </row>
    <row r="9" spans="1:12" x14ac:dyDescent="0.25">
      <c r="A9" s="1" t="s">
        <v>7</v>
      </c>
      <c r="B9" s="19" t="s">
        <v>8</v>
      </c>
      <c r="C9" s="19"/>
      <c r="D9" s="19"/>
      <c r="E9" s="2"/>
      <c r="F9" s="2"/>
      <c r="G9" s="2"/>
      <c r="H9" s="3" t="s">
        <v>9</v>
      </c>
      <c r="I9" s="6" t="s">
        <v>10</v>
      </c>
      <c r="J9" s="3"/>
    </row>
    <row r="10" spans="1:12" ht="21.75" thickBot="1" x14ac:dyDescent="0.3">
      <c r="A10" s="21" t="s">
        <v>11</v>
      </c>
      <c r="B10" s="21"/>
      <c r="C10" s="21"/>
      <c r="D10" s="21"/>
      <c r="E10" s="21"/>
      <c r="F10" s="21"/>
      <c r="G10" s="21"/>
      <c r="H10" s="21"/>
      <c r="I10" s="21"/>
      <c r="J10" s="21"/>
    </row>
    <row r="11" spans="1:12" x14ac:dyDescent="0.25">
      <c r="A11" s="22" t="s">
        <v>12</v>
      </c>
      <c r="B11" s="24" t="s">
        <v>13</v>
      </c>
      <c r="C11" s="24"/>
      <c r="D11" s="25" t="s">
        <v>14</v>
      </c>
      <c r="E11" s="26"/>
      <c r="F11" s="26"/>
      <c r="G11" s="27"/>
      <c r="H11" s="28" t="s">
        <v>15</v>
      </c>
      <c r="I11" s="28"/>
      <c r="J11" s="29" t="s">
        <v>16</v>
      </c>
    </row>
    <row r="12" spans="1:12" x14ac:dyDescent="0.25">
      <c r="A12" s="23"/>
      <c r="B12" s="7" t="s">
        <v>17</v>
      </c>
      <c r="C12" s="7" t="s">
        <v>18</v>
      </c>
      <c r="D12" s="7" t="s">
        <v>17</v>
      </c>
      <c r="E12" s="7" t="s">
        <v>18</v>
      </c>
      <c r="F12" s="7" t="s">
        <v>19</v>
      </c>
      <c r="G12" s="7" t="s">
        <v>20</v>
      </c>
      <c r="H12" s="7" t="s">
        <v>17</v>
      </c>
      <c r="I12" s="7" t="s">
        <v>18</v>
      </c>
      <c r="J12" s="30"/>
    </row>
    <row r="13" spans="1:12" ht="15" customHeight="1" x14ac:dyDescent="0.25">
      <c r="A13" s="8" t="s">
        <v>37</v>
      </c>
      <c r="B13" s="9">
        <v>1</v>
      </c>
      <c r="C13" s="9">
        <v>1</v>
      </c>
      <c r="D13" s="9"/>
      <c r="E13" s="9"/>
      <c r="F13" s="9"/>
      <c r="G13" s="9"/>
      <c r="H13" s="9">
        <v>1</v>
      </c>
      <c r="I13" s="9">
        <v>1</v>
      </c>
      <c r="J13" s="10">
        <v>2</v>
      </c>
    </row>
    <row r="14" spans="1:12" ht="15" customHeight="1" x14ac:dyDescent="0.25">
      <c r="A14" s="8" t="s">
        <v>21</v>
      </c>
      <c r="B14" s="9">
        <v>1.25</v>
      </c>
      <c r="C14" s="9">
        <v>1.25</v>
      </c>
      <c r="D14" s="9"/>
      <c r="E14" s="9"/>
      <c r="F14" s="9"/>
      <c r="G14" s="9"/>
      <c r="H14" s="9">
        <f>H13-F14-D14+B14</f>
        <v>2.25</v>
      </c>
      <c r="I14" s="9">
        <f>I13-E14+C14</f>
        <v>2.25</v>
      </c>
      <c r="J14" s="10">
        <f>H14+I14</f>
        <v>4.5</v>
      </c>
    </row>
    <row r="15" spans="1:12" ht="15" customHeight="1" x14ac:dyDescent="0.25">
      <c r="A15" s="8" t="s">
        <v>22</v>
      </c>
      <c r="B15" s="9">
        <v>15</v>
      </c>
      <c r="C15" s="9">
        <v>15</v>
      </c>
      <c r="D15" s="9"/>
      <c r="E15" s="9"/>
      <c r="F15" s="9"/>
      <c r="G15" s="9"/>
      <c r="H15" s="9">
        <f t="shared" ref="H15:H30" si="0">H14-F15-D15+B15</f>
        <v>17.25</v>
      </c>
      <c r="I15" s="9">
        <f t="shared" ref="I15:I30" si="1">I14-E15+C15</f>
        <v>17.25</v>
      </c>
      <c r="J15" s="10">
        <f>H15+I15</f>
        <v>34.5</v>
      </c>
    </row>
    <row r="16" spans="1:12" ht="15" customHeight="1" x14ac:dyDescent="0.25">
      <c r="A16" s="8" t="s">
        <v>23</v>
      </c>
      <c r="B16" s="9"/>
      <c r="C16" s="9"/>
      <c r="D16" s="9"/>
      <c r="E16" s="9"/>
      <c r="F16" s="9">
        <v>5</v>
      </c>
      <c r="G16" s="9"/>
      <c r="H16" s="9">
        <f t="shared" si="0"/>
        <v>12.25</v>
      </c>
      <c r="I16" s="9">
        <f t="shared" si="1"/>
        <v>17.25</v>
      </c>
      <c r="J16" s="10">
        <v>29.5</v>
      </c>
    </row>
    <row r="17" spans="1:17" ht="15" customHeight="1" x14ac:dyDescent="0.25">
      <c r="A17" s="8" t="s">
        <v>24</v>
      </c>
      <c r="B17" s="9">
        <v>15</v>
      </c>
      <c r="C17" s="9">
        <v>15</v>
      </c>
      <c r="D17" s="9"/>
      <c r="E17" s="9"/>
      <c r="F17" s="9"/>
      <c r="G17" s="9"/>
      <c r="H17" s="9">
        <f t="shared" si="0"/>
        <v>27.25</v>
      </c>
      <c r="I17" s="9">
        <f t="shared" si="1"/>
        <v>32.25</v>
      </c>
      <c r="J17" s="10">
        <v>59.5</v>
      </c>
    </row>
    <row r="18" spans="1:17" ht="15" customHeight="1" x14ac:dyDescent="0.25">
      <c r="A18" s="8" t="s">
        <v>25</v>
      </c>
      <c r="B18" s="9"/>
      <c r="C18" s="9"/>
      <c r="D18" s="9"/>
      <c r="E18" s="9"/>
      <c r="F18" s="9">
        <v>5</v>
      </c>
      <c r="G18" s="9"/>
      <c r="H18" s="9">
        <f t="shared" si="0"/>
        <v>22.25</v>
      </c>
      <c r="I18" s="9">
        <f t="shared" si="1"/>
        <v>32.25</v>
      </c>
      <c r="J18" s="10">
        <v>54.5</v>
      </c>
    </row>
    <row r="19" spans="1:17" ht="15" customHeight="1" x14ac:dyDescent="0.25">
      <c r="A19" s="8" t="s">
        <v>26</v>
      </c>
      <c r="B19" s="9">
        <v>15</v>
      </c>
      <c r="C19" s="9">
        <v>15</v>
      </c>
      <c r="D19" s="9"/>
      <c r="E19" s="9"/>
      <c r="F19" s="9"/>
      <c r="G19" s="9"/>
      <c r="H19" s="9">
        <f t="shared" si="0"/>
        <v>37.25</v>
      </c>
      <c r="I19" s="9">
        <f t="shared" si="1"/>
        <v>47.25</v>
      </c>
      <c r="J19" s="10">
        <f t="shared" ref="J19:J28" si="2">I19+H19</f>
        <v>84.5</v>
      </c>
      <c r="P19" s="13"/>
      <c r="Q19" s="13"/>
    </row>
    <row r="20" spans="1:17" ht="15" customHeight="1" x14ac:dyDescent="0.25">
      <c r="A20" s="8" t="s">
        <v>27</v>
      </c>
      <c r="B20" s="9"/>
      <c r="C20" s="9"/>
      <c r="D20" s="9"/>
      <c r="E20" s="9"/>
      <c r="F20" s="9">
        <v>5</v>
      </c>
      <c r="G20" s="9"/>
      <c r="H20" s="9">
        <f t="shared" si="0"/>
        <v>32.25</v>
      </c>
      <c r="I20" s="9">
        <f t="shared" si="1"/>
        <v>47.25</v>
      </c>
      <c r="J20" s="10">
        <f t="shared" si="2"/>
        <v>79.5</v>
      </c>
    </row>
    <row r="21" spans="1:17" ht="15" customHeight="1" x14ac:dyDescent="0.25">
      <c r="A21" s="8" t="s">
        <v>28</v>
      </c>
      <c r="B21" s="9">
        <v>15</v>
      </c>
      <c r="C21" s="9">
        <v>15</v>
      </c>
      <c r="D21" s="9"/>
      <c r="E21" s="9"/>
      <c r="F21" s="9"/>
      <c r="G21" s="9"/>
      <c r="H21" s="9">
        <f t="shared" si="0"/>
        <v>47.25</v>
      </c>
      <c r="I21" s="9">
        <f t="shared" si="1"/>
        <v>62.25</v>
      </c>
      <c r="J21" s="10">
        <f t="shared" si="2"/>
        <v>109.5</v>
      </c>
    </row>
    <row r="22" spans="1:17" ht="15" customHeight="1" x14ac:dyDescent="0.25">
      <c r="A22" s="8" t="s">
        <v>29</v>
      </c>
      <c r="B22" s="9"/>
      <c r="C22" s="9"/>
      <c r="D22" s="9"/>
      <c r="E22" s="9"/>
      <c r="F22" s="9">
        <v>5</v>
      </c>
      <c r="G22" s="9"/>
      <c r="H22" s="9">
        <f t="shared" si="0"/>
        <v>42.25</v>
      </c>
      <c r="I22" s="9">
        <f t="shared" si="1"/>
        <v>62.25</v>
      </c>
      <c r="J22" s="10">
        <f t="shared" si="2"/>
        <v>104.5</v>
      </c>
    </row>
    <row r="23" spans="1:17" ht="15" customHeight="1" x14ac:dyDescent="0.25">
      <c r="A23" s="8" t="s">
        <v>30</v>
      </c>
      <c r="B23" s="9">
        <v>15</v>
      </c>
      <c r="C23" s="9">
        <v>15</v>
      </c>
      <c r="D23" s="9"/>
      <c r="E23" s="9"/>
      <c r="F23" s="9"/>
      <c r="G23" s="9"/>
      <c r="H23" s="9">
        <f t="shared" si="0"/>
        <v>57.25</v>
      </c>
      <c r="I23" s="9">
        <f t="shared" si="1"/>
        <v>77.25</v>
      </c>
      <c r="J23" s="10">
        <f t="shared" si="2"/>
        <v>134.5</v>
      </c>
    </row>
    <row r="24" spans="1:17" ht="15" customHeight="1" x14ac:dyDescent="0.25">
      <c r="A24" s="8" t="s">
        <v>31</v>
      </c>
      <c r="B24" s="9"/>
      <c r="C24" s="9"/>
      <c r="D24" s="9"/>
      <c r="E24" s="9"/>
      <c r="F24" s="9">
        <v>5</v>
      </c>
      <c r="G24" s="9"/>
      <c r="H24" s="9">
        <f t="shared" si="0"/>
        <v>52.25</v>
      </c>
      <c r="I24" s="9">
        <f t="shared" si="1"/>
        <v>77.25</v>
      </c>
      <c r="J24" s="10">
        <f t="shared" si="2"/>
        <v>129.5</v>
      </c>
    </row>
    <row r="25" spans="1:17" ht="15" customHeight="1" x14ac:dyDescent="0.25">
      <c r="A25" s="8" t="s">
        <v>32</v>
      </c>
      <c r="B25" s="9">
        <v>15</v>
      </c>
      <c r="C25" s="9">
        <v>15</v>
      </c>
      <c r="D25" s="9"/>
      <c r="E25" s="9"/>
      <c r="F25" s="9"/>
      <c r="G25" s="9"/>
      <c r="H25" s="9">
        <f t="shared" si="0"/>
        <v>67.25</v>
      </c>
      <c r="I25" s="9">
        <f t="shared" si="1"/>
        <v>92.25</v>
      </c>
      <c r="J25" s="10">
        <f t="shared" si="2"/>
        <v>159.5</v>
      </c>
    </row>
    <row r="26" spans="1:17" ht="15" customHeight="1" x14ac:dyDescent="0.25">
      <c r="A26" s="8" t="s">
        <v>33</v>
      </c>
      <c r="B26" s="9"/>
      <c r="C26" s="9"/>
      <c r="D26" s="9"/>
      <c r="E26" s="9"/>
      <c r="F26" s="9">
        <v>5</v>
      </c>
      <c r="G26" s="9"/>
      <c r="H26" s="9">
        <f t="shared" si="0"/>
        <v>62.25</v>
      </c>
      <c r="I26" s="9">
        <f t="shared" si="1"/>
        <v>92.25</v>
      </c>
      <c r="J26" s="10">
        <f t="shared" si="2"/>
        <v>154.5</v>
      </c>
      <c r="L26" t="s">
        <v>36</v>
      </c>
    </row>
    <row r="27" spans="1:17" ht="15" customHeight="1" x14ac:dyDescent="0.25">
      <c r="A27" s="8" t="s">
        <v>38</v>
      </c>
      <c r="B27" s="9">
        <v>5</v>
      </c>
      <c r="C27" s="9">
        <v>5</v>
      </c>
      <c r="D27" s="9"/>
      <c r="E27" s="9"/>
      <c r="F27" s="9"/>
      <c r="G27" s="9"/>
      <c r="H27" s="9">
        <f t="shared" si="0"/>
        <v>67.25</v>
      </c>
      <c r="I27" s="9">
        <f t="shared" si="1"/>
        <v>97.25</v>
      </c>
      <c r="J27" s="10">
        <f t="shared" si="2"/>
        <v>164.5</v>
      </c>
    </row>
    <row r="28" spans="1:17" ht="15" customHeight="1" x14ac:dyDescent="0.25">
      <c r="A28" s="8" t="s">
        <v>34</v>
      </c>
      <c r="B28" s="9"/>
      <c r="C28" s="9"/>
      <c r="D28" s="9"/>
      <c r="E28" s="9">
        <v>2</v>
      </c>
      <c r="F28" s="9"/>
      <c r="G28" s="9"/>
      <c r="H28" s="9">
        <f t="shared" si="0"/>
        <v>67.25</v>
      </c>
      <c r="I28" s="9">
        <f t="shared" si="1"/>
        <v>95.25</v>
      </c>
      <c r="J28" s="10">
        <f t="shared" si="2"/>
        <v>162.5</v>
      </c>
    </row>
    <row r="29" spans="1:17" ht="15" customHeight="1" x14ac:dyDescent="0.25">
      <c r="A29" s="8" t="s">
        <v>39</v>
      </c>
      <c r="B29" s="9">
        <v>5</v>
      </c>
      <c r="C29" s="9">
        <v>5</v>
      </c>
      <c r="D29" s="9"/>
      <c r="E29" s="9"/>
      <c r="F29" s="9"/>
      <c r="G29" s="9"/>
      <c r="H29" s="9">
        <f t="shared" si="0"/>
        <v>72.25</v>
      </c>
      <c r="I29" s="9">
        <f t="shared" si="1"/>
        <v>100.25</v>
      </c>
      <c r="J29" s="10">
        <f t="shared" ref="J29:J30" si="3">I29+H29</f>
        <v>172.5</v>
      </c>
    </row>
    <row r="30" spans="1:17" ht="15" customHeight="1" x14ac:dyDescent="0.25">
      <c r="A30" s="11" t="s">
        <v>40</v>
      </c>
      <c r="B30" s="9"/>
      <c r="C30" s="9"/>
      <c r="D30" s="9">
        <v>29</v>
      </c>
      <c r="E30" s="9"/>
      <c r="F30" s="9"/>
      <c r="G30" s="12"/>
      <c r="H30" s="9">
        <f t="shared" si="0"/>
        <v>43.25</v>
      </c>
      <c r="I30" s="9">
        <f t="shared" si="1"/>
        <v>100.25</v>
      </c>
      <c r="J30" s="10">
        <f t="shared" si="3"/>
        <v>143.5</v>
      </c>
    </row>
    <row r="31" spans="1:17" ht="15" customHeight="1" x14ac:dyDescent="0.25">
      <c r="A31" s="14" t="s">
        <v>44</v>
      </c>
      <c r="B31" s="9">
        <v>5</v>
      </c>
      <c r="C31" s="9">
        <v>5</v>
      </c>
      <c r="D31" s="9"/>
      <c r="E31" s="9"/>
      <c r="F31" s="9"/>
      <c r="G31" s="9"/>
      <c r="H31" s="9">
        <f t="shared" ref="H31:H32" si="4">H30-F31-D31+B31</f>
        <v>48.25</v>
      </c>
      <c r="I31" s="9">
        <f t="shared" ref="I31:I32" si="5">I30-E31+C31</f>
        <v>105.25</v>
      </c>
      <c r="J31" s="10">
        <f t="shared" ref="J31:J32" si="6">I31+H31</f>
        <v>153.5</v>
      </c>
    </row>
    <row r="32" spans="1:17" ht="15" customHeight="1" x14ac:dyDescent="0.25">
      <c r="A32" s="14" t="s">
        <v>45</v>
      </c>
      <c r="B32" s="9"/>
      <c r="C32" s="9"/>
      <c r="D32" s="9"/>
      <c r="E32" s="9"/>
      <c r="F32" s="9">
        <v>5</v>
      </c>
      <c r="G32" s="9"/>
      <c r="H32" s="9">
        <f t="shared" si="4"/>
        <v>43.25</v>
      </c>
      <c r="I32" s="9">
        <f t="shared" si="5"/>
        <v>105.25</v>
      </c>
      <c r="J32" s="9">
        <f t="shared" si="6"/>
        <v>148.5</v>
      </c>
    </row>
    <row r="33" spans="1:10" ht="15" customHeight="1" x14ac:dyDescent="0.25">
      <c r="A33" s="14" t="s">
        <v>46</v>
      </c>
      <c r="B33" s="9">
        <v>8.75</v>
      </c>
      <c r="C33" s="9">
        <v>8.75</v>
      </c>
      <c r="D33" s="9"/>
      <c r="E33" s="9"/>
      <c r="F33" s="9"/>
      <c r="G33" s="9"/>
      <c r="H33" s="9">
        <f t="shared" ref="H33" si="7">H32-F33-D33+B33</f>
        <v>52</v>
      </c>
      <c r="I33" s="9">
        <f t="shared" ref="I33" si="8">I32-E33+C33</f>
        <v>114</v>
      </c>
      <c r="J33" s="9">
        <f t="shared" ref="J33" si="9">I33+H33</f>
        <v>166</v>
      </c>
    </row>
    <row r="34" spans="1:10" ht="15" customHeight="1" x14ac:dyDescent="0.25">
      <c r="A34" s="14" t="s">
        <v>48</v>
      </c>
      <c r="B34" s="18"/>
      <c r="C34" s="18"/>
      <c r="D34" s="18">
        <v>30</v>
      </c>
      <c r="E34" s="18"/>
      <c r="F34" s="18"/>
      <c r="G34" s="18"/>
      <c r="H34" s="18">
        <f t="shared" ref="H34" si="10">H33-F34-D34+B34</f>
        <v>22</v>
      </c>
      <c r="I34" s="18">
        <f t="shared" ref="I34" si="11">I33-E34+C34</f>
        <v>114</v>
      </c>
      <c r="J34" s="18">
        <f t="shared" ref="J34" si="12">I34+H34</f>
        <v>136</v>
      </c>
    </row>
    <row r="35" spans="1:10" ht="15" customHeight="1" x14ac:dyDescent="0.25">
      <c r="A35" s="14" t="s">
        <v>49</v>
      </c>
      <c r="B35" s="18">
        <v>6.25</v>
      </c>
      <c r="C35" s="18">
        <v>6.25</v>
      </c>
      <c r="D35" s="18"/>
      <c r="E35" s="18"/>
      <c r="F35" s="18"/>
      <c r="G35" s="18"/>
      <c r="H35" s="18">
        <f t="shared" ref="H35:H38" si="13">H34-F35-D35+B35</f>
        <v>28.25</v>
      </c>
      <c r="I35" s="18">
        <f t="shared" ref="I35:I38" si="14">I34-E35+C35</f>
        <v>120.25</v>
      </c>
      <c r="J35" s="18">
        <f t="shared" ref="J35:J38" si="15">I35+H35</f>
        <v>148.5</v>
      </c>
    </row>
    <row r="36" spans="1:10" ht="15" customHeight="1" x14ac:dyDescent="0.25">
      <c r="A36" s="14" t="s">
        <v>50</v>
      </c>
      <c r="B36" s="18"/>
      <c r="C36" s="18"/>
      <c r="D36" s="18"/>
      <c r="E36" s="18"/>
      <c r="F36" s="18">
        <v>5</v>
      </c>
      <c r="G36" s="18"/>
      <c r="H36" s="18">
        <f t="shared" si="13"/>
        <v>23.25</v>
      </c>
      <c r="I36" s="18">
        <f t="shared" si="14"/>
        <v>120.25</v>
      </c>
      <c r="J36" s="18">
        <f t="shared" si="15"/>
        <v>143.5</v>
      </c>
    </row>
    <row r="37" spans="1:10" ht="15" customHeight="1" x14ac:dyDescent="0.25">
      <c r="A37" s="14" t="s">
        <v>51</v>
      </c>
      <c r="B37" s="18">
        <v>2.5</v>
      </c>
      <c r="C37" s="18">
        <v>2.5</v>
      </c>
      <c r="D37" s="18"/>
      <c r="E37" s="18"/>
      <c r="F37" s="18"/>
      <c r="G37" s="18"/>
      <c r="H37" s="18">
        <f t="shared" si="13"/>
        <v>25.75</v>
      </c>
      <c r="I37" s="18">
        <f t="shared" si="14"/>
        <v>122.75</v>
      </c>
      <c r="J37" s="18">
        <f t="shared" si="15"/>
        <v>148.5</v>
      </c>
    </row>
    <row r="38" spans="1:10" ht="15" customHeight="1" x14ac:dyDescent="0.25">
      <c r="A38" s="14" t="s">
        <v>52</v>
      </c>
      <c r="B38" s="18"/>
      <c r="C38" s="18"/>
      <c r="D38" s="18"/>
      <c r="E38" s="18">
        <v>1</v>
      </c>
      <c r="F38" s="18"/>
      <c r="G38" s="18"/>
      <c r="H38" s="18">
        <f t="shared" si="13"/>
        <v>25.75</v>
      </c>
      <c r="I38" s="18">
        <f t="shared" si="14"/>
        <v>121.75</v>
      </c>
      <c r="J38" s="18">
        <f t="shared" si="15"/>
        <v>147.5</v>
      </c>
    </row>
    <row r="39" spans="1:10" ht="15" customHeight="1" x14ac:dyDescent="0.25">
      <c r="A39" s="14" t="s">
        <v>53</v>
      </c>
      <c r="B39" s="18">
        <v>1.25</v>
      </c>
      <c r="C39" s="18">
        <v>1.25</v>
      </c>
      <c r="D39" s="18"/>
      <c r="E39" s="18"/>
      <c r="F39" s="18"/>
      <c r="G39" s="18"/>
      <c r="H39" s="18">
        <f t="shared" ref="H39" si="16">H38-F39-D39+B39</f>
        <v>27</v>
      </c>
      <c r="I39" s="18">
        <f t="shared" ref="I39" si="17">I38-E39+C39</f>
        <v>123</v>
      </c>
      <c r="J39" s="18">
        <f t="shared" ref="J39" si="18">I39+H39</f>
        <v>150</v>
      </c>
    </row>
    <row r="40" spans="1:10" ht="15" customHeight="1" x14ac:dyDescent="0.25">
      <c r="A40" s="14" t="s">
        <v>54</v>
      </c>
      <c r="B40" s="18"/>
      <c r="C40" s="18"/>
      <c r="D40" s="18">
        <v>22</v>
      </c>
      <c r="E40" s="18"/>
      <c r="F40" s="18"/>
      <c r="G40" s="18"/>
      <c r="H40" s="18">
        <f t="shared" ref="H40" si="19">H39-F40-D40+B40</f>
        <v>5</v>
      </c>
      <c r="I40" s="18">
        <f t="shared" ref="I40" si="20">I39-E40+C40</f>
        <v>123</v>
      </c>
      <c r="J40" s="18">
        <f t="shared" ref="J40" si="21">I40+H40</f>
        <v>128</v>
      </c>
    </row>
    <row r="41" spans="1:10" ht="15" customHeight="1" x14ac:dyDescent="0.25">
      <c r="A41" s="16"/>
      <c r="B41" s="17"/>
      <c r="C41" s="17"/>
      <c r="D41" s="17"/>
      <c r="E41" s="17"/>
      <c r="F41" s="17"/>
      <c r="G41" s="17"/>
      <c r="H41" s="17"/>
      <c r="I41" s="17"/>
      <c r="J41" s="17"/>
    </row>
    <row r="42" spans="1:10" s="2" customFormat="1" ht="15" customHeight="1" x14ac:dyDescent="0.25">
      <c r="H42" s="2" t="s">
        <v>41</v>
      </c>
    </row>
    <row r="43" spans="1:10" s="2" customFormat="1" ht="15" customHeight="1" x14ac:dyDescent="0.25"/>
    <row r="44" spans="1:10" s="2" customFormat="1" ht="15" customHeight="1" x14ac:dyDescent="0.25">
      <c r="H44" s="15" t="s">
        <v>42</v>
      </c>
    </row>
    <row r="45" spans="1:10" s="2" customFormat="1" ht="15" customHeight="1" x14ac:dyDescent="0.25">
      <c r="H45" s="2" t="s">
        <v>43</v>
      </c>
    </row>
    <row r="46" spans="1:10" s="2" customFormat="1" ht="15" customHeight="1" x14ac:dyDescent="0.25">
      <c r="H46" s="2" t="s">
        <v>47</v>
      </c>
    </row>
    <row r="47" spans="1:10" ht="15" customHeight="1" x14ac:dyDescent="0.25"/>
  </sheetData>
  <mergeCells count="12">
    <mergeCell ref="A10:J10"/>
    <mergeCell ref="A11:A12"/>
    <mergeCell ref="B11:C11"/>
    <mergeCell ref="D11:G11"/>
    <mergeCell ref="H11:I11"/>
    <mergeCell ref="J11:J12"/>
    <mergeCell ref="B9:D9"/>
    <mergeCell ref="A2:J2"/>
    <mergeCell ref="A3:J3"/>
    <mergeCell ref="A4:J4"/>
    <mergeCell ref="A5:J5"/>
    <mergeCell ref="B7:D7"/>
  </mergeCells>
  <printOptions horizontalCentered="1"/>
  <pageMargins left="0.2" right="0.2" top="0.5" bottom="0.5" header="0.3" footer="0.3"/>
  <pageSetup paperSize="9" scale="70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DepEd</dc:creator>
  <cp:lastModifiedBy>JOCELYN MAMUGAY</cp:lastModifiedBy>
  <cp:lastPrinted>2025-05-02T00:04:24Z</cp:lastPrinted>
  <dcterms:created xsi:type="dcterms:W3CDTF">2023-04-25T07:02:10Z</dcterms:created>
  <dcterms:modified xsi:type="dcterms:W3CDTF">2025-05-02T00:11:21Z</dcterms:modified>
</cp:coreProperties>
</file>