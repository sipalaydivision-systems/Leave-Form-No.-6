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2" documentId="13_ncr:1_{234EEF20-9979-469F-93CE-888835B1C440}" xr6:coauthVersionLast="47" xr6:coauthVersionMax="47" xr10:uidLastSave="{1D26D9EA-D56E-4480-84E5-20EC0B63C59B}"/>
  <bookViews>
    <workbookView xWindow="0" yWindow="0" windowWidth="28800" windowHeight="15480" xr2:uid="{00000000-000D-0000-FFFF-FFFF00000000}"/>
  </bookViews>
  <sheets>
    <sheet name="CORRECTED" sheetId="6" r:id="rId1"/>
    <sheet name="CTO" sheetId="8" r:id="rId2"/>
    <sheet name="ELECTION" sheetId="9" r:id="rId3"/>
    <sheet name="Leave Card (NE) (2)" sheetId="10" r:id="rId4"/>
  </sheets>
  <definedNames>
    <definedName name="_xlnm.Print_Area" localSheetId="0">CORRECTED!$A$1:$J$113</definedName>
    <definedName name="_xlnm.Print_Area" localSheetId="3">'Leave Card (NE) (2)'!$A$1:$J$90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6" l="1"/>
  <c r="I107" i="6"/>
  <c r="J107" i="6"/>
  <c r="C17" i="10"/>
  <c r="B17" i="10"/>
  <c r="C15" i="10"/>
  <c r="B15" i="10"/>
  <c r="C13" i="10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B13" i="10"/>
  <c r="H13" i="10" s="1"/>
  <c r="H14" i="10" l="1"/>
  <c r="J13" i="10"/>
  <c r="J15" i="8"/>
  <c r="H15" i="10" l="1"/>
  <c r="J14" i="10"/>
  <c r="H16" i="10" l="1"/>
  <c r="J15" i="10"/>
  <c r="J16" i="10" l="1"/>
  <c r="H17" i="10"/>
  <c r="C13" i="6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B13" i="6"/>
  <c r="H13" i="6" s="1"/>
  <c r="H14" i="6" s="1"/>
  <c r="H15" i="6" s="1"/>
  <c r="H18" i="10" l="1"/>
  <c r="J17" i="10"/>
  <c r="J15" i="6"/>
  <c r="H16" i="6"/>
  <c r="H17" i="6" s="1"/>
  <c r="J13" i="6"/>
  <c r="J14" i="6"/>
  <c r="H18" i="6" l="1"/>
  <c r="J17" i="6"/>
  <c r="J18" i="10"/>
  <c r="H19" i="10"/>
  <c r="J16" i="6"/>
  <c r="H19" i="6" l="1"/>
  <c r="J18" i="6"/>
  <c r="J19" i="10"/>
  <c r="H20" i="10"/>
  <c r="H20" i="6" l="1"/>
  <c r="J19" i="6"/>
  <c r="J20" i="10"/>
  <c r="H21" i="10"/>
  <c r="H21" i="6" l="1"/>
  <c r="J20" i="6"/>
  <c r="J21" i="10"/>
  <c r="H22" i="10"/>
  <c r="H22" i="6" l="1"/>
  <c r="J21" i="6"/>
  <c r="J22" i="10"/>
  <c r="H23" i="10"/>
  <c r="H23" i="6" l="1"/>
  <c r="J22" i="6"/>
  <c r="H24" i="10"/>
  <c r="J23" i="10"/>
  <c r="J23" i="6" l="1"/>
  <c r="H24" i="6"/>
  <c r="J24" i="10"/>
  <c r="H25" i="10"/>
  <c r="H25" i="6" l="1"/>
  <c r="J24" i="6"/>
  <c r="J25" i="10"/>
  <c r="H26" i="10"/>
  <c r="J25" i="6" l="1"/>
  <c r="H26" i="6"/>
  <c r="J26" i="10"/>
  <c r="H27" i="10"/>
  <c r="J26" i="6" l="1"/>
  <c r="H27" i="6"/>
  <c r="J27" i="10"/>
  <c r="H28" i="10"/>
  <c r="J27" i="6" l="1"/>
  <c r="H28" i="6"/>
  <c r="J28" i="10"/>
  <c r="H29" i="10"/>
  <c r="H29" i="6" l="1"/>
  <c r="J28" i="6"/>
  <c r="J29" i="10"/>
  <c r="H30" i="10"/>
  <c r="H30" i="6" l="1"/>
  <c r="J29" i="6"/>
  <c r="J30" i="10"/>
  <c r="H31" i="10"/>
  <c r="H31" i="6" l="1"/>
  <c r="J30" i="6"/>
  <c r="J31" i="10"/>
  <c r="H32" i="10"/>
  <c r="J31" i="6" l="1"/>
  <c r="H32" i="6"/>
  <c r="J32" i="10"/>
  <c r="H33" i="10"/>
  <c r="J32" i="6" l="1"/>
  <c r="H33" i="6"/>
  <c r="H34" i="10"/>
  <c r="J33" i="10"/>
  <c r="H34" i="6" l="1"/>
  <c r="J33" i="6"/>
  <c r="J34" i="10"/>
  <c r="H35" i="10"/>
  <c r="H35" i="6" l="1"/>
  <c r="J34" i="6"/>
  <c r="H36" i="10"/>
  <c r="J35" i="10"/>
  <c r="J35" i="6" l="1"/>
  <c r="H36" i="6"/>
  <c r="J36" i="10"/>
  <c r="H37" i="10"/>
  <c r="H37" i="6" l="1"/>
  <c r="J36" i="6"/>
  <c r="H38" i="10"/>
  <c r="J37" i="10"/>
  <c r="H38" i="6" l="1"/>
  <c r="J37" i="6"/>
  <c r="J38" i="10"/>
  <c r="H39" i="10"/>
  <c r="J38" i="6" l="1"/>
  <c r="H39" i="6"/>
  <c r="H40" i="10"/>
  <c r="J39" i="10"/>
  <c r="H40" i="6" l="1"/>
  <c r="J39" i="6"/>
  <c r="J40" i="10"/>
  <c r="H41" i="10"/>
  <c r="H41" i="6" l="1"/>
  <c r="J40" i="6"/>
  <c r="H42" i="10"/>
  <c r="J41" i="10"/>
  <c r="H42" i="6" l="1"/>
  <c r="J41" i="6"/>
  <c r="J42" i="10"/>
  <c r="H43" i="10"/>
  <c r="H43" i="6" l="1"/>
  <c r="J42" i="6"/>
  <c r="H44" i="10"/>
  <c r="J43" i="10"/>
  <c r="J43" i="6" l="1"/>
  <c r="H44" i="6"/>
  <c r="J44" i="10"/>
  <c r="H45" i="10"/>
  <c r="J44" i="6" l="1"/>
  <c r="H45" i="6"/>
  <c r="H46" i="10"/>
  <c r="J45" i="10"/>
  <c r="H46" i="6" l="1"/>
  <c r="J45" i="6"/>
  <c r="J46" i="10"/>
  <c r="H47" i="10"/>
  <c r="J46" i="6" l="1"/>
  <c r="H47" i="6"/>
  <c r="H48" i="10"/>
  <c r="J47" i="10"/>
  <c r="J47" i="6" l="1"/>
  <c r="H48" i="6"/>
  <c r="J48" i="10"/>
  <c r="H49" i="10"/>
  <c r="J48" i="6" l="1"/>
  <c r="H49" i="6"/>
  <c r="H50" i="10"/>
  <c r="J49" i="10"/>
  <c r="H50" i="6" l="1"/>
  <c r="J49" i="6"/>
  <c r="J50" i="10"/>
  <c r="H51" i="10"/>
  <c r="J50" i="6" l="1"/>
  <c r="H51" i="6"/>
  <c r="H52" i="10"/>
  <c r="J51" i="10"/>
  <c r="J51" i="6" l="1"/>
  <c r="H52" i="6"/>
  <c r="J52" i="10"/>
  <c r="H53" i="10"/>
  <c r="J52" i="6" l="1"/>
  <c r="H53" i="6"/>
  <c r="H54" i="10"/>
  <c r="J53" i="10"/>
  <c r="J53" i="6" l="1"/>
  <c r="H54" i="6"/>
  <c r="J54" i="10"/>
  <c r="H55" i="10"/>
  <c r="J54" i="6" l="1"/>
  <c r="H55" i="6"/>
  <c r="H56" i="10"/>
  <c r="J55" i="10"/>
  <c r="H56" i="6" l="1"/>
  <c r="J55" i="6"/>
  <c r="J56" i="10"/>
  <c r="H57" i="10"/>
  <c r="J56" i="6" l="1"/>
  <c r="H57" i="6"/>
  <c r="H58" i="10"/>
  <c r="J57" i="10"/>
  <c r="J57" i="6" l="1"/>
  <c r="H58" i="6"/>
  <c r="J58" i="10"/>
  <c r="H59" i="10"/>
  <c r="J58" i="6" l="1"/>
  <c r="H59" i="6"/>
  <c r="H60" i="10"/>
  <c r="J59" i="10"/>
  <c r="H60" i="6" l="1"/>
  <c r="J59" i="6"/>
  <c r="J60" i="10"/>
  <c r="H61" i="10"/>
  <c r="H61" i="6" l="1"/>
  <c r="J60" i="6"/>
  <c r="H62" i="10"/>
  <c r="J61" i="10"/>
  <c r="J61" i="6" l="1"/>
  <c r="H62" i="6"/>
  <c r="J62" i="10"/>
  <c r="H63" i="10"/>
  <c r="H63" i="6" l="1"/>
  <c r="J62" i="6"/>
  <c r="H64" i="10"/>
  <c r="J63" i="10"/>
  <c r="H64" i="6" l="1"/>
  <c r="J63" i="6"/>
  <c r="J64" i="10"/>
  <c r="H65" i="10"/>
  <c r="H65" i="6" l="1"/>
  <c r="J64" i="6"/>
  <c r="H66" i="10"/>
  <c r="J65" i="10"/>
  <c r="J65" i="6" l="1"/>
  <c r="H66" i="6"/>
  <c r="J66" i="10"/>
  <c r="H67" i="10"/>
  <c r="H67" i="6" l="1"/>
  <c r="J66" i="6"/>
  <c r="H68" i="10"/>
  <c r="J67" i="10"/>
  <c r="H68" i="6" l="1"/>
  <c r="J67" i="6"/>
  <c r="J68" i="10"/>
  <c r="H69" i="10"/>
  <c r="H69" i="6" l="1"/>
  <c r="J68" i="6"/>
  <c r="H70" i="10"/>
  <c r="J69" i="10"/>
  <c r="H70" i="6" l="1"/>
  <c r="J69" i="6"/>
  <c r="J70" i="10"/>
  <c r="H71" i="10"/>
  <c r="H71" i="6" l="1"/>
  <c r="J70" i="6"/>
  <c r="H72" i="10"/>
  <c r="J71" i="10"/>
  <c r="H72" i="6" l="1"/>
  <c r="J71" i="6"/>
  <c r="J72" i="10"/>
  <c r="H73" i="10"/>
  <c r="H73" i="6" l="1"/>
  <c r="J72" i="6"/>
  <c r="H74" i="10"/>
  <c r="J73" i="10"/>
  <c r="J73" i="6" l="1"/>
  <c r="H74" i="6"/>
  <c r="J74" i="10"/>
  <c r="H75" i="10"/>
  <c r="H75" i="6" l="1"/>
  <c r="J74" i="6"/>
  <c r="H76" i="10"/>
  <c r="J75" i="10"/>
  <c r="H76" i="6" l="1"/>
  <c r="J75" i="6"/>
  <c r="J76" i="10"/>
  <c r="H77" i="10"/>
  <c r="H77" i="6" l="1"/>
  <c r="J76" i="6"/>
  <c r="H78" i="10"/>
  <c r="J77" i="10"/>
  <c r="H78" i="6" l="1"/>
  <c r="J77" i="6"/>
  <c r="J78" i="10"/>
  <c r="H79" i="10"/>
  <c r="H79" i="6" l="1"/>
  <c r="J78" i="6"/>
  <c r="H80" i="10"/>
  <c r="J79" i="10"/>
  <c r="J79" i="6" l="1"/>
  <c r="H80" i="6"/>
  <c r="J80" i="10"/>
  <c r="H81" i="10"/>
  <c r="H81" i="6" l="1"/>
  <c r="J80" i="6"/>
  <c r="H82" i="10"/>
  <c r="J81" i="10"/>
  <c r="H82" i="6" l="1"/>
  <c r="J81" i="6"/>
  <c r="J82" i="10"/>
  <c r="H83" i="10"/>
  <c r="H83" i="6" l="1"/>
  <c r="J82" i="6"/>
  <c r="H84" i="10"/>
  <c r="J84" i="10" s="1"/>
  <c r="J83" i="10"/>
  <c r="H84" i="6" l="1"/>
  <c r="J83" i="6"/>
  <c r="J84" i="6" l="1"/>
  <c r="H85" i="6"/>
  <c r="J85" i="6" l="1"/>
  <c r="H86" i="6"/>
  <c r="H87" i="6" l="1"/>
  <c r="J86" i="6"/>
  <c r="H88" i="6" l="1"/>
  <c r="J87" i="6"/>
  <c r="H89" i="6" l="1"/>
  <c r="J88" i="6"/>
  <c r="J89" i="6" l="1"/>
  <c r="H90" i="6"/>
  <c r="J90" i="6" l="1"/>
  <c r="H91" i="6"/>
  <c r="J91" i="6" l="1"/>
  <c r="H92" i="6"/>
  <c r="J92" i="6" l="1"/>
  <c r="H93" i="6"/>
  <c r="H94" i="6" l="1"/>
  <c r="J93" i="6"/>
  <c r="J94" i="6" l="1"/>
  <c r="H95" i="6"/>
  <c r="J95" i="6" l="1"/>
  <c r="H96" i="6"/>
  <c r="H97" i="6" l="1"/>
  <c r="J96" i="6"/>
  <c r="J97" i="6" l="1"/>
  <c r="H98" i="6"/>
  <c r="J98" i="6" l="1"/>
  <c r="H99" i="6"/>
  <c r="J99" i="6" l="1"/>
  <c r="H100" i="6"/>
  <c r="J100" i="6" l="1"/>
  <c r="H101" i="6"/>
  <c r="J101" i="6" l="1"/>
  <c r="H102" i="6"/>
  <c r="H103" i="6" l="1"/>
  <c r="J102" i="6"/>
  <c r="J103" i="6" l="1"/>
  <c r="H104" i="6"/>
  <c r="H105" i="6" l="1"/>
  <c r="J104" i="6"/>
  <c r="J105" i="6" l="1"/>
  <c r="H106" i="6"/>
  <c r="J106" i="6" s="1"/>
</calcChain>
</file>

<file path=xl/sharedStrings.xml><?xml version="1.0" encoding="utf-8"?>
<sst xmlns="http://schemas.openxmlformats.org/spreadsheetml/2006/main" count="294" uniqueCount="170">
  <si>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</si>
  <si>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</si>
  <si>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</si>
  <si>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</si>
  <si>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</si>
  <si>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</si>
  <si>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</si>
  <si>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</si>
  <si>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</si>
  <si>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</si>
  <si>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</si>
  <si>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</si>
  <si>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</si>
  <si>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</si>
  <si>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</si>
  <si>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</si>
  <si>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</si>
  <si>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</si>
  <si>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</si>
  <si>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</si>
  <si>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12/15/21 - 12/31/21</t>
  </si>
  <si>
    <t>ADD: 01/01/22 - 04/30/22</t>
  </si>
  <si>
    <t>ADD: 05/01-31/22</t>
  </si>
  <si>
    <t>LESS: 05/20/22</t>
  </si>
  <si>
    <t>ADD: 06/01/22 - 06/30/22</t>
  </si>
  <si>
    <t>LESS: 06/8/22</t>
  </si>
  <si>
    <t>LESS: 06/28 &amp; 29/22</t>
  </si>
  <si>
    <t>ADD: 07/01/22 - 07/31/22</t>
  </si>
  <si>
    <t>LESS: 08/16/22</t>
  </si>
  <si>
    <t>ADD: 08/01/22 - 08/31/22</t>
  </si>
  <si>
    <t>LESS: 09/30/22</t>
  </si>
  <si>
    <t>LESS: 09/27/22</t>
  </si>
  <si>
    <t>ADD: 09/01/22 - 09/30/22</t>
  </si>
  <si>
    <t>LESS: 11/02/22</t>
  </si>
  <si>
    <t>ADD: 10/01/22 - 10/31/22</t>
  </si>
  <si>
    <t>LESS: 12/09/2022</t>
  </si>
  <si>
    <t>LESS: 11/24/22 PM</t>
  </si>
  <si>
    <t>ADD: 11/01/22 - 11/30/22</t>
  </si>
  <si>
    <t>LESS: 12/14/2022</t>
  </si>
  <si>
    <t>LESS: 12/23 &amp; 29/2022</t>
  </si>
  <si>
    <t>ADD: 12/01/22 - 12/31/22</t>
  </si>
  <si>
    <t>LESS: 02/2 &amp; 3/2023</t>
  </si>
  <si>
    <t>ADD: 01/01/23 - 01/31/23</t>
  </si>
  <si>
    <t>LESS: 02/14/2023</t>
  </si>
  <si>
    <t>LESS: 02/28/2023</t>
  </si>
  <si>
    <t>ADD: 02/01/23 - 02/28/23</t>
  </si>
  <si>
    <t>LESS: 03/24/2023</t>
  </si>
  <si>
    <t>LESS: 03/17/23</t>
  </si>
  <si>
    <t>ADD: 03/01/23 - 04/30/23</t>
  </si>
  <si>
    <t>LESS: 05/29/2023</t>
  </si>
  <si>
    <t>ADD: 05/01/23 - 06/30/23</t>
  </si>
  <si>
    <t>LESS: 06/30/2023</t>
  </si>
  <si>
    <t>LESS: 07/10/2023</t>
  </si>
  <si>
    <t>ADD: 07/01-31/23</t>
  </si>
  <si>
    <t>LESS: 08/10 &amp; 11/ 2023</t>
  </si>
  <si>
    <t>ADD: 08/01-31/23</t>
  </si>
  <si>
    <t>LESS: MONETIZATION 2023</t>
  </si>
  <si>
    <t>LESS: 09/29/2023</t>
  </si>
  <si>
    <t>ADD: 09/01/2023-09/30/2023</t>
  </si>
  <si>
    <t>LESS: 10/16-18/2023</t>
  </si>
  <si>
    <t>LESS: 11/03/2023</t>
  </si>
  <si>
    <t>ADD: 10/01/2023-11/30/2023</t>
  </si>
  <si>
    <t>ADD: 12/01/2023-12/31/2023</t>
  </si>
  <si>
    <t>LESS:01/15/2024</t>
  </si>
  <si>
    <t>LESS: 02/14/2024</t>
  </si>
  <si>
    <t>ADD: 01/01-31/2024</t>
  </si>
  <si>
    <t>ADD: 02/01/2024-02/29/2024</t>
  </si>
  <si>
    <t>LESS: 03/01/2024</t>
  </si>
  <si>
    <t>ADD: MARCH 1-31, 2024</t>
  </si>
  <si>
    <t>LESS: 04/11-12/2024</t>
  </si>
  <si>
    <t>LESS: 04/24-25/2024</t>
  </si>
  <si>
    <t>ADD: 04/1-30/2024</t>
  </si>
  <si>
    <t>LESS: 05/15/2024</t>
  </si>
  <si>
    <t>LESS: 05/8-9/2024</t>
  </si>
  <si>
    <t>ADD: 05/1-31/2024</t>
  </si>
  <si>
    <t>LESS: 06/21/2024</t>
  </si>
  <si>
    <t>ADD: 06/1-30/2024</t>
  </si>
  <si>
    <t>LESS: 07/04/2024</t>
  </si>
  <si>
    <t>LESS: 07/10-11/2024</t>
  </si>
  <si>
    <t>LESS: 07/19, 22, 23/2024</t>
  </si>
  <si>
    <t>ADD: 07/1/2024-08/31/2024</t>
  </si>
  <si>
    <t>LESS: 09/16/2024</t>
  </si>
  <si>
    <t>ADD: 09/1-30/2024</t>
  </si>
  <si>
    <t>LESS: 10/28/2024</t>
  </si>
  <si>
    <t>LESS: 10/24/2024</t>
  </si>
  <si>
    <t>ADD: 10/1-31/2024</t>
  </si>
  <si>
    <t>LESS: 12/23, 26, 27/2024</t>
  </si>
  <si>
    <t>ADD: 11/1/2024-12/31/2024</t>
  </si>
  <si>
    <t>LESS: 02/14/2025</t>
  </si>
  <si>
    <t>ADD: 01/1-31/2025</t>
  </si>
  <si>
    <t>LESS: 01/31 &amp; 02/03/2025</t>
  </si>
  <si>
    <t>LESS: 02/18/2025</t>
  </si>
  <si>
    <t>ADD: 02/1-28/2025</t>
  </si>
  <si>
    <t>LESS: 03/14/2025</t>
  </si>
  <si>
    <t>ADD: 03/1-31/2025</t>
  </si>
  <si>
    <t>LESS: 03/31/2025</t>
  </si>
  <si>
    <t>LESS: 05/15/2025</t>
  </si>
  <si>
    <t>ADD: 04/1-30/2025</t>
  </si>
  <si>
    <t>LESS: 05/2/2025</t>
  </si>
  <si>
    <t>LESS: 05/27-28/2025</t>
  </si>
  <si>
    <t>ADD: 05/1/2025-06/30/2025</t>
  </si>
  <si>
    <t>LESS: MONETIZATION 2025</t>
  </si>
  <si>
    <t>LESS: 06/23/2025</t>
  </si>
  <si>
    <t>LESS: 07/17/2025</t>
  </si>
  <si>
    <t>LESS: 07/25/2025</t>
  </si>
  <si>
    <t>ADD: 07/1-31/2025</t>
  </si>
  <si>
    <t>LESS: 08/11-12/2025</t>
  </si>
  <si>
    <t>LESS: 08/18-19/2025</t>
  </si>
  <si>
    <t>ADD: 08/1-31/2025</t>
  </si>
  <si>
    <t>LESS: 09/19/2025</t>
  </si>
  <si>
    <t>LESS: 09/30/2025</t>
  </si>
  <si>
    <t>ADD: 09/1/2025-10/31/2025</t>
  </si>
  <si>
    <t>LESS: 10/30/2025</t>
  </si>
  <si>
    <t>LESS: 11/10-11/2025</t>
  </si>
  <si>
    <t>LESS: 12/17, 22,23, 26/2025</t>
  </si>
  <si>
    <t>Certified Correct:</t>
  </si>
  <si>
    <t>MA. LUISA B. CATIGAN</t>
  </si>
  <si>
    <t>Administrative Officer IV</t>
  </si>
  <si>
    <t xml:space="preserve">     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</si>
  <si>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</si>
  <si>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</si>
  <si>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</si>
  <si>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</si>
  <si>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</si>
  <si>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</si>
  <si>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</si>
  <si>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LESS: 01/12/23</t>
  </si>
  <si>
    <t>ADD: JAN 18, 2023</t>
  </si>
  <si>
    <t>S.O. # 001, S. 2023. 126TH ANNIVERSARY OF THE MARTYRDOM OF DR. JOSE P. RIZAL</t>
  </si>
  <si>
    <t>LESS: 01/30/23</t>
  </si>
  <si>
    <t>ADD: 10/17/2023</t>
  </si>
  <si>
    <t>S.O. # 159, S. 2023. 125TH PHILIPPINE INDEPENDENCE DAY CELEBRATION</t>
  </si>
  <si>
    <t>LESS: 01/02/2023</t>
  </si>
  <si>
    <t>ADD: 01/19/2024</t>
  </si>
  <si>
    <t xml:space="preserve">S.O # 002 S. 2024-ESTABLISHMENT OF THE 2023 DEPED ELECTION TASK FORCE AND ITS OPERATION AND MONITORING CENTER </t>
  </si>
  <si>
    <t>LESS:01/25/2024</t>
  </si>
  <si>
    <t>LESS: 02/26/2024</t>
  </si>
  <si>
    <t>LESS: 06/7/2024</t>
  </si>
  <si>
    <t>ADD: 07/26/2024</t>
  </si>
  <si>
    <t>S.O. # 024, S. 2024. 126TH PHILIPPINE INDEPENDENCE DAY CELEBRATION</t>
  </si>
  <si>
    <t>LESS: 07/01/2024</t>
  </si>
  <si>
    <t>ADD: 02/05/2025</t>
  </si>
  <si>
    <t>S.O. # 002, S. 2025. RIZAL DAY 2024</t>
  </si>
  <si>
    <t>LESS: 03/3/2025</t>
  </si>
  <si>
    <t>NOTE:  Valid for one (1) year only</t>
  </si>
  <si>
    <t xml:space="preserve"> </t>
  </si>
  <si>
    <t>HRMO</t>
  </si>
  <si>
    <t>NAME          :  CORDILLA, ANGELEEN</t>
  </si>
  <si>
    <t>DISTRICT                : _______________________</t>
  </si>
  <si>
    <t>EMPLOYEE NO    : __________</t>
  </si>
  <si>
    <t>SCHOOL/OFFICE : OSDS</t>
  </si>
  <si>
    <t>STATION CODE    : __________</t>
  </si>
  <si>
    <t>POSITION   : ADA VI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</si>
  <si>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</si>
  <si>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</si>
  <si>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</si>
  <si>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</si>
  <si>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</si>
  <si>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SO # 010, S. 2024, </t>
  </si>
  <si>
    <t>ADD: APRIL 30, 2024</t>
  </si>
  <si>
    <t>OCTOBER 30, 2023</t>
  </si>
  <si>
    <t>LESS: JULY 24-26, 2024</t>
  </si>
  <si>
    <t>LESS: 01/07/2025</t>
  </si>
  <si>
    <t>LESS: 01/17/2025</t>
  </si>
  <si>
    <t>ADD: 05/01/22 - 05/15/22</t>
  </si>
  <si>
    <t>ADD: 05/16/22 - 05/31/22</t>
  </si>
  <si>
    <t>LESS: 05/19/23(PM)</t>
  </si>
  <si>
    <t>LESS: MANDATORY FORCED LEAVE 2023</t>
  </si>
  <si>
    <t>ADD: 11/1-30/2024</t>
  </si>
  <si>
    <t>LESS: 12/24/2024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</si>
</sst>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8" fillId="2" borderId="12" xfId="0" applyNumberFormat="1" applyFont="1" applyFill="1" applyBorder="1" applyAlignment="1">
      <alignment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2" xfId="0" applyNumberFormat="1" applyBorder="1"/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20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10" fillId="2" borderId="0" xfId="0" applyFont="1" applyFill="1"/>
    <xf numFmtId="164" fontId="3" fillId="0" borderId="1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7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vertical="center" wrapText="1"/>
    </xf>
    <xf numFmtId="164" fontId="0" fillId="2" borderId="12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4" fillId="7" borderId="6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400049</xdr:colOff>
      <xdr:row>0</xdr:row>
      <xdr:rowOff>92075</xdr:rowOff>
    </xdr:from>
    <xdr:to>
      <xdr:col>4</xdr:col>
      <xdr:colOff>343029</xdr:colOff>
      <xdr:row>0</xdr:row>
      <xdr:rowOff>622300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9" y="92075"/>
          <a:ext cx="71450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292CF9-3ABD-4F86-AB74-E63AF4924D52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CORDILLA, ANGELEEN M.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E4BD6-5D67-4379-82F1-BC5627949A3B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6924A9-B8BE-41BE-B925-2516CD654B12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5669</xdr:colOff>
      <xdr:row>0</xdr:row>
      <xdr:rowOff>40370</xdr:rowOff>
    </xdr:from>
    <xdr:to>
      <xdr:col>4</xdr:col>
      <xdr:colOff>709840</xdr:colOff>
      <xdr:row>1</xdr:row>
      <xdr:rowOff>11340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2AC0E-1359-423D-8FE9-42C9B10867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4196" y="40370"/>
          <a:ext cx="704170" cy="639988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D14D50-0812-407D-B85C-44D315C5E398}"/>
            </a:ext>
          </a:extLst>
        </xdr:cNvPr>
        <xdr:cNvSpPr txBox="1"/>
      </xdr:nvSpPr>
      <xdr:spPr>
        <a:xfrm>
          <a:off x="573942" y="1377461"/>
          <a:ext cx="187715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CORDILLA, ANGELEEN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0969A9-42D7-43D5-B735-EF4FC26AE5C4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C8D3CF-11C7-4C78-833C-CDB3555AF96D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95250</xdr:rowOff>
    </xdr:from>
    <xdr:to>
      <xdr:col>5</xdr:col>
      <xdr:colOff>157835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144E1-6B50-4A57-800F-E120BA15E3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3850" y="95250"/>
          <a:ext cx="681710" cy="71755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561975</xdr:colOff>
      <xdr:row>22</xdr:row>
      <xdr:rowOff>104775</xdr:rowOff>
    </xdr:from>
    <xdr:to>
      <xdr:col>13</xdr:col>
      <xdr:colOff>28575</xdr:colOff>
      <xdr:row>29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1F1217-2437-4382-A771-2097150E96B8}"/>
            </a:ext>
          </a:extLst>
        </xdr:cNvPr>
        <xdr:cNvSpPr txBox="1"/>
      </xdr:nvSpPr>
      <xdr:spPr>
        <a:xfrm>
          <a:off x="5715000" y="4543425"/>
          <a:ext cx="305752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B39CC96-C5B4-48AA-8778-6752CD894039}"/>
            </a:ext>
          </a:extLst>
        </xdr:cNvPr>
        <xdr:cNvCxnSpPr/>
      </xdr:nvCxnSpPr>
      <xdr:spPr>
        <a:xfrm>
          <a:off x="742950" y="2105025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12</xdr:row>
      <xdr:rowOff>196850</xdr:rowOff>
    </xdr:from>
    <xdr:to>
      <xdr:col>2</xdr:col>
      <xdr:colOff>9525</xdr:colOff>
      <xdr:row>12</xdr:row>
      <xdr:rowOff>196850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DE8680C-6D23-4264-A24D-7810913D024E}"/>
            </a:ext>
          </a:extLst>
        </xdr:cNvPr>
        <xdr:cNvCxnSpPr/>
      </xdr:nvCxnSpPr>
      <xdr:spPr>
        <a:xfrm>
          <a:off x="733425" y="2482850"/>
          <a:ext cx="21050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415926</xdr:colOff>
      <xdr:row>0</xdr:row>
      <xdr:rowOff>82550</xdr:rowOff>
    </xdr:from>
    <xdr:to>
      <xdr:col>4</xdr:col>
      <xdr:colOff>466855</xdr:colOff>
      <xdr:row>0</xdr:row>
      <xdr:rowOff>612775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736A7-CBD1-4187-B80E-9347E985D86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7376" y="82550"/>
          <a:ext cx="822454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F12E10-90AD-49BF-BA7F-A3BE57390DBF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CORDILLA, ANGELEEN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95989C-F6C5-4B3F-9078-EC5567A8FC65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6FD80B-BA91-437B-A9EF-1D5A2989A82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3"/>
  <sheetViews>
    <sheetView tabSelected="1" view="pageBreakPreview" topLeftCell="A90" zoomScaleNormal="100" zoomScaleSheetLayoutView="100" workbookViewId="0">
      <selection activeCell="D113" sqref="D113"/>
    </sheetView>
  </sheetViews>
  <sheetFormatPr defaultRowHeight="15"/>
  <cols>
    <col min="1" max="1" width="36.5703125" style="17" customWidth="1"/>
    <col min="2" max="10" width="11.5703125" customWidth="1"/>
  </cols>
  <sheetData>
    <row r="1" spans="1:10" s="1" customFormat="1" ht="52.5" customHeight="1">
      <c r="A1" s="16"/>
    </row>
    <row r="2" spans="1:10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</row>
    <row r="4" spans="1:10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1" customFormat="1" ht="8.25" customHeight="1">
      <c r="A6" s="16"/>
    </row>
    <row r="7" spans="1:10" s="1" customFormat="1" ht="12" customHeight="1">
      <c r="A7" s="18" t="s">
        <v>4</v>
      </c>
      <c r="B7" s="59" t="s">
        <v>5</v>
      </c>
      <c r="C7" s="59"/>
      <c r="D7" s="59"/>
      <c r="H7" s="2" t="s">
        <v>6</v>
      </c>
      <c r="I7" s="8"/>
      <c r="J7" s="2"/>
    </row>
    <row r="8" spans="1:10" s="1" customFormat="1" ht="12" customHeight="1">
      <c r="A8" s="16"/>
      <c r="B8" s="4"/>
      <c r="C8" s="4"/>
      <c r="H8" s="4"/>
      <c r="I8" s="4"/>
      <c r="J8" s="4"/>
    </row>
    <row r="9" spans="1:10" s="1" customFormat="1" ht="12" customHeight="1">
      <c r="A9" s="18" t="s">
        <v>7</v>
      </c>
      <c r="B9" s="59" t="s">
        <v>8</v>
      </c>
      <c r="C9" s="59"/>
      <c r="D9" s="59"/>
      <c r="H9" s="2" t="s">
        <v>9</v>
      </c>
      <c r="I9" s="7"/>
      <c r="J9" s="2"/>
    </row>
    <row r="10" spans="1:10" ht="16.5" customHeight="1" thickBot="1">
      <c r="A10" s="60" t="s">
        <v>10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ht="18.75" customHeight="1">
      <c r="A11" s="69" t="s">
        <v>11</v>
      </c>
      <c r="B11" s="65" t="s">
        <v>12</v>
      </c>
      <c r="C11" s="65"/>
      <c r="D11" s="62" t="s">
        <v>13</v>
      </c>
      <c r="E11" s="63"/>
      <c r="F11" s="63"/>
      <c r="G11" s="64"/>
      <c r="H11" s="68" t="s">
        <v>14</v>
      </c>
      <c r="I11" s="68"/>
      <c r="J11" s="66" t="s">
        <v>15</v>
      </c>
    </row>
    <row r="12" spans="1:10" ht="18.75" customHeight="1">
      <c r="A12" s="70"/>
      <c r="B12" s="6" t="s">
        <v>16</v>
      </c>
      <c r="C12" s="6" t="s">
        <v>17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16</v>
      </c>
      <c r="I12" s="6" t="s">
        <v>17</v>
      </c>
      <c r="J12" s="67"/>
    </row>
    <row r="13" spans="1:10" ht="18.75" customHeight="1">
      <c r="A13" s="21" t="s">
        <v>20</v>
      </c>
      <c r="B13" s="19">
        <f>SUM(1.25/30)*17</f>
        <v>0.70833333333333326</v>
      </c>
      <c r="C13" s="19">
        <f>SUM(1.25/30)*17</f>
        <v>0.70833333333333326</v>
      </c>
      <c r="D13" s="19"/>
      <c r="E13" s="19"/>
      <c r="F13" s="19"/>
      <c r="G13" s="19"/>
      <c r="H13" s="19">
        <f>SUM(B13)</f>
        <v>0.70833333333333326</v>
      </c>
      <c r="I13" s="19">
        <f>SUM(C13)</f>
        <v>0.70833333333333326</v>
      </c>
      <c r="J13" s="55">
        <f>SUM(H13:I13)</f>
        <v>1.4166666666666665</v>
      </c>
    </row>
    <row r="14" spans="1:10" ht="18.75" customHeight="1">
      <c r="A14" s="21" t="s">
        <v>21</v>
      </c>
      <c r="B14" s="19">
        <v>5</v>
      </c>
      <c r="C14" s="19">
        <v>5</v>
      </c>
      <c r="D14" s="19"/>
      <c r="E14" s="19"/>
      <c r="F14" s="19"/>
      <c r="G14" s="19"/>
      <c r="H14" s="19">
        <f>H13-F14-D14+B14</f>
        <v>5.708333333333333</v>
      </c>
      <c r="I14" s="19">
        <f>I13-E14+C14</f>
        <v>5.708333333333333</v>
      </c>
      <c r="J14" s="55">
        <f>SUM(H14:I14)</f>
        <v>11.416666666666666</v>
      </c>
    </row>
    <row r="15" spans="1:10" ht="18.75" customHeight="1">
      <c r="A15" s="21" t="s">
        <v>22</v>
      </c>
      <c r="B15" s="19">
        <v>1.25</v>
      </c>
      <c r="C15" s="19">
        <v>1.25</v>
      </c>
      <c r="D15" s="19"/>
      <c r="E15" s="19"/>
      <c r="F15" s="19"/>
      <c r="G15" s="19"/>
      <c r="H15" s="19">
        <f t="shared" ref="H15:H16" si="0">H14-F15-D15+B15</f>
        <v>6.958333333333333</v>
      </c>
      <c r="I15" s="19">
        <f t="shared" ref="I15:I16" si="1">I14-E15+C15</f>
        <v>6.958333333333333</v>
      </c>
      <c r="J15" s="55">
        <f t="shared" ref="J15:J16" si="2">SUM(H15:I15)</f>
        <v>13.916666666666666</v>
      </c>
    </row>
    <row r="16" spans="1:10" ht="18.75" customHeight="1">
      <c r="A16" s="21" t="s">
        <v>23</v>
      </c>
      <c r="B16" s="19"/>
      <c r="C16" s="19"/>
      <c r="D16" s="19"/>
      <c r="E16" s="19"/>
      <c r="F16" s="19">
        <v>1</v>
      </c>
      <c r="G16" s="19"/>
      <c r="H16" s="19">
        <f t="shared" si="0"/>
        <v>5.958333333333333</v>
      </c>
      <c r="I16" s="19">
        <f t="shared" si="1"/>
        <v>6.958333333333333</v>
      </c>
      <c r="J16" s="55">
        <f t="shared" si="2"/>
        <v>12.916666666666666</v>
      </c>
    </row>
    <row r="17" spans="1:10" ht="18.75" customHeight="1">
      <c r="A17" s="21" t="s">
        <v>24</v>
      </c>
      <c r="B17" s="19">
        <v>1.25</v>
      </c>
      <c r="C17" s="19">
        <v>1.25</v>
      </c>
      <c r="D17" s="19"/>
      <c r="E17" s="19"/>
      <c r="F17" s="19"/>
      <c r="G17" s="19"/>
      <c r="H17" s="19">
        <f t="shared" ref="H17:H80" si="3">H16-F17-D17+B17</f>
        <v>7.208333333333333</v>
      </c>
      <c r="I17" s="19">
        <f t="shared" ref="I17:I80" si="4">I16-E17+C17</f>
        <v>8.2083333333333321</v>
      </c>
      <c r="J17" s="55">
        <f t="shared" ref="J17:J80" si="5">SUM(H17:I17)</f>
        <v>15.416666666666664</v>
      </c>
    </row>
    <row r="18" spans="1:10" ht="18.75" customHeight="1">
      <c r="A18" s="21" t="s">
        <v>25</v>
      </c>
      <c r="B18" s="19"/>
      <c r="C18" s="19"/>
      <c r="D18" s="19"/>
      <c r="E18" s="19"/>
      <c r="F18" s="19"/>
      <c r="G18" s="19">
        <v>1</v>
      </c>
      <c r="H18" s="19">
        <f t="shared" si="3"/>
        <v>7.208333333333333</v>
      </c>
      <c r="I18" s="19">
        <f t="shared" si="4"/>
        <v>8.2083333333333321</v>
      </c>
      <c r="J18" s="55">
        <f t="shared" si="5"/>
        <v>15.416666666666664</v>
      </c>
    </row>
    <row r="19" spans="1:10" ht="18.75" customHeight="1">
      <c r="A19" s="21" t="s">
        <v>26</v>
      </c>
      <c r="B19" s="19"/>
      <c r="C19" s="19"/>
      <c r="D19" s="19"/>
      <c r="E19" s="19">
        <v>2</v>
      </c>
      <c r="F19" s="19"/>
      <c r="G19" s="19"/>
      <c r="H19" s="19">
        <f t="shared" si="3"/>
        <v>7.208333333333333</v>
      </c>
      <c r="I19" s="19">
        <f t="shared" si="4"/>
        <v>6.2083333333333321</v>
      </c>
      <c r="J19" s="55">
        <f t="shared" si="5"/>
        <v>13.416666666666664</v>
      </c>
    </row>
    <row r="20" spans="1:10" ht="18.75" customHeight="1">
      <c r="A20" s="21" t="s">
        <v>27</v>
      </c>
      <c r="B20" s="19">
        <v>1.25</v>
      </c>
      <c r="C20" s="19">
        <v>1.25</v>
      </c>
      <c r="D20" s="19"/>
      <c r="E20" s="19"/>
      <c r="F20" s="19"/>
      <c r="G20" s="19"/>
      <c r="H20" s="19">
        <f t="shared" si="3"/>
        <v>8.4583333333333321</v>
      </c>
      <c r="I20" s="19">
        <f t="shared" si="4"/>
        <v>7.4583333333333321</v>
      </c>
      <c r="J20" s="55">
        <f t="shared" si="5"/>
        <v>15.916666666666664</v>
      </c>
    </row>
    <row r="21" spans="1:10" ht="18.75" customHeight="1">
      <c r="A21" s="21" t="s">
        <v>28</v>
      </c>
      <c r="B21" s="19"/>
      <c r="C21" s="19"/>
      <c r="D21" s="19"/>
      <c r="E21" s="19">
        <v>0.5</v>
      </c>
      <c r="F21" s="19"/>
      <c r="G21" s="19"/>
      <c r="H21" s="19">
        <f t="shared" si="3"/>
        <v>8.4583333333333321</v>
      </c>
      <c r="I21" s="19">
        <f t="shared" si="4"/>
        <v>6.9583333333333321</v>
      </c>
      <c r="J21" s="55">
        <f t="shared" si="5"/>
        <v>15.416666666666664</v>
      </c>
    </row>
    <row r="22" spans="1:10" ht="18.75" customHeight="1">
      <c r="A22" s="21" t="s">
        <v>29</v>
      </c>
      <c r="B22" s="19">
        <v>1.25</v>
      </c>
      <c r="C22" s="19">
        <v>1.25</v>
      </c>
      <c r="D22" s="19"/>
      <c r="E22" s="19"/>
      <c r="F22" s="19"/>
      <c r="G22" s="19"/>
      <c r="H22" s="19">
        <f t="shared" si="3"/>
        <v>9.7083333333333321</v>
      </c>
      <c r="I22" s="19">
        <f t="shared" si="4"/>
        <v>8.2083333333333321</v>
      </c>
      <c r="J22" s="55">
        <f t="shared" si="5"/>
        <v>17.916666666666664</v>
      </c>
    </row>
    <row r="23" spans="1:10" ht="18.75" customHeight="1">
      <c r="A23" s="21" t="s">
        <v>30</v>
      </c>
      <c r="B23" s="19"/>
      <c r="C23" s="19"/>
      <c r="D23" s="19"/>
      <c r="E23" s="19"/>
      <c r="F23" s="19"/>
      <c r="G23" s="19">
        <v>1</v>
      </c>
      <c r="H23" s="19">
        <f t="shared" si="3"/>
        <v>9.7083333333333321</v>
      </c>
      <c r="I23" s="19">
        <f t="shared" si="4"/>
        <v>8.2083333333333321</v>
      </c>
      <c r="J23" s="55">
        <f t="shared" si="5"/>
        <v>17.916666666666664</v>
      </c>
    </row>
    <row r="24" spans="1:10" ht="18.75" customHeight="1">
      <c r="A24" s="21" t="s">
        <v>31</v>
      </c>
      <c r="B24" s="19"/>
      <c r="C24" s="19"/>
      <c r="D24" s="19"/>
      <c r="E24" s="19">
        <v>1</v>
      </c>
      <c r="F24" s="19"/>
      <c r="G24" s="19"/>
      <c r="H24" s="19">
        <f t="shared" si="3"/>
        <v>9.7083333333333321</v>
      </c>
      <c r="I24" s="19">
        <f t="shared" si="4"/>
        <v>7.2083333333333321</v>
      </c>
      <c r="J24" s="55">
        <f t="shared" si="5"/>
        <v>16.916666666666664</v>
      </c>
    </row>
    <row r="25" spans="1:10" ht="18.75" customHeight="1">
      <c r="A25" s="21" t="s">
        <v>32</v>
      </c>
      <c r="B25" s="19">
        <v>1.25</v>
      </c>
      <c r="C25" s="19">
        <v>1.25</v>
      </c>
      <c r="D25" s="19"/>
      <c r="E25" s="19"/>
      <c r="F25" s="19"/>
      <c r="G25" s="19"/>
      <c r="H25" s="19">
        <f t="shared" si="3"/>
        <v>10.958333333333332</v>
      </c>
      <c r="I25" s="19">
        <f t="shared" si="4"/>
        <v>8.4583333333333321</v>
      </c>
      <c r="J25" s="55">
        <f t="shared" si="5"/>
        <v>19.416666666666664</v>
      </c>
    </row>
    <row r="26" spans="1:10" ht="18.75" customHeight="1">
      <c r="A26" s="21" t="s">
        <v>33</v>
      </c>
      <c r="B26" s="19"/>
      <c r="C26" s="19"/>
      <c r="D26" s="19"/>
      <c r="E26" s="19"/>
      <c r="F26" s="19"/>
      <c r="G26" s="19">
        <v>1</v>
      </c>
      <c r="H26" s="19">
        <f t="shared" si="3"/>
        <v>10.958333333333332</v>
      </c>
      <c r="I26" s="19">
        <f t="shared" si="4"/>
        <v>8.4583333333333321</v>
      </c>
      <c r="J26" s="55">
        <f t="shared" si="5"/>
        <v>19.416666666666664</v>
      </c>
    </row>
    <row r="27" spans="1:10" ht="18.75" customHeight="1">
      <c r="A27" s="21" t="s">
        <v>34</v>
      </c>
      <c r="B27" s="19">
        <v>1.25</v>
      </c>
      <c r="C27" s="19">
        <v>1.25</v>
      </c>
      <c r="D27" s="19"/>
      <c r="E27" s="19"/>
      <c r="F27" s="19"/>
      <c r="G27" s="19"/>
      <c r="H27" s="19">
        <f t="shared" si="3"/>
        <v>12.208333333333332</v>
      </c>
      <c r="I27" s="19">
        <f t="shared" si="4"/>
        <v>9.7083333333333321</v>
      </c>
      <c r="J27" s="55">
        <f t="shared" si="5"/>
        <v>21.916666666666664</v>
      </c>
    </row>
    <row r="28" spans="1:10" ht="18.75" customHeight="1">
      <c r="A28" s="21" t="s">
        <v>35</v>
      </c>
      <c r="B28" s="19"/>
      <c r="C28" s="19"/>
      <c r="D28" s="19"/>
      <c r="E28" s="19"/>
      <c r="F28" s="19">
        <v>1</v>
      </c>
      <c r="G28" s="19"/>
      <c r="H28" s="19">
        <f t="shared" si="3"/>
        <v>11.208333333333332</v>
      </c>
      <c r="I28" s="19">
        <f t="shared" si="4"/>
        <v>9.7083333333333321</v>
      </c>
      <c r="J28" s="55">
        <f t="shared" si="5"/>
        <v>20.916666666666664</v>
      </c>
    </row>
    <row r="29" spans="1:10" ht="18.75" customHeight="1">
      <c r="A29" s="21" t="s">
        <v>36</v>
      </c>
      <c r="B29" s="19"/>
      <c r="C29" s="19"/>
      <c r="D29" s="19"/>
      <c r="E29" s="19">
        <v>0.5</v>
      </c>
      <c r="F29" s="19"/>
      <c r="G29" s="19"/>
      <c r="H29" s="19">
        <f t="shared" si="3"/>
        <v>11.208333333333332</v>
      </c>
      <c r="I29" s="19">
        <f t="shared" si="4"/>
        <v>9.2083333333333321</v>
      </c>
      <c r="J29" s="55">
        <f t="shared" si="5"/>
        <v>20.416666666666664</v>
      </c>
    </row>
    <row r="30" spans="1:10" ht="18.75" customHeight="1">
      <c r="A30" s="21" t="s">
        <v>37</v>
      </c>
      <c r="B30" s="19">
        <v>1.25</v>
      </c>
      <c r="C30" s="19">
        <v>1.25</v>
      </c>
      <c r="D30" s="19"/>
      <c r="E30" s="19"/>
      <c r="F30" s="19"/>
      <c r="G30" s="19"/>
      <c r="H30" s="19">
        <f t="shared" si="3"/>
        <v>12.458333333333332</v>
      </c>
      <c r="I30" s="19">
        <f t="shared" si="4"/>
        <v>10.458333333333332</v>
      </c>
      <c r="J30" s="55">
        <f t="shared" si="5"/>
        <v>22.916666666666664</v>
      </c>
    </row>
    <row r="31" spans="1:10" ht="18.75" customHeight="1">
      <c r="A31" s="22" t="s">
        <v>38</v>
      </c>
      <c r="B31" s="56"/>
      <c r="C31" s="56"/>
      <c r="D31" s="56"/>
      <c r="E31" s="56"/>
      <c r="F31" s="57">
        <v>1</v>
      </c>
      <c r="G31" s="57"/>
      <c r="H31" s="19">
        <f t="shared" si="3"/>
        <v>11.458333333333332</v>
      </c>
      <c r="I31" s="19">
        <f t="shared" si="4"/>
        <v>10.458333333333332</v>
      </c>
      <c r="J31" s="55">
        <f t="shared" si="5"/>
        <v>21.916666666666664</v>
      </c>
    </row>
    <row r="32" spans="1:10">
      <c r="A32" s="25" t="s">
        <v>39</v>
      </c>
      <c r="B32" s="26"/>
      <c r="C32" s="26"/>
      <c r="D32" s="26"/>
      <c r="E32" s="26"/>
      <c r="F32" s="27">
        <v>2</v>
      </c>
      <c r="G32" s="28"/>
      <c r="H32" s="19">
        <f t="shared" si="3"/>
        <v>9.4583333333333321</v>
      </c>
      <c r="I32" s="19">
        <f t="shared" si="4"/>
        <v>10.458333333333332</v>
      </c>
      <c r="J32" s="55">
        <f t="shared" si="5"/>
        <v>19.916666666666664</v>
      </c>
    </row>
    <row r="33" spans="1:11">
      <c r="A33" s="21" t="s">
        <v>40</v>
      </c>
      <c r="B33" s="19">
        <v>1.25</v>
      </c>
      <c r="C33" s="19">
        <v>1.25</v>
      </c>
      <c r="D33" s="26"/>
      <c r="E33" s="26"/>
      <c r="F33" s="26"/>
      <c r="G33" s="29"/>
      <c r="H33" s="19">
        <f t="shared" si="3"/>
        <v>10.708333333333332</v>
      </c>
      <c r="I33" s="19">
        <f t="shared" si="4"/>
        <v>11.708333333333332</v>
      </c>
      <c r="J33" s="55">
        <f t="shared" si="5"/>
        <v>22.416666666666664</v>
      </c>
    </row>
    <row r="34" spans="1:11">
      <c r="A34" s="22" t="s">
        <v>41</v>
      </c>
      <c r="B34" s="26"/>
      <c r="C34" s="26"/>
      <c r="D34" s="26"/>
      <c r="E34" s="26"/>
      <c r="F34" s="27">
        <v>2</v>
      </c>
      <c r="G34" s="29"/>
      <c r="H34" s="19">
        <f t="shared" si="3"/>
        <v>8.7083333333333321</v>
      </c>
      <c r="I34" s="19">
        <f t="shared" si="4"/>
        <v>11.708333333333332</v>
      </c>
      <c r="J34" s="55">
        <f t="shared" si="5"/>
        <v>20.416666666666664</v>
      </c>
    </row>
    <row r="35" spans="1:11">
      <c r="A35" s="22" t="s">
        <v>42</v>
      </c>
      <c r="B35" s="20">
        <v>1.25</v>
      </c>
      <c r="C35" s="20">
        <v>1.25</v>
      </c>
      <c r="D35" s="29"/>
      <c r="E35" s="29"/>
      <c r="F35" s="29"/>
      <c r="G35" s="29"/>
      <c r="H35" s="19">
        <f t="shared" si="3"/>
        <v>9.9583333333333321</v>
      </c>
      <c r="I35" s="19">
        <f t="shared" si="4"/>
        <v>12.958333333333332</v>
      </c>
      <c r="J35" s="55">
        <f t="shared" si="5"/>
        <v>22.916666666666664</v>
      </c>
    </row>
    <row r="36" spans="1:11">
      <c r="A36" s="25" t="s">
        <v>43</v>
      </c>
      <c r="B36" s="26"/>
      <c r="C36" s="26"/>
      <c r="D36" s="26"/>
      <c r="E36" s="26"/>
      <c r="F36" s="26"/>
      <c r="G36" s="27">
        <v>1</v>
      </c>
      <c r="H36" s="19">
        <f t="shared" si="3"/>
        <v>9.9583333333333321</v>
      </c>
      <c r="I36" s="19">
        <f t="shared" si="4"/>
        <v>12.958333333333332</v>
      </c>
      <c r="J36" s="55">
        <f t="shared" si="5"/>
        <v>22.916666666666664</v>
      </c>
    </row>
    <row r="37" spans="1:11">
      <c r="A37" s="25" t="s">
        <v>44</v>
      </c>
      <c r="B37" s="26"/>
      <c r="C37" s="26"/>
      <c r="D37" s="26"/>
      <c r="E37" s="26"/>
      <c r="F37" s="27">
        <v>1</v>
      </c>
      <c r="G37" s="32"/>
      <c r="H37" s="19">
        <f t="shared" si="3"/>
        <v>8.9583333333333321</v>
      </c>
      <c r="I37" s="19">
        <f t="shared" si="4"/>
        <v>12.958333333333332</v>
      </c>
      <c r="J37" s="55">
        <f t="shared" si="5"/>
        <v>21.916666666666664</v>
      </c>
    </row>
    <row r="38" spans="1:11">
      <c r="A38" s="22" t="s">
        <v>45</v>
      </c>
      <c r="B38" s="20">
        <v>1.25</v>
      </c>
      <c r="C38" s="20">
        <v>1.25</v>
      </c>
      <c r="D38" s="26"/>
      <c r="E38" s="26"/>
      <c r="F38" s="26"/>
      <c r="G38" s="32"/>
      <c r="H38" s="19">
        <f t="shared" si="3"/>
        <v>10.208333333333332</v>
      </c>
      <c r="I38" s="19">
        <f t="shared" si="4"/>
        <v>14.208333333333332</v>
      </c>
      <c r="J38" s="55">
        <f t="shared" si="5"/>
        <v>24.416666666666664</v>
      </c>
    </row>
    <row r="39" spans="1:11">
      <c r="A39" s="25" t="s">
        <v>46</v>
      </c>
      <c r="B39" s="26"/>
      <c r="C39" s="26"/>
      <c r="D39" s="26"/>
      <c r="E39" s="26"/>
      <c r="F39" s="27"/>
      <c r="G39" s="32">
        <v>1</v>
      </c>
      <c r="H39" s="19">
        <f t="shared" si="3"/>
        <v>10.208333333333332</v>
      </c>
      <c r="I39" s="19">
        <f t="shared" si="4"/>
        <v>14.208333333333332</v>
      </c>
      <c r="J39" s="55">
        <f t="shared" si="5"/>
        <v>24.416666666666664</v>
      </c>
    </row>
    <row r="40" spans="1:11">
      <c r="A40" s="30" t="s">
        <v>47</v>
      </c>
      <c r="B40" s="29"/>
      <c r="C40" s="29"/>
      <c r="D40" s="29"/>
      <c r="E40" s="29"/>
      <c r="F40" s="31">
        <v>1</v>
      </c>
      <c r="G40" s="31"/>
      <c r="H40" s="19">
        <f t="shared" si="3"/>
        <v>9.2083333333333321</v>
      </c>
      <c r="I40" s="19">
        <f t="shared" si="4"/>
        <v>14.208333333333332</v>
      </c>
      <c r="J40" s="55">
        <f t="shared" si="5"/>
        <v>23.416666666666664</v>
      </c>
    </row>
    <row r="41" spans="1:11">
      <c r="A41" s="22" t="s">
        <v>48</v>
      </c>
      <c r="B41" s="27">
        <v>2.5</v>
      </c>
      <c r="C41" s="27">
        <v>2.5</v>
      </c>
      <c r="D41" s="26"/>
      <c r="E41" s="26"/>
      <c r="F41" s="26"/>
      <c r="G41" s="32"/>
      <c r="H41" s="19">
        <f t="shared" si="3"/>
        <v>11.708333333333332</v>
      </c>
      <c r="I41" s="19">
        <f t="shared" si="4"/>
        <v>16.708333333333332</v>
      </c>
      <c r="J41" s="55">
        <f t="shared" si="5"/>
        <v>28.416666666666664</v>
      </c>
    </row>
    <row r="42" spans="1:11">
      <c r="A42" s="25" t="s">
        <v>49</v>
      </c>
      <c r="B42" s="26"/>
      <c r="C42" s="26"/>
      <c r="D42" s="26"/>
      <c r="E42" s="27">
        <v>1</v>
      </c>
      <c r="F42" s="26"/>
      <c r="G42" s="32"/>
      <c r="H42" s="19">
        <f t="shared" si="3"/>
        <v>11.708333333333332</v>
      </c>
      <c r="I42" s="19">
        <f t="shared" si="4"/>
        <v>15.708333333333332</v>
      </c>
      <c r="J42" s="55">
        <f t="shared" si="5"/>
        <v>27.416666666666664</v>
      </c>
    </row>
    <row r="43" spans="1:11">
      <c r="A43" s="22" t="s">
        <v>50</v>
      </c>
      <c r="B43" s="27">
        <v>2.5</v>
      </c>
      <c r="C43" s="27">
        <v>2.5</v>
      </c>
      <c r="D43" s="32"/>
      <c r="E43" s="32"/>
      <c r="F43" s="32"/>
      <c r="G43" s="32"/>
      <c r="H43" s="19">
        <f t="shared" si="3"/>
        <v>14.208333333333332</v>
      </c>
      <c r="I43" s="19">
        <f t="shared" si="4"/>
        <v>18.208333333333332</v>
      </c>
      <c r="J43" s="55">
        <f t="shared" si="5"/>
        <v>32.416666666666664</v>
      </c>
    </row>
    <row r="44" spans="1:11">
      <c r="A44" s="25" t="s">
        <v>51</v>
      </c>
      <c r="B44" s="32"/>
      <c r="C44" s="32"/>
      <c r="D44" s="32"/>
      <c r="E44" s="32"/>
      <c r="F44" s="32">
        <v>1</v>
      </c>
      <c r="G44" s="27"/>
      <c r="H44" s="19">
        <f t="shared" si="3"/>
        <v>13.208333333333332</v>
      </c>
      <c r="I44" s="19">
        <f t="shared" si="4"/>
        <v>18.208333333333332</v>
      </c>
      <c r="J44" s="55">
        <f t="shared" si="5"/>
        <v>31.416666666666664</v>
      </c>
    </row>
    <row r="45" spans="1:11">
      <c r="A45" s="25" t="s">
        <v>52</v>
      </c>
      <c r="B45" s="34"/>
      <c r="C45" s="34"/>
      <c r="D45" s="34"/>
      <c r="E45" s="27">
        <v>1</v>
      </c>
      <c r="F45" s="34"/>
      <c r="G45" s="34"/>
      <c r="H45" s="19">
        <f t="shared" si="3"/>
        <v>13.208333333333332</v>
      </c>
      <c r="I45" s="19">
        <f t="shared" si="4"/>
        <v>17.208333333333332</v>
      </c>
      <c r="J45" s="55">
        <f t="shared" si="5"/>
        <v>30.416666666666664</v>
      </c>
    </row>
    <row r="46" spans="1:11" s="17" customFormat="1">
      <c r="A46" s="25" t="s">
        <v>53</v>
      </c>
      <c r="B46" s="27">
        <v>1.25</v>
      </c>
      <c r="C46" s="27">
        <v>1.25</v>
      </c>
      <c r="D46" s="27"/>
      <c r="E46" s="27"/>
      <c r="F46" s="27"/>
      <c r="G46" s="27"/>
      <c r="H46" s="19">
        <f t="shared" si="3"/>
        <v>14.458333333333332</v>
      </c>
      <c r="I46" s="19">
        <f t="shared" si="4"/>
        <v>18.458333333333332</v>
      </c>
      <c r="J46" s="55">
        <f t="shared" si="5"/>
        <v>32.916666666666664</v>
      </c>
      <c r="K46" s="33"/>
    </row>
    <row r="47" spans="1:11" s="17" customFormat="1">
      <c r="A47" s="25" t="s">
        <v>54</v>
      </c>
      <c r="B47" s="27"/>
      <c r="C47" s="27"/>
      <c r="D47" s="27"/>
      <c r="E47" s="27">
        <v>2</v>
      </c>
      <c r="F47" s="27"/>
      <c r="G47" s="27"/>
      <c r="H47" s="19">
        <f t="shared" si="3"/>
        <v>14.458333333333332</v>
      </c>
      <c r="I47" s="19">
        <f t="shared" si="4"/>
        <v>16.458333333333332</v>
      </c>
      <c r="J47" s="55">
        <f t="shared" si="5"/>
        <v>30.916666666666664</v>
      </c>
      <c r="K47" s="33"/>
    </row>
    <row r="48" spans="1:11" s="17" customFormat="1">
      <c r="A48" s="25" t="s">
        <v>55</v>
      </c>
      <c r="B48" s="27">
        <v>1.25</v>
      </c>
      <c r="C48" s="27">
        <v>1.25</v>
      </c>
      <c r="D48" s="27"/>
      <c r="E48" s="27"/>
      <c r="F48" s="27"/>
      <c r="G48" s="27"/>
      <c r="H48" s="19">
        <f t="shared" si="3"/>
        <v>15.708333333333332</v>
      </c>
      <c r="I48" s="19">
        <f t="shared" si="4"/>
        <v>17.708333333333332</v>
      </c>
      <c r="J48" s="55">
        <f t="shared" si="5"/>
        <v>33.416666666666664</v>
      </c>
      <c r="K48" s="33"/>
    </row>
    <row r="49" spans="1:10">
      <c r="A49" s="25" t="s">
        <v>56</v>
      </c>
      <c r="B49" s="34"/>
      <c r="C49" s="34"/>
      <c r="D49" s="27">
        <v>11</v>
      </c>
      <c r="E49" s="27">
        <v>11</v>
      </c>
      <c r="F49" s="34"/>
      <c r="G49" s="34"/>
      <c r="H49" s="19">
        <f t="shared" si="3"/>
        <v>4.7083333333333321</v>
      </c>
      <c r="I49" s="19">
        <f t="shared" si="4"/>
        <v>6.7083333333333321</v>
      </c>
      <c r="J49" s="55">
        <f t="shared" si="5"/>
        <v>11.416666666666664</v>
      </c>
    </row>
    <row r="50" spans="1:10">
      <c r="A50" s="25" t="s">
        <v>57</v>
      </c>
      <c r="B50" s="34"/>
      <c r="C50" s="34"/>
      <c r="D50" s="34"/>
      <c r="E50" s="34"/>
      <c r="F50" s="34"/>
      <c r="G50" s="34">
        <v>1</v>
      </c>
      <c r="H50" s="19">
        <f t="shared" si="3"/>
        <v>4.7083333333333321</v>
      </c>
      <c r="I50" s="19">
        <f t="shared" si="4"/>
        <v>6.7083333333333321</v>
      </c>
      <c r="J50" s="55">
        <f t="shared" si="5"/>
        <v>11.416666666666664</v>
      </c>
    </row>
    <row r="51" spans="1:10">
      <c r="A51" s="25" t="s">
        <v>58</v>
      </c>
      <c r="B51" s="34">
        <v>1.25</v>
      </c>
      <c r="C51" s="34">
        <v>1.25</v>
      </c>
      <c r="D51" s="34"/>
      <c r="E51" s="34"/>
      <c r="F51" s="34"/>
      <c r="G51" s="34"/>
      <c r="H51" s="19">
        <f t="shared" si="3"/>
        <v>5.9583333333333321</v>
      </c>
      <c r="I51" s="19">
        <f t="shared" si="4"/>
        <v>7.9583333333333321</v>
      </c>
      <c r="J51" s="55">
        <f t="shared" si="5"/>
        <v>13.916666666666664</v>
      </c>
    </row>
    <row r="52" spans="1:10">
      <c r="A52" s="25" t="s">
        <v>59</v>
      </c>
      <c r="B52" s="34"/>
      <c r="C52" s="34"/>
      <c r="D52" s="34"/>
      <c r="E52" s="34">
        <v>3</v>
      </c>
      <c r="F52" s="34"/>
      <c r="G52" s="34"/>
      <c r="H52" s="19">
        <f t="shared" si="3"/>
        <v>5.9583333333333321</v>
      </c>
      <c r="I52" s="19">
        <f t="shared" si="4"/>
        <v>4.9583333333333321</v>
      </c>
      <c r="J52" s="55">
        <f t="shared" si="5"/>
        <v>10.916666666666664</v>
      </c>
    </row>
    <row r="53" spans="1:10">
      <c r="A53" s="25" t="s">
        <v>60</v>
      </c>
      <c r="B53" s="34"/>
      <c r="C53" s="34"/>
      <c r="D53" s="34"/>
      <c r="E53" s="34">
        <v>1</v>
      </c>
      <c r="F53" s="34"/>
      <c r="G53" s="34"/>
      <c r="H53" s="19">
        <f t="shared" si="3"/>
        <v>5.9583333333333321</v>
      </c>
      <c r="I53" s="19">
        <f t="shared" si="4"/>
        <v>3.9583333333333321</v>
      </c>
      <c r="J53" s="55">
        <f t="shared" si="5"/>
        <v>9.9166666666666643</v>
      </c>
    </row>
    <row r="54" spans="1:10">
      <c r="A54" s="25" t="s">
        <v>61</v>
      </c>
      <c r="B54" s="34">
        <v>2.5</v>
      </c>
      <c r="C54" s="34">
        <v>2.5</v>
      </c>
      <c r="D54" s="34"/>
      <c r="E54" s="34"/>
      <c r="F54" s="34"/>
      <c r="G54" s="34"/>
      <c r="H54" s="19">
        <f t="shared" si="3"/>
        <v>8.4583333333333321</v>
      </c>
      <c r="I54" s="19">
        <f t="shared" si="4"/>
        <v>6.4583333333333321</v>
      </c>
      <c r="J54" s="55">
        <f t="shared" si="5"/>
        <v>14.916666666666664</v>
      </c>
    </row>
    <row r="55" spans="1:10">
      <c r="A55" s="25" t="s">
        <v>62</v>
      </c>
      <c r="B55" s="34">
        <v>1.25</v>
      </c>
      <c r="C55" s="34">
        <v>1.25</v>
      </c>
      <c r="D55" s="34"/>
      <c r="E55" s="34"/>
      <c r="F55" s="34"/>
      <c r="G55" s="34"/>
      <c r="H55" s="19">
        <f t="shared" si="3"/>
        <v>9.7083333333333321</v>
      </c>
      <c r="I55" s="19">
        <f t="shared" si="4"/>
        <v>7.7083333333333321</v>
      </c>
      <c r="J55" s="55">
        <f t="shared" si="5"/>
        <v>17.416666666666664</v>
      </c>
    </row>
    <row r="56" spans="1:10">
      <c r="A56" s="25" t="s">
        <v>63</v>
      </c>
      <c r="B56" s="34"/>
      <c r="C56" s="34"/>
      <c r="D56" s="34"/>
      <c r="E56" s="34">
        <v>1</v>
      </c>
      <c r="F56" s="34"/>
      <c r="G56" s="34"/>
      <c r="H56" s="19">
        <f t="shared" si="3"/>
        <v>9.7083333333333321</v>
      </c>
      <c r="I56" s="19">
        <f t="shared" si="4"/>
        <v>6.7083333333333321</v>
      </c>
      <c r="J56" s="55">
        <f t="shared" si="5"/>
        <v>16.416666666666664</v>
      </c>
    </row>
    <row r="57" spans="1:10">
      <c r="A57" s="25" t="s">
        <v>64</v>
      </c>
      <c r="B57" s="34"/>
      <c r="C57" s="34"/>
      <c r="D57" s="34"/>
      <c r="E57" s="34"/>
      <c r="F57" s="34"/>
      <c r="G57" s="36">
        <v>1</v>
      </c>
      <c r="H57" s="19">
        <f t="shared" si="3"/>
        <v>9.7083333333333321</v>
      </c>
      <c r="I57" s="19">
        <f t="shared" si="4"/>
        <v>6.7083333333333321</v>
      </c>
      <c r="J57" s="55">
        <f t="shared" si="5"/>
        <v>16.416666666666664</v>
      </c>
    </row>
    <row r="58" spans="1:10">
      <c r="A58" s="25" t="s">
        <v>65</v>
      </c>
      <c r="B58" s="34">
        <v>1.25</v>
      </c>
      <c r="C58" s="34">
        <v>1.25</v>
      </c>
      <c r="D58" s="34"/>
      <c r="E58" s="34"/>
      <c r="F58" s="34"/>
      <c r="G58" s="34"/>
      <c r="H58" s="19">
        <f t="shared" si="3"/>
        <v>10.958333333333332</v>
      </c>
      <c r="I58" s="19">
        <f t="shared" si="4"/>
        <v>7.9583333333333321</v>
      </c>
      <c r="J58" s="55">
        <f t="shared" si="5"/>
        <v>18.916666666666664</v>
      </c>
    </row>
    <row r="59" spans="1:10">
      <c r="A59" s="25" t="s">
        <v>66</v>
      </c>
      <c r="B59" s="34">
        <v>1.25</v>
      </c>
      <c r="C59" s="34">
        <v>1.25</v>
      </c>
      <c r="D59" s="34"/>
      <c r="E59" s="34"/>
      <c r="F59" s="34"/>
      <c r="G59" s="34"/>
      <c r="H59" s="19">
        <f t="shared" si="3"/>
        <v>12.208333333333332</v>
      </c>
      <c r="I59" s="19">
        <f t="shared" si="4"/>
        <v>9.2083333333333321</v>
      </c>
      <c r="J59" s="55">
        <f t="shared" si="5"/>
        <v>21.416666666666664</v>
      </c>
    </row>
    <row r="60" spans="1:10">
      <c r="A60" s="25" t="s">
        <v>67</v>
      </c>
      <c r="B60" s="34"/>
      <c r="C60" s="34"/>
      <c r="D60" s="34"/>
      <c r="E60" s="34">
        <v>1</v>
      </c>
      <c r="F60" s="34"/>
      <c r="G60" s="34"/>
      <c r="H60" s="19">
        <f t="shared" si="3"/>
        <v>12.208333333333332</v>
      </c>
      <c r="I60" s="19">
        <f t="shared" si="4"/>
        <v>8.2083333333333321</v>
      </c>
      <c r="J60" s="55">
        <f t="shared" si="5"/>
        <v>20.416666666666664</v>
      </c>
    </row>
    <row r="61" spans="1:10">
      <c r="A61" s="37" t="s">
        <v>68</v>
      </c>
      <c r="B61" s="34">
        <v>1.25</v>
      </c>
      <c r="C61" s="34">
        <v>1.25</v>
      </c>
      <c r="D61" s="34"/>
      <c r="E61" s="34"/>
      <c r="F61" s="34"/>
      <c r="G61" s="34"/>
      <c r="H61" s="19">
        <f t="shared" si="3"/>
        <v>13.458333333333332</v>
      </c>
      <c r="I61" s="19">
        <f t="shared" si="4"/>
        <v>9.4583333333333321</v>
      </c>
      <c r="J61" s="55">
        <f t="shared" si="5"/>
        <v>22.916666666666664</v>
      </c>
    </row>
    <row r="62" spans="1:10">
      <c r="A62" s="25" t="s">
        <v>69</v>
      </c>
      <c r="B62" s="34"/>
      <c r="C62" s="34"/>
      <c r="D62" s="34"/>
      <c r="E62" s="34">
        <v>2</v>
      </c>
      <c r="F62" s="34"/>
      <c r="G62" s="34"/>
      <c r="H62" s="19">
        <f t="shared" si="3"/>
        <v>13.458333333333332</v>
      </c>
      <c r="I62" s="19">
        <f t="shared" si="4"/>
        <v>7.4583333333333321</v>
      </c>
      <c r="J62" s="55">
        <f t="shared" si="5"/>
        <v>20.916666666666664</v>
      </c>
    </row>
    <row r="63" spans="1:10">
      <c r="A63" s="25" t="s">
        <v>70</v>
      </c>
      <c r="B63" s="34"/>
      <c r="C63" s="34"/>
      <c r="D63" s="34"/>
      <c r="E63" s="34">
        <v>2</v>
      </c>
      <c r="F63" s="34"/>
      <c r="G63" s="34"/>
      <c r="H63" s="19">
        <f t="shared" si="3"/>
        <v>13.458333333333332</v>
      </c>
      <c r="I63" s="19">
        <f t="shared" si="4"/>
        <v>5.4583333333333321</v>
      </c>
      <c r="J63" s="55">
        <f t="shared" si="5"/>
        <v>18.916666666666664</v>
      </c>
    </row>
    <row r="64" spans="1:10">
      <c r="A64" s="25" t="s">
        <v>71</v>
      </c>
      <c r="B64" s="34">
        <v>1.25</v>
      </c>
      <c r="C64" s="34">
        <v>1.25</v>
      </c>
      <c r="D64" s="34"/>
      <c r="E64" s="34"/>
      <c r="F64" s="34"/>
      <c r="G64" s="34"/>
      <c r="H64" s="19">
        <f t="shared" si="3"/>
        <v>14.708333333333332</v>
      </c>
      <c r="I64" s="19">
        <f t="shared" si="4"/>
        <v>6.7083333333333321</v>
      </c>
      <c r="J64" s="55">
        <f t="shared" si="5"/>
        <v>21.416666666666664</v>
      </c>
    </row>
    <row r="65" spans="1:10">
      <c r="A65" s="25" t="s">
        <v>72</v>
      </c>
      <c r="B65" s="34"/>
      <c r="C65" s="34"/>
      <c r="D65" s="34"/>
      <c r="E65" s="34"/>
      <c r="F65" s="34"/>
      <c r="G65" s="34">
        <v>1</v>
      </c>
      <c r="H65" s="19">
        <f t="shared" si="3"/>
        <v>14.708333333333332</v>
      </c>
      <c r="I65" s="19">
        <f t="shared" si="4"/>
        <v>6.7083333333333321</v>
      </c>
      <c r="J65" s="55">
        <f t="shared" si="5"/>
        <v>21.416666666666664</v>
      </c>
    </row>
    <row r="66" spans="1:10">
      <c r="A66" s="25" t="s">
        <v>73</v>
      </c>
      <c r="B66" s="34"/>
      <c r="C66" s="34"/>
      <c r="D66" s="34"/>
      <c r="E66" s="34">
        <v>2</v>
      </c>
      <c r="F66" s="34"/>
      <c r="G66" s="34"/>
      <c r="H66" s="19">
        <f t="shared" si="3"/>
        <v>14.708333333333332</v>
      </c>
      <c r="I66" s="19">
        <f t="shared" si="4"/>
        <v>4.7083333333333321</v>
      </c>
      <c r="J66" s="55">
        <f t="shared" si="5"/>
        <v>19.416666666666664</v>
      </c>
    </row>
    <row r="67" spans="1:10">
      <c r="A67" s="25" t="s">
        <v>74</v>
      </c>
      <c r="B67" s="34">
        <v>1.25</v>
      </c>
      <c r="C67" s="34">
        <v>1.25</v>
      </c>
      <c r="D67" s="34"/>
      <c r="E67" s="34"/>
      <c r="F67" s="34"/>
      <c r="G67" s="34"/>
      <c r="H67" s="19">
        <f t="shared" si="3"/>
        <v>15.958333333333332</v>
      </c>
      <c r="I67" s="19">
        <f t="shared" si="4"/>
        <v>5.9583333333333321</v>
      </c>
      <c r="J67" s="55">
        <f t="shared" si="5"/>
        <v>21.916666666666664</v>
      </c>
    </row>
    <row r="68" spans="1:10">
      <c r="A68" s="25" t="s">
        <v>75</v>
      </c>
      <c r="B68" s="34"/>
      <c r="C68" s="34"/>
      <c r="D68" s="34"/>
      <c r="E68" s="34"/>
      <c r="F68" s="34">
        <v>1</v>
      </c>
      <c r="G68" s="34"/>
      <c r="H68" s="19">
        <f t="shared" si="3"/>
        <v>14.958333333333332</v>
      </c>
      <c r="I68" s="19">
        <f t="shared" si="4"/>
        <v>5.9583333333333321</v>
      </c>
      <c r="J68" s="55">
        <f t="shared" si="5"/>
        <v>20.916666666666664</v>
      </c>
    </row>
    <row r="69" spans="1:10">
      <c r="A69" s="25" t="s">
        <v>76</v>
      </c>
      <c r="B69" s="34">
        <v>1.25</v>
      </c>
      <c r="C69" s="34">
        <v>1.25</v>
      </c>
      <c r="D69" s="34"/>
      <c r="E69" s="34"/>
      <c r="F69" s="34"/>
      <c r="G69" s="34"/>
      <c r="H69" s="19">
        <f t="shared" si="3"/>
        <v>16.208333333333332</v>
      </c>
      <c r="I69" s="19">
        <f t="shared" si="4"/>
        <v>7.2083333333333321</v>
      </c>
      <c r="J69" s="55">
        <f t="shared" si="5"/>
        <v>23.416666666666664</v>
      </c>
    </row>
    <row r="70" spans="1:10">
      <c r="A70" s="25" t="s">
        <v>77</v>
      </c>
      <c r="B70" s="34"/>
      <c r="C70" s="34"/>
      <c r="D70" s="34"/>
      <c r="E70" s="34">
        <v>1</v>
      </c>
      <c r="F70" s="34"/>
      <c r="G70" s="34"/>
      <c r="H70" s="19">
        <f t="shared" si="3"/>
        <v>16.208333333333332</v>
      </c>
      <c r="I70" s="19">
        <f t="shared" si="4"/>
        <v>6.2083333333333321</v>
      </c>
      <c r="J70" s="55">
        <f t="shared" si="5"/>
        <v>22.416666666666664</v>
      </c>
    </row>
    <row r="71" spans="1:10">
      <c r="A71" s="25" t="s">
        <v>78</v>
      </c>
      <c r="B71" s="34"/>
      <c r="C71" s="34"/>
      <c r="D71" s="34"/>
      <c r="E71" s="34">
        <v>2</v>
      </c>
      <c r="F71" s="34"/>
      <c r="G71" s="34"/>
      <c r="H71" s="19">
        <f t="shared" si="3"/>
        <v>16.208333333333332</v>
      </c>
      <c r="I71" s="19">
        <f t="shared" si="4"/>
        <v>4.2083333333333321</v>
      </c>
      <c r="J71" s="55">
        <f t="shared" si="5"/>
        <v>20.416666666666664</v>
      </c>
    </row>
    <row r="72" spans="1:10">
      <c r="A72" s="25" t="s">
        <v>79</v>
      </c>
      <c r="B72" s="34"/>
      <c r="C72" s="34"/>
      <c r="D72" s="34"/>
      <c r="E72" s="34">
        <v>3</v>
      </c>
      <c r="F72" s="34"/>
      <c r="G72" s="34"/>
      <c r="H72" s="19">
        <f t="shared" si="3"/>
        <v>16.208333333333332</v>
      </c>
      <c r="I72" s="19">
        <f t="shared" si="4"/>
        <v>1.2083333333333321</v>
      </c>
      <c r="J72" s="55">
        <f t="shared" si="5"/>
        <v>17.416666666666664</v>
      </c>
    </row>
    <row r="73" spans="1:10">
      <c r="A73" s="25" t="s">
        <v>80</v>
      </c>
      <c r="B73" s="34">
        <v>2.5</v>
      </c>
      <c r="C73" s="34">
        <v>2.5</v>
      </c>
      <c r="D73" s="34"/>
      <c r="E73" s="34"/>
      <c r="F73" s="34"/>
      <c r="G73" s="34"/>
      <c r="H73" s="19">
        <f t="shared" si="3"/>
        <v>18.708333333333332</v>
      </c>
      <c r="I73" s="19">
        <f t="shared" si="4"/>
        <v>3.7083333333333321</v>
      </c>
      <c r="J73" s="55">
        <f t="shared" si="5"/>
        <v>22.416666666666664</v>
      </c>
    </row>
    <row r="74" spans="1:10">
      <c r="A74" s="25" t="s">
        <v>81</v>
      </c>
      <c r="B74" s="34"/>
      <c r="C74" s="34"/>
      <c r="D74" s="34"/>
      <c r="E74" s="34"/>
      <c r="F74" s="34">
        <v>1</v>
      </c>
      <c r="G74" s="34"/>
      <c r="H74" s="19">
        <f t="shared" si="3"/>
        <v>17.708333333333332</v>
      </c>
      <c r="I74" s="19">
        <f t="shared" si="4"/>
        <v>3.7083333333333321</v>
      </c>
      <c r="J74" s="55">
        <f t="shared" si="5"/>
        <v>21.416666666666664</v>
      </c>
    </row>
    <row r="75" spans="1:10">
      <c r="A75" s="25" t="s">
        <v>82</v>
      </c>
      <c r="B75" s="34">
        <v>1.25</v>
      </c>
      <c r="C75" s="34">
        <v>1.25</v>
      </c>
      <c r="D75" s="34"/>
      <c r="E75" s="34"/>
      <c r="F75" s="34"/>
      <c r="G75" s="34"/>
      <c r="H75" s="19">
        <f t="shared" si="3"/>
        <v>18.958333333333332</v>
      </c>
      <c r="I75" s="19">
        <f t="shared" si="4"/>
        <v>4.9583333333333321</v>
      </c>
      <c r="J75" s="55">
        <f t="shared" si="5"/>
        <v>23.916666666666664</v>
      </c>
    </row>
    <row r="76" spans="1:10">
      <c r="A76" s="25" t="s">
        <v>83</v>
      </c>
      <c r="B76" s="34"/>
      <c r="C76" s="34"/>
      <c r="D76" s="34"/>
      <c r="E76" s="34"/>
      <c r="F76" s="34"/>
      <c r="G76" s="34">
        <v>1</v>
      </c>
      <c r="H76" s="19">
        <f t="shared" si="3"/>
        <v>18.958333333333332</v>
      </c>
      <c r="I76" s="19">
        <f t="shared" si="4"/>
        <v>4.9583333333333321</v>
      </c>
      <c r="J76" s="55">
        <f t="shared" si="5"/>
        <v>23.916666666666664</v>
      </c>
    </row>
    <row r="77" spans="1:10">
      <c r="A77" s="25" t="s">
        <v>84</v>
      </c>
      <c r="B77" s="34"/>
      <c r="C77" s="34"/>
      <c r="D77" s="34"/>
      <c r="E77" s="34">
        <v>1</v>
      </c>
      <c r="F77" s="34"/>
      <c r="G77" s="34"/>
      <c r="H77" s="19">
        <f t="shared" si="3"/>
        <v>18.958333333333332</v>
      </c>
      <c r="I77" s="19">
        <f t="shared" si="4"/>
        <v>3.9583333333333321</v>
      </c>
      <c r="J77" s="55">
        <f t="shared" si="5"/>
        <v>22.916666666666664</v>
      </c>
    </row>
    <row r="78" spans="1:10">
      <c r="A78" s="25" t="s">
        <v>85</v>
      </c>
      <c r="B78" s="34">
        <v>1.25</v>
      </c>
      <c r="C78" s="34">
        <v>1.25</v>
      </c>
      <c r="D78" s="34"/>
      <c r="E78" s="34"/>
      <c r="F78" s="34"/>
      <c r="G78" s="34"/>
      <c r="H78" s="19">
        <f t="shared" si="3"/>
        <v>20.208333333333332</v>
      </c>
      <c r="I78" s="19">
        <f t="shared" si="4"/>
        <v>5.2083333333333321</v>
      </c>
      <c r="J78" s="55">
        <f t="shared" si="5"/>
        <v>25.416666666666664</v>
      </c>
    </row>
    <row r="79" spans="1:10">
      <c r="A79" s="25" t="s">
        <v>86</v>
      </c>
      <c r="B79" s="34"/>
      <c r="C79" s="34"/>
      <c r="D79" s="34"/>
      <c r="E79" s="34"/>
      <c r="F79" s="34">
        <v>3</v>
      </c>
      <c r="G79" s="34"/>
      <c r="H79" s="19">
        <f t="shared" si="3"/>
        <v>17.208333333333332</v>
      </c>
      <c r="I79" s="19">
        <f t="shared" si="4"/>
        <v>5.2083333333333321</v>
      </c>
      <c r="J79" s="55">
        <f t="shared" si="5"/>
        <v>22.416666666666664</v>
      </c>
    </row>
    <row r="80" spans="1:10">
      <c r="A80" s="25" t="s">
        <v>87</v>
      </c>
      <c r="B80" s="34">
        <v>2.5</v>
      </c>
      <c r="C80" s="34">
        <v>2.5</v>
      </c>
      <c r="D80" s="34"/>
      <c r="E80" s="34"/>
      <c r="F80" s="34"/>
      <c r="G80" s="34"/>
      <c r="H80" s="19">
        <f t="shared" si="3"/>
        <v>19.708333333333332</v>
      </c>
      <c r="I80" s="19">
        <f t="shared" si="4"/>
        <v>7.7083333333333321</v>
      </c>
      <c r="J80" s="55">
        <f t="shared" si="5"/>
        <v>27.416666666666664</v>
      </c>
    </row>
    <row r="81" spans="1:10">
      <c r="A81" s="25" t="s">
        <v>88</v>
      </c>
      <c r="B81" s="34"/>
      <c r="C81" s="34"/>
      <c r="D81" s="34"/>
      <c r="E81" s="34"/>
      <c r="F81" s="34"/>
      <c r="G81" s="36">
        <v>1</v>
      </c>
      <c r="H81" s="19">
        <f t="shared" ref="H81:H92" si="6">H80-F81-D81+B81</f>
        <v>19.708333333333332</v>
      </c>
      <c r="I81" s="19">
        <f t="shared" ref="I81:I92" si="7">I80-E81+C81</f>
        <v>7.7083333333333321</v>
      </c>
      <c r="J81" s="55">
        <f t="shared" ref="J81:J92" si="8">SUM(H81:I81)</f>
        <v>27.416666666666664</v>
      </c>
    </row>
    <row r="82" spans="1:10">
      <c r="A82" s="25" t="s">
        <v>89</v>
      </c>
      <c r="B82" s="34">
        <v>1.25</v>
      </c>
      <c r="C82" s="34">
        <v>1.25</v>
      </c>
      <c r="D82" s="34"/>
      <c r="E82" s="34"/>
      <c r="F82" s="34"/>
      <c r="G82" s="34"/>
      <c r="H82" s="19">
        <f t="shared" si="6"/>
        <v>20.958333333333332</v>
      </c>
      <c r="I82" s="19">
        <f t="shared" si="7"/>
        <v>8.9583333333333321</v>
      </c>
      <c r="J82" s="55">
        <f t="shared" si="8"/>
        <v>29.916666666666664</v>
      </c>
    </row>
    <row r="83" spans="1:10">
      <c r="A83" s="25" t="s">
        <v>90</v>
      </c>
      <c r="B83" s="34"/>
      <c r="C83" s="34"/>
      <c r="D83" s="34"/>
      <c r="E83" s="34">
        <v>2</v>
      </c>
      <c r="F83" s="34"/>
      <c r="G83" s="34"/>
      <c r="H83" s="19">
        <f t="shared" si="6"/>
        <v>20.958333333333332</v>
      </c>
      <c r="I83" s="19">
        <f t="shared" si="7"/>
        <v>6.9583333333333321</v>
      </c>
      <c r="J83" s="55">
        <f t="shared" si="8"/>
        <v>27.916666666666664</v>
      </c>
    </row>
    <row r="84" spans="1:10">
      <c r="A84" s="25" t="s">
        <v>91</v>
      </c>
      <c r="B84" s="34"/>
      <c r="C84" s="34"/>
      <c r="D84" s="34"/>
      <c r="E84" s="34">
        <v>1</v>
      </c>
      <c r="F84" s="34"/>
      <c r="G84" s="34"/>
      <c r="H84" s="19">
        <f t="shared" si="6"/>
        <v>20.958333333333332</v>
      </c>
      <c r="I84" s="19">
        <f t="shared" si="7"/>
        <v>5.9583333333333321</v>
      </c>
      <c r="J84" s="55">
        <f t="shared" si="8"/>
        <v>26.916666666666664</v>
      </c>
    </row>
    <row r="85" spans="1:10">
      <c r="A85" s="25" t="s">
        <v>92</v>
      </c>
      <c r="B85" s="34">
        <v>1.25</v>
      </c>
      <c r="C85" s="34">
        <v>1.25</v>
      </c>
      <c r="D85" s="34"/>
      <c r="E85" s="34"/>
      <c r="F85" s="34"/>
      <c r="G85" s="34"/>
      <c r="H85" s="19">
        <f t="shared" si="6"/>
        <v>22.208333333333332</v>
      </c>
      <c r="I85" s="19">
        <f t="shared" si="7"/>
        <v>7.2083333333333321</v>
      </c>
      <c r="J85" s="55">
        <f t="shared" si="8"/>
        <v>29.416666666666664</v>
      </c>
    </row>
    <row r="86" spans="1:10">
      <c r="A86" s="25" t="s">
        <v>93</v>
      </c>
      <c r="B86" s="34"/>
      <c r="C86" s="34"/>
      <c r="D86" s="34"/>
      <c r="E86" s="34">
        <v>1</v>
      </c>
      <c r="F86" s="34"/>
      <c r="G86" s="34"/>
      <c r="H86" s="19">
        <f t="shared" si="6"/>
        <v>22.208333333333332</v>
      </c>
      <c r="I86" s="19">
        <f t="shared" si="7"/>
        <v>6.2083333333333321</v>
      </c>
      <c r="J86" s="55">
        <f t="shared" si="8"/>
        <v>28.416666666666664</v>
      </c>
    </row>
    <row r="87" spans="1:10">
      <c r="A87" s="25" t="s">
        <v>94</v>
      </c>
      <c r="B87" s="34">
        <v>1.25</v>
      </c>
      <c r="C87" s="34">
        <v>1.25</v>
      </c>
      <c r="D87" s="34"/>
      <c r="E87" s="34"/>
      <c r="F87" s="34"/>
      <c r="G87" s="34"/>
      <c r="H87" s="19">
        <f t="shared" si="6"/>
        <v>23.458333333333332</v>
      </c>
      <c r="I87" s="19">
        <f t="shared" si="7"/>
        <v>7.4583333333333321</v>
      </c>
      <c r="J87" s="55">
        <f t="shared" si="8"/>
        <v>30.916666666666664</v>
      </c>
    </row>
    <row r="88" spans="1:10">
      <c r="A88" s="25" t="s">
        <v>95</v>
      </c>
      <c r="B88" s="34"/>
      <c r="C88" s="34"/>
      <c r="D88" s="34"/>
      <c r="E88" s="34">
        <v>1</v>
      </c>
      <c r="F88" s="34"/>
      <c r="G88" s="34"/>
      <c r="H88" s="19">
        <f t="shared" si="6"/>
        <v>23.458333333333332</v>
      </c>
      <c r="I88" s="19">
        <f t="shared" si="7"/>
        <v>6.4583333333333321</v>
      </c>
      <c r="J88" s="55">
        <f t="shared" si="8"/>
        <v>29.916666666666664</v>
      </c>
    </row>
    <row r="89" spans="1:10">
      <c r="A89" s="25" t="s">
        <v>96</v>
      </c>
      <c r="B89" s="34"/>
      <c r="C89" s="34"/>
      <c r="D89" s="34"/>
      <c r="E89" s="34"/>
      <c r="F89" s="34"/>
      <c r="G89" s="36">
        <v>1</v>
      </c>
      <c r="H89" s="19">
        <f t="shared" si="6"/>
        <v>23.458333333333332</v>
      </c>
      <c r="I89" s="19">
        <f t="shared" si="7"/>
        <v>6.4583333333333321</v>
      </c>
      <c r="J89" s="55">
        <f t="shared" si="8"/>
        <v>29.916666666666664</v>
      </c>
    </row>
    <row r="90" spans="1:10">
      <c r="A90" s="25" t="s">
        <v>97</v>
      </c>
      <c r="B90" s="34">
        <v>1.25</v>
      </c>
      <c r="C90" s="34">
        <v>1.25</v>
      </c>
      <c r="D90" s="34"/>
      <c r="E90" s="34"/>
      <c r="F90" s="34"/>
      <c r="G90" s="34"/>
      <c r="H90" s="19">
        <f t="shared" si="6"/>
        <v>24.708333333333332</v>
      </c>
      <c r="I90" s="19">
        <f t="shared" si="7"/>
        <v>7.7083333333333321</v>
      </c>
      <c r="J90" s="55">
        <f t="shared" si="8"/>
        <v>32.416666666666664</v>
      </c>
    </row>
    <row r="91" spans="1:10">
      <c r="A91" s="25" t="s">
        <v>98</v>
      </c>
      <c r="B91" s="34"/>
      <c r="C91" s="34"/>
      <c r="D91" s="34"/>
      <c r="E91" s="34">
        <v>1</v>
      </c>
      <c r="F91" s="34"/>
      <c r="G91" s="34"/>
      <c r="H91" s="19">
        <f t="shared" si="6"/>
        <v>24.708333333333332</v>
      </c>
      <c r="I91" s="19">
        <f t="shared" si="7"/>
        <v>6.7083333333333321</v>
      </c>
      <c r="J91" s="55">
        <f t="shared" si="8"/>
        <v>31.416666666666664</v>
      </c>
    </row>
    <row r="92" spans="1:10">
      <c r="A92" s="25" t="s">
        <v>99</v>
      </c>
      <c r="B92" s="34"/>
      <c r="C92" s="34"/>
      <c r="D92" s="34"/>
      <c r="E92" s="34">
        <v>2</v>
      </c>
      <c r="F92" s="34"/>
      <c r="G92" s="34"/>
      <c r="H92" s="19">
        <f t="shared" si="6"/>
        <v>24.708333333333332</v>
      </c>
      <c r="I92" s="19">
        <f t="shared" si="7"/>
        <v>4.7083333333333321</v>
      </c>
      <c r="J92" s="55">
        <f t="shared" si="8"/>
        <v>29.416666666666664</v>
      </c>
    </row>
    <row r="93" spans="1:10">
      <c r="A93" s="25" t="s">
        <v>100</v>
      </c>
      <c r="B93" s="34">
        <v>2.5</v>
      </c>
      <c r="C93" s="34">
        <v>2.5</v>
      </c>
      <c r="D93" s="34"/>
      <c r="E93" s="34"/>
      <c r="F93" s="34"/>
      <c r="G93" s="34"/>
      <c r="H93" s="19">
        <f t="shared" ref="H93:H94" si="9">H92-F93-D93+B93</f>
        <v>27.208333333333332</v>
      </c>
      <c r="I93" s="19">
        <f t="shared" ref="I93:I94" si="10">I92-E93+C93</f>
        <v>7.2083333333333321</v>
      </c>
      <c r="J93" s="55">
        <f t="shared" ref="J93:J94" si="11">SUM(H93:I93)</f>
        <v>34.416666666666664</v>
      </c>
    </row>
    <row r="94" spans="1:10">
      <c r="A94" s="25" t="s">
        <v>101</v>
      </c>
      <c r="B94" s="34"/>
      <c r="C94" s="34"/>
      <c r="D94" s="34">
        <v>10</v>
      </c>
      <c r="E94" s="34"/>
      <c r="F94" s="34"/>
      <c r="G94" s="34"/>
      <c r="H94" s="19">
        <f t="shared" si="9"/>
        <v>17.208333333333332</v>
      </c>
      <c r="I94" s="19">
        <f t="shared" si="10"/>
        <v>7.2083333333333321</v>
      </c>
      <c r="J94" s="55">
        <f t="shared" si="11"/>
        <v>24.416666666666664</v>
      </c>
    </row>
    <row r="95" spans="1:10">
      <c r="A95" s="25" t="s">
        <v>102</v>
      </c>
      <c r="B95" s="34"/>
      <c r="C95" s="34"/>
      <c r="D95" s="34"/>
      <c r="E95" s="34">
        <v>1</v>
      </c>
      <c r="F95" s="34"/>
      <c r="G95" s="34"/>
      <c r="H95" s="19">
        <f t="shared" ref="H95" si="12">H94-F95-D95+B95</f>
        <v>17.208333333333332</v>
      </c>
      <c r="I95" s="19">
        <f t="shared" ref="I95" si="13">I94-E95+C95</f>
        <v>6.2083333333333321</v>
      </c>
      <c r="J95" s="55">
        <f t="shared" ref="J95" si="14">SUM(H95:I95)</f>
        <v>23.416666666666664</v>
      </c>
    </row>
    <row r="96" spans="1:10">
      <c r="A96" s="25" t="s">
        <v>103</v>
      </c>
      <c r="B96" s="34"/>
      <c r="C96" s="34"/>
      <c r="D96" s="34"/>
      <c r="E96" s="34">
        <v>1</v>
      </c>
      <c r="F96" s="34"/>
      <c r="G96" s="34"/>
      <c r="H96" s="19">
        <f t="shared" ref="H96" si="15">H95-F96-D96+B96</f>
        <v>17.208333333333332</v>
      </c>
      <c r="I96" s="19">
        <f t="shared" ref="I96" si="16">I95-E96+C96</f>
        <v>5.2083333333333321</v>
      </c>
      <c r="J96" s="55">
        <f t="shared" ref="J96" si="17">SUM(H96:I96)</f>
        <v>22.416666666666664</v>
      </c>
    </row>
    <row r="97" spans="1:10">
      <c r="A97" s="25" t="s">
        <v>104</v>
      </c>
      <c r="B97" s="34"/>
      <c r="C97" s="34"/>
      <c r="D97" s="34"/>
      <c r="E97" s="34">
        <v>1</v>
      </c>
      <c r="F97" s="34"/>
      <c r="G97" s="34"/>
      <c r="H97" s="19">
        <f t="shared" ref="H97" si="18">H96-F97-D97+B97</f>
        <v>17.208333333333332</v>
      </c>
      <c r="I97" s="19">
        <f t="shared" ref="I97" si="19">I96-E97+C97</f>
        <v>4.2083333333333321</v>
      </c>
      <c r="J97" s="55">
        <f t="shared" ref="J97" si="20">SUM(H97:I97)</f>
        <v>21.416666666666664</v>
      </c>
    </row>
    <row r="98" spans="1:10">
      <c r="A98" s="25" t="s">
        <v>105</v>
      </c>
      <c r="B98" s="34">
        <v>1.25</v>
      </c>
      <c r="C98" s="34">
        <v>1.25</v>
      </c>
      <c r="D98" s="34"/>
      <c r="E98" s="34"/>
      <c r="F98" s="34"/>
      <c r="G98" s="34"/>
      <c r="H98" s="19">
        <f t="shared" ref="H98:H99" si="21">H97-F98-D98+B98</f>
        <v>18.458333333333332</v>
      </c>
      <c r="I98" s="19">
        <f t="shared" ref="I98:I99" si="22">I97-E98+C98</f>
        <v>5.4583333333333321</v>
      </c>
      <c r="J98" s="55">
        <f t="shared" ref="J98:J99" si="23">SUM(H98:I98)</f>
        <v>23.916666666666664</v>
      </c>
    </row>
    <row r="99" spans="1:10">
      <c r="A99" s="25" t="s">
        <v>106</v>
      </c>
      <c r="B99" s="34"/>
      <c r="C99" s="34"/>
      <c r="D99" s="34"/>
      <c r="E99" s="34">
        <v>2</v>
      </c>
      <c r="F99" s="34"/>
      <c r="G99" s="34"/>
      <c r="H99" s="19">
        <f t="shared" si="21"/>
        <v>18.458333333333332</v>
      </c>
      <c r="I99" s="19">
        <f t="shared" si="22"/>
        <v>3.4583333333333321</v>
      </c>
      <c r="J99" s="55">
        <f t="shared" si="23"/>
        <v>21.916666666666664</v>
      </c>
    </row>
    <row r="100" spans="1:10">
      <c r="A100" s="25" t="s">
        <v>107</v>
      </c>
      <c r="B100" s="34"/>
      <c r="C100" s="34"/>
      <c r="D100" s="34">
        <v>2</v>
      </c>
      <c r="E100" s="34"/>
      <c r="F100" s="34"/>
      <c r="G100" s="34"/>
      <c r="H100" s="19">
        <f t="shared" ref="H100" si="24">H99-F100-D100+B100</f>
        <v>16.458333333333332</v>
      </c>
      <c r="I100" s="19">
        <f t="shared" ref="I100" si="25">I99-E100+C100</f>
        <v>3.4583333333333321</v>
      </c>
      <c r="J100" s="55">
        <f t="shared" ref="J100" si="26">SUM(H100:I100)</f>
        <v>19.916666666666664</v>
      </c>
    </row>
    <row r="101" spans="1:10">
      <c r="A101" s="25" t="s">
        <v>108</v>
      </c>
      <c r="B101" s="34">
        <v>1.25</v>
      </c>
      <c r="C101" s="34">
        <v>1.25</v>
      </c>
      <c r="D101" s="34"/>
      <c r="E101" s="34"/>
      <c r="F101" s="34"/>
      <c r="G101" s="34"/>
      <c r="H101" s="19">
        <f t="shared" ref="H101:H102" si="27">H100-F101-D101+B101</f>
        <v>17.708333333333332</v>
      </c>
      <c r="I101" s="19">
        <f t="shared" ref="I101:I102" si="28">I100-E101+C101</f>
        <v>4.7083333333333321</v>
      </c>
      <c r="J101" s="55">
        <f t="shared" ref="J101:J102" si="29">SUM(H101:I101)</f>
        <v>22.416666666666664</v>
      </c>
    </row>
    <row r="102" spans="1:10">
      <c r="A102" s="25" t="s">
        <v>109</v>
      </c>
      <c r="B102" s="34"/>
      <c r="C102" s="34"/>
      <c r="D102" s="34"/>
      <c r="E102" s="34">
        <v>1</v>
      </c>
      <c r="F102" s="34"/>
      <c r="G102" s="34"/>
      <c r="H102" s="19">
        <f t="shared" si="27"/>
        <v>17.708333333333332</v>
      </c>
      <c r="I102" s="19">
        <f t="shared" si="28"/>
        <v>3.7083333333333321</v>
      </c>
      <c r="J102" s="55">
        <f t="shared" si="29"/>
        <v>21.416666666666664</v>
      </c>
    </row>
    <row r="103" spans="1:10">
      <c r="A103" s="25" t="s">
        <v>110</v>
      </c>
      <c r="B103" s="25"/>
      <c r="C103" s="25"/>
      <c r="D103" s="25"/>
      <c r="E103" s="25"/>
      <c r="F103" s="25"/>
      <c r="G103" s="36">
        <v>1</v>
      </c>
      <c r="H103" s="19">
        <f t="shared" ref="H103" si="30">H102-F103-D103+B103</f>
        <v>17.708333333333332</v>
      </c>
      <c r="I103" s="19">
        <f t="shared" ref="I103" si="31">I102-E103+C103</f>
        <v>3.7083333333333321</v>
      </c>
      <c r="J103" s="55">
        <f t="shared" ref="J103" si="32">SUM(H103:I103)</f>
        <v>21.416666666666664</v>
      </c>
    </row>
    <row r="104" spans="1:10">
      <c r="A104" s="25" t="s">
        <v>111</v>
      </c>
      <c r="B104" s="25">
        <v>2.5</v>
      </c>
      <c r="C104" s="25">
        <v>2.5</v>
      </c>
      <c r="D104" s="25"/>
      <c r="E104" s="25"/>
      <c r="F104" s="25"/>
      <c r="G104" s="34"/>
      <c r="H104" s="19">
        <f t="shared" ref="H104:H105" si="33">H103-F104-D104+B104</f>
        <v>20.208333333333332</v>
      </c>
      <c r="I104" s="19">
        <f t="shared" ref="I104:I105" si="34">I103-E104+C104</f>
        <v>6.2083333333333321</v>
      </c>
      <c r="J104" s="55">
        <f t="shared" ref="J104:J105" si="35">SUM(H104:I104)</f>
        <v>26.416666666666664</v>
      </c>
    </row>
    <row r="105" spans="1:10">
      <c r="A105" s="25" t="s">
        <v>112</v>
      </c>
      <c r="B105" s="25"/>
      <c r="C105" s="25"/>
      <c r="D105" s="25"/>
      <c r="E105" s="25">
        <v>1</v>
      </c>
      <c r="F105" s="25"/>
      <c r="G105" s="34"/>
      <c r="H105" s="19">
        <f t="shared" si="33"/>
        <v>20.208333333333332</v>
      </c>
      <c r="I105" s="19">
        <f t="shared" si="34"/>
        <v>5.2083333333333321</v>
      </c>
      <c r="J105" s="55">
        <f t="shared" si="35"/>
        <v>25.416666666666664</v>
      </c>
    </row>
    <row r="106" spans="1:10">
      <c r="A106" s="25" t="s">
        <v>113</v>
      </c>
      <c r="B106" s="25"/>
      <c r="C106" s="25"/>
      <c r="D106" s="25"/>
      <c r="E106" s="25">
        <v>2</v>
      </c>
      <c r="F106" s="25"/>
      <c r="G106" s="34"/>
      <c r="H106" s="19">
        <f t="shared" ref="H106" si="36">H105-F106-D106+B106</f>
        <v>20.208333333333332</v>
      </c>
      <c r="I106" s="19">
        <f t="shared" ref="I106" si="37">I105-E106+C106</f>
        <v>3.2083333333333321</v>
      </c>
      <c r="J106" s="55">
        <f t="shared" ref="J106" si="38">SUM(H106:I106)</f>
        <v>23.416666666666664</v>
      </c>
    </row>
    <row r="107" spans="1:10">
      <c r="A107" s="25" t="s">
        <v>114</v>
      </c>
      <c r="B107" s="25"/>
      <c r="C107" s="25"/>
      <c r="D107" s="25"/>
      <c r="E107" s="25"/>
      <c r="F107" s="58">
        <v>4</v>
      </c>
      <c r="G107" s="34"/>
      <c r="H107" s="19">
        <f t="shared" ref="H107" si="39">H106-F107-D107+B107</f>
        <v>16.208333333333332</v>
      </c>
      <c r="I107" s="19">
        <f t="shared" ref="I107" si="40">I106-E107+C107</f>
        <v>3.2083333333333321</v>
      </c>
      <c r="J107" s="55">
        <f t="shared" ref="J107" si="41">SUM(H107:I107)</f>
        <v>19.416666666666664</v>
      </c>
    </row>
    <row r="108" spans="1:10" ht="18.75" customHeight="1">
      <c r="B108" s="52"/>
      <c r="C108" s="52"/>
      <c r="D108" s="52"/>
      <c r="E108" s="52"/>
      <c r="F108" s="52"/>
      <c r="G108" s="52"/>
      <c r="H108" s="53"/>
      <c r="I108" s="53"/>
      <c r="J108" s="53"/>
    </row>
    <row r="109" spans="1:10" s="1" customFormat="1" ht="18.75" customHeight="1">
      <c r="G109" s="1" t="s">
        <v>115</v>
      </c>
    </row>
    <row r="110" spans="1:10" s="1" customFormat="1"/>
    <row r="111" spans="1:10" s="1" customFormat="1">
      <c r="G111" s="41" t="s">
        <v>116</v>
      </c>
    </row>
    <row r="112" spans="1:10" s="1" customFormat="1">
      <c r="G112" s="1" t="s">
        <v>117</v>
      </c>
    </row>
    <row r="113" spans="7:7" s="1" customFormat="1">
      <c r="G113" s="1" t="s">
        <v>118</v>
      </c>
    </row>
  </sheetData>
  <mergeCells count="12">
    <mergeCell ref="D11:G11"/>
    <mergeCell ref="B11:C11"/>
    <mergeCell ref="J11:J12"/>
    <mergeCell ref="H11:I11"/>
    <mergeCell ref="A11:A12"/>
    <mergeCell ref="B9:D9"/>
    <mergeCell ref="A10:J10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59055118110236227" bottom="0.55118110236220474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3"/>
  <sheetViews>
    <sheetView view="pageBreakPreview" zoomScale="112" zoomScaleNormal="100" zoomScaleSheetLayoutView="112" workbookViewId="0">
      <selection activeCell="B26" sqref="B26:E26"/>
    </sheetView>
  </sheetViews>
  <sheetFormatPr defaultRowHeight="15"/>
  <cols>
    <col min="1" max="1" width="27.85546875" customWidth="1"/>
    <col min="2" max="5" width="14.7109375" customWidth="1"/>
    <col min="6" max="11" width="7.85546875" customWidth="1"/>
  </cols>
  <sheetData>
    <row r="1" spans="1:12" s="1" customFormat="1" ht="52.5" customHeight="1"/>
    <row r="2" spans="1:12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1:12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</row>
    <row r="5" spans="1:12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s="1" customFormat="1" ht="8.25" customHeight="1"/>
    <row r="7" spans="1:12" s="1" customFormat="1" ht="12" customHeight="1">
      <c r="A7" s="1" t="s">
        <v>4</v>
      </c>
      <c r="C7" s="2" t="s">
        <v>5</v>
      </c>
      <c r="D7" s="2"/>
      <c r="G7" s="2" t="s">
        <v>6</v>
      </c>
      <c r="H7" s="8"/>
    </row>
    <row r="8" spans="1:12" s="1" customFormat="1" ht="12" customHeight="1">
      <c r="C8" s="4"/>
      <c r="G8" s="4"/>
      <c r="H8" s="4"/>
    </row>
    <row r="9" spans="1:12" s="1" customFormat="1" ht="12" customHeight="1">
      <c r="A9" s="1" t="s">
        <v>7</v>
      </c>
      <c r="C9" s="2" t="s">
        <v>8</v>
      </c>
      <c r="D9" s="2"/>
      <c r="G9" s="2" t="s">
        <v>9</v>
      </c>
      <c r="H9" s="7"/>
    </row>
    <row r="10" spans="1:12" ht="16.5" customHeight="1">
      <c r="A10" s="102" t="s">
        <v>119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2" s="9" customFormat="1" ht="18.75" customHeight="1">
      <c r="A11" s="80" t="s">
        <v>11</v>
      </c>
      <c r="B11" s="82" t="s">
        <v>12</v>
      </c>
      <c r="C11" s="83"/>
      <c r="D11" s="83"/>
      <c r="E11" s="83"/>
      <c r="F11" s="83"/>
      <c r="G11" s="83"/>
      <c r="H11" s="83"/>
      <c r="I11" s="83"/>
      <c r="J11" s="83"/>
      <c r="K11" s="83"/>
      <c r="L11" s="75" t="s">
        <v>15</v>
      </c>
    </row>
    <row r="12" spans="1:12" s="9" customFormat="1" ht="24" customHeight="1">
      <c r="A12" s="81"/>
      <c r="B12" s="77" t="s">
        <v>120</v>
      </c>
      <c r="C12" s="78"/>
      <c r="D12" s="78"/>
      <c r="E12" s="79"/>
      <c r="F12" s="77" t="s">
        <v>121</v>
      </c>
      <c r="G12" s="79"/>
      <c r="H12" s="77" t="s">
        <v>122</v>
      </c>
      <c r="I12" s="79"/>
      <c r="J12" s="77" t="s">
        <v>123</v>
      </c>
      <c r="K12" s="79"/>
      <c r="L12" s="76"/>
    </row>
    <row r="13" spans="1:12" s="9" customFormat="1" ht="18.75" hidden="1" customHeight="1">
      <c r="A13" s="35" t="s">
        <v>124</v>
      </c>
      <c r="B13" s="71" t="s">
        <v>125</v>
      </c>
      <c r="C13" s="73"/>
      <c r="D13" s="73"/>
      <c r="E13" s="72"/>
      <c r="F13" s="71">
        <v>1</v>
      </c>
      <c r="G13" s="72"/>
      <c r="H13" s="71">
        <v>0</v>
      </c>
      <c r="I13" s="72"/>
      <c r="J13" s="71">
        <v>1</v>
      </c>
      <c r="K13" s="72"/>
      <c r="L13" s="15">
        <v>1</v>
      </c>
    </row>
    <row r="14" spans="1:12" s="10" customFormat="1" ht="18.75" hidden="1" customHeight="1">
      <c r="A14" s="35" t="s">
        <v>126</v>
      </c>
      <c r="B14" s="71"/>
      <c r="C14" s="73"/>
      <c r="D14" s="73"/>
      <c r="E14" s="72"/>
      <c r="F14" s="71"/>
      <c r="G14" s="72"/>
      <c r="H14" s="71">
        <v>1</v>
      </c>
      <c r="I14" s="72"/>
      <c r="J14" s="71">
        <v>0</v>
      </c>
      <c r="K14" s="72"/>
      <c r="L14" s="15">
        <v>0</v>
      </c>
    </row>
    <row r="15" spans="1:12" s="10" customFormat="1" ht="18.75" hidden="1" customHeight="1">
      <c r="A15" s="35" t="s">
        <v>127</v>
      </c>
      <c r="B15" s="71" t="s">
        <v>128</v>
      </c>
      <c r="C15" s="73"/>
      <c r="D15" s="73"/>
      <c r="E15" s="72"/>
      <c r="F15" s="71">
        <v>1</v>
      </c>
      <c r="G15" s="72"/>
      <c r="H15" s="71">
        <v>0</v>
      </c>
      <c r="I15" s="72"/>
      <c r="J15" s="71">
        <f t="shared" ref="J15" si="0">F15-H15</f>
        <v>1</v>
      </c>
      <c r="K15" s="72"/>
      <c r="L15" s="15">
        <v>1</v>
      </c>
    </row>
    <row r="16" spans="1:12" s="10" customFormat="1" ht="18.75" hidden="1" customHeight="1">
      <c r="A16" s="35" t="s">
        <v>129</v>
      </c>
      <c r="B16" s="71"/>
      <c r="C16" s="73"/>
      <c r="D16" s="73"/>
      <c r="E16" s="72"/>
      <c r="F16" s="71"/>
      <c r="G16" s="72"/>
      <c r="H16" s="71">
        <v>1</v>
      </c>
      <c r="I16" s="72"/>
      <c r="J16" s="71">
        <v>0</v>
      </c>
      <c r="K16" s="72"/>
      <c r="L16" s="15">
        <v>0</v>
      </c>
    </row>
    <row r="17" spans="1:12" s="10" customFormat="1" ht="18.75" hidden="1" customHeight="1">
      <c r="A17" s="15" t="s">
        <v>130</v>
      </c>
      <c r="B17" s="71" t="s">
        <v>131</v>
      </c>
      <c r="C17" s="73"/>
      <c r="D17" s="73"/>
      <c r="E17" s="72"/>
      <c r="F17" s="71">
        <v>1</v>
      </c>
      <c r="G17" s="72"/>
      <c r="H17" s="71">
        <v>0</v>
      </c>
      <c r="I17" s="72"/>
      <c r="J17" s="71">
        <v>1</v>
      </c>
      <c r="K17" s="72"/>
      <c r="L17" s="15">
        <v>1</v>
      </c>
    </row>
    <row r="18" spans="1:12" s="10" customFormat="1" ht="18.75" hidden="1" customHeight="1">
      <c r="A18" s="15" t="s">
        <v>132</v>
      </c>
      <c r="B18" s="71"/>
      <c r="C18" s="73"/>
      <c r="D18" s="73"/>
      <c r="E18" s="72"/>
      <c r="F18" s="71"/>
      <c r="G18" s="72"/>
      <c r="H18" s="71">
        <v>1</v>
      </c>
      <c r="I18" s="72"/>
      <c r="J18" s="71">
        <v>0</v>
      </c>
      <c r="K18" s="72"/>
      <c r="L18" s="39">
        <v>0</v>
      </c>
    </row>
    <row r="19" spans="1:12" s="10" customFormat="1" ht="29.25" hidden="1" customHeight="1">
      <c r="A19" s="15" t="s">
        <v>133</v>
      </c>
      <c r="B19" s="71" t="s">
        <v>134</v>
      </c>
      <c r="C19" s="73"/>
      <c r="D19" s="73"/>
      <c r="E19" s="72"/>
      <c r="F19" s="71">
        <v>3</v>
      </c>
      <c r="G19" s="72"/>
      <c r="H19" s="71">
        <v>0</v>
      </c>
      <c r="I19" s="72"/>
      <c r="J19" s="71">
        <v>3</v>
      </c>
      <c r="K19" s="72"/>
      <c r="L19" s="38">
        <v>3</v>
      </c>
    </row>
    <row r="20" spans="1:12" s="10" customFormat="1" ht="29.25" hidden="1" customHeight="1">
      <c r="A20" s="15" t="s">
        <v>135</v>
      </c>
      <c r="B20" s="71"/>
      <c r="C20" s="73"/>
      <c r="D20" s="73"/>
      <c r="E20" s="72"/>
      <c r="F20" s="71"/>
      <c r="G20" s="72"/>
      <c r="H20" s="71">
        <v>1</v>
      </c>
      <c r="I20" s="72"/>
      <c r="J20" s="71">
        <v>2</v>
      </c>
      <c r="K20" s="72"/>
      <c r="L20" s="38">
        <v>2</v>
      </c>
    </row>
    <row r="21" spans="1:12" s="10" customFormat="1" ht="29.25" hidden="1" customHeight="1">
      <c r="A21" s="15" t="s">
        <v>136</v>
      </c>
      <c r="B21" s="71"/>
      <c r="C21" s="73"/>
      <c r="D21" s="73"/>
      <c r="E21" s="72"/>
      <c r="F21" s="71"/>
      <c r="G21" s="72"/>
      <c r="H21" s="71">
        <v>1</v>
      </c>
      <c r="I21" s="72"/>
      <c r="J21" s="71">
        <v>1</v>
      </c>
      <c r="K21" s="72"/>
      <c r="L21" s="38">
        <v>1</v>
      </c>
    </row>
    <row r="22" spans="1:12" s="10" customFormat="1" ht="29.25" hidden="1" customHeight="1">
      <c r="A22" s="15" t="s">
        <v>137</v>
      </c>
      <c r="B22" s="71"/>
      <c r="C22" s="73"/>
      <c r="D22" s="73"/>
      <c r="E22" s="72"/>
      <c r="F22" s="71"/>
      <c r="G22" s="72"/>
      <c r="H22" s="71">
        <v>1</v>
      </c>
      <c r="I22" s="72"/>
      <c r="J22" s="71">
        <v>0</v>
      </c>
      <c r="K22" s="72"/>
      <c r="L22" s="39">
        <v>0</v>
      </c>
    </row>
    <row r="23" spans="1:12" s="10" customFormat="1" ht="29.25" hidden="1" customHeight="1">
      <c r="A23" s="38" t="s">
        <v>138</v>
      </c>
      <c r="B23" s="71" t="s">
        <v>139</v>
      </c>
      <c r="C23" s="73"/>
      <c r="D23" s="73"/>
      <c r="E23" s="72"/>
      <c r="F23" s="71">
        <v>1</v>
      </c>
      <c r="G23" s="72"/>
      <c r="H23" s="71">
        <v>0</v>
      </c>
      <c r="I23" s="72"/>
      <c r="J23" s="71">
        <v>1</v>
      </c>
      <c r="K23" s="72"/>
      <c r="L23" s="38">
        <v>1</v>
      </c>
    </row>
    <row r="24" spans="1:12" s="10" customFormat="1" ht="29.25" hidden="1" customHeight="1">
      <c r="A24" s="38" t="s">
        <v>140</v>
      </c>
      <c r="B24" s="71"/>
      <c r="C24" s="73"/>
      <c r="D24" s="73"/>
      <c r="E24" s="72"/>
      <c r="F24" s="71"/>
      <c r="G24" s="72"/>
      <c r="H24" s="71">
        <v>1</v>
      </c>
      <c r="I24" s="72"/>
      <c r="J24" s="71">
        <v>0</v>
      </c>
      <c r="K24" s="72"/>
      <c r="L24" s="39">
        <v>0</v>
      </c>
    </row>
    <row r="25" spans="1:12" s="10" customFormat="1" ht="29.25" customHeight="1">
      <c r="A25" s="38" t="s">
        <v>141</v>
      </c>
      <c r="B25" s="71" t="s">
        <v>142</v>
      </c>
      <c r="C25" s="73"/>
      <c r="D25" s="73"/>
      <c r="E25" s="72"/>
      <c r="F25" s="71">
        <v>1</v>
      </c>
      <c r="G25" s="72"/>
      <c r="H25" s="71">
        <v>0</v>
      </c>
      <c r="I25" s="72"/>
      <c r="J25" s="71">
        <v>1</v>
      </c>
      <c r="K25" s="72"/>
      <c r="L25" s="38">
        <v>1</v>
      </c>
    </row>
    <row r="26" spans="1:12" s="10" customFormat="1" ht="29.25" customHeight="1">
      <c r="A26" s="38" t="s">
        <v>143</v>
      </c>
      <c r="B26" s="71" t="s">
        <v>142</v>
      </c>
      <c r="C26" s="73"/>
      <c r="D26" s="73"/>
      <c r="E26" s="72"/>
      <c r="F26" s="71"/>
      <c r="G26" s="72"/>
      <c r="H26" s="71">
        <v>1</v>
      </c>
      <c r="I26" s="72"/>
      <c r="J26" s="71">
        <v>0</v>
      </c>
      <c r="K26" s="72"/>
      <c r="L26" s="39">
        <v>0</v>
      </c>
    </row>
    <row r="27" spans="1:12" s="10" customFormat="1">
      <c r="A27" s="11" t="s">
        <v>144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</row>
    <row r="28" spans="1:12" ht="6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</row>
    <row r="29" spans="1:12" s="1" customFormat="1">
      <c r="C29" s="14"/>
      <c r="F29" s="1" t="s">
        <v>115</v>
      </c>
    </row>
    <row r="30" spans="1:12" s="1" customFormat="1">
      <c r="C30" s="14"/>
      <c r="J30" s="1" t="s">
        <v>145</v>
      </c>
    </row>
    <row r="31" spans="1:12">
      <c r="F31" s="74" t="s">
        <v>116</v>
      </c>
      <c r="G31" s="74"/>
      <c r="H31" s="74"/>
    </row>
    <row r="32" spans="1:12">
      <c r="F32" t="s">
        <v>117</v>
      </c>
    </row>
    <row r="33" spans="6:7">
      <c r="F33" s="84" t="s">
        <v>146</v>
      </c>
      <c r="G33" s="84"/>
    </row>
  </sheetData>
  <mergeCells count="71">
    <mergeCell ref="B18:E18"/>
    <mergeCell ref="F18:G18"/>
    <mergeCell ref="H18:I18"/>
    <mergeCell ref="J18:K18"/>
    <mergeCell ref="B21:E21"/>
    <mergeCell ref="F21:G21"/>
    <mergeCell ref="H21:I21"/>
    <mergeCell ref="J21:K21"/>
    <mergeCell ref="B19:E19"/>
    <mergeCell ref="F19:G19"/>
    <mergeCell ref="H19:I19"/>
    <mergeCell ref="J19:K19"/>
    <mergeCell ref="B20:E20"/>
    <mergeCell ref="F20:G20"/>
    <mergeCell ref="H20:I20"/>
    <mergeCell ref="J20:K20"/>
    <mergeCell ref="J15:K15"/>
    <mergeCell ref="J16:K16"/>
    <mergeCell ref="B16:E16"/>
    <mergeCell ref="B15:E15"/>
    <mergeCell ref="B17:E17"/>
    <mergeCell ref="F17:G17"/>
    <mergeCell ref="H17:I17"/>
    <mergeCell ref="J17:K17"/>
    <mergeCell ref="F33:G33"/>
    <mergeCell ref="H12:I12"/>
    <mergeCell ref="J12:K12"/>
    <mergeCell ref="B13:E13"/>
    <mergeCell ref="H13:I13"/>
    <mergeCell ref="J13:K13"/>
    <mergeCell ref="B14:E14"/>
    <mergeCell ref="H14:I14"/>
    <mergeCell ref="J14:K14"/>
    <mergeCell ref="F14:G14"/>
    <mergeCell ref="F13:G13"/>
    <mergeCell ref="F15:G15"/>
    <mergeCell ref="F16:G16"/>
    <mergeCell ref="A28:L28"/>
    <mergeCell ref="H15:I15"/>
    <mergeCell ref="H16:I16"/>
    <mergeCell ref="L11:L12"/>
    <mergeCell ref="B12:E12"/>
    <mergeCell ref="F12:G12"/>
    <mergeCell ref="A2:L2"/>
    <mergeCell ref="A3:L3"/>
    <mergeCell ref="A4:L4"/>
    <mergeCell ref="A5:L5"/>
    <mergeCell ref="A10:L10"/>
    <mergeCell ref="A11:A12"/>
    <mergeCell ref="B11:K11"/>
    <mergeCell ref="B22:E22"/>
    <mergeCell ref="F22:G22"/>
    <mergeCell ref="H22:I22"/>
    <mergeCell ref="J22:K22"/>
    <mergeCell ref="F31:H31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9" type="noConversion"/>
  <pageMargins left="0.7" right="0.7" top="0.75" bottom="0.75" header="0.3" footer="0.3"/>
  <pageSetup paperSize="9" scale="61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1F46-3085-494A-947D-383828C908F6}">
  <sheetPr>
    <pageSetUpPr fitToPage="1"/>
  </sheetPr>
  <dimension ref="A1:O24"/>
  <sheetViews>
    <sheetView workbookViewId="0">
      <selection activeCell="B21" sqref="B21"/>
    </sheetView>
  </sheetViews>
  <sheetFormatPr defaultRowHeight="15"/>
  <cols>
    <col min="1" max="1" width="19.5703125" customWidth="1"/>
    <col min="2" max="2" width="22.85546875" customWidth="1"/>
    <col min="6" max="6" width="7.42578125" customWidth="1"/>
    <col min="8" max="8" width="6.140625" customWidth="1"/>
    <col min="9" max="9" width="8" customWidth="1"/>
    <col min="10" max="10" width="6.5703125" customWidth="1"/>
    <col min="12" max="12" width="5.7109375" customWidth="1"/>
  </cols>
  <sheetData>
    <row r="1" spans="1:15">
      <c r="A1" s="1"/>
      <c r="B1" s="1"/>
      <c r="C1" s="1"/>
      <c r="D1" s="44"/>
      <c r="E1" s="45"/>
      <c r="F1" s="1"/>
      <c r="G1" s="1"/>
      <c r="H1" s="1"/>
      <c r="I1" s="14"/>
      <c r="J1" s="1"/>
      <c r="K1" s="1"/>
      <c r="L1" s="1"/>
      <c r="M1" s="1"/>
      <c r="N1" s="1"/>
      <c r="O1" s="1"/>
    </row>
    <row r="2" spans="1:15">
      <c r="A2" s="1"/>
      <c r="B2" s="1"/>
      <c r="C2" s="1"/>
      <c r="D2" s="44"/>
      <c r="E2" s="45"/>
      <c r="F2" s="1"/>
      <c r="G2" s="1"/>
      <c r="H2" s="1"/>
      <c r="I2" s="14"/>
      <c r="J2" s="1"/>
      <c r="K2" s="1"/>
      <c r="L2" s="1"/>
      <c r="M2" s="1"/>
      <c r="N2" s="1"/>
      <c r="O2" s="1"/>
    </row>
    <row r="3" spans="1:15">
      <c r="A3" s="1"/>
      <c r="B3" s="1"/>
      <c r="C3" s="1"/>
      <c r="D3" s="44"/>
      <c r="E3" s="45"/>
      <c r="F3" s="1"/>
      <c r="G3" s="1"/>
      <c r="H3" s="1"/>
      <c r="I3" s="14"/>
      <c r="J3" s="1"/>
      <c r="K3" s="1"/>
      <c r="L3" s="1"/>
      <c r="M3" s="1"/>
      <c r="N3" s="1"/>
      <c r="O3" s="1"/>
    </row>
    <row r="4" spans="1:15">
      <c r="A4" s="1"/>
      <c r="B4" s="1"/>
      <c r="C4" s="1"/>
      <c r="D4" s="44"/>
      <c r="E4" s="45"/>
      <c r="F4" s="1"/>
      <c r="G4" s="1"/>
      <c r="H4" s="1"/>
      <c r="I4" s="14"/>
      <c r="J4" s="1"/>
      <c r="K4" s="1"/>
      <c r="L4" s="1"/>
      <c r="M4" s="1"/>
      <c r="N4" s="1"/>
      <c r="O4" s="1"/>
    </row>
    <row r="5" spans="1:15">
      <c r="A5" s="61" t="s">
        <v>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1"/>
      <c r="O5" s="1"/>
    </row>
    <row r="6" spans="1:15">
      <c r="A6" s="61" t="s">
        <v>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1"/>
      <c r="O6" s="1"/>
    </row>
    <row r="7" spans="1:15">
      <c r="A7" s="61" t="s">
        <v>2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1"/>
      <c r="O7" s="1"/>
    </row>
    <row r="8" spans="1:15">
      <c r="A8" s="61" t="s">
        <v>3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1"/>
      <c r="O8" s="1"/>
    </row>
    <row r="9" spans="1:15">
      <c r="A9" s="1"/>
      <c r="B9" s="1"/>
      <c r="C9" s="1"/>
      <c r="D9" s="14"/>
      <c r="E9" s="1"/>
      <c r="F9" s="1"/>
      <c r="G9" s="1"/>
      <c r="H9" s="1"/>
      <c r="I9" s="14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4"/>
      <c r="E10" s="1"/>
      <c r="F10" s="1"/>
      <c r="G10" s="1"/>
      <c r="H10" s="1"/>
      <c r="I10" s="14"/>
      <c r="J10" s="1"/>
      <c r="K10" s="1"/>
      <c r="L10" s="1"/>
      <c r="M10" s="1"/>
      <c r="N10" s="1"/>
      <c r="O10" s="1"/>
    </row>
    <row r="11" spans="1:15">
      <c r="A11" s="2" t="s">
        <v>147</v>
      </c>
      <c r="B11" s="2"/>
      <c r="C11" s="2"/>
      <c r="D11" s="59" t="s">
        <v>148</v>
      </c>
      <c r="E11" s="59"/>
      <c r="F11" s="59"/>
      <c r="G11" s="59"/>
      <c r="H11" s="59"/>
      <c r="I11" s="1"/>
      <c r="J11" s="59" t="s">
        <v>149</v>
      </c>
      <c r="K11" s="59"/>
      <c r="L11" s="59"/>
      <c r="M11" s="2"/>
      <c r="N11" s="1"/>
      <c r="O11" s="1"/>
    </row>
    <row r="12" spans="1:15">
      <c r="A12" s="1"/>
      <c r="B12" s="1"/>
      <c r="C12" s="4"/>
      <c r="D12" s="59" t="s">
        <v>150</v>
      </c>
      <c r="E12" s="59"/>
      <c r="F12" s="59"/>
      <c r="G12" s="59"/>
      <c r="H12" s="59"/>
      <c r="I12" s="1"/>
      <c r="J12" s="86" t="s">
        <v>151</v>
      </c>
      <c r="K12" s="86"/>
      <c r="L12" s="86"/>
      <c r="M12" s="4"/>
      <c r="N12" s="1"/>
      <c r="O12" s="1"/>
    </row>
    <row r="13" spans="1:15" ht="17.25" customHeight="1">
      <c r="A13" s="2" t="s">
        <v>152</v>
      </c>
      <c r="B13" s="2"/>
      <c r="C13" s="2"/>
      <c r="D13" s="46"/>
      <c r="E13" s="4"/>
      <c r="F13" s="4"/>
      <c r="G13" s="1"/>
      <c r="H13" s="1"/>
      <c r="I13" s="1"/>
      <c r="J13" s="59" t="s">
        <v>153</v>
      </c>
      <c r="K13" s="59"/>
      <c r="L13" s="59"/>
      <c r="M13" s="2"/>
      <c r="N13" s="1"/>
      <c r="O13" s="1"/>
    </row>
    <row r="14" spans="1:15" ht="21.75" thickBot="1">
      <c r="A14" s="60" t="s">
        <v>154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</row>
    <row r="15" spans="1:15">
      <c r="A15" s="87" t="s">
        <v>155</v>
      </c>
      <c r="B15" s="90" t="s">
        <v>11</v>
      </c>
      <c r="C15" s="93" t="s">
        <v>156</v>
      </c>
      <c r="D15" s="94"/>
      <c r="E15" s="93" t="s">
        <v>157</v>
      </c>
      <c r="F15" s="94"/>
      <c r="G15" s="93" t="s">
        <v>121</v>
      </c>
      <c r="H15" s="94"/>
      <c r="I15" s="93" t="s">
        <v>122</v>
      </c>
      <c r="J15" s="94"/>
      <c r="K15" s="93" t="s">
        <v>123</v>
      </c>
      <c r="L15" s="94"/>
      <c r="M15" s="99" t="s">
        <v>15</v>
      </c>
      <c r="N15" s="9"/>
      <c r="O15" s="9"/>
    </row>
    <row r="16" spans="1:15">
      <c r="A16" s="88"/>
      <c r="B16" s="91"/>
      <c r="C16" s="95"/>
      <c r="D16" s="96"/>
      <c r="E16" s="95"/>
      <c r="F16" s="96"/>
      <c r="G16" s="95"/>
      <c r="H16" s="96"/>
      <c r="I16" s="95"/>
      <c r="J16" s="96"/>
      <c r="K16" s="95"/>
      <c r="L16" s="96"/>
      <c r="M16" s="100"/>
      <c r="N16" s="9"/>
      <c r="O16" s="9"/>
    </row>
    <row r="17" spans="1:15">
      <c r="A17" s="89"/>
      <c r="B17" s="92"/>
      <c r="C17" s="97"/>
      <c r="D17" s="98"/>
      <c r="E17" s="97"/>
      <c r="F17" s="98"/>
      <c r="G17" s="97"/>
      <c r="H17" s="98"/>
      <c r="I17" s="97"/>
      <c r="J17" s="98"/>
      <c r="K17" s="97"/>
      <c r="L17" s="98"/>
      <c r="M17" s="101"/>
      <c r="N17" s="9"/>
      <c r="O17" s="9"/>
    </row>
    <row r="18" spans="1:15" ht="36.75" customHeight="1">
      <c r="A18" s="47" t="s">
        <v>158</v>
      </c>
      <c r="B18" s="48" t="s">
        <v>159</v>
      </c>
      <c r="C18" s="71"/>
      <c r="D18" s="73"/>
      <c r="E18" s="71" t="s">
        <v>160</v>
      </c>
      <c r="F18" s="73"/>
      <c r="G18" s="71">
        <v>5</v>
      </c>
      <c r="H18" s="72"/>
      <c r="I18" s="71">
        <v>0</v>
      </c>
      <c r="J18" s="72"/>
      <c r="K18" s="71">
        <v>5</v>
      </c>
      <c r="L18" s="72"/>
      <c r="M18" s="49">
        <v>5</v>
      </c>
      <c r="N18" s="9"/>
      <c r="O18" s="9"/>
    </row>
    <row r="19" spans="1:15" ht="33.75" customHeight="1">
      <c r="A19" s="47"/>
      <c r="B19" s="50" t="s">
        <v>161</v>
      </c>
      <c r="C19" s="71"/>
      <c r="D19" s="73"/>
      <c r="E19" s="71"/>
      <c r="F19" s="73"/>
      <c r="G19" s="71"/>
      <c r="H19" s="72"/>
      <c r="I19" s="71">
        <v>3</v>
      </c>
      <c r="J19" s="72"/>
      <c r="K19" s="71">
        <v>2</v>
      </c>
      <c r="L19" s="72"/>
      <c r="M19" s="51">
        <v>2</v>
      </c>
      <c r="N19" s="10"/>
      <c r="O19" s="10"/>
    </row>
    <row r="20" spans="1:15" ht="33.75" customHeight="1">
      <c r="A20" s="47"/>
      <c r="B20" s="50" t="s">
        <v>162</v>
      </c>
      <c r="C20" s="71"/>
      <c r="D20" s="73"/>
      <c r="E20" s="71"/>
      <c r="F20" s="73"/>
      <c r="G20" s="71"/>
      <c r="H20" s="72"/>
      <c r="I20" s="71">
        <v>1</v>
      </c>
      <c r="J20" s="72"/>
      <c r="K20" s="71">
        <v>1</v>
      </c>
      <c r="L20" s="72"/>
      <c r="M20" s="51">
        <v>1</v>
      </c>
      <c r="N20" s="10"/>
      <c r="O20" s="10"/>
    </row>
    <row r="21" spans="1:15" ht="33.75" customHeight="1">
      <c r="A21" s="47"/>
      <c r="B21" s="50" t="s">
        <v>163</v>
      </c>
      <c r="C21" s="71"/>
      <c r="D21" s="73"/>
      <c r="E21" s="71"/>
      <c r="F21" s="73"/>
      <c r="G21" s="71"/>
      <c r="H21" s="72"/>
      <c r="I21" s="71">
        <v>1</v>
      </c>
      <c r="J21" s="72"/>
      <c r="K21" s="71">
        <v>0</v>
      </c>
      <c r="L21" s="72"/>
      <c r="M21" s="54">
        <v>0</v>
      </c>
      <c r="N21" s="10"/>
      <c r="O21" s="10"/>
    </row>
    <row r="22" spans="1:15">
      <c r="A22" s="43"/>
      <c r="B22" s="43"/>
      <c r="C22" s="1"/>
      <c r="D22" s="14"/>
      <c r="E22" s="1"/>
      <c r="F22" s="1"/>
      <c r="G22" s="1"/>
      <c r="H22" s="1"/>
      <c r="I22" s="1"/>
      <c r="J22" s="1"/>
      <c r="K22" s="1"/>
      <c r="L22" s="1"/>
      <c r="M22" s="43"/>
      <c r="N22" s="1"/>
      <c r="O22" s="1"/>
    </row>
    <row r="23" spans="1:15">
      <c r="A23" s="1"/>
      <c r="B23" s="1"/>
      <c r="C23" s="1"/>
      <c r="D23" s="1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38"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A5:M5"/>
    <mergeCell ref="A6:M6"/>
    <mergeCell ref="A7:M7"/>
    <mergeCell ref="A8:M8"/>
    <mergeCell ref="D11:H11"/>
    <mergeCell ref="J11:L11"/>
  </mergeCells>
  <pageMargins left="0.7" right="0.7" top="0.75" bottom="0.75" header="0.3" footer="0.3"/>
  <pageSetup paperSize="9" scale="58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94D6-234B-41B4-B7A1-4B8FAB2A1BEA}">
  <sheetPr>
    <pageSetUpPr fitToPage="1"/>
  </sheetPr>
  <dimension ref="A1:K90"/>
  <sheetViews>
    <sheetView view="pageBreakPreview" topLeftCell="A29" zoomScaleNormal="100" zoomScaleSheetLayoutView="100" workbookViewId="0">
      <selection activeCell="A41" sqref="A41:XFD41"/>
    </sheetView>
  </sheetViews>
  <sheetFormatPr defaultRowHeight="15"/>
  <cols>
    <col min="1" max="1" width="36.5703125" style="17" customWidth="1"/>
    <col min="2" max="10" width="11.5703125" customWidth="1"/>
  </cols>
  <sheetData>
    <row r="1" spans="1:10" s="1" customFormat="1" ht="52.5" customHeight="1">
      <c r="A1" s="16"/>
    </row>
    <row r="2" spans="1:10" s="1" customFormat="1" ht="10.5" customHeight="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s="1" customFormat="1" ht="15.95" customHeight="1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</row>
    <row r="4" spans="1:10" s="1" customFormat="1" ht="15.95" customHeight="1">
      <c r="A4" s="61" t="s">
        <v>2</v>
      </c>
      <c r="B4" s="61"/>
      <c r="C4" s="61"/>
      <c r="D4" s="61"/>
      <c r="E4" s="61"/>
      <c r="F4" s="61"/>
      <c r="G4" s="61"/>
      <c r="H4" s="61"/>
      <c r="I4" s="61"/>
      <c r="J4" s="61"/>
    </row>
    <row r="5" spans="1:10" s="1" customFormat="1" ht="15.95" customHeight="1">
      <c r="A5" s="61" t="s">
        <v>3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1" customFormat="1" ht="8.25" customHeight="1">
      <c r="A6" s="16"/>
    </row>
    <row r="7" spans="1:10" s="1" customFormat="1" ht="12" customHeight="1">
      <c r="A7" s="18" t="s">
        <v>4</v>
      </c>
      <c r="B7" s="59" t="s">
        <v>5</v>
      </c>
      <c r="C7" s="59"/>
      <c r="D7" s="59"/>
      <c r="H7" s="2" t="s">
        <v>6</v>
      </c>
      <c r="I7" s="8"/>
      <c r="J7" s="2"/>
    </row>
    <row r="8" spans="1:10" s="1" customFormat="1" ht="12" customHeight="1">
      <c r="A8" s="16"/>
      <c r="B8" s="4"/>
      <c r="C8" s="4"/>
      <c r="H8" s="4"/>
      <c r="I8" s="4"/>
      <c r="J8" s="4"/>
    </row>
    <row r="9" spans="1:10" s="1" customFormat="1" ht="12" customHeight="1">
      <c r="A9" s="18" t="s">
        <v>7</v>
      </c>
      <c r="B9" s="59" t="s">
        <v>8</v>
      </c>
      <c r="C9" s="59"/>
      <c r="D9" s="59"/>
      <c r="H9" s="2" t="s">
        <v>9</v>
      </c>
      <c r="I9" s="7"/>
      <c r="J9" s="2"/>
    </row>
    <row r="10" spans="1:10" ht="16.5" customHeight="1" thickBot="1">
      <c r="A10" s="60" t="s">
        <v>10</v>
      </c>
      <c r="B10" s="60"/>
      <c r="C10" s="60"/>
      <c r="D10" s="60"/>
      <c r="E10" s="60"/>
      <c r="F10" s="60"/>
      <c r="G10" s="60"/>
      <c r="H10" s="60"/>
      <c r="I10" s="60"/>
      <c r="J10" s="60"/>
    </row>
    <row r="11" spans="1:10" ht="18.75" customHeight="1">
      <c r="A11" s="69" t="s">
        <v>11</v>
      </c>
      <c r="B11" s="65" t="s">
        <v>12</v>
      </c>
      <c r="C11" s="65"/>
      <c r="D11" s="62" t="s">
        <v>13</v>
      </c>
      <c r="E11" s="63"/>
      <c r="F11" s="63"/>
      <c r="G11" s="64"/>
      <c r="H11" s="68" t="s">
        <v>14</v>
      </c>
      <c r="I11" s="68"/>
      <c r="J11" s="66" t="s">
        <v>15</v>
      </c>
    </row>
    <row r="12" spans="1:10" ht="18.75" customHeight="1">
      <c r="A12" s="70"/>
      <c r="B12" s="6" t="s">
        <v>16</v>
      </c>
      <c r="C12" s="6" t="s">
        <v>17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16</v>
      </c>
      <c r="I12" s="6" t="s">
        <v>17</v>
      </c>
      <c r="J12" s="67"/>
    </row>
    <row r="13" spans="1:10" ht="18.75" customHeight="1">
      <c r="A13" s="21" t="s">
        <v>20</v>
      </c>
      <c r="B13" s="3">
        <f>SUM(1.25/30)*17</f>
        <v>0.70833333333333326</v>
      </c>
      <c r="C13" s="3">
        <f>SUM(1.25/30)*17</f>
        <v>0.70833333333333326</v>
      </c>
      <c r="D13" s="3"/>
      <c r="E13" s="3"/>
      <c r="F13" s="3"/>
      <c r="G13" s="3"/>
      <c r="H13" s="3">
        <f>SUM(B13)</f>
        <v>0.70833333333333326</v>
      </c>
      <c r="I13" s="3">
        <f>SUM(C13)</f>
        <v>0.70833333333333326</v>
      </c>
      <c r="J13" s="5">
        <f>SUM(H13:I13)</f>
        <v>1.4166666666666665</v>
      </c>
    </row>
    <row r="14" spans="1:10" ht="18.75" customHeight="1">
      <c r="A14" s="21" t="s">
        <v>21</v>
      </c>
      <c r="B14" s="3">
        <v>5</v>
      </c>
      <c r="C14" s="3">
        <v>5</v>
      </c>
      <c r="D14" s="3"/>
      <c r="E14" s="3"/>
      <c r="F14" s="3"/>
      <c r="G14" s="3"/>
      <c r="H14" s="3">
        <f>H13-F14-D14+B14</f>
        <v>5.708333333333333</v>
      </c>
      <c r="I14" s="3">
        <f>I13-E14+C14</f>
        <v>5.708333333333333</v>
      </c>
      <c r="J14" s="5">
        <f>SUM(H14:I14)</f>
        <v>11.416666666666666</v>
      </c>
    </row>
    <row r="15" spans="1:10" ht="18.75" customHeight="1">
      <c r="A15" s="21" t="s">
        <v>164</v>
      </c>
      <c r="B15" s="3">
        <f>SUM(1.25/30)*15</f>
        <v>0.625</v>
      </c>
      <c r="C15" s="3">
        <f>SUM(1.25/30)*15</f>
        <v>0.625</v>
      </c>
      <c r="D15" s="3"/>
      <c r="E15" s="3"/>
      <c r="F15" s="3"/>
      <c r="G15" s="3"/>
      <c r="H15" s="3">
        <f t="shared" ref="H15:H78" si="0">H14-F15-D15+B15</f>
        <v>6.333333333333333</v>
      </c>
      <c r="I15" s="3">
        <f t="shared" ref="I15:I78" si="1">I14-E15+C15</f>
        <v>6.333333333333333</v>
      </c>
      <c r="J15" s="5">
        <f t="shared" ref="J15:J78" si="2">SUM(H15:I15)</f>
        <v>12.666666666666666</v>
      </c>
    </row>
    <row r="16" spans="1:10" ht="18.75" customHeight="1">
      <c r="A16" s="21" t="s">
        <v>23</v>
      </c>
      <c r="B16" s="3"/>
      <c r="C16" s="3"/>
      <c r="D16" s="3"/>
      <c r="E16" s="3"/>
      <c r="F16" s="3">
        <v>1</v>
      </c>
      <c r="G16" s="3"/>
      <c r="H16" s="3">
        <f t="shared" si="0"/>
        <v>5.333333333333333</v>
      </c>
      <c r="I16" s="3">
        <f t="shared" si="1"/>
        <v>6.333333333333333</v>
      </c>
      <c r="J16" s="5">
        <f t="shared" si="2"/>
        <v>11.666666666666666</v>
      </c>
    </row>
    <row r="17" spans="1:10" ht="18.75" customHeight="1">
      <c r="A17" s="21" t="s">
        <v>165</v>
      </c>
      <c r="B17" s="3">
        <f>SUM(1.25/30)*15</f>
        <v>0.625</v>
      </c>
      <c r="C17" s="3">
        <f>SUM(1.25/30)*15</f>
        <v>0.625</v>
      </c>
      <c r="D17" s="3"/>
      <c r="E17" s="3"/>
      <c r="F17" s="3"/>
      <c r="G17" s="3"/>
      <c r="H17" s="3">
        <f t="shared" si="0"/>
        <v>5.958333333333333</v>
      </c>
      <c r="I17" s="3">
        <f t="shared" si="1"/>
        <v>6.958333333333333</v>
      </c>
      <c r="J17" s="5">
        <f t="shared" si="2"/>
        <v>12.916666666666666</v>
      </c>
    </row>
    <row r="18" spans="1:10" ht="18.75" customHeight="1">
      <c r="A18" s="21" t="s">
        <v>24</v>
      </c>
      <c r="B18" s="19">
        <v>1.25</v>
      </c>
      <c r="C18" s="19">
        <v>1.25</v>
      </c>
      <c r="D18" s="3"/>
      <c r="E18" s="3"/>
      <c r="F18" s="3"/>
      <c r="G18" s="3"/>
      <c r="H18" s="3">
        <f t="shared" si="0"/>
        <v>7.208333333333333</v>
      </c>
      <c r="I18" s="3">
        <f t="shared" si="1"/>
        <v>8.2083333333333321</v>
      </c>
      <c r="J18" s="5">
        <f t="shared" si="2"/>
        <v>15.416666666666664</v>
      </c>
    </row>
    <row r="19" spans="1:10" ht="18.75" customHeight="1">
      <c r="A19" s="21" t="s">
        <v>25</v>
      </c>
      <c r="B19" s="19"/>
      <c r="C19" s="19"/>
      <c r="D19" s="3"/>
      <c r="E19" s="3"/>
      <c r="F19" s="3"/>
      <c r="G19" s="3">
        <v>1</v>
      </c>
      <c r="H19" s="3">
        <f t="shared" si="0"/>
        <v>7.208333333333333</v>
      </c>
      <c r="I19" s="3">
        <f t="shared" si="1"/>
        <v>8.2083333333333321</v>
      </c>
      <c r="J19" s="5">
        <f t="shared" si="2"/>
        <v>15.416666666666664</v>
      </c>
    </row>
    <row r="20" spans="1:10" ht="18.75" customHeight="1">
      <c r="A20" s="21" t="s">
        <v>26</v>
      </c>
      <c r="B20" s="3"/>
      <c r="C20" s="3"/>
      <c r="D20" s="3"/>
      <c r="E20" s="3">
        <v>2</v>
      </c>
      <c r="F20" s="3"/>
      <c r="G20" s="3"/>
      <c r="H20" s="3">
        <f t="shared" si="0"/>
        <v>7.208333333333333</v>
      </c>
      <c r="I20" s="3">
        <f t="shared" si="1"/>
        <v>6.2083333333333321</v>
      </c>
      <c r="J20" s="5">
        <f t="shared" si="2"/>
        <v>13.416666666666664</v>
      </c>
    </row>
    <row r="21" spans="1:10" ht="18.75" customHeight="1">
      <c r="A21" s="21" t="s">
        <v>27</v>
      </c>
      <c r="B21" s="19">
        <v>1.25</v>
      </c>
      <c r="C21" s="19">
        <v>1.25</v>
      </c>
      <c r="D21" s="3"/>
      <c r="E21" s="3"/>
      <c r="F21" s="3"/>
      <c r="G21" s="3"/>
      <c r="H21" s="3">
        <f t="shared" si="0"/>
        <v>8.4583333333333321</v>
      </c>
      <c r="I21" s="3">
        <f t="shared" si="1"/>
        <v>7.4583333333333321</v>
      </c>
      <c r="J21" s="5">
        <f t="shared" si="2"/>
        <v>15.916666666666664</v>
      </c>
    </row>
    <row r="22" spans="1:10" ht="18.75" customHeight="1">
      <c r="A22" s="21" t="s">
        <v>28</v>
      </c>
      <c r="B22" s="3"/>
      <c r="C22" s="3"/>
      <c r="D22" s="3"/>
      <c r="E22" s="3">
        <v>0.5</v>
      </c>
      <c r="F22" s="3"/>
      <c r="G22" s="3"/>
      <c r="H22" s="3">
        <f t="shared" si="0"/>
        <v>8.4583333333333321</v>
      </c>
      <c r="I22" s="3">
        <f t="shared" si="1"/>
        <v>6.9583333333333321</v>
      </c>
      <c r="J22" s="5">
        <f t="shared" si="2"/>
        <v>15.416666666666664</v>
      </c>
    </row>
    <row r="23" spans="1:10" ht="18.75" customHeight="1">
      <c r="A23" s="21" t="s">
        <v>29</v>
      </c>
      <c r="B23" s="19">
        <v>1.25</v>
      </c>
      <c r="C23" s="19">
        <v>1.25</v>
      </c>
      <c r="D23" s="3"/>
      <c r="E23" s="3"/>
      <c r="F23" s="3"/>
      <c r="G23" s="3"/>
      <c r="H23" s="3">
        <f t="shared" si="0"/>
        <v>9.7083333333333321</v>
      </c>
      <c r="I23" s="3">
        <f t="shared" si="1"/>
        <v>8.2083333333333321</v>
      </c>
      <c r="J23" s="5">
        <f t="shared" si="2"/>
        <v>17.916666666666664</v>
      </c>
    </row>
    <row r="24" spans="1:10" ht="18.75" customHeight="1">
      <c r="A24" s="21" t="s">
        <v>30</v>
      </c>
      <c r="B24" s="19"/>
      <c r="C24" s="3"/>
      <c r="D24" s="3"/>
      <c r="E24" s="3"/>
      <c r="F24" s="3"/>
      <c r="G24" s="3">
        <v>1</v>
      </c>
      <c r="H24" s="3">
        <f t="shared" si="0"/>
        <v>9.7083333333333321</v>
      </c>
      <c r="I24" s="3">
        <f t="shared" si="1"/>
        <v>8.2083333333333321</v>
      </c>
      <c r="J24" s="5">
        <f t="shared" si="2"/>
        <v>17.916666666666664</v>
      </c>
    </row>
    <row r="25" spans="1:10" ht="18.75" customHeight="1">
      <c r="A25" s="21" t="s">
        <v>31</v>
      </c>
      <c r="B25" s="3"/>
      <c r="C25" s="3"/>
      <c r="D25" s="3"/>
      <c r="E25" s="3">
        <v>1</v>
      </c>
      <c r="F25" s="3"/>
      <c r="G25" s="3"/>
      <c r="H25" s="3">
        <f t="shared" si="0"/>
        <v>9.7083333333333321</v>
      </c>
      <c r="I25" s="3">
        <f t="shared" si="1"/>
        <v>7.2083333333333321</v>
      </c>
      <c r="J25" s="5">
        <f t="shared" si="2"/>
        <v>16.916666666666664</v>
      </c>
    </row>
    <row r="26" spans="1:10" ht="18.75" customHeight="1">
      <c r="A26" s="21" t="s">
        <v>32</v>
      </c>
      <c r="B26" s="19">
        <v>1.25</v>
      </c>
      <c r="C26" s="19">
        <v>1.25</v>
      </c>
      <c r="D26" s="3"/>
      <c r="E26" s="3"/>
      <c r="F26" s="3"/>
      <c r="G26" s="3"/>
      <c r="H26" s="3">
        <f t="shared" si="0"/>
        <v>10.958333333333332</v>
      </c>
      <c r="I26" s="3">
        <f t="shared" si="1"/>
        <v>8.4583333333333321</v>
      </c>
      <c r="J26" s="5">
        <f t="shared" si="2"/>
        <v>19.416666666666664</v>
      </c>
    </row>
    <row r="27" spans="1:10" ht="18.75" customHeight="1">
      <c r="A27" s="21" t="s">
        <v>33</v>
      </c>
      <c r="B27" s="19"/>
      <c r="C27" s="3"/>
      <c r="D27" s="3"/>
      <c r="E27" s="3"/>
      <c r="F27" s="3"/>
      <c r="G27" s="3">
        <v>1</v>
      </c>
      <c r="H27" s="3">
        <f t="shared" si="0"/>
        <v>10.958333333333332</v>
      </c>
      <c r="I27" s="3">
        <f t="shared" si="1"/>
        <v>8.4583333333333321</v>
      </c>
      <c r="J27" s="5">
        <f t="shared" si="2"/>
        <v>19.416666666666664</v>
      </c>
    </row>
    <row r="28" spans="1:10" ht="18.75" customHeight="1">
      <c r="A28" s="21" t="s">
        <v>34</v>
      </c>
      <c r="B28" s="19">
        <v>1.25</v>
      </c>
      <c r="C28" s="19">
        <v>1.25</v>
      </c>
      <c r="D28" s="3"/>
      <c r="E28" s="3"/>
      <c r="F28" s="3"/>
      <c r="G28" s="3"/>
      <c r="H28" s="3">
        <f t="shared" si="0"/>
        <v>12.208333333333332</v>
      </c>
      <c r="I28" s="3">
        <f t="shared" si="1"/>
        <v>9.7083333333333321</v>
      </c>
      <c r="J28" s="5">
        <f t="shared" si="2"/>
        <v>21.916666666666664</v>
      </c>
    </row>
    <row r="29" spans="1:10" ht="18.75" customHeight="1">
      <c r="A29" s="21" t="s">
        <v>35</v>
      </c>
      <c r="B29" s="3"/>
      <c r="C29" s="3"/>
      <c r="D29" s="3"/>
      <c r="E29" s="3"/>
      <c r="F29" s="3">
        <v>1</v>
      </c>
      <c r="G29" s="3"/>
      <c r="H29" s="3">
        <f t="shared" si="0"/>
        <v>11.208333333333332</v>
      </c>
      <c r="I29" s="3">
        <f t="shared" si="1"/>
        <v>9.7083333333333321</v>
      </c>
      <c r="J29" s="5">
        <f t="shared" si="2"/>
        <v>20.916666666666664</v>
      </c>
    </row>
    <row r="30" spans="1:10" ht="18.75" customHeight="1">
      <c r="A30" s="21" t="s">
        <v>36</v>
      </c>
      <c r="B30" s="3"/>
      <c r="C30" s="3"/>
      <c r="D30" s="3"/>
      <c r="E30" s="3">
        <v>0.5</v>
      </c>
      <c r="F30" s="3"/>
      <c r="G30" s="3"/>
      <c r="H30" s="3">
        <f t="shared" si="0"/>
        <v>11.208333333333332</v>
      </c>
      <c r="I30" s="3">
        <f t="shared" si="1"/>
        <v>9.2083333333333321</v>
      </c>
      <c r="J30" s="5">
        <f t="shared" si="2"/>
        <v>20.416666666666664</v>
      </c>
    </row>
    <row r="31" spans="1:10" ht="18.75" customHeight="1">
      <c r="A31" s="21" t="s">
        <v>37</v>
      </c>
      <c r="B31" s="19">
        <v>1.25</v>
      </c>
      <c r="C31" s="19">
        <v>1.25</v>
      </c>
      <c r="D31" s="3"/>
      <c r="E31" s="3"/>
      <c r="F31" s="3"/>
      <c r="G31" s="3"/>
      <c r="H31" s="3">
        <f t="shared" si="0"/>
        <v>12.458333333333332</v>
      </c>
      <c r="I31" s="3">
        <f t="shared" si="1"/>
        <v>10.458333333333332</v>
      </c>
      <c r="J31" s="5">
        <f t="shared" si="2"/>
        <v>22.916666666666664</v>
      </c>
    </row>
    <row r="32" spans="1:10" ht="18.75" customHeight="1">
      <c r="A32" s="22" t="s">
        <v>38</v>
      </c>
      <c r="B32" s="23"/>
      <c r="C32" s="23"/>
      <c r="D32" s="23"/>
      <c r="E32" s="23"/>
      <c r="F32" s="24">
        <v>1</v>
      </c>
      <c r="G32" s="24"/>
      <c r="H32" s="3">
        <f t="shared" si="0"/>
        <v>11.458333333333332</v>
      </c>
      <c r="I32" s="3">
        <f t="shared" si="1"/>
        <v>10.458333333333332</v>
      </c>
      <c r="J32" s="5">
        <f t="shared" si="2"/>
        <v>21.916666666666664</v>
      </c>
    </row>
    <row r="33" spans="1:11" ht="15.75">
      <c r="A33" s="25" t="s">
        <v>39</v>
      </c>
      <c r="B33" s="26"/>
      <c r="C33" s="26"/>
      <c r="D33" s="26"/>
      <c r="E33" s="26"/>
      <c r="F33" s="27">
        <v>2</v>
      </c>
      <c r="G33" s="28"/>
      <c r="H33" s="3">
        <f t="shared" si="0"/>
        <v>9.4583333333333321</v>
      </c>
      <c r="I33" s="3">
        <f t="shared" si="1"/>
        <v>10.458333333333332</v>
      </c>
      <c r="J33" s="5">
        <f t="shared" si="2"/>
        <v>19.916666666666664</v>
      </c>
    </row>
    <row r="34" spans="1:11" ht="15.75">
      <c r="A34" s="21" t="s">
        <v>40</v>
      </c>
      <c r="B34" s="19">
        <v>1.25</v>
      </c>
      <c r="C34" s="19">
        <v>1.25</v>
      </c>
      <c r="D34" s="26"/>
      <c r="E34" s="26"/>
      <c r="F34" s="26"/>
      <c r="G34" s="29"/>
      <c r="H34" s="3">
        <f t="shared" si="0"/>
        <v>10.708333333333332</v>
      </c>
      <c r="I34" s="3">
        <f t="shared" si="1"/>
        <v>11.708333333333332</v>
      </c>
      <c r="J34" s="5">
        <f t="shared" si="2"/>
        <v>22.416666666666664</v>
      </c>
    </row>
    <row r="35" spans="1:11" ht="15.75">
      <c r="A35" s="22" t="s">
        <v>41</v>
      </c>
      <c r="B35" s="26"/>
      <c r="C35" s="26"/>
      <c r="D35" s="26"/>
      <c r="E35" s="26"/>
      <c r="F35" s="27">
        <v>2</v>
      </c>
      <c r="G35" s="29"/>
      <c r="H35" s="3">
        <f t="shared" si="0"/>
        <v>8.7083333333333321</v>
      </c>
      <c r="I35" s="3">
        <f t="shared" si="1"/>
        <v>11.708333333333332</v>
      </c>
      <c r="J35" s="5">
        <f t="shared" si="2"/>
        <v>20.416666666666664</v>
      </c>
    </row>
    <row r="36" spans="1:11" ht="15.75">
      <c r="A36" s="22" t="s">
        <v>42</v>
      </c>
      <c r="B36" s="20">
        <v>1.25</v>
      </c>
      <c r="C36" s="20">
        <v>1.25</v>
      </c>
      <c r="D36" s="29"/>
      <c r="E36" s="29"/>
      <c r="F36" s="29"/>
      <c r="G36" s="29"/>
      <c r="H36" s="3">
        <f t="shared" si="0"/>
        <v>9.9583333333333321</v>
      </c>
      <c r="I36" s="3">
        <f t="shared" si="1"/>
        <v>12.958333333333332</v>
      </c>
      <c r="J36" s="5">
        <f t="shared" si="2"/>
        <v>22.916666666666664</v>
      </c>
    </row>
    <row r="37" spans="1:11" ht="15.75">
      <c r="A37" s="25" t="s">
        <v>43</v>
      </c>
      <c r="B37" s="26"/>
      <c r="C37" s="26"/>
      <c r="D37" s="26"/>
      <c r="E37" s="26"/>
      <c r="F37" s="26"/>
      <c r="G37" s="27">
        <v>1</v>
      </c>
      <c r="H37" s="3">
        <f t="shared" si="0"/>
        <v>9.9583333333333321</v>
      </c>
      <c r="I37" s="3">
        <f t="shared" si="1"/>
        <v>12.958333333333332</v>
      </c>
      <c r="J37" s="5">
        <f t="shared" si="2"/>
        <v>22.916666666666664</v>
      </c>
    </row>
    <row r="38" spans="1:11" ht="15.75">
      <c r="A38" s="25" t="s">
        <v>44</v>
      </c>
      <c r="B38" s="26"/>
      <c r="C38" s="26"/>
      <c r="D38" s="26"/>
      <c r="E38" s="26"/>
      <c r="F38" s="27">
        <v>1</v>
      </c>
      <c r="G38" s="32"/>
      <c r="H38" s="3">
        <f t="shared" si="0"/>
        <v>8.9583333333333321</v>
      </c>
      <c r="I38" s="3">
        <f t="shared" si="1"/>
        <v>12.958333333333332</v>
      </c>
      <c r="J38" s="5">
        <f t="shared" si="2"/>
        <v>21.916666666666664</v>
      </c>
    </row>
    <row r="39" spans="1:11" ht="15.75">
      <c r="A39" s="22" t="s">
        <v>45</v>
      </c>
      <c r="B39" s="20">
        <v>1.25</v>
      </c>
      <c r="C39" s="20">
        <v>1.25</v>
      </c>
      <c r="D39" s="26"/>
      <c r="E39" s="26"/>
      <c r="F39" s="26"/>
      <c r="G39" s="32"/>
      <c r="H39" s="3">
        <f t="shared" si="0"/>
        <v>10.208333333333332</v>
      </c>
      <c r="I39" s="3">
        <f t="shared" si="1"/>
        <v>14.208333333333332</v>
      </c>
      <c r="J39" s="5">
        <f t="shared" si="2"/>
        <v>24.416666666666664</v>
      </c>
    </row>
    <row r="40" spans="1:11" ht="15.75">
      <c r="A40" s="25" t="s">
        <v>46</v>
      </c>
      <c r="B40" s="26"/>
      <c r="C40" s="26"/>
      <c r="D40" s="26"/>
      <c r="E40" s="26"/>
      <c r="F40" s="27"/>
      <c r="G40" s="32">
        <v>1</v>
      </c>
      <c r="H40" s="3">
        <f t="shared" si="0"/>
        <v>10.208333333333332</v>
      </c>
      <c r="I40" s="3">
        <f t="shared" si="1"/>
        <v>14.208333333333332</v>
      </c>
      <c r="J40" s="5">
        <f t="shared" si="2"/>
        <v>24.416666666666664</v>
      </c>
    </row>
    <row r="41" spans="1:11" ht="15.75">
      <c r="A41" s="30" t="s">
        <v>47</v>
      </c>
      <c r="B41" s="29"/>
      <c r="C41" s="29"/>
      <c r="D41" s="29"/>
      <c r="E41" s="29"/>
      <c r="F41" s="31">
        <v>0.5</v>
      </c>
      <c r="G41" s="31"/>
      <c r="H41" s="3">
        <f t="shared" si="0"/>
        <v>9.7083333333333321</v>
      </c>
      <c r="I41" s="3">
        <f t="shared" si="1"/>
        <v>14.208333333333332</v>
      </c>
      <c r="J41" s="5">
        <f t="shared" si="2"/>
        <v>23.916666666666664</v>
      </c>
    </row>
    <row r="42" spans="1:11" ht="15.75">
      <c r="A42" s="22" t="s">
        <v>48</v>
      </c>
      <c r="B42" s="27">
        <v>2.5</v>
      </c>
      <c r="C42" s="27">
        <v>2.5</v>
      </c>
      <c r="D42" s="26"/>
      <c r="E42" s="26"/>
      <c r="F42" s="26"/>
      <c r="G42" s="32"/>
      <c r="H42" s="3">
        <f t="shared" si="0"/>
        <v>12.208333333333332</v>
      </c>
      <c r="I42" s="3">
        <f t="shared" si="1"/>
        <v>16.708333333333332</v>
      </c>
      <c r="J42" s="5">
        <f t="shared" si="2"/>
        <v>28.916666666666664</v>
      </c>
    </row>
    <row r="43" spans="1:11" ht="15.75">
      <c r="A43" s="30" t="s">
        <v>166</v>
      </c>
      <c r="B43" s="26"/>
      <c r="C43" s="26"/>
      <c r="D43" s="26"/>
      <c r="E43" s="26"/>
      <c r="F43" s="27">
        <v>0.5</v>
      </c>
      <c r="G43" s="32"/>
      <c r="H43" s="3">
        <f t="shared" si="0"/>
        <v>11.708333333333332</v>
      </c>
      <c r="I43" s="3">
        <f t="shared" si="1"/>
        <v>16.708333333333332</v>
      </c>
      <c r="J43" s="5">
        <f t="shared" si="2"/>
        <v>28.416666666666664</v>
      </c>
    </row>
    <row r="44" spans="1:11" ht="15.75">
      <c r="A44" s="25" t="s">
        <v>49</v>
      </c>
      <c r="B44" s="26"/>
      <c r="C44" s="26"/>
      <c r="D44" s="26"/>
      <c r="E44" s="27">
        <v>1</v>
      </c>
      <c r="F44" s="26"/>
      <c r="G44" s="32"/>
      <c r="H44" s="3">
        <f t="shared" si="0"/>
        <v>11.708333333333332</v>
      </c>
      <c r="I44" s="3">
        <f t="shared" si="1"/>
        <v>15.708333333333332</v>
      </c>
      <c r="J44" s="5">
        <f t="shared" si="2"/>
        <v>27.416666666666664</v>
      </c>
    </row>
    <row r="45" spans="1:11" ht="15.75">
      <c r="A45" s="22" t="s">
        <v>50</v>
      </c>
      <c r="B45" s="27">
        <v>2.5</v>
      </c>
      <c r="C45" s="27">
        <v>2.5</v>
      </c>
      <c r="D45" s="32"/>
      <c r="E45" s="32"/>
      <c r="F45" s="32"/>
      <c r="G45" s="32"/>
      <c r="H45" s="3">
        <f t="shared" si="0"/>
        <v>14.208333333333332</v>
      </c>
      <c r="I45" s="3">
        <f t="shared" si="1"/>
        <v>18.208333333333332</v>
      </c>
      <c r="J45" s="5">
        <f t="shared" si="2"/>
        <v>32.416666666666664</v>
      </c>
    </row>
    <row r="46" spans="1:11" ht="15.75">
      <c r="A46" s="25" t="s">
        <v>51</v>
      </c>
      <c r="B46" s="32"/>
      <c r="C46" s="32"/>
      <c r="D46" s="32"/>
      <c r="E46" s="32"/>
      <c r="F46" s="32">
        <v>0.5</v>
      </c>
      <c r="G46" s="27"/>
      <c r="H46" s="3">
        <f t="shared" si="0"/>
        <v>13.708333333333332</v>
      </c>
      <c r="I46" s="3">
        <f t="shared" si="1"/>
        <v>18.208333333333332</v>
      </c>
      <c r="J46" s="5">
        <f t="shared" si="2"/>
        <v>31.916666666666664</v>
      </c>
    </row>
    <row r="47" spans="1:11" ht="15.75">
      <c r="A47" s="25" t="s">
        <v>52</v>
      </c>
      <c r="B47" s="34"/>
      <c r="C47" s="34"/>
      <c r="D47" s="34"/>
      <c r="E47" s="27">
        <v>1</v>
      </c>
      <c r="F47" s="34"/>
      <c r="G47" s="34"/>
      <c r="H47" s="3">
        <f t="shared" si="0"/>
        <v>13.708333333333332</v>
      </c>
      <c r="I47" s="3">
        <f t="shared" si="1"/>
        <v>17.208333333333332</v>
      </c>
      <c r="J47" s="5">
        <f t="shared" si="2"/>
        <v>30.916666666666664</v>
      </c>
    </row>
    <row r="48" spans="1:11" s="17" customFormat="1" ht="15.75">
      <c r="A48" s="25" t="s">
        <v>53</v>
      </c>
      <c r="B48" s="27">
        <v>1.25</v>
      </c>
      <c r="C48" s="27">
        <v>1.25</v>
      </c>
      <c r="D48" s="27"/>
      <c r="E48" s="27"/>
      <c r="F48" s="27"/>
      <c r="G48" s="27"/>
      <c r="H48" s="3">
        <f t="shared" si="0"/>
        <v>14.958333333333332</v>
      </c>
      <c r="I48" s="3">
        <f t="shared" si="1"/>
        <v>18.458333333333332</v>
      </c>
      <c r="J48" s="5">
        <f t="shared" si="2"/>
        <v>33.416666666666664</v>
      </c>
      <c r="K48" s="33"/>
    </row>
    <row r="49" spans="1:11" s="17" customFormat="1" ht="15.75">
      <c r="A49" s="25" t="s">
        <v>54</v>
      </c>
      <c r="B49" s="27"/>
      <c r="C49" s="27"/>
      <c r="D49" s="27"/>
      <c r="E49" s="27">
        <v>2</v>
      </c>
      <c r="F49" s="27"/>
      <c r="G49" s="27"/>
      <c r="H49" s="3">
        <f t="shared" si="0"/>
        <v>14.958333333333332</v>
      </c>
      <c r="I49" s="3">
        <f t="shared" si="1"/>
        <v>16.458333333333332</v>
      </c>
      <c r="J49" s="5">
        <f t="shared" si="2"/>
        <v>31.416666666666664</v>
      </c>
      <c r="K49" s="33"/>
    </row>
    <row r="50" spans="1:11" s="17" customFormat="1" ht="15.75">
      <c r="A50" s="25" t="s">
        <v>55</v>
      </c>
      <c r="B50" s="27">
        <v>1.25</v>
      </c>
      <c r="C50" s="27">
        <v>1.25</v>
      </c>
      <c r="D50" s="27"/>
      <c r="E50" s="27"/>
      <c r="F50" s="27"/>
      <c r="G50" s="27"/>
      <c r="H50" s="3">
        <f t="shared" si="0"/>
        <v>16.208333333333332</v>
      </c>
      <c r="I50" s="3">
        <f t="shared" si="1"/>
        <v>17.708333333333332</v>
      </c>
      <c r="J50" s="5">
        <f t="shared" si="2"/>
        <v>33.916666666666664</v>
      </c>
      <c r="K50" s="33"/>
    </row>
    <row r="51" spans="1:11" ht="15.75">
      <c r="A51" s="25" t="s">
        <v>56</v>
      </c>
      <c r="B51" s="34"/>
      <c r="C51" s="34"/>
      <c r="D51" s="27">
        <v>11</v>
      </c>
      <c r="E51" s="27">
        <v>11</v>
      </c>
      <c r="F51" s="34"/>
      <c r="G51" s="34"/>
      <c r="H51" s="42">
        <f t="shared" si="0"/>
        <v>5.2083333333333321</v>
      </c>
      <c r="I51" s="42">
        <f t="shared" si="1"/>
        <v>6.7083333333333321</v>
      </c>
      <c r="J51" s="5">
        <f t="shared" si="2"/>
        <v>11.916666666666664</v>
      </c>
    </row>
    <row r="52" spans="1:11" ht="15.75">
      <c r="A52" s="25" t="s">
        <v>57</v>
      </c>
      <c r="B52" s="34"/>
      <c r="C52" s="34"/>
      <c r="D52" s="34"/>
      <c r="E52" s="34"/>
      <c r="F52" s="34"/>
      <c r="G52" s="34">
        <v>1</v>
      </c>
      <c r="H52" s="3">
        <f t="shared" si="0"/>
        <v>5.2083333333333321</v>
      </c>
      <c r="I52" s="3">
        <f t="shared" si="1"/>
        <v>6.7083333333333321</v>
      </c>
      <c r="J52" s="5">
        <f t="shared" si="2"/>
        <v>11.916666666666664</v>
      </c>
    </row>
    <row r="53" spans="1:11" ht="15.75">
      <c r="A53" s="25" t="s">
        <v>58</v>
      </c>
      <c r="B53" s="34">
        <v>1.25</v>
      </c>
      <c r="C53" s="34">
        <v>1.25</v>
      </c>
      <c r="D53" s="34"/>
      <c r="E53" s="34"/>
      <c r="F53" s="34"/>
      <c r="G53" s="34"/>
      <c r="H53" s="3">
        <f t="shared" si="0"/>
        <v>6.4583333333333321</v>
      </c>
      <c r="I53" s="3">
        <f t="shared" si="1"/>
        <v>7.9583333333333321</v>
      </c>
      <c r="J53" s="5">
        <f t="shared" si="2"/>
        <v>14.416666666666664</v>
      </c>
    </row>
    <row r="54" spans="1:11" ht="15.75">
      <c r="A54" s="25" t="s">
        <v>59</v>
      </c>
      <c r="B54" s="34"/>
      <c r="C54" s="34"/>
      <c r="D54" s="34"/>
      <c r="E54" s="34">
        <v>3</v>
      </c>
      <c r="F54" s="34"/>
      <c r="G54" s="34"/>
      <c r="H54" s="3">
        <f t="shared" si="0"/>
        <v>6.4583333333333321</v>
      </c>
      <c r="I54" s="3">
        <f t="shared" si="1"/>
        <v>4.9583333333333321</v>
      </c>
      <c r="J54" s="5">
        <f t="shared" si="2"/>
        <v>11.416666666666664</v>
      </c>
    </row>
    <row r="55" spans="1:11" ht="15.75">
      <c r="A55" s="25" t="s">
        <v>60</v>
      </c>
      <c r="B55" s="34"/>
      <c r="C55" s="34"/>
      <c r="D55" s="34"/>
      <c r="E55" s="34">
        <v>1</v>
      </c>
      <c r="F55" s="34"/>
      <c r="G55" s="34"/>
      <c r="H55" s="3">
        <f t="shared" si="0"/>
        <v>6.4583333333333321</v>
      </c>
      <c r="I55" s="3">
        <f t="shared" si="1"/>
        <v>3.9583333333333321</v>
      </c>
      <c r="J55" s="5">
        <f t="shared" si="2"/>
        <v>10.416666666666664</v>
      </c>
    </row>
    <row r="56" spans="1:11" ht="15.75">
      <c r="A56" s="25" t="s">
        <v>61</v>
      </c>
      <c r="B56" s="34">
        <v>2.5</v>
      </c>
      <c r="C56" s="34">
        <v>2.5</v>
      </c>
      <c r="D56" s="34"/>
      <c r="E56" s="34"/>
      <c r="F56" s="34"/>
      <c r="G56" s="34"/>
      <c r="H56" s="3">
        <f t="shared" si="0"/>
        <v>8.9583333333333321</v>
      </c>
      <c r="I56" s="3">
        <f t="shared" si="1"/>
        <v>6.4583333333333321</v>
      </c>
      <c r="J56" s="5">
        <f t="shared" si="2"/>
        <v>15.416666666666664</v>
      </c>
    </row>
    <row r="57" spans="1:11" ht="15.75">
      <c r="A57" s="25" t="s">
        <v>62</v>
      </c>
      <c r="B57" s="34">
        <v>1.25</v>
      </c>
      <c r="C57" s="34">
        <v>1.25</v>
      </c>
      <c r="D57" s="34"/>
      <c r="E57" s="34"/>
      <c r="F57" s="34"/>
      <c r="G57" s="34"/>
      <c r="H57" s="3">
        <f t="shared" si="0"/>
        <v>10.208333333333332</v>
      </c>
      <c r="I57" s="3">
        <f t="shared" si="1"/>
        <v>7.7083333333333321</v>
      </c>
      <c r="J57" s="5">
        <f t="shared" si="2"/>
        <v>17.916666666666664</v>
      </c>
    </row>
    <row r="58" spans="1:11" ht="15.75">
      <c r="A58" s="25" t="s">
        <v>167</v>
      </c>
      <c r="B58" s="34"/>
      <c r="C58" s="34"/>
      <c r="D58" s="34"/>
      <c r="E58" s="34"/>
      <c r="F58" s="34">
        <v>0.5</v>
      </c>
      <c r="G58" s="34"/>
      <c r="H58" s="3">
        <f t="shared" si="0"/>
        <v>9.7083333333333321</v>
      </c>
      <c r="I58" s="3">
        <f t="shared" si="1"/>
        <v>7.7083333333333321</v>
      </c>
      <c r="J58" s="5">
        <f t="shared" si="2"/>
        <v>17.416666666666664</v>
      </c>
    </row>
    <row r="59" spans="1:11" ht="15.75">
      <c r="A59" s="25" t="s">
        <v>63</v>
      </c>
      <c r="B59" s="34"/>
      <c r="C59" s="34"/>
      <c r="D59" s="34"/>
      <c r="E59" s="34">
        <v>1</v>
      </c>
      <c r="F59" s="34"/>
      <c r="G59" s="34"/>
      <c r="H59" s="3">
        <f t="shared" si="0"/>
        <v>9.7083333333333321</v>
      </c>
      <c r="I59" s="3">
        <f t="shared" si="1"/>
        <v>6.7083333333333321</v>
      </c>
      <c r="J59" s="5">
        <f t="shared" si="2"/>
        <v>16.416666666666664</v>
      </c>
    </row>
    <row r="60" spans="1:11" ht="15.75">
      <c r="A60" s="25" t="s">
        <v>64</v>
      </c>
      <c r="B60" s="34"/>
      <c r="C60" s="34"/>
      <c r="D60" s="34"/>
      <c r="E60" s="34"/>
      <c r="F60" s="34"/>
      <c r="G60" s="36">
        <v>1</v>
      </c>
      <c r="H60" s="3">
        <f t="shared" si="0"/>
        <v>9.7083333333333321</v>
      </c>
      <c r="I60" s="3">
        <f t="shared" si="1"/>
        <v>6.7083333333333321</v>
      </c>
      <c r="J60" s="5">
        <f t="shared" si="2"/>
        <v>16.416666666666664</v>
      </c>
    </row>
    <row r="61" spans="1:11" ht="15.75">
      <c r="A61" s="25" t="s">
        <v>65</v>
      </c>
      <c r="B61" s="34">
        <v>1.25</v>
      </c>
      <c r="C61" s="34">
        <v>1.25</v>
      </c>
      <c r="D61" s="34"/>
      <c r="E61" s="34"/>
      <c r="F61" s="34"/>
      <c r="G61" s="34"/>
      <c r="H61" s="3">
        <f t="shared" si="0"/>
        <v>10.958333333333332</v>
      </c>
      <c r="I61" s="3">
        <f t="shared" si="1"/>
        <v>7.9583333333333321</v>
      </c>
      <c r="J61" s="5">
        <f t="shared" si="2"/>
        <v>18.916666666666664</v>
      </c>
    </row>
    <row r="62" spans="1:11" ht="15.75">
      <c r="A62" s="25" t="s">
        <v>66</v>
      </c>
      <c r="B62" s="34">
        <v>1.25</v>
      </c>
      <c r="C62" s="34">
        <v>1.25</v>
      </c>
      <c r="D62" s="34"/>
      <c r="E62" s="34"/>
      <c r="F62" s="34"/>
      <c r="G62" s="34"/>
      <c r="H62" s="3">
        <f t="shared" si="0"/>
        <v>12.208333333333332</v>
      </c>
      <c r="I62" s="3">
        <f t="shared" si="1"/>
        <v>9.2083333333333321</v>
      </c>
      <c r="J62" s="5">
        <f t="shared" si="2"/>
        <v>21.416666666666664</v>
      </c>
    </row>
    <row r="63" spans="1:11" ht="15.75">
      <c r="A63" s="25" t="s">
        <v>67</v>
      </c>
      <c r="B63" s="34"/>
      <c r="C63" s="34"/>
      <c r="D63" s="34"/>
      <c r="E63" s="34">
        <v>1</v>
      </c>
      <c r="F63" s="34"/>
      <c r="G63" s="34"/>
      <c r="H63" s="3">
        <f t="shared" si="0"/>
        <v>12.208333333333332</v>
      </c>
      <c r="I63" s="3">
        <f t="shared" si="1"/>
        <v>8.2083333333333321</v>
      </c>
      <c r="J63" s="5">
        <f t="shared" si="2"/>
        <v>20.416666666666664</v>
      </c>
    </row>
    <row r="64" spans="1:11" ht="15.75">
      <c r="A64" s="37" t="s">
        <v>68</v>
      </c>
      <c r="B64" s="34">
        <v>1.25</v>
      </c>
      <c r="C64" s="34">
        <v>1.25</v>
      </c>
      <c r="D64" s="34"/>
      <c r="E64" s="34"/>
      <c r="F64" s="34"/>
      <c r="G64" s="34"/>
      <c r="H64" s="3">
        <f t="shared" si="0"/>
        <v>13.458333333333332</v>
      </c>
      <c r="I64" s="3">
        <f t="shared" si="1"/>
        <v>9.4583333333333321</v>
      </c>
      <c r="J64" s="5">
        <f t="shared" si="2"/>
        <v>22.916666666666664</v>
      </c>
    </row>
    <row r="65" spans="1:10" ht="15.75">
      <c r="A65" s="25" t="s">
        <v>69</v>
      </c>
      <c r="B65" s="34"/>
      <c r="C65" s="34"/>
      <c r="D65" s="34"/>
      <c r="E65" s="34">
        <v>2</v>
      </c>
      <c r="F65" s="34"/>
      <c r="G65" s="34"/>
      <c r="H65" s="3">
        <f t="shared" si="0"/>
        <v>13.458333333333332</v>
      </c>
      <c r="I65" s="3">
        <f t="shared" si="1"/>
        <v>7.4583333333333321</v>
      </c>
      <c r="J65" s="5">
        <f t="shared" si="2"/>
        <v>20.916666666666664</v>
      </c>
    </row>
    <row r="66" spans="1:10" ht="15.75">
      <c r="A66" s="25" t="s">
        <v>70</v>
      </c>
      <c r="B66" s="34"/>
      <c r="C66" s="34"/>
      <c r="D66" s="34"/>
      <c r="E66" s="34">
        <v>2</v>
      </c>
      <c r="F66" s="34"/>
      <c r="G66" s="34"/>
      <c r="H66" s="3">
        <f t="shared" si="0"/>
        <v>13.458333333333332</v>
      </c>
      <c r="I66" s="3">
        <f t="shared" si="1"/>
        <v>5.4583333333333321</v>
      </c>
      <c r="J66" s="5">
        <f t="shared" si="2"/>
        <v>18.916666666666664</v>
      </c>
    </row>
    <row r="67" spans="1:10" ht="15.75">
      <c r="A67" s="25" t="s">
        <v>71</v>
      </c>
      <c r="B67" s="34">
        <v>1.25</v>
      </c>
      <c r="C67" s="34">
        <v>1.25</v>
      </c>
      <c r="D67" s="34"/>
      <c r="E67" s="34"/>
      <c r="F67" s="34"/>
      <c r="G67" s="34"/>
      <c r="H67" s="3">
        <f t="shared" si="0"/>
        <v>14.708333333333332</v>
      </c>
      <c r="I67" s="3">
        <f t="shared" si="1"/>
        <v>6.7083333333333321</v>
      </c>
      <c r="J67" s="5">
        <f t="shared" si="2"/>
        <v>21.416666666666664</v>
      </c>
    </row>
    <row r="68" spans="1:10" ht="15.75">
      <c r="A68" s="25" t="s">
        <v>72</v>
      </c>
      <c r="B68" s="34"/>
      <c r="C68" s="34"/>
      <c r="D68" s="34"/>
      <c r="E68" s="34"/>
      <c r="F68" s="34"/>
      <c r="G68" s="36">
        <v>1</v>
      </c>
      <c r="H68" s="3">
        <f t="shared" si="0"/>
        <v>14.708333333333332</v>
      </c>
      <c r="I68" s="3">
        <f t="shared" si="1"/>
        <v>6.7083333333333321</v>
      </c>
      <c r="J68" s="5">
        <f t="shared" si="2"/>
        <v>21.416666666666664</v>
      </c>
    </row>
    <row r="69" spans="1:10" ht="15.75">
      <c r="A69" s="25" t="s">
        <v>73</v>
      </c>
      <c r="B69" s="34"/>
      <c r="C69" s="34"/>
      <c r="D69" s="34"/>
      <c r="E69" s="34">
        <v>2</v>
      </c>
      <c r="F69" s="34"/>
      <c r="G69" s="34"/>
      <c r="H69" s="3">
        <f t="shared" si="0"/>
        <v>14.708333333333332</v>
      </c>
      <c r="I69" s="3">
        <f t="shared" si="1"/>
        <v>4.7083333333333321</v>
      </c>
      <c r="J69" s="5">
        <f t="shared" si="2"/>
        <v>19.416666666666664</v>
      </c>
    </row>
    <row r="70" spans="1:10" ht="15.75">
      <c r="A70" s="25" t="s">
        <v>74</v>
      </c>
      <c r="B70" s="34">
        <v>1.25</v>
      </c>
      <c r="C70" s="34">
        <v>1.25</v>
      </c>
      <c r="D70" s="34"/>
      <c r="E70" s="34"/>
      <c r="F70" s="34"/>
      <c r="G70" s="34"/>
      <c r="H70" s="3">
        <f t="shared" si="0"/>
        <v>15.958333333333332</v>
      </c>
      <c r="I70" s="3">
        <f t="shared" si="1"/>
        <v>5.9583333333333321</v>
      </c>
      <c r="J70" s="5">
        <f t="shared" si="2"/>
        <v>21.916666666666664</v>
      </c>
    </row>
    <row r="71" spans="1:10" ht="15.75">
      <c r="A71" s="25" t="s">
        <v>75</v>
      </c>
      <c r="B71" s="34"/>
      <c r="C71" s="34"/>
      <c r="D71" s="34"/>
      <c r="E71" s="34"/>
      <c r="F71" s="40">
        <v>1</v>
      </c>
      <c r="G71" s="34"/>
      <c r="H71" s="3">
        <f t="shared" si="0"/>
        <v>14.958333333333332</v>
      </c>
      <c r="I71" s="3">
        <f t="shared" si="1"/>
        <v>5.9583333333333321</v>
      </c>
      <c r="J71" s="5">
        <f t="shared" si="2"/>
        <v>20.916666666666664</v>
      </c>
    </row>
    <row r="72" spans="1:10" ht="15.75">
      <c r="A72" s="25" t="s">
        <v>76</v>
      </c>
      <c r="B72" s="34">
        <v>1.25</v>
      </c>
      <c r="C72" s="34">
        <v>1.25</v>
      </c>
      <c r="D72" s="34"/>
      <c r="E72" s="34"/>
      <c r="F72" s="34"/>
      <c r="G72" s="34"/>
      <c r="H72" s="3">
        <f t="shared" si="0"/>
        <v>16.208333333333332</v>
      </c>
      <c r="I72" s="3">
        <f t="shared" si="1"/>
        <v>7.2083333333333321</v>
      </c>
      <c r="J72" s="5">
        <f t="shared" si="2"/>
        <v>23.416666666666664</v>
      </c>
    </row>
    <row r="73" spans="1:10" ht="15.75">
      <c r="A73" s="25" t="s">
        <v>77</v>
      </c>
      <c r="B73" s="34"/>
      <c r="C73" s="34"/>
      <c r="D73" s="34"/>
      <c r="E73" s="34">
        <v>1</v>
      </c>
      <c r="F73" s="34"/>
      <c r="G73" s="34"/>
      <c r="H73" s="3">
        <f t="shared" si="0"/>
        <v>16.208333333333332</v>
      </c>
      <c r="I73" s="3">
        <f t="shared" si="1"/>
        <v>6.2083333333333321</v>
      </c>
      <c r="J73" s="5">
        <f t="shared" si="2"/>
        <v>22.416666666666664</v>
      </c>
    </row>
    <row r="74" spans="1:10" ht="15.75">
      <c r="A74" s="25" t="s">
        <v>78</v>
      </c>
      <c r="B74" s="34"/>
      <c r="C74" s="34"/>
      <c r="D74" s="34"/>
      <c r="E74" s="34">
        <v>2</v>
      </c>
      <c r="F74" s="34"/>
      <c r="G74" s="34"/>
      <c r="H74" s="3">
        <f t="shared" si="0"/>
        <v>16.208333333333332</v>
      </c>
      <c r="I74" s="3">
        <f t="shared" si="1"/>
        <v>4.2083333333333321</v>
      </c>
      <c r="J74" s="5">
        <f t="shared" si="2"/>
        <v>20.416666666666664</v>
      </c>
    </row>
    <row r="75" spans="1:10" ht="15.75">
      <c r="A75" s="25" t="s">
        <v>79</v>
      </c>
      <c r="B75" s="34"/>
      <c r="C75" s="34"/>
      <c r="D75" s="34"/>
      <c r="E75" s="34">
        <v>3</v>
      </c>
      <c r="F75" s="34"/>
      <c r="G75" s="34"/>
      <c r="H75" s="3">
        <f t="shared" si="0"/>
        <v>16.208333333333332</v>
      </c>
      <c r="I75" s="3">
        <f t="shared" si="1"/>
        <v>1.2083333333333321</v>
      </c>
      <c r="J75" s="5">
        <f t="shared" si="2"/>
        <v>17.416666666666664</v>
      </c>
    </row>
    <row r="76" spans="1:10" ht="15.75">
      <c r="A76" s="25" t="s">
        <v>80</v>
      </c>
      <c r="B76" s="34">
        <v>2.5</v>
      </c>
      <c r="C76" s="34">
        <v>2.5</v>
      </c>
      <c r="D76" s="34"/>
      <c r="E76" s="34"/>
      <c r="F76" s="34"/>
      <c r="G76" s="34"/>
      <c r="H76" s="3">
        <f t="shared" si="0"/>
        <v>18.708333333333332</v>
      </c>
      <c r="I76" s="3">
        <f t="shared" si="1"/>
        <v>3.7083333333333321</v>
      </c>
      <c r="J76" s="5">
        <f t="shared" si="2"/>
        <v>22.416666666666664</v>
      </c>
    </row>
    <row r="77" spans="1:10" ht="15.75">
      <c r="A77" s="25" t="s">
        <v>81</v>
      </c>
      <c r="B77" s="34"/>
      <c r="C77" s="34"/>
      <c r="D77" s="34"/>
      <c r="E77" s="34"/>
      <c r="F77" s="40">
        <v>1</v>
      </c>
      <c r="G77" s="34"/>
      <c r="H77" s="3">
        <f t="shared" si="0"/>
        <v>17.708333333333332</v>
      </c>
      <c r="I77" s="3">
        <f t="shared" si="1"/>
        <v>3.7083333333333321</v>
      </c>
      <c r="J77" s="5">
        <f t="shared" si="2"/>
        <v>21.416666666666664</v>
      </c>
    </row>
    <row r="78" spans="1:10" ht="15.75">
      <c r="A78" s="25" t="s">
        <v>82</v>
      </c>
      <c r="B78" s="34">
        <v>1.25</v>
      </c>
      <c r="C78" s="34">
        <v>1.25</v>
      </c>
      <c r="D78" s="34"/>
      <c r="E78" s="34"/>
      <c r="F78" s="34"/>
      <c r="G78" s="34"/>
      <c r="H78" s="3">
        <f t="shared" si="0"/>
        <v>18.958333333333332</v>
      </c>
      <c r="I78" s="3">
        <f t="shared" si="1"/>
        <v>4.9583333333333321</v>
      </c>
      <c r="J78" s="5">
        <f t="shared" si="2"/>
        <v>23.916666666666664</v>
      </c>
    </row>
    <row r="79" spans="1:10" ht="15.75">
      <c r="A79" s="25" t="s">
        <v>83</v>
      </c>
      <c r="B79" s="34"/>
      <c r="C79" s="34"/>
      <c r="D79" s="34"/>
      <c r="E79" s="34"/>
      <c r="F79" s="34"/>
      <c r="G79" s="36">
        <v>1</v>
      </c>
      <c r="H79" s="3">
        <f t="shared" ref="H79:H84" si="3">H78-F79-D79+B79</f>
        <v>18.958333333333332</v>
      </c>
      <c r="I79" s="3">
        <f t="shared" ref="I79:I84" si="4">I78-E79+C79</f>
        <v>4.9583333333333321</v>
      </c>
      <c r="J79" s="5">
        <f t="shared" ref="J79:J84" si="5">SUM(H79:I79)</f>
        <v>23.916666666666664</v>
      </c>
    </row>
    <row r="80" spans="1:10" ht="15.75">
      <c r="A80" s="25" t="s">
        <v>84</v>
      </c>
      <c r="B80" s="34"/>
      <c r="C80" s="34"/>
      <c r="D80" s="34"/>
      <c r="E80" s="34">
        <v>1</v>
      </c>
      <c r="F80" s="34"/>
      <c r="G80" s="34"/>
      <c r="H80" s="3">
        <f t="shared" si="3"/>
        <v>18.958333333333332</v>
      </c>
      <c r="I80" s="3">
        <f t="shared" si="4"/>
        <v>3.9583333333333321</v>
      </c>
      <c r="J80" s="5">
        <f t="shared" si="5"/>
        <v>22.916666666666664</v>
      </c>
    </row>
    <row r="81" spans="1:10" ht="15.75">
      <c r="A81" s="25" t="s">
        <v>85</v>
      </c>
      <c r="B81" s="34">
        <v>1.25</v>
      </c>
      <c r="C81" s="34">
        <v>1.25</v>
      </c>
      <c r="D81" s="34"/>
      <c r="E81" s="34"/>
      <c r="F81" s="34"/>
      <c r="G81" s="34"/>
      <c r="H81" s="3">
        <f t="shared" si="3"/>
        <v>20.208333333333332</v>
      </c>
      <c r="I81" s="3">
        <f t="shared" si="4"/>
        <v>5.2083333333333321</v>
      </c>
      <c r="J81" s="5">
        <f t="shared" si="5"/>
        <v>25.416666666666664</v>
      </c>
    </row>
    <row r="82" spans="1:10" ht="15.75">
      <c r="A82" s="25" t="s">
        <v>86</v>
      </c>
      <c r="B82" s="34"/>
      <c r="C82" s="34"/>
      <c r="D82" s="34"/>
      <c r="E82" s="34"/>
      <c r="F82" s="40">
        <v>3</v>
      </c>
      <c r="G82" s="34"/>
      <c r="H82" s="3">
        <f t="shared" si="3"/>
        <v>17.208333333333332</v>
      </c>
      <c r="I82" s="3">
        <f t="shared" si="4"/>
        <v>5.2083333333333321</v>
      </c>
      <c r="J82" s="5">
        <f t="shared" si="5"/>
        <v>22.416666666666664</v>
      </c>
    </row>
    <row r="83" spans="1:10" ht="15.75">
      <c r="A83" s="25" t="s">
        <v>168</v>
      </c>
      <c r="B83" s="34">
        <v>1.25</v>
      </c>
      <c r="C83" s="34">
        <v>1.25</v>
      </c>
      <c r="D83" s="34"/>
      <c r="E83" s="34"/>
      <c r="F83" s="34"/>
      <c r="G83" s="34"/>
      <c r="H83" s="3">
        <f t="shared" si="3"/>
        <v>18.458333333333332</v>
      </c>
      <c r="I83" s="3">
        <f t="shared" si="4"/>
        <v>6.4583333333333321</v>
      </c>
      <c r="J83" s="5">
        <f t="shared" si="5"/>
        <v>24.916666666666664</v>
      </c>
    </row>
    <row r="84" spans="1:10" ht="15.75">
      <c r="A84" s="25" t="s">
        <v>169</v>
      </c>
      <c r="B84" s="34"/>
      <c r="C84" s="34"/>
      <c r="D84" s="34">
        <v>0.5</v>
      </c>
      <c r="E84" s="34"/>
      <c r="F84" s="34"/>
      <c r="G84" s="34"/>
      <c r="H84" s="3">
        <f t="shared" si="3"/>
        <v>17.958333333333332</v>
      </c>
      <c r="I84" s="3">
        <f t="shared" si="4"/>
        <v>6.4583333333333321</v>
      </c>
      <c r="J84" s="5">
        <f t="shared" si="5"/>
        <v>24.416666666666664</v>
      </c>
    </row>
    <row r="85" spans="1:10" ht="15.75">
      <c r="B85" s="52"/>
      <c r="C85" s="52"/>
      <c r="D85" s="52"/>
      <c r="E85" s="52"/>
      <c r="F85" s="52"/>
      <c r="G85" s="52"/>
      <c r="H85" s="53"/>
      <c r="I85" s="53"/>
      <c r="J85" s="53"/>
    </row>
    <row r="86" spans="1:10" s="1" customFormat="1">
      <c r="G86" s="1" t="s">
        <v>115</v>
      </c>
    </row>
    <row r="87" spans="1:10" s="1" customFormat="1"/>
    <row r="88" spans="1:10" s="1" customFormat="1">
      <c r="G88" s="41" t="s">
        <v>116</v>
      </c>
    </row>
    <row r="89" spans="1:10" s="1" customFormat="1">
      <c r="G89" s="1" t="s">
        <v>117</v>
      </c>
    </row>
    <row r="90" spans="1:10" s="1" customFormat="1">
      <c r="G90" s="1" t="s">
        <v>118</v>
      </c>
    </row>
  </sheetData>
  <mergeCells count="12"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1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2021-10-07T06:10:16Z</dcterms:created>
  <dcterms:modified xsi:type="dcterms:W3CDTF">2026-01-23T04:56:22Z</dcterms:modified>
  <cp:category/>
  <cp:contentStatus/>
</cp:coreProperties>
</file>