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CA65347-0123-4455-B642-35F2356957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statement" sheetId="9" r:id="rId2"/>
    <sheet name="CTO" sheetId="8" r:id="rId3"/>
  </sheets>
  <definedNames>
    <definedName name="_xlnm.Print_Area" localSheetId="0">'Leave Card (NE)'!$A$1:$J$159</definedName>
    <definedName name="_xlnm.Print_Area" localSheetId="1">statement!$A$1:$J$152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9" l="1"/>
  <c r="B140" i="9"/>
  <c r="J140" i="9" s="1"/>
  <c r="I11" i="9"/>
  <c r="H11" i="9"/>
  <c r="H12" i="9" s="1"/>
  <c r="H13" i="9" s="1"/>
  <c r="H140" i="6"/>
  <c r="I140" i="6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J140" i="6"/>
  <c r="H141" i="6"/>
  <c r="H121" i="6"/>
  <c r="I121" i="6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J121" i="6"/>
  <c r="H122" i="6"/>
  <c r="J122" i="6" s="1"/>
  <c r="H97" i="6"/>
  <c r="I97" i="6"/>
  <c r="J97" i="6" s="1"/>
  <c r="H98" i="6"/>
  <c r="H99" i="6" s="1"/>
  <c r="H73" i="6"/>
  <c r="H74" i="6" s="1"/>
  <c r="I73" i="6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J73" i="6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B14" i="6"/>
  <c r="H14" i="6" s="1"/>
  <c r="J11" i="9" l="1"/>
  <c r="H14" i="9"/>
  <c r="I12" i="9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J141" i="6"/>
  <c r="H142" i="6"/>
  <c r="H123" i="6"/>
  <c r="J99" i="6"/>
  <c r="H100" i="6"/>
  <c r="J98" i="6"/>
  <c r="I98" i="6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H75" i="6"/>
  <c r="J74" i="6"/>
  <c r="J14" i="6"/>
  <c r="H15" i="6"/>
  <c r="H16" i="6" s="1"/>
  <c r="I121" i="9" l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J12" i="9"/>
  <c r="J13" i="9"/>
  <c r="H15" i="9"/>
  <c r="J14" i="9"/>
  <c r="J142" i="6"/>
  <c r="H143" i="6"/>
  <c r="H124" i="6"/>
  <c r="J123" i="6"/>
  <c r="H101" i="6"/>
  <c r="J100" i="6"/>
  <c r="H76" i="6"/>
  <c r="J75" i="6"/>
  <c r="J16" i="6"/>
  <c r="H17" i="6"/>
  <c r="J15" i="6"/>
  <c r="J15" i="9" l="1"/>
  <c r="H16" i="9"/>
  <c r="J143" i="6"/>
  <c r="H144" i="6"/>
  <c r="J124" i="6"/>
  <c r="H125" i="6"/>
  <c r="J101" i="6"/>
  <c r="H102" i="6"/>
  <c r="H77" i="6"/>
  <c r="J76" i="6"/>
  <c r="J17" i="6"/>
  <c r="H18" i="6"/>
  <c r="B43" i="6"/>
  <c r="H17" i="9" l="1"/>
  <c r="J16" i="9"/>
  <c r="J144" i="6"/>
  <c r="H145" i="6"/>
  <c r="J125" i="6"/>
  <c r="H126" i="6"/>
  <c r="H103" i="6"/>
  <c r="J102" i="6"/>
  <c r="H78" i="6"/>
  <c r="J77" i="6"/>
  <c r="J18" i="6"/>
  <c r="H19" i="6"/>
  <c r="J17" i="9" l="1"/>
  <c r="H18" i="9"/>
  <c r="J145" i="6"/>
  <c r="H146" i="6"/>
  <c r="J126" i="6"/>
  <c r="H127" i="6"/>
  <c r="J103" i="6"/>
  <c r="H104" i="6"/>
  <c r="H79" i="6"/>
  <c r="J78" i="6"/>
  <c r="H20" i="6"/>
  <c r="J19" i="6"/>
  <c r="H19" i="9" l="1"/>
  <c r="J18" i="9"/>
  <c r="J146" i="6"/>
  <c r="H147" i="6"/>
  <c r="H128" i="6"/>
  <c r="J127" i="6"/>
  <c r="H105" i="6"/>
  <c r="J104" i="6"/>
  <c r="H80" i="6"/>
  <c r="J79" i="6"/>
  <c r="H21" i="6"/>
  <c r="J20" i="6"/>
  <c r="H20" i="9" l="1"/>
  <c r="J19" i="9"/>
  <c r="J147" i="6"/>
  <c r="H148" i="6"/>
  <c r="J128" i="6"/>
  <c r="H129" i="6"/>
  <c r="J105" i="6"/>
  <c r="H106" i="6"/>
  <c r="H81" i="6"/>
  <c r="J80" i="6"/>
  <c r="H22" i="6"/>
  <c r="J21" i="6"/>
  <c r="H21" i="9" l="1"/>
  <c r="J20" i="9"/>
  <c r="J148" i="6"/>
  <c r="H149" i="6"/>
  <c r="J129" i="6"/>
  <c r="H130" i="6"/>
  <c r="H107" i="6"/>
  <c r="J106" i="6"/>
  <c r="H82" i="6"/>
  <c r="J81" i="6"/>
  <c r="J22" i="6"/>
  <c r="H23" i="6"/>
  <c r="J21" i="9" l="1"/>
  <c r="H22" i="9"/>
  <c r="J149" i="6"/>
  <c r="H150" i="6"/>
  <c r="J130" i="6"/>
  <c r="H131" i="6"/>
  <c r="J107" i="6"/>
  <c r="H108" i="6"/>
  <c r="H83" i="6"/>
  <c r="J82" i="6"/>
  <c r="H24" i="6"/>
  <c r="J23" i="6"/>
  <c r="H23" i="9" l="1"/>
  <c r="J22" i="9"/>
  <c r="J150" i="6"/>
  <c r="H151" i="6"/>
  <c r="H132" i="6"/>
  <c r="J131" i="6"/>
  <c r="H109" i="6"/>
  <c r="J108" i="6"/>
  <c r="H84" i="6"/>
  <c r="J83" i="6"/>
  <c r="H25" i="6"/>
  <c r="J24" i="6"/>
  <c r="J23" i="9" l="1"/>
  <c r="H24" i="9"/>
  <c r="J151" i="6"/>
  <c r="H152" i="6"/>
  <c r="J152" i="6" s="1"/>
  <c r="J132" i="6"/>
  <c r="H133" i="6"/>
  <c r="J109" i="6"/>
  <c r="H110" i="6"/>
  <c r="H85" i="6"/>
  <c r="J84" i="6"/>
  <c r="J25" i="6"/>
  <c r="H26" i="6"/>
  <c r="H25" i="9" l="1"/>
  <c r="J24" i="9"/>
  <c r="J133" i="6"/>
  <c r="H134" i="6"/>
  <c r="H111" i="6"/>
  <c r="J110" i="6"/>
  <c r="H86" i="6"/>
  <c r="J85" i="6"/>
  <c r="J26" i="6"/>
  <c r="H27" i="6"/>
  <c r="J25" i="9" l="1"/>
  <c r="H26" i="9"/>
  <c r="J134" i="6"/>
  <c r="H135" i="6"/>
  <c r="J111" i="6"/>
  <c r="H112" i="6"/>
  <c r="H87" i="6"/>
  <c r="J86" i="6"/>
  <c r="H28" i="6"/>
  <c r="J27" i="6"/>
  <c r="H27" i="9" l="1"/>
  <c r="J26" i="9"/>
  <c r="H136" i="6"/>
  <c r="J135" i="6"/>
  <c r="H113" i="6"/>
  <c r="J112" i="6"/>
  <c r="H88" i="6"/>
  <c r="J87" i="6"/>
  <c r="H29" i="6"/>
  <c r="J28" i="6"/>
  <c r="H28" i="9" l="1"/>
  <c r="J27" i="9"/>
  <c r="J136" i="6"/>
  <c r="H137" i="6"/>
  <c r="J113" i="6"/>
  <c r="H114" i="6"/>
  <c r="H89" i="6"/>
  <c r="J88" i="6"/>
  <c r="H30" i="6"/>
  <c r="J29" i="6"/>
  <c r="H29" i="9" l="1"/>
  <c r="J28" i="9"/>
  <c r="J137" i="6"/>
  <c r="H138" i="6"/>
  <c r="H115" i="6"/>
  <c r="J114" i="6"/>
  <c r="J89" i="6"/>
  <c r="H90" i="6"/>
  <c r="H31" i="6"/>
  <c r="J30" i="6"/>
  <c r="J29" i="9" l="1"/>
  <c r="H30" i="9"/>
  <c r="J138" i="6"/>
  <c r="H139" i="6"/>
  <c r="J139" i="6" s="1"/>
  <c r="J115" i="6"/>
  <c r="H116" i="6"/>
  <c r="H91" i="6"/>
  <c r="J90" i="6"/>
  <c r="J31" i="6"/>
  <c r="H32" i="6"/>
  <c r="H31" i="9" l="1"/>
  <c r="J30" i="9"/>
  <c r="H117" i="6"/>
  <c r="J116" i="6"/>
  <c r="H92" i="6"/>
  <c r="J91" i="6"/>
  <c r="J32" i="6"/>
  <c r="H33" i="6"/>
  <c r="J31" i="9" l="1"/>
  <c r="H32" i="9"/>
  <c r="H118" i="6"/>
  <c r="J117" i="6"/>
  <c r="H93" i="6"/>
  <c r="J92" i="6"/>
  <c r="H34" i="6"/>
  <c r="J33" i="6"/>
  <c r="H33" i="9" l="1"/>
  <c r="J32" i="9"/>
  <c r="H119" i="6"/>
  <c r="J118" i="6"/>
  <c r="H94" i="6"/>
  <c r="J93" i="6"/>
  <c r="H35" i="6"/>
  <c r="J34" i="6"/>
  <c r="H34" i="9" l="1"/>
  <c r="J33" i="9"/>
  <c r="J119" i="6"/>
  <c r="H120" i="6"/>
  <c r="J120" i="6" s="1"/>
  <c r="H95" i="6"/>
  <c r="J94" i="6"/>
  <c r="J35" i="6"/>
  <c r="H36" i="6"/>
  <c r="H35" i="9" l="1"/>
  <c r="J34" i="9"/>
  <c r="H96" i="6"/>
  <c r="J96" i="6" s="1"/>
  <c r="J95" i="6"/>
  <c r="H37" i="6"/>
  <c r="J36" i="6"/>
  <c r="J35" i="9" l="1"/>
  <c r="H36" i="9"/>
  <c r="J37" i="6"/>
  <c r="H38" i="6"/>
  <c r="H37" i="9" l="1"/>
  <c r="J36" i="9"/>
  <c r="J38" i="6"/>
  <c r="H39" i="6"/>
  <c r="J37" i="9" l="1"/>
  <c r="H38" i="9"/>
  <c r="H40" i="6"/>
  <c r="J39" i="6"/>
  <c r="H39" i="9" l="1"/>
  <c r="J38" i="9"/>
  <c r="H41" i="6"/>
  <c r="J40" i="6"/>
  <c r="H40" i="9" l="1"/>
  <c r="J39" i="9"/>
  <c r="J41" i="6"/>
  <c r="H42" i="6"/>
  <c r="H43" i="6" s="1"/>
  <c r="H41" i="9" l="1"/>
  <c r="J40" i="9"/>
  <c r="J43" i="6"/>
  <c r="H44" i="6"/>
  <c r="J42" i="6"/>
  <c r="J41" i="9" l="1"/>
  <c r="H42" i="9"/>
  <c r="J44" i="6"/>
  <c r="H45" i="6"/>
  <c r="H43" i="9" l="1"/>
  <c r="J42" i="9"/>
  <c r="J45" i="6"/>
  <c r="H46" i="6"/>
  <c r="H44" i="9" l="1"/>
  <c r="J43" i="9"/>
  <c r="J46" i="6"/>
  <c r="H47" i="6"/>
  <c r="H45" i="9" l="1"/>
  <c r="J44" i="9"/>
  <c r="H48" i="6"/>
  <c r="J47" i="6"/>
  <c r="J45" i="9" l="1"/>
  <c r="H46" i="9"/>
  <c r="H49" i="6"/>
  <c r="J48" i="6"/>
  <c r="H47" i="9" l="1"/>
  <c r="J46" i="9"/>
  <c r="J49" i="6"/>
  <c r="H50" i="6"/>
  <c r="J47" i="9" l="1"/>
  <c r="H48" i="9"/>
  <c r="H51" i="6"/>
  <c r="J50" i="6"/>
  <c r="H49" i="9" l="1"/>
  <c r="J48" i="9"/>
  <c r="J51" i="6"/>
  <c r="H52" i="6"/>
  <c r="H50" i="9" l="1"/>
  <c r="J49" i="9"/>
  <c r="J52" i="6"/>
  <c r="H53" i="6"/>
  <c r="H51" i="9" l="1"/>
  <c r="J50" i="9"/>
  <c r="J53" i="6"/>
  <c r="H54" i="6"/>
  <c r="J51" i="9" l="1"/>
  <c r="H52" i="9"/>
  <c r="H55" i="6"/>
  <c r="J54" i="6"/>
  <c r="H53" i="9" l="1"/>
  <c r="J52" i="9"/>
  <c r="J55" i="6"/>
  <c r="H56" i="6"/>
  <c r="H54" i="9" l="1"/>
  <c r="J53" i="9"/>
  <c r="J56" i="6"/>
  <c r="H57" i="6"/>
  <c r="H55" i="9" l="1"/>
  <c r="J54" i="9"/>
  <c r="J57" i="6"/>
  <c r="H58" i="6"/>
  <c r="H56" i="9" l="1"/>
  <c r="J55" i="9"/>
  <c r="J58" i="6"/>
  <c r="H59" i="6"/>
  <c r="H57" i="9" l="1"/>
  <c r="H58" i="9" s="1"/>
  <c r="J56" i="9"/>
  <c r="J59" i="6"/>
  <c r="H60" i="6"/>
  <c r="J58" i="9" l="1"/>
  <c r="H59" i="9"/>
  <c r="J57" i="9"/>
  <c r="J60" i="6"/>
  <c r="H61" i="6"/>
  <c r="H60" i="9" l="1"/>
  <c r="J59" i="9"/>
  <c r="H62" i="6"/>
  <c r="J61" i="6"/>
  <c r="H61" i="9" l="1"/>
  <c r="J60" i="9"/>
  <c r="H63" i="6"/>
  <c r="J62" i="6"/>
  <c r="H62" i="9" l="1"/>
  <c r="J61" i="9"/>
  <c r="J63" i="6"/>
  <c r="H64" i="6"/>
  <c r="J62" i="9" l="1"/>
  <c r="H63" i="9"/>
  <c r="H65" i="6"/>
  <c r="J64" i="6"/>
  <c r="H64" i="9" l="1"/>
  <c r="J63" i="9"/>
  <c r="H66" i="6"/>
  <c r="J65" i="6"/>
  <c r="J64" i="9" l="1"/>
  <c r="H65" i="9"/>
  <c r="J66" i="6"/>
  <c r="H67" i="6"/>
  <c r="H66" i="9" l="1"/>
  <c r="J65" i="9"/>
  <c r="J67" i="6"/>
  <c r="H68" i="6"/>
  <c r="J66" i="9" l="1"/>
  <c r="H67" i="9"/>
  <c r="J68" i="6"/>
  <c r="H69" i="6"/>
  <c r="H68" i="9" l="1"/>
  <c r="J67" i="9"/>
  <c r="J69" i="6"/>
  <c r="H70" i="6"/>
  <c r="J68" i="9" l="1"/>
  <c r="H69" i="9"/>
  <c r="J70" i="6"/>
  <c r="H71" i="6"/>
  <c r="H70" i="9" l="1"/>
  <c r="J69" i="9"/>
  <c r="J71" i="6"/>
  <c r="H72" i="6"/>
  <c r="J70" i="9" l="1"/>
  <c r="H71" i="9"/>
  <c r="J72" i="6"/>
  <c r="H72" i="9" l="1"/>
  <c r="J71" i="9"/>
  <c r="J72" i="9" l="1"/>
  <c r="H73" i="9"/>
  <c r="H74" i="9" l="1"/>
  <c r="J73" i="9"/>
  <c r="J74" i="9" l="1"/>
  <c r="H75" i="9"/>
  <c r="H76" i="9" l="1"/>
  <c r="J75" i="9"/>
  <c r="J76" i="9" l="1"/>
  <c r="H77" i="9"/>
  <c r="H78" i="9" l="1"/>
  <c r="J77" i="9"/>
  <c r="J78" i="9" l="1"/>
  <c r="H79" i="9"/>
  <c r="H80" i="9" l="1"/>
  <c r="J79" i="9"/>
  <c r="J80" i="9" l="1"/>
  <c r="H81" i="9"/>
  <c r="H82" i="9" l="1"/>
  <c r="J81" i="9"/>
  <c r="J82" i="9" l="1"/>
  <c r="H83" i="9"/>
  <c r="H84" i="9" l="1"/>
  <c r="J83" i="9"/>
  <c r="J84" i="9" l="1"/>
  <c r="H85" i="9"/>
  <c r="H86" i="9" l="1"/>
  <c r="H87" i="9" s="1"/>
  <c r="J85" i="9"/>
  <c r="J87" i="9" l="1"/>
  <c r="H88" i="9"/>
  <c r="J86" i="9"/>
  <c r="H89" i="9" l="1"/>
  <c r="J88" i="9"/>
  <c r="J89" i="9" l="1"/>
  <c r="H90" i="9"/>
  <c r="H91" i="9" l="1"/>
  <c r="J90" i="9"/>
  <c r="J91" i="9" l="1"/>
  <c r="H92" i="9"/>
  <c r="H93" i="9" l="1"/>
  <c r="J92" i="9"/>
  <c r="H94" i="9" l="1"/>
  <c r="J93" i="9"/>
  <c r="H95" i="9" l="1"/>
  <c r="J94" i="9"/>
  <c r="H96" i="9" l="1"/>
  <c r="J95" i="9"/>
  <c r="H97" i="9" l="1"/>
  <c r="J96" i="9"/>
  <c r="J97" i="9" l="1"/>
  <c r="H98" i="9"/>
  <c r="H99" i="9" l="1"/>
  <c r="J98" i="9"/>
  <c r="J99" i="9" l="1"/>
  <c r="H100" i="9"/>
  <c r="J100" i="9" l="1"/>
  <c r="H101" i="9"/>
  <c r="H102" i="9" l="1"/>
  <c r="J101" i="9"/>
  <c r="H103" i="9" l="1"/>
  <c r="J102" i="9"/>
  <c r="H104" i="9" l="1"/>
  <c r="J103" i="9"/>
  <c r="J104" i="9" l="1"/>
  <c r="H105" i="9"/>
  <c r="H106" i="9" l="1"/>
  <c r="J105" i="9"/>
  <c r="H107" i="9" l="1"/>
  <c r="J106" i="9"/>
  <c r="H108" i="9" l="1"/>
  <c r="J107" i="9"/>
  <c r="J108" i="9" l="1"/>
  <c r="H109" i="9"/>
  <c r="J109" i="9" l="1"/>
  <c r="H110" i="9"/>
  <c r="J110" i="9" l="1"/>
  <c r="H111" i="9"/>
  <c r="H112" i="9" l="1"/>
  <c r="J111" i="9"/>
  <c r="H113" i="9" l="1"/>
  <c r="J112" i="9"/>
  <c r="J113" i="9" l="1"/>
  <c r="H114" i="9"/>
  <c r="H115" i="9" l="1"/>
  <c r="J114" i="9"/>
  <c r="H116" i="9" l="1"/>
  <c r="J115" i="9"/>
  <c r="H117" i="9" l="1"/>
  <c r="J116" i="9"/>
  <c r="H118" i="9" l="1"/>
  <c r="J117" i="9"/>
  <c r="J118" i="9" l="1"/>
  <c r="H119" i="9"/>
  <c r="H120" i="9" s="1"/>
  <c r="H121" i="9" l="1"/>
  <c r="J120" i="9"/>
  <c r="J119" i="9"/>
  <c r="H122" i="9" l="1"/>
  <c r="H123" i="9" s="1"/>
  <c r="J121" i="9"/>
  <c r="J123" i="9" l="1"/>
  <c r="H124" i="9"/>
  <c r="J122" i="9"/>
  <c r="H125" i="9" l="1"/>
  <c r="J124" i="9"/>
  <c r="J125" i="9" l="1"/>
  <c r="H126" i="9"/>
  <c r="H127" i="9" l="1"/>
  <c r="J126" i="9"/>
  <c r="J127" i="9" l="1"/>
  <c r="H128" i="9"/>
  <c r="H129" i="9" l="1"/>
  <c r="J128" i="9"/>
  <c r="H130" i="9" l="1"/>
  <c r="J129" i="9"/>
  <c r="H131" i="9" l="1"/>
  <c r="J130" i="9"/>
  <c r="J131" i="9" l="1"/>
  <c r="H132" i="9"/>
  <c r="H133" i="9" l="1"/>
  <c r="J132" i="9"/>
  <c r="H134" i="9" l="1"/>
  <c r="J133" i="9"/>
  <c r="H135" i="9" l="1"/>
  <c r="J134" i="9"/>
  <c r="J135" i="9" l="1"/>
  <c r="H136" i="9"/>
  <c r="J136" i="9" l="1"/>
  <c r="H137" i="9"/>
  <c r="J137" i="9" l="1"/>
  <c r="H138" i="9"/>
  <c r="H139" i="9" l="1"/>
  <c r="J139" i="9" s="1"/>
  <c r="J138" i="9"/>
</calcChain>
</file>

<file path=xl/sharedStrings.xml><?xml version="1.0" encoding="utf-8"?>
<sst xmlns="http://schemas.openxmlformats.org/spreadsheetml/2006/main" count="367" uniqueCount="210">
  <si>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</si>
  <si>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</si>
  <si>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</si>
  <si>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</si>
  <si>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</si>
  <si>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</si>
  <si>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</si>
  <si>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</si>
  <si>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</si>
  <si>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</si>
  <si>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</si>
  <si>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</si>
  <si>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LESS: 02/08/22</t>
  </si>
  <si>
    <t>ADD:02/01/22 - 03/31/22</t>
  </si>
  <si>
    <t>ADD:04/01/22 - 04/30/22</t>
  </si>
  <si>
    <t>LESS: 05/13/22</t>
  </si>
  <si>
    <t>LESS: 05/20/22</t>
  </si>
  <si>
    <t>ADD:05/01/22 - 05/31/22</t>
  </si>
  <si>
    <t>LESS: 06/10/22</t>
  </si>
  <si>
    <t>LESS: 06/15, 16, 17/22</t>
  </si>
  <si>
    <t>ADD:06/01/22 - 06/30/22</t>
  </si>
  <si>
    <t>LESS: 07/08/22</t>
  </si>
  <si>
    <t>LESS: 07/22/22</t>
  </si>
  <si>
    <t>ADD:07/01/22 - 07/31/22</t>
  </si>
  <si>
    <t>LESS: 08/09/22</t>
  </si>
  <si>
    <t>LESS: 08/16/22</t>
  </si>
  <si>
    <t>LESS: 08/19/22</t>
  </si>
  <si>
    <t>ADD:08/01/22 - 08/31/22</t>
  </si>
  <si>
    <t>ADD:09/01/22 - 09/30/22</t>
  </si>
  <si>
    <t>LESS: 10/07 &amp; 10(.5)/22</t>
  </si>
  <si>
    <t>ADD:10/01/22 - 10/31/22</t>
  </si>
  <si>
    <t>LESS: MONETIZATION 2022</t>
  </si>
  <si>
    <t>ADD:11/01/22 - 11/30/22</t>
  </si>
  <si>
    <t>LESS: 12/12/22</t>
  </si>
  <si>
    <t>ADD:12/01/22 - 12/31/22</t>
  </si>
  <si>
    <t>LESS: 01/18 &amp; 20/23</t>
  </si>
  <si>
    <t>LESS: 01/19/23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</si>
  <si>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</si>
  <si>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</si>
  <si>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</si>
  <si>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</si>
  <si>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</si>
  <si>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</si>
  <si>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</si>
  <si>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</si>
  <si>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</si>
  <si>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01/01/2020 - 12/31/2020</t>
  </si>
  <si>
    <t>LESS: MONETIZATION 2020</t>
  </si>
  <si>
    <t>ADD: 02/01/2012 - 12/31/2012</t>
  </si>
  <si>
    <t>LESS: MONETIZATION 7/24/12</t>
  </si>
  <si>
    <t>LESS: MONETIZATION 11/27/12</t>
  </si>
  <si>
    <t>LESS: FL 2012</t>
  </si>
  <si>
    <t>ADD: 01/01/2013 - 12/31/2013</t>
  </si>
  <si>
    <t>LESS: MONETIZATION 11/29/13</t>
  </si>
  <si>
    <t>LESS: FL 2013</t>
  </si>
  <si>
    <t>ADD: 01/01/2014 - 12/31/2014</t>
  </si>
  <si>
    <t>LESS: FL 2014</t>
  </si>
  <si>
    <t>LESS: MONETIZATION 2014</t>
  </si>
  <si>
    <t>ADD: 01/01/2015 - 12/31/2015</t>
  </si>
  <si>
    <t>LESS: MONETIZATION 3/30/15</t>
  </si>
  <si>
    <t>LESS: ADDT'L MONETIZATION 2015</t>
  </si>
  <si>
    <t>ADD: 01/01/2016 - 12/31/2016</t>
  </si>
  <si>
    <t>LESS: MONETIZATION 5/3/16</t>
  </si>
  <si>
    <t>LESS: MONETIZATION 12/12/16</t>
  </si>
  <si>
    <t>LESS: FL 2016</t>
  </si>
  <si>
    <t>ADD: 01/01/2017 - 12/31/2017</t>
  </si>
  <si>
    <t>LESS: FL 2017</t>
  </si>
  <si>
    <t>ADD: 01/01/2018 - 12/31/2018</t>
  </si>
  <si>
    <t>LESS: MONETIZATION 2018</t>
  </si>
  <si>
    <t>LESS: FL 2018</t>
  </si>
  <si>
    <t>ADD: 01/01/2019 - 12/31/2019</t>
  </si>
  <si>
    <t>LESS: FL 2019</t>
  </si>
  <si>
    <t>LESS: FL 2020</t>
  </si>
  <si>
    <t>LESS: 06/09/2021</t>
  </si>
  <si>
    <t>LESS: 08/20/2021</t>
  </si>
  <si>
    <t>LESS: 09/03/2021</t>
  </si>
  <si>
    <t>LESS: 09/24/2021</t>
  </si>
  <si>
    <t>LESS: MONETIZATION 2021</t>
  </si>
  <si>
    <t>LESS: 12/29/2021</t>
  </si>
  <si>
    <t>ADD: 01/01/2022 - 01/31/2022</t>
  </si>
  <si>
    <t xml:space="preserve">ADD: 01/01/2023 - 04/30/2023 </t>
  </si>
  <si>
    <t>LESS: 05/24/2023</t>
  </si>
  <si>
    <t xml:space="preserve">ADD: 05/01/2023 - 05/31/2023 </t>
  </si>
  <si>
    <t>LESS: 06/10/2023</t>
  </si>
  <si>
    <t xml:space="preserve">ADD: 06/01/2023 - 06/30/2023 </t>
  </si>
  <si>
    <t>LESS: 07/27, 28 &amp; 31/2023</t>
  </si>
  <si>
    <t>MA. LUISA B. CATIGAN</t>
  </si>
  <si>
    <t>Administrative Officer IV</t>
  </si>
  <si>
    <t>ADD: 07/01/2023-8/31/2023</t>
  </si>
  <si>
    <t>LESS: 09/22/2023</t>
  </si>
  <si>
    <t>ADD: 09/01/2023-09/30/2023</t>
  </si>
  <si>
    <t>LESS: 10/06/2023</t>
  </si>
  <si>
    <t>ADD:09/01/2003-12/31/2003</t>
  </si>
  <si>
    <t>ADD: 01/01/2004-12/31/2004</t>
  </si>
  <si>
    <t>LESS: FL 2004</t>
  </si>
  <si>
    <t>LESS: MONETIZATION 2004</t>
  </si>
  <si>
    <t>ADD: 01/01/2005-11/30/2005</t>
  </si>
  <si>
    <t>LESS: MONETIZATION 2005</t>
  </si>
  <si>
    <t>ADD: 12/01/2005-12/31/2005</t>
  </si>
  <si>
    <t>LESS: FL 2005</t>
  </si>
  <si>
    <t>ADD: 01/01/2006-12/31/2006</t>
  </si>
  <si>
    <t>LESS: FL 2006</t>
  </si>
  <si>
    <t>ADD: 01/01/2007-12/31/2007</t>
  </si>
  <si>
    <t>LESS: FL 2007</t>
  </si>
  <si>
    <t>ADD: 01/01/2008-12/31/2008</t>
  </si>
  <si>
    <t>LESS: FL 2008</t>
  </si>
  <si>
    <t>ADD: 01/01/2009-12/31/2009</t>
  </si>
  <si>
    <t>LESS: FL 2009</t>
  </si>
  <si>
    <t>ADD: 01/01/2010-12/31/2010</t>
  </si>
  <si>
    <t>LESS: FL 2010</t>
  </si>
  <si>
    <t>LESS: MONETIZATION 2010 (2/10/11)</t>
  </si>
  <si>
    <t>ADD: 01/01/2011-8/31/2011</t>
  </si>
  <si>
    <t>LESS: MONETIZATION 2011 (9/15/2011)</t>
  </si>
  <si>
    <t>ADD: 09/01/2011-12/31/2011</t>
  </si>
  <si>
    <t>LESS: FL 2011</t>
  </si>
  <si>
    <t>LESS: ADDITIONAL MONETIZATION 2011 (12/06/2011)</t>
  </si>
  <si>
    <t>ADD: 01/01/2012-01/31/2012</t>
  </si>
  <si>
    <t>LESS: 10/19/2023</t>
  </si>
  <si>
    <t>ADD: 10/01/2023-10/31/2023</t>
  </si>
  <si>
    <t>LESS: 11/14-15/2023</t>
  </si>
  <si>
    <t>LESS: 11/24/2023</t>
  </si>
  <si>
    <t>ADD: 11/01/2023-11/30/2023</t>
  </si>
  <si>
    <t>LESS: monetization 2023</t>
  </si>
  <si>
    <t>ADD: 12/01-31/2023</t>
  </si>
  <si>
    <t>ADD: 01/01-31/2024</t>
  </si>
  <si>
    <t>ADD: 02/01/2024-02/29/2024</t>
  </si>
  <si>
    <t>LESS: 02/16/2024</t>
  </si>
  <si>
    <t>ADD: 03/1-31/2024</t>
  </si>
  <si>
    <t>LESS: 04/03/2024</t>
  </si>
  <si>
    <t>ADD: 04/1-30/2024</t>
  </si>
  <si>
    <t>LESS: 05/28-30/2024</t>
  </si>
  <si>
    <t xml:space="preserve">CERTIFIED CORRECT: </t>
  </si>
  <si>
    <t>LESS: 08/8-9/2024</t>
  </si>
  <si>
    <t>ADD: 08/1-31/2024</t>
  </si>
  <si>
    <t>LESS: 09/27/2024</t>
  </si>
  <si>
    <t>LESS: FL 2015</t>
  </si>
  <si>
    <t>ADD: 09/1/2024-10/31/2024</t>
  </si>
  <si>
    <t>LESS: 11/4/2024</t>
  </si>
  <si>
    <t>LESS: 11/15/2024</t>
  </si>
  <si>
    <t>LESS:  2/9,13,14/2012</t>
  </si>
  <si>
    <t>LESS:  02/6-8/2012</t>
  </si>
  <si>
    <t>LESS: 11/20/2024</t>
  </si>
  <si>
    <t>LESS: 12/18/2024</t>
  </si>
  <si>
    <t>LESS: 12/26/2024</t>
  </si>
  <si>
    <t>ADD: 11/1/2024-12/31/2024</t>
  </si>
  <si>
    <t>LESS: 01/28/2025</t>
  </si>
  <si>
    <t>ADD: 1/1-31/2025</t>
  </si>
  <si>
    <t>LESS: 02/14 &amp; 17/2025</t>
  </si>
  <si>
    <t>ADD: 02/1-28/2025</t>
  </si>
  <si>
    <t>LESS: 03/18/2025 (AM)</t>
  </si>
  <si>
    <t>ADD: 03/1-31/2025</t>
  </si>
  <si>
    <t>LESS: 03/31/2025</t>
  </si>
  <si>
    <t>COMPENSATORY TIME OFF (CTO)</t>
  </si>
  <si>
    <t>Special Order No. and Date Issued</t>
  </si>
  <si>
    <t>No. of Days Granted</t>
  </si>
  <si>
    <t>No. of Days Used</t>
  </si>
  <si>
    <t>Balance</t>
  </si>
  <si>
    <t>ADD: APRIL 12, 2023</t>
  </si>
  <si>
    <t>S.O. # 047, S. 2023. PERFORMANCE PLANNING &amp; COMMITMENT FOR SY 2023</t>
  </si>
  <si>
    <t>LESS: 05/15/23</t>
  </si>
  <si>
    <t>LESS: 08/18/23</t>
  </si>
  <si>
    <t>ADD: 10/11/2023</t>
  </si>
  <si>
    <t>S.O. # 084, S. 2023. CAPACITY BUILDING OF TEACHERS ON THE IMPLEMENTATION OF THE NATIONAL LEARNING CAMP</t>
  </si>
  <si>
    <t>ADD: 10/17/2023</t>
  </si>
  <si>
    <t>S.O. #159, S. 2023. 125th PHILIPPINE INDEPENDENCE DAY</t>
  </si>
  <si>
    <t>LESS: 10/31/2023 &amp; 11/03/2023</t>
  </si>
  <si>
    <t>S.O. # 084, S. 2023.  &amp; S.O. #159, S. 2023</t>
  </si>
  <si>
    <t>Certified Correct:</t>
  </si>
  <si>
    <t xml:space="preserve">    HRMO</t>
  </si>
  <si>
    <t>ADD: 03/21/2025</t>
  </si>
  <si>
    <t>S.O. # 010, S. 2024 DECEMBER 20, 2024 OVERTIME</t>
  </si>
  <si>
    <t>LESS: 05/15-16/2025</t>
  </si>
  <si>
    <t>LESS: 05/30/2025</t>
  </si>
  <si>
    <t>ADD: 04/1/2025-05/31/2025</t>
  </si>
  <si>
    <t>LESS: 07/8-10/2025</t>
  </si>
  <si>
    <t>ADD: 06/1-30/2025</t>
  </si>
  <si>
    <t>ADD: 07/1-10/2025</t>
  </si>
  <si>
    <t>JULY 11, 2025 - EFFECTIVE DATE OF RETIREMENT</t>
  </si>
  <si>
    <t>ADD: 05/1/2024-07/31/2024</t>
  </si>
  <si>
    <t>NAME: _____________________________</t>
  </si>
  <si>
    <r>
      <rPr>
        <sz val="11"/>
        <color theme="1"/>
        <rFont val="Calibri"/>
        <family val="2"/>
        <scheme val="minor"/>
      </rPr>
      <t>DISTRICT</t>
    </r>
    <r>
      <rPr>
        <b/>
        <sz val="11"/>
        <color theme="1"/>
        <rFont val="Calibri"/>
        <family val="2"/>
        <scheme val="minor"/>
      </rPr>
      <t>: ___________________________</t>
    </r>
  </si>
  <si>
    <t>SCHOOL/OFFICE:</t>
  </si>
  <si>
    <t>LESS:  02/15,18,19,20/2012</t>
  </si>
  <si>
    <t>LESS:  01/30/2012-02/03/2012</t>
  </si>
  <si>
    <t>ADD: 01/01/2021 - 5/31/2021</t>
  </si>
  <si>
    <t>ADD: 06/1/2021-07/31/2021</t>
  </si>
  <si>
    <t>ADD: 08/1-31/2021</t>
  </si>
  <si>
    <t>ADD: 09/1/2021-12/31/2021</t>
  </si>
  <si>
    <t>STATION   :        095</t>
  </si>
  <si>
    <t>EMP. NO  :     0012499</t>
  </si>
  <si>
    <t>STATEMENT OF VACATION AND SICK LEAVE CREDITS</t>
  </si>
  <si>
    <t>PURSUANT TO CIVIL CERVICE COMMISSION</t>
  </si>
  <si>
    <t>RESOLUTION NO. 06- 213 DATED JUNE 6, 1986</t>
  </si>
  <si>
    <t xml:space="preserve"> </t>
  </si>
  <si>
    <t>Agency: DepEd Division of Sipalay City</t>
  </si>
  <si>
    <t xml:space="preserve">Vacation </t>
  </si>
  <si>
    <t>Sick</t>
  </si>
  <si>
    <t>Vacation</t>
  </si>
  <si>
    <t>Mon</t>
  </si>
  <si>
    <t>LESS: MONETIZATION 2023</t>
  </si>
  <si>
    <t>Conformed by:</t>
  </si>
  <si>
    <t xml:space="preserve">Certified Correct:              </t>
  </si>
  <si>
    <t>Administrative Officer IV - HRMO</t>
  </si>
  <si>
    <t>BALTAZAR B. TABIANO</t>
  </si>
  <si>
    <t>VIRMIE G. GADAYAN</t>
  </si>
  <si>
    <t>DATE: ___________________</t>
  </si>
  <si>
    <t>Designated Budget Officer</t>
  </si>
  <si>
    <t>Administrative Officer V- Admin/</t>
  </si>
  <si>
    <t>Name: GADAYAN, VIRMIE G.</t>
  </si>
  <si>
    <t>RETIRED EFFECTIVE 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</si>
</sst>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156">
    <xf numFmtId="0" fontId="0" fillId="0" borderId="0" xfId="0"/>
    <xf numFmtId="0" fontId="0" fillId="2" borderId="0" xfId="0" applyFill="1"/>
    <xf numFmtId="0" fontId="8" fillId="0" borderId="0" xfId="0" applyFont="1"/>
    <xf numFmtId="0" fontId="11" fillId="0" borderId="0" xfId="0" applyFont="1"/>
    <xf numFmtId="0" fontId="10" fillId="0" borderId="0" xfId="0" applyFont="1"/>
    <xf numFmtId="0" fontId="12" fillId="2" borderId="0" xfId="0" applyFont="1" applyFill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0" fillId="2" borderId="0" xfId="0" applyNumberFormat="1" applyFill="1"/>
    <xf numFmtId="164" fontId="12" fillId="2" borderId="0" xfId="0" applyNumberFormat="1" applyFont="1" applyFill="1" applyAlignment="1">
      <alignment vertical="center"/>
    </xf>
    <xf numFmtId="164" fontId="12" fillId="2" borderId="0" xfId="0" applyNumberFormat="1" applyFont="1" applyFill="1"/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12" fillId="2" borderId="3" xfId="0" applyNumberFormat="1" applyFont="1" applyFill="1" applyBorder="1" applyAlignment="1">
      <alignment horizontal="center" vertical="center"/>
    </xf>
    <xf numFmtId="164" fontId="12" fillId="2" borderId="3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4" fillId="2" borderId="0" xfId="1" applyFill="1"/>
    <xf numFmtId="0" fontId="7" fillId="2" borderId="0" xfId="1" applyFont="1" applyFill="1" applyAlignment="1">
      <alignment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0" xfId="1" applyFont="1" applyFill="1"/>
    <xf numFmtId="0" fontId="7" fillId="2" borderId="3" xfId="1" applyFont="1" applyFill="1" applyBorder="1" applyAlignment="1">
      <alignment vertical="center"/>
    </xf>
    <xf numFmtId="0" fontId="4" fillId="0" borderId="0" xfId="1"/>
    <xf numFmtId="0" fontId="16" fillId="0" borderId="0" xfId="1" applyFont="1"/>
    <xf numFmtId="0" fontId="0" fillId="2" borderId="6" xfId="1" applyFont="1" applyFill="1" applyBorder="1" applyAlignment="1">
      <alignment horizontal="center" vertical="center" wrapText="1"/>
    </xf>
    <xf numFmtId="0" fontId="4" fillId="2" borderId="16" xfId="1" applyFill="1" applyBorder="1" applyAlignment="1">
      <alignment horizontal="center" vertical="center" wrapText="1"/>
    </xf>
    <xf numFmtId="0" fontId="18" fillId="0" borderId="0" xfId="1" applyFont="1"/>
    <xf numFmtId="0" fontId="4" fillId="9" borderId="16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4" fillId="9" borderId="1" xfId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2" borderId="0" xfId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4" fillId="2" borderId="0" xfId="1" applyFill="1" applyAlignment="1">
      <alignment horizontal="center"/>
    </xf>
    <xf numFmtId="0" fontId="14" fillId="0" borderId="0" xfId="1" applyFont="1" applyAlignment="1">
      <alignment vertical="center"/>
    </xf>
    <xf numFmtId="0" fontId="19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164" fontId="10" fillId="2" borderId="17" xfId="0" applyNumberFormat="1" applyFont="1" applyFill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7" fillId="2" borderId="0" xfId="0" applyFont="1" applyFill="1" applyAlignment="1">
      <alignment horizontal="left" vertical="center"/>
    </xf>
    <xf numFmtId="164" fontId="7" fillId="2" borderId="0" xfId="0" applyNumberFormat="1" applyFont="1" applyFill="1" applyAlignment="1">
      <alignment vertical="center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1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64" fontId="7" fillId="3" borderId="8" xfId="0" applyNumberFormat="1" applyFont="1" applyFill="1" applyBorder="1" applyAlignment="1">
      <alignment horizontal="center" vertical="center"/>
    </xf>
    <xf numFmtId="164" fontId="7" fillId="3" borderId="2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0" borderId="0" xfId="1" applyAlignment="1">
      <alignment horizontal="center" vertical="center"/>
    </xf>
    <xf numFmtId="0" fontId="17" fillId="2" borderId="7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7" fillId="2" borderId="15" xfId="1" applyFont="1" applyFill="1" applyBorder="1" applyAlignment="1">
      <alignment horizontal="center" vertical="center" wrapText="1"/>
    </xf>
    <xf numFmtId="0" fontId="18" fillId="2" borderId="0" xfId="1" applyFont="1" applyFill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15" fillId="7" borderId="10" xfId="1" applyFont="1" applyFill="1" applyBorder="1" applyAlignment="1">
      <alignment horizontal="center" vertical="center"/>
    </xf>
    <xf numFmtId="0" fontId="15" fillId="7" borderId="11" xfId="1" applyFont="1" applyFill="1" applyBorder="1" applyAlignment="1">
      <alignment horizontal="center" vertical="center"/>
    </xf>
    <xf numFmtId="0" fontId="15" fillId="3" borderId="8" xfId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/>
    </xf>
    <xf numFmtId="0" fontId="17" fillId="8" borderId="7" xfId="1" applyFont="1" applyFill="1" applyBorder="1" applyAlignment="1">
      <alignment horizontal="center" vertical="center" wrapText="1"/>
    </xf>
    <xf numFmtId="0" fontId="17" fillId="8" borderId="14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1" fillId="0" borderId="0" xfId="2"/>
    <xf numFmtId="0" fontId="1" fillId="0" borderId="0" xfId="2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left" vertical="center"/>
    </xf>
    <xf numFmtId="0" fontId="7" fillId="0" borderId="0" xfId="2" applyFont="1"/>
    <xf numFmtId="0" fontId="22" fillId="0" borderId="0" xfId="2" applyFont="1" applyAlignment="1">
      <alignment vertical="center"/>
    </xf>
    <xf numFmtId="0" fontId="16" fillId="0" borderId="0" xfId="2" applyFont="1"/>
    <xf numFmtId="0" fontId="7" fillId="0" borderId="28" xfId="2" applyFont="1" applyBorder="1" applyAlignment="1">
      <alignment horizontal="center" vertical="center"/>
    </xf>
    <xf numFmtId="0" fontId="7" fillId="0" borderId="5" xfId="2" applyFont="1" applyBorder="1" applyAlignment="1">
      <alignment horizontal="center"/>
    </xf>
    <xf numFmtId="0" fontId="20" fillId="0" borderId="5" xfId="2" applyFont="1" applyBorder="1" applyAlignment="1">
      <alignment horizontal="center"/>
    </xf>
    <xf numFmtId="0" fontId="7" fillId="0" borderId="5" xfId="2" applyFont="1" applyBorder="1" applyAlignment="1">
      <alignment horizontal="center" vertical="center"/>
    </xf>
    <xf numFmtId="0" fontId="7" fillId="0" borderId="29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30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19" xfId="2" applyFont="1" applyBorder="1"/>
    <xf numFmtId="0" fontId="7" fillId="0" borderId="31" xfId="2" applyFont="1" applyBorder="1" applyAlignment="1">
      <alignment horizontal="center" vertical="center"/>
    </xf>
    <xf numFmtId="0" fontId="7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0" fontId="1" fillId="0" borderId="0" xfId="2" applyFont="1"/>
    <xf numFmtId="0" fontId="21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164" fontId="1" fillId="0" borderId="17" xfId="3" applyNumberFormat="1" applyFont="1" applyBorder="1" applyAlignment="1">
      <alignment horizontal="center" vertical="center"/>
    </xf>
    <xf numFmtId="164" fontId="1" fillId="2" borderId="17" xfId="2" applyNumberFormat="1" applyFont="1" applyFill="1" applyBorder="1" applyAlignment="1">
      <alignment horizontal="center" vertical="center"/>
    </xf>
    <xf numFmtId="2" fontId="1" fillId="2" borderId="17" xfId="2" applyNumberFormat="1" applyFont="1" applyFill="1" applyBorder="1" applyAlignment="1">
      <alignment horizontal="center" vertical="center"/>
    </xf>
    <xf numFmtId="164" fontId="1" fillId="0" borderId="1" xfId="3" applyNumberFormat="1" applyFont="1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/>
    </xf>
    <xf numFmtId="2" fontId="1" fillId="2" borderId="1" xfId="2" applyNumberFormat="1" applyFont="1" applyFill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0" borderId="1" xfId="2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4" fontId="1" fillId="0" borderId="21" xfId="3" applyNumberFormat="1" applyFont="1" applyBorder="1" applyAlignment="1">
      <alignment horizontal="center" vertical="center"/>
    </xf>
    <xf numFmtId="164" fontId="1" fillId="0" borderId="21" xfId="2" applyNumberFormat="1" applyFont="1" applyBorder="1" applyAlignment="1">
      <alignment horizontal="center" vertical="center"/>
    </xf>
    <xf numFmtId="2" fontId="1" fillId="0" borderId="21" xfId="2" applyNumberFormat="1" applyFont="1" applyBorder="1" applyAlignment="1">
      <alignment horizontal="center" vertical="center"/>
    </xf>
    <xf numFmtId="2" fontId="1" fillId="0" borderId="17" xfId="2" applyNumberFormat="1" applyFont="1" applyBorder="1" applyAlignment="1">
      <alignment horizontal="center" vertical="center"/>
    </xf>
    <xf numFmtId="164" fontId="1" fillId="2" borderId="1" xfId="3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center"/>
    </xf>
    <xf numFmtId="164" fontId="7" fillId="2" borderId="1" xfId="2" applyNumberFormat="1" applyFont="1" applyFill="1" applyBorder="1" applyAlignment="1">
      <alignment horizontal="center" vertical="center" wrapText="1"/>
    </xf>
    <xf numFmtId="164" fontId="1" fillId="2" borderId="1" xfId="2" applyNumberFormat="1" applyFont="1" applyFill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" fillId="0" borderId="17" xfId="3" applyFont="1" applyBorder="1" applyAlignment="1">
      <alignment horizontal="center" vertical="center" wrapText="1"/>
    </xf>
    <xf numFmtId="0" fontId="1" fillId="0" borderId="21" xfId="3" applyFont="1" applyBorder="1" applyAlignment="1">
      <alignment horizontal="center" vertical="center"/>
    </xf>
    <xf numFmtId="0" fontId="23" fillId="0" borderId="23" xfId="2" applyFont="1" applyBorder="1" applyAlignment="1">
      <alignment horizontal="center"/>
    </xf>
    <xf numFmtId="164" fontId="23" fillId="0" borderId="24" xfId="2" applyNumberFormat="1" applyFont="1" applyBorder="1" applyAlignment="1">
      <alignment horizontal="center" vertical="center"/>
    </xf>
    <xf numFmtId="164" fontId="23" fillId="0" borderId="25" xfId="2" applyNumberFormat="1" applyFont="1" applyBorder="1" applyAlignment="1">
      <alignment horizontal="center" vertical="center"/>
    </xf>
    <xf numFmtId="2" fontId="23" fillId="0" borderId="26" xfId="2" applyNumberFormat="1" applyFont="1" applyBorder="1" applyAlignment="1">
      <alignment horizontal="center" vertical="center"/>
    </xf>
    <xf numFmtId="2" fontId="23" fillId="0" borderId="27" xfId="2" applyNumberFormat="1" applyFont="1" applyBorder="1" applyAlignment="1">
      <alignment horizontal="center" vertical="center"/>
    </xf>
    <xf numFmtId="164" fontId="23" fillId="0" borderId="27" xfId="2" applyNumberFormat="1" applyFont="1" applyBorder="1" applyAlignment="1">
      <alignment horizontal="center" vertical="center"/>
    </xf>
    <xf numFmtId="164" fontId="23" fillId="0" borderId="25" xfId="2" applyNumberFormat="1" applyFont="1" applyBorder="1" applyAlignment="1">
      <alignment horizontal="center" vertical="center"/>
    </xf>
  </cellXfs>
  <cellStyles count="4">
    <cellStyle name="Normal" xfId="0" builtinId="0"/>
    <cellStyle name="Normal 2 2" xfId="1" xr:uid="{445570A4-F1CB-4DE1-A9ED-1AB76DC8B533}"/>
    <cellStyle name="Normal 3" xfId="3" xr:uid="{B4621D91-3420-4882-8CCC-9BB4C5404EE5}"/>
    <cellStyle name="Normal 4" xfId="2" xr:uid="{1E3D51F6-5B60-44F5-80A9-647209FBC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419099</xdr:colOff>
      <xdr:row>0</xdr:row>
      <xdr:rowOff>127000</xdr:rowOff>
    </xdr:from>
    <xdr:to>
      <xdr:col>4</xdr:col>
      <xdr:colOff>228599</xdr:colOff>
      <xdr:row>0</xdr:row>
      <xdr:rowOff>657225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8649" y="127000"/>
          <a:ext cx="58102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5</xdr:row>
      <xdr:rowOff>18561</xdr:rowOff>
    </xdr:from>
    <xdr:to>
      <xdr:col>1</xdr:col>
      <xdr:colOff>1466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03B39A-84D1-45CD-A9BF-D8CFA4087AA5}"/>
            </a:ext>
          </a:extLst>
        </xdr:cNvPr>
        <xdr:cNvSpPr txBox="1"/>
      </xdr:nvSpPr>
      <xdr:spPr>
        <a:xfrm>
          <a:off x="573942" y="1418736"/>
          <a:ext cx="19040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GADAYAN, VIRMIE G.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10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F44DE9-3D8E-44E2-9F83-4F49743EC9E3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AO</a:t>
          </a:r>
          <a:r>
            <a:rPr lang="en-US" sz="1100" b="1" baseline="0"/>
            <a:t> V-BUDGET</a:t>
          </a:r>
          <a:endParaRPr lang="en-US" sz="1100" b="1"/>
        </a:p>
      </xdr:txBody>
    </xdr:sp>
    <xdr:clientData/>
  </xdr:twoCellAnchor>
  <xdr:twoCellAnchor>
    <xdr:from>
      <xdr:col>2</xdr:col>
      <xdr:colOff>291368</xdr:colOff>
      <xdr:row>7</xdr:row>
      <xdr:rowOff>99891</xdr:rowOff>
    </xdr:from>
    <xdr:to>
      <xdr:col>4</xdr:col>
      <xdr:colOff>480646</xdr:colOff>
      <xdr:row>10</xdr:row>
      <xdr:rowOff>45184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5CF172-8F72-4702-B84B-7A52EBFF4F5E}"/>
            </a:ext>
          </a:extLst>
        </xdr:cNvPr>
        <xdr:cNvSpPr txBox="1"/>
      </xdr:nvSpPr>
      <xdr:spPr>
        <a:xfrm>
          <a:off x="3539393" y="1757241"/>
          <a:ext cx="1732328" cy="402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127257</xdr:colOff>
      <xdr:row>0</xdr:row>
      <xdr:rowOff>126067</xdr:rowOff>
    </xdr:from>
    <xdr:to>
      <xdr:col>9</xdr:col>
      <xdr:colOff>137224</xdr:colOff>
      <xdr:row>4</xdr:row>
      <xdr:rowOff>40360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ACF59-4700-4A0E-8BD0-CB9F70E414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3732" y="126067"/>
          <a:ext cx="695768" cy="6762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16144</xdr:colOff>
      <xdr:row>0</xdr:row>
      <xdr:rowOff>127135</xdr:rowOff>
    </xdr:from>
    <xdr:to>
      <xdr:col>8</xdr:col>
      <xdr:colOff>113637</xdr:colOff>
      <xdr:row>4</xdr:row>
      <xdr:rowOff>80722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FBBB61-4551-4182-AFF1-63216D41D08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069" y="127135"/>
          <a:ext cx="688043" cy="7155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445067</xdr:colOff>
      <xdr:row>0</xdr:row>
      <xdr:rowOff>40369</xdr:rowOff>
    </xdr:from>
    <xdr:to>
      <xdr:col>4</xdr:col>
      <xdr:colOff>450737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7E3E1-D978-442F-9B78-236B48DEDAC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348" y="40369"/>
          <a:ext cx="583974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E03C6B-2F83-4D12-AF43-D6F21DDCB192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GADAYAN, VIRMIE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8F925A-786C-4BA2-8C51-BA7D6EBC45E7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AO-V BUDGET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E8EEC0-A4E4-40CC-A87B-CA8EEAB19607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9"/>
  <sheetViews>
    <sheetView view="pageBreakPreview" topLeftCell="A121" zoomScaleNormal="100" workbookViewId="0">
      <selection activeCell="A124" sqref="A124:F152"/>
    </sheetView>
  </sheetViews>
  <sheetFormatPr defaultColWidth="9" defaultRowHeight="15"/>
  <cols>
    <col min="1" max="1" width="37.140625" customWidth="1"/>
    <col min="2" max="7" width="11.5703125" customWidth="1"/>
    <col min="8" max="10" width="11.5703125" style="13" customWidth="1"/>
    <col min="11" max="11" width="26.42578125" style="2" customWidth="1"/>
  </cols>
  <sheetData>
    <row r="1" spans="1:11" s="1" customFormat="1" ht="52.5" customHeight="1">
      <c r="H1" s="9"/>
      <c r="I1" s="9"/>
      <c r="J1" s="9"/>
    </row>
    <row r="2" spans="1:11" s="1" customFormat="1" ht="10.5" customHeight="1">
      <c r="A2" s="77" t="s">
        <v>38</v>
      </c>
      <c r="B2" s="77"/>
      <c r="C2" s="77"/>
      <c r="D2" s="77"/>
      <c r="E2" s="77"/>
      <c r="F2" s="77"/>
      <c r="G2" s="77"/>
      <c r="H2" s="77"/>
      <c r="I2" s="77"/>
      <c r="J2" s="77"/>
    </row>
    <row r="3" spans="1:11" s="1" customFormat="1" ht="15.95" customHeight="1">
      <c r="A3" s="77" t="s">
        <v>39</v>
      </c>
      <c r="B3" s="77"/>
      <c r="C3" s="77"/>
      <c r="D3" s="77"/>
      <c r="E3" s="77"/>
      <c r="F3" s="77"/>
      <c r="G3" s="77"/>
      <c r="H3" s="77"/>
      <c r="I3" s="77"/>
      <c r="J3" s="77"/>
    </row>
    <row r="4" spans="1:11" s="1" customFormat="1" ht="15.95" customHeight="1">
      <c r="A4" s="77" t="s">
        <v>40</v>
      </c>
      <c r="B4" s="77"/>
      <c r="C4" s="77"/>
      <c r="D4" s="77"/>
      <c r="E4" s="77"/>
      <c r="F4" s="77"/>
      <c r="G4" s="77"/>
      <c r="H4" s="77"/>
      <c r="I4" s="77"/>
      <c r="J4" s="77"/>
    </row>
    <row r="5" spans="1:11" s="1" customFormat="1" ht="15.95" customHeight="1">
      <c r="A5" s="77" t="s">
        <v>41</v>
      </c>
      <c r="B5" s="77"/>
      <c r="C5" s="77"/>
      <c r="D5" s="77"/>
      <c r="E5" s="77"/>
      <c r="F5" s="77"/>
      <c r="G5" s="77"/>
      <c r="H5" s="77"/>
      <c r="I5" s="77"/>
      <c r="J5" s="77"/>
    </row>
    <row r="6" spans="1:11" s="1" customFormat="1" ht="8.25" customHeight="1">
      <c r="H6" s="9"/>
      <c r="I6" s="9"/>
      <c r="J6" s="9"/>
    </row>
    <row r="7" spans="1:11" s="1" customFormat="1" ht="12" customHeight="1">
      <c r="A7" s="57" t="s">
        <v>179</v>
      </c>
      <c r="B7" s="78" t="s">
        <v>180</v>
      </c>
      <c r="C7" s="65"/>
      <c r="D7" s="65"/>
      <c r="H7" s="59" t="s">
        <v>189</v>
      </c>
      <c r="I7" s="14"/>
      <c r="J7" s="10"/>
    </row>
    <row r="8" spans="1:11" s="1" customFormat="1" ht="12" customHeight="1">
      <c r="B8" s="5"/>
      <c r="C8" s="5"/>
      <c r="H8" s="11"/>
      <c r="I8" s="11"/>
      <c r="J8" s="11"/>
    </row>
    <row r="9" spans="1:11" s="1" customFormat="1" ht="12" customHeight="1">
      <c r="A9" s="1" t="s">
        <v>44</v>
      </c>
      <c r="B9" s="64" t="s">
        <v>181</v>
      </c>
      <c r="C9" s="65"/>
      <c r="D9" s="65"/>
      <c r="H9" s="59" t="s">
        <v>188</v>
      </c>
      <c r="I9" s="15"/>
      <c r="J9" s="10"/>
    </row>
    <row r="10" spans="1:11" s="1" customFormat="1" ht="12" customHeight="1">
      <c r="B10" s="58"/>
      <c r="C10" s="40"/>
      <c r="D10" s="40"/>
      <c r="H10" s="10"/>
      <c r="I10" s="10"/>
      <c r="J10" s="10"/>
    </row>
    <row r="11" spans="1:11" ht="16.5" customHeight="1" thickBot="1">
      <c r="A11" s="66" t="s">
        <v>2</v>
      </c>
      <c r="B11" s="66"/>
      <c r="C11" s="66"/>
      <c r="D11" s="66"/>
      <c r="E11" s="66"/>
      <c r="F11" s="66"/>
      <c r="G11" s="66"/>
      <c r="H11" s="66"/>
      <c r="I11" s="66"/>
      <c r="J11" s="66"/>
      <c r="K11"/>
    </row>
    <row r="12" spans="1:11" ht="18.75" customHeight="1">
      <c r="A12" s="67" t="s">
        <v>3</v>
      </c>
      <c r="B12" s="73" t="s">
        <v>4</v>
      </c>
      <c r="C12" s="73"/>
      <c r="D12" s="69" t="s">
        <v>5</v>
      </c>
      <c r="E12" s="70"/>
      <c r="F12" s="70"/>
      <c r="G12" s="71"/>
      <c r="H12" s="74" t="s">
        <v>6</v>
      </c>
      <c r="I12" s="74"/>
      <c r="J12" s="75" t="s">
        <v>7</v>
      </c>
      <c r="K12" s="72" t="s">
        <v>8</v>
      </c>
    </row>
    <row r="13" spans="1:11" ht="18.75" customHeight="1" thickBot="1">
      <c r="A13" s="68"/>
      <c r="B13" s="55" t="s">
        <v>9</v>
      </c>
      <c r="C13" s="55" t="s">
        <v>10</v>
      </c>
      <c r="D13" s="55" t="s">
        <v>9</v>
      </c>
      <c r="E13" s="55" t="s">
        <v>10</v>
      </c>
      <c r="F13" s="55" t="s">
        <v>11</v>
      </c>
      <c r="G13" s="55" t="s">
        <v>37</v>
      </c>
      <c r="H13" s="56" t="s">
        <v>9</v>
      </c>
      <c r="I13" s="56" t="s">
        <v>10</v>
      </c>
      <c r="J13" s="76"/>
      <c r="K13" s="72"/>
    </row>
    <row r="14" spans="1:11" ht="18.75" customHeight="1">
      <c r="A14" s="51" t="s">
        <v>92</v>
      </c>
      <c r="B14" s="52">
        <f>4*1.25</f>
        <v>5</v>
      </c>
      <c r="C14" s="52">
        <v>5</v>
      </c>
      <c r="D14" s="52"/>
      <c r="E14" s="52"/>
      <c r="F14" s="52"/>
      <c r="G14" s="52"/>
      <c r="H14" s="53">
        <f>B14</f>
        <v>5</v>
      </c>
      <c r="I14" s="53">
        <f>C14</f>
        <v>5</v>
      </c>
      <c r="J14" s="54">
        <f>SUM(H14:I14)</f>
        <v>10</v>
      </c>
      <c r="K14" s="6"/>
    </row>
    <row r="15" spans="1:11" ht="18.75" customHeight="1">
      <c r="A15" s="42" t="s">
        <v>93</v>
      </c>
      <c r="B15" s="43">
        <v>15</v>
      </c>
      <c r="C15" s="43">
        <v>15</v>
      </c>
      <c r="D15" s="43"/>
      <c r="E15" s="43"/>
      <c r="F15" s="43"/>
      <c r="G15" s="43"/>
      <c r="H15" s="44">
        <f>H14-F15-D15+B15</f>
        <v>20</v>
      </c>
      <c r="I15" s="44">
        <f>I14-E15+C15</f>
        <v>20</v>
      </c>
      <c r="J15" s="45">
        <f>SUM(H15:I15)</f>
        <v>40</v>
      </c>
      <c r="K15" s="6"/>
    </row>
    <row r="16" spans="1:11" ht="18.75" customHeight="1">
      <c r="A16" s="42" t="s">
        <v>94</v>
      </c>
      <c r="B16" s="43"/>
      <c r="C16" s="43"/>
      <c r="D16" s="43"/>
      <c r="E16" s="43"/>
      <c r="F16" s="43">
        <v>5</v>
      </c>
      <c r="G16" s="43"/>
      <c r="H16" s="44">
        <f t="shared" ref="H16:H42" si="0">H15-F16-D16+B16</f>
        <v>15</v>
      </c>
      <c r="I16" s="44">
        <f t="shared" ref="I16:I42" si="1">I15-E16+C16</f>
        <v>20</v>
      </c>
      <c r="J16" s="45">
        <f t="shared" ref="J16:J42" si="2">SUM(H16:I16)</f>
        <v>35</v>
      </c>
      <c r="K16" s="6"/>
    </row>
    <row r="17" spans="1:11" ht="18.75" customHeight="1">
      <c r="A17" s="42" t="s">
        <v>95</v>
      </c>
      <c r="B17" s="43"/>
      <c r="C17" s="43"/>
      <c r="D17" s="43">
        <v>10</v>
      </c>
      <c r="E17" s="43"/>
      <c r="F17" s="43"/>
      <c r="G17" s="43"/>
      <c r="H17" s="44">
        <f t="shared" si="0"/>
        <v>5</v>
      </c>
      <c r="I17" s="44">
        <f t="shared" si="1"/>
        <v>20</v>
      </c>
      <c r="J17" s="45">
        <f t="shared" si="2"/>
        <v>25</v>
      </c>
      <c r="K17" s="6"/>
    </row>
    <row r="18" spans="1:11" ht="18.75" customHeight="1">
      <c r="A18" s="42" t="s">
        <v>96</v>
      </c>
      <c r="B18" s="43">
        <v>13.75</v>
      </c>
      <c r="C18" s="43">
        <v>13.75</v>
      </c>
      <c r="D18" s="43"/>
      <c r="E18" s="43"/>
      <c r="F18" s="43"/>
      <c r="G18" s="43"/>
      <c r="H18" s="44">
        <f t="shared" si="0"/>
        <v>18.75</v>
      </c>
      <c r="I18" s="44">
        <f t="shared" si="1"/>
        <v>33.75</v>
      </c>
      <c r="J18" s="45">
        <f t="shared" si="2"/>
        <v>52.5</v>
      </c>
      <c r="K18" s="6"/>
    </row>
    <row r="19" spans="1:11" ht="18.75" customHeight="1">
      <c r="A19" s="42" t="s">
        <v>97</v>
      </c>
      <c r="B19" s="43"/>
      <c r="C19" s="43"/>
      <c r="D19" s="43">
        <v>5</v>
      </c>
      <c r="E19" s="43">
        <v>10</v>
      </c>
      <c r="F19" s="43"/>
      <c r="G19" s="43"/>
      <c r="H19" s="44">
        <f t="shared" si="0"/>
        <v>13.75</v>
      </c>
      <c r="I19" s="44">
        <f t="shared" si="1"/>
        <v>23.75</v>
      </c>
      <c r="J19" s="45">
        <f t="shared" si="2"/>
        <v>37.5</v>
      </c>
      <c r="K19" s="6"/>
    </row>
    <row r="20" spans="1:11" ht="18.75" customHeight="1">
      <c r="A20" s="42" t="s">
        <v>98</v>
      </c>
      <c r="B20" s="43">
        <v>1.25</v>
      </c>
      <c r="C20" s="43">
        <v>1.25</v>
      </c>
      <c r="D20" s="43"/>
      <c r="E20" s="43"/>
      <c r="F20" s="43"/>
      <c r="G20" s="43"/>
      <c r="H20" s="44">
        <f t="shared" si="0"/>
        <v>15</v>
      </c>
      <c r="I20" s="44">
        <f t="shared" si="1"/>
        <v>25</v>
      </c>
      <c r="J20" s="45">
        <f t="shared" si="2"/>
        <v>40</v>
      </c>
      <c r="K20" s="6"/>
    </row>
    <row r="21" spans="1:11" ht="18.75" customHeight="1">
      <c r="A21" s="42" t="s">
        <v>99</v>
      </c>
      <c r="B21" s="43"/>
      <c r="C21" s="43"/>
      <c r="D21" s="43"/>
      <c r="E21" s="43"/>
      <c r="F21" s="43">
        <v>5</v>
      </c>
      <c r="G21" s="43"/>
      <c r="H21" s="44">
        <f t="shared" si="0"/>
        <v>10</v>
      </c>
      <c r="I21" s="44">
        <f t="shared" si="1"/>
        <v>25</v>
      </c>
      <c r="J21" s="45">
        <f t="shared" si="2"/>
        <v>35</v>
      </c>
      <c r="K21" s="6"/>
    </row>
    <row r="22" spans="1:11" ht="18.75" customHeight="1">
      <c r="A22" s="42" t="s">
        <v>100</v>
      </c>
      <c r="B22" s="43">
        <v>15</v>
      </c>
      <c r="C22" s="43">
        <v>15</v>
      </c>
      <c r="D22" s="43"/>
      <c r="E22" s="43"/>
      <c r="F22" s="43"/>
      <c r="G22" s="43"/>
      <c r="H22" s="44">
        <f t="shared" si="0"/>
        <v>25</v>
      </c>
      <c r="I22" s="44">
        <f t="shared" si="1"/>
        <v>40</v>
      </c>
      <c r="J22" s="45">
        <f t="shared" si="2"/>
        <v>65</v>
      </c>
      <c r="K22" s="6"/>
    </row>
    <row r="23" spans="1:11" ht="18.75" customHeight="1">
      <c r="A23" s="42" t="s">
        <v>101</v>
      </c>
      <c r="B23" s="43"/>
      <c r="C23" s="43"/>
      <c r="D23" s="43"/>
      <c r="E23" s="43"/>
      <c r="F23" s="43">
        <v>5</v>
      </c>
      <c r="G23" s="43"/>
      <c r="H23" s="44">
        <f t="shared" si="0"/>
        <v>20</v>
      </c>
      <c r="I23" s="44">
        <f t="shared" si="1"/>
        <v>40</v>
      </c>
      <c r="J23" s="45">
        <f t="shared" si="2"/>
        <v>60</v>
      </c>
      <c r="K23" s="6"/>
    </row>
    <row r="24" spans="1:11" ht="18.75" customHeight="1">
      <c r="A24" s="42" t="s">
        <v>102</v>
      </c>
      <c r="B24" s="43">
        <v>15</v>
      </c>
      <c r="C24" s="43">
        <v>15</v>
      </c>
      <c r="D24" s="43"/>
      <c r="E24" s="43"/>
      <c r="F24" s="43"/>
      <c r="G24" s="43"/>
      <c r="H24" s="44">
        <f t="shared" si="0"/>
        <v>35</v>
      </c>
      <c r="I24" s="44">
        <f t="shared" si="1"/>
        <v>55</v>
      </c>
      <c r="J24" s="45">
        <f t="shared" si="2"/>
        <v>90</v>
      </c>
      <c r="K24" s="6"/>
    </row>
    <row r="25" spans="1:11" ht="18.75" customHeight="1">
      <c r="A25" s="42" t="s">
        <v>103</v>
      </c>
      <c r="B25" s="43"/>
      <c r="C25" s="43"/>
      <c r="D25" s="43"/>
      <c r="E25" s="43"/>
      <c r="F25" s="43">
        <v>5</v>
      </c>
      <c r="G25" s="43"/>
      <c r="H25" s="44">
        <f t="shared" si="0"/>
        <v>30</v>
      </c>
      <c r="I25" s="44">
        <f t="shared" si="1"/>
        <v>55</v>
      </c>
      <c r="J25" s="45">
        <f t="shared" si="2"/>
        <v>85</v>
      </c>
      <c r="K25" s="6"/>
    </row>
    <row r="26" spans="1:11" ht="18.75" customHeight="1">
      <c r="A26" s="42" t="s">
        <v>104</v>
      </c>
      <c r="B26" s="43">
        <v>15</v>
      </c>
      <c r="C26" s="43">
        <v>15</v>
      </c>
      <c r="D26" s="43"/>
      <c r="E26" s="43"/>
      <c r="F26" s="43"/>
      <c r="G26" s="43"/>
      <c r="H26" s="44">
        <f t="shared" si="0"/>
        <v>45</v>
      </c>
      <c r="I26" s="44">
        <f t="shared" si="1"/>
        <v>70</v>
      </c>
      <c r="J26" s="45">
        <f t="shared" si="2"/>
        <v>115</v>
      </c>
      <c r="K26" s="6"/>
    </row>
    <row r="27" spans="1:11" ht="18.75" customHeight="1">
      <c r="A27" s="42" t="s">
        <v>105</v>
      </c>
      <c r="B27" s="43"/>
      <c r="C27" s="43"/>
      <c r="D27" s="43"/>
      <c r="E27" s="43"/>
      <c r="F27" s="43">
        <v>5</v>
      </c>
      <c r="G27" s="43"/>
      <c r="H27" s="44">
        <f t="shared" si="0"/>
        <v>40</v>
      </c>
      <c r="I27" s="44">
        <f t="shared" si="1"/>
        <v>70</v>
      </c>
      <c r="J27" s="45">
        <f t="shared" si="2"/>
        <v>110</v>
      </c>
      <c r="K27" s="6"/>
    </row>
    <row r="28" spans="1:11" ht="18.75" customHeight="1">
      <c r="A28" s="42" t="s">
        <v>106</v>
      </c>
      <c r="B28" s="43">
        <v>15</v>
      </c>
      <c r="C28" s="43">
        <v>15</v>
      </c>
      <c r="D28" s="43"/>
      <c r="E28" s="43"/>
      <c r="F28" s="43"/>
      <c r="G28" s="43"/>
      <c r="H28" s="44">
        <f t="shared" si="0"/>
        <v>55</v>
      </c>
      <c r="I28" s="44">
        <f t="shared" si="1"/>
        <v>85</v>
      </c>
      <c r="J28" s="45">
        <f t="shared" si="2"/>
        <v>140</v>
      </c>
      <c r="K28" s="6"/>
    </row>
    <row r="29" spans="1:11" ht="18.75" customHeight="1">
      <c r="A29" s="42" t="s">
        <v>107</v>
      </c>
      <c r="B29" s="43"/>
      <c r="C29" s="43"/>
      <c r="D29" s="43"/>
      <c r="E29" s="43"/>
      <c r="F29" s="43">
        <v>5</v>
      </c>
      <c r="G29" s="43"/>
      <c r="H29" s="44">
        <f t="shared" si="0"/>
        <v>50</v>
      </c>
      <c r="I29" s="44">
        <f t="shared" si="1"/>
        <v>85</v>
      </c>
      <c r="J29" s="45">
        <f t="shared" si="2"/>
        <v>135</v>
      </c>
      <c r="K29" s="6"/>
    </row>
    <row r="30" spans="1:11" ht="18.75" customHeight="1">
      <c r="A30" s="42" t="s">
        <v>108</v>
      </c>
      <c r="B30" s="43">
        <v>15</v>
      </c>
      <c r="C30" s="43">
        <v>15</v>
      </c>
      <c r="D30" s="43"/>
      <c r="E30" s="43"/>
      <c r="F30" s="43"/>
      <c r="G30" s="43"/>
      <c r="H30" s="44">
        <f t="shared" si="0"/>
        <v>65</v>
      </c>
      <c r="I30" s="44">
        <f t="shared" si="1"/>
        <v>100</v>
      </c>
      <c r="J30" s="45">
        <f t="shared" si="2"/>
        <v>165</v>
      </c>
      <c r="K30" s="6"/>
    </row>
    <row r="31" spans="1:11" ht="18.75" customHeight="1">
      <c r="A31" s="42" t="s">
        <v>109</v>
      </c>
      <c r="B31" s="43"/>
      <c r="C31" s="43"/>
      <c r="D31" s="43"/>
      <c r="E31" s="43"/>
      <c r="F31" s="43">
        <v>5</v>
      </c>
      <c r="G31" s="43"/>
      <c r="H31" s="44">
        <f t="shared" si="0"/>
        <v>60</v>
      </c>
      <c r="I31" s="44">
        <f t="shared" si="1"/>
        <v>100</v>
      </c>
      <c r="J31" s="45">
        <f t="shared" si="2"/>
        <v>160</v>
      </c>
      <c r="K31" s="6"/>
    </row>
    <row r="32" spans="1:11" ht="18.75" customHeight="1">
      <c r="A32" s="42" t="s">
        <v>110</v>
      </c>
      <c r="B32" s="43"/>
      <c r="C32" s="43"/>
      <c r="D32" s="43">
        <v>45</v>
      </c>
      <c r="E32" s="43"/>
      <c r="F32" s="43"/>
      <c r="G32" s="43"/>
      <c r="H32" s="44">
        <f t="shared" si="0"/>
        <v>15</v>
      </c>
      <c r="I32" s="44">
        <f t="shared" si="1"/>
        <v>100</v>
      </c>
      <c r="J32" s="45">
        <f t="shared" si="2"/>
        <v>115</v>
      </c>
      <c r="K32" s="6"/>
    </row>
    <row r="33" spans="1:11" ht="18.75" customHeight="1">
      <c r="A33" s="42" t="s">
        <v>111</v>
      </c>
      <c r="B33" s="43">
        <v>10</v>
      </c>
      <c r="C33" s="43">
        <v>10</v>
      </c>
      <c r="D33" s="43"/>
      <c r="E33" s="43"/>
      <c r="F33" s="43"/>
      <c r="G33" s="43"/>
      <c r="H33" s="44">
        <f t="shared" si="0"/>
        <v>25</v>
      </c>
      <c r="I33" s="44">
        <f t="shared" si="1"/>
        <v>110</v>
      </c>
      <c r="J33" s="45">
        <f t="shared" si="2"/>
        <v>135</v>
      </c>
      <c r="K33" s="6"/>
    </row>
    <row r="34" spans="1:11" ht="18.75" customHeight="1">
      <c r="A34" s="42" t="s">
        <v>112</v>
      </c>
      <c r="B34" s="43"/>
      <c r="C34" s="43"/>
      <c r="D34" s="43"/>
      <c r="E34" s="43">
        <v>20</v>
      </c>
      <c r="F34" s="43"/>
      <c r="G34" s="43"/>
      <c r="H34" s="44">
        <f t="shared" si="0"/>
        <v>25</v>
      </c>
      <c r="I34" s="44">
        <f t="shared" si="1"/>
        <v>90</v>
      </c>
      <c r="J34" s="45">
        <f t="shared" si="2"/>
        <v>115</v>
      </c>
      <c r="K34" s="6"/>
    </row>
    <row r="35" spans="1:11" ht="18.75" customHeight="1">
      <c r="A35" s="42" t="s">
        <v>113</v>
      </c>
      <c r="B35" s="43">
        <v>5</v>
      </c>
      <c r="C35" s="43">
        <v>5</v>
      </c>
      <c r="D35" s="43"/>
      <c r="E35" s="43"/>
      <c r="F35" s="43"/>
      <c r="G35" s="43"/>
      <c r="H35" s="44">
        <f t="shared" si="0"/>
        <v>30</v>
      </c>
      <c r="I35" s="44">
        <f t="shared" si="1"/>
        <v>95</v>
      </c>
      <c r="J35" s="45">
        <f t="shared" si="2"/>
        <v>125</v>
      </c>
      <c r="K35" s="6"/>
    </row>
    <row r="36" spans="1:11" ht="18.75" customHeight="1">
      <c r="A36" s="42" t="s">
        <v>114</v>
      </c>
      <c r="B36" s="43"/>
      <c r="C36" s="43"/>
      <c r="D36" s="43"/>
      <c r="E36" s="43"/>
      <c r="F36" s="43">
        <v>5</v>
      </c>
      <c r="G36" s="43"/>
      <c r="H36" s="44">
        <f t="shared" si="0"/>
        <v>25</v>
      </c>
      <c r="I36" s="44">
        <f t="shared" si="1"/>
        <v>95</v>
      </c>
      <c r="J36" s="45">
        <f t="shared" si="2"/>
        <v>120</v>
      </c>
      <c r="K36" s="6"/>
    </row>
    <row r="37" spans="1:11" ht="32.25" customHeight="1">
      <c r="A37" s="50" t="s">
        <v>115</v>
      </c>
      <c r="B37" s="43"/>
      <c r="C37" s="43"/>
      <c r="D37" s="43"/>
      <c r="E37" s="43">
        <v>45</v>
      </c>
      <c r="F37" s="43"/>
      <c r="G37" s="43"/>
      <c r="H37" s="44">
        <f t="shared" si="0"/>
        <v>25</v>
      </c>
      <c r="I37" s="44">
        <f t="shared" si="1"/>
        <v>50</v>
      </c>
      <c r="J37" s="45">
        <f t="shared" si="2"/>
        <v>75</v>
      </c>
      <c r="K37" s="6"/>
    </row>
    <row r="38" spans="1:11" ht="18.75" customHeight="1">
      <c r="A38" s="42" t="s">
        <v>116</v>
      </c>
      <c r="B38" s="43">
        <v>1.25</v>
      </c>
      <c r="C38" s="43">
        <v>1.25</v>
      </c>
      <c r="D38" s="43"/>
      <c r="E38" s="43"/>
      <c r="F38" s="43"/>
      <c r="G38" s="43"/>
      <c r="H38" s="44">
        <f t="shared" si="0"/>
        <v>26.25</v>
      </c>
      <c r="I38" s="44">
        <f t="shared" si="1"/>
        <v>51.25</v>
      </c>
      <c r="J38" s="45">
        <f t="shared" si="2"/>
        <v>77.5</v>
      </c>
      <c r="K38" s="6"/>
    </row>
    <row r="39" spans="1:11" ht="18.75" customHeight="1">
      <c r="A39" s="42" t="s">
        <v>183</v>
      </c>
      <c r="B39" s="43"/>
      <c r="C39" s="43"/>
      <c r="D39" s="43"/>
      <c r="E39" s="43"/>
      <c r="F39" s="43">
        <v>5</v>
      </c>
      <c r="G39" s="43"/>
      <c r="H39" s="44">
        <f t="shared" si="0"/>
        <v>21.25</v>
      </c>
      <c r="I39" s="44">
        <f t="shared" si="1"/>
        <v>51.25</v>
      </c>
      <c r="J39" s="45">
        <f t="shared" si="2"/>
        <v>72.5</v>
      </c>
      <c r="K39" s="6"/>
    </row>
    <row r="40" spans="1:11" ht="18.75" customHeight="1">
      <c r="A40" s="42" t="s">
        <v>140</v>
      </c>
      <c r="B40" s="43"/>
      <c r="C40" s="43"/>
      <c r="D40" s="43">
        <v>3</v>
      </c>
      <c r="E40" s="43"/>
      <c r="F40" s="43"/>
      <c r="G40" s="43"/>
      <c r="H40" s="44">
        <f t="shared" si="0"/>
        <v>18.25</v>
      </c>
      <c r="I40" s="44">
        <f t="shared" si="1"/>
        <v>51.25</v>
      </c>
      <c r="J40" s="45">
        <f t="shared" si="2"/>
        <v>69.5</v>
      </c>
      <c r="K40" s="6"/>
    </row>
    <row r="41" spans="1:11" ht="18.75" customHeight="1">
      <c r="A41" s="42" t="s">
        <v>139</v>
      </c>
      <c r="B41" s="43"/>
      <c r="C41" s="43"/>
      <c r="D41" s="43"/>
      <c r="E41" s="43"/>
      <c r="F41" s="43"/>
      <c r="G41" s="43">
        <v>3</v>
      </c>
      <c r="H41" s="44">
        <f t="shared" si="0"/>
        <v>18.25</v>
      </c>
      <c r="I41" s="44">
        <f t="shared" si="1"/>
        <v>51.25</v>
      </c>
      <c r="J41" s="45">
        <f t="shared" si="2"/>
        <v>69.5</v>
      </c>
      <c r="K41" s="6"/>
    </row>
    <row r="42" spans="1:11" ht="18.75" customHeight="1">
      <c r="A42" s="42" t="s">
        <v>182</v>
      </c>
      <c r="B42" s="43"/>
      <c r="C42" s="43"/>
      <c r="D42" s="43">
        <v>4</v>
      </c>
      <c r="E42" s="43"/>
      <c r="F42" s="43"/>
      <c r="G42" s="43"/>
      <c r="H42" s="44">
        <f t="shared" si="0"/>
        <v>14.25</v>
      </c>
      <c r="I42" s="44">
        <f t="shared" si="1"/>
        <v>51.25</v>
      </c>
      <c r="J42" s="45">
        <f t="shared" si="2"/>
        <v>65.5</v>
      </c>
      <c r="K42" s="6"/>
    </row>
    <row r="43" spans="1:11" ht="18.75" customHeight="1">
      <c r="A43" s="42" t="s">
        <v>48</v>
      </c>
      <c r="B43" s="44">
        <f>11*1.25</f>
        <v>13.75</v>
      </c>
      <c r="C43" s="44">
        <v>13.75</v>
      </c>
      <c r="D43" s="44"/>
      <c r="E43" s="44"/>
      <c r="F43" s="44"/>
      <c r="G43" s="44"/>
      <c r="H43" s="44">
        <f t="shared" ref="H43:H72" si="3">H42-F43-D43+B43</f>
        <v>28</v>
      </c>
      <c r="I43" s="44">
        <f t="shared" ref="I43:I72" si="4">I42-E43+C43</f>
        <v>65</v>
      </c>
      <c r="J43" s="45">
        <f t="shared" ref="J43:J72" si="5">SUM(H43:I43)</f>
        <v>93</v>
      </c>
    </row>
    <row r="44" spans="1:11" ht="18.75" customHeight="1">
      <c r="A44" s="42" t="s">
        <v>49</v>
      </c>
      <c r="B44" s="44"/>
      <c r="C44" s="44"/>
      <c r="D44" s="44">
        <v>10</v>
      </c>
      <c r="E44" s="44">
        <v>10</v>
      </c>
      <c r="F44" s="44"/>
      <c r="G44" s="44"/>
      <c r="H44" s="44">
        <f t="shared" si="3"/>
        <v>18</v>
      </c>
      <c r="I44" s="44">
        <f t="shared" si="4"/>
        <v>55</v>
      </c>
      <c r="J44" s="45">
        <f t="shared" si="5"/>
        <v>73</v>
      </c>
    </row>
    <row r="45" spans="1:11" ht="18.75" customHeight="1">
      <c r="A45" s="42" t="s">
        <v>50</v>
      </c>
      <c r="B45" s="44"/>
      <c r="C45" s="44"/>
      <c r="D45" s="44"/>
      <c r="E45" s="44">
        <v>36</v>
      </c>
      <c r="F45" s="44"/>
      <c r="G45" s="44"/>
      <c r="H45" s="44">
        <f t="shared" si="3"/>
        <v>18</v>
      </c>
      <c r="I45" s="44">
        <f t="shared" si="4"/>
        <v>19</v>
      </c>
      <c r="J45" s="45">
        <f t="shared" si="5"/>
        <v>37</v>
      </c>
    </row>
    <row r="46" spans="1:11" ht="18.75" customHeight="1">
      <c r="A46" s="42" t="s">
        <v>51</v>
      </c>
      <c r="B46" s="44"/>
      <c r="C46" s="44"/>
      <c r="D46" s="44"/>
      <c r="E46" s="44"/>
      <c r="F46" s="44">
        <v>5</v>
      </c>
      <c r="G46" s="44"/>
      <c r="H46" s="44">
        <f t="shared" si="3"/>
        <v>13</v>
      </c>
      <c r="I46" s="44">
        <f t="shared" si="4"/>
        <v>19</v>
      </c>
      <c r="J46" s="45">
        <f t="shared" si="5"/>
        <v>32</v>
      </c>
    </row>
    <row r="47" spans="1:11" ht="18.75" customHeight="1">
      <c r="A47" s="42" t="s">
        <v>52</v>
      </c>
      <c r="B47" s="44">
        <v>15</v>
      </c>
      <c r="C47" s="44">
        <v>15</v>
      </c>
      <c r="D47" s="44"/>
      <c r="E47" s="44"/>
      <c r="F47" s="44"/>
      <c r="G47" s="44"/>
      <c r="H47" s="44">
        <f t="shared" si="3"/>
        <v>28</v>
      </c>
      <c r="I47" s="44">
        <f t="shared" si="4"/>
        <v>34</v>
      </c>
      <c r="J47" s="45">
        <f t="shared" si="5"/>
        <v>62</v>
      </c>
    </row>
    <row r="48" spans="1:11" ht="18.75" customHeight="1">
      <c r="A48" s="42" t="s">
        <v>53</v>
      </c>
      <c r="B48" s="44"/>
      <c r="C48" s="44"/>
      <c r="D48" s="44">
        <v>15</v>
      </c>
      <c r="E48" s="44">
        <v>15</v>
      </c>
      <c r="F48" s="44"/>
      <c r="G48" s="44"/>
      <c r="H48" s="44">
        <f t="shared" si="3"/>
        <v>13</v>
      </c>
      <c r="I48" s="44">
        <f t="shared" si="4"/>
        <v>19</v>
      </c>
      <c r="J48" s="45">
        <f t="shared" si="5"/>
        <v>32</v>
      </c>
    </row>
    <row r="49" spans="1:10" ht="18.75" customHeight="1">
      <c r="A49" s="42" t="s">
        <v>54</v>
      </c>
      <c r="B49" s="44"/>
      <c r="C49" s="44"/>
      <c r="D49" s="44"/>
      <c r="E49" s="44"/>
      <c r="F49" s="44">
        <v>5</v>
      </c>
      <c r="G49" s="44"/>
      <c r="H49" s="44">
        <f t="shared" si="3"/>
        <v>8</v>
      </c>
      <c r="I49" s="44">
        <f t="shared" si="4"/>
        <v>19</v>
      </c>
      <c r="J49" s="45">
        <f t="shared" si="5"/>
        <v>27</v>
      </c>
    </row>
    <row r="50" spans="1:10" ht="18.75" customHeight="1">
      <c r="A50" s="42" t="s">
        <v>55</v>
      </c>
      <c r="B50" s="44">
        <v>15</v>
      </c>
      <c r="C50" s="44">
        <v>15</v>
      </c>
      <c r="D50" s="44"/>
      <c r="E50" s="44"/>
      <c r="F50" s="44"/>
      <c r="G50" s="44"/>
      <c r="H50" s="44">
        <f t="shared" si="3"/>
        <v>23</v>
      </c>
      <c r="I50" s="44">
        <f t="shared" si="4"/>
        <v>34</v>
      </c>
      <c r="J50" s="45">
        <f t="shared" si="5"/>
        <v>57</v>
      </c>
    </row>
    <row r="51" spans="1:10" ht="18.75" customHeight="1">
      <c r="A51" s="42" t="s">
        <v>56</v>
      </c>
      <c r="B51" s="44"/>
      <c r="C51" s="44"/>
      <c r="D51" s="44"/>
      <c r="E51" s="44"/>
      <c r="F51" s="44">
        <v>5</v>
      </c>
      <c r="G51" s="44"/>
      <c r="H51" s="44">
        <f t="shared" si="3"/>
        <v>18</v>
      </c>
      <c r="I51" s="44">
        <f t="shared" si="4"/>
        <v>34</v>
      </c>
      <c r="J51" s="45">
        <f t="shared" si="5"/>
        <v>52</v>
      </c>
    </row>
    <row r="52" spans="1:10" ht="18.75" customHeight="1">
      <c r="A52" s="42" t="s">
        <v>57</v>
      </c>
      <c r="B52" s="44"/>
      <c r="C52" s="44"/>
      <c r="D52" s="44">
        <v>10</v>
      </c>
      <c r="E52" s="44">
        <v>18</v>
      </c>
      <c r="F52" s="44"/>
      <c r="G52" s="44"/>
      <c r="H52" s="44">
        <f t="shared" si="3"/>
        <v>8</v>
      </c>
      <c r="I52" s="44">
        <f t="shared" si="4"/>
        <v>16</v>
      </c>
      <c r="J52" s="45">
        <f t="shared" si="5"/>
        <v>24</v>
      </c>
    </row>
    <row r="53" spans="1:10" ht="18.75" customHeight="1">
      <c r="A53" s="42" t="s">
        <v>58</v>
      </c>
      <c r="B53" s="44">
        <v>15</v>
      </c>
      <c r="C53" s="44">
        <v>15</v>
      </c>
      <c r="D53" s="44"/>
      <c r="E53" s="44"/>
      <c r="F53" s="44"/>
      <c r="G53" s="44"/>
      <c r="H53" s="44">
        <f t="shared" si="3"/>
        <v>23</v>
      </c>
      <c r="I53" s="44">
        <f t="shared" si="4"/>
        <v>31</v>
      </c>
      <c r="J53" s="45">
        <f t="shared" si="5"/>
        <v>54</v>
      </c>
    </row>
    <row r="54" spans="1:10" ht="18.75" customHeight="1">
      <c r="A54" s="42" t="s">
        <v>59</v>
      </c>
      <c r="B54" s="44"/>
      <c r="C54" s="44"/>
      <c r="D54" s="44">
        <v>3</v>
      </c>
      <c r="E54" s="44">
        <v>7</v>
      </c>
      <c r="F54" s="44"/>
      <c r="G54" s="44"/>
      <c r="H54" s="44">
        <f t="shared" si="3"/>
        <v>20</v>
      </c>
      <c r="I54" s="44">
        <f t="shared" si="4"/>
        <v>24</v>
      </c>
      <c r="J54" s="45">
        <f t="shared" si="5"/>
        <v>44</v>
      </c>
    </row>
    <row r="55" spans="1:10" ht="18.75" customHeight="1">
      <c r="A55" s="42" t="s">
        <v>60</v>
      </c>
      <c r="B55" s="44"/>
      <c r="C55" s="44"/>
      <c r="D55" s="44">
        <v>15</v>
      </c>
      <c r="E55" s="44"/>
      <c r="F55" s="44"/>
      <c r="G55" s="44"/>
      <c r="H55" s="44">
        <f t="shared" si="3"/>
        <v>5</v>
      </c>
      <c r="I55" s="44">
        <f t="shared" si="4"/>
        <v>24</v>
      </c>
      <c r="J55" s="45">
        <f t="shared" si="5"/>
        <v>29</v>
      </c>
    </row>
    <row r="56" spans="1:10" ht="18.75" customHeight="1">
      <c r="A56" s="42" t="s">
        <v>135</v>
      </c>
      <c r="B56" s="44"/>
      <c r="C56" s="44"/>
      <c r="D56" s="44"/>
      <c r="E56" s="44"/>
      <c r="F56" s="44">
        <v>5</v>
      </c>
      <c r="G56" s="44"/>
      <c r="H56" s="44">
        <f t="shared" si="3"/>
        <v>0</v>
      </c>
      <c r="I56" s="44">
        <f t="shared" si="4"/>
        <v>24</v>
      </c>
      <c r="J56" s="45">
        <f t="shared" si="5"/>
        <v>24</v>
      </c>
    </row>
    <row r="57" spans="1:10" ht="18.75" customHeight="1">
      <c r="A57" s="42" t="s">
        <v>61</v>
      </c>
      <c r="B57" s="44">
        <v>15</v>
      </c>
      <c r="C57" s="44">
        <v>15</v>
      </c>
      <c r="D57" s="44"/>
      <c r="E57" s="44"/>
      <c r="F57" s="44"/>
      <c r="G57" s="44"/>
      <c r="H57" s="44">
        <f t="shared" si="3"/>
        <v>15</v>
      </c>
      <c r="I57" s="44">
        <f t="shared" si="4"/>
        <v>39</v>
      </c>
      <c r="J57" s="45">
        <f t="shared" si="5"/>
        <v>54</v>
      </c>
    </row>
    <row r="58" spans="1:10" ht="18.75" customHeight="1">
      <c r="A58" s="42" t="s">
        <v>62</v>
      </c>
      <c r="B58" s="44"/>
      <c r="C58" s="44"/>
      <c r="D58" s="44">
        <v>5</v>
      </c>
      <c r="E58" s="44">
        <v>20</v>
      </c>
      <c r="F58" s="44"/>
      <c r="G58" s="44"/>
      <c r="H58" s="44">
        <f t="shared" si="3"/>
        <v>10</v>
      </c>
      <c r="I58" s="44">
        <f t="shared" si="4"/>
        <v>19</v>
      </c>
      <c r="J58" s="45">
        <f t="shared" si="5"/>
        <v>29</v>
      </c>
    </row>
    <row r="59" spans="1:10" ht="18.75" customHeight="1">
      <c r="A59" s="42" t="s">
        <v>63</v>
      </c>
      <c r="B59" s="44"/>
      <c r="C59" s="44"/>
      <c r="D59" s="44">
        <v>3</v>
      </c>
      <c r="E59" s="44">
        <v>7</v>
      </c>
      <c r="F59" s="44"/>
      <c r="G59" s="44"/>
      <c r="H59" s="44">
        <f t="shared" si="3"/>
        <v>7</v>
      </c>
      <c r="I59" s="44">
        <f t="shared" si="4"/>
        <v>12</v>
      </c>
      <c r="J59" s="45">
        <f t="shared" si="5"/>
        <v>19</v>
      </c>
    </row>
    <row r="60" spans="1:10" ht="18.75" customHeight="1">
      <c r="A60" s="42" t="s">
        <v>64</v>
      </c>
      <c r="B60" s="44"/>
      <c r="C60" s="44"/>
      <c r="D60" s="44"/>
      <c r="E60" s="44"/>
      <c r="F60" s="44">
        <v>5</v>
      </c>
      <c r="G60" s="44"/>
      <c r="H60" s="44">
        <f t="shared" si="3"/>
        <v>2</v>
      </c>
      <c r="I60" s="44">
        <f t="shared" si="4"/>
        <v>12</v>
      </c>
      <c r="J60" s="45">
        <f t="shared" si="5"/>
        <v>14</v>
      </c>
    </row>
    <row r="61" spans="1:10" ht="18.75" customHeight="1">
      <c r="A61" s="42" t="s">
        <v>65</v>
      </c>
      <c r="B61" s="44">
        <v>15</v>
      </c>
      <c r="C61" s="44">
        <v>15</v>
      </c>
      <c r="D61" s="44"/>
      <c r="E61" s="44"/>
      <c r="F61" s="44"/>
      <c r="G61" s="44"/>
      <c r="H61" s="44">
        <f t="shared" si="3"/>
        <v>17</v>
      </c>
      <c r="I61" s="44">
        <f t="shared" si="4"/>
        <v>27</v>
      </c>
      <c r="J61" s="45">
        <f t="shared" si="5"/>
        <v>44</v>
      </c>
    </row>
    <row r="62" spans="1:10" ht="18.75" customHeight="1">
      <c r="A62" s="42" t="s">
        <v>66</v>
      </c>
      <c r="B62" s="44"/>
      <c r="C62" s="44"/>
      <c r="D62" s="44"/>
      <c r="E62" s="44"/>
      <c r="F62" s="44">
        <v>5</v>
      </c>
      <c r="G62" s="44"/>
      <c r="H62" s="44">
        <f t="shared" si="3"/>
        <v>12</v>
      </c>
      <c r="I62" s="44">
        <f t="shared" si="4"/>
        <v>27</v>
      </c>
      <c r="J62" s="45">
        <f t="shared" si="5"/>
        <v>39</v>
      </c>
    </row>
    <row r="63" spans="1:10" ht="18.75" customHeight="1">
      <c r="A63" s="42" t="s">
        <v>67</v>
      </c>
      <c r="B63" s="44">
        <v>15</v>
      </c>
      <c r="C63" s="44">
        <v>15</v>
      </c>
      <c r="D63" s="44"/>
      <c r="E63" s="44"/>
      <c r="F63" s="44"/>
      <c r="G63" s="44"/>
      <c r="H63" s="44">
        <f t="shared" si="3"/>
        <v>27</v>
      </c>
      <c r="I63" s="44">
        <f t="shared" si="4"/>
        <v>42</v>
      </c>
      <c r="J63" s="45">
        <f t="shared" si="5"/>
        <v>69</v>
      </c>
    </row>
    <row r="64" spans="1:10" ht="18.75" customHeight="1">
      <c r="A64" s="42" t="s">
        <v>68</v>
      </c>
      <c r="B64" s="44"/>
      <c r="C64" s="44"/>
      <c r="D64" s="44">
        <v>15</v>
      </c>
      <c r="E64" s="44"/>
      <c r="F64" s="44"/>
      <c r="G64" s="44"/>
      <c r="H64" s="44">
        <f t="shared" si="3"/>
        <v>12</v>
      </c>
      <c r="I64" s="44">
        <f t="shared" si="4"/>
        <v>42</v>
      </c>
      <c r="J64" s="45">
        <f t="shared" si="5"/>
        <v>54</v>
      </c>
    </row>
    <row r="65" spans="1:10" ht="18.75" customHeight="1">
      <c r="A65" s="42" t="s">
        <v>69</v>
      </c>
      <c r="B65" s="44"/>
      <c r="C65" s="44"/>
      <c r="D65" s="44"/>
      <c r="E65" s="44"/>
      <c r="F65" s="44">
        <v>5</v>
      </c>
      <c r="G65" s="44"/>
      <c r="H65" s="44">
        <f t="shared" si="3"/>
        <v>7</v>
      </c>
      <c r="I65" s="44">
        <f t="shared" si="4"/>
        <v>42</v>
      </c>
      <c r="J65" s="45">
        <f t="shared" si="5"/>
        <v>49</v>
      </c>
    </row>
    <row r="66" spans="1:10" ht="18.75" customHeight="1">
      <c r="A66" s="42" t="s">
        <v>70</v>
      </c>
      <c r="B66" s="44">
        <v>15</v>
      </c>
      <c r="C66" s="44">
        <v>15</v>
      </c>
      <c r="D66" s="44"/>
      <c r="E66" s="44"/>
      <c r="F66" s="44"/>
      <c r="G66" s="44"/>
      <c r="H66" s="44">
        <f t="shared" si="3"/>
        <v>22</v>
      </c>
      <c r="I66" s="44">
        <f t="shared" si="4"/>
        <v>57</v>
      </c>
      <c r="J66" s="45">
        <f t="shared" si="5"/>
        <v>79</v>
      </c>
    </row>
    <row r="67" spans="1:10" ht="18.75" customHeight="1">
      <c r="A67" s="42" t="s">
        <v>71</v>
      </c>
      <c r="B67" s="44"/>
      <c r="C67" s="44"/>
      <c r="D67" s="44"/>
      <c r="E67" s="44"/>
      <c r="F67" s="44">
        <v>5</v>
      </c>
      <c r="G67" s="44"/>
      <c r="H67" s="44">
        <f t="shared" si="3"/>
        <v>17</v>
      </c>
      <c r="I67" s="44">
        <f t="shared" si="4"/>
        <v>57</v>
      </c>
      <c r="J67" s="45">
        <f t="shared" si="5"/>
        <v>74</v>
      </c>
    </row>
    <row r="68" spans="1:10" ht="18.75" customHeight="1">
      <c r="A68" s="42" t="s">
        <v>46</v>
      </c>
      <c r="B68" s="44">
        <v>15</v>
      </c>
      <c r="C68" s="44">
        <v>15</v>
      </c>
      <c r="D68" s="44"/>
      <c r="E68" s="44"/>
      <c r="F68" s="44"/>
      <c r="G68" s="44"/>
      <c r="H68" s="44">
        <f t="shared" si="3"/>
        <v>32</v>
      </c>
      <c r="I68" s="44">
        <f t="shared" si="4"/>
        <v>72</v>
      </c>
      <c r="J68" s="45">
        <f t="shared" si="5"/>
        <v>104</v>
      </c>
    </row>
    <row r="69" spans="1:10" ht="18.75" customHeight="1">
      <c r="A69" s="42" t="s">
        <v>72</v>
      </c>
      <c r="B69" s="44"/>
      <c r="C69" s="44"/>
      <c r="D69" s="44"/>
      <c r="E69" s="44"/>
      <c r="F69" s="44">
        <v>5</v>
      </c>
      <c r="G69" s="44"/>
      <c r="H69" s="44">
        <f t="shared" si="3"/>
        <v>27</v>
      </c>
      <c r="I69" s="44">
        <f t="shared" si="4"/>
        <v>72</v>
      </c>
      <c r="J69" s="45">
        <f t="shared" si="5"/>
        <v>99</v>
      </c>
    </row>
    <row r="70" spans="1:10" ht="18.75" customHeight="1">
      <c r="A70" s="42" t="s">
        <v>47</v>
      </c>
      <c r="B70" s="44"/>
      <c r="C70" s="44"/>
      <c r="D70" s="44">
        <v>10</v>
      </c>
      <c r="E70" s="44"/>
      <c r="F70" s="44"/>
      <c r="G70" s="44"/>
      <c r="H70" s="44">
        <f t="shared" si="3"/>
        <v>17</v>
      </c>
      <c r="I70" s="44">
        <f t="shared" si="4"/>
        <v>72</v>
      </c>
      <c r="J70" s="45">
        <f t="shared" si="5"/>
        <v>89</v>
      </c>
    </row>
    <row r="71" spans="1:10" ht="18.75" customHeight="1">
      <c r="A71" s="42" t="s">
        <v>184</v>
      </c>
      <c r="B71" s="44">
        <v>6.25</v>
      </c>
      <c r="C71" s="44">
        <v>6.25</v>
      </c>
      <c r="D71" s="44"/>
      <c r="E71" s="44"/>
      <c r="F71" s="44"/>
      <c r="G71" s="44"/>
      <c r="H71" s="44">
        <f t="shared" si="3"/>
        <v>23.25</v>
      </c>
      <c r="I71" s="44">
        <f t="shared" si="4"/>
        <v>78.25</v>
      </c>
      <c r="J71" s="45">
        <f t="shared" si="5"/>
        <v>101.5</v>
      </c>
    </row>
    <row r="72" spans="1:10" ht="18.75" customHeight="1">
      <c r="A72" s="42" t="s">
        <v>73</v>
      </c>
      <c r="B72" s="44"/>
      <c r="C72" s="44"/>
      <c r="D72" s="44"/>
      <c r="E72" s="44"/>
      <c r="F72" s="44">
        <v>1</v>
      </c>
      <c r="G72" s="44"/>
      <c r="H72" s="44">
        <f t="shared" si="3"/>
        <v>22.25</v>
      </c>
      <c r="I72" s="44">
        <f t="shared" si="4"/>
        <v>78.25</v>
      </c>
      <c r="J72" s="45">
        <f t="shared" si="5"/>
        <v>100.5</v>
      </c>
    </row>
    <row r="73" spans="1:10" ht="18.75" customHeight="1">
      <c r="A73" s="42" t="s">
        <v>185</v>
      </c>
      <c r="B73" s="44">
        <v>2.5</v>
      </c>
      <c r="C73" s="44">
        <v>2.5</v>
      </c>
      <c r="D73" s="44"/>
      <c r="E73" s="44"/>
      <c r="F73" s="44"/>
      <c r="G73" s="44"/>
      <c r="H73" s="44">
        <f t="shared" ref="H73:H97" si="6">H72-F73-D73+B73</f>
        <v>24.75</v>
      </c>
      <c r="I73" s="44">
        <f t="shared" ref="I73:I97" si="7">I72-E73+C73</f>
        <v>80.75</v>
      </c>
      <c r="J73" s="45">
        <f t="shared" ref="J73:J97" si="8">SUM(H73:I73)</f>
        <v>105.5</v>
      </c>
    </row>
    <row r="74" spans="1:10" ht="18.75" customHeight="1">
      <c r="A74" s="42" t="s">
        <v>74</v>
      </c>
      <c r="B74" s="44"/>
      <c r="C74" s="44"/>
      <c r="D74" s="44"/>
      <c r="E74" s="44"/>
      <c r="F74" s="44">
        <v>1</v>
      </c>
      <c r="G74" s="44"/>
      <c r="H74" s="44">
        <f t="shared" si="6"/>
        <v>23.75</v>
      </c>
      <c r="I74" s="44">
        <f t="shared" si="7"/>
        <v>80.75</v>
      </c>
      <c r="J74" s="45">
        <f t="shared" si="8"/>
        <v>104.5</v>
      </c>
    </row>
    <row r="75" spans="1:10" ht="18.75" customHeight="1">
      <c r="A75" s="42" t="s">
        <v>186</v>
      </c>
      <c r="B75" s="44">
        <v>1.25</v>
      </c>
      <c r="C75" s="44">
        <v>1.25</v>
      </c>
      <c r="D75" s="44"/>
      <c r="E75" s="44"/>
      <c r="F75" s="44"/>
      <c r="G75" s="44"/>
      <c r="H75" s="44">
        <f t="shared" si="6"/>
        <v>25</v>
      </c>
      <c r="I75" s="44">
        <f t="shared" si="7"/>
        <v>82</v>
      </c>
      <c r="J75" s="45">
        <f t="shared" si="8"/>
        <v>107</v>
      </c>
    </row>
    <row r="76" spans="1:10" ht="18.75" customHeight="1">
      <c r="A76" s="42" t="s">
        <v>75</v>
      </c>
      <c r="B76" s="44"/>
      <c r="C76" s="44"/>
      <c r="D76" s="44"/>
      <c r="E76" s="44"/>
      <c r="F76" s="44">
        <v>1</v>
      </c>
      <c r="G76" s="44"/>
      <c r="H76" s="44">
        <f t="shared" si="6"/>
        <v>24</v>
      </c>
      <c r="I76" s="44">
        <f t="shared" si="7"/>
        <v>82</v>
      </c>
      <c r="J76" s="45">
        <f t="shared" si="8"/>
        <v>106</v>
      </c>
    </row>
    <row r="77" spans="1:10" ht="18.75" customHeight="1">
      <c r="A77" s="42" t="s">
        <v>76</v>
      </c>
      <c r="B77" s="44"/>
      <c r="C77" s="44"/>
      <c r="D77" s="44"/>
      <c r="E77" s="44"/>
      <c r="F77" s="44">
        <v>1</v>
      </c>
      <c r="G77" s="44"/>
      <c r="H77" s="44">
        <f t="shared" si="6"/>
        <v>23</v>
      </c>
      <c r="I77" s="44">
        <f t="shared" si="7"/>
        <v>82</v>
      </c>
      <c r="J77" s="45">
        <f t="shared" si="8"/>
        <v>105</v>
      </c>
    </row>
    <row r="78" spans="1:10" ht="18.75" customHeight="1">
      <c r="A78" s="42" t="s">
        <v>187</v>
      </c>
      <c r="B78" s="44">
        <v>5</v>
      </c>
      <c r="C78" s="44">
        <v>5</v>
      </c>
      <c r="D78" s="44"/>
      <c r="E78" s="44"/>
      <c r="F78" s="44"/>
      <c r="G78" s="44"/>
      <c r="H78" s="44">
        <f t="shared" si="6"/>
        <v>28</v>
      </c>
      <c r="I78" s="44">
        <f t="shared" si="7"/>
        <v>87</v>
      </c>
      <c r="J78" s="45">
        <f t="shared" si="8"/>
        <v>115</v>
      </c>
    </row>
    <row r="79" spans="1:10" ht="18.75" customHeight="1">
      <c r="A79" s="42" t="s">
        <v>77</v>
      </c>
      <c r="B79" s="44"/>
      <c r="C79" s="44"/>
      <c r="D79" s="44">
        <v>15</v>
      </c>
      <c r="E79" s="44"/>
      <c r="F79" s="44"/>
      <c r="G79" s="44"/>
      <c r="H79" s="44">
        <f t="shared" si="6"/>
        <v>13</v>
      </c>
      <c r="I79" s="44">
        <f t="shared" si="7"/>
        <v>87</v>
      </c>
      <c r="J79" s="45">
        <f t="shared" si="8"/>
        <v>100</v>
      </c>
    </row>
    <row r="80" spans="1:10" ht="18.75" customHeight="1">
      <c r="A80" s="42" t="s">
        <v>78</v>
      </c>
      <c r="B80" s="44"/>
      <c r="C80" s="44"/>
      <c r="D80" s="44"/>
      <c r="E80" s="44"/>
      <c r="F80" s="44">
        <v>1</v>
      </c>
      <c r="G80" s="44"/>
      <c r="H80" s="44">
        <f t="shared" si="6"/>
        <v>12</v>
      </c>
      <c r="I80" s="44">
        <f t="shared" si="7"/>
        <v>87</v>
      </c>
      <c r="J80" s="45">
        <f t="shared" si="8"/>
        <v>99</v>
      </c>
    </row>
    <row r="81" spans="1:10" ht="18" customHeight="1">
      <c r="A81" s="42" t="s">
        <v>79</v>
      </c>
      <c r="B81" s="44">
        <v>1.25</v>
      </c>
      <c r="C81" s="44">
        <v>1.25</v>
      </c>
      <c r="D81" s="44"/>
      <c r="E81" s="44"/>
      <c r="F81" s="44"/>
      <c r="G81" s="44"/>
      <c r="H81" s="44">
        <f t="shared" si="6"/>
        <v>13.25</v>
      </c>
      <c r="I81" s="44">
        <f t="shared" si="7"/>
        <v>88.25</v>
      </c>
      <c r="J81" s="45">
        <f t="shared" si="8"/>
        <v>101.5</v>
      </c>
    </row>
    <row r="82" spans="1:10" ht="18.75" customHeight="1">
      <c r="A82" s="42" t="s">
        <v>12</v>
      </c>
      <c r="B82" s="44"/>
      <c r="C82" s="44"/>
      <c r="D82" s="44"/>
      <c r="E82" s="44"/>
      <c r="F82" s="44">
        <v>1</v>
      </c>
      <c r="G82" s="44"/>
      <c r="H82" s="44">
        <f t="shared" si="6"/>
        <v>12.25</v>
      </c>
      <c r="I82" s="44">
        <f t="shared" si="7"/>
        <v>88.25</v>
      </c>
      <c r="J82" s="45">
        <f t="shared" si="8"/>
        <v>100.5</v>
      </c>
    </row>
    <row r="83" spans="1:10" ht="18.75" customHeight="1">
      <c r="A83" s="41" t="s">
        <v>13</v>
      </c>
      <c r="B83" s="44">
        <v>2.5</v>
      </c>
      <c r="C83" s="44">
        <v>2.5</v>
      </c>
      <c r="D83" s="44"/>
      <c r="E83" s="44"/>
      <c r="F83" s="44"/>
      <c r="G83" s="44"/>
      <c r="H83" s="44">
        <f t="shared" si="6"/>
        <v>14.75</v>
      </c>
      <c r="I83" s="44">
        <f t="shared" si="7"/>
        <v>90.75</v>
      </c>
      <c r="J83" s="45">
        <f t="shared" si="8"/>
        <v>105.5</v>
      </c>
    </row>
    <row r="84" spans="1:10" ht="18.75" customHeight="1">
      <c r="A84" s="41" t="s">
        <v>14</v>
      </c>
      <c r="B84" s="44">
        <v>1.25</v>
      </c>
      <c r="C84" s="44">
        <v>1.25</v>
      </c>
      <c r="D84" s="44"/>
      <c r="E84" s="44"/>
      <c r="F84" s="44"/>
      <c r="G84" s="44"/>
      <c r="H84" s="44">
        <f t="shared" si="6"/>
        <v>16</v>
      </c>
      <c r="I84" s="44">
        <f t="shared" si="7"/>
        <v>92</v>
      </c>
      <c r="J84" s="45">
        <f t="shared" si="8"/>
        <v>108</v>
      </c>
    </row>
    <row r="85" spans="1:10" ht="18.75" customHeight="1">
      <c r="A85" s="42" t="s">
        <v>15</v>
      </c>
      <c r="B85" s="44"/>
      <c r="C85" s="44"/>
      <c r="D85" s="44"/>
      <c r="E85" s="44"/>
      <c r="F85" s="44">
        <v>1</v>
      </c>
      <c r="G85" s="44"/>
      <c r="H85" s="44">
        <f t="shared" si="6"/>
        <v>15</v>
      </c>
      <c r="I85" s="44">
        <f t="shared" si="7"/>
        <v>92</v>
      </c>
      <c r="J85" s="45">
        <f t="shared" si="8"/>
        <v>107</v>
      </c>
    </row>
    <row r="86" spans="1:10" ht="18.75" customHeight="1">
      <c r="A86" s="42" t="s">
        <v>16</v>
      </c>
      <c r="B86" s="46"/>
      <c r="C86" s="44"/>
      <c r="D86" s="44"/>
      <c r="E86" s="44"/>
      <c r="F86" s="44">
        <v>1</v>
      </c>
      <c r="G86" s="44"/>
      <c r="H86" s="44">
        <f t="shared" si="6"/>
        <v>14</v>
      </c>
      <c r="I86" s="44">
        <f t="shared" si="7"/>
        <v>92</v>
      </c>
      <c r="J86" s="45">
        <f t="shared" si="8"/>
        <v>106</v>
      </c>
    </row>
    <row r="87" spans="1:10" ht="18.75" customHeight="1">
      <c r="A87" s="41" t="s">
        <v>17</v>
      </c>
      <c r="B87" s="44">
        <v>1.25</v>
      </c>
      <c r="C87" s="44">
        <v>1.25</v>
      </c>
      <c r="D87" s="44"/>
      <c r="E87" s="44"/>
      <c r="F87" s="44"/>
      <c r="G87" s="44"/>
      <c r="H87" s="44">
        <f t="shared" si="6"/>
        <v>15.25</v>
      </c>
      <c r="I87" s="44">
        <f t="shared" si="7"/>
        <v>93.25</v>
      </c>
      <c r="J87" s="45">
        <f t="shared" si="8"/>
        <v>108.5</v>
      </c>
    </row>
    <row r="88" spans="1:10" ht="18.75" customHeight="1">
      <c r="A88" s="42" t="s">
        <v>18</v>
      </c>
      <c r="B88" s="44"/>
      <c r="C88" s="44"/>
      <c r="D88" s="44"/>
      <c r="E88" s="44"/>
      <c r="F88" s="44">
        <v>1</v>
      </c>
      <c r="G88" s="44"/>
      <c r="H88" s="44">
        <f t="shared" si="6"/>
        <v>14.25</v>
      </c>
      <c r="I88" s="44">
        <f t="shared" si="7"/>
        <v>93.25</v>
      </c>
      <c r="J88" s="45">
        <f t="shared" si="8"/>
        <v>107.5</v>
      </c>
    </row>
    <row r="89" spans="1:10" ht="18.75" customHeight="1">
      <c r="A89" s="42" t="s">
        <v>19</v>
      </c>
      <c r="B89" s="44"/>
      <c r="C89" s="44"/>
      <c r="D89" s="44">
        <v>3</v>
      </c>
      <c r="E89" s="44"/>
      <c r="F89" s="44"/>
      <c r="G89" s="44"/>
      <c r="H89" s="44">
        <f t="shared" si="6"/>
        <v>11.25</v>
      </c>
      <c r="I89" s="44">
        <f t="shared" si="7"/>
        <v>93.25</v>
      </c>
      <c r="J89" s="45">
        <f t="shared" si="8"/>
        <v>104.5</v>
      </c>
    </row>
    <row r="90" spans="1:10" ht="18.75" customHeight="1">
      <c r="A90" s="41" t="s">
        <v>20</v>
      </c>
      <c r="B90" s="44">
        <v>1.25</v>
      </c>
      <c r="C90" s="44">
        <v>1.25</v>
      </c>
      <c r="D90" s="44"/>
      <c r="E90" s="44"/>
      <c r="F90" s="44"/>
      <c r="G90" s="44"/>
      <c r="H90" s="44">
        <f t="shared" si="6"/>
        <v>12.5</v>
      </c>
      <c r="I90" s="44">
        <f t="shared" si="7"/>
        <v>94.5</v>
      </c>
      <c r="J90" s="45">
        <f t="shared" si="8"/>
        <v>107</v>
      </c>
    </row>
    <row r="91" spans="1:10" ht="18.75" customHeight="1">
      <c r="A91" s="42" t="s">
        <v>21</v>
      </c>
      <c r="B91" s="44"/>
      <c r="C91" s="44"/>
      <c r="D91" s="44"/>
      <c r="E91" s="44"/>
      <c r="F91" s="44"/>
      <c r="G91" s="44">
        <v>1</v>
      </c>
      <c r="H91" s="44">
        <f t="shared" si="6"/>
        <v>12.5</v>
      </c>
      <c r="I91" s="44">
        <f t="shared" si="7"/>
        <v>94.5</v>
      </c>
      <c r="J91" s="45">
        <f t="shared" si="8"/>
        <v>107</v>
      </c>
    </row>
    <row r="92" spans="1:10" ht="18.75" customHeight="1">
      <c r="A92" s="42" t="s">
        <v>22</v>
      </c>
      <c r="B92" s="44"/>
      <c r="C92" s="44"/>
      <c r="D92" s="44"/>
      <c r="E92" s="44"/>
      <c r="F92" s="44"/>
      <c r="G92" s="44">
        <v>1</v>
      </c>
      <c r="H92" s="44">
        <f t="shared" si="6"/>
        <v>12.5</v>
      </c>
      <c r="I92" s="44">
        <f t="shared" si="7"/>
        <v>94.5</v>
      </c>
      <c r="J92" s="45">
        <f t="shared" si="8"/>
        <v>107</v>
      </c>
    </row>
    <row r="93" spans="1:10" ht="18.75" customHeight="1">
      <c r="A93" s="41" t="s">
        <v>23</v>
      </c>
      <c r="B93" s="44">
        <v>1.25</v>
      </c>
      <c r="C93" s="44">
        <v>1.25</v>
      </c>
      <c r="D93" s="44"/>
      <c r="E93" s="44"/>
      <c r="F93" s="44"/>
      <c r="G93" s="44"/>
      <c r="H93" s="44">
        <f t="shared" si="6"/>
        <v>13.75</v>
      </c>
      <c r="I93" s="44">
        <f t="shared" si="7"/>
        <v>95.75</v>
      </c>
      <c r="J93" s="45">
        <f t="shared" si="8"/>
        <v>109.5</v>
      </c>
    </row>
    <row r="94" spans="1:10" ht="18.75" customHeight="1">
      <c r="A94" s="42" t="s">
        <v>24</v>
      </c>
      <c r="B94" s="44"/>
      <c r="C94" s="44"/>
      <c r="D94" s="44"/>
      <c r="E94" s="44"/>
      <c r="F94" s="44"/>
      <c r="G94" s="44">
        <v>1</v>
      </c>
      <c r="H94" s="44">
        <f t="shared" si="6"/>
        <v>13.75</v>
      </c>
      <c r="I94" s="44">
        <f t="shared" si="7"/>
        <v>95.75</v>
      </c>
      <c r="J94" s="45">
        <f t="shared" si="8"/>
        <v>109.5</v>
      </c>
    </row>
    <row r="95" spans="1:10" ht="18.75" customHeight="1">
      <c r="A95" s="42" t="s">
        <v>25</v>
      </c>
      <c r="B95" s="44"/>
      <c r="C95" s="44"/>
      <c r="D95" s="44"/>
      <c r="E95" s="44"/>
      <c r="F95" s="44">
        <v>1</v>
      </c>
      <c r="G95" s="44"/>
      <c r="H95" s="44">
        <f t="shared" si="6"/>
        <v>12.75</v>
      </c>
      <c r="I95" s="44">
        <f t="shared" si="7"/>
        <v>95.75</v>
      </c>
      <c r="J95" s="45">
        <f t="shared" si="8"/>
        <v>108.5</v>
      </c>
    </row>
    <row r="96" spans="1:10" ht="18.75" customHeight="1">
      <c r="A96" s="42" t="s">
        <v>26</v>
      </c>
      <c r="B96" s="44"/>
      <c r="C96" s="44"/>
      <c r="D96" s="44"/>
      <c r="E96" s="44">
        <v>1</v>
      </c>
      <c r="F96" s="44"/>
      <c r="G96" s="44"/>
      <c r="H96" s="44">
        <f t="shared" si="6"/>
        <v>12.75</v>
      </c>
      <c r="I96" s="44">
        <f t="shared" si="7"/>
        <v>94.75</v>
      </c>
      <c r="J96" s="45">
        <f t="shared" si="8"/>
        <v>107.5</v>
      </c>
    </row>
    <row r="97" spans="1:11" ht="18.75" customHeight="1">
      <c r="A97" s="41" t="s">
        <v>27</v>
      </c>
      <c r="B97" s="44">
        <v>1.25</v>
      </c>
      <c r="C97" s="44">
        <v>1.25</v>
      </c>
      <c r="D97" s="44"/>
      <c r="E97" s="44"/>
      <c r="F97" s="44"/>
      <c r="G97" s="44"/>
      <c r="H97" s="44">
        <f t="shared" si="6"/>
        <v>14</v>
      </c>
      <c r="I97" s="44">
        <f t="shared" si="7"/>
        <v>96</v>
      </c>
      <c r="J97" s="45">
        <f t="shared" si="8"/>
        <v>110</v>
      </c>
    </row>
    <row r="98" spans="1:11" ht="18.75" customHeight="1">
      <c r="A98" s="41" t="s">
        <v>28</v>
      </c>
      <c r="B98" s="44">
        <v>1.25</v>
      </c>
      <c r="C98" s="44">
        <v>1.25</v>
      </c>
      <c r="D98" s="44"/>
      <c r="E98" s="44"/>
      <c r="F98" s="44"/>
      <c r="G98" s="44"/>
      <c r="H98" s="44">
        <f t="shared" ref="H98:H152" si="9">H97-F98-D98+B98</f>
        <v>15.25</v>
      </c>
      <c r="I98" s="44">
        <f t="shared" ref="I98:I152" si="10">I97-E98+C98</f>
        <v>97.25</v>
      </c>
      <c r="J98" s="45">
        <f t="shared" ref="J98:J152" si="11">SUM(H98:I98)</f>
        <v>112.5</v>
      </c>
    </row>
    <row r="99" spans="1:11" ht="18.75" customHeight="1">
      <c r="A99" s="42" t="s">
        <v>29</v>
      </c>
      <c r="B99" s="44"/>
      <c r="C99" s="44"/>
      <c r="D99" s="44">
        <v>1.5</v>
      </c>
      <c r="E99" s="44"/>
      <c r="F99" s="44"/>
      <c r="G99" s="44"/>
      <c r="H99" s="44">
        <f t="shared" si="9"/>
        <v>13.75</v>
      </c>
      <c r="I99" s="44">
        <f t="shared" si="10"/>
        <v>97.25</v>
      </c>
      <c r="J99" s="45">
        <f t="shared" si="11"/>
        <v>111</v>
      </c>
    </row>
    <row r="100" spans="1:11" s="4" customFormat="1" ht="18.75" customHeight="1">
      <c r="A100" s="41" t="s">
        <v>30</v>
      </c>
      <c r="B100" s="44">
        <v>1.25</v>
      </c>
      <c r="C100" s="44">
        <v>1.25</v>
      </c>
      <c r="D100" s="47"/>
      <c r="E100" s="47"/>
      <c r="F100" s="47"/>
      <c r="G100" s="47"/>
      <c r="H100" s="44">
        <f t="shared" si="9"/>
        <v>15</v>
      </c>
      <c r="I100" s="44">
        <f t="shared" si="10"/>
        <v>98.5</v>
      </c>
      <c r="J100" s="45">
        <f t="shared" si="11"/>
        <v>113.5</v>
      </c>
      <c r="K100" s="3"/>
    </row>
    <row r="101" spans="1:11" ht="15.75">
      <c r="A101" s="42" t="s">
        <v>31</v>
      </c>
      <c r="B101" s="45"/>
      <c r="C101" s="45"/>
      <c r="D101" s="45">
        <v>5</v>
      </c>
      <c r="E101" s="45">
        <v>15</v>
      </c>
      <c r="F101" s="45"/>
      <c r="G101" s="45"/>
      <c r="H101" s="44">
        <f t="shared" si="9"/>
        <v>10</v>
      </c>
      <c r="I101" s="44">
        <f t="shared" si="10"/>
        <v>83.5</v>
      </c>
      <c r="J101" s="45">
        <f t="shared" si="11"/>
        <v>93.5</v>
      </c>
    </row>
    <row r="102" spans="1:11" ht="15.75">
      <c r="A102" s="41" t="s">
        <v>32</v>
      </c>
      <c r="B102" s="44">
        <v>1.25</v>
      </c>
      <c r="C102" s="44">
        <v>1.25</v>
      </c>
      <c r="D102" s="45"/>
      <c r="E102" s="45"/>
      <c r="F102" s="45"/>
      <c r="G102" s="45"/>
      <c r="H102" s="44">
        <f t="shared" si="9"/>
        <v>11.25</v>
      </c>
      <c r="I102" s="44">
        <f t="shared" si="10"/>
        <v>84.75</v>
      </c>
      <c r="J102" s="45">
        <f t="shared" si="11"/>
        <v>96</v>
      </c>
    </row>
    <row r="103" spans="1:11" ht="15.75">
      <c r="A103" s="42" t="s">
        <v>33</v>
      </c>
      <c r="B103" s="45"/>
      <c r="C103" s="45"/>
      <c r="D103" s="45"/>
      <c r="E103" s="45">
        <v>1</v>
      </c>
      <c r="F103" s="45"/>
      <c r="G103" s="45"/>
      <c r="H103" s="44">
        <f t="shared" si="9"/>
        <v>11.25</v>
      </c>
      <c r="I103" s="44">
        <f t="shared" si="10"/>
        <v>83.75</v>
      </c>
      <c r="J103" s="45">
        <f t="shared" si="11"/>
        <v>95</v>
      </c>
    </row>
    <row r="104" spans="1:11" ht="15.75">
      <c r="A104" s="41" t="s">
        <v>34</v>
      </c>
      <c r="B104" s="44">
        <v>1.25</v>
      </c>
      <c r="C104" s="44">
        <v>1.25</v>
      </c>
      <c r="D104" s="45"/>
      <c r="E104" s="45"/>
      <c r="F104" s="45"/>
      <c r="G104" s="45"/>
      <c r="H104" s="44">
        <f t="shared" si="9"/>
        <v>12.5</v>
      </c>
      <c r="I104" s="44">
        <f t="shared" si="10"/>
        <v>85</v>
      </c>
      <c r="J104" s="45">
        <f t="shared" si="11"/>
        <v>97.5</v>
      </c>
    </row>
    <row r="105" spans="1:11" ht="15.75">
      <c r="A105" s="42" t="s">
        <v>35</v>
      </c>
      <c r="B105" s="45"/>
      <c r="C105" s="45"/>
      <c r="D105" s="45"/>
      <c r="E105" s="45"/>
      <c r="F105" s="45"/>
      <c r="G105" s="45">
        <v>2</v>
      </c>
      <c r="H105" s="44">
        <f t="shared" si="9"/>
        <v>12.5</v>
      </c>
      <c r="I105" s="44">
        <f t="shared" si="10"/>
        <v>85</v>
      </c>
      <c r="J105" s="45">
        <f t="shared" si="11"/>
        <v>97.5</v>
      </c>
    </row>
    <row r="106" spans="1:11" ht="15.75">
      <c r="A106" s="42" t="s">
        <v>36</v>
      </c>
      <c r="B106" s="45"/>
      <c r="C106" s="45"/>
      <c r="D106" s="45"/>
      <c r="E106" s="45"/>
      <c r="F106" s="45">
        <v>1</v>
      </c>
      <c r="G106" s="45"/>
      <c r="H106" s="44">
        <f t="shared" si="9"/>
        <v>11.5</v>
      </c>
      <c r="I106" s="44">
        <f t="shared" si="10"/>
        <v>85</v>
      </c>
      <c r="J106" s="45">
        <f t="shared" si="11"/>
        <v>96.5</v>
      </c>
    </row>
    <row r="107" spans="1:11" ht="15.75">
      <c r="A107" s="48" t="s">
        <v>80</v>
      </c>
      <c r="B107" s="45">
        <v>5</v>
      </c>
      <c r="C107" s="45">
        <v>5</v>
      </c>
      <c r="D107" s="42"/>
      <c r="E107" s="42"/>
      <c r="F107" s="42"/>
      <c r="G107" s="42"/>
      <c r="H107" s="44">
        <f t="shared" si="9"/>
        <v>16.5</v>
      </c>
      <c r="I107" s="44">
        <f t="shared" si="10"/>
        <v>90</v>
      </c>
      <c r="J107" s="45">
        <f t="shared" si="11"/>
        <v>106.5</v>
      </c>
    </row>
    <row r="108" spans="1:11" ht="15.75">
      <c r="A108" s="48" t="s">
        <v>81</v>
      </c>
      <c r="B108" s="42"/>
      <c r="C108" s="42"/>
      <c r="D108" s="42"/>
      <c r="E108" s="42"/>
      <c r="F108" s="42"/>
      <c r="G108" s="45">
        <v>1</v>
      </c>
      <c r="H108" s="44">
        <f t="shared" si="9"/>
        <v>16.5</v>
      </c>
      <c r="I108" s="44">
        <f t="shared" si="10"/>
        <v>90</v>
      </c>
      <c r="J108" s="45">
        <f t="shared" si="11"/>
        <v>106.5</v>
      </c>
    </row>
    <row r="109" spans="1:11" ht="15.75">
      <c r="A109" s="48" t="s">
        <v>82</v>
      </c>
      <c r="B109" s="44">
        <v>1.25</v>
      </c>
      <c r="C109" s="44">
        <v>1.25</v>
      </c>
      <c r="D109" s="42"/>
      <c r="E109" s="42"/>
      <c r="F109" s="42"/>
      <c r="G109" s="42"/>
      <c r="H109" s="44">
        <f t="shared" si="9"/>
        <v>17.75</v>
      </c>
      <c r="I109" s="44">
        <f t="shared" si="10"/>
        <v>91.25</v>
      </c>
      <c r="J109" s="45">
        <f t="shared" si="11"/>
        <v>109</v>
      </c>
    </row>
    <row r="110" spans="1:11" ht="15.75">
      <c r="A110" s="48" t="s">
        <v>83</v>
      </c>
      <c r="B110" s="49"/>
      <c r="C110" s="49"/>
      <c r="D110" s="49"/>
      <c r="E110" s="49"/>
      <c r="F110" s="45">
        <v>1</v>
      </c>
      <c r="G110" s="49"/>
      <c r="H110" s="44">
        <f t="shared" si="9"/>
        <v>16.75</v>
      </c>
      <c r="I110" s="44">
        <f t="shared" si="10"/>
        <v>91.25</v>
      </c>
      <c r="J110" s="45">
        <f t="shared" si="11"/>
        <v>108</v>
      </c>
    </row>
    <row r="111" spans="1:11" ht="15.75">
      <c r="A111" s="48" t="s">
        <v>84</v>
      </c>
      <c r="B111" s="44">
        <v>1.25</v>
      </c>
      <c r="C111" s="44">
        <v>1.25</v>
      </c>
      <c r="D111" s="49"/>
      <c r="E111" s="49"/>
      <c r="F111" s="49"/>
      <c r="G111" s="49"/>
      <c r="H111" s="44">
        <f t="shared" si="9"/>
        <v>18</v>
      </c>
      <c r="I111" s="44">
        <f t="shared" si="10"/>
        <v>92.5</v>
      </c>
      <c r="J111" s="45">
        <f t="shared" si="11"/>
        <v>110.5</v>
      </c>
    </row>
    <row r="112" spans="1:11" ht="15.75">
      <c r="A112" s="48" t="s">
        <v>85</v>
      </c>
      <c r="B112" s="49"/>
      <c r="C112" s="49"/>
      <c r="D112" s="45">
        <v>3</v>
      </c>
      <c r="E112" s="49"/>
      <c r="F112" s="49"/>
      <c r="G112" s="49"/>
      <c r="H112" s="44">
        <f t="shared" si="9"/>
        <v>15</v>
      </c>
      <c r="I112" s="44">
        <f t="shared" si="10"/>
        <v>92.5</v>
      </c>
      <c r="J112" s="45">
        <f t="shared" si="11"/>
        <v>107.5</v>
      </c>
    </row>
    <row r="113" spans="1:10" ht="15.75">
      <c r="A113" s="42" t="s">
        <v>88</v>
      </c>
      <c r="B113" s="42">
        <v>2.5</v>
      </c>
      <c r="C113" s="42">
        <v>2.5</v>
      </c>
      <c r="D113" s="42"/>
      <c r="E113" s="42"/>
      <c r="F113" s="42"/>
      <c r="G113" s="42"/>
      <c r="H113" s="44">
        <f t="shared" si="9"/>
        <v>17.5</v>
      </c>
      <c r="I113" s="44">
        <f t="shared" si="10"/>
        <v>95</v>
      </c>
      <c r="J113" s="45">
        <f t="shared" si="11"/>
        <v>112.5</v>
      </c>
    </row>
    <row r="114" spans="1:10" ht="15.75">
      <c r="A114" s="42" t="s">
        <v>89</v>
      </c>
      <c r="B114" s="42"/>
      <c r="C114" s="42"/>
      <c r="D114" s="42"/>
      <c r="E114" s="42">
        <v>1</v>
      </c>
      <c r="F114" s="42"/>
      <c r="G114" s="42"/>
      <c r="H114" s="44">
        <f t="shared" si="9"/>
        <v>17.5</v>
      </c>
      <c r="I114" s="44">
        <f t="shared" si="10"/>
        <v>94</v>
      </c>
      <c r="J114" s="45">
        <f t="shared" si="11"/>
        <v>111.5</v>
      </c>
    </row>
    <row r="115" spans="1:10" ht="15.75">
      <c r="A115" s="42" t="s">
        <v>90</v>
      </c>
      <c r="B115" s="42">
        <v>1.25</v>
      </c>
      <c r="C115" s="42">
        <v>1.25</v>
      </c>
      <c r="D115" s="42"/>
      <c r="E115" s="42"/>
      <c r="F115" s="42"/>
      <c r="G115" s="42"/>
      <c r="H115" s="44">
        <f t="shared" si="9"/>
        <v>18.75</v>
      </c>
      <c r="I115" s="44">
        <f t="shared" si="10"/>
        <v>95.25</v>
      </c>
      <c r="J115" s="45">
        <f t="shared" si="11"/>
        <v>114</v>
      </c>
    </row>
    <row r="116" spans="1:10" ht="15.75">
      <c r="A116" s="42" t="s">
        <v>91</v>
      </c>
      <c r="B116" s="42"/>
      <c r="C116" s="42"/>
      <c r="D116" s="42"/>
      <c r="E116" s="42"/>
      <c r="F116" s="42">
        <v>1</v>
      </c>
      <c r="G116" s="42"/>
      <c r="H116" s="44">
        <f t="shared" si="9"/>
        <v>17.75</v>
      </c>
      <c r="I116" s="44">
        <f t="shared" si="10"/>
        <v>95.25</v>
      </c>
      <c r="J116" s="45">
        <f t="shared" si="11"/>
        <v>113</v>
      </c>
    </row>
    <row r="117" spans="1:10" ht="15.75">
      <c r="A117" s="42" t="s">
        <v>117</v>
      </c>
      <c r="B117" s="42"/>
      <c r="C117" s="42"/>
      <c r="D117" s="42"/>
      <c r="E117" s="42"/>
      <c r="F117" s="42">
        <v>1</v>
      </c>
      <c r="G117" s="42"/>
      <c r="H117" s="44">
        <f t="shared" si="9"/>
        <v>16.75</v>
      </c>
      <c r="I117" s="44">
        <f t="shared" si="10"/>
        <v>95.25</v>
      </c>
      <c r="J117" s="45">
        <f t="shared" si="11"/>
        <v>112</v>
      </c>
    </row>
    <row r="118" spans="1:10" ht="15.75">
      <c r="A118" s="42" t="s">
        <v>118</v>
      </c>
      <c r="B118" s="42">
        <v>1.25</v>
      </c>
      <c r="C118" s="42">
        <v>1.25</v>
      </c>
      <c r="D118" s="42"/>
      <c r="E118" s="42"/>
      <c r="F118" s="42"/>
      <c r="G118" s="42"/>
      <c r="H118" s="44">
        <f t="shared" si="9"/>
        <v>18</v>
      </c>
      <c r="I118" s="44">
        <f t="shared" si="10"/>
        <v>96.5</v>
      </c>
      <c r="J118" s="45">
        <f t="shared" si="11"/>
        <v>114.5</v>
      </c>
    </row>
    <row r="119" spans="1:10" ht="15.75">
      <c r="A119" s="42" t="s">
        <v>119</v>
      </c>
      <c r="B119" s="42"/>
      <c r="C119" s="42"/>
      <c r="D119" s="42">
        <v>1</v>
      </c>
      <c r="E119" s="42"/>
      <c r="F119" s="42">
        <v>1</v>
      </c>
      <c r="G119" s="42"/>
      <c r="H119" s="44">
        <f t="shared" si="9"/>
        <v>16</v>
      </c>
      <c r="I119" s="44">
        <f t="shared" si="10"/>
        <v>96.5</v>
      </c>
      <c r="J119" s="45">
        <f t="shared" si="11"/>
        <v>112.5</v>
      </c>
    </row>
    <row r="120" spans="1:10" s="1" customFormat="1" ht="15.95" customHeight="1">
      <c r="A120" s="43" t="s">
        <v>120</v>
      </c>
      <c r="B120" s="43"/>
      <c r="C120" s="43"/>
      <c r="D120" s="43"/>
      <c r="E120" s="43">
        <v>1</v>
      </c>
      <c r="F120" s="43"/>
      <c r="G120" s="43"/>
      <c r="H120" s="44">
        <f t="shared" si="9"/>
        <v>16</v>
      </c>
      <c r="I120" s="44">
        <f t="shared" si="10"/>
        <v>95.5</v>
      </c>
      <c r="J120" s="45">
        <f t="shared" si="11"/>
        <v>111.5</v>
      </c>
    </row>
    <row r="121" spans="1:10" s="1" customFormat="1" ht="15.95" customHeight="1">
      <c r="A121" s="43" t="s">
        <v>121</v>
      </c>
      <c r="B121" s="43">
        <v>1.25</v>
      </c>
      <c r="C121" s="43">
        <v>1.25</v>
      </c>
      <c r="D121" s="43"/>
      <c r="E121" s="43"/>
      <c r="F121" s="43"/>
      <c r="G121" s="43"/>
      <c r="H121" s="44">
        <f t="shared" si="9"/>
        <v>17.25</v>
      </c>
      <c r="I121" s="44">
        <f t="shared" si="10"/>
        <v>96.75</v>
      </c>
      <c r="J121" s="45">
        <f t="shared" si="11"/>
        <v>114</v>
      </c>
    </row>
    <row r="122" spans="1:10" s="1" customFormat="1" ht="15.95" customHeight="1">
      <c r="A122" s="43" t="s">
        <v>122</v>
      </c>
      <c r="B122" s="43"/>
      <c r="C122" s="43"/>
      <c r="D122" s="43">
        <v>10</v>
      </c>
      <c r="E122" s="43"/>
      <c r="F122" s="43"/>
      <c r="G122" s="43"/>
      <c r="H122" s="44">
        <f t="shared" si="9"/>
        <v>7.25</v>
      </c>
      <c r="I122" s="44">
        <f t="shared" si="10"/>
        <v>96.75</v>
      </c>
      <c r="J122" s="45">
        <f t="shared" si="11"/>
        <v>104</v>
      </c>
    </row>
    <row r="123" spans="1:10" s="1" customFormat="1" ht="15.95" customHeight="1">
      <c r="A123" s="43" t="s">
        <v>123</v>
      </c>
      <c r="B123" s="43">
        <v>1.25</v>
      </c>
      <c r="C123" s="43">
        <v>1.25</v>
      </c>
      <c r="D123" s="43"/>
      <c r="E123" s="43"/>
      <c r="F123" s="43"/>
      <c r="G123" s="43"/>
      <c r="H123" s="44">
        <f t="shared" si="9"/>
        <v>8.5</v>
      </c>
      <c r="I123" s="44">
        <f t="shared" si="10"/>
        <v>98</v>
      </c>
      <c r="J123" s="45">
        <f t="shared" si="11"/>
        <v>106.5</v>
      </c>
    </row>
    <row r="124" spans="1:10" s="1" customFormat="1" ht="15.95" customHeight="1">
      <c r="A124" s="42" t="s">
        <v>124</v>
      </c>
      <c r="B124" s="43">
        <v>1.25</v>
      </c>
      <c r="C124" s="43">
        <v>1.25</v>
      </c>
      <c r="D124" s="43"/>
      <c r="E124" s="43"/>
      <c r="F124" s="43"/>
      <c r="G124" s="43"/>
      <c r="H124" s="44">
        <f t="shared" si="9"/>
        <v>9.75</v>
      </c>
      <c r="I124" s="44">
        <f t="shared" si="10"/>
        <v>99.25</v>
      </c>
      <c r="J124" s="45">
        <f t="shared" si="11"/>
        <v>109</v>
      </c>
    </row>
    <row r="125" spans="1:10" s="1" customFormat="1" ht="15.95" customHeight="1">
      <c r="A125" s="42" t="s">
        <v>125</v>
      </c>
      <c r="B125" s="42">
        <v>1.25</v>
      </c>
      <c r="C125" s="42">
        <v>1.25</v>
      </c>
      <c r="D125" s="42"/>
      <c r="E125" s="42"/>
      <c r="F125" s="42"/>
      <c r="G125" s="42"/>
      <c r="H125" s="44">
        <f t="shared" si="9"/>
        <v>11</v>
      </c>
      <c r="I125" s="44">
        <f t="shared" si="10"/>
        <v>100.5</v>
      </c>
      <c r="J125" s="45">
        <f t="shared" si="11"/>
        <v>111.5</v>
      </c>
    </row>
    <row r="126" spans="1:10" s="1" customFormat="1" ht="15.95" customHeight="1">
      <c r="A126" s="42" t="s">
        <v>126</v>
      </c>
      <c r="B126" s="42"/>
      <c r="C126" s="42"/>
      <c r="D126" s="42"/>
      <c r="E126" s="42"/>
      <c r="F126" s="42">
        <v>1</v>
      </c>
      <c r="G126" s="42"/>
      <c r="H126" s="44">
        <f t="shared" si="9"/>
        <v>10</v>
      </c>
      <c r="I126" s="44">
        <f t="shared" si="10"/>
        <v>100.5</v>
      </c>
      <c r="J126" s="45">
        <f t="shared" si="11"/>
        <v>110.5</v>
      </c>
    </row>
    <row r="127" spans="1:10" s="1" customFormat="1" ht="15.95" customHeight="1">
      <c r="A127" s="42" t="s">
        <v>127</v>
      </c>
      <c r="B127" s="42">
        <v>1.25</v>
      </c>
      <c r="C127" s="42">
        <v>1.25</v>
      </c>
      <c r="D127" s="42"/>
      <c r="E127" s="42"/>
      <c r="F127" s="42"/>
      <c r="G127" s="42"/>
      <c r="H127" s="44">
        <f t="shared" si="9"/>
        <v>11.25</v>
      </c>
      <c r="I127" s="44">
        <f t="shared" si="10"/>
        <v>101.75</v>
      </c>
      <c r="J127" s="45">
        <f t="shared" si="11"/>
        <v>113</v>
      </c>
    </row>
    <row r="128" spans="1:10" s="1" customFormat="1" ht="15.95" customHeight="1">
      <c r="A128" s="42" t="s">
        <v>128</v>
      </c>
      <c r="B128" s="42"/>
      <c r="C128" s="42"/>
      <c r="D128" s="42"/>
      <c r="E128" s="42">
        <v>1</v>
      </c>
      <c r="F128" s="42"/>
      <c r="G128" s="42"/>
      <c r="H128" s="44">
        <f t="shared" si="9"/>
        <v>11.25</v>
      </c>
      <c r="I128" s="44">
        <f t="shared" si="10"/>
        <v>100.75</v>
      </c>
      <c r="J128" s="45">
        <f t="shared" si="11"/>
        <v>112</v>
      </c>
    </row>
    <row r="129" spans="1:11" s="1" customFormat="1" ht="15.95" customHeight="1">
      <c r="A129" s="42" t="s">
        <v>129</v>
      </c>
      <c r="B129" s="42">
        <v>1.25</v>
      </c>
      <c r="C129" s="42">
        <v>1.25</v>
      </c>
      <c r="D129" s="42"/>
      <c r="E129" s="42"/>
      <c r="F129" s="42"/>
      <c r="G129" s="42"/>
      <c r="H129" s="44">
        <f t="shared" si="9"/>
        <v>12.5</v>
      </c>
      <c r="I129" s="44">
        <f t="shared" si="10"/>
        <v>102</v>
      </c>
      <c r="J129" s="45">
        <f t="shared" si="11"/>
        <v>114.5</v>
      </c>
    </row>
    <row r="130" spans="1:11" s="1" customFormat="1" ht="15.95" customHeight="1">
      <c r="A130" s="42" t="s">
        <v>130</v>
      </c>
      <c r="B130" s="42"/>
      <c r="C130" s="42"/>
      <c r="D130" s="42">
        <v>3</v>
      </c>
      <c r="E130" s="42"/>
      <c r="F130" s="42"/>
      <c r="G130" s="42"/>
      <c r="H130" s="44">
        <f t="shared" si="9"/>
        <v>9.5</v>
      </c>
      <c r="I130" s="44">
        <f t="shared" si="10"/>
        <v>102</v>
      </c>
      <c r="J130" s="45">
        <f t="shared" si="11"/>
        <v>111.5</v>
      </c>
    </row>
    <row r="131" spans="1:11" s="1" customFormat="1" ht="15.95" customHeight="1">
      <c r="A131" s="42" t="s">
        <v>178</v>
      </c>
      <c r="B131" s="42">
        <v>3.75</v>
      </c>
      <c r="C131" s="42">
        <v>3.75</v>
      </c>
      <c r="D131" s="42"/>
      <c r="E131" s="42"/>
      <c r="F131" s="42"/>
      <c r="G131" s="42"/>
      <c r="H131" s="44">
        <f t="shared" si="9"/>
        <v>13.25</v>
      </c>
      <c r="I131" s="44">
        <f t="shared" si="10"/>
        <v>105.75</v>
      </c>
      <c r="J131" s="45">
        <f t="shared" si="11"/>
        <v>119</v>
      </c>
    </row>
    <row r="132" spans="1:11" s="1" customFormat="1" ht="15.95" customHeight="1">
      <c r="A132" s="42" t="s">
        <v>132</v>
      </c>
      <c r="B132" s="42"/>
      <c r="C132" s="42"/>
      <c r="D132" s="42"/>
      <c r="E132" s="42"/>
      <c r="F132" s="42"/>
      <c r="G132" s="42">
        <v>2</v>
      </c>
      <c r="H132" s="44">
        <f t="shared" si="9"/>
        <v>13.25</v>
      </c>
      <c r="I132" s="44">
        <f t="shared" si="10"/>
        <v>105.75</v>
      </c>
      <c r="J132" s="45">
        <f t="shared" si="11"/>
        <v>119</v>
      </c>
    </row>
    <row r="133" spans="1:11" ht="15.95" customHeight="1">
      <c r="A133" s="42" t="s">
        <v>133</v>
      </c>
      <c r="B133" s="42">
        <v>1.25</v>
      </c>
      <c r="C133" s="42">
        <v>1.25</v>
      </c>
      <c r="D133" s="42"/>
      <c r="E133" s="42"/>
      <c r="F133" s="42"/>
      <c r="G133" s="42"/>
      <c r="H133" s="44">
        <f t="shared" si="9"/>
        <v>14.5</v>
      </c>
      <c r="I133" s="44">
        <f t="shared" si="10"/>
        <v>107</v>
      </c>
      <c r="J133" s="45">
        <f t="shared" si="11"/>
        <v>121.5</v>
      </c>
      <c r="K133"/>
    </row>
    <row r="134" spans="1:11" ht="15.95" customHeight="1">
      <c r="A134" s="42" t="s">
        <v>134</v>
      </c>
      <c r="B134" s="42"/>
      <c r="C134" s="42"/>
      <c r="D134" s="42"/>
      <c r="E134" s="42"/>
      <c r="F134" s="42"/>
      <c r="G134" s="42">
        <v>1</v>
      </c>
      <c r="H134" s="44">
        <f t="shared" si="9"/>
        <v>14.5</v>
      </c>
      <c r="I134" s="44">
        <f t="shared" si="10"/>
        <v>107</v>
      </c>
      <c r="J134" s="45">
        <f t="shared" si="11"/>
        <v>121.5</v>
      </c>
      <c r="K134"/>
    </row>
    <row r="135" spans="1:11" ht="15.95" customHeight="1">
      <c r="A135" s="42" t="s">
        <v>136</v>
      </c>
      <c r="B135" s="42">
        <v>2.5</v>
      </c>
      <c r="C135" s="42">
        <v>2.5</v>
      </c>
      <c r="D135" s="42"/>
      <c r="E135" s="42"/>
      <c r="F135" s="42"/>
      <c r="G135" s="42"/>
      <c r="H135" s="44">
        <f t="shared" si="9"/>
        <v>17</v>
      </c>
      <c r="I135" s="44">
        <f t="shared" si="10"/>
        <v>109.5</v>
      </c>
      <c r="J135" s="45">
        <f t="shared" si="11"/>
        <v>126.5</v>
      </c>
      <c r="K135"/>
    </row>
    <row r="136" spans="1:11" ht="15.95" customHeight="1">
      <c r="A136" s="42" t="s">
        <v>137</v>
      </c>
      <c r="B136" s="42"/>
      <c r="C136" s="42"/>
      <c r="D136" s="42"/>
      <c r="E136" s="42">
        <v>1</v>
      </c>
      <c r="F136" s="42"/>
      <c r="G136" s="42"/>
      <c r="H136" s="44">
        <f t="shared" si="9"/>
        <v>17</v>
      </c>
      <c r="I136" s="44">
        <f t="shared" si="10"/>
        <v>108.5</v>
      </c>
      <c r="J136" s="45">
        <f t="shared" si="11"/>
        <v>125.5</v>
      </c>
      <c r="K136"/>
    </row>
    <row r="137" spans="1:11" ht="15.95" customHeight="1">
      <c r="A137" s="42" t="s">
        <v>138</v>
      </c>
      <c r="B137" s="42"/>
      <c r="C137" s="42"/>
      <c r="D137" s="42"/>
      <c r="E137" s="42"/>
      <c r="F137" s="42">
        <v>1</v>
      </c>
      <c r="G137" s="42"/>
      <c r="H137" s="44">
        <f t="shared" si="9"/>
        <v>16</v>
      </c>
      <c r="I137" s="44">
        <f t="shared" si="10"/>
        <v>108.5</v>
      </c>
      <c r="J137" s="45">
        <f t="shared" si="11"/>
        <v>124.5</v>
      </c>
      <c r="K137"/>
    </row>
    <row r="138" spans="1:11" ht="15.95" customHeight="1">
      <c r="A138" s="42" t="s">
        <v>141</v>
      </c>
      <c r="B138" s="42"/>
      <c r="C138" s="42"/>
      <c r="D138" s="42"/>
      <c r="E138" s="42"/>
      <c r="F138" s="42">
        <v>1</v>
      </c>
      <c r="G138" s="42"/>
      <c r="H138" s="44">
        <f t="shared" si="9"/>
        <v>15</v>
      </c>
      <c r="I138" s="44">
        <f t="shared" si="10"/>
        <v>108.5</v>
      </c>
      <c r="J138" s="45">
        <f t="shared" si="11"/>
        <v>123.5</v>
      </c>
      <c r="K138"/>
    </row>
    <row r="139" spans="1:11" ht="15.95" customHeight="1">
      <c r="A139" s="42" t="s">
        <v>142</v>
      </c>
      <c r="B139" s="42"/>
      <c r="C139" s="42"/>
      <c r="D139" s="42"/>
      <c r="E139" s="42"/>
      <c r="F139" s="42">
        <v>1</v>
      </c>
      <c r="G139" s="42"/>
      <c r="H139" s="44">
        <f t="shared" si="9"/>
        <v>14</v>
      </c>
      <c r="I139" s="44">
        <f t="shared" si="10"/>
        <v>108.5</v>
      </c>
      <c r="J139" s="45">
        <f t="shared" si="11"/>
        <v>122.5</v>
      </c>
      <c r="K139"/>
    </row>
    <row r="140" spans="1:11" ht="15.95" customHeight="1">
      <c r="A140" s="42" t="s">
        <v>143</v>
      </c>
      <c r="B140" s="42"/>
      <c r="C140" s="42"/>
      <c r="D140" s="42"/>
      <c r="E140" s="42"/>
      <c r="F140" s="42">
        <v>1</v>
      </c>
      <c r="G140" s="42"/>
      <c r="H140" s="44">
        <f t="shared" si="9"/>
        <v>13</v>
      </c>
      <c r="I140" s="44">
        <f t="shared" si="10"/>
        <v>108.5</v>
      </c>
      <c r="J140" s="45">
        <f t="shared" si="11"/>
        <v>121.5</v>
      </c>
      <c r="K140"/>
    </row>
    <row r="141" spans="1:11" ht="15.95" customHeight="1">
      <c r="A141" s="42" t="s">
        <v>144</v>
      </c>
      <c r="B141" s="42">
        <v>2.5</v>
      </c>
      <c r="C141" s="42">
        <v>2.5</v>
      </c>
      <c r="D141" s="42"/>
      <c r="E141" s="42"/>
      <c r="F141" s="42"/>
      <c r="G141" s="42"/>
      <c r="H141" s="44">
        <f t="shared" si="9"/>
        <v>15.5</v>
      </c>
      <c r="I141" s="44">
        <f t="shared" si="10"/>
        <v>111</v>
      </c>
      <c r="J141" s="45">
        <f t="shared" si="11"/>
        <v>126.5</v>
      </c>
      <c r="K141"/>
    </row>
    <row r="142" spans="1:11" ht="15.95" customHeight="1">
      <c r="A142" s="42" t="s">
        <v>145</v>
      </c>
      <c r="B142" s="42"/>
      <c r="C142" s="42"/>
      <c r="D142" s="42"/>
      <c r="E142" s="42"/>
      <c r="F142" s="42"/>
      <c r="G142" s="42">
        <v>1</v>
      </c>
      <c r="H142" s="44">
        <f t="shared" si="9"/>
        <v>15.5</v>
      </c>
      <c r="I142" s="44">
        <f t="shared" si="10"/>
        <v>111</v>
      </c>
      <c r="J142" s="45">
        <f t="shared" si="11"/>
        <v>126.5</v>
      </c>
      <c r="K142"/>
    </row>
    <row r="143" spans="1:11" ht="15.95" customHeight="1">
      <c r="A143" s="42" t="s">
        <v>146</v>
      </c>
      <c r="B143" s="42">
        <v>1.25</v>
      </c>
      <c r="C143" s="42">
        <v>1.25</v>
      </c>
      <c r="D143" s="42"/>
      <c r="E143" s="42"/>
      <c r="F143" s="42"/>
      <c r="G143" s="42"/>
      <c r="H143" s="44">
        <f t="shared" si="9"/>
        <v>16.75</v>
      </c>
      <c r="I143" s="44">
        <f t="shared" si="10"/>
        <v>112.25</v>
      </c>
      <c r="J143" s="45">
        <f t="shared" si="11"/>
        <v>129</v>
      </c>
      <c r="K143"/>
    </row>
    <row r="144" spans="1:11" ht="15.95" customHeight="1">
      <c r="A144" s="42" t="s">
        <v>147</v>
      </c>
      <c r="B144" s="42"/>
      <c r="C144" s="42"/>
      <c r="D144" s="42"/>
      <c r="E144" s="42"/>
      <c r="F144" s="42"/>
      <c r="G144" s="42">
        <v>2</v>
      </c>
      <c r="H144" s="44">
        <f t="shared" si="9"/>
        <v>16.75</v>
      </c>
      <c r="I144" s="44">
        <f t="shared" si="10"/>
        <v>112.25</v>
      </c>
      <c r="J144" s="45">
        <f t="shared" si="11"/>
        <v>129</v>
      </c>
      <c r="K144"/>
    </row>
    <row r="145" spans="1:11" ht="15.95" customHeight="1">
      <c r="A145" s="42" t="s">
        <v>148</v>
      </c>
      <c r="B145" s="42">
        <v>1.25</v>
      </c>
      <c r="C145" s="42">
        <v>1.25</v>
      </c>
      <c r="D145" s="42"/>
      <c r="E145" s="42"/>
      <c r="F145" s="42"/>
      <c r="G145" s="42"/>
      <c r="H145" s="44">
        <f t="shared" si="9"/>
        <v>18</v>
      </c>
      <c r="I145" s="44">
        <f t="shared" si="10"/>
        <v>113.5</v>
      </c>
      <c r="J145" s="45">
        <f t="shared" si="11"/>
        <v>131.5</v>
      </c>
      <c r="K145"/>
    </row>
    <row r="146" spans="1:11" ht="15.95" customHeight="1">
      <c r="A146" s="42" t="s">
        <v>149</v>
      </c>
      <c r="B146" s="42"/>
      <c r="C146" s="42"/>
      <c r="D146" s="42">
        <v>0.5</v>
      </c>
      <c r="E146" s="42"/>
      <c r="F146" s="42"/>
      <c r="G146" s="42"/>
      <c r="H146" s="44">
        <f t="shared" si="9"/>
        <v>17.5</v>
      </c>
      <c r="I146" s="44">
        <f t="shared" si="10"/>
        <v>113.5</v>
      </c>
      <c r="J146" s="45">
        <f t="shared" si="11"/>
        <v>131</v>
      </c>
      <c r="K146"/>
    </row>
    <row r="147" spans="1:11" ht="15.95" customHeight="1">
      <c r="A147" s="42" t="s">
        <v>150</v>
      </c>
      <c r="B147" s="42">
        <v>1.25</v>
      </c>
      <c r="C147" s="42">
        <v>1.25</v>
      </c>
      <c r="D147" s="42"/>
      <c r="E147" s="42"/>
      <c r="F147" s="42"/>
      <c r="G147" s="42"/>
      <c r="H147" s="44">
        <f t="shared" si="9"/>
        <v>18.75</v>
      </c>
      <c r="I147" s="44">
        <f t="shared" si="10"/>
        <v>114.75</v>
      </c>
      <c r="J147" s="45">
        <f t="shared" si="11"/>
        <v>133.5</v>
      </c>
      <c r="K147"/>
    </row>
    <row r="148" spans="1:11" ht="15.95" customHeight="1">
      <c r="A148" s="42" t="s">
        <v>171</v>
      </c>
      <c r="B148" s="42"/>
      <c r="C148" s="42"/>
      <c r="D148" s="42"/>
      <c r="E148" s="42"/>
      <c r="F148" s="42">
        <v>2</v>
      </c>
      <c r="G148" s="42"/>
      <c r="H148" s="44">
        <f t="shared" si="9"/>
        <v>16.75</v>
      </c>
      <c r="I148" s="44">
        <f t="shared" si="10"/>
        <v>114.75</v>
      </c>
      <c r="J148" s="45">
        <f t="shared" si="11"/>
        <v>131.5</v>
      </c>
      <c r="K148"/>
    </row>
    <row r="149" spans="1:11" ht="15.95" customHeight="1">
      <c r="A149" s="42" t="s">
        <v>173</v>
      </c>
      <c r="B149" s="42">
        <v>2.5</v>
      </c>
      <c r="C149" s="42">
        <v>2.5</v>
      </c>
      <c r="D149" s="42"/>
      <c r="E149" s="42"/>
      <c r="F149" s="42"/>
      <c r="G149" s="42"/>
      <c r="H149" s="44">
        <f t="shared" si="9"/>
        <v>19.25</v>
      </c>
      <c r="I149" s="44">
        <f t="shared" si="10"/>
        <v>117.25</v>
      </c>
      <c r="J149" s="45">
        <f t="shared" si="11"/>
        <v>136.5</v>
      </c>
      <c r="K149"/>
    </row>
    <row r="150" spans="1:11" ht="15.95" customHeight="1">
      <c r="A150" s="42" t="s">
        <v>174</v>
      </c>
      <c r="B150" s="42"/>
      <c r="C150" s="42"/>
      <c r="D150" s="42"/>
      <c r="E150" s="42"/>
      <c r="F150" s="42">
        <v>3</v>
      </c>
      <c r="G150" s="42"/>
      <c r="H150" s="44">
        <f t="shared" si="9"/>
        <v>16.25</v>
      </c>
      <c r="I150" s="44">
        <f t="shared" si="10"/>
        <v>117.25</v>
      </c>
      <c r="J150" s="45">
        <f t="shared" si="11"/>
        <v>133.5</v>
      </c>
      <c r="K150"/>
    </row>
    <row r="151" spans="1:11" ht="15.95" customHeight="1">
      <c r="A151" s="42" t="s">
        <v>175</v>
      </c>
      <c r="B151" s="42">
        <v>1.25</v>
      </c>
      <c r="C151" s="42">
        <v>1.25</v>
      </c>
      <c r="D151" s="42"/>
      <c r="E151" s="42"/>
      <c r="F151" s="42"/>
      <c r="G151" s="42"/>
      <c r="H151" s="44">
        <f t="shared" si="9"/>
        <v>17.5</v>
      </c>
      <c r="I151" s="44">
        <f t="shared" si="10"/>
        <v>118.5</v>
      </c>
      <c r="J151" s="45">
        <f t="shared" si="11"/>
        <v>136</v>
      </c>
      <c r="K151"/>
    </row>
    <row r="152" spans="1:11" ht="15.95" customHeight="1">
      <c r="A152" s="42" t="s">
        <v>176</v>
      </c>
      <c r="B152" s="42">
        <v>0.41699999999999998</v>
      </c>
      <c r="C152" s="42">
        <v>0.41699999999999998</v>
      </c>
      <c r="D152" s="42"/>
      <c r="E152" s="42"/>
      <c r="F152" s="42"/>
      <c r="G152" s="42"/>
      <c r="H152" s="46">
        <f t="shared" si="9"/>
        <v>17.917000000000002</v>
      </c>
      <c r="I152" s="46">
        <f t="shared" si="10"/>
        <v>118.917</v>
      </c>
      <c r="J152" s="60">
        <f t="shared" si="11"/>
        <v>136.834</v>
      </c>
      <c r="K152"/>
    </row>
    <row r="153" spans="1:11" ht="15.95" customHeight="1">
      <c r="A153" s="61" t="s">
        <v>177</v>
      </c>
      <c r="B153" s="61"/>
      <c r="C153" s="61"/>
      <c r="D153" s="61"/>
      <c r="E153" s="61"/>
      <c r="F153" s="61"/>
      <c r="G153" s="61"/>
      <c r="H153" s="61"/>
      <c r="I153" s="61"/>
      <c r="J153" s="61"/>
      <c r="K153"/>
    </row>
    <row r="154" spans="1:11" ht="15.95" customHeight="1">
      <c r="A154" s="16"/>
      <c r="B154" s="7"/>
      <c r="C154" s="7"/>
      <c r="D154" s="7"/>
      <c r="E154" s="7"/>
      <c r="F154" s="7"/>
      <c r="G154" s="7"/>
      <c r="H154" s="17"/>
      <c r="I154" s="17"/>
      <c r="J154" s="12"/>
      <c r="K154"/>
    </row>
    <row r="155" spans="1:11" s="1" customFormat="1" ht="15.95" customHeight="1">
      <c r="B155" s="7"/>
      <c r="C155" s="7"/>
      <c r="D155" s="7"/>
      <c r="E155" s="7"/>
      <c r="F155" s="7"/>
      <c r="G155" s="8" t="s">
        <v>131</v>
      </c>
      <c r="H155" s="12"/>
      <c r="I155" s="12"/>
      <c r="J155" s="12"/>
    </row>
    <row r="156" spans="1:11" s="1" customFormat="1" ht="19.5" customHeight="1">
      <c r="B156" s="7"/>
      <c r="C156" s="7"/>
      <c r="D156" s="7"/>
      <c r="E156" s="7"/>
      <c r="F156" s="7"/>
      <c r="G156" s="8"/>
      <c r="H156" s="12"/>
      <c r="I156" s="12"/>
      <c r="J156" s="12"/>
    </row>
    <row r="157" spans="1:11" s="1" customFormat="1" ht="15.95" customHeight="1">
      <c r="H157" s="62" t="s">
        <v>86</v>
      </c>
      <c r="I157" s="62"/>
      <c r="J157" s="62"/>
    </row>
    <row r="158" spans="1:11" s="1" customFormat="1" ht="15.95" customHeight="1">
      <c r="H158" s="63" t="s">
        <v>87</v>
      </c>
      <c r="I158" s="63"/>
      <c r="J158" s="63"/>
    </row>
    <row r="159" spans="1:11" s="1" customFormat="1" ht="15.95" customHeight="1">
      <c r="H159" s="63" t="s">
        <v>168</v>
      </c>
      <c r="I159" s="63"/>
      <c r="J159" s="63"/>
    </row>
  </sheetData>
  <mergeCells count="17">
    <mergeCell ref="K12:K13"/>
    <mergeCell ref="B12:C12"/>
    <mergeCell ref="H12:I12"/>
    <mergeCell ref="J12:J13"/>
    <mergeCell ref="A2:J2"/>
    <mergeCell ref="A3:J3"/>
    <mergeCell ref="A4:J4"/>
    <mergeCell ref="A5:J5"/>
    <mergeCell ref="B7:D7"/>
    <mergeCell ref="A153:J153"/>
    <mergeCell ref="H157:J157"/>
    <mergeCell ref="H158:J158"/>
    <mergeCell ref="H159:J159"/>
    <mergeCell ref="B9:D9"/>
    <mergeCell ref="A11:J11"/>
    <mergeCell ref="A12:A13"/>
    <mergeCell ref="D12:G12"/>
  </mergeCells>
  <printOptions horizontalCentered="1"/>
  <pageMargins left="0.23622047244094491" right="0.23622047244094491" top="0.74803149606299213" bottom="0.55118110236220474" header="0.31496062992125984" footer="0.31496062992125984"/>
  <pageSetup paperSize="9" scale="70" fitToHeight="0" orientation="portrait" horizontalDpi="360" verticalDpi="360" r:id="rId1"/>
  <rowBreaks count="2" manualBreakCount="2">
    <brk id="58" max="9" man="1"/>
    <brk id="11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7181-B692-442D-B479-7C04D9D9F5A6}">
  <dimension ref="A1:K178"/>
  <sheetViews>
    <sheetView tabSelected="1" view="pageBreakPreview" topLeftCell="A135" zoomScale="118" zoomScaleNormal="29" zoomScaleSheetLayoutView="118" workbookViewId="0">
      <selection activeCell="C145" sqref="C145"/>
    </sheetView>
  </sheetViews>
  <sheetFormatPr defaultRowHeight="15"/>
  <cols>
    <col min="1" max="1" width="37.28515625" style="96" customWidth="1"/>
    <col min="2" max="2" width="8.5703125" style="100" customWidth="1"/>
    <col min="3" max="3" width="7.5703125" style="100" customWidth="1"/>
    <col min="4" max="4" width="7.42578125" style="100" customWidth="1"/>
    <col min="5" max="5" width="8.5703125" style="100" customWidth="1"/>
    <col min="6" max="6" width="7.28515625" style="96" customWidth="1"/>
    <col min="7" max="7" width="6.85546875" style="100" customWidth="1"/>
    <col min="8" max="8" width="8.85546875" style="100" customWidth="1"/>
    <col min="9" max="9" width="10.28515625" style="100" customWidth="1"/>
    <col min="10" max="10" width="10.140625" style="100" customWidth="1"/>
    <col min="11" max="16384" width="9.140625" style="96"/>
  </cols>
  <sheetData>
    <row r="1" spans="1:11">
      <c r="A1" s="95" t="s">
        <v>190</v>
      </c>
      <c r="B1" s="95"/>
      <c r="C1" s="95"/>
      <c r="D1" s="95"/>
      <c r="E1" s="95"/>
      <c r="F1" s="95"/>
      <c r="G1" s="95"/>
      <c r="H1" s="95"/>
      <c r="I1" s="95"/>
      <c r="J1" s="95"/>
    </row>
    <row r="2" spans="1:11">
      <c r="A2" s="95" t="s">
        <v>191</v>
      </c>
      <c r="B2" s="95"/>
      <c r="C2" s="95"/>
      <c r="D2" s="95"/>
      <c r="E2" s="95"/>
      <c r="F2" s="95"/>
      <c r="G2" s="95"/>
      <c r="H2" s="95"/>
      <c r="I2" s="95"/>
      <c r="J2" s="95"/>
    </row>
    <row r="3" spans="1:11">
      <c r="A3" s="95" t="s">
        <v>192</v>
      </c>
      <c r="B3" s="95"/>
      <c r="C3" s="95"/>
      <c r="D3" s="95"/>
      <c r="E3" s="95"/>
      <c r="F3" s="95"/>
      <c r="G3" s="95"/>
      <c r="H3" s="95"/>
      <c r="I3" s="95"/>
      <c r="J3" s="95"/>
    </row>
    <row r="4" spans="1:11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1" ht="8.1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6" t="s">
        <v>193</v>
      </c>
    </row>
    <row r="6" spans="1:11" s="119" customFormat="1">
      <c r="A6" s="117" t="s">
        <v>208</v>
      </c>
      <c r="B6" s="118"/>
      <c r="C6" s="118"/>
      <c r="D6" s="118"/>
      <c r="E6" s="118"/>
      <c r="F6" s="118"/>
      <c r="G6" s="118"/>
      <c r="H6" s="118"/>
      <c r="I6" s="118"/>
      <c r="J6" s="118"/>
    </row>
    <row r="7" spans="1:11" s="119" customFormat="1" ht="15.75" thickBot="1">
      <c r="A7" s="117" t="s">
        <v>194</v>
      </c>
      <c r="B7" s="118"/>
      <c r="C7" s="118"/>
      <c r="D7" s="118"/>
      <c r="E7" s="118"/>
      <c r="F7" s="118"/>
      <c r="G7" s="118"/>
      <c r="H7" s="118"/>
      <c r="I7" s="118"/>
      <c r="J7" s="118"/>
    </row>
    <row r="8" spans="1:11" ht="15.95" customHeight="1">
      <c r="A8" s="105" t="s">
        <v>3</v>
      </c>
      <c r="B8" s="106" t="s">
        <v>4</v>
      </c>
      <c r="C8" s="106"/>
      <c r="D8" s="107" t="s">
        <v>5</v>
      </c>
      <c r="E8" s="107"/>
      <c r="F8" s="107"/>
      <c r="G8" s="107"/>
      <c r="H8" s="108" t="s">
        <v>6</v>
      </c>
      <c r="I8" s="108"/>
      <c r="J8" s="109" t="s">
        <v>7</v>
      </c>
    </row>
    <row r="9" spans="1:11" ht="15.95" customHeight="1">
      <c r="A9" s="110"/>
      <c r="B9" s="99" t="s">
        <v>195</v>
      </c>
      <c r="C9" s="99" t="s">
        <v>196</v>
      </c>
      <c r="D9" s="98" t="s">
        <v>197</v>
      </c>
      <c r="E9" s="98"/>
      <c r="F9" s="98" t="s">
        <v>196</v>
      </c>
      <c r="G9" s="98"/>
      <c r="H9" s="99" t="s">
        <v>197</v>
      </c>
      <c r="I9" s="99" t="s">
        <v>196</v>
      </c>
      <c r="J9" s="111"/>
    </row>
    <row r="10" spans="1:11" ht="15.95" customHeight="1" thickBot="1">
      <c r="A10" s="112"/>
      <c r="B10" s="113"/>
      <c r="C10" s="113"/>
      <c r="D10" s="114"/>
      <c r="E10" s="114" t="s">
        <v>198</v>
      </c>
      <c r="F10" s="115"/>
      <c r="G10" s="114" t="s">
        <v>198</v>
      </c>
      <c r="H10" s="113"/>
      <c r="I10" s="113"/>
      <c r="J10" s="116"/>
    </row>
    <row r="11" spans="1:11" ht="23.25" customHeight="1">
      <c r="A11" s="147" t="s">
        <v>92</v>
      </c>
      <c r="B11" s="122">
        <v>5</v>
      </c>
      <c r="C11" s="122">
        <v>5</v>
      </c>
      <c r="D11" s="123"/>
      <c r="E11" s="123"/>
      <c r="F11" s="123"/>
      <c r="G11" s="124"/>
      <c r="H11" s="136">
        <f>B11</f>
        <v>5</v>
      </c>
      <c r="I11" s="136">
        <f>C11</f>
        <v>5</v>
      </c>
      <c r="J11" s="136">
        <f>SUM(H11:I11)</f>
        <v>10</v>
      </c>
    </row>
    <row r="12" spans="1:11" ht="15.95" customHeight="1">
      <c r="A12" s="142" t="s">
        <v>93</v>
      </c>
      <c r="B12" s="125">
        <v>15</v>
      </c>
      <c r="C12" s="125">
        <v>15</v>
      </c>
      <c r="D12" s="126"/>
      <c r="E12" s="126"/>
      <c r="F12" s="126"/>
      <c r="G12" s="127"/>
      <c r="H12" s="128">
        <f>H11-E12-D12+B12</f>
        <v>20</v>
      </c>
      <c r="I12" s="128">
        <f>I11-G12-F12+C12</f>
        <v>20</v>
      </c>
      <c r="J12" s="128">
        <f t="shared" ref="J12" si="0">SUM(H12:I12)</f>
        <v>40</v>
      </c>
    </row>
    <row r="13" spans="1:11" ht="15.95" customHeight="1">
      <c r="A13" s="142" t="s">
        <v>94</v>
      </c>
      <c r="B13" s="125"/>
      <c r="C13" s="125"/>
      <c r="D13" s="126">
        <v>5</v>
      </c>
      <c r="E13" s="126"/>
      <c r="F13" s="126"/>
      <c r="G13" s="127"/>
      <c r="H13" s="128">
        <f t="shared" ref="H13:H57" si="1">H12-E13-D13+B13</f>
        <v>15</v>
      </c>
      <c r="I13" s="128">
        <f t="shared" ref="I13:I57" si="2">I12-G13-F13+C13</f>
        <v>20</v>
      </c>
      <c r="J13" s="128">
        <f t="shared" ref="J13:J57" si="3">SUM(H13:I13)</f>
        <v>35</v>
      </c>
    </row>
    <row r="14" spans="1:11" ht="15.95" customHeight="1">
      <c r="A14" s="142" t="s">
        <v>95</v>
      </c>
      <c r="B14" s="125"/>
      <c r="C14" s="125"/>
      <c r="D14" s="126"/>
      <c r="E14" s="126">
        <v>10</v>
      </c>
      <c r="F14" s="126"/>
      <c r="G14" s="127"/>
      <c r="H14" s="128">
        <f t="shared" si="1"/>
        <v>5</v>
      </c>
      <c r="I14" s="128">
        <f t="shared" si="2"/>
        <v>20</v>
      </c>
      <c r="J14" s="128">
        <f t="shared" si="3"/>
        <v>25</v>
      </c>
    </row>
    <row r="15" spans="1:11" ht="15.95" customHeight="1">
      <c r="A15" s="142" t="s">
        <v>96</v>
      </c>
      <c r="B15" s="125">
        <v>13.75</v>
      </c>
      <c r="C15" s="125">
        <v>13.75</v>
      </c>
      <c r="D15" s="126"/>
      <c r="E15" s="126"/>
      <c r="F15" s="126"/>
      <c r="G15" s="127"/>
      <c r="H15" s="128">
        <f t="shared" si="1"/>
        <v>18.75</v>
      </c>
      <c r="I15" s="128">
        <f t="shared" si="2"/>
        <v>33.75</v>
      </c>
      <c r="J15" s="128">
        <f t="shared" si="3"/>
        <v>52.5</v>
      </c>
    </row>
    <row r="16" spans="1:11" ht="15.95" customHeight="1">
      <c r="A16" s="142" t="s">
        <v>97</v>
      </c>
      <c r="B16" s="125"/>
      <c r="C16" s="125"/>
      <c r="D16" s="126"/>
      <c r="E16" s="126">
        <v>5</v>
      </c>
      <c r="F16" s="126"/>
      <c r="G16" s="127">
        <v>10</v>
      </c>
      <c r="H16" s="128">
        <f t="shared" si="1"/>
        <v>13.75</v>
      </c>
      <c r="I16" s="128">
        <f t="shared" si="2"/>
        <v>23.75</v>
      </c>
      <c r="J16" s="128">
        <f t="shared" si="3"/>
        <v>37.5</v>
      </c>
    </row>
    <row r="17" spans="1:10" ht="15.95" customHeight="1">
      <c r="A17" s="142" t="s">
        <v>98</v>
      </c>
      <c r="B17" s="125">
        <v>1.25</v>
      </c>
      <c r="C17" s="125">
        <v>1.25</v>
      </c>
      <c r="D17" s="126"/>
      <c r="E17" s="126"/>
      <c r="F17" s="126"/>
      <c r="G17" s="127"/>
      <c r="H17" s="128">
        <f t="shared" si="1"/>
        <v>15</v>
      </c>
      <c r="I17" s="128">
        <f t="shared" si="2"/>
        <v>25</v>
      </c>
      <c r="J17" s="128">
        <f t="shared" si="3"/>
        <v>40</v>
      </c>
    </row>
    <row r="18" spans="1:10" ht="15.95" customHeight="1">
      <c r="A18" s="142" t="s">
        <v>99</v>
      </c>
      <c r="B18" s="125"/>
      <c r="C18" s="125"/>
      <c r="D18" s="126">
        <v>5</v>
      </c>
      <c r="E18" s="126"/>
      <c r="F18" s="126"/>
      <c r="G18" s="127"/>
      <c r="H18" s="128">
        <f t="shared" si="1"/>
        <v>10</v>
      </c>
      <c r="I18" s="128">
        <f t="shared" si="2"/>
        <v>25</v>
      </c>
      <c r="J18" s="128">
        <f t="shared" si="3"/>
        <v>35</v>
      </c>
    </row>
    <row r="19" spans="1:10" ht="15.95" customHeight="1">
      <c r="A19" s="142" t="s">
        <v>100</v>
      </c>
      <c r="B19" s="125">
        <v>15</v>
      </c>
      <c r="C19" s="125">
        <v>15</v>
      </c>
      <c r="D19" s="126"/>
      <c r="E19" s="126"/>
      <c r="F19" s="126"/>
      <c r="G19" s="127"/>
      <c r="H19" s="128">
        <f t="shared" si="1"/>
        <v>25</v>
      </c>
      <c r="I19" s="128">
        <f t="shared" si="2"/>
        <v>40</v>
      </c>
      <c r="J19" s="128">
        <f t="shared" si="3"/>
        <v>65</v>
      </c>
    </row>
    <row r="20" spans="1:10" ht="15.95" customHeight="1">
      <c r="A20" s="142" t="s">
        <v>101</v>
      </c>
      <c r="B20" s="125"/>
      <c r="C20" s="125"/>
      <c r="D20" s="126">
        <v>5</v>
      </c>
      <c r="E20" s="126"/>
      <c r="F20" s="126"/>
      <c r="G20" s="127"/>
      <c r="H20" s="128">
        <f t="shared" si="1"/>
        <v>20</v>
      </c>
      <c r="I20" s="128">
        <f t="shared" si="2"/>
        <v>40</v>
      </c>
      <c r="J20" s="128">
        <f t="shared" si="3"/>
        <v>60</v>
      </c>
    </row>
    <row r="21" spans="1:10" ht="15.95" customHeight="1">
      <c r="A21" s="142" t="s">
        <v>102</v>
      </c>
      <c r="B21" s="125">
        <v>15</v>
      </c>
      <c r="C21" s="125">
        <v>15</v>
      </c>
      <c r="D21" s="126"/>
      <c r="E21" s="126"/>
      <c r="F21" s="126"/>
      <c r="G21" s="127"/>
      <c r="H21" s="128">
        <f t="shared" si="1"/>
        <v>35</v>
      </c>
      <c r="I21" s="128">
        <f t="shared" si="2"/>
        <v>55</v>
      </c>
      <c r="J21" s="128">
        <f t="shared" si="3"/>
        <v>90</v>
      </c>
    </row>
    <row r="22" spans="1:10" ht="15.95" customHeight="1">
      <c r="A22" s="143" t="s">
        <v>103</v>
      </c>
      <c r="B22" s="125"/>
      <c r="C22" s="125"/>
      <c r="D22" s="126">
        <v>5</v>
      </c>
      <c r="E22" s="126"/>
      <c r="F22" s="126"/>
      <c r="G22" s="127"/>
      <c r="H22" s="128">
        <f t="shared" si="1"/>
        <v>30</v>
      </c>
      <c r="I22" s="128">
        <f t="shared" si="2"/>
        <v>55</v>
      </c>
      <c r="J22" s="128">
        <f t="shared" si="3"/>
        <v>85</v>
      </c>
    </row>
    <row r="23" spans="1:10" ht="15.95" customHeight="1">
      <c r="A23" s="142" t="s">
        <v>104</v>
      </c>
      <c r="B23" s="125">
        <v>15</v>
      </c>
      <c r="C23" s="125">
        <v>15</v>
      </c>
      <c r="D23" s="126"/>
      <c r="E23" s="126"/>
      <c r="F23" s="126"/>
      <c r="G23" s="127"/>
      <c r="H23" s="128">
        <f t="shared" si="1"/>
        <v>45</v>
      </c>
      <c r="I23" s="128">
        <f t="shared" si="2"/>
        <v>70</v>
      </c>
      <c r="J23" s="128">
        <f t="shared" si="3"/>
        <v>115</v>
      </c>
    </row>
    <row r="24" spans="1:10" ht="15.95" customHeight="1">
      <c r="A24" s="142" t="s">
        <v>105</v>
      </c>
      <c r="B24" s="125"/>
      <c r="C24" s="125"/>
      <c r="D24" s="126">
        <v>5</v>
      </c>
      <c r="E24" s="126"/>
      <c r="F24" s="126"/>
      <c r="G24" s="126"/>
      <c r="H24" s="128">
        <f t="shared" si="1"/>
        <v>40</v>
      </c>
      <c r="I24" s="128">
        <f t="shared" si="2"/>
        <v>70</v>
      </c>
      <c r="J24" s="128">
        <f t="shared" si="3"/>
        <v>110</v>
      </c>
    </row>
    <row r="25" spans="1:10" ht="15.95" customHeight="1">
      <c r="A25" s="143" t="s">
        <v>106</v>
      </c>
      <c r="B25" s="125">
        <v>15</v>
      </c>
      <c r="C25" s="125">
        <v>15</v>
      </c>
      <c r="D25" s="126"/>
      <c r="E25" s="126"/>
      <c r="F25" s="126"/>
      <c r="G25" s="127"/>
      <c r="H25" s="128">
        <f t="shared" si="1"/>
        <v>55</v>
      </c>
      <c r="I25" s="128">
        <f t="shared" si="2"/>
        <v>85</v>
      </c>
      <c r="J25" s="128">
        <f t="shared" si="3"/>
        <v>140</v>
      </c>
    </row>
    <row r="26" spans="1:10" ht="15.95" customHeight="1">
      <c r="A26" s="142" t="s">
        <v>107</v>
      </c>
      <c r="B26" s="125"/>
      <c r="C26" s="125"/>
      <c r="D26" s="126">
        <v>5</v>
      </c>
      <c r="E26" s="126"/>
      <c r="F26" s="126"/>
      <c r="G26" s="127"/>
      <c r="H26" s="128">
        <f t="shared" si="1"/>
        <v>50</v>
      </c>
      <c r="I26" s="128">
        <f t="shared" si="2"/>
        <v>85</v>
      </c>
      <c r="J26" s="128">
        <f t="shared" si="3"/>
        <v>135</v>
      </c>
    </row>
    <row r="27" spans="1:10" ht="15.95" customHeight="1">
      <c r="A27" s="142" t="s">
        <v>108</v>
      </c>
      <c r="B27" s="125">
        <v>15</v>
      </c>
      <c r="C27" s="125">
        <v>15</v>
      </c>
      <c r="D27" s="126"/>
      <c r="E27" s="126"/>
      <c r="F27" s="126"/>
      <c r="G27" s="127"/>
      <c r="H27" s="128">
        <f t="shared" si="1"/>
        <v>65</v>
      </c>
      <c r="I27" s="128">
        <f t="shared" si="2"/>
        <v>100</v>
      </c>
      <c r="J27" s="128">
        <f t="shared" si="3"/>
        <v>165</v>
      </c>
    </row>
    <row r="28" spans="1:10" ht="15.95" customHeight="1">
      <c r="A28" s="142" t="s">
        <v>109</v>
      </c>
      <c r="B28" s="125"/>
      <c r="C28" s="125"/>
      <c r="D28" s="126">
        <v>5</v>
      </c>
      <c r="E28" s="126"/>
      <c r="F28" s="126"/>
      <c r="G28" s="127"/>
      <c r="H28" s="128">
        <f t="shared" si="1"/>
        <v>60</v>
      </c>
      <c r="I28" s="128">
        <f t="shared" si="2"/>
        <v>100</v>
      </c>
      <c r="J28" s="128">
        <f t="shared" si="3"/>
        <v>160</v>
      </c>
    </row>
    <row r="29" spans="1:10" ht="15.95" customHeight="1">
      <c r="A29" s="142" t="s">
        <v>110</v>
      </c>
      <c r="B29" s="125"/>
      <c r="C29" s="125"/>
      <c r="D29" s="126"/>
      <c r="E29" s="126">
        <v>45</v>
      </c>
      <c r="F29" s="126"/>
      <c r="G29" s="127"/>
      <c r="H29" s="128">
        <f t="shared" si="1"/>
        <v>15</v>
      </c>
      <c r="I29" s="128">
        <f t="shared" si="2"/>
        <v>100</v>
      </c>
      <c r="J29" s="128">
        <f t="shared" si="3"/>
        <v>115</v>
      </c>
    </row>
    <row r="30" spans="1:10" ht="15.95" customHeight="1">
      <c r="A30" s="143" t="s">
        <v>111</v>
      </c>
      <c r="B30" s="125">
        <v>10</v>
      </c>
      <c r="C30" s="125">
        <v>10</v>
      </c>
      <c r="D30" s="144"/>
      <c r="E30" s="145"/>
      <c r="F30" s="144"/>
      <c r="G30" s="127"/>
      <c r="H30" s="128">
        <f t="shared" si="1"/>
        <v>25</v>
      </c>
      <c r="I30" s="128">
        <f t="shared" si="2"/>
        <v>110</v>
      </c>
      <c r="J30" s="128">
        <f t="shared" si="3"/>
        <v>135</v>
      </c>
    </row>
    <row r="31" spans="1:10" ht="15.95" customHeight="1">
      <c r="A31" s="142" t="s">
        <v>112</v>
      </c>
      <c r="B31" s="125"/>
      <c r="C31" s="125"/>
      <c r="D31" s="128"/>
      <c r="E31" s="128"/>
      <c r="F31" s="128"/>
      <c r="G31" s="127">
        <v>20</v>
      </c>
      <c r="H31" s="128">
        <f t="shared" si="1"/>
        <v>25</v>
      </c>
      <c r="I31" s="128">
        <f t="shared" si="2"/>
        <v>90</v>
      </c>
      <c r="J31" s="128">
        <f t="shared" si="3"/>
        <v>115</v>
      </c>
    </row>
    <row r="32" spans="1:10" ht="15.95" customHeight="1">
      <c r="A32" s="143" t="s">
        <v>113</v>
      </c>
      <c r="B32" s="125">
        <v>5</v>
      </c>
      <c r="C32" s="125">
        <v>5</v>
      </c>
      <c r="D32" s="128"/>
      <c r="E32" s="128"/>
      <c r="F32" s="128"/>
      <c r="G32" s="127"/>
      <c r="H32" s="128">
        <f t="shared" si="1"/>
        <v>30</v>
      </c>
      <c r="I32" s="128">
        <f t="shared" si="2"/>
        <v>95</v>
      </c>
      <c r="J32" s="128">
        <f t="shared" si="3"/>
        <v>125</v>
      </c>
    </row>
    <row r="33" spans="1:10" ht="15.75" customHeight="1">
      <c r="A33" s="142" t="s">
        <v>114</v>
      </c>
      <c r="B33" s="125"/>
      <c r="C33" s="125"/>
      <c r="D33" s="128">
        <v>5</v>
      </c>
      <c r="E33" s="128"/>
      <c r="F33" s="128"/>
      <c r="G33" s="127"/>
      <c r="H33" s="128">
        <f t="shared" si="1"/>
        <v>25</v>
      </c>
      <c r="I33" s="128">
        <f t="shared" si="2"/>
        <v>95</v>
      </c>
      <c r="J33" s="128">
        <f t="shared" si="3"/>
        <v>120</v>
      </c>
    </row>
    <row r="34" spans="1:10" ht="32.25" customHeight="1">
      <c r="A34" s="146" t="s">
        <v>115</v>
      </c>
      <c r="B34" s="125"/>
      <c r="C34" s="125"/>
      <c r="D34" s="128"/>
      <c r="E34" s="128"/>
      <c r="F34" s="128"/>
      <c r="G34" s="127">
        <v>45</v>
      </c>
      <c r="H34" s="128">
        <f t="shared" si="1"/>
        <v>25</v>
      </c>
      <c r="I34" s="128">
        <f t="shared" si="2"/>
        <v>50</v>
      </c>
      <c r="J34" s="128">
        <f t="shared" si="3"/>
        <v>75</v>
      </c>
    </row>
    <row r="35" spans="1:10" ht="15.95" customHeight="1">
      <c r="A35" s="142" t="s">
        <v>116</v>
      </c>
      <c r="B35" s="125">
        <v>1.25</v>
      </c>
      <c r="C35" s="125">
        <v>1.25</v>
      </c>
      <c r="D35" s="128"/>
      <c r="E35" s="128"/>
      <c r="F35" s="128"/>
      <c r="G35" s="127"/>
      <c r="H35" s="128">
        <f t="shared" si="1"/>
        <v>26.25</v>
      </c>
      <c r="I35" s="128">
        <f t="shared" si="2"/>
        <v>51.25</v>
      </c>
      <c r="J35" s="128">
        <f t="shared" si="3"/>
        <v>77.5</v>
      </c>
    </row>
    <row r="36" spans="1:10" ht="15.95" customHeight="1">
      <c r="A36" s="143" t="s">
        <v>183</v>
      </c>
      <c r="B36" s="125"/>
      <c r="C36" s="125"/>
      <c r="D36" s="128">
        <v>5</v>
      </c>
      <c r="E36" s="128"/>
      <c r="F36" s="128"/>
      <c r="G36" s="127"/>
      <c r="H36" s="128">
        <f t="shared" si="1"/>
        <v>21.25</v>
      </c>
      <c r="I36" s="128">
        <f t="shared" si="2"/>
        <v>51.25</v>
      </c>
      <c r="J36" s="128">
        <f t="shared" si="3"/>
        <v>72.5</v>
      </c>
    </row>
    <row r="37" spans="1:10" ht="15.95" customHeight="1">
      <c r="A37" s="142" t="s">
        <v>140</v>
      </c>
      <c r="B37" s="125"/>
      <c r="C37" s="125"/>
      <c r="D37" s="128">
        <v>3</v>
      </c>
      <c r="E37" s="128"/>
      <c r="F37" s="128"/>
      <c r="G37" s="127"/>
      <c r="H37" s="128">
        <f t="shared" si="1"/>
        <v>18.25</v>
      </c>
      <c r="I37" s="128">
        <f t="shared" si="2"/>
        <v>51.25</v>
      </c>
      <c r="J37" s="128">
        <f t="shared" si="3"/>
        <v>69.5</v>
      </c>
    </row>
    <row r="38" spans="1:10" ht="15.95" customHeight="1">
      <c r="A38" s="142" t="s">
        <v>182</v>
      </c>
      <c r="B38" s="125"/>
      <c r="C38" s="125"/>
      <c r="D38" s="128">
        <v>4</v>
      </c>
      <c r="E38" s="128"/>
      <c r="F38" s="128"/>
      <c r="G38" s="126"/>
      <c r="H38" s="128">
        <f t="shared" si="1"/>
        <v>14.25</v>
      </c>
      <c r="I38" s="128">
        <f t="shared" si="2"/>
        <v>51.25</v>
      </c>
      <c r="J38" s="128">
        <f t="shared" si="3"/>
        <v>65.5</v>
      </c>
    </row>
    <row r="39" spans="1:10" ht="15.95" customHeight="1">
      <c r="A39" s="142" t="s">
        <v>48</v>
      </c>
      <c r="B39" s="125">
        <v>13.75</v>
      </c>
      <c r="C39" s="125">
        <v>13.75</v>
      </c>
      <c r="D39" s="128"/>
      <c r="E39" s="128"/>
      <c r="F39" s="128"/>
      <c r="G39" s="127"/>
      <c r="H39" s="128">
        <f t="shared" si="1"/>
        <v>28</v>
      </c>
      <c r="I39" s="128">
        <f t="shared" si="2"/>
        <v>65</v>
      </c>
      <c r="J39" s="128">
        <f t="shared" si="3"/>
        <v>93</v>
      </c>
    </row>
    <row r="40" spans="1:10" ht="15.95" customHeight="1">
      <c r="A40" s="142" t="s">
        <v>49</v>
      </c>
      <c r="B40" s="125"/>
      <c r="C40" s="125"/>
      <c r="D40" s="128"/>
      <c r="E40" s="128">
        <v>10</v>
      </c>
      <c r="F40" s="128"/>
      <c r="G40" s="127">
        <v>10</v>
      </c>
      <c r="H40" s="128">
        <f t="shared" si="1"/>
        <v>18</v>
      </c>
      <c r="I40" s="128">
        <f t="shared" si="2"/>
        <v>55</v>
      </c>
      <c r="J40" s="128">
        <f t="shared" si="3"/>
        <v>73</v>
      </c>
    </row>
    <row r="41" spans="1:10" ht="15.95" customHeight="1">
      <c r="A41" s="142" t="s">
        <v>50</v>
      </c>
      <c r="B41" s="125"/>
      <c r="C41" s="125"/>
      <c r="D41" s="128"/>
      <c r="E41" s="128"/>
      <c r="F41" s="128"/>
      <c r="G41" s="131">
        <v>36</v>
      </c>
      <c r="H41" s="128">
        <f t="shared" si="1"/>
        <v>18</v>
      </c>
      <c r="I41" s="128">
        <f t="shared" si="2"/>
        <v>19</v>
      </c>
      <c r="J41" s="128">
        <f t="shared" si="3"/>
        <v>37</v>
      </c>
    </row>
    <row r="42" spans="1:10" ht="15.95" customHeight="1">
      <c r="A42" s="142" t="s">
        <v>51</v>
      </c>
      <c r="B42" s="132"/>
      <c r="C42" s="132"/>
      <c r="D42" s="128">
        <v>5</v>
      </c>
      <c r="E42" s="128"/>
      <c r="F42" s="128"/>
      <c r="G42" s="131"/>
      <c r="H42" s="128">
        <f t="shared" si="1"/>
        <v>13</v>
      </c>
      <c r="I42" s="128">
        <f t="shared" si="2"/>
        <v>19</v>
      </c>
      <c r="J42" s="128">
        <f t="shared" si="3"/>
        <v>32</v>
      </c>
    </row>
    <row r="43" spans="1:10" ht="16.5" customHeight="1">
      <c r="A43" s="146" t="s">
        <v>52</v>
      </c>
      <c r="B43" s="125">
        <v>15</v>
      </c>
      <c r="C43" s="125">
        <v>15</v>
      </c>
      <c r="D43" s="128"/>
      <c r="E43" s="128"/>
      <c r="F43" s="128"/>
      <c r="G43" s="131"/>
      <c r="H43" s="128">
        <f t="shared" si="1"/>
        <v>28</v>
      </c>
      <c r="I43" s="128">
        <f t="shared" si="2"/>
        <v>34</v>
      </c>
      <c r="J43" s="128">
        <f t="shared" si="3"/>
        <v>62</v>
      </c>
    </row>
    <row r="44" spans="1:10" ht="15" customHeight="1">
      <c r="A44" s="142" t="s">
        <v>53</v>
      </c>
      <c r="B44" s="137"/>
      <c r="C44" s="137"/>
      <c r="D44" s="128"/>
      <c r="E44" s="128">
        <v>15</v>
      </c>
      <c r="F44" s="128"/>
      <c r="G44" s="131">
        <v>15</v>
      </c>
      <c r="H44" s="128">
        <f t="shared" si="1"/>
        <v>13</v>
      </c>
      <c r="I44" s="128">
        <f t="shared" si="2"/>
        <v>19</v>
      </c>
      <c r="J44" s="128">
        <f t="shared" si="3"/>
        <v>32</v>
      </c>
    </row>
    <row r="45" spans="1:10" ht="15.95" customHeight="1">
      <c r="A45" s="142" t="s">
        <v>54</v>
      </c>
      <c r="B45" s="137"/>
      <c r="C45" s="137"/>
      <c r="D45" s="128">
        <v>5</v>
      </c>
      <c r="E45" s="128"/>
      <c r="F45" s="128"/>
      <c r="G45" s="131"/>
      <c r="H45" s="128">
        <f t="shared" si="1"/>
        <v>8</v>
      </c>
      <c r="I45" s="128">
        <f t="shared" si="2"/>
        <v>19</v>
      </c>
      <c r="J45" s="128">
        <f t="shared" si="3"/>
        <v>27</v>
      </c>
    </row>
    <row r="46" spans="1:10" ht="15" customHeight="1">
      <c r="A46" s="142" t="s">
        <v>55</v>
      </c>
      <c r="B46" s="125">
        <v>15</v>
      </c>
      <c r="C46" s="125">
        <v>15</v>
      </c>
      <c r="D46" s="128"/>
      <c r="E46" s="128"/>
      <c r="F46" s="128"/>
      <c r="G46" s="131"/>
      <c r="H46" s="128">
        <f t="shared" si="1"/>
        <v>23</v>
      </c>
      <c r="I46" s="128">
        <f t="shared" si="2"/>
        <v>34</v>
      </c>
      <c r="J46" s="128">
        <f t="shared" si="3"/>
        <v>57</v>
      </c>
    </row>
    <row r="47" spans="1:10" ht="15.95" customHeight="1">
      <c r="A47" s="142" t="s">
        <v>56</v>
      </c>
      <c r="B47" s="125"/>
      <c r="C47" s="125"/>
      <c r="D47" s="128">
        <v>5</v>
      </c>
      <c r="E47" s="128"/>
      <c r="F47" s="128"/>
      <c r="G47" s="131"/>
      <c r="H47" s="128">
        <f t="shared" si="1"/>
        <v>18</v>
      </c>
      <c r="I47" s="128">
        <f t="shared" si="2"/>
        <v>34</v>
      </c>
      <c r="J47" s="128">
        <f t="shared" si="3"/>
        <v>52</v>
      </c>
    </row>
    <row r="48" spans="1:10" ht="15.95" customHeight="1">
      <c r="A48" s="142" t="s">
        <v>57</v>
      </c>
      <c r="B48" s="125"/>
      <c r="C48" s="125"/>
      <c r="D48" s="128"/>
      <c r="E48" s="128">
        <v>10</v>
      </c>
      <c r="F48" s="128"/>
      <c r="G48" s="131">
        <v>18</v>
      </c>
      <c r="H48" s="128">
        <f t="shared" si="1"/>
        <v>8</v>
      </c>
      <c r="I48" s="128">
        <f t="shared" si="2"/>
        <v>16</v>
      </c>
      <c r="J48" s="128">
        <f t="shared" si="3"/>
        <v>24</v>
      </c>
    </row>
    <row r="49" spans="1:10" ht="15.95" customHeight="1">
      <c r="A49" s="142" t="s">
        <v>58</v>
      </c>
      <c r="B49" s="125">
        <v>15</v>
      </c>
      <c r="C49" s="125">
        <v>15</v>
      </c>
      <c r="D49" s="128"/>
      <c r="E49" s="128"/>
      <c r="F49" s="128"/>
      <c r="G49" s="131"/>
      <c r="H49" s="128">
        <f t="shared" si="1"/>
        <v>23</v>
      </c>
      <c r="I49" s="128">
        <f t="shared" si="2"/>
        <v>31</v>
      </c>
      <c r="J49" s="128">
        <f t="shared" si="3"/>
        <v>54</v>
      </c>
    </row>
    <row r="50" spans="1:10" ht="15.95" customHeight="1">
      <c r="A50" s="142" t="s">
        <v>59</v>
      </c>
      <c r="B50" s="125"/>
      <c r="C50" s="125"/>
      <c r="D50" s="128"/>
      <c r="E50" s="128">
        <v>3</v>
      </c>
      <c r="F50" s="128"/>
      <c r="G50" s="131">
        <v>7</v>
      </c>
      <c r="H50" s="128">
        <f t="shared" si="1"/>
        <v>20</v>
      </c>
      <c r="I50" s="128">
        <f t="shared" si="2"/>
        <v>24</v>
      </c>
      <c r="J50" s="128">
        <f t="shared" si="3"/>
        <v>44</v>
      </c>
    </row>
    <row r="51" spans="1:10" ht="15.95" customHeight="1">
      <c r="A51" s="142" t="s">
        <v>60</v>
      </c>
      <c r="B51" s="125"/>
      <c r="C51" s="125"/>
      <c r="D51" s="128"/>
      <c r="E51" s="128">
        <v>15</v>
      </c>
      <c r="F51" s="128"/>
      <c r="G51" s="131"/>
      <c r="H51" s="128">
        <f t="shared" si="1"/>
        <v>5</v>
      </c>
      <c r="I51" s="128">
        <f t="shared" si="2"/>
        <v>24</v>
      </c>
      <c r="J51" s="128">
        <f t="shared" si="3"/>
        <v>29</v>
      </c>
    </row>
    <row r="52" spans="1:10" ht="15.95" customHeight="1">
      <c r="A52" s="142" t="s">
        <v>135</v>
      </c>
      <c r="B52" s="125"/>
      <c r="C52" s="125"/>
      <c r="D52" s="128">
        <v>5</v>
      </c>
      <c r="E52" s="128"/>
      <c r="F52" s="128"/>
      <c r="G52" s="131"/>
      <c r="H52" s="128">
        <f t="shared" si="1"/>
        <v>0</v>
      </c>
      <c r="I52" s="128">
        <f t="shared" si="2"/>
        <v>24</v>
      </c>
      <c r="J52" s="128">
        <f t="shared" si="3"/>
        <v>24</v>
      </c>
    </row>
    <row r="53" spans="1:10" ht="15.95" customHeight="1">
      <c r="A53" s="142" t="s">
        <v>61</v>
      </c>
      <c r="B53" s="125">
        <v>15</v>
      </c>
      <c r="C53" s="125">
        <v>15</v>
      </c>
      <c r="D53" s="128"/>
      <c r="E53" s="128"/>
      <c r="F53" s="128"/>
      <c r="G53" s="131"/>
      <c r="H53" s="128">
        <f t="shared" si="1"/>
        <v>15</v>
      </c>
      <c r="I53" s="128">
        <f t="shared" si="2"/>
        <v>39</v>
      </c>
      <c r="J53" s="128">
        <f t="shared" si="3"/>
        <v>54</v>
      </c>
    </row>
    <row r="54" spans="1:10" ht="15.95" customHeight="1">
      <c r="A54" s="142" t="s">
        <v>62</v>
      </c>
      <c r="B54" s="125"/>
      <c r="C54" s="125"/>
      <c r="D54" s="128"/>
      <c r="E54" s="128">
        <v>5</v>
      </c>
      <c r="F54" s="128"/>
      <c r="G54" s="131">
        <v>20</v>
      </c>
      <c r="H54" s="128">
        <f t="shared" si="1"/>
        <v>10</v>
      </c>
      <c r="I54" s="128">
        <f t="shared" si="2"/>
        <v>19</v>
      </c>
      <c r="J54" s="128">
        <f t="shared" si="3"/>
        <v>29</v>
      </c>
    </row>
    <row r="55" spans="1:10" ht="15.95" customHeight="1">
      <c r="A55" s="142" t="s">
        <v>63</v>
      </c>
      <c r="B55" s="125"/>
      <c r="C55" s="125"/>
      <c r="D55" s="128"/>
      <c r="E55" s="128">
        <v>3</v>
      </c>
      <c r="F55" s="128"/>
      <c r="G55" s="131">
        <v>7</v>
      </c>
      <c r="H55" s="128">
        <f t="shared" si="1"/>
        <v>7</v>
      </c>
      <c r="I55" s="128">
        <f t="shared" si="2"/>
        <v>12</v>
      </c>
      <c r="J55" s="128">
        <f t="shared" si="3"/>
        <v>19</v>
      </c>
    </row>
    <row r="56" spans="1:10" ht="15.95" customHeight="1">
      <c r="A56" s="142" t="s">
        <v>64</v>
      </c>
      <c r="B56" s="125"/>
      <c r="C56" s="125"/>
      <c r="D56" s="128">
        <v>5</v>
      </c>
      <c r="E56" s="128"/>
      <c r="F56" s="128"/>
      <c r="G56" s="131"/>
      <c r="H56" s="128">
        <f t="shared" si="1"/>
        <v>2</v>
      </c>
      <c r="I56" s="128">
        <f t="shared" si="2"/>
        <v>12</v>
      </c>
      <c r="J56" s="128">
        <f t="shared" si="3"/>
        <v>14</v>
      </c>
    </row>
    <row r="57" spans="1:10" ht="15.95" customHeight="1">
      <c r="A57" s="142" t="s">
        <v>65</v>
      </c>
      <c r="B57" s="125">
        <v>15</v>
      </c>
      <c r="C57" s="125">
        <v>15</v>
      </c>
      <c r="D57" s="128"/>
      <c r="E57" s="128"/>
      <c r="F57" s="128"/>
      <c r="G57" s="131"/>
      <c r="H57" s="128">
        <f t="shared" si="1"/>
        <v>17</v>
      </c>
      <c r="I57" s="128">
        <f t="shared" si="2"/>
        <v>27</v>
      </c>
      <c r="J57" s="128">
        <f t="shared" si="3"/>
        <v>44</v>
      </c>
    </row>
    <row r="58" spans="1:10" ht="15.95" customHeight="1">
      <c r="A58" s="142" t="s">
        <v>66</v>
      </c>
      <c r="B58" s="125"/>
      <c r="C58" s="125"/>
      <c r="D58" s="128">
        <v>5</v>
      </c>
      <c r="E58" s="128"/>
      <c r="F58" s="128"/>
      <c r="G58" s="131"/>
      <c r="H58" s="128">
        <f t="shared" ref="H58:H86" si="4">H57-E58-D58+B58</f>
        <v>12</v>
      </c>
      <c r="I58" s="128">
        <f t="shared" ref="I58:I86" si="5">I57-G58-F58+C58</f>
        <v>27</v>
      </c>
      <c r="J58" s="128">
        <f t="shared" ref="J58:J86" si="6">SUM(H58:I58)</f>
        <v>39</v>
      </c>
    </row>
    <row r="59" spans="1:10" ht="15.95" customHeight="1">
      <c r="A59" s="142" t="s">
        <v>67</v>
      </c>
      <c r="B59" s="125">
        <v>15</v>
      </c>
      <c r="C59" s="125">
        <v>15</v>
      </c>
      <c r="D59" s="128"/>
      <c r="E59" s="128"/>
      <c r="F59" s="128"/>
      <c r="G59" s="131"/>
      <c r="H59" s="128">
        <f t="shared" si="4"/>
        <v>27</v>
      </c>
      <c r="I59" s="128">
        <f t="shared" si="5"/>
        <v>42</v>
      </c>
      <c r="J59" s="128">
        <f t="shared" si="6"/>
        <v>69</v>
      </c>
    </row>
    <row r="60" spans="1:10" ht="15.95" customHeight="1">
      <c r="A60" s="142" t="s">
        <v>68</v>
      </c>
      <c r="B60" s="125"/>
      <c r="C60" s="125"/>
      <c r="D60" s="128"/>
      <c r="E60" s="128">
        <v>15</v>
      </c>
      <c r="F60" s="128"/>
      <c r="G60" s="131"/>
      <c r="H60" s="128">
        <f t="shared" si="4"/>
        <v>12</v>
      </c>
      <c r="I60" s="128">
        <f t="shared" si="5"/>
        <v>42</v>
      </c>
      <c r="J60" s="128">
        <f t="shared" si="6"/>
        <v>54</v>
      </c>
    </row>
    <row r="61" spans="1:10" ht="15.95" customHeight="1">
      <c r="A61" s="142" t="s">
        <v>69</v>
      </c>
      <c r="B61" s="125"/>
      <c r="C61" s="125"/>
      <c r="D61" s="128">
        <v>5</v>
      </c>
      <c r="E61" s="128"/>
      <c r="F61" s="128"/>
      <c r="G61" s="131"/>
      <c r="H61" s="128">
        <f t="shared" si="4"/>
        <v>7</v>
      </c>
      <c r="I61" s="128">
        <f t="shared" si="5"/>
        <v>42</v>
      </c>
      <c r="J61" s="128">
        <f t="shared" si="6"/>
        <v>49</v>
      </c>
    </row>
    <row r="62" spans="1:10" ht="15.95" customHeight="1">
      <c r="A62" s="129" t="s">
        <v>70</v>
      </c>
      <c r="B62" s="130">
        <v>15</v>
      </c>
      <c r="C62" s="130">
        <v>15</v>
      </c>
      <c r="D62" s="130"/>
      <c r="E62" s="130"/>
      <c r="F62" s="130"/>
      <c r="G62" s="131"/>
      <c r="H62" s="128">
        <f t="shared" si="4"/>
        <v>22</v>
      </c>
      <c r="I62" s="128">
        <f t="shared" si="5"/>
        <v>57</v>
      </c>
      <c r="J62" s="128">
        <f t="shared" si="6"/>
        <v>79</v>
      </c>
    </row>
    <row r="63" spans="1:10" ht="15.95" customHeight="1">
      <c r="A63" s="129" t="s">
        <v>71</v>
      </c>
      <c r="B63" s="130"/>
      <c r="C63" s="130"/>
      <c r="D63" s="130">
        <v>5</v>
      </c>
      <c r="E63" s="130"/>
      <c r="F63" s="130"/>
      <c r="G63" s="131"/>
      <c r="H63" s="128">
        <f t="shared" si="4"/>
        <v>17</v>
      </c>
      <c r="I63" s="128">
        <f t="shared" si="5"/>
        <v>57</v>
      </c>
      <c r="J63" s="128">
        <f t="shared" si="6"/>
        <v>74</v>
      </c>
    </row>
    <row r="64" spans="1:10" ht="15.95" customHeight="1">
      <c r="A64" s="129" t="s">
        <v>46</v>
      </c>
      <c r="B64" s="130">
        <v>15</v>
      </c>
      <c r="C64" s="130">
        <v>15</v>
      </c>
      <c r="D64" s="130"/>
      <c r="E64" s="130"/>
      <c r="F64" s="130"/>
      <c r="G64" s="131"/>
      <c r="H64" s="128">
        <f t="shared" si="4"/>
        <v>32</v>
      </c>
      <c r="I64" s="128">
        <f t="shared" si="5"/>
        <v>72</v>
      </c>
      <c r="J64" s="128">
        <f t="shared" si="6"/>
        <v>104</v>
      </c>
    </row>
    <row r="65" spans="1:10" ht="15.95" customHeight="1">
      <c r="A65" s="129" t="s">
        <v>72</v>
      </c>
      <c r="B65" s="130"/>
      <c r="C65" s="130"/>
      <c r="D65" s="130">
        <v>5</v>
      </c>
      <c r="E65" s="130"/>
      <c r="F65" s="130"/>
      <c r="G65" s="131"/>
      <c r="H65" s="128">
        <f t="shared" si="4"/>
        <v>27</v>
      </c>
      <c r="I65" s="128">
        <f t="shared" si="5"/>
        <v>72</v>
      </c>
      <c r="J65" s="128">
        <f t="shared" si="6"/>
        <v>99</v>
      </c>
    </row>
    <row r="66" spans="1:10" ht="15.95" customHeight="1">
      <c r="A66" s="129" t="s">
        <v>47</v>
      </c>
      <c r="B66" s="130"/>
      <c r="C66" s="130"/>
      <c r="D66" s="130"/>
      <c r="E66" s="130">
        <v>10</v>
      </c>
      <c r="F66" s="130"/>
      <c r="G66" s="131"/>
      <c r="H66" s="128">
        <f t="shared" si="4"/>
        <v>17</v>
      </c>
      <c r="I66" s="128">
        <f t="shared" si="5"/>
        <v>72</v>
      </c>
      <c r="J66" s="128">
        <f t="shared" si="6"/>
        <v>89</v>
      </c>
    </row>
    <row r="67" spans="1:10" ht="15.95" customHeight="1">
      <c r="A67" s="129" t="s">
        <v>184</v>
      </c>
      <c r="B67" s="130">
        <v>6.25</v>
      </c>
      <c r="C67" s="130">
        <v>6.25</v>
      </c>
      <c r="D67" s="130"/>
      <c r="E67" s="130"/>
      <c r="F67" s="130"/>
      <c r="G67" s="131"/>
      <c r="H67" s="128">
        <f t="shared" si="4"/>
        <v>23.25</v>
      </c>
      <c r="I67" s="128">
        <f t="shared" si="5"/>
        <v>78.25</v>
      </c>
      <c r="J67" s="128">
        <f t="shared" si="6"/>
        <v>101.5</v>
      </c>
    </row>
    <row r="68" spans="1:10" ht="15.95" customHeight="1">
      <c r="A68" s="129" t="s">
        <v>73</v>
      </c>
      <c r="B68" s="130"/>
      <c r="C68" s="130"/>
      <c r="D68" s="130">
        <v>1</v>
      </c>
      <c r="E68" s="130"/>
      <c r="F68" s="130"/>
      <c r="G68" s="131"/>
      <c r="H68" s="128">
        <f t="shared" si="4"/>
        <v>22.25</v>
      </c>
      <c r="I68" s="128">
        <f t="shared" si="5"/>
        <v>78.25</v>
      </c>
      <c r="J68" s="128">
        <f t="shared" si="6"/>
        <v>100.5</v>
      </c>
    </row>
    <row r="69" spans="1:10" ht="15.95" customHeight="1">
      <c r="A69" s="129" t="s">
        <v>185</v>
      </c>
      <c r="B69" s="130">
        <v>2.5</v>
      </c>
      <c r="C69" s="130">
        <v>2.5</v>
      </c>
      <c r="D69" s="130"/>
      <c r="E69" s="130"/>
      <c r="F69" s="130"/>
      <c r="G69" s="131"/>
      <c r="H69" s="128">
        <f t="shared" si="4"/>
        <v>24.75</v>
      </c>
      <c r="I69" s="128">
        <f t="shared" si="5"/>
        <v>80.75</v>
      </c>
      <c r="J69" s="128">
        <f t="shared" si="6"/>
        <v>105.5</v>
      </c>
    </row>
    <row r="70" spans="1:10" ht="15.95" customHeight="1">
      <c r="A70" s="129" t="s">
        <v>74</v>
      </c>
      <c r="B70" s="130"/>
      <c r="C70" s="130"/>
      <c r="D70" s="130">
        <v>1</v>
      </c>
      <c r="E70" s="130"/>
      <c r="F70" s="130"/>
      <c r="G70" s="131"/>
      <c r="H70" s="128">
        <f t="shared" si="4"/>
        <v>23.75</v>
      </c>
      <c r="I70" s="128">
        <f t="shared" si="5"/>
        <v>80.75</v>
      </c>
      <c r="J70" s="128">
        <f t="shared" si="6"/>
        <v>104.5</v>
      </c>
    </row>
    <row r="71" spans="1:10" ht="15.95" customHeight="1">
      <c r="A71" s="129" t="s">
        <v>186</v>
      </c>
      <c r="B71" s="130">
        <v>1.25</v>
      </c>
      <c r="C71" s="130">
        <v>1.25</v>
      </c>
      <c r="D71" s="130"/>
      <c r="E71" s="130"/>
      <c r="F71" s="130"/>
      <c r="G71" s="131"/>
      <c r="H71" s="128">
        <f t="shared" si="4"/>
        <v>25</v>
      </c>
      <c r="I71" s="128">
        <f t="shared" si="5"/>
        <v>82</v>
      </c>
      <c r="J71" s="128">
        <f t="shared" si="6"/>
        <v>107</v>
      </c>
    </row>
    <row r="72" spans="1:10" ht="15.95" customHeight="1">
      <c r="A72" s="129" t="s">
        <v>75</v>
      </c>
      <c r="B72" s="130"/>
      <c r="C72" s="130"/>
      <c r="D72" s="130">
        <v>1</v>
      </c>
      <c r="E72" s="130"/>
      <c r="F72" s="130"/>
      <c r="G72" s="131"/>
      <c r="H72" s="128">
        <f t="shared" si="4"/>
        <v>24</v>
      </c>
      <c r="I72" s="128">
        <f t="shared" si="5"/>
        <v>82</v>
      </c>
      <c r="J72" s="128">
        <f t="shared" si="6"/>
        <v>106</v>
      </c>
    </row>
    <row r="73" spans="1:10" ht="15.95" customHeight="1">
      <c r="A73" s="129" t="s">
        <v>76</v>
      </c>
      <c r="B73" s="130"/>
      <c r="C73" s="130"/>
      <c r="D73" s="130">
        <v>1</v>
      </c>
      <c r="E73" s="130"/>
      <c r="F73" s="130"/>
      <c r="G73" s="131"/>
      <c r="H73" s="128">
        <f t="shared" si="4"/>
        <v>23</v>
      </c>
      <c r="I73" s="128">
        <f t="shared" si="5"/>
        <v>82</v>
      </c>
      <c r="J73" s="128">
        <f t="shared" si="6"/>
        <v>105</v>
      </c>
    </row>
    <row r="74" spans="1:10" ht="15.95" customHeight="1">
      <c r="A74" s="129" t="s">
        <v>187</v>
      </c>
      <c r="B74" s="130">
        <v>5</v>
      </c>
      <c r="C74" s="130">
        <v>5</v>
      </c>
      <c r="D74" s="130"/>
      <c r="E74" s="130"/>
      <c r="F74" s="130"/>
      <c r="G74" s="131"/>
      <c r="H74" s="128">
        <f t="shared" si="4"/>
        <v>28</v>
      </c>
      <c r="I74" s="128">
        <f t="shared" si="5"/>
        <v>87</v>
      </c>
      <c r="J74" s="128">
        <f t="shared" si="6"/>
        <v>115</v>
      </c>
    </row>
    <row r="75" spans="1:10" ht="15.95" customHeight="1">
      <c r="A75" s="129" t="s">
        <v>77</v>
      </c>
      <c r="B75" s="130"/>
      <c r="C75" s="130"/>
      <c r="D75" s="130"/>
      <c r="E75" s="130">
        <v>15</v>
      </c>
      <c r="F75" s="130"/>
      <c r="G75" s="131"/>
      <c r="H75" s="128">
        <f t="shared" si="4"/>
        <v>13</v>
      </c>
      <c r="I75" s="128">
        <f t="shared" si="5"/>
        <v>87</v>
      </c>
      <c r="J75" s="128">
        <f t="shared" si="6"/>
        <v>100</v>
      </c>
    </row>
    <row r="76" spans="1:10" ht="15.95" customHeight="1">
      <c r="A76" s="129" t="s">
        <v>78</v>
      </c>
      <c r="B76" s="130"/>
      <c r="C76" s="130"/>
      <c r="D76" s="130">
        <v>1</v>
      </c>
      <c r="E76" s="130"/>
      <c r="F76" s="130"/>
      <c r="G76" s="131"/>
      <c r="H76" s="128">
        <f t="shared" si="4"/>
        <v>12</v>
      </c>
      <c r="I76" s="128">
        <f t="shared" si="5"/>
        <v>87</v>
      </c>
      <c r="J76" s="128">
        <f t="shared" si="6"/>
        <v>99</v>
      </c>
    </row>
    <row r="77" spans="1:10" ht="15.95" customHeight="1">
      <c r="A77" s="129" t="s">
        <v>79</v>
      </c>
      <c r="B77" s="130">
        <v>1.25</v>
      </c>
      <c r="C77" s="130">
        <v>1.25</v>
      </c>
      <c r="D77" s="130"/>
      <c r="E77" s="130"/>
      <c r="F77" s="130"/>
      <c r="G77" s="131"/>
      <c r="H77" s="128">
        <f t="shared" si="4"/>
        <v>13.25</v>
      </c>
      <c r="I77" s="128">
        <f t="shared" si="5"/>
        <v>88.25</v>
      </c>
      <c r="J77" s="128">
        <f t="shared" si="6"/>
        <v>101.5</v>
      </c>
    </row>
    <row r="78" spans="1:10" ht="15.95" customHeight="1">
      <c r="A78" s="129" t="s">
        <v>12</v>
      </c>
      <c r="B78" s="130"/>
      <c r="C78" s="130"/>
      <c r="D78" s="130">
        <v>1</v>
      </c>
      <c r="E78" s="130"/>
      <c r="F78" s="130"/>
      <c r="G78" s="131"/>
      <c r="H78" s="128">
        <f t="shared" si="4"/>
        <v>12.25</v>
      </c>
      <c r="I78" s="128">
        <f t="shared" si="5"/>
        <v>88.25</v>
      </c>
      <c r="J78" s="128">
        <f t="shared" si="6"/>
        <v>100.5</v>
      </c>
    </row>
    <row r="79" spans="1:10" ht="15.95" customHeight="1">
      <c r="A79" s="138" t="s">
        <v>13</v>
      </c>
      <c r="B79" s="130">
        <v>2.5</v>
      </c>
      <c r="C79" s="130">
        <v>2.5</v>
      </c>
      <c r="D79" s="130"/>
      <c r="E79" s="130"/>
      <c r="F79" s="130"/>
      <c r="G79" s="131"/>
      <c r="H79" s="128">
        <f t="shared" si="4"/>
        <v>14.75</v>
      </c>
      <c r="I79" s="128">
        <f t="shared" si="5"/>
        <v>90.75</v>
      </c>
      <c r="J79" s="128">
        <f t="shared" si="6"/>
        <v>105.5</v>
      </c>
    </row>
    <row r="80" spans="1:10" ht="15.95" customHeight="1">
      <c r="A80" s="138" t="s">
        <v>14</v>
      </c>
      <c r="B80" s="130">
        <v>1.25</v>
      </c>
      <c r="C80" s="130">
        <v>1.25</v>
      </c>
      <c r="D80" s="130"/>
      <c r="E80" s="130"/>
      <c r="F80" s="130"/>
      <c r="G80" s="131"/>
      <c r="H80" s="128">
        <f t="shared" si="4"/>
        <v>16</v>
      </c>
      <c r="I80" s="128">
        <f t="shared" si="5"/>
        <v>92</v>
      </c>
      <c r="J80" s="128">
        <f t="shared" si="6"/>
        <v>108</v>
      </c>
    </row>
    <row r="81" spans="1:10" ht="15.95" customHeight="1">
      <c r="A81" s="129" t="s">
        <v>15</v>
      </c>
      <c r="B81" s="130"/>
      <c r="C81" s="130"/>
      <c r="D81" s="130">
        <v>1</v>
      </c>
      <c r="E81" s="130"/>
      <c r="F81" s="130"/>
      <c r="G81" s="131"/>
      <c r="H81" s="128">
        <f t="shared" si="4"/>
        <v>15</v>
      </c>
      <c r="I81" s="128">
        <f t="shared" si="5"/>
        <v>92</v>
      </c>
      <c r="J81" s="128">
        <f t="shared" si="6"/>
        <v>107</v>
      </c>
    </row>
    <row r="82" spans="1:10" ht="15.95" customHeight="1">
      <c r="A82" s="129" t="s">
        <v>16</v>
      </c>
      <c r="B82" s="139"/>
      <c r="C82" s="130"/>
      <c r="D82" s="130">
        <v>1</v>
      </c>
      <c r="E82" s="130"/>
      <c r="F82" s="130"/>
      <c r="G82" s="131"/>
      <c r="H82" s="128">
        <f t="shared" si="4"/>
        <v>14</v>
      </c>
      <c r="I82" s="128">
        <f t="shared" si="5"/>
        <v>92</v>
      </c>
      <c r="J82" s="128">
        <f t="shared" si="6"/>
        <v>106</v>
      </c>
    </row>
    <row r="83" spans="1:10" ht="15.95" customHeight="1">
      <c r="A83" s="138" t="s">
        <v>17</v>
      </c>
      <c r="B83" s="130">
        <v>1.25</v>
      </c>
      <c r="C83" s="130">
        <v>1.25</v>
      </c>
      <c r="D83" s="130"/>
      <c r="E83" s="130"/>
      <c r="F83" s="130"/>
      <c r="G83" s="131"/>
      <c r="H83" s="128">
        <f t="shared" si="4"/>
        <v>15.25</v>
      </c>
      <c r="I83" s="128">
        <f t="shared" si="5"/>
        <v>93.25</v>
      </c>
      <c r="J83" s="128">
        <f t="shared" si="6"/>
        <v>108.5</v>
      </c>
    </row>
    <row r="84" spans="1:10" ht="15.95" customHeight="1">
      <c r="A84" s="129" t="s">
        <v>18</v>
      </c>
      <c r="B84" s="130"/>
      <c r="C84" s="130"/>
      <c r="D84" s="130">
        <v>1</v>
      </c>
      <c r="E84" s="130"/>
      <c r="F84" s="130"/>
      <c r="G84" s="131"/>
      <c r="H84" s="128">
        <f t="shared" si="4"/>
        <v>14.25</v>
      </c>
      <c r="I84" s="128">
        <f t="shared" si="5"/>
        <v>93.25</v>
      </c>
      <c r="J84" s="128">
        <f t="shared" si="6"/>
        <v>107.5</v>
      </c>
    </row>
    <row r="85" spans="1:10" ht="15.95" customHeight="1">
      <c r="A85" s="129" t="s">
        <v>19</v>
      </c>
      <c r="B85" s="130"/>
      <c r="C85" s="130"/>
      <c r="D85" s="130">
        <v>3</v>
      </c>
      <c r="E85" s="130"/>
      <c r="F85" s="130"/>
      <c r="G85" s="131"/>
      <c r="H85" s="128">
        <f t="shared" si="4"/>
        <v>11.25</v>
      </c>
      <c r="I85" s="128">
        <f t="shared" si="5"/>
        <v>93.25</v>
      </c>
      <c r="J85" s="128">
        <f t="shared" si="6"/>
        <v>104.5</v>
      </c>
    </row>
    <row r="86" spans="1:10" ht="15.95" customHeight="1">
      <c r="A86" s="138" t="s">
        <v>20</v>
      </c>
      <c r="B86" s="130">
        <v>1.25</v>
      </c>
      <c r="C86" s="130">
        <v>1.25</v>
      </c>
      <c r="D86" s="130"/>
      <c r="E86" s="130"/>
      <c r="F86" s="130"/>
      <c r="G86" s="131"/>
      <c r="H86" s="128">
        <f t="shared" si="4"/>
        <v>12.5</v>
      </c>
      <c r="I86" s="128">
        <f t="shared" si="5"/>
        <v>94.5</v>
      </c>
      <c r="J86" s="128">
        <f t="shared" si="6"/>
        <v>107</v>
      </c>
    </row>
    <row r="87" spans="1:10" ht="15.95" customHeight="1">
      <c r="A87" s="138" t="s">
        <v>23</v>
      </c>
      <c r="B87" s="130">
        <v>1.25</v>
      </c>
      <c r="C87" s="130">
        <v>1.25</v>
      </c>
      <c r="D87" s="130"/>
      <c r="E87" s="130"/>
      <c r="F87" s="130"/>
      <c r="G87" s="131"/>
      <c r="H87" s="128">
        <f t="shared" ref="H87" si="7">H86-E87-D87+B87</f>
        <v>13.75</v>
      </c>
      <c r="I87" s="128">
        <f t="shared" ref="I87" si="8">I86-G87-F87+C87</f>
        <v>95.75</v>
      </c>
      <c r="J87" s="128">
        <f t="shared" ref="J87" si="9">SUM(H87:I87)</f>
        <v>109.5</v>
      </c>
    </row>
    <row r="88" spans="1:10" ht="15.95" customHeight="1">
      <c r="A88" s="129" t="s">
        <v>25</v>
      </c>
      <c r="B88" s="130"/>
      <c r="C88" s="130"/>
      <c r="D88" s="130">
        <v>1</v>
      </c>
      <c r="E88" s="130"/>
      <c r="F88" s="130"/>
      <c r="G88" s="131"/>
      <c r="H88" s="128">
        <f t="shared" ref="H88:H99" si="10">H87-E88-D88+B88</f>
        <v>12.75</v>
      </c>
      <c r="I88" s="128">
        <f t="shared" ref="I88:I99" si="11">I87-G88-F88+C88</f>
        <v>95.75</v>
      </c>
      <c r="J88" s="128">
        <f t="shared" ref="J88:J99" si="12">SUM(H88:I88)</f>
        <v>108.5</v>
      </c>
    </row>
    <row r="89" spans="1:10" ht="15.95" customHeight="1">
      <c r="A89" s="129" t="s">
        <v>26</v>
      </c>
      <c r="B89" s="130"/>
      <c r="C89" s="130"/>
      <c r="D89" s="130"/>
      <c r="E89" s="130"/>
      <c r="F89" s="130">
        <v>1</v>
      </c>
      <c r="G89" s="131"/>
      <c r="H89" s="128">
        <f t="shared" si="10"/>
        <v>12.75</v>
      </c>
      <c r="I89" s="128">
        <f t="shared" si="11"/>
        <v>94.75</v>
      </c>
      <c r="J89" s="128">
        <f t="shared" si="12"/>
        <v>107.5</v>
      </c>
    </row>
    <row r="90" spans="1:10" ht="15.95" customHeight="1">
      <c r="A90" s="138" t="s">
        <v>27</v>
      </c>
      <c r="B90" s="130">
        <v>1.25</v>
      </c>
      <c r="C90" s="130">
        <v>1.25</v>
      </c>
      <c r="D90" s="130"/>
      <c r="E90" s="130"/>
      <c r="F90" s="130"/>
      <c r="G90" s="131"/>
      <c r="H90" s="128">
        <f t="shared" si="10"/>
        <v>14</v>
      </c>
      <c r="I90" s="128">
        <f t="shared" si="11"/>
        <v>96</v>
      </c>
      <c r="J90" s="128">
        <f t="shared" si="12"/>
        <v>110</v>
      </c>
    </row>
    <row r="91" spans="1:10" ht="15.95" customHeight="1">
      <c r="A91" s="138" t="s">
        <v>28</v>
      </c>
      <c r="B91" s="130">
        <v>1.25</v>
      </c>
      <c r="C91" s="130">
        <v>1.25</v>
      </c>
      <c r="D91" s="130"/>
      <c r="E91" s="130"/>
      <c r="F91" s="130"/>
      <c r="G91" s="131"/>
      <c r="H91" s="128">
        <f t="shared" si="10"/>
        <v>15.25</v>
      </c>
      <c r="I91" s="128">
        <f t="shared" si="11"/>
        <v>97.25</v>
      </c>
      <c r="J91" s="128">
        <f t="shared" si="12"/>
        <v>112.5</v>
      </c>
    </row>
    <row r="92" spans="1:10" ht="15.95" customHeight="1">
      <c r="A92" s="129" t="s">
        <v>29</v>
      </c>
      <c r="B92" s="130"/>
      <c r="C92" s="130"/>
      <c r="D92" s="130">
        <v>1.5</v>
      </c>
      <c r="E92" s="130"/>
      <c r="F92" s="130"/>
      <c r="G92" s="131"/>
      <c r="H92" s="128">
        <f t="shared" si="10"/>
        <v>13.75</v>
      </c>
      <c r="I92" s="128">
        <f t="shared" si="11"/>
        <v>97.25</v>
      </c>
      <c r="J92" s="128">
        <f t="shared" si="12"/>
        <v>111</v>
      </c>
    </row>
    <row r="93" spans="1:10" ht="15.95" customHeight="1">
      <c r="A93" s="138" t="s">
        <v>30</v>
      </c>
      <c r="B93" s="130">
        <v>1.25</v>
      </c>
      <c r="C93" s="130">
        <v>1.25</v>
      </c>
      <c r="D93" s="140"/>
      <c r="E93" s="140"/>
      <c r="F93" s="140"/>
      <c r="G93" s="131"/>
      <c r="H93" s="128">
        <f t="shared" si="10"/>
        <v>15</v>
      </c>
      <c r="I93" s="128">
        <f t="shared" si="11"/>
        <v>98.5</v>
      </c>
      <c r="J93" s="128">
        <f t="shared" si="12"/>
        <v>113.5</v>
      </c>
    </row>
    <row r="94" spans="1:10" ht="15.95" customHeight="1">
      <c r="A94" s="129" t="s">
        <v>31</v>
      </c>
      <c r="B94" s="141"/>
      <c r="C94" s="141"/>
      <c r="D94" s="141"/>
      <c r="E94" s="141">
        <v>5</v>
      </c>
      <c r="F94" s="141"/>
      <c r="G94" s="131">
        <v>15</v>
      </c>
      <c r="H94" s="128">
        <f t="shared" si="10"/>
        <v>10</v>
      </c>
      <c r="I94" s="128">
        <f t="shared" si="11"/>
        <v>83.5</v>
      </c>
      <c r="J94" s="128">
        <f t="shared" si="12"/>
        <v>93.5</v>
      </c>
    </row>
    <row r="95" spans="1:10" ht="15.95" customHeight="1">
      <c r="A95" s="138" t="s">
        <v>32</v>
      </c>
      <c r="B95" s="130">
        <v>1.25</v>
      </c>
      <c r="C95" s="130">
        <v>1.25</v>
      </c>
      <c r="D95" s="141"/>
      <c r="E95" s="141"/>
      <c r="F95" s="141"/>
      <c r="G95" s="131"/>
      <c r="H95" s="128">
        <f t="shared" si="10"/>
        <v>11.25</v>
      </c>
      <c r="I95" s="128">
        <f t="shared" si="11"/>
        <v>84.75</v>
      </c>
      <c r="J95" s="128">
        <f t="shared" si="12"/>
        <v>96</v>
      </c>
    </row>
    <row r="96" spans="1:10" ht="15.95" customHeight="1">
      <c r="A96" s="129" t="s">
        <v>33</v>
      </c>
      <c r="B96" s="141"/>
      <c r="C96" s="141"/>
      <c r="D96" s="141"/>
      <c r="E96" s="141"/>
      <c r="F96" s="141">
        <v>1</v>
      </c>
      <c r="G96" s="131"/>
      <c r="H96" s="128">
        <f t="shared" si="10"/>
        <v>11.25</v>
      </c>
      <c r="I96" s="128">
        <f t="shared" si="11"/>
        <v>83.75</v>
      </c>
      <c r="J96" s="128">
        <f t="shared" si="12"/>
        <v>95</v>
      </c>
    </row>
    <row r="97" spans="1:10" ht="15.95" customHeight="1">
      <c r="A97" s="138" t="s">
        <v>34</v>
      </c>
      <c r="B97" s="130">
        <v>1.25</v>
      </c>
      <c r="C97" s="130">
        <v>1.25</v>
      </c>
      <c r="D97" s="141"/>
      <c r="E97" s="141"/>
      <c r="F97" s="141"/>
      <c r="G97" s="131"/>
      <c r="H97" s="128">
        <f t="shared" si="10"/>
        <v>12.5</v>
      </c>
      <c r="I97" s="128">
        <f t="shared" si="11"/>
        <v>85</v>
      </c>
      <c r="J97" s="128">
        <f t="shared" si="12"/>
        <v>97.5</v>
      </c>
    </row>
    <row r="98" spans="1:10" ht="15.95" customHeight="1">
      <c r="A98" s="129" t="s">
        <v>36</v>
      </c>
      <c r="B98" s="141"/>
      <c r="C98" s="141"/>
      <c r="D98" s="141">
        <v>1</v>
      </c>
      <c r="E98" s="141"/>
      <c r="F98" s="141"/>
      <c r="G98" s="131"/>
      <c r="H98" s="128">
        <f t="shared" si="10"/>
        <v>11.5</v>
      </c>
      <c r="I98" s="128">
        <f t="shared" si="11"/>
        <v>85</v>
      </c>
      <c r="J98" s="128">
        <f t="shared" si="12"/>
        <v>96.5</v>
      </c>
    </row>
    <row r="99" spans="1:10" ht="15.95" customHeight="1">
      <c r="A99" s="142" t="s">
        <v>80</v>
      </c>
      <c r="B99" s="125">
        <v>5</v>
      </c>
      <c r="C99" s="125">
        <v>5</v>
      </c>
      <c r="D99" s="128"/>
      <c r="E99" s="128"/>
      <c r="F99" s="128"/>
      <c r="G99" s="131"/>
      <c r="H99" s="128">
        <f t="shared" si="10"/>
        <v>16.5</v>
      </c>
      <c r="I99" s="128">
        <f t="shared" si="11"/>
        <v>90</v>
      </c>
      <c r="J99" s="128">
        <f t="shared" si="12"/>
        <v>106.5</v>
      </c>
    </row>
    <row r="100" spans="1:10" ht="15.95" customHeight="1">
      <c r="A100" s="142" t="s">
        <v>82</v>
      </c>
      <c r="B100" s="125">
        <v>1.25</v>
      </c>
      <c r="C100" s="125">
        <v>1.25</v>
      </c>
      <c r="D100" s="128"/>
      <c r="E100" s="128"/>
      <c r="F100" s="128"/>
      <c r="G100" s="131"/>
      <c r="H100" s="128">
        <f t="shared" ref="H100:H119" si="13">H99-E100-D100+B100</f>
        <v>17.75</v>
      </c>
      <c r="I100" s="128">
        <f t="shared" ref="I100:I119" si="14">I99-G100-F100+C100</f>
        <v>91.25</v>
      </c>
      <c r="J100" s="128">
        <f t="shared" ref="J100:J119" si="15">SUM(H100:I100)</f>
        <v>109</v>
      </c>
    </row>
    <row r="101" spans="1:10" ht="15.95" customHeight="1">
      <c r="A101" s="142" t="s">
        <v>83</v>
      </c>
      <c r="B101" s="125"/>
      <c r="C101" s="125"/>
      <c r="D101" s="128">
        <v>1</v>
      </c>
      <c r="E101" s="128"/>
      <c r="F101" s="128"/>
      <c r="G101" s="131"/>
      <c r="H101" s="128">
        <f t="shared" si="13"/>
        <v>16.75</v>
      </c>
      <c r="I101" s="128">
        <f t="shared" si="14"/>
        <v>91.25</v>
      </c>
      <c r="J101" s="128">
        <f t="shared" si="15"/>
        <v>108</v>
      </c>
    </row>
    <row r="102" spans="1:10" ht="15.95" customHeight="1">
      <c r="A102" s="142" t="s">
        <v>84</v>
      </c>
      <c r="B102" s="125">
        <v>1.25</v>
      </c>
      <c r="C102" s="125">
        <v>1.25</v>
      </c>
      <c r="D102" s="128"/>
      <c r="E102" s="128"/>
      <c r="F102" s="128"/>
      <c r="G102" s="131"/>
      <c r="H102" s="128">
        <f t="shared" si="13"/>
        <v>18</v>
      </c>
      <c r="I102" s="128">
        <f t="shared" si="14"/>
        <v>92.5</v>
      </c>
      <c r="J102" s="128">
        <f t="shared" si="15"/>
        <v>110.5</v>
      </c>
    </row>
    <row r="103" spans="1:10" ht="15.95" customHeight="1">
      <c r="A103" s="142" t="s">
        <v>85</v>
      </c>
      <c r="B103" s="125"/>
      <c r="C103" s="125"/>
      <c r="D103" s="128">
        <v>3</v>
      </c>
      <c r="E103" s="128"/>
      <c r="F103" s="128"/>
      <c r="G103" s="131"/>
      <c r="H103" s="128">
        <f t="shared" si="13"/>
        <v>15</v>
      </c>
      <c r="I103" s="128">
        <f t="shared" si="14"/>
        <v>92.5</v>
      </c>
      <c r="J103" s="128">
        <f t="shared" si="15"/>
        <v>107.5</v>
      </c>
    </row>
    <row r="104" spans="1:10" ht="15.95" customHeight="1">
      <c r="A104" s="142" t="s">
        <v>88</v>
      </c>
      <c r="B104" s="125">
        <v>2.5</v>
      </c>
      <c r="C104" s="125">
        <v>2.5</v>
      </c>
      <c r="D104" s="128"/>
      <c r="E104" s="128"/>
      <c r="F104" s="128"/>
      <c r="G104" s="131"/>
      <c r="H104" s="128">
        <f t="shared" si="13"/>
        <v>17.5</v>
      </c>
      <c r="I104" s="128">
        <f t="shared" si="14"/>
        <v>95</v>
      </c>
      <c r="J104" s="128">
        <f t="shared" si="15"/>
        <v>112.5</v>
      </c>
    </row>
    <row r="105" spans="1:10" ht="15.95" customHeight="1">
      <c r="A105" s="142" t="s">
        <v>89</v>
      </c>
      <c r="B105" s="125"/>
      <c r="C105" s="125"/>
      <c r="D105" s="128"/>
      <c r="E105" s="128"/>
      <c r="F105" s="128">
        <v>1</v>
      </c>
      <c r="G105" s="131"/>
      <c r="H105" s="128">
        <f t="shared" si="13"/>
        <v>17.5</v>
      </c>
      <c r="I105" s="128">
        <f t="shared" si="14"/>
        <v>94</v>
      </c>
      <c r="J105" s="128">
        <f t="shared" si="15"/>
        <v>111.5</v>
      </c>
    </row>
    <row r="106" spans="1:10" ht="15.95" customHeight="1">
      <c r="A106" s="142" t="s">
        <v>90</v>
      </c>
      <c r="B106" s="125">
        <v>1.25</v>
      </c>
      <c r="C106" s="125">
        <v>1.25</v>
      </c>
      <c r="D106" s="128"/>
      <c r="E106" s="128"/>
      <c r="F106" s="128"/>
      <c r="G106" s="131"/>
      <c r="H106" s="128">
        <f t="shared" si="13"/>
        <v>18.75</v>
      </c>
      <c r="I106" s="128">
        <f t="shared" si="14"/>
        <v>95.25</v>
      </c>
      <c r="J106" s="128">
        <f t="shared" si="15"/>
        <v>114</v>
      </c>
    </row>
    <row r="107" spans="1:10" ht="15.95" customHeight="1">
      <c r="A107" s="142" t="s">
        <v>91</v>
      </c>
      <c r="B107" s="125"/>
      <c r="C107" s="125"/>
      <c r="D107" s="128">
        <v>1</v>
      </c>
      <c r="E107" s="128"/>
      <c r="F107" s="128"/>
      <c r="G107" s="131"/>
      <c r="H107" s="128">
        <f t="shared" si="13"/>
        <v>17.75</v>
      </c>
      <c r="I107" s="128">
        <f t="shared" si="14"/>
        <v>95.25</v>
      </c>
      <c r="J107" s="128">
        <f t="shared" si="15"/>
        <v>113</v>
      </c>
    </row>
    <row r="108" spans="1:10" ht="15.95" customHeight="1">
      <c r="A108" s="142" t="s">
        <v>117</v>
      </c>
      <c r="B108" s="125"/>
      <c r="C108" s="125"/>
      <c r="D108" s="128">
        <v>1</v>
      </c>
      <c r="E108" s="128"/>
      <c r="F108" s="128"/>
      <c r="G108" s="131"/>
      <c r="H108" s="128">
        <f t="shared" si="13"/>
        <v>16.75</v>
      </c>
      <c r="I108" s="128">
        <f t="shared" si="14"/>
        <v>95.25</v>
      </c>
      <c r="J108" s="128">
        <f t="shared" si="15"/>
        <v>112</v>
      </c>
    </row>
    <row r="109" spans="1:10" ht="15.95" customHeight="1">
      <c r="A109" s="142" t="s">
        <v>118</v>
      </c>
      <c r="B109" s="125">
        <v>1.25</v>
      </c>
      <c r="C109" s="125">
        <v>1.25</v>
      </c>
      <c r="D109" s="128"/>
      <c r="E109" s="128"/>
      <c r="F109" s="128"/>
      <c r="G109" s="131"/>
      <c r="H109" s="128">
        <f t="shared" si="13"/>
        <v>18</v>
      </c>
      <c r="I109" s="128">
        <f t="shared" si="14"/>
        <v>96.5</v>
      </c>
      <c r="J109" s="128">
        <f t="shared" si="15"/>
        <v>114.5</v>
      </c>
    </row>
    <row r="110" spans="1:10" ht="15.95" customHeight="1">
      <c r="A110" s="142" t="s">
        <v>119</v>
      </c>
      <c r="B110" s="125"/>
      <c r="C110" s="125"/>
      <c r="D110" s="128">
        <v>2</v>
      </c>
      <c r="E110" s="128"/>
      <c r="F110" s="128"/>
      <c r="G110" s="131"/>
      <c r="H110" s="128">
        <f t="shared" si="13"/>
        <v>16</v>
      </c>
      <c r="I110" s="128">
        <f t="shared" si="14"/>
        <v>96.5</v>
      </c>
      <c r="J110" s="128">
        <f t="shared" si="15"/>
        <v>112.5</v>
      </c>
    </row>
    <row r="111" spans="1:10" ht="15.95" customHeight="1">
      <c r="A111" s="142" t="s">
        <v>120</v>
      </c>
      <c r="B111" s="125"/>
      <c r="C111" s="125"/>
      <c r="D111" s="128"/>
      <c r="E111" s="128"/>
      <c r="F111" s="128">
        <v>1</v>
      </c>
      <c r="G111" s="131"/>
      <c r="H111" s="128">
        <f t="shared" si="13"/>
        <v>16</v>
      </c>
      <c r="I111" s="128">
        <f t="shared" si="14"/>
        <v>95.5</v>
      </c>
      <c r="J111" s="128">
        <f t="shared" si="15"/>
        <v>111.5</v>
      </c>
    </row>
    <row r="112" spans="1:10" ht="15.95" customHeight="1">
      <c r="A112" s="142" t="s">
        <v>121</v>
      </c>
      <c r="B112" s="125">
        <v>1.25</v>
      </c>
      <c r="C112" s="125">
        <v>1.25</v>
      </c>
      <c r="D112" s="128"/>
      <c r="E112" s="128"/>
      <c r="F112" s="128"/>
      <c r="G112" s="131"/>
      <c r="H112" s="128">
        <f t="shared" si="13"/>
        <v>17.25</v>
      </c>
      <c r="I112" s="128">
        <f t="shared" si="14"/>
        <v>96.75</v>
      </c>
      <c r="J112" s="128">
        <f t="shared" si="15"/>
        <v>114</v>
      </c>
    </row>
    <row r="113" spans="1:10" ht="15.95" customHeight="1">
      <c r="A113" s="142" t="s">
        <v>199</v>
      </c>
      <c r="B113" s="125"/>
      <c r="C113" s="125"/>
      <c r="D113" s="128"/>
      <c r="E113" s="128">
        <v>10</v>
      </c>
      <c r="F113" s="128"/>
      <c r="G113" s="131"/>
      <c r="H113" s="128">
        <f t="shared" si="13"/>
        <v>7.25</v>
      </c>
      <c r="I113" s="128">
        <f t="shared" si="14"/>
        <v>96.75</v>
      </c>
      <c r="J113" s="128">
        <f t="shared" si="15"/>
        <v>104</v>
      </c>
    </row>
    <row r="114" spans="1:10" ht="15.95" customHeight="1">
      <c r="A114" s="142" t="s">
        <v>123</v>
      </c>
      <c r="B114" s="125">
        <v>1.25</v>
      </c>
      <c r="C114" s="125">
        <v>1.25</v>
      </c>
      <c r="D114" s="128"/>
      <c r="E114" s="128"/>
      <c r="F114" s="128"/>
      <c r="G114" s="131"/>
      <c r="H114" s="128">
        <f t="shared" si="13"/>
        <v>8.5</v>
      </c>
      <c r="I114" s="128">
        <f t="shared" si="14"/>
        <v>98</v>
      </c>
      <c r="J114" s="128">
        <f t="shared" si="15"/>
        <v>106.5</v>
      </c>
    </row>
    <row r="115" spans="1:10" ht="15.95" customHeight="1">
      <c r="A115" s="142" t="s">
        <v>124</v>
      </c>
      <c r="B115" s="125">
        <v>1.25</v>
      </c>
      <c r="C115" s="125">
        <v>1.25</v>
      </c>
      <c r="D115" s="128"/>
      <c r="E115" s="128"/>
      <c r="F115" s="128"/>
      <c r="G115" s="131"/>
      <c r="H115" s="128">
        <f t="shared" si="13"/>
        <v>9.75</v>
      </c>
      <c r="I115" s="128">
        <f t="shared" si="14"/>
        <v>99.25</v>
      </c>
      <c r="J115" s="128">
        <f t="shared" si="15"/>
        <v>109</v>
      </c>
    </row>
    <row r="116" spans="1:10" ht="15.95" customHeight="1">
      <c r="A116" s="142" t="s">
        <v>125</v>
      </c>
      <c r="B116" s="125">
        <v>1.25</v>
      </c>
      <c r="C116" s="125">
        <v>1.25</v>
      </c>
      <c r="D116" s="128"/>
      <c r="E116" s="128"/>
      <c r="F116" s="128"/>
      <c r="G116" s="131"/>
      <c r="H116" s="128">
        <f t="shared" si="13"/>
        <v>11</v>
      </c>
      <c r="I116" s="128">
        <f t="shared" si="14"/>
        <v>100.5</v>
      </c>
      <c r="J116" s="128">
        <f t="shared" si="15"/>
        <v>111.5</v>
      </c>
    </row>
    <row r="117" spans="1:10" ht="15.95" customHeight="1">
      <c r="A117" s="142" t="s">
        <v>126</v>
      </c>
      <c r="B117" s="125"/>
      <c r="C117" s="125"/>
      <c r="D117" s="128">
        <v>1</v>
      </c>
      <c r="E117" s="128"/>
      <c r="F117" s="128"/>
      <c r="G117" s="131"/>
      <c r="H117" s="128">
        <f t="shared" si="13"/>
        <v>10</v>
      </c>
      <c r="I117" s="128">
        <f t="shared" si="14"/>
        <v>100.5</v>
      </c>
      <c r="J117" s="128">
        <f t="shared" si="15"/>
        <v>110.5</v>
      </c>
    </row>
    <row r="118" spans="1:10" ht="15.95" customHeight="1">
      <c r="A118" s="142" t="s">
        <v>127</v>
      </c>
      <c r="B118" s="125">
        <v>1.25</v>
      </c>
      <c r="C118" s="125">
        <v>1.25</v>
      </c>
      <c r="D118" s="128"/>
      <c r="E118" s="128"/>
      <c r="F118" s="128"/>
      <c r="G118" s="131"/>
      <c r="H118" s="128">
        <f t="shared" si="13"/>
        <v>11.25</v>
      </c>
      <c r="I118" s="128">
        <f t="shared" si="14"/>
        <v>101.75</v>
      </c>
      <c r="J118" s="128">
        <f t="shared" si="15"/>
        <v>113</v>
      </c>
    </row>
    <row r="119" spans="1:10" ht="15.95" customHeight="1">
      <c r="A119" s="142" t="s">
        <v>128</v>
      </c>
      <c r="B119" s="125"/>
      <c r="C119" s="125"/>
      <c r="D119" s="128"/>
      <c r="E119" s="128"/>
      <c r="F119" s="128">
        <v>1</v>
      </c>
      <c r="G119" s="131"/>
      <c r="H119" s="128">
        <f t="shared" si="13"/>
        <v>11.25</v>
      </c>
      <c r="I119" s="128">
        <f t="shared" si="14"/>
        <v>100.75</v>
      </c>
      <c r="J119" s="128">
        <f t="shared" si="15"/>
        <v>112</v>
      </c>
    </row>
    <row r="120" spans="1:10" ht="15.95" customHeight="1">
      <c r="A120" s="142" t="s">
        <v>129</v>
      </c>
      <c r="B120" s="125">
        <v>1.25</v>
      </c>
      <c r="C120" s="125">
        <v>1.25</v>
      </c>
      <c r="D120" s="128"/>
      <c r="E120" s="128"/>
      <c r="F120" s="128"/>
      <c r="G120" s="131"/>
      <c r="H120" s="128">
        <f t="shared" ref="H120:H122" si="16">H119-E120-D120+B120</f>
        <v>12.5</v>
      </c>
      <c r="I120" s="128">
        <f t="shared" ref="I120:I122" si="17">I119-G120-F120+C120</f>
        <v>102</v>
      </c>
      <c r="J120" s="128">
        <f t="shared" ref="J120:J122" si="18">SUM(H120:I120)</f>
        <v>114.5</v>
      </c>
    </row>
    <row r="121" spans="1:10" ht="15.95" customHeight="1">
      <c r="A121" s="142" t="s">
        <v>130</v>
      </c>
      <c r="B121" s="125"/>
      <c r="C121" s="125"/>
      <c r="D121" s="128">
        <v>3</v>
      </c>
      <c r="E121" s="128"/>
      <c r="F121" s="128"/>
      <c r="G121" s="131"/>
      <c r="H121" s="128">
        <f t="shared" si="16"/>
        <v>9.5</v>
      </c>
      <c r="I121" s="128">
        <f t="shared" si="17"/>
        <v>102</v>
      </c>
      <c r="J121" s="128">
        <f t="shared" si="18"/>
        <v>111.5</v>
      </c>
    </row>
    <row r="122" spans="1:10" ht="15.95" customHeight="1">
      <c r="A122" s="142" t="s">
        <v>178</v>
      </c>
      <c r="B122" s="125">
        <v>3.75</v>
      </c>
      <c r="C122" s="125">
        <v>3.75</v>
      </c>
      <c r="D122" s="128"/>
      <c r="E122" s="128"/>
      <c r="F122" s="128"/>
      <c r="G122" s="131"/>
      <c r="H122" s="128">
        <f t="shared" si="16"/>
        <v>13.25</v>
      </c>
      <c r="I122" s="128">
        <f t="shared" si="17"/>
        <v>105.75</v>
      </c>
      <c r="J122" s="128">
        <f t="shared" si="18"/>
        <v>119</v>
      </c>
    </row>
    <row r="123" spans="1:10" ht="15.95" customHeight="1">
      <c r="A123" s="142" t="s">
        <v>133</v>
      </c>
      <c r="B123" s="125">
        <v>1.25</v>
      </c>
      <c r="C123" s="125">
        <v>1.25</v>
      </c>
      <c r="D123" s="128"/>
      <c r="E123" s="128"/>
      <c r="F123" s="128"/>
      <c r="G123" s="131"/>
      <c r="H123" s="128">
        <f t="shared" ref="H123:H139" si="19">H122-E123-D123+B123</f>
        <v>14.5</v>
      </c>
      <c r="I123" s="128">
        <f t="shared" ref="I123:I139" si="20">I122-G123-F123+C123</f>
        <v>107</v>
      </c>
      <c r="J123" s="128">
        <f t="shared" ref="J123:J139" si="21">SUM(H123:I123)</f>
        <v>121.5</v>
      </c>
    </row>
    <row r="124" spans="1:10" ht="15.95" customHeight="1">
      <c r="A124" s="142" t="s">
        <v>136</v>
      </c>
      <c r="B124" s="125">
        <v>2.5</v>
      </c>
      <c r="C124" s="125">
        <v>2.5</v>
      </c>
      <c r="D124" s="128"/>
      <c r="E124" s="128"/>
      <c r="F124" s="128"/>
      <c r="G124" s="131"/>
      <c r="H124" s="128">
        <f t="shared" si="19"/>
        <v>17</v>
      </c>
      <c r="I124" s="128">
        <f t="shared" si="20"/>
        <v>109.5</v>
      </c>
      <c r="J124" s="128">
        <f t="shared" si="21"/>
        <v>126.5</v>
      </c>
    </row>
    <row r="125" spans="1:10" ht="15.95" customHeight="1">
      <c r="A125" s="142" t="s">
        <v>137</v>
      </c>
      <c r="B125" s="125"/>
      <c r="C125" s="125"/>
      <c r="D125" s="128"/>
      <c r="E125" s="128"/>
      <c r="F125" s="128">
        <v>1</v>
      </c>
      <c r="G125" s="131"/>
      <c r="H125" s="128">
        <f t="shared" si="19"/>
        <v>17</v>
      </c>
      <c r="I125" s="128">
        <f t="shared" si="20"/>
        <v>108.5</v>
      </c>
      <c r="J125" s="128">
        <f t="shared" si="21"/>
        <v>125.5</v>
      </c>
    </row>
    <row r="126" spans="1:10" ht="15.95" customHeight="1">
      <c r="A126" s="142" t="s">
        <v>138</v>
      </c>
      <c r="B126" s="125"/>
      <c r="C126" s="125"/>
      <c r="D126" s="128">
        <v>1</v>
      </c>
      <c r="E126" s="128"/>
      <c r="F126" s="128"/>
      <c r="G126" s="131"/>
      <c r="H126" s="128">
        <f t="shared" si="19"/>
        <v>16</v>
      </c>
      <c r="I126" s="128">
        <f t="shared" si="20"/>
        <v>108.5</v>
      </c>
      <c r="J126" s="128">
        <f t="shared" si="21"/>
        <v>124.5</v>
      </c>
    </row>
    <row r="127" spans="1:10" ht="15.95" customHeight="1">
      <c r="A127" s="142" t="s">
        <v>141</v>
      </c>
      <c r="B127" s="125"/>
      <c r="C127" s="125"/>
      <c r="D127" s="128">
        <v>1</v>
      </c>
      <c r="E127" s="128"/>
      <c r="F127" s="128"/>
      <c r="G127" s="131"/>
      <c r="H127" s="128">
        <f t="shared" si="19"/>
        <v>15</v>
      </c>
      <c r="I127" s="128">
        <f t="shared" si="20"/>
        <v>108.5</v>
      </c>
      <c r="J127" s="128">
        <f t="shared" si="21"/>
        <v>123.5</v>
      </c>
    </row>
    <row r="128" spans="1:10" ht="15.95" customHeight="1">
      <c r="A128" s="142" t="s">
        <v>142</v>
      </c>
      <c r="B128" s="125"/>
      <c r="C128" s="125"/>
      <c r="D128" s="128">
        <v>1</v>
      </c>
      <c r="E128" s="128"/>
      <c r="F128" s="128"/>
      <c r="G128" s="131"/>
      <c r="H128" s="128">
        <f t="shared" si="19"/>
        <v>14</v>
      </c>
      <c r="I128" s="128">
        <f t="shared" si="20"/>
        <v>108.5</v>
      </c>
      <c r="J128" s="128">
        <f t="shared" si="21"/>
        <v>122.5</v>
      </c>
    </row>
    <row r="129" spans="1:10" ht="15.95" customHeight="1">
      <c r="A129" s="142" t="s">
        <v>143</v>
      </c>
      <c r="B129" s="125"/>
      <c r="C129" s="125"/>
      <c r="D129" s="128">
        <v>1</v>
      </c>
      <c r="E129" s="128"/>
      <c r="F129" s="128"/>
      <c r="G129" s="131"/>
      <c r="H129" s="128">
        <f t="shared" si="19"/>
        <v>13</v>
      </c>
      <c r="I129" s="128">
        <f t="shared" si="20"/>
        <v>108.5</v>
      </c>
      <c r="J129" s="128">
        <f t="shared" si="21"/>
        <v>121.5</v>
      </c>
    </row>
    <row r="130" spans="1:10" ht="15.95" customHeight="1">
      <c r="A130" s="142" t="s">
        <v>144</v>
      </c>
      <c r="B130" s="125">
        <v>2.5</v>
      </c>
      <c r="C130" s="125">
        <v>2.5</v>
      </c>
      <c r="D130" s="128"/>
      <c r="E130" s="128"/>
      <c r="F130" s="128"/>
      <c r="G130" s="131"/>
      <c r="H130" s="128">
        <f t="shared" si="19"/>
        <v>15.5</v>
      </c>
      <c r="I130" s="128">
        <f t="shared" si="20"/>
        <v>111</v>
      </c>
      <c r="J130" s="128">
        <f t="shared" si="21"/>
        <v>126.5</v>
      </c>
    </row>
    <row r="131" spans="1:10" ht="15.95" customHeight="1">
      <c r="A131" s="142" t="s">
        <v>146</v>
      </c>
      <c r="B131" s="125">
        <v>1.25</v>
      </c>
      <c r="C131" s="125">
        <v>1.25</v>
      </c>
      <c r="D131" s="128"/>
      <c r="E131" s="128"/>
      <c r="F131" s="128"/>
      <c r="G131" s="131"/>
      <c r="H131" s="128">
        <f t="shared" si="19"/>
        <v>16.75</v>
      </c>
      <c r="I131" s="128">
        <f t="shared" si="20"/>
        <v>112.25</v>
      </c>
      <c r="J131" s="128">
        <f t="shared" si="21"/>
        <v>129</v>
      </c>
    </row>
    <row r="132" spans="1:10" ht="15.95" customHeight="1">
      <c r="A132" s="142" t="s">
        <v>148</v>
      </c>
      <c r="B132" s="125">
        <v>1.25</v>
      </c>
      <c r="C132" s="125">
        <v>1.25</v>
      </c>
      <c r="D132" s="128"/>
      <c r="E132" s="128"/>
      <c r="F132" s="128"/>
      <c r="G132" s="131"/>
      <c r="H132" s="128">
        <f t="shared" si="19"/>
        <v>18</v>
      </c>
      <c r="I132" s="128">
        <f t="shared" si="20"/>
        <v>113.5</v>
      </c>
      <c r="J132" s="128">
        <f t="shared" si="21"/>
        <v>131.5</v>
      </c>
    </row>
    <row r="133" spans="1:10" ht="15.95" customHeight="1">
      <c r="A133" s="142" t="s">
        <v>149</v>
      </c>
      <c r="B133" s="125"/>
      <c r="C133" s="125"/>
      <c r="D133" s="128">
        <v>0.5</v>
      </c>
      <c r="E133" s="128"/>
      <c r="F133" s="128"/>
      <c r="G133" s="131"/>
      <c r="H133" s="128">
        <f t="shared" si="19"/>
        <v>17.5</v>
      </c>
      <c r="I133" s="128">
        <f t="shared" si="20"/>
        <v>113.5</v>
      </c>
      <c r="J133" s="128">
        <f t="shared" si="21"/>
        <v>131</v>
      </c>
    </row>
    <row r="134" spans="1:10" ht="15.95" customHeight="1">
      <c r="A134" s="142" t="s">
        <v>150</v>
      </c>
      <c r="B134" s="125">
        <v>1.25</v>
      </c>
      <c r="C134" s="125">
        <v>1.25</v>
      </c>
      <c r="D134" s="128"/>
      <c r="E134" s="128"/>
      <c r="F134" s="128"/>
      <c r="G134" s="131"/>
      <c r="H134" s="128">
        <f t="shared" si="19"/>
        <v>18.75</v>
      </c>
      <c r="I134" s="128">
        <f t="shared" si="20"/>
        <v>114.75</v>
      </c>
      <c r="J134" s="128">
        <f t="shared" si="21"/>
        <v>133.5</v>
      </c>
    </row>
    <row r="135" spans="1:10" ht="15.95" customHeight="1">
      <c r="A135" s="142" t="s">
        <v>171</v>
      </c>
      <c r="B135" s="125"/>
      <c r="C135" s="125"/>
      <c r="D135" s="128">
        <v>2</v>
      </c>
      <c r="E135" s="128"/>
      <c r="F135" s="128"/>
      <c r="G135" s="131"/>
      <c r="H135" s="128">
        <f t="shared" si="19"/>
        <v>16.75</v>
      </c>
      <c r="I135" s="128">
        <f t="shared" si="20"/>
        <v>114.75</v>
      </c>
      <c r="J135" s="128">
        <f t="shared" si="21"/>
        <v>131.5</v>
      </c>
    </row>
    <row r="136" spans="1:10" ht="15.95" customHeight="1">
      <c r="A136" s="142" t="s">
        <v>173</v>
      </c>
      <c r="B136" s="125">
        <v>2.5</v>
      </c>
      <c r="C136" s="125">
        <v>2.5</v>
      </c>
      <c r="D136" s="128"/>
      <c r="E136" s="128"/>
      <c r="F136" s="128"/>
      <c r="G136" s="131"/>
      <c r="H136" s="128">
        <f t="shared" si="19"/>
        <v>19.25</v>
      </c>
      <c r="I136" s="128">
        <f t="shared" si="20"/>
        <v>117.25</v>
      </c>
      <c r="J136" s="128">
        <f t="shared" si="21"/>
        <v>136.5</v>
      </c>
    </row>
    <row r="137" spans="1:10" ht="15.95" customHeight="1">
      <c r="A137" s="142" t="s">
        <v>174</v>
      </c>
      <c r="B137" s="125"/>
      <c r="C137" s="125"/>
      <c r="D137" s="128">
        <v>3</v>
      </c>
      <c r="E137" s="128"/>
      <c r="F137" s="128"/>
      <c r="G137" s="131"/>
      <c r="H137" s="128">
        <f t="shared" si="19"/>
        <v>16.25</v>
      </c>
      <c r="I137" s="128">
        <f t="shared" si="20"/>
        <v>117.25</v>
      </c>
      <c r="J137" s="128">
        <f t="shared" si="21"/>
        <v>133.5</v>
      </c>
    </row>
    <row r="138" spans="1:10" ht="15.95" customHeight="1">
      <c r="A138" s="142" t="s">
        <v>175</v>
      </c>
      <c r="B138" s="125">
        <v>1.25</v>
      </c>
      <c r="C138" s="125">
        <v>1.25</v>
      </c>
      <c r="D138" s="128"/>
      <c r="E138" s="128"/>
      <c r="F138" s="128"/>
      <c r="G138" s="131"/>
      <c r="H138" s="128">
        <f t="shared" si="19"/>
        <v>17.5</v>
      </c>
      <c r="I138" s="128">
        <f t="shared" si="20"/>
        <v>118.5</v>
      </c>
      <c r="J138" s="128">
        <f t="shared" si="21"/>
        <v>136</v>
      </c>
    </row>
    <row r="139" spans="1:10" ht="15.95" customHeight="1" thickBot="1">
      <c r="A139" s="148" t="s">
        <v>176</v>
      </c>
      <c r="B139" s="133">
        <v>0.41699999999999998</v>
      </c>
      <c r="C139" s="133">
        <v>0.41699999999999998</v>
      </c>
      <c r="D139" s="134"/>
      <c r="E139" s="134"/>
      <c r="F139" s="134"/>
      <c r="G139" s="135"/>
      <c r="H139" s="134">
        <f t="shared" si="19"/>
        <v>17.917000000000002</v>
      </c>
      <c r="I139" s="134">
        <f t="shared" si="20"/>
        <v>118.917</v>
      </c>
      <c r="J139" s="134">
        <f t="shared" si="21"/>
        <v>136.834</v>
      </c>
    </row>
    <row r="140" spans="1:10" ht="18" customHeight="1" thickBot="1">
      <c r="A140" s="149" t="s">
        <v>209</v>
      </c>
      <c r="B140" s="150">
        <f>SUM(B11:C139)</f>
        <v>655.83400000000006</v>
      </c>
      <c r="C140" s="151"/>
      <c r="D140" s="152">
        <f>SUM(D11:G139)</f>
        <v>519</v>
      </c>
      <c r="E140" s="153"/>
      <c r="F140" s="153"/>
      <c r="G140" s="153"/>
      <c r="H140" s="154">
        <v>17.917000000000002</v>
      </c>
      <c r="I140" s="154">
        <v>118.917</v>
      </c>
      <c r="J140" s="155">
        <f>B140-D140</f>
        <v>136.83400000000006</v>
      </c>
    </row>
    <row r="141" spans="1:10" ht="14.25" customHeight="1"/>
    <row r="142" spans="1:10">
      <c r="A142" s="96" t="s">
        <v>200</v>
      </c>
      <c r="G142" s="101" t="s">
        <v>201</v>
      </c>
      <c r="H142" s="101"/>
      <c r="I142" s="101"/>
      <c r="J142" s="101"/>
    </row>
    <row r="143" spans="1:10" ht="24.6" customHeight="1"/>
    <row r="144" spans="1:10" ht="15.75">
      <c r="H144" s="120" t="s">
        <v>86</v>
      </c>
      <c r="I144" s="120"/>
      <c r="J144" s="120"/>
    </row>
    <row r="145" spans="1:10">
      <c r="A145" s="102" t="s">
        <v>204</v>
      </c>
      <c r="H145" s="121" t="s">
        <v>202</v>
      </c>
      <c r="I145" s="121"/>
      <c r="J145" s="121"/>
    </row>
    <row r="146" spans="1:10" ht="6.95" customHeight="1">
      <c r="H146" s="103"/>
      <c r="I146" s="103"/>
      <c r="J146" s="103"/>
    </row>
    <row r="147" spans="1:10" ht="24" customHeight="1">
      <c r="A147" s="104" t="s">
        <v>205</v>
      </c>
    </row>
    <row r="148" spans="1:10" ht="15.75">
      <c r="H148" s="120" t="s">
        <v>203</v>
      </c>
      <c r="I148" s="120"/>
      <c r="J148" s="120"/>
    </row>
    <row r="149" spans="1:10">
      <c r="H149" s="121" t="s">
        <v>207</v>
      </c>
      <c r="I149" s="121"/>
      <c r="J149" s="121"/>
    </row>
    <row r="150" spans="1:10" ht="13.5" customHeight="1">
      <c r="H150" s="121" t="s">
        <v>206</v>
      </c>
      <c r="I150" s="121"/>
      <c r="J150" s="121"/>
    </row>
    <row r="151" spans="1:10" ht="22.5" customHeight="1"/>
    <row r="152" spans="1:10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t="14.45" hidden="1" customHeight="1"/>
    <row r="178" ht="14.25" customHeight="1"/>
  </sheetData>
  <mergeCells count="22">
    <mergeCell ref="H150:J150"/>
    <mergeCell ref="A8:A10"/>
    <mergeCell ref="H144:J144"/>
    <mergeCell ref="H145:J145"/>
    <mergeCell ref="H148:J148"/>
    <mergeCell ref="H149:J149"/>
    <mergeCell ref="F9:G9"/>
    <mergeCell ref="H9:H10"/>
    <mergeCell ref="I9:I10"/>
    <mergeCell ref="B140:C140"/>
    <mergeCell ref="D140:G140"/>
    <mergeCell ref="G142:J142"/>
    <mergeCell ref="A1:J1"/>
    <mergeCell ref="A2:J2"/>
    <mergeCell ref="A3:J3"/>
    <mergeCell ref="B8:C8"/>
    <mergeCell ref="D8:G8"/>
    <mergeCell ref="H8:I8"/>
    <mergeCell ref="J8:J10"/>
    <mergeCell ref="B9:B10"/>
    <mergeCell ref="C9:C10"/>
    <mergeCell ref="D9:E9"/>
  </mergeCells>
  <printOptions horizontalCentered="1"/>
  <pageMargins left="0.35433070866141736" right="0.35433070866141736" top="0.51181102362204722" bottom="0.59055118110236227" header="0.31496062992125984" footer="0.31496062992125984"/>
  <pageSetup paperSize="14" scale="73" fitToHeight="0" orientation="portrait" horizontalDpi="0" verticalDpi="0" r:id="rId1"/>
  <rowBreaks count="1" manualBreakCount="1">
    <brk id="15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AEEB-B633-4864-B1EB-F2C8DF2135F2}">
  <sheetPr>
    <pageSetUpPr fitToPage="1"/>
  </sheetPr>
  <dimension ref="A1:L28"/>
  <sheetViews>
    <sheetView view="pageBreakPreview" zoomScale="112" zoomScaleNormal="100" zoomScaleSheetLayoutView="112" workbookViewId="0">
      <selection activeCell="L21" sqref="L21"/>
    </sheetView>
  </sheetViews>
  <sheetFormatPr defaultColWidth="8.7109375" defaultRowHeight="15"/>
  <cols>
    <col min="1" max="1" width="33.5703125" style="23" customWidth="1"/>
    <col min="2" max="6" width="8.7109375" style="23"/>
    <col min="7" max="7" width="6.28515625" style="23" customWidth="1"/>
    <col min="8" max="8" width="8.7109375" style="23"/>
    <col min="9" max="9" width="6.7109375" style="23" customWidth="1"/>
    <col min="10" max="10" width="8.7109375" style="23"/>
    <col min="11" max="11" width="6.42578125" style="23" customWidth="1"/>
    <col min="12" max="16384" width="8.7109375" style="23"/>
  </cols>
  <sheetData>
    <row r="1" spans="1:12" s="18" customFormat="1" ht="52.5" customHeight="1"/>
    <row r="2" spans="1:12" s="18" customFormat="1" ht="10.5" customHeight="1">
      <c r="A2" s="84" t="s">
        <v>38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s="18" customFormat="1" ht="15.95" customHeight="1">
      <c r="A3" s="84" t="s">
        <v>39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2" s="18" customFormat="1" ht="15.95" customHeight="1">
      <c r="A4" s="84" t="s">
        <v>40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 s="18" customFormat="1" ht="15.95" customHeight="1">
      <c r="A5" s="84" t="s">
        <v>41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</row>
    <row r="6" spans="1:12" s="18" customFormat="1" ht="8.25" customHeight="1"/>
    <row r="7" spans="1:12" s="18" customFormat="1" ht="12" customHeight="1">
      <c r="A7" s="18" t="s">
        <v>42</v>
      </c>
      <c r="C7" s="19" t="s">
        <v>43</v>
      </c>
      <c r="D7" s="19"/>
      <c r="G7" s="19" t="s">
        <v>0</v>
      </c>
      <c r="H7" s="20"/>
    </row>
    <row r="8" spans="1:12" s="18" customFormat="1" ht="12" customHeight="1">
      <c r="C8" s="21"/>
      <c r="G8" s="21"/>
      <c r="H8" s="21"/>
    </row>
    <row r="9" spans="1:12" s="18" customFormat="1" ht="12" customHeight="1">
      <c r="A9" s="18" t="s">
        <v>44</v>
      </c>
      <c r="C9" s="19" t="s">
        <v>45</v>
      </c>
      <c r="D9" s="19"/>
      <c r="G9" s="19" t="s">
        <v>1</v>
      </c>
      <c r="H9" s="22"/>
    </row>
    <row r="10" spans="1:12" ht="16.5" customHeight="1" thickBot="1">
      <c r="A10" s="85" t="s">
        <v>152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  <row r="11" spans="1:12" s="24" customFormat="1" ht="18.75" customHeight="1">
      <c r="A11" s="86" t="s">
        <v>3</v>
      </c>
      <c r="B11" s="88" t="s">
        <v>4</v>
      </c>
      <c r="C11" s="89"/>
      <c r="D11" s="89"/>
      <c r="E11" s="89"/>
      <c r="F11" s="89"/>
      <c r="G11" s="89"/>
      <c r="H11" s="89"/>
      <c r="I11" s="89"/>
      <c r="J11" s="89"/>
      <c r="K11" s="89"/>
      <c r="L11" s="90" t="s">
        <v>7</v>
      </c>
    </row>
    <row r="12" spans="1:12" s="24" customFormat="1" ht="24" customHeight="1">
      <c r="A12" s="87"/>
      <c r="B12" s="92" t="s">
        <v>153</v>
      </c>
      <c r="C12" s="93"/>
      <c r="D12" s="93"/>
      <c r="E12" s="94"/>
      <c r="F12" s="92" t="s">
        <v>154</v>
      </c>
      <c r="G12" s="94"/>
      <c r="H12" s="92" t="s">
        <v>155</v>
      </c>
      <c r="I12" s="94"/>
      <c r="J12" s="92" t="s">
        <v>156</v>
      </c>
      <c r="K12" s="94"/>
      <c r="L12" s="91"/>
    </row>
    <row r="13" spans="1:12" s="24" customFormat="1" ht="24.95" hidden="1" customHeight="1">
      <c r="A13" s="25" t="s">
        <v>157</v>
      </c>
      <c r="B13" s="80" t="s">
        <v>158</v>
      </c>
      <c r="C13" s="81"/>
      <c r="D13" s="81"/>
      <c r="E13" s="82"/>
      <c r="F13" s="80">
        <v>2</v>
      </c>
      <c r="G13" s="82"/>
      <c r="H13" s="80">
        <v>0</v>
      </c>
      <c r="I13" s="82"/>
      <c r="J13" s="80">
        <v>2</v>
      </c>
      <c r="K13" s="82"/>
      <c r="L13" s="26">
        <v>2</v>
      </c>
    </row>
    <row r="14" spans="1:12" s="27" customFormat="1" ht="25.5" hidden="1" customHeight="1">
      <c r="A14" s="25" t="s">
        <v>159</v>
      </c>
      <c r="B14" s="80" t="s">
        <v>158</v>
      </c>
      <c r="C14" s="81"/>
      <c r="D14" s="81"/>
      <c r="E14" s="82"/>
      <c r="F14" s="80"/>
      <c r="G14" s="82"/>
      <c r="H14" s="80">
        <v>1</v>
      </c>
      <c r="I14" s="82"/>
      <c r="J14" s="80">
        <v>1</v>
      </c>
      <c r="K14" s="82"/>
      <c r="L14" s="26">
        <v>1</v>
      </c>
    </row>
    <row r="15" spans="1:12" s="27" customFormat="1" ht="25.5" hidden="1" customHeight="1">
      <c r="A15" s="25" t="s">
        <v>160</v>
      </c>
      <c r="B15" s="80" t="s">
        <v>158</v>
      </c>
      <c r="C15" s="81"/>
      <c r="D15" s="81"/>
      <c r="E15" s="82"/>
      <c r="F15" s="80"/>
      <c r="G15" s="82"/>
      <c r="H15" s="80">
        <v>1</v>
      </c>
      <c r="I15" s="82"/>
      <c r="J15" s="80">
        <v>0</v>
      </c>
      <c r="K15" s="82"/>
      <c r="L15" s="28">
        <v>0</v>
      </c>
    </row>
    <row r="16" spans="1:12" s="27" customFormat="1" ht="35.25" hidden="1" customHeight="1">
      <c r="A16" s="29" t="s">
        <v>161</v>
      </c>
      <c r="B16" s="80" t="s">
        <v>162</v>
      </c>
      <c r="C16" s="81"/>
      <c r="D16" s="81"/>
      <c r="E16" s="82"/>
      <c r="F16" s="80">
        <v>1</v>
      </c>
      <c r="G16" s="82"/>
      <c r="H16" s="80">
        <v>0</v>
      </c>
      <c r="I16" s="82"/>
      <c r="J16" s="80">
        <v>1</v>
      </c>
      <c r="K16" s="82"/>
      <c r="L16" s="30">
        <v>1</v>
      </c>
    </row>
    <row r="17" spans="1:12" s="27" customFormat="1" ht="25.5" hidden="1" customHeight="1">
      <c r="A17" s="29" t="s">
        <v>163</v>
      </c>
      <c r="B17" s="80" t="s">
        <v>164</v>
      </c>
      <c r="C17" s="81"/>
      <c r="D17" s="81"/>
      <c r="E17" s="82"/>
      <c r="F17" s="80">
        <v>1</v>
      </c>
      <c r="G17" s="82"/>
      <c r="H17" s="80">
        <v>0</v>
      </c>
      <c r="I17" s="82"/>
      <c r="J17" s="80">
        <v>1</v>
      </c>
      <c r="K17" s="82"/>
      <c r="L17" s="30">
        <v>1</v>
      </c>
    </row>
    <row r="18" spans="1:12" s="27" customFormat="1" ht="29.25" hidden="1" customHeight="1">
      <c r="A18" s="29" t="s">
        <v>165</v>
      </c>
      <c r="B18" s="80" t="s">
        <v>166</v>
      </c>
      <c r="C18" s="81"/>
      <c r="D18" s="81"/>
      <c r="E18" s="82"/>
      <c r="F18" s="80">
        <v>2</v>
      </c>
      <c r="G18" s="82"/>
      <c r="H18" s="80">
        <v>2</v>
      </c>
      <c r="I18" s="82"/>
      <c r="J18" s="80">
        <v>0</v>
      </c>
      <c r="K18" s="82"/>
      <c r="L18" s="31">
        <v>0</v>
      </c>
    </row>
    <row r="19" spans="1:12" s="27" customFormat="1" ht="30.75" customHeight="1">
      <c r="A19" s="29" t="s">
        <v>169</v>
      </c>
      <c r="B19" s="80" t="s">
        <v>170</v>
      </c>
      <c r="C19" s="81"/>
      <c r="D19" s="81"/>
      <c r="E19" s="82"/>
      <c r="F19" s="80">
        <v>1.5</v>
      </c>
      <c r="G19" s="82"/>
      <c r="H19" s="80">
        <v>0</v>
      </c>
      <c r="I19" s="82"/>
      <c r="J19" s="80">
        <v>1.5</v>
      </c>
      <c r="K19" s="82"/>
      <c r="L19" s="32">
        <v>1.5</v>
      </c>
    </row>
    <row r="20" spans="1:12" s="27" customFormat="1" ht="28.5" customHeight="1">
      <c r="A20" s="30" t="s">
        <v>151</v>
      </c>
      <c r="B20" s="80" t="s">
        <v>170</v>
      </c>
      <c r="C20" s="81"/>
      <c r="D20" s="81"/>
      <c r="E20" s="82"/>
      <c r="F20" s="80"/>
      <c r="G20" s="82"/>
      <c r="H20" s="80">
        <v>1</v>
      </c>
      <c r="I20" s="82"/>
      <c r="J20" s="80">
        <v>0.5</v>
      </c>
      <c r="K20" s="82"/>
      <c r="L20" s="32">
        <v>0.5</v>
      </c>
    </row>
    <row r="21" spans="1:12" s="27" customFormat="1" ht="28.5" customHeight="1">
      <c r="A21" s="39" t="s">
        <v>172</v>
      </c>
      <c r="B21" s="80" t="s">
        <v>170</v>
      </c>
      <c r="C21" s="81"/>
      <c r="D21" s="81"/>
      <c r="E21" s="82"/>
      <c r="F21" s="80"/>
      <c r="G21" s="82"/>
      <c r="H21" s="80">
        <v>0.5</v>
      </c>
      <c r="I21" s="82"/>
      <c r="J21" s="80">
        <v>0</v>
      </c>
      <c r="K21" s="82"/>
      <c r="L21" s="31">
        <v>0</v>
      </c>
    </row>
    <row r="22" spans="1:12" s="27" customFormat="1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18" customForma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</row>
    <row r="24" spans="1:12" s="18" customFormat="1">
      <c r="C24" s="36"/>
      <c r="G24" s="18" t="s">
        <v>167</v>
      </c>
    </row>
    <row r="25" spans="1:12">
      <c r="A25" s="18"/>
      <c r="B25" s="18"/>
      <c r="C25" s="36"/>
      <c r="D25" s="18"/>
      <c r="E25" s="18"/>
      <c r="F25" s="18"/>
      <c r="G25" s="18"/>
      <c r="H25" s="18"/>
      <c r="I25" s="18"/>
      <c r="J25" s="18"/>
      <c r="K25" s="18"/>
      <c r="L25" s="18"/>
    </row>
    <row r="26" spans="1:12">
      <c r="I26" s="37" t="s">
        <v>86</v>
      </c>
      <c r="J26" s="37"/>
      <c r="K26" s="38"/>
    </row>
    <row r="27" spans="1:12">
      <c r="I27" s="23" t="s">
        <v>87</v>
      </c>
    </row>
    <row r="28" spans="1:12">
      <c r="I28" s="79" t="s">
        <v>168</v>
      </c>
      <c r="J28" s="79"/>
    </row>
  </sheetData>
  <mergeCells count="50">
    <mergeCell ref="A11:A12"/>
    <mergeCell ref="B11:K11"/>
    <mergeCell ref="L11:L12"/>
    <mergeCell ref="B12:E12"/>
    <mergeCell ref="F12:G12"/>
    <mergeCell ref="H12:I12"/>
    <mergeCell ref="J12:K12"/>
    <mergeCell ref="A2:L2"/>
    <mergeCell ref="A3:L3"/>
    <mergeCell ref="A4:L4"/>
    <mergeCell ref="A5:L5"/>
    <mergeCell ref="A10:L10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3:L23"/>
    <mergeCell ref="I28:J28"/>
    <mergeCell ref="B20:E20"/>
    <mergeCell ref="F20:G20"/>
    <mergeCell ref="H20:I20"/>
    <mergeCell ref="J20:K20"/>
    <mergeCell ref="B21:E21"/>
    <mergeCell ref="F21:G21"/>
    <mergeCell ref="H21:I21"/>
    <mergeCell ref="J21:K21"/>
  </mergeCells>
  <pageMargins left="0.7" right="0.7" top="0.75" bottom="0.75" header="0.3" footer="0.3"/>
  <pageSetup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statement</vt:lpstr>
      <vt:lpstr>CTO</vt:lpstr>
      <vt:lpstr>'Leave Card (NE)'!Print_Area</vt:lpstr>
      <vt:lpstr>statement!Print_Area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2025-09-15T05:19:36Z</cp:lastPrinted>
  <dcterms:created xsi:type="dcterms:W3CDTF">2021-10-07T06:10:00Z</dcterms:created>
  <dcterms:modified xsi:type="dcterms:W3CDTF">2025-09-15T05:42:24Z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0CF64F7FDF704D038175EFBF457582A0</vt:lpwstr>
  </property>
  <property fmtid="{D5CDD505-2E9C-101B-9397-08002B2CF9AE}" pid="3" name="KSOProductBuildVer">
    <vt:lpwstr>1033-11.2.0.11341</vt:lpwstr>
  </property>
</Properties>
</file>