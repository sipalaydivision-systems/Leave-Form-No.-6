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466CAAD-F9E0-42DD-95DB-FE9ADDA6234D}" xr6:coauthVersionLast="47" xr6:coauthVersionMax="47" xr10:uidLastSave="{00000000-0000-0000-0000-000000000000}"/>
  <bookViews>
    <workbookView xWindow="0" yWindow="0" windowWidth="28800" windowHeight="15480" xr2:uid="{C532281A-DA89-4ACA-8363-B39317021647}"/>
  </bookViews>
  <sheets>
    <sheet name="Leave Card (NE)" sheetId="6" r:id="rId1"/>
    <sheet name="ELECTION" sheetId="10" r:id="rId2"/>
    <sheet name="CTO 2024 LATEST" sheetId="12" r:id="rId3"/>
    <sheet name="CTO" sheetId="11" r:id="rId4"/>
    <sheet name="Leave Card (NE) (2)" sheetId="13" r:id="rId5"/>
  </sheets>
  <definedNames>
    <definedName name="_xlnm.Print_Area" localSheetId="1">ELECTION!$A$2:$I$35</definedName>
    <definedName name="_xlnm.Print_Area" localSheetId="0">'Leave Card (NE)'!$A$1:$J$111</definedName>
    <definedName name="_xlnm.Print_Area" localSheetId="4">'Leave Card (NE) (2)'!$A$1:$G$23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6" l="1"/>
  <c r="J103" i="6" s="1"/>
  <c r="I103" i="6"/>
  <c r="G12" i="13" l="1"/>
  <c r="G13" i="13" s="1"/>
  <c r="G14" i="13" s="1"/>
  <c r="G15" i="13" s="1"/>
  <c r="G17" i="13" s="1"/>
  <c r="I14" i="6" l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H14" i="6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J13" i="6"/>
  <c r="H59" i="6" l="1"/>
  <c r="J57" i="6"/>
  <c r="I58" i="6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J56" i="6"/>
  <c r="J54" i="6"/>
  <c r="J55" i="6"/>
  <c r="J15" i="6"/>
  <c r="J59" i="6" l="1"/>
  <c r="H60" i="6"/>
  <c r="J58" i="6"/>
  <c r="J16" i="6"/>
  <c r="H61" i="6" l="1"/>
  <c r="J60" i="6"/>
  <c r="J17" i="6"/>
  <c r="J61" i="6" l="1"/>
  <c r="H62" i="6"/>
  <c r="J18" i="6"/>
  <c r="H63" i="6" l="1"/>
  <c r="J62" i="6"/>
  <c r="J19" i="6"/>
  <c r="H64" i="6" l="1"/>
  <c r="J63" i="6"/>
  <c r="J21" i="6"/>
  <c r="J20" i="6"/>
  <c r="J64" i="6" l="1"/>
  <c r="H65" i="6"/>
  <c r="J22" i="6"/>
  <c r="J14" i="6"/>
  <c r="J65" i="6" l="1"/>
  <c r="H66" i="6"/>
  <c r="J23" i="6"/>
  <c r="J66" i="6" l="1"/>
  <c r="H67" i="6"/>
  <c r="J25" i="6"/>
  <c r="J26" i="6"/>
  <c r="J24" i="6"/>
  <c r="H68" i="6" l="1"/>
  <c r="J67" i="6"/>
  <c r="J27" i="6"/>
  <c r="H69" i="6" l="1"/>
  <c r="J68" i="6"/>
  <c r="J28" i="6"/>
  <c r="H70" i="6" l="1"/>
  <c r="J69" i="6"/>
  <c r="J29" i="6"/>
  <c r="H71" i="6" l="1"/>
  <c r="J70" i="6"/>
  <c r="J30" i="6"/>
  <c r="H72" i="6" l="1"/>
  <c r="J71" i="6"/>
  <c r="J31" i="6"/>
  <c r="J72" i="6" l="1"/>
  <c r="H73" i="6"/>
  <c r="J32" i="6"/>
  <c r="J73" i="6" l="1"/>
  <c r="H74" i="6"/>
  <c r="J33" i="6"/>
  <c r="J74" i="6" l="1"/>
  <c r="H75" i="6"/>
  <c r="H76" i="6" s="1"/>
  <c r="J34" i="6"/>
  <c r="H77" i="6" l="1"/>
  <c r="J76" i="6"/>
  <c r="J75" i="6"/>
  <c r="J35" i="6"/>
  <c r="J77" i="6" l="1"/>
  <c r="H78" i="6"/>
  <c r="J36" i="6"/>
  <c r="J78" i="6" l="1"/>
  <c r="H79" i="6"/>
  <c r="J37" i="6"/>
  <c r="J79" i="6" l="1"/>
  <c r="H80" i="6"/>
  <c r="J38" i="6"/>
  <c r="J80" i="6" l="1"/>
  <c r="H81" i="6"/>
  <c r="J41" i="6"/>
  <c r="J40" i="6"/>
  <c r="J39" i="6"/>
  <c r="H82" i="6" l="1"/>
  <c r="J81" i="6"/>
  <c r="J42" i="6"/>
  <c r="J82" i="6" l="1"/>
  <c r="H83" i="6"/>
  <c r="J43" i="6"/>
  <c r="J83" i="6" l="1"/>
  <c r="H84" i="6"/>
  <c r="J44" i="6"/>
  <c r="J84" i="6" l="1"/>
  <c r="H85" i="6"/>
  <c r="J45" i="6"/>
  <c r="H86" i="6" l="1"/>
  <c r="J85" i="6"/>
  <c r="J46" i="6"/>
  <c r="J86" i="6" l="1"/>
  <c r="H87" i="6"/>
  <c r="J47" i="6"/>
  <c r="J87" i="6" l="1"/>
  <c r="H88" i="6"/>
  <c r="J48" i="6"/>
  <c r="H89" i="6" l="1"/>
  <c r="J88" i="6"/>
  <c r="J49" i="6"/>
  <c r="J89" i="6" l="1"/>
  <c r="H90" i="6"/>
  <c r="J50" i="6"/>
  <c r="H91" i="6" l="1"/>
  <c r="J90" i="6"/>
  <c r="J51" i="6"/>
  <c r="J91" i="6" l="1"/>
  <c r="H92" i="6"/>
  <c r="J52" i="6"/>
  <c r="J53" i="6"/>
  <c r="J92" i="6" l="1"/>
  <c r="H93" i="6"/>
  <c r="J93" i="6" l="1"/>
  <c r="H94" i="6"/>
  <c r="H95" i="6" l="1"/>
  <c r="J94" i="6"/>
  <c r="J95" i="6" l="1"/>
  <c r="H96" i="6"/>
  <c r="H97" i="6" l="1"/>
  <c r="J96" i="6"/>
  <c r="J97" i="6" l="1"/>
  <c r="H98" i="6"/>
  <c r="H99" i="6" l="1"/>
  <c r="J98" i="6"/>
  <c r="J99" i="6" l="1"/>
  <c r="H100" i="6"/>
  <c r="H101" i="6" l="1"/>
  <c r="J100" i="6"/>
  <c r="H102" i="6" l="1"/>
  <c r="J102" i="6" s="1"/>
  <c r="J101" i="6"/>
</calcChain>
</file>

<file path=xl/sharedStrings.xml><?xml version="1.0" encoding="utf-8"?>
<sst xmlns="http://schemas.openxmlformats.org/spreadsheetml/2006/main" count="261" uniqueCount="183">
  <si>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</si>
  <si>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</si>
  <si>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</si>
  <si>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</si>
  <si>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</si>
  <si>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</si>
  <si>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</si>
  <si>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</si>
  <si>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</si>
  <si>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</si>
  <si>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</si>
  <si>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01/01/22 - 01/31/22</t>
  </si>
  <si>
    <t>LESS: 01/31/22</t>
  </si>
  <si>
    <t>ADD: 02/01/22 - 02/28/22</t>
  </si>
  <si>
    <t>LESS: 03/03 &amp; 04/22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</si>
  <si>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</si>
  <si>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</si>
  <si>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</si>
  <si>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</si>
  <si>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</si>
  <si>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</si>
  <si>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</si>
  <si>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</si>
  <si>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ADD: 03/01/22 - 03/31/22</t>
  </si>
  <si>
    <t>ADD: 04/01/22 - 04/30/22</t>
  </si>
  <si>
    <t>LESS: 05/05 &amp; 06/22</t>
  </si>
  <si>
    <t>ADD: 05/01/22 - 05/31/22</t>
  </si>
  <si>
    <t>LESS: 07/20 &amp; 21/22</t>
  </si>
  <si>
    <t>LESS: 07/22/22</t>
  </si>
  <si>
    <t>ADD: 06/01/22 - 07/31/22</t>
  </si>
  <si>
    <t>LESS: 07/19/22</t>
  </si>
  <si>
    <t>LESS: 07/25, 26, 27, 28 &amp; 29/22</t>
  </si>
  <si>
    <t>LESS: 08/26/22</t>
  </si>
  <si>
    <t>ADD: 08/01/22 - 08/31/22</t>
  </si>
  <si>
    <t>LESS: 09/01 &amp; 02/22</t>
  </si>
  <si>
    <t>LESS: MONETIZATION 2022</t>
  </si>
  <si>
    <t>ADD: 09/01/22 - 09/30/22</t>
  </si>
  <si>
    <t>LESS: 10/03/22</t>
  </si>
  <si>
    <t>ADD: 10/01/22 - 10/31/22</t>
  </si>
  <si>
    <t>LESS: 11/02, 03 &amp; 04/22</t>
  </si>
  <si>
    <t>LESS: 12/01, 02 &amp; 28, 29/22</t>
  </si>
  <si>
    <t>LESS: 02/02 &amp; 03/23</t>
  </si>
  <si>
    <t>ADD: 11/01/22 - 12/31/22</t>
  </si>
  <si>
    <t>ADD: 01/01/23 - 01/31/23</t>
  </si>
  <si>
    <t>LESS: 02/10 &amp; 17/23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</si>
  <si>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</si>
  <si>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</si>
  <si>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</si>
  <si>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</si>
  <si>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</si>
  <si>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</si>
  <si>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No. of Days Granted</t>
  </si>
  <si>
    <t>No. of Days Used</t>
  </si>
  <si>
    <t>Balance</t>
  </si>
  <si>
    <t xml:space="preserve"> MAY 9, 2022 NATIONAL AND LOCAL ELECTION</t>
  </si>
  <si>
    <t>NAME          :GALICIA, REYNALDO</t>
  </si>
  <si>
    <t>POSITION   : EPS</t>
  </si>
  <si>
    <t>SCHOOL/OFFICE : CID</t>
  </si>
  <si>
    <t>LESS: APRIL 03, 04 &amp; 05, 2023</t>
  </si>
  <si>
    <t>ADD: 02/01/23 - 04/30/23</t>
  </si>
  <si>
    <t>LESS: 05/3,4,5,8,9,10,11 &amp;12/23</t>
  </si>
  <si>
    <t>ADD: 05/01/23 - 06/30/23</t>
  </si>
  <si>
    <t>LESS: 06/26 &amp; 27/23</t>
  </si>
  <si>
    <t>SPECIAL</t>
  </si>
  <si>
    <t>Name: _____________________________</t>
  </si>
  <si>
    <t>DISTRICT: ___________________________</t>
  </si>
  <si>
    <t>POSITION: __________________________</t>
  </si>
  <si>
    <t>SCHOOL/OFFICE:_____________________</t>
  </si>
  <si>
    <t>ADD: 07/01/2020 - 12/31/2020</t>
  </si>
  <si>
    <t>LESS: MONETIZATION 2020</t>
  </si>
  <si>
    <t>LESS: 12/21 -23 &amp; 28 -29/2020</t>
  </si>
  <si>
    <t>ADD: 01/01/2021 - 12/31/2021</t>
  </si>
  <si>
    <t>LESS: 05/20/2021</t>
  </si>
  <si>
    <t>LESS: 09/28-30 &amp; 10/04 - 08/2021</t>
  </si>
  <si>
    <t>LESS: MONETIZATION 2021</t>
  </si>
  <si>
    <t>LESS: 12/24,27, 28, 29 &amp; 31/2021</t>
  </si>
  <si>
    <t>LESS: 07/26, 27 &amp; 28/23</t>
  </si>
  <si>
    <t>ADD: 07/01/23 - 08/31/23</t>
  </si>
  <si>
    <t>LESS: 08/11 &amp; 22/2023</t>
  </si>
  <si>
    <t>COMPENSATORY TIME OFF (CTO)</t>
  </si>
  <si>
    <t>Special Order No. and Date Issued</t>
  </si>
  <si>
    <t>NOTE:  Valid for one (1) year only</t>
  </si>
  <si>
    <t>ADD: JULY 15, 2021</t>
  </si>
  <si>
    <t>LESS: March 25, 28, 29 &amp; April 1, 2022</t>
  </si>
  <si>
    <t>LESS: March 30(.5), April (.5), May 2 &amp; May 4, 2022</t>
  </si>
  <si>
    <t>LESS: June 2,3,10,27,28,2022</t>
  </si>
  <si>
    <t>LESS: July 04, 05 &amp; 06, 2022</t>
  </si>
  <si>
    <t>S.O. #026, s. 2021 dated July 15, 2020- Preparation of Learning Resources for Quarter 2</t>
  </si>
  <si>
    <t>ADD:APRIL 18, 2023</t>
  </si>
  <si>
    <t>SO. # 052, S. 2023 PALARONG PANLALAWIGAN 2023</t>
  </si>
  <si>
    <t>ADD:APRIL 12, 2023</t>
  </si>
  <si>
    <t xml:space="preserve">SO. # 047, S. 2023 PERFORMANCE PLANNING &amp; COMMITMENT 2023 </t>
  </si>
  <si>
    <t>LESS: JULY 24, 25 &amp; 31, 2023</t>
  </si>
  <si>
    <t>LESS: AUGUST 11 &amp; 22, 2023</t>
  </si>
  <si>
    <t>LESS: 08/29, 30 &amp; 31/2023</t>
  </si>
  <si>
    <t>LESS: SEPTEMBER 01, 2023</t>
  </si>
  <si>
    <t>LESS: MONETIZATION 2023</t>
  </si>
  <si>
    <t>ADD: 09/01/2023-10/31/2023</t>
  </si>
  <si>
    <t>LESS: 11/03/2023</t>
  </si>
  <si>
    <t>LESS: 11/22&amp;29/2023, 12/1,26,29/2023</t>
  </si>
  <si>
    <t>ADD: 11/01/2023-11/30/2023</t>
  </si>
  <si>
    <t>LESS: 10/27/2023</t>
  </si>
  <si>
    <t>LESS: 12/21-22/2023</t>
  </si>
  <si>
    <t>ADD: 12/01/2023-12/31/2023</t>
  </si>
  <si>
    <t>LESS: 01/02/2024</t>
  </si>
  <si>
    <t>ADD: (DISAPPROVED FL-11/22,29/2023)</t>
  </si>
  <si>
    <t>ADD: 01/01/2024-01/31/2024</t>
  </si>
  <si>
    <t xml:space="preserve">  DISTRICT: ___________________________</t>
  </si>
  <si>
    <t xml:space="preserve">  SCHOOL/OFFICE:_____________________</t>
  </si>
  <si>
    <t>LESS: 01/8,9,15/2024</t>
  </si>
  <si>
    <t>LESS: 02/02/2024</t>
  </si>
  <si>
    <t>ADD: 02/01-29/2024</t>
  </si>
  <si>
    <t>LESS: 02/23/2024</t>
  </si>
  <si>
    <t>LESS: 03/26-27/2024</t>
  </si>
  <si>
    <t>ADD: 03/1/2024-04/30/2024</t>
  </si>
  <si>
    <t>LESS: 05/23-24/2024</t>
  </si>
  <si>
    <t>SO# 015, S. 2024 PALARONG PANLALAWIGAN 2024</t>
  </si>
  <si>
    <t>ADD: 05/1-31/2024</t>
  </si>
  <si>
    <t>LESS: 06/18/2024</t>
  </si>
  <si>
    <t>LESS: 06/ 28/2024</t>
  </si>
  <si>
    <t>LESS: 06/3-4/2024</t>
  </si>
  <si>
    <t>ADD: JUNE-JULY 31, 2024</t>
  </si>
  <si>
    <t>LESS: MONETIZATION 2024</t>
  </si>
  <si>
    <t>LESS: 08/2 &amp; 5/2024</t>
  </si>
  <si>
    <t>LESS: 09/30/2024</t>
  </si>
  <si>
    <t>LESS: 09/13/2024</t>
  </si>
  <si>
    <t>LESS: 11/4 &amp; 6/2024</t>
  </si>
  <si>
    <t>ADD: 08/1/2024-09/30/2024</t>
  </si>
  <si>
    <t>LESS: 10/18 &amp; 22/2024</t>
  </si>
  <si>
    <t>ADD: 10/1-31/2024</t>
  </si>
  <si>
    <t>LESS: 11/18/2024</t>
  </si>
  <si>
    <t>LESS: 12/2-3/2024</t>
  </si>
  <si>
    <t>LESS: 12/26/2024</t>
  </si>
  <si>
    <t>LESS: 12/27/2024</t>
  </si>
  <si>
    <t>Name       :</t>
  </si>
  <si>
    <t>GALICIA, REYNALDO</t>
  </si>
  <si>
    <t>POSITION:</t>
  </si>
  <si>
    <t xml:space="preserve">EPS 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</si>
  <si>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</si>
  <si>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</si>
  <si>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</si>
  <si>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</si>
  <si>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</si>
  <si>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</si>
  <si>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March 25, 28, 29 &amp; April 1, 2022</t>
  </si>
  <si>
    <t>S.O. #026, s. 2021 dated July 15, 2021</t>
  </si>
  <si>
    <t>Regional memorandum No. 013, s. 2021 dated January 22, 2021 - Preparation of Learning Resources  for Quarter 2.</t>
  </si>
  <si>
    <t>March 30(.5), April (.5), May 2 &amp; May 4, 2022</t>
  </si>
  <si>
    <t>June 2,3,10,27,28,2022</t>
  </si>
  <si>
    <t>July 04, 05 &amp; 06, 2022</t>
  </si>
  <si>
    <t>Note: S.O Validity July 15, 2021 to July 15, 2022 (1 year from the date it was granted).</t>
  </si>
  <si>
    <t>Total Remaining Balance</t>
  </si>
  <si>
    <t>CERTIFIED CORRECT:</t>
  </si>
  <si>
    <t>ADD: 11/1/2024-12/31/2024</t>
  </si>
  <si>
    <t>LESS: 02/3-4/2025</t>
  </si>
  <si>
    <t>ADD: 01/1-31/2025</t>
  </si>
  <si>
    <t>LESS: 02/5/2025</t>
  </si>
  <si>
    <t>LESS: 02/24-25/2025</t>
  </si>
  <si>
    <t>ADD: 02/1-28/2025</t>
  </si>
  <si>
    <t>LESS: 03/12-13/2025</t>
  </si>
  <si>
    <t>LESS: 03/14/2025</t>
  </si>
  <si>
    <t>ADD: 03/1-31/2025</t>
  </si>
  <si>
    <t>LESS: MONETIZATION 2025</t>
  </si>
  <si>
    <t>ADD: 04/1-30/2025</t>
  </si>
  <si>
    <t>LESS: 05/19-20/2025</t>
  </si>
  <si>
    <t xml:space="preserve">ADD: MAY 20, 2024 </t>
  </si>
  <si>
    <t>ADD: 05/13/2025</t>
  </si>
  <si>
    <t>S.O. # 019, S. 2025 PROVINCIAL MEET 2025</t>
  </si>
  <si>
    <t>LESS: 07/24, 25, &amp; 28/2025</t>
  </si>
  <si>
    <t>Balance forwarded from SDO-Bacolod City</t>
  </si>
  <si>
    <t xml:space="preserve"> MAY 12, 2025 NATIONAL AND LOCAL ELECTION</t>
  </si>
  <si>
    <t>NATIONAL &amp; LOCAL ELECTION/ BARANGAY AND SK ELECTION</t>
  </si>
  <si>
    <t>ADD: S.0. # 051, S. 2022, JULY 1, 2022</t>
  </si>
  <si>
    <t>LESS: 08/13-15/2025</t>
  </si>
  <si>
    <t>ADD: S.0. # 038, S. 2025 JUNE 5, 2025</t>
  </si>
  <si>
    <t>ADD: S.0. # 039, S. 2025 JUNE 5, 2025</t>
  </si>
  <si>
    <t>LESS: 09/10-16/2025</t>
  </si>
  <si>
    <t>ADD: 05/1/2025-09/30/2025</t>
  </si>
  <si>
    <t>LESS: 10/23, 24 &amp; 27/2025</t>
  </si>
  <si>
    <t>ADD: 10/1-31/2025</t>
  </si>
  <si>
    <t>LESS: 11/21 &amp; 24/2025</t>
  </si>
  <si>
    <t>date filed: 12/29/2025</t>
  </si>
  <si>
    <t>LESS: 12/9, 23 &amp;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</si>
</sst>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1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11" fillId="0" borderId="0" xfId="0" applyFont="1"/>
    <xf numFmtId="0" fontId="13" fillId="0" borderId="0" xfId="0" applyFont="1"/>
    <xf numFmtId="0" fontId="0" fillId="0" borderId="0" xfId="0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3" xfId="0" applyFill="1" applyBorder="1"/>
    <xf numFmtId="0" fontId="0" fillId="2" borderId="0" xfId="0" applyFill="1" applyAlignment="1">
      <alignment horizontal="right"/>
    </xf>
    <xf numFmtId="0" fontId="1" fillId="2" borderId="3" xfId="0" applyFont="1" applyFill="1" applyBorder="1"/>
    <xf numFmtId="0" fontId="1" fillId="2" borderId="2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17" fillId="2" borderId="3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1" xfId="1" applyFont="1" applyFill="1" applyBorder="1" applyAlignment="1">
      <alignment horizontal="center" vertical="center" wrapText="1"/>
    </xf>
    <xf numFmtId="0" fontId="18" fillId="0" borderId="1" xfId="1" applyBorder="1" applyAlignment="1">
      <alignment horizontal="center" vertical="center" wrapText="1"/>
    </xf>
    <xf numFmtId="0" fontId="6" fillId="0" borderId="0" xfId="1" applyFont="1"/>
    <xf numFmtId="0" fontId="18" fillId="12" borderId="1" xfId="1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8" borderId="10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9" xfId="0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0" fontId="19" fillId="9" borderId="16" xfId="0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6" xfId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6" xfId="0" applyNumberFormat="1" applyFont="1" applyFill="1" applyBorder="1" applyAlignment="1">
      <alignment horizontal="center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3" fillId="2" borderId="25" xfId="0" applyNumberFormat="1" applyFont="1" applyFill="1" applyBorder="1" applyAlignment="1">
      <alignment horizontal="center" vertical="center"/>
    </xf>
    <xf numFmtId="1" fontId="3" fillId="2" borderId="26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 2" xfId="1" xr:uid="{4EB7217F-B527-41E8-A597-25B5A180D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304801</xdr:colOff>
      <xdr:row>0</xdr:row>
      <xdr:rowOff>104776</xdr:rowOff>
    </xdr:from>
    <xdr:to>
      <xdr:col>4</xdr:col>
      <xdr:colOff>133350</xdr:colOff>
      <xdr:row>0</xdr:row>
      <xdr:rowOff>657226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1" y="104776"/>
          <a:ext cx="600074" cy="5524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592992</xdr:colOff>
      <xdr:row>5</xdr:row>
      <xdr:rowOff>18561</xdr:rowOff>
    </xdr:from>
    <xdr:to>
      <xdr:col>0</xdr:col>
      <xdr:colOff>2601791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9427695-0C80-4BE9-9869-8CB7EC8DD58F}"/>
            </a:ext>
          </a:extLst>
        </xdr:cNvPr>
        <xdr:cNvSpPr txBox="1"/>
      </xdr:nvSpPr>
      <xdr:spPr>
        <a:xfrm>
          <a:off x="592992" y="1418736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GALICIA,</a:t>
          </a:r>
          <a:r>
            <a:rPr lang="en-US" sz="1100" baseline="0"/>
            <a:t> REYNALDO O.</a:t>
          </a:r>
          <a:endParaRPr lang="en-US" sz="1100"/>
        </a:p>
      </xdr:txBody>
    </xdr:sp>
    <xdr:clientData/>
  </xdr:twoCellAnchor>
  <xdr:twoCellAnchor>
    <xdr:from>
      <xdr:col>0</xdr:col>
      <xdr:colOff>807183</xdr:colOff>
      <xdr:row>7</xdr:row>
      <xdr:rowOff>80107</xdr:rowOff>
    </xdr:from>
    <xdr:to>
      <xdr:col>0</xdr:col>
      <xdr:colOff>2476500</xdr:colOff>
      <xdr:row>9</xdr:row>
      <xdr:rowOff>25155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B9F575-20CB-45E0-A8B6-1F427FF51D91}"/>
            </a:ext>
          </a:extLst>
        </xdr:cNvPr>
        <xdr:cNvSpPr txBox="1"/>
      </xdr:nvSpPr>
      <xdr:spPr>
        <a:xfrm>
          <a:off x="807183" y="1737457"/>
          <a:ext cx="1669317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EPSVR-MAPEH</a:t>
          </a:r>
        </a:p>
      </xdr:txBody>
    </xdr:sp>
    <xdr:clientData/>
  </xdr:twoCellAnchor>
  <xdr:twoCellAnchor>
    <xdr:from>
      <xdr:col>2</xdr:col>
      <xdr:colOff>196118</xdr:colOff>
      <xdr:row>7</xdr:row>
      <xdr:rowOff>80841</xdr:rowOff>
    </xdr:from>
    <xdr:to>
      <xdr:col>4</xdr:col>
      <xdr:colOff>385396</xdr:colOff>
      <xdr:row>9</xdr:row>
      <xdr:rowOff>26134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8A1EDF-E2BF-4A2B-B840-93B8ADFBE0B7}"/>
            </a:ext>
          </a:extLst>
        </xdr:cNvPr>
        <xdr:cNvSpPr txBox="1"/>
      </xdr:nvSpPr>
      <xdr:spPr>
        <a:xfrm>
          <a:off x="3634643" y="17381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863205</xdr:colOff>
      <xdr:row>0</xdr:row>
      <xdr:rowOff>180376</xdr:rowOff>
    </xdr:from>
    <xdr:to>
      <xdr:col>3</xdr:col>
      <xdr:colOff>406797</xdr:colOff>
      <xdr:row>1</xdr:row>
      <xdr:rowOff>625078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43770F-2D70-4308-91F4-BAFFC922C3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26955" y="180376"/>
          <a:ext cx="575467" cy="633218"/>
        </a:xfrm>
        <a:prstGeom prst="rect">
          <a:avLst/>
        </a:prstGeom>
        <a:noFill/>
      </xdr:spPr>
    </xdr:pic>
    <xdr:clientData/>
  </xdr:twoCellAnchor>
  <xdr:twoCellAnchor>
    <xdr:from>
      <xdr:col>3</xdr:col>
      <xdr:colOff>172111</xdr:colOff>
      <xdr:row>26</xdr:row>
      <xdr:rowOff>155441</xdr:rowOff>
    </xdr:from>
    <xdr:to>
      <xdr:col>9</xdr:col>
      <xdr:colOff>0</xdr:colOff>
      <xdr:row>34</xdr:row>
      <xdr:rowOff>82681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79C918C-6E0A-4B5A-9FEF-C4FAE8CAC95B}"/>
            </a:ext>
          </a:extLst>
        </xdr:cNvPr>
        <xdr:cNvSpPr txBox="1"/>
      </xdr:nvSpPr>
      <xdr:spPr>
        <a:xfrm>
          <a:off x="2841095" y="6435988"/>
          <a:ext cx="3771106" cy="1435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769408</xdr:colOff>
      <xdr:row>9</xdr:row>
      <xdr:rowOff>16140</xdr:rowOff>
    </xdr:from>
    <xdr:to>
      <xdr:col>1</xdr:col>
      <xdr:colOff>45508</xdr:colOff>
      <xdr:row>9</xdr:row>
      <xdr:rowOff>16140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189D4CE-EEA7-4FFB-B699-FC0DE9D8DBBD}"/>
            </a:ext>
          </a:extLst>
        </xdr:cNvPr>
        <xdr:cNvCxnSpPr/>
      </xdr:nvCxnSpPr>
      <xdr:spPr>
        <a:xfrm>
          <a:off x="769408" y="1781440"/>
          <a:ext cx="21145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10</xdr:row>
      <xdr:rowOff>142875</xdr:rowOff>
    </xdr:from>
    <xdr:to>
      <xdr:col>1</xdr:col>
      <xdr:colOff>28575</xdr:colOff>
      <xdr:row>10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8A1E9FD-C0B7-4B58-A88D-765E0FE6DD11}"/>
            </a:ext>
          </a:extLst>
        </xdr:cNvPr>
        <xdr:cNvCxnSpPr/>
      </xdr:nvCxnSpPr>
      <xdr:spPr>
        <a:xfrm>
          <a:off x="752475" y="2060575"/>
          <a:ext cx="21145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222252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A57DC-857B-45DD-AD70-FA089B4C9B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9909" y="46039"/>
          <a:ext cx="757692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43E957-5B07-4B52-B6DF-B10F52404A61}"/>
            </a:ext>
          </a:extLst>
        </xdr:cNvPr>
        <xdr:cNvSpPr txBox="1"/>
      </xdr:nvSpPr>
      <xdr:spPr>
        <a:xfrm>
          <a:off x="654051" y="1676401"/>
          <a:ext cx="104774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EPSVR-MAPEH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B834E4-D2C4-4C09-B372-357283374923}"/>
            </a:ext>
          </a:extLst>
        </xdr:cNvPr>
        <xdr:cNvSpPr txBox="1"/>
      </xdr:nvSpPr>
      <xdr:spPr>
        <a:xfrm>
          <a:off x="4012973" y="169976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1EBB49-65F9-43ED-B8C2-B2E00EB4D363}"/>
            </a:ext>
          </a:extLst>
        </xdr:cNvPr>
        <xdr:cNvSpPr txBox="1"/>
      </xdr:nvSpPr>
      <xdr:spPr>
        <a:xfrm>
          <a:off x="562183" y="1348768"/>
          <a:ext cx="2208589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GALICIA,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REYNALDO O.</a:t>
          </a:r>
          <a:endParaRPr lang="en-US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5</xdr:col>
      <xdr:colOff>222251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0A9BA-D692-443F-94B0-79EBCC4E31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209" y="46039"/>
          <a:ext cx="757691" cy="588962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1428B8-8F1B-4045-AE39-D22EAC1C23C0}"/>
            </a:ext>
          </a:extLst>
        </xdr:cNvPr>
        <xdr:cNvSpPr txBox="1"/>
      </xdr:nvSpPr>
      <xdr:spPr>
        <a:xfrm>
          <a:off x="654051" y="1682751"/>
          <a:ext cx="8508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EPS</a:t>
          </a:r>
          <a:endParaRPr lang="en-US">
            <a:effectLst/>
          </a:endParaRP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A9DE01-673F-4D1B-A7BE-14D051D5A9A9}"/>
            </a:ext>
          </a:extLst>
        </xdr:cNvPr>
        <xdr:cNvSpPr txBox="1"/>
      </xdr:nvSpPr>
      <xdr:spPr>
        <a:xfrm>
          <a:off x="38732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  <xdr:twoCellAnchor>
    <xdr:from>
      <xdr:col>0</xdr:col>
      <xdr:colOff>562183</xdr:colOff>
      <xdr:row>4</xdr:row>
      <xdr:rowOff>148618</xdr:rowOff>
    </xdr:from>
    <xdr:to>
      <xdr:col>1</xdr:col>
      <xdr:colOff>1065797</xdr:colOff>
      <xdr:row>6</xdr:row>
      <xdr:rowOff>93215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21DA74-8D43-46C8-B6B2-6121F68A12E1}"/>
            </a:ext>
          </a:extLst>
        </xdr:cNvPr>
        <xdr:cNvSpPr txBox="1"/>
      </xdr:nvSpPr>
      <xdr:spPr>
        <a:xfrm>
          <a:off x="562183" y="1355118"/>
          <a:ext cx="2008564" cy="249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GALICIA,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REYNALDO</a:t>
          </a:r>
          <a:endParaRPr lang="en-US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57011-A3D5-4BAC-AD4D-3BD35BA3262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952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K113"/>
  <sheetViews>
    <sheetView tabSelected="1" view="pageBreakPreview" topLeftCell="A86" zoomScaleNormal="100" zoomScaleSheetLayoutView="100" workbookViewId="0">
      <selection activeCell="A109" sqref="A109"/>
    </sheetView>
  </sheetViews>
  <sheetFormatPr defaultRowHeight="15" x14ac:dyDescent="0.25"/>
  <cols>
    <col min="1" max="1" width="40" style="33" customWidth="1"/>
    <col min="2" max="10" width="11.5703125" style="33" customWidth="1"/>
  </cols>
  <sheetData>
    <row r="1" spans="1:10" s="1" customFormat="1" ht="52.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 s="1" customFormat="1" ht="10.5" customHeight="1" x14ac:dyDescent="0.25">
      <c r="A2" s="80" t="s">
        <v>15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s="1" customFormat="1" ht="15.95" customHeight="1" x14ac:dyDescent="0.25">
      <c r="A3" s="80" t="s">
        <v>16</v>
      </c>
      <c r="B3" s="80"/>
      <c r="C3" s="80"/>
      <c r="D3" s="80"/>
      <c r="E3" s="80"/>
      <c r="F3" s="80"/>
      <c r="G3" s="80"/>
      <c r="H3" s="80"/>
      <c r="I3" s="80"/>
      <c r="J3" s="80"/>
    </row>
    <row r="4" spans="1:10" s="1" customFormat="1" ht="15.95" customHeight="1" x14ac:dyDescent="0.25">
      <c r="A4" s="80" t="s">
        <v>17</v>
      </c>
      <c r="B4" s="80"/>
      <c r="C4" s="80"/>
      <c r="D4" s="80"/>
      <c r="E4" s="80"/>
      <c r="F4" s="80"/>
      <c r="G4" s="80"/>
      <c r="H4" s="80"/>
      <c r="I4" s="80"/>
      <c r="J4" s="80"/>
    </row>
    <row r="5" spans="1:10" s="1" customFormat="1" ht="15.95" customHeight="1" x14ac:dyDescent="0.25">
      <c r="A5" s="80" t="s">
        <v>18</v>
      </c>
      <c r="B5" s="80"/>
      <c r="C5" s="80"/>
      <c r="D5" s="80"/>
      <c r="E5" s="80"/>
      <c r="F5" s="80"/>
      <c r="G5" s="80"/>
      <c r="H5" s="80"/>
      <c r="I5" s="80"/>
      <c r="J5" s="80"/>
    </row>
    <row r="6" spans="1:10" s="1" customFormat="1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 s="1" customFormat="1" ht="12" customHeight="1" x14ac:dyDescent="0.25">
      <c r="A7" s="11" t="s">
        <v>64</v>
      </c>
      <c r="B7" s="78" t="s">
        <v>107</v>
      </c>
      <c r="C7" s="78"/>
      <c r="D7" s="78"/>
      <c r="E7" s="11"/>
      <c r="F7" s="11"/>
      <c r="G7" s="11"/>
      <c r="H7" s="34" t="s">
        <v>9</v>
      </c>
      <c r="I7" s="17"/>
      <c r="J7" s="34"/>
    </row>
    <row r="8" spans="1:10" s="1" customFormat="1" ht="12" customHeight="1" x14ac:dyDescent="0.25">
      <c r="A8" s="11"/>
      <c r="B8" s="12"/>
      <c r="C8" s="12"/>
      <c r="D8" s="11"/>
      <c r="E8" s="11"/>
      <c r="F8" s="11"/>
      <c r="G8" s="11"/>
      <c r="H8" s="12"/>
      <c r="I8" s="12"/>
      <c r="J8" s="12"/>
    </row>
    <row r="9" spans="1:10" s="1" customFormat="1" ht="12" customHeight="1" x14ac:dyDescent="0.25">
      <c r="A9" s="11" t="s">
        <v>66</v>
      </c>
      <c r="B9" s="78" t="s">
        <v>108</v>
      </c>
      <c r="C9" s="78"/>
      <c r="D9" s="78"/>
      <c r="E9" s="11"/>
      <c r="F9" s="11"/>
      <c r="G9" s="11"/>
      <c r="H9" s="34" t="s">
        <v>10</v>
      </c>
      <c r="I9" s="17"/>
      <c r="J9" s="34"/>
    </row>
    <row r="10" spans="1:10" ht="16.5" customHeight="1" thickBot="1" x14ac:dyDescent="0.3">
      <c r="A10" s="79" t="s">
        <v>0</v>
      </c>
      <c r="B10" s="79"/>
      <c r="C10" s="79"/>
      <c r="D10" s="79"/>
      <c r="E10" s="79"/>
      <c r="F10" s="79"/>
      <c r="G10" s="79"/>
      <c r="H10" s="79"/>
      <c r="I10" s="79"/>
      <c r="J10" s="79"/>
    </row>
    <row r="11" spans="1:10" ht="18.75" customHeight="1" x14ac:dyDescent="0.25">
      <c r="A11" s="73" t="s">
        <v>4</v>
      </c>
      <c r="B11" s="72" t="s">
        <v>5</v>
      </c>
      <c r="C11" s="72"/>
      <c r="D11" s="75" t="s">
        <v>6</v>
      </c>
      <c r="E11" s="76"/>
      <c r="F11" s="76"/>
      <c r="G11" s="77"/>
      <c r="H11" s="74" t="s">
        <v>7</v>
      </c>
      <c r="I11" s="74"/>
      <c r="J11" s="73" t="s">
        <v>8</v>
      </c>
    </row>
    <row r="12" spans="1:10" ht="18.75" customHeight="1" x14ac:dyDescent="0.25">
      <c r="A12" s="73"/>
      <c r="B12" s="6" t="s">
        <v>1</v>
      </c>
      <c r="C12" s="6" t="s">
        <v>2</v>
      </c>
      <c r="D12" s="6" t="s">
        <v>1</v>
      </c>
      <c r="E12" s="6" t="s">
        <v>2</v>
      </c>
      <c r="F12" s="6" t="s">
        <v>3</v>
      </c>
      <c r="G12" s="6" t="s">
        <v>63</v>
      </c>
      <c r="H12" s="6" t="s">
        <v>1</v>
      </c>
      <c r="I12" s="6" t="s">
        <v>2</v>
      </c>
      <c r="J12" s="73"/>
    </row>
    <row r="13" spans="1:10" ht="18.75" customHeight="1" x14ac:dyDescent="0.25">
      <c r="A13" s="32" t="s">
        <v>169</v>
      </c>
      <c r="B13" s="6"/>
      <c r="C13" s="6"/>
      <c r="D13" s="6"/>
      <c r="E13" s="6"/>
      <c r="F13" s="6"/>
      <c r="G13" s="6"/>
      <c r="H13" s="6">
        <v>126</v>
      </c>
      <c r="I13" s="6">
        <v>33</v>
      </c>
      <c r="J13" s="32">
        <f>H13+I13</f>
        <v>159</v>
      </c>
    </row>
    <row r="14" spans="1:10" ht="18.75" customHeight="1" x14ac:dyDescent="0.25">
      <c r="A14" s="16" t="s">
        <v>68</v>
      </c>
      <c r="B14" s="4">
        <v>7.5</v>
      </c>
      <c r="C14" s="4">
        <v>7.5</v>
      </c>
      <c r="D14" s="4"/>
      <c r="E14" s="4"/>
      <c r="F14" s="4"/>
      <c r="G14" s="4"/>
      <c r="H14" s="4">
        <f>H13-F14-D14+B14</f>
        <v>133.5</v>
      </c>
      <c r="I14" s="4">
        <f>I13-E14+C14</f>
        <v>40.5</v>
      </c>
      <c r="J14" s="4">
        <f>SUM(H14:I14)</f>
        <v>174</v>
      </c>
    </row>
    <row r="15" spans="1:10" ht="18.75" customHeight="1" x14ac:dyDescent="0.25">
      <c r="A15" s="16" t="s">
        <v>69</v>
      </c>
      <c r="B15" s="4"/>
      <c r="C15" s="4"/>
      <c r="D15" s="4"/>
      <c r="E15" s="4">
        <v>5</v>
      </c>
      <c r="F15" s="4"/>
      <c r="G15" s="4"/>
      <c r="H15" s="4">
        <f t="shared" ref="H15:H56" si="0">H14-F15-D15+B15</f>
        <v>133.5</v>
      </c>
      <c r="I15" s="4">
        <f t="shared" ref="I15:I56" si="1">I14-E15+C15</f>
        <v>35.5</v>
      </c>
      <c r="J15" s="4">
        <f t="shared" ref="J15:J16" si="2">SUM(H15:I15)</f>
        <v>169</v>
      </c>
    </row>
    <row r="16" spans="1:10" ht="18.75" customHeight="1" x14ac:dyDescent="0.25">
      <c r="A16" s="16" t="s">
        <v>70</v>
      </c>
      <c r="B16" s="4"/>
      <c r="C16" s="4"/>
      <c r="D16" s="4"/>
      <c r="E16" s="4"/>
      <c r="F16" s="4">
        <v>5</v>
      </c>
      <c r="G16" s="4"/>
      <c r="H16" s="4">
        <f t="shared" si="0"/>
        <v>128.5</v>
      </c>
      <c r="I16" s="4">
        <f t="shared" si="1"/>
        <v>35.5</v>
      </c>
      <c r="J16" s="4">
        <f t="shared" si="2"/>
        <v>164</v>
      </c>
    </row>
    <row r="17" spans="1:10" ht="18.75" customHeight="1" x14ac:dyDescent="0.25">
      <c r="A17" s="16" t="s">
        <v>71</v>
      </c>
      <c r="B17" s="4">
        <v>15</v>
      </c>
      <c r="C17" s="4">
        <v>15</v>
      </c>
      <c r="D17" s="4"/>
      <c r="E17" s="4"/>
      <c r="F17" s="4"/>
      <c r="G17" s="4"/>
      <c r="H17" s="4">
        <f t="shared" si="0"/>
        <v>143.5</v>
      </c>
      <c r="I17" s="4">
        <f t="shared" si="1"/>
        <v>50.5</v>
      </c>
      <c r="J17" s="4">
        <f t="shared" ref="J17:J18" si="3">SUM(H17:I17)</f>
        <v>194</v>
      </c>
    </row>
    <row r="18" spans="1:10" ht="18.75" customHeight="1" x14ac:dyDescent="0.25">
      <c r="A18" s="16" t="s">
        <v>72</v>
      </c>
      <c r="B18" s="4"/>
      <c r="C18" s="4"/>
      <c r="D18" s="4">
        <v>1</v>
      </c>
      <c r="E18" s="4"/>
      <c r="F18" s="4"/>
      <c r="G18" s="4"/>
      <c r="H18" s="4">
        <f t="shared" si="0"/>
        <v>142.5</v>
      </c>
      <c r="I18" s="4">
        <f t="shared" si="1"/>
        <v>50.5</v>
      </c>
      <c r="J18" s="4">
        <f t="shared" si="3"/>
        <v>193</v>
      </c>
    </row>
    <row r="19" spans="1:10" ht="18.75" customHeight="1" x14ac:dyDescent="0.25">
      <c r="A19" s="16" t="s">
        <v>73</v>
      </c>
      <c r="B19" s="4"/>
      <c r="C19" s="4"/>
      <c r="D19" s="4">
        <v>8</v>
      </c>
      <c r="E19" s="4"/>
      <c r="F19" s="4"/>
      <c r="G19" s="4"/>
      <c r="H19" s="4">
        <f t="shared" si="0"/>
        <v>134.5</v>
      </c>
      <c r="I19" s="4">
        <f t="shared" si="1"/>
        <v>50.5</v>
      </c>
      <c r="J19" s="4">
        <f t="shared" ref="J19:J20" si="4">SUM(H19:I19)</f>
        <v>185</v>
      </c>
    </row>
    <row r="20" spans="1:10" ht="18.75" customHeight="1" x14ac:dyDescent="0.25">
      <c r="A20" s="16" t="s">
        <v>74</v>
      </c>
      <c r="B20" s="4"/>
      <c r="C20" s="4"/>
      <c r="D20" s="4">
        <v>29</v>
      </c>
      <c r="E20" s="4"/>
      <c r="F20" s="4"/>
      <c r="G20" s="4"/>
      <c r="H20" s="4">
        <f t="shared" si="0"/>
        <v>105.5</v>
      </c>
      <c r="I20" s="4">
        <f t="shared" si="1"/>
        <v>50.5</v>
      </c>
      <c r="J20" s="4">
        <f t="shared" si="4"/>
        <v>156</v>
      </c>
    </row>
    <row r="21" spans="1:10" ht="18.75" customHeight="1" x14ac:dyDescent="0.25">
      <c r="A21" s="16" t="s">
        <v>75</v>
      </c>
      <c r="B21" s="4"/>
      <c r="C21" s="4"/>
      <c r="D21" s="4"/>
      <c r="E21" s="4"/>
      <c r="F21" s="4">
        <v>5</v>
      </c>
      <c r="G21" s="4"/>
      <c r="H21" s="4">
        <f t="shared" si="0"/>
        <v>100.5</v>
      </c>
      <c r="I21" s="4">
        <f t="shared" si="1"/>
        <v>50.5</v>
      </c>
      <c r="J21" s="4">
        <f t="shared" ref="J21" si="5">SUM(H21:I21)</f>
        <v>151</v>
      </c>
    </row>
    <row r="22" spans="1:10" ht="18.75" customHeight="1" x14ac:dyDescent="0.25">
      <c r="A22" s="15">
        <v>44596</v>
      </c>
      <c r="B22" s="4"/>
      <c r="C22" s="4"/>
      <c r="D22" s="4"/>
      <c r="E22" s="4"/>
      <c r="F22" s="4"/>
      <c r="G22" s="4">
        <v>1</v>
      </c>
      <c r="H22" s="4">
        <f t="shared" si="0"/>
        <v>100.5</v>
      </c>
      <c r="I22" s="4">
        <f t="shared" si="1"/>
        <v>50.5</v>
      </c>
      <c r="J22" s="4">
        <f t="shared" ref="J22:J44" si="6">SUM(H22:I22)</f>
        <v>151</v>
      </c>
    </row>
    <row r="23" spans="1:10" ht="18.75" customHeight="1" x14ac:dyDescent="0.25">
      <c r="A23" s="16" t="s">
        <v>11</v>
      </c>
      <c r="B23" s="4">
        <v>1.25</v>
      </c>
      <c r="C23" s="4">
        <v>1.25</v>
      </c>
      <c r="D23" s="4"/>
      <c r="E23" s="4"/>
      <c r="F23" s="4"/>
      <c r="G23" s="4"/>
      <c r="H23" s="4">
        <f t="shared" si="0"/>
        <v>101.75</v>
      </c>
      <c r="I23" s="4">
        <f t="shared" si="1"/>
        <v>51.75</v>
      </c>
      <c r="J23" s="4">
        <f t="shared" si="6"/>
        <v>153.5</v>
      </c>
    </row>
    <row r="24" spans="1:10" ht="18.75" customHeight="1" x14ac:dyDescent="0.25">
      <c r="A24" s="16" t="s">
        <v>12</v>
      </c>
      <c r="B24" s="4"/>
      <c r="C24" s="4"/>
      <c r="D24" s="4"/>
      <c r="E24" s="4">
        <v>1</v>
      </c>
      <c r="F24" s="4"/>
      <c r="G24" s="4"/>
      <c r="H24" s="4">
        <f t="shared" si="0"/>
        <v>101.75</v>
      </c>
      <c r="I24" s="4">
        <f t="shared" si="1"/>
        <v>50.75</v>
      </c>
      <c r="J24" s="4">
        <f t="shared" si="6"/>
        <v>152.5</v>
      </c>
    </row>
    <row r="25" spans="1:10" ht="18.75" customHeight="1" x14ac:dyDescent="0.25">
      <c r="A25" s="15" t="s">
        <v>13</v>
      </c>
      <c r="B25" s="4">
        <v>1.25</v>
      </c>
      <c r="C25" s="4">
        <v>1.25</v>
      </c>
      <c r="D25" s="18"/>
      <c r="E25" s="18"/>
      <c r="F25" s="18"/>
      <c r="G25" s="18"/>
      <c r="H25" s="4">
        <f t="shared" si="0"/>
        <v>103</v>
      </c>
      <c r="I25" s="4">
        <f t="shared" si="1"/>
        <v>52</v>
      </c>
      <c r="J25" s="4">
        <f t="shared" si="6"/>
        <v>155</v>
      </c>
    </row>
    <row r="26" spans="1:10" ht="18.75" customHeight="1" x14ac:dyDescent="0.25">
      <c r="A26" s="16" t="s">
        <v>14</v>
      </c>
      <c r="B26" s="19"/>
      <c r="C26" s="4"/>
      <c r="D26" s="4"/>
      <c r="E26" s="4">
        <v>2</v>
      </c>
      <c r="F26" s="4"/>
      <c r="G26" s="4"/>
      <c r="H26" s="4">
        <f t="shared" si="0"/>
        <v>103</v>
      </c>
      <c r="I26" s="4">
        <f t="shared" si="1"/>
        <v>50</v>
      </c>
      <c r="J26" s="4">
        <f t="shared" si="6"/>
        <v>153</v>
      </c>
    </row>
    <row r="27" spans="1:10" ht="18.75" customHeight="1" x14ac:dyDescent="0.25">
      <c r="A27" s="15" t="s">
        <v>23</v>
      </c>
      <c r="B27" s="4">
        <v>1.25</v>
      </c>
      <c r="C27" s="4">
        <v>1.25</v>
      </c>
      <c r="D27" s="4"/>
      <c r="E27" s="4"/>
      <c r="F27" s="4"/>
      <c r="G27" s="4"/>
      <c r="H27" s="4">
        <f t="shared" si="0"/>
        <v>104.25</v>
      </c>
      <c r="I27" s="4">
        <f t="shared" si="1"/>
        <v>51.25</v>
      </c>
      <c r="J27" s="4">
        <f t="shared" si="6"/>
        <v>155.5</v>
      </c>
    </row>
    <row r="28" spans="1:10" ht="18.75" customHeight="1" x14ac:dyDescent="0.25">
      <c r="A28" s="15" t="s">
        <v>24</v>
      </c>
      <c r="B28" s="4">
        <v>1.25</v>
      </c>
      <c r="C28" s="4">
        <v>1.25</v>
      </c>
      <c r="D28" s="4"/>
      <c r="E28" s="4"/>
      <c r="F28" s="4"/>
      <c r="G28" s="4"/>
      <c r="H28" s="4">
        <f t="shared" si="0"/>
        <v>105.5</v>
      </c>
      <c r="I28" s="4">
        <f t="shared" si="1"/>
        <v>52.5</v>
      </c>
      <c r="J28" s="4">
        <f t="shared" si="6"/>
        <v>158</v>
      </c>
    </row>
    <row r="29" spans="1:10" ht="18.75" customHeight="1" x14ac:dyDescent="0.25">
      <c r="A29" s="16" t="s">
        <v>25</v>
      </c>
      <c r="B29" s="4"/>
      <c r="C29" s="4"/>
      <c r="D29" s="4"/>
      <c r="E29" s="4">
        <v>2</v>
      </c>
      <c r="F29" s="4"/>
      <c r="G29" s="4"/>
      <c r="H29" s="4">
        <f t="shared" si="0"/>
        <v>105.5</v>
      </c>
      <c r="I29" s="4">
        <f t="shared" si="1"/>
        <v>50.5</v>
      </c>
      <c r="J29" s="4">
        <f t="shared" si="6"/>
        <v>156</v>
      </c>
    </row>
    <row r="30" spans="1:10" ht="18.75" customHeight="1" x14ac:dyDescent="0.25">
      <c r="A30" s="15" t="s">
        <v>26</v>
      </c>
      <c r="B30" s="4">
        <v>1.25</v>
      </c>
      <c r="C30" s="4">
        <v>1.25</v>
      </c>
      <c r="D30" s="4"/>
      <c r="E30" s="4"/>
      <c r="F30" s="4"/>
      <c r="G30" s="4"/>
      <c r="H30" s="4">
        <f t="shared" si="0"/>
        <v>106.75</v>
      </c>
      <c r="I30" s="4">
        <f t="shared" si="1"/>
        <v>51.75</v>
      </c>
      <c r="J30" s="4">
        <f t="shared" si="6"/>
        <v>158.5</v>
      </c>
    </row>
    <row r="31" spans="1:10" ht="18.75" customHeight="1" x14ac:dyDescent="0.25">
      <c r="A31" s="16" t="s">
        <v>27</v>
      </c>
      <c r="B31" s="4"/>
      <c r="C31" s="4"/>
      <c r="D31" s="4"/>
      <c r="E31" s="4"/>
      <c r="F31" s="4"/>
      <c r="G31" s="4">
        <v>2</v>
      </c>
      <c r="H31" s="4">
        <f t="shared" si="0"/>
        <v>106.75</v>
      </c>
      <c r="I31" s="4">
        <f t="shared" si="1"/>
        <v>51.75</v>
      </c>
      <c r="J31" s="4">
        <f t="shared" si="6"/>
        <v>158.5</v>
      </c>
    </row>
    <row r="32" spans="1:10" ht="18.75" customHeight="1" x14ac:dyDescent="0.25">
      <c r="A32" s="16" t="s">
        <v>28</v>
      </c>
      <c r="B32" s="4"/>
      <c r="C32" s="4"/>
      <c r="D32" s="4"/>
      <c r="E32" s="4"/>
      <c r="F32" s="4">
        <v>1</v>
      </c>
      <c r="G32" s="4"/>
      <c r="H32" s="4">
        <f t="shared" si="0"/>
        <v>105.75</v>
      </c>
      <c r="I32" s="4">
        <f t="shared" si="1"/>
        <v>51.75</v>
      </c>
      <c r="J32" s="4">
        <f t="shared" si="6"/>
        <v>157.5</v>
      </c>
    </row>
    <row r="33" spans="1:10" ht="18.75" customHeight="1" x14ac:dyDescent="0.25">
      <c r="A33" s="15" t="s">
        <v>29</v>
      </c>
      <c r="B33" s="4">
        <v>2.5</v>
      </c>
      <c r="C33" s="4">
        <v>2.5</v>
      </c>
      <c r="D33" s="4"/>
      <c r="E33" s="4"/>
      <c r="F33" s="4"/>
      <c r="G33" s="4"/>
      <c r="H33" s="4">
        <f t="shared" si="0"/>
        <v>108.25</v>
      </c>
      <c r="I33" s="4">
        <f t="shared" si="1"/>
        <v>54.25</v>
      </c>
      <c r="J33" s="4">
        <f t="shared" si="6"/>
        <v>162.5</v>
      </c>
    </row>
    <row r="34" spans="1:10" ht="18.75" customHeight="1" x14ac:dyDescent="0.25">
      <c r="A34" s="16" t="s">
        <v>30</v>
      </c>
      <c r="B34" s="4"/>
      <c r="C34" s="4"/>
      <c r="D34" s="4"/>
      <c r="E34" s="4">
        <v>1</v>
      </c>
      <c r="F34" s="4"/>
      <c r="G34" s="4"/>
      <c r="H34" s="4">
        <f t="shared" si="0"/>
        <v>108.25</v>
      </c>
      <c r="I34" s="4">
        <f t="shared" si="1"/>
        <v>53.25</v>
      </c>
      <c r="J34" s="4">
        <f t="shared" si="6"/>
        <v>161.5</v>
      </c>
    </row>
    <row r="35" spans="1:10" ht="18.75" customHeight="1" x14ac:dyDescent="0.25">
      <c r="A35" s="16" t="s">
        <v>31</v>
      </c>
      <c r="B35" s="4"/>
      <c r="C35" s="4"/>
      <c r="D35" s="4"/>
      <c r="E35" s="4">
        <v>5</v>
      </c>
      <c r="F35" s="4"/>
      <c r="G35" s="4"/>
      <c r="H35" s="4">
        <f t="shared" si="0"/>
        <v>108.25</v>
      </c>
      <c r="I35" s="4">
        <f t="shared" si="1"/>
        <v>48.25</v>
      </c>
      <c r="J35" s="4">
        <f t="shared" si="6"/>
        <v>156.5</v>
      </c>
    </row>
    <row r="36" spans="1:10" ht="18.75" customHeight="1" x14ac:dyDescent="0.25">
      <c r="A36" s="16" t="s">
        <v>32</v>
      </c>
      <c r="B36" s="4"/>
      <c r="C36" s="4"/>
      <c r="D36" s="4"/>
      <c r="E36" s="4">
        <v>1</v>
      </c>
      <c r="F36" s="4"/>
      <c r="G36" s="4"/>
      <c r="H36" s="4">
        <f t="shared" si="0"/>
        <v>108.25</v>
      </c>
      <c r="I36" s="4">
        <f t="shared" si="1"/>
        <v>47.25</v>
      </c>
      <c r="J36" s="4">
        <f t="shared" si="6"/>
        <v>155.5</v>
      </c>
    </row>
    <row r="37" spans="1:10" ht="18.75" customHeight="1" x14ac:dyDescent="0.25">
      <c r="A37" s="15" t="s">
        <v>33</v>
      </c>
      <c r="B37" s="7">
        <v>1.25</v>
      </c>
      <c r="C37" s="7">
        <v>1.25</v>
      </c>
      <c r="D37" s="20"/>
      <c r="E37" s="20"/>
      <c r="F37" s="20"/>
      <c r="G37" s="20"/>
      <c r="H37" s="4">
        <f t="shared" si="0"/>
        <v>109.5</v>
      </c>
      <c r="I37" s="4">
        <f t="shared" si="1"/>
        <v>48.5</v>
      </c>
      <c r="J37" s="8">
        <f t="shared" si="6"/>
        <v>158</v>
      </c>
    </row>
    <row r="38" spans="1:10" ht="15.75" x14ac:dyDescent="0.25">
      <c r="A38" s="16" t="s">
        <v>34</v>
      </c>
      <c r="B38" s="9"/>
      <c r="C38" s="9"/>
      <c r="D38" s="9"/>
      <c r="E38" s="9">
        <v>2</v>
      </c>
      <c r="F38" s="9"/>
      <c r="G38" s="9"/>
      <c r="H38" s="4">
        <f t="shared" si="0"/>
        <v>109.5</v>
      </c>
      <c r="I38" s="4">
        <f t="shared" si="1"/>
        <v>46.5</v>
      </c>
      <c r="J38" s="8">
        <f t="shared" si="6"/>
        <v>156</v>
      </c>
    </row>
    <row r="39" spans="1:10" ht="15.75" x14ac:dyDescent="0.25">
      <c r="A39" s="15" t="s">
        <v>36</v>
      </c>
      <c r="B39" s="7">
        <v>1.25</v>
      </c>
      <c r="C39" s="7">
        <v>1.25</v>
      </c>
      <c r="D39" s="9"/>
      <c r="E39" s="9"/>
      <c r="F39" s="9"/>
      <c r="G39" s="9"/>
      <c r="H39" s="4">
        <f t="shared" si="0"/>
        <v>110.75</v>
      </c>
      <c r="I39" s="4">
        <f t="shared" si="1"/>
        <v>47.75</v>
      </c>
      <c r="J39" s="8">
        <f t="shared" si="6"/>
        <v>158.5</v>
      </c>
    </row>
    <row r="40" spans="1:10" ht="15.75" x14ac:dyDescent="0.25">
      <c r="A40" s="16" t="s">
        <v>37</v>
      </c>
      <c r="B40" s="7"/>
      <c r="C40" s="7"/>
      <c r="D40" s="9"/>
      <c r="E40" s="9">
        <v>1</v>
      </c>
      <c r="F40" s="9"/>
      <c r="G40" s="9"/>
      <c r="H40" s="4">
        <f t="shared" si="0"/>
        <v>110.75</v>
      </c>
      <c r="I40" s="4">
        <f t="shared" si="1"/>
        <v>46.75</v>
      </c>
      <c r="J40" s="8">
        <f t="shared" si="6"/>
        <v>157.5</v>
      </c>
    </row>
    <row r="41" spans="1:10" ht="15.75" x14ac:dyDescent="0.25">
      <c r="A41" s="16" t="s">
        <v>35</v>
      </c>
      <c r="B41" s="9"/>
      <c r="C41" s="9"/>
      <c r="D41" s="9">
        <v>29</v>
      </c>
      <c r="E41" s="9"/>
      <c r="F41" s="9"/>
      <c r="G41" s="9"/>
      <c r="H41" s="4">
        <f t="shared" si="0"/>
        <v>81.75</v>
      </c>
      <c r="I41" s="4">
        <f t="shared" si="1"/>
        <v>46.75</v>
      </c>
      <c r="J41" s="8">
        <f t="shared" si="6"/>
        <v>128.5</v>
      </c>
    </row>
    <row r="42" spans="1:10" ht="15.75" x14ac:dyDescent="0.25">
      <c r="A42" s="15" t="s">
        <v>38</v>
      </c>
      <c r="B42" s="7">
        <v>1.25</v>
      </c>
      <c r="C42" s="7">
        <v>1.25</v>
      </c>
      <c r="D42" s="9"/>
      <c r="E42" s="9"/>
      <c r="F42" s="9"/>
      <c r="G42" s="9"/>
      <c r="H42" s="4">
        <f t="shared" si="0"/>
        <v>83</v>
      </c>
      <c r="I42" s="4">
        <f t="shared" si="1"/>
        <v>48</v>
      </c>
      <c r="J42" s="8">
        <f t="shared" si="6"/>
        <v>131</v>
      </c>
    </row>
    <row r="43" spans="1:10" ht="15.75" x14ac:dyDescent="0.25">
      <c r="A43" s="16" t="s">
        <v>39</v>
      </c>
      <c r="B43" s="9"/>
      <c r="C43" s="9"/>
      <c r="D43" s="9"/>
      <c r="E43" s="9">
        <v>3</v>
      </c>
      <c r="F43" s="9"/>
      <c r="G43" s="9"/>
      <c r="H43" s="4">
        <f t="shared" si="0"/>
        <v>83</v>
      </c>
      <c r="I43" s="4">
        <f t="shared" si="1"/>
        <v>45</v>
      </c>
      <c r="J43" s="8">
        <f t="shared" si="6"/>
        <v>128</v>
      </c>
    </row>
    <row r="44" spans="1:10" ht="15.75" x14ac:dyDescent="0.25">
      <c r="A44" s="16" t="s">
        <v>40</v>
      </c>
      <c r="B44" s="9"/>
      <c r="C44" s="9"/>
      <c r="D44" s="9"/>
      <c r="E44" s="9"/>
      <c r="F44" s="9">
        <v>4</v>
      </c>
      <c r="G44" s="9"/>
      <c r="H44" s="4">
        <f t="shared" si="0"/>
        <v>79</v>
      </c>
      <c r="I44" s="4">
        <f t="shared" si="1"/>
        <v>45</v>
      </c>
      <c r="J44" s="8">
        <f t="shared" si="6"/>
        <v>124</v>
      </c>
    </row>
    <row r="45" spans="1:10" ht="15.75" x14ac:dyDescent="0.25">
      <c r="A45" s="16" t="s">
        <v>41</v>
      </c>
      <c r="B45" s="9"/>
      <c r="C45" s="9"/>
      <c r="D45" s="9"/>
      <c r="E45" s="9"/>
      <c r="F45" s="9"/>
      <c r="G45" s="9"/>
      <c r="H45" s="4">
        <f t="shared" si="0"/>
        <v>79</v>
      </c>
      <c r="I45" s="4">
        <f t="shared" si="1"/>
        <v>45</v>
      </c>
      <c r="J45" s="8">
        <f t="shared" ref="J45" si="7">SUM(H45:I45)</f>
        <v>124</v>
      </c>
    </row>
    <row r="46" spans="1:10" ht="15.75" x14ac:dyDescent="0.25">
      <c r="A46" s="15" t="s">
        <v>42</v>
      </c>
      <c r="B46" s="9">
        <v>2.5</v>
      </c>
      <c r="C46" s="9">
        <v>2.5</v>
      </c>
      <c r="D46" s="9"/>
      <c r="E46" s="9"/>
      <c r="F46" s="9"/>
      <c r="G46" s="9"/>
      <c r="H46" s="4">
        <f t="shared" si="0"/>
        <v>81.5</v>
      </c>
      <c r="I46" s="4">
        <f t="shared" si="1"/>
        <v>47.5</v>
      </c>
      <c r="J46" s="8">
        <f t="shared" ref="J46" si="8">SUM(H46:I46)</f>
        <v>129</v>
      </c>
    </row>
    <row r="47" spans="1:10" ht="15.75" x14ac:dyDescent="0.25">
      <c r="A47" s="15" t="s">
        <v>43</v>
      </c>
      <c r="B47" s="9">
        <v>1.25</v>
      </c>
      <c r="C47" s="9">
        <v>1.25</v>
      </c>
      <c r="D47" s="9"/>
      <c r="E47" s="9"/>
      <c r="F47" s="9"/>
      <c r="G47" s="9"/>
      <c r="H47" s="4">
        <f t="shared" si="0"/>
        <v>82.75</v>
      </c>
      <c r="I47" s="4">
        <f t="shared" si="1"/>
        <v>48.75</v>
      </c>
      <c r="J47" s="8">
        <f t="shared" ref="J47" si="9">SUM(H47:I47)</f>
        <v>131.5</v>
      </c>
    </row>
    <row r="48" spans="1:10" ht="15.75" x14ac:dyDescent="0.25">
      <c r="A48" s="16" t="s">
        <v>44</v>
      </c>
      <c r="B48" s="9"/>
      <c r="C48" s="9"/>
      <c r="D48" s="9"/>
      <c r="E48" s="9">
        <v>2</v>
      </c>
      <c r="F48" s="9"/>
      <c r="G48" s="9"/>
      <c r="H48" s="4">
        <f t="shared" si="0"/>
        <v>82.75</v>
      </c>
      <c r="I48" s="4">
        <f t="shared" si="1"/>
        <v>46.75</v>
      </c>
      <c r="J48" s="8">
        <f t="shared" ref="J48" si="10">SUM(H48:I48)</f>
        <v>129.5</v>
      </c>
    </row>
    <row r="49" spans="1:10" ht="15.75" x14ac:dyDescent="0.25">
      <c r="A49" s="15" t="s">
        <v>59</v>
      </c>
      <c r="B49" s="9">
        <v>3.75</v>
      </c>
      <c r="C49" s="9">
        <v>3.75</v>
      </c>
      <c r="D49" s="9"/>
      <c r="E49" s="9"/>
      <c r="F49" s="9"/>
      <c r="G49" s="9"/>
      <c r="H49" s="4">
        <f t="shared" si="0"/>
        <v>86.5</v>
      </c>
      <c r="I49" s="4">
        <f t="shared" si="1"/>
        <v>50.5</v>
      </c>
      <c r="J49" s="8">
        <f t="shared" ref="J49" si="11">SUM(H49:I49)</f>
        <v>137</v>
      </c>
    </row>
    <row r="50" spans="1:10" ht="15.75" x14ac:dyDescent="0.25">
      <c r="A50" s="16" t="s">
        <v>60</v>
      </c>
      <c r="B50" s="21"/>
      <c r="C50" s="21"/>
      <c r="D50" s="21"/>
      <c r="E50" s="9">
        <v>8</v>
      </c>
      <c r="F50" s="21"/>
      <c r="G50" s="21"/>
      <c r="H50" s="4">
        <f t="shared" si="0"/>
        <v>86.5</v>
      </c>
      <c r="I50" s="4">
        <f t="shared" si="1"/>
        <v>42.5</v>
      </c>
      <c r="J50" s="8">
        <f t="shared" ref="J50" si="12">SUM(H50:I50)</f>
        <v>129</v>
      </c>
    </row>
    <row r="51" spans="1:10" ht="15.75" x14ac:dyDescent="0.25">
      <c r="A51" s="15" t="s">
        <v>61</v>
      </c>
      <c r="B51" s="21">
        <v>2.5</v>
      </c>
      <c r="C51" s="21">
        <v>2.5</v>
      </c>
      <c r="D51" s="21"/>
      <c r="E51" s="21"/>
      <c r="F51" s="21"/>
      <c r="G51" s="21"/>
      <c r="H51" s="4">
        <f t="shared" si="0"/>
        <v>89</v>
      </c>
      <c r="I51" s="4">
        <f t="shared" si="1"/>
        <v>45</v>
      </c>
      <c r="J51" s="8">
        <f t="shared" ref="J51" si="13">SUM(H51:I51)</f>
        <v>134</v>
      </c>
    </row>
    <row r="52" spans="1:10" ht="15.75" x14ac:dyDescent="0.25">
      <c r="A52" s="16" t="s">
        <v>62</v>
      </c>
      <c r="B52" s="21"/>
      <c r="C52" s="21"/>
      <c r="D52" s="21"/>
      <c r="E52" s="9">
        <v>2</v>
      </c>
      <c r="F52" s="21"/>
      <c r="G52" s="21"/>
      <c r="H52" s="4">
        <f t="shared" si="0"/>
        <v>89</v>
      </c>
      <c r="I52" s="4">
        <f t="shared" si="1"/>
        <v>43</v>
      </c>
      <c r="J52" s="8">
        <f t="shared" ref="J52" si="14">SUM(H52:I52)</f>
        <v>132</v>
      </c>
    </row>
    <row r="53" spans="1:10" ht="15.75" x14ac:dyDescent="0.25">
      <c r="A53" s="16" t="s">
        <v>76</v>
      </c>
      <c r="B53" s="21"/>
      <c r="C53" s="21"/>
      <c r="D53" s="21">
        <v>3</v>
      </c>
      <c r="E53" s="21"/>
      <c r="F53" s="21"/>
      <c r="G53" s="21"/>
      <c r="H53" s="4">
        <f t="shared" si="0"/>
        <v>86</v>
      </c>
      <c r="I53" s="4">
        <f t="shared" si="1"/>
        <v>43</v>
      </c>
      <c r="J53" s="9">
        <f>SUM(H53:I53)</f>
        <v>129</v>
      </c>
    </row>
    <row r="54" spans="1:10" ht="15.75" x14ac:dyDescent="0.25">
      <c r="A54" s="15" t="s">
        <v>77</v>
      </c>
      <c r="B54" s="21">
        <v>2.5</v>
      </c>
      <c r="C54" s="21">
        <v>2.5</v>
      </c>
      <c r="D54" s="21"/>
      <c r="E54" s="21"/>
      <c r="F54" s="21"/>
      <c r="G54" s="21"/>
      <c r="H54" s="4">
        <f t="shared" si="0"/>
        <v>88.5</v>
      </c>
      <c r="I54" s="4">
        <f t="shared" si="1"/>
        <v>45.5</v>
      </c>
      <c r="J54" s="8">
        <f t="shared" ref="J54:J55" si="15">SUM(H54:I54)</f>
        <v>134</v>
      </c>
    </row>
    <row r="55" spans="1:10" ht="15.75" x14ac:dyDescent="0.25">
      <c r="A55" s="16" t="s">
        <v>78</v>
      </c>
      <c r="B55" s="21"/>
      <c r="C55" s="21"/>
      <c r="D55" s="21"/>
      <c r="E55" s="21">
        <v>2</v>
      </c>
      <c r="F55" s="21"/>
      <c r="G55" s="21"/>
      <c r="H55" s="4">
        <f t="shared" si="0"/>
        <v>88.5</v>
      </c>
      <c r="I55" s="4">
        <f t="shared" si="1"/>
        <v>43.5</v>
      </c>
      <c r="J55" s="8">
        <f t="shared" si="15"/>
        <v>132</v>
      </c>
    </row>
    <row r="56" spans="1:10" ht="15.75" x14ac:dyDescent="0.25">
      <c r="A56" s="16" t="s">
        <v>94</v>
      </c>
      <c r="B56" s="21"/>
      <c r="C56" s="21"/>
      <c r="D56" s="21"/>
      <c r="E56" s="21"/>
      <c r="F56" s="21"/>
      <c r="G56" s="21">
        <v>3</v>
      </c>
      <c r="H56" s="4">
        <f t="shared" si="0"/>
        <v>88.5</v>
      </c>
      <c r="I56" s="4">
        <f t="shared" si="1"/>
        <v>43.5</v>
      </c>
      <c r="J56" s="8">
        <f t="shared" ref="J56" si="16">SUM(H56:I56)</f>
        <v>132</v>
      </c>
    </row>
    <row r="57" spans="1:10" ht="15.75" x14ac:dyDescent="0.25">
      <c r="A57" s="16" t="s">
        <v>96</v>
      </c>
      <c r="B57" s="21"/>
      <c r="C57" s="21"/>
      <c r="D57" s="21">
        <v>29</v>
      </c>
      <c r="E57" s="21"/>
      <c r="F57" s="21"/>
      <c r="G57" s="21"/>
      <c r="H57" s="4">
        <f t="shared" ref="H57" si="17">H56-F57-D57+B57</f>
        <v>59.5</v>
      </c>
      <c r="I57" s="4">
        <f t="shared" ref="I57" si="18">I56-E57+C57</f>
        <v>43.5</v>
      </c>
      <c r="J57" s="8">
        <f t="shared" ref="J57" si="19">SUM(H57:I57)</f>
        <v>103</v>
      </c>
    </row>
    <row r="58" spans="1:10" ht="15.75" x14ac:dyDescent="0.25">
      <c r="A58" s="31" t="s">
        <v>97</v>
      </c>
      <c r="B58" s="21">
        <v>2.5</v>
      </c>
      <c r="C58" s="21">
        <v>2.5</v>
      </c>
      <c r="D58" s="21"/>
      <c r="E58" s="21"/>
      <c r="F58" s="21"/>
      <c r="G58" s="21"/>
      <c r="H58" s="4">
        <f t="shared" ref="H58:H59" si="20">H57-F58-D58+B58</f>
        <v>62</v>
      </c>
      <c r="I58" s="4">
        <f t="shared" ref="I58:I59" si="21">I57-E58+C58</f>
        <v>46</v>
      </c>
      <c r="J58" s="8">
        <f t="shared" ref="J58:J59" si="22">SUM(H58:I58)</f>
        <v>108</v>
      </c>
    </row>
    <row r="59" spans="1:10" ht="15.75" x14ac:dyDescent="0.25">
      <c r="A59" s="31" t="s">
        <v>98</v>
      </c>
      <c r="B59" s="21"/>
      <c r="C59" s="21"/>
      <c r="D59" s="21"/>
      <c r="E59" s="21">
        <v>1</v>
      </c>
      <c r="F59" s="21"/>
      <c r="G59" s="21"/>
      <c r="H59" s="4">
        <f t="shared" si="20"/>
        <v>62</v>
      </c>
      <c r="I59" s="4">
        <f t="shared" si="21"/>
        <v>45</v>
      </c>
      <c r="J59" s="8">
        <f t="shared" si="22"/>
        <v>107</v>
      </c>
    </row>
    <row r="60" spans="1:10" ht="15.75" x14ac:dyDescent="0.25">
      <c r="A60" s="31" t="s">
        <v>99</v>
      </c>
      <c r="B60" s="21"/>
      <c r="C60" s="21"/>
      <c r="D60" s="21"/>
      <c r="E60" s="21"/>
      <c r="F60" s="21">
        <v>5</v>
      </c>
      <c r="G60" s="21"/>
      <c r="H60" s="4">
        <f t="shared" ref="H60" si="23">H59-F60-D60+B60</f>
        <v>57</v>
      </c>
      <c r="I60" s="4">
        <f t="shared" ref="I60" si="24">I59-E60+C60</f>
        <v>45</v>
      </c>
      <c r="J60" s="8">
        <f t="shared" ref="J60" si="25">SUM(H60:I60)</f>
        <v>102</v>
      </c>
    </row>
    <row r="61" spans="1:10" ht="15.75" x14ac:dyDescent="0.25">
      <c r="A61" s="31" t="s">
        <v>100</v>
      </c>
      <c r="B61" s="21">
        <v>1.25</v>
      </c>
      <c r="C61" s="21">
        <v>1.25</v>
      </c>
      <c r="D61" s="21"/>
      <c r="E61" s="21"/>
      <c r="F61" s="21"/>
      <c r="G61" s="21"/>
      <c r="H61" s="4">
        <f t="shared" ref="H61:H62" si="26">H60-F61-D61+B61</f>
        <v>58.25</v>
      </c>
      <c r="I61" s="4">
        <f t="shared" ref="I61:I62" si="27">I60-E61+C61</f>
        <v>46.25</v>
      </c>
      <c r="J61" s="8">
        <f t="shared" ref="J61:J62" si="28">SUM(H61:I61)</f>
        <v>104.5</v>
      </c>
    </row>
    <row r="62" spans="1:10" ht="15.75" x14ac:dyDescent="0.25">
      <c r="A62" s="31" t="s">
        <v>101</v>
      </c>
      <c r="B62" s="31"/>
      <c r="C62" s="31"/>
      <c r="D62" s="31"/>
      <c r="E62" s="31">
        <v>1</v>
      </c>
      <c r="F62" s="31"/>
      <c r="G62" s="31"/>
      <c r="H62" s="4">
        <f t="shared" si="26"/>
        <v>58.25</v>
      </c>
      <c r="I62" s="4">
        <f t="shared" si="27"/>
        <v>45.25</v>
      </c>
      <c r="J62" s="8">
        <f t="shared" si="28"/>
        <v>103.5</v>
      </c>
    </row>
    <row r="63" spans="1:10" ht="15.75" x14ac:dyDescent="0.25">
      <c r="A63" s="31" t="s">
        <v>102</v>
      </c>
      <c r="B63" s="31"/>
      <c r="C63" s="31"/>
      <c r="D63" s="31"/>
      <c r="E63" s="31">
        <v>2</v>
      </c>
      <c r="F63" s="31"/>
      <c r="G63" s="31"/>
      <c r="H63" s="4">
        <f t="shared" ref="H63" si="29">H62-F63-D63+B63</f>
        <v>58.25</v>
      </c>
      <c r="I63" s="4">
        <f t="shared" ref="I63" si="30">I62-E63+C63</f>
        <v>43.25</v>
      </c>
      <c r="J63" s="8">
        <f t="shared" ref="J63" si="31">SUM(H63:I63)</f>
        <v>101.5</v>
      </c>
    </row>
    <row r="64" spans="1:10" ht="15.75" x14ac:dyDescent="0.25">
      <c r="A64" s="31" t="s">
        <v>103</v>
      </c>
      <c r="B64" s="31">
        <v>1.25</v>
      </c>
      <c r="C64" s="31">
        <v>1.25</v>
      </c>
      <c r="D64" s="31"/>
      <c r="E64" s="31"/>
      <c r="F64" s="31"/>
      <c r="G64" s="31"/>
      <c r="H64" s="4">
        <f t="shared" ref="H64:H72" si="32">H63-F64-D64+B64</f>
        <v>59.5</v>
      </c>
      <c r="I64" s="4">
        <f t="shared" ref="I64:I72" si="33">I63-E64+C64</f>
        <v>44.5</v>
      </c>
      <c r="J64" s="8">
        <f t="shared" ref="J64:J72" si="34">SUM(H64:I64)</f>
        <v>104</v>
      </c>
    </row>
    <row r="65" spans="1:10" ht="15.75" x14ac:dyDescent="0.25">
      <c r="A65" s="31" t="s">
        <v>104</v>
      </c>
      <c r="B65" s="31"/>
      <c r="C65" s="31"/>
      <c r="D65" s="31"/>
      <c r="E65" s="31">
        <v>1</v>
      </c>
      <c r="F65" s="31"/>
      <c r="G65" s="31"/>
      <c r="H65" s="4">
        <f t="shared" si="32"/>
        <v>59.5</v>
      </c>
      <c r="I65" s="4">
        <f t="shared" si="33"/>
        <v>43.5</v>
      </c>
      <c r="J65" s="9">
        <f t="shared" si="34"/>
        <v>103</v>
      </c>
    </row>
    <row r="66" spans="1:10" ht="15.75" x14ac:dyDescent="0.25">
      <c r="A66" s="31" t="s">
        <v>105</v>
      </c>
      <c r="B66" s="31">
        <v>2</v>
      </c>
      <c r="C66" s="31"/>
      <c r="D66" s="31"/>
      <c r="E66" s="31"/>
      <c r="F66" s="31"/>
      <c r="G66" s="31"/>
      <c r="H66" s="4">
        <f t="shared" si="32"/>
        <v>61.5</v>
      </c>
      <c r="I66" s="4">
        <f t="shared" si="33"/>
        <v>43.5</v>
      </c>
      <c r="J66" s="9">
        <f t="shared" si="34"/>
        <v>105</v>
      </c>
    </row>
    <row r="67" spans="1:10" ht="15.75" x14ac:dyDescent="0.25">
      <c r="A67" s="31" t="s">
        <v>106</v>
      </c>
      <c r="B67" s="31">
        <v>1.25</v>
      </c>
      <c r="C67" s="31">
        <v>1.25</v>
      </c>
      <c r="D67" s="31"/>
      <c r="E67" s="31"/>
      <c r="F67" s="31"/>
      <c r="G67" s="31"/>
      <c r="H67" s="4">
        <f t="shared" si="32"/>
        <v>62.75</v>
      </c>
      <c r="I67" s="4">
        <f t="shared" si="33"/>
        <v>44.75</v>
      </c>
      <c r="J67" s="9">
        <f t="shared" si="34"/>
        <v>107.5</v>
      </c>
    </row>
    <row r="68" spans="1:10" ht="15.75" x14ac:dyDescent="0.25">
      <c r="A68" s="31" t="s">
        <v>109</v>
      </c>
      <c r="B68" s="31"/>
      <c r="C68" s="31"/>
      <c r="D68" s="31"/>
      <c r="E68" s="21">
        <v>3</v>
      </c>
      <c r="F68" s="31"/>
      <c r="G68" s="31"/>
      <c r="H68" s="4">
        <f t="shared" si="32"/>
        <v>62.75</v>
      </c>
      <c r="I68" s="4">
        <f t="shared" si="33"/>
        <v>41.75</v>
      </c>
      <c r="J68" s="9">
        <f t="shared" si="34"/>
        <v>104.5</v>
      </c>
    </row>
    <row r="69" spans="1:10" ht="15.75" x14ac:dyDescent="0.25">
      <c r="A69" s="31" t="s">
        <v>110</v>
      </c>
      <c r="B69" s="31"/>
      <c r="C69" s="31"/>
      <c r="D69" s="31"/>
      <c r="E69" s="21">
        <v>1</v>
      </c>
      <c r="F69" s="31"/>
      <c r="G69" s="31"/>
      <c r="H69" s="4">
        <f t="shared" si="32"/>
        <v>62.75</v>
      </c>
      <c r="I69" s="4">
        <f t="shared" si="33"/>
        <v>40.75</v>
      </c>
      <c r="J69" s="9">
        <f t="shared" si="34"/>
        <v>103.5</v>
      </c>
    </row>
    <row r="70" spans="1:10" ht="15.75" x14ac:dyDescent="0.25">
      <c r="A70" s="31" t="s">
        <v>111</v>
      </c>
      <c r="B70" s="31">
        <v>1.25</v>
      </c>
      <c r="C70" s="31">
        <v>1.25</v>
      </c>
      <c r="D70" s="31"/>
      <c r="E70" s="31"/>
      <c r="F70" s="31"/>
      <c r="G70" s="31"/>
      <c r="H70" s="4">
        <f t="shared" si="32"/>
        <v>64</v>
      </c>
      <c r="I70" s="4">
        <f t="shared" si="33"/>
        <v>42</v>
      </c>
      <c r="J70" s="9">
        <f t="shared" si="34"/>
        <v>106</v>
      </c>
    </row>
    <row r="71" spans="1:10" ht="15.75" x14ac:dyDescent="0.25">
      <c r="A71" s="31" t="s">
        <v>112</v>
      </c>
      <c r="B71" s="31"/>
      <c r="C71" s="31"/>
      <c r="D71" s="31"/>
      <c r="E71" s="31">
        <v>1</v>
      </c>
      <c r="F71" s="31"/>
      <c r="G71" s="31"/>
      <c r="H71" s="4">
        <f t="shared" si="32"/>
        <v>64</v>
      </c>
      <c r="I71" s="4">
        <f t="shared" si="33"/>
        <v>41</v>
      </c>
      <c r="J71" s="9">
        <f t="shared" si="34"/>
        <v>105</v>
      </c>
    </row>
    <row r="72" spans="1:10" ht="15.75" x14ac:dyDescent="0.25">
      <c r="A72" s="31" t="s">
        <v>113</v>
      </c>
      <c r="B72" s="31"/>
      <c r="C72" s="31"/>
      <c r="D72" s="31"/>
      <c r="E72" s="31"/>
      <c r="F72" s="31"/>
      <c r="G72" s="31">
        <v>2</v>
      </c>
      <c r="H72" s="4">
        <f t="shared" si="32"/>
        <v>64</v>
      </c>
      <c r="I72" s="4">
        <f t="shared" si="33"/>
        <v>41</v>
      </c>
      <c r="J72" s="9">
        <f t="shared" si="34"/>
        <v>105</v>
      </c>
    </row>
    <row r="73" spans="1:10" ht="15.75" x14ac:dyDescent="0.25">
      <c r="A73" s="31" t="s">
        <v>114</v>
      </c>
      <c r="B73" s="31">
        <v>2.5</v>
      </c>
      <c r="C73" s="31">
        <v>2.5</v>
      </c>
      <c r="D73" s="31"/>
      <c r="E73" s="31"/>
      <c r="F73" s="31"/>
      <c r="G73" s="31"/>
      <c r="H73" s="4">
        <f t="shared" ref="H73:H74" si="35">H72-F73-D73+B73</f>
        <v>66.5</v>
      </c>
      <c r="I73" s="4">
        <f t="shared" ref="I73:I74" si="36">I72-E73+C73</f>
        <v>43.5</v>
      </c>
      <c r="J73" s="9">
        <f t="shared" ref="J73:J74" si="37">SUM(H73:I73)</f>
        <v>110</v>
      </c>
    </row>
    <row r="74" spans="1:10" ht="15.75" x14ac:dyDescent="0.25">
      <c r="A74" s="31" t="s">
        <v>115</v>
      </c>
      <c r="B74" s="31"/>
      <c r="C74" s="31"/>
      <c r="D74" s="31"/>
      <c r="E74" s="31">
        <v>2</v>
      </c>
      <c r="F74" s="31"/>
      <c r="G74" s="31"/>
      <c r="H74" s="4">
        <f t="shared" si="35"/>
        <v>66.5</v>
      </c>
      <c r="I74" s="4">
        <f t="shared" si="36"/>
        <v>41.5</v>
      </c>
      <c r="J74" s="9">
        <f t="shared" si="37"/>
        <v>108</v>
      </c>
    </row>
    <row r="75" spans="1:10" ht="15.75" x14ac:dyDescent="0.25">
      <c r="A75" s="31" t="s">
        <v>117</v>
      </c>
      <c r="B75" s="31">
        <v>1.25</v>
      </c>
      <c r="C75" s="31">
        <v>1.25</v>
      </c>
      <c r="D75" s="31"/>
      <c r="E75" s="31"/>
      <c r="F75" s="31"/>
      <c r="G75" s="31"/>
      <c r="H75" s="4">
        <f t="shared" ref="H75" si="38">H74-F75-D75+B75</f>
        <v>67.75</v>
      </c>
      <c r="I75" s="4">
        <f t="shared" ref="I75" si="39">I74-E75+C75</f>
        <v>42.75</v>
      </c>
      <c r="J75" s="9">
        <f t="shared" ref="J75" si="40">SUM(H75:I75)</f>
        <v>110.5</v>
      </c>
    </row>
    <row r="76" spans="1:10" ht="15.75" x14ac:dyDescent="0.25">
      <c r="A76" s="31" t="s">
        <v>120</v>
      </c>
      <c r="B76" s="31"/>
      <c r="C76" s="31"/>
      <c r="D76" s="31"/>
      <c r="E76" s="31">
        <v>2</v>
      </c>
      <c r="F76" s="31"/>
      <c r="G76" s="31"/>
      <c r="H76" s="4">
        <f t="shared" ref="H76" si="41">H75-F76-D76+B76</f>
        <v>67.75</v>
      </c>
      <c r="I76" s="4">
        <f t="shared" ref="I76" si="42">I75-E76+C76</f>
        <v>40.75</v>
      </c>
      <c r="J76" s="9">
        <f t="shared" ref="J76" si="43">SUM(H76:I76)</f>
        <v>108.5</v>
      </c>
    </row>
    <row r="77" spans="1:10" ht="15.75" x14ac:dyDescent="0.25">
      <c r="A77" s="31" t="s">
        <v>118</v>
      </c>
      <c r="B77" s="31"/>
      <c r="C77" s="31"/>
      <c r="D77" s="31"/>
      <c r="E77" s="31"/>
      <c r="F77" s="31"/>
      <c r="G77" s="31">
        <v>1</v>
      </c>
      <c r="H77" s="4">
        <f t="shared" ref="H77" si="44">H76-F77-D77+B77</f>
        <v>67.75</v>
      </c>
      <c r="I77" s="4">
        <f t="shared" ref="I77" si="45">I76-E77+C77</f>
        <v>40.75</v>
      </c>
      <c r="J77" s="9">
        <f t="shared" ref="J77" si="46">SUM(H77:I77)</f>
        <v>108.5</v>
      </c>
    </row>
    <row r="78" spans="1:10" ht="15.75" x14ac:dyDescent="0.25">
      <c r="A78" s="31" t="s">
        <v>121</v>
      </c>
      <c r="B78" s="31">
        <v>2.5</v>
      </c>
      <c r="C78" s="31">
        <v>2.5</v>
      </c>
      <c r="D78" s="31"/>
      <c r="E78" s="31"/>
      <c r="F78" s="31"/>
      <c r="G78" s="31"/>
      <c r="H78" s="4">
        <f t="shared" ref="H78" si="47">H77-F78-D78+B78</f>
        <v>70.25</v>
      </c>
      <c r="I78" s="4">
        <f t="shared" ref="I78" si="48">I77-E78+C78</f>
        <v>43.25</v>
      </c>
      <c r="J78" s="9">
        <f t="shared" ref="J78" si="49">SUM(H78:I78)</f>
        <v>113.5</v>
      </c>
    </row>
    <row r="79" spans="1:10" ht="15.75" x14ac:dyDescent="0.25">
      <c r="A79" s="31" t="s">
        <v>122</v>
      </c>
      <c r="B79" s="31"/>
      <c r="C79" s="31"/>
      <c r="D79" s="31">
        <v>30</v>
      </c>
      <c r="E79" s="31"/>
      <c r="F79" s="31"/>
      <c r="G79" s="31"/>
      <c r="H79" s="47">
        <f t="shared" ref="H79" si="50">H78-F79-D79+B79</f>
        <v>40.25</v>
      </c>
      <c r="I79" s="47">
        <f t="shared" ref="I79" si="51">I78-E79+C79</f>
        <v>43.25</v>
      </c>
      <c r="J79" s="9">
        <f t="shared" ref="J79" si="52">SUM(H79:I79)</f>
        <v>83.5</v>
      </c>
    </row>
    <row r="80" spans="1:10" ht="15.75" x14ac:dyDescent="0.25">
      <c r="A80" s="31" t="s">
        <v>123</v>
      </c>
      <c r="B80" s="31"/>
      <c r="C80" s="31"/>
      <c r="D80" s="31"/>
      <c r="E80" s="31">
        <v>2</v>
      </c>
      <c r="F80" s="31"/>
      <c r="G80" s="31"/>
      <c r="H80" s="47">
        <f t="shared" ref="H80" si="53">H79-F80-D80+B80</f>
        <v>40.25</v>
      </c>
      <c r="I80" s="47">
        <f t="shared" ref="I80" si="54">I79-E80+C80</f>
        <v>41.25</v>
      </c>
      <c r="J80" s="9">
        <f t="shared" ref="J80" si="55">SUM(H80:I80)</f>
        <v>81.5</v>
      </c>
    </row>
    <row r="81" spans="1:10" ht="15.75" x14ac:dyDescent="0.25">
      <c r="A81" s="31" t="s">
        <v>127</v>
      </c>
      <c r="B81" s="31">
        <v>2.5</v>
      </c>
      <c r="C81" s="31">
        <v>2.5</v>
      </c>
      <c r="D81" s="31"/>
      <c r="E81" s="31"/>
      <c r="F81" s="31"/>
      <c r="G81" s="31"/>
      <c r="H81" s="47">
        <f t="shared" ref="H81" si="56">H80-F81-D81+B81</f>
        <v>42.75</v>
      </c>
      <c r="I81" s="47">
        <f t="shared" ref="I81" si="57">I80-E81+C81</f>
        <v>43.75</v>
      </c>
      <c r="J81" s="9">
        <f t="shared" ref="J81" si="58">SUM(H81:I81)</f>
        <v>86.5</v>
      </c>
    </row>
    <row r="82" spans="1:10" ht="15.75" x14ac:dyDescent="0.25">
      <c r="A82" s="31" t="s">
        <v>124</v>
      </c>
      <c r="B82" s="31"/>
      <c r="C82" s="31"/>
      <c r="D82" s="31"/>
      <c r="E82" s="31">
        <v>1</v>
      </c>
      <c r="F82" s="31"/>
      <c r="G82" s="31"/>
      <c r="H82" s="47">
        <f t="shared" ref="H82" si="59">H81-F82-D82+B82</f>
        <v>42.75</v>
      </c>
      <c r="I82" s="47">
        <f t="shared" ref="I82" si="60">I81-E82+C82</f>
        <v>42.75</v>
      </c>
      <c r="J82" s="9">
        <f t="shared" ref="J82" si="61">SUM(H82:I82)</f>
        <v>85.5</v>
      </c>
    </row>
    <row r="83" spans="1:10" ht="15.75" x14ac:dyDescent="0.25">
      <c r="A83" s="31" t="s">
        <v>128</v>
      </c>
      <c r="B83" s="31"/>
      <c r="C83" s="31"/>
      <c r="D83" s="31"/>
      <c r="E83" s="31"/>
      <c r="F83" s="31">
        <v>2</v>
      </c>
      <c r="G83" s="31"/>
      <c r="H83" s="47">
        <f t="shared" ref="H83" si="62">H82-F83-D83+B83</f>
        <v>40.75</v>
      </c>
      <c r="I83" s="47">
        <f t="shared" ref="I83" si="63">I82-E83+C83</f>
        <v>42.75</v>
      </c>
      <c r="J83" s="9">
        <f t="shared" ref="J83" si="64">SUM(H83:I83)</f>
        <v>83.5</v>
      </c>
    </row>
    <row r="84" spans="1:10" ht="15.75" x14ac:dyDescent="0.25">
      <c r="A84" s="31" t="s">
        <v>129</v>
      </c>
      <c r="B84" s="31">
        <v>1.25</v>
      </c>
      <c r="C84" s="31">
        <v>1.25</v>
      </c>
      <c r="D84" s="31"/>
      <c r="E84" s="31"/>
      <c r="F84" s="31"/>
      <c r="G84" s="31"/>
      <c r="H84" s="47">
        <f t="shared" ref="H84:H86" si="65">H83-F84-D84+B84</f>
        <v>42</v>
      </c>
      <c r="I84" s="47">
        <f t="shared" ref="I84:I86" si="66">I83-E84+C84</f>
        <v>44</v>
      </c>
      <c r="J84" s="9">
        <f t="shared" ref="J84:J86" si="67">SUM(H84:I84)</f>
        <v>86</v>
      </c>
    </row>
    <row r="85" spans="1:10" ht="15.75" x14ac:dyDescent="0.25">
      <c r="A85" s="31" t="s">
        <v>130</v>
      </c>
      <c r="B85" s="31"/>
      <c r="C85" s="31"/>
      <c r="D85" s="31"/>
      <c r="E85" s="31">
        <v>1</v>
      </c>
      <c r="F85" s="31"/>
      <c r="G85" s="31"/>
      <c r="H85" s="47">
        <f t="shared" si="65"/>
        <v>42</v>
      </c>
      <c r="I85" s="47">
        <f t="shared" si="66"/>
        <v>43</v>
      </c>
      <c r="J85" s="9">
        <f t="shared" si="67"/>
        <v>85</v>
      </c>
    </row>
    <row r="86" spans="1:10" ht="15.75" x14ac:dyDescent="0.25">
      <c r="A86" s="31" t="s">
        <v>131</v>
      </c>
      <c r="B86" s="31"/>
      <c r="C86" s="31"/>
      <c r="D86" s="31"/>
      <c r="E86" s="31"/>
      <c r="F86" s="31">
        <v>2</v>
      </c>
      <c r="G86" s="31"/>
      <c r="H86" s="47">
        <f t="shared" si="65"/>
        <v>40</v>
      </c>
      <c r="I86" s="47">
        <f t="shared" si="66"/>
        <v>43</v>
      </c>
      <c r="J86" s="9">
        <f t="shared" si="67"/>
        <v>83</v>
      </c>
    </row>
    <row r="87" spans="1:10" ht="15.75" x14ac:dyDescent="0.25">
      <c r="A87" s="31" t="s">
        <v>132</v>
      </c>
      <c r="B87" s="31"/>
      <c r="C87" s="31"/>
      <c r="D87" s="31"/>
      <c r="E87" s="31"/>
      <c r="F87" s="31">
        <v>1</v>
      </c>
      <c r="G87" s="31"/>
      <c r="H87" s="47">
        <f t="shared" ref="H87" si="68">H86-F87-D87+B87</f>
        <v>39</v>
      </c>
      <c r="I87" s="47">
        <f t="shared" ref="I87" si="69">I86-E87+C87</f>
        <v>43</v>
      </c>
      <c r="J87" s="9">
        <f t="shared" ref="J87" si="70">SUM(H87:I87)</f>
        <v>82</v>
      </c>
    </row>
    <row r="88" spans="1:10" ht="15.75" x14ac:dyDescent="0.25">
      <c r="A88" s="31" t="s">
        <v>153</v>
      </c>
      <c r="B88" s="31">
        <v>2.5</v>
      </c>
      <c r="C88" s="31">
        <v>2.5</v>
      </c>
      <c r="D88" s="31"/>
      <c r="E88" s="31"/>
      <c r="F88" s="31"/>
      <c r="G88" s="31"/>
      <c r="H88" s="47">
        <f t="shared" ref="H88:H89" si="71">H87-F88-D88+B88</f>
        <v>41.5</v>
      </c>
      <c r="I88" s="47">
        <f t="shared" ref="I88:I89" si="72">I87-E88+C88</f>
        <v>45.5</v>
      </c>
      <c r="J88" s="9">
        <f t="shared" ref="J88:J89" si="73">SUM(H88:I88)</f>
        <v>87</v>
      </c>
    </row>
    <row r="89" spans="1:10" ht="15.75" x14ac:dyDescent="0.25">
      <c r="A89" s="31" t="s">
        <v>154</v>
      </c>
      <c r="B89" s="31"/>
      <c r="C89" s="31"/>
      <c r="D89" s="31"/>
      <c r="E89" s="31"/>
      <c r="F89" s="31"/>
      <c r="G89" s="35">
        <v>2</v>
      </c>
      <c r="H89" s="47">
        <f t="shared" si="71"/>
        <v>41.5</v>
      </c>
      <c r="I89" s="47">
        <f t="shared" si="72"/>
        <v>45.5</v>
      </c>
      <c r="J89" s="9">
        <f t="shared" si="73"/>
        <v>87</v>
      </c>
    </row>
    <row r="90" spans="1:10" ht="15.75" x14ac:dyDescent="0.25">
      <c r="A90" s="31" t="s">
        <v>155</v>
      </c>
      <c r="B90" s="31">
        <v>1.25</v>
      </c>
      <c r="C90" s="31">
        <v>1.25</v>
      </c>
      <c r="D90" s="31"/>
      <c r="E90" s="31"/>
      <c r="F90" s="31"/>
      <c r="G90" s="31"/>
      <c r="H90" s="47">
        <f t="shared" ref="H90:H91" si="74">H89-F90-D90+B90</f>
        <v>42.75</v>
      </c>
      <c r="I90" s="47">
        <f t="shared" ref="I90:I91" si="75">I89-E90+C90</f>
        <v>46.75</v>
      </c>
      <c r="J90" s="9">
        <f t="shared" ref="J90:J91" si="76">SUM(H90:I90)</f>
        <v>89.5</v>
      </c>
    </row>
    <row r="91" spans="1:10" ht="15.75" x14ac:dyDescent="0.25">
      <c r="A91" s="31" t="s">
        <v>156</v>
      </c>
      <c r="B91" s="31"/>
      <c r="C91" s="31"/>
      <c r="D91" s="31"/>
      <c r="E91" s="31">
        <v>1</v>
      </c>
      <c r="F91" s="31"/>
      <c r="G91" s="31"/>
      <c r="H91" s="47">
        <f t="shared" si="74"/>
        <v>42.75</v>
      </c>
      <c r="I91" s="47">
        <f t="shared" si="75"/>
        <v>45.75</v>
      </c>
      <c r="J91" s="9">
        <f t="shared" si="76"/>
        <v>88.5</v>
      </c>
    </row>
    <row r="92" spans="1:10" ht="15.75" x14ac:dyDescent="0.25">
      <c r="A92" s="31" t="s">
        <v>157</v>
      </c>
      <c r="B92" s="31"/>
      <c r="C92" s="31"/>
      <c r="D92" s="31"/>
      <c r="E92" s="31">
        <v>2</v>
      </c>
      <c r="F92" s="31"/>
      <c r="G92" s="31"/>
      <c r="H92" s="47">
        <f t="shared" ref="H92" si="77">H91-F92-D92+B92</f>
        <v>42.75</v>
      </c>
      <c r="I92" s="47">
        <f t="shared" ref="I92" si="78">I91-E92+C92</f>
        <v>43.75</v>
      </c>
      <c r="J92" s="9">
        <f t="shared" ref="J92" si="79">SUM(H92:I92)</f>
        <v>86.5</v>
      </c>
    </row>
    <row r="93" spans="1:10" ht="15.75" x14ac:dyDescent="0.25">
      <c r="A93" s="31" t="s">
        <v>158</v>
      </c>
      <c r="B93" s="31">
        <v>1.25</v>
      </c>
      <c r="C93" s="31">
        <v>1.25</v>
      </c>
      <c r="D93" s="31"/>
      <c r="E93" s="31"/>
      <c r="F93" s="31"/>
      <c r="G93" s="31"/>
      <c r="H93" s="47">
        <f t="shared" ref="H93:H95" si="80">H92-F93-D93+B93</f>
        <v>44</v>
      </c>
      <c r="I93" s="47">
        <f t="shared" ref="I93:I95" si="81">I92-E93+C93</f>
        <v>45</v>
      </c>
      <c r="J93" s="9">
        <f t="shared" ref="J93:J95" si="82">SUM(H93:I93)</f>
        <v>89</v>
      </c>
    </row>
    <row r="94" spans="1:10" ht="15.75" x14ac:dyDescent="0.25">
      <c r="A94" s="31" t="s">
        <v>159</v>
      </c>
      <c r="B94" s="31"/>
      <c r="C94" s="31"/>
      <c r="D94" s="31"/>
      <c r="E94" s="31"/>
      <c r="F94" s="64">
        <v>2</v>
      </c>
      <c r="G94" s="31"/>
      <c r="H94" s="47">
        <f t="shared" si="80"/>
        <v>42</v>
      </c>
      <c r="I94" s="47">
        <f t="shared" si="81"/>
        <v>45</v>
      </c>
      <c r="J94" s="9">
        <f t="shared" si="82"/>
        <v>87</v>
      </c>
    </row>
    <row r="95" spans="1:10" ht="15.75" x14ac:dyDescent="0.25">
      <c r="A95" s="31" t="s">
        <v>160</v>
      </c>
      <c r="B95" s="31"/>
      <c r="C95" s="31"/>
      <c r="D95" s="31"/>
      <c r="E95" s="31"/>
      <c r="F95" s="31"/>
      <c r="G95" s="35">
        <v>1</v>
      </c>
      <c r="H95" s="47">
        <f t="shared" si="80"/>
        <v>42</v>
      </c>
      <c r="I95" s="47">
        <f t="shared" si="81"/>
        <v>45</v>
      </c>
      <c r="J95" s="9">
        <f t="shared" si="82"/>
        <v>87</v>
      </c>
    </row>
    <row r="96" spans="1:10" ht="15.75" x14ac:dyDescent="0.25">
      <c r="A96" s="31" t="s">
        <v>161</v>
      </c>
      <c r="B96" s="31">
        <v>1.25</v>
      </c>
      <c r="C96" s="31">
        <v>1.25</v>
      </c>
      <c r="D96" s="31"/>
      <c r="E96" s="31"/>
      <c r="F96" s="31"/>
      <c r="G96" s="31"/>
      <c r="H96" s="47">
        <f t="shared" ref="H96:H97" si="83">H95-F96-D96+B96</f>
        <v>43.25</v>
      </c>
      <c r="I96" s="47">
        <f t="shared" ref="I96:I97" si="84">I95-E96+C96</f>
        <v>46.25</v>
      </c>
      <c r="J96" s="9">
        <f t="shared" ref="J96:J97" si="85">SUM(H96:I96)</f>
        <v>89.5</v>
      </c>
    </row>
    <row r="97" spans="1:11" ht="15.75" x14ac:dyDescent="0.25">
      <c r="A97" s="31" t="s">
        <v>162</v>
      </c>
      <c r="B97" s="31"/>
      <c r="C97" s="31"/>
      <c r="D97" s="31">
        <v>30</v>
      </c>
      <c r="E97" s="31"/>
      <c r="F97" s="31"/>
      <c r="G97" s="31"/>
      <c r="H97" s="47">
        <f t="shared" si="83"/>
        <v>13.25</v>
      </c>
      <c r="I97" s="47">
        <f t="shared" si="84"/>
        <v>46.25</v>
      </c>
      <c r="J97" s="9">
        <f t="shared" si="85"/>
        <v>59.5</v>
      </c>
    </row>
    <row r="98" spans="1:11" ht="15.75" x14ac:dyDescent="0.25">
      <c r="A98" s="31" t="s">
        <v>163</v>
      </c>
      <c r="B98" s="31">
        <v>1.25</v>
      </c>
      <c r="C98" s="31">
        <v>1.25</v>
      </c>
      <c r="D98" s="31"/>
      <c r="E98" s="31"/>
      <c r="F98" s="31"/>
      <c r="G98" s="31"/>
      <c r="H98" s="47">
        <f t="shared" ref="H98:H99" si="86">H97-F98-D98+B98</f>
        <v>14.5</v>
      </c>
      <c r="I98" s="47">
        <f t="shared" ref="I98:I99" si="87">I97-E98+C98</f>
        <v>47.5</v>
      </c>
      <c r="J98" s="9">
        <f t="shared" ref="J98:J99" si="88">SUM(H98:I98)</f>
        <v>62</v>
      </c>
    </row>
    <row r="99" spans="1:11" ht="15.75" x14ac:dyDescent="0.25">
      <c r="A99" s="31" t="s">
        <v>164</v>
      </c>
      <c r="B99" s="31"/>
      <c r="C99" s="31"/>
      <c r="D99" s="31"/>
      <c r="E99" s="31">
        <v>2</v>
      </c>
      <c r="F99" s="31"/>
      <c r="G99" s="31"/>
      <c r="H99" s="47">
        <f t="shared" si="86"/>
        <v>14.5</v>
      </c>
      <c r="I99" s="47">
        <f t="shared" si="87"/>
        <v>45.5</v>
      </c>
      <c r="J99" s="9">
        <f t="shared" si="88"/>
        <v>60</v>
      </c>
    </row>
    <row r="100" spans="1:11" ht="15.75" x14ac:dyDescent="0.25">
      <c r="A100" s="31" t="s">
        <v>177</v>
      </c>
      <c r="B100" s="31">
        <v>6.25</v>
      </c>
      <c r="C100" s="31">
        <v>6.25</v>
      </c>
      <c r="D100" s="31"/>
      <c r="E100" s="31"/>
      <c r="F100" s="31"/>
      <c r="G100" s="31"/>
      <c r="H100" s="47">
        <f t="shared" ref="H100" si="89">H99-F100-D100+B100</f>
        <v>20.75</v>
      </c>
      <c r="I100" s="47">
        <f t="shared" ref="I100" si="90">I99-E100+C100</f>
        <v>51.75</v>
      </c>
      <c r="J100" s="9">
        <f t="shared" ref="J100" si="91">SUM(H100:I100)</f>
        <v>72.5</v>
      </c>
    </row>
    <row r="101" spans="1:11" ht="15.75" x14ac:dyDescent="0.25">
      <c r="A101" s="31" t="s">
        <v>178</v>
      </c>
      <c r="B101" s="31"/>
      <c r="C101" s="31"/>
      <c r="D101" s="31"/>
      <c r="E101" s="31">
        <v>3</v>
      </c>
      <c r="F101" s="31"/>
      <c r="G101" s="31"/>
      <c r="H101" s="47">
        <f t="shared" ref="H101" si="92">H100-F101-D101+B101</f>
        <v>20.75</v>
      </c>
      <c r="I101" s="47">
        <f t="shared" ref="I101" si="93">I100-E101+C101</f>
        <v>48.75</v>
      </c>
      <c r="J101" s="9">
        <f t="shared" ref="J101" si="94">SUM(H101:I101)</f>
        <v>69.5</v>
      </c>
    </row>
    <row r="102" spans="1:11" ht="15.75" x14ac:dyDescent="0.25">
      <c r="A102" s="31" t="s">
        <v>179</v>
      </c>
      <c r="B102" s="31">
        <v>1.25</v>
      </c>
      <c r="C102" s="31">
        <v>1.25</v>
      </c>
      <c r="D102" s="31"/>
      <c r="E102" s="31"/>
      <c r="F102" s="31"/>
      <c r="G102" s="31"/>
      <c r="H102" s="47">
        <f t="shared" ref="H102" si="95">H101-F102-D102+B102</f>
        <v>22</v>
      </c>
      <c r="I102" s="47">
        <f t="shared" ref="I102" si="96">I101-E102+C102</f>
        <v>50</v>
      </c>
      <c r="J102" s="9">
        <f t="shared" ref="J102" si="97">SUM(H102:I102)</f>
        <v>72</v>
      </c>
    </row>
    <row r="103" spans="1:11" ht="15.75" x14ac:dyDescent="0.25">
      <c r="A103" s="31" t="s">
        <v>182</v>
      </c>
      <c r="B103" s="31"/>
      <c r="C103" s="31"/>
      <c r="D103" s="31"/>
      <c r="E103" s="31"/>
      <c r="F103" s="64">
        <v>3</v>
      </c>
      <c r="G103" s="31"/>
      <c r="H103" s="47">
        <f t="shared" ref="H103" si="98">H102-F103-D103+B103</f>
        <v>19</v>
      </c>
      <c r="I103" s="47">
        <f t="shared" ref="I103" si="99">I102-E103+C103</f>
        <v>50</v>
      </c>
      <c r="J103" s="9">
        <f t="shared" ref="J103" si="100">SUM(H103:I103)</f>
        <v>69</v>
      </c>
      <c r="K103" t="s">
        <v>181</v>
      </c>
    </row>
    <row r="104" spans="1:11" ht="15.75" x14ac:dyDescent="0.25">
      <c r="A104" s="31"/>
      <c r="B104" s="31"/>
      <c r="C104" s="31"/>
      <c r="D104" s="31"/>
      <c r="E104" s="31"/>
      <c r="F104" s="31"/>
      <c r="G104" s="31"/>
      <c r="H104" s="47"/>
      <c r="I104" s="47"/>
      <c r="J104" s="9"/>
    </row>
    <row r="105" spans="1:11" ht="15.75" x14ac:dyDescent="0.25">
      <c r="H105" s="45"/>
      <c r="I105" s="45"/>
      <c r="J105" s="43"/>
    </row>
    <row r="106" spans="1:11" x14ac:dyDescent="0.25">
      <c r="G106" s="1" t="s">
        <v>19</v>
      </c>
    </row>
    <row r="107" spans="1:11" x14ac:dyDescent="0.25">
      <c r="G107" s="1"/>
    </row>
    <row r="108" spans="1:11" ht="11.25" customHeight="1" x14ac:dyDescent="0.25">
      <c r="G108" s="1"/>
    </row>
    <row r="109" spans="1:11" x14ac:dyDescent="0.25">
      <c r="H109" s="44" t="s">
        <v>20</v>
      </c>
    </row>
    <row r="110" spans="1:11" x14ac:dyDescent="0.25">
      <c r="H110" s="11" t="s">
        <v>21</v>
      </c>
    </row>
    <row r="111" spans="1:11" x14ac:dyDescent="0.25">
      <c r="H111" s="11" t="s">
        <v>22</v>
      </c>
    </row>
    <row r="112" spans="1:11" x14ac:dyDescent="0.25">
      <c r="A112" s="1"/>
    </row>
    <row r="113" spans="1:1" x14ac:dyDescent="0.25">
      <c r="A113" s="1"/>
    </row>
  </sheetData>
  <mergeCells count="12">
    <mergeCell ref="B9:D9"/>
    <mergeCell ref="A10:J10"/>
    <mergeCell ref="A2:J2"/>
    <mergeCell ref="A3:J3"/>
    <mergeCell ref="A4:J4"/>
    <mergeCell ref="A5:J5"/>
    <mergeCell ref="B7:D7"/>
    <mergeCell ref="B11:C11"/>
    <mergeCell ref="A11:A12"/>
    <mergeCell ref="J11:J12"/>
    <mergeCell ref="H11:I11"/>
    <mergeCell ref="D11:G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F4BB-5872-47F6-97DA-70476CEA6984}">
  <sheetPr>
    <pageSetUpPr fitToPage="1"/>
  </sheetPr>
  <dimension ref="A2:I25"/>
  <sheetViews>
    <sheetView view="pageBreakPreview" topLeftCell="A18" zoomScale="96" zoomScaleNormal="100" zoomScaleSheetLayoutView="96" workbookViewId="0">
      <selection activeCell="M26" sqref="M26"/>
    </sheetView>
  </sheetViews>
  <sheetFormatPr defaultRowHeight="15" x14ac:dyDescent="0.25"/>
  <cols>
    <col min="1" max="1" width="21.85546875" customWidth="1"/>
    <col min="3" max="3" width="15.42578125" customWidth="1"/>
    <col min="5" max="5" width="7.42578125" customWidth="1"/>
    <col min="7" max="7" width="7" customWidth="1"/>
  </cols>
  <sheetData>
    <row r="2" spans="1:9" s="1" customFormat="1" ht="52.5" customHeight="1" x14ac:dyDescent="0.25">
      <c r="C2" s="10"/>
      <c r="F2" s="11"/>
    </row>
    <row r="3" spans="1:9" s="1" customFormat="1" ht="10.5" customHeight="1" x14ac:dyDescent="0.25">
      <c r="A3" s="80" t="s">
        <v>15</v>
      </c>
      <c r="B3" s="80"/>
      <c r="C3" s="80"/>
      <c r="D3" s="80"/>
      <c r="E3" s="80"/>
      <c r="F3" s="80"/>
      <c r="G3" s="80"/>
      <c r="H3" s="80"/>
      <c r="I3" s="80"/>
    </row>
    <row r="4" spans="1:9" s="1" customFormat="1" ht="15.95" customHeight="1" x14ac:dyDescent="0.25">
      <c r="A4" s="80" t="s">
        <v>16</v>
      </c>
      <c r="B4" s="80"/>
      <c r="C4" s="80"/>
      <c r="D4" s="80"/>
      <c r="E4" s="80"/>
      <c r="F4" s="80"/>
      <c r="G4" s="80"/>
      <c r="H4" s="80"/>
      <c r="I4" s="80"/>
    </row>
    <row r="5" spans="1:9" s="1" customFormat="1" ht="15.95" customHeight="1" x14ac:dyDescent="0.25">
      <c r="A5" s="80" t="s">
        <v>17</v>
      </c>
      <c r="B5" s="80"/>
      <c r="C5" s="80"/>
      <c r="D5" s="80"/>
      <c r="E5" s="80"/>
      <c r="F5" s="80"/>
      <c r="G5" s="80"/>
      <c r="H5" s="80"/>
      <c r="I5" s="80"/>
    </row>
    <row r="6" spans="1:9" s="1" customFormat="1" ht="15.95" customHeight="1" x14ac:dyDescent="0.25">
      <c r="A6" s="80" t="s">
        <v>18</v>
      </c>
      <c r="B6" s="80"/>
      <c r="C6" s="80"/>
      <c r="D6" s="80"/>
      <c r="E6" s="80"/>
      <c r="F6" s="80"/>
      <c r="G6" s="80"/>
      <c r="H6" s="80"/>
      <c r="I6" s="80"/>
    </row>
    <row r="7" spans="1:9" s="1" customFormat="1" ht="8.25" customHeight="1" x14ac:dyDescent="0.25">
      <c r="C7" s="11"/>
      <c r="F7" s="11"/>
    </row>
    <row r="8" spans="1:9" s="1" customFormat="1" ht="8.25" customHeight="1" x14ac:dyDescent="0.25">
      <c r="C8" s="11"/>
      <c r="F8" s="11"/>
    </row>
    <row r="9" spans="1:9" s="1" customFormat="1" ht="12" customHeight="1" x14ac:dyDescent="0.25">
      <c r="A9" s="2" t="s">
        <v>55</v>
      </c>
      <c r="B9" s="2"/>
      <c r="C9" s="86" t="s">
        <v>45</v>
      </c>
      <c r="D9" s="86"/>
      <c r="E9" s="86"/>
      <c r="G9" s="86" t="s">
        <v>46</v>
      </c>
      <c r="H9" s="86"/>
      <c r="I9" s="86"/>
    </row>
    <row r="10" spans="1:9" s="1" customFormat="1" ht="12" customHeight="1" x14ac:dyDescent="0.25">
      <c r="B10" s="3"/>
      <c r="C10" s="86"/>
      <c r="D10" s="86"/>
      <c r="E10" s="86"/>
      <c r="G10" s="87" t="s">
        <v>47</v>
      </c>
      <c r="H10" s="87"/>
      <c r="I10" s="87"/>
    </row>
    <row r="11" spans="1:9" s="1" customFormat="1" ht="12" customHeight="1" x14ac:dyDescent="0.25">
      <c r="A11" s="2" t="s">
        <v>56</v>
      </c>
      <c r="B11" s="2"/>
      <c r="C11" s="86" t="s">
        <v>57</v>
      </c>
      <c r="D11" s="86"/>
      <c r="E11" s="86"/>
      <c r="G11" s="86" t="s">
        <v>48</v>
      </c>
      <c r="H11" s="86"/>
      <c r="I11" s="86"/>
    </row>
    <row r="12" spans="1:9" s="1" customFormat="1" ht="12" customHeight="1" x14ac:dyDescent="0.25">
      <c r="A12" s="2"/>
      <c r="B12" s="2"/>
      <c r="C12" s="12"/>
      <c r="G12" s="65"/>
      <c r="H12" s="65"/>
      <c r="I12" s="65"/>
    </row>
    <row r="13" spans="1:9" ht="16.5" customHeight="1" thickBot="1" x14ac:dyDescent="0.3">
      <c r="A13" s="79" t="s">
        <v>49</v>
      </c>
      <c r="B13" s="79"/>
      <c r="C13" s="79"/>
      <c r="D13" s="79"/>
      <c r="E13" s="79"/>
      <c r="F13" s="79"/>
      <c r="G13" s="79"/>
      <c r="H13" s="79"/>
      <c r="I13" s="79"/>
    </row>
    <row r="14" spans="1:9" s="13" customFormat="1" ht="18.75" customHeight="1" x14ac:dyDescent="0.2">
      <c r="A14" s="88" t="s">
        <v>50</v>
      </c>
      <c r="B14" s="91" t="s">
        <v>171</v>
      </c>
      <c r="C14" s="92"/>
      <c r="D14" s="91" t="s">
        <v>51</v>
      </c>
      <c r="E14" s="92"/>
      <c r="F14" s="91" t="s">
        <v>52</v>
      </c>
      <c r="G14" s="92"/>
      <c r="H14" s="91" t="s">
        <v>53</v>
      </c>
      <c r="I14" s="92"/>
    </row>
    <row r="15" spans="1:9" s="13" customFormat="1" ht="18.75" customHeight="1" x14ac:dyDescent="0.2">
      <c r="A15" s="89"/>
      <c r="B15" s="93"/>
      <c r="C15" s="94"/>
      <c r="D15" s="93"/>
      <c r="E15" s="94"/>
      <c r="F15" s="93"/>
      <c r="G15" s="94"/>
      <c r="H15" s="93"/>
      <c r="I15" s="94"/>
    </row>
    <row r="16" spans="1:9" s="13" customFormat="1" ht="24" customHeight="1" x14ac:dyDescent="0.2">
      <c r="A16" s="90"/>
      <c r="B16" s="95"/>
      <c r="C16" s="96"/>
      <c r="D16" s="95"/>
      <c r="E16" s="96"/>
      <c r="F16" s="95"/>
      <c r="G16" s="96"/>
      <c r="H16" s="95"/>
      <c r="I16" s="96"/>
    </row>
    <row r="17" spans="1:9" s="13" customFormat="1" ht="39.75" customHeight="1" x14ac:dyDescent="0.2">
      <c r="A17" s="70" t="s">
        <v>172</v>
      </c>
      <c r="B17" s="81" t="s">
        <v>54</v>
      </c>
      <c r="C17" s="82"/>
      <c r="D17" s="81">
        <v>5</v>
      </c>
      <c r="E17" s="83"/>
      <c r="F17" s="81">
        <v>0</v>
      </c>
      <c r="G17" s="83"/>
      <c r="H17" s="81">
        <v>5</v>
      </c>
      <c r="I17" s="83"/>
    </row>
    <row r="18" spans="1:9" s="14" customFormat="1" ht="39" customHeight="1" x14ac:dyDescent="0.2">
      <c r="A18" s="71" t="s">
        <v>58</v>
      </c>
      <c r="B18" s="81" t="s">
        <v>54</v>
      </c>
      <c r="C18" s="82"/>
      <c r="D18" s="81"/>
      <c r="E18" s="83"/>
      <c r="F18" s="81">
        <v>3</v>
      </c>
      <c r="G18" s="83"/>
      <c r="H18" s="81">
        <v>2</v>
      </c>
      <c r="I18" s="83"/>
    </row>
    <row r="19" spans="1:9" s="14" customFormat="1" ht="36.75" customHeight="1" x14ac:dyDescent="0.2">
      <c r="A19" s="71" t="s">
        <v>95</v>
      </c>
      <c r="B19" s="81" t="s">
        <v>54</v>
      </c>
      <c r="C19" s="82"/>
      <c r="D19" s="81"/>
      <c r="E19" s="83"/>
      <c r="F19" s="81">
        <v>1</v>
      </c>
      <c r="G19" s="83"/>
      <c r="H19" s="81">
        <v>1</v>
      </c>
      <c r="I19" s="83"/>
    </row>
    <row r="20" spans="1:9" s="14" customFormat="1" ht="36.75" customHeight="1" x14ac:dyDescent="0.2">
      <c r="A20" s="71" t="s">
        <v>133</v>
      </c>
      <c r="B20" s="81" t="s">
        <v>54</v>
      </c>
      <c r="C20" s="82"/>
      <c r="D20" s="81"/>
      <c r="E20" s="83"/>
      <c r="F20" s="81">
        <v>1</v>
      </c>
      <c r="G20" s="83"/>
      <c r="H20" s="84">
        <v>0</v>
      </c>
      <c r="I20" s="85"/>
    </row>
    <row r="21" spans="1:9" s="1" customFormat="1" ht="33.75" customHeight="1" x14ac:dyDescent="0.25">
      <c r="A21" s="70" t="s">
        <v>174</v>
      </c>
      <c r="B21" s="81" t="s">
        <v>170</v>
      </c>
      <c r="C21" s="82"/>
      <c r="D21" s="81">
        <v>5</v>
      </c>
      <c r="E21" s="83"/>
      <c r="F21" s="81">
        <v>0</v>
      </c>
      <c r="G21" s="83"/>
      <c r="H21" s="81">
        <v>5</v>
      </c>
      <c r="I21" s="83"/>
    </row>
    <row r="22" spans="1:9" s="1" customFormat="1" ht="42" customHeight="1" x14ac:dyDescent="0.25">
      <c r="A22" s="71" t="s">
        <v>173</v>
      </c>
      <c r="B22" s="81" t="s">
        <v>170</v>
      </c>
      <c r="C22" s="82"/>
      <c r="D22" s="81"/>
      <c r="E22" s="83"/>
      <c r="F22" s="81">
        <v>3</v>
      </c>
      <c r="G22" s="83"/>
      <c r="H22" s="81">
        <v>2</v>
      </c>
      <c r="I22" s="83"/>
    </row>
    <row r="23" spans="1:9" s="1" customFormat="1" ht="42" customHeight="1" x14ac:dyDescent="0.25">
      <c r="A23" s="71" t="s">
        <v>180</v>
      </c>
      <c r="B23" s="81" t="s">
        <v>170</v>
      </c>
      <c r="C23" s="82"/>
      <c r="D23" s="81"/>
      <c r="E23" s="83"/>
      <c r="F23" s="81">
        <v>2</v>
      </c>
      <c r="G23" s="83"/>
      <c r="H23" s="84">
        <v>0</v>
      </c>
      <c r="I23" s="85"/>
    </row>
    <row r="24" spans="1:9" s="1" customFormat="1" ht="33.75" customHeight="1" x14ac:dyDescent="0.25">
      <c r="A24" s="70" t="s">
        <v>175</v>
      </c>
      <c r="B24" s="81" t="s">
        <v>170</v>
      </c>
      <c r="C24" s="82"/>
      <c r="D24" s="81">
        <v>5</v>
      </c>
      <c r="E24" s="83"/>
      <c r="F24" s="81">
        <v>0</v>
      </c>
      <c r="G24" s="83"/>
      <c r="H24" s="81">
        <v>5</v>
      </c>
      <c r="I24" s="83"/>
    </row>
    <row r="25" spans="1:9" s="1" customFormat="1" ht="42" customHeight="1" x14ac:dyDescent="0.25">
      <c r="A25" s="71" t="s">
        <v>176</v>
      </c>
      <c r="B25" s="81" t="s">
        <v>170</v>
      </c>
      <c r="C25" s="82"/>
      <c r="D25" s="81"/>
      <c r="E25" s="83"/>
      <c r="F25" s="81">
        <v>5</v>
      </c>
      <c r="G25" s="83"/>
      <c r="H25" s="84">
        <v>0</v>
      </c>
      <c r="I25" s="85"/>
    </row>
  </sheetData>
  <mergeCells count="52">
    <mergeCell ref="B25:C25"/>
    <mergeCell ref="D25:E25"/>
    <mergeCell ref="F25:G25"/>
    <mergeCell ref="H25:I25"/>
    <mergeCell ref="B19:C19"/>
    <mergeCell ref="D19:E19"/>
    <mergeCell ref="F19:G19"/>
    <mergeCell ref="H19:I19"/>
    <mergeCell ref="B24:C24"/>
    <mergeCell ref="D24:E24"/>
    <mergeCell ref="F24:G24"/>
    <mergeCell ref="H24:I24"/>
    <mergeCell ref="B17:C17"/>
    <mergeCell ref="D17:E17"/>
    <mergeCell ref="F17:G17"/>
    <mergeCell ref="H17:I17"/>
    <mergeCell ref="B18:C18"/>
    <mergeCell ref="D18:E18"/>
    <mergeCell ref="F18:G18"/>
    <mergeCell ref="H18:I18"/>
    <mergeCell ref="C10:E10"/>
    <mergeCell ref="G10:I10"/>
    <mergeCell ref="G11:I11"/>
    <mergeCell ref="A13:I13"/>
    <mergeCell ref="A14:A16"/>
    <mergeCell ref="B14:C16"/>
    <mergeCell ref="D14:E16"/>
    <mergeCell ref="F14:G16"/>
    <mergeCell ref="H14:I16"/>
    <mergeCell ref="C11:E11"/>
    <mergeCell ref="A3:I3"/>
    <mergeCell ref="A4:I4"/>
    <mergeCell ref="A5:I5"/>
    <mergeCell ref="A6:I6"/>
    <mergeCell ref="C9:E9"/>
    <mergeCell ref="G9:I9"/>
    <mergeCell ref="B21:C21"/>
    <mergeCell ref="D21:E21"/>
    <mergeCell ref="F21:G21"/>
    <mergeCell ref="H21:I21"/>
    <mergeCell ref="B20:C20"/>
    <mergeCell ref="D20:E20"/>
    <mergeCell ref="F20:G20"/>
    <mergeCell ref="H20:I20"/>
    <mergeCell ref="B23:C23"/>
    <mergeCell ref="D23:E23"/>
    <mergeCell ref="F23:G23"/>
    <mergeCell ref="H23:I23"/>
    <mergeCell ref="B22:C22"/>
    <mergeCell ref="D22:E22"/>
    <mergeCell ref="F22:G22"/>
    <mergeCell ref="H22:I22"/>
  </mergeCells>
  <phoneticPr fontId="16" type="noConversion"/>
  <printOptions horizontalCentered="1"/>
  <pageMargins left="0.7" right="0.7" top="0.75" bottom="0.75" header="0.3" footer="0.3"/>
  <pageSetup paperSize="9" scale="90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D4B8-02AA-49BE-91A6-CABB6DFCAC75}">
  <sheetPr>
    <pageSetUpPr fitToPage="1"/>
  </sheetPr>
  <dimension ref="A1:L26"/>
  <sheetViews>
    <sheetView view="pageBreakPreview" zoomScale="108" zoomScaleNormal="100" zoomScaleSheetLayoutView="108" workbookViewId="0">
      <selection activeCell="A17" sqref="A17:XFD17"/>
    </sheetView>
  </sheetViews>
  <sheetFormatPr defaultRowHeight="15" x14ac:dyDescent="0.25"/>
  <cols>
    <col min="1" max="1" width="27.1406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80" t="s">
        <v>15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s="1" customFormat="1" ht="15.95" customHeight="1" x14ac:dyDescent="0.25">
      <c r="A3" s="80" t="s">
        <v>16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s="1" customFormat="1" ht="15.95" customHeight="1" x14ac:dyDescent="0.25">
      <c r="A4" s="80" t="s">
        <v>17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 s="1" customFormat="1" ht="15.95" customHeight="1" x14ac:dyDescent="0.25">
      <c r="A5" s="80" t="s">
        <v>18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s="1" customFormat="1" ht="8.25" customHeight="1" x14ac:dyDescent="0.25"/>
    <row r="7" spans="1:12" s="1" customFormat="1" ht="12" customHeight="1" x14ac:dyDescent="0.25">
      <c r="A7" s="1" t="s">
        <v>64</v>
      </c>
      <c r="C7" s="2" t="s">
        <v>65</v>
      </c>
      <c r="D7" s="2"/>
      <c r="G7" s="2" t="s">
        <v>9</v>
      </c>
      <c r="H7" s="17"/>
    </row>
    <row r="8" spans="1:12" s="1" customFormat="1" ht="12" customHeight="1" x14ac:dyDescent="0.25">
      <c r="C8" s="3"/>
      <c r="G8" s="3"/>
      <c r="H8" s="3"/>
    </row>
    <row r="9" spans="1:12" s="1" customFormat="1" ht="12" customHeight="1" x14ac:dyDescent="0.25">
      <c r="A9" s="1" t="s">
        <v>66</v>
      </c>
      <c r="C9" s="2" t="s">
        <v>67</v>
      </c>
      <c r="D9" s="2"/>
      <c r="G9" s="2" t="s">
        <v>10</v>
      </c>
      <c r="H9" s="5"/>
    </row>
    <row r="10" spans="1:12" ht="16.5" customHeight="1" thickBot="1" x14ac:dyDescent="0.3">
      <c r="A10" s="99" t="s">
        <v>79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</row>
    <row r="11" spans="1:12" s="22" customFormat="1" ht="20.100000000000001" customHeight="1" x14ac:dyDescent="0.2">
      <c r="A11" s="100" t="s">
        <v>4</v>
      </c>
      <c r="B11" s="102" t="s">
        <v>5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4" t="s">
        <v>8</v>
      </c>
    </row>
    <row r="12" spans="1:12" s="22" customFormat="1" ht="20.100000000000001" customHeight="1" x14ac:dyDescent="0.2">
      <c r="A12" s="101"/>
      <c r="B12" s="106" t="s">
        <v>80</v>
      </c>
      <c r="C12" s="107"/>
      <c r="D12" s="107"/>
      <c r="E12" s="108"/>
      <c r="F12" s="106" t="s">
        <v>51</v>
      </c>
      <c r="G12" s="108"/>
      <c r="H12" s="106" t="s">
        <v>52</v>
      </c>
      <c r="I12" s="108"/>
      <c r="J12" s="106" t="s">
        <v>53</v>
      </c>
      <c r="K12" s="108"/>
      <c r="L12" s="105"/>
    </row>
    <row r="13" spans="1:12" s="13" customFormat="1" ht="20.100000000000001" customHeight="1" x14ac:dyDescent="0.2">
      <c r="A13" s="27" t="s">
        <v>165</v>
      </c>
      <c r="B13" s="109" t="s">
        <v>116</v>
      </c>
      <c r="C13" s="110"/>
      <c r="D13" s="110"/>
      <c r="E13" s="111"/>
      <c r="F13" s="112">
        <v>4.5</v>
      </c>
      <c r="G13" s="113"/>
      <c r="H13" s="112">
        <v>0</v>
      </c>
      <c r="I13" s="113"/>
      <c r="J13" s="112">
        <v>4.5</v>
      </c>
      <c r="K13" s="113"/>
      <c r="L13" s="39">
        <v>4.5</v>
      </c>
    </row>
    <row r="14" spans="1:12" s="13" customFormat="1" ht="20.100000000000001" customHeight="1" x14ac:dyDescent="0.2">
      <c r="A14" s="27" t="s">
        <v>119</v>
      </c>
      <c r="B14" s="109" t="s">
        <v>116</v>
      </c>
      <c r="C14" s="110"/>
      <c r="D14" s="110"/>
      <c r="E14" s="111"/>
      <c r="F14" s="112"/>
      <c r="G14" s="113"/>
      <c r="H14" s="112">
        <v>1</v>
      </c>
      <c r="I14" s="113"/>
      <c r="J14" s="112">
        <v>3.5</v>
      </c>
      <c r="K14" s="113"/>
      <c r="L14" s="39">
        <v>3.5</v>
      </c>
    </row>
    <row r="15" spans="1:12" s="13" customFormat="1" ht="20.100000000000001" customHeight="1" x14ac:dyDescent="0.2">
      <c r="A15" s="27" t="s">
        <v>125</v>
      </c>
      <c r="B15" s="109" t="s">
        <v>116</v>
      </c>
      <c r="C15" s="110"/>
      <c r="D15" s="110"/>
      <c r="E15" s="111"/>
      <c r="F15" s="112"/>
      <c r="G15" s="113"/>
      <c r="H15" s="112">
        <v>1</v>
      </c>
      <c r="I15" s="113"/>
      <c r="J15" s="112">
        <v>2.5</v>
      </c>
      <c r="K15" s="113"/>
      <c r="L15" s="39">
        <v>2.5</v>
      </c>
    </row>
    <row r="16" spans="1:12" s="13" customFormat="1" ht="20.100000000000001" customHeight="1" x14ac:dyDescent="0.2">
      <c r="A16" s="27" t="s">
        <v>126</v>
      </c>
      <c r="B16" s="109" t="s">
        <v>116</v>
      </c>
      <c r="C16" s="110"/>
      <c r="D16" s="110"/>
      <c r="E16" s="111"/>
      <c r="F16" s="112"/>
      <c r="G16" s="113"/>
      <c r="H16" s="112">
        <v>2</v>
      </c>
      <c r="I16" s="113"/>
      <c r="J16" s="112">
        <v>0.5</v>
      </c>
      <c r="K16" s="113"/>
      <c r="L16" s="39">
        <v>0.5</v>
      </c>
    </row>
    <row r="17" spans="1:12" s="68" customFormat="1" ht="30.75" customHeight="1" x14ac:dyDescent="0.2">
      <c r="A17" s="66" t="s">
        <v>166</v>
      </c>
      <c r="B17" s="97" t="s">
        <v>167</v>
      </c>
      <c r="C17" s="115"/>
      <c r="D17" s="115"/>
      <c r="E17" s="98"/>
      <c r="F17" s="97">
        <v>3</v>
      </c>
      <c r="G17" s="98"/>
      <c r="H17" s="97">
        <v>0</v>
      </c>
      <c r="I17" s="98"/>
      <c r="J17" s="97">
        <v>3</v>
      </c>
      <c r="K17" s="98"/>
      <c r="L17" s="67">
        <v>3</v>
      </c>
    </row>
    <row r="18" spans="1:12" s="68" customFormat="1" ht="28.5" customHeight="1" x14ac:dyDescent="0.2">
      <c r="A18" s="66" t="s">
        <v>168</v>
      </c>
      <c r="B18" s="97" t="s">
        <v>167</v>
      </c>
      <c r="C18" s="115"/>
      <c r="D18" s="115"/>
      <c r="E18" s="98"/>
      <c r="F18" s="97"/>
      <c r="G18" s="98"/>
      <c r="H18" s="97">
        <v>3</v>
      </c>
      <c r="I18" s="98"/>
      <c r="J18" s="97">
        <v>0</v>
      </c>
      <c r="K18" s="98"/>
      <c r="L18" s="69">
        <v>0</v>
      </c>
    </row>
    <row r="19" spans="1:12" s="14" customFormat="1" ht="20.100000000000001" customHeight="1" x14ac:dyDescent="0.2">
      <c r="A19" s="40"/>
      <c r="B19" s="48"/>
      <c r="C19" s="48"/>
      <c r="D19" s="48"/>
      <c r="E19" s="48"/>
      <c r="F19" s="41"/>
      <c r="G19" s="41"/>
      <c r="H19" s="41"/>
      <c r="I19" s="41"/>
      <c r="J19" s="41"/>
      <c r="K19" s="41"/>
      <c r="L19" s="40"/>
    </row>
    <row r="20" spans="1:12" s="14" customFormat="1" ht="20.100000000000001" customHeight="1" x14ac:dyDescent="0.2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0"/>
    </row>
    <row r="21" spans="1:12" s="23" customFormat="1" ht="18" customHeight="1" x14ac:dyDescent="0.2">
      <c r="A21" s="24" t="s">
        <v>81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1" customFormat="1" ht="18" customHeight="1" x14ac:dyDescent="0.25">
      <c r="C22" s="11"/>
      <c r="H22" s="1" t="s">
        <v>19</v>
      </c>
    </row>
    <row r="23" spans="1:12" s="1" customFormat="1" ht="18" customHeight="1" x14ac:dyDescent="0.25">
      <c r="C23" s="11"/>
    </row>
    <row r="24" spans="1:12" ht="18" customHeight="1" x14ac:dyDescent="0.25">
      <c r="H24" s="46" t="s">
        <v>20</v>
      </c>
      <c r="I24" s="42"/>
    </row>
    <row r="25" spans="1:12" ht="18" customHeight="1" x14ac:dyDescent="0.25">
      <c r="H25" t="s">
        <v>21</v>
      </c>
    </row>
    <row r="26" spans="1:12" ht="18" customHeight="1" x14ac:dyDescent="0.25">
      <c r="H26" s="114" t="s">
        <v>22</v>
      </c>
      <c r="I26" s="114"/>
    </row>
  </sheetData>
  <mergeCells count="37">
    <mergeCell ref="H26:I26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3:K13"/>
    <mergeCell ref="B14:E14"/>
    <mergeCell ref="F14:G14"/>
    <mergeCell ref="H14:I14"/>
    <mergeCell ref="J14:K14"/>
    <mergeCell ref="J18:K18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  <mergeCell ref="B13:E13"/>
    <mergeCell ref="F13:G13"/>
    <mergeCell ref="H13:I13"/>
  </mergeCells>
  <phoneticPr fontId="16" type="noConversion"/>
  <printOptions horizontalCentered="1"/>
  <pageMargins left="0.7" right="0.7" top="0.75" bottom="0.75" header="0.3" footer="0.3"/>
  <pageSetup paperSize="9" scale="64" fitToHeight="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96C43-58B6-4E0C-AFA7-8EC8CDD7E057}">
  <dimension ref="A1:L28"/>
  <sheetViews>
    <sheetView view="pageBreakPreview" topLeftCell="A4" zoomScale="108" zoomScaleNormal="100" zoomScaleSheetLayoutView="108" workbookViewId="0">
      <selection activeCell="F21" sqref="F21:G21"/>
    </sheetView>
  </sheetViews>
  <sheetFormatPr defaultRowHeight="15" x14ac:dyDescent="0.25"/>
  <cols>
    <col min="1" max="1" width="25.5703125" customWidth="1"/>
    <col min="2" max="2" width="17.5703125" customWidth="1"/>
  </cols>
  <sheetData>
    <row r="1" spans="1:12" s="1" customFormat="1" ht="52.5" customHeight="1" x14ac:dyDescent="0.25"/>
    <row r="2" spans="1:12" s="1" customFormat="1" ht="10.5" customHeight="1" x14ac:dyDescent="0.25">
      <c r="A2" s="80" t="s">
        <v>15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s="1" customFormat="1" ht="15.95" customHeight="1" x14ac:dyDescent="0.25">
      <c r="A3" s="80" t="s">
        <v>16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2" s="1" customFormat="1" ht="15.95" customHeight="1" x14ac:dyDescent="0.25">
      <c r="A4" s="80" t="s">
        <v>17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</row>
    <row r="5" spans="1:12" s="1" customFormat="1" ht="15.95" customHeight="1" x14ac:dyDescent="0.25">
      <c r="A5" s="80" t="s">
        <v>18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</row>
    <row r="6" spans="1:12" s="1" customFormat="1" ht="8.25" customHeight="1" x14ac:dyDescent="0.25"/>
    <row r="7" spans="1:12" s="1" customFormat="1" ht="12" customHeight="1" x14ac:dyDescent="0.25">
      <c r="A7" s="1" t="s">
        <v>64</v>
      </c>
      <c r="C7" s="2" t="s">
        <v>65</v>
      </c>
      <c r="D7" s="2"/>
      <c r="G7" s="2" t="s">
        <v>9</v>
      </c>
      <c r="H7" s="17"/>
    </row>
    <row r="8" spans="1:12" s="1" customFormat="1" ht="12" customHeight="1" x14ac:dyDescent="0.25">
      <c r="C8" s="3"/>
      <c r="G8" s="3"/>
      <c r="H8" s="3"/>
    </row>
    <row r="9" spans="1:12" s="1" customFormat="1" ht="12" customHeight="1" x14ac:dyDescent="0.25">
      <c r="A9" s="1" t="s">
        <v>66</v>
      </c>
      <c r="C9" s="2" t="s">
        <v>67</v>
      </c>
      <c r="D9" s="2"/>
      <c r="G9" s="2" t="s">
        <v>10</v>
      </c>
      <c r="H9" s="5"/>
    </row>
    <row r="10" spans="1:12" ht="16.5" customHeight="1" thickBot="1" x14ac:dyDescent="0.3">
      <c r="A10" s="99" t="s">
        <v>79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</row>
    <row r="11" spans="1:12" s="22" customFormat="1" ht="20.100000000000001" customHeight="1" x14ac:dyDescent="0.2">
      <c r="A11" s="100" t="s">
        <v>4</v>
      </c>
      <c r="B11" s="102" t="s">
        <v>5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4" t="s">
        <v>8</v>
      </c>
    </row>
    <row r="12" spans="1:12" s="22" customFormat="1" ht="20.100000000000001" customHeight="1" x14ac:dyDescent="0.2">
      <c r="A12" s="101"/>
      <c r="B12" s="106" t="s">
        <v>80</v>
      </c>
      <c r="C12" s="107"/>
      <c r="D12" s="107"/>
      <c r="E12" s="108"/>
      <c r="F12" s="106" t="s">
        <v>51</v>
      </c>
      <c r="G12" s="108"/>
      <c r="H12" s="106" t="s">
        <v>52</v>
      </c>
      <c r="I12" s="108"/>
      <c r="J12" s="106" t="s">
        <v>53</v>
      </c>
      <c r="K12" s="108"/>
      <c r="L12" s="105"/>
    </row>
    <row r="13" spans="1:12" s="13" customFormat="1" ht="20.100000000000001" customHeight="1" x14ac:dyDescent="0.2">
      <c r="A13" s="27" t="s">
        <v>82</v>
      </c>
      <c r="B13" s="116" t="s">
        <v>87</v>
      </c>
      <c r="C13" s="117"/>
      <c r="D13" s="117"/>
      <c r="E13" s="118"/>
      <c r="F13" s="119">
        <v>15</v>
      </c>
      <c r="G13" s="120"/>
      <c r="H13" s="119">
        <v>0</v>
      </c>
      <c r="I13" s="120"/>
      <c r="J13" s="119">
        <v>15</v>
      </c>
      <c r="K13" s="120"/>
      <c r="L13" s="28">
        <v>15</v>
      </c>
    </row>
    <row r="14" spans="1:12" s="13" customFormat="1" ht="20.100000000000001" customHeight="1" x14ac:dyDescent="0.2">
      <c r="A14" s="27" t="s">
        <v>83</v>
      </c>
      <c r="B14" s="116"/>
      <c r="C14" s="117"/>
      <c r="D14" s="117"/>
      <c r="E14" s="118"/>
      <c r="F14" s="119"/>
      <c r="G14" s="120"/>
      <c r="H14" s="119">
        <v>4</v>
      </c>
      <c r="I14" s="120"/>
      <c r="J14" s="119">
        <v>11</v>
      </c>
      <c r="K14" s="120"/>
      <c r="L14" s="28">
        <v>11</v>
      </c>
    </row>
    <row r="15" spans="1:12" s="13" customFormat="1" ht="20.100000000000001" customHeight="1" x14ac:dyDescent="0.2">
      <c r="A15" s="27" t="s">
        <v>84</v>
      </c>
      <c r="B15" s="116"/>
      <c r="C15" s="117"/>
      <c r="D15" s="117"/>
      <c r="E15" s="118"/>
      <c r="F15" s="119"/>
      <c r="G15" s="120"/>
      <c r="H15" s="119">
        <v>3</v>
      </c>
      <c r="I15" s="120"/>
      <c r="J15" s="119">
        <v>8</v>
      </c>
      <c r="K15" s="120"/>
      <c r="L15" s="28">
        <v>8</v>
      </c>
    </row>
    <row r="16" spans="1:12" s="13" customFormat="1" ht="20.100000000000001" customHeight="1" x14ac:dyDescent="0.2">
      <c r="A16" s="27" t="s">
        <v>85</v>
      </c>
      <c r="B16" s="116"/>
      <c r="C16" s="117"/>
      <c r="D16" s="117"/>
      <c r="E16" s="118"/>
      <c r="F16" s="119"/>
      <c r="G16" s="120"/>
      <c r="H16" s="119">
        <v>5</v>
      </c>
      <c r="I16" s="120"/>
      <c r="J16" s="119">
        <v>3</v>
      </c>
      <c r="K16" s="120"/>
      <c r="L16" s="28">
        <v>3</v>
      </c>
    </row>
    <row r="17" spans="1:12" s="13" customFormat="1" ht="20.100000000000001" customHeight="1" x14ac:dyDescent="0.2">
      <c r="A17" s="27" t="s">
        <v>86</v>
      </c>
      <c r="B17" s="116"/>
      <c r="C17" s="117"/>
      <c r="D17" s="117"/>
      <c r="E17" s="118"/>
      <c r="F17" s="119"/>
      <c r="G17" s="120"/>
      <c r="H17" s="119">
        <v>3</v>
      </c>
      <c r="I17" s="120"/>
      <c r="J17" s="119">
        <v>0</v>
      </c>
      <c r="K17" s="120"/>
      <c r="L17" s="29">
        <v>0</v>
      </c>
    </row>
    <row r="18" spans="1:12" s="14" customFormat="1" ht="20.100000000000001" customHeight="1" x14ac:dyDescent="0.2">
      <c r="A18" s="30" t="s">
        <v>88</v>
      </c>
      <c r="B18" s="119" t="s">
        <v>89</v>
      </c>
      <c r="C18" s="123"/>
      <c r="D18" s="123"/>
      <c r="E18" s="120"/>
      <c r="F18" s="119">
        <v>3</v>
      </c>
      <c r="G18" s="120"/>
      <c r="H18" s="119">
        <v>0</v>
      </c>
      <c r="I18" s="120"/>
      <c r="J18" s="119">
        <v>3</v>
      </c>
      <c r="K18" s="120"/>
      <c r="L18" s="28">
        <v>3</v>
      </c>
    </row>
    <row r="19" spans="1:12" s="14" customFormat="1" ht="20.100000000000001" customHeight="1" x14ac:dyDescent="0.2">
      <c r="A19" s="30" t="s">
        <v>90</v>
      </c>
      <c r="B19" s="119" t="s">
        <v>91</v>
      </c>
      <c r="C19" s="123"/>
      <c r="D19" s="123"/>
      <c r="E19" s="120"/>
      <c r="F19" s="119">
        <v>2</v>
      </c>
      <c r="G19" s="120"/>
      <c r="H19" s="119">
        <v>0</v>
      </c>
      <c r="I19" s="120"/>
      <c r="J19" s="119">
        <v>5</v>
      </c>
      <c r="K19" s="120"/>
      <c r="L19" s="28">
        <v>5</v>
      </c>
    </row>
    <row r="20" spans="1:12" s="13" customFormat="1" ht="20.100000000000001" customHeight="1" x14ac:dyDescent="0.2">
      <c r="A20" s="30" t="s">
        <v>92</v>
      </c>
      <c r="B20" s="119" t="s">
        <v>89</v>
      </c>
      <c r="C20" s="123"/>
      <c r="D20" s="123"/>
      <c r="E20" s="120"/>
      <c r="F20" s="119">
        <v>5</v>
      </c>
      <c r="G20" s="120"/>
      <c r="H20" s="119">
        <v>3</v>
      </c>
      <c r="I20" s="120"/>
      <c r="J20" s="119">
        <v>2</v>
      </c>
      <c r="K20" s="120"/>
      <c r="L20" s="28">
        <v>2</v>
      </c>
    </row>
    <row r="21" spans="1:12" s="14" customFormat="1" ht="20.100000000000001" customHeight="1" x14ac:dyDescent="0.2">
      <c r="A21" s="30" t="s">
        <v>93</v>
      </c>
      <c r="B21" s="119" t="s">
        <v>91</v>
      </c>
      <c r="C21" s="123"/>
      <c r="D21" s="123"/>
      <c r="E21" s="120"/>
      <c r="F21" s="119">
        <v>2</v>
      </c>
      <c r="G21" s="120"/>
      <c r="H21" s="119">
        <v>2</v>
      </c>
      <c r="I21" s="120"/>
      <c r="J21" s="119">
        <v>0</v>
      </c>
      <c r="K21" s="120"/>
      <c r="L21" s="29">
        <v>0</v>
      </c>
    </row>
    <row r="22" spans="1:12" s="14" customFormat="1" ht="20.100000000000001" customHeight="1" x14ac:dyDescent="0.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1:12" s="23" customFormat="1" ht="18" customHeight="1" x14ac:dyDescent="0.2">
      <c r="A23" s="24" t="s">
        <v>81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1" customFormat="1" ht="18" customHeight="1" x14ac:dyDescent="0.25">
      <c r="A24" s="1" t="s">
        <v>19</v>
      </c>
      <c r="C24" s="11"/>
    </row>
    <row r="25" spans="1:12" s="1" customFormat="1" ht="18" customHeight="1" x14ac:dyDescent="0.25">
      <c r="C25" s="11"/>
    </row>
    <row r="26" spans="1:12" ht="18" customHeight="1" x14ac:dyDescent="0.25">
      <c r="A26" s="121" t="s">
        <v>20</v>
      </c>
      <c r="B26" s="121"/>
    </row>
    <row r="27" spans="1:12" ht="18" customHeight="1" x14ac:dyDescent="0.25">
      <c r="A27" s="122" t="s">
        <v>21</v>
      </c>
      <c r="B27" s="122"/>
    </row>
    <row r="28" spans="1:12" ht="18" customHeight="1" x14ac:dyDescent="0.25">
      <c r="A28" s="114" t="s">
        <v>22</v>
      </c>
      <c r="B28" s="114"/>
    </row>
  </sheetData>
  <mergeCells count="51">
    <mergeCell ref="F20:G20"/>
    <mergeCell ref="H20:I20"/>
    <mergeCell ref="J20:K20"/>
    <mergeCell ref="B21:E21"/>
    <mergeCell ref="F21:G21"/>
    <mergeCell ref="H21:I21"/>
    <mergeCell ref="J21:K21"/>
    <mergeCell ref="F18:G18"/>
    <mergeCell ref="H18:I18"/>
    <mergeCell ref="J18:K18"/>
    <mergeCell ref="B19:E19"/>
    <mergeCell ref="F19:G19"/>
    <mergeCell ref="H19:I19"/>
    <mergeCell ref="J19:K19"/>
    <mergeCell ref="F15:G15"/>
    <mergeCell ref="J15:K15"/>
    <mergeCell ref="F16:G16"/>
    <mergeCell ref="J16:K16"/>
    <mergeCell ref="F17:G17"/>
    <mergeCell ref="J17:K17"/>
    <mergeCell ref="H15:I15"/>
    <mergeCell ref="H16:I16"/>
    <mergeCell ref="H17:I17"/>
    <mergeCell ref="A26:B26"/>
    <mergeCell ref="A27:B27"/>
    <mergeCell ref="A28:B28"/>
    <mergeCell ref="B15:E15"/>
    <mergeCell ref="B16:E16"/>
    <mergeCell ref="B17:E17"/>
    <mergeCell ref="B18:E18"/>
    <mergeCell ref="B20:E20"/>
    <mergeCell ref="B14:E14"/>
    <mergeCell ref="F14:G14"/>
    <mergeCell ref="H14:I14"/>
    <mergeCell ref="J14:K14"/>
    <mergeCell ref="B13:E13"/>
    <mergeCell ref="F13:G13"/>
    <mergeCell ref="H13:I13"/>
    <mergeCell ref="J13:K13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</mergeCells>
  <printOptions horizontalCentered="1"/>
  <pageMargins left="0.7" right="0.7" top="0.75" bottom="0.75" header="0.3" footer="0.3"/>
  <pageSetup paperSize="9" scale="97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D48E-EB95-492C-B61C-69C1CCB0F7D7}">
  <dimension ref="A1:G23"/>
  <sheetViews>
    <sheetView view="pageBreakPreview" zoomScaleNormal="100" zoomScaleSheetLayoutView="100" workbookViewId="0">
      <selection activeCell="D26" sqref="D26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121" t="s">
        <v>15</v>
      </c>
      <c r="B2" s="114"/>
      <c r="C2" s="114"/>
      <c r="D2" s="114"/>
      <c r="E2" s="114"/>
      <c r="F2" s="114"/>
      <c r="G2" s="114"/>
    </row>
    <row r="3" spans="1:7" ht="15.95" customHeight="1" x14ac:dyDescent="0.25">
      <c r="A3" s="114" t="s">
        <v>16</v>
      </c>
      <c r="B3" s="114"/>
      <c r="C3" s="114"/>
      <c r="D3" s="114"/>
      <c r="E3" s="114"/>
      <c r="F3" s="114"/>
      <c r="G3" s="114"/>
    </row>
    <row r="4" spans="1:7" ht="15.95" customHeight="1" x14ac:dyDescent="0.25">
      <c r="A4" s="114" t="s">
        <v>17</v>
      </c>
      <c r="B4" s="114"/>
      <c r="C4" s="114"/>
      <c r="D4" s="114"/>
      <c r="E4" s="114"/>
      <c r="F4" s="114"/>
      <c r="G4" s="114"/>
    </row>
    <row r="5" spans="1:7" ht="15.95" customHeight="1" x14ac:dyDescent="0.25">
      <c r="A5" s="114" t="s">
        <v>18</v>
      </c>
      <c r="B5" s="114"/>
      <c r="C5" s="114"/>
      <c r="D5" s="114"/>
      <c r="E5" s="114"/>
      <c r="F5" s="114"/>
      <c r="G5" s="114"/>
    </row>
    <row r="6" spans="1:7" ht="19.5" customHeight="1" x14ac:dyDescent="0.25">
      <c r="A6" s="124"/>
      <c r="B6" s="124"/>
      <c r="C6" s="124"/>
      <c r="D6" s="124"/>
      <c r="E6" s="124"/>
      <c r="F6" s="124"/>
      <c r="G6" s="124"/>
    </row>
    <row r="7" spans="1:7" ht="12" customHeight="1" x14ac:dyDescent="0.25">
      <c r="A7" s="1" t="s">
        <v>134</v>
      </c>
      <c r="B7" s="17" t="s">
        <v>135</v>
      </c>
      <c r="C7" s="2"/>
      <c r="D7" s="2"/>
      <c r="E7" s="50" t="s">
        <v>9</v>
      </c>
      <c r="F7" s="5"/>
      <c r="G7" s="51"/>
    </row>
    <row r="8" spans="1:7" ht="12" customHeight="1" x14ac:dyDescent="0.25">
      <c r="A8" s="1"/>
      <c r="B8" s="34"/>
      <c r="C8" s="3"/>
      <c r="D8" s="3"/>
      <c r="E8" s="52"/>
      <c r="F8" s="1"/>
      <c r="G8" s="1"/>
    </row>
    <row r="9" spans="1:7" ht="12" customHeight="1" x14ac:dyDescent="0.25">
      <c r="A9" s="1" t="s">
        <v>136</v>
      </c>
      <c r="B9" s="17" t="s">
        <v>137</v>
      </c>
      <c r="C9" s="2"/>
      <c r="D9" s="3"/>
      <c r="E9" s="50" t="s">
        <v>10</v>
      </c>
      <c r="F9" s="53"/>
      <c r="G9" s="51"/>
    </row>
    <row r="10" spans="1:7" ht="24.75" customHeight="1" thickBot="1" x14ac:dyDescent="0.3">
      <c r="A10" s="79" t="s">
        <v>138</v>
      </c>
      <c r="B10" s="79"/>
      <c r="C10" s="79"/>
      <c r="D10" s="79"/>
      <c r="E10" s="79"/>
      <c r="F10" s="79"/>
      <c r="G10" s="79"/>
    </row>
    <row r="11" spans="1:7" s="49" customFormat="1" ht="29.25" customHeight="1" x14ac:dyDescent="0.25">
      <c r="A11" s="125" t="s">
        <v>139</v>
      </c>
      <c r="B11" s="126"/>
      <c r="C11" s="54" t="s">
        <v>140</v>
      </c>
      <c r="D11" s="55" t="s">
        <v>141</v>
      </c>
      <c r="E11" s="54" t="s">
        <v>142</v>
      </c>
      <c r="F11" s="54" t="s">
        <v>143</v>
      </c>
      <c r="G11" s="56" t="s">
        <v>7</v>
      </c>
    </row>
    <row r="12" spans="1:7" ht="33" customHeight="1" x14ac:dyDescent="0.25">
      <c r="A12" s="127" t="s">
        <v>144</v>
      </c>
      <c r="B12" s="128"/>
      <c r="C12" s="57" t="s">
        <v>145</v>
      </c>
      <c r="D12" s="57" t="s">
        <v>146</v>
      </c>
      <c r="E12" s="129">
        <v>15</v>
      </c>
      <c r="F12" s="58">
        <v>4</v>
      </c>
      <c r="G12" s="59">
        <f>E12-F12</f>
        <v>11</v>
      </c>
    </row>
    <row r="13" spans="1:7" ht="31.5" x14ac:dyDescent="0.25">
      <c r="A13" s="127" t="s">
        <v>147</v>
      </c>
      <c r="B13" s="128"/>
      <c r="C13" s="57" t="s">
        <v>145</v>
      </c>
      <c r="D13" s="57" t="s">
        <v>146</v>
      </c>
      <c r="E13" s="130"/>
      <c r="F13" s="60">
        <v>3</v>
      </c>
      <c r="G13" s="59">
        <f>G12-F13</f>
        <v>8</v>
      </c>
    </row>
    <row r="14" spans="1:7" ht="31.5" x14ac:dyDescent="0.25">
      <c r="A14" s="127" t="s">
        <v>148</v>
      </c>
      <c r="B14" s="128"/>
      <c r="C14" s="57" t="s">
        <v>145</v>
      </c>
      <c r="D14" s="57" t="s">
        <v>146</v>
      </c>
      <c r="E14" s="130"/>
      <c r="F14" s="60">
        <v>5</v>
      </c>
      <c r="G14" s="59">
        <f>G13-F14</f>
        <v>3</v>
      </c>
    </row>
    <row r="15" spans="1:7" ht="31.5" x14ac:dyDescent="0.25">
      <c r="A15" s="127" t="s">
        <v>149</v>
      </c>
      <c r="B15" s="128"/>
      <c r="C15" s="57" t="s">
        <v>145</v>
      </c>
      <c r="D15" s="57" t="s">
        <v>146</v>
      </c>
      <c r="E15" s="131"/>
      <c r="F15" s="60">
        <v>3</v>
      </c>
      <c r="G15" s="59">
        <f>G14-F15</f>
        <v>0</v>
      </c>
    </row>
    <row r="16" spans="1:7" ht="15.75" customHeight="1" x14ac:dyDescent="0.25">
      <c r="A16" s="133" t="s">
        <v>150</v>
      </c>
      <c r="B16" s="134"/>
      <c r="C16" s="134"/>
      <c r="D16" s="134"/>
      <c r="E16" s="134"/>
      <c r="F16" s="134"/>
      <c r="G16" s="135"/>
    </row>
    <row r="17" spans="1:7" s="62" customFormat="1" ht="18.75" customHeight="1" thickBot="1" x14ac:dyDescent="0.3">
      <c r="A17" s="136" t="s">
        <v>151</v>
      </c>
      <c r="B17" s="137"/>
      <c r="C17" s="137"/>
      <c r="D17" s="137"/>
      <c r="E17" s="137"/>
      <c r="F17" s="138"/>
      <c r="G17" s="61">
        <f>G15-F17</f>
        <v>0</v>
      </c>
    </row>
    <row r="18" spans="1:7" ht="10.5" customHeight="1" x14ac:dyDescent="0.25">
      <c r="A18" s="33"/>
      <c r="B18" s="33"/>
      <c r="C18" s="63"/>
      <c r="D18" s="63"/>
      <c r="E18" s="63"/>
      <c r="F18" s="63"/>
      <c r="G18" s="63"/>
    </row>
    <row r="19" spans="1:7" ht="18.75" customHeight="1" x14ac:dyDescent="0.25">
      <c r="A19" s="139" t="s">
        <v>152</v>
      </c>
      <c r="B19" s="139"/>
      <c r="C19" s="63"/>
      <c r="D19" s="63"/>
      <c r="E19" s="63"/>
      <c r="F19" s="63"/>
      <c r="G19" s="63"/>
    </row>
    <row r="20" spans="1:7" ht="18.75" customHeight="1" x14ac:dyDescent="0.25">
      <c r="A20" s="122"/>
      <c r="B20" s="122"/>
      <c r="C20" s="63"/>
      <c r="D20" s="63"/>
      <c r="E20" s="63"/>
      <c r="F20" s="63"/>
      <c r="G20" s="63"/>
    </row>
    <row r="21" spans="1:7" ht="18.75" customHeight="1" x14ac:dyDescent="0.25">
      <c r="A21" s="140" t="s">
        <v>20</v>
      </c>
      <c r="B21" s="140"/>
      <c r="C21" s="140"/>
      <c r="D21" s="63"/>
      <c r="E21" s="63"/>
      <c r="F21" s="63"/>
      <c r="G21" s="63"/>
    </row>
    <row r="22" spans="1:7" ht="18.75" customHeight="1" x14ac:dyDescent="0.25">
      <c r="A22" s="132" t="s">
        <v>21</v>
      </c>
      <c r="B22" s="132"/>
      <c r="C22" s="132"/>
      <c r="D22" s="63"/>
      <c r="E22" s="63"/>
      <c r="F22" s="63"/>
      <c r="G22" s="63"/>
    </row>
    <row r="23" spans="1:7" ht="18.75" customHeight="1" x14ac:dyDescent="0.25">
      <c r="A23" s="132" t="s">
        <v>22</v>
      </c>
      <c r="B23" s="132"/>
      <c r="C23" s="63"/>
      <c r="D23" s="63"/>
      <c r="E23" s="63"/>
      <c r="F23" s="63"/>
      <c r="G23" s="63"/>
    </row>
  </sheetData>
  <mergeCells count="19">
    <mergeCell ref="A23:B23"/>
    <mergeCell ref="A16:G16"/>
    <mergeCell ref="A17:F17"/>
    <mergeCell ref="A19:B19"/>
    <mergeCell ref="A20:B20"/>
    <mergeCell ref="A21:C21"/>
    <mergeCell ref="A22:C22"/>
    <mergeCell ref="A11:B11"/>
    <mergeCell ref="A12:B12"/>
    <mergeCell ref="E12:E15"/>
    <mergeCell ref="A13:B13"/>
    <mergeCell ref="A14:B14"/>
    <mergeCell ref="A15:B15"/>
    <mergeCell ref="A10:G10"/>
    <mergeCell ref="A2:G2"/>
    <mergeCell ref="A3:G3"/>
    <mergeCell ref="A4:G4"/>
    <mergeCell ref="A5:G5"/>
    <mergeCell ref="A6:G6"/>
  </mergeCells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Leave Card (NE)</vt:lpstr>
      <vt:lpstr>ELECTION</vt:lpstr>
      <vt:lpstr>CTO 2024 LATEST</vt:lpstr>
      <vt:lpstr>CTO</vt:lpstr>
      <vt:lpstr>Leave Card (NE) (2)</vt:lpstr>
      <vt:lpstr>ELECTION!Print_Area</vt:lpstr>
      <vt:lpstr>'Leave Card (NE)'!Print_Area</vt:lpstr>
      <vt:lpstr>'Leave Card (NE) (2)'!Print_Area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2025-12-12T05:36:22Z</cp:lastPrinted>
  <dcterms:created xsi:type="dcterms:W3CDTF">2021-10-07T06:10:16Z</dcterms:created>
  <dcterms:modified xsi:type="dcterms:W3CDTF">2025-12-22T00:40:49Z</dcterms:modified>
</cp:coreProperties>
</file>