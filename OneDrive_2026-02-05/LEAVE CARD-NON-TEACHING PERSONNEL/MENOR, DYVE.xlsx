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B4524DE-EEEE-4929-AD84-9EB270624AB6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Other types of leave" sheetId="9" r:id="rId2"/>
  </sheets>
  <definedNames>
    <definedName name="_xlnm.Print_Area" localSheetId="0">'Leave Card (NE)'!$A$1:$J$47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6" l="1"/>
  <c r="J40" i="6" s="1"/>
  <c r="I40" i="6"/>
  <c r="H39" i="6"/>
  <c r="I39" i="6"/>
  <c r="B19" i="6"/>
  <c r="J39" i="6" l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H14" i="6"/>
  <c r="H15" i="6" s="1"/>
  <c r="I35" i="6" l="1"/>
  <c r="I36" i="6" s="1"/>
  <c r="I37" i="6" s="1"/>
  <c r="I38" i="6" s="1"/>
  <c r="H16" i="6"/>
  <c r="J15" i="6"/>
  <c r="J14" i="6"/>
  <c r="H17" i="6" l="1"/>
  <c r="J16" i="6"/>
  <c r="J17" i="6" l="1"/>
  <c r="H18" i="6"/>
  <c r="H19" i="6" l="1"/>
  <c r="J18" i="6"/>
  <c r="H20" i="6" l="1"/>
  <c r="J19" i="6"/>
  <c r="H21" i="6" l="1"/>
  <c r="J20" i="6"/>
  <c r="J21" i="6" l="1"/>
  <c r="H22" i="6"/>
  <c r="J22" i="6" l="1"/>
  <c r="H23" i="6"/>
  <c r="J23" i="6" l="1"/>
  <c r="H24" i="6"/>
  <c r="J24" i="6" l="1"/>
  <c r="H25" i="6"/>
  <c r="J25" i="6" l="1"/>
  <c r="H26" i="6"/>
  <c r="H27" i="6" s="1"/>
  <c r="H28" i="6" l="1"/>
  <c r="J27" i="6"/>
  <c r="J26" i="6"/>
  <c r="J28" i="6" l="1"/>
  <c r="H29" i="6"/>
  <c r="J29" i="6" l="1"/>
  <c r="H30" i="6"/>
  <c r="J30" i="6" l="1"/>
  <c r="H31" i="6"/>
  <c r="J31" i="6" l="1"/>
  <c r="H32" i="6"/>
  <c r="J32" i="6" l="1"/>
  <c r="H33" i="6"/>
  <c r="J33" i="6" l="1"/>
  <c r="H34" i="6"/>
  <c r="H35" i="6" l="1"/>
  <c r="J34" i="6"/>
  <c r="H36" i="6" l="1"/>
  <c r="J35" i="6"/>
  <c r="J36" i="6" l="1"/>
  <c r="H37" i="6"/>
  <c r="J37" i="6" l="1"/>
  <c r="H38" i="6"/>
  <c r="J38" i="6" s="1"/>
</calcChain>
</file>

<file path=xl/sharedStrings.xml><?xml version="1.0" encoding="utf-8"?>
<sst xmlns="http://schemas.openxmlformats.org/spreadsheetml/2006/main" count="80" uniqueCount="71">
  <si>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</si>
  <si>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</si>
  <si>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</si>
  <si>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</si>
  <si>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</si>
  <si>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</si>
  <si>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</si>
  <si>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</si>
  <si>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</si>
  <si>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</si>
  <si>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</si>
  <si>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</si>
  <si>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</si>
  <si>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</si>
  <si>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</si>
  <si>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</si>
  <si>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</si>
  <si>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</si>
  <si>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</si>
  <si>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</si>
  <si>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</si>
  <si>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</si>
  <si>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</si>
  <si>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</si>
  <si>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</si>
  <si>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</si>
  <si>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</si>
  <si>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</si>
  <si>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</si>
  <si>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</si>
  <si>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</si>
  <si>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</si>
  <si>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</si>
  <si>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</si>
  <si>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</si>
  <si>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</si>
  <si>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</si>
  <si>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</si>
  <si>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</si>
  <si>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</si>
  <si>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SPECIAL PRIVILEGE LEAVE</t>
  </si>
  <si>
    <t>DATE OF ORIGINAL APPOINTMENT: HT - SEPT. 1, 2022</t>
  </si>
  <si>
    <t>ADD: 9/1/2022 - 11/30/2022</t>
  </si>
  <si>
    <t>LESS: 12/14/2022</t>
  </si>
  <si>
    <t>ADD: 12/01/2022 - 12/31/2022</t>
  </si>
  <si>
    <t>ADD: 01/01/2023 - 4/30/2023</t>
  </si>
  <si>
    <t>LESS: 05/18 &amp; 19/23</t>
  </si>
  <si>
    <t>LESS: 10/03-04/2023</t>
  </si>
  <si>
    <t>ADD: 05/01/2023-9/30/2023</t>
  </si>
  <si>
    <t>LESS: 10/11/2023</t>
  </si>
  <si>
    <t>ADD: 10/1/2023-12/31/2023</t>
  </si>
  <si>
    <t>ADD: 01/1/2024-03/31/2024</t>
  </si>
  <si>
    <t>LESS: 04/19/2024</t>
  </si>
  <si>
    <t>ADD: 04/1-30/2024</t>
  </si>
  <si>
    <t>LESS: 05/13/2024</t>
  </si>
  <si>
    <t>ADD: 05/1/2024-06/30/2024</t>
  </si>
  <si>
    <t>LESS: 07/12/2024</t>
  </si>
  <si>
    <t>ADD: 07/01-31/2024</t>
  </si>
  <si>
    <t>LESS: 08/07/2024</t>
  </si>
  <si>
    <t>LESS: MONETIZATION 2024</t>
  </si>
  <si>
    <t>ADD: 08/1/2024-09/30/2024</t>
  </si>
  <si>
    <t>LESS: 10/16/2024</t>
  </si>
  <si>
    <t>ADD: 10/1/2024-12/31/2024</t>
  </si>
  <si>
    <t>ADD: 01/1/2025-02/28/2025</t>
  </si>
  <si>
    <t>LESS: 03/17/2025</t>
  </si>
  <si>
    <t>LESS: 04/22/2025</t>
  </si>
  <si>
    <t>ADD: 03/1-31/2025</t>
  </si>
  <si>
    <t>ADD: 04/1/2025-08/31/2025</t>
  </si>
  <si>
    <t>NEGROS ISLAND REGION</t>
  </si>
  <si>
    <t>LESS: MONETIZATION 2025</t>
  </si>
  <si>
    <t xml:space="preserve">    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</si>
</sst>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357187</xdr:colOff>
      <xdr:row>0</xdr:row>
      <xdr:rowOff>46525</xdr:rowOff>
    </xdr:from>
    <xdr:to>
      <xdr:col>4</xdr:col>
      <xdr:colOff>210649</xdr:colOff>
      <xdr:row>1</xdr:row>
      <xdr:rowOff>18316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995" y="46525"/>
          <a:ext cx="622789" cy="64037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MENOR, DYVE L.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</a:t>
          </a:r>
          <a:r>
            <a:rPr lang="en-US" sz="1100" baseline="0"/>
            <a:t>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CAMINDANGAN NHS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MENOR, DYVE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47"/>
  <sheetViews>
    <sheetView tabSelected="1" view="pageBreakPreview" topLeftCell="A23" zoomScale="104" zoomScaleNormal="100" zoomScaleSheetLayoutView="104" workbookViewId="0">
      <selection activeCell="A39" sqref="A39:XFD39"/>
    </sheetView>
  </sheetViews>
  <sheetFormatPr defaultRowHeight="15" x14ac:dyDescent="0.25"/>
  <cols>
    <col min="1" max="1" width="37.42578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46" t="s">
        <v>11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s="1" customFormat="1" ht="15.95" customHeight="1" x14ac:dyDescent="0.25">
      <c r="A3" s="46" t="s">
        <v>12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s="1" customFormat="1" ht="15.95" customHeight="1" x14ac:dyDescent="0.25">
      <c r="A4" s="46" t="s">
        <v>68</v>
      </c>
      <c r="B4" s="46"/>
      <c r="C4" s="46"/>
      <c r="D4" s="46"/>
      <c r="E4" s="46"/>
      <c r="F4" s="46"/>
      <c r="G4" s="46"/>
      <c r="H4" s="46"/>
      <c r="I4" s="46"/>
      <c r="J4" s="46"/>
    </row>
    <row r="5" spans="1:10" s="1" customFormat="1" ht="15.95" customHeight="1" x14ac:dyDescent="0.25">
      <c r="A5" s="46" t="s">
        <v>14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s="1" customFormat="1" ht="8.25" customHeight="1" x14ac:dyDescent="0.25"/>
    <row r="7" spans="1:10" s="1" customFormat="1" ht="12" customHeight="1" x14ac:dyDescent="0.25">
      <c r="A7" s="1" t="s">
        <v>33</v>
      </c>
      <c r="B7" s="44" t="s">
        <v>35</v>
      </c>
      <c r="C7" s="44"/>
      <c r="D7" s="44"/>
      <c r="H7" s="3" t="s">
        <v>9</v>
      </c>
      <c r="I7" s="34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34</v>
      </c>
      <c r="B9" s="44" t="s">
        <v>36</v>
      </c>
      <c r="C9" s="44"/>
      <c r="D9" s="44"/>
      <c r="H9" s="3" t="s">
        <v>10</v>
      </c>
      <c r="I9" s="4"/>
      <c r="J9" s="3"/>
    </row>
    <row r="10" spans="1:10" ht="16.5" customHeight="1" thickBot="1" x14ac:dyDescent="0.3">
      <c r="A10" s="57" t="s">
        <v>0</v>
      </c>
      <c r="B10" s="57"/>
      <c r="C10" s="57"/>
      <c r="D10" s="57"/>
      <c r="E10" s="57"/>
      <c r="F10" s="57"/>
      <c r="G10" s="57"/>
      <c r="H10" s="57"/>
      <c r="I10" s="57"/>
      <c r="J10" s="57"/>
    </row>
    <row r="11" spans="1:10" s="6" customFormat="1" ht="18.75" customHeight="1" x14ac:dyDescent="0.2">
      <c r="A11" s="47" t="s">
        <v>4</v>
      </c>
      <c r="B11" s="51" t="s">
        <v>5</v>
      </c>
      <c r="C11" s="52"/>
      <c r="D11" s="53" t="s">
        <v>6</v>
      </c>
      <c r="E11" s="54"/>
      <c r="F11" s="54"/>
      <c r="G11" s="32"/>
      <c r="H11" s="55" t="s">
        <v>7</v>
      </c>
      <c r="I11" s="56"/>
      <c r="J11" s="49" t="s">
        <v>8</v>
      </c>
    </row>
    <row r="12" spans="1:10" s="6" customFormat="1" ht="51" customHeight="1" x14ac:dyDescent="0.2">
      <c r="A12" s="48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3" t="s">
        <v>40</v>
      </c>
      <c r="H12" s="14" t="s">
        <v>1</v>
      </c>
      <c r="I12" s="17" t="s">
        <v>2</v>
      </c>
      <c r="J12" s="50"/>
    </row>
    <row r="13" spans="1:10" s="6" customFormat="1" ht="18.75" customHeight="1" x14ac:dyDescent="0.2">
      <c r="A13" s="58" t="s">
        <v>41</v>
      </c>
      <c r="B13" s="59"/>
      <c r="C13" s="59"/>
      <c r="D13" s="59"/>
      <c r="E13" s="59"/>
      <c r="F13" s="59"/>
      <c r="G13" s="59"/>
      <c r="H13" s="59"/>
      <c r="I13" s="59"/>
      <c r="J13" s="60"/>
    </row>
    <row r="14" spans="1:10" s="6" customFormat="1" ht="15.95" customHeight="1" x14ac:dyDescent="0.2">
      <c r="A14" s="8" t="s">
        <v>42</v>
      </c>
      <c r="B14" s="13">
        <v>3.75</v>
      </c>
      <c r="C14" s="13">
        <v>3.75</v>
      </c>
      <c r="D14" s="13"/>
      <c r="E14" s="13"/>
      <c r="F14" s="13"/>
      <c r="G14" s="13"/>
      <c r="H14" s="13">
        <f>B14</f>
        <v>3.75</v>
      </c>
      <c r="I14" s="13">
        <f>C14</f>
        <v>3.75</v>
      </c>
      <c r="J14" s="36">
        <f t="shared" ref="J14:J15" si="0">H14+I14</f>
        <v>7.5</v>
      </c>
    </row>
    <row r="15" spans="1:10" s="5" customFormat="1" ht="15.95" customHeight="1" x14ac:dyDescent="0.2">
      <c r="A15" s="10" t="s">
        <v>43</v>
      </c>
      <c r="B15" s="13"/>
      <c r="C15" s="13"/>
      <c r="D15" s="13"/>
      <c r="E15" s="13"/>
      <c r="F15" s="13"/>
      <c r="G15" s="13">
        <v>1</v>
      </c>
      <c r="H15" s="13">
        <f>H14-F15-D15+B15</f>
        <v>3.75</v>
      </c>
      <c r="I15" s="13">
        <f>I14-E15+C15</f>
        <v>3.75</v>
      </c>
      <c r="J15" s="36">
        <f t="shared" si="0"/>
        <v>7.5</v>
      </c>
    </row>
    <row r="16" spans="1:10" s="5" customFormat="1" ht="15.95" customHeight="1" x14ac:dyDescent="0.2">
      <c r="A16" s="10" t="s">
        <v>44</v>
      </c>
      <c r="B16" s="13">
        <v>1.25</v>
      </c>
      <c r="C16" s="13">
        <v>1.25</v>
      </c>
      <c r="D16" s="13"/>
      <c r="E16" s="13"/>
      <c r="F16" s="13"/>
      <c r="G16" s="13"/>
      <c r="H16" s="13">
        <f t="shared" ref="H16:H21" si="1">H15-F16-D16+B16</f>
        <v>5</v>
      </c>
      <c r="I16" s="13">
        <f t="shared" ref="I16:I21" si="2">I15-E16+C16</f>
        <v>5</v>
      </c>
      <c r="J16" s="36">
        <f t="shared" ref="J16:J21" si="3">H16+I16</f>
        <v>10</v>
      </c>
    </row>
    <row r="17" spans="1:10" s="5" customFormat="1" ht="15.95" customHeight="1" x14ac:dyDescent="0.2">
      <c r="A17" s="10" t="s">
        <v>45</v>
      </c>
      <c r="B17" s="13">
        <v>5</v>
      </c>
      <c r="C17" s="13">
        <v>5</v>
      </c>
      <c r="D17" s="13"/>
      <c r="E17" s="13"/>
      <c r="F17" s="13"/>
      <c r="G17" s="13"/>
      <c r="H17" s="13">
        <f t="shared" si="1"/>
        <v>10</v>
      </c>
      <c r="I17" s="13">
        <f t="shared" si="2"/>
        <v>10</v>
      </c>
      <c r="J17" s="36">
        <f t="shared" si="3"/>
        <v>20</v>
      </c>
    </row>
    <row r="18" spans="1:10" s="5" customFormat="1" ht="15.95" customHeight="1" x14ac:dyDescent="0.2">
      <c r="A18" s="10" t="s">
        <v>46</v>
      </c>
      <c r="B18" s="13"/>
      <c r="C18" s="13"/>
      <c r="D18" s="13"/>
      <c r="E18" s="13"/>
      <c r="F18" s="13">
        <v>2</v>
      </c>
      <c r="G18" s="13"/>
      <c r="H18" s="13">
        <f t="shared" si="1"/>
        <v>8</v>
      </c>
      <c r="I18" s="13">
        <f t="shared" si="2"/>
        <v>10</v>
      </c>
      <c r="J18" s="36">
        <f t="shared" si="3"/>
        <v>18</v>
      </c>
    </row>
    <row r="19" spans="1:10" s="5" customFormat="1" ht="15.95" customHeight="1" x14ac:dyDescent="0.2">
      <c r="A19" s="10" t="s">
        <v>48</v>
      </c>
      <c r="B19" s="13">
        <f>1.25*5</f>
        <v>6.25</v>
      </c>
      <c r="C19" s="13">
        <v>6.25</v>
      </c>
      <c r="D19" s="13"/>
      <c r="E19" s="13"/>
      <c r="F19" s="13"/>
      <c r="G19" s="13"/>
      <c r="H19" s="13">
        <f t="shared" si="1"/>
        <v>14.25</v>
      </c>
      <c r="I19" s="13">
        <f t="shared" si="2"/>
        <v>16.25</v>
      </c>
      <c r="J19" s="36">
        <f t="shared" si="3"/>
        <v>30.5</v>
      </c>
    </row>
    <row r="20" spans="1:10" s="5" customFormat="1" ht="15.95" customHeight="1" x14ac:dyDescent="0.2">
      <c r="A20" s="10" t="s">
        <v>47</v>
      </c>
      <c r="B20" s="13"/>
      <c r="C20" s="13"/>
      <c r="D20" s="13"/>
      <c r="E20" s="13"/>
      <c r="F20" s="13">
        <v>2</v>
      </c>
      <c r="G20" s="13"/>
      <c r="H20" s="13">
        <f t="shared" si="1"/>
        <v>12.25</v>
      </c>
      <c r="I20" s="13">
        <f t="shared" si="2"/>
        <v>16.25</v>
      </c>
      <c r="J20" s="36">
        <f t="shared" si="3"/>
        <v>28.5</v>
      </c>
    </row>
    <row r="21" spans="1:10" s="5" customFormat="1" ht="15.95" customHeight="1" x14ac:dyDescent="0.2">
      <c r="A21" s="10" t="s">
        <v>49</v>
      </c>
      <c r="B21" s="13"/>
      <c r="C21" s="13"/>
      <c r="D21" s="13"/>
      <c r="E21" s="13"/>
      <c r="F21" s="13">
        <v>1</v>
      </c>
      <c r="G21" s="13"/>
      <c r="H21" s="13">
        <f t="shared" si="1"/>
        <v>11.25</v>
      </c>
      <c r="I21" s="13">
        <f t="shared" si="2"/>
        <v>16.25</v>
      </c>
      <c r="J21" s="36">
        <f t="shared" si="3"/>
        <v>27.5</v>
      </c>
    </row>
    <row r="22" spans="1:10" s="5" customFormat="1" ht="15.95" customHeight="1" x14ac:dyDescent="0.2">
      <c r="A22" s="8" t="s">
        <v>50</v>
      </c>
      <c r="B22" s="13">
        <v>3.75</v>
      </c>
      <c r="C22" s="13">
        <v>3.75</v>
      </c>
      <c r="D22" s="13"/>
      <c r="E22" s="13"/>
      <c r="F22" s="13"/>
      <c r="G22" s="13"/>
      <c r="H22" s="13">
        <f t="shared" ref="H22:H23" si="4">H21-F22-D22+B22</f>
        <v>15</v>
      </c>
      <c r="I22" s="13">
        <f t="shared" ref="I22:I23" si="5">I21-E22+C22</f>
        <v>20</v>
      </c>
      <c r="J22" s="36">
        <f t="shared" ref="J22:J23" si="6">H22+I22</f>
        <v>35</v>
      </c>
    </row>
    <row r="23" spans="1:10" s="5" customFormat="1" ht="15.95" customHeight="1" x14ac:dyDescent="0.2">
      <c r="A23" s="8" t="s">
        <v>51</v>
      </c>
      <c r="B23" s="13">
        <v>3.75</v>
      </c>
      <c r="C23" s="13">
        <v>3.75</v>
      </c>
      <c r="D23" s="13"/>
      <c r="E23" s="13"/>
      <c r="F23" s="13"/>
      <c r="G23" s="13"/>
      <c r="H23" s="13">
        <f t="shared" si="4"/>
        <v>18.75</v>
      </c>
      <c r="I23" s="13">
        <f t="shared" si="5"/>
        <v>23.75</v>
      </c>
      <c r="J23" s="36">
        <f t="shared" si="6"/>
        <v>42.5</v>
      </c>
    </row>
    <row r="24" spans="1:10" s="5" customFormat="1" ht="15.95" customHeight="1" x14ac:dyDescent="0.2">
      <c r="A24" s="8" t="s">
        <v>52</v>
      </c>
      <c r="B24" s="13"/>
      <c r="C24" s="13"/>
      <c r="D24" s="13"/>
      <c r="E24" s="13"/>
      <c r="F24" s="38">
        <v>1</v>
      </c>
      <c r="G24" s="13"/>
      <c r="H24" s="13">
        <f t="shared" ref="H24" si="7">H23-F24-D24+B24</f>
        <v>17.75</v>
      </c>
      <c r="I24" s="13">
        <f t="shared" ref="I24" si="8">I23-E24+C24</f>
        <v>23.75</v>
      </c>
      <c r="J24" s="36">
        <f t="shared" ref="J24" si="9">H24+I24</f>
        <v>41.5</v>
      </c>
    </row>
    <row r="25" spans="1:10" s="5" customFormat="1" ht="15.95" customHeight="1" x14ac:dyDescent="0.2">
      <c r="A25" s="8" t="s">
        <v>53</v>
      </c>
      <c r="B25" s="13">
        <v>1.25</v>
      </c>
      <c r="C25" s="13">
        <v>1.25</v>
      </c>
      <c r="D25" s="13"/>
      <c r="E25" s="13"/>
      <c r="F25" s="38"/>
      <c r="G25" s="13"/>
      <c r="H25" s="13">
        <f t="shared" ref="H25:H26" si="10">H24-F25-D25+B25</f>
        <v>19</v>
      </c>
      <c r="I25" s="13">
        <f t="shared" ref="I25:I26" si="11">I24-E25+C25</f>
        <v>25</v>
      </c>
      <c r="J25" s="36">
        <f t="shared" ref="J25:J26" si="12">H25+I25</f>
        <v>44</v>
      </c>
    </row>
    <row r="26" spans="1:10" s="5" customFormat="1" ht="15.95" customHeight="1" x14ac:dyDescent="0.2">
      <c r="A26" s="8" t="s">
        <v>54</v>
      </c>
      <c r="B26" s="13"/>
      <c r="C26" s="13"/>
      <c r="D26" s="13"/>
      <c r="E26" s="13"/>
      <c r="F26" s="38">
        <v>1</v>
      </c>
      <c r="G26" s="13"/>
      <c r="H26" s="13">
        <f t="shared" si="10"/>
        <v>18</v>
      </c>
      <c r="I26" s="13">
        <f t="shared" si="11"/>
        <v>25</v>
      </c>
      <c r="J26" s="36">
        <f t="shared" si="12"/>
        <v>43</v>
      </c>
    </row>
    <row r="27" spans="1:10" s="5" customFormat="1" ht="15.95" customHeight="1" x14ac:dyDescent="0.2">
      <c r="A27" s="8" t="s">
        <v>55</v>
      </c>
      <c r="B27" s="13">
        <v>2.5</v>
      </c>
      <c r="C27" s="13">
        <v>2.5</v>
      </c>
      <c r="D27" s="13"/>
      <c r="E27" s="13"/>
      <c r="F27" s="38"/>
      <c r="G27" s="13"/>
      <c r="H27" s="13">
        <f t="shared" ref="H27:H28" si="13">H26-F27-D27+B27</f>
        <v>20.5</v>
      </c>
      <c r="I27" s="13">
        <f t="shared" ref="I27:I28" si="14">I26-E27+C27</f>
        <v>27.5</v>
      </c>
      <c r="J27" s="36">
        <f t="shared" ref="J27:J28" si="15">H27+I27</f>
        <v>48</v>
      </c>
    </row>
    <row r="28" spans="1:10" s="5" customFormat="1" ht="15.95" customHeight="1" x14ac:dyDescent="0.2">
      <c r="A28" s="8" t="s">
        <v>56</v>
      </c>
      <c r="B28" s="13"/>
      <c r="C28" s="13"/>
      <c r="D28" s="13"/>
      <c r="E28" s="13"/>
      <c r="F28" s="38">
        <v>1</v>
      </c>
      <c r="G28" s="13"/>
      <c r="H28" s="13">
        <f t="shared" si="13"/>
        <v>19.5</v>
      </c>
      <c r="I28" s="13">
        <f t="shared" si="14"/>
        <v>27.5</v>
      </c>
      <c r="J28" s="36">
        <f t="shared" si="15"/>
        <v>47</v>
      </c>
    </row>
    <row r="29" spans="1:10" s="5" customFormat="1" ht="15.95" customHeight="1" x14ac:dyDescent="0.2">
      <c r="A29" s="31" t="s">
        <v>57</v>
      </c>
      <c r="B29" s="38">
        <v>1.25</v>
      </c>
      <c r="C29" s="38">
        <v>1.25</v>
      </c>
      <c r="D29" s="38"/>
      <c r="E29" s="38"/>
      <c r="F29" s="38"/>
      <c r="G29" s="38"/>
      <c r="H29" s="13">
        <f t="shared" ref="H29" si="16">H28-F29-D29+B29</f>
        <v>20.75</v>
      </c>
      <c r="I29" s="13">
        <f t="shared" ref="I29" si="17">I28-E29+C29</f>
        <v>28.75</v>
      </c>
      <c r="J29" s="36">
        <f t="shared" ref="J29" si="18">H29+I29</f>
        <v>49.5</v>
      </c>
    </row>
    <row r="30" spans="1:10" s="5" customFormat="1" ht="15.95" customHeight="1" x14ac:dyDescent="0.2">
      <c r="A30" s="31" t="s">
        <v>58</v>
      </c>
      <c r="B30" s="38"/>
      <c r="C30" s="38"/>
      <c r="D30" s="38"/>
      <c r="E30" s="38"/>
      <c r="F30" s="38">
        <v>1</v>
      </c>
      <c r="G30" s="38"/>
      <c r="H30" s="13">
        <f t="shared" ref="H30" si="19">H29-F30-D30+B30</f>
        <v>19.75</v>
      </c>
      <c r="I30" s="13">
        <f t="shared" ref="I30" si="20">I29-E30+C30</f>
        <v>28.75</v>
      </c>
      <c r="J30" s="36">
        <f t="shared" ref="J30" si="21">H30+I30</f>
        <v>48.5</v>
      </c>
    </row>
    <row r="31" spans="1:10" s="5" customFormat="1" ht="15.95" customHeight="1" x14ac:dyDescent="0.2">
      <c r="A31" s="31" t="s">
        <v>59</v>
      </c>
      <c r="B31" s="38"/>
      <c r="C31" s="38"/>
      <c r="D31" s="38">
        <v>14</v>
      </c>
      <c r="E31" s="38"/>
      <c r="F31" s="38"/>
      <c r="G31" s="38"/>
      <c r="H31" s="38">
        <f t="shared" ref="H31" si="22">H30-F31-D31+B31</f>
        <v>5.75</v>
      </c>
      <c r="I31" s="38">
        <f t="shared" ref="I31" si="23">I30-E31+C31</f>
        <v>28.75</v>
      </c>
      <c r="J31" s="43">
        <f t="shared" ref="J31" si="24">H31+I31</f>
        <v>34.5</v>
      </c>
    </row>
    <row r="32" spans="1:10" s="5" customFormat="1" ht="15.95" customHeight="1" x14ac:dyDescent="0.2">
      <c r="A32" s="31" t="s">
        <v>60</v>
      </c>
      <c r="B32" s="38">
        <v>2.5</v>
      </c>
      <c r="C32" s="38">
        <v>2.5</v>
      </c>
      <c r="D32" s="38"/>
      <c r="E32" s="38"/>
      <c r="F32" s="38"/>
      <c r="G32" s="38"/>
      <c r="H32" s="38">
        <f t="shared" ref="H32:H33" si="25">H31-F32-D32+B32</f>
        <v>8.25</v>
      </c>
      <c r="I32" s="38">
        <f t="shared" ref="I32:I33" si="26">I31-E32+C32</f>
        <v>31.25</v>
      </c>
      <c r="J32" s="43">
        <f t="shared" ref="J32:J33" si="27">H32+I32</f>
        <v>39.5</v>
      </c>
    </row>
    <row r="33" spans="1:10" s="5" customFormat="1" ht="15.95" customHeight="1" x14ac:dyDescent="0.2">
      <c r="A33" s="31" t="s">
        <v>61</v>
      </c>
      <c r="B33" s="38"/>
      <c r="C33" s="38"/>
      <c r="D33" s="38"/>
      <c r="E33" s="38"/>
      <c r="F33" s="38">
        <v>1</v>
      </c>
      <c r="G33" s="38"/>
      <c r="H33" s="38">
        <f t="shared" si="25"/>
        <v>7.25</v>
      </c>
      <c r="I33" s="38">
        <f t="shared" si="26"/>
        <v>31.25</v>
      </c>
      <c r="J33" s="43">
        <f t="shared" si="27"/>
        <v>38.5</v>
      </c>
    </row>
    <row r="34" spans="1:10" s="5" customFormat="1" ht="15.95" customHeight="1" x14ac:dyDescent="0.2">
      <c r="A34" s="31" t="s">
        <v>62</v>
      </c>
      <c r="B34" s="38">
        <v>3.75</v>
      </c>
      <c r="C34" s="38">
        <v>3.75</v>
      </c>
      <c r="D34" s="38"/>
      <c r="E34" s="38"/>
      <c r="F34" s="38"/>
      <c r="G34" s="38"/>
      <c r="H34" s="38">
        <f t="shared" ref="H34:H36" si="28">H33-F34-D34+B34</f>
        <v>11</v>
      </c>
      <c r="I34" s="38">
        <f t="shared" ref="I34:I36" si="29">I33-E34+C34</f>
        <v>35</v>
      </c>
      <c r="J34" s="43">
        <f t="shared" ref="J34:J36" si="30">H34+I34</f>
        <v>46</v>
      </c>
    </row>
    <row r="35" spans="1:10" s="5" customFormat="1" ht="15.95" customHeight="1" x14ac:dyDescent="0.2">
      <c r="A35" s="31" t="s">
        <v>63</v>
      </c>
      <c r="B35" s="38">
        <v>2.5</v>
      </c>
      <c r="C35" s="38">
        <v>2.5</v>
      </c>
      <c r="D35" s="38"/>
      <c r="E35" s="38"/>
      <c r="F35" s="38"/>
      <c r="G35" s="38"/>
      <c r="H35" s="38">
        <f t="shared" si="28"/>
        <v>13.5</v>
      </c>
      <c r="I35" s="38">
        <f t="shared" si="29"/>
        <v>37.5</v>
      </c>
      <c r="J35" s="43">
        <f t="shared" si="30"/>
        <v>51</v>
      </c>
    </row>
    <row r="36" spans="1:10" s="5" customFormat="1" ht="15.95" customHeight="1" x14ac:dyDescent="0.2">
      <c r="A36" s="31" t="s">
        <v>64</v>
      </c>
      <c r="B36" s="38"/>
      <c r="C36" s="38"/>
      <c r="D36" s="38"/>
      <c r="E36" s="38"/>
      <c r="F36" s="37">
        <v>1</v>
      </c>
      <c r="G36" s="38"/>
      <c r="H36" s="38">
        <f t="shared" si="28"/>
        <v>12.5</v>
      </c>
      <c r="I36" s="38">
        <f t="shared" si="29"/>
        <v>37.5</v>
      </c>
      <c r="J36" s="43">
        <f t="shared" si="30"/>
        <v>50</v>
      </c>
    </row>
    <row r="37" spans="1:10" s="5" customFormat="1" ht="15.95" customHeight="1" x14ac:dyDescent="0.2">
      <c r="A37" s="31" t="s">
        <v>66</v>
      </c>
      <c r="B37" s="38">
        <v>1.25</v>
      </c>
      <c r="C37" s="38">
        <v>1.25</v>
      </c>
      <c r="D37" s="38"/>
      <c r="E37" s="38"/>
      <c r="F37" s="38"/>
      <c r="G37" s="38"/>
      <c r="H37" s="38">
        <f t="shared" ref="H37:H38" si="31">H36-F37-D37+B37</f>
        <v>13.75</v>
      </c>
      <c r="I37" s="38">
        <f t="shared" ref="I37:I38" si="32">I36-E37+C37</f>
        <v>38.75</v>
      </c>
      <c r="J37" s="43">
        <f t="shared" ref="J37:J38" si="33">H37+I37</f>
        <v>52.5</v>
      </c>
    </row>
    <row r="38" spans="1:10" s="5" customFormat="1" ht="15.95" customHeight="1" x14ac:dyDescent="0.2">
      <c r="A38" s="31" t="s">
        <v>65</v>
      </c>
      <c r="B38" s="38"/>
      <c r="C38" s="38"/>
      <c r="D38" s="38"/>
      <c r="E38" s="38">
        <v>1</v>
      </c>
      <c r="F38" s="38"/>
      <c r="G38" s="38"/>
      <c r="H38" s="38">
        <f t="shared" si="31"/>
        <v>13.75</v>
      </c>
      <c r="I38" s="38">
        <f t="shared" si="32"/>
        <v>37.75</v>
      </c>
      <c r="J38" s="43">
        <f t="shared" si="33"/>
        <v>51.5</v>
      </c>
    </row>
    <row r="39" spans="1:10" s="5" customFormat="1" ht="15.95" customHeight="1" x14ac:dyDescent="0.2">
      <c r="A39" s="31" t="s">
        <v>67</v>
      </c>
      <c r="B39" s="38">
        <v>6.25</v>
      </c>
      <c r="C39" s="38">
        <v>6.25</v>
      </c>
      <c r="D39" s="38"/>
      <c r="E39" s="38"/>
      <c r="F39" s="38"/>
      <c r="G39" s="38"/>
      <c r="H39" s="38">
        <f t="shared" ref="H39" si="34">H38-F39-D39+B39</f>
        <v>20</v>
      </c>
      <c r="I39" s="38">
        <f t="shared" ref="I39" si="35">I38-E39+C39</f>
        <v>44</v>
      </c>
      <c r="J39" s="43">
        <f t="shared" ref="J39" si="36">H39+I39</f>
        <v>64</v>
      </c>
    </row>
    <row r="40" spans="1:10" s="5" customFormat="1" ht="15.95" customHeight="1" x14ac:dyDescent="0.2">
      <c r="A40" s="31" t="s">
        <v>69</v>
      </c>
      <c r="B40" s="38"/>
      <c r="C40" s="38"/>
      <c r="D40" s="38">
        <v>15</v>
      </c>
      <c r="E40" s="38"/>
      <c r="F40" s="38"/>
      <c r="G40" s="38"/>
      <c r="H40" s="38">
        <f t="shared" ref="H40" si="37">H39-F40-D40+B40</f>
        <v>5</v>
      </c>
      <c r="I40" s="38">
        <f t="shared" ref="I40" si="38">I39-E40+C40</f>
        <v>44</v>
      </c>
      <c r="J40" s="43">
        <f t="shared" ref="J40" si="39">H40+I40</f>
        <v>49</v>
      </c>
    </row>
    <row r="41" spans="1:10" s="5" customFormat="1" ht="15.95" customHeight="1" x14ac:dyDescent="0.2">
      <c r="A41" s="39"/>
      <c r="B41" s="40"/>
      <c r="C41" s="40"/>
      <c r="D41" s="40"/>
      <c r="E41" s="40"/>
      <c r="F41" s="40"/>
      <c r="G41" s="40"/>
      <c r="H41" s="41"/>
      <c r="I41" s="41"/>
      <c r="J41" s="42"/>
    </row>
    <row r="42" spans="1:10" ht="18.9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spans="1:10" s="1" customFormat="1" x14ac:dyDescent="0.25">
      <c r="G43" s="1" t="s">
        <v>37</v>
      </c>
    </row>
    <row r="44" spans="1:10" s="1" customFormat="1" x14ac:dyDescent="0.25"/>
    <row r="45" spans="1:10" s="1" customFormat="1" x14ac:dyDescent="0.25">
      <c r="G45" s="65" t="s">
        <v>38</v>
      </c>
      <c r="H45" s="65"/>
      <c r="I45" s="65"/>
    </row>
    <row r="46" spans="1:10" s="1" customFormat="1" x14ac:dyDescent="0.25">
      <c r="G46" s="66" t="s">
        <v>39</v>
      </c>
      <c r="H46" s="66"/>
      <c r="I46" s="66"/>
    </row>
    <row r="47" spans="1:10" s="1" customFormat="1" x14ac:dyDescent="0.25">
      <c r="G47" s="66" t="s">
        <v>70</v>
      </c>
      <c r="H47" s="66"/>
      <c r="I47" s="66"/>
    </row>
  </sheetData>
  <mergeCells count="17">
    <mergeCell ref="G45:I45"/>
    <mergeCell ref="G46:I46"/>
    <mergeCell ref="G47:I47"/>
    <mergeCell ref="B7:D7"/>
    <mergeCell ref="B9:D9"/>
    <mergeCell ref="A42:J42"/>
    <mergeCell ref="A2:J2"/>
    <mergeCell ref="A3:J3"/>
    <mergeCell ref="A4:J4"/>
    <mergeCell ref="A5:J5"/>
    <mergeCell ref="A11:A12"/>
    <mergeCell ref="J11:J12"/>
    <mergeCell ref="B11:C11"/>
    <mergeCell ref="D11:F11"/>
    <mergeCell ref="H11:I11"/>
    <mergeCell ref="A10:J10"/>
    <mergeCell ref="A13:J13"/>
  </mergeCells>
  <phoneticPr fontId="5" type="noConversion"/>
  <printOptions horizontalCentered="1"/>
  <pageMargins left="0.51181102362204722" right="0.43307086614173229" top="0.51181102362204722" bottom="0.51181102362204722" header="0.31496062992125984" footer="0.31496062992125984"/>
  <pageSetup paperSize="9" scale="66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C9D5-FE19-4F9F-8A7D-51AFBA751079}">
  <dimension ref="A1:M24"/>
  <sheetViews>
    <sheetView view="pageBreakPreview" topLeftCell="A10" zoomScale="98" zoomScaleNormal="100" zoomScaleSheetLayoutView="98" workbookViewId="0">
      <selection activeCell="C19" sqref="C19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46" t="s">
        <v>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 x14ac:dyDescent="0.25">
      <c r="A3" s="46" t="s">
        <v>12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 x14ac:dyDescent="0.25">
      <c r="A4" s="46" t="s">
        <v>13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 x14ac:dyDescent="0.25">
      <c r="A5" s="46" t="s">
        <v>14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15</v>
      </c>
      <c r="B8" s="22"/>
      <c r="C8" s="61" t="s">
        <v>16</v>
      </c>
      <c r="D8" s="61"/>
      <c r="E8" s="61"/>
      <c r="F8" s="61"/>
      <c r="G8" s="61"/>
      <c r="I8" s="61" t="s">
        <v>17</v>
      </c>
      <c r="J8" s="61"/>
      <c r="K8" s="61"/>
      <c r="L8" s="22"/>
    </row>
    <row r="9" spans="1:12" s="1" customFormat="1" ht="12" customHeight="1" x14ac:dyDescent="0.25">
      <c r="B9" s="23"/>
      <c r="C9" s="61" t="s">
        <v>18</v>
      </c>
      <c r="D9" s="61"/>
      <c r="E9" s="61"/>
      <c r="F9" s="61"/>
      <c r="G9" s="61"/>
      <c r="I9" s="62" t="s">
        <v>19</v>
      </c>
      <c r="J9" s="62"/>
      <c r="K9" s="62"/>
      <c r="L9" s="23"/>
    </row>
    <row r="10" spans="1:12" s="1" customFormat="1" ht="12" customHeight="1" x14ac:dyDescent="0.25">
      <c r="A10" s="22" t="s">
        <v>20</v>
      </c>
      <c r="B10" s="22"/>
      <c r="C10" s="24"/>
      <c r="D10" s="23"/>
      <c r="E10" s="23"/>
      <c r="I10" s="61" t="s">
        <v>21</v>
      </c>
      <c r="J10" s="61"/>
      <c r="K10" s="61"/>
      <c r="L10" s="22"/>
    </row>
    <row r="11" spans="1:12" ht="16.5" customHeight="1" thickBot="1" x14ac:dyDescent="0.3">
      <c r="A11" s="63" t="s">
        <v>22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2" s="28" customFormat="1" ht="48" x14ac:dyDescent="0.2">
      <c r="A12" s="25" t="s">
        <v>4</v>
      </c>
      <c r="B12" s="26" t="s">
        <v>23</v>
      </c>
      <c r="C12" s="26" t="s">
        <v>24</v>
      </c>
      <c r="D12" s="26" t="s">
        <v>25</v>
      </c>
      <c r="E12" s="26" t="s">
        <v>26</v>
      </c>
      <c r="F12" s="26" t="s">
        <v>27</v>
      </c>
      <c r="G12" s="26" t="s">
        <v>28</v>
      </c>
      <c r="H12" s="26" t="s">
        <v>29</v>
      </c>
      <c r="I12" s="26" t="s">
        <v>30</v>
      </c>
      <c r="J12" s="26" t="s">
        <v>31</v>
      </c>
      <c r="K12" s="26" t="s">
        <v>32</v>
      </c>
      <c r="L12" s="27" t="s">
        <v>8</v>
      </c>
    </row>
    <row r="13" spans="1:12" s="28" customFormat="1" x14ac:dyDescent="0.2">
      <c r="A13" s="35">
        <v>44909</v>
      </c>
      <c r="B13" s="8"/>
      <c r="C13" s="10"/>
      <c r="D13" s="10">
        <v>1</v>
      </c>
      <c r="E13" s="8"/>
      <c r="F13" s="8"/>
      <c r="G13" s="8"/>
      <c r="H13" s="10"/>
      <c r="I13" s="8"/>
      <c r="J13" s="8"/>
      <c r="K13" s="8"/>
      <c r="L13" s="11">
        <v>1</v>
      </c>
    </row>
    <row r="14" spans="1:12" s="28" customFormat="1" x14ac:dyDescent="0.2">
      <c r="A14" s="12"/>
      <c r="B14" s="8"/>
      <c r="C14" s="10"/>
      <c r="D14" s="10"/>
      <c r="E14" s="8"/>
      <c r="F14" s="8"/>
      <c r="G14" s="8"/>
      <c r="H14" s="10"/>
      <c r="I14" s="8"/>
      <c r="J14" s="8"/>
      <c r="K14" s="8"/>
      <c r="L14" s="11"/>
    </row>
    <row r="15" spans="1:12" s="29" customFormat="1" x14ac:dyDescent="0.2">
      <c r="A15" s="30"/>
      <c r="B15" s="8"/>
      <c r="C15" s="10"/>
      <c r="D15" s="10"/>
      <c r="E15" s="8"/>
      <c r="F15" s="8"/>
      <c r="G15" s="8"/>
      <c r="H15" s="10"/>
      <c r="I15" s="8"/>
      <c r="J15" s="8"/>
      <c r="K15" s="8"/>
      <c r="L15" s="11"/>
    </row>
    <row r="16" spans="1:12" s="29" customFormat="1" x14ac:dyDescent="0.2">
      <c r="A16" s="31"/>
      <c r="B16" s="8"/>
      <c r="C16" s="10"/>
      <c r="D16" s="10"/>
      <c r="E16" s="8"/>
      <c r="F16" s="8"/>
      <c r="G16" s="8"/>
      <c r="H16" s="10"/>
      <c r="I16" s="8"/>
      <c r="J16" s="8"/>
      <c r="K16" s="8"/>
      <c r="L16" s="11"/>
    </row>
    <row r="17" spans="1:12" s="29" customFormat="1" x14ac:dyDescent="0.2">
      <c r="A17" s="10"/>
      <c r="B17" s="8"/>
      <c r="C17" s="10"/>
      <c r="D17" s="10"/>
      <c r="E17" s="8"/>
      <c r="F17" s="8"/>
      <c r="G17" s="8"/>
      <c r="H17" s="10"/>
      <c r="I17" s="8"/>
      <c r="J17" s="8"/>
      <c r="K17" s="8"/>
      <c r="L17" s="11"/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2025-08-27T04:44:35Z</cp:lastPrinted>
  <dcterms:created xsi:type="dcterms:W3CDTF">2021-10-07T06:10:16Z</dcterms:created>
  <dcterms:modified xsi:type="dcterms:W3CDTF">2025-08-27T05:17:25Z</dcterms:modified>
</cp:coreProperties>
</file>