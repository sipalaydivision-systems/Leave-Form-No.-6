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F1014A0E-A972-4369-8146-979F9C60F9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CTED" sheetId="9" r:id="rId1"/>
    <sheet name="CTO" sheetId="7" r:id="rId2"/>
    <sheet name="ELECTION" sheetId="8" r:id="rId3"/>
    <sheet name="Leave Card (NE) (2)" sheetId="10" r:id="rId4"/>
    <sheet name="WRONG" sheetId="6" r:id="rId5"/>
  </sheets>
  <definedNames>
    <definedName name="_xlnm.Print_Area" localSheetId="0">CORRECTED!$A$1:$J$140</definedName>
    <definedName name="_xlnm.Print_Area" localSheetId="3">'Leave Card (NE) (2)'!$A$1:$G$21</definedName>
    <definedName name="_xlnm.Print_Area" localSheetId="4">WRONG!$A$1:$J$110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4" i="9" l="1"/>
  <c r="I134" i="9"/>
  <c r="J134" i="9"/>
  <c r="H133" i="9"/>
  <c r="I133" i="9"/>
  <c r="J133" i="9"/>
  <c r="H131" i="9"/>
  <c r="I131" i="9"/>
  <c r="I132" i="9" s="1"/>
  <c r="J131" i="9"/>
  <c r="H132" i="9"/>
  <c r="J132" i="9" l="1"/>
  <c r="G12" i="10"/>
  <c r="G15" i="10" s="1"/>
  <c r="I13" i="9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H13" i="9"/>
  <c r="H102" i="6"/>
  <c r="J102" i="6" s="1"/>
  <c r="I102" i="6"/>
  <c r="I103" i="6" s="1"/>
  <c r="I104" i="6" s="1"/>
  <c r="J17" i="7"/>
  <c r="J13" i="9" l="1"/>
  <c r="I25" i="9"/>
  <c r="I26" i="9" s="1"/>
  <c r="I27" i="9" s="1"/>
  <c r="I28" i="9" s="1"/>
  <c r="I29" i="9" s="1"/>
  <c r="I30" i="9" s="1"/>
  <c r="I31" i="9" s="1"/>
  <c r="I32" i="9" s="1"/>
  <c r="I33" i="9" s="1"/>
  <c r="I34" i="9" s="1"/>
  <c r="I35" i="9" s="1"/>
  <c r="I36" i="9" s="1"/>
  <c r="I37" i="9" s="1"/>
  <c r="I38" i="9" s="1"/>
  <c r="I39" i="9" s="1"/>
  <c r="I40" i="9" s="1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I64" i="9" s="1"/>
  <c r="I65" i="9" s="1"/>
  <c r="I66" i="9" s="1"/>
  <c r="I67" i="9" s="1"/>
  <c r="I68" i="9" s="1"/>
  <c r="I69" i="9" s="1"/>
  <c r="I70" i="9" s="1"/>
  <c r="I71" i="9" s="1"/>
  <c r="I72" i="9" s="1"/>
  <c r="I73" i="9" s="1"/>
  <c r="I74" i="9" s="1"/>
  <c r="I75" i="9" s="1"/>
  <c r="I76" i="9" s="1"/>
  <c r="I77" i="9" s="1"/>
  <c r="I78" i="9" s="1"/>
  <c r="I79" i="9" s="1"/>
  <c r="I80" i="9" s="1"/>
  <c r="I81" i="9" s="1"/>
  <c r="I82" i="9" s="1"/>
  <c r="I83" i="9" s="1"/>
  <c r="I84" i="9" s="1"/>
  <c r="I85" i="9" s="1"/>
  <c r="I86" i="9" s="1"/>
  <c r="I87" i="9" s="1"/>
  <c r="I88" i="9" s="1"/>
  <c r="I89" i="9" s="1"/>
  <c r="I90" i="9" s="1"/>
  <c r="I91" i="9" s="1"/>
  <c r="I92" i="9" s="1"/>
  <c r="I93" i="9" s="1"/>
  <c r="I94" i="9" s="1"/>
  <c r="I95" i="9" s="1"/>
  <c r="I96" i="9" s="1"/>
  <c r="I97" i="9" s="1"/>
  <c r="I98" i="9" s="1"/>
  <c r="I99" i="9" s="1"/>
  <c r="I100" i="9" s="1"/>
  <c r="I101" i="9" s="1"/>
  <c r="I102" i="9" s="1"/>
  <c r="I103" i="9" s="1"/>
  <c r="I104" i="9" s="1"/>
  <c r="I105" i="9" s="1"/>
  <c r="I106" i="9" s="1"/>
  <c r="I107" i="9" s="1"/>
  <c r="I108" i="9" s="1"/>
  <c r="I109" i="9" s="1"/>
  <c r="I110" i="9" s="1"/>
  <c r="I111" i="9" s="1"/>
  <c r="I112" i="9" s="1"/>
  <c r="I113" i="9" s="1"/>
  <c r="I114" i="9" s="1"/>
  <c r="I115" i="9" s="1"/>
  <c r="I116" i="9" s="1"/>
  <c r="I117" i="9" s="1"/>
  <c r="I118" i="9" s="1"/>
  <c r="I119" i="9" s="1"/>
  <c r="I120" i="9" s="1"/>
  <c r="I121" i="9" s="1"/>
  <c r="I122" i="9" s="1"/>
  <c r="I123" i="9" s="1"/>
  <c r="I124" i="9" s="1"/>
  <c r="I125" i="9" s="1"/>
  <c r="I126" i="9" s="1"/>
  <c r="I127" i="9" s="1"/>
  <c r="I128" i="9" s="1"/>
  <c r="I129" i="9" s="1"/>
  <c r="I130" i="9" s="1"/>
  <c r="H14" i="9"/>
  <c r="H15" i="9" s="1"/>
  <c r="H16" i="9" s="1"/>
  <c r="H103" i="6"/>
  <c r="K16" i="8"/>
  <c r="J16" i="9" l="1"/>
  <c r="H17" i="9"/>
  <c r="J15" i="9"/>
  <c r="J14" i="9"/>
  <c r="H104" i="6"/>
  <c r="J104" i="6" s="1"/>
  <c r="J103" i="6"/>
  <c r="K15" i="8"/>
  <c r="K14" i="8"/>
  <c r="H18" i="9" l="1"/>
  <c r="H19" i="9" s="1"/>
  <c r="J17" i="9"/>
  <c r="I13" i="6"/>
  <c r="I14" i="6" s="1"/>
  <c r="I15" i="6" s="1"/>
  <c r="H13" i="6"/>
  <c r="H14" i="6" s="1"/>
  <c r="J19" i="9" l="1"/>
  <c r="H20" i="9"/>
  <c r="J18" i="9"/>
  <c r="H15" i="6"/>
  <c r="H16" i="6" s="1"/>
  <c r="H17" i="6" s="1"/>
  <c r="J14" i="6"/>
  <c r="I16" i="6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J20" i="9" l="1"/>
  <c r="H21" i="9"/>
  <c r="H18" i="6"/>
  <c r="J17" i="6"/>
  <c r="J15" i="6"/>
  <c r="J16" i="6"/>
  <c r="J21" i="9" l="1"/>
  <c r="H22" i="9"/>
  <c r="J18" i="6"/>
  <c r="H19" i="6"/>
  <c r="J22" i="9" l="1"/>
  <c r="H23" i="9"/>
  <c r="J19" i="6"/>
  <c r="H20" i="6"/>
  <c r="J23" i="9" l="1"/>
  <c r="H24" i="9"/>
  <c r="J24" i="9" s="1"/>
  <c r="J20" i="6"/>
  <c r="H21" i="6"/>
  <c r="H25" i="9" l="1"/>
  <c r="H26" i="9" s="1"/>
  <c r="J25" i="9"/>
  <c r="J21" i="6"/>
  <c r="H22" i="6"/>
  <c r="H27" i="9" l="1"/>
  <c r="J26" i="9"/>
  <c r="H23" i="6"/>
  <c r="J22" i="6"/>
  <c r="J13" i="6"/>
  <c r="H28" i="9" l="1"/>
  <c r="J27" i="9"/>
  <c r="H24" i="6"/>
  <c r="J23" i="6"/>
  <c r="H29" i="9" l="1"/>
  <c r="J28" i="9"/>
  <c r="J24" i="6"/>
  <c r="H25" i="6"/>
  <c r="H30" i="9" l="1"/>
  <c r="J29" i="9"/>
  <c r="J25" i="6"/>
  <c r="H26" i="6"/>
  <c r="H31" i="9" l="1"/>
  <c r="J30" i="9"/>
  <c r="J26" i="6"/>
  <c r="H27" i="6"/>
  <c r="J31" i="9" l="1"/>
  <c r="H32" i="9"/>
  <c r="J27" i="6"/>
  <c r="H28" i="6"/>
  <c r="H33" i="9" l="1"/>
  <c r="J32" i="9"/>
  <c r="J28" i="6"/>
  <c r="H29" i="6"/>
  <c r="J33" i="9" l="1"/>
  <c r="H34" i="9"/>
  <c r="J29" i="6"/>
  <c r="H30" i="6"/>
  <c r="H35" i="9" l="1"/>
  <c r="J34" i="9"/>
  <c r="H31" i="6"/>
  <c r="J30" i="6"/>
  <c r="H36" i="9" l="1"/>
  <c r="J35" i="9"/>
  <c r="J31" i="6"/>
  <c r="H32" i="6"/>
  <c r="H37" i="9" l="1"/>
  <c r="J36" i="9"/>
  <c r="J32" i="6"/>
  <c r="H33" i="6"/>
  <c r="J37" i="9" l="1"/>
  <c r="H38" i="9"/>
  <c r="J33" i="6"/>
  <c r="H34" i="6"/>
  <c r="H39" i="9" l="1"/>
  <c r="J38" i="9"/>
  <c r="H35" i="6"/>
  <c r="J34" i="6"/>
  <c r="H40" i="9" l="1"/>
  <c r="J39" i="9"/>
  <c r="J35" i="6"/>
  <c r="H36" i="6"/>
  <c r="J40" i="9" l="1"/>
  <c r="H41" i="9"/>
  <c r="J36" i="6"/>
  <c r="H37" i="6"/>
  <c r="J41" i="9" l="1"/>
  <c r="H42" i="9"/>
  <c r="J37" i="6"/>
  <c r="H38" i="6"/>
  <c r="H43" i="9" l="1"/>
  <c r="J42" i="9"/>
  <c r="H39" i="6"/>
  <c r="J38" i="6"/>
  <c r="H44" i="9" l="1"/>
  <c r="J43" i="9"/>
  <c r="H40" i="6"/>
  <c r="J39" i="6"/>
  <c r="H45" i="9" l="1"/>
  <c r="J44" i="9"/>
  <c r="J40" i="6"/>
  <c r="H41" i="6"/>
  <c r="J45" i="9" l="1"/>
  <c r="H46" i="9"/>
  <c r="H42" i="6"/>
  <c r="J41" i="6"/>
  <c r="H47" i="9" l="1"/>
  <c r="J46" i="9"/>
  <c r="H43" i="6"/>
  <c r="J42" i="6"/>
  <c r="J47" i="9" l="1"/>
  <c r="H48" i="9"/>
  <c r="H44" i="6"/>
  <c r="J43" i="6"/>
  <c r="J48" i="9" l="1"/>
  <c r="H49" i="9"/>
  <c r="H45" i="6"/>
  <c r="J44" i="6"/>
  <c r="H50" i="9" l="1"/>
  <c r="J49" i="9"/>
  <c r="H46" i="6"/>
  <c r="J45" i="6"/>
  <c r="J50" i="9" l="1"/>
  <c r="H51" i="9"/>
  <c r="J46" i="6"/>
  <c r="H47" i="6"/>
  <c r="H52" i="9" l="1"/>
  <c r="J51" i="9"/>
  <c r="H48" i="6"/>
  <c r="J47" i="6"/>
  <c r="H53" i="9" l="1"/>
  <c r="H54" i="9" s="1"/>
  <c r="J52" i="9"/>
  <c r="J48" i="6"/>
  <c r="H49" i="6"/>
  <c r="H55" i="9" l="1"/>
  <c r="J54" i="9"/>
  <c r="J53" i="9"/>
  <c r="J49" i="6"/>
  <c r="H50" i="6"/>
  <c r="H56" i="9" l="1"/>
  <c r="J55" i="9"/>
  <c r="J50" i="6"/>
  <c r="H51" i="6"/>
  <c r="H57" i="9" l="1"/>
  <c r="J56" i="9"/>
  <c r="J51" i="6"/>
  <c r="H52" i="6"/>
  <c r="H58" i="9" l="1"/>
  <c r="J57" i="9"/>
  <c r="H53" i="6"/>
  <c r="J52" i="6"/>
  <c r="J58" i="9" l="1"/>
  <c r="H59" i="9"/>
  <c r="J53" i="6"/>
  <c r="H54" i="6"/>
  <c r="H60" i="9" l="1"/>
  <c r="J59" i="9"/>
  <c r="J54" i="6"/>
  <c r="H55" i="6"/>
  <c r="J60" i="9" l="1"/>
  <c r="H61" i="9"/>
  <c r="J55" i="6"/>
  <c r="H56" i="6"/>
  <c r="H62" i="9" l="1"/>
  <c r="J61" i="9"/>
  <c r="H57" i="6"/>
  <c r="J56" i="6"/>
  <c r="J62" i="9" l="1"/>
  <c r="H63" i="9"/>
  <c r="J57" i="6"/>
  <c r="H58" i="6"/>
  <c r="H64" i="9" l="1"/>
  <c r="J63" i="9"/>
  <c r="J58" i="6"/>
  <c r="H59" i="6"/>
  <c r="J64" i="9" l="1"/>
  <c r="H65" i="9"/>
  <c r="J59" i="6"/>
  <c r="H60" i="6"/>
  <c r="H66" i="9" l="1"/>
  <c r="J65" i="9"/>
  <c r="J60" i="6"/>
  <c r="H61" i="6"/>
  <c r="H67" i="9" l="1"/>
  <c r="J66" i="9"/>
  <c r="H62" i="6"/>
  <c r="J61" i="6"/>
  <c r="J67" i="9" l="1"/>
  <c r="H68" i="9"/>
  <c r="J62" i="6"/>
  <c r="H63" i="6"/>
  <c r="H69" i="9" l="1"/>
  <c r="J68" i="9"/>
  <c r="J63" i="6"/>
  <c r="H64" i="6"/>
  <c r="J69" i="9" l="1"/>
  <c r="H70" i="9"/>
  <c r="J64" i="6"/>
  <c r="H65" i="6"/>
  <c r="H71" i="9" l="1"/>
  <c r="J70" i="9"/>
  <c r="J65" i="6"/>
  <c r="H66" i="6"/>
  <c r="J71" i="9" l="1"/>
  <c r="H72" i="9"/>
  <c r="H67" i="6"/>
  <c r="J66" i="6"/>
  <c r="H73" i="9" l="1"/>
  <c r="J72" i="9"/>
  <c r="J67" i="6"/>
  <c r="H68" i="6"/>
  <c r="H74" i="9" l="1"/>
  <c r="J73" i="9"/>
  <c r="H69" i="6"/>
  <c r="J68" i="6"/>
  <c r="H75" i="9" l="1"/>
  <c r="J74" i="9"/>
  <c r="H70" i="6"/>
  <c r="J69" i="6"/>
  <c r="H76" i="9" l="1"/>
  <c r="J75" i="9"/>
  <c r="H71" i="6"/>
  <c r="J70" i="6"/>
  <c r="H77" i="9" l="1"/>
  <c r="J76" i="9"/>
  <c r="J71" i="6"/>
  <c r="H72" i="6"/>
  <c r="H78" i="9" l="1"/>
  <c r="J77" i="9"/>
  <c r="H73" i="6"/>
  <c r="J72" i="6"/>
  <c r="H79" i="9" l="1"/>
  <c r="J78" i="9"/>
  <c r="J73" i="6"/>
  <c r="H74" i="6"/>
  <c r="H80" i="9" l="1"/>
  <c r="J79" i="9"/>
  <c r="J74" i="6"/>
  <c r="H75" i="6"/>
  <c r="H81" i="9" l="1"/>
  <c r="J80" i="9"/>
  <c r="H76" i="6"/>
  <c r="J75" i="6"/>
  <c r="H82" i="9" l="1"/>
  <c r="J81" i="9"/>
  <c r="J76" i="6"/>
  <c r="H77" i="6"/>
  <c r="H83" i="9" l="1"/>
  <c r="J82" i="9"/>
  <c r="J77" i="6"/>
  <c r="H78" i="6"/>
  <c r="H84" i="9" l="1"/>
  <c r="J83" i="9"/>
  <c r="H79" i="6"/>
  <c r="J78" i="6"/>
  <c r="H85" i="9" l="1"/>
  <c r="J84" i="9"/>
  <c r="J79" i="6"/>
  <c r="H80" i="6"/>
  <c r="H86" i="9" l="1"/>
  <c r="J85" i="9"/>
  <c r="H81" i="6"/>
  <c r="J80" i="6"/>
  <c r="H87" i="9" l="1"/>
  <c r="J86" i="9"/>
  <c r="J81" i="6"/>
  <c r="H82" i="6"/>
  <c r="H88" i="9" l="1"/>
  <c r="J87" i="9"/>
  <c r="H83" i="6"/>
  <c r="J82" i="6"/>
  <c r="H89" i="9" l="1"/>
  <c r="J88" i="9"/>
  <c r="H84" i="6"/>
  <c r="J83" i="6"/>
  <c r="H90" i="9" l="1"/>
  <c r="J89" i="9"/>
  <c r="H85" i="6"/>
  <c r="J84" i="6"/>
  <c r="H91" i="9" l="1"/>
  <c r="J90" i="9"/>
  <c r="H86" i="6"/>
  <c r="J85" i="6"/>
  <c r="H92" i="9" l="1"/>
  <c r="J91" i="9"/>
  <c r="J86" i="6"/>
  <c r="H87" i="6"/>
  <c r="H93" i="9" l="1"/>
  <c r="J92" i="9"/>
  <c r="J87" i="6"/>
  <c r="H88" i="6"/>
  <c r="H94" i="9" l="1"/>
  <c r="J93" i="9"/>
  <c r="H89" i="6"/>
  <c r="J88" i="6"/>
  <c r="H95" i="9" l="1"/>
  <c r="J94" i="9"/>
  <c r="H90" i="6"/>
  <c r="J89" i="6"/>
  <c r="J95" i="9" l="1"/>
  <c r="H96" i="9"/>
  <c r="J90" i="6"/>
  <c r="H91" i="6"/>
  <c r="H97" i="9" l="1"/>
  <c r="J96" i="9"/>
  <c r="J91" i="6"/>
  <c r="H92" i="6"/>
  <c r="J97" i="9" l="1"/>
  <c r="H98" i="9"/>
  <c r="J92" i="6"/>
  <c r="H93" i="6"/>
  <c r="H94" i="6" s="1"/>
  <c r="J98" i="9" l="1"/>
  <c r="H99" i="9"/>
  <c r="J94" i="6"/>
  <c r="H95" i="6"/>
  <c r="J93" i="6"/>
  <c r="J99" i="9" l="1"/>
  <c r="H100" i="9"/>
  <c r="H96" i="6"/>
  <c r="J95" i="6"/>
  <c r="J100" i="9" l="1"/>
  <c r="H101" i="9"/>
  <c r="H97" i="6"/>
  <c r="J96" i="6"/>
  <c r="J101" i="9" l="1"/>
  <c r="H102" i="9"/>
  <c r="H98" i="6"/>
  <c r="J97" i="6"/>
  <c r="J102" i="9" l="1"/>
  <c r="H103" i="9"/>
  <c r="H99" i="6"/>
  <c r="J98" i="6"/>
  <c r="J103" i="9" l="1"/>
  <c r="H104" i="9"/>
  <c r="H100" i="6"/>
  <c r="J99" i="6"/>
  <c r="J104" i="9" l="1"/>
  <c r="H105" i="9"/>
  <c r="H101" i="6"/>
  <c r="J101" i="6" s="1"/>
  <c r="J100" i="6"/>
  <c r="J105" i="9" l="1"/>
  <c r="H106" i="9"/>
  <c r="J106" i="9" l="1"/>
  <c r="H107" i="9"/>
  <c r="J107" i="9" l="1"/>
  <c r="H108" i="9"/>
  <c r="J108" i="9" l="1"/>
  <c r="H109" i="9"/>
  <c r="J109" i="9" l="1"/>
  <c r="H110" i="9"/>
  <c r="J110" i="9" l="1"/>
  <c r="H111" i="9"/>
  <c r="J111" i="9" l="1"/>
  <c r="H112" i="9"/>
  <c r="J112" i="9" l="1"/>
  <c r="H113" i="9"/>
  <c r="J113" i="9" l="1"/>
  <c r="H114" i="9"/>
  <c r="J114" i="9" l="1"/>
  <c r="H115" i="9"/>
  <c r="J115" i="9" l="1"/>
  <c r="H116" i="9"/>
  <c r="J116" i="9" l="1"/>
  <c r="H117" i="9"/>
  <c r="J117" i="9" l="1"/>
  <c r="H118" i="9"/>
  <c r="J118" i="9" l="1"/>
  <c r="H119" i="9"/>
  <c r="J119" i="9" l="1"/>
  <c r="H120" i="9"/>
  <c r="J120" i="9" l="1"/>
  <c r="H121" i="9"/>
  <c r="J121" i="9" l="1"/>
  <c r="H122" i="9"/>
  <c r="J122" i="9" l="1"/>
  <c r="H123" i="9"/>
  <c r="J123" i="9" l="1"/>
  <c r="H124" i="9"/>
  <c r="J124" i="9" l="1"/>
  <c r="H125" i="9"/>
  <c r="J125" i="9" l="1"/>
  <c r="H126" i="9"/>
  <c r="J126" i="9" l="1"/>
  <c r="H127" i="9"/>
  <c r="J127" i="9" l="1"/>
  <c r="H128" i="9"/>
  <c r="J128" i="9" l="1"/>
  <c r="H129" i="9"/>
  <c r="J129" i="9" l="1"/>
  <c r="H130" i="9"/>
  <c r="J130" i="9" s="1"/>
</calcChain>
</file>

<file path=xl/sharedStrings.xml><?xml version="1.0" encoding="utf-8"?>
<sst xmlns="http://schemas.openxmlformats.org/spreadsheetml/2006/main" count="364" uniqueCount="206">
  <si>
    <t>EMP. NO  :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</si>
  <si>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</si>
  <si>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</si>
  <si>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</si>
  <si>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</si>
  <si>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</si>
  <si>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</si>
  <si>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</si>
  <si>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</si>
  <si>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</si>
  <si>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</si>
  <si>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</si>
  <si>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LESS: 01/06 - 07/22</t>
  </si>
  <si>
    <t>ADD: 01/01/22 - 01/31/22</t>
  </si>
  <si>
    <t>LESS: 01/26/22</t>
  </si>
  <si>
    <t>LESS: 02/17/22</t>
  </si>
  <si>
    <t>ADD: 02/01/22 - 03/31/22</t>
  </si>
  <si>
    <t>LESS: 04/20/22</t>
  </si>
  <si>
    <t>ADD: 04/01/22 - 05/31/22</t>
  </si>
  <si>
    <t>LESS: 05/31(.5) &amp; 06/02/22</t>
  </si>
  <si>
    <t>LESS: 05/26/22</t>
  </si>
  <si>
    <t>ADD: 06/01/22 - 06/30/22</t>
  </si>
  <si>
    <t>LESS: 07/11/22</t>
  </si>
  <si>
    <t>LESS: 07/29/22</t>
  </si>
  <si>
    <t>ADD: 07/01/22 - 07/31/22</t>
  </si>
  <si>
    <t>LESS: 08/25/22</t>
  </si>
  <si>
    <t>ADD: 08/01/22 - 08/31/22</t>
  </si>
  <si>
    <t>ADD: 09/01/22 - 09/30/22</t>
  </si>
  <si>
    <t>LESS: 10/5,6 &amp; 7/22</t>
  </si>
  <si>
    <t>LESS: MONETIZATION 2022</t>
  </si>
  <si>
    <t>ADD: 10/01/22 - 10/31/22</t>
  </si>
  <si>
    <t>ADD: 11/01/22 - 11/30/22</t>
  </si>
  <si>
    <t>LESS: 11/23/2022</t>
  </si>
  <si>
    <t>LESS: 12/28/2022</t>
  </si>
  <si>
    <t>LESS: 12/12 &amp; 13/2022</t>
  </si>
  <si>
    <t>LESS: 12/14/2022</t>
  </si>
  <si>
    <t>ADD: 12/01/22 - 12/31/22</t>
  </si>
  <si>
    <t>LESS: 01/30/2023</t>
  </si>
  <si>
    <t>SPECIAL</t>
  </si>
  <si>
    <t>LESS: 01/12 (AM) &amp; 20/2023</t>
  </si>
  <si>
    <t>LESS: 02/10/2023</t>
  </si>
  <si>
    <t>ADD: 01/01/23 - 01/31/23</t>
  </si>
  <si>
    <t>LESS: 02/21/2023 (PM)</t>
  </si>
  <si>
    <t>ADD: 02/01/23 - 03/31/23</t>
  </si>
  <si>
    <t>LESS: 03/09 &amp; 15/2023</t>
  </si>
  <si>
    <t>ADD: 03/01/23 - 03/31/23</t>
  </si>
  <si>
    <t>LESS: 04/13/2023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</si>
  <si>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</si>
  <si>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</si>
  <si>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</si>
  <si>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</si>
  <si>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</si>
  <si>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</si>
  <si>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</si>
  <si>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</si>
  <si>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03/27/2019 - 03/31/2019</t>
  </si>
  <si>
    <t>ADD: 04/11/2019 - 12/31/2019</t>
  </si>
  <si>
    <t>LESS: 10/16/2019</t>
  </si>
  <si>
    <t>LESS: 12/26/2019</t>
  </si>
  <si>
    <t>ADD: 01/01/2020 - 12/31/2020</t>
  </si>
  <si>
    <t>LESS: 01/30/2020</t>
  </si>
  <si>
    <t>LESS: 02/19&amp;20(PM)/2020</t>
  </si>
  <si>
    <t>LESS: 06/25-26/2020</t>
  </si>
  <si>
    <t>LESS: MONETIZATION 2020</t>
  </si>
  <si>
    <t>LESS: 12/28-29/2020</t>
  </si>
  <si>
    <t>ADD: 01/01/2021 - 12/31/2021</t>
  </si>
  <si>
    <t>LESS: 05/12/2021</t>
  </si>
  <si>
    <t>LESS: 09/02/2021</t>
  </si>
  <si>
    <t>LESS: 09/13&amp;14/2021</t>
  </si>
  <si>
    <t>LESS: MONETIZATION 2021</t>
  </si>
  <si>
    <t>LESS: 11/23/2021</t>
  </si>
  <si>
    <t>LESS: 05/24/23 (AM)</t>
  </si>
  <si>
    <t>ADD: 04/01/23 - 05/31/23</t>
  </si>
  <si>
    <t>LESS: 06/01/2023</t>
  </si>
  <si>
    <t>ADD: 06/01/23 - 06/30/23</t>
  </si>
  <si>
    <t>LESS: 06/26/2023</t>
  </si>
  <si>
    <t>COMPENSATORY TIME OFF (CTO)</t>
  </si>
  <si>
    <t>Special Order No. and Date Issued</t>
  </si>
  <si>
    <t>No. of Days Granted</t>
  </si>
  <si>
    <t>No. of Days Used</t>
  </si>
  <si>
    <t>Balance</t>
  </si>
  <si>
    <t>ADD: JAN 18, 2023</t>
  </si>
  <si>
    <t>S.O. # 001, S. 2023. 126TH ANNIVERSARY OF THE MARTYRDOM OF DR. JOSE P. RIZAL</t>
  </si>
  <si>
    <t>NOTE:  Valid for one (1) year only</t>
  </si>
  <si>
    <t>Certified Correct:</t>
  </si>
  <si>
    <t>MA. LUISA B. CATIGAN</t>
  </si>
  <si>
    <t>Administrative Officer IV</t>
  </si>
  <si>
    <t>HRMO</t>
  </si>
  <si>
    <t>LESS: 06/14/23</t>
  </si>
  <si>
    <t>SPECIAL ORDER FOR ELECTION (NATONAL/BARANGAY AND SK ELECTION)</t>
  </si>
  <si>
    <t>SPECIAL ORDER NO. AND DATE ISSUED</t>
  </si>
  <si>
    <t>NATIONAL ELECTION</t>
  </si>
  <si>
    <t>BARANGAY ELECTION/SK ELECTION</t>
  </si>
  <si>
    <t>S.0 # 051, S. 2022, JULY 1, 2022</t>
  </si>
  <si>
    <t>ADD: JULY 01, 2022</t>
  </si>
  <si>
    <t xml:space="preserve"> MAY 9, 2022 NATIONAL AND LOCAL ELECTION</t>
  </si>
  <si>
    <t>LESS: JULY 19, 2023</t>
  </si>
  <si>
    <t>ADD: 07/01/23 - 08/31/23</t>
  </si>
  <si>
    <t>LESS: AUGUST 3 &amp; 4, 2023</t>
  </si>
  <si>
    <t>LESS: MONETIZATION 2023</t>
  </si>
  <si>
    <t>LESS: 08/22/23</t>
  </si>
  <si>
    <t>ADD: 09/01/2023-10/31/2023</t>
  </si>
  <si>
    <t>LESS: OCTOBER 16, 2023</t>
  </si>
  <si>
    <t>S.O. # 159, S. 2023. 125TH PHILIPPINE INDEPENDENCE DAY</t>
  </si>
  <si>
    <t>ADD: 11/01/2023-11/30/2023</t>
  </si>
  <si>
    <t>LESS: 11/15&amp;23/2023</t>
  </si>
  <si>
    <t>LESS: 10/18/2023</t>
  </si>
  <si>
    <t>LESS: 11/30/2023</t>
  </si>
  <si>
    <t>ADD: 12/01/2023-12/31/2023</t>
  </si>
  <si>
    <t>LESS: 12/21&amp;29/2023</t>
  </si>
  <si>
    <t>LESS: 01/08/2024</t>
  </si>
  <si>
    <t>LESS: 01/25/2024</t>
  </si>
  <si>
    <t>ADD: 01/01/2024-01/31/2024</t>
  </si>
  <si>
    <t>LESS: 01/29/2024</t>
  </si>
  <si>
    <t>LESS: 02/07/2024</t>
  </si>
  <si>
    <t>LESS: 02/26/2024</t>
  </si>
  <si>
    <t>ADD: 02/01/2024-02/29/2024</t>
  </si>
  <si>
    <t>LESS: 04/11/2024</t>
  </si>
  <si>
    <t>LESS: 04/18/2024</t>
  </si>
  <si>
    <t>ADD: MARCH 31, 2024</t>
  </si>
  <si>
    <t>ADD: APRIL 1-31, 2024</t>
  </si>
  <si>
    <t>LESS: 05/9 &amp; 14/2024</t>
  </si>
  <si>
    <t>LESS: 05/16/2024</t>
  </si>
  <si>
    <t>LESS: 05/29/2024</t>
  </si>
  <si>
    <t>SO# 010, S. 2024</t>
  </si>
  <si>
    <t>APRIL 30, 2024</t>
  </si>
  <si>
    <t>OCTOBER 30,2023 BRGY. &amp; SK ELECTION</t>
  </si>
  <si>
    <t>LESS: 07/02/2024</t>
  </si>
  <si>
    <t>LESS: 06/11 &amp; 06/23/2024</t>
  </si>
  <si>
    <t>ADD:MAY-JULY 31, 2024</t>
  </si>
  <si>
    <t>LESS: 07/04 &amp; 07/08/2024</t>
  </si>
  <si>
    <t>ADD: OCT. 17, 2023</t>
  </si>
  <si>
    <t>S.O. # 024, S. 2024 126TH PHILIPPINE INDEPENDENCE DAY</t>
  </si>
  <si>
    <t>ADD: 06/26/2024</t>
  </si>
  <si>
    <t>LESS: 07/24/2024</t>
  </si>
  <si>
    <t>LESS: FL 2019</t>
  </si>
  <si>
    <t>ADD: 08/1-31/2024</t>
  </si>
  <si>
    <t>LESS: 08/4,5 &amp; 8/2024</t>
  </si>
  <si>
    <t>LESS: 08/19-20/2024</t>
  </si>
  <si>
    <t>ADD: 09/1-30/2024</t>
  </si>
  <si>
    <t>LESS: 09/04/2024</t>
  </si>
  <si>
    <t>LESS: 10/02/2024</t>
  </si>
  <si>
    <t>LESS: 10/17 &amp; 22/2024</t>
  </si>
  <si>
    <t>LESS: MONETIZATION  2024</t>
  </si>
  <si>
    <t>ADD: 10/1/2024-11/30/2024</t>
  </si>
  <si>
    <t>LESS: 12/5/2024</t>
  </si>
  <si>
    <t>LESS: 12/23/2024</t>
  </si>
  <si>
    <t>LESS: 01/12/23 &amp; 20/2023</t>
  </si>
  <si>
    <t>ADD: 12/1-31/2024</t>
  </si>
  <si>
    <t>LESS: 12/27/2024</t>
  </si>
  <si>
    <t>LESS: 01/07/2025</t>
  </si>
  <si>
    <t>LESS: 01/21/2025</t>
  </si>
  <si>
    <t>LESS: 01/13-14/2025</t>
  </si>
  <si>
    <t>Name       :</t>
  </si>
  <si>
    <t>MILKY GEROCHE</t>
  </si>
  <si>
    <t>POSITION:</t>
  </si>
  <si>
    <t>ADAS III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</si>
  <si>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</si>
  <si>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</si>
  <si>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</si>
  <si>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</si>
  <si>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</si>
  <si>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</si>
  <si>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AUGUST 9, 2022</t>
  </si>
  <si>
    <t>S.O. #052, s. 2022, dated JULY 13, 2022</t>
  </si>
  <si>
    <t>124TH PHILIPPINE INDEPENDENCE DAY CELEBRATION</t>
  </si>
  <si>
    <t>Date Granted: July 13, 2022</t>
  </si>
  <si>
    <t>Note: Validity of S.O. is One (1) from the date it was granted</t>
  </si>
  <si>
    <t>Total Remaining Balance</t>
  </si>
  <si>
    <t>CERTIFIED CORRECT:</t>
  </si>
  <si>
    <t>ADD: 01/1-31/2025</t>
  </si>
  <si>
    <t>LESS: 02/20/2025</t>
  </si>
  <si>
    <t>LESS: 02/10/2025</t>
  </si>
  <si>
    <t>ADD: 02/1-28/2025</t>
  </si>
  <si>
    <t>LESS: 02/26/2025</t>
  </si>
  <si>
    <t>LESS: 03/21/2025</t>
  </si>
  <si>
    <t>ADD: 03/1/2025-04/30/2025</t>
  </si>
  <si>
    <t>LESS: 04/4 &amp; 28/2025</t>
  </si>
  <si>
    <t>ADD: 10/1/2019-11/30/2019</t>
  </si>
  <si>
    <t>ADD: 12/1-31/2019</t>
  </si>
  <si>
    <t>ADD: 01/1-31/2020</t>
  </si>
  <si>
    <t>ADD: 02/1/2020-05/31/2020</t>
  </si>
  <si>
    <t>ADD: 06/1/2020-11/30/2020</t>
  </si>
  <si>
    <t>ADD: 12/1-31/2020</t>
  </si>
  <si>
    <t>ADD: 01/01/2021 - 04/30/2021</t>
  </si>
  <si>
    <t>ADD: 05/1/2021-08/31/2021</t>
  </si>
  <si>
    <t>ADD: 09/2021-11/30/2021</t>
  </si>
  <si>
    <t>ADD: 12/1-31/2021</t>
  </si>
  <si>
    <t>LESS: 01/28/2022</t>
  </si>
  <si>
    <t>ADD: 01/1-31/2022</t>
  </si>
  <si>
    <t>ADD: 02/1-28/2023</t>
  </si>
  <si>
    <t>ADD: 03/01-31/23</t>
  </si>
  <si>
    <t>ADD: 02/01/2024-03/31/2024</t>
  </si>
  <si>
    <t>ADD: 05/1-31/2025</t>
  </si>
  <si>
    <t>LESS: 06/9/2025</t>
  </si>
  <si>
    <t>ADD: 04/01/2019 - 09/30/2019</t>
  </si>
  <si>
    <t>LESS: 05/19/2025</t>
  </si>
  <si>
    <t>ADD: 06/1-30/2025</t>
  </si>
  <si>
    <t>LESS: 07/10 &amp; 14/2025</t>
  </si>
  <si>
    <t>LESS: 08/1/2025</t>
  </si>
  <si>
    <t>ADD: 07/1-31/2025</t>
  </si>
  <si>
    <t>LESS: 08/13/2025</t>
  </si>
  <si>
    <t>ADD: 08/01/22 - 09/30/2022</t>
  </si>
  <si>
    <t>ADD: 08/1/2025-10/31/2025</t>
  </si>
  <si>
    <t>LESS: 08/7/2025</t>
  </si>
  <si>
    <t>LESS: 11/20/2025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</si>
</sst>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8" fillId="0" borderId="0"/>
    <xf numFmtId="0" fontId="17" fillId="0" borderId="0"/>
    <xf numFmtId="0" fontId="8" fillId="0" borderId="0"/>
  </cellStyleXfs>
  <cellXfs count="184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22" fillId="0" borderId="0" xfId="0" applyFont="1"/>
    <xf numFmtId="0" fontId="21" fillId="2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4" fillId="2" borderId="0" xfId="0" applyFont="1" applyFill="1" applyAlignment="1">
      <alignment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0" xfId="0" applyFont="1" applyFill="1"/>
    <xf numFmtId="0" fontId="24" fillId="2" borderId="4" xfId="0" applyFont="1" applyFill="1" applyBorder="1" applyAlignment="1">
      <alignment vertical="center"/>
    </xf>
    <xf numFmtId="0" fontId="20" fillId="0" borderId="8" xfId="0" applyFont="1" applyBorder="1" applyAlignment="1">
      <alignment horizontal="center" vertical="center"/>
    </xf>
    <xf numFmtId="164" fontId="20" fillId="2" borderId="1" xfId="0" applyNumberFormat="1" applyFont="1" applyFill="1" applyBorder="1" applyAlignment="1">
      <alignment horizontal="center" vertical="center"/>
    </xf>
    <xf numFmtId="164" fontId="20" fillId="2" borderId="3" xfId="0" applyNumberFormat="1" applyFont="1" applyFill="1" applyBorder="1" applyAlignment="1">
      <alignment horizontal="center" vertical="center"/>
    </xf>
    <xf numFmtId="14" fontId="20" fillId="0" borderId="8" xfId="0" applyNumberFormat="1" applyFont="1" applyBorder="1" applyAlignment="1">
      <alignment horizontal="center" vertical="center"/>
    </xf>
    <xf numFmtId="14" fontId="20" fillId="0" borderId="11" xfId="0" applyNumberFormat="1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164" fontId="24" fillId="2" borderId="1" xfId="0" applyNumberFormat="1" applyFont="1" applyFill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9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2" borderId="0" xfId="1" applyFill="1"/>
    <xf numFmtId="0" fontId="24" fillId="2" borderId="0" xfId="1" applyFont="1" applyFill="1" applyAlignment="1">
      <alignment vertical="center"/>
    </xf>
    <xf numFmtId="0" fontId="24" fillId="2" borderId="4" xfId="1" applyFont="1" applyFill="1" applyBorder="1" applyAlignment="1">
      <alignment horizontal="center" vertical="center"/>
    </xf>
    <xf numFmtId="0" fontId="24" fillId="2" borderId="0" xfId="1" applyFont="1" applyFill="1"/>
    <xf numFmtId="0" fontId="24" fillId="2" borderId="4" xfId="1" applyFont="1" applyFill="1" applyBorder="1" applyAlignment="1">
      <alignment vertical="center"/>
    </xf>
    <xf numFmtId="0" fontId="18" fillId="0" borderId="0" xfId="1"/>
    <xf numFmtId="0" fontId="28" fillId="0" borderId="0" xfId="1" applyFont="1"/>
    <xf numFmtId="0" fontId="18" fillId="2" borderId="3" xfId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 wrapText="1"/>
    </xf>
    <xf numFmtId="0" fontId="30" fillId="0" borderId="0" xfId="1" applyFont="1"/>
    <xf numFmtId="0" fontId="32" fillId="0" borderId="0" xfId="1" applyFont="1"/>
    <xf numFmtId="0" fontId="33" fillId="0" borderId="0" xfId="1" applyFont="1"/>
    <xf numFmtId="0" fontId="18" fillId="0" borderId="0" xfId="1" applyAlignment="1">
      <alignment vertical="center"/>
    </xf>
    <xf numFmtId="0" fontId="29" fillId="2" borderId="0" xfId="1" applyFont="1" applyFill="1" applyAlignment="1">
      <alignment horizontal="center" vertical="center" wrapText="1"/>
    </xf>
    <xf numFmtId="0" fontId="18" fillId="2" borderId="0" xfId="1" applyFill="1" applyAlignment="1">
      <alignment horizontal="center" vertical="center" wrapText="1"/>
    </xf>
    <xf numFmtId="0" fontId="18" fillId="2" borderId="0" xfId="1" applyFill="1" applyAlignment="1">
      <alignment horizontal="center"/>
    </xf>
    <xf numFmtId="0" fontId="17" fillId="2" borderId="0" xfId="2" applyFill="1"/>
    <xf numFmtId="0" fontId="24" fillId="2" borderId="0" xfId="2" applyFont="1" applyFill="1" applyAlignment="1">
      <alignment vertical="center"/>
    </xf>
    <xf numFmtId="0" fontId="24" fillId="2" borderId="0" xfId="2" applyFont="1" applyFill="1"/>
    <xf numFmtId="0" fontId="24" fillId="2" borderId="4" xfId="2" applyFont="1" applyFill="1" applyBorder="1" applyAlignment="1">
      <alignment vertical="center"/>
    </xf>
    <xf numFmtId="0" fontId="17" fillId="0" borderId="0" xfId="2"/>
    <xf numFmtId="0" fontId="28" fillId="0" borderId="0" xfId="2" applyFont="1"/>
    <xf numFmtId="0" fontId="17" fillId="2" borderId="7" xfId="2" applyFill="1" applyBorder="1" applyAlignment="1">
      <alignment horizontal="center" vertical="center" wrapText="1"/>
    </xf>
    <xf numFmtId="0" fontId="17" fillId="2" borderId="26" xfId="2" applyFill="1" applyBorder="1" applyAlignment="1">
      <alignment horizontal="center" vertical="center"/>
    </xf>
    <xf numFmtId="0" fontId="17" fillId="2" borderId="3" xfId="2" applyFill="1" applyBorder="1" applyAlignment="1">
      <alignment horizontal="center" vertical="center" wrapText="1"/>
    </xf>
    <xf numFmtId="0" fontId="17" fillId="2" borderId="26" xfId="2" applyFill="1" applyBorder="1" applyAlignment="1">
      <alignment horizontal="center" vertical="center" wrapText="1"/>
    </xf>
    <xf numFmtId="0" fontId="30" fillId="0" borderId="0" xfId="2" applyFont="1"/>
    <xf numFmtId="0" fontId="30" fillId="2" borderId="0" xfId="2" applyFont="1" applyFill="1" applyAlignment="1">
      <alignment horizontal="center" vertical="center"/>
    </xf>
    <xf numFmtId="0" fontId="17" fillId="2" borderId="0" xfId="2" applyFill="1" applyAlignment="1">
      <alignment horizontal="center"/>
    </xf>
    <xf numFmtId="0" fontId="16" fillId="0" borderId="8" xfId="0" applyFont="1" applyBorder="1" applyAlignment="1">
      <alignment horizontal="center" vertical="center"/>
    </xf>
    <xf numFmtId="0" fontId="15" fillId="2" borderId="26" xfId="2" applyFont="1" applyFill="1" applyBorder="1" applyAlignment="1">
      <alignment horizontal="center" vertical="center" wrapText="1"/>
    </xf>
    <xf numFmtId="0" fontId="17" fillId="2" borderId="1" xfId="2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18" fillId="2" borderId="1" xfId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20" fillId="9" borderId="1" xfId="0" applyNumberFormat="1" applyFont="1" applyFill="1" applyBorder="1" applyAlignment="1">
      <alignment horizontal="center" vertical="center"/>
    </xf>
    <xf numFmtId="164" fontId="20" fillId="10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4" fillId="2" borderId="0" xfId="0" applyFont="1" applyFill="1" applyAlignment="1">
      <alignment horizontal="center"/>
    </xf>
    <xf numFmtId="0" fontId="17" fillId="11" borderId="1" xfId="2" applyFill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center" vertical="center" wrapText="1"/>
    </xf>
    <xf numFmtId="0" fontId="17" fillId="0" borderId="1" xfId="2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 wrapText="1"/>
    </xf>
    <xf numFmtId="0" fontId="18" fillId="11" borderId="1" xfId="1" applyFill="1" applyBorder="1" applyAlignment="1">
      <alignment horizontal="center" vertical="center" wrapText="1"/>
    </xf>
    <xf numFmtId="0" fontId="18" fillId="11" borderId="3" xfId="1" applyFill="1" applyBorder="1" applyAlignment="1">
      <alignment horizontal="center" vertical="center" wrapText="1"/>
    </xf>
    <xf numFmtId="0" fontId="18" fillId="0" borderId="1" xfId="1" applyBorder="1" applyAlignment="1">
      <alignment horizontal="center" vertical="center" wrapText="1"/>
    </xf>
    <xf numFmtId="0" fontId="24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0" fillId="9" borderId="1" xfId="0" applyFill="1" applyBorder="1" applyAlignment="1">
      <alignment horizontal="center"/>
    </xf>
    <xf numFmtId="14" fontId="9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20" fillId="0" borderId="0" xfId="0" applyNumberFormat="1" applyFont="1" applyAlignment="1">
      <alignment horizontal="center" vertical="center"/>
    </xf>
    <xf numFmtId="164" fontId="20" fillId="2" borderId="0" xfId="0" applyNumberFormat="1" applyFont="1" applyFill="1" applyAlignment="1">
      <alignment horizontal="center" vertical="center"/>
    </xf>
    <xf numFmtId="0" fontId="8" fillId="0" borderId="0" xfId="3"/>
    <xf numFmtId="0" fontId="8" fillId="0" borderId="0" xfId="3" applyAlignment="1">
      <alignment horizontal="center" vertical="center"/>
    </xf>
    <xf numFmtId="0" fontId="8" fillId="2" borderId="0" xfId="3" applyFill="1"/>
    <xf numFmtId="0" fontId="21" fillId="2" borderId="4" xfId="3" applyFont="1" applyFill="1" applyBorder="1" applyAlignment="1">
      <alignment horizontal="center" vertical="center"/>
    </xf>
    <xf numFmtId="0" fontId="21" fillId="2" borderId="0" xfId="3" applyFont="1" applyFill="1" applyAlignment="1">
      <alignment vertical="center"/>
    </xf>
    <xf numFmtId="0" fontId="21" fillId="2" borderId="0" xfId="3" applyFont="1" applyFill="1" applyAlignment="1">
      <alignment horizontal="right" vertical="center"/>
    </xf>
    <xf numFmtId="0" fontId="21" fillId="2" borderId="4" xfId="3" applyFont="1" applyFill="1" applyBorder="1" applyAlignment="1">
      <alignment vertical="center"/>
    </xf>
    <xf numFmtId="0" fontId="8" fillId="2" borderId="4" xfId="3" applyFill="1" applyBorder="1"/>
    <xf numFmtId="0" fontId="21" fillId="2" borderId="0" xfId="3" applyFont="1" applyFill="1" applyAlignment="1">
      <alignment horizontal="center" vertical="center"/>
    </xf>
    <xf numFmtId="0" fontId="21" fillId="2" borderId="0" xfId="3" applyFont="1" applyFill="1"/>
    <xf numFmtId="0" fontId="8" fillId="2" borderId="0" xfId="3" applyFill="1" applyAlignment="1">
      <alignment horizontal="right"/>
    </xf>
    <xf numFmtId="0" fontId="21" fillId="2" borderId="4" xfId="3" applyFont="1" applyFill="1" applyBorder="1"/>
    <xf numFmtId="0" fontId="21" fillId="2" borderId="6" xfId="3" applyFont="1" applyFill="1" applyBorder="1" applyAlignment="1">
      <alignment horizontal="center" vertical="center" wrapText="1"/>
    </xf>
    <xf numFmtId="0" fontId="21" fillId="2" borderId="6" xfId="3" applyFont="1" applyFill="1" applyBorder="1" applyAlignment="1">
      <alignment horizontal="center" vertical="center"/>
    </xf>
    <xf numFmtId="0" fontId="21" fillId="2" borderId="27" xfId="3" applyFont="1" applyFill="1" applyBorder="1" applyAlignment="1">
      <alignment horizontal="center" vertical="center"/>
    </xf>
    <xf numFmtId="164" fontId="36" fillId="2" borderId="1" xfId="3" applyNumberFormat="1" applyFont="1" applyFill="1" applyBorder="1" applyAlignment="1">
      <alignment horizontal="center" vertical="center" wrapText="1"/>
    </xf>
    <xf numFmtId="1" fontId="36" fillId="2" borderId="28" xfId="3" applyNumberFormat="1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1" fontId="36" fillId="2" borderId="3" xfId="3" applyNumberFormat="1" applyFont="1" applyFill="1" applyBorder="1" applyAlignment="1">
      <alignment horizontal="center" vertical="center"/>
    </xf>
    <xf numFmtId="1" fontId="37" fillId="2" borderId="33" xfId="3" applyNumberFormat="1" applyFont="1" applyFill="1" applyBorder="1" applyAlignment="1">
      <alignment horizontal="center" vertical="center"/>
    </xf>
    <xf numFmtId="0" fontId="37" fillId="0" borderId="0" xfId="3" applyFont="1" applyAlignment="1">
      <alignment vertical="center"/>
    </xf>
    <xf numFmtId="0" fontId="8" fillId="0" borderId="0" xfId="3" applyAlignment="1">
      <alignment horizontal="center"/>
    </xf>
    <xf numFmtId="0" fontId="36" fillId="2" borderId="0" xfId="3" applyFont="1" applyFill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0" fillId="11" borderId="8" xfId="0" applyFont="1" applyFill="1" applyBorder="1" applyAlignment="1">
      <alignment horizontal="center" vertical="center"/>
    </xf>
    <xf numFmtId="164" fontId="20" fillId="11" borderId="1" xfId="0" applyNumberFormat="1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3" fillId="0" borderId="10" xfId="0" applyFont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5" borderId="12" xfId="0" applyFont="1" applyFill="1" applyBorder="1" applyAlignment="1">
      <alignment horizontal="center" vertical="center"/>
    </xf>
    <xf numFmtId="0" fontId="21" fillId="5" borderId="13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9" fillId="8" borderId="16" xfId="1" applyFont="1" applyFill="1" applyBorder="1" applyAlignment="1">
      <alignment horizontal="center" vertical="center" wrapText="1"/>
    </xf>
    <xf numFmtId="0" fontId="29" fillId="8" borderId="18" xfId="1" applyFont="1" applyFill="1" applyBorder="1" applyAlignment="1">
      <alignment horizontal="center" vertical="center" wrapText="1"/>
    </xf>
    <xf numFmtId="0" fontId="18" fillId="2" borderId="0" xfId="1" applyFill="1" applyAlignment="1">
      <alignment horizontal="center" vertical="center"/>
    </xf>
    <xf numFmtId="0" fontId="26" fillId="2" borderId="15" xfId="1" applyFont="1" applyFill="1" applyBorder="1" applyAlignment="1">
      <alignment horizontal="center" vertical="center"/>
    </xf>
    <xf numFmtId="0" fontId="27" fillId="3" borderId="5" xfId="1" applyFont="1" applyFill="1" applyBorder="1" applyAlignment="1">
      <alignment horizontal="center" vertical="center"/>
    </xf>
    <xf numFmtId="0" fontId="27" fillId="3" borderId="7" xfId="1" applyFont="1" applyFill="1" applyBorder="1" applyAlignment="1">
      <alignment horizontal="center" vertical="center"/>
    </xf>
    <xf numFmtId="0" fontId="27" fillId="7" borderId="12" xfId="1" applyFont="1" applyFill="1" applyBorder="1" applyAlignment="1">
      <alignment horizontal="center" vertical="center"/>
    </xf>
    <xf numFmtId="0" fontId="27" fillId="7" borderId="13" xfId="1" applyFont="1" applyFill="1" applyBorder="1" applyAlignment="1">
      <alignment horizontal="center" vertical="center"/>
    </xf>
    <xf numFmtId="0" fontId="27" fillId="3" borderId="9" xfId="1" applyFont="1" applyFill="1" applyBorder="1" applyAlignment="1">
      <alignment horizontal="center" vertical="center"/>
    </xf>
    <xf numFmtId="0" fontId="27" fillId="3" borderId="2" xfId="1" applyFont="1" applyFill="1" applyBorder="1" applyAlignment="1">
      <alignment horizontal="center" vertical="center"/>
    </xf>
    <xf numFmtId="0" fontId="29" fillId="8" borderId="17" xfId="1" applyFont="1" applyFill="1" applyBorder="1" applyAlignment="1">
      <alignment horizontal="center" vertical="center" wrapText="1"/>
    </xf>
    <xf numFmtId="0" fontId="31" fillId="2" borderId="16" xfId="1" applyFont="1" applyFill="1" applyBorder="1" applyAlignment="1">
      <alignment horizontal="center" vertical="center" wrapText="1"/>
    </xf>
    <xf numFmtId="0" fontId="31" fillId="2" borderId="18" xfId="1" applyFont="1" applyFill="1" applyBorder="1" applyAlignment="1">
      <alignment horizontal="center" vertical="center" wrapText="1"/>
    </xf>
    <xf numFmtId="0" fontId="30" fillId="2" borderId="0" xfId="1" applyFont="1" applyFill="1" applyAlignment="1">
      <alignment horizontal="center" vertical="center"/>
    </xf>
    <xf numFmtId="0" fontId="31" fillId="2" borderId="17" xfId="1" applyFont="1" applyFill="1" applyBorder="1" applyAlignment="1">
      <alignment horizontal="center" vertical="center" wrapText="1"/>
    </xf>
    <xf numFmtId="0" fontId="18" fillId="0" borderId="0" xfId="1" applyAlignment="1">
      <alignment horizontal="center" vertical="center"/>
    </xf>
    <xf numFmtId="0" fontId="29" fillId="2" borderId="16" xfId="2" applyFont="1" applyFill="1" applyBorder="1" applyAlignment="1">
      <alignment horizontal="center" vertical="center" wrapText="1"/>
    </xf>
    <xf numFmtId="0" fontId="29" fillId="2" borderId="17" xfId="2" applyFont="1" applyFill="1" applyBorder="1" applyAlignment="1">
      <alignment horizontal="center" vertical="center" wrapText="1"/>
    </xf>
    <xf numFmtId="0" fontId="29" fillId="2" borderId="18" xfId="2" applyFont="1" applyFill="1" applyBorder="1" applyAlignment="1">
      <alignment horizontal="center" vertical="center" wrapText="1"/>
    </xf>
    <xf numFmtId="0" fontId="24" fillId="2" borderId="0" xfId="2" applyFont="1" applyFill="1" applyAlignment="1">
      <alignment horizontal="left" vertical="center"/>
    </xf>
    <xf numFmtId="0" fontId="26" fillId="2" borderId="15" xfId="2" applyFont="1" applyFill="1" applyBorder="1" applyAlignment="1">
      <alignment horizontal="center" vertical="center"/>
    </xf>
    <xf numFmtId="0" fontId="27" fillId="3" borderId="5" xfId="2" applyFont="1" applyFill="1" applyBorder="1" applyAlignment="1">
      <alignment horizontal="center" vertical="center" wrapText="1"/>
    </xf>
    <xf numFmtId="0" fontId="27" fillId="3" borderId="10" xfId="2" applyFont="1" applyFill="1" applyBorder="1" applyAlignment="1">
      <alignment horizontal="center" vertical="center" wrapText="1"/>
    </xf>
    <xf numFmtId="0" fontId="27" fillId="3" borderId="7" xfId="2" applyFont="1" applyFill="1" applyBorder="1" applyAlignment="1">
      <alignment horizontal="center" vertical="center" wrapText="1"/>
    </xf>
    <xf numFmtId="0" fontId="27" fillId="3" borderId="5" xfId="2" applyFont="1" applyFill="1" applyBorder="1" applyAlignment="1">
      <alignment horizontal="center" vertical="center"/>
    </xf>
    <xf numFmtId="0" fontId="27" fillId="3" borderId="10" xfId="2" applyFont="1" applyFill="1" applyBorder="1" applyAlignment="1">
      <alignment horizontal="center" vertical="center"/>
    </xf>
    <xf numFmtId="0" fontId="27" fillId="3" borderId="7" xfId="2" applyFont="1" applyFill="1" applyBorder="1" applyAlignment="1">
      <alignment horizontal="center" vertical="center"/>
    </xf>
    <xf numFmtId="0" fontId="29" fillId="8" borderId="19" xfId="2" applyFont="1" applyFill="1" applyBorder="1" applyAlignment="1">
      <alignment horizontal="center" vertical="center" wrapText="1"/>
    </xf>
    <xf numFmtId="0" fontId="29" fillId="8" borderId="20" xfId="2" applyFont="1" applyFill="1" applyBorder="1" applyAlignment="1">
      <alignment horizontal="center" vertical="center" wrapText="1"/>
    </xf>
    <xf numFmtId="0" fontId="29" fillId="8" borderId="21" xfId="2" applyFont="1" applyFill="1" applyBorder="1" applyAlignment="1">
      <alignment horizontal="center" vertical="center" wrapText="1"/>
    </xf>
    <xf numFmtId="0" fontId="29" fillId="8" borderId="22" xfId="2" applyFont="1" applyFill="1" applyBorder="1" applyAlignment="1">
      <alignment horizontal="center" vertical="center" wrapText="1"/>
    </xf>
    <xf numFmtId="0" fontId="29" fillId="8" borderId="24" xfId="2" applyFont="1" applyFill="1" applyBorder="1" applyAlignment="1">
      <alignment horizontal="center" vertical="center" wrapText="1"/>
    </xf>
    <xf numFmtId="0" fontId="29" fillId="8" borderId="25" xfId="2" applyFont="1" applyFill="1" applyBorder="1" applyAlignment="1">
      <alignment horizontal="center" vertical="center" wrapText="1"/>
    </xf>
    <xf numFmtId="0" fontId="27" fillId="3" borderId="9" xfId="2" applyFont="1" applyFill="1" applyBorder="1" applyAlignment="1">
      <alignment horizontal="center" vertical="center"/>
    </xf>
    <xf numFmtId="0" fontId="27" fillId="3" borderId="23" xfId="2" applyFont="1" applyFill="1" applyBorder="1" applyAlignment="1">
      <alignment horizontal="center" vertical="center"/>
    </xf>
    <xf numFmtId="0" fontId="27" fillId="3" borderId="2" xfId="2" applyFont="1" applyFill="1" applyBorder="1" applyAlignment="1">
      <alignment horizontal="center" vertical="center"/>
    </xf>
    <xf numFmtId="0" fontId="17" fillId="2" borderId="0" xfId="2" applyFill="1" applyAlignment="1">
      <alignment horizontal="center" vertical="center"/>
    </xf>
    <xf numFmtId="0" fontId="24" fillId="2" borderId="4" xfId="2" applyFont="1" applyFill="1" applyBorder="1" applyAlignment="1">
      <alignment horizontal="center" vertical="center"/>
    </xf>
    <xf numFmtId="0" fontId="25" fillId="2" borderId="15" xfId="3" applyFont="1" applyFill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8" fillId="0" borderId="0" xfId="3" applyAlignment="1">
      <alignment horizontal="center" vertical="center"/>
    </xf>
    <xf numFmtId="0" fontId="21" fillId="2" borderId="0" xfId="3" applyFont="1" applyFill="1" applyAlignment="1">
      <alignment horizontal="center" vertical="center" wrapText="1"/>
    </xf>
    <xf numFmtId="0" fontId="8" fillId="0" borderId="0" xfId="3" applyAlignment="1">
      <alignment horizontal="center"/>
    </xf>
    <xf numFmtId="0" fontId="21" fillId="0" borderId="0" xfId="3" applyFont="1" applyAlignment="1">
      <alignment horizontal="left" vertical="center"/>
    </xf>
    <xf numFmtId="0" fontId="8" fillId="0" borderId="0" xfId="3" applyAlignment="1">
      <alignment horizontal="left" vertical="center"/>
    </xf>
    <xf numFmtId="0" fontId="21" fillId="2" borderId="5" xfId="3" applyFont="1" applyFill="1" applyBorder="1" applyAlignment="1">
      <alignment horizontal="center" vertical="center"/>
    </xf>
    <xf numFmtId="0" fontId="21" fillId="2" borderId="20" xfId="3" applyFont="1" applyFill="1" applyBorder="1" applyAlignment="1">
      <alignment horizontal="center" vertical="center"/>
    </xf>
    <xf numFmtId="0" fontId="8" fillId="0" borderId="8" xfId="3" applyBorder="1" applyAlignment="1">
      <alignment horizontal="center" vertical="center" wrapText="1"/>
    </xf>
    <xf numFmtId="0" fontId="8" fillId="0" borderId="18" xfId="3" applyBorder="1" applyAlignment="1">
      <alignment horizontal="center" vertical="center" wrapText="1"/>
    </xf>
    <xf numFmtId="0" fontId="8" fillId="0" borderId="8" xfId="3" applyBorder="1" applyAlignment="1">
      <alignment horizontal="left" vertical="center" wrapText="1"/>
    </xf>
    <xf numFmtId="0" fontId="8" fillId="0" borderId="17" xfId="3" applyBorder="1" applyAlignment="1">
      <alignment horizontal="left" vertical="center" wrapText="1"/>
    </xf>
    <xf numFmtId="0" fontId="8" fillId="0" borderId="29" xfId="3" applyBorder="1" applyAlignment="1">
      <alignment horizontal="left" vertical="center" wrapText="1"/>
    </xf>
    <xf numFmtId="0" fontId="37" fillId="0" borderId="30" xfId="3" applyFont="1" applyBorder="1" applyAlignment="1">
      <alignment horizontal="right" vertical="center"/>
    </xf>
    <xf numFmtId="0" fontId="37" fillId="0" borderId="31" xfId="3" applyFont="1" applyBorder="1" applyAlignment="1">
      <alignment horizontal="right" vertical="center"/>
    </xf>
    <xf numFmtId="0" fontId="37" fillId="0" borderId="32" xfId="3" applyFont="1" applyBorder="1" applyAlignment="1">
      <alignment horizontal="right" vertical="center"/>
    </xf>
    <xf numFmtId="0" fontId="8" fillId="0" borderId="0" xfId="3" applyAlignment="1">
      <alignment horizontal="left"/>
    </xf>
  </cellXfs>
  <cellStyles count="4">
    <cellStyle name="Normal" xfId="0" builtinId="0"/>
    <cellStyle name="Normal 2" xfId="2" xr:uid="{25F05999-5954-4E75-B07A-5F07BF5D0CA4}"/>
    <cellStyle name="Normal 2 2" xfId="1" xr:uid="{A90EBC2D-244C-4B9F-B1F6-3A1616C69877}"/>
    <cellStyle name="Normal 3" xfId="3" xr:uid="{1BCE1BA4-50E1-43AF-931B-C155712F8B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447676</xdr:colOff>
      <xdr:row>0</xdr:row>
      <xdr:rowOff>114300</xdr:rowOff>
    </xdr:from>
    <xdr:to>
      <xdr:col>4</xdr:col>
      <xdr:colOff>498605</xdr:colOff>
      <xdr:row>0</xdr:row>
      <xdr:rowOff>644525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C56695-88F7-4CDA-BF61-48A0F4088A8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3376" y="114300"/>
          <a:ext cx="822454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0065ED-BA54-43F2-9E9E-B2AA55AA4D84}"/>
            </a:ext>
          </a:extLst>
        </xdr:cNvPr>
        <xdr:cNvSpPr txBox="1"/>
      </xdr:nvSpPr>
      <xdr:spPr>
        <a:xfrm>
          <a:off x="573942" y="1371111"/>
          <a:ext cx="158017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GEROCHE, MILKY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6B669D4-899D-46F0-8DBF-9FDE1DFF1591}"/>
            </a:ext>
          </a:extLst>
        </xdr:cNvPr>
        <xdr:cNvSpPr txBox="1"/>
      </xdr:nvSpPr>
      <xdr:spPr>
        <a:xfrm>
          <a:off x="616683" y="1718407"/>
          <a:ext cx="153254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E013BF-F587-4E4B-B064-F45ADDAA57E1}"/>
            </a:ext>
          </a:extLst>
        </xdr:cNvPr>
        <xdr:cNvSpPr txBox="1"/>
      </xdr:nvSpPr>
      <xdr:spPr>
        <a:xfrm>
          <a:off x="333936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1992C6-BFCB-42E7-8508-BB0ABEBEF2E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4315" y="40369"/>
          <a:ext cx="701448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150549-CBC0-4B87-8E01-FD6E250382EB}"/>
            </a:ext>
          </a:extLst>
        </xdr:cNvPr>
        <xdr:cNvSpPr txBox="1"/>
      </xdr:nvSpPr>
      <xdr:spPr>
        <a:xfrm>
          <a:off x="573942" y="1377461"/>
          <a:ext cx="23788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GEROCHE, MILKY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A044BC-7E69-40A4-9776-C825DEDC7DDE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</a:t>
          </a:r>
          <a:r>
            <a:rPr lang="en-US" sz="1100" baseline="0"/>
            <a:t>S III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501C802-F513-4E4D-8B1C-A6FA9F43A94A}"/>
            </a:ext>
          </a:extLst>
        </xdr:cNvPr>
        <xdr:cNvSpPr txBox="1"/>
      </xdr:nvSpPr>
      <xdr:spPr>
        <a:xfrm>
          <a:off x="40891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168377</xdr:colOff>
      <xdr:row>21</xdr:row>
      <xdr:rowOff>281244</xdr:rowOff>
    </xdr:from>
    <xdr:to>
      <xdr:col>13</xdr:col>
      <xdr:colOff>359287</xdr:colOff>
      <xdr:row>24</xdr:row>
      <xdr:rowOff>922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6AE52D-AE46-4E49-A97C-29560D46FCFB}"/>
            </a:ext>
          </a:extLst>
        </xdr:cNvPr>
        <xdr:cNvSpPr txBox="1"/>
      </xdr:nvSpPr>
      <xdr:spPr>
        <a:xfrm>
          <a:off x="4992329" y="6098663"/>
          <a:ext cx="4113571" cy="10716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 editAs="oneCell">
    <xdr:from>
      <xdr:col>4</xdr:col>
      <xdr:colOff>533400</xdr:colOff>
      <xdr:row>0</xdr:row>
      <xdr:rowOff>50800</xdr:rowOff>
    </xdr:from>
    <xdr:to>
      <xdr:col>5</xdr:col>
      <xdr:colOff>664004</xdr:colOff>
      <xdr:row>1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3AA4A-0B6E-400E-BF37-393B2353E93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400" y="50800"/>
          <a:ext cx="740204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296DA55-5ECE-4581-B013-6533EAACDD24}"/>
            </a:ext>
          </a:extLst>
        </xdr:cNvPr>
        <xdr:cNvSpPr txBox="1"/>
      </xdr:nvSpPr>
      <xdr:spPr>
        <a:xfrm>
          <a:off x="573942" y="1377461"/>
          <a:ext cx="135474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GEROCHE, MILKY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5A7D96-973D-468E-AE68-04D2EB035A65}"/>
            </a:ext>
          </a:extLst>
        </xdr:cNvPr>
        <xdr:cNvSpPr txBox="1"/>
      </xdr:nvSpPr>
      <xdr:spPr>
        <a:xfrm>
          <a:off x="616683" y="1724757"/>
          <a:ext cx="1316649" cy="2437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</a:t>
          </a:r>
          <a:r>
            <a:rPr lang="en-US" sz="1100" baseline="0"/>
            <a:t> III</a:t>
          </a:r>
          <a:endParaRPr lang="en-US" sz="1100"/>
        </a:p>
      </xdr:txBody>
    </xdr:sp>
    <xdr:clientData/>
  </xdr:twoCellAnchor>
  <xdr:twoCellAnchor>
    <xdr:from>
      <xdr:col>1</xdr:col>
      <xdr:colOff>1173095</xdr:colOff>
      <xdr:row>7</xdr:row>
      <xdr:rowOff>83709</xdr:rowOff>
    </xdr:from>
    <xdr:to>
      <xdr:col>3</xdr:col>
      <xdr:colOff>525478</xdr:colOff>
      <xdr:row>9</xdr:row>
      <xdr:rowOff>11403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EFAD6F2-1252-446A-88EE-900F41B94435}"/>
            </a:ext>
          </a:extLst>
        </xdr:cNvPr>
        <xdr:cNvSpPr txBox="1"/>
      </xdr:nvSpPr>
      <xdr:spPr>
        <a:xfrm>
          <a:off x="3103495" y="1747409"/>
          <a:ext cx="1257383" cy="232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1F3EC4-6BCE-47AE-A919-B1AC07DB931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4952" y="66674"/>
          <a:ext cx="955674" cy="704851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447676</xdr:colOff>
      <xdr:row>0</xdr:row>
      <xdr:rowOff>114300</xdr:rowOff>
    </xdr:from>
    <xdr:to>
      <xdr:col>4</xdr:col>
      <xdr:colOff>498605</xdr:colOff>
      <xdr:row>0</xdr:row>
      <xdr:rowOff>644525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27526" y="114300"/>
          <a:ext cx="863729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8920659-9EDB-4EEB-9878-D8887500F52F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GEROCHE, MILKY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ED0B97-DAEB-4727-9F9D-9D76F5715B70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0EF320F-BE59-4651-A36B-9241B2AAD9FB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D93E-86BC-4610-ADDE-85C4BE712224}">
  <sheetPr>
    <pageSetUpPr fitToPage="1"/>
  </sheetPr>
  <dimension ref="A1:K140"/>
  <sheetViews>
    <sheetView tabSelected="1" view="pageBreakPreview" topLeftCell="A115" zoomScaleNormal="100" workbookViewId="0">
      <selection activeCell="A133" sqref="A133:XFD133"/>
    </sheetView>
  </sheetViews>
  <sheetFormatPr defaultColWidth="9" defaultRowHeight="15"/>
  <cols>
    <col min="1" max="1" width="32.28515625" customWidth="1"/>
    <col min="2" max="10" width="11.5703125" customWidth="1"/>
    <col min="11" max="11" width="26.42578125" style="3" customWidth="1"/>
  </cols>
  <sheetData>
    <row r="1" spans="1:11" s="1" customFormat="1" ht="52.5" customHeight="1"/>
    <row r="2" spans="1:11" s="1" customFormat="1" ht="10.5" customHeight="1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</row>
    <row r="3" spans="1:11" s="1" customFormat="1" ht="15.95" customHeight="1">
      <c r="A3" s="127" t="s">
        <v>48</v>
      </c>
      <c r="B3" s="127"/>
      <c r="C3" s="127"/>
      <c r="D3" s="127"/>
      <c r="E3" s="127"/>
      <c r="F3" s="127"/>
      <c r="G3" s="127"/>
      <c r="H3" s="127"/>
      <c r="I3" s="127"/>
      <c r="J3" s="127"/>
    </row>
    <row r="4" spans="1:11" s="1" customFormat="1" ht="15.95" customHeight="1">
      <c r="A4" s="127" t="s">
        <v>49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1" s="1" customFormat="1" ht="15.95" customHeight="1">
      <c r="A5" s="127" t="s">
        <v>50</v>
      </c>
      <c r="B5" s="127"/>
      <c r="C5" s="127"/>
      <c r="D5" s="127"/>
      <c r="E5" s="127"/>
      <c r="F5" s="127"/>
      <c r="G5" s="127"/>
      <c r="H5" s="127"/>
      <c r="I5" s="127"/>
      <c r="J5" s="127"/>
    </row>
    <row r="6" spans="1:11" s="1" customFormat="1" ht="8.25" customHeight="1"/>
    <row r="7" spans="1:11" s="1" customFormat="1" ht="12" customHeight="1">
      <c r="A7" s="1" t="s">
        <v>51</v>
      </c>
      <c r="B7" s="126" t="s">
        <v>52</v>
      </c>
      <c r="C7" s="126"/>
      <c r="D7" s="126"/>
      <c r="H7" s="6" t="s">
        <v>0</v>
      </c>
      <c r="I7" s="7"/>
      <c r="J7" s="6"/>
    </row>
    <row r="8" spans="1:11" s="1" customFormat="1" ht="12" customHeight="1">
      <c r="B8" s="8"/>
      <c r="C8" s="8"/>
      <c r="H8" s="8"/>
      <c r="I8" s="8"/>
      <c r="J8" s="8"/>
    </row>
    <row r="9" spans="1:11" s="1" customFormat="1" ht="12" customHeight="1">
      <c r="A9" s="1" t="s">
        <v>53</v>
      </c>
      <c r="B9" s="126" t="s">
        <v>54</v>
      </c>
      <c r="C9" s="126"/>
      <c r="D9" s="126"/>
      <c r="H9" s="6" t="s">
        <v>1</v>
      </c>
      <c r="I9" s="9"/>
      <c r="J9" s="6"/>
    </row>
    <row r="10" spans="1:11" ht="16.5" customHeight="1" thickBot="1">
      <c r="A10" s="116" t="s">
        <v>2</v>
      </c>
      <c r="B10" s="116"/>
      <c r="C10" s="116"/>
      <c r="D10" s="116"/>
      <c r="E10" s="116"/>
      <c r="F10" s="116"/>
      <c r="G10" s="116"/>
      <c r="H10" s="116"/>
      <c r="I10" s="116"/>
      <c r="J10" s="116"/>
      <c r="K10"/>
    </row>
    <row r="11" spans="1:11" ht="18.75" customHeight="1">
      <c r="A11" s="117" t="s">
        <v>3</v>
      </c>
      <c r="B11" s="119" t="s">
        <v>4</v>
      </c>
      <c r="C11" s="119"/>
      <c r="D11" s="120" t="s">
        <v>5</v>
      </c>
      <c r="E11" s="121"/>
      <c r="F11" s="121"/>
      <c r="G11" s="122"/>
      <c r="H11" s="123" t="s">
        <v>6</v>
      </c>
      <c r="I11" s="123"/>
      <c r="J11" s="124" t="s">
        <v>7</v>
      </c>
      <c r="K11" s="115" t="s">
        <v>8</v>
      </c>
    </row>
    <row r="12" spans="1:11" ht="18.75" customHeight="1">
      <c r="A12" s="118"/>
      <c r="B12" s="4" t="s">
        <v>9</v>
      </c>
      <c r="C12" s="4" t="s">
        <v>10</v>
      </c>
      <c r="D12" s="4" t="s">
        <v>9</v>
      </c>
      <c r="E12" s="4" t="s">
        <v>10</v>
      </c>
      <c r="F12" s="4" t="s">
        <v>11</v>
      </c>
      <c r="G12" s="4" t="s">
        <v>38</v>
      </c>
      <c r="H12" s="4" t="s">
        <v>9</v>
      </c>
      <c r="I12" s="4" t="s">
        <v>10</v>
      </c>
      <c r="J12" s="125"/>
      <c r="K12" s="115"/>
    </row>
    <row r="13" spans="1:11" ht="15.95" customHeight="1">
      <c r="A13" s="10" t="s">
        <v>55</v>
      </c>
      <c r="B13" s="11">
        <v>0.20799999999999999</v>
      </c>
      <c r="C13" s="11">
        <v>0.20799999999999999</v>
      </c>
      <c r="D13" s="11"/>
      <c r="E13" s="11"/>
      <c r="F13" s="11"/>
      <c r="G13" s="11"/>
      <c r="H13" s="11">
        <f>B13</f>
        <v>0.20799999999999999</v>
      </c>
      <c r="I13" s="11">
        <f>C13</f>
        <v>0.20799999999999999</v>
      </c>
      <c r="J13" s="12">
        <f t="shared" ref="J13:J15" si="0">SUM(H13:I13)</f>
        <v>0.41599999999999998</v>
      </c>
    </row>
    <row r="14" spans="1:11" ht="15.95" customHeight="1">
      <c r="A14" s="110" t="s">
        <v>195</v>
      </c>
      <c r="B14" s="11">
        <v>7.5</v>
      </c>
      <c r="C14" s="11">
        <v>7.5</v>
      </c>
      <c r="D14" s="11"/>
      <c r="E14" s="11"/>
      <c r="F14" s="11"/>
      <c r="G14" s="11"/>
      <c r="H14" s="11">
        <f t="shared" ref="H14:H15" si="1">H13-F14-D14+B14</f>
        <v>7.7080000000000002</v>
      </c>
      <c r="I14" s="11">
        <f t="shared" ref="I14:I15" si="2">I13-E14+C14</f>
        <v>7.7080000000000002</v>
      </c>
      <c r="J14" s="12">
        <f t="shared" si="0"/>
        <v>15.416</v>
      </c>
    </row>
    <row r="15" spans="1:11" ht="15.95" customHeight="1">
      <c r="A15" s="10" t="s">
        <v>57</v>
      </c>
      <c r="B15" s="11"/>
      <c r="C15" s="11"/>
      <c r="D15" s="11"/>
      <c r="E15" s="11"/>
      <c r="F15" s="11">
        <v>1</v>
      </c>
      <c r="G15" s="11"/>
      <c r="H15" s="11">
        <f t="shared" si="1"/>
        <v>6.7080000000000002</v>
      </c>
      <c r="I15" s="11">
        <f t="shared" si="2"/>
        <v>7.7080000000000002</v>
      </c>
      <c r="J15" s="12">
        <f t="shared" si="0"/>
        <v>14.416</v>
      </c>
    </row>
    <row r="16" spans="1:11" ht="15.95" customHeight="1">
      <c r="A16" s="101" t="s">
        <v>178</v>
      </c>
      <c r="B16" s="11">
        <v>2.5</v>
      </c>
      <c r="C16" s="11">
        <v>2.5</v>
      </c>
      <c r="D16" s="11"/>
      <c r="E16" s="11"/>
      <c r="F16" s="11"/>
      <c r="G16" s="11"/>
      <c r="H16" s="11">
        <f t="shared" ref="H16:H18" si="3">H15-F16-D16+B16</f>
        <v>9.2080000000000002</v>
      </c>
      <c r="I16" s="11">
        <f t="shared" ref="I16:I18" si="4">I15-E16+C16</f>
        <v>10.208</v>
      </c>
      <c r="J16" s="12">
        <f t="shared" ref="J16:J18" si="5">SUM(H16:I16)</f>
        <v>19.416</v>
      </c>
    </row>
    <row r="17" spans="1:10" ht="15.95" customHeight="1">
      <c r="A17" s="10" t="s">
        <v>58</v>
      </c>
      <c r="B17" s="11"/>
      <c r="C17" s="11"/>
      <c r="D17" s="11"/>
      <c r="E17" s="11"/>
      <c r="F17" s="11">
        <v>1</v>
      </c>
      <c r="G17" s="11"/>
      <c r="H17" s="11">
        <f t="shared" si="3"/>
        <v>8.2080000000000002</v>
      </c>
      <c r="I17" s="11">
        <f t="shared" si="4"/>
        <v>10.208</v>
      </c>
      <c r="J17" s="12">
        <f t="shared" si="5"/>
        <v>18.416</v>
      </c>
    </row>
    <row r="18" spans="1:10" ht="15.95" customHeight="1">
      <c r="A18" s="101" t="s">
        <v>179</v>
      </c>
      <c r="B18" s="11">
        <v>1.25</v>
      </c>
      <c r="C18" s="11">
        <v>1.25</v>
      </c>
      <c r="D18" s="11"/>
      <c r="E18" s="11"/>
      <c r="F18" s="11"/>
      <c r="G18" s="11"/>
      <c r="H18" s="11">
        <f t="shared" si="3"/>
        <v>9.4580000000000002</v>
      </c>
      <c r="I18" s="11">
        <f t="shared" si="4"/>
        <v>11.458</v>
      </c>
      <c r="J18" s="12">
        <f t="shared" si="5"/>
        <v>20.916</v>
      </c>
    </row>
    <row r="19" spans="1:10" ht="15.95" customHeight="1">
      <c r="A19" s="102" t="s">
        <v>180</v>
      </c>
      <c r="B19" s="11">
        <v>1.25</v>
      </c>
      <c r="C19" s="11">
        <v>1.25</v>
      </c>
      <c r="D19" s="11"/>
      <c r="E19" s="11"/>
      <c r="F19" s="11"/>
      <c r="G19" s="11"/>
      <c r="H19" s="11">
        <f>H18-F19-D19+B19</f>
        <v>10.708</v>
      </c>
      <c r="I19" s="11">
        <f>I18-E19+C19</f>
        <v>12.708</v>
      </c>
      <c r="J19" s="12">
        <f t="shared" ref="J19:J22" si="6">SUM(H19:I19)</f>
        <v>23.416</v>
      </c>
    </row>
    <row r="20" spans="1:10" ht="15.95" customHeight="1">
      <c r="A20" s="10" t="s">
        <v>60</v>
      </c>
      <c r="B20" s="11"/>
      <c r="C20" s="11"/>
      <c r="D20" s="11"/>
      <c r="E20" s="11"/>
      <c r="F20" s="11">
        <v>1</v>
      </c>
      <c r="G20" s="11"/>
      <c r="H20" s="11">
        <f t="shared" ref="H20:H22" si="7">H19-F20-D20+B20</f>
        <v>9.7080000000000002</v>
      </c>
      <c r="I20" s="11">
        <f t="shared" ref="I20:I22" si="8">I19-E20+C20</f>
        <v>12.708</v>
      </c>
      <c r="J20" s="12">
        <f t="shared" si="6"/>
        <v>22.416</v>
      </c>
    </row>
    <row r="21" spans="1:10" ht="15.95" customHeight="1">
      <c r="A21" s="10" t="s">
        <v>61</v>
      </c>
      <c r="B21" s="11"/>
      <c r="C21" s="11"/>
      <c r="D21" s="11">
        <v>1.5</v>
      </c>
      <c r="E21" s="11"/>
      <c r="F21" s="11"/>
      <c r="G21" s="11"/>
      <c r="H21" s="11">
        <f t="shared" si="7"/>
        <v>8.2080000000000002</v>
      </c>
      <c r="I21" s="11">
        <f t="shared" si="8"/>
        <v>12.708</v>
      </c>
      <c r="J21" s="12">
        <f t="shared" si="6"/>
        <v>20.916</v>
      </c>
    </row>
    <row r="22" spans="1:10" ht="15.95" customHeight="1">
      <c r="A22" s="102" t="s">
        <v>181</v>
      </c>
      <c r="B22" s="11">
        <v>5</v>
      </c>
      <c r="C22" s="11">
        <v>5</v>
      </c>
      <c r="D22" s="11"/>
      <c r="E22" s="11"/>
      <c r="F22" s="11"/>
      <c r="G22" s="11"/>
      <c r="H22" s="11">
        <f t="shared" si="7"/>
        <v>13.208</v>
      </c>
      <c r="I22" s="11">
        <f t="shared" si="8"/>
        <v>17.707999999999998</v>
      </c>
      <c r="J22" s="12">
        <f t="shared" si="6"/>
        <v>30.915999999999997</v>
      </c>
    </row>
    <row r="23" spans="1:10" ht="15.95" customHeight="1">
      <c r="A23" s="109" t="s">
        <v>135</v>
      </c>
      <c r="B23" s="11"/>
      <c r="C23" s="11"/>
      <c r="D23" s="11"/>
      <c r="E23" s="11"/>
      <c r="F23" s="11">
        <v>3</v>
      </c>
      <c r="G23" s="11"/>
      <c r="H23" s="11">
        <f t="shared" ref="H23:H53" si="9">H22-F23-D23+B23</f>
        <v>10.208</v>
      </c>
      <c r="I23" s="11">
        <f t="shared" ref="I23:I53" si="10">I22-E23+C23</f>
        <v>17.707999999999998</v>
      </c>
      <c r="J23" s="12">
        <f t="shared" ref="J23:J53" si="11">SUM(H23:I23)</f>
        <v>27.915999999999997</v>
      </c>
    </row>
    <row r="24" spans="1:10" ht="15.95" customHeight="1">
      <c r="A24" s="10" t="s">
        <v>62</v>
      </c>
      <c r="B24" s="11"/>
      <c r="C24" s="11"/>
      <c r="D24" s="11"/>
      <c r="E24" s="11"/>
      <c r="F24" s="11">
        <v>2</v>
      </c>
      <c r="G24" s="11"/>
      <c r="H24" s="11">
        <f t="shared" si="9"/>
        <v>8.2080000000000002</v>
      </c>
      <c r="I24" s="11">
        <f t="shared" si="10"/>
        <v>17.707999999999998</v>
      </c>
      <c r="J24" s="12">
        <f t="shared" si="11"/>
        <v>25.915999999999997</v>
      </c>
    </row>
    <row r="25" spans="1:10" ht="15.95" customHeight="1">
      <c r="A25" s="10" t="s">
        <v>63</v>
      </c>
      <c r="B25" s="11"/>
      <c r="C25" s="11"/>
      <c r="D25" s="17">
        <v>6</v>
      </c>
      <c r="E25" s="17">
        <v>4</v>
      </c>
      <c r="F25" s="11"/>
      <c r="G25" s="11"/>
      <c r="H25" s="11">
        <f t="shared" si="9"/>
        <v>2.2080000000000002</v>
      </c>
      <c r="I25" s="11">
        <f t="shared" si="10"/>
        <v>13.707999999999998</v>
      </c>
      <c r="J25" s="12">
        <f t="shared" si="11"/>
        <v>15.915999999999999</v>
      </c>
    </row>
    <row r="26" spans="1:10" ht="15.95" customHeight="1">
      <c r="A26" s="102" t="s">
        <v>182</v>
      </c>
      <c r="B26" s="11">
        <v>7.5</v>
      </c>
      <c r="C26" s="11">
        <v>7.5</v>
      </c>
      <c r="D26" s="11"/>
      <c r="E26" s="11"/>
      <c r="F26" s="11"/>
      <c r="G26" s="11"/>
      <c r="H26" s="11">
        <f t="shared" si="9"/>
        <v>9.7080000000000002</v>
      </c>
      <c r="I26" s="11">
        <f t="shared" si="10"/>
        <v>21.207999999999998</v>
      </c>
      <c r="J26" s="12">
        <f t="shared" si="11"/>
        <v>30.915999999999997</v>
      </c>
    </row>
    <row r="27" spans="1:10" ht="15.95" customHeight="1">
      <c r="A27" s="10" t="s">
        <v>64</v>
      </c>
      <c r="B27" s="11"/>
      <c r="C27" s="11"/>
      <c r="D27" s="11"/>
      <c r="E27" s="11"/>
      <c r="F27" s="11">
        <v>2</v>
      </c>
      <c r="G27" s="11"/>
      <c r="H27" s="11">
        <f t="shared" si="9"/>
        <v>7.7080000000000002</v>
      </c>
      <c r="I27" s="11">
        <f t="shared" si="10"/>
        <v>21.207999999999998</v>
      </c>
      <c r="J27" s="12">
        <f t="shared" si="11"/>
        <v>28.915999999999997</v>
      </c>
    </row>
    <row r="28" spans="1:10" ht="15.95" customHeight="1">
      <c r="A28" s="102" t="s">
        <v>183</v>
      </c>
      <c r="B28" s="11">
        <v>1.25</v>
      </c>
      <c r="C28" s="11">
        <v>1.25</v>
      </c>
      <c r="D28" s="11"/>
      <c r="E28" s="11"/>
      <c r="F28" s="11"/>
      <c r="G28" s="11"/>
      <c r="H28" s="11">
        <f t="shared" si="9"/>
        <v>8.9580000000000002</v>
      </c>
      <c r="I28" s="11">
        <f t="shared" si="10"/>
        <v>22.457999999999998</v>
      </c>
      <c r="J28" s="12">
        <f t="shared" si="11"/>
        <v>31.415999999999997</v>
      </c>
    </row>
    <row r="29" spans="1:10" ht="15.95" customHeight="1">
      <c r="A29" s="102" t="s">
        <v>184</v>
      </c>
      <c r="B29" s="11">
        <v>5</v>
      </c>
      <c r="C29" s="11">
        <v>5</v>
      </c>
      <c r="D29" s="11"/>
      <c r="E29" s="11"/>
      <c r="F29" s="11"/>
      <c r="G29" s="11"/>
      <c r="H29" s="11">
        <f t="shared" si="9"/>
        <v>13.958</v>
      </c>
      <c r="I29" s="11">
        <f t="shared" si="10"/>
        <v>27.457999999999998</v>
      </c>
      <c r="J29" s="12">
        <f t="shared" si="11"/>
        <v>41.415999999999997</v>
      </c>
    </row>
    <row r="30" spans="1:10" ht="15.95" customHeight="1">
      <c r="A30" s="10" t="s">
        <v>66</v>
      </c>
      <c r="B30" s="11"/>
      <c r="C30" s="11"/>
      <c r="D30" s="11"/>
      <c r="E30" s="11"/>
      <c r="F30" s="11">
        <v>1</v>
      </c>
      <c r="G30" s="11"/>
      <c r="H30" s="11">
        <f t="shared" si="9"/>
        <v>12.958</v>
      </c>
      <c r="I30" s="11">
        <f t="shared" si="10"/>
        <v>27.457999999999998</v>
      </c>
      <c r="J30" s="12">
        <f t="shared" si="11"/>
        <v>40.415999999999997</v>
      </c>
    </row>
    <row r="31" spans="1:10" ht="15.95" customHeight="1">
      <c r="A31" s="102" t="s">
        <v>185</v>
      </c>
      <c r="B31" s="11">
        <v>5</v>
      </c>
      <c r="C31" s="11">
        <v>5</v>
      </c>
      <c r="D31" s="11"/>
      <c r="E31" s="11"/>
      <c r="F31" s="11"/>
      <c r="G31" s="11"/>
      <c r="H31" s="11">
        <f t="shared" si="9"/>
        <v>17.957999999999998</v>
      </c>
      <c r="I31" s="11">
        <f t="shared" si="10"/>
        <v>32.457999999999998</v>
      </c>
      <c r="J31" s="12">
        <f t="shared" si="11"/>
        <v>50.415999999999997</v>
      </c>
    </row>
    <row r="32" spans="1:10" ht="15.95" customHeight="1">
      <c r="A32" s="10" t="s">
        <v>67</v>
      </c>
      <c r="B32" s="11"/>
      <c r="C32" s="11"/>
      <c r="D32" s="11"/>
      <c r="E32" s="11"/>
      <c r="F32" s="11">
        <v>1</v>
      </c>
      <c r="G32" s="11"/>
      <c r="H32" s="11">
        <f t="shared" si="9"/>
        <v>16.957999999999998</v>
      </c>
      <c r="I32" s="11">
        <f t="shared" si="10"/>
        <v>32.457999999999998</v>
      </c>
      <c r="J32" s="12">
        <f t="shared" si="11"/>
        <v>49.415999999999997</v>
      </c>
    </row>
    <row r="33" spans="1:11" ht="15.95" customHeight="1">
      <c r="A33" s="10" t="s">
        <v>68</v>
      </c>
      <c r="B33" s="11"/>
      <c r="C33" s="11"/>
      <c r="D33" s="11"/>
      <c r="E33" s="11"/>
      <c r="F33" s="11">
        <v>2</v>
      </c>
      <c r="G33" s="11"/>
      <c r="H33" s="11">
        <f t="shared" si="9"/>
        <v>14.957999999999998</v>
      </c>
      <c r="I33" s="11">
        <f t="shared" si="10"/>
        <v>32.457999999999998</v>
      </c>
      <c r="J33" s="12">
        <f t="shared" si="11"/>
        <v>47.415999999999997</v>
      </c>
    </row>
    <row r="34" spans="1:11" ht="15.95" customHeight="1">
      <c r="A34" s="10" t="s">
        <v>69</v>
      </c>
      <c r="B34" s="11"/>
      <c r="C34" s="11"/>
      <c r="D34" s="11">
        <v>14</v>
      </c>
      <c r="E34" s="11">
        <v>15</v>
      </c>
      <c r="F34" s="11"/>
      <c r="G34" s="11"/>
      <c r="H34" s="11">
        <f t="shared" si="9"/>
        <v>0.95799999999999841</v>
      </c>
      <c r="I34" s="11">
        <f t="shared" si="10"/>
        <v>17.457999999999998</v>
      </c>
      <c r="J34" s="12">
        <f t="shared" si="11"/>
        <v>18.415999999999997</v>
      </c>
    </row>
    <row r="35" spans="1:11" ht="15.95" customHeight="1">
      <c r="A35" s="102" t="s">
        <v>186</v>
      </c>
      <c r="B35" s="11">
        <v>3.75</v>
      </c>
      <c r="C35" s="11">
        <v>3.75</v>
      </c>
      <c r="D35" s="11"/>
      <c r="E35" s="11"/>
      <c r="F35" s="11"/>
      <c r="G35" s="11"/>
      <c r="H35" s="11">
        <f t="shared" si="9"/>
        <v>4.7079999999999984</v>
      </c>
      <c r="I35" s="11">
        <f t="shared" si="10"/>
        <v>21.207999999999998</v>
      </c>
      <c r="J35" s="12">
        <f t="shared" si="11"/>
        <v>25.915999999999997</v>
      </c>
    </row>
    <row r="36" spans="1:11" ht="15.95" customHeight="1">
      <c r="A36" s="10" t="s">
        <v>70</v>
      </c>
      <c r="B36" s="11"/>
      <c r="C36" s="11"/>
      <c r="D36" s="11"/>
      <c r="E36" s="11"/>
      <c r="F36" s="11">
        <v>1</v>
      </c>
      <c r="G36" s="11"/>
      <c r="H36" s="11">
        <f t="shared" si="9"/>
        <v>3.7079999999999984</v>
      </c>
      <c r="I36" s="11">
        <f t="shared" si="10"/>
        <v>21.207999999999998</v>
      </c>
      <c r="J36" s="12">
        <f t="shared" si="11"/>
        <v>24.915999999999997</v>
      </c>
    </row>
    <row r="37" spans="1:11" ht="15.95" customHeight="1">
      <c r="A37" s="102" t="s">
        <v>187</v>
      </c>
      <c r="B37" s="11">
        <v>1.25</v>
      </c>
      <c r="C37" s="11">
        <v>1.25</v>
      </c>
      <c r="D37" s="11"/>
      <c r="E37" s="11"/>
      <c r="F37" s="11"/>
      <c r="G37" s="11"/>
      <c r="H37" s="11">
        <f t="shared" si="9"/>
        <v>4.9579999999999984</v>
      </c>
      <c r="I37" s="11">
        <f t="shared" si="10"/>
        <v>22.457999999999998</v>
      </c>
      <c r="J37" s="12">
        <f t="shared" si="11"/>
        <v>27.415999999999997</v>
      </c>
    </row>
    <row r="38" spans="1:11" ht="15.95" customHeight="1">
      <c r="A38" s="10" t="s">
        <v>12</v>
      </c>
      <c r="B38" s="11"/>
      <c r="C38" s="11"/>
      <c r="D38" s="11"/>
      <c r="E38" s="11">
        <v>2</v>
      </c>
      <c r="F38" s="11"/>
      <c r="G38" s="11"/>
      <c r="H38" s="11">
        <f t="shared" si="9"/>
        <v>4.9579999999999984</v>
      </c>
      <c r="I38" s="11">
        <f t="shared" si="10"/>
        <v>20.457999999999998</v>
      </c>
      <c r="J38" s="12">
        <f t="shared" si="11"/>
        <v>25.415999999999997</v>
      </c>
    </row>
    <row r="39" spans="1:11" ht="15.95" customHeight="1">
      <c r="A39" s="103" t="s">
        <v>188</v>
      </c>
      <c r="B39" s="11"/>
      <c r="C39" s="11"/>
      <c r="D39" s="11"/>
      <c r="E39" s="11"/>
      <c r="F39" s="11"/>
      <c r="G39" s="11">
        <v>1</v>
      </c>
      <c r="H39" s="11">
        <f t="shared" si="9"/>
        <v>4.9579999999999984</v>
      </c>
      <c r="I39" s="11">
        <f t="shared" si="10"/>
        <v>20.457999999999998</v>
      </c>
      <c r="J39" s="12">
        <f t="shared" si="11"/>
        <v>25.415999999999997</v>
      </c>
    </row>
    <row r="40" spans="1:11" ht="15.95" customHeight="1">
      <c r="A40" s="10" t="s">
        <v>14</v>
      </c>
      <c r="B40" s="16"/>
      <c r="C40" s="11"/>
      <c r="D40" s="11"/>
      <c r="E40" s="11">
        <v>1</v>
      </c>
      <c r="F40" s="11"/>
      <c r="G40" s="11"/>
      <c r="H40" s="11">
        <f t="shared" si="9"/>
        <v>4.9579999999999984</v>
      </c>
      <c r="I40" s="11">
        <f t="shared" si="10"/>
        <v>19.457999999999998</v>
      </c>
      <c r="J40" s="12">
        <f t="shared" si="11"/>
        <v>24.415999999999997</v>
      </c>
    </row>
    <row r="41" spans="1:11" ht="15.95" customHeight="1">
      <c r="A41" s="102" t="s">
        <v>189</v>
      </c>
      <c r="B41" s="104">
        <v>1.25</v>
      </c>
      <c r="C41" s="11">
        <v>1.25</v>
      </c>
      <c r="D41" s="11"/>
      <c r="E41" s="11"/>
      <c r="F41" s="11"/>
      <c r="G41" s="11"/>
      <c r="H41" s="11">
        <f t="shared" si="9"/>
        <v>6.2079999999999984</v>
      </c>
      <c r="I41" s="11">
        <f t="shared" si="10"/>
        <v>20.707999999999998</v>
      </c>
      <c r="J41" s="12">
        <f t="shared" si="11"/>
        <v>26.915999999999997</v>
      </c>
    </row>
    <row r="42" spans="1:11" ht="15.95" customHeight="1">
      <c r="A42" s="10" t="s">
        <v>15</v>
      </c>
      <c r="B42" s="11"/>
      <c r="C42" s="11"/>
      <c r="D42" s="11"/>
      <c r="E42" s="11">
        <v>1</v>
      </c>
      <c r="F42" s="11"/>
      <c r="G42" s="11"/>
      <c r="H42" s="11">
        <f t="shared" si="9"/>
        <v>6.2079999999999984</v>
      </c>
      <c r="I42" s="11">
        <f t="shared" si="10"/>
        <v>19.707999999999998</v>
      </c>
      <c r="J42" s="12">
        <f t="shared" si="11"/>
        <v>25.915999999999997</v>
      </c>
    </row>
    <row r="43" spans="1:11" ht="15.95" customHeight="1">
      <c r="A43" s="10" t="s">
        <v>16</v>
      </c>
      <c r="B43" s="11">
        <v>2.5</v>
      </c>
      <c r="C43" s="11">
        <v>2.5</v>
      </c>
      <c r="D43" s="11"/>
      <c r="E43" s="11"/>
      <c r="F43" s="11"/>
      <c r="G43" s="11"/>
      <c r="H43" s="11">
        <f t="shared" si="9"/>
        <v>8.7079999999999984</v>
      </c>
      <c r="I43" s="11">
        <f t="shared" si="10"/>
        <v>22.207999999999998</v>
      </c>
      <c r="J43" s="12">
        <f t="shared" si="11"/>
        <v>30.915999999999997</v>
      </c>
    </row>
    <row r="44" spans="1:11" ht="15.95" customHeight="1">
      <c r="A44" s="10" t="s">
        <v>17</v>
      </c>
      <c r="B44" s="11"/>
      <c r="C44" s="11"/>
      <c r="D44" s="11"/>
      <c r="E44" s="11">
        <v>1</v>
      </c>
      <c r="F44" s="11"/>
      <c r="G44" s="11"/>
      <c r="H44" s="11">
        <f t="shared" si="9"/>
        <v>8.7079999999999984</v>
      </c>
      <c r="I44" s="11">
        <f t="shared" si="10"/>
        <v>21.207999999999998</v>
      </c>
      <c r="J44" s="12">
        <f t="shared" si="11"/>
        <v>29.915999999999997</v>
      </c>
    </row>
    <row r="45" spans="1:11" ht="15.95" customHeight="1">
      <c r="A45" s="10" t="s">
        <v>18</v>
      </c>
      <c r="B45" s="11">
        <v>2.5</v>
      </c>
      <c r="C45" s="11">
        <v>2.5</v>
      </c>
      <c r="D45" s="11"/>
      <c r="E45" s="11"/>
      <c r="F45" s="11"/>
      <c r="G45" s="11"/>
      <c r="H45" s="11">
        <f t="shared" si="9"/>
        <v>11.207999999999998</v>
      </c>
      <c r="I45" s="11">
        <f t="shared" si="10"/>
        <v>23.707999999999998</v>
      </c>
      <c r="J45" s="12">
        <f t="shared" si="11"/>
        <v>34.915999999999997</v>
      </c>
    </row>
    <row r="46" spans="1:11" s="2" customFormat="1" ht="15.95" customHeight="1">
      <c r="A46" s="10" t="s">
        <v>19</v>
      </c>
      <c r="B46" s="11"/>
      <c r="C46" s="11"/>
      <c r="D46" s="11"/>
      <c r="E46" s="11">
        <v>1.5</v>
      </c>
      <c r="F46" s="11"/>
      <c r="G46" s="11"/>
      <c r="H46" s="11">
        <f t="shared" si="9"/>
        <v>11.207999999999998</v>
      </c>
      <c r="I46" s="11">
        <f t="shared" si="10"/>
        <v>22.207999999999998</v>
      </c>
      <c r="J46" s="12">
        <f t="shared" si="11"/>
        <v>33.415999999999997</v>
      </c>
      <c r="K46" s="5"/>
    </row>
    <row r="47" spans="1:11" ht="15.95" customHeight="1">
      <c r="A47" s="10" t="s">
        <v>20</v>
      </c>
      <c r="B47" s="11"/>
      <c r="C47" s="11"/>
      <c r="D47" s="11"/>
      <c r="E47" s="11"/>
      <c r="F47" s="11">
        <v>1</v>
      </c>
      <c r="G47" s="11"/>
      <c r="H47" s="11">
        <f t="shared" si="9"/>
        <v>10.207999999999998</v>
      </c>
      <c r="I47" s="11">
        <f t="shared" si="10"/>
        <v>22.207999999999998</v>
      </c>
      <c r="J47" s="12">
        <f t="shared" si="11"/>
        <v>32.415999999999997</v>
      </c>
    </row>
    <row r="48" spans="1:11" ht="15.95" customHeight="1">
      <c r="A48" s="10" t="s">
        <v>21</v>
      </c>
      <c r="B48" s="11">
        <v>1.25</v>
      </c>
      <c r="C48" s="11">
        <v>1.25</v>
      </c>
      <c r="D48" s="11"/>
      <c r="E48" s="11"/>
      <c r="F48" s="11"/>
      <c r="G48" s="11"/>
      <c r="H48" s="11">
        <f t="shared" si="9"/>
        <v>11.457999999999998</v>
      </c>
      <c r="I48" s="11">
        <f t="shared" si="10"/>
        <v>23.457999999999998</v>
      </c>
      <c r="J48" s="12">
        <f t="shared" si="11"/>
        <v>34.915999999999997</v>
      </c>
    </row>
    <row r="49" spans="1:10" ht="15.95" customHeight="1">
      <c r="A49" s="10" t="s">
        <v>22</v>
      </c>
      <c r="B49" s="11"/>
      <c r="C49" s="11"/>
      <c r="D49" s="11"/>
      <c r="E49" s="11"/>
      <c r="F49" s="11">
        <v>1</v>
      </c>
      <c r="G49" s="11"/>
      <c r="H49" s="11">
        <f t="shared" si="9"/>
        <v>10.457999999999998</v>
      </c>
      <c r="I49" s="11">
        <f t="shared" si="10"/>
        <v>23.457999999999998</v>
      </c>
      <c r="J49" s="12">
        <f t="shared" si="11"/>
        <v>33.915999999999997</v>
      </c>
    </row>
    <row r="50" spans="1:10" ht="15.95" customHeight="1">
      <c r="A50" s="10" t="s">
        <v>23</v>
      </c>
      <c r="B50" s="11"/>
      <c r="C50" s="11"/>
      <c r="D50" s="11"/>
      <c r="E50" s="11"/>
      <c r="F50" s="11">
        <v>1</v>
      </c>
      <c r="G50" s="11"/>
      <c r="H50" s="11">
        <f t="shared" si="9"/>
        <v>9.4579999999999984</v>
      </c>
      <c r="I50" s="11">
        <f t="shared" si="10"/>
        <v>23.457999999999998</v>
      </c>
      <c r="J50" s="12">
        <f t="shared" si="11"/>
        <v>32.915999999999997</v>
      </c>
    </row>
    <row r="51" spans="1:10" ht="15.95" customHeight="1">
      <c r="A51" s="10" t="s">
        <v>24</v>
      </c>
      <c r="B51" s="11">
        <v>1.25</v>
      </c>
      <c r="C51" s="11">
        <v>1.25</v>
      </c>
      <c r="D51" s="11"/>
      <c r="E51" s="11"/>
      <c r="F51" s="11"/>
      <c r="G51" s="11"/>
      <c r="H51" s="11">
        <f t="shared" si="9"/>
        <v>10.707999999999998</v>
      </c>
      <c r="I51" s="11">
        <f t="shared" si="10"/>
        <v>24.707999999999998</v>
      </c>
      <c r="J51" s="12">
        <f t="shared" si="11"/>
        <v>35.415999999999997</v>
      </c>
    </row>
    <row r="52" spans="1:10" ht="15.95" customHeight="1">
      <c r="A52" s="10" t="s">
        <v>25</v>
      </c>
      <c r="B52" s="11"/>
      <c r="C52" s="11"/>
      <c r="D52" s="11"/>
      <c r="E52" s="11"/>
      <c r="F52" s="11">
        <v>1</v>
      </c>
      <c r="G52" s="11"/>
      <c r="H52" s="11">
        <f t="shared" si="9"/>
        <v>9.7079999999999984</v>
      </c>
      <c r="I52" s="11">
        <f t="shared" si="10"/>
        <v>24.707999999999998</v>
      </c>
      <c r="J52" s="12">
        <f t="shared" si="11"/>
        <v>34.415999999999997</v>
      </c>
    </row>
    <row r="53" spans="1:10" ht="15.95" customHeight="1">
      <c r="A53" s="112" t="s">
        <v>202</v>
      </c>
      <c r="B53" s="11">
        <v>2.5</v>
      </c>
      <c r="C53" s="11">
        <v>2.5</v>
      </c>
      <c r="D53" s="11"/>
      <c r="E53" s="11"/>
      <c r="F53" s="11"/>
      <c r="G53" s="11"/>
      <c r="H53" s="11">
        <f t="shared" si="9"/>
        <v>12.207999999999998</v>
      </c>
      <c r="I53" s="11">
        <f t="shared" si="10"/>
        <v>27.207999999999998</v>
      </c>
      <c r="J53" s="12">
        <f t="shared" si="11"/>
        <v>39.415999999999997</v>
      </c>
    </row>
    <row r="54" spans="1:10" ht="15.95" customHeight="1">
      <c r="A54" s="10" t="s">
        <v>28</v>
      </c>
      <c r="B54" s="11"/>
      <c r="C54" s="11"/>
      <c r="D54" s="11"/>
      <c r="E54" s="11">
        <v>2.5</v>
      </c>
      <c r="F54" s="11"/>
      <c r="G54" s="11"/>
      <c r="H54" s="11">
        <f t="shared" ref="H54:H117" si="12">H53-F54-D54+B54</f>
        <v>12.207999999999998</v>
      </c>
      <c r="I54" s="11">
        <f t="shared" ref="I54:I117" si="13">I53-E54+C54</f>
        <v>24.707999999999998</v>
      </c>
      <c r="J54" s="12">
        <f t="shared" ref="J54:J117" si="14">SUM(H54:I54)</f>
        <v>36.915999999999997</v>
      </c>
    </row>
    <row r="55" spans="1:10" ht="15.95" customHeight="1">
      <c r="A55" s="10" t="s">
        <v>29</v>
      </c>
      <c r="B55" s="11"/>
      <c r="C55" s="11"/>
      <c r="D55" s="17">
        <v>11</v>
      </c>
      <c r="E55" s="17">
        <v>18</v>
      </c>
      <c r="F55" s="11"/>
      <c r="G55" s="11"/>
      <c r="H55" s="11">
        <f t="shared" si="12"/>
        <v>1.2079999999999984</v>
      </c>
      <c r="I55" s="11">
        <f t="shared" si="13"/>
        <v>6.7079999999999984</v>
      </c>
      <c r="J55" s="12">
        <f t="shared" si="14"/>
        <v>7.9159999999999968</v>
      </c>
    </row>
    <row r="56" spans="1:10" ht="15.95" customHeight="1">
      <c r="A56" s="10" t="s">
        <v>30</v>
      </c>
      <c r="B56" s="11">
        <v>1.25</v>
      </c>
      <c r="C56" s="11">
        <v>1.25</v>
      </c>
      <c r="D56" s="11"/>
      <c r="E56" s="11"/>
      <c r="F56" s="11"/>
      <c r="G56" s="11"/>
      <c r="H56" s="11">
        <f t="shared" si="12"/>
        <v>2.4579999999999984</v>
      </c>
      <c r="I56" s="11">
        <f t="shared" si="13"/>
        <v>7.9579999999999984</v>
      </c>
      <c r="J56" s="12">
        <f t="shared" si="14"/>
        <v>10.415999999999997</v>
      </c>
    </row>
    <row r="57" spans="1:10" ht="15.95" customHeight="1">
      <c r="A57" s="14" t="s">
        <v>32</v>
      </c>
      <c r="B57" s="11"/>
      <c r="C57" s="11"/>
      <c r="D57" s="11"/>
      <c r="E57" s="11"/>
      <c r="F57" s="11"/>
      <c r="G57" s="11">
        <v>1</v>
      </c>
      <c r="H57" s="11">
        <f t="shared" si="12"/>
        <v>2.4579999999999984</v>
      </c>
      <c r="I57" s="11">
        <f t="shared" si="13"/>
        <v>7.9579999999999984</v>
      </c>
      <c r="J57" s="12">
        <f t="shared" si="14"/>
        <v>10.415999999999997</v>
      </c>
    </row>
    <row r="58" spans="1:10" ht="15.95" customHeight="1">
      <c r="A58" s="10" t="s">
        <v>31</v>
      </c>
      <c r="B58" s="11">
        <v>1.25</v>
      </c>
      <c r="C58" s="11">
        <v>1.25</v>
      </c>
      <c r="D58" s="11"/>
      <c r="E58" s="11"/>
      <c r="F58" s="11"/>
      <c r="G58" s="11"/>
      <c r="H58" s="11">
        <f t="shared" si="12"/>
        <v>3.7079999999999984</v>
      </c>
      <c r="I58" s="11">
        <f t="shared" si="13"/>
        <v>9.2079999999999984</v>
      </c>
      <c r="J58" s="12">
        <f t="shared" si="14"/>
        <v>12.915999999999997</v>
      </c>
    </row>
    <row r="59" spans="1:10" ht="15.95" customHeight="1">
      <c r="A59" s="14" t="s">
        <v>33</v>
      </c>
      <c r="B59" s="11"/>
      <c r="C59" s="11"/>
      <c r="D59" s="11"/>
      <c r="E59" s="11"/>
      <c r="F59" s="11"/>
      <c r="G59" s="11">
        <v>1</v>
      </c>
      <c r="H59" s="11">
        <f t="shared" si="12"/>
        <v>3.7079999999999984</v>
      </c>
      <c r="I59" s="11">
        <f t="shared" si="13"/>
        <v>9.2079999999999984</v>
      </c>
      <c r="J59" s="12">
        <f t="shared" si="14"/>
        <v>12.915999999999997</v>
      </c>
    </row>
    <row r="60" spans="1:10" ht="15.95" customHeight="1">
      <c r="A60" s="15" t="s">
        <v>34</v>
      </c>
      <c r="B60" s="17"/>
      <c r="C60" s="17"/>
      <c r="D60" s="17"/>
      <c r="E60" s="17">
        <v>2</v>
      </c>
      <c r="F60" s="17"/>
      <c r="G60" s="17"/>
      <c r="H60" s="11">
        <f t="shared" si="12"/>
        <v>3.7079999999999984</v>
      </c>
      <c r="I60" s="11">
        <f t="shared" si="13"/>
        <v>7.2079999999999984</v>
      </c>
      <c r="J60" s="12">
        <f t="shared" si="14"/>
        <v>10.915999999999997</v>
      </c>
    </row>
    <row r="61" spans="1:10" ht="15.95" customHeight="1">
      <c r="A61" s="15" t="s">
        <v>35</v>
      </c>
      <c r="B61" s="17"/>
      <c r="C61" s="17"/>
      <c r="D61" s="17"/>
      <c r="E61" s="17"/>
      <c r="F61" s="17">
        <v>1</v>
      </c>
      <c r="G61" s="17"/>
      <c r="H61" s="11">
        <f t="shared" si="12"/>
        <v>2.7079999999999984</v>
      </c>
      <c r="I61" s="11">
        <f t="shared" si="13"/>
        <v>7.2079999999999984</v>
      </c>
      <c r="J61" s="12">
        <f t="shared" si="14"/>
        <v>9.9159999999999968</v>
      </c>
    </row>
    <row r="62" spans="1:10" ht="15.95" customHeight="1">
      <c r="A62" s="10" t="s">
        <v>36</v>
      </c>
      <c r="B62" s="11">
        <v>1.25</v>
      </c>
      <c r="C62" s="11">
        <v>1.25</v>
      </c>
      <c r="D62" s="17"/>
      <c r="E62" s="17"/>
      <c r="F62" s="17"/>
      <c r="G62" s="17"/>
      <c r="H62" s="11">
        <f t="shared" si="12"/>
        <v>3.9579999999999984</v>
      </c>
      <c r="I62" s="11">
        <f t="shared" si="13"/>
        <v>8.4579999999999984</v>
      </c>
      <c r="J62" s="12">
        <f t="shared" si="14"/>
        <v>12.415999999999997</v>
      </c>
    </row>
    <row r="63" spans="1:10" ht="15.95" customHeight="1">
      <c r="A63" s="15" t="s">
        <v>37</v>
      </c>
      <c r="B63" s="17"/>
      <c r="C63" s="17"/>
      <c r="D63" s="17"/>
      <c r="E63" s="17"/>
      <c r="F63" s="17"/>
      <c r="G63" s="17">
        <v>1</v>
      </c>
      <c r="H63" s="11">
        <f t="shared" si="12"/>
        <v>3.9579999999999984</v>
      </c>
      <c r="I63" s="11">
        <f t="shared" si="13"/>
        <v>8.4579999999999984</v>
      </c>
      <c r="J63" s="12">
        <f t="shared" si="14"/>
        <v>12.415999999999997</v>
      </c>
    </row>
    <row r="64" spans="1:10" ht="15.95" customHeight="1">
      <c r="A64" s="74" t="s">
        <v>147</v>
      </c>
      <c r="B64" s="17"/>
      <c r="C64" s="17"/>
      <c r="D64" s="17"/>
      <c r="E64" s="17"/>
      <c r="F64" s="17">
        <v>2</v>
      </c>
      <c r="G64" s="17"/>
      <c r="H64" s="11">
        <f t="shared" si="12"/>
        <v>1.9579999999999984</v>
      </c>
      <c r="I64" s="11">
        <f t="shared" si="13"/>
        <v>8.4579999999999984</v>
      </c>
      <c r="J64" s="12">
        <f t="shared" si="14"/>
        <v>10.415999999999997</v>
      </c>
    </row>
    <row r="65" spans="1:10" ht="15.95" customHeight="1">
      <c r="A65" s="10" t="s">
        <v>41</v>
      </c>
      <c r="B65" s="11">
        <v>1.25</v>
      </c>
      <c r="C65" s="11">
        <v>1.25</v>
      </c>
      <c r="D65" s="17"/>
      <c r="E65" s="17"/>
      <c r="F65" s="17"/>
      <c r="G65" s="17"/>
      <c r="H65" s="11">
        <f t="shared" si="12"/>
        <v>3.2079999999999984</v>
      </c>
      <c r="I65" s="11">
        <f t="shared" si="13"/>
        <v>9.7079999999999984</v>
      </c>
      <c r="J65" s="12">
        <f t="shared" si="14"/>
        <v>12.915999999999997</v>
      </c>
    </row>
    <row r="66" spans="1:10" ht="15.95" customHeight="1">
      <c r="A66" s="15" t="s">
        <v>40</v>
      </c>
      <c r="B66" s="17"/>
      <c r="C66" s="17"/>
      <c r="D66" s="17"/>
      <c r="E66" s="17"/>
      <c r="F66" s="17"/>
      <c r="G66" s="17">
        <v>1</v>
      </c>
      <c r="H66" s="11">
        <f t="shared" si="12"/>
        <v>3.2079999999999984</v>
      </c>
      <c r="I66" s="11">
        <f t="shared" si="13"/>
        <v>9.7079999999999984</v>
      </c>
      <c r="J66" s="12">
        <f t="shared" si="14"/>
        <v>12.915999999999997</v>
      </c>
    </row>
    <row r="67" spans="1:10" ht="15.95" customHeight="1">
      <c r="A67" s="15" t="s">
        <v>42</v>
      </c>
      <c r="B67" s="17"/>
      <c r="C67" s="17"/>
      <c r="D67" s="17"/>
      <c r="E67" s="17"/>
      <c r="F67" s="17">
        <v>1</v>
      </c>
      <c r="G67" s="17"/>
      <c r="H67" s="11">
        <f t="shared" si="12"/>
        <v>2.2079999999999984</v>
      </c>
      <c r="I67" s="11">
        <f t="shared" si="13"/>
        <v>9.7079999999999984</v>
      </c>
      <c r="J67" s="12">
        <f t="shared" si="14"/>
        <v>11.915999999999997</v>
      </c>
    </row>
    <row r="68" spans="1:10" ht="15.95" customHeight="1">
      <c r="A68" s="102" t="s">
        <v>190</v>
      </c>
      <c r="B68" s="11">
        <v>1.25</v>
      </c>
      <c r="C68" s="11">
        <v>1.25</v>
      </c>
      <c r="D68" s="17"/>
      <c r="E68" s="17"/>
      <c r="F68" s="17"/>
      <c r="G68" s="17"/>
      <c r="H68" s="11">
        <f t="shared" si="12"/>
        <v>3.4579999999999984</v>
      </c>
      <c r="I68" s="11">
        <f t="shared" si="13"/>
        <v>10.957999999999998</v>
      </c>
      <c r="J68" s="12">
        <f t="shared" si="14"/>
        <v>14.415999999999997</v>
      </c>
    </row>
    <row r="69" spans="1:10" ht="15.95" customHeight="1">
      <c r="A69" s="15" t="s">
        <v>44</v>
      </c>
      <c r="B69" s="17"/>
      <c r="C69" s="17"/>
      <c r="D69" s="17"/>
      <c r="E69" s="17"/>
      <c r="F69" s="17">
        <v>2</v>
      </c>
      <c r="G69" s="17"/>
      <c r="H69" s="11">
        <f t="shared" si="12"/>
        <v>1.4579999999999984</v>
      </c>
      <c r="I69" s="11">
        <f t="shared" si="13"/>
        <v>10.957999999999998</v>
      </c>
      <c r="J69" s="12">
        <f t="shared" si="14"/>
        <v>12.415999999999997</v>
      </c>
    </row>
    <row r="70" spans="1:10" ht="15.95" customHeight="1">
      <c r="A70" s="102" t="s">
        <v>191</v>
      </c>
      <c r="B70" s="11">
        <v>1.25</v>
      </c>
      <c r="C70" s="11">
        <v>1.25</v>
      </c>
      <c r="D70" s="17"/>
      <c r="E70" s="17"/>
      <c r="F70" s="17"/>
      <c r="G70" s="17"/>
      <c r="H70" s="11">
        <f t="shared" si="12"/>
        <v>2.7079999999999984</v>
      </c>
      <c r="I70" s="11">
        <f t="shared" si="13"/>
        <v>12.207999999999998</v>
      </c>
      <c r="J70" s="12">
        <f t="shared" si="14"/>
        <v>14.915999999999997</v>
      </c>
    </row>
    <row r="71" spans="1:10" ht="15.95" customHeight="1">
      <c r="A71" s="15" t="s">
        <v>46</v>
      </c>
      <c r="B71" s="17"/>
      <c r="C71" s="17"/>
      <c r="D71" s="17"/>
      <c r="E71" s="17"/>
      <c r="F71" s="17"/>
      <c r="G71" s="17">
        <v>1</v>
      </c>
      <c r="H71" s="11">
        <f t="shared" si="12"/>
        <v>2.7079999999999984</v>
      </c>
      <c r="I71" s="11">
        <f t="shared" si="13"/>
        <v>12.207999999999998</v>
      </c>
      <c r="J71" s="12">
        <f t="shared" si="14"/>
        <v>14.915999999999997</v>
      </c>
    </row>
    <row r="72" spans="1:10">
      <c r="A72" s="19" t="s">
        <v>72</v>
      </c>
      <c r="B72" s="11">
        <v>2.5</v>
      </c>
      <c r="C72" s="11">
        <v>2.5</v>
      </c>
      <c r="D72" s="18"/>
      <c r="E72" s="18"/>
      <c r="F72" s="18"/>
      <c r="G72" s="18"/>
      <c r="H72" s="11">
        <f t="shared" si="12"/>
        <v>5.2079999999999984</v>
      </c>
      <c r="I72" s="11">
        <f t="shared" si="13"/>
        <v>14.707999999999998</v>
      </c>
      <c r="J72" s="12">
        <f t="shared" si="14"/>
        <v>19.915999999999997</v>
      </c>
    </row>
    <row r="73" spans="1:10" s="3" customFormat="1">
      <c r="A73" s="20" t="s">
        <v>73</v>
      </c>
      <c r="B73" s="18"/>
      <c r="C73" s="18"/>
      <c r="D73" s="18"/>
      <c r="E73" s="21">
        <v>1</v>
      </c>
      <c r="F73" s="18"/>
      <c r="G73" s="18"/>
      <c r="H73" s="11">
        <f t="shared" si="12"/>
        <v>5.2079999999999984</v>
      </c>
      <c r="I73" s="11">
        <f t="shared" si="13"/>
        <v>13.707999999999998</v>
      </c>
      <c r="J73" s="12">
        <f t="shared" si="14"/>
        <v>18.915999999999997</v>
      </c>
    </row>
    <row r="74" spans="1:10" s="3" customFormat="1">
      <c r="A74" s="22" t="s">
        <v>74</v>
      </c>
      <c r="B74" s="11">
        <v>1.25</v>
      </c>
      <c r="C74" s="11">
        <v>1.25</v>
      </c>
      <c r="D74" s="18"/>
      <c r="E74" s="18"/>
      <c r="F74" s="18"/>
      <c r="G74" s="18"/>
      <c r="H74" s="11">
        <f t="shared" si="12"/>
        <v>6.4579999999999984</v>
      </c>
      <c r="I74" s="11">
        <f t="shared" si="13"/>
        <v>14.957999999999998</v>
      </c>
      <c r="J74" s="12">
        <f t="shared" si="14"/>
        <v>21.415999999999997</v>
      </c>
    </row>
    <row r="75" spans="1:10" s="3" customFormat="1">
      <c r="A75" s="20" t="s">
        <v>75</v>
      </c>
      <c r="B75" s="18"/>
      <c r="C75" s="18"/>
      <c r="D75" s="18"/>
      <c r="E75" s="21">
        <v>1</v>
      </c>
      <c r="F75" s="18"/>
      <c r="G75" s="18"/>
      <c r="H75" s="11">
        <f t="shared" si="12"/>
        <v>6.4579999999999984</v>
      </c>
      <c r="I75" s="11">
        <f t="shared" si="13"/>
        <v>13.957999999999998</v>
      </c>
      <c r="J75" s="12">
        <f t="shared" si="14"/>
        <v>20.415999999999997</v>
      </c>
    </row>
    <row r="76" spans="1:10" s="3" customFormat="1">
      <c r="A76" s="52" t="s">
        <v>97</v>
      </c>
      <c r="B76" s="11">
        <v>2.5</v>
      </c>
      <c r="C76" s="11">
        <v>2.5</v>
      </c>
      <c r="D76" s="18"/>
      <c r="E76" s="18"/>
      <c r="F76" s="18"/>
      <c r="G76" s="18"/>
      <c r="H76" s="11">
        <f t="shared" si="12"/>
        <v>8.9579999999999984</v>
      </c>
      <c r="I76" s="11">
        <f t="shared" si="13"/>
        <v>16.457999999999998</v>
      </c>
      <c r="J76" s="12">
        <f t="shared" si="14"/>
        <v>25.415999999999997</v>
      </c>
    </row>
    <row r="77" spans="1:10" s="3" customFormat="1">
      <c r="A77" s="20" t="s">
        <v>99</v>
      </c>
      <c r="B77" s="18"/>
      <c r="C77" s="18"/>
      <c r="D77" s="21">
        <v>4</v>
      </c>
      <c r="E77" s="21">
        <v>14</v>
      </c>
      <c r="F77" s="18"/>
      <c r="G77" s="18"/>
      <c r="H77" s="11">
        <f t="shared" si="12"/>
        <v>4.9579999999999984</v>
      </c>
      <c r="I77" s="11">
        <f t="shared" si="13"/>
        <v>2.4579999999999984</v>
      </c>
      <c r="J77" s="12">
        <f t="shared" si="14"/>
        <v>7.4159999999999968</v>
      </c>
    </row>
    <row r="78" spans="1:10" s="3" customFormat="1">
      <c r="A78" s="20" t="s">
        <v>100</v>
      </c>
      <c r="B78" s="18"/>
      <c r="C78" s="18"/>
      <c r="D78" s="21"/>
      <c r="E78" s="21">
        <v>1</v>
      </c>
      <c r="F78" s="18"/>
      <c r="G78" s="18"/>
      <c r="H78" s="11">
        <f t="shared" si="12"/>
        <v>4.9579999999999984</v>
      </c>
      <c r="I78" s="11">
        <f t="shared" si="13"/>
        <v>1.4579999999999984</v>
      </c>
      <c r="J78" s="12">
        <f t="shared" si="14"/>
        <v>6.4159999999999968</v>
      </c>
    </row>
    <row r="79" spans="1:10" s="3" customFormat="1">
      <c r="A79" s="20" t="s">
        <v>101</v>
      </c>
      <c r="B79" s="58">
        <v>2.5</v>
      </c>
      <c r="C79" s="58">
        <v>2.5</v>
      </c>
      <c r="D79" s="21"/>
      <c r="E79" s="21"/>
      <c r="F79" s="18"/>
      <c r="G79" s="18"/>
      <c r="H79" s="11">
        <f t="shared" si="12"/>
        <v>7.4579999999999984</v>
      </c>
      <c r="I79" s="11">
        <f t="shared" si="13"/>
        <v>3.9579999999999984</v>
      </c>
      <c r="J79" s="12">
        <f t="shared" si="14"/>
        <v>11.415999999999997</v>
      </c>
    </row>
    <row r="80" spans="1:10" s="3" customFormat="1">
      <c r="A80" s="20" t="s">
        <v>104</v>
      </c>
      <c r="B80" s="58">
        <v>1.25</v>
      </c>
      <c r="C80" s="58">
        <v>1.25</v>
      </c>
      <c r="D80" s="21"/>
      <c r="E80" s="21"/>
      <c r="F80" s="18"/>
      <c r="G80" s="18"/>
      <c r="H80" s="11">
        <f t="shared" si="12"/>
        <v>8.7079999999999984</v>
      </c>
      <c r="I80" s="11">
        <f t="shared" si="13"/>
        <v>5.2079999999999984</v>
      </c>
      <c r="J80" s="12">
        <f t="shared" si="14"/>
        <v>13.915999999999997</v>
      </c>
    </row>
    <row r="81" spans="1:10" s="3" customFormat="1">
      <c r="A81" s="20" t="s">
        <v>105</v>
      </c>
      <c r="B81" s="58"/>
      <c r="C81" s="58"/>
      <c r="D81" s="21"/>
      <c r="E81" s="21">
        <v>2</v>
      </c>
      <c r="F81" s="18"/>
      <c r="G81" s="18"/>
      <c r="H81" s="11">
        <f t="shared" si="12"/>
        <v>8.7079999999999984</v>
      </c>
      <c r="I81" s="11">
        <f t="shared" si="13"/>
        <v>3.2079999999999984</v>
      </c>
      <c r="J81" s="12">
        <f t="shared" si="14"/>
        <v>11.915999999999997</v>
      </c>
    </row>
    <row r="82" spans="1:10" s="3" customFormat="1">
      <c r="A82" s="20" t="s">
        <v>107</v>
      </c>
      <c r="B82" s="58"/>
      <c r="C82" s="58"/>
      <c r="D82" s="21"/>
      <c r="E82" s="21">
        <v>1</v>
      </c>
      <c r="F82" s="18"/>
      <c r="G82" s="18"/>
      <c r="H82" s="11">
        <f t="shared" si="12"/>
        <v>8.7079999999999984</v>
      </c>
      <c r="I82" s="11">
        <f t="shared" si="13"/>
        <v>2.2079999999999984</v>
      </c>
      <c r="J82" s="12">
        <f t="shared" si="14"/>
        <v>10.915999999999997</v>
      </c>
    </row>
    <row r="83" spans="1:10" s="3" customFormat="1">
      <c r="A83" s="20" t="s">
        <v>108</v>
      </c>
      <c r="B83" s="58">
        <v>1.25</v>
      </c>
      <c r="C83" s="58">
        <v>1.25</v>
      </c>
      <c r="D83" s="21"/>
      <c r="E83" s="21"/>
      <c r="F83" s="18"/>
      <c r="G83" s="18"/>
      <c r="H83" s="11">
        <f t="shared" si="12"/>
        <v>9.9579999999999984</v>
      </c>
      <c r="I83" s="11">
        <f t="shared" si="13"/>
        <v>3.4579999999999984</v>
      </c>
      <c r="J83" s="12">
        <f t="shared" si="14"/>
        <v>13.415999999999997</v>
      </c>
    </row>
    <row r="84" spans="1:10" s="3" customFormat="1">
      <c r="A84" s="20" t="s">
        <v>109</v>
      </c>
      <c r="B84" s="58"/>
      <c r="C84" s="58"/>
      <c r="D84" s="21"/>
      <c r="E84" s="21">
        <v>2</v>
      </c>
      <c r="F84" s="18"/>
      <c r="G84" s="18"/>
      <c r="H84" s="11">
        <f t="shared" si="12"/>
        <v>9.9579999999999984</v>
      </c>
      <c r="I84" s="11">
        <f t="shared" si="13"/>
        <v>1.4579999999999984</v>
      </c>
      <c r="J84" s="12">
        <f t="shared" si="14"/>
        <v>11.415999999999997</v>
      </c>
    </row>
    <row r="85" spans="1:10" s="3" customFormat="1">
      <c r="A85" s="20" t="s">
        <v>110</v>
      </c>
      <c r="B85" s="58"/>
      <c r="C85" s="58"/>
      <c r="D85" s="21"/>
      <c r="E85" s="21"/>
      <c r="F85" s="18"/>
      <c r="G85" s="17">
        <v>1</v>
      </c>
      <c r="H85" s="11">
        <f t="shared" si="12"/>
        <v>9.9579999999999984</v>
      </c>
      <c r="I85" s="11">
        <f t="shared" si="13"/>
        <v>1.4579999999999984</v>
      </c>
      <c r="J85" s="12">
        <f t="shared" si="14"/>
        <v>11.415999999999997</v>
      </c>
    </row>
    <row r="86" spans="1:10" s="3" customFormat="1">
      <c r="A86" s="20" t="s">
        <v>111</v>
      </c>
      <c r="B86" s="58"/>
      <c r="C86" s="58"/>
      <c r="D86" s="21"/>
      <c r="E86" s="21"/>
      <c r="F86" s="17">
        <v>1</v>
      </c>
      <c r="G86" s="18"/>
      <c r="H86" s="11">
        <f t="shared" si="12"/>
        <v>8.9579999999999984</v>
      </c>
      <c r="I86" s="11">
        <f t="shared" si="13"/>
        <v>1.4579999999999984</v>
      </c>
      <c r="J86" s="12">
        <f t="shared" si="14"/>
        <v>10.415999999999997</v>
      </c>
    </row>
    <row r="87" spans="1:10" s="3" customFormat="1">
      <c r="A87" s="20" t="s">
        <v>112</v>
      </c>
      <c r="B87" s="11">
        <v>1.25</v>
      </c>
      <c r="C87" s="11">
        <v>1.25</v>
      </c>
      <c r="D87" s="21"/>
      <c r="E87" s="21"/>
      <c r="F87" s="18"/>
      <c r="G87" s="18"/>
      <c r="H87" s="11">
        <f t="shared" si="12"/>
        <v>10.207999999999998</v>
      </c>
      <c r="I87" s="11">
        <f t="shared" si="13"/>
        <v>2.7079999999999984</v>
      </c>
      <c r="J87" s="12">
        <f t="shared" si="14"/>
        <v>12.915999999999997</v>
      </c>
    </row>
    <row r="88" spans="1:10" s="3" customFormat="1">
      <c r="A88" s="20" t="s">
        <v>113</v>
      </c>
      <c r="B88" s="58"/>
      <c r="C88" s="58"/>
      <c r="D88" s="21"/>
      <c r="E88" s="21"/>
      <c r="F88" s="18"/>
      <c r="G88" s="17">
        <v>1</v>
      </c>
      <c r="H88" s="11">
        <f t="shared" si="12"/>
        <v>10.207999999999998</v>
      </c>
      <c r="I88" s="11">
        <f t="shared" si="13"/>
        <v>2.7079999999999984</v>
      </c>
      <c r="J88" s="12">
        <f t="shared" si="14"/>
        <v>12.915999999999997</v>
      </c>
    </row>
    <row r="89" spans="1:10" s="3" customFormat="1">
      <c r="A89" s="20" t="s">
        <v>114</v>
      </c>
      <c r="B89" s="58"/>
      <c r="C89" s="58"/>
      <c r="D89" s="21"/>
      <c r="E89" s="21"/>
      <c r="F89" s="17">
        <v>1</v>
      </c>
      <c r="G89" s="18"/>
      <c r="H89" s="11">
        <f t="shared" si="12"/>
        <v>9.2079999999999984</v>
      </c>
      <c r="I89" s="11">
        <f t="shared" si="13"/>
        <v>2.7079999999999984</v>
      </c>
      <c r="J89" s="12">
        <f t="shared" si="14"/>
        <v>11.915999999999997</v>
      </c>
    </row>
    <row r="90" spans="1:10" s="3" customFormat="1">
      <c r="A90" s="58" t="s">
        <v>115</v>
      </c>
      <c r="B90" s="58"/>
      <c r="C90" s="58"/>
      <c r="D90" s="58"/>
      <c r="E90" s="17">
        <v>1</v>
      </c>
      <c r="F90" s="18"/>
      <c r="G90" s="18"/>
      <c r="H90" s="11">
        <f t="shared" si="12"/>
        <v>9.2079999999999984</v>
      </c>
      <c r="I90" s="11">
        <f t="shared" si="13"/>
        <v>1.7079999999999984</v>
      </c>
      <c r="J90" s="12">
        <f t="shared" si="14"/>
        <v>10.915999999999997</v>
      </c>
    </row>
    <row r="91" spans="1:10" s="3" customFormat="1">
      <c r="A91" s="105" t="s">
        <v>192</v>
      </c>
      <c r="B91" s="11">
        <v>2.5</v>
      </c>
      <c r="C91" s="11">
        <v>2.5</v>
      </c>
      <c r="D91" s="58"/>
      <c r="E91" s="58"/>
      <c r="F91" s="18"/>
      <c r="G91" s="18"/>
      <c r="H91" s="11">
        <f t="shared" si="12"/>
        <v>11.707999999999998</v>
      </c>
      <c r="I91" s="11">
        <f t="shared" si="13"/>
        <v>4.2079999999999984</v>
      </c>
      <c r="J91" s="12">
        <f t="shared" si="14"/>
        <v>15.915999999999997</v>
      </c>
    </row>
    <row r="92" spans="1:10" s="3" customFormat="1">
      <c r="A92" s="58" t="s">
        <v>117</v>
      </c>
      <c r="B92" s="58"/>
      <c r="C92" s="58"/>
      <c r="D92" s="58"/>
      <c r="E92" s="58">
        <v>1</v>
      </c>
      <c r="F92" s="58"/>
      <c r="G92" s="58"/>
      <c r="H92" s="11">
        <f t="shared" si="12"/>
        <v>11.707999999999998</v>
      </c>
      <c r="I92" s="11">
        <f t="shared" si="13"/>
        <v>3.2079999999999984</v>
      </c>
      <c r="J92" s="12">
        <f t="shared" si="14"/>
        <v>14.915999999999997</v>
      </c>
    </row>
    <row r="93" spans="1:10" s="3" customFormat="1">
      <c r="A93" s="58" t="s">
        <v>118</v>
      </c>
      <c r="B93" s="58"/>
      <c r="C93" s="58"/>
      <c r="D93" s="58"/>
      <c r="E93" s="58">
        <v>1</v>
      </c>
      <c r="F93" s="58"/>
      <c r="G93" s="58"/>
      <c r="H93" s="11">
        <f t="shared" si="12"/>
        <v>11.707999999999998</v>
      </c>
      <c r="I93" s="11">
        <f t="shared" si="13"/>
        <v>2.2079999999999984</v>
      </c>
      <c r="J93" s="12">
        <f t="shared" si="14"/>
        <v>13.915999999999997</v>
      </c>
    </row>
    <row r="94" spans="1:10" s="3" customFormat="1">
      <c r="A94" s="58" t="s">
        <v>120</v>
      </c>
      <c r="B94" s="58">
        <v>1.25</v>
      </c>
      <c r="C94" s="58">
        <v>1.25</v>
      </c>
      <c r="D94" s="58"/>
      <c r="E94" s="58"/>
      <c r="F94" s="58"/>
      <c r="G94" s="58"/>
      <c r="H94" s="11">
        <f t="shared" si="12"/>
        <v>12.957999999999998</v>
      </c>
      <c r="I94" s="11">
        <f t="shared" si="13"/>
        <v>3.4579999999999984</v>
      </c>
      <c r="J94" s="12">
        <f t="shared" si="14"/>
        <v>16.415999999999997</v>
      </c>
    </row>
    <row r="95" spans="1:10" s="3" customFormat="1">
      <c r="A95" s="58" t="s">
        <v>121</v>
      </c>
      <c r="B95" s="58"/>
      <c r="C95" s="58"/>
      <c r="D95" s="58"/>
      <c r="E95" s="58">
        <v>2</v>
      </c>
      <c r="F95" s="58"/>
      <c r="G95" s="58"/>
      <c r="H95" s="11">
        <f t="shared" si="12"/>
        <v>12.957999999999998</v>
      </c>
      <c r="I95" s="11">
        <f t="shared" si="13"/>
        <v>1.4579999999999984</v>
      </c>
      <c r="J95" s="12">
        <f t="shared" si="14"/>
        <v>14.415999999999997</v>
      </c>
    </row>
    <row r="96" spans="1:10" s="3" customFormat="1">
      <c r="A96" s="58" t="s">
        <v>122</v>
      </c>
      <c r="B96" s="58"/>
      <c r="C96" s="58"/>
      <c r="D96" s="58"/>
      <c r="E96" s="58"/>
      <c r="F96" s="17">
        <v>1</v>
      </c>
      <c r="G96" s="58"/>
      <c r="H96" s="11">
        <f t="shared" si="12"/>
        <v>11.957999999999998</v>
      </c>
      <c r="I96" s="11">
        <f t="shared" si="13"/>
        <v>1.4579999999999984</v>
      </c>
      <c r="J96" s="12">
        <f t="shared" si="14"/>
        <v>13.415999999999997</v>
      </c>
    </row>
    <row r="97" spans="1:10" s="3" customFormat="1">
      <c r="A97" s="58" t="s">
        <v>123</v>
      </c>
      <c r="B97" s="58"/>
      <c r="C97" s="58"/>
      <c r="D97" s="58"/>
      <c r="E97" s="58"/>
      <c r="F97" s="17"/>
      <c r="G97" s="58">
        <v>1</v>
      </c>
      <c r="H97" s="11">
        <f t="shared" si="12"/>
        <v>11.957999999999998</v>
      </c>
      <c r="I97" s="11">
        <f t="shared" si="13"/>
        <v>1.4579999999999984</v>
      </c>
      <c r="J97" s="12">
        <f t="shared" si="14"/>
        <v>13.415999999999997</v>
      </c>
    </row>
    <row r="98" spans="1:10" s="3" customFormat="1">
      <c r="A98" s="58" t="s">
        <v>129</v>
      </c>
      <c r="B98" s="58">
        <v>3.75</v>
      </c>
      <c r="C98" s="58">
        <v>3.75</v>
      </c>
      <c r="D98" s="58"/>
      <c r="E98" s="58"/>
      <c r="F98" s="17"/>
      <c r="G98" s="58"/>
      <c r="H98" s="11">
        <f t="shared" si="12"/>
        <v>15.707999999999998</v>
      </c>
      <c r="I98" s="11">
        <f t="shared" si="13"/>
        <v>5.2079999999999984</v>
      </c>
      <c r="J98" s="12">
        <f t="shared" si="14"/>
        <v>20.915999999999997</v>
      </c>
    </row>
    <row r="99" spans="1:10" s="3" customFormat="1">
      <c r="A99" s="58" t="s">
        <v>143</v>
      </c>
      <c r="B99" s="58"/>
      <c r="C99" s="58"/>
      <c r="D99" s="58">
        <v>10</v>
      </c>
      <c r="E99" s="58"/>
      <c r="F99" s="17"/>
      <c r="G99" s="58"/>
      <c r="H99" s="11">
        <f t="shared" si="12"/>
        <v>5.7079999999999984</v>
      </c>
      <c r="I99" s="11">
        <f t="shared" si="13"/>
        <v>5.2079999999999984</v>
      </c>
      <c r="J99" s="12">
        <f t="shared" si="14"/>
        <v>10.915999999999997</v>
      </c>
    </row>
    <row r="100" spans="1:10" s="3" customFormat="1">
      <c r="A100" s="58" t="s">
        <v>136</v>
      </c>
      <c r="B100" s="58">
        <v>1.25</v>
      </c>
      <c r="C100" s="58">
        <v>1.25</v>
      </c>
      <c r="D100" s="58"/>
      <c r="E100" s="58"/>
      <c r="F100" s="17"/>
      <c r="G100" s="58"/>
      <c r="H100" s="11">
        <f t="shared" si="12"/>
        <v>6.9579999999999984</v>
      </c>
      <c r="I100" s="11">
        <f t="shared" si="13"/>
        <v>6.4579999999999984</v>
      </c>
      <c r="J100" s="12">
        <f t="shared" si="14"/>
        <v>13.415999999999997</v>
      </c>
    </row>
    <row r="101" spans="1:10" s="3" customFormat="1">
      <c r="A101" s="58" t="s">
        <v>137</v>
      </c>
      <c r="B101" s="58"/>
      <c r="C101" s="58"/>
      <c r="D101" s="58"/>
      <c r="E101" s="58">
        <v>3</v>
      </c>
      <c r="F101" s="17"/>
      <c r="G101" s="58"/>
      <c r="H101" s="11">
        <f t="shared" si="12"/>
        <v>6.9579999999999984</v>
      </c>
      <c r="I101" s="11">
        <f t="shared" si="13"/>
        <v>3.4579999999999984</v>
      </c>
      <c r="J101" s="12">
        <f t="shared" si="14"/>
        <v>10.415999999999997</v>
      </c>
    </row>
    <row r="102" spans="1:10">
      <c r="A102" s="58" t="s">
        <v>138</v>
      </c>
      <c r="B102" s="58"/>
      <c r="C102" s="58"/>
      <c r="D102" s="58"/>
      <c r="E102" s="58">
        <v>2</v>
      </c>
      <c r="F102" s="17"/>
      <c r="G102" s="58"/>
      <c r="H102" s="11">
        <f t="shared" si="12"/>
        <v>6.9579999999999984</v>
      </c>
      <c r="I102" s="11">
        <f t="shared" si="13"/>
        <v>1.4579999999999984</v>
      </c>
      <c r="J102" s="12">
        <f t="shared" si="14"/>
        <v>8.4159999999999968</v>
      </c>
    </row>
    <row r="103" spans="1:10">
      <c r="A103" s="58" t="s">
        <v>139</v>
      </c>
      <c r="B103" s="58">
        <v>1.25</v>
      </c>
      <c r="C103" s="58">
        <v>1.25</v>
      </c>
      <c r="D103" s="58"/>
      <c r="E103" s="58"/>
      <c r="F103" s="17"/>
      <c r="G103" s="58"/>
      <c r="H103" s="11">
        <f t="shared" si="12"/>
        <v>8.2079999999999984</v>
      </c>
      <c r="I103" s="11">
        <f t="shared" si="13"/>
        <v>2.7079999999999984</v>
      </c>
      <c r="J103" s="12">
        <f t="shared" si="14"/>
        <v>10.915999999999997</v>
      </c>
    </row>
    <row r="104" spans="1:10">
      <c r="A104" s="58" t="s">
        <v>140</v>
      </c>
      <c r="B104" s="58"/>
      <c r="C104" s="58"/>
      <c r="D104" s="58"/>
      <c r="E104" s="58"/>
      <c r="F104" s="17">
        <v>1</v>
      </c>
      <c r="G104" s="58"/>
      <c r="H104" s="11">
        <f t="shared" si="12"/>
        <v>7.2079999999999984</v>
      </c>
      <c r="I104" s="11">
        <f t="shared" si="13"/>
        <v>2.7079999999999984</v>
      </c>
      <c r="J104" s="12">
        <f t="shared" si="14"/>
        <v>9.9159999999999968</v>
      </c>
    </row>
    <row r="105" spans="1:10">
      <c r="A105" s="58" t="s">
        <v>141</v>
      </c>
      <c r="B105" s="58"/>
      <c r="C105" s="58"/>
      <c r="D105" s="58"/>
      <c r="E105" s="58">
        <v>1</v>
      </c>
      <c r="F105" s="17"/>
      <c r="G105" s="58"/>
      <c r="H105" s="11">
        <f t="shared" si="12"/>
        <v>7.2079999999999984</v>
      </c>
      <c r="I105" s="11">
        <f t="shared" si="13"/>
        <v>1.7079999999999984</v>
      </c>
      <c r="J105" s="12">
        <f t="shared" si="14"/>
        <v>8.9159999999999968</v>
      </c>
    </row>
    <row r="106" spans="1:10">
      <c r="A106" s="58" t="s">
        <v>142</v>
      </c>
      <c r="B106" s="58"/>
      <c r="C106" s="58"/>
      <c r="D106" s="58">
        <v>2</v>
      </c>
      <c r="E106" s="58"/>
      <c r="F106" s="17"/>
      <c r="G106" s="58"/>
      <c r="H106" s="11">
        <f t="shared" si="12"/>
        <v>5.2079999999999984</v>
      </c>
      <c r="I106" s="11">
        <f t="shared" si="13"/>
        <v>1.7079999999999984</v>
      </c>
      <c r="J106" s="12">
        <f t="shared" si="14"/>
        <v>6.9159999999999968</v>
      </c>
    </row>
    <row r="107" spans="1:10">
      <c r="A107" s="58" t="s">
        <v>144</v>
      </c>
      <c r="B107" s="58">
        <v>2.5</v>
      </c>
      <c r="C107" s="58">
        <v>2.5</v>
      </c>
      <c r="D107" s="58"/>
      <c r="E107" s="58"/>
      <c r="F107" s="17"/>
      <c r="G107" s="58"/>
      <c r="H107" s="11">
        <f t="shared" si="12"/>
        <v>7.7079999999999984</v>
      </c>
      <c r="I107" s="11">
        <f t="shared" si="13"/>
        <v>4.2079999999999984</v>
      </c>
      <c r="J107" s="12">
        <f t="shared" si="14"/>
        <v>11.915999999999997</v>
      </c>
    </row>
    <row r="108" spans="1:10">
      <c r="A108" s="58" t="s">
        <v>145</v>
      </c>
      <c r="B108" s="58"/>
      <c r="C108" s="58"/>
      <c r="D108" s="58"/>
      <c r="E108" s="58">
        <v>1</v>
      </c>
      <c r="F108" s="17"/>
      <c r="G108" s="58"/>
      <c r="H108" s="11">
        <f t="shared" si="12"/>
        <v>7.7079999999999984</v>
      </c>
      <c r="I108" s="11">
        <f t="shared" si="13"/>
        <v>3.2079999999999984</v>
      </c>
      <c r="J108" s="12">
        <f t="shared" si="14"/>
        <v>10.915999999999997</v>
      </c>
    </row>
    <row r="109" spans="1:10">
      <c r="A109" s="58" t="s">
        <v>146</v>
      </c>
      <c r="B109" s="58"/>
      <c r="C109" s="58"/>
      <c r="D109" s="58"/>
      <c r="E109" s="58"/>
      <c r="F109" s="17">
        <v>1</v>
      </c>
      <c r="G109" s="58"/>
      <c r="H109" s="11">
        <f t="shared" si="12"/>
        <v>6.7079999999999984</v>
      </c>
      <c r="I109" s="11">
        <f t="shared" si="13"/>
        <v>3.2079999999999984</v>
      </c>
      <c r="J109" s="12">
        <f t="shared" si="14"/>
        <v>9.9159999999999968</v>
      </c>
    </row>
    <row r="110" spans="1:10">
      <c r="A110" s="58" t="s">
        <v>148</v>
      </c>
      <c r="B110" s="58">
        <v>1.25</v>
      </c>
      <c r="C110" s="58">
        <v>1.25</v>
      </c>
      <c r="D110" s="58"/>
      <c r="E110" s="58"/>
      <c r="F110" s="17"/>
      <c r="G110" s="58"/>
      <c r="H110" s="11">
        <f t="shared" si="12"/>
        <v>7.9579999999999984</v>
      </c>
      <c r="I110" s="11">
        <f t="shared" si="13"/>
        <v>4.4579999999999984</v>
      </c>
      <c r="J110" s="12">
        <f t="shared" si="14"/>
        <v>12.415999999999997</v>
      </c>
    </row>
    <row r="111" spans="1:10">
      <c r="A111" s="58" t="s">
        <v>149</v>
      </c>
      <c r="B111" s="58"/>
      <c r="C111" s="58"/>
      <c r="D111" s="58"/>
      <c r="E111" s="58">
        <v>1</v>
      </c>
      <c r="F111" s="17"/>
      <c r="G111" s="58"/>
      <c r="H111" s="11">
        <f t="shared" si="12"/>
        <v>7.9579999999999984</v>
      </c>
      <c r="I111" s="11">
        <f t="shared" si="13"/>
        <v>3.4579999999999984</v>
      </c>
      <c r="J111" s="12">
        <f t="shared" si="14"/>
        <v>11.415999999999997</v>
      </c>
    </row>
    <row r="112" spans="1:10">
      <c r="A112" s="58" t="s">
        <v>150</v>
      </c>
      <c r="B112" s="58"/>
      <c r="C112" s="58"/>
      <c r="D112" s="58"/>
      <c r="E112" s="58">
        <v>1</v>
      </c>
      <c r="F112" s="17"/>
      <c r="G112" s="58"/>
      <c r="H112" s="11">
        <f t="shared" si="12"/>
        <v>7.9579999999999984</v>
      </c>
      <c r="I112" s="11">
        <f t="shared" si="13"/>
        <v>2.4579999999999984</v>
      </c>
      <c r="J112" s="12">
        <f t="shared" si="14"/>
        <v>10.415999999999997</v>
      </c>
    </row>
    <row r="113" spans="1:10">
      <c r="A113" s="58" t="s">
        <v>151</v>
      </c>
      <c r="B113" s="58"/>
      <c r="C113" s="58"/>
      <c r="D113" s="58"/>
      <c r="E113" s="58"/>
      <c r="F113" s="60">
        <v>1</v>
      </c>
      <c r="G113" s="58"/>
      <c r="H113" s="11">
        <f t="shared" si="12"/>
        <v>6.9579999999999984</v>
      </c>
      <c r="I113" s="11">
        <f t="shared" si="13"/>
        <v>2.4579999999999984</v>
      </c>
      <c r="J113" s="12">
        <f t="shared" si="14"/>
        <v>9.4159999999999968</v>
      </c>
    </row>
    <row r="114" spans="1:10">
      <c r="A114" s="58" t="s">
        <v>152</v>
      </c>
      <c r="B114" s="58"/>
      <c r="C114" s="58"/>
      <c r="D114" s="58"/>
      <c r="E114" s="58">
        <v>2</v>
      </c>
      <c r="F114" s="17"/>
      <c r="G114" s="58"/>
      <c r="H114" s="11">
        <f t="shared" si="12"/>
        <v>6.9579999999999984</v>
      </c>
      <c r="I114" s="11">
        <f t="shared" si="13"/>
        <v>0.45799999999999841</v>
      </c>
      <c r="J114" s="12">
        <f t="shared" si="14"/>
        <v>7.4159999999999968</v>
      </c>
    </row>
    <row r="115" spans="1:10">
      <c r="A115" s="58" t="s">
        <v>170</v>
      </c>
      <c r="B115" s="58">
        <v>1.25</v>
      </c>
      <c r="C115" s="58">
        <v>1.25</v>
      </c>
      <c r="D115" s="58"/>
      <c r="E115" s="58"/>
      <c r="F115" s="17"/>
      <c r="G115" s="58"/>
      <c r="H115" s="11">
        <f t="shared" si="12"/>
        <v>8.2079999999999984</v>
      </c>
      <c r="I115" s="11">
        <f t="shared" si="13"/>
        <v>1.7079999999999984</v>
      </c>
      <c r="J115" s="12">
        <f t="shared" si="14"/>
        <v>9.9159999999999968</v>
      </c>
    </row>
    <row r="116" spans="1:10">
      <c r="A116" s="58" t="s">
        <v>171</v>
      </c>
      <c r="B116" s="58"/>
      <c r="C116" s="58"/>
      <c r="D116" s="58"/>
      <c r="E116" s="58"/>
      <c r="F116" s="60">
        <v>1</v>
      </c>
      <c r="G116" s="58"/>
      <c r="H116" s="11">
        <f t="shared" si="12"/>
        <v>7.2079999999999984</v>
      </c>
      <c r="I116" s="11">
        <f t="shared" si="13"/>
        <v>1.7079999999999984</v>
      </c>
      <c r="J116" s="12">
        <f t="shared" si="14"/>
        <v>8.9159999999999968</v>
      </c>
    </row>
    <row r="117" spans="1:10">
      <c r="A117" s="58" t="s">
        <v>172</v>
      </c>
      <c r="B117" s="58"/>
      <c r="C117" s="58"/>
      <c r="D117" s="58"/>
      <c r="E117" s="58">
        <v>1</v>
      </c>
      <c r="F117" s="17"/>
      <c r="G117" s="58"/>
      <c r="H117" s="11">
        <f t="shared" si="12"/>
        <v>7.2079999999999984</v>
      </c>
      <c r="I117" s="11">
        <f t="shared" si="13"/>
        <v>0.70799999999999841</v>
      </c>
      <c r="J117" s="12">
        <f t="shared" si="14"/>
        <v>7.9159999999999968</v>
      </c>
    </row>
    <row r="118" spans="1:10">
      <c r="A118" s="58" t="s">
        <v>173</v>
      </c>
      <c r="B118" s="58">
        <v>1.25</v>
      </c>
      <c r="C118" s="58">
        <v>1.25</v>
      </c>
      <c r="D118" s="58"/>
      <c r="E118" s="58"/>
      <c r="F118" s="17"/>
      <c r="G118" s="58"/>
      <c r="H118" s="11">
        <f t="shared" ref="H118:H130" si="15">H117-F118-D118+B118</f>
        <v>8.4579999999999984</v>
      </c>
      <c r="I118" s="11">
        <f t="shared" ref="I118:I130" si="16">I117-E118+C118</f>
        <v>1.9579999999999984</v>
      </c>
      <c r="J118" s="12">
        <f t="shared" ref="J118:J130" si="17">SUM(H118:I118)</f>
        <v>10.415999999999997</v>
      </c>
    </row>
    <row r="119" spans="1:10">
      <c r="A119" s="58" t="s">
        <v>174</v>
      </c>
      <c r="B119" s="58"/>
      <c r="C119" s="58"/>
      <c r="D119" s="58"/>
      <c r="E119" s="58">
        <v>1</v>
      </c>
      <c r="F119" s="17"/>
      <c r="G119" s="58"/>
      <c r="H119" s="11">
        <f t="shared" si="15"/>
        <v>8.4579999999999984</v>
      </c>
      <c r="I119" s="11">
        <f t="shared" si="16"/>
        <v>0.95799999999999841</v>
      </c>
      <c r="J119" s="12">
        <f t="shared" si="17"/>
        <v>9.4159999999999968</v>
      </c>
    </row>
    <row r="120" spans="1:10">
      <c r="A120" s="58" t="s">
        <v>175</v>
      </c>
      <c r="B120" s="58"/>
      <c r="C120" s="58"/>
      <c r="D120" s="58"/>
      <c r="E120" s="58"/>
      <c r="F120" s="17"/>
      <c r="G120" s="73">
        <v>1</v>
      </c>
      <c r="H120" s="11">
        <f t="shared" si="15"/>
        <v>8.4579999999999984</v>
      </c>
      <c r="I120" s="11">
        <f t="shared" si="16"/>
        <v>0.95799999999999841</v>
      </c>
      <c r="J120" s="12">
        <f t="shared" si="17"/>
        <v>9.4159999999999968</v>
      </c>
    </row>
    <row r="121" spans="1:10">
      <c r="A121" s="58" t="s">
        <v>176</v>
      </c>
      <c r="B121" s="58">
        <v>2.5</v>
      </c>
      <c r="C121" s="58">
        <v>2.5</v>
      </c>
      <c r="D121" s="58"/>
      <c r="E121" s="58"/>
      <c r="F121" s="17"/>
      <c r="G121" s="58"/>
      <c r="H121" s="11">
        <f t="shared" si="15"/>
        <v>10.957999999999998</v>
      </c>
      <c r="I121" s="11">
        <f t="shared" si="16"/>
        <v>3.4579999999999984</v>
      </c>
      <c r="J121" s="12">
        <f t="shared" si="17"/>
        <v>14.415999999999997</v>
      </c>
    </row>
    <row r="122" spans="1:10">
      <c r="A122" s="58" t="s">
        <v>177</v>
      </c>
      <c r="B122" s="58"/>
      <c r="C122" s="58"/>
      <c r="D122" s="58"/>
      <c r="E122" s="58">
        <v>2</v>
      </c>
      <c r="F122" s="17"/>
      <c r="G122" s="58"/>
      <c r="H122" s="11">
        <f t="shared" si="15"/>
        <v>10.957999999999998</v>
      </c>
      <c r="I122" s="11">
        <f t="shared" si="16"/>
        <v>1.4579999999999984</v>
      </c>
      <c r="J122" s="12">
        <f t="shared" si="17"/>
        <v>12.415999999999997</v>
      </c>
    </row>
    <row r="123" spans="1:10">
      <c r="A123" s="58" t="s">
        <v>193</v>
      </c>
      <c r="B123" s="58">
        <v>1.25</v>
      </c>
      <c r="C123" s="58">
        <v>1.25</v>
      </c>
      <c r="D123" s="58"/>
      <c r="E123" s="58"/>
      <c r="F123" s="17"/>
      <c r="G123" s="58"/>
      <c r="H123" s="11">
        <f t="shared" si="15"/>
        <v>12.207999999999998</v>
      </c>
      <c r="I123" s="11">
        <f t="shared" si="16"/>
        <v>2.7079999999999984</v>
      </c>
      <c r="J123" s="12">
        <f t="shared" si="17"/>
        <v>14.915999999999997</v>
      </c>
    </row>
    <row r="124" spans="1:10">
      <c r="A124" s="58" t="s">
        <v>194</v>
      </c>
      <c r="B124" s="58"/>
      <c r="C124" s="58"/>
      <c r="D124" s="58"/>
      <c r="E124" s="58"/>
      <c r="F124" s="60">
        <v>1</v>
      </c>
      <c r="G124" s="58"/>
      <c r="H124" s="11">
        <f t="shared" si="15"/>
        <v>11.207999999999998</v>
      </c>
      <c r="I124" s="11">
        <f t="shared" si="16"/>
        <v>2.7079999999999984</v>
      </c>
      <c r="J124" s="12">
        <f t="shared" si="17"/>
        <v>13.915999999999997</v>
      </c>
    </row>
    <row r="125" spans="1:10">
      <c r="A125" s="58" t="s">
        <v>196</v>
      </c>
      <c r="B125" s="58"/>
      <c r="C125" s="58"/>
      <c r="D125" s="58"/>
      <c r="E125" s="58">
        <v>1</v>
      </c>
      <c r="F125" s="17"/>
      <c r="G125" s="58"/>
      <c r="H125" s="11">
        <f t="shared" si="15"/>
        <v>11.207999999999998</v>
      </c>
      <c r="I125" s="11">
        <f t="shared" si="16"/>
        <v>1.7079999999999984</v>
      </c>
      <c r="J125" s="12">
        <f t="shared" si="17"/>
        <v>12.915999999999997</v>
      </c>
    </row>
    <row r="126" spans="1:10">
      <c r="A126" s="58" t="s">
        <v>197</v>
      </c>
      <c r="B126" s="58">
        <v>1.25</v>
      </c>
      <c r="C126" s="58">
        <v>1.25</v>
      </c>
      <c r="D126" s="58"/>
      <c r="E126" s="58"/>
      <c r="F126" s="17"/>
      <c r="G126" s="58"/>
      <c r="H126" s="11">
        <f t="shared" si="15"/>
        <v>12.457999999999998</v>
      </c>
      <c r="I126" s="11">
        <f t="shared" si="16"/>
        <v>2.9579999999999984</v>
      </c>
      <c r="J126" s="12">
        <f t="shared" si="17"/>
        <v>15.415999999999997</v>
      </c>
    </row>
    <row r="127" spans="1:10">
      <c r="A127" s="58" t="s">
        <v>198</v>
      </c>
      <c r="B127" s="58"/>
      <c r="C127" s="58"/>
      <c r="D127" s="58"/>
      <c r="E127" s="58">
        <v>2</v>
      </c>
      <c r="F127" s="17"/>
      <c r="G127" s="58"/>
      <c r="H127" s="11">
        <f t="shared" si="15"/>
        <v>12.457999999999998</v>
      </c>
      <c r="I127" s="11">
        <f t="shared" si="16"/>
        <v>0.95799999999999841</v>
      </c>
      <c r="J127" s="12">
        <f t="shared" si="17"/>
        <v>13.415999999999997</v>
      </c>
    </row>
    <row r="128" spans="1:10">
      <c r="A128" s="58" t="s">
        <v>199</v>
      </c>
      <c r="B128" s="58"/>
      <c r="C128" s="58"/>
      <c r="D128" s="58"/>
      <c r="E128" s="58"/>
      <c r="F128" s="17"/>
      <c r="G128" s="73">
        <v>1</v>
      </c>
      <c r="H128" s="11">
        <f t="shared" si="15"/>
        <v>12.457999999999998</v>
      </c>
      <c r="I128" s="11">
        <f t="shared" si="16"/>
        <v>0.95799999999999841</v>
      </c>
      <c r="J128" s="12">
        <f t="shared" si="17"/>
        <v>13.415999999999997</v>
      </c>
    </row>
    <row r="129" spans="1:10">
      <c r="A129" s="111" t="s">
        <v>200</v>
      </c>
      <c r="B129" s="58">
        <v>1.25</v>
      </c>
      <c r="C129" s="58">
        <v>1.25</v>
      </c>
      <c r="D129" s="58"/>
      <c r="E129" s="58"/>
      <c r="F129" s="17"/>
      <c r="G129" s="58"/>
      <c r="H129" s="11">
        <f t="shared" si="15"/>
        <v>13.707999999999998</v>
      </c>
      <c r="I129" s="11">
        <f t="shared" si="16"/>
        <v>2.2079999999999984</v>
      </c>
      <c r="J129" s="12">
        <f t="shared" si="17"/>
        <v>15.915999999999997</v>
      </c>
    </row>
    <row r="130" spans="1:10">
      <c r="A130" s="111" t="s">
        <v>201</v>
      </c>
      <c r="B130" s="58"/>
      <c r="C130" s="58"/>
      <c r="D130" s="58"/>
      <c r="E130" s="58"/>
      <c r="F130" s="60">
        <v>1</v>
      </c>
      <c r="G130" s="58"/>
      <c r="H130" s="11">
        <f t="shared" si="15"/>
        <v>12.707999999999998</v>
      </c>
      <c r="I130" s="11">
        <f t="shared" si="16"/>
        <v>2.2079999999999984</v>
      </c>
      <c r="J130" s="12">
        <f t="shared" si="17"/>
        <v>14.915999999999997</v>
      </c>
    </row>
    <row r="131" spans="1:10">
      <c r="A131" s="113" t="s">
        <v>203</v>
      </c>
      <c r="B131" s="58">
        <v>3.75</v>
      </c>
      <c r="C131" s="58">
        <v>3.75</v>
      </c>
      <c r="D131" s="58"/>
      <c r="E131" s="58"/>
      <c r="F131" s="17"/>
      <c r="G131" s="58"/>
      <c r="H131" s="11">
        <f t="shared" ref="H131:H132" si="18">H130-F131-D131+B131</f>
        <v>16.457999999999998</v>
      </c>
      <c r="I131" s="11">
        <f t="shared" ref="I131:I132" si="19">I130-E131+C131</f>
        <v>5.9579999999999984</v>
      </c>
      <c r="J131" s="12">
        <f t="shared" ref="J131:J132" si="20">SUM(H131:I131)</f>
        <v>22.415999999999997</v>
      </c>
    </row>
    <row r="132" spans="1:10">
      <c r="A132" s="58" t="s">
        <v>204</v>
      </c>
      <c r="B132" s="58"/>
      <c r="C132" s="58"/>
      <c r="D132" s="58"/>
      <c r="E132" s="58">
        <v>1</v>
      </c>
      <c r="F132" s="17"/>
      <c r="G132" s="58"/>
      <c r="H132" s="11">
        <f t="shared" si="18"/>
        <v>16.457999999999998</v>
      </c>
      <c r="I132" s="11">
        <f t="shared" si="19"/>
        <v>4.9579999999999984</v>
      </c>
      <c r="J132" s="11">
        <f t="shared" si="20"/>
        <v>21.415999999999997</v>
      </c>
    </row>
    <row r="133" spans="1:10">
      <c r="A133" s="114" t="s">
        <v>201</v>
      </c>
      <c r="B133" s="58"/>
      <c r="C133" s="58"/>
      <c r="D133" s="58"/>
      <c r="E133" s="58">
        <v>1</v>
      </c>
      <c r="F133" s="17"/>
      <c r="G133" s="58"/>
      <c r="H133" s="11">
        <f t="shared" ref="H133" si="21">H132-F133-D133+B133</f>
        <v>16.457999999999998</v>
      </c>
      <c r="I133" s="11">
        <f t="shared" ref="I133" si="22">I132-E133+C133</f>
        <v>3.9579999999999984</v>
      </c>
      <c r="J133" s="11">
        <f t="shared" ref="J133" si="23">SUM(H133:I133)</f>
        <v>20.415999999999997</v>
      </c>
    </row>
    <row r="134" spans="1:10">
      <c r="A134" s="58" t="s">
        <v>205</v>
      </c>
      <c r="B134" s="58"/>
      <c r="C134" s="58"/>
      <c r="D134" s="58"/>
      <c r="E134" s="58"/>
      <c r="F134" s="60">
        <v>1</v>
      </c>
      <c r="G134" s="58"/>
      <c r="H134" s="11">
        <f t="shared" ref="H134" si="24">H133-F134-D134+B134</f>
        <v>15.457999999999998</v>
      </c>
      <c r="I134" s="11">
        <f t="shared" ref="I134" si="25">I133-E134+C134</f>
        <v>3.9579999999999984</v>
      </c>
      <c r="J134" s="11">
        <f t="shared" ref="J134" si="26">SUM(H134:I134)</f>
        <v>19.415999999999997</v>
      </c>
    </row>
    <row r="135" spans="1:10">
      <c r="A135" s="75"/>
      <c r="B135" s="75"/>
      <c r="C135" s="75"/>
      <c r="D135" s="75"/>
      <c r="E135" s="75"/>
      <c r="F135" s="76"/>
      <c r="G135" s="75"/>
      <c r="H135" s="77"/>
      <c r="I135" s="77"/>
      <c r="J135" s="77"/>
    </row>
    <row r="136" spans="1:10" s="1" customFormat="1" ht="15.95" customHeight="1">
      <c r="H136" s="61" t="s">
        <v>84</v>
      </c>
    </row>
    <row r="137" spans="1:10" s="1" customFormat="1" ht="15.95" customHeight="1">
      <c r="H137" s="61"/>
    </row>
    <row r="138" spans="1:10" s="1" customFormat="1" ht="15.95" customHeight="1">
      <c r="G138" s="8"/>
      <c r="H138" s="62" t="s">
        <v>85</v>
      </c>
    </row>
    <row r="139" spans="1:10" s="1" customFormat="1" ht="15.95" customHeight="1">
      <c r="H139" s="61" t="s">
        <v>86</v>
      </c>
    </row>
    <row r="140" spans="1:10" s="1" customFormat="1" ht="15.95" customHeight="1">
      <c r="H140" s="61" t="s">
        <v>87</v>
      </c>
    </row>
  </sheetData>
  <mergeCells count="13">
    <mergeCell ref="B9:D9"/>
    <mergeCell ref="A2:J2"/>
    <mergeCell ref="A3:J3"/>
    <mergeCell ref="A4:J4"/>
    <mergeCell ref="A5:J5"/>
    <mergeCell ref="B7:D7"/>
    <mergeCell ref="K11:K12"/>
    <mergeCell ref="A10:J10"/>
    <mergeCell ref="A11:A12"/>
    <mergeCell ref="B11:C11"/>
    <mergeCell ref="D11:G11"/>
    <mergeCell ref="H11:I11"/>
    <mergeCell ref="J11:J12"/>
  </mergeCells>
  <printOptions horizontalCentered="1"/>
  <pageMargins left="0.23622047244094491" right="0.23622047244094491" top="0.55118110236220474" bottom="0.35433070866141736" header="0.31496062992125984" footer="0.31496062992125984"/>
  <pageSetup paperSize="9" scale="7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74B3-6211-42D5-82D3-2384290EB303}">
  <sheetPr>
    <pageSetUpPr fitToPage="1"/>
  </sheetPr>
  <dimension ref="A1:L25"/>
  <sheetViews>
    <sheetView view="pageBreakPreview" topLeftCell="A3" zoomScale="112" zoomScaleNormal="100" zoomScaleSheetLayoutView="112" workbookViewId="0">
      <selection activeCell="B17" sqref="B17:E17"/>
    </sheetView>
  </sheetViews>
  <sheetFormatPr defaultColWidth="8.7109375" defaultRowHeight="15"/>
  <cols>
    <col min="1" max="1" width="33.5703125" style="28" customWidth="1"/>
    <col min="2" max="16384" width="8.7109375" style="28"/>
  </cols>
  <sheetData>
    <row r="1" spans="1:12" s="23" customFormat="1" ht="52.5" customHeight="1"/>
    <row r="2" spans="1:12" s="23" customFormat="1" ht="10.5" customHeight="1">
      <c r="A2" s="130" t="s">
        <v>47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</row>
    <row r="3" spans="1:12" s="23" customFormat="1" ht="15.95" customHeight="1">
      <c r="A3" s="130" t="s">
        <v>48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</row>
    <row r="4" spans="1:12" s="23" customFormat="1" ht="15.95" customHeight="1">
      <c r="A4" s="130" t="s">
        <v>49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</row>
    <row r="5" spans="1:12" s="23" customFormat="1" ht="15.95" customHeight="1">
      <c r="A5" s="130" t="s">
        <v>50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</row>
    <row r="6" spans="1:12" s="23" customFormat="1" ht="8.25" customHeight="1"/>
    <row r="7" spans="1:12" s="23" customFormat="1" ht="12" customHeight="1">
      <c r="A7" s="23" t="s">
        <v>51</v>
      </c>
      <c r="C7" s="24" t="s">
        <v>52</v>
      </c>
      <c r="D7" s="24"/>
      <c r="G7" s="24" t="s">
        <v>0</v>
      </c>
      <c r="H7" s="25"/>
    </row>
    <row r="8" spans="1:12" s="23" customFormat="1" ht="12" customHeight="1">
      <c r="C8" s="26"/>
      <c r="G8" s="26"/>
      <c r="H8" s="26"/>
    </row>
    <row r="9" spans="1:12" s="23" customFormat="1" ht="12" customHeight="1">
      <c r="A9" s="23" t="s">
        <v>53</v>
      </c>
      <c r="C9" s="24" t="s">
        <v>54</v>
      </c>
      <c r="D9" s="24"/>
      <c r="G9" s="24" t="s">
        <v>1</v>
      </c>
      <c r="H9" s="27"/>
    </row>
    <row r="10" spans="1:12" ht="16.5" customHeight="1" thickBot="1">
      <c r="A10" s="131" t="s">
        <v>76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</row>
    <row r="11" spans="1:12" s="29" customFormat="1" ht="18.75" customHeight="1">
      <c r="A11" s="132" t="s">
        <v>3</v>
      </c>
      <c r="B11" s="134" t="s">
        <v>4</v>
      </c>
      <c r="C11" s="135"/>
      <c r="D11" s="135"/>
      <c r="E11" s="135"/>
      <c r="F11" s="135"/>
      <c r="G11" s="135"/>
      <c r="H11" s="135"/>
      <c r="I11" s="135"/>
      <c r="J11" s="135"/>
      <c r="K11" s="135"/>
      <c r="L11" s="136" t="s">
        <v>7</v>
      </c>
    </row>
    <row r="12" spans="1:12" s="29" customFormat="1" ht="24" customHeight="1">
      <c r="A12" s="133"/>
      <c r="B12" s="128" t="s">
        <v>77</v>
      </c>
      <c r="C12" s="138"/>
      <c r="D12" s="138"/>
      <c r="E12" s="129"/>
      <c r="F12" s="128" t="s">
        <v>78</v>
      </c>
      <c r="G12" s="129"/>
      <c r="H12" s="128" t="s">
        <v>79</v>
      </c>
      <c r="I12" s="129"/>
      <c r="J12" s="128" t="s">
        <v>80</v>
      </c>
      <c r="K12" s="129"/>
      <c r="L12" s="137"/>
    </row>
    <row r="13" spans="1:12" s="33" customFormat="1" ht="24.95" customHeight="1">
      <c r="A13" s="31" t="s">
        <v>81</v>
      </c>
      <c r="B13" s="139" t="s">
        <v>82</v>
      </c>
      <c r="C13" s="142"/>
      <c r="D13" s="142"/>
      <c r="E13" s="140"/>
      <c r="F13" s="139">
        <v>1</v>
      </c>
      <c r="G13" s="140"/>
      <c r="H13" s="139">
        <v>0</v>
      </c>
      <c r="I13" s="140"/>
      <c r="J13" s="139">
        <v>1</v>
      </c>
      <c r="K13" s="140"/>
      <c r="L13" s="30">
        <v>1</v>
      </c>
    </row>
    <row r="14" spans="1:12" s="34" customFormat="1" ht="25.5" customHeight="1">
      <c r="A14" s="31" t="s">
        <v>88</v>
      </c>
      <c r="B14" s="139"/>
      <c r="C14" s="142"/>
      <c r="D14" s="142"/>
      <c r="E14" s="140"/>
      <c r="F14" s="139"/>
      <c r="G14" s="140"/>
      <c r="H14" s="139">
        <v>1</v>
      </c>
      <c r="I14" s="140"/>
      <c r="J14" s="139">
        <v>0</v>
      </c>
      <c r="K14" s="140"/>
      <c r="L14" s="69">
        <v>0</v>
      </c>
    </row>
    <row r="15" spans="1:12" s="34" customFormat="1" ht="25.5" customHeight="1">
      <c r="A15" s="56" t="s">
        <v>131</v>
      </c>
      <c r="B15" s="139" t="s">
        <v>103</v>
      </c>
      <c r="C15" s="142"/>
      <c r="D15" s="142"/>
      <c r="E15" s="140"/>
      <c r="F15" s="139">
        <v>1</v>
      </c>
      <c r="G15" s="140"/>
      <c r="H15" s="139">
        <v>0</v>
      </c>
      <c r="I15" s="140"/>
      <c r="J15" s="139">
        <v>1</v>
      </c>
      <c r="K15" s="140"/>
      <c r="L15" s="57">
        <v>1</v>
      </c>
    </row>
    <row r="16" spans="1:12" s="34" customFormat="1" ht="25.5" customHeight="1">
      <c r="A16" s="56" t="s">
        <v>106</v>
      </c>
      <c r="B16" s="139"/>
      <c r="C16" s="142"/>
      <c r="D16" s="142"/>
      <c r="E16" s="140"/>
      <c r="F16" s="139"/>
      <c r="G16" s="140"/>
      <c r="H16" s="139">
        <v>1</v>
      </c>
      <c r="I16" s="140"/>
      <c r="J16" s="139">
        <v>0</v>
      </c>
      <c r="K16" s="140"/>
      <c r="L16" s="68">
        <v>0</v>
      </c>
    </row>
    <row r="17" spans="1:12" s="34" customFormat="1" ht="25.5" customHeight="1">
      <c r="A17" s="56" t="s">
        <v>133</v>
      </c>
      <c r="B17" s="139" t="s">
        <v>132</v>
      </c>
      <c r="C17" s="142"/>
      <c r="D17" s="142"/>
      <c r="E17" s="140"/>
      <c r="F17" s="139">
        <v>1</v>
      </c>
      <c r="G17" s="140"/>
      <c r="H17" s="139">
        <v>1</v>
      </c>
      <c r="I17" s="140"/>
      <c r="J17" s="139">
        <f t="shared" ref="J17" si="0">F17-H17</f>
        <v>0</v>
      </c>
      <c r="K17" s="140"/>
      <c r="L17" s="70">
        <v>1</v>
      </c>
    </row>
    <row r="18" spans="1:12" s="34" customFormat="1" ht="25.5" customHeight="1">
      <c r="A18" s="56" t="s">
        <v>134</v>
      </c>
      <c r="B18" s="139"/>
      <c r="C18" s="142"/>
      <c r="D18" s="142"/>
      <c r="E18" s="140"/>
      <c r="F18" s="139"/>
      <c r="G18" s="140"/>
      <c r="H18" s="139">
        <v>1</v>
      </c>
      <c r="I18" s="140"/>
      <c r="J18" s="139">
        <v>0</v>
      </c>
      <c r="K18" s="140"/>
      <c r="L18" s="68">
        <v>0</v>
      </c>
    </row>
    <row r="19" spans="1:12" s="32" customFormat="1">
      <c r="A19" s="35" t="s">
        <v>83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1:12" ht="18.95" customHeight="1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</row>
    <row r="21" spans="1:12" s="23" customFormat="1">
      <c r="C21" s="38"/>
      <c r="H21" s="23" t="s">
        <v>84</v>
      </c>
    </row>
    <row r="22" spans="1:12" s="23" customFormat="1">
      <c r="C22" s="38"/>
    </row>
    <row r="23" spans="1:12">
      <c r="H23" s="72" t="s">
        <v>85</v>
      </c>
      <c r="I23" s="71"/>
    </row>
    <row r="24" spans="1:12">
      <c r="H24" s="28" t="s">
        <v>86</v>
      </c>
    </row>
    <row r="25" spans="1:12">
      <c r="H25" s="143" t="s">
        <v>87</v>
      </c>
      <c r="I25" s="143"/>
    </row>
  </sheetData>
  <mergeCells count="38">
    <mergeCell ref="H25:I25"/>
    <mergeCell ref="B14:E14"/>
    <mergeCell ref="F14:G14"/>
    <mergeCell ref="H14:I14"/>
    <mergeCell ref="B15:E15"/>
    <mergeCell ref="F15:G15"/>
    <mergeCell ref="H15:I15"/>
    <mergeCell ref="B16:E16"/>
    <mergeCell ref="F16:G16"/>
    <mergeCell ref="H16:I16"/>
    <mergeCell ref="B17:E17"/>
    <mergeCell ref="F17:G17"/>
    <mergeCell ref="H17:I17"/>
    <mergeCell ref="B18:E18"/>
    <mergeCell ref="F18:G18"/>
    <mergeCell ref="J14:K14"/>
    <mergeCell ref="A20:L20"/>
    <mergeCell ref="B13:E13"/>
    <mergeCell ref="F13:G13"/>
    <mergeCell ref="H13:I13"/>
    <mergeCell ref="J13:K13"/>
    <mergeCell ref="J15:K15"/>
    <mergeCell ref="J16:K16"/>
    <mergeCell ref="J17:K17"/>
    <mergeCell ref="H18:I18"/>
    <mergeCell ref="J18:K18"/>
    <mergeCell ref="H12:I12"/>
    <mergeCell ref="J12:K12"/>
    <mergeCell ref="A2:L2"/>
    <mergeCell ref="A3:L3"/>
    <mergeCell ref="A4:L4"/>
    <mergeCell ref="A5:L5"/>
    <mergeCell ref="A10:L10"/>
    <mergeCell ref="A11:A12"/>
    <mergeCell ref="B11:K11"/>
    <mergeCell ref="L11:L12"/>
    <mergeCell ref="B12:E12"/>
    <mergeCell ref="F12:G12"/>
  </mergeCells>
  <phoneticPr fontId="35" type="noConversion"/>
  <pageMargins left="0.7" right="0.7" top="0.75" bottom="0.75" header="0.3" footer="0.3"/>
  <pageSetup paperSize="9" scale="68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4367-01F5-4927-A525-AA4E7FA93E25}">
  <sheetPr>
    <pageSetUpPr fitToPage="1"/>
  </sheetPr>
  <dimension ref="A1:M24"/>
  <sheetViews>
    <sheetView view="pageBreakPreview" topLeftCell="A11" zoomScale="93" zoomScaleNormal="100" zoomScaleSheetLayoutView="93" workbookViewId="0">
      <selection activeCell="B19" sqref="B19"/>
    </sheetView>
  </sheetViews>
  <sheetFormatPr defaultColWidth="8.7109375" defaultRowHeight="15"/>
  <cols>
    <col min="1" max="1" width="27.5703125" style="43" customWidth="1"/>
    <col min="2" max="2" width="18.5703125" style="43" customWidth="1"/>
    <col min="3" max="5" width="8.7109375" style="43"/>
    <col min="6" max="6" width="10.85546875" style="43" customWidth="1"/>
    <col min="7" max="7" width="8.7109375" style="43"/>
    <col min="8" max="9" width="7.5703125" style="43" customWidth="1"/>
    <col min="10" max="10" width="5.140625" style="43" customWidth="1"/>
    <col min="11" max="11" width="7.140625" style="43" customWidth="1"/>
    <col min="12" max="12" width="3.85546875" style="43" customWidth="1"/>
    <col min="13" max="13" width="8" style="43" customWidth="1"/>
    <col min="14" max="16384" width="8.7109375" style="43"/>
  </cols>
  <sheetData>
    <row r="1" spans="1:13" s="39" customFormat="1" ht="52.5" customHeight="1"/>
    <row r="2" spans="1:13" s="39" customFormat="1" ht="10.5" customHeight="1">
      <c r="A2" s="164" t="s">
        <v>47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</row>
    <row r="3" spans="1:13" s="39" customFormat="1" ht="15.95" customHeight="1">
      <c r="A3" s="164" t="s">
        <v>48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</row>
    <row r="4" spans="1:13" s="39" customFormat="1" ht="15.95" customHeight="1">
      <c r="A4" s="164" t="s">
        <v>49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</row>
    <row r="5" spans="1:13" s="39" customFormat="1" ht="15.95" customHeight="1">
      <c r="A5" s="164" t="s">
        <v>50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</row>
    <row r="6" spans="1:13" s="39" customFormat="1" ht="8.25" customHeight="1"/>
    <row r="7" spans="1:13" s="39" customFormat="1" ht="12" customHeight="1">
      <c r="A7" s="39" t="s">
        <v>51</v>
      </c>
      <c r="B7" s="147" t="s">
        <v>52</v>
      </c>
      <c r="C7" s="147"/>
      <c r="D7" s="147"/>
      <c r="H7" s="40" t="s">
        <v>0</v>
      </c>
      <c r="I7" s="165"/>
      <c r="J7" s="165"/>
      <c r="K7" s="40"/>
    </row>
    <row r="8" spans="1:13" s="39" customFormat="1" ht="12" customHeight="1">
      <c r="B8" s="41"/>
      <c r="C8" s="41"/>
      <c r="H8" s="41"/>
      <c r="I8" s="41"/>
      <c r="J8" s="41"/>
      <c r="K8" s="41"/>
    </row>
    <row r="9" spans="1:13" s="39" customFormat="1" ht="12" customHeight="1">
      <c r="A9" s="39" t="s">
        <v>53</v>
      </c>
      <c r="B9" s="147" t="s">
        <v>54</v>
      </c>
      <c r="C9" s="147"/>
      <c r="D9" s="147"/>
      <c r="H9" s="40" t="s">
        <v>1</v>
      </c>
      <c r="I9" s="42"/>
      <c r="J9" s="42"/>
      <c r="K9" s="40"/>
    </row>
    <row r="10" spans="1:13" ht="16.5" customHeight="1" thickBot="1">
      <c r="A10" s="148" t="s">
        <v>89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</row>
    <row r="11" spans="1:13" s="44" customFormat="1" ht="18.75" customHeight="1">
      <c r="A11" s="149" t="s">
        <v>90</v>
      </c>
      <c r="B11" s="152" t="s">
        <v>3</v>
      </c>
      <c r="C11" s="155" t="s">
        <v>91</v>
      </c>
      <c r="D11" s="156"/>
      <c r="E11" s="155" t="s">
        <v>92</v>
      </c>
      <c r="F11" s="156"/>
      <c r="G11" s="155" t="s">
        <v>78</v>
      </c>
      <c r="H11" s="156"/>
      <c r="I11" s="155" t="s">
        <v>79</v>
      </c>
      <c r="J11" s="156"/>
      <c r="K11" s="155" t="s">
        <v>80</v>
      </c>
      <c r="L11" s="156"/>
      <c r="M11" s="161" t="s">
        <v>7</v>
      </c>
    </row>
    <row r="12" spans="1:13" s="44" customFormat="1" ht="18.75" customHeight="1">
      <c r="A12" s="150"/>
      <c r="B12" s="153"/>
      <c r="C12" s="157"/>
      <c r="D12" s="158"/>
      <c r="E12" s="157"/>
      <c r="F12" s="158"/>
      <c r="G12" s="157"/>
      <c r="H12" s="158"/>
      <c r="I12" s="157"/>
      <c r="J12" s="158"/>
      <c r="K12" s="157"/>
      <c r="L12" s="158"/>
      <c r="M12" s="162"/>
    </row>
    <row r="13" spans="1:13" s="44" customFormat="1" ht="24" customHeight="1">
      <c r="A13" s="151"/>
      <c r="B13" s="154"/>
      <c r="C13" s="159"/>
      <c r="D13" s="160"/>
      <c r="E13" s="159"/>
      <c r="F13" s="160"/>
      <c r="G13" s="159"/>
      <c r="H13" s="160"/>
      <c r="I13" s="159"/>
      <c r="J13" s="160"/>
      <c r="K13" s="159"/>
      <c r="L13" s="160"/>
      <c r="M13" s="163"/>
    </row>
    <row r="14" spans="1:13" s="44" customFormat="1" ht="32.1" customHeight="1">
      <c r="A14" s="45" t="s">
        <v>93</v>
      </c>
      <c r="B14" s="46" t="s">
        <v>94</v>
      </c>
      <c r="C14" s="144" t="s">
        <v>95</v>
      </c>
      <c r="D14" s="145"/>
      <c r="E14" s="144"/>
      <c r="F14" s="145"/>
      <c r="G14" s="144">
        <v>5</v>
      </c>
      <c r="H14" s="146"/>
      <c r="I14" s="144">
        <v>0</v>
      </c>
      <c r="J14" s="146"/>
      <c r="K14" s="144">
        <f>G14-I14</f>
        <v>5</v>
      </c>
      <c r="L14" s="146"/>
      <c r="M14" s="47">
        <v>5</v>
      </c>
    </row>
    <row r="15" spans="1:13" s="49" customFormat="1" ht="39" customHeight="1">
      <c r="A15" s="45"/>
      <c r="B15" s="48" t="s">
        <v>96</v>
      </c>
      <c r="C15" s="144" t="s">
        <v>95</v>
      </c>
      <c r="D15" s="145"/>
      <c r="E15" s="144"/>
      <c r="F15" s="145"/>
      <c r="G15" s="144">
        <v>5</v>
      </c>
      <c r="H15" s="146"/>
      <c r="I15" s="144">
        <v>2</v>
      </c>
      <c r="J15" s="146"/>
      <c r="K15" s="144">
        <f>G15-I15</f>
        <v>3</v>
      </c>
      <c r="L15" s="146"/>
      <c r="M15" s="47">
        <v>3</v>
      </c>
    </row>
    <row r="16" spans="1:13" s="49" customFormat="1" ht="39" customHeight="1">
      <c r="A16" s="45"/>
      <c r="B16" s="53" t="s">
        <v>98</v>
      </c>
      <c r="C16" s="144" t="s">
        <v>95</v>
      </c>
      <c r="D16" s="145"/>
      <c r="E16" s="144"/>
      <c r="F16" s="145"/>
      <c r="G16" s="144">
        <v>3</v>
      </c>
      <c r="H16" s="146"/>
      <c r="I16" s="144">
        <v>2</v>
      </c>
      <c r="J16" s="146"/>
      <c r="K16" s="144">
        <f>G16-I16</f>
        <v>1</v>
      </c>
      <c r="L16" s="146"/>
      <c r="M16" s="47">
        <v>1</v>
      </c>
    </row>
    <row r="17" spans="1:13" s="49" customFormat="1" ht="39" customHeight="1">
      <c r="A17" s="54"/>
      <c r="B17" s="55" t="s">
        <v>102</v>
      </c>
      <c r="C17" s="144" t="s">
        <v>95</v>
      </c>
      <c r="D17" s="145"/>
      <c r="E17" s="144"/>
      <c r="F17" s="145"/>
      <c r="G17" s="144">
        <v>1</v>
      </c>
      <c r="H17" s="146"/>
      <c r="I17" s="144">
        <v>1</v>
      </c>
      <c r="J17" s="146"/>
      <c r="K17" s="144">
        <v>0</v>
      </c>
      <c r="L17" s="146"/>
      <c r="M17" s="63">
        <v>0</v>
      </c>
    </row>
    <row r="18" spans="1:13" s="49" customFormat="1" ht="39" customHeight="1">
      <c r="A18" s="64" t="s">
        <v>124</v>
      </c>
      <c r="B18" s="64" t="s">
        <v>125</v>
      </c>
      <c r="C18" s="144"/>
      <c r="D18" s="145"/>
      <c r="E18" s="144" t="s">
        <v>126</v>
      </c>
      <c r="F18" s="145"/>
      <c r="G18" s="144">
        <v>5</v>
      </c>
      <c r="H18" s="146"/>
      <c r="I18" s="144">
        <v>0</v>
      </c>
      <c r="J18" s="146"/>
      <c r="K18" s="144">
        <v>5</v>
      </c>
      <c r="L18" s="146"/>
      <c r="M18" s="65">
        <v>5</v>
      </c>
    </row>
    <row r="19" spans="1:13" s="49" customFormat="1" ht="39" customHeight="1">
      <c r="A19" s="54"/>
      <c r="B19" s="64" t="s">
        <v>127</v>
      </c>
      <c r="C19" s="144"/>
      <c r="D19" s="145"/>
      <c r="E19" s="144"/>
      <c r="F19" s="145"/>
      <c r="G19" s="144"/>
      <c r="H19" s="146"/>
      <c r="I19" s="144">
        <v>1</v>
      </c>
      <c r="J19" s="146"/>
      <c r="K19" s="144">
        <v>4</v>
      </c>
      <c r="L19" s="146"/>
      <c r="M19" s="65">
        <v>4</v>
      </c>
    </row>
    <row r="20" spans="1:13" s="49" customFormat="1" ht="39" customHeight="1">
      <c r="A20" s="54"/>
      <c r="B20" s="66" t="s">
        <v>128</v>
      </c>
      <c r="C20" s="144"/>
      <c r="D20" s="145"/>
      <c r="E20" s="144"/>
      <c r="F20" s="145"/>
      <c r="G20" s="144"/>
      <c r="H20" s="146"/>
      <c r="I20" s="144">
        <v>2</v>
      </c>
      <c r="J20" s="146"/>
      <c r="K20" s="144">
        <v>2</v>
      </c>
      <c r="L20" s="146"/>
      <c r="M20" s="65">
        <v>2</v>
      </c>
    </row>
    <row r="21" spans="1:13" s="49" customFormat="1" ht="39" customHeight="1">
      <c r="A21" s="54"/>
      <c r="B21" s="67" t="s">
        <v>130</v>
      </c>
      <c r="C21" s="144"/>
      <c r="D21" s="145"/>
      <c r="E21" s="144"/>
      <c r="F21" s="145"/>
      <c r="G21" s="144"/>
      <c r="H21" s="146"/>
      <c r="I21" s="144">
        <v>2</v>
      </c>
      <c r="J21" s="146"/>
      <c r="K21" s="144">
        <v>0</v>
      </c>
      <c r="L21" s="146"/>
      <c r="M21" s="63">
        <v>0</v>
      </c>
    </row>
    <row r="22" spans="1:13" s="39" customFormat="1" ht="75.75" customHeight="1">
      <c r="A22" s="50"/>
      <c r="B22" s="50"/>
      <c r="D22" s="51"/>
      <c r="M22" s="50"/>
    </row>
    <row r="23" spans="1:13" s="39" customFormat="1">
      <c r="D23" s="51"/>
    </row>
    <row r="24" spans="1:13" s="39" customFormat="1">
      <c r="D24" s="51"/>
    </row>
  </sheetData>
  <mergeCells count="56"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A2:K2"/>
    <mergeCell ref="A3:K3"/>
    <mergeCell ref="A4:K4"/>
    <mergeCell ref="A5:K5"/>
    <mergeCell ref="B7:D7"/>
    <mergeCell ref="I7:J7"/>
    <mergeCell ref="B9:D9"/>
    <mergeCell ref="A10:M10"/>
    <mergeCell ref="A11:A13"/>
    <mergeCell ref="B11:B13"/>
    <mergeCell ref="C11:D13"/>
    <mergeCell ref="E11:F13"/>
    <mergeCell ref="G11:H13"/>
    <mergeCell ref="I11:J13"/>
    <mergeCell ref="K11:L13"/>
    <mergeCell ref="M11:M13"/>
    <mergeCell ref="C15:D15"/>
    <mergeCell ref="E15:F15"/>
    <mergeCell ref="G15:H15"/>
    <mergeCell ref="I15:J15"/>
    <mergeCell ref="K15:L15"/>
    <mergeCell ref="C14:D14"/>
    <mergeCell ref="E14:F14"/>
    <mergeCell ref="G14:H14"/>
    <mergeCell ref="I14:J14"/>
    <mergeCell ref="K14:L14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</mergeCells>
  <phoneticPr fontId="35" type="noConversion"/>
  <pageMargins left="0.7" right="0.7" top="0.75" bottom="0.75" header="0.3" footer="0.3"/>
  <pageSetup paperSize="9" scale="63" fitToHeight="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9618-2812-4080-BC1A-C60F0736C1DB}">
  <dimension ref="A1:G21"/>
  <sheetViews>
    <sheetView view="pageBreakPreview" zoomScaleNormal="100" zoomScaleSheetLayoutView="100" workbookViewId="0">
      <selection activeCell="D12" sqref="D12"/>
    </sheetView>
  </sheetViews>
  <sheetFormatPr defaultRowHeight="15"/>
  <cols>
    <col min="1" max="1" width="9.140625" style="78"/>
    <col min="2" max="2" width="18.140625" style="78" customWidth="1"/>
    <col min="3" max="3" width="19.5703125" style="78" customWidth="1"/>
    <col min="4" max="4" width="56.42578125" style="78" customWidth="1"/>
    <col min="5" max="5" width="12.42578125" style="78" customWidth="1"/>
    <col min="6" max="6" width="13.42578125" style="78" customWidth="1"/>
    <col min="7" max="7" width="15.140625" style="78" customWidth="1"/>
    <col min="8" max="16384" width="9.140625" style="78"/>
  </cols>
  <sheetData>
    <row r="1" spans="1:7" ht="58.5" customHeight="1"/>
    <row r="2" spans="1:7" ht="15.95" customHeight="1">
      <c r="A2" s="167" t="s">
        <v>47</v>
      </c>
      <c r="B2" s="168"/>
      <c r="C2" s="168"/>
      <c r="D2" s="168"/>
      <c r="E2" s="168"/>
      <c r="F2" s="168"/>
      <c r="G2" s="168"/>
    </row>
    <row r="3" spans="1:7" ht="15.95" customHeight="1">
      <c r="A3" s="168" t="s">
        <v>48</v>
      </c>
      <c r="B3" s="168"/>
      <c r="C3" s="168"/>
      <c r="D3" s="168"/>
      <c r="E3" s="168"/>
      <c r="F3" s="168"/>
      <c r="G3" s="168"/>
    </row>
    <row r="4" spans="1:7" ht="15.95" customHeight="1">
      <c r="A4" s="168" t="s">
        <v>49</v>
      </c>
      <c r="B4" s="168"/>
      <c r="C4" s="168"/>
      <c r="D4" s="168"/>
      <c r="E4" s="168"/>
      <c r="F4" s="168"/>
      <c r="G4" s="168"/>
    </row>
    <row r="5" spans="1:7" ht="15.95" customHeight="1">
      <c r="A5" s="168" t="s">
        <v>50</v>
      </c>
      <c r="B5" s="168"/>
      <c r="C5" s="168"/>
      <c r="D5" s="168"/>
      <c r="E5" s="168"/>
      <c r="F5" s="168"/>
      <c r="G5" s="168"/>
    </row>
    <row r="6" spans="1:7" ht="19.5" customHeight="1">
      <c r="A6" s="169"/>
      <c r="B6" s="169"/>
      <c r="C6" s="169"/>
      <c r="D6" s="169"/>
      <c r="E6" s="169"/>
      <c r="F6" s="169"/>
      <c r="G6" s="169"/>
    </row>
    <row r="7" spans="1:7" ht="12" customHeight="1">
      <c r="A7" s="80" t="s">
        <v>153</v>
      </c>
      <c r="B7" s="81" t="s">
        <v>154</v>
      </c>
      <c r="C7" s="82"/>
      <c r="D7" s="82"/>
      <c r="E7" s="83" t="s">
        <v>0</v>
      </c>
      <c r="F7" s="84"/>
      <c r="G7" s="85"/>
    </row>
    <row r="8" spans="1:7" ht="12" customHeight="1">
      <c r="A8" s="80"/>
      <c r="B8" s="86"/>
      <c r="C8" s="87"/>
      <c r="D8" s="87"/>
      <c r="E8" s="88"/>
      <c r="F8" s="80"/>
      <c r="G8" s="80"/>
    </row>
    <row r="9" spans="1:7" ht="12" customHeight="1">
      <c r="A9" s="80" t="s">
        <v>155</v>
      </c>
      <c r="B9" s="81" t="s">
        <v>156</v>
      </c>
      <c r="C9" s="82"/>
      <c r="D9" s="87"/>
      <c r="E9" s="83" t="s">
        <v>1</v>
      </c>
      <c r="F9" s="89"/>
      <c r="G9" s="85"/>
    </row>
    <row r="10" spans="1:7" ht="24.75" customHeight="1" thickBot="1">
      <c r="A10" s="166" t="s">
        <v>157</v>
      </c>
      <c r="B10" s="166"/>
      <c r="C10" s="166"/>
      <c r="D10" s="166"/>
      <c r="E10" s="166"/>
      <c r="F10" s="166"/>
      <c r="G10" s="166"/>
    </row>
    <row r="11" spans="1:7" s="79" customFormat="1" ht="29.25" customHeight="1">
      <c r="A11" s="173" t="s">
        <v>158</v>
      </c>
      <c r="B11" s="174"/>
      <c r="C11" s="90" t="s">
        <v>159</v>
      </c>
      <c r="D11" s="91" t="s">
        <v>160</v>
      </c>
      <c r="E11" s="90" t="s">
        <v>161</v>
      </c>
      <c r="F11" s="90" t="s">
        <v>162</v>
      </c>
      <c r="G11" s="92" t="s">
        <v>6</v>
      </c>
    </row>
    <row r="12" spans="1:7" ht="44.25" customHeight="1">
      <c r="A12" s="175" t="s">
        <v>163</v>
      </c>
      <c r="B12" s="176"/>
      <c r="C12" s="93" t="s">
        <v>164</v>
      </c>
      <c r="D12" s="93" t="s">
        <v>165</v>
      </c>
      <c r="E12" s="94">
        <v>1</v>
      </c>
      <c r="F12" s="95">
        <v>1</v>
      </c>
      <c r="G12" s="96">
        <f>E12-F12</f>
        <v>0</v>
      </c>
    </row>
    <row r="13" spans="1:7">
      <c r="A13" s="177" t="s">
        <v>166</v>
      </c>
      <c r="B13" s="178"/>
      <c r="C13" s="178"/>
      <c r="D13" s="178"/>
      <c r="E13" s="178"/>
      <c r="F13" s="178"/>
      <c r="G13" s="179"/>
    </row>
    <row r="14" spans="1:7">
      <c r="A14" s="177" t="s">
        <v>167</v>
      </c>
      <c r="B14" s="178"/>
      <c r="C14" s="178"/>
      <c r="D14" s="178"/>
      <c r="E14" s="178"/>
      <c r="F14" s="178"/>
      <c r="G14" s="179"/>
    </row>
    <row r="15" spans="1:7" s="98" customFormat="1" ht="30" customHeight="1" thickBot="1">
      <c r="A15" s="180" t="s">
        <v>168</v>
      </c>
      <c r="B15" s="181"/>
      <c r="C15" s="181"/>
      <c r="D15" s="181"/>
      <c r="E15" s="181"/>
      <c r="F15" s="182"/>
      <c r="G15" s="97">
        <f>G12</f>
        <v>0</v>
      </c>
    </row>
    <row r="16" spans="1:7" ht="10.5" customHeight="1">
      <c r="A16" s="99"/>
      <c r="B16" s="99"/>
      <c r="C16" s="100"/>
      <c r="D16" s="100"/>
      <c r="E16" s="100"/>
      <c r="F16" s="100"/>
      <c r="G16" s="100"/>
    </row>
    <row r="17" spans="1:7" ht="18.75" customHeight="1">
      <c r="A17" s="183" t="s">
        <v>169</v>
      </c>
      <c r="B17" s="183"/>
      <c r="C17" s="100"/>
      <c r="D17" s="100"/>
      <c r="E17" s="100"/>
      <c r="F17" s="100"/>
      <c r="G17" s="100"/>
    </row>
    <row r="18" spans="1:7" ht="18.75" customHeight="1">
      <c r="A18" s="170"/>
      <c r="B18" s="170"/>
      <c r="C18" s="100"/>
      <c r="D18" s="100"/>
      <c r="E18" s="100"/>
      <c r="F18" s="100"/>
      <c r="G18" s="100"/>
    </row>
    <row r="19" spans="1:7" ht="18.75" customHeight="1">
      <c r="A19" s="171" t="s">
        <v>85</v>
      </c>
      <c r="B19" s="171"/>
      <c r="C19" s="171"/>
      <c r="D19" s="100"/>
      <c r="E19" s="100"/>
      <c r="F19" s="100"/>
      <c r="G19" s="100"/>
    </row>
    <row r="20" spans="1:7" ht="18.75" customHeight="1">
      <c r="A20" s="172" t="s">
        <v>86</v>
      </c>
      <c r="B20" s="172"/>
      <c r="C20" s="172"/>
      <c r="D20" s="100"/>
      <c r="E20" s="100"/>
      <c r="F20" s="100"/>
      <c r="G20" s="100"/>
    </row>
    <row r="21" spans="1:7" ht="18.75" customHeight="1">
      <c r="A21" s="172" t="s">
        <v>87</v>
      </c>
      <c r="B21" s="172"/>
      <c r="C21" s="100"/>
      <c r="D21" s="100"/>
      <c r="E21" s="100"/>
      <c r="F21" s="100"/>
      <c r="G21" s="100"/>
    </row>
  </sheetData>
  <mergeCells count="16">
    <mergeCell ref="A18:B18"/>
    <mergeCell ref="A19:C19"/>
    <mergeCell ref="A20:C20"/>
    <mergeCell ref="A21:B21"/>
    <mergeCell ref="A11:B11"/>
    <mergeCell ref="A12:B12"/>
    <mergeCell ref="A13:G13"/>
    <mergeCell ref="A14:G14"/>
    <mergeCell ref="A15:F15"/>
    <mergeCell ref="A17:B17"/>
    <mergeCell ref="A10:G10"/>
    <mergeCell ref="A2:G2"/>
    <mergeCell ref="A3:G3"/>
    <mergeCell ref="A4:G4"/>
    <mergeCell ref="A5:G5"/>
    <mergeCell ref="A6:G6"/>
  </mergeCells>
  <printOptions horizontalCentered="1"/>
  <pageMargins left="0.23622047244094491" right="0.23622047244094491" top="0.23622047244094491" bottom="0.23622047244094491" header="0.31496062992125984" footer="0.31496062992125984"/>
  <pageSetup paperSize="9" scale="99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0"/>
  <sheetViews>
    <sheetView view="pageBreakPreview" topLeftCell="A82" zoomScaleNormal="100" workbookViewId="0">
      <selection activeCell="D22" sqref="D22"/>
    </sheetView>
  </sheetViews>
  <sheetFormatPr defaultColWidth="9" defaultRowHeight="15"/>
  <cols>
    <col min="1" max="1" width="32.28515625" customWidth="1"/>
    <col min="2" max="10" width="11.5703125" customWidth="1"/>
    <col min="11" max="11" width="26.42578125" style="3" customWidth="1"/>
  </cols>
  <sheetData>
    <row r="1" spans="1:11" s="1" customFormat="1" ht="52.5" customHeight="1"/>
    <row r="2" spans="1:11" s="1" customFormat="1" ht="10.5" customHeight="1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</row>
    <row r="3" spans="1:11" s="1" customFormat="1" ht="15.95" customHeight="1">
      <c r="A3" s="127" t="s">
        <v>48</v>
      </c>
      <c r="B3" s="127"/>
      <c r="C3" s="127"/>
      <c r="D3" s="127"/>
      <c r="E3" s="127"/>
      <c r="F3" s="127"/>
      <c r="G3" s="127"/>
      <c r="H3" s="127"/>
      <c r="I3" s="127"/>
      <c r="J3" s="127"/>
    </row>
    <row r="4" spans="1:11" s="1" customFormat="1" ht="15.95" customHeight="1">
      <c r="A4" s="127" t="s">
        <v>49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1" s="1" customFormat="1" ht="15.95" customHeight="1">
      <c r="A5" s="127" t="s">
        <v>50</v>
      </c>
      <c r="B5" s="127"/>
      <c r="C5" s="127"/>
      <c r="D5" s="127"/>
      <c r="E5" s="127"/>
      <c r="F5" s="127"/>
      <c r="G5" s="127"/>
      <c r="H5" s="127"/>
      <c r="I5" s="127"/>
      <c r="J5" s="127"/>
    </row>
    <row r="6" spans="1:11" s="1" customFormat="1" ht="8.25" customHeight="1"/>
    <row r="7" spans="1:11" s="1" customFormat="1" ht="12" customHeight="1">
      <c r="A7" s="1" t="s">
        <v>51</v>
      </c>
      <c r="B7" s="126" t="s">
        <v>52</v>
      </c>
      <c r="C7" s="126"/>
      <c r="D7" s="126"/>
      <c r="H7" s="6" t="s">
        <v>0</v>
      </c>
      <c r="I7" s="7"/>
      <c r="J7" s="6"/>
    </row>
    <row r="8" spans="1:11" s="1" customFormat="1" ht="12" customHeight="1">
      <c r="B8" s="8"/>
      <c r="C8" s="8"/>
      <c r="H8" s="8"/>
      <c r="I8" s="8"/>
      <c r="J8" s="8"/>
    </row>
    <row r="9" spans="1:11" s="1" customFormat="1" ht="12" customHeight="1">
      <c r="A9" s="1" t="s">
        <v>53</v>
      </c>
      <c r="B9" s="126" t="s">
        <v>54</v>
      </c>
      <c r="C9" s="126"/>
      <c r="D9" s="126"/>
      <c r="H9" s="6" t="s">
        <v>1</v>
      </c>
      <c r="I9" s="9"/>
      <c r="J9" s="6"/>
    </row>
    <row r="10" spans="1:11" ht="16.5" customHeight="1" thickBot="1">
      <c r="A10" s="116" t="s">
        <v>2</v>
      </c>
      <c r="B10" s="116"/>
      <c r="C10" s="116"/>
      <c r="D10" s="116"/>
      <c r="E10" s="116"/>
      <c r="F10" s="116"/>
      <c r="G10" s="116"/>
      <c r="H10" s="116"/>
      <c r="I10" s="116"/>
      <c r="J10" s="116"/>
      <c r="K10"/>
    </row>
    <row r="11" spans="1:11" ht="18.75" customHeight="1">
      <c r="A11" s="117" t="s">
        <v>3</v>
      </c>
      <c r="B11" s="119" t="s">
        <v>4</v>
      </c>
      <c r="C11" s="119"/>
      <c r="D11" s="120" t="s">
        <v>5</v>
      </c>
      <c r="E11" s="121"/>
      <c r="F11" s="121"/>
      <c r="G11" s="122"/>
      <c r="H11" s="123" t="s">
        <v>6</v>
      </c>
      <c r="I11" s="123"/>
      <c r="J11" s="124" t="s">
        <v>7</v>
      </c>
      <c r="K11" s="115" t="s">
        <v>8</v>
      </c>
    </row>
    <row r="12" spans="1:11" ht="18.75" customHeight="1">
      <c r="A12" s="118"/>
      <c r="B12" s="4" t="s">
        <v>9</v>
      </c>
      <c r="C12" s="4" t="s">
        <v>10</v>
      </c>
      <c r="D12" s="4" t="s">
        <v>9</v>
      </c>
      <c r="E12" s="4" t="s">
        <v>10</v>
      </c>
      <c r="F12" s="4" t="s">
        <v>11</v>
      </c>
      <c r="G12" s="4" t="s">
        <v>38</v>
      </c>
      <c r="H12" s="4" t="s">
        <v>9</v>
      </c>
      <c r="I12" s="4" t="s">
        <v>10</v>
      </c>
      <c r="J12" s="125"/>
      <c r="K12" s="115"/>
    </row>
    <row r="13" spans="1:11" ht="15.95" customHeight="1">
      <c r="A13" s="10" t="s">
        <v>55</v>
      </c>
      <c r="B13" s="11">
        <v>0.20799999999999999</v>
      </c>
      <c r="C13" s="11">
        <v>0.20799999999999999</v>
      </c>
      <c r="D13" s="11"/>
      <c r="E13" s="11"/>
      <c r="F13" s="11"/>
      <c r="G13" s="11"/>
      <c r="H13" s="11">
        <f>B13</f>
        <v>0.20799999999999999</v>
      </c>
      <c r="I13" s="11">
        <f>C13</f>
        <v>0.20799999999999999</v>
      </c>
      <c r="J13" s="12">
        <f t="shared" ref="J13:J16" si="0">SUM(H13:I13)</f>
        <v>0.41599999999999998</v>
      </c>
    </row>
    <row r="14" spans="1:11" ht="15.95" customHeight="1">
      <c r="A14" s="10" t="s">
        <v>56</v>
      </c>
      <c r="B14" s="11">
        <v>11.25</v>
      </c>
      <c r="C14" s="11">
        <v>11.25</v>
      </c>
      <c r="D14" s="11"/>
      <c r="E14" s="11"/>
      <c r="F14" s="11"/>
      <c r="G14" s="11"/>
      <c r="H14" s="11">
        <f t="shared" ref="H14:H16" si="1">H13-F14-D14+B14</f>
        <v>11.458</v>
      </c>
      <c r="I14" s="11">
        <f t="shared" ref="I14:I16" si="2">I13-E14+C14</f>
        <v>11.458</v>
      </c>
      <c r="J14" s="12">
        <f t="shared" si="0"/>
        <v>22.916</v>
      </c>
    </row>
    <row r="15" spans="1:11" ht="15.95" customHeight="1">
      <c r="A15" s="10" t="s">
        <v>57</v>
      </c>
      <c r="B15" s="11"/>
      <c r="C15" s="11"/>
      <c r="D15" s="11"/>
      <c r="E15" s="11"/>
      <c r="F15" s="11">
        <v>1</v>
      </c>
      <c r="G15" s="11"/>
      <c r="H15" s="11">
        <f t="shared" si="1"/>
        <v>10.458</v>
      </c>
      <c r="I15" s="11">
        <f t="shared" si="2"/>
        <v>11.458</v>
      </c>
      <c r="J15" s="12">
        <f t="shared" si="0"/>
        <v>21.916</v>
      </c>
    </row>
    <row r="16" spans="1:11" ht="15.95" customHeight="1">
      <c r="A16" s="10" t="s">
        <v>58</v>
      </c>
      <c r="B16" s="11"/>
      <c r="C16" s="11"/>
      <c r="D16" s="11"/>
      <c r="E16" s="11"/>
      <c r="F16" s="11">
        <v>1</v>
      </c>
      <c r="G16" s="11"/>
      <c r="H16" s="11">
        <f t="shared" si="1"/>
        <v>9.4580000000000002</v>
      </c>
      <c r="I16" s="11">
        <f t="shared" si="2"/>
        <v>11.458</v>
      </c>
      <c r="J16" s="12">
        <f t="shared" si="0"/>
        <v>20.916</v>
      </c>
    </row>
    <row r="17" spans="1:10" ht="15.95" customHeight="1">
      <c r="A17" s="108" t="s">
        <v>135</v>
      </c>
      <c r="B17" s="107"/>
      <c r="C17" s="107"/>
      <c r="D17" s="107"/>
      <c r="E17" s="107"/>
      <c r="F17" s="107">
        <v>3</v>
      </c>
      <c r="G17" s="11"/>
      <c r="H17" s="11">
        <f t="shared" ref="H17:H35" si="3">H16-F17-D17+B17</f>
        <v>6.4580000000000002</v>
      </c>
      <c r="I17" s="11">
        <f t="shared" ref="I17:I35" si="4">I16-E17+C17</f>
        <v>11.458</v>
      </c>
      <c r="J17" s="12">
        <f t="shared" ref="J17:J35" si="5">SUM(H17:I17)</f>
        <v>17.916</v>
      </c>
    </row>
    <row r="18" spans="1:10" ht="15.95" customHeight="1">
      <c r="A18" s="10" t="s">
        <v>59</v>
      </c>
      <c r="B18" s="11">
        <v>15</v>
      </c>
      <c r="C18" s="11">
        <v>15</v>
      </c>
      <c r="D18" s="11"/>
      <c r="E18" s="11"/>
      <c r="F18" s="11"/>
      <c r="G18" s="11"/>
      <c r="H18" s="11">
        <f t="shared" si="3"/>
        <v>21.457999999999998</v>
      </c>
      <c r="I18" s="11">
        <f t="shared" si="4"/>
        <v>26.457999999999998</v>
      </c>
      <c r="J18" s="12">
        <f t="shared" si="5"/>
        <v>47.915999999999997</v>
      </c>
    </row>
    <row r="19" spans="1:10" ht="15.95" customHeight="1">
      <c r="A19" s="10" t="s">
        <v>60</v>
      </c>
      <c r="B19" s="11"/>
      <c r="C19" s="11"/>
      <c r="D19" s="11"/>
      <c r="E19" s="11"/>
      <c r="F19" s="11">
        <v>1</v>
      </c>
      <c r="G19" s="11"/>
      <c r="H19" s="11">
        <f t="shared" si="3"/>
        <v>20.457999999999998</v>
      </c>
      <c r="I19" s="11">
        <f t="shared" si="4"/>
        <v>26.457999999999998</v>
      </c>
      <c r="J19" s="12">
        <f t="shared" si="5"/>
        <v>46.915999999999997</v>
      </c>
    </row>
    <row r="20" spans="1:10" ht="15.95" customHeight="1">
      <c r="A20" s="10" t="s">
        <v>61</v>
      </c>
      <c r="B20" s="11"/>
      <c r="C20" s="11"/>
      <c r="D20" s="11">
        <v>1.5</v>
      </c>
      <c r="E20" s="11"/>
      <c r="F20" s="11"/>
      <c r="G20" s="11"/>
      <c r="H20" s="11">
        <f t="shared" si="3"/>
        <v>18.957999999999998</v>
      </c>
      <c r="I20" s="11">
        <f t="shared" si="4"/>
        <v>26.457999999999998</v>
      </c>
      <c r="J20" s="12">
        <f t="shared" si="5"/>
        <v>45.415999999999997</v>
      </c>
    </row>
    <row r="21" spans="1:10" ht="15.95" customHeight="1">
      <c r="A21" s="10" t="s">
        <v>62</v>
      </c>
      <c r="B21" s="11"/>
      <c r="C21" s="11"/>
      <c r="D21" s="11"/>
      <c r="E21" s="11"/>
      <c r="F21" s="11">
        <v>2</v>
      </c>
      <c r="G21" s="11"/>
      <c r="H21" s="11">
        <f t="shared" si="3"/>
        <v>16.957999999999998</v>
      </c>
      <c r="I21" s="11">
        <f t="shared" si="4"/>
        <v>26.457999999999998</v>
      </c>
      <c r="J21" s="12">
        <f t="shared" si="5"/>
        <v>43.415999999999997</v>
      </c>
    </row>
    <row r="22" spans="1:10" ht="15.95" customHeight="1">
      <c r="A22" s="10" t="s">
        <v>63</v>
      </c>
      <c r="B22" s="11"/>
      <c r="C22" s="11"/>
      <c r="D22" s="11">
        <v>10</v>
      </c>
      <c r="E22" s="11"/>
      <c r="F22" s="11"/>
      <c r="G22" s="11"/>
      <c r="H22" s="11">
        <f t="shared" si="3"/>
        <v>6.9579999999999984</v>
      </c>
      <c r="I22" s="11">
        <f t="shared" si="4"/>
        <v>26.457999999999998</v>
      </c>
      <c r="J22" s="12">
        <f t="shared" si="5"/>
        <v>33.415999999999997</v>
      </c>
    </row>
    <row r="23" spans="1:10" ht="15.95" customHeight="1">
      <c r="A23" s="10" t="s">
        <v>64</v>
      </c>
      <c r="B23" s="11"/>
      <c r="C23" s="11"/>
      <c r="D23" s="11"/>
      <c r="E23" s="11"/>
      <c r="F23" s="11">
        <v>2</v>
      </c>
      <c r="G23" s="11"/>
      <c r="H23" s="11">
        <f t="shared" si="3"/>
        <v>4.9579999999999984</v>
      </c>
      <c r="I23" s="11">
        <f t="shared" si="4"/>
        <v>26.457999999999998</v>
      </c>
      <c r="J23" s="12">
        <f t="shared" si="5"/>
        <v>31.415999999999997</v>
      </c>
    </row>
    <row r="24" spans="1:10" ht="15.95" customHeight="1">
      <c r="A24" s="10" t="s">
        <v>65</v>
      </c>
      <c r="B24" s="11">
        <v>15</v>
      </c>
      <c r="C24" s="11">
        <v>15</v>
      </c>
      <c r="D24" s="11"/>
      <c r="E24" s="11"/>
      <c r="F24" s="11"/>
      <c r="G24" s="11"/>
      <c r="H24" s="11">
        <f t="shared" si="3"/>
        <v>19.957999999999998</v>
      </c>
      <c r="I24" s="11">
        <f t="shared" si="4"/>
        <v>41.457999999999998</v>
      </c>
      <c r="J24" s="12">
        <f t="shared" si="5"/>
        <v>61.415999999999997</v>
      </c>
    </row>
    <row r="25" spans="1:10" ht="15.95" customHeight="1">
      <c r="A25" s="10" t="s">
        <v>66</v>
      </c>
      <c r="B25" s="11"/>
      <c r="C25" s="11"/>
      <c r="D25" s="11"/>
      <c r="E25" s="11"/>
      <c r="F25" s="11">
        <v>1</v>
      </c>
      <c r="G25" s="11"/>
      <c r="H25" s="11">
        <f t="shared" si="3"/>
        <v>18.957999999999998</v>
      </c>
      <c r="I25" s="11">
        <f t="shared" si="4"/>
        <v>41.457999999999998</v>
      </c>
      <c r="J25" s="12">
        <f t="shared" si="5"/>
        <v>60.415999999999997</v>
      </c>
    </row>
    <row r="26" spans="1:10" ht="15.95" customHeight="1">
      <c r="A26" s="10" t="s">
        <v>67</v>
      </c>
      <c r="B26" s="11"/>
      <c r="C26" s="11"/>
      <c r="D26" s="11"/>
      <c r="E26" s="11"/>
      <c r="F26" s="11">
        <v>1</v>
      </c>
      <c r="G26" s="11"/>
      <c r="H26" s="11">
        <f t="shared" si="3"/>
        <v>17.957999999999998</v>
      </c>
      <c r="I26" s="11">
        <f t="shared" si="4"/>
        <v>41.457999999999998</v>
      </c>
      <c r="J26" s="12">
        <f t="shared" si="5"/>
        <v>59.415999999999997</v>
      </c>
    </row>
    <row r="27" spans="1:10" ht="15.95" customHeight="1">
      <c r="A27" s="10" t="s">
        <v>68</v>
      </c>
      <c r="B27" s="11"/>
      <c r="C27" s="11"/>
      <c r="D27" s="11"/>
      <c r="E27" s="11"/>
      <c r="F27" s="11">
        <v>2</v>
      </c>
      <c r="G27" s="11"/>
      <c r="H27" s="11">
        <f t="shared" si="3"/>
        <v>15.957999999999998</v>
      </c>
      <c r="I27" s="11">
        <f t="shared" si="4"/>
        <v>41.457999999999998</v>
      </c>
      <c r="J27" s="12">
        <f t="shared" si="5"/>
        <v>57.415999999999997</v>
      </c>
    </row>
    <row r="28" spans="1:10" ht="15.95" customHeight="1">
      <c r="A28" s="10" t="s">
        <v>69</v>
      </c>
      <c r="B28" s="11"/>
      <c r="C28" s="11"/>
      <c r="D28" s="11">
        <v>14</v>
      </c>
      <c r="E28" s="11">
        <v>15</v>
      </c>
      <c r="F28" s="11"/>
      <c r="G28" s="11"/>
      <c r="H28" s="11">
        <f t="shared" si="3"/>
        <v>1.9579999999999984</v>
      </c>
      <c r="I28" s="11">
        <f t="shared" si="4"/>
        <v>26.457999999999998</v>
      </c>
      <c r="J28" s="12">
        <f t="shared" si="5"/>
        <v>28.415999999999997</v>
      </c>
    </row>
    <row r="29" spans="1:10" ht="15.95" customHeight="1">
      <c r="A29" s="10" t="s">
        <v>70</v>
      </c>
      <c r="B29" s="11"/>
      <c r="C29" s="11"/>
      <c r="D29" s="11"/>
      <c r="E29" s="11"/>
      <c r="F29" s="11">
        <v>1</v>
      </c>
      <c r="G29" s="11"/>
      <c r="H29" s="11">
        <f t="shared" si="3"/>
        <v>0.95799999999999841</v>
      </c>
      <c r="I29" s="11">
        <f t="shared" si="4"/>
        <v>26.457999999999998</v>
      </c>
      <c r="J29" s="12">
        <f t="shared" si="5"/>
        <v>27.415999999999997</v>
      </c>
    </row>
    <row r="30" spans="1:10" ht="15.95" customHeight="1">
      <c r="A30" s="10" t="s">
        <v>12</v>
      </c>
      <c r="B30" s="11"/>
      <c r="C30" s="11"/>
      <c r="D30" s="11"/>
      <c r="E30" s="11">
        <v>2</v>
      </c>
      <c r="F30" s="11"/>
      <c r="G30" s="11"/>
      <c r="H30" s="11">
        <f t="shared" si="3"/>
        <v>0.95799999999999841</v>
      </c>
      <c r="I30" s="11">
        <f t="shared" si="4"/>
        <v>24.457999999999998</v>
      </c>
      <c r="J30" s="12">
        <f t="shared" si="5"/>
        <v>25.415999999999997</v>
      </c>
    </row>
    <row r="31" spans="1:10" ht="15.95" customHeight="1">
      <c r="A31" s="13">
        <v>44589</v>
      </c>
      <c r="B31" s="11"/>
      <c r="C31" s="11"/>
      <c r="D31" s="11"/>
      <c r="E31" s="11"/>
      <c r="F31" s="11"/>
      <c r="G31" s="11">
        <v>1</v>
      </c>
      <c r="H31" s="11">
        <f t="shared" si="3"/>
        <v>0.95799999999999841</v>
      </c>
      <c r="I31" s="11">
        <f t="shared" si="4"/>
        <v>24.457999999999998</v>
      </c>
      <c r="J31" s="12">
        <f t="shared" si="5"/>
        <v>25.415999999999997</v>
      </c>
    </row>
    <row r="32" spans="1:10" ht="15.95" customHeight="1">
      <c r="A32" s="10" t="s">
        <v>13</v>
      </c>
      <c r="B32" s="11">
        <v>1.25</v>
      </c>
      <c r="C32" s="11">
        <v>1.25</v>
      </c>
      <c r="D32" s="11"/>
      <c r="E32" s="11"/>
      <c r="F32" s="11"/>
      <c r="G32" s="11"/>
      <c r="H32" s="11">
        <f t="shared" si="3"/>
        <v>2.2079999999999984</v>
      </c>
      <c r="I32" s="11">
        <f t="shared" si="4"/>
        <v>25.707999999999998</v>
      </c>
      <c r="J32" s="12">
        <f t="shared" si="5"/>
        <v>27.915999999999997</v>
      </c>
    </row>
    <row r="33" spans="1:11" ht="15.95" customHeight="1">
      <c r="A33" s="10" t="s">
        <v>14</v>
      </c>
      <c r="B33" s="16"/>
      <c r="C33" s="11"/>
      <c r="D33" s="11"/>
      <c r="E33" s="11">
        <v>1</v>
      </c>
      <c r="F33" s="11"/>
      <c r="G33" s="11"/>
      <c r="H33" s="11">
        <f t="shared" si="3"/>
        <v>2.2079999999999984</v>
      </c>
      <c r="I33" s="11">
        <f t="shared" si="4"/>
        <v>24.707999999999998</v>
      </c>
      <c r="J33" s="12">
        <f t="shared" si="5"/>
        <v>26.915999999999997</v>
      </c>
    </row>
    <row r="34" spans="1:11" ht="15.95" customHeight="1">
      <c r="A34" s="10" t="s">
        <v>15</v>
      </c>
      <c r="B34" s="11"/>
      <c r="C34" s="11"/>
      <c r="D34" s="11"/>
      <c r="E34" s="11">
        <v>1</v>
      </c>
      <c r="F34" s="11"/>
      <c r="G34" s="11"/>
      <c r="H34" s="11">
        <f t="shared" si="3"/>
        <v>2.2079999999999984</v>
      </c>
      <c r="I34" s="11">
        <f t="shared" si="4"/>
        <v>23.707999999999998</v>
      </c>
      <c r="J34" s="12">
        <f t="shared" si="5"/>
        <v>25.915999999999997</v>
      </c>
    </row>
    <row r="35" spans="1:11" ht="15.95" customHeight="1">
      <c r="A35" s="10" t="s">
        <v>16</v>
      </c>
      <c r="B35" s="11">
        <v>2.5</v>
      </c>
      <c r="C35" s="11">
        <v>2.5</v>
      </c>
      <c r="D35" s="11"/>
      <c r="E35" s="11"/>
      <c r="F35" s="11"/>
      <c r="G35" s="11"/>
      <c r="H35" s="11">
        <f t="shared" si="3"/>
        <v>4.7079999999999984</v>
      </c>
      <c r="I35" s="11">
        <f t="shared" si="4"/>
        <v>26.207999999999998</v>
      </c>
      <c r="J35" s="12">
        <f t="shared" si="5"/>
        <v>30.915999999999997</v>
      </c>
    </row>
    <row r="36" spans="1:11" ht="15.95" customHeight="1">
      <c r="A36" s="10" t="s">
        <v>17</v>
      </c>
      <c r="B36" s="11"/>
      <c r="C36" s="11"/>
      <c r="D36" s="11"/>
      <c r="E36" s="11">
        <v>1</v>
      </c>
      <c r="F36" s="11"/>
      <c r="G36" s="11"/>
      <c r="H36" s="11">
        <f t="shared" ref="H36:H68" si="6">H35-F36-D36+B36</f>
        <v>4.7079999999999984</v>
      </c>
      <c r="I36" s="11">
        <f t="shared" ref="I36:I68" si="7">I35-E36+C36</f>
        <v>25.207999999999998</v>
      </c>
      <c r="J36" s="12">
        <f t="shared" ref="J36:J68" si="8">SUM(H36:I36)</f>
        <v>29.915999999999997</v>
      </c>
    </row>
    <row r="37" spans="1:11" ht="15.95" customHeight="1">
      <c r="A37" s="10" t="s">
        <v>18</v>
      </c>
      <c r="B37" s="11">
        <v>2.5</v>
      </c>
      <c r="C37" s="11">
        <v>2.5</v>
      </c>
      <c r="D37" s="11"/>
      <c r="E37" s="11"/>
      <c r="F37" s="11"/>
      <c r="G37" s="11"/>
      <c r="H37" s="11">
        <f t="shared" si="6"/>
        <v>7.2079999999999984</v>
      </c>
      <c r="I37" s="11">
        <f t="shared" si="7"/>
        <v>27.707999999999998</v>
      </c>
      <c r="J37" s="12">
        <f t="shared" si="8"/>
        <v>34.915999999999997</v>
      </c>
    </row>
    <row r="38" spans="1:11" s="2" customFormat="1" ht="15.95" customHeight="1">
      <c r="A38" s="10" t="s">
        <v>19</v>
      </c>
      <c r="B38" s="11"/>
      <c r="C38" s="11"/>
      <c r="D38" s="11"/>
      <c r="E38" s="11">
        <v>1.5</v>
      </c>
      <c r="F38" s="11"/>
      <c r="G38" s="11"/>
      <c r="H38" s="11">
        <f t="shared" si="6"/>
        <v>7.2079999999999984</v>
      </c>
      <c r="I38" s="11">
        <f t="shared" si="7"/>
        <v>26.207999999999998</v>
      </c>
      <c r="J38" s="12">
        <f t="shared" si="8"/>
        <v>33.415999999999997</v>
      </c>
      <c r="K38" s="5"/>
    </row>
    <row r="39" spans="1:11" ht="15.95" customHeight="1">
      <c r="A39" s="10" t="s">
        <v>20</v>
      </c>
      <c r="B39" s="11"/>
      <c r="C39" s="11"/>
      <c r="D39" s="11"/>
      <c r="E39" s="11"/>
      <c r="F39" s="11">
        <v>1</v>
      </c>
      <c r="G39" s="11"/>
      <c r="H39" s="11">
        <f t="shared" si="6"/>
        <v>6.2079999999999984</v>
      </c>
      <c r="I39" s="11">
        <f t="shared" si="7"/>
        <v>26.207999999999998</v>
      </c>
      <c r="J39" s="12">
        <f t="shared" si="8"/>
        <v>32.415999999999997</v>
      </c>
    </row>
    <row r="40" spans="1:11" ht="15.95" customHeight="1">
      <c r="A40" s="10" t="s">
        <v>21</v>
      </c>
      <c r="B40" s="11">
        <v>1.25</v>
      </c>
      <c r="C40" s="11">
        <v>1.25</v>
      </c>
      <c r="D40" s="11"/>
      <c r="E40" s="11"/>
      <c r="F40" s="11"/>
      <c r="G40" s="11"/>
      <c r="H40" s="11">
        <f t="shared" si="6"/>
        <v>7.4579999999999984</v>
      </c>
      <c r="I40" s="11">
        <f t="shared" si="7"/>
        <v>27.457999999999998</v>
      </c>
      <c r="J40" s="12">
        <f t="shared" si="8"/>
        <v>34.915999999999997</v>
      </c>
    </row>
    <row r="41" spans="1:11" ht="15.95" customHeight="1">
      <c r="A41" s="10" t="s">
        <v>22</v>
      </c>
      <c r="B41" s="11"/>
      <c r="C41" s="11"/>
      <c r="D41" s="11"/>
      <c r="E41" s="11"/>
      <c r="F41" s="11">
        <v>1</v>
      </c>
      <c r="G41" s="11"/>
      <c r="H41" s="11">
        <f t="shared" si="6"/>
        <v>6.4579999999999984</v>
      </c>
      <c r="I41" s="11">
        <f t="shared" si="7"/>
        <v>27.457999999999998</v>
      </c>
      <c r="J41" s="12">
        <f t="shared" si="8"/>
        <v>33.915999999999997</v>
      </c>
    </row>
    <row r="42" spans="1:11" ht="15.95" customHeight="1">
      <c r="A42" s="10" t="s">
        <v>23</v>
      </c>
      <c r="B42" s="11"/>
      <c r="C42" s="11"/>
      <c r="D42" s="11"/>
      <c r="E42" s="11"/>
      <c r="F42" s="11">
        <v>1</v>
      </c>
      <c r="G42" s="11"/>
      <c r="H42" s="11">
        <f t="shared" si="6"/>
        <v>5.4579999999999984</v>
      </c>
      <c r="I42" s="11">
        <f t="shared" si="7"/>
        <v>27.457999999999998</v>
      </c>
      <c r="J42" s="12">
        <f t="shared" si="8"/>
        <v>32.915999999999997</v>
      </c>
    </row>
    <row r="43" spans="1:11" ht="15.95" customHeight="1">
      <c r="A43" s="10" t="s">
        <v>24</v>
      </c>
      <c r="B43" s="11">
        <v>1.25</v>
      </c>
      <c r="C43" s="11">
        <v>1.25</v>
      </c>
      <c r="D43" s="11"/>
      <c r="E43" s="11"/>
      <c r="F43" s="11"/>
      <c r="G43" s="11"/>
      <c r="H43" s="11">
        <f t="shared" si="6"/>
        <v>6.7079999999999984</v>
      </c>
      <c r="I43" s="11">
        <f t="shared" si="7"/>
        <v>28.707999999999998</v>
      </c>
      <c r="J43" s="12">
        <f t="shared" si="8"/>
        <v>35.415999999999997</v>
      </c>
    </row>
    <row r="44" spans="1:11" ht="15.95" customHeight="1">
      <c r="A44" s="10" t="s">
        <v>25</v>
      </c>
      <c r="B44" s="11"/>
      <c r="C44" s="11"/>
      <c r="D44" s="11"/>
      <c r="E44" s="11"/>
      <c r="F44" s="11">
        <v>1</v>
      </c>
      <c r="G44" s="11"/>
      <c r="H44" s="11">
        <f t="shared" si="6"/>
        <v>5.7079999999999984</v>
      </c>
      <c r="I44" s="11">
        <f t="shared" si="7"/>
        <v>28.707999999999998</v>
      </c>
      <c r="J44" s="12">
        <f t="shared" si="8"/>
        <v>34.415999999999997</v>
      </c>
    </row>
    <row r="45" spans="1:11" ht="15.95" customHeight="1">
      <c r="A45" s="10" t="s">
        <v>26</v>
      </c>
      <c r="B45" s="11">
        <v>1.25</v>
      </c>
      <c r="C45" s="11">
        <v>1.25</v>
      </c>
      <c r="D45" s="11"/>
      <c r="E45" s="11"/>
      <c r="F45" s="11"/>
      <c r="G45" s="11"/>
      <c r="H45" s="11">
        <f t="shared" si="6"/>
        <v>6.9579999999999984</v>
      </c>
      <c r="I45" s="11">
        <f t="shared" si="7"/>
        <v>29.957999999999998</v>
      </c>
      <c r="J45" s="12">
        <f t="shared" si="8"/>
        <v>36.915999999999997</v>
      </c>
    </row>
    <row r="46" spans="1:11" ht="15.95" customHeight="1">
      <c r="A46" s="10" t="s">
        <v>27</v>
      </c>
      <c r="B46" s="11">
        <v>1.25</v>
      </c>
      <c r="C46" s="11">
        <v>1.25</v>
      </c>
      <c r="D46" s="11"/>
      <c r="E46" s="11"/>
      <c r="F46" s="11"/>
      <c r="G46" s="11"/>
      <c r="H46" s="11">
        <f t="shared" si="6"/>
        <v>8.2079999999999984</v>
      </c>
      <c r="I46" s="11">
        <f t="shared" si="7"/>
        <v>31.207999999999998</v>
      </c>
      <c r="J46" s="12">
        <f t="shared" si="8"/>
        <v>39.415999999999997</v>
      </c>
    </row>
    <row r="47" spans="1:11" ht="15.95" customHeight="1">
      <c r="A47" s="10" t="s">
        <v>28</v>
      </c>
      <c r="B47" s="11"/>
      <c r="C47" s="11"/>
      <c r="D47" s="11"/>
      <c r="E47" s="11">
        <v>2.5</v>
      </c>
      <c r="F47" s="11"/>
      <c r="G47" s="11"/>
      <c r="H47" s="11">
        <f t="shared" si="6"/>
        <v>8.2079999999999984</v>
      </c>
      <c r="I47" s="11">
        <f t="shared" si="7"/>
        <v>28.707999999999998</v>
      </c>
      <c r="J47" s="12">
        <f t="shared" si="8"/>
        <v>36.915999999999997</v>
      </c>
    </row>
    <row r="48" spans="1:11" ht="15.95" customHeight="1">
      <c r="A48" s="10" t="s">
        <v>29</v>
      </c>
      <c r="B48" s="11"/>
      <c r="C48" s="11"/>
      <c r="D48" s="11">
        <v>8</v>
      </c>
      <c r="E48" s="11">
        <v>21</v>
      </c>
      <c r="F48" s="11"/>
      <c r="G48" s="11"/>
      <c r="H48" s="11">
        <f t="shared" si="6"/>
        <v>0.20799999999999841</v>
      </c>
      <c r="I48" s="11">
        <f t="shared" si="7"/>
        <v>7.7079999999999984</v>
      </c>
      <c r="J48" s="12">
        <f t="shared" si="8"/>
        <v>7.9159999999999968</v>
      </c>
    </row>
    <row r="49" spans="1:10" ht="15.95" customHeight="1">
      <c r="A49" s="10" t="s">
        <v>30</v>
      </c>
      <c r="B49" s="11">
        <v>1.25</v>
      </c>
      <c r="C49" s="11">
        <v>1.25</v>
      </c>
      <c r="D49" s="11"/>
      <c r="E49" s="11"/>
      <c r="F49" s="11"/>
      <c r="G49" s="11"/>
      <c r="H49" s="11">
        <f t="shared" si="6"/>
        <v>1.4579999999999984</v>
      </c>
      <c r="I49" s="11">
        <f t="shared" si="7"/>
        <v>8.9579999999999984</v>
      </c>
      <c r="J49" s="12">
        <f t="shared" si="8"/>
        <v>10.415999999999997</v>
      </c>
    </row>
    <row r="50" spans="1:10" ht="15.95" customHeight="1">
      <c r="A50" s="14" t="s">
        <v>32</v>
      </c>
      <c r="B50" s="11"/>
      <c r="C50" s="11"/>
      <c r="D50" s="11"/>
      <c r="E50" s="11"/>
      <c r="F50" s="11"/>
      <c r="G50" s="11">
        <v>1</v>
      </c>
      <c r="H50" s="11">
        <f t="shared" si="6"/>
        <v>1.4579999999999984</v>
      </c>
      <c r="I50" s="11">
        <f t="shared" si="7"/>
        <v>8.9579999999999984</v>
      </c>
      <c r="J50" s="12">
        <f t="shared" si="8"/>
        <v>10.415999999999997</v>
      </c>
    </row>
    <row r="51" spans="1:10" ht="15.95" customHeight="1">
      <c r="A51" s="10" t="s">
        <v>31</v>
      </c>
      <c r="B51" s="11">
        <v>1.25</v>
      </c>
      <c r="C51" s="11">
        <v>1.25</v>
      </c>
      <c r="D51" s="11"/>
      <c r="E51" s="11"/>
      <c r="F51" s="11"/>
      <c r="G51" s="11"/>
      <c r="H51" s="11">
        <f t="shared" si="6"/>
        <v>2.7079999999999984</v>
      </c>
      <c r="I51" s="11">
        <f t="shared" si="7"/>
        <v>10.207999999999998</v>
      </c>
      <c r="J51" s="12">
        <f t="shared" si="8"/>
        <v>12.915999999999997</v>
      </c>
    </row>
    <row r="52" spans="1:10" ht="15.95" customHeight="1">
      <c r="A52" s="14" t="s">
        <v>33</v>
      </c>
      <c r="B52" s="11"/>
      <c r="C52" s="11"/>
      <c r="D52" s="11"/>
      <c r="E52" s="11"/>
      <c r="F52" s="11"/>
      <c r="G52" s="11">
        <v>1</v>
      </c>
      <c r="H52" s="11">
        <f t="shared" si="6"/>
        <v>2.7079999999999984</v>
      </c>
      <c r="I52" s="11">
        <f t="shared" si="7"/>
        <v>10.207999999999998</v>
      </c>
      <c r="J52" s="12">
        <f t="shared" si="8"/>
        <v>12.915999999999997</v>
      </c>
    </row>
    <row r="53" spans="1:10" ht="15.95" customHeight="1">
      <c r="A53" s="15" t="s">
        <v>34</v>
      </c>
      <c r="B53" s="17"/>
      <c r="C53" s="17"/>
      <c r="D53" s="17"/>
      <c r="E53" s="17">
        <v>2</v>
      </c>
      <c r="F53" s="17"/>
      <c r="G53" s="17"/>
      <c r="H53" s="11">
        <f t="shared" si="6"/>
        <v>2.7079999999999984</v>
      </c>
      <c r="I53" s="11">
        <f t="shared" si="7"/>
        <v>8.2079999999999984</v>
      </c>
      <c r="J53" s="12">
        <f t="shared" si="8"/>
        <v>10.915999999999997</v>
      </c>
    </row>
    <row r="54" spans="1:10" ht="15.95" customHeight="1">
      <c r="A54" s="15" t="s">
        <v>35</v>
      </c>
      <c r="B54" s="17"/>
      <c r="C54" s="17"/>
      <c r="D54" s="17"/>
      <c r="E54" s="17"/>
      <c r="F54" s="17">
        <v>1</v>
      </c>
      <c r="G54" s="17"/>
      <c r="H54" s="11">
        <f t="shared" si="6"/>
        <v>1.7079999999999984</v>
      </c>
      <c r="I54" s="11">
        <f t="shared" si="7"/>
        <v>8.2079999999999984</v>
      </c>
      <c r="J54" s="12">
        <f t="shared" si="8"/>
        <v>9.9159999999999968</v>
      </c>
    </row>
    <row r="55" spans="1:10" ht="15.95" customHeight="1">
      <c r="A55" s="10" t="s">
        <v>36</v>
      </c>
      <c r="B55" s="11">
        <v>1.25</v>
      </c>
      <c r="C55" s="11">
        <v>1.25</v>
      </c>
      <c r="D55" s="17"/>
      <c r="E55" s="17"/>
      <c r="F55" s="17"/>
      <c r="G55" s="17"/>
      <c r="H55" s="11">
        <f t="shared" si="6"/>
        <v>2.9579999999999984</v>
      </c>
      <c r="I55" s="11">
        <f t="shared" si="7"/>
        <v>9.4579999999999984</v>
      </c>
      <c r="J55" s="12">
        <f t="shared" si="8"/>
        <v>12.415999999999997</v>
      </c>
    </row>
    <row r="56" spans="1:10" ht="15.95" customHeight="1">
      <c r="A56" s="15" t="s">
        <v>37</v>
      </c>
      <c r="B56" s="17"/>
      <c r="C56" s="17"/>
      <c r="D56" s="17"/>
      <c r="E56" s="17"/>
      <c r="F56" s="17"/>
      <c r="G56" s="17">
        <v>1</v>
      </c>
      <c r="H56" s="11">
        <f t="shared" si="6"/>
        <v>2.9579999999999984</v>
      </c>
      <c r="I56" s="11">
        <f t="shared" si="7"/>
        <v>9.4579999999999984</v>
      </c>
      <c r="J56" s="12">
        <f t="shared" si="8"/>
        <v>12.415999999999997</v>
      </c>
    </row>
    <row r="57" spans="1:10" ht="15.95" customHeight="1">
      <c r="A57" s="74" t="s">
        <v>39</v>
      </c>
      <c r="B57" s="17"/>
      <c r="C57" s="17"/>
      <c r="D57" s="17"/>
      <c r="E57" s="17"/>
      <c r="F57" s="17">
        <v>1.5</v>
      </c>
      <c r="G57" s="17"/>
      <c r="H57" s="11">
        <f t="shared" si="6"/>
        <v>1.4579999999999984</v>
      </c>
      <c r="I57" s="11">
        <f t="shared" si="7"/>
        <v>9.4579999999999984</v>
      </c>
      <c r="J57" s="12">
        <f t="shared" si="8"/>
        <v>10.915999999999997</v>
      </c>
    </row>
    <row r="58" spans="1:10" ht="15.95" customHeight="1">
      <c r="A58" s="10" t="s">
        <v>41</v>
      </c>
      <c r="B58" s="11">
        <v>1.25</v>
      </c>
      <c r="C58" s="11">
        <v>1.25</v>
      </c>
      <c r="D58" s="17"/>
      <c r="E58" s="17"/>
      <c r="F58" s="17"/>
      <c r="G58" s="17"/>
      <c r="H58" s="11">
        <f t="shared" si="6"/>
        <v>2.7079999999999984</v>
      </c>
      <c r="I58" s="11">
        <f t="shared" si="7"/>
        <v>10.707999999999998</v>
      </c>
      <c r="J58" s="12">
        <f t="shared" si="8"/>
        <v>13.415999999999997</v>
      </c>
    </row>
    <row r="59" spans="1:10" ht="15.95" customHeight="1">
      <c r="A59" s="15" t="s">
        <v>40</v>
      </c>
      <c r="B59" s="17"/>
      <c r="C59" s="17"/>
      <c r="D59" s="17"/>
      <c r="E59" s="17"/>
      <c r="F59" s="17">
        <v>0.5</v>
      </c>
      <c r="G59" s="17"/>
      <c r="H59" s="11">
        <f t="shared" si="6"/>
        <v>2.2079999999999984</v>
      </c>
      <c r="I59" s="11">
        <f t="shared" si="7"/>
        <v>10.707999999999998</v>
      </c>
      <c r="J59" s="12">
        <f t="shared" si="8"/>
        <v>12.915999999999997</v>
      </c>
    </row>
    <row r="60" spans="1:10" ht="15.95" customHeight="1">
      <c r="A60" s="15" t="s">
        <v>42</v>
      </c>
      <c r="B60" s="17"/>
      <c r="C60" s="17"/>
      <c r="D60" s="17"/>
      <c r="E60" s="17"/>
      <c r="F60" s="17">
        <v>0.5</v>
      </c>
      <c r="G60" s="17"/>
      <c r="H60" s="11">
        <f t="shared" si="6"/>
        <v>1.7079999999999984</v>
      </c>
      <c r="I60" s="11">
        <f t="shared" si="7"/>
        <v>10.707999999999998</v>
      </c>
      <c r="J60" s="12">
        <f t="shared" si="8"/>
        <v>12.415999999999997</v>
      </c>
    </row>
    <row r="61" spans="1:10" ht="15.95" customHeight="1">
      <c r="A61" s="106" t="s">
        <v>43</v>
      </c>
      <c r="B61" s="107">
        <v>2.5</v>
      </c>
      <c r="C61" s="107">
        <v>2.5</v>
      </c>
      <c r="D61" s="17"/>
      <c r="E61" s="17"/>
      <c r="F61" s="17"/>
      <c r="G61" s="17"/>
      <c r="H61" s="11">
        <f t="shared" si="6"/>
        <v>4.2079999999999984</v>
      </c>
      <c r="I61" s="11">
        <f t="shared" si="7"/>
        <v>13.207999999999998</v>
      </c>
      <c r="J61" s="12">
        <f t="shared" si="8"/>
        <v>17.415999999999997</v>
      </c>
    </row>
    <row r="62" spans="1:10" ht="15.95" customHeight="1">
      <c r="A62" s="15" t="s">
        <v>44</v>
      </c>
      <c r="B62" s="17"/>
      <c r="C62" s="17"/>
      <c r="D62" s="17"/>
      <c r="E62" s="17"/>
      <c r="F62" s="17">
        <v>2</v>
      </c>
      <c r="G62" s="17"/>
      <c r="H62" s="11">
        <f t="shared" si="6"/>
        <v>2.2079999999999984</v>
      </c>
      <c r="I62" s="11">
        <f t="shared" si="7"/>
        <v>13.207999999999998</v>
      </c>
      <c r="J62" s="12">
        <f t="shared" si="8"/>
        <v>15.415999999999997</v>
      </c>
    </row>
    <row r="63" spans="1:10" ht="15.95" customHeight="1">
      <c r="A63" s="106" t="s">
        <v>45</v>
      </c>
      <c r="B63" s="107">
        <v>1.25</v>
      </c>
      <c r="C63" s="107">
        <v>1.25</v>
      </c>
      <c r="D63" s="17"/>
      <c r="E63" s="17"/>
      <c r="F63" s="17"/>
      <c r="G63" s="17"/>
      <c r="H63" s="11">
        <f t="shared" si="6"/>
        <v>3.4579999999999984</v>
      </c>
      <c r="I63" s="11">
        <f t="shared" si="7"/>
        <v>14.457999999999998</v>
      </c>
      <c r="J63" s="12">
        <f t="shared" si="8"/>
        <v>17.915999999999997</v>
      </c>
    </row>
    <row r="64" spans="1:10" ht="15.95" customHeight="1">
      <c r="A64" s="15" t="s">
        <v>46</v>
      </c>
      <c r="B64" s="17"/>
      <c r="C64" s="17"/>
      <c r="D64" s="17"/>
      <c r="E64" s="17"/>
      <c r="F64" s="17"/>
      <c r="G64" s="17">
        <v>1</v>
      </c>
      <c r="H64" s="11">
        <f t="shared" si="6"/>
        <v>3.4579999999999984</v>
      </c>
      <c r="I64" s="11">
        <f t="shared" si="7"/>
        <v>14.457999999999998</v>
      </c>
      <c r="J64" s="12">
        <f t="shared" si="8"/>
        <v>17.915999999999997</v>
      </c>
    </row>
    <row r="65" spans="1:10">
      <c r="A65" s="19" t="s">
        <v>72</v>
      </c>
      <c r="B65" s="11">
        <v>2.5</v>
      </c>
      <c r="C65" s="11">
        <v>2.5</v>
      </c>
      <c r="D65" s="18"/>
      <c r="E65" s="18"/>
      <c r="F65" s="18"/>
      <c r="G65" s="18"/>
      <c r="H65" s="11">
        <f t="shared" si="6"/>
        <v>5.9579999999999984</v>
      </c>
      <c r="I65" s="11">
        <f t="shared" si="7"/>
        <v>16.957999999999998</v>
      </c>
      <c r="J65" s="12">
        <f t="shared" si="8"/>
        <v>22.915999999999997</v>
      </c>
    </row>
    <row r="66" spans="1:10">
      <c r="A66" s="20" t="s">
        <v>71</v>
      </c>
      <c r="B66" s="18"/>
      <c r="C66" s="18"/>
      <c r="D66" s="18"/>
      <c r="E66" s="18"/>
      <c r="F66" s="21">
        <v>0.5</v>
      </c>
      <c r="G66" s="18"/>
      <c r="H66" s="11">
        <f t="shared" si="6"/>
        <v>5.4579999999999984</v>
      </c>
      <c r="I66" s="11">
        <f t="shared" si="7"/>
        <v>16.957999999999998</v>
      </c>
      <c r="J66" s="12">
        <f t="shared" si="8"/>
        <v>22.415999999999997</v>
      </c>
    </row>
    <row r="67" spans="1:10">
      <c r="A67" s="20" t="s">
        <v>73</v>
      </c>
      <c r="B67" s="18"/>
      <c r="C67" s="18"/>
      <c r="D67" s="18"/>
      <c r="E67" s="21">
        <v>1</v>
      </c>
      <c r="F67" s="18"/>
      <c r="G67" s="18"/>
      <c r="H67" s="11">
        <f t="shared" si="6"/>
        <v>5.4579999999999984</v>
      </c>
      <c r="I67" s="11">
        <f t="shared" si="7"/>
        <v>15.957999999999998</v>
      </c>
      <c r="J67" s="12">
        <f t="shared" si="8"/>
        <v>21.415999999999997</v>
      </c>
    </row>
    <row r="68" spans="1:10">
      <c r="A68" s="22" t="s">
        <v>74</v>
      </c>
      <c r="B68" s="11">
        <v>1.25</v>
      </c>
      <c r="C68" s="11">
        <v>1.25</v>
      </c>
      <c r="D68" s="18"/>
      <c r="E68" s="18"/>
      <c r="F68" s="18"/>
      <c r="G68" s="18"/>
      <c r="H68" s="11">
        <f t="shared" si="6"/>
        <v>6.7079999999999984</v>
      </c>
      <c r="I68" s="11">
        <f t="shared" si="7"/>
        <v>17.207999999999998</v>
      </c>
      <c r="J68" s="12">
        <f t="shared" si="8"/>
        <v>23.915999999999997</v>
      </c>
    </row>
    <row r="69" spans="1:10">
      <c r="A69" s="20" t="s">
        <v>75</v>
      </c>
      <c r="B69" s="18"/>
      <c r="C69" s="18"/>
      <c r="D69" s="18"/>
      <c r="E69" s="21">
        <v>1</v>
      </c>
      <c r="F69" s="18"/>
      <c r="G69" s="18"/>
      <c r="H69" s="11">
        <f t="shared" ref="H69:H93" si="9">H68-F69-D69+B69</f>
        <v>6.7079999999999984</v>
      </c>
      <c r="I69" s="11">
        <f t="shared" ref="I69:I93" si="10">I68-E69+C69</f>
        <v>16.207999999999998</v>
      </c>
      <c r="J69" s="12">
        <f t="shared" ref="J69:J93" si="11">SUM(H69:I69)</f>
        <v>22.915999999999997</v>
      </c>
    </row>
    <row r="70" spans="1:10">
      <c r="A70" s="52" t="s">
        <v>97</v>
      </c>
      <c r="B70" s="11">
        <v>2.5</v>
      </c>
      <c r="C70" s="11">
        <v>2.5</v>
      </c>
      <c r="D70" s="18"/>
      <c r="E70" s="18"/>
      <c r="F70" s="18"/>
      <c r="G70" s="18"/>
      <c r="H70" s="11">
        <f t="shared" si="9"/>
        <v>9.2079999999999984</v>
      </c>
      <c r="I70" s="11">
        <f t="shared" si="10"/>
        <v>18.707999999999998</v>
      </c>
      <c r="J70" s="12">
        <f t="shared" si="11"/>
        <v>27.915999999999997</v>
      </c>
    </row>
    <row r="71" spans="1:10">
      <c r="A71" s="20" t="s">
        <v>99</v>
      </c>
      <c r="B71" s="18"/>
      <c r="C71" s="18"/>
      <c r="D71" s="21">
        <v>4</v>
      </c>
      <c r="E71" s="21">
        <v>14</v>
      </c>
      <c r="F71" s="18"/>
      <c r="G71" s="18"/>
      <c r="H71" s="11">
        <f t="shared" si="9"/>
        <v>5.2079999999999984</v>
      </c>
      <c r="I71" s="11">
        <f t="shared" si="10"/>
        <v>4.7079999999999984</v>
      </c>
      <c r="J71" s="12">
        <f t="shared" si="11"/>
        <v>9.9159999999999968</v>
      </c>
    </row>
    <row r="72" spans="1:10">
      <c r="A72" s="20" t="s">
        <v>100</v>
      </c>
      <c r="B72" s="18"/>
      <c r="C72" s="18"/>
      <c r="D72" s="21"/>
      <c r="E72" s="21">
        <v>1</v>
      </c>
      <c r="F72" s="18"/>
      <c r="G72" s="18"/>
      <c r="H72" s="11">
        <f t="shared" si="9"/>
        <v>5.2079999999999984</v>
      </c>
      <c r="I72" s="11">
        <f t="shared" si="10"/>
        <v>3.7079999999999984</v>
      </c>
      <c r="J72" s="12">
        <f t="shared" si="11"/>
        <v>8.9159999999999968</v>
      </c>
    </row>
    <row r="73" spans="1:10">
      <c r="A73" s="20" t="s">
        <v>101</v>
      </c>
      <c r="B73" s="58">
        <v>2.5</v>
      </c>
      <c r="C73" s="58">
        <v>2.5</v>
      </c>
      <c r="D73" s="21"/>
      <c r="E73" s="21"/>
      <c r="F73" s="18"/>
      <c r="G73" s="18"/>
      <c r="H73" s="11">
        <f t="shared" si="9"/>
        <v>7.7079999999999984</v>
      </c>
      <c r="I73" s="11">
        <f t="shared" si="10"/>
        <v>6.2079999999999984</v>
      </c>
      <c r="J73" s="12">
        <f t="shared" si="11"/>
        <v>13.915999999999997</v>
      </c>
    </row>
    <row r="74" spans="1:10">
      <c r="A74" s="20" t="s">
        <v>104</v>
      </c>
      <c r="B74" s="58">
        <v>1.25</v>
      </c>
      <c r="C74" s="58">
        <v>1.25</v>
      </c>
      <c r="D74" s="21"/>
      <c r="E74" s="21"/>
      <c r="F74" s="18"/>
      <c r="G74" s="18"/>
      <c r="H74" s="11">
        <f t="shared" si="9"/>
        <v>8.9579999999999984</v>
      </c>
      <c r="I74" s="11">
        <f t="shared" si="10"/>
        <v>7.4579999999999984</v>
      </c>
      <c r="J74" s="12">
        <f t="shared" si="11"/>
        <v>16.415999999999997</v>
      </c>
    </row>
    <row r="75" spans="1:10">
      <c r="A75" s="20" t="s">
        <v>105</v>
      </c>
      <c r="B75" s="58"/>
      <c r="C75" s="58"/>
      <c r="D75" s="21"/>
      <c r="E75" s="21">
        <v>2</v>
      </c>
      <c r="F75" s="18"/>
      <c r="G75" s="18"/>
      <c r="H75" s="11">
        <f t="shared" si="9"/>
        <v>8.9579999999999984</v>
      </c>
      <c r="I75" s="11">
        <f t="shared" si="10"/>
        <v>5.4579999999999984</v>
      </c>
      <c r="J75" s="12">
        <f t="shared" si="11"/>
        <v>14.415999999999997</v>
      </c>
    </row>
    <row r="76" spans="1:10">
      <c r="A76" s="20" t="s">
        <v>107</v>
      </c>
      <c r="B76" s="58"/>
      <c r="C76" s="58"/>
      <c r="D76" s="21"/>
      <c r="E76" s="21">
        <v>1</v>
      </c>
      <c r="F76" s="18"/>
      <c r="G76" s="18"/>
      <c r="H76" s="11">
        <f t="shared" si="9"/>
        <v>8.9579999999999984</v>
      </c>
      <c r="I76" s="11">
        <f t="shared" si="10"/>
        <v>4.4579999999999984</v>
      </c>
      <c r="J76" s="12">
        <f t="shared" si="11"/>
        <v>13.415999999999997</v>
      </c>
    </row>
    <row r="77" spans="1:10">
      <c r="A77" s="20" t="s">
        <v>108</v>
      </c>
      <c r="B77" s="58">
        <v>1.25</v>
      </c>
      <c r="C77" s="58">
        <v>1.25</v>
      </c>
      <c r="D77" s="21"/>
      <c r="E77" s="21"/>
      <c r="F77" s="18"/>
      <c r="G77" s="18"/>
      <c r="H77" s="11">
        <f t="shared" si="9"/>
        <v>10.207999999999998</v>
      </c>
      <c r="I77" s="11">
        <f t="shared" si="10"/>
        <v>5.7079999999999984</v>
      </c>
      <c r="J77" s="12">
        <f t="shared" si="11"/>
        <v>15.915999999999997</v>
      </c>
    </row>
    <row r="78" spans="1:10">
      <c r="A78" s="20" t="s">
        <v>109</v>
      </c>
      <c r="B78" s="58"/>
      <c r="C78" s="58"/>
      <c r="D78" s="21"/>
      <c r="E78" s="21">
        <v>2</v>
      </c>
      <c r="F78" s="18"/>
      <c r="G78" s="18"/>
      <c r="H78" s="11">
        <f t="shared" si="9"/>
        <v>10.207999999999998</v>
      </c>
      <c r="I78" s="11">
        <f t="shared" si="10"/>
        <v>3.7079999999999984</v>
      </c>
      <c r="J78" s="12">
        <f t="shared" si="11"/>
        <v>13.915999999999997</v>
      </c>
    </row>
    <row r="79" spans="1:10">
      <c r="A79" s="20" t="s">
        <v>110</v>
      </c>
      <c r="B79" s="58"/>
      <c r="C79" s="58"/>
      <c r="D79" s="21"/>
      <c r="E79" s="21"/>
      <c r="F79" s="18"/>
      <c r="G79" s="59">
        <v>1</v>
      </c>
      <c r="H79" s="11">
        <f t="shared" si="9"/>
        <v>10.207999999999998</v>
      </c>
      <c r="I79" s="11">
        <f t="shared" si="10"/>
        <v>3.7079999999999984</v>
      </c>
      <c r="J79" s="12">
        <f t="shared" si="11"/>
        <v>13.915999999999997</v>
      </c>
    </row>
    <row r="80" spans="1:10">
      <c r="A80" s="20" t="s">
        <v>111</v>
      </c>
      <c r="B80" s="58"/>
      <c r="C80" s="58"/>
      <c r="D80" s="21"/>
      <c r="E80" s="21"/>
      <c r="F80" s="60">
        <v>1</v>
      </c>
      <c r="G80" s="18"/>
      <c r="H80" s="11">
        <f t="shared" si="9"/>
        <v>9.2079999999999984</v>
      </c>
      <c r="I80" s="11">
        <f t="shared" si="10"/>
        <v>3.7079999999999984</v>
      </c>
      <c r="J80" s="12">
        <f t="shared" si="11"/>
        <v>12.915999999999997</v>
      </c>
    </row>
    <row r="81" spans="1:10">
      <c r="A81" s="20" t="s">
        <v>112</v>
      </c>
      <c r="B81" s="11">
        <v>1.25</v>
      </c>
      <c r="C81" s="11">
        <v>1.25</v>
      </c>
      <c r="D81" s="21"/>
      <c r="E81" s="21"/>
      <c r="F81" s="18"/>
      <c r="G81" s="18"/>
      <c r="H81" s="11">
        <f t="shared" si="9"/>
        <v>10.457999999999998</v>
      </c>
      <c r="I81" s="11">
        <f t="shared" si="10"/>
        <v>4.9579999999999984</v>
      </c>
      <c r="J81" s="12">
        <f t="shared" si="11"/>
        <v>15.415999999999997</v>
      </c>
    </row>
    <row r="82" spans="1:10">
      <c r="A82" s="20" t="s">
        <v>113</v>
      </c>
      <c r="B82" s="58"/>
      <c r="C82" s="58"/>
      <c r="D82" s="21"/>
      <c r="E82" s="21"/>
      <c r="F82" s="18"/>
      <c r="G82" s="59">
        <v>1</v>
      </c>
      <c r="H82" s="11">
        <f t="shared" si="9"/>
        <v>10.457999999999998</v>
      </c>
      <c r="I82" s="11">
        <f t="shared" si="10"/>
        <v>4.9579999999999984</v>
      </c>
      <c r="J82" s="12">
        <f t="shared" si="11"/>
        <v>15.415999999999997</v>
      </c>
    </row>
    <row r="83" spans="1:10">
      <c r="A83" s="20" t="s">
        <v>114</v>
      </c>
      <c r="B83" s="58"/>
      <c r="C83" s="58"/>
      <c r="D83" s="21"/>
      <c r="E83" s="21"/>
      <c r="F83" s="60">
        <v>1</v>
      </c>
      <c r="G83" s="18"/>
      <c r="H83" s="11">
        <f t="shared" si="9"/>
        <v>9.4579999999999984</v>
      </c>
      <c r="I83" s="11">
        <f t="shared" si="10"/>
        <v>4.9579999999999984</v>
      </c>
      <c r="J83" s="12">
        <f t="shared" si="11"/>
        <v>14.415999999999997</v>
      </c>
    </row>
    <row r="84" spans="1:10">
      <c r="A84" s="58" t="s">
        <v>115</v>
      </c>
      <c r="B84" s="58"/>
      <c r="C84" s="58"/>
      <c r="D84" s="58"/>
      <c r="E84" s="17">
        <v>1</v>
      </c>
      <c r="F84" s="18"/>
      <c r="G84" s="18"/>
      <c r="H84" s="11">
        <f t="shared" si="9"/>
        <v>9.4579999999999984</v>
      </c>
      <c r="I84" s="11">
        <f t="shared" si="10"/>
        <v>3.9579999999999984</v>
      </c>
      <c r="J84" s="12">
        <f t="shared" si="11"/>
        <v>13.415999999999997</v>
      </c>
    </row>
    <row r="85" spans="1:10">
      <c r="A85" s="18" t="s">
        <v>116</v>
      </c>
      <c r="B85" s="11">
        <v>1.25</v>
      </c>
      <c r="C85" s="11">
        <v>1.25</v>
      </c>
      <c r="D85" s="58"/>
      <c r="E85" s="58"/>
      <c r="F85" s="18"/>
      <c r="G85" s="18"/>
      <c r="H85" s="11">
        <f t="shared" si="9"/>
        <v>10.707999999999998</v>
      </c>
      <c r="I85" s="11">
        <f t="shared" si="10"/>
        <v>5.2079999999999984</v>
      </c>
      <c r="J85" s="12">
        <f t="shared" si="11"/>
        <v>15.915999999999997</v>
      </c>
    </row>
    <row r="86" spans="1:10">
      <c r="A86" s="58" t="s">
        <v>119</v>
      </c>
      <c r="B86" s="58">
        <v>1.25</v>
      </c>
      <c r="C86" s="58">
        <v>1.25</v>
      </c>
      <c r="D86" s="58"/>
      <c r="E86" s="58"/>
      <c r="F86" s="18"/>
      <c r="G86" s="18"/>
      <c r="H86" s="11">
        <f t="shared" si="9"/>
        <v>11.957999999999998</v>
      </c>
      <c r="I86" s="11">
        <f t="shared" si="10"/>
        <v>6.4579999999999984</v>
      </c>
      <c r="J86" s="12">
        <f t="shared" si="11"/>
        <v>18.415999999999997</v>
      </c>
    </row>
    <row r="87" spans="1:10">
      <c r="A87" s="58" t="s">
        <v>117</v>
      </c>
      <c r="B87" s="58"/>
      <c r="C87" s="58"/>
      <c r="D87" s="58"/>
      <c r="E87" s="58">
        <v>1</v>
      </c>
      <c r="F87" s="58"/>
      <c r="G87" s="58"/>
      <c r="H87" s="11">
        <f t="shared" si="9"/>
        <v>11.957999999999998</v>
      </c>
      <c r="I87" s="11">
        <f t="shared" si="10"/>
        <v>5.4579999999999984</v>
      </c>
      <c r="J87" s="12">
        <f t="shared" si="11"/>
        <v>17.415999999999997</v>
      </c>
    </row>
    <row r="88" spans="1:10">
      <c r="A88" s="58" t="s">
        <v>118</v>
      </c>
      <c r="B88" s="58"/>
      <c r="C88" s="58"/>
      <c r="D88" s="58"/>
      <c r="E88" s="58">
        <v>1</v>
      </c>
      <c r="F88" s="58"/>
      <c r="G88" s="58"/>
      <c r="H88" s="11">
        <f t="shared" si="9"/>
        <v>11.957999999999998</v>
      </c>
      <c r="I88" s="11">
        <f t="shared" si="10"/>
        <v>4.4579999999999984</v>
      </c>
      <c r="J88" s="12">
        <f t="shared" si="11"/>
        <v>16.415999999999997</v>
      </c>
    </row>
    <row r="89" spans="1:10">
      <c r="A89" s="58" t="s">
        <v>120</v>
      </c>
      <c r="B89" s="58">
        <v>1.25</v>
      </c>
      <c r="C89" s="58">
        <v>1.25</v>
      </c>
      <c r="D89" s="58"/>
      <c r="E89" s="58"/>
      <c r="F89" s="58"/>
      <c r="G89" s="58"/>
      <c r="H89" s="11">
        <f t="shared" si="9"/>
        <v>13.207999999999998</v>
      </c>
      <c r="I89" s="11">
        <f t="shared" si="10"/>
        <v>5.7079999999999984</v>
      </c>
      <c r="J89" s="12">
        <f t="shared" si="11"/>
        <v>18.915999999999997</v>
      </c>
    </row>
    <row r="90" spans="1:10">
      <c r="A90" s="58" t="s">
        <v>121</v>
      </c>
      <c r="B90" s="58"/>
      <c r="C90" s="58"/>
      <c r="D90" s="58"/>
      <c r="E90" s="58">
        <v>2</v>
      </c>
      <c r="F90" s="58"/>
      <c r="G90" s="58"/>
      <c r="H90" s="11">
        <f t="shared" si="9"/>
        <v>13.207999999999998</v>
      </c>
      <c r="I90" s="11">
        <f t="shared" si="10"/>
        <v>3.7079999999999984</v>
      </c>
      <c r="J90" s="12">
        <f t="shared" si="11"/>
        <v>16.915999999999997</v>
      </c>
    </row>
    <row r="91" spans="1:10">
      <c r="A91" s="58" t="s">
        <v>122</v>
      </c>
      <c r="B91" s="58"/>
      <c r="C91" s="58"/>
      <c r="D91" s="58"/>
      <c r="E91" s="58"/>
      <c r="F91" s="60">
        <v>1</v>
      </c>
      <c r="G91" s="58"/>
      <c r="H91" s="11">
        <f t="shared" si="9"/>
        <v>12.207999999999998</v>
      </c>
      <c r="I91" s="11">
        <f t="shared" si="10"/>
        <v>3.7079999999999984</v>
      </c>
      <c r="J91" s="12">
        <f t="shared" si="11"/>
        <v>15.915999999999997</v>
      </c>
    </row>
    <row r="92" spans="1:10">
      <c r="A92" s="58" t="s">
        <v>123</v>
      </c>
      <c r="B92" s="58"/>
      <c r="C92" s="58"/>
      <c r="D92" s="58"/>
      <c r="E92" s="58"/>
      <c r="F92" s="17"/>
      <c r="G92" s="73">
        <v>1</v>
      </c>
      <c r="H92" s="11">
        <f t="shared" si="9"/>
        <v>12.207999999999998</v>
      </c>
      <c r="I92" s="11">
        <f t="shared" si="10"/>
        <v>3.7079999999999984</v>
      </c>
      <c r="J92" s="12">
        <f t="shared" si="11"/>
        <v>15.915999999999997</v>
      </c>
    </row>
    <row r="93" spans="1:10">
      <c r="A93" s="58" t="s">
        <v>129</v>
      </c>
      <c r="B93" s="58">
        <v>3.75</v>
      </c>
      <c r="C93" s="58">
        <v>3.75</v>
      </c>
      <c r="D93" s="58"/>
      <c r="E93" s="58"/>
      <c r="F93" s="17"/>
      <c r="G93" s="58"/>
      <c r="H93" s="11">
        <f t="shared" si="9"/>
        <v>15.957999999999998</v>
      </c>
      <c r="I93" s="11">
        <f t="shared" si="10"/>
        <v>7.4579999999999984</v>
      </c>
      <c r="J93" s="12">
        <f t="shared" si="11"/>
        <v>23.415999999999997</v>
      </c>
    </row>
    <row r="94" spans="1:10">
      <c r="A94" s="58" t="s">
        <v>143</v>
      </c>
      <c r="B94" s="58"/>
      <c r="C94" s="58"/>
      <c r="D94" s="58">
        <v>10</v>
      </c>
      <c r="E94" s="58"/>
      <c r="F94" s="17"/>
      <c r="G94" s="58"/>
      <c r="H94" s="11">
        <f t="shared" ref="H94:H101" si="12">H93-F94-D94+B94</f>
        <v>5.9579999999999984</v>
      </c>
      <c r="I94" s="11">
        <f t="shared" ref="I94:I101" si="13">I93-E94+C94</f>
        <v>7.4579999999999984</v>
      </c>
      <c r="J94" s="12">
        <f t="shared" ref="J94:J101" si="14">SUM(H94:I94)</f>
        <v>13.415999999999997</v>
      </c>
    </row>
    <row r="95" spans="1:10">
      <c r="A95" s="58" t="s">
        <v>136</v>
      </c>
      <c r="B95" s="58">
        <v>1.25</v>
      </c>
      <c r="C95" s="58">
        <v>1.25</v>
      </c>
      <c r="D95" s="58"/>
      <c r="E95" s="58"/>
      <c r="F95" s="17"/>
      <c r="G95" s="58"/>
      <c r="H95" s="11">
        <f t="shared" si="12"/>
        <v>7.2079999999999984</v>
      </c>
      <c r="I95" s="11">
        <f t="shared" si="13"/>
        <v>8.7079999999999984</v>
      </c>
      <c r="J95" s="12">
        <f t="shared" si="14"/>
        <v>15.915999999999997</v>
      </c>
    </row>
    <row r="96" spans="1:10">
      <c r="A96" s="58" t="s">
        <v>137</v>
      </c>
      <c r="B96" s="58"/>
      <c r="C96" s="58"/>
      <c r="D96" s="58"/>
      <c r="E96" s="58">
        <v>3</v>
      </c>
      <c r="F96" s="17"/>
      <c r="G96" s="58"/>
      <c r="H96" s="11">
        <f t="shared" si="12"/>
        <v>7.2079999999999984</v>
      </c>
      <c r="I96" s="11">
        <f t="shared" si="13"/>
        <v>5.7079999999999984</v>
      </c>
      <c r="J96" s="12">
        <f t="shared" si="14"/>
        <v>12.915999999999997</v>
      </c>
    </row>
    <row r="97" spans="1:10">
      <c r="A97" s="58" t="s">
        <v>138</v>
      </c>
      <c r="B97" s="58"/>
      <c r="C97" s="58"/>
      <c r="D97" s="58"/>
      <c r="E97" s="58">
        <v>2</v>
      </c>
      <c r="F97" s="17"/>
      <c r="G97" s="58"/>
      <c r="H97" s="11">
        <f t="shared" si="12"/>
        <v>7.2079999999999984</v>
      </c>
      <c r="I97" s="11">
        <f t="shared" si="13"/>
        <v>3.7079999999999984</v>
      </c>
      <c r="J97" s="12">
        <f t="shared" si="14"/>
        <v>10.915999999999997</v>
      </c>
    </row>
    <row r="98" spans="1:10">
      <c r="A98" s="58" t="s">
        <v>139</v>
      </c>
      <c r="B98" s="58">
        <v>1.25</v>
      </c>
      <c r="C98" s="58">
        <v>1.25</v>
      </c>
      <c r="D98" s="58"/>
      <c r="E98" s="58"/>
      <c r="F98" s="17"/>
      <c r="G98" s="58"/>
      <c r="H98" s="11">
        <f t="shared" si="12"/>
        <v>8.4579999999999984</v>
      </c>
      <c r="I98" s="11">
        <f t="shared" si="13"/>
        <v>4.9579999999999984</v>
      </c>
      <c r="J98" s="12">
        <f t="shared" si="14"/>
        <v>13.415999999999997</v>
      </c>
    </row>
    <row r="99" spans="1:10">
      <c r="A99" s="58" t="s">
        <v>140</v>
      </c>
      <c r="B99" s="58"/>
      <c r="C99" s="58"/>
      <c r="D99" s="58"/>
      <c r="E99" s="58"/>
      <c r="F99" s="60">
        <v>1</v>
      </c>
      <c r="G99" s="58"/>
      <c r="H99" s="11">
        <f t="shared" si="12"/>
        <v>7.4579999999999984</v>
      </c>
      <c r="I99" s="11">
        <f t="shared" si="13"/>
        <v>4.9579999999999984</v>
      </c>
      <c r="J99" s="12">
        <f t="shared" si="14"/>
        <v>12.415999999999997</v>
      </c>
    </row>
    <row r="100" spans="1:10">
      <c r="A100" s="58" t="s">
        <v>141</v>
      </c>
      <c r="B100" s="58"/>
      <c r="C100" s="58"/>
      <c r="D100" s="58"/>
      <c r="E100" s="58">
        <v>1</v>
      </c>
      <c r="F100" s="17"/>
      <c r="G100" s="58"/>
      <c r="H100" s="11">
        <f t="shared" si="12"/>
        <v>7.4579999999999984</v>
      </c>
      <c r="I100" s="11">
        <f t="shared" si="13"/>
        <v>3.9579999999999984</v>
      </c>
      <c r="J100" s="12">
        <f t="shared" si="14"/>
        <v>11.415999999999997</v>
      </c>
    </row>
    <row r="101" spans="1:10">
      <c r="A101" s="58" t="s">
        <v>142</v>
      </c>
      <c r="B101" s="58"/>
      <c r="C101" s="58"/>
      <c r="D101" s="58">
        <v>2</v>
      </c>
      <c r="E101" s="58"/>
      <c r="F101" s="17"/>
      <c r="G101" s="58"/>
      <c r="H101" s="11">
        <f t="shared" si="12"/>
        <v>5.4579999999999984</v>
      </c>
      <c r="I101" s="11">
        <f t="shared" si="13"/>
        <v>3.9579999999999984</v>
      </c>
      <c r="J101" s="12">
        <f t="shared" si="14"/>
        <v>9.4159999999999968</v>
      </c>
    </row>
    <row r="102" spans="1:10">
      <c r="A102" s="58" t="s">
        <v>144</v>
      </c>
      <c r="B102" s="58">
        <v>2.5</v>
      </c>
      <c r="C102" s="58">
        <v>2.5</v>
      </c>
      <c r="D102" s="58"/>
      <c r="E102" s="58"/>
      <c r="F102" s="17"/>
      <c r="G102" s="58"/>
      <c r="H102" s="11">
        <f t="shared" ref="H102:H104" si="15">H101-F102-D102+B102</f>
        <v>7.9579999999999984</v>
      </c>
      <c r="I102" s="11">
        <f t="shared" ref="I102:I104" si="16">I101-E102+C102</f>
        <v>6.4579999999999984</v>
      </c>
      <c r="J102" s="12">
        <f t="shared" ref="J102:J104" si="17">SUM(H102:I102)</f>
        <v>14.415999999999997</v>
      </c>
    </row>
    <row r="103" spans="1:10">
      <c r="A103" s="58" t="s">
        <v>145</v>
      </c>
      <c r="B103" s="58"/>
      <c r="C103" s="58"/>
      <c r="D103" s="58"/>
      <c r="E103" s="58">
        <v>1</v>
      </c>
      <c r="F103" s="17"/>
      <c r="G103" s="58"/>
      <c r="H103" s="11">
        <f t="shared" si="15"/>
        <v>7.9579999999999984</v>
      </c>
      <c r="I103" s="11">
        <f t="shared" si="16"/>
        <v>5.4579999999999984</v>
      </c>
      <c r="J103" s="12">
        <f t="shared" si="17"/>
        <v>13.415999999999997</v>
      </c>
    </row>
    <row r="104" spans="1:10">
      <c r="A104" s="58" t="s">
        <v>146</v>
      </c>
      <c r="B104" s="58"/>
      <c r="C104" s="58"/>
      <c r="D104" s="58"/>
      <c r="E104" s="58"/>
      <c r="F104" s="60">
        <v>1</v>
      </c>
      <c r="G104" s="58"/>
      <c r="H104" s="11">
        <f t="shared" si="15"/>
        <v>6.9579999999999984</v>
      </c>
      <c r="I104" s="11">
        <f t="shared" si="16"/>
        <v>5.4579999999999984</v>
      </c>
      <c r="J104" s="12">
        <f t="shared" si="17"/>
        <v>12.415999999999997</v>
      </c>
    </row>
    <row r="105" spans="1:10">
      <c r="A105" s="58"/>
      <c r="B105" s="58"/>
      <c r="C105" s="58"/>
      <c r="D105" s="58"/>
      <c r="E105" s="58"/>
      <c r="F105" s="17"/>
      <c r="G105" s="58"/>
      <c r="H105" s="17"/>
      <c r="I105" s="17"/>
      <c r="J105" s="17"/>
    </row>
    <row r="106" spans="1:10" s="1" customFormat="1" ht="15.95" customHeight="1">
      <c r="H106" s="61" t="s">
        <v>84</v>
      </c>
    </row>
    <row r="107" spans="1:10" s="1" customFormat="1" ht="15.95" customHeight="1">
      <c r="H107" s="61"/>
    </row>
    <row r="108" spans="1:10" s="1" customFormat="1" ht="15.95" customHeight="1">
      <c r="G108" s="8"/>
      <c r="H108" s="62" t="s">
        <v>85</v>
      </c>
    </row>
    <row r="109" spans="1:10" s="1" customFormat="1" ht="15.95" customHeight="1">
      <c r="H109" s="61" t="s">
        <v>86</v>
      </c>
    </row>
    <row r="110" spans="1:10" s="1" customFormat="1" ht="15.95" customHeight="1">
      <c r="H110" s="61" t="s">
        <v>87</v>
      </c>
    </row>
  </sheetData>
  <mergeCells count="13">
    <mergeCell ref="A2:J2"/>
    <mergeCell ref="A3:J3"/>
    <mergeCell ref="A4:J4"/>
    <mergeCell ref="A5:J5"/>
    <mergeCell ref="B7:D7"/>
    <mergeCell ref="B9:D9"/>
    <mergeCell ref="A10:J10"/>
    <mergeCell ref="D11:G11"/>
    <mergeCell ref="K11:K12"/>
    <mergeCell ref="A11:A12"/>
    <mergeCell ref="B11:C11"/>
    <mergeCell ref="H11:I11"/>
    <mergeCell ref="J11:J12"/>
  </mergeCells>
  <printOptions horizontalCentered="1"/>
  <pageMargins left="0.23622047244094491" right="0.23622047244094491" top="0.74803149606299213" bottom="0.35433070866141736" header="0.31496062992125984" footer="0.31496062992125984"/>
  <pageSetup paperSize="9" scale="7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CORRECTED</vt:lpstr>
      <vt:lpstr>CTO</vt:lpstr>
      <vt:lpstr>ELECTION</vt:lpstr>
      <vt:lpstr>Leave Card (NE) (2)</vt:lpstr>
      <vt:lpstr>WRONG</vt:lpstr>
      <vt:lpstr>CORRECTED!Print_Area</vt:lpstr>
      <vt:lpstr>'Leave Card (NE) (2)'!Print_Area</vt:lpstr>
      <vt:lpstr>WRONG!Print_Area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2025-12-12T06:18:55Z</cp:lastPrinted>
  <dcterms:created xsi:type="dcterms:W3CDTF">2021-10-07T06:10:00Z</dcterms:created>
  <dcterms:modified xsi:type="dcterms:W3CDTF">2025-12-12T06:19:57Z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5EE594DFFE8847139002498CFDAD78F4</vt:lpwstr>
  </property>
  <property fmtid="{D5CDD505-2E9C-101B-9397-08002B2CF9AE}" pid="3" name="KSOProductBuildVer">
    <vt:lpwstr>1033-11.2.0.11341</vt:lpwstr>
  </property>
</Properties>
</file>