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VERITON\Desktop\LEAVE CARD-NON-TEACHING PERSONNEL\"/>
    </mc:Choice>
  </mc:AlternateContent>
  <xr:revisionPtr revIDLastSave="0" documentId="13_ncr:1_{E115A0B6-40EF-4899-9EB6-4EA4B8BB3949}" xr6:coauthVersionLast="47" xr6:coauthVersionMax="47" xr10:uidLastSave="{00000000-0000-0000-0000-000000000000}"/>
  <bookViews>
    <workbookView xWindow="-120" yWindow="-120" windowWidth="29040" windowHeight="15720" xr2:uid="{C532281A-DA89-4ACA-8363-B39317021647}"/>
  </bookViews>
  <sheets>
    <sheet name="Leave Card" sheetId="8" r:id="rId1"/>
    <sheet name="OTHER TYPES OF LEAVE" sheetId="9" r:id="rId2"/>
  </sheets>
  <definedNames>
    <definedName name="_xlnm.Print_Area" localSheetId="0">'Leave Card'!$A$1:$J$40</definedName>
    <definedName name="_xlnm.Print_Area" localSheetId="1">'OTHER TYPES OF LEAVE'!$A$1:$L$24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36" i="8" l="1"/>
  <c r="J36" i="8" s="1"/>
  <c r="I36" i="8"/>
  <c r="H33" i="8"/>
  <c r="H34" i="8" s="1"/>
  <c r="I33" i="8"/>
  <c r="I34" i="8" s="1"/>
  <c r="I35" i="8" s="1"/>
  <c r="J33" i="8"/>
  <c r="J34" i="8" l="1"/>
  <c r="H35" i="8"/>
  <c r="J35" i="8" s="1"/>
  <c r="B16" i="8"/>
  <c r="I15" i="8" l="1"/>
  <c r="I16" i="8" s="1"/>
  <c r="I17" i="8" s="1"/>
  <c r="H15" i="8"/>
  <c r="H16" i="8" s="1"/>
  <c r="H17" i="8" s="1"/>
  <c r="H18" i="8" s="1"/>
  <c r="H19" i="8" l="1"/>
  <c r="J17" i="8"/>
  <c r="I18" i="8"/>
  <c r="I19" i="8" s="1"/>
  <c r="I20" i="8" s="1"/>
  <c r="J15" i="8"/>
  <c r="I21" i="8" l="1"/>
  <c r="I22" i="8" s="1"/>
  <c r="I23" i="8" s="1"/>
  <c r="J18" i="8"/>
  <c r="H20" i="8"/>
  <c r="H21" i="8" s="1"/>
  <c r="J19" i="8"/>
  <c r="J16" i="8"/>
  <c r="H22" i="8" l="1"/>
  <c r="J21" i="8"/>
  <c r="I24" i="8"/>
  <c r="I25" i="8" s="1"/>
  <c r="I26" i="8" s="1"/>
  <c r="I27" i="8" s="1"/>
  <c r="I28" i="8" s="1"/>
  <c r="I29" i="8" s="1"/>
  <c r="I30" i="8" s="1"/>
  <c r="I31" i="8" s="1"/>
  <c r="I32" i="8" s="1"/>
  <c r="J20" i="8"/>
  <c r="J22" i="8" l="1"/>
  <c r="H23" i="8"/>
  <c r="H24" i="8" l="1"/>
  <c r="J23" i="8"/>
  <c r="J24" i="8" l="1"/>
  <c r="H25" i="8"/>
  <c r="H26" i="8" l="1"/>
  <c r="J25" i="8"/>
  <c r="J26" i="8" l="1"/>
  <c r="H27" i="8"/>
  <c r="H28" i="8" s="1"/>
  <c r="H29" i="8" l="1"/>
  <c r="J28" i="8"/>
  <c r="J27" i="8"/>
  <c r="H30" i="8" l="1"/>
  <c r="J29" i="8"/>
  <c r="J30" i="8" l="1"/>
  <c r="H31" i="8"/>
  <c r="J31" i="8" l="1"/>
  <c r="H32" i="8"/>
  <c r="J32" i="8" s="1"/>
</calcChain>
</file>

<file path=xl/sharedStrings.xml><?xml version="1.0" encoding="utf-8"?>
<sst xmlns="http://schemas.openxmlformats.org/spreadsheetml/2006/main" count="72" uniqueCount="62">
  <si>
    <t>SERVICE LEAVE CARD</t>
  </si>
  <si>
    <t>VACATION</t>
  </si>
  <si>
    <t>SICK</t>
  </si>
  <si>
    <t>FORCED</t>
  </si>
  <si>
    <t>PERIOD COVERED</t>
  </si>
  <si>
    <t>LEAVE EARNED</t>
  </si>
  <si>
    <t>LEAVE SPENT</t>
  </si>
  <si>
    <t>BALANCE</t>
  </si>
  <si>
    <t>TOTAL</t>
  </si>
  <si>
    <t>EMP. NO  :</t>
  </si>
  <si>
    <t>STATION   :</t>
  </si>
  <si>
    <t>SPECIAL PRIVILEGE</t>
  </si>
  <si>
    <t>Republic of the Philippines</t>
  </si>
  <si>
    <t>Department of Education</t>
  </si>
  <si>
    <t>REGION VI-WESTERN VISAYAS</t>
  </si>
  <si>
    <t>SCHOOLS DIVISION OF SIPALAY CITY</t>
  </si>
  <si>
    <t>DATE OF ORIGINAL APPOINTMENT: MARCH 15, 2022</t>
  </si>
  <si>
    <t>ADD: 03/15/22 - 03/31/22</t>
  </si>
  <si>
    <t>Name: _____________________________</t>
  </si>
  <si>
    <t>DISTRICT: ___________________________</t>
  </si>
  <si>
    <t>POSITION: __________________________</t>
  </si>
  <si>
    <t>SCHOOL/OFFICE:_____________________</t>
  </si>
  <si>
    <t>NAME          : _____________________</t>
  </si>
  <si>
    <t>DISTRICT                : _______________________</t>
  </si>
  <si>
    <t>EMPLOYEE NO     : __________</t>
  </si>
  <si>
    <t>SCHOOL/OFFICE   : _______________________</t>
  </si>
  <si>
    <t>STATION CODE    : __________</t>
  </si>
  <si>
    <t>POSITION   : _____________________</t>
  </si>
  <si>
    <t>DIVISION CODE   : __________</t>
  </si>
  <si>
    <t>OTHER TYPES OF LEAVES</t>
  </si>
  <si>
    <t>Maternity Leave</t>
  </si>
  <si>
    <t>Paternity Leave</t>
  </si>
  <si>
    <t>Special Privilege Leave</t>
  </si>
  <si>
    <t>Solo Parent Leave</t>
  </si>
  <si>
    <t>Study Leave</t>
  </si>
  <si>
    <t>10 Day VAWC Leave</t>
  </si>
  <si>
    <t>Rehabilitation Leave</t>
  </si>
  <si>
    <t>Special Leave Benefits for Women</t>
  </si>
  <si>
    <t>Special Emergency (Calamity) Leave</t>
  </si>
  <si>
    <t>Adoption Leave</t>
  </si>
  <si>
    <t>LESS: 11/03 - 18/2022</t>
  </si>
  <si>
    <t>ADD: 04/01/22 - 12/31/22</t>
  </si>
  <si>
    <t>LESS: FL 2022</t>
  </si>
  <si>
    <t>ADD: 01/01/23 - 02/28/23</t>
  </si>
  <si>
    <t>LESS: 03/24/2023</t>
  </si>
  <si>
    <t>LESS: 03/29 - 30/2023</t>
  </si>
  <si>
    <t>ADD: 03/01/23 - 05/31/23</t>
  </si>
  <si>
    <t>LESS: 06/14 &amp; 15/23</t>
  </si>
  <si>
    <t>ADD: 06/01/23 - 08/31/23</t>
  </si>
  <si>
    <t>LESS: MONETIZATION 2023</t>
  </si>
  <si>
    <t>ADD: 09/01/2023-10/31/2023</t>
  </si>
  <si>
    <t>LESS: 11/13-17/2023</t>
  </si>
  <si>
    <t>ADD: 01/01/2024-06/30/2024</t>
  </si>
  <si>
    <t>LESS: 07/16/2024</t>
  </si>
  <si>
    <t>ADD: 11/01-/2023-12/31/2023</t>
  </si>
  <si>
    <t>ADD: 07/1/2024-10/31/2024</t>
  </si>
  <si>
    <t>LESS: 11/14/2024</t>
  </si>
  <si>
    <t>ADD: 11/1/2024-12/31/2024</t>
  </si>
  <si>
    <t>ADD: 01/1/2025-06/30/2025</t>
  </si>
  <si>
    <t>LESS: FL 2023</t>
  </si>
  <si>
    <t>LESS: FL 2024</t>
  </si>
  <si>
    <t>LESS: MONETIZATION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</si>
</sst>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9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61">
    <xf numFmtId="0" fontId="0" fillId="0" borderId="0" xfId="0"/>
    <xf numFmtId="0" fontId="0" fillId="2" borderId="0" xfId="0" applyFill="1"/>
    <xf numFmtId="0" fontId="1" fillId="2" borderId="0" xfId="0" applyFont="1" applyFill="1"/>
    <xf numFmtId="0" fontId="1" fillId="2" borderId="0" xfId="0" applyFont="1" applyFill="1" applyAlignment="1">
      <alignment vertical="center"/>
    </xf>
    <xf numFmtId="0" fontId="1" fillId="2" borderId="4" xfId="0" applyFont="1" applyFill="1" applyBorder="1" applyAlignment="1">
      <alignment vertical="center"/>
    </xf>
    <xf numFmtId="0" fontId="5" fillId="0" borderId="0" xfId="0" applyFont="1"/>
    <xf numFmtId="0" fontId="0" fillId="2" borderId="0" xfId="0" applyFill="1" applyAlignment="1">
      <alignment horizontal="center"/>
    </xf>
    <xf numFmtId="0" fontId="0" fillId="2" borderId="1" xfId="0" applyFill="1" applyBorder="1" applyAlignment="1">
      <alignment horizontal="center" vertical="center"/>
    </xf>
    <xf numFmtId="0" fontId="0" fillId="0" borderId="7" xfId="0" applyBorder="1" applyAlignment="1">
      <alignment vertical="center"/>
    </xf>
    <xf numFmtId="0" fontId="0" fillId="2" borderId="1" xfId="0" applyFill="1" applyBorder="1" applyAlignment="1">
      <alignment horizontal="center" vertical="center" wrapText="1"/>
    </xf>
    <xf numFmtId="0" fontId="0" fillId="2" borderId="2" xfId="0" applyFill="1" applyBorder="1" applyAlignment="1">
      <alignment horizontal="center" vertical="center" wrapText="1"/>
    </xf>
    <xf numFmtId="0" fontId="0" fillId="2" borderId="6" xfId="0" applyFill="1" applyBorder="1" applyAlignment="1">
      <alignment horizontal="center" vertical="center" wrapText="1"/>
    </xf>
    <xf numFmtId="164" fontId="0" fillId="2" borderId="1" xfId="0" applyNumberFormat="1" applyFill="1" applyBorder="1" applyAlignment="1">
      <alignment horizontal="center" vertical="center"/>
    </xf>
    <xf numFmtId="0" fontId="5" fillId="2" borderId="0" xfId="0" applyFont="1" applyFill="1"/>
    <xf numFmtId="0" fontId="4" fillId="2" borderId="0" xfId="0" applyFont="1" applyFill="1"/>
    <xf numFmtId="164" fontId="0" fillId="2" borderId="2" xfId="0" applyNumberFormat="1" applyFill="1" applyBorder="1" applyAlignment="1">
      <alignment horizontal="center" vertical="center" wrapText="1"/>
    </xf>
    <xf numFmtId="0" fontId="6" fillId="2" borderId="0" xfId="0" applyFont="1" applyFill="1" applyAlignment="1">
      <alignment horizontal="center" wrapText="1"/>
    </xf>
    <xf numFmtId="0" fontId="6" fillId="2" borderId="0" xfId="0" applyFont="1" applyFill="1" applyAlignment="1">
      <alignment wrapText="1"/>
    </xf>
    <xf numFmtId="0" fontId="6" fillId="2" borderId="0" xfId="0" applyFont="1" applyFill="1" applyAlignment="1">
      <alignment vertical="center"/>
    </xf>
    <xf numFmtId="0" fontId="6" fillId="2" borderId="0" xfId="0" applyFont="1" applyFill="1"/>
    <xf numFmtId="0" fontId="6" fillId="2" borderId="0" xfId="0" applyFont="1" applyFill="1" applyAlignment="1">
      <alignment horizontal="center"/>
    </xf>
    <xf numFmtId="0" fontId="8" fillId="6" borderId="14" xfId="0" applyFont="1" applyFill="1" applyBorder="1" applyAlignment="1">
      <alignment horizontal="center" vertical="center"/>
    </xf>
    <xf numFmtId="0" fontId="9" fillId="5" borderId="1" xfId="0" applyFont="1" applyFill="1" applyBorder="1" applyAlignment="1">
      <alignment horizontal="center" vertical="center" wrapText="1"/>
    </xf>
    <xf numFmtId="0" fontId="8" fillId="6" borderId="3" xfId="0" applyFont="1" applyFill="1" applyBorder="1" applyAlignment="1">
      <alignment horizontal="center" vertical="center"/>
    </xf>
    <xf numFmtId="0" fontId="10" fillId="0" borderId="0" xfId="0" applyFont="1"/>
    <xf numFmtId="0" fontId="0" fillId="0" borderId="7" xfId="0" applyBorder="1" applyAlignment="1">
      <alignment horizontal="center" vertical="center"/>
    </xf>
    <xf numFmtId="0" fontId="11" fillId="0" borderId="0" xfId="0" applyFont="1"/>
    <xf numFmtId="0" fontId="0" fillId="0" borderId="1" xfId="0" applyBorder="1" applyAlignment="1">
      <alignment horizontal="center" vertical="center"/>
    </xf>
    <xf numFmtId="164" fontId="0" fillId="2" borderId="1" xfId="0" applyNumberForma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164" fontId="0" fillId="0" borderId="1" xfId="0" applyNumberFormat="1" applyBorder="1" applyAlignment="1">
      <alignment horizontal="center" vertical="center"/>
    </xf>
    <xf numFmtId="0" fontId="1" fillId="0" borderId="0" xfId="0" applyFont="1" applyAlignment="1">
      <alignment vertical="center"/>
    </xf>
    <xf numFmtId="0" fontId="1" fillId="0" borderId="0" xfId="0" applyFont="1"/>
    <xf numFmtId="0" fontId="1" fillId="0" borderId="4" xfId="0" applyFont="1" applyBorder="1" applyAlignment="1">
      <alignment vertical="center"/>
    </xf>
    <xf numFmtId="0" fontId="3" fillId="7" borderId="1" xfId="0" applyFont="1" applyFill="1" applyBorder="1" applyAlignment="1">
      <alignment horizontal="center" vertical="center"/>
    </xf>
    <xf numFmtId="0" fontId="3" fillId="8" borderId="1" xfId="0" applyFont="1" applyFill="1" applyBorder="1" applyAlignment="1">
      <alignment horizontal="center" vertical="center" wrapText="1"/>
    </xf>
    <xf numFmtId="0" fontId="0" fillId="2" borderId="0" xfId="0" applyFill="1" applyAlignment="1">
      <alignment vertical="center"/>
    </xf>
    <xf numFmtId="0" fontId="0" fillId="0" borderId="1" xfId="0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164" fontId="0" fillId="0" borderId="1" xfId="0" applyNumberFormat="1" applyBorder="1" applyAlignment="1">
      <alignment horizontal="center" vertical="center" wrapText="1"/>
    </xf>
    <xf numFmtId="164" fontId="0" fillId="0" borderId="2" xfId="0" applyNumberFormat="1" applyBorder="1" applyAlignment="1">
      <alignment horizontal="center" vertical="center" wrapText="1"/>
    </xf>
    <xf numFmtId="0" fontId="4" fillId="0" borderId="0" xfId="0" applyFont="1"/>
    <xf numFmtId="0" fontId="0" fillId="2" borderId="0" xfId="0" applyFill="1" applyAlignment="1">
      <alignment horizontal="center" vertical="center"/>
    </xf>
    <xf numFmtId="0" fontId="1" fillId="2" borderId="7" xfId="0" applyFont="1" applyFill="1" applyBorder="1" applyAlignment="1">
      <alignment horizontal="center" vertical="center"/>
    </xf>
    <xf numFmtId="0" fontId="1" fillId="2" borderId="12" xfId="0" applyFont="1" applyFill="1" applyBorder="1" applyAlignment="1">
      <alignment horizontal="center" vertical="center"/>
    </xf>
    <xf numFmtId="0" fontId="1" fillId="2" borderId="13" xfId="0" applyFont="1" applyFill="1" applyBorder="1" applyAlignment="1">
      <alignment horizontal="center" vertical="center"/>
    </xf>
    <xf numFmtId="0" fontId="1" fillId="0" borderId="0" xfId="0" applyFont="1" applyAlignment="1">
      <alignment horizontal="left" vertical="center"/>
    </xf>
    <xf numFmtId="0" fontId="1" fillId="2" borderId="4" xfId="0" applyFont="1" applyFill="1" applyBorder="1" applyAlignment="1">
      <alignment horizontal="center" vertical="center"/>
    </xf>
    <xf numFmtId="0" fontId="3" fillId="4" borderId="5" xfId="0" applyFont="1" applyFill="1" applyBorder="1" applyAlignment="1">
      <alignment horizontal="center" vertical="center"/>
    </xf>
    <xf numFmtId="0" fontId="3" fillId="4" borderId="6" xfId="0" applyFont="1" applyFill="1" applyBorder="1" applyAlignment="1">
      <alignment horizontal="center" vertical="center"/>
    </xf>
    <xf numFmtId="0" fontId="3" fillId="3" borderId="9" xfId="0" applyFont="1" applyFill="1" applyBorder="1" applyAlignment="1">
      <alignment horizontal="center" vertical="center"/>
    </xf>
    <xf numFmtId="0" fontId="3" fillId="3" borderId="10" xfId="0" applyFont="1" applyFill="1" applyBorder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0" fontId="3" fillId="0" borderId="10" xfId="0" applyFont="1" applyBorder="1" applyAlignment="1">
      <alignment horizontal="center" vertical="center"/>
    </xf>
    <xf numFmtId="0" fontId="3" fillId="4" borderId="8" xfId="0" applyFont="1" applyFill="1" applyBorder="1" applyAlignment="1">
      <alignment horizontal="center" vertical="center"/>
    </xf>
    <xf numFmtId="0" fontId="3" fillId="4" borderId="3" xfId="0" applyFont="1" applyFill="1" applyBorder="1" applyAlignment="1">
      <alignment horizontal="center" vertical="center"/>
    </xf>
    <xf numFmtId="0" fontId="2" fillId="2" borderId="11" xfId="0" applyFont="1" applyFill="1" applyBorder="1" applyAlignment="1">
      <alignment horizontal="center" vertical="center"/>
    </xf>
    <xf numFmtId="0" fontId="6" fillId="2" borderId="0" xfId="0" applyFont="1" applyFill="1" applyAlignment="1">
      <alignment horizontal="left" vertical="center"/>
    </xf>
    <xf numFmtId="0" fontId="6" fillId="2" borderId="0" xfId="0" applyFont="1" applyFill="1" applyAlignment="1">
      <alignment horizontal="left"/>
    </xf>
    <xf numFmtId="0" fontId="7" fillId="2" borderId="11" xfId="0" applyFont="1" applyFill="1" applyBorder="1" applyAlignment="1">
      <alignment horizontal="center" vertical="center"/>
    </xf>
    <xf numFmtId="0" fontId="1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765176</xdr:colOff>
      <xdr:row>0</xdr:row>
      <xdr:rowOff>19050</xdr:rowOff>
    </xdr:from>
    <xdr:to>
      <xdr:col>3</xdr:col>
      <xdr:colOff>758825</xdr:colOff>
      <xdr:row>0</xdr:row>
      <xdr:rowOff>657226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8132980-A22F-4F37-8F7E-84FE47C4795A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10126" y="19050"/>
          <a:ext cx="806449" cy="638176"/>
        </a:xfrm>
        <a:prstGeom prst="rect">
          <a:avLst/>
        </a:prstGeom>
        <a:noFill/>
      </xdr:spPr>
    </xdr:pic>
    <xdr:clientData/>
  </xdr:twoCellAnchor>
  <xdr:twoCellAnchor>
    <xdr:from>
      <xdr:col>6</xdr:col>
      <xdr:colOff>133350</xdr:colOff>
      <xdr:row>36</xdr:row>
      <xdr:rowOff>142875</xdr:rowOff>
    </xdr:from>
    <xdr:to>
      <xdr:col>9</xdr:col>
      <xdr:colOff>590550</xdr:colOff>
      <xdr:row>39</xdr:row>
      <xdr:rowOff>209550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48941289-E8EA-4E8B-9F20-690B5EBC5854}"/>
            </a:ext>
          </a:extLst>
        </xdr:cNvPr>
        <xdr:cNvSpPr txBox="1"/>
      </xdr:nvSpPr>
      <xdr:spPr>
        <a:xfrm>
          <a:off x="7077075" y="7400925"/>
          <a:ext cx="2771775" cy="108585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Certified</a:t>
          </a:r>
          <a:r>
            <a:rPr lang="en-US" sz="1100" baseline="0"/>
            <a:t> Correct:</a:t>
          </a:r>
        </a:p>
        <a:p>
          <a:endParaRPr lang="en-US" sz="1100" baseline="0"/>
        </a:p>
        <a:p>
          <a:r>
            <a:rPr lang="en-US" sz="1100" b="1" baseline="0"/>
            <a:t>	</a:t>
          </a:r>
          <a:r>
            <a:rPr lang="en-US" sz="1100" b="1" u="sng" baseline="0"/>
            <a:t>MA. LUISA B. CATIGAN</a:t>
          </a:r>
        </a:p>
        <a:p>
          <a:r>
            <a:rPr lang="en-US" sz="1100" baseline="0"/>
            <a:t>	Administrative Officer IV</a:t>
          </a:r>
        </a:p>
        <a:p>
          <a:r>
            <a:rPr lang="en-US" sz="1100" baseline="0"/>
            <a:t>	            HRMO</a:t>
          </a:r>
          <a:endParaRPr lang="en-US" sz="1100"/>
        </a:p>
      </xdr:txBody>
    </xdr:sp>
    <xdr:clientData/>
  </xdr:twoCellAnchor>
  <xdr:twoCellAnchor>
    <xdr:from>
      <xdr:col>0</xdr:col>
      <xdr:colOff>573942</xdr:colOff>
      <xdr:row>5</xdr:row>
      <xdr:rowOff>170961</xdr:rowOff>
    </xdr:from>
    <xdr:to>
      <xdr:col>0</xdr:col>
      <xdr:colOff>2582741</xdr:colOff>
      <xdr:row>7</xdr:row>
      <xdr:rowOff>116010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C8589AF9-498D-4B96-9F57-1E9E661B7FB4}"/>
            </a:ext>
          </a:extLst>
        </xdr:cNvPr>
        <xdr:cNvSpPr txBox="1"/>
      </xdr:nvSpPr>
      <xdr:spPr>
        <a:xfrm>
          <a:off x="573942" y="1377461"/>
          <a:ext cx="2008799" cy="249849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SAROL, JOELJUN A.</a:t>
          </a:r>
        </a:p>
      </xdr:txBody>
    </xdr:sp>
    <xdr:clientData/>
  </xdr:twoCellAnchor>
  <xdr:twoCellAnchor>
    <xdr:from>
      <xdr:col>0</xdr:col>
      <xdr:colOff>616683</xdr:colOff>
      <xdr:row>8</xdr:row>
      <xdr:rowOff>61057</xdr:rowOff>
    </xdr:from>
    <xdr:to>
      <xdr:col>0</xdr:col>
      <xdr:colOff>2625482</xdr:colOff>
      <xdr:row>10</xdr:row>
      <xdr:rowOff>6105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46DB4F51-2685-4A3B-ABAA-21EC3344287F}"/>
            </a:ext>
          </a:extLst>
        </xdr:cNvPr>
        <xdr:cNvSpPr txBox="1"/>
      </xdr:nvSpPr>
      <xdr:spPr>
        <a:xfrm>
          <a:off x="616683" y="1724757"/>
          <a:ext cx="1996099" cy="24984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AO II</a:t>
          </a:r>
        </a:p>
      </xdr:txBody>
    </xdr:sp>
    <xdr:clientData/>
  </xdr:twoCellAnchor>
  <xdr:twoCellAnchor>
    <xdr:from>
      <xdr:col>2</xdr:col>
      <xdr:colOff>415193</xdr:colOff>
      <xdr:row>8</xdr:row>
      <xdr:rowOff>42741</xdr:rowOff>
    </xdr:from>
    <xdr:to>
      <xdr:col>4</xdr:col>
      <xdr:colOff>171450</xdr:colOff>
      <xdr:row>9</xdr:row>
      <xdr:rowOff>140434</xdr:rowOff>
    </xdr:to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3632156C-4858-41B6-99D3-DB375A2E6737}"/>
            </a:ext>
          </a:extLst>
        </xdr:cNvPr>
        <xdr:cNvSpPr txBox="1"/>
      </xdr:nvSpPr>
      <xdr:spPr>
        <a:xfrm>
          <a:off x="4272818" y="1804866"/>
          <a:ext cx="1299307" cy="250093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MANLUCAHOC</a:t>
          </a:r>
          <a:r>
            <a:rPr lang="en-US" sz="1100" baseline="0"/>
            <a:t> ES</a:t>
          </a:r>
          <a:r>
            <a:rPr lang="en-US" sz="1100"/>
            <a:t> SIPALAY CITY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265662</xdr:colOff>
      <xdr:row>0</xdr:row>
      <xdr:rowOff>28769</xdr:rowOff>
    </xdr:from>
    <xdr:to>
      <xdr:col>5</xdr:col>
      <xdr:colOff>356571</xdr:colOff>
      <xdr:row>3</xdr:row>
      <xdr:rowOff>101989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5520D87-9098-4A12-AB7C-F125E714E91D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183612" y="28769"/>
          <a:ext cx="700509" cy="625670"/>
        </a:xfrm>
        <a:prstGeom prst="rect">
          <a:avLst/>
        </a:prstGeom>
        <a:noFill/>
      </xdr:spPr>
    </xdr:pic>
    <xdr:clientData/>
  </xdr:twoCellAnchor>
  <xdr:twoCellAnchor>
    <xdr:from>
      <xdr:col>0</xdr:col>
      <xdr:colOff>76200</xdr:colOff>
      <xdr:row>21</xdr:row>
      <xdr:rowOff>209550</xdr:rowOff>
    </xdr:from>
    <xdr:to>
      <xdr:col>2</xdr:col>
      <xdr:colOff>533400</xdr:colOff>
      <xdr:row>23</xdr:row>
      <xdr:rowOff>123825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BC34420B-CF89-42C9-8754-474922887F4E}"/>
            </a:ext>
          </a:extLst>
        </xdr:cNvPr>
        <xdr:cNvSpPr txBox="1"/>
      </xdr:nvSpPr>
      <xdr:spPr>
        <a:xfrm>
          <a:off x="76200" y="4756150"/>
          <a:ext cx="3028950" cy="105727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Certified</a:t>
          </a:r>
          <a:r>
            <a:rPr lang="en-US" sz="1100" baseline="0"/>
            <a:t> Correct:</a:t>
          </a:r>
        </a:p>
        <a:p>
          <a:endParaRPr lang="en-US" sz="1100" baseline="0"/>
        </a:p>
        <a:p>
          <a:r>
            <a:rPr lang="en-US" sz="1100" b="1" baseline="0"/>
            <a:t>	</a:t>
          </a:r>
          <a:r>
            <a:rPr lang="en-US" sz="1100" b="1" u="sng" baseline="0"/>
            <a:t>MA. LUISA B. CATIGAN</a:t>
          </a:r>
        </a:p>
        <a:p>
          <a:r>
            <a:rPr lang="en-US" sz="1100" baseline="0"/>
            <a:t>	Administrative Officer IV</a:t>
          </a:r>
        </a:p>
        <a:p>
          <a:r>
            <a:rPr lang="en-US" sz="1100" baseline="0"/>
            <a:t>	               HRMO</a:t>
          </a:r>
          <a:endParaRPr lang="en-US" sz="1100"/>
        </a:p>
      </xdr:txBody>
    </xdr:sp>
    <xdr:clientData/>
  </xdr:twoCellAnchor>
  <xdr:twoCellAnchor>
    <xdr:from>
      <xdr:col>0</xdr:col>
      <xdr:colOff>903654</xdr:colOff>
      <xdr:row>5</xdr:row>
      <xdr:rowOff>85481</xdr:rowOff>
    </xdr:from>
    <xdr:to>
      <xdr:col>1</xdr:col>
      <xdr:colOff>262549</xdr:colOff>
      <xdr:row>7</xdr:row>
      <xdr:rowOff>95984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D07815BF-0BE2-4CED-A68D-8A4840DEF396}"/>
            </a:ext>
          </a:extLst>
        </xdr:cNvPr>
        <xdr:cNvSpPr txBox="1"/>
      </xdr:nvSpPr>
      <xdr:spPr>
        <a:xfrm>
          <a:off x="903654" y="1489808"/>
          <a:ext cx="2008799" cy="218099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SAROL, JOELJUN</a:t>
          </a:r>
        </a:p>
      </xdr:txBody>
    </xdr:sp>
    <xdr:clientData/>
  </xdr:twoCellAnchor>
  <xdr:twoCellAnchor>
    <xdr:from>
      <xdr:col>0</xdr:col>
      <xdr:colOff>897548</xdr:colOff>
      <xdr:row>8</xdr:row>
      <xdr:rowOff>54953</xdr:rowOff>
    </xdr:from>
    <xdr:to>
      <xdr:col>1</xdr:col>
      <xdr:colOff>256443</xdr:colOff>
      <xdr:row>9</xdr:row>
      <xdr:rowOff>152156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4FFE38C3-1526-453C-9DBD-1BF9D40B5FB5}"/>
            </a:ext>
          </a:extLst>
        </xdr:cNvPr>
        <xdr:cNvSpPr txBox="1"/>
      </xdr:nvSpPr>
      <xdr:spPr>
        <a:xfrm>
          <a:off x="897548" y="1819520"/>
          <a:ext cx="2008799" cy="24984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AO II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C75E6E-5FD9-4E30-B981-22326D257E22}">
  <sheetPr>
    <pageSetUpPr fitToPage="1"/>
  </sheetPr>
  <dimension ref="A1:K40"/>
  <sheetViews>
    <sheetView tabSelected="1" view="pageBreakPreview" topLeftCell="A15" zoomScaleNormal="100" zoomScaleSheetLayoutView="100" workbookViewId="0">
      <selection activeCell="C31" sqref="C31"/>
    </sheetView>
  </sheetViews>
  <sheetFormatPr defaultRowHeight="15" x14ac:dyDescent="0.25"/>
  <cols>
    <col min="1" max="1" width="46.28515625" customWidth="1"/>
    <col min="2" max="10" width="11.5703125" customWidth="1"/>
  </cols>
  <sheetData>
    <row r="1" spans="1:11" s="1" customFormat="1" ht="52.5" customHeight="1" x14ac:dyDescent="0.25">
      <c r="B1"/>
      <c r="C1"/>
      <c r="D1"/>
      <c r="E1"/>
      <c r="F1"/>
      <c r="G1" s="6"/>
      <c r="H1"/>
      <c r="I1"/>
    </row>
    <row r="2" spans="1:11" s="1" customFormat="1" ht="10.5" customHeight="1" x14ac:dyDescent="0.25">
      <c r="A2" s="42" t="s">
        <v>12</v>
      </c>
      <c r="B2" s="42"/>
      <c r="C2" s="42"/>
      <c r="D2" s="42"/>
      <c r="E2" s="42"/>
      <c r="F2" s="42"/>
      <c r="G2" s="42"/>
      <c r="H2" s="42"/>
      <c r="I2" s="42"/>
      <c r="J2" s="42"/>
    </row>
    <row r="3" spans="1:11" s="1" customFormat="1" ht="15.95" customHeight="1" x14ac:dyDescent="0.25">
      <c r="A3" s="42" t="s">
        <v>13</v>
      </c>
      <c r="B3" s="42"/>
      <c r="C3" s="42"/>
      <c r="D3" s="42"/>
      <c r="E3" s="42"/>
      <c r="F3" s="42"/>
      <c r="G3" s="42"/>
      <c r="H3" s="42"/>
      <c r="I3" s="42"/>
      <c r="J3" s="42"/>
    </row>
    <row r="4" spans="1:11" s="1" customFormat="1" ht="15.95" customHeight="1" x14ac:dyDescent="0.25">
      <c r="A4" s="42" t="s">
        <v>14</v>
      </c>
      <c r="B4" s="42"/>
      <c r="C4" s="42"/>
      <c r="D4" s="42"/>
      <c r="E4" s="42"/>
      <c r="F4" s="42"/>
      <c r="G4" s="42"/>
      <c r="H4" s="42"/>
      <c r="I4" s="42"/>
      <c r="J4" s="42"/>
    </row>
    <row r="5" spans="1:11" s="1" customFormat="1" ht="15.95" customHeight="1" x14ac:dyDescent="0.25">
      <c r="A5" s="42" t="s">
        <v>15</v>
      </c>
      <c r="B5" s="42"/>
      <c r="C5" s="42"/>
      <c r="D5" s="42"/>
      <c r="E5" s="42"/>
      <c r="F5" s="42"/>
      <c r="G5" s="42"/>
      <c r="H5" s="42"/>
      <c r="I5" s="42"/>
      <c r="J5" s="42"/>
    </row>
    <row r="6" spans="1:11" s="1" customFormat="1" ht="8.25" customHeight="1" x14ac:dyDescent="0.25">
      <c r="B6"/>
      <c r="C6"/>
      <c r="D6"/>
      <c r="E6"/>
      <c r="F6"/>
      <c r="G6" s="6"/>
      <c r="H6"/>
      <c r="I6"/>
    </row>
    <row r="7" spans="1:11" s="1" customFormat="1" ht="8.25" customHeight="1" x14ac:dyDescent="0.25">
      <c r="B7"/>
      <c r="C7"/>
      <c r="D7"/>
      <c r="E7"/>
      <c r="F7"/>
      <c r="H7"/>
      <c r="I7"/>
    </row>
    <row r="8" spans="1:11" s="1" customFormat="1" ht="12" customHeight="1" x14ac:dyDescent="0.25">
      <c r="A8" s="1" t="s">
        <v>18</v>
      </c>
      <c r="B8" s="46" t="s">
        <v>19</v>
      </c>
      <c r="C8" s="46"/>
      <c r="D8" s="46"/>
      <c r="E8"/>
      <c r="F8"/>
      <c r="H8" s="31" t="s">
        <v>9</v>
      </c>
      <c r="I8" s="47"/>
      <c r="J8" s="47"/>
      <c r="K8" s="3"/>
    </row>
    <row r="9" spans="1:11" s="1" customFormat="1" ht="12" customHeight="1" x14ac:dyDescent="0.25">
      <c r="B9" s="32"/>
      <c r="C9" s="32"/>
      <c r="D9"/>
      <c r="E9"/>
      <c r="F9"/>
      <c r="H9" s="32"/>
      <c r="I9" s="32"/>
      <c r="J9" s="2"/>
      <c r="K9" s="2"/>
    </row>
    <row r="10" spans="1:11" s="1" customFormat="1" ht="12" customHeight="1" x14ac:dyDescent="0.25">
      <c r="A10" s="1" t="s">
        <v>20</v>
      </c>
      <c r="B10" s="46" t="s">
        <v>21</v>
      </c>
      <c r="C10" s="46"/>
      <c r="D10" s="46"/>
      <c r="E10"/>
      <c r="F10"/>
      <c r="H10" s="31" t="s">
        <v>10</v>
      </c>
      <c r="I10" s="33"/>
      <c r="J10" s="4"/>
      <c r="K10" s="3"/>
    </row>
    <row r="11" spans="1:11" ht="16.5" customHeight="1" thickBot="1" x14ac:dyDescent="0.3">
      <c r="A11" s="56" t="s">
        <v>0</v>
      </c>
      <c r="B11" s="56"/>
      <c r="C11" s="56"/>
      <c r="D11" s="56"/>
      <c r="E11" s="56"/>
      <c r="F11" s="56"/>
      <c r="G11" s="56"/>
      <c r="H11" s="56"/>
      <c r="I11" s="56"/>
      <c r="J11" s="56"/>
      <c r="K11" s="56"/>
    </row>
    <row r="12" spans="1:11" s="5" customFormat="1" ht="18.75" customHeight="1" x14ac:dyDescent="0.2">
      <c r="A12" s="48" t="s">
        <v>4</v>
      </c>
      <c r="B12" s="50" t="s">
        <v>5</v>
      </c>
      <c r="C12" s="51"/>
      <c r="D12" s="50" t="s">
        <v>6</v>
      </c>
      <c r="E12" s="51"/>
      <c r="F12" s="51"/>
      <c r="G12" s="51"/>
      <c r="H12" s="52" t="s">
        <v>7</v>
      </c>
      <c r="I12" s="53"/>
      <c r="J12" s="54" t="s">
        <v>8</v>
      </c>
    </row>
    <row r="13" spans="1:11" s="5" customFormat="1" ht="28.5" customHeight="1" x14ac:dyDescent="0.2">
      <c r="A13" s="49"/>
      <c r="B13" s="29" t="s">
        <v>1</v>
      </c>
      <c r="C13" s="29" t="s">
        <v>2</v>
      </c>
      <c r="D13" s="29" t="s">
        <v>1</v>
      </c>
      <c r="E13" s="29" t="s">
        <v>2</v>
      </c>
      <c r="F13" s="34" t="s">
        <v>3</v>
      </c>
      <c r="G13" s="35" t="s">
        <v>11</v>
      </c>
      <c r="H13" s="29" t="s">
        <v>1</v>
      </c>
      <c r="I13" s="29" t="s">
        <v>2</v>
      </c>
      <c r="J13" s="55"/>
    </row>
    <row r="14" spans="1:11" s="13" customFormat="1" ht="21" customHeight="1" x14ac:dyDescent="0.2">
      <c r="A14" s="43" t="s">
        <v>16</v>
      </c>
      <c r="B14" s="44"/>
      <c r="C14" s="44"/>
      <c r="D14" s="44"/>
      <c r="E14" s="44"/>
      <c r="F14" s="44"/>
      <c r="G14" s="44"/>
      <c r="H14" s="44"/>
      <c r="I14" s="44"/>
      <c r="J14" s="45"/>
    </row>
    <row r="15" spans="1:11" s="14" customFormat="1" ht="18" customHeight="1" x14ac:dyDescent="0.2">
      <c r="A15" s="11" t="s">
        <v>17</v>
      </c>
      <c r="B15" s="30">
        <v>0.70799999999999996</v>
      </c>
      <c r="C15" s="30">
        <v>0.70799999999999996</v>
      </c>
      <c r="D15" s="30"/>
      <c r="E15" s="30"/>
      <c r="F15" s="30"/>
      <c r="G15" s="28"/>
      <c r="H15" s="30">
        <f>B15</f>
        <v>0.70799999999999996</v>
      </c>
      <c r="I15" s="30">
        <f>C15</f>
        <v>0.70799999999999996</v>
      </c>
      <c r="J15" s="15">
        <f>H15+I15</f>
        <v>1.4159999999999999</v>
      </c>
    </row>
    <row r="16" spans="1:11" s="14" customFormat="1" ht="18" customHeight="1" x14ac:dyDescent="0.2">
      <c r="A16" s="11" t="s">
        <v>41</v>
      </c>
      <c r="B16" s="30">
        <f>9*1.25</f>
        <v>11.25</v>
      </c>
      <c r="C16" s="30">
        <v>11.25</v>
      </c>
      <c r="D16" s="30"/>
      <c r="E16" s="30"/>
      <c r="F16" s="30"/>
      <c r="G16" s="28"/>
      <c r="H16" s="30">
        <f>H15-F16-D16+B16</f>
        <v>11.958</v>
      </c>
      <c r="I16" s="30">
        <f>I15-E16+C16</f>
        <v>11.958</v>
      </c>
      <c r="J16" s="15">
        <f>H16+I16</f>
        <v>23.916</v>
      </c>
    </row>
    <row r="17" spans="1:10" s="14" customFormat="1" ht="18" customHeight="1" x14ac:dyDescent="0.2">
      <c r="A17" s="11" t="s">
        <v>42</v>
      </c>
      <c r="B17" s="30"/>
      <c r="C17" s="30"/>
      <c r="D17" s="30"/>
      <c r="E17" s="30"/>
      <c r="F17" s="30">
        <v>5</v>
      </c>
      <c r="G17" s="28"/>
      <c r="H17" s="30">
        <f t="shared" ref="H17:H20" si="0">H16-F17-D17+B17</f>
        <v>6.9580000000000002</v>
      </c>
      <c r="I17" s="30">
        <f t="shared" ref="I17:I20" si="1">I16-E17+C17</f>
        <v>11.958</v>
      </c>
      <c r="J17" s="15">
        <f t="shared" ref="J17:J20" si="2">H17+I17</f>
        <v>18.916</v>
      </c>
    </row>
    <row r="18" spans="1:10" s="14" customFormat="1" ht="18" customHeight="1" x14ac:dyDescent="0.2">
      <c r="A18" s="11" t="s">
        <v>43</v>
      </c>
      <c r="B18" s="30">
        <v>2.5</v>
      </c>
      <c r="C18" s="30">
        <v>2.5</v>
      </c>
      <c r="D18" s="30"/>
      <c r="E18" s="30"/>
      <c r="F18" s="30"/>
      <c r="G18" s="28"/>
      <c r="H18" s="30">
        <f t="shared" si="0"/>
        <v>9.4580000000000002</v>
      </c>
      <c r="I18" s="30">
        <f t="shared" si="1"/>
        <v>14.458</v>
      </c>
      <c r="J18" s="15">
        <f t="shared" si="2"/>
        <v>23.916</v>
      </c>
    </row>
    <row r="19" spans="1:10" s="14" customFormat="1" ht="18" customHeight="1" x14ac:dyDescent="0.2">
      <c r="A19" s="11" t="s">
        <v>44</v>
      </c>
      <c r="B19" s="30"/>
      <c r="C19" s="30"/>
      <c r="D19" s="30"/>
      <c r="E19" s="30"/>
      <c r="F19" s="30"/>
      <c r="G19" s="28">
        <v>1</v>
      </c>
      <c r="H19" s="30">
        <f t="shared" si="0"/>
        <v>9.4580000000000002</v>
      </c>
      <c r="I19" s="30">
        <f t="shared" si="1"/>
        <v>14.458</v>
      </c>
      <c r="J19" s="15">
        <f t="shared" si="2"/>
        <v>23.916</v>
      </c>
    </row>
    <row r="20" spans="1:10" s="14" customFormat="1" ht="18" customHeight="1" x14ac:dyDescent="0.2">
      <c r="A20" s="11" t="s">
        <v>45</v>
      </c>
      <c r="B20" s="30"/>
      <c r="C20" s="30"/>
      <c r="D20" s="30"/>
      <c r="E20" s="30"/>
      <c r="F20" s="30">
        <v>2</v>
      </c>
      <c r="G20" s="28"/>
      <c r="H20" s="30">
        <f t="shared" si="0"/>
        <v>7.4580000000000002</v>
      </c>
      <c r="I20" s="30">
        <f t="shared" si="1"/>
        <v>14.458</v>
      </c>
      <c r="J20" s="15">
        <f t="shared" si="2"/>
        <v>21.916</v>
      </c>
    </row>
    <row r="21" spans="1:10" s="14" customFormat="1" ht="18" customHeight="1" x14ac:dyDescent="0.2">
      <c r="A21" s="11" t="s">
        <v>46</v>
      </c>
      <c r="B21" s="30">
        <v>3.75</v>
      </c>
      <c r="C21" s="30">
        <v>3.75</v>
      </c>
      <c r="D21" s="30"/>
      <c r="E21" s="30"/>
      <c r="F21" s="30"/>
      <c r="G21" s="28"/>
      <c r="H21" s="30">
        <f t="shared" ref="H21:H22" si="3">H20-F21-D21+B21</f>
        <v>11.208</v>
      </c>
      <c r="I21" s="30">
        <f t="shared" ref="I21:I22" si="4">I20-E21+C21</f>
        <v>18.207999999999998</v>
      </c>
      <c r="J21" s="15">
        <f t="shared" ref="J21:J22" si="5">H21+I21</f>
        <v>29.415999999999997</v>
      </c>
    </row>
    <row r="22" spans="1:10" s="14" customFormat="1" ht="18" customHeight="1" x14ac:dyDescent="0.2">
      <c r="A22" s="11" t="s">
        <v>47</v>
      </c>
      <c r="B22" s="30"/>
      <c r="C22" s="30"/>
      <c r="D22" s="30"/>
      <c r="E22" s="30"/>
      <c r="F22" s="30">
        <v>2</v>
      </c>
      <c r="G22" s="28"/>
      <c r="H22" s="30">
        <f t="shared" si="3"/>
        <v>9.2080000000000002</v>
      </c>
      <c r="I22" s="30">
        <f t="shared" si="4"/>
        <v>18.207999999999998</v>
      </c>
      <c r="J22" s="15">
        <f t="shared" si="5"/>
        <v>27.415999999999997</v>
      </c>
    </row>
    <row r="23" spans="1:10" s="14" customFormat="1" ht="18" customHeight="1" x14ac:dyDescent="0.2">
      <c r="A23" s="11" t="s">
        <v>48</v>
      </c>
      <c r="B23" s="30">
        <v>3.75</v>
      </c>
      <c r="C23" s="30">
        <v>3.75</v>
      </c>
      <c r="D23" s="30"/>
      <c r="E23" s="30"/>
      <c r="F23" s="30"/>
      <c r="G23" s="28"/>
      <c r="H23" s="30">
        <f t="shared" ref="H23" si="6">H22-F23-D23+B23</f>
        <v>12.958</v>
      </c>
      <c r="I23" s="30">
        <f t="shared" ref="I23" si="7">I22-E23+C23</f>
        <v>21.957999999999998</v>
      </c>
      <c r="J23" s="15">
        <f t="shared" ref="J23" si="8">H23+I23</f>
        <v>34.915999999999997</v>
      </c>
    </row>
    <row r="24" spans="1:10" s="14" customFormat="1" ht="18" customHeight="1" x14ac:dyDescent="0.2">
      <c r="A24" s="11" t="s">
        <v>49</v>
      </c>
      <c r="B24" s="30"/>
      <c r="C24" s="30"/>
      <c r="D24" s="30">
        <v>7</v>
      </c>
      <c r="E24" s="30">
        <v>20</v>
      </c>
      <c r="F24" s="30"/>
      <c r="G24" s="28"/>
      <c r="H24" s="30">
        <f t="shared" ref="H24" si="9">H23-F24-D24+B24</f>
        <v>5.9580000000000002</v>
      </c>
      <c r="I24" s="30">
        <f t="shared" ref="I24" si="10">I23-E24+C24</f>
        <v>1.9579999999999984</v>
      </c>
      <c r="J24" s="15">
        <f t="shared" ref="J24" si="11">H24+I24</f>
        <v>7.9159999999999986</v>
      </c>
    </row>
    <row r="25" spans="1:10" s="14" customFormat="1" ht="18" customHeight="1" x14ac:dyDescent="0.2">
      <c r="A25" s="11" t="s">
        <v>50</v>
      </c>
      <c r="B25" s="30">
        <v>2.5</v>
      </c>
      <c r="C25" s="30">
        <v>2.5</v>
      </c>
      <c r="D25" s="30"/>
      <c r="E25" s="30"/>
      <c r="F25" s="30"/>
      <c r="G25" s="28"/>
      <c r="H25" s="30">
        <f t="shared" ref="H25:H27" si="12">H24-F25-D25+B25</f>
        <v>8.4580000000000002</v>
      </c>
      <c r="I25" s="30">
        <f t="shared" ref="I25:I27" si="13">I24-E25+C25</f>
        <v>4.4579999999999984</v>
      </c>
      <c r="J25" s="15">
        <f t="shared" ref="J25:J27" si="14">H25+I25</f>
        <v>12.915999999999999</v>
      </c>
    </row>
    <row r="26" spans="1:10" s="14" customFormat="1" ht="18" customHeight="1" x14ac:dyDescent="0.2">
      <c r="A26" s="11" t="s">
        <v>51</v>
      </c>
      <c r="B26" s="30"/>
      <c r="C26" s="30"/>
      <c r="D26" s="30">
        <v>5</v>
      </c>
      <c r="E26" s="30"/>
      <c r="F26" s="30"/>
      <c r="G26" s="28"/>
      <c r="H26" s="30">
        <f t="shared" si="12"/>
        <v>3.4580000000000002</v>
      </c>
      <c r="I26" s="30">
        <f t="shared" si="13"/>
        <v>4.4579999999999984</v>
      </c>
      <c r="J26" s="15">
        <f t="shared" si="14"/>
        <v>7.9159999999999986</v>
      </c>
    </row>
    <row r="27" spans="1:10" s="14" customFormat="1" ht="18" customHeight="1" x14ac:dyDescent="0.2">
      <c r="A27" s="11" t="s">
        <v>54</v>
      </c>
      <c r="B27" s="30">
        <v>2.5</v>
      </c>
      <c r="C27" s="30">
        <v>2.5</v>
      </c>
      <c r="D27" s="30"/>
      <c r="E27" s="30"/>
      <c r="F27" s="30"/>
      <c r="G27" s="28"/>
      <c r="H27" s="30">
        <f t="shared" si="12"/>
        <v>5.9580000000000002</v>
      </c>
      <c r="I27" s="30">
        <f t="shared" si="13"/>
        <v>6.9579999999999984</v>
      </c>
      <c r="J27" s="15">
        <f t="shared" si="14"/>
        <v>12.915999999999999</v>
      </c>
    </row>
    <row r="28" spans="1:10" s="41" customFormat="1" ht="18" customHeight="1" x14ac:dyDescent="0.2">
      <c r="A28" s="38" t="s">
        <v>59</v>
      </c>
      <c r="B28" s="30"/>
      <c r="C28" s="30"/>
      <c r="D28" s="30"/>
      <c r="E28" s="30"/>
      <c r="F28" s="30">
        <v>1</v>
      </c>
      <c r="G28" s="39"/>
      <c r="H28" s="30">
        <f t="shared" ref="H28:H29" si="15">H27-F28-D28+B28</f>
        <v>4.9580000000000002</v>
      </c>
      <c r="I28" s="30">
        <f t="shared" ref="I28:I29" si="16">I27-E28+C28</f>
        <v>6.9579999999999984</v>
      </c>
      <c r="J28" s="40">
        <f t="shared" ref="J28:J29" si="17">H28+I28</f>
        <v>11.915999999999999</v>
      </c>
    </row>
    <row r="29" spans="1:10" s="14" customFormat="1" ht="18" customHeight="1" x14ac:dyDescent="0.2">
      <c r="A29" s="11" t="s">
        <v>52</v>
      </c>
      <c r="B29" s="27">
        <v>7.5</v>
      </c>
      <c r="C29" s="27">
        <v>7.5</v>
      </c>
      <c r="D29" s="27"/>
      <c r="E29" s="27"/>
      <c r="F29" s="27"/>
      <c r="G29" s="9"/>
      <c r="H29" s="30">
        <f t="shared" si="15"/>
        <v>12.458</v>
      </c>
      <c r="I29" s="30">
        <f t="shared" si="16"/>
        <v>14.457999999999998</v>
      </c>
      <c r="J29" s="15">
        <f t="shared" si="17"/>
        <v>26.915999999999997</v>
      </c>
    </row>
    <row r="30" spans="1:10" s="14" customFormat="1" ht="18" customHeight="1" x14ac:dyDescent="0.2">
      <c r="A30" s="9" t="s">
        <v>53</v>
      </c>
      <c r="B30" s="27"/>
      <c r="C30" s="27"/>
      <c r="D30" s="27"/>
      <c r="E30" s="27"/>
      <c r="F30" s="27">
        <v>1</v>
      </c>
      <c r="G30" s="9"/>
      <c r="H30" s="30">
        <f t="shared" ref="H30" si="18">H29-F30-D30+B30</f>
        <v>11.458</v>
      </c>
      <c r="I30" s="30">
        <f t="shared" ref="I30" si="19">I29-E30+C30</f>
        <v>14.457999999999998</v>
      </c>
      <c r="J30" s="15">
        <f t="shared" ref="J30" si="20">H30+I30</f>
        <v>25.915999999999997</v>
      </c>
    </row>
    <row r="31" spans="1:10" s="14" customFormat="1" ht="18" customHeight="1" x14ac:dyDescent="0.2">
      <c r="A31" s="37" t="s">
        <v>55</v>
      </c>
      <c r="B31" s="27">
        <v>5</v>
      </c>
      <c r="C31" s="27">
        <v>5</v>
      </c>
      <c r="D31" s="27"/>
      <c r="E31" s="27"/>
      <c r="F31" s="27"/>
      <c r="G31" s="37"/>
      <c r="H31" s="30">
        <f t="shared" ref="H31" si="21">H30-F31-D31+B31</f>
        <v>16.457999999999998</v>
      </c>
      <c r="I31" s="30">
        <f t="shared" ref="I31" si="22">I30-E31+C31</f>
        <v>19.457999999999998</v>
      </c>
      <c r="J31" s="15">
        <f t="shared" ref="J31" si="23">H31+I31</f>
        <v>35.915999999999997</v>
      </c>
    </row>
    <row r="32" spans="1:10" s="14" customFormat="1" ht="18" customHeight="1" x14ac:dyDescent="0.2">
      <c r="A32" s="37" t="s">
        <v>56</v>
      </c>
      <c r="B32" s="27"/>
      <c r="C32" s="27"/>
      <c r="D32" s="27"/>
      <c r="E32" s="27"/>
      <c r="F32" s="27">
        <v>1</v>
      </c>
      <c r="G32" s="37"/>
      <c r="H32" s="30">
        <f t="shared" ref="H32" si="24">H31-F32-D32+B32</f>
        <v>15.457999999999998</v>
      </c>
      <c r="I32" s="30">
        <f t="shared" ref="I32" si="25">I31-E32+C32</f>
        <v>19.457999999999998</v>
      </c>
      <c r="J32" s="15">
        <f t="shared" ref="J32" si="26">H32+I32</f>
        <v>34.915999999999997</v>
      </c>
    </row>
    <row r="33" spans="1:10" s="14" customFormat="1" ht="18" customHeight="1" x14ac:dyDescent="0.2">
      <c r="A33" s="37" t="s">
        <v>57</v>
      </c>
      <c r="B33" s="27">
        <v>2.5</v>
      </c>
      <c r="C33" s="27">
        <v>2.5</v>
      </c>
      <c r="D33" s="27"/>
      <c r="E33" s="27"/>
      <c r="F33" s="27"/>
      <c r="G33" s="37"/>
      <c r="H33" s="30">
        <f t="shared" ref="H33:H35" si="27">H32-F33-D33+B33</f>
        <v>17.957999999999998</v>
      </c>
      <c r="I33" s="30">
        <f t="shared" ref="I33:I35" si="28">I32-E33+C33</f>
        <v>21.957999999999998</v>
      </c>
      <c r="J33" s="15">
        <f t="shared" ref="J33:J35" si="29">H33+I33</f>
        <v>39.915999999999997</v>
      </c>
    </row>
    <row r="34" spans="1:10" s="14" customFormat="1" ht="18" customHeight="1" x14ac:dyDescent="0.2">
      <c r="A34" s="37" t="s">
        <v>60</v>
      </c>
      <c r="B34" s="27"/>
      <c r="C34" s="27"/>
      <c r="D34" s="27"/>
      <c r="E34" s="27"/>
      <c r="F34" s="27">
        <v>3</v>
      </c>
      <c r="G34" s="37"/>
      <c r="H34" s="30">
        <f t="shared" si="27"/>
        <v>14.957999999999998</v>
      </c>
      <c r="I34" s="30">
        <f t="shared" si="28"/>
        <v>21.957999999999998</v>
      </c>
      <c r="J34" s="15">
        <f t="shared" si="29"/>
        <v>36.915999999999997</v>
      </c>
    </row>
    <row r="35" spans="1:10" s="14" customFormat="1" ht="18" customHeight="1" x14ac:dyDescent="0.2">
      <c r="A35" s="37" t="s">
        <v>58</v>
      </c>
      <c r="B35" s="27">
        <v>7.5</v>
      </c>
      <c r="C35" s="27">
        <v>7.5</v>
      </c>
      <c r="D35" s="27"/>
      <c r="E35" s="27"/>
      <c r="F35" s="27"/>
      <c r="G35" s="37"/>
      <c r="H35" s="30">
        <f t="shared" si="27"/>
        <v>22.457999999999998</v>
      </c>
      <c r="I35" s="30">
        <f t="shared" si="28"/>
        <v>29.457999999999998</v>
      </c>
      <c r="J35" s="15">
        <f t="shared" si="29"/>
        <v>51.915999999999997</v>
      </c>
    </row>
    <row r="36" spans="1:10" s="14" customFormat="1" ht="18" customHeight="1" x14ac:dyDescent="0.2">
      <c r="A36" s="37" t="s">
        <v>61</v>
      </c>
      <c r="B36" s="27"/>
      <c r="C36" s="27"/>
      <c r="D36" s="27"/>
      <c r="E36" s="27"/>
      <c r="F36" s="27"/>
      <c r="G36" s="37"/>
      <c r="H36" s="30">
        <f t="shared" ref="H36" si="30">H35-F36-D36+B36</f>
        <v>22.457999999999998</v>
      </c>
      <c r="I36" s="30">
        <f t="shared" ref="I36" si="31">I35-E36+C36</f>
        <v>29.457999999999998</v>
      </c>
      <c r="J36" s="15">
        <f t="shared" ref="J36" si="32">H36+I36</f>
        <v>51.915999999999997</v>
      </c>
    </row>
    <row r="37" spans="1:10" s="36" customFormat="1" ht="18.75" customHeight="1" x14ac:dyDescent="0.25"/>
    <row r="38" spans="1:10" s="36" customFormat="1" ht="18.75" customHeight="1" x14ac:dyDescent="0.25"/>
    <row r="39" spans="1:10" s="36" customFormat="1" ht="42.75" customHeight="1" x14ac:dyDescent="0.25"/>
    <row r="40" spans="1:10" s="36" customFormat="1" ht="18.75" customHeight="1" x14ac:dyDescent="0.25"/>
  </sheetData>
  <mergeCells count="14">
    <mergeCell ref="A2:J2"/>
    <mergeCell ref="A3:J3"/>
    <mergeCell ref="A4:J4"/>
    <mergeCell ref="A5:J5"/>
    <mergeCell ref="A14:J14"/>
    <mergeCell ref="B8:D8"/>
    <mergeCell ref="I8:J8"/>
    <mergeCell ref="A12:A13"/>
    <mergeCell ref="B12:C12"/>
    <mergeCell ref="D12:G12"/>
    <mergeCell ref="H12:I12"/>
    <mergeCell ref="J12:J13"/>
    <mergeCell ref="B10:D10"/>
    <mergeCell ref="A11:K11"/>
  </mergeCells>
  <printOptions horizontalCentered="1"/>
  <pageMargins left="0.5" right="0.5" top="0.5" bottom="0.5" header="0.31496062992126" footer="0.31496062992126"/>
  <pageSetup paperSize="9" scale="61" fitToHeight="0" orientation="portrait" horizontalDpi="360" verticalDpi="36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DDE450-5CE7-4683-861E-C0ED073B95B4}">
  <dimension ref="A1:L24"/>
  <sheetViews>
    <sheetView view="pageBreakPreview" topLeftCell="A5" zoomScale="104" zoomScaleNormal="100" zoomScaleSheetLayoutView="104" workbookViewId="0">
      <selection activeCell="H16" sqref="H16"/>
    </sheetView>
  </sheetViews>
  <sheetFormatPr defaultRowHeight="15" x14ac:dyDescent="0.25"/>
  <cols>
    <col min="1" max="1" width="35.85546875" customWidth="1"/>
  </cols>
  <sheetData>
    <row r="1" spans="1:12" s="1" customFormat="1" ht="52.5" customHeight="1" x14ac:dyDescent="0.25">
      <c r="C1" s="16"/>
      <c r="D1" s="17"/>
      <c r="H1" s="6"/>
    </row>
    <row r="2" spans="1:12" s="1" customFormat="1" ht="10.5" customHeight="1" x14ac:dyDescent="0.25">
      <c r="A2" s="42" t="s">
        <v>12</v>
      </c>
      <c r="B2" s="42"/>
      <c r="C2" s="42"/>
      <c r="D2" s="42"/>
      <c r="E2" s="42"/>
      <c r="F2" s="42"/>
      <c r="G2" s="42"/>
      <c r="H2" s="42"/>
      <c r="I2" s="42"/>
      <c r="J2" s="42"/>
      <c r="K2" s="42"/>
      <c r="L2" s="42"/>
    </row>
    <row r="3" spans="1:12" s="1" customFormat="1" ht="15.95" customHeight="1" x14ac:dyDescent="0.25">
      <c r="A3" s="42" t="s">
        <v>13</v>
      </c>
      <c r="B3" s="42"/>
      <c r="C3" s="42"/>
      <c r="D3" s="42"/>
      <c r="E3" s="42"/>
      <c r="F3" s="42"/>
      <c r="G3" s="42"/>
      <c r="H3" s="42"/>
      <c r="I3" s="42"/>
      <c r="J3" s="42"/>
      <c r="K3" s="42"/>
      <c r="L3" s="42"/>
    </row>
    <row r="4" spans="1:12" s="1" customFormat="1" ht="15.95" customHeight="1" x14ac:dyDescent="0.25">
      <c r="A4" s="42" t="s">
        <v>14</v>
      </c>
      <c r="B4" s="42"/>
      <c r="C4" s="42"/>
      <c r="D4" s="42"/>
      <c r="E4" s="42"/>
      <c r="F4" s="42"/>
      <c r="G4" s="42"/>
      <c r="H4" s="42"/>
      <c r="I4" s="42"/>
      <c r="J4" s="42"/>
      <c r="K4" s="42"/>
      <c r="L4" s="42"/>
    </row>
    <row r="5" spans="1:12" s="1" customFormat="1" ht="15.95" customHeight="1" x14ac:dyDescent="0.25">
      <c r="A5" s="42" t="s">
        <v>15</v>
      </c>
      <c r="B5" s="42"/>
      <c r="C5" s="42"/>
      <c r="D5" s="42"/>
      <c r="E5" s="42"/>
      <c r="F5" s="42"/>
      <c r="G5" s="42"/>
      <c r="H5" s="42"/>
      <c r="I5" s="42"/>
      <c r="J5" s="42"/>
      <c r="K5" s="42"/>
      <c r="L5" s="42"/>
    </row>
    <row r="6" spans="1:12" s="1" customFormat="1" ht="8.25" customHeight="1" x14ac:dyDescent="0.25">
      <c r="C6" s="6"/>
      <c r="H6" s="6"/>
    </row>
    <row r="7" spans="1:12" s="1" customFormat="1" ht="8.25" customHeight="1" x14ac:dyDescent="0.25">
      <c r="C7" s="6"/>
      <c r="H7" s="6"/>
    </row>
    <row r="8" spans="1:12" s="1" customFormat="1" ht="12" customHeight="1" x14ac:dyDescent="0.25">
      <c r="A8" s="18" t="s">
        <v>22</v>
      </c>
      <c r="B8" s="18"/>
      <c r="C8" s="57" t="s">
        <v>23</v>
      </c>
      <c r="D8" s="57"/>
      <c r="E8" s="57"/>
      <c r="F8" s="57"/>
      <c r="G8" s="57"/>
      <c r="I8" s="57" t="s">
        <v>24</v>
      </c>
      <c r="J8" s="57"/>
      <c r="K8" s="57"/>
      <c r="L8" s="18"/>
    </row>
    <row r="9" spans="1:12" s="1" customFormat="1" ht="12" customHeight="1" x14ac:dyDescent="0.25">
      <c r="B9" s="19"/>
      <c r="C9" s="57" t="s">
        <v>25</v>
      </c>
      <c r="D9" s="57"/>
      <c r="E9" s="57"/>
      <c r="F9" s="57"/>
      <c r="G9" s="57"/>
      <c r="I9" s="58" t="s">
        <v>26</v>
      </c>
      <c r="J9" s="58"/>
      <c r="K9" s="58"/>
      <c r="L9" s="19"/>
    </row>
    <row r="10" spans="1:12" s="1" customFormat="1" ht="12" customHeight="1" x14ac:dyDescent="0.25">
      <c r="A10" s="18" t="s">
        <v>27</v>
      </c>
      <c r="B10" s="18"/>
      <c r="C10" s="20"/>
      <c r="D10" s="19"/>
      <c r="E10" s="19"/>
      <c r="I10" s="57" t="s">
        <v>28</v>
      </c>
      <c r="J10" s="57"/>
      <c r="K10" s="57"/>
      <c r="L10" s="18"/>
    </row>
    <row r="11" spans="1:12" ht="16.5" customHeight="1" thickBot="1" x14ac:dyDescent="0.3">
      <c r="A11" s="59" t="s">
        <v>29</v>
      </c>
      <c r="B11" s="59"/>
      <c r="C11" s="59"/>
      <c r="D11" s="59"/>
      <c r="E11" s="59"/>
      <c r="F11" s="59"/>
      <c r="G11" s="59"/>
      <c r="H11" s="59"/>
      <c r="I11" s="59"/>
      <c r="J11" s="59"/>
      <c r="K11" s="59"/>
      <c r="L11" s="59"/>
    </row>
    <row r="12" spans="1:12" s="24" customFormat="1" ht="48" x14ac:dyDescent="0.2">
      <c r="A12" s="21" t="s">
        <v>4</v>
      </c>
      <c r="B12" s="22" t="s">
        <v>30</v>
      </c>
      <c r="C12" s="22" t="s">
        <v>31</v>
      </c>
      <c r="D12" s="22" t="s">
        <v>32</v>
      </c>
      <c r="E12" s="22" t="s">
        <v>33</v>
      </c>
      <c r="F12" s="22" t="s">
        <v>34</v>
      </c>
      <c r="G12" s="22" t="s">
        <v>35</v>
      </c>
      <c r="H12" s="22" t="s">
        <v>36</v>
      </c>
      <c r="I12" s="22" t="s">
        <v>37</v>
      </c>
      <c r="J12" s="22" t="s">
        <v>38</v>
      </c>
      <c r="K12" s="22" t="s">
        <v>39</v>
      </c>
      <c r="L12" s="23" t="s">
        <v>8</v>
      </c>
    </row>
    <row r="13" spans="1:12" s="24" customFormat="1" x14ac:dyDescent="0.2">
      <c r="A13" s="11" t="s">
        <v>40</v>
      </c>
      <c r="B13" s="7"/>
      <c r="C13" s="9">
        <v>7</v>
      </c>
      <c r="D13" s="9"/>
      <c r="E13" s="7"/>
      <c r="F13" s="7"/>
      <c r="G13" s="7"/>
      <c r="H13" s="9"/>
      <c r="I13" s="7"/>
      <c r="J13" s="7"/>
      <c r="K13" s="7"/>
      <c r="L13" s="10">
        <v>7</v>
      </c>
    </row>
    <row r="14" spans="1:12" s="24" customFormat="1" x14ac:dyDescent="0.2">
      <c r="A14" s="11"/>
      <c r="B14" s="7"/>
      <c r="C14" s="9"/>
      <c r="D14" s="9"/>
      <c r="E14" s="7"/>
      <c r="F14" s="7"/>
      <c r="G14" s="7"/>
      <c r="H14" s="9"/>
      <c r="I14" s="7"/>
      <c r="J14" s="7"/>
      <c r="K14" s="7"/>
      <c r="L14" s="10"/>
    </row>
    <row r="15" spans="1:12" s="26" customFormat="1" x14ac:dyDescent="0.2">
      <c r="A15" s="25"/>
      <c r="B15" s="7"/>
      <c r="C15" s="9"/>
      <c r="D15" s="9"/>
      <c r="E15" s="7"/>
      <c r="F15" s="7"/>
      <c r="G15" s="7"/>
      <c r="H15" s="9"/>
      <c r="I15" s="7"/>
      <c r="J15" s="7"/>
      <c r="K15" s="7"/>
      <c r="L15" s="10"/>
    </row>
    <row r="16" spans="1:12" s="26" customFormat="1" x14ac:dyDescent="0.2">
      <c r="A16" s="27"/>
      <c r="B16" s="7"/>
      <c r="C16" s="9"/>
      <c r="D16" s="9"/>
      <c r="E16" s="7"/>
      <c r="F16" s="7"/>
      <c r="G16" s="7"/>
      <c r="H16" s="9"/>
      <c r="I16" s="7"/>
      <c r="J16" s="7"/>
      <c r="K16" s="7"/>
      <c r="L16" s="10"/>
    </row>
    <row r="17" spans="1:12" s="26" customFormat="1" x14ac:dyDescent="0.2">
      <c r="A17" s="9"/>
      <c r="B17" s="7"/>
      <c r="C17" s="9"/>
      <c r="D17" s="9"/>
      <c r="E17" s="7"/>
      <c r="F17" s="7"/>
      <c r="G17" s="7"/>
      <c r="H17" s="9"/>
      <c r="I17" s="7"/>
      <c r="J17" s="7"/>
      <c r="K17" s="7"/>
      <c r="L17" s="10"/>
    </row>
    <row r="18" spans="1:12" s="26" customFormat="1" x14ac:dyDescent="0.2">
      <c r="A18" s="11"/>
      <c r="B18" s="7"/>
      <c r="C18" s="9"/>
      <c r="D18" s="9"/>
      <c r="E18" s="7"/>
      <c r="F18" s="7"/>
      <c r="G18" s="7"/>
      <c r="H18" s="9"/>
      <c r="I18" s="7"/>
      <c r="J18" s="7"/>
      <c r="K18" s="7"/>
      <c r="L18" s="10"/>
    </row>
    <row r="19" spans="1:12" s="26" customFormat="1" x14ac:dyDescent="0.2">
      <c r="A19" s="11"/>
      <c r="B19" s="7"/>
      <c r="C19" s="9"/>
      <c r="D19" s="9"/>
      <c r="E19" s="7"/>
      <c r="F19" s="7"/>
      <c r="G19" s="7"/>
      <c r="H19" s="9"/>
      <c r="I19" s="7"/>
      <c r="J19" s="7"/>
      <c r="K19" s="7"/>
      <c r="L19" s="10"/>
    </row>
    <row r="20" spans="1:12" s="26" customFormat="1" x14ac:dyDescent="0.2">
      <c r="A20" s="11"/>
      <c r="B20" s="7"/>
      <c r="C20" s="9"/>
      <c r="D20" s="9"/>
      <c r="E20" s="7"/>
      <c r="F20" s="7"/>
      <c r="G20" s="7"/>
      <c r="H20" s="9"/>
      <c r="I20" s="7"/>
      <c r="J20" s="7"/>
      <c r="K20" s="7"/>
      <c r="L20" s="10"/>
    </row>
    <row r="21" spans="1:12" s="26" customFormat="1" x14ac:dyDescent="0.2">
      <c r="A21" s="8"/>
      <c r="B21" s="7"/>
      <c r="C21" s="9"/>
      <c r="D21" s="9"/>
      <c r="E21" s="7"/>
      <c r="F21" s="7"/>
      <c r="G21" s="7"/>
      <c r="H21" s="9"/>
      <c r="I21" s="7"/>
      <c r="J21" s="7"/>
      <c r="K21" s="12"/>
      <c r="L21" s="10"/>
    </row>
    <row r="22" spans="1:12" ht="75.75" customHeight="1" x14ac:dyDescent="0.25">
      <c r="A22" s="60"/>
      <c r="B22" s="60"/>
      <c r="C22" s="60"/>
      <c r="D22" s="60"/>
      <c r="E22" s="60"/>
      <c r="F22" s="60"/>
      <c r="G22" s="60"/>
      <c r="H22" s="60"/>
      <c r="I22" s="60"/>
      <c r="J22" s="60"/>
      <c r="K22" s="60"/>
      <c r="L22" s="60"/>
    </row>
    <row r="23" spans="1:12" s="1" customFormat="1" x14ac:dyDescent="0.25">
      <c r="C23" s="6"/>
    </row>
    <row r="24" spans="1:12" s="1" customFormat="1" x14ac:dyDescent="0.25">
      <c r="C24" s="6"/>
    </row>
  </sheetData>
  <mergeCells count="11">
    <mergeCell ref="C9:G9"/>
    <mergeCell ref="I9:K9"/>
    <mergeCell ref="I10:K10"/>
    <mergeCell ref="A11:L11"/>
    <mergeCell ref="A22:L22"/>
    <mergeCell ref="A2:L2"/>
    <mergeCell ref="A3:L3"/>
    <mergeCell ref="A4:L4"/>
    <mergeCell ref="A5:L5"/>
    <mergeCell ref="C8:G8"/>
    <mergeCell ref="I8:K8"/>
  </mergeCells>
  <pageMargins left="0.7" right="0.7" top="0.75" bottom="0.75" header="0.3" footer="0.3"/>
  <pageSetup paperSize="9" orientation="landscape" horizontalDpi="0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Leave Card</vt:lpstr>
      <vt:lpstr>OTHER TYPES OF LEAVE</vt:lpstr>
      <vt:lpstr>'Leave Card'!Print_Area</vt:lpstr>
      <vt:lpstr>'OTHER TYPES OF LEAVE'!Print_Area</vt:lpstr>
    </vt:vector>
  </TitlesOfParts>
  <Company>Department of Education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JOCELYN MAMUGAY</cp:lastModifiedBy>
  <cp:lastPrinted>2025-06-17T23:52:04Z</cp:lastPrinted>
  <dcterms:created xsi:type="dcterms:W3CDTF">2021-10-07T06:10:16Z</dcterms:created>
  <dcterms:modified xsi:type="dcterms:W3CDTF">2025-08-19T00:37:35Z</dcterms:modified>
</cp:coreProperties>
</file>