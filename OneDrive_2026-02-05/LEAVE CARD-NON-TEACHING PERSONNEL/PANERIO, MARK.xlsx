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B7FC6B2-074E-450E-9CA2-81161317FFF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9" r:id="rId1"/>
    <sheet name="Leave Card" sheetId="8" r:id="rId2"/>
  </sheets>
  <definedNames>
    <definedName name="_xlnm.Print_Area" localSheetId="1">'Leave Card'!$A$1:$J$70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8" l="1"/>
  <c r="J62" i="8" s="1"/>
  <c r="I62" i="8"/>
  <c r="I47" i="8"/>
  <c r="I48" i="8" s="1"/>
  <c r="I49" i="8" l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H14" i="8"/>
  <c r="H15" i="8" s="1"/>
  <c r="H16" i="8" s="1"/>
  <c r="H17" i="8" l="1"/>
  <c r="H18" i="8" s="1"/>
  <c r="I14" i="8"/>
  <c r="H19" i="8" l="1"/>
  <c r="I15" i="8"/>
  <c r="I16" i="8" s="1"/>
  <c r="J14" i="8"/>
  <c r="I17" i="8" l="1"/>
  <c r="J16" i="8"/>
  <c r="H20" i="8"/>
  <c r="J15" i="8"/>
  <c r="I18" i="8" l="1"/>
  <c r="J17" i="8"/>
  <c r="H21" i="8"/>
  <c r="I19" i="8" l="1"/>
  <c r="J18" i="8"/>
  <c r="H22" i="8"/>
  <c r="I20" i="8" l="1"/>
  <c r="J19" i="8"/>
  <c r="H23" i="8"/>
  <c r="H24" i="8" s="1"/>
  <c r="I21" i="8" l="1"/>
  <c r="J20" i="8"/>
  <c r="H25" i="8"/>
  <c r="I22" i="8" l="1"/>
  <c r="J21" i="8"/>
  <c r="H26" i="8"/>
  <c r="I23" i="8" l="1"/>
  <c r="J22" i="8"/>
  <c r="H27" i="8"/>
  <c r="I24" i="8" l="1"/>
  <c r="J23" i="8"/>
  <c r="H28" i="8"/>
  <c r="I25" i="8" l="1"/>
  <c r="J24" i="8"/>
  <c r="H29" i="8"/>
  <c r="I26" i="8" l="1"/>
  <c r="J25" i="8"/>
  <c r="H30" i="8"/>
  <c r="I27" i="8" l="1"/>
  <c r="J26" i="8"/>
  <c r="H31" i="8"/>
  <c r="I28" i="8" l="1"/>
  <c r="J27" i="8"/>
  <c r="H32" i="8"/>
  <c r="I29" i="8" l="1"/>
  <c r="J28" i="8"/>
  <c r="H33" i="8"/>
  <c r="I30" i="8" l="1"/>
  <c r="J29" i="8"/>
  <c r="H34" i="8"/>
  <c r="I31" i="8" l="1"/>
  <c r="J30" i="8"/>
  <c r="H35" i="8"/>
  <c r="I32" i="8" l="1"/>
  <c r="J31" i="8"/>
  <c r="H36" i="8"/>
  <c r="I33" i="8" l="1"/>
  <c r="J32" i="8"/>
  <c r="H37" i="8"/>
  <c r="I34" i="8" l="1"/>
  <c r="J33" i="8"/>
  <c r="H38" i="8"/>
  <c r="I35" i="8" l="1"/>
  <c r="J34" i="8"/>
  <c r="H39" i="8"/>
  <c r="I36" i="8" l="1"/>
  <c r="J35" i="8"/>
  <c r="H40" i="8"/>
  <c r="I37" i="8" l="1"/>
  <c r="J36" i="8"/>
  <c r="H41" i="8"/>
  <c r="I38" i="8" l="1"/>
  <c r="J37" i="8"/>
  <c r="H42" i="8"/>
  <c r="I39" i="8" l="1"/>
  <c r="J38" i="8"/>
  <c r="H43" i="8"/>
  <c r="I40" i="8" l="1"/>
  <c r="J39" i="8"/>
  <c r="H44" i="8"/>
  <c r="I41" i="8" l="1"/>
  <c r="J40" i="8"/>
  <c r="H45" i="8"/>
  <c r="I42" i="8" l="1"/>
  <c r="J41" i="8"/>
  <c r="H46" i="8"/>
  <c r="I43" i="8" l="1"/>
  <c r="J42" i="8"/>
  <c r="H47" i="8"/>
  <c r="J46" i="8"/>
  <c r="I44" i="8" l="1"/>
  <c r="J43" i="8"/>
  <c r="J47" i="8"/>
  <c r="H48" i="8"/>
  <c r="I45" i="8" l="1"/>
  <c r="J45" i="8" s="1"/>
  <c r="J44" i="8"/>
  <c r="J48" i="8"/>
  <c r="H49" i="8"/>
  <c r="J49" i="8" l="1"/>
  <c r="H50" i="8"/>
  <c r="H51" i="8" l="1"/>
  <c r="J50" i="8"/>
  <c r="J51" i="8" l="1"/>
  <c r="H52" i="8"/>
  <c r="J52" i="8" l="1"/>
  <c r="H53" i="8"/>
  <c r="J53" i="8" l="1"/>
  <c r="H54" i="8"/>
  <c r="J54" i="8" l="1"/>
  <c r="H55" i="8"/>
  <c r="J55" i="8" l="1"/>
  <c r="H56" i="8"/>
  <c r="J56" i="8" l="1"/>
  <c r="H57" i="8"/>
  <c r="J57" i="8" l="1"/>
  <c r="H58" i="8"/>
  <c r="H59" i="8" s="1"/>
  <c r="J59" i="8" l="1"/>
  <c r="H60" i="8"/>
  <c r="J58" i="8"/>
  <c r="J60" i="8" l="1"/>
  <c r="H61" i="8"/>
  <c r="J61" i="8" s="1"/>
</calcChain>
</file>

<file path=xl/sharedStrings.xml><?xml version="1.0" encoding="utf-8"?>
<sst xmlns="http://schemas.openxmlformats.org/spreadsheetml/2006/main" count="92" uniqueCount="88">
  <si>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</si>
  <si>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</si>
  <si>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</si>
  <si>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</si>
  <si>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</si>
  <si>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</si>
  <si>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</si>
  <si>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</si>
  <si>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Republic of the Philippines</t>
  </si>
  <si>
    <t>Department of Education</t>
  </si>
  <si>
    <t>SCHOOLS DIVISION OF SIPALAY CITY</t>
  </si>
  <si>
    <t>LEAVE CARD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</si>
  <si>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</si>
  <si>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</si>
  <si>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</si>
  <si>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</si>
  <si>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</si>
  <si>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</si>
  <si>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</si>
  <si>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</si>
  <si>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</si>
  <si>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</si>
  <si>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</si>
  <si>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</si>
  <si>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</si>
  <si>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No. of days</t>
  </si>
  <si>
    <t>Formula 1.25/no. of days in a month* no of days present example (1.25/30*30)</t>
  </si>
  <si>
    <t xml:space="preserve">EMP. NO  : </t>
  </si>
  <si>
    <t>STATION   : GMNHS- MAIN</t>
  </si>
  <si>
    <t>STATION CODE:</t>
  </si>
  <si>
    <t>Certified Correct:</t>
  </si>
  <si>
    <t>MA. LUISA B. CATIGAN</t>
  </si>
  <si>
    <t>Administrative Officer IV</t>
  </si>
  <si>
    <t>HRMO</t>
  </si>
  <si>
    <t>SPECIAL PRIVILEGE LEAVE</t>
  </si>
  <si>
    <t>DATE OF APPOINTMENT: 03/01/2022</t>
  </si>
  <si>
    <t>ADD: 03/01/2022- 03/31/2022</t>
  </si>
  <si>
    <t>LESS: 10/06/2022</t>
  </si>
  <si>
    <t>LESS:12/28/2022-12/29/2022</t>
  </si>
  <si>
    <t>LESS: FL 2022</t>
  </si>
  <si>
    <t>ADD: 01/01/2023- 02/28/2023</t>
  </si>
  <si>
    <t>LESS: 03/08 &amp; 09/ 2023</t>
  </si>
  <si>
    <t>ADD: 03/01/2023- 04/30/2023</t>
  </si>
  <si>
    <t>LESS: 05/09 &amp; 11/ 2023</t>
  </si>
  <si>
    <t>ADD: 05/01/2023- 05/31/2023</t>
  </si>
  <si>
    <t>LESS: 06/02/2023</t>
  </si>
  <si>
    <t>LESS: 07/24/2023</t>
  </si>
  <si>
    <t>ADD: 08/01/2023- 08/31/2023</t>
  </si>
  <si>
    <t>LESS: 08/04/2023</t>
  </si>
  <si>
    <t>LESS: MONETIZATION 2023</t>
  </si>
  <si>
    <t>ADD: 09/01/2023-09/30/2023</t>
  </si>
  <si>
    <t>LESS: 10/12/2023</t>
  </si>
  <si>
    <t>ADD: 10/01/2023-10/31/2023</t>
  </si>
  <si>
    <t>LESS: 11/24/2023</t>
  </si>
  <si>
    <t>ADD: 11/01/2023-11/30/2023</t>
  </si>
  <si>
    <t>LESS: 12/27&amp;29/2023</t>
  </si>
  <si>
    <t>ADD: 12/01-31/2023</t>
  </si>
  <si>
    <t>LESS: 02/16/2024</t>
  </si>
  <si>
    <t>LESS: 03/11-12/2024</t>
  </si>
  <si>
    <t>LESS: 03/08/2024</t>
  </si>
  <si>
    <t>LESS: 03/14-15/2024</t>
  </si>
  <si>
    <t>ADD: 03/1/2024-04/30/2024</t>
  </si>
  <si>
    <t>LESS: 05/17/2024</t>
  </si>
  <si>
    <t>LESS: MONETIZATION 2024</t>
  </si>
  <si>
    <t>ADD: 08/1/2024-09/30/2024</t>
  </si>
  <si>
    <t>LESS: 11/4/2024</t>
  </si>
  <si>
    <t>ADD: 10/1-31/2024</t>
  </si>
  <si>
    <t>LESS: 11/22/2024</t>
  </si>
  <si>
    <t>ADD: 11/1/2024-12/31/2024</t>
  </si>
  <si>
    <t>LESS: 01/10/2025</t>
  </si>
  <si>
    <t>ADD: 01/1-31/2025</t>
  </si>
  <si>
    <t>LESS: 03/7/2025</t>
  </si>
  <si>
    <t>LESS:  FL 2024</t>
  </si>
  <si>
    <t>ADD: 02/1/2025-07/31/2025</t>
  </si>
  <si>
    <t>LESS: 08/22/2025</t>
  </si>
  <si>
    <t>ADD: 04/01/2022- 09/30/2022</t>
  </si>
  <si>
    <t>ADD: 10/01/2022- 12/31/2022</t>
  </si>
  <si>
    <t>LESS: FL 2023</t>
  </si>
  <si>
    <t>ADD: 08/1-31/2025</t>
  </si>
  <si>
    <t>LESS: MONETIZATION 2025</t>
  </si>
  <si>
    <t>ADD: 06/01/2023- 07/31/2023</t>
  </si>
  <si>
    <t>ADD: 05/1/2024-07/31/2024</t>
  </si>
  <si>
    <t>NEGROS ISLAND REGION</t>
  </si>
  <si>
    <r>
      <t>NAME:</t>
    </r>
    <r>
      <rPr>
        <b/>
        <u/>
        <sz val="11"/>
        <color theme="1"/>
        <rFont val="Calibri"/>
        <family val="2"/>
        <scheme val="minor"/>
      </rPr>
      <t xml:space="preserve"> PANERIO, MARK A.</t>
    </r>
  </si>
  <si>
    <r>
      <t xml:space="preserve">POSITION:                   </t>
    </r>
    <r>
      <rPr>
        <b/>
        <u/>
        <sz val="11"/>
        <color theme="1"/>
        <rFont val="Calibri"/>
        <family val="2"/>
        <scheme val="minor"/>
      </rPr>
      <t xml:space="preserve">ADAS II </t>
    </r>
  </si>
  <si>
    <t>ADD: 01/01-31/2024-02/29/2024</t>
  </si>
  <si>
    <t>LESS: 08/26/2025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</si>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</sst>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2" borderId="0" xfId="0" applyFont="1" applyFill="1"/>
    <xf numFmtId="0" fontId="4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0" fillId="10" borderId="4" xfId="0" applyFill="1" applyBorder="1"/>
    <xf numFmtId="0" fontId="0" fillId="10" borderId="5" xfId="0" applyFill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1" fillId="10" borderId="3" xfId="0" applyFont="1" applyFill="1" applyBorder="1"/>
    <xf numFmtId="0" fontId="1" fillId="10" borderId="4" xfId="0" applyFont="1" applyFill="1" applyBorder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4" fillId="2" borderId="0" xfId="0" applyNumberFormat="1" applyFont="1" applyFill="1"/>
    <xf numFmtId="164" fontId="0" fillId="2" borderId="13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0" fillId="10" borderId="1" xfId="0" applyFill="1" applyBorder="1" applyAlignment="1">
      <alignment horizontal="center" vertical="center"/>
    </xf>
    <xf numFmtId="0" fontId="3" fillId="2" borderId="4" xfId="0" applyFont="1" applyFill="1" applyBorder="1"/>
    <xf numFmtId="0" fontId="1" fillId="2" borderId="0" xfId="0" applyFont="1" applyFill="1" applyAlignment="1">
      <alignment horizontal="center"/>
    </xf>
    <xf numFmtId="0" fontId="0" fillId="2" borderId="15" xfId="0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99647</xdr:rowOff>
    </xdr:from>
    <xdr:to>
      <xdr:col>4</xdr:col>
      <xdr:colOff>152401</xdr:colOff>
      <xdr:row>0</xdr:row>
      <xdr:rowOff>641350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99647"/>
          <a:ext cx="628651" cy="54170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A7" sqref="A7"/>
    </sheetView>
  </sheetViews>
  <sheetFormatPr defaultRowHeight="15" x14ac:dyDescent="0.25"/>
  <cols>
    <col min="1" max="1" width="10.42578125" customWidth="1"/>
    <col min="2" max="2" width="11.140625" customWidth="1"/>
    <col min="3" max="3" width="9.7109375" customWidth="1"/>
  </cols>
  <sheetData>
    <row r="1" spans="1:5" x14ac:dyDescent="0.25">
      <c r="A1" s="20" t="s">
        <v>12</v>
      </c>
      <c r="B1" s="21" t="s">
        <v>25</v>
      </c>
      <c r="C1" s="15"/>
      <c r="D1" s="16"/>
    </row>
    <row r="2" spans="1:5" x14ac:dyDescent="0.25">
      <c r="A2" s="17"/>
      <c r="D2" s="18"/>
    </row>
    <row r="3" spans="1:5" x14ac:dyDescent="0.25">
      <c r="A3" s="17" t="s">
        <v>13</v>
      </c>
      <c r="B3">
        <v>31</v>
      </c>
      <c r="D3" s="18"/>
    </row>
    <row r="4" spans="1:5" x14ac:dyDescent="0.25">
      <c r="A4" s="17" t="s">
        <v>14</v>
      </c>
      <c r="B4">
        <v>28</v>
      </c>
      <c r="D4" s="18"/>
    </row>
    <row r="5" spans="1:5" x14ac:dyDescent="0.25">
      <c r="A5" s="17" t="s">
        <v>15</v>
      </c>
      <c r="B5">
        <v>31</v>
      </c>
      <c r="D5" s="18"/>
    </row>
    <row r="6" spans="1:5" x14ac:dyDescent="0.25">
      <c r="A6" s="17" t="s">
        <v>16</v>
      </c>
      <c r="B6">
        <v>30</v>
      </c>
      <c r="D6" s="18"/>
    </row>
    <row r="7" spans="1:5" x14ac:dyDescent="0.25">
      <c r="A7" s="17" t="s">
        <v>17</v>
      </c>
      <c r="B7">
        <v>31</v>
      </c>
      <c r="D7" s="18"/>
    </row>
    <row r="8" spans="1:5" x14ac:dyDescent="0.25">
      <c r="A8" s="17" t="s">
        <v>18</v>
      </c>
      <c r="B8">
        <v>30</v>
      </c>
      <c r="D8" s="18"/>
    </row>
    <row r="9" spans="1:5" x14ac:dyDescent="0.25">
      <c r="A9" s="17" t="s">
        <v>19</v>
      </c>
      <c r="B9">
        <v>31</v>
      </c>
      <c r="D9" s="18"/>
    </row>
    <row r="10" spans="1:5" x14ac:dyDescent="0.25">
      <c r="A10" s="17" t="s">
        <v>20</v>
      </c>
      <c r="B10">
        <v>31</v>
      </c>
      <c r="D10" s="18"/>
    </row>
    <row r="11" spans="1:5" x14ac:dyDescent="0.25">
      <c r="A11" s="17" t="s">
        <v>21</v>
      </c>
      <c r="B11">
        <v>30</v>
      </c>
      <c r="D11" s="18"/>
    </row>
    <row r="12" spans="1:5" x14ac:dyDescent="0.25">
      <c r="A12" s="17" t="s">
        <v>22</v>
      </c>
      <c r="B12">
        <v>31</v>
      </c>
      <c r="D12" s="18"/>
    </row>
    <row r="13" spans="1:5" x14ac:dyDescent="0.25">
      <c r="A13" s="17" t="s">
        <v>23</v>
      </c>
      <c r="B13">
        <v>30</v>
      </c>
      <c r="D13" s="18"/>
    </row>
    <row r="14" spans="1:5" x14ac:dyDescent="0.25">
      <c r="A14" s="17" t="s">
        <v>24</v>
      </c>
      <c r="B14">
        <v>31</v>
      </c>
      <c r="D14" s="18"/>
    </row>
    <row r="15" spans="1:5" x14ac:dyDescent="0.25">
      <c r="A15" s="17"/>
      <c r="D15" s="18"/>
    </row>
    <row r="16" spans="1:5" ht="15" customHeight="1" x14ac:dyDescent="0.25">
      <c r="A16" s="55" t="s">
        <v>26</v>
      </c>
      <c r="B16" s="56"/>
      <c r="C16" s="56"/>
      <c r="D16" s="57"/>
      <c r="E16" s="19"/>
    </row>
    <row r="17" spans="1:5" x14ac:dyDescent="0.25">
      <c r="A17" s="58"/>
      <c r="B17" s="59"/>
      <c r="C17" s="59"/>
      <c r="D17" s="60"/>
      <c r="E17" s="19"/>
    </row>
  </sheetData>
  <mergeCells count="1">
    <mergeCell ref="A16:D1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view="pageBreakPreview" topLeftCell="A40" zoomScaleNormal="100" zoomScaleSheetLayoutView="100" workbookViewId="0">
      <selection activeCell="R59" sqref="R59"/>
    </sheetView>
  </sheetViews>
  <sheetFormatPr defaultRowHeight="15" x14ac:dyDescent="0.25"/>
  <cols>
    <col min="1" max="1" width="39.85546875" style="32" customWidth="1"/>
    <col min="2" max="2" width="11.5703125" style="5" customWidth="1"/>
    <col min="3" max="3" width="11.5703125" style="6" customWidth="1"/>
    <col min="4" max="4" width="11.5703125" style="5" customWidth="1"/>
    <col min="5" max="5" width="11.5703125" style="6" customWidth="1"/>
    <col min="6" max="7" width="11.5703125" style="7" customWidth="1"/>
    <col min="8" max="8" width="11.5703125" style="5" customWidth="1"/>
    <col min="9" max="9" width="11.5703125" style="6" customWidth="1"/>
    <col min="10" max="10" width="11.5703125" customWidth="1"/>
    <col min="11" max="11" width="10.28515625" customWidth="1"/>
  </cols>
  <sheetData>
    <row r="1" spans="1:10" s="1" customFormat="1" ht="52.5" customHeight="1" x14ac:dyDescent="0.25">
      <c r="A1" s="31"/>
    </row>
    <row r="2" spans="1:10" s="1" customFormat="1" ht="10.5" customHeight="1" x14ac:dyDescent="0.25">
      <c r="A2" s="61" t="s">
        <v>8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s="1" customFormat="1" ht="15.95" customHeight="1" x14ac:dyDescent="0.25">
      <c r="A3" s="61" t="s">
        <v>9</v>
      </c>
      <c r="B3" s="61"/>
      <c r="C3" s="61"/>
      <c r="D3" s="61"/>
      <c r="E3" s="61"/>
      <c r="F3" s="61"/>
      <c r="G3" s="61"/>
      <c r="H3" s="61"/>
      <c r="I3" s="61"/>
      <c r="J3" s="61"/>
    </row>
    <row r="4" spans="1:10" s="1" customFormat="1" ht="15.95" customHeight="1" x14ac:dyDescent="0.25">
      <c r="A4" s="61" t="s">
        <v>82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s="1" customFormat="1" ht="15.95" customHeight="1" x14ac:dyDescent="0.25">
      <c r="A5" s="61" t="s">
        <v>10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1" customFormat="1" ht="8.25" customHeight="1" x14ac:dyDescent="0.25">
      <c r="A6" s="31"/>
    </row>
    <row r="7" spans="1:10" s="1" customFormat="1" ht="12" customHeight="1" x14ac:dyDescent="0.25">
      <c r="A7" s="45" t="s">
        <v>83</v>
      </c>
      <c r="B7" s="11"/>
      <c r="C7" s="11"/>
      <c r="D7" s="14"/>
      <c r="E7" s="10"/>
      <c r="F7" s="12"/>
      <c r="G7" s="64" t="s">
        <v>27</v>
      </c>
      <c r="H7" s="64"/>
      <c r="I7" s="14"/>
      <c r="J7" s="3"/>
    </row>
    <row r="8" spans="1:10" s="1" customFormat="1" ht="12" customHeight="1" x14ac:dyDescent="0.25">
      <c r="A8" s="45"/>
      <c r="B8" s="12"/>
      <c r="C8" s="12"/>
      <c r="D8" s="12"/>
      <c r="E8" s="12"/>
      <c r="F8" s="12"/>
      <c r="G8" s="63" t="s">
        <v>29</v>
      </c>
      <c r="H8" s="63"/>
      <c r="I8" s="44">
        <v>529</v>
      </c>
      <c r="J8" s="2"/>
    </row>
    <row r="9" spans="1:10" s="1" customFormat="1" ht="12" customHeight="1" x14ac:dyDescent="0.25">
      <c r="A9" s="45" t="s">
        <v>84</v>
      </c>
      <c r="B9" s="13"/>
      <c r="C9" s="12"/>
      <c r="D9" s="10"/>
      <c r="E9" s="10"/>
      <c r="F9" s="12"/>
      <c r="G9" s="64" t="s">
        <v>28</v>
      </c>
      <c r="H9" s="64"/>
      <c r="I9" s="64"/>
      <c r="J9" s="3"/>
    </row>
    <row r="10" spans="1:10" ht="24.75" customHeight="1" x14ac:dyDescent="0.25">
      <c r="A10" s="62" t="s">
        <v>11</v>
      </c>
      <c r="B10" s="62"/>
      <c r="C10" s="62"/>
      <c r="D10" s="62"/>
      <c r="E10" s="62"/>
      <c r="F10" s="62"/>
      <c r="G10" s="62"/>
      <c r="H10" s="62"/>
      <c r="I10" s="62"/>
      <c r="J10" s="62"/>
    </row>
    <row r="11" spans="1:10" s="4" customFormat="1" ht="18.75" customHeight="1" thickBot="1" x14ac:dyDescent="0.25">
      <c r="A11" s="65" t="s">
        <v>35</v>
      </c>
      <c r="B11" s="65"/>
      <c r="C11" s="65"/>
      <c r="D11" s="65"/>
      <c r="E11" s="65"/>
      <c r="F11" s="65"/>
      <c r="G11" s="65"/>
      <c r="H11" s="65"/>
      <c r="I11" s="65"/>
      <c r="J11" s="65"/>
    </row>
    <row r="12" spans="1:10" s="4" customFormat="1" ht="15" customHeight="1" x14ac:dyDescent="0.2">
      <c r="A12" s="66" t="s">
        <v>3</v>
      </c>
      <c r="B12" s="68" t="s">
        <v>4</v>
      </c>
      <c r="C12" s="68"/>
      <c r="D12" s="72" t="s">
        <v>5</v>
      </c>
      <c r="E12" s="73"/>
      <c r="F12" s="73"/>
      <c r="G12" s="74"/>
      <c r="H12" s="69" t="s">
        <v>6</v>
      </c>
      <c r="I12" s="69"/>
      <c r="J12" s="70" t="s">
        <v>7</v>
      </c>
    </row>
    <row r="13" spans="1:10" s="4" customFormat="1" ht="22.5" customHeight="1" thickBot="1" x14ac:dyDescent="0.25">
      <c r="A13" s="67"/>
      <c r="B13" s="49" t="s">
        <v>0</v>
      </c>
      <c r="C13" s="50" t="s">
        <v>1</v>
      </c>
      <c r="D13" s="49" t="s">
        <v>0</v>
      </c>
      <c r="E13" s="50" t="s">
        <v>1</v>
      </c>
      <c r="F13" s="51" t="s">
        <v>2</v>
      </c>
      <c r="G13" s="52" t="s">
        <v>34</v>
      </c>
      <c r="H13" s="49" t="s">
        <v>0</v>
      </c>
      <c r="I13" s="50" t="s">
        <v>1</v>
      </c>
      <c r="J13" s="71"/>
    </row>
    <row r="14" spans="1:10" s="8" customFormat="1" ht="15" customHeight="1" x14ac:dyDescent="0.2">
      <c r="A14" s="46" t="s">
        <v>36</v>
      </c>
      <c r="B14" s="47">
        <v>1.25</v>
      </c>
      <c r="C14" s="47">
        <v>1.25</v>
      </c>
      <c r="D14" s="47"/>
      <c r="E14" s="47"/>
      <c r="F14" s="47"/>
      <c r="G14" s="47"/>
      <c r="H14" s="47">
        <f>B14</f>
        <v>1.25</v>
      </c>
      <c r="I14" s="47">
        <f>C14</f>
        <v>1.25</v>
      </c>
      <c r="J14" s="48">
        <f>H14+I14</f>
        <v>2.5</v>
      </c>
    </row>
    <row r="15" spans="1:10" s="9" customFormat="1" ht="15" customHeight="1" x14ac:dyDescent="0.2">
      <c r="A15" s="25" t="s">
        <v>75</v>
      </c>
      <c r="B15" s="29">
        <v>7.5</v>
      </c>
      <c r="C15" s="29">
        <v>7.5</v>
      </c>
      <c r="D15" s="29"/>
      <c r="E15" s="29"/>
      <c r="F15" s="29"/>
      <c r="G15" s="29"/>
      <c r="H15" s="29">
        <f>H14-F15-D15+B15</f>
        <v>8.75</v>
      </c>
      <c r="I15" s="29">
        <f>I14-E15+C15</f>
        <v>8.75</v>
      </c>
      <c r="J15" s="30">
        <f t="shared" ref="J15" si="0">H15+I15</f>
        <v>17.5</v>
      </c>
    </row>
    <row r="16" spans="1:10" s="9" customFormat="1" ht="15" customHeight="1" x14ac:dyDescent="0.2">
      <c r="A16" s="28" t="s">
        <v>37</v>
      </c>
      <c r="B16" s="29"/>
      <c r="C16" s="29"/>
      <c r="D16" s="29"/>
      <c r="E16" s="29"/>
      <c r="F16" s="29">
        <v>1</v>
      </c>
      <c r="G16" s="29"/>
      <c r="H16" s="29">
        <f t="shared" ref="H16:H24" si="1">H15-F16-D16+B16</f>
        <v>7.75</v>
      </c>
      <c r="I16" s="29">
        <f t="shared" ref="I16:I24" si="2">I15-E16+C16</f>
        <v>8.75</v>
      </c>
      <c r="J16" s="30">
        <f t="shared" ref="J16:J24" si="3">H16+I16</f>
        <v>16.5</v>
      </c>
    </row>
    <row r="17" spans="1:10" s="9" customFormat="1" ht="15" customHeight="1" x14ac:dyDescent="0.2">
      <c r="A17" s="25" t="s">
        <v>76</v>
      </c>
      <c r="B17" s="29">
        <v>3.75</v>
      </c>
      <c r="C17" s="29">
        <v>3.75</v>
      </c>
      <c r="D17" s="29"/>
      <c r="E17" s="29"/>
      <c r="F17" s="29"/>
      <c r="G17" s="29"/>
      <c r="H17" s="29">
        <f t="shared" si="1"/>
        <v>11.5</v>
      </c>
      <c r="I17" s="29">
        <f t="shared" si="2"/>
        <v>12.5</v>
      </c>
      <c r="J17" s="30">
        <f t="shared" si="3"/>
        <v>24</v>
      </c>
    </row>
    <row r="18" spans="1:10" s="27" customFormat="1" ht="15" customHeight="1" x14ac:dyDescent="0.2">
      <c r="A18" s="28" t="s">
        <v>38</v>
      </c>
      <c r="B18" s="26"/>
      <c r="C18" s="26"/>
      <c r="D18" s="26"/>
      <c r="E18" s="26"/>
      <c r="F18" s="26">
        <v>2</v>
      </c>
      <c r="G18" s="26"/>
      <c r="H18" s="29">
        <f t="shared" si="1"/>
        <v>9.5</v>
      </c>
      <c r="I18" s="29">
        <f t="shared" si="2"/>
        <v>12.5</v>
      </c>
      <c r="J18" s="30">
        <f t="shared" si="3"/>
        <v>22</v>
      </c>
    </row>
    <row r="19" spans="1:10" s="9" customFormat="1" ht="15" customHeight="1" x14ac:dyDescent="0.2">
      <c r="A19" s="25" t="s">
        <v>39</v>
      </c>
      <c r="B19" s="29"/>
      <c r="C19" s="29"/>
      <c r="D19" s="29"/>
      <c r="E19" s="29"/>
      <c r="F19" s="29">
        <v>2</v>
      </c>
      <c r="G19" s="29"/>
      <c r="H19" s="29">
        <f t="shared" si="1"/>
        <v>7.5</v>
      </c>
      <c r="I19" s="29">
        <f t="shared" si="2"/>
        <v>12.5</v>
      </c>
      <c r="J19" s="30">
        <f t="shared" si="3"/>
        <v>20</v>
      </c>
    </row>
    <row r="20" spans="1:10" s="9" customFormat="1" ht="15" customHeight="1" x14ac:dyDescent="0.2">
      <c r="A20" s="25" t="s">
        <v>40</v>
      </c>
      <c r="B20" s="29">
        <v>2.5</v>
      </c>
      <c r="C20" s="29">
        <v>2.5</v>
      </c>
      <c r="D20" s="29"/>
      <c r="E20" s="29"/>
      <c r="F20" s="29"/>
      <c r="G20" s="29"/>
      <c r="H20" s="29">
        <f t="shared" si="1"/>
        <v>10</v>
      </c>
      <c r="I20" s="29">
        <f t="shared" si="2"/>
        <v>15</v>
      </c>
      <c r="J20" s="30">
        <f t="shared" si="3"/>
        <v>25</v>
      </c>
    </row>
    <row r="21" spans="1:10" s="9" customFormat="1" ht="15" customHeight="1" x14ac:dyDescent="0.2">
      <c r="A21" s="25" t="s">
        <v>41</v>
      </c>
      <c r="B21" s="29"/>
      <c r="C21" s="29"/>
      <c r="D21" s="29"/>
      <c r="E21" s="29"/>
      <c r="F21" s="29"/>
      <c r="G21" s="29">
        <v>2</v>
      </c>
      <c r="H21" s="29">
        <f t="shared" si="1"/>
        <v>10</v>
      </c>
      <c r="I21" s="29">
        <f t="shared" si="2"/>
        <v>15</v>
      </c>
      <c r="J21" s="30">
        <f t="shared" si="3"/>
        <v>25</v>
      </c>
    </row>
    <row r="22" spans="1:10" s="9" customFormat="1" ht="15" customHeight="1" x14ac:dyDescent="0.2">
      <c r="A22" s="25" t="s">
        <v>42</v>
      </c>
      <c r="B22" s="29">
        <v>2.5</v>
      </c>
      <c r="C22" s="29">
        <v>2.5</v>
      </c>
      <c r="D22" s="29"/>
      <c r="E22" s="29"/>
      <c r="F22" s="29"/>
      <c r="G22" s="29"/>
      <c r="H22" s="29">
        <f t="shared" si="1"/>
        <v>12.5</v>
      </c>
      <c r="I22" s="29">
        <f t="shared" si="2"/>
        <v>17.5</v>
      </c>
      <c r="J22" s="30">
        <f t="shared" si="3"/>
        <v>30</v>
      </c>
    </row>
    <row r="23" spans="1:10" s="9" customFormat="1" ht="15" customHeight="1" x14ac:dyDescent="0.2">
      <c r="A23" s="25" t="s">
        <v>43</v>
      </c>
      <c r="B23" s="29"/>
      <c r="C23" s="29"/>
      <c r="D23" s="29"/>
      <c r="E23" s="29">
        <v>2</v>
      </c>
      <c r="F23" s="29"/>
      <c r="G23" s="29"/>
      <c r="H23" s="29">
        <f t="shared" si="1"/>
        <v>12.5</v>
      </c>
      <c r="I23" s="29">
        <f t="shared" si="2"/>
        <v>15.5</v>
      </c>
      <c r="J23" s="30">
        <f t="shared" si="3"/>
        <v>28</v>
      </c>
    </row>
    <row r="24" spans="1:10" s="9" customFormat="1" ht="15" customHeight="1" x14ac:dyDescent="0.2">
      <c r="A24" s="25" t="s">
        <v>44</v>
      </c>
      <c r="B24" s="29">
        <v>1.25</v>
      </c>
      <c r="C24" s="29">
        <v>1.25</v>
      </c>
      <c r="D24" s="29"/>
      <c r="E24" s="29"/>
      <c r="F24" s="29"/>
      <c r="G24" s="29"/>
      <c r="H24" s="29">
        <f t="shared" si="1"/>
        <v>13.75</v>
      </c>
      <c r="I24" s="29">
        <f t="shared" si="2"/>
        <v>16.75</v>
      </c>
      <c r="J24" s="30">
        <f t="shared" si="3"/>
        <v>30.5</v>
      </c>
    </row>
    <row r="25" spans="1:10" s="9" customFormat="1" ht="15" customHeight="1" x14ac:dyDescent="0.2">
      <c r="A25" s="25" t="s">
        <v>45</v>
      </c>
      <c r="B25" s="29"/>
      <c r="C25" s="29"/>
      <c r="D25" s="29"/>
      <c r="E25" s="29"/>
      <c r="F25" s="29"/>
      <c r="G25" s="29">
        <v>1</v>
      </c>
      <c r="H25" s="29">
        <f t="shared" ref="H25:H50" si="4">H24-F25-D25+B25</f>
        <v>13.75</v>
      </c>
      <c r="I25" s="29">
        <f t="shared" ref="I25:I50" si="5">I24-E25+C25</f>
        <v>16.75</v>
      </c>
      <c r="J25" s="30">
        <f t="shared" ref="J25:J58" si="6">H25+I25</f>
        <v>30.5</v>
      </c>
    </row>
    <row r="26" spans="1:10" s="9" customFormat="1" ht="15" customHeight="1" x14ac:dyDescent="0.2">
      <c r="A26" s="25" t="s">
        <v>80</v>
      </c>
      <c r="B26" s="29">
        <v>2.5</v>
      </c>
      <c r="C26" s="29">
        <v>2.5</v>
      </c>
      <c r="D26" s="29"/>
      <c r="E26" s="29"/>
      <c r="F26" s="29"/>
      <c r="G26" s="29"/>
      <c r="H26" s="29">
        <f t="shared" si="4"/>
        <v>16.25</v>
      </c>
      <c r="I26" s="29">
        <f t="shared" si="5"/>
        <v>19.25</v>
      </c>
      <c r="J26" s="30">
        <f t="shared" si="6"/>
        <v>35.5</v>
      </c>
    </row>
    <row r="27" spans="1:10" s="9" customFormat="1" ht="15" customHeight="1" x14ac:dyDescent="0.2">
      <c r="A27" s="25" t="s">
        <v>46</v>
      </c>
      <c r="B27" s="23"/>
      <c r="C27" s="23"/>
      <c r="D27" s="23"/>
      <c r="E27" s="29">
        <v>1</v>
      </c>
      <c r="F27" s="23"/>
      <c r="G27" s="23"/>
      <c r="H27" s="29">
        <f t="shared" si="4"/>
        <v>16.25</v>
      </c>
      <c r="I27" s="29">
        <f t="shared" si="5"/>
        <v>18.25</v>
      </c>
      <c r="J27" s="30">
        <f t="shared" si="6"/>
        <v>34.5</v>
      </c>
    </row>
    <row r="28" spans="1:10" s="9" customFormat="1" ht="15" customHeight="1" x14ac:dyDescent="0.2">
      <c r="A28" s="25" t="s">
        <v>47</v>
      </c>
      <c r="B28" s="29">
        <v>1.25</v>
      </c>
      <c r="C28" s="29">
        <v>1.25</v>
      </c>
      <c r="D28" s="23"/>
      <c r="E28" s="23"/>
      <c r="F28" s="23"/>
      <c r="G28" s="23"/>
      <c r="H28" s="29">
        <f t="shared" si="4"/>
        <v>17.5</v>
      </c>
      <c r="I28" s="29">
        <f t="shared" si="5"/>
        <v>19.5</v>
      </c>
      <c r="J28" s="30">
        <f t="shared" si="6"/>
        <v>37</v>
      </c>
    </row>
    <row r="29" spans="1:10" s="9" customFormat="1" ht="15" customHeight="1" x14ac:dyDescent="0.2">
      <c r="A29" s="25" t="s">
        <v>48</v>
      </c>
      <c r="B29" s="23"/>
      <c r="C29" s="23"/>
      <c r="D29" s="23"/>
      <c r="E29" s="29">
        <v>1</v>
      </c>
      <c r="F29" s="23"/>
      <c r="G29" s="23"/>
      <c r="H29" s="29">
        <f t="shared" si="4"/>
        <v>17.5</v>
      </c>
      <c r="I29" s="29">
        <f t="shared" si="5"/>
        <v>18.5</v>
      </c>
      <c r="J29" s="30">
        <f t="shared" si="6"/>
        <v>36</v>
      </c>
    </row>
    <row r="30" spans="1:10" s="9" customFormat="1" ht="15" customHeight="1" x14ac:dyDescent="0.2">
      <c r="A30" s="25" t="s">
        <v>49</v>
      </c>
      <c r="B30" s="23"/>
      <c r="C30" s="23"/>
      <c r="D30" s="29">
        <v>7</v>
      </c>
      <c r="E30" s="29">
        <v>13</v>
      </c>
      <c r="F30" s="23"/>
      <c r="G30" s="23"/>
      <c r="H30" s="29">
        <f t="shared" si="4"/>
        <v>10.5</v>
      </c>
      <c r="I30" s="29">
        <f t="shared" si="5"/>
        <v>5.5</v>
      </c>
      <c r="J30" s="30">
        <f t="shared" si="6"/>
        <v>16</v>
      </c>
    </row>
    <row r="31" spans="1:10" s="9" customFormat="1" ht="15" customHeight="1" x14ac:dyDescent="0.2">
      <c r="A31" s="25" t="s">
        <v>50</v>
      </c>
      <c r="B31" s="23">
        <v>1.25</v>
      </c>
      <c r="C31" s="23">
        <v>1.25</v>
      </c>
      <c r="D31" s="29"/>
      <c r="E31" s="29"/>
      <c r="F31" s="23"/>
      <c r="G31" s="23"/>
      <c r="H31" s="29">
        <f t="shared" si="4"/>
        <v>11.75</v>
      </c>
      <c r="I31" s="29">
        <f t="shared" si="5"/>
        <v>6.75</v>
      </c>
      <c r="J31" s="30">
        <f t="shared" si="6"/>
        <v>18.5</v>
      </c>
    </row>
    <row r="32" spans="1:10" s="9" customFormat="1" ht="15" customHeight="1" x14ac:dyDescent="0.2">
      <c r="A32" s="25" t="s">
        <v>51</v>
      </c>
      <c r="B32" s="23"/>
      <c r="C32" s="23"/>
      <c r="D32" s="29"/>
      <c r="E32" s="29"/>
      <c r="F32" s="23">
        <v>1</v>
      </c>
      <c r="G32" s="23"/>
      <c r="H32" s="29">
        <f t="shared" si="4"/>
        <v>10.75</v>
      </c>
      <c r="I32" s="29">
        <f t="shared" si="5"/>
        <v>6.75</v>
      </c>
      <c r="J32" s="30">
        <f t="shared" si="6"/>
        <v>17.5</v>
      </c>
    </row>
    <row r="33" spans="1:10" s="9" customFormat="1" ht="15" customHeight="1" x14ac:dyDescent="0.2">
      <c r="A33" s="25" t="s">
        <v>52</v>
      </c>
      <c r="B33" s="23">
        <v>1.25</v>
      </c>
      <c r="C33" s="23">
        <v>1.25</v>
      </c>
      <c r="D33" s="29"/>
      <c r="E33" s="29"/>
      <c r="F33" s="23"/>
      <c r="G33" s="23"/>
      <c r="H33" s="29">
        <f t="shared" si="4"/>
        <v>12</v>
      </c>
      <c r="I33" s="29">
        <f t="shared" si="5"/>
        <v>8</v>
      </c>
      <c r="J33" s="30">
        <f t="shared" si="6"/>
        <v>20</v>
      </c>
    </row>
    <row r="34" spans="1:10" s="9" customFormat="1" ht="15" customHeight="1" x14ac:dyDescent="0.2">
      <c r="A34" s="25" t="s">
        <v>53</v>
      </c>
      <c r="B34" s="23"/>
      <c r="C34" s="23"/>
      <c r="D34" s="29"/>
      <c r="E34" s="29"/>
      <c r="F34" s="23">
        <v>1</v>
      </c>
      <c r="G34" s="23"/>
      <c r="H34" s="29">
        <f t="shared" si="4"/>
        <v>11</v>
      </c>
      <c r="I34" s="29">
        <f t="shared" si="5"/>
        <v>8</v>
      </c>
      <c r="J34" s="30">
        <f t="shared" si="6"/>
        <v>19</v>
      </c>
    </row>
    <row r="35" spans="1:10" s="9" customFormat="1" ht="15" customHeight="1" x14ac:dyDescent="0.2">
      <c r="A35" s="25" t="s">
        <v>54</v>
      </c>
      <c r="B35" s="23">
        <v>1.25</v>
      </c>
      <c r="C35" s="23">
        <v>1.25</v>
      </c>
      <c r="D35" s="29"/>
      <c r="E35" s="29"/>
      <c r="F35" s="23"/>
      <c r="G35" s="23"/>
      <c r="H35" s="29">
        <f t="shared" si="4"/>
        <v>12.25</v>
      </c>
      <c r="I35" s="29">
        <f t="shared" si="5"/>
        <v>9.25</v>
      </c>
      <c r="J35" s="30">
        <f t="shared" si="6"/>
        <v>21.5</v>
      </c>
    </row>
    <row r="36" spans="1:10" s="9" customFormat="1" ht="15" customHeight="1" x14ac:dyDescent="0.2">
      <c r="A36" s="25" t="s">
        <v>55</v>
      </c>
      <c r="B36" s="23"/>
      <c r="C36" s="23"/>
      <c r="D36" s="29"/>
      <c r="E36" s="29"/>
      <c r="F36" s="23">
        <v>2</v>
      </c>
      <c r="G36" s="23"/>
      <c r="H36" s="29">
        <f t="shared" si="4"/>
        <v>10.25</v>
      </c>
      <c r="I36" s="29">
        <f t="shared" si="5"/>
        <v>9.25</v>
      </c>
      <c r="J36" s="30">
        <f t="shared" si="6"/>
        <v>19.5</v>
      </c>
    </row>
    <row r="37" spans="1:10" s="9" customFormat="1" ht="15" customHeight="1" x14ac:dyDescent="0.2">
      <c r="A37" s="25" t="s">
        <v>56</v>
      </c>
      <c r="B37" s="23">
        <v>1.25</v>
      </c>
      <c r="C37" s="23">
        <v>1.25</v>
      </c>
      <c r="D37" s="29"/>
      <c r="E37" s="29"/>
      <c r="F37" s="23"/>
      <c r="G37" s="23"/>
      <c r="H37" s="29">
        <f t="shared" si="4"/>
        <v>11.5</v>
      </c>
      <c r="I37" s="29">
        <f t="shared" si="5"/>
        <v>10.5</v>
      </c>
      <c r="J37" s="30">
        <f t="shared" si="6"/>
        <v>22</v>
      </c>
    </row>
    <row r="38" spans="1:10" s="9" customFormat="1" ht="15" customHeight="1" x14ac:dyDescent="0.2">
      <c r="A38" s="25" t="s">
        <v>77</v>
      </c>
      <c r="B38" s="23"/>
      <c r="C38" s="23"/>
      <c r="D38" s="29"/>
      <c r="E38" s="29"/>
      <c r="F38" s="23">
        <v>1</v>
      </c>
      <c r="G38" s="23"/>
      <c r="H38" s="29">
        <f t="shared" si="4"/>
        <v>10.5</v>
      </c>
      <c r="I38" s="29">
        <f t="shared" si="5"/>
        <v>10.5</v>
      </c>
      <c r="J38" s="30">
        <f t="shared" si="6"/>
        <v>21</v>
      </c>
    </row>
    <row r="39" spans="1:10" s="9" customFormat="1" ht="15" customHeight="1" x14ac:dyDescent="0.2">
      <c r="A39" s="34" t="s">
        <v>85</v>
      </c>
      <c r="B39" s="23">
        <v>2.5</v>
      </c>
      <c r="C39" s="23">
        <v>2.5</v>
      </c>
      <c r="D39" s="29"/>
      <c r="E39" s="29"/>
      <c r="F39" s="23"/>
      <c r="G39" s="23"/>
      <c r="H39" s="29">
        <f t="shared" si="4"/>
        <v>13</v>
      </c>
      <c r="I39" s="29">
        <f t="shared" si="5"/>
        <v>13</v>
      </c>
      <c r="J39" s="30">
        <f t="shared" si="6"/>
        <v>26</v>
      </c>
    </row>
    <row r="40" spans="1:10" s="9" customFormat="1" ht="15" customHeight="1" x14ac:dyDescent="0.2">
      <c r="A40" s="34" t="s">
        <v>57</v>
      </c>
      <c r="B40" s="23"/>
      <c r="C40" s="23"/>
      <c r="D40" s="29"/>
      <c r="E40" s="29"/>
      <c r="F40" s="33">
        <v>1</v>
      </c>
      <c r="G40" s="23"/>
      <c r="H40" s="29">
        <f t="shared" si="4"/>
        <v>12</v>
      </c>
      <c r="I40" s="29">
        <f t="shared" si="5"/>
        <v>13</v>
      </c>
      <c r="J40" s="30">
        <f t="shared" si="6"/>
        <v>25</v>
      </c>
    </row>
    <row r="41" spans="1:10" s="9" customFormat="1" ht="15" customHeight="1" x14ac:dyDescent="0.2">
      <c r="A41" s="34" t="s">
        <v>59</v>
      </c>
      <c r="B41" s="23"/>
      <c r="C41" s="23"/>
      <c r="D41" s="29">
        <v>1</v>
      </c>
      <c r="E41" s="29"/>
      <c r="F41" s="33"/>
      <c r="G41" s="23"/>
      <c r="H41" s="29">
        <f t="shared" si="4"/>
        <v>11</v>
      </c>
      <c r="I41" s="29">
        <f t="shared" si="5"/>
        <v>13</v>
      </c>
      <c r="J41" s="30">
        <f t="shared" si="6"/>
        <v>24</v>
      </c>
    </row>
    <row r="42" spans="1:10" s="9" customFormat="1" ht="15" customHeight="1" x14ac:dyDescent="0.2">
      <c r="A42" s="34" t="s">
        <v>58</v>
      </c>
      <c r="B42" s="23"/>
      <c r="C42" s="23"/>
      <c r="D42" s="29"/>
      <c r="E42" s="29">
        <v>2</v>
      </c>
      <c r="F42" s="33"/>
      <c r="G42" s="23"/>
      <c r="H42" s="29">
        <f t="shared" si="4"/>
        <v>11</v>
      </c>
      <c r="I42" s="29">
        <f t="shared" si="5"/>
        <v>11</v>
      </c>
      <c r="J42" s="30">
        <f t="shared" si="6"/>
        <v>22</v>
      </c>
    </row>
    <row r="43" spans="1:10" s="9" customFormat="1" ht="15" customHeight="1" x14ac:dyDescent="0.25">
      <c r="A43" s="35" t="s">
        <v>60</v>
      </c>
      <c r="B43" s="23"/>
      <c r="C43" s="23"/>
      <c r="D43" s="29"/>
      <c r="E43" s="29">
        <v>2</v>
      </c>
      <c r="F43" s="33"/>
      <c r="G43" s="23"/>
      <c r="H43" s="29">
        <f t="shared" si="4"/>
        <v>11</v>
      </c>
      <c r="I43" s="29">
        <f t="shared" si="5"/>
        <v>9</v>
      </c>
      <c r="J43" s="30">
        <f t="shared" si="6"/>
        <v>20</v>
      </c>
    </row>
    <row r="44" spans="1:10" s="9" customFormat="1" ht="16.5" customHeight="1" x14ac:dyDescent="0.25">
      <c r="A44" s="35" t="s">
        <v>61</v>
      </c>
      <c r="B44" s="23">
        <v>2.5</v>
      </c>
      <c r="C44" s="23">
        <v>2.5</v>
      </c>
      <c r="D44" s="29"/>
      <c r="E44" s="29"/>
      <c r="F44" s="33"/>
      <c r="G44" s="23"/>
      <c r="H44" s="29">
        <f t="shared" si="4"/>
        <v>13.5</v>
      </c>
      <c r="I44" s="29">
        <f t="shared" si="5"/>
        <v>11.5</v>
      </c>
      <c r="J44" s="30">
        <f t="shared" si="6"/>
        <v>25</v>
      </c>
    </row>
    <row r="45" spans="1:10" s="9" customFormat="1" ht="15" customHeight="1" x14ac:dyDescent="0.2">
      <c r="A45" s="25" t="s">
        <v>62</v>
      </c>
      <c r="B45" s="23"/>
      <c r="C45" s="23"/>
      <c r="D45" s="29"/>
      <c r="E45" s="29"/>
      <c r="F45" s="33">
        <v>1</v>
      </c>
      <c r="G45" s="23"/>
      <c r="H45" s="29">
        <f t="shared" si="4"/>
        <v>12.5</v>
      </c>
      <c r="I45" s="29">
        <f t="shared" si="5"/>
        <v>11.5</v>
      </c>
      <c r="J45" s="30">
        <f t="shared" si="6"/>
        <v>24</v>
      </c>
    </row>
    <row r="46" spans="1:10" s="9" customFormat="1" ht="18" customHeight="1" x14ac:dyDescent="0.2">
      <c r="A46" s="34" t="s">
        <v>81</v>
      </c>
      <c r="B46" s="33">
        <v>3.75</v>
      </c>
      <c r="C46" s="33">
        <v>3.75</v>
      </c>
      <c r="D46" s="26"/>
      <c r="E46" s="26"/>
      <c r="F46" s="33"/>
      <c r="G46" s="33"/>
      <c r="H46" s="29">
        <f t="shared" si="4"/>
        <v>16.25</v>
      </c>
      <c r="I46" s="29">
        <v>14</v>
      </c>
      <c r="J46" s="30">
        <f t="shared" si="6"/>
        <v>30.25</v>
      </c>
    </row>
    <row r="47" spans="1:10" s="9" customFormat="1" ht="18" customHeight="1" x14ac:dyDescent="0.2">
      <c r="A47" s="34" t="s">
        <v>63</v>
      </c>
      <c r="B47" s="33"/>
      <c r="C47" s="33"/>
      <c r="D47" s="26">
        <v>10</v>
      </c>
      <c r="E47" s="26"/>
      <c r="F47" s="33"/>
      <c r="G47" s="33"/>
      <c r="H47" s="29">
        <f t="shared" si="4"/>
        <v>6.25</v>
      </c>
      <c r="I47" s="29">
        <f t="shared" si="5"/>
        <v>14</v>
      </c>
      <c r="J47" s="30">
        <f t="shared" si="6"/>
        <v>20.25</v>
      </c>
    </row>
    <row r="48" spans="1:10" s="9" customFormat="1" ht="18" customHeight="1" x14ac:dyDescent="0.2">
      <c r="A48" s="34" t="s">
        <v>64</v>
      </c>
      <c r="B48" s="33">
        <v>2.5</v>
      </c>
      <c r="C48" s="33">
        <v>2.5</v>
      </c>
      <c r="D48" s="26"/>
      <c r="E48" s="26"/>
      <c r="F48" s="33"/>
      <c r="G48" s="33"/>
      <c r="H48" s="29">
        <f t="shared" si="4"/>
        <v>8.75</v>
      </c>
      <c r="I48" s="29">
        <f t="shared" si="5"/>
        <v>16.5</v>
      </c>
      <c r="J48" s="30">
        <f t="shared" si="6"/>
        <v>25.25</v>
      </c>
    </row>
    <row r="49" spans="1:10" s="9" customFormat="1" ht="18" customHeight="1" x14ac:dyDescent="0.2">
      <c r="A49" s="34" t="s">
        <v>65</v>
      </c>
      <c r="B49" s="33"/>
      <c r="C49" s="33"/>
      <c r="D49" s="26"/>
      <c r="E49" s="26"/>
      <c r="F49" s="33">
        <v>1</v>
      </c>
      <c r="G49" s="33"/>
      <c r="H49" s="29">
        <f t="shared" si="4"/>
        <v>7.75</v>
      </c>
      <c r="I49" s="29">
        <f t="shared" si="5"/>
        <v>16.5</v>
      </c>
      <c r="J49" s="30">
        <f t="shared" si="6"/>
        <v>24.25</v>
      </c>
    </row>
    <row r="50" spans="1:10" s="9" customFormat="1" ht="18" customHeight="1" x14ac:dyDescent="0.2">
      <c r="A50" s="34" t="s">
        <v>66</v>
      </c>
      <c r="B50" s="33">
        <v>1.25</v>
      </c>
      <c r="C50" s="33">
        <v>1.25</v>
      </c>
      <c r="D50" s="26"/>
      <c r="E50" s="26"/>
      <c r="F50" s="33"/>
      <c r="G50" s="33"/>
      <c r="H50" s="29">
        <f t="shared" si="4"/>
        <v>9</v>
      </c>
      <c r="I50" s="29">
        <f t="shared" si="5"/>
        <v>17.75</v>
      </c>
      <c r="J50" s="30">
        <f t="shared" si="6"/>
        <v>26.75</v>
      </c>
    </row>
    <row r="51" spans="1:10" s="9" customFormat="1" ht="18" customHeight="1" x14ac:dyDescent="0.2">
      <c r="A51" s="34" t="s">
        <v>67</v>
      </c>
      <c r="B51" s="33"/>
      <c r="C51" s="33"/>
      <c r="D51" s="26"/>
      <c r="E51" s="26"/>
      <c r="F51" s="33">
        <v>1</v>
      </c>
      <c r="G51" s="33"/>
      <c r="H51" s="29">
        <f>H50-F51-D51+B51</f>
        <v>8</v>
      </c>
      <c r="I51" s="29">
        <f>I50-E51+C51</f>
        <v>17.75</v>
      </c>
      <c r="J51" s="30">
        <f t="shared" si="6"/>
        <v>25.75</v>
      </c>
    </row>
    <row r="52" spans="1:10" s="9" customFormat="1" ht="18" customHeight="1" x14ac:dyDescent="0.2">
      <c r="A52" s="34" t="s">
        <v>68</v>
      </c>
      <c r="B52" s="33">
        <v>2.5</v>
      </c>
      <c r="C52" s="33">
        <v>2.5</v>
      </c>
      <c r="D52" s="26"/>
      <c r="E52" s="26"/>
      <c r="F52" s="33"/>
      <c r="G52" s="33"/>
      <c r="H52" s="29">
        <f t="shared" ref="H52:H58" si="7">H51-F52-D52+B52</f>
        <v>10.5</v>
      </c>
      <c r="I52" s="29">
        <f t="shared" ref="I52:I58" si="8">I51-E52+C52</f>
        <v>20.25</v>
      </c>
      <c r="J52" s="30">
        <f t="shared" si="6"/>
        <v>30.75</v>
      </c>
    </row>
    <row r="53" spans="1:10" s="9" customFormat="1" ht="18" customHeight="1" x14ac:dyDescent="0.2">
      <c r="A53" s="34" t="s">
        <v>72</v>
      </c>
      <c r="B53" s="33"/>
      <c r="C53" s="33"/>
      <c r="D53" s="26"/>
      <c r="E53" s="26"/>
      <c r="F53" s="33">
        <v>1</v>
      </c>
      <c r="G53" s="33"/>
      <c r="H53" s="29">
        <f t="shared" si="7"/>
        <v>9.5</v>
      </c>
      <c r="I53" s="29">
        <f t="shared" si="8"/>
        <v>20.25</v>
      </c>
      <c r="J53" s="30">
        <f t="shared" si="6"/>
        <v>29.75</v>
      </c>
    </row>
    <row r="54" spans="1:10" s="9" customFormat="1" ht="18" customHeight="1" x14ac:dyDescent="0.2">
      <c r="A54" s="34" t="s">
        <v>69</v>
      </c>
      <c r="B54" s="33"/>
      <c r="C54" s="33"/>
      <c r="D54" s="26"/>
      <c r="E54" s="26"/>
      <c r="F54" s="43">
        <v>1</v>
      </c>
      <c r="G54" s="33"/>
      <c r="H54" s="29">
        <f t="shared" si="7"/>
        <v>8.5</v>
      </c>
      <c r="I54" s="29">
        <f t="shared" si="8"/>
        <v>20.25</v>
      </c>
      <c r="J54" s="30">
        <f t="shared" si="6"/>
        <v>28.75</v>
      </c>
    </row>
    <row r="55" spans="1:10" s="42" customFormat="1" ht="18" customHeight="1" x14ac:dyDescent="0.2">
      <c r="A55" s="34" t="s">
        <v>70</v>
      </c>
      <c r="B55" s="33">
        <v>1.25</v>
      </c>
      <c r="C55" s="33">
        <v>1.25</v>
      </c>
      <c r="D55" s="26"/>
      <c r="E55" s="26"/>
      <c r="F55" s="33"/>
      <c r="G55" s="33"/>
      <c r="H55" s="29">
        <f t="shared" si="7"/>
        <v>9.75</v>
      </c>
      <c r="I55" s="29">
        <f t="shared" si="8"/>
        <v>21.5</v>
      </c>
      <c r="J55" s="30">
        <f t="shared" si="6"/>
        <v>31.25</v>
      </c>
    </row>
    <row r="56" spans="1:10" s="42" customFormat="1" ht="18" customHeight="1" x14ac:dyDescent="0.2">
      <c r="A56" s="34" t="s">
        <v>71</v>
      </c>
      <c r="B56" s="33"/>
      <c r="C56" s="33"/>
      <c r="D56" s="26"/>
      <c r="E56" s="26"/>
      <c r="F56" s="43">
        <v>1</v>
      </c>
      <c r="G56" s="33"/>
      <c r="H56" s="29">
        <f t="shared" si="7"/>
        <v>8.75</v>
      </c>
      <c r="I56" s="29">
        <f t="shared" si="8"/>
        <v>21.5</v>
      </c>
      <c r="J56" s="30">
        <f t="shared" si="6"/>
        <v>30.25</v>
      </c>
    </row>
    <row r="57" spans="1:10" s="42" customFormat="1" ht="18" customHeight="1" x14ac:dyDescent="0.2">
      <c r="A57" s="34" t="s">
        <v>73</v>
      </c>
      <c r="B57" s="33">
        <v>7.5</v>
      </c>
      <c r="C57" s="33">
        <v>7.5</v>
      </c>
      <c r="D57" s="26"/>
      <c r="E57" s="26"/>
      <c r="F57" s="33"/>
      <c r="G57" s="33"/>
      <c r="H57" s="29">
        <f t="shared" si="7"/>
        <v>16.25</v>
      </c>
      <c r="I57" s="29">
        <f t="shared" si="8"/>
        <v>29</v>
      </c>
      <c r="J57" s="30">
        <f t="shared" si="6"/>
        <v>45.25</v>
      </c>
    </row>
    <row r="58" spans="1:10" s="42" customFormat="1" ht="18" customHeight="1" x14ac:dyDescent="0.2">
      <c r="A58" s="34" t="s">
        <v>74</v>
      </c>
      <c r="B58" s="33"/>
      <c r="C58" s="33"/>
      <c r="D58" s="26"/>
      <c r="E58" s="26"/>
      <c r="F58" s="43">
        <v>1</v>
      </c>
      <c r="G58" s="33"/>
      <c r="H58" s="29">
        <f t="shared" si="7"/>
        <v>15.25</v>
      </c>
      <c r="I58" s="29">
        <f t="shared" si="8"/>
        <v>29</v>
      </c>
      <c r="J58" s="30">
        <f t="shared" si="6"/>
        <v>44.25</v>
      </c>
    </row>
    <row r="59" spans="1:10" s="42" customFormat="1" ht="18" customHeight="1" x14ac:dyDescent="0.2">
      <c r="A59" s="34" t="s">
        <v>78</v>
      </c>
      <c r="B59" s="33">
        <v>1.25</v>
      </c>
      <c r="C59" s="33">
        <v>1.25</v>
      </c>
      <c r="D59" s="26"/>
      <c r="E59" s="26"/>
      <c r="F59" s="33"/>
      <c r="G59" s="33"/>
      <c r="H59" s="29">
        <f t="shared" ref="H59" si="9">H58-F59-D59+B59</f>
        <v>16.5</v>
      </c>
      <c r="I59" s="29">
        <f t="shared" ref="I59" si="10">I58-E59+C59</f>
        <v>30.25</v>
      </c>
      <c r="J59" s="30">
        <f t="shared" ref="J59" si="11">H59+I59</f>
        <v>46.75</v>
      </c>
    </row>
    <row r="60" spans="1:10" s="42" customFormat="1" ht="18" customHeight="1" x14ac:dyDescent="0.2">
      <c r="A60" s="34" t="s">
        <v>79</v>
      </c>
      <c r="B60" s="33"/>
      <c r="C60" s="33"/>
      <c r="D60" s="26">
        <v>10</v>
      </c>
      <c r="E60" s="26"/>
      <c r="F60" s="33"/>
      <c r="G60" s="33"/>
      <c r="H60" s="29">
        <f t="shared" ref="H60" si="12">H59-F60-D60+B60</f>
        <v>6.5</v>
      </c>
      <c r="I60" s="29">
        <f t="shared" ref="I60" si="13">I59-E60+C60</f>
        <v>30.25</v>
      </c>
      <c r="J60" s="30">
        <f t="shared" ref="J60" si="14">H60+I60</f>
        <v>36.75</v>
      </c>
    </row>
    <row r="61" spans="1:10" s="42" customFormat="1" ht="18" customHeight="1" x14ac:dyDescent="0.2">
      <c r="A61" s="34" t="s">
        <v>86</v>
      </c>
      <c r="B61" s="33"/>
      <c r="C61" s="33"/>
      <c r="D61" s="26"/>
      <c r="E61" s="26"/>
      <c r="F61" s="33"/>
      <c r="G61" s="53">
        <v>1</v>
      </c>
      <c r="H61" s="29">
        <f t="shared" ref="H61" si="15">H60-F61-D61+B61</f>
        <v>6.5</v>
      </c>
      <c r="I61" s="29">
        <f t="shared" ref="I61" si="16">I60-E61+C61</f>
        <v>30.25</v>
      </c>
      <c r="J61" s="30">
        <f t="shared" ref="J61" si="17">H61+I61</f>
        <v>36.75</v>
      </c>
    </row>
    <row r="62" spans="1:10" s="42" customFormat="1" ht="18" customHeight="1" x14ac:dyDescent="0.2">
      <c r="A62" s="34" t="s">
        <v>87</v>
      </c>
      <c r="B62" s="33"/>
      <c r="C62" s="33"/>
      <c r="D62" s="26"/>
      <c r="E62" s="26">
        <v>1</v>
      </c>
      <c r="F62" s="33"/>
      <c r="G62" s="33"/>
      <c r="H62" s="29">
        <f t="shared" ref="H62" si="18">H61-F62-D62+B62</f>
        <v>6.5</v>
      </c>
      <c r="I62" s="29">
        <f t="shared" ref="I62" si="19">I61-E62+C62</f>
        <v>29.25</v>
      </c>
      <c r="J62" s="30">
        <f t="shared" ref="J62" si="20">H62+I62</f>
        <v>35.75</v>
      </c>
    </row>
    <row r="63" spans="1:10" s="42" customFormat="1" ht="18" customHeight="1" x14ac:dyDescent="0.2">
      <c r="A63" s="36"/>
      <c r="B63" s="37"/>
      <c r="C63" s="37"/>
      <c r="D63" s="38"/>
      <c r="E63" s="38"/>
      <c r="F63" s="37"/>
      <c r="G63" s="37"/>
      <c r="H63" s="38"/>
      <c r="I63" s="38"/>
      <c r="J63" s="54"/>
    </row>
    <row r="64" spans="1:10" s="42" customFormat="1" ht="18" customHeight="1" x14ac:dyDescent="0.2">
      <c r="A64" s="36"/>
      <c r="B64" s="37"/>
      <c r="C64" s="37"/>
      <c r="D64" s="38"/>
      <c r="E64" s="38"/>
      <c r="F64" s="37"/>
      <c r="G64" s="37"/>
      <c r="H64" s="38"/>
      <c r="I64" s="38"/>
      <c r="J64" s="54"/>
    </row>
    <row r="65" spans="1:11" s="9" customFormat="1" ht="18" customHeight="1" x14ac:dyDescent="0.2">
      <c r="A65" s="36"/>
      <c r="B65" s="37"/>
      <c r="C65" s="37"/>
      <c r="D65" s="38"/>
      <c r="E65" s="38"/>
      <c r="F65" s="37"/>
      <c r="G65" s="37"/>
      <c r="H65" s="39"/>
      <c r="I65" s="39"/>
      <c r="J65" s="40"/>
    </row>
    <row r="66" spans="1:11" s="24" customFormat="1" ht="15" customHeight="1" x14ac:dyDescent="0.25">
      <c r="G66" s="22" t="s">
        <v>30</v>
      </c>
    </row>
    <row r="67" spans="1:11" s="24" customFormat="1" ht="15" customHeight="1" x14ac:dyDescent="0.25">
      <c r="G67" s="22"/>
    </row>
    <row r="68" spans="1:11" s="24" customFormat="1" ht="15" customHeight="1" x14ac:dyDescent="0.25">
      <c r="H68" s="41" t="s">
        <v>31</v>
      </c>
    </row>
    <row r="69" spans="1:11" s="24" customFormat="1" ht="15" customHeight="1" x14ac:dyDescent="0.25">
      <c r="H69" s="22" t="s">
        <v>32</v>
      </c>
    </row>
    <row r="70" spans="1:11" ht="15" customHeight="1" x14ac:dyDescent="0.25">
      <c r="B70" s="1"/>
      <c r="C70" s="1"/>
      <c r="D70" s="1"/>
      <c r="E70" s="1"/>
      <c r="F70" s="1"/>
      <c r="G70"/>
      <c r="H70" s="22" t="s">
        <v>33</v>
      </c>
      <c r="I70" s="1"/>
      <c r="J70" s="1"/>
      <c r="K70" s="1"/>
    </row>
  </sheetData>
  <mergeCells count="14">
    <mergeCell ref="A11:J11"/>
    <mergeCell ref="A12:A13"/>
    <mergeCell ref="B12:C12"/>
    <mergeCell ref="H12:I12"/>
    <mergeCell ref="J12:J13"/>
    <mergeCell ref="D12:G12"/>
    <mergeCell ref="A2:J2"/>
    <mergeCell ref="A3:J3"/>
    <mergeCell ref="A4:J4"/>
    <mergeCell ref="A5:J5"/>
    <mergeCell ref="A10:J10"/>
    <mergeCell ref="G8:H8"/>
    <mergeCell ref="G7:H7"/>
    <mergeCell ref="G9:I9"/>
  </mergeCells>
  <printOptions horizontalCentered="1"/>
  <pageMargins left="0.25" right="0.25" top="0.25" bottom="0.25" header="0.31496062992126" footer="0.31496062992126"/>
  <pageSetup paperSize="9" scale="6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2025-09-08T02:28:23Z</cp:lastPrinted>
  <dcterms:created xsi:type="dcterms:W3CDTF">2021-10-07T06:10:16Z</dcterms:created>
  <dcterms:modified xsi:type="dcterms:W3CDTF">2025-12-15T01:38:35Z</dcterms:modified>
</cp:coreProperties>
</file>