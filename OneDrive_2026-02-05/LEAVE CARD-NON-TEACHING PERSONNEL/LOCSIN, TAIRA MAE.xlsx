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478F419E-883D-4D3A-8A09-5700501C3F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10" r:id="rId2"/>
    <sheet name="Other types of leave" sheetId="9" r:id="rId3"/>
  </sheets>
  <definedNames>
    <definedName name="_xlnm.Print_Area" localSheetId="0">'Leave Card (NE)'!$A$1:$J$114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8" i="6" l="1"/>
  <c r="I108" i="6"/>
  <c r="J108" i="6"/>
  <c r="I14" i="6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8" i="6" s="1"/>
  <c r="I39" i="6" s="1"/>
  <c r="I40" i="6" s="1"/>
  <c r="H14" i="6"/>
  <c r="H15" i="6" s="1"/>
  <c r="H16" i="6" s="1"/>
  <c r="J14" i="6" l="1"/>
  <c r="I41" i="6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J15" i="6"/>
  <c r="J16" i="6"/>
  <c r="H17" i="6"/>
  <c r="I62" i="6" l="1"/>
  <c r="I63" i="6" s="1"/>
  <c r="H18" i="6"/>
  <c r="J17" i="6"/>
  <c r="I64" i="6" l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J18" i="6"/>
  <c r="H19" i="6"/>
  <c r="I78" i="6" l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H20" i="6"/>
  <c r="J19" i="6"/>
  <c r="J20" i="6" l="1"/>
  <c r="H21" i="6"/>
  <c r="H22" i="6" l="1"/>
  <c r="J21" i="6"/>
  <c r="J22" i="6" l="1"/>
  <c r="H23" i="6"/>
  <c r="H24" i="6" l="1"/>
  <c r="J23" i="6"/>
  <c r="J24" i="6" l="1"/>
  <c r="H25" i="6"/>
  <c r="J25" i="6" l="1"/>
  <c r="H26" i="6"/>
  <c r="H27" i="6" l="1"/>
  <c r="J26" i="6"/>
  <c r="J27" i="6" l="1"/>
  <c r="H28" i="6"/>
  <c r="H29" i="6" l="1"/>
  <c r="J28" i="6"/>
  <c r="J29" i="6" l="1"/>
  <c r="H30" i="6"/>
  <c r="H31" i="6" l="1"/>
  <c r="J30" i="6"/>
  <c r="J31" i="6" l="1"/>
  <c r="H32" i="6"/>
  <c r="J32" i="6" l="1"/>
  <c r="H33" i="6"/>
  <c r="H34" i="6" l="1"/>
  <c r="J33" i="6"/>
  <c r="J34" i="6" l="1"/>
  <c r="H35" i="6"/>
  <c r="H36" i="6" l="1"/>
  <c r="J35" i="6"/>
  <c r="J36" i="6" l="1"/>
  <c r="H38" i="6"/>
  <c r="H39" i="6" l="1"/>
  <c r="H40" i="6" s="1"/>
  <c r="J38" i="6"/>
  <c r="H41" i="6" l="1"/>
  <c r="J40" i="6"/>
  <c r="J39" i="6"/>
  <c r="J41" i="6" l="1"/>
  <c r="H42" i="6"/>
  <c r="H43" i="6" l="1"/>
  <c r="J42" i="6"/>
  <c r="J43" i="6" l="1"/>
  <c r="H44" i="6"/>
  <c r="J44" i="6" l="1"/>
  <c r="H45" i="6"/>
  <c r="J45" i="6" l="1"/>
  <c r="H46" i="6"/>
  <c r="J46" i="6" l="1"/>
  <c r="H47" i="6"/>
  <c r="H48" i="6" l="1"/>
  <c r="J47" i="6"/>
  <c r="J48" i="6" l="1"/>
  <c r="H49" i="6"/>
  <c r="J49" i="6" l="1"/>
  <c r="H50" i="6"/>
  <c r="J50" i="6" l="1"/>
  <c r="H51" i="6"/>
  <c r="J51" i="6" l="1"/>
  <c r="H52" i="6"/>
  <c r="H53" i="6" l="1"/>
  <c r="J52" i="6"/>
  <c r="J53" i="6" l="1"/>
  <c r="H54" i="6"/>
  <c r="H55" i="6" l="1"/>
  <c r="J54" i="6"/>
  <c r="J55" i="6" l="1"/>
  <c r="H56" i="6"/>
  <c r="J56" i="6" l="1"/>
  <c r="H57" i="6"/>
  <c r="H58" i="6" l="1"/>
  <c r="J57" i="6"/>
  <c r="J58" i="6" l="1"/>
  <c r="H59" i="6"/>
  <c r="J59" i="6" l="1"/>
  <c r="H60" i="6"/>
  <c r="H61" i="6" l="1"/>
  <c r="J60" i="6"/>
  <c r="H62" i="6" l="1"/>
  <c r="J61" i="6"/>
  <c r="H63" i="6" l="1"/>
  <c r="J62" i="6"/>
  <c r="H64" i="6" l="1"/>
  <c r="J63" i="6"/>
  <c r="H65" i="6" l="1"/>
  <c r="J64" i="6"/>
  <c r="H66" i="6" l="1"/>
  <c r="J65" i="6"/>
  <c r="J66" i="6" l="1"/>
  <c r="H67" i="6"/>
  <c r="H68" i="6" l="1"/>
  <c r="J67" i="6"/>
  <c r="J68" i="6" l="1"/>
  <c r="H69" i="6"/>
  <c r="H70" i="6" l="1"/>
  <c r="J69" i="6"/>
  <c r="J70" i="6" l="1"/>
  <c r="H71" i="6"/>
  <c r="J71" i="6" l="1"/>
  <c r="H72" i="6"/>
  <c r="H73" i="6" l="1"/>
  <c r="J72" i="6"/>
  <c r="J73" i="6" l="1"/>
  <c r="H74" i="6"/>
  <c r="J74" i="6" l="1"/>
  <c r="H75" i="6"/>
  <c r="H76" i="6" l="1"/>
  <c r="H77" i="6" s="1"/>
  <c r="J75" i="6"/>
  <c r="H78" i="6" l="1"/>
  <c r="H79" i="6" s="1"/>
  <c r="J77" i="6"/>
  <c r="J76" i="6"/>
  <c r="H80" i="6" l="1"/>
  <c r="J79" i="6"/>
  <c r="J78" i="6"/>
  <c r="J80" i="6" l="1"/>
  <c r="H81" i="6"/>
  <c r="J81" i="6" l="1"/>
  <c r="H82" i="6"/>
  <c r="J82" i="6" l="1"/>
  <c r="H83" i="6"/>
  <c r="H84" i="6" l="1"/>
  <c r="J83" i="6"/>
  <c r="J84" i="6" l="1"/>
  <c r="H85" i="6"/>
  <c r="J85" i="6" l="1"/>
  <c r="H86" i="6"/>
  <c r="J86" i="6" l="1"/>
  <c r="H87" i="6"/>
  <c r="J87" i="6" l="1"/>
  <c r="H88" i="6"/>
  <c r="H89" i="6" l="1"/>
  <c r="J88" i="6"/>
  <c r="J89" i="6" l="1"/>
  <c r="H90" i="6"/>
  <c r="H91" i="6" l="1"/>
  <c r="J90" i="6"/>
  <c r="J91" i="6" l="1"/>
  <c r="H92" i="6"/>
  <c r="J92" i="6" l="1"/>
  <c r="H93" i="6"/>
  <c r="H94" i="6" l="1"/>
  <c r="J93" i="6"/>
  <c r="J94" i="6" l="1"/>
  <c r="H95" i="6"/>
  <c r="J95" i="6" l="1"/>
  <c r="H96" i="6"/>
  <c r="J96" i="6" l="1"/>
  <c r="H97" i="6"/>
  <c r="H98" i="6" l="1"/>
  <c r="J97" i="6"/>
  <c r="J98" i="6" l="1"/>
  <c r="H99" i="6"/>
  <c r="J99" i="6" l="1"/>
  <c r="H100" i="6"/>
  <c r="J100" i="6" l="1"/>
  <c r="H101" i="6"/>
  <c r="J101" i="6" l="1"/>
  <c r="H102" i="6"/>
  <c r="J102" i="6" l="1"/>
  <c r="H103" i="6"/>
  <c r="J103" i="6" l="1"/>
  <c r="H104" i="6"/>
  <c r="J104" i="6" l="1"/>
  <c r="H105" i="6"/>
  <c r="J105" i="6" l="1"/>
  <c r="H106" i="6"/>
  <c r="J106" i="6" l="1"/>
  <c r="H107" i="6"/>
  <c r="J107" i="6" s="1"/>
</calcChain>
</file>

<file path=xl/sharedStrings.xml><?xml version="1.0" encoding="utf-8"?>
<sst xmlns="http://schemas.openxmlformats.org/spreadsheetml/2006/main" count="184" uniqueCount="154">
  <si>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</si>
  <si>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</si>
  <si>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</si>
  <si>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</si>
  <si>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</si>
  <si>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</si>
  <si>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</si>
  <si>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</si>
  <si>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</si>
  <si>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</si>
  <si>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</si>
  <si>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</si>
  <si>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</si>
  <si>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</si>
  <si>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</si>
  <si>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</si>
  <si>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</si>
  <si>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</si>
  <si>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</si>
  <si>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</si>
  <si>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</si>
  <si>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</si>
  <si>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</si>
  <si>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</si>
  <si>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</si>
  <si>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</si>
  <si>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</si>
  <si>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</si>
  <si>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</si>
  <si>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</si>
  <si>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</si>
  <si>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</si>
  <si>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</si>
  <si>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Name: _____________________________</t>
  </si>
  <si>
    <t>POSITION: __________________________</t>
  </si>
  <si>
    <t>DISTRICT: ___________________________</t>
  </si>
  <si>
    <t>SCHOOL/OFFICE:_____________________</t>
  </si>
  <si>
    <t>Certified Correct:</t>
  </si>
  <si>
    <t>MA. LUISA B. CATIGAN</t>
  </si>
  <si>
    <t>Administrative Officer IV</t>
  </si>
  <si>
    <t>HRMO</t>
  </si>
  <si>
    <t>SPECIAL PRIVILEGE LEAVE</t>
  </si>
  <si>
    <t>COMPENSATORY TIME OFF (CTO)</t>
  </si>
  <si>
    <t>Special Order No. and Date Issued</t>
  </si>
  <si>
    <t>No. of Days Granted</t>
  </si>
  <si>
    <t>No. of Days Used</t>
  </si>
  <si>
    <t>Balance</t>
  </si>
  <si>
    <t>NOTE:  Valid for one (1) year only</t>
  </si>
  <si>
    <t>BALANCE FORWARDED AS OF OCT. 3, 2022</t>
  </si>
  <si>
    <t>ADD: 10/04/2022 - 10/31/2022</t>
  </si>
  <si>
    <t>LESS: 12/22, 23, 28 &amp; 29/2022</t>
  </si>
  <si>
    <t>LESS: 12/26 &amp;27/2022</t>
  </si>
  <si>
    <t>ADD: 11/01/2022- 12/31/2022</t>
  </si>
  <si>
    <t>LESS: FL 2022</t>
  </si>
  <si>
    <t>LESS: 01/24 &amp; 25/23</t>
  </si>
  <si>
    <t>ADD: 01/01/2023- 02/28/2023</t>
  </si>
  <si>
    <t>LESS: 03/10/2023</t>
  </si>
  <si>
    <t>ADD: 03/01/2023- 03/31/2023</t>
  </si>
  <si>
    <t>LESS: 05/03/2023</t>
  </si>
  <si>
    <t>ADD: 04/01/2023- 04/30/2023</t>
  </si>
  <si>
    <t>LESS: 06/02/2023</t>
  </si>
  <si>
    <t>LESS: 05/12/2023 (PM)</t>
  </si>
  <si>
    <t>LESS: 05/19/2023</t>
  </si>
  <si>
    <t>ADD: 05/01/2023- 08/31/2023</t>
  </si>
  <si>
    <t>LESS: MONETIZATION 2023</t>
  </si>
  <si>
    <t>LESS: 09/13/2023</t>
  </si>
  <si>
    <t>LESS: 09/21/2023</t>
  </si>
  <si>
    <t>DATE OF ORIGINAL APPOINTMENT: NOVEMBER 7, 2016</t>
  </si>
  <si>
    <t>ADD: 11/07/2016-11/30/2016</t>
  </si>
  <si>
    <t>ADD: 12/01/2016-12/31/2016</t>
  </si>
  <si>
    <t>ADD: 01/01/2017-12/31/2017</t>
  </si>
  <si>
    <t>LESS: FL 2017</t>
  </si>
  <si>
    <t>LESS: 11/13-15/2017</t>
  </si>
  <si>
    <t>LESS: MONETIZATION 2017</t>
  </si>
  <si>
    <t>LESS: FL 2018</t>
  </si>
  <si>
    <t>ADD: 01/01/2018-12/31/2018</t>
  </si>
  <si>
    <t>ADD: 01/01/2019-03/31/2019</t>
  </si>
  <si>
    <t>LESS: 01/29/2019-02/12/2019</t>
  </si>
  <si>
    <t>ADD: 04/01/2019-12/31/2019</t>
  </si>
  <si>
    <t>ADD: 01/01/2020-02/29/2020</t>
  </si>
  <si>
    <t>LESS: 03/16/2020 AND 04/01/2020</t>
  </si>
  <si>
    <t>ADD: 03/01/2020-12/31/2020</t>
  </si>
  <si>
    <t>LESS: MONETIZATION 2020</t>
  </si>
  <si>
    <t>LESS: FL 2020</t>
  </si>
  <si>
    <t>ADD: 01/01/2021-9/30/2021</t>
  </si>
  <si>
    <t>LESS: MONETIZATION 2021</t>
  </si>
  <si>
    <t>ADD: 10/01/2021-12/31/2021</t>
  </si>
  <si>
    <t>LESS: FL 2021</t>
  </si>
  <si>
    <t>ADD: 01/01/2022-08/31/2022</t>
  </si>
  <si>
    <t>ADD: 09/01/2022-09/30/2022</t>
  </si>
  <si>
    <t>ADD:10/01/2022-10/03/2022</t>
  </si>
  <si>
    <t>TRANSFERRED TO SDO SIPALAY</t>
  </si>
  <si>
    <t>ADD: 09/01/2023-11/30/2023</t>
  </si>
  <si>
    <t>LESS: 12/28/2023</t>
  </si>
  <si>
    <t>LESS: 01/26/2024</t>
  </si>
  <si>
    <t>LESS: 12/22/2023</t>
  </si>
  <si>
    <t>LESS: 12/14/2023</t>
  </si>
  <si>
    <t>ADD: 12/01/2023-12/31/2023</t>
  </si>
  <si>
    <t>LESS: 02/14/2024</t>
  </si>
  <si>
    <t>LESS: 01/18/2024</t>
  </si>
  <si>
    <t>ADD: 01/01-02/29/2024</t>
  </si>
  <si>
    <t>LESS: 03/13/24</t>
  </si>
  <si>
    <t>ADD: 03/1-31/2024</t>
  </si>
  <si>
    <t>LESS: 04/25/2024</t>
  </si>
  <si>
    <t>ADD: 04/1-30/2024</t>
  </si>
  <si>
    <t>LESS: 05/31/2024</t>
  </si>
  <si>
    <t>LESS: 05/13/2024</t>
  </si>
  <si>
    <t>ADD: 05/1-31/2024</t>
  </si>
  <si>
    <t>LESS: 06/13/2024</t>
  </si>
  <si>
    <t>LESS: 06/19/2024</t>
  </si>
  <si>
    <t>ADD: 06/1-30/2024</t>
  </si>
  <si>
    <t>LESS: 07/12/2024</t>
  </si>
  <si>
    <t>LESS: 07/25-26/2024</t>
  </si>
  <si>
    <t>LESS: MONETIZATION 2024</t>
  </si>
  <si>
    <t>LESS: 08/05/2024</t>
  </si>
  <si>
    <t>LESS: 08/20/2024</t>
  </si>
  <si>
    <t>ADD: 10/17/2023</t>
  </si>
  <si>
    <t>SO # 159, S. 2023 125TH PHIL. IND. DAY</t>
  </si>
  <si>
    <t>LESS: 09/12/2024</t>
  </si>
  <si>
    <t>LESS: 09/27/2024</t>
  </si>
  <si>
    <t>ADD: 09/1-30/2024</t>
  </si>
  <si>
    <t>LESS: 10/30/2024</t>
  </si>
  <si>
    <t>ADD: 10/1-31/2024</t>
  </si>
  <si>
    <t>LESS: 11/13/2024</t>
  </si>
  <si>
    <t>LESS: 12/27/2024</t>
  </si>
  <si>
    <t>LESS: 11/20/2024</t>
  </si>
  <si>
    <t>ADD: 07/1/2024-08/31/2024</t>
  </si>
  <si>
    <t>ADD: 11/1-30/2024</t>
  </si>
  <si>
    <t>LESS: 12/17/2024</t>
  </si>
  <si>
    <t>ADD: 12/1-31/2024</t>
  </si>
  <si>
    <t>LESS: 02/21/2025</t>
  </si>
  <si>
    <t>ADD: 01/1-31/2025</t>
  </si>
  <si>
    <t>ADD: 02/1-28/2025</t>
  </si>
  <si>
    <t>LESS: 03/28/2025</t>
  </si>
  <si>
    <t>ADD: 03/1-31/2025</t>
  </si>
  <si>
    <t>LESS: 05/30/2025</t>
  </si>
  <si>
    <t>ADD: 06/26/2024</t>
  </si>
  <si>
    <t>S.O. # 024, S. 2024. 126TH PHILIPPINE INDEPENDENCE DAY CELEBRATION</t>
  </si>
  <si>
    <t>LESS: 05/29/2025</t>
  </si>
  <si>
    <t>ADD: 04/1-30/2025</t>
  </si>
  <si>
    <t>LESS: 05/16/2025</t>
  </si>
  <si>
    <t>ADD: 05/1/2025-06/30/2025</t>
  </si>
  <si>
    <t>LESS: 08/20/2025</t>
  </si>
  <si>
    <t>ADD: 07/1/2025-08/31/2025</t>
  </si>
  <si>
    <t>LESS: MONETIZATION 2025</t>
  </si>
  <si>
    <t>NEGROS ISLAND REGION</t>
  </si>
  <si>
    <t>LESS: 09/3/2025</t>
  </si>
  <si>
    <t>DATE FILED: SEPT 26-WORK SUSPENSION</t>
  </si>
  <si>
    <t>LESS:10/24/2025</t>
  </si>
  <si>
    <t>ADD: 02/5/2025</t>
  </si>
  <si>
    <t>SO # 002, S. 2025 RIZAL DAY 2024 CELEBRATION</t>
  </si>
  <si>
    <t>LESS: 11/17/2025</t>
  </si>
  <si>
    <t>ADD: 09/1/2025-10/31/2025</t>
  </si>
  <si>
    <t>LESS: 12/5, 12, 23 &amp; 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</si>
</sst>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6" fillId="0" borderId="0"/>
  </cellStyleXfs>
  <cellXfs count="11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0" fillId="11" borderId="14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vertical="center" wrapText="1"/>
    </xf>
    <xf numFmtId="0" fontId="11" fillId="2" borderId="16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5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14" borderId="2" xfId="0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4" fontId="0" fillId="2" borderId="0" xfId="0" applyNumberFormat="1" applyFill="1"/>
    <xf numFmtId="164" fontId="1" fillId="2" borderId="0" xfId="0" applyNumberFormat="1" applyFont="1" applyFill="1" applyAlignment="1">
      <alignment vertical="center"/>
    </xf>
    <xf numFmtId="164" fontId="1" fillId="2" borderId="0" xfId="0" applyNumberFormat="1" applyFont="1" applyFill="1"/>
    <xf numFmtId="164" fontId="14" fillId="0" borderId="1" xfId="0" applyNumberFormat="1" applyFont="1" applyBorder="1" applyAlignment="1">
      <alignment horizontal="center" vertical="center"/>
    </xf>
    <xf numFmtId="164" fontId="14" fillId="13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/>
    <xf numFmtId="0" fontId="0" fillId="0" borderId="1" xfId="0" applyBorder="1" applyAlignment="1">
      <alignment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 wrapText="1"/>
    </xf>
    <xf numFmtId="0" fontId="16" fillId="0" borderId="1" xfId="1" applyBorder="1" applyAlignment="1">
      <alignment horizontal="center" vertical="center" wrapText="1"/>
    </xf>
    <xf numFmtId="0" fontId="6" fillId="0" borderId="0" xfId="1" applyFont="1"/>
    <xf numFmtId="0" fontId="16" fillId="14" borderId="1" xfId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164" fontId="3" fillId="6" borderId="8" xfId="0" applyNumberFormat="1" applyFont="1" applyFill="1" applyBorder="1" applyAlignment="1">
      <alignment horizontal="center" vertical="center"/>
    </xf>
    <xf numFmtId="164" fontId="3" fillId="6" borderId="3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1" fillId="10" borderId="15" xfId="0" applyFont="1" applyFill="1" applyBorder="1" applyAlignment="1">
      <alignment horizontal="center" vertical="center" wrapText="1"/>
    </xf>
    <xf numFmtId="0" fontId="11" fillId="10" borderId="16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 wrapText="1"/>
    </xf>
    <xf numFmtId="0" fontId="11" fillId="2" borderId="15" xfId="1" applyFont="1" applyFill="1" applyBorder="1" applyAlignment="1">
      <alignment horizontal="center" vertical="center" wrapText="1"/>
    </xf>
    <xf numFmtId="0" fontId="11" fillId="2" borderId="12" xfId="1" applyFont="1" applyFill="1" applyBorder="1" applyAlignment="1">
      <alignment horizontal="center" vertical="center" wrapText="1"/>
    </xf>
    <xf numFmtId="0" fontId="11" fillId="2" borderId="16" xfId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</cellXfs>
  <cellStyles count="2">
    <cellStyle name="Normal" xfId="0" builtinId="0"/>
    <cellStyle name="Normal 2 2" xfId="1" xr:uid="{D3901308-EF72-41D1-A25B-5291811E1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421298</xdr:colOff>
      <xdr:row>0</xdr:row>
      <xdr:rowOff>37367</xdr:rowOff>
    </xdr:from>
    <xdr:to>
      <xdr:col>4</xdr:col>
      <xdr:colOff>381611</xdr:colOff>
      <xdr:row>1</xdr:row>
      <xdr:rowOff>9158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3918" y="37367"/>
          <a:ext cx="729640" cy="640373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D164D0-8D7D-4CCD-AD41-8A4D617563EE}"/>
            </a:ext>
          </a:extLst>
        </xdr:cNvPr>
        <xdr:cNvSpPr txBox="1"/>
      </xdr:nvSpPr>
      <xdr:spPr>
        <a:xfrm>
          <a:off x="573942" y="1373798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LOCSIN, TAIRA MAE T.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01795DB-4861-48A2-B4B7-D3A3C38DC620}"/>
            </a:ext>
          </a:extLst>
        </xdr:cNvPr>
        <xdr:cNvSpPr txBox="1"/>
      </xdr:nvSpPr>
      <xdr:spPr>
        <a:xfrm>
          <a:off x="616683" y="1721826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2901F2D-D8D6-4A1B-AEB7-8CA9472FA25B}"/>
            </a:ext>
          </a:extLst>
        </xdr:cNvPr>
        <xdr:cNvSpPr txBox="1"/>
      </xdr:nvSpPr>
      <xdr:spPr>
        <a:xfrm>
          <a:off x="3693991" y="1703510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MARICALUM 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74159</xdr:colOff>
      <xdr:row>0</xdr:row>
      <xdr:rowOff>46039</xdr:rowOff>
    </xdr:from>
    <xdr:to>
      <xdr:col>5</xdr:col>
      <xdr:colOff>222250</xdr:colOff>
      <xdr:row>0</xdr:row>
      <xdr:rowOff>635001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B6D44-7A2C-46B6-A959-6A3F4F840D9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0209" y="46039"/>
          <a:ext cx="757691" cy="588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122A1C-B82B-49E0-B01D-FA89FC87FEC8}"/>
            </a:ext>
          </a:extLst>
        </xdr:cNvPr>
        <xdr:cNvSpPr txBox="1"/>
      </xdr:nvSpPr>
      <xdr:spPr>
        <a:xfrm>
          <a:off x="573942" y="1377461"/>
          <a:ext cx="187715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LOCSIN, TAIRA </a:t>
          </a:r>
          <a:r>
            <a:rPr lang="en-US" sz="1100" baseline="0"/>
            <a:t> MAE</a:t>
          </a:r>
          <a:endParaRPr lang="en-US" sz="1100"/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362FEBA-0B05-46E3-8AC1-612C0DC4D245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74E457-228D-4AC5-905C-1428DC2A77C3}"/>
            </a:ext>
          </a:extLst>
        </xdr:cNvPr>
        <xdr:cNvSpPr txBox="1"/>
      </xdr:nvSpPr>
      <xdr:spPr>
        <a:xfrm>
          <a:off x="3517673" y="1706110"/>
          <a:ext cx="17208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18324-BFF7-40F7-A2A6-A3C57F9EBAF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5815" y="28769"/>
          <a:ext cx="701287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0ACA0-01C7-4F83-8414-400905B9AA46}"/>
            </a:ext>
          </a:extLst>
        </xdr:cNvPr>
        <xdr:cNvSpPr txBox="1"/>
      </xdr:nvSpPr>
      <xdr:spPr>
        <a:xfrm>
          <a:off x="76200" y="4572000"/>
          <a:ext cx="32004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77755</xdr:rowOff>
    </xdr:from>
    <xdr:to>
      <xdr:col>1</xdr:col>
      <xdr:colOff>414694</xdr:colOff>
      <xdr:row>7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590F94-5A67-4EF1-9799-27AD06F93477}"/>
            </a:ext>
          </a:extLst>
        </xdr:cNvPr>
        <xdr:cNvSpPr txBox="1"/>
      </xdr:nvSpPr>
      <xdr:spPr>
        <a:xfrm>
          <a:off x="777551" y="1483826"/>
          <a:ext cx="1535663" cy="24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E1833C-B7ED-4F2A-89E4-F9B86B46FCDC}"/>
            </a:ext>
          </a:extLst>
        </xdr:cNvPr>
        <xdr:cNvSpPr txBox="1"/>
      </xdr:nvSpPr>
      <xdr:spPr>
        <a:xfrm>
          <a:off x="751632" y="1807806"/>
          <a:ext cx="1360715" cy="233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8F4098-C390-4FBD-9886-1524C985E894}"/>
            </a:ext>
          </a:extLst>
        </xdr:cNvPr>
        <xdr:cNvSpPr txBox="1"/>
      </xdr:nvSpPr>
      <xdr:spPr>
        <a:xfrm>
          <a:off x="3745204" y="1710612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4"/>
  <sheetViews>
    <sheetView tabSelected="1" view="pageBreakPreview" topLeftCell="A92" zoomScale="104" zoomScaleNormal="100" zoomScaleSheetLayoutView="104" workbookViewId="0">
      <selection activeCell="A107" sqref="A107:XFD107"/>
    </sheetView>
  </sheetViews>
  <sheetFormatPr defaultRowHeight="15" x14ac:dyDescent="0.25"/>
  <cols>
    <col min="1" max="1" width="32" customWidth="1"/>
    <col min="2" max="2" width="11.5703125" style="48" customWidth="1"/>
    <col min="3" max="3" width="11.5703125" style="44" customWidth="1"/>
    <col min="4" max="4" width="11.5703125" style="15" customWidth="1"/>
    <col min="5" max="5" width="11.5703125" style="44" customWidth="1"/>
    <col min="6" max="6" width="11.5703125" style="19" customWidth="1"/>
    <col min="7" max="7" width="11.5703125" style="47" customWidth="1"/>
    <col min="8" max="8" width="11.5703125" style="15" customWidth="1"/>
    <col min="9" max="9" width="11.5703125" style="16" customWidth="1"/>
    <col min="10" max="10" width="11.5703125" style="64" customWidth="1"/>
  </cols>
  <sheetData>
    <row r="1" spans="1:10" s="1" customFormat="1" ht="52.5" customHeight="1" x14ac:dyDescent="0.25">
      <c r="B1" s="7"/>
      <c r="C1" s="7"/>
      <c r="E1" s="7"/>
      <c r="G1" s="7"/>
      <c r="J1" s="57"/>
    </row>
    <row r="2" spans="1:10" s="1" customFormat="1" ht="10.5" customHeight="1" x14ac:dyDescent="0.25">
      <c r="A2" s="77" t="s">
        <v>11</v>
      </c>
      <c r="B2" s="77"/>
      <c r="C2" s="77"/>
      <c r="D2" s="77"/>
      <c r="E2" s="77"/>
      <c r="F2" s="77"/>
      <c r="G2" s="77"/>
      <c r="H2" s="77"/>
      <c r="I2" s="77"/>
      <c r="J2" s="77"/>
    </row>
    <row r="3" spans="1:10" s="1" customFormat="1" ht="15.95" customHeight="1" x14ac:dyDescent="0.25">
      <c r="A3" s="77" t="s">
        <v>12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s="1" customFormat="1" ht="15.95" customHeight="1" x14ac:dyDescent="0.25">
      <c r="A4" s="77" t="s">
        <v>145</v>
      </c>
      <c r="B4" s="77"/>
      <c r="C4" s="77"/>
      <c r="D4" s="77"/>
      <c r="E4" s="77"/>
      <c r="F4" s="77"/>
      <c r="G4" s="77"/>
      <c r="H4" s="77"/>
      <c r="I4" s="77"/>
      <c r="J4" s="77"/>
    </row>
    <row r="5" spans="1:10" s="1" customFormat="1" ht="15.95" customHeight="1" x14ac:dyDescent="0.25">
      <c r="A5" s="77" t="s">
        <v>14</v>
      </c>
      <c r="B5" s="77"/>
      <c r="C5" s="77"/>
      <c r="D5" s="77"/>
      <c r="E5" s="77"/>
      <c r="F5" s="77"/>
      <c r="G5" s="77"/>
      <c r="H5" s="77"/>
      <c r="I5" s="77"/>
      <c r="J5" s="77"/>
    </row>
    <row r="6" spans="1:10" s="1" customFormat="1" ht="8.25" customHeight="1" x14ac:dyDescent="0.25">
      <c r="B6" s="7"/>
      <c r="C6" s="7"/>
      <c r="E6" s="7"/>
      <c r="G6" s="7"/>
      <c r="J6" s="57"/>
    </row>
    <row r="7" spans="1:10" s="1" customFormat="1" ht="12" customHeight="1" x14ac:dyDescent="0.25">
      <c r="A7" s="1" t="s">
        <v>33</v>
      </c>
      <c r="B7" s="76" t="s">
        <v>35</v>
      </c>
      <c r="C7" s="76"/>
      <c r="D7" s="76"/>
      <c r="E7" s="7"/>
      <c r="G7" s="7"/>
      <c r="H7" s="3" t="s">
        <v>9</v>
      </c>
      <c r="I7" s="36"/>
      <c r="J7" s="58"/>
    </row>
    <row r="8" spans="1:10" s="1" customFormat="1" ht="12" customHeight="1" x14ac:dyDescent="0.25">
      <c r="B8" s="46"/>
      <c r="C8" s="46"/>
      <c r="E8" s="7"/>
      <c r="G8" s="7"/>
      <c r="H8" s="2"/>
      <c r="I8" s="2"/>
      <c r="J8" s="59"/>
    </row>
    <row r="9" spans="1:10" s="1" customFormat="1" ht="12" customHeight="1" x14ac:dyDescent="0.25">
      <c r="A9" s="1" t="s">
        <v>34</v>
      </c>
      <c r="B9" s="76" t="s">
        <v>36</v>
      </c>
      <c r="C9" s="76"/>
      <c r="D9" s="76"/>
      <c r="E9" s="7"/>
      <c r="G9" s="7"/>
      <c r="H9" s="3" t="s">
        <v>10</v>
      </c>
      <c r="I9" s="4"/>
      <c r="J9" s="58"/>
    </row>
    <row r="10" spans="1:10" ht="16.5" customHeight="1" thickBot="1" x14ac:dyDescent="0.3">
      <c r="A10" s="78" t="s">
        <v>0</v>
      </c>
      <c r="B10" s="78"/>
      <c r="C10" s="78"/>
      <c r="D10" s="78"/>
      <c r="E10" s="78"/>
      <c r="F10" s="78"/>
      <c r="G10" s="78"/>
      <c r="H10" s="78"/>
      <c r="I10" s="78"/>
      <c r="J10" s="78"/>
    </row>
    <row r="11" spans="1:10" s="6" customFormat="1" ht="18.75" customHeight="1" x14ac:dyDescent="0.2">
      <c r="A11" s="82" t="s">
        <v>4</v>
      </c>
      <c r="B11" s="86" t="s">
        <v>5</v>
      </c>
      <c r="C11" s="87"/>
      <c r="D11" s="88" t="s">
        <v>6</v>
      </c>
      <c r="E11" s="89"/>
      <c r="F11" s="89"/>
      <c r="G11" s="34"/>
      <c r="H11" s="90" t="s">
        <v>7</v>
      </c>
      <c r="I11" s="91"/>
      <c r="J11" s="84" t="s">
        <v>8</v>
      </c>
    </row>
    <row r="12" spans="1:10" s="6" customFormat="1" ht="51" customHeight="1" x14ac:dyDescent="0.2">
      <c r="A12" s="83"/>
      <c r="B12" s="14" t="s">
        <v>1</v>
      </c>
      <c r="C12" s="17" t="s">
        <v>2</v>
      </c>
      <c r="D12" s="14" t="s">
        <v>1</v>
      </c>
      <c r="E12" s="17" t="s">
        <v>2</v>
      </c>
      <c r="F12" s="18" t="s">
        <v>3</v>
      </c>
      <c r="G12" s="35" t="s">
        <v>41</v>
      </c>
      <c r="H12" s="14" t="s">
        <v>1</v>
      </c>
      <c r="I12" s="17" t="s">
        <v>2</v>
      </c>
      <c r="J12" s="85"/>
    </row>
    <row r="13" spans="1:10" s="6" customFormat="1" ht="18.75" customHeight="1" x14ac:dyDescent="0.2">
      <c r="A13" s="79" t="s">
        <v>67</v>
      </c>
      <c r="B13" s="80"/>
      <c r="C13" s="80"/>
      <c r="D13" s="80"/>
      <c r="E13" s="80"/>
      <c r="F13" s="80"/>
      <c r="G13" s="80"/>
      <c r="H13" s="80"/>
      <c r="I13" s="80"/>
      <c r="J13" s="81"/>
    </row>
    <row r="14" spans="1:10" s="6" customFormat="1" ht="18.75" customHeight="1" x14ac:dyDescent="0.2">
      <c r="A14" s="53" t="s">
        <v>68</v>
      </c>
      <c r="B14" s="53">
        <v>1</v>
      </c>
      <c r="C14" s="53">
        <v>1</v>
      </c>
      <c r="D14" s="53"/>
      <c r="E14" s="53"/>
      <c r="F14" s="53"/>
      <c r="G14" s="53"/>
      <c r="H14" s="53">
        <f>B14</f>
        <v>1</v>
      </c>
      <c r="I14" s="53">
        <f>C14</f>
        <v>1</v>
      </c>
      <c r="J14" s="60">
        <f>SUM(H14:I14)</f>
        <v>2</v>
      </c>
    </row>
    <row r="15" spans="1:10" s="6" customFormat="1" ht="18.75" customHeight="1" x14ac:dyDescent="0.2">
      <c r="A15" s="53" t="s">
        <v>69</v>
      </c>
      <c r="B15" s="53">
        <v>1.25</v>
      </c>
      <c r="C15" s="53">
        <v>1.25</v>
      </c>
      <c r="D15" s="53"/>
      <c r="E15" s="53"/>
      <c r="F15" s="53"/>
      <c r="G15" s="53"/>
      <c r="H15" s="53">
        <f>H14-F15-D15+B15</f>
        <v>2.25</v>
      </c>
      <c r="I15" s="53">
        <f>I14-E15+C15</f>
        <v>2.25</v>
      </c>
      <c r="J15" s="60">
        <f>SUM(H15:I15)</f>
        <v>4.5</v>
      </c>
    </row>
    <row r="16" spans="1:10" s="6" customFormat="1" ht="18.75" customHeight="1" x14ac:dyDescent="0.2">
      <c r="A16" s="53" t="s">
        <v>70</v>
      </c>
      <c r="B16" s="53">
        <v>15</v>
      </c>
      <c r="C16" s="53">
        <v>15</v>
      </c>
      <c r="D16" s="53"/>
      <c r="E16" s="53"/>
      <c r="F16" s="53"/>
      <c r="G16" s="53"/>
      <c r="H16" s="53">
        <f t="shared" ref="H16:H24" si="0">H15-F16-D16+B16</f>
        <v>17.25</v>
      </c>
      <c r="I16" s="53">
        <f t="shared" ref="I16:I24" si="1">I15-E16+C16</f>
        <v>17.25</v>
      </c>
      <c r="J16" s="60">
        <f t="shared" ref="J16:J24" si="2">SUM(H16:I16)</f>
        <v>34.5</v>
      </c>
    </row>
    <row r="17" spans="1:10" s="6" customFormat="1" ht="18.75" customHeight="1" x14ac:dyDescent="0.2">
      <c r="A17" s="53" t="s">
        <v>71</v>
      </c>
      <c r="B17" s="53"/>
      <c r="C17" s="53"/>
      <c r="D17" s="53"/>
      <c r="E17" s="53"/>
      <c r="F17" s="53">
        <v>5</v>
      </c>
      <c r="G17" s="53"/>
      <c r="H17" s="53">
        <f t="shared" si="0"/>
        <v>12.25</v>
      </c>
      <c r="I17" s="53">
        <f t="shared" si="1"/>
        <v>17.25</v>
      </c>
      <c r="J17" s="60">
        <f t="shared" si="2"/>
        <v>29.5</v>
      </c>
    </row>
    <row r="18" spans="1:10" s="6" customFormat="1" ht="18.75" customHeight="1" x14ac:dyDescent="0.2">
      <c r="A18" s="53" t="s">
        <v>72</v>
      </c>
      <c r="B18" s="53"/>
      <c r="C18" s="53"/>
      <c r="D18" s="53">
        <v>3</v>
      </c>
      <c r="E18" s="53"/>
      <c r="F18" s="53"/>
      <c r="G18" s="53"/>
      <c r="H18" s="53">
        <f t="shared" si="0"/>
        <v>9.25</v>
      </c>
      <c r="I18" s="53">
        <f t="shared" si="1"/>
        <v>17.25</v>
      </c>
      <c r="J18" s="60">
        <f t="shared" si="2"/>
        <v>26.5</v>
      </c>
    </row>
    <row r="19" spans="1:10" s="6" customFormat="1" ht="18.75" customHeight="1" x14ac:dyDescent="0.2">
      <c r="A19" s="53" t="s">
        <v>73</v>
      </c>
      <c r="B19" s="53"/>
      <c r="C19" s="53"/>
      <c r="D19" s="53">
        <v>5</v>
      </c>
      <c r="E19" s="53">
        <v>10</v>
      </c>
      <c r="F19" s="53"/>
      <c r="G19" s="53"/>
      <c r="H19" s="53">
        <f t="shared" si="0"/>
        <v>4.25</v>
      </c>
      <c r="I19" s="53">
        <f t="shared" si="1"/>
        <v>7.25</v>
      </c>
      <c r="J19" s="60">
        <f t="shared" si="2"/>
        <v>11.5</v>
      </c>
    </row>
    <row r="20" spans="1:10" s="6" customFormat="1" ht="18.75" customHeight="1" x14ac:dyDescent="0.2">
      <c r="A20" s="53" t="s">
        <v>75</v>
      </c>
      <c r="B20" s="53">
        <v>15</v>
      </c>
      <c r="C20" s="53">
        <v>15</v>
      </c>
      <c r="D20" s="53"/>
      <c r="E20" s="53"/>
      <c r="F20" s="53"/>
      <c r="G20" s="53"/>
      <c r="H20" s="53">
        <f t="shared" si="0"/>
        <v>19.25</v>
      </c>
      <c r="I20" s="53">
        <f t="shared" si="1"/>
        <v>22.25</v>
      </c>
      <c r="J20" s="60">
        <f t="shared" si="2"/>
        <v>41.5</v>
      </c>
    </row>
    <row r="21" spans="1:10" s="6" customFormat="1" ht="18.75" customHeight="1" x14ac:dyDescent="0.2">
      <c r="A21" s="53" t="s">
        <v>74</v>
      </c>
      <c r="B21" s="53"/>
      <c r="C21" s="53"/>
      <c r="D21" s="53"/>
      <c r="E21" s="53"/>
      <c r="F21" s="53">
        <v>5</v>
      </c>
      <c r="G21" s="53"/>
      <c r="H21" s="53">
        <f t="shared" si="0"/>
        <v>14.25</v>
      </c>
      <c r="I21" s="53">
        <f t="shared" si="1"/>
        <v>22.25</v>
      </c>
      <c r="J21" s="60">
        <f t="shared" si="2"/>
        <v>36.5</v>
      </c>
    </row>
    <row r="22" spans="1:10" s="6" customFormat="1" ht="18.75" customHeight="1" x14ac:dyDescent="0.2">
      <c r="A22" s="53" t="s">
        <v>76</v>
      </c>
      <c r="B22" s="53">
        <v>3.75</v>
      </c>
      <c r="C22" s="53">
        <v>3.75</v>
      </c>
      <c r="D22" s="53"/>
      <c r="E22" s="53"/>
      <c r="F22" s="53"/>
      <c r="G22" s="53"/>
      <c r="H22" s="53">
        <f t="shared" si="0"/>
        <v>18</v>
      </c>
      <c r="I22" s="53">
        <f t="shared" si="1"/>
        <v>26</v>
      </c>
      <c r="J22" s="60">
        <f t="shared" si="2"/>
        <v>44</v>
      </c>
    </row>
    <row r="23" spans="1:10" s="6" customFormat="1" ht="18.75" customHeight="1" x14ac:dyDescent="0.2">
      <c r="A23" s="53" t="s">
        <v>77</v>
      </c>
      <c r="B23" s="53"/>
      <c r="C23" s="53"/>
      <c r="D23" s="53">
        <v>2</v>
      </c>
      <c r="E23" s="53"/>
      <c r="F23" s="53">
        <v>5</v>
      </c>
      <c r="G23" s="53">
        <v>3</v>
      </c>
      <c r="H23" s="53">
        <f t="shared" si="0"/>
        <v>11</v>
      </c>
      <c r="I23" s="53">
        <f t="shared" si="1"/>
        <v>26</v>
      </c>
      <c r="J23" s="60">
        <f t="shared" si="2"/>
        <v>37</v>
      </c>
    </row>
    <row r="24" spans="1:10" s="6" customFormat="1" ht="18.75" customHeight="1" x14ac:dyDescent="0.2">
      <c r="A24" s="53" t="s">
        <v>78</v>
      </c>
      <c r="B24" s="53">
        <v>11.25</v>
      </c>
      <c r="C24" s="53">
        <v>11.25</v>
      </c>
      <c r="D24" s="53"/>
      <c r="E24" s="53"/>
      <c r="F24" s="53"/>
      <c r="G24" s="53"/>
      <c r="H24" s="53">
        <f t="shared" si="0"/>
        <v>22.25</v>
      </c>
      <c r="I24" s="53">
        <f t="shared" si="1"/>
        <v>37.25</v>
      </c>
      <c r="J24" s="60">
        <f t="shared" si="2"/>
        <v>59.5</v>
      </c>
    </row>
    <row r="25" spans="1:10" s="6" customFormat="1" ht="18.75" customHeight="1" x14ac:dyDescent="0.2">
      <c r="A25" s="53" t="s">
        <v>79</v>
      </c>
      <c r="B25" s="53">
        <v>2.5</v>
      </c>
      <c r="C25" s="53">
        <v>2.5</v>
      </c>
      <c r="D25" s="53"/>
      <c r="E25" s="53"/>
      <c r="F25" s="53"/>
      <c r="G25" s="53"/>
      <c r="H25" s="53">
        <f t="shared" ref="H25:H31" si="3">H24-F25-D25+B25</f>
        <v>24.75</v>
      </c>
      <c r="I25" s="53">
        <f t="shared" ref="I25:I31" si="4">I24-E25+C25</f>
        <v>39.75</v>
      </c>
      <c r="J25" s="60">
        <f t="shared" ref="J25:J31" si="5">SUM(H25:I25)</f>
        <v>64.5</v>
      </c>
    </row>
    <row r="26" spans="1:10" s="6" customFormat="1" ht="18.75" customHeight="1" x14ac:dyDescent="0.2">
      <c r="A26" s="53" t="s">
        <v>80</v>
      </c>
      <c r="B26" s="53"/>
      <c r="C26" s="53"/>
      <c r="D26" s="53"/>
      <c r="E26" s="53"/>
      <c r="F26" s="53">
        <v>2</v>
      </c>
      <c r="G26" s="53"/>
      <c r="H26" s="53">
        <f t="shared" si="3"/>
        <v>22.75</v>
      </c>
      <c r="I26" s="53">
        <f t="shared" si="4"/>
        <v>39.75</v>
      </c>
      <c r="J26" s="60">
        <f t="shared" si="5"/>
        <v>62.5</v>
      </c>
    </row>
    <row r="27" spans="1:10" s="6" customFormat="1" ht="18.75" customHeight="1" x14ac:dyDescent="0.2">
      <c r="A27" s="53" t="s">
        <v>81</v>
      </c>
      <c r="B27" s="53">
        <v>12.5</v>
      </c>
      <c r="C27" s="53">
        <v>12.5</v>
      </c>
      <c r="D27" s="53"/>
      <c r="E27" s="53"/>
      <c r="F27" s="53"/>
      <c r="G27" s="53"/>
      <c r="H27" s="53">
        <f t="shared" si="3"/>
        <v>35.25</v>
      </c>
      <c r="I27" s="53">
        <f t="shared" si="4"/>
        <v>52.25</v>
      </c>
      <c r="J27" s="60">
        <f t="shared" si="5"/>
        <v>87.5</v>
      </c>
    </row>
    <row r="28" spans="1:10" s="6" customFormat="1" ht="18.75" customHeight="1" x14ac:dyDescent="0.2">
      <c r="A28" s="53" t="s">
        <v>82</v>
      </c>
      <c r="B28" s="53"/>
      <c r="C28" s="53"/>
      <c r="D28" s="53">
        <v>20</v>
      </c>
      <c r="E28" s="53"/>
      <c r="F28" s="53"/>
      <c r="G28" s="53"/>
      <c r="H28" s="53">
        <f t="shared" si="3"/>
        <v>15.25</v>
      </c>
      <c r="I28" s="53">
        <f t="shared" si="4"/>
        <v>52.25</v>
      </c>
      <c r="J28" s="60">
        <f t="shared" si="5"/>
        <v>67.5</v>
      </c>
    </row>
    <row r="29" spans="1:10" s="6" customFormat="1" ht="18.75" customHeight="1" x14ac:dyDescent="0.2">
      <c r="A29" s="53" t="s">
        <v>83</v>
      </c>
      <c r="B29" s="53"/>
      <c r="C29" s="53"/>
      <c r="D29" s="53"/>
      <c r="E29" s="53"/>
      <c r="F29" s="53">
        <v>3</v>
      </c>
      <c r="G29" s="53"/>
      <c r="H29" s="53">
        <f t="shared" si="3"/>
        <v>12.25</v>
      </c>
      <c r="I29" s="53">
        <f t="shared" si="4"/>
        <v>52.25</v>
      </c>
      <c r="J29" s="60">
        <f t="shared" si="5"/>
        <v>64.5</v>
      </c>
    </row>
    <row r="30" spans="1:10" s="6" customFormat="1" ht="18.75" customHeight="1" x14ac:dyDescent="0.2">
      <c r="A30" s="53" t="s">
        <v>84</v>
      </c>
      <c r="B30" s="53">
        <v>11.25</v>
      </c>
      <c r="C30" s="53">
        <v>11.25</v>
      </c>
      <c r="D30" s="53"/>
      <c r="E30" s="53"/>
      <c r="F30" s="53"/>
      <c r="G30" s="53"/>
      <c r="H30" s="53">
        <f t="shared" si="3"/>
        <v>23.5</v>
      </c>
      <c r="I30" s="53">
        <f t="shared" si="4"/>
        <v>63.5</v>
      </c>
      <c r="J30" s="60">
        <f t="shared" si="5"/>
        <v>87</v>
      </c>
    </row>
    <row r="31" spans="1:10" s="6" customFormat="1" ht="18.75" customHeight="1" x14ac:dyDescent="0.2">
      <c r="A31" s="53" t="s">
        <v>85</v>
      </c>
      <c r="B31" s="53"/>
      <c r="C31" s="53"/>
      <c r="D31" s="53">
        <v>20</v>
      </c>
      <c r="E31" s="53"/>
      <c r="F31" s="53"/>
      <c r="G31" s="53"/>
      <c r="H31" s="53">
        <f t="shared" si="3"/>
        <v>3.5</v>
      </c>
      <c r="I31" s="53">
        <f t="shared" si="4"/>
        <v>63.5</v>
      </c>
      <c r="J31" s="60">
        <f t="shared" si="5"/>
        <v>67</v>
      </c>
    </row>
    <row r="32" spans="1:10" s="6" customFormat="1" ht="18.75" customHeight="1" x14ac:dyDescent="0.2">
      <c r="A32" s="53" t="s">
        <v>86</v>
      </c>
      <c r="B32" s="53">
        <v>3.75</v>
      </c>
      <c r="C32" s="53">
        <v>3.75</v>
      </c>
      <c r="D32" s="53"/>
      <c r="E32" s="53"/>
      <c r="F32" s="53"/>
      <c r="G32" s="53"/>
      <c r="H32" s="53">
        <f t="shared" ref="H32:H36" si="6">H31-F32-D32+B32</f>
        <v>7.25</v>
      </c>
      <c r="I32" s="53">
        <f t="shared" ref="I32:I36" si="7">I31-E32+C32</f>
        <v>67.25</v>
      </c>
      <c r="J32" s="60">
        <f t="shared" ref="J32:J36" si="8">SUM(H32:I32)</f>
        <v>74.5</v>
      </c>
    </row>
    <row r="33" spans="1:10" s="6" customFormat="1" ht="18.75" customHeight="1" x14ac:dyDescent="0.2">
      <c r="A33" s="53" t="s">
        <v>87</v>
      </c>
      <c r="B33" s="53"/>
      <c r="C33" s="53"/>
      <c r="D33" s="53"/>
      <c r="E33" s="53"/>
      <c r="F33" s="53">
        <v>5</v>
      </c>
      <c r="G33" s="53"/>
      <c r="H33" s="53">
        <f t="shared" si="6"/>
        <v>2.25</v>
      </c>
      <c r="I33" s="53">
        <f t="shared" si="7"/>
        <v>67.25</v>
      </c>
      <c r="J33" s="60">
        <f t="shared" si="8"/>
        <v>69.5</v>
      </c>
    </row>
    <row r="34" spans="1:10" s="6" customFormat="1" ht="18.75" customHeight="1" x14ac:dyDescent="0.2">
      <c r="A34" s="53" t="s">
        <v>88</v>
      </c>
      <c r="B34" s="53">
        <v>10</v>
      </c>
      <c r="C34" s="53">
        <v>10</v>
      </c>
      <c r="D34" s="53"/>
      <c r="E34" s="53"/>
      <c r="F34" s="53"/>
      <c r="G34" s="53"/>
      <c r="H34" s="53">
        <f t="shared" si="6"/>
        <v>12.25</v>
      </c>
      <c r="I34" s="53">
        <f t="shared" si="7"/>
        <v>77.25</v>
      </c>
      <c r="J34" s="60">
        <f t="shared" si="8"/>
        <v>89.5</v>
      </c>
    </row>
    <row r="35" spans="1:10" s="6" customFormat="1" ht="18.75" customHeight="1" x14ac:dyDescent="0.2">
      <c r="A35" s="53" t="s">
        <v>89</v>
      </c>
      <c r="B35" s="53">
        <v>1.25</v>
      </c>
      <c r="C35" s="53">
        <v>1.25</v>
      </c>
      <c r="D35" s="53"/>
      <c r="E35" s="53"/>
      <c r="F35" s="53"/>
      <c r="G35" s="53"/>
      <c r="H35" s="53">
        <f t="shared" si="6"/>
        <v>13.5</v>
      </c>
      <c r="I35" s="53">
        <f t="shared" si="7"/>
        <v>78.5</v>
      </c>
      <c r="J35" s="60">
        <f t="shared" si="8"/>
        <v>92</v>
      </c>
    </row>
    <row r="36" spans="1:10" s="6" customFormat="1" ht="18.75" customHeight="1" x14ac:dyDescent="0.2">
      <c r="A36" s="53" t="s">
        <v>90</v>
      </c>
      <c r="B36" s="53">
        <v>0.125</v>
      </c>
      <c r="C36" s="53">
        <v>0.125</v>
      </c>
      <c r="D36" s="53"/>
      <c r="E36" s="53"/>
      <c r="F36" s="53"/>
      <c r="G36" s="53"/>
      <c r="H36" s="53">
        <f t="shared" si="6"/>
        <v>13.625</v>
      </c>
      <c r="I36" s="53">
        <f t="shared" si="7"/>
        <v>78.625</v>
      </c>
      <c r="J36" s="60">
        <f t="shared" si="8"/>
        <v>92.25</v>
      </c>
    </row>
    <row r="37" spans="1:10" s="6" customFormat="1" ht="18.75" customHeight="1" x14ac:dyDescent="0.2">
      <c r="A37" s="42" t="s">
        <v>91</v>
      </c>
      <c r="B37" s="42"/>
      <c r="C37" s="42"/>
      <c r="D37" s="42"/>
      <c r="E37" s="42"/>
      <c r="F37" s="42"/>
      <c r="G37" s="42"/>
      <c r="H37" s="42"/>
      <c r="I37" s="42"/>
      <c r="J37" s="61"/>
    </row>
    <row r="38" spans="1:10" s="6" customFormat="1" ht="15.95" customHeight="1" x14ac:dyDescent="0.2">
      <c r="A38" s="8" t="s">
        <v>48</v>
      </c>
      <c r="B38" s="8"/>
      <c r="C38" s="8"/>
      <c r="D38" s="8"/>
      <c r="E38" s="8"/>
      <c r="F38" s="8"/>
      <c r="G38" s="8"/>
      <c r="H38" s="8">
        <f>H36-F38-D38+B38</f>
        <v>13.625</v>
      </c>
      <c r="I38" s="8">
        <f>I36-E38+C38</f>
        <v>78.625</v>
      </c>
      <c r="J38" s="62">
        <f t="shared" ref="J38" si="9">H38+I38</f>
        <v>92.25</v>
      </c>
    </row>
    <row r="39" spans="1:10" s="5" customFormat="1" ht="15.95" customHeight="1" x14ac:dyDescent="0.2">
      <c r="A39" s="10" t="s">
        <v>49</v>
      </c>
      <c r="B39" s="13">
        <v>1.125</v>
      </c>
      <c r="C39" s="13">
        <v>1.125</v>
      </c>
      <c r="D39" s="13"/>
      <c r="E39" s="13"/>
      <c r="F39" s="13"/>
      <c r="G39" s="13"/>
      <c r="H39" s="13">
        <f>H38-F39-D39+B39</f>
        <v>14.75</v>
      </c>
      <c r="I39" s="13">
        <f>I38-E39+C39</f>
        <v>79.75</v>
      </c>
      <c r="J39" s="62">
        <f t="shared" ref="J39" si="10">H39+I39</f>
        <v>94.5</v>
      </c>
    </row>
    <row r="40" spans="1:10" s="5" customFormat="1" ht="15.95" customHeight="1" x14ac:dyDescent="0.2">
      <c r="A40" s="10" t="s">
        <v>50</v>
      </c>
      <c r="B40" s="13"/>
      <c r="C40" s="13"/>
      <c r="D40" s="13"/>
      <c r="E40" s="13"/>
      <c r="F40" s="13">
        <v>4</v>
      </c>
      <c r="G40" s="13"/>
      <c r="H40" s="13">
        <f t="shared" ref="H40:H56" si="11">H39-F40-D40+B40</f>
        <v>10.75</v>
      </c>
      <c r="I40" s="13">
        <f t="shared" ref="I40:I56" si="12">I39-E40+C40</f>
        <v>79.75</v>
      </c>
      <c r="J40" s="62">
        <f t="shared" ref="J40:J56" si="13">H40+I40</f>
        <v>90.5</v>
      </c>
    </row>
    <row r="41" spans="1:10" s="5" customFormat="1" ht="15.95" customHeight="1" x14ac:dyDescent="0.2">
      <c r="A41" s="10" t="s">
        <v>51</v>
      </c>
      <c r="B41" s="13"/>
      <c r="C41" s="13"/>
      <c r="D41" s="13"/>
      <c r="E41" s="13"/>
      <c r="F41" s="13"/>
      <c r="G41" s="13">
        <v>2</v>
      </c>
      <c r="H41" s="13">
        <f t="shared" si="11"/>
        <v>10.75</v>
      </c>
      <c r="I41" s="13">
        <f t="shared" si="12"/>
        <v>79.75</v>
      </c>
      <c r="J41" s="62">
        <f t="shared" si="13"/>
        <v>90.5</v>
      </c>
    </row>
    <row r="42" spans="1:10" s="5" customFormat="1" ht="15.95" customHeight="1" x14ac:dyDescent="0.2">
      <c r="A42" s="10" t="s">
        <v>52</v>
      </c>
      <c r="B42" s="13">
        <v>2.5</v>
      </c>
      <c r="C42" s="13">
        <v>2.5</v>
      </c>
      <c r="D42" s="13"/>
      <c r="E42" s="13"/>
      <c r="F42" s="13"/>
      <c r="G42" s="13"/>
      <c r="H42" s="13">
        <f t="shared" si="11"/>
        <v>13.25</v>
      </c>
      <c r="I42" s="13">
        <f t="shared" si="12"/>
        <v>82.25</v>
      </c>
      <c r="J42" s="62">
        <f t="shared" si="13"/>
        <v>95.5</v>
      </c>
    </row>
    <row r="43" spans="1:10" s="5" customFormat="1" ht="15.95" customHeight="1" x14ac:dyDescent="0.2">
      <c r="A43" s="10" t="s">
        <v>53</v>
      </c>
      <c r="B43" s="13"/>
      <c r="C43" s="13"/>
      <c r="D43" s="13"/>
      <c r="E43" s="13"/>
      <c r="F43" s="13">
        <v>1</v>
      </c>
      <c r="G43" s="13"/>
      <c r="H43" s="13">
        <f t="shared" si="11"/>
        <v>12.25</v>
      </c>
      <c r="I43" s="13">
        <f t="shared" si="12"/>
        <v>82.25</v>
      </c>
      <c r="J43" s="62">
        <f t="shared" si="13"/>
        <v>94.5</v>
      </c>
    </row>
    <row r="44" spans="1:10" s="5" customFormat="1" ht="15.95" customHeight="1" x14ac:dyDescent="0.2">
      <c r="A44" s="8" t="s">
        <v>54</v>
      </c>
      <c r="B44" s="13"/>
      <c r="C44" s="13"/>
      <c r="D44" s="13"/>
      <c r="E44" s="13"/>
      <c r="F44" s="13">
        <v>2</v>
      </c>
      <c r="G44" s="13"/>
      <c r="H44" s="13">
        <f t="shared" si="11"/>
        <v>10.25</v>
      </c>
      <c r="I44" s="13">
        <f t="shared" si="12"/>
        <v>82.25</v>
      </c>
      <c r="J44" s="62">
        <f t="shared" si="13"/>
        <v>92.5</v>
      </c>
    </row>
    <row r="45" spans="1:10" s="5" customFormat="1" ht="15.95" customHeight="1" x14ac:dyDescent="0.2">
      <c r="A45" s="10" t="s">
        <v>55</v>
      </c>
      <c r="B45" s="13">
        <v>2.5</v>
      </c>
      <c r="C45" s="13">
        <v>2.5</v>
      </c>
      <c r="D45" s="13"/>
      <c r="E45" s="13"/>
      <c r="F45" s="13"/>
      <c r="G45" s="13"/>
      <c r="H45" s="13">
        <f t="shared" si="11"/>
        <v>12.75</v>
      </c>
      <c r="I45" s="13">
        <f t="shared" si="12"/>
        <v>84.75</v>
      </c>
      <c r="J45" s="62">
        <f t="shared" si="13"/>
        <v>97.5</v>
      </c>
    </row>
    <row r="46" spans="1:10" s="5" customFormat="1" ht="15.95" customHeight="1" x14ac:dyDescent="0.2">
      <c r="A46" s="8" t="s">
        <v>56</v>
      </c>
      <c r="B46" s="13"/>
      <c r="C46" s="13"/>
      <c r="D46" s="13"/>
      <c r="E46" s="13"/>
      <c r="F46" s="13"/>
      <c r="G46" s="13">
        <v>1</v>
      </c>
      <c r="H46" s="13">
        <f t="shared" si="11"/>
        <v>12.75</v>
      </c>
      <c r="I46" s="13">
        <f t="shared" si="12"/>
        <v>84.75</v>
      </c>
      <c r="J46" s="62">
        <f t="shared" si="13"/>
        <v>97.5</v>
      </c>
    </row>
    <row r="47" spans="1:10" s="5" customFormat="1" ht="15.95" customHeight="1" x14ac:dyDescent="0.2">
      <c r="A47" s="10" t="s">
        <v>57</v>
      </c>
      <c r="B47" s="13">
        <v>1.25</v>
      </c>
      <c r="C47" s="13">
        <v>1.25</v>
      </c>
      <c r="D47" s="13"/>
      <c r="E47" s="13"/>
      <c r="F47" s="13"/>
      <c r="G47" s="13"/>
      <c r="H47" s="13">
        <f t="shared" si="11"/>
        <v>14</v>
      </c>
      <c r="I47" s="13">
        <f t="shared" si="12"/>
        <v>86</v>
      </c>
      <c r="J47" s="62">
        <f t="shared" si="13"/>
        <v>100</v>
      </c>
    </row>
    <row r="48" spans="1:10" s="5" customFormat="1" ht="15.95" customHeight="1" x14ac:dyDescent="0.2">
      <c r="A48" s="8" t="s">
        <v>58</v>
      </c>
      <c r="B48" s="13"/>
      <c r="C48" s="13"/>
      <c r="D48" s="13"/>
      <c r="E48" s="13"/>
      <c r="F48" s="13">
        <v>1</v>
      </c>
      <c r="G48" s="13"/>
      <c r="H48" s="13">
        <f t="shared" si="11"/>
        <v>13</v>
      </c>
      <c r="I48" s="13">
        <f t="shared" si="12"/>
        <v>86</v>
      </c>
      <c r="J48" s="62">
        <f t="shared" si="13"/>
        <v>99</v>
      </c>
    </row>
    <row r="49" spans="1:10" ht="15.95" customHeight="1" x14ac:dyDescent="0.25">
      <c r="A49" s="10" t="s">
        <v>59</v>
      </c>
      <c r="B49" s="13">
        <v>1.25</v>
      </c>
      <c r="C49" s="13">
        <v>1.25</v>
      </c>
      <c r="D49" s="33"/>
      <c r="E49" s="13"/>
      <c r="F49" s="33"/>
      <c r="G49" s="13"/>
      <c r="H49" s="13">
        <f t="shared" si="11"/>
        <v>14.25</v>
      </c>
      <c r="I49" s="13">
        <f t="shared" si="12"/>
        <v>87.25</v>
      </c>
      <c r="J49" s="62">
        <f t="shared" si="13"/>
        <v>101.5</v>
      </c>
    </row>
    <row r="50" spans="1:10" ht="15.95" customHeight="1" x14ac:dyDescent="0.25">
      <c r="A50" s="8" t="s">
        <v>60</v>
      </c>
      <c r="B50" s="13"/>
      <c r="C50" s="13"/>
      <c r="D50" s="33"/>
      <c r="E50" s="13"/>
      <c r="F50" s="13"/>
      <c r="G50" s="13">
        <v>1</v>
      </c>
      <c r="H50" s="13">
        <f t="shared" si="11"/>
        <v>14.25</v>
      </c>
      <c r="I50" s="13">
        <f t="shared" si="12"/>
        <v>87.25</v>
      </c>
      <c r="J50" s="62">
        <f t="shared" si="13"/>
        <v>101.5</v>
      </c>
    </row>
    <row r="51" spans="1:10" ht="15.95" customHeight="1" x14ac:dyDescent="0.25">
      <c r="A51" s="8" t="s">
        <v>61</v>
      </c>
      <c r="B51" s="13"/>
      <c r="C51" s="13"/>
      <c r="D51" s="33"/>
      <c r="E51" s="13">
        <v>0.5</v>
      </c>
      <c r="F51" s="13"/>
      <c r="G51" s="13"/>
      <c r="H51" s="13">
        <f t="shared" si="11"/>
        <v>14.25</v>
      </c>
      <c r="I51" s="13">
        <f t="shared" si="12"/>
        <v>86.75</v>
      </c>
      <c r="J51" s="62">
        <f t="shared" si="13"/>
        <v>101</v>
      </c>
    </row>
    <row r="52" spans="1:10" ht="15.95" customHeight="1" x14ac:dyDescent="0.25">
      <c r="A52" s="8" t="s">
        <v>62</v>
      </c>
      <c r="B52" s="13"/>
      <c r="C52" s="13"/>
      <c r="D52" s="13"/>
      <c r="E52" s="13">
        <v>1</v>
      </c>
      <c r="F52" s="13"/>
      <c r="G52" s="13"/>
      <c r="H52" s="13">
        <f t="shared" si="11"/>
        <v>14.25</v>
      </c>
      <c r="I52" s="13">
        <f t="shared" si="12"/>
        <v>85.75</v>
      </c>
      <c r="J52" s="62">
        <f t="shared" si="13"/>
        <v>100</v>
      </c>
    </row>
    <row r="53" spans="1:10" ht="15.95" customHeight="1" x14ac:dyDescent="0.25">
      <c r="A53" s="10" t="s">
        <v>63</v>
      </c>
      <c r="B53" s="13">
        <v>5</v>
      </c>
      <c r="C53" s="13">
        <v>5</v>
      </c>
      <c r="D53" s="8"/>
      <c r="E53" s="8"/>
      <c r="F53" s="8"/>
      <c r="G53" s="8"/>
      <c r="H53" s="13">
        <f t="shared" si="11"/>
        <v>19.25</v>
      </c>
      <c r="I53" s="13">
        <f t="shared" si="12"/>
        <v>90.75</v>
      </c>
      <c r="J53" s="62">
        <f t="shared" si="13"/>
        <v>110</v>
      </c>
    </row>
    <row r="54" spans="1:10" ht="15.95" customHeight="1" x14ac:dyDescent="0.25">
      <c r="A54" s="8" t="s">
        <v>64</v>
      </c>
      <c r="B54" s="8"/>
      <c r="C54" s="8"/>
      <c r="D54" s="13">
        <v>14</v>
      </c>
      <c r="E54" s="13">
        <v>15</v>
      </c>
      <c r="F54" s="8"/>
      <c r="G54" s="8"/>
      <c r="H54" s="13">
        <f t="shared" si="11"/>
        <v>5.25</v>
      </c>
      <c r="I54" s="13">
        <f t="shared" si="12"/>
        <v>75.75</v>
      </c>
      <c r="J54" s="62">
        <f t="shared" si="13"/>
        <v>81</v>
      </c>
    </row>
    <row r="55" spans="1:10" ht="15.95" customHeight="1" x14ac:dyDescent="0.25">
      <c r="A55" s="8" t="s">
        <v>65</v>
      </c>
      <c r="B55" s="8"/>
      <c r="C55" s="8"/>
      <c r="D55" s="32"/>
      <c r="E55" s="8"/>
      <c r="F55" s="8">
        <v>1</v>
      </c>
      <c r="G55" s="8"/>
      <c r="H55" s="13">
        <f t="shared" si="11"/>
        <v>4.25</v>
      </c>
      <c r="I55" s="13">
        <f t="shared" si="12"/>
        <v>75.75</v>
      </c>
      <c r="J55" s="62">
        <f t="shared" si="13"/>
        <v>80</v>
      </c>
    </row>
    <row r="56" spans="1:10" ht="15.95" customHeight="1" x14ac:dyDescent="0.25">
      <c r="A56" s="8" t="s">
        <v>66</v>
      </c>
      <c r="B56" s="8"/>
      <c r="C56" s="8"/>
      <c r="D56" s="8"/>
      <c r="E56" s="8">
        <v>1</v>
      </c>
      <c r="F56" s="8"/>
      <c r="G56" s="8"/>
      <c r="H56" s="13">
        <f t="shared" si="11"/>
        <v>4.25</v>
      </c>
      <c r="I56" s="13">
        <f t="shared" si="12"/>
        <v>74.75</v>
      </c>
      <c r="J56" s="62">
        <f t="shared" si="13"/>
        <v>79</v>
      </c>
    </row>
    <row r="57" spans="1:10" ht="15.95" customHeight="1" x14ac:dyDescent="0.25">
      <c r="A57" s="8" t="s">
        <v>92</v>
      </c>
      <c r="B57" s="8">
        <v>3.75</v>
      </c>
      <c r="C57" s="8">
        <v>3.75</v>
      </c>
      <c r="D57" s="8"/>
      <c r="E57" s="8"/>
      <c r="F57" s="8"/>
      <c r="G57" s="8"/>
      <c r="H57" s="13">
        <f t="shared" ref="H57" si="14">H56-F57-D57+B57</f>
        <v>8</v>
      </c>
      <c r="I57" s="13">
        <f t="shared" ref="I57" si="15">I56-E57+C57</f>
        <v>78.5</v>
      </c>
      <c r="J57" s="62">
        <f t="shared" ref="J57" si="16">H57+I57</f>
        <v>86.5</v>
      </c>
    </row>
    <row r="58" spans="1:10" ht="15.95" customHeight="1" x14ac:dyDescent="0.25">
      <c r="A58" s="8" t="s">
        <v>95</v>
      </c>
      <c r="B58" s="8"/>
      <c r="C58" s="8"/>
      <c r="D58" s="8"/>
      <c r="E58" s="8"/>
      <c r="F58" s="8">
        <v>1</v>
      </c>
      <c r="G58" s="8"/>
      <c r="H58" s="13">
        <f t="shared" ref="H58:H59" si="17">H57-F58-D58+B58</f>
        <v>7</v>
      </c>
      <c r="I58" s="13">
        <f t="shared" ref="I58:I59" si="18">I57-E58+C58</f>
        <v>78.5</v>
      </c>
      <c r="J58" s="62">
        <f t="shared" ref="J58:J59" si="19">H58+I58</f>
        <v>85.5</v>
      </c>
    </row>
    <row r="59" spans="1:10" ht="15.95" customHeight="1" x14ac:dyDescent="0.25">
      <c r="A59" s="8" t="s">
        <v>93</v>
      </c>
      <c r="B59" s="8"/>
      <c r="C59" s="8"/>
      <c r="D59" s="8"/>
      <c r="E59" s="8"/>
      <c r="F59" s="8"/>
      <c r="G59" s="8">
        <v>1</v>
      </c>
      <c r="H59" s="13">
        <f t="shared" si="17"/>
        <v>7</v>
      </c>
      <c r="I59" s="13">
        <f t="shared" si="18"/>
        <v>78.5</v>
      </c>
      <c r="J59" s="62">
        <f t="shared" si="19"/>
        <v>85.5</v>
      </c>
    </row>
    <row r="60" spans="1:10" ht="15.95" customHeight="1" x14ac:dyDescent="0.25">
      <c r="A60" s="8" t="s">
        <v>94</v>
      </c>
      <c r="B60" s="8"/>
      <c r="C60" s="8"/>
      <c r="D60" s="8">
        <v>1</v>
      </c>
      <c r="E60" s="8"/>
      <c r="F60" s="8"/>
      <c r="G60" s="8"/>
      <c r="H60" s="13">
        <f t="shared" ref="H60" si="20">H59-F60-D60+B60</f>
        <v>6</v>
      </c>
      <c r="I60" s="13">
        <f t="shared" ref="I60" si="21">I59-E60+C60</f>
        <v>78.5</v>
      </c>
      <c r="J60" s="62">
        <f t="shared" ref="J60" si="22">H60+I60</f>
        <v>84.5</v>
      </c>
    </row>
    <row r="61" spans="1:10" ht="15.95" customHeight="1" x14ac:dyDescent="0.25">
      <c r="A61" s="8" t="s">
        <v>96</v>
      </c>
      <c r="B61" s="8"/>
      <c r="C61" s="8"/>
      <c r="D61" s="8"/>
      <c r="E61" s="8">
        <v>1</v>
      </c>
      <c r="F61" s="8"/>
      <c r="G61" s="8"/>
      <c r="H61" s="13">
        <f t="shared" ref="H61" si="23">H60-F61-D61+B61</f>
        <v>6</v>
      </c>
      <c r="I61" s="13">
        <f t="shared" ref="I61" si="24">I60-E61+C61</f>
        <v>77.5</v>
      </c>
      <c r="J61" s="62">
        <f t="shared" ref="J61" si="25">H61+I61</f>
        <v>83.5</v>
      </c>
    </row>
    <row r="62" spans="1:10" ht="15.95" customHeight="1" x14ac:dyDescent="0.25">
      <c r="A62" s="8" t="s">
        <v>97</v>
      </c>
      <c r="B62" s="8">
        <v>1.25</v>
      </c>
      <c r="C62" s="8">
        <v>1.25</v>
      </c>
      <c r="D62" s="8"/>
      <c r="E62" s="8"/>
      <c r="F62" s="8"/>
      <c r="G62" s="8"/>
      <c r="H62" s="13">
        <f t="shared" ref="H62:H63" si="26">H61-F62-D62+B62</f>
        <v>7.25</v>
      </c>
      <c r="I62" s="13">
        <f t="shared" ref="I62:I63" si="27">I61-E62+C62</f>
        <v>78.75</v>
      </c>
      <c r="J62" s="62">
        <f t="shared" ref="J62:J63" si="28">H62+I62</f>
        <v>86</v>
      </c>
    </row>
    <row r="63" spans="1:10" ht="15.95" customHeight="1" x14ac:dyDescent="0.25">
      <c r="A63" s="8" t="s">
        <v>98</v>
      </c>
      <c r="B63" s="8"/>
      <c r="C63" s="8"/>
      <c r="D63" s="8"/>
      <c r="E63" s="8"/>
      <c r="F63" s="31">
        <v>1</v>
      </c>
      <c r="G63" s="31"/>
      <c r="H63" s="13">
        <f t="shared" si="26"/>
        <v>6.25</v>
      </c>
      <c r="I63" s="13">
        <f t="shared" si="27"/>
        <v>78.75</v>
      </c>
      <c r="J63" s="62">
        <f t="shared" si="28"/>
        <v>85</v>
      </c>
    </row>
    <row r="64" spans="1:10" ht="15.95" customHeight="1" x14ac:dyDescent="0.25">
      <c r="A64" s="8" t="s">
        <v>99</v>
      </c>
      <c r="B64" s="8"/>
      <c r="C64" s="8"/>
      <c r="D64" s="8"/>
      <c r="E64" s="8"/>
      <c r="F64" s="31"/>
      <c r="G64" s="31">
        <v>1</v>
      </c>
      <c r="H64" s="13">
        <f t="shared" ref="H64:H65" si="29">H63-F64-D64+B64</f>
        <v>6.25</v>
      </c>
      <c r="I64" s="13">
        <f t="shared" ref="I64:I65" si="30">I63-E64+C64</f>
        <v>78.75</v>
      </c>
      <c r="J64" s="62">
        <f t="shared" ref="J64:J65" si="31">H64+I64</f>
        <v>85</v>
      </c>
    </row>
    <row r="65" spans="1:10" ht="18.95" customHeight="1" x14ac:dyDescent="0.25">
      <c r="A65" s="43" t="s">
        <v>100</v>
      </c>
      <c r="B65" s="8">
        <v>2.5</v>
      </c>
      <c r="C65" s="8">
        <v>2.5</v>
      </c>
      <c r="D65" s="32"/>
      <c r="E65" s="8"/>
      <c r="F65" s="65"/>
      <c r="G65" s="31"/>
      <c r="H65" s="13">
        <f t="shared" si="29"/>
        <v>8.75</v>
      </c>
      <c r="I65" s="13">
        <f t="shared" si="30"/>
        <v>81.25</v>
      </c>
      <c r="J65" s="62">
        <f t="shared" si="31"/>
        <v>90</v>
      </c>
    </row>
    <row r="66" spans="1:10" ht="18.95" customHeight="1" x14ac:dyDescent="0.25">
      <c r="A66" s="43" t="s">
        <v>101</v>
      </c>
      <c r="B66" s="8"/>
      <c r="C66" s="8"/>
      <c r="D66" s="32"/>
      <c r="E66" s="8">
        <v>1</v>
      </c>
      <c r="F66" s="65"/>
      <c r="G66" s="31"/>
      <c r="H66" s="13">
        <f t="shared" ref="H66" si="32">H65-F66-D66+B66</f>
        <v>8.75</v>
      </c>
      <c r="I66" s="13">
        <f t="shared" ref="I66" si="33">I65-E66+C66</f>
        <v>80.25</v>
      </c>
      <c r="J66" s="62">
        <f t="shared" ref="J66" si="34">H66+I66</f>
        <v>89</v>
      </c>
    </row>
    <row r="67" spans="1:10" ht="18.95" customHeight="1" x14ac:dyDescent="0.25">
      <c r="A67" s="43" t="s">
        <v>102</v>
      </c>
      <c r="B67" s="8">
        <v>1.25</v>
      </c>
      <c r="C67" s="8">
        <v>1.25</v>
      </c>
      <c r="D67" s="32"/>
      <c r="E67" s="8"/>
      <c r="F67" s="65"/>
      <c r="G67" s="31"/>
      <c r="H67" s="13">
        <f t="shared" ref="H67:H68" si="35">H66-F67-D67+B67</f>
        <v>10</v>
      </c>
      <c r="I67" s="13">
        <f t="shared" ref="I67:I68" si="36">I66-E67+C67</f>
        <v>81.5</v>
      </c>
      <c r="J67" s="62">
        <f t="shared" ref="J67:J68" si="37">H67+I67</f>
        <v>91.5</v>
      </c>
    </row>
    <row r="68" spans="1:10" ht="18.95" customHeight="1" x14ac:dyDescent="0.25">
      <c r="A68" s="43" t="s">
        <v>103</v>
      </c>
      <c r="B68" s="8"/>
      <c r="C68" s="8"/>
      <c r="D68" s="32"/>
      <c r="E68" s="8">
        <v>1</v>
      </c>
      <c r="F68" s="65"/>
      <c r="G68" s="31"/>
      <c r="H68" s="13">
        <f t="shared" si="35"/>
        <v>10</v>
      </c>
      <c r="I68" s="13">
        <f t="shared" si="36"/>
        <v>80.5</v>
      </c>
      <c r="J68" s="62">
        <f t="shared" si="37"/>
        <v>90.5</v>
      </c>
    </row>
    <row r="69" spans="1:10" ht="18.95" customHeight="1" x14ac:dyDescent="0.25">
      <c r="A69" s="43" t="s">
        <v>104</v>
      </c>
      <c r="B69" s="8">
        <v>1.25</v>
      </c>
      <c r="C69" s="8">
        <v>1.25</v>
      </c>
      <c r="D69" s="32"/>
      <c r="E69" s="8"/>
      <c r="F69" s="65"/>
      <c r="G69" s="31"/>
      <c r="H69" s="13">
        <f t="shared" ref="H69:H70" si="38">H68-F69-D69+B69</f>
        <v>11.25</v>
      </c>
      <c r="I69" s="13">
        <f t="shared" ref="I69:I70" si="39">I68-E69+C69</f>
        <v>81.75</v>
      </c>
      <c r="J69" s="62">
        <f t="shared" ref="J69:J70" si="40">H69+I69</f>
        <v>93</v>
      </c>
    </row>
    <row r="70" spans="1:10" ht="18.95" customHeight="1" x14ac:dyDescent="0.25">
      <c r="A70" s="43" t="s">
        <v>105</v>
      </c>
      <c r="B70" s="8"/>
      <c r="C70" s="8"/>
      <c r="D70" s="32"/>
      <c r="E70" s="8"/>
      <c r="F70" s="65"/>
      <c r="G70" s="31">
        <v>1</v>
      </c>
      <c r="H70" s="13">
        <f t="shared" si="38"/>
        <v>11.25</v>
      </c>
      <c r="I70" s="13">
        <f t="shared" si="39"/>
        <v>81.75</v>
      </c>
      <c r="J70" s="62">
        <f t="shared" si="40"/>
        <v>93</v>
      </c>
    </row>
    <row r="71" spans="1:10" ht="18.95" customHeight="1" x14ac:dyDescent="0.25">
      <c r="A71" s="43" t="s">
        <v>106</v>
      </c>
      <c r="B71" s="8"/>
      <c r="C71" s="8"/>
      <c r="D71" s="32"/>
      <c r="E71" s="8">
        <v>1</v>
      </c>
      <c r="F71" s="65"/>
      <c r="G71" s="31"/>
      <c r="H71" s="13">
        <f t="shared" ref="H71" si="41">H70-F71-D71+B71</f>
        <v>11.25</v>
      </c>
      <c r="I71" s="13">
        <f t="shared" ref="I71" si="42">I70-E71+C71</f>
        <v>80.75</v>
      </c>
      <c r="J71" s="62">
        <f t="shared" ref="J71" si="43">H71+I71</f>
        <v>92</v>
      </c>
    </row>
    <row r="72" spans="1:10" ht="18.95" customHeight="1" x14ac:dyDescent="0.25">
      <c r="A72" s="43" t="s">
        <v>107</v>
      </c>
      <c r="B72" s="8">
        <v>1.25</v>
      </c>
      <c r="C72" s="8">
        <v>1.25</v>
      </c>
      <c r="D72" s="32"/>
      <c r="E72" s="8"/>
      <c r="F72" s="65"/>
      <c r="G72" s="31"/>
      <c r="H72" s="13">
        <f t="shared" ref="H72:H73" si="44">H71-F72-D72+B72</f>
        <v>12.5</v>
      </c>
      <c r="I72" s="13">
        <f t="shared" ref="I72:I73" si="45">I71-E72+C72</f>
        <v>82</v>
      </c>
      <c r="J72" s="62">
        <f t="shared" ref="J72:J73" si="46">H72+I72</f>
        <v>94.5</v>
      </c>
    </row>
    <row r="73" spans="1:10" ht="18.95" customHeight="1" x14ac:dyDescent="0.25">
      <c r="A73" s="43" t="s">
        <v>108</v>
      </c>
      <c r="B73" s="8"/>
      <c r="C73" s="8"/>
      <c r="D73" s="32"/>
      <c r="E73" s="8"/>
      <c r="F73" s="31">
        <v>1</v>
      </c>
      <c r="G73" s="31"/>
      <c r="H73" s="13">
        <f t="shared" si="44"/>
        <v>11.5</v>
      </c>
      <c r="I73" s="13">
        <f t="shared" si="45"/>
        <v>82</v>
      </c>
      <c r="J73" s="62">
        <f t="shared" si="46"/>
        <v>93.5</v>
      </c>
    </row>
    <row r="74" spans="1:10" ht="18.95" customHeight="1" x14ac:dyDescent="0.25">
      <c r="A74" s="43" t="s">
        <v>109</v>
      </c>
      <c r="B74" s="8"/>
      <c r="C74" s="8"/>
      <c r="D74" s="32"/>
      <c r="E74" s="8">
        <v>1</v>
      </c>
      <c r="F74" s="31"/>
      <c r="G74" s="31"/>
      <c r="H74" s="13">
        <f t="shared" ref="H74" si="47">H73-F74-D74+B74</f>
        <v>11.5</v>
      </c>
      <c r="I74" s="13">
        <f t="shared" ref="I74" si="48">I73-E74+C74</f>
        <v>81</v>
      </c>
      <c r="J74" s="62">
        <f t="shared" ref="J74" si="49">H74+I74</f>
        <v>92.5</v>
      </c>
    </row>
    <row r="75" spans="1:10" ht="18.95" customHeight="1" x14ac:dyDescent="0.25">
      <c r="A75" s="43" t="s">
        <v>110</v>
      </c>
      <c r="B75" s="8">
        <v>1.25</v>
      </c>
      <c r="C75" s="8">
        <v>1.25</v>
      </c>
      <c r="D75" s="32"/>
      <c r="E75" s="8"/>
      <c r="F75" s="31"/>
      <c r="G75" s="31"/>
      <c r="H75" s="13">
        <f t="shared" ref="H75:H76" si="50">H74-F75-D75+B75</f>
        <v>12.75</v>
      </c>
      <c r="I75" s="13">
        <f t="shared" ref="I75:I76" si="51">I74-E75+C75</f>
        <v>82.25</v>
      </c>
      <c r="J75" s="62">
        <f t="shared" ref="J75:J76" si="52">H75+I75</f>
        <v>95</v>
      </c>
    </row>
    <row r="76" spans="1:10" ht="18.95" customHeight="1" x14ac:dyDescent="0.25">
      <c r="A76" s="43" t="s">
        <v>111</v>
      </c>
      <c r="B76" s="8"/>
      <c r="C76" s="8"/>
      <c r="D76" s="32"/>
      <c r="E76" s="8">
        <v>1</v>
      </c>
      <c r="F76" s="31"/>
      <c r="G76" s="31"/>
      <c r="H76" s="13">
        <f t="shared" si="50"/>
        <v>12.75</v>
      </c>
      <c r="I76" s="13">
        <f t="shared" si="51"/>
        <v>81.25</v>
      </c>
      <c r="J76" s="62">
        <f t="shared" si="52"/>
        <v>94</v>
      </c>
    </row>
    <row r="77" spans="1:10" ht="18.95" customHeight="1" x14ac:dyDescent="0.25">
      <c r="A77" s="43" t="s">
        <v>112</v>
      </c>
      <c r="B77" s="8"/>
      <c r="C77" s="8"/>
      <c r="D77" s="32"/>
      <c r="E77" s="8">
        <v>2</v>
      </c>
      <c r="F77" s="31"/>
      <c r="G77" s="31"/>
      <c r="H77" s="13">
        <f t="shared" ref="H77:H78" si="53">H76-F77-D77+B77</f>
        <v>12.75</v>
      </c>
      <c r="I77" s="13">
        <f t="shared" ref="I77:I78" si="54">I76-E77+C77</f>
        <v>79.25</v>
      </c>
      <c r="J77" s="62">
        <f t="shared" ref="J77:J78" si="55">H77+I77</f>
        <v>92</v>
      </c>
    </row>
    <row r="78" spans="1:10" ht="18.95" customHeight="1" x14ac:dyDescent="0.25">
      <c r="A78" s="43" t="s">
        <v>126</v>
      </c>
      <c r="B78" s="8">
        <v>2.5</v>
      </c>
      <c r="C78" s="8">
        <v>2.5</v>
      </c>
      <c r="D78" s="32"/>
      <c r="E78" s="8"/>
      <c r="F78" s="31"/>
      <c r="G78" s="31"/>
      <c r="H78" s="13">
        <f t="shared" si="53"/>
        <v>15.25</v>
      </c>
      <c r="I78" s="13">
        <f t="shared" si="54"/>
        <v>81.75</v>
      </c>
      <c r="J78" s="62">
        <f t="shared" si="55"/>
        <v>97</v>
      </c>
    </row>
    <row r="79" spans="1:10" ht="18.95" customHeight="1" x14ac:dyDescent="0.25">
      <c r="A79" s="45" t="s">
        <v>113</v>
      </c>
      <c r="B79" s="31"/>
      <c r="C79" s="31"/>
      <c r="D79" s="31">
        <v>10</v>
      </c>
      <c r="E79" s="31"/>
      <c r="F79" s="31"/>
      <c r="G79" s="31"/>
      <c r="H79" s="13">
        <f t="shared" ref="H79:H89" si="56">H78-F79-D79+B79</f>
        <v>5.25</v>
      </c>
      <c r="I79" s="13">
        <f t="shared" ref="I79:I89" si="57">I78-E79+C79</f>
        <v>81.75</v>
      </c>
      <c r="J79" s="62">
        <f t="shared" ref="J79:J89" si="58">H79+I79</f>
        <v>87</v>
      </c>
    </row>
    <row r="80" spans="1:10" ht="18.95" customHeight="1" x14ac:dyDescent="0.25">
      <c r="A80" s="45" t="s">
        <v>114</v>
      </c>
      <c r="B80" s="31"/>
      <c r="C80" s="31"/>
      <c r="D80" s="31"/>
      <c r="E80" s="31">
        <v>1</v>
      </c>
      <c r="F80" s="31"/>
      <c r="G80" s="31"/>
      <c r="H80" s="13">
        <f t="shared" si="56"/>
        <v>5.25</v>
      </c>
      <c r="I80" s="13">
        <f t="shared" si="57"/>
        <v>80.75</v>
      </c>
      <c r="J80" s="62">
        <f t="shared" si="58"/>
        <v>86</v>
      </c>
    </row>
    <row r="81" spans="1:10" ht="18.95" customHeight="1" x14ac:dyDescent="0.25">
      <c r="A81" s="45" t="s">
        <v>115</v>
      </c>
      <c r="B81" s="31"/>
      <c r="C81" s="31"/>
      <c r="D81" s="31"/>
      <c r="E81" s="31"/>
      <c r="F81" s="31"/>
      <c r="G81" s="31"/>
      <c r="H81" s="13">
        <f t="shared" si="56"/>
        <v>5.25</v>
      </c>
      <c r="I81" s="13">
        <f t="shared" si="57"/>
        <v>80.75</v>
      </c>
      <c r="J81" s="62">
        <f t="shared" si="58"/>
        <v>86</v>
      </c>
    </row>
    <row r="82" spans="1:10" ht="18.95" customHeight="1" x14ac:dyDescent="0.25">
      <c r="A82" s="45" t="s">
        <v>118</v>
      </c>
      <c r="B82" s="31"/>
      <c r="C82" s="31"/>
      <c r="D82" s="31"/>
      <c r="E82" s="31">
        <v>1</v>
      </c>
      <c r="F82" s="31"/>
      <c r="G82" s="31"/>
      <c r="H82" s="13">
        <f t="shared" si="56"/>
        <v>5.25</v>
      </c>
      <c r="I82" s="13">
        <f t="shared" si="57"/>
        <v>79.75</v>
      </c>
      <c r="J82" s="62">
        <f t="shared" si="58"/>
        <v>85</v>
      </c>
    </row>
    <row r="83" spans="1:10" ht="18.95" customHeight="1" x14ac:dyDescent="0.25">
      <c r="A83" s="45" t="s">
        <v>119</v>
      </c>
      <c r="B83" s="31"/>
      <c r="C83" s="31"/>
      <c r="D83" s="31"/>
      <c r="E83" s="31"/>
      <c r="F83" s="31"/>
      <c r="G83" s="31">
        <v>1</v>
      </c>
      <c r="H83" s="13">
        <f t="shared" si="56"/>
        <v>5.25</v>
      </c>
      <c r="I83" s="13">
        <f t="shared" si="57"/>
        <v>79.75</v>
      </c>
      <c r="J83" s="62">
        <f t="shared" si="58"/>
        <v>85</v>
      </c>
    </row>
    <row r="84" spans="1:10" ht="18.95" customHeight="1" x14ac:dyDescent="0.25">
      <c r="A84" s="45" t="s">
        <v>120</v>
      </c>
      <c r="B84" s="31">
        <v>1.25</v>
      </c>
      <c r="C84" s="31">
        <v>1.25</v>
      </c>
      <c r="D84" s="31"/>
      <c r="E84" s="31"/>
      <c r="F84" s="31"/>
      <c r="G84" s="31"/>
      <c r="H84" s="13">
        <f t="shared" si="56"/>
        <v>6.5</v>
      </c>
      <c r="I84" s="13">
        <f t="shared" si="57"/>
        <v>81</v>
      </c>
      <c r="J84" s="62">
        <f t="shared" si="58"/>
        <v>87.5</v>
      </c>
    </row>
    <row r="85" spans="1:10" ht="18.95" customHeight="1" x14ac:dyDescent="0.25">
      <c r="A85" s="45" t="s">
        <v>121</v>
      </c>
      <c r="B85" s="31"/>
      <c r="C85" s="31"/>
      <c r="D85" s="31"/>
      <c r="E85" s="31">
        <v>1</v>
      </c>
      <c r="F85" s="31"/>
      <c r="G85" s="31"/>
      <c r="H85" s="13">
        <f t="shared" si="56"/>
        <v>6.5</v>
      </c>
      <c r="I85" s="13">
        <f t="shared" si="57"/>
        <v>80</v>
      </c>
      <c r="J85" s="62">
        <f t="shared" si="58"/>
        <v>86.5</v>
      </c>
    </row>
    <row r="86" spans="1:10" ht="18.95" customHeight="1" x14ac:dyDescent="0.25">
      <c r="A86" s="45" t="s">
        <v>122</v>
      </c>
      <c r="B86" s="31">
        <v>1.25</v>
      </c>
      <c r="C86" s="31">
        <v>1.25</v>
      </c>
      <c r="D86" s="31"/>
      <c r="E86" s="31"/>
      <c r="F86" s="31"/>
      <c r="G86" s="31"/>
      <c r="H86" s="13">
        <f t="shared" si="56"/>
        <v>7.75</v>
      </c>
      <c r="I86" s="13">
        <f t="shared" si="57"/>
        <v>81.25</v>
      </c>
      <c r="J86" s="62">
        <f t="shared" si="58"/>
        <v>89</v>
      </c>
    </row>
    <row r="87" spans="1:10" ht="18.95" customHeight="1" x14ac:dyDescent="0.25">
      <c r="A87" s="45" t="s">
        <v>123</v>
      </c>
      <c r="B87" s="31"/>
      <c r="C87" s="31"/>
      <c r="D87" s="31"/>
      <c r="E87" s="31"/>
      <c r="F87" s="31">
        <v>1</v>
      </c>
      <c r="G87" s="31"/>
      <c r="H87" s="13">
        <f t="shared" si="56"/>
        <v>6.75</v>
      </c>
      <c r="I87" s="13">
        <f t="shared" si="57"/>
        <v>81.25</v>
      </c>
      <c r="J87" s="62">
        <f t="shared" si="58"/>
        <v>88</v>
      </c>
    </row>
    <row r="88" spans="1:10" ht="18.95" customHeight="1" x14ac:dyDescent="0.25">
      <c r="A88" s="45" t="s">
        <v>124</v>
      </c>
      <c r="B88" s="31"/>
      <c r="C88" s="31"/>
      <c r="D88" s="31"/>
      <c r="E88" s="31"/>
      <c r="F88" s="31">
        <v>1</v>
      </c>
      <c r="G88" s="31"/>
      <c r="H88" s="13">
        <f t="shared" si="56"/>
        <v>5.75</v>
      </c>
      <c r="I88" s="13">
        <f t="shared" si="57"/>
        <v>81.25</v>
      </c>
      <c r="J88" s="62">
        <f t="shared" si="58"/>
        <v>87</v>
      </c>
    </row>
    <row r="89" spans="1:10" ht="18.95" customHeight="1" x14ac:dyDescent="0.25">
      <c r="A89" s="45" t="s">
        <v>125</v>
      </c>
      <c r="B89" s="31"/>
      <c r="C89" s="31"/>
      <c r="D89" s="31"/>
      <c r="E89" s="31">
        <v>1</v>
      </c>
      <c r="F89" s="31"/>
      <c r="G89" s="31"/>
      <c r="H89" s="13">
        <f t="shared" si="56"/>
        <v>5.75</v>
      </c>
      <c r="I89" s="13">
        <f t="shared" si="57"/>
        <v>80.25</v>
      </c>
      <c r="J89" s="62">
        <f t="shared" si="58"/>
        <v>86</v>
      </c>
    </row>
    <row r="90" spans="1:10" ht="18.95" customHeight="1" x14ac:dyDescent="0.25">
      <c r="A90" s="45" t="s">
        <v>127</v>
      </c>
      <c r="B90" s="31">
        <v>1.25</v>
      </c>
      <c r="C90" s="31">
        <v>1.25</v>
      </c>
      <c r="D90" s="31"/>
      <c r="E90" s="31"/>
      <c r="F90" s="31"/>
      <c r="G90" s="31"/>
      <c r="H90" s="13">
        <f t="shared" ref="H90:H91" si="59">H89-F90-D90+B90</f>
        <v>7</v>
      </c>
      <c r="I90" s="13">
        <f t="shared" ref="I90:I91" si="60">I89-E90+C90</f>
        <v>81.5</v>
      </c>
      <c r="J90" s="62">
        <f t="shared" ref="J90:J91" si="61">H90+I90</f>
        <v>88.5</v>
      </c>
    </row>
    <row r="91" spans="1:10" ht="18.95" customHeight="1" x14ac:dyDescent="0.25">
      <c r="A91" s="45" t="s">
        <v>128</v>
      </c>
      <c r="B91" s="31"/>
      <c r="C91" s="31"/>
      <c r="D91" s="31"/>
      <c r="E91" s="31"/>
      <c r="F91" s="31">
        <v>1</v>
      </c>
      <c r="G91" s="31"/>
      <c r="H91" s="13">
        <f t="shared" si="59"/>
        <v>6</v>
      </c>
      <c r="I91" s="13">
        <f t="shared" si="60"/>
        <v>81.5</v>
      </c>
      <c r="J91" s="62">
        <f t="shared" si="61"/>
        <v>87.5</v>
      </c>
    </row>
    <row r="92" spans="1:10" ht="18.95" customHeight="1" x14ac:dyDescent="0.25">
      <c r="A92" s="45" t="s">
        <v>129</v>
      </c>
      <c r="B92" s="31">
        <v>1.25</v>
      </c>
      <c r="C92" s="31">
        <v>1.25</v>
      </c>
      <c r="D92" s="31"/>
      <c r="E92" s="31"/>
      <c r="F92" s="31"/>
      <c r="G92" s="31"/>
      <c r="H92" s="13">
        <f t="shared" ref="H92:H94" si="62">H91-F92-D92+B92</f>
        <v>7.25</v>
      </c>
      <c r="I92" s="13">
        <f t="shared" ref="I92:I94" si="63">I91-E92+C92</f>
        <v>82.75</v>
      </c>
      <c r="J92" s="62">
        <f t="shared" ref="J92:J94" si="64">H92+I92</f>
        <v>90</v>
      </c>
    </row>
    <row r="93" spans="1:10" ht="18.95" customHeight="1" x14ac:dyDescent="0.25">
      <c r="A93" s="45" t="s">
        <v>131</v>
      </c>
      <c r="B93" s="31">
        <v>1.25</v>
      </c>
      <c r="C93" s="31">
        <v>1.25</v>
      </c>
      <c r="D93" s="31"/>
      <c r="E93" s="31"/>
      <c r="F93" s="31"/>
      <c r="G93" s="31"/>
      <c r="H93" s="13">
        <f t="shared" si="62"/>
        <v>8.5</v>
      </c>
      <c r="I93" s="13">
        <f t="shared" si="63"/>
        <v>84</v>
      </c>
      <c r="J93" s="62">
        <f t="shared" si="64"/>
        <v>92.5</v>
      </c>
    </row>
    <row r="94" spans="1:10" ht="18.95" customHeight="1" x14ac:dyDescent="0.25">
      <c r="A94" s="45" t="s">
        <v>130</v>
      </c>
      <c r="B94" s="31"/>
      <c r="C94" s="31"/>
      <c r="D94" s="31"/>
      <c r="E94" s="31">
        <v>1</v>
      </c>
      <c r="F94" s="31"/>
      <c r="G94" s="31"/>
      <c r="H94" s="13">
        <f t="shared" si="62"/>
        <v>8.5</v>
      </c>
      <c r="I94" s="13">
        <f t="shared" si="63"/>
        <v>83</v>
      </c>
      <c r="J94" s="62">
        <f t="shared" si="64"/>
        <v>91.5</v>
      </c>
    </row>
    <row r="95" spans="1:10" ht="18.95" customHeight="1" x14ac:dyDescent="0.25">
      <c r="A95" s="45" t="s">
        <v>132</v>
      </c>
      <c r="B95" s="31">
        <v>1.25</v>
      </c>
      <c r="C95" s="31">
        <v>1.25</v>
      </c>
      <c r="D95" s="31"/>
      <c r="E95" s="31"/>
      <c r="F95" s="31"/>
      <c r="G95" s="31"/>
      <c r="H95" s="13">
        <f t="shared" ref="H95:H96" si="65">H94-F95-D95+B95</f>
        <v>9.75</v>
      </c>
      <c r="I95" s="13">
        <f t="shared" ref="I95:I96" si="66">I94-E95+C95</f>
        <v>84.25</v>
      </c>
      <c r="J95" s="62">
        <f t="shared" ref="J95:J96" si="67">H95+I95</f>
        <v>94</v>
      </c>
    </row>
    <row r="96" spans="1:10" ht="18.95" customHeight="1" x14ac:dyDescent="0.25">
      <c r="A96" s="45" t="s">
        <v>133</v>
      </c>
      <c r="B96" s="31"/>
      <c r="C96" s="31"/>
      <c r="D96" s="31"/>
      <c r="E96" s="31"/>
      <c r="F96" s="66">
        <v>1</v>
      </c>
      <c r="G96" s="31"/>
      <c r="H96" s="13">
        <f t="shared" si="65"/>
        <v>8.75</v>
      </c>
      <c r="I96" s="13">
        <f t="shared" si="66"/>
        <v>84.25</v>
      </c>
      <c r="J96" s="62">
        <f t="shared" si="67"/>
        <v>93</v>
      </c>
    </row>
    <row r="97" spans="1:11" ht="18.95" customHeight="1" x14ac:dyDescent="0.25">
      <c r="A97" s="45" t="s">
        <v>134</v>
      </c>
      <c r="B97" s="31">
        <v>1.25</v>
      </c>
      <c r="C97" s="31">
        <v>1.25</v>
      </c>
      <c r="D97" s="31"/>
      <c r="E97" s="31"/>
      <c r="F97" s="31"/>
      <c r="G97" s="31"/>
      <c r="H97" s="13">
        <f t="shared" ref="H97:H98" si="68">H96-F97-D97+B97</f>
        <v>10</v>
      </c>
      <c r="I97" s="13">
        <f t="shared" ref="I97:I98" si="69">I96-E97+C97</f>
        <v>85.5</v>
      </c>
      <c r="J97" s="62">
        <f t="shared" ref="J97:J98" si="70">H97+I97</f>
        <v>95.5</v>
      </c>
    </row>
    <row r="98" spans="1:11" ht="18.95" customHeight="1" x14ac:dyDescent="0.25">
      <c r="A98" s="45" t="s">
        <v>135</v>
      </c>
      <c r="B98" s="31"/>
      <c r="C98" s="31"/>
      <c r="D98" s="31"/>
      <c r="E98" s="31"/>
      <c r="F98" s="31"/>
      <c r="G98" s="67">
        <v>1</v>
      </c>
      <c r="H98" s="13">
        <f t="shared" si="68"/>
        <v>10</v>
      </c>
      <c r="I98" s="13">
        <f t="shared" si="69"/>
        <v>85.5</v>
      </c>
      <c r="J98" s="62">
        <f t="shared" si="70"/>
        <v>95.5</v>
      </c>
    </row>
    <row r="99" spans="1:11" ht="18.95" customHeight="1" x14ac:dyDescent="0.25">
      <c r="A99" s="45" t="s">
        <v>139</v>
      </c>
      <c r="B99" s="31">
        <v>1.25</v>
      </c>
      <c r="C99" s="31">
        <v>1.25</v>
      </c>
      <c r="D99" s="31"/>
      <c r="E99" s="31"/>
      <c r="F99" s="31"/>
      <c r="G99" s="31"/>
      <c r="H99" s="13">
        <f t="shared" ref="H99:H100" si="71">H98-F99-D99+B99</f>
        <v>11.25</v>
      </c>
      <c r="I99" s="13">
        <f t="shared" ref="I99:I100" si="72">I98-E99+C99</f>
        <v>86.75</v>
      </c>
      <c r="J99" s="62">
        <f t="shared" ref="J99:J100" si="73">H99+I99</f>
        <v>98</v>
      </c>
    </row>
    <row r="100" spans="1:11" ht="18.95" customHeight="1" x14ac:dyDescent="0.25">
      <c r="A100" s="45" t="s">
        <v>140</v>
      </c>
      <c r="B100" s="31"/>
      <c r="C100" s="31"/>
      <c r="D100" s="31"/>
      <c r="E100" s="31">
        <v>1</v>
      </c>
      <c r="F100" s="31"/>
      <c r="G100" s="31"/>
      <c r="H100" s="13">
        <f t="shared" si="71"/>
        <v>11.25</v>
      </c>
      <c r="I100" s="13">
        <f t="shared" si="72"/>
        <v>85.75</v>
      </c>
      <c r="J100" s="62">
        <f t="shared" si="73"/>
        <v>97</v>
      </c>
    </row>
    <row r="101" spans="1:11" ht="18.95" customHeight="1" x14ac:dyDescent="0.25">
      <c r="A101" s="45" t="s">
        <v>141</v>
      </c>
      <c r="B101" s="31">
        <v>2.5</v>
      </c>
      <c r="C101" s="31">
        <v>2.5</v>
      </c>
      <c r="D101" s="31"/>
      <c r="E101" s="31"/>
      <c r="F101" s="31"/>
      <c r="G101" s="31"/>
      <c r="H101" s="13">
        <f t="shared" ref="H101:H102" si="74">H100-F101-D101+B101</f>
        <v>13.75</v>
      </c>
      <c r="I101" s="13">
        <f t="shared" ref="I101:I102" si="75">I100-E101+C101</f>
        <v>88.25</v>
      </c>
      <c r="J101" s="62">
        <f t="shared" ref="J101:J102" si="76">H101+I101</f>
        <v>102</v>
      </c>
    </row>
    <row r="102" spans="1:11" ht="18.95" customHeight="1" x14ac:dyDescent="0.25">
      <c r="A102" s="45" t="s">
        <v>142</v>
      </c>
      <c r="B102" s="31"/>
      <c r="C102" s="31"/>
      <c r="D102" s="31"/>
      <c r="E102" s="31"/>
      <c r="F102" s="31"/>
      <c r="G102" s="67">
        <v>1</v>
      </c>
      <c r="H102" s="13">
        <f t="shared" si="74"/>
        <v>13.75</v>
      </c>
      <c r="I102" s="13">
        <f t="shared" si="75"/>
        <v>88.25</v>
      </c>
      <c r="J102" s="62">
        <f t="shared" si="76"/>
        <v>102</v>
      </c>
    </row>
    <row r="103" spans="1:11" ht="18.95" customHeight="1" x14ac:dyDescent="0.25">
      <c r="A103" s="45" t="s">
        <v>143</v>
      </c>
      <c r="B103" s="31">
        <v>2.5</v>
      </c>
      <c r="C103" s="31">
        <v>2.5</v>
      </c>
      <c r="D103" s="31"/>
      <c r="E103" s="31"/>
      <c r="F103" s="31"/>
      <c r="G103" s="31"/>
      <c r="H103" s="13">
        <f t="shared" ref="H103" si="77">H102-F103-D103+B103</f>
        <v>16.25</v>
      </c>
      <c r="I103" s="13">
        <f t="shared" ref="I103" si="78">I102-E103+C103</f>
        <v>90.75</v>
      </c>
      <c r="J103" s="62">
        <f t="shared" ref="J103" si="79">H103+I103</f>
        <v>107</v>
      </c>
    </row>
    <row r="104" spans="1:11" ht="18.95" customHeight="1" x14ac:dyDescent="0.25">
      <c r="A104" s="45" t="s">
        <v>144</v>
      </c>
      <c r="B104" s="31"/>
      <c r="C104" s="31"/>
      <c r="D104" s="31">
        <v>10</v>
      </c>
      <c r="E104" s="31"/>
      <c r="F104" s="31"/>
      <c r="G104" s="31"/>
      <c r="H104" s="13">
        <f t="shared" ref="H104" si="80">H103-F104-D104+B104</f>
        <v>6.25</v>
      </c>
      <c r="I104" s="13">
        <f t="shared" ref="I104" si="81">I103-E104+C104</f>
        <v>90.75</v>
      </c>
      <c r="J104" s="62">
        <f t="shared" ref="J104" si="82">H104+I104</f>
        <v>97</v>
      </c>
    </row>
    <row r="105" spans="1:11" ht="18.95" customHeight="1" x14ac:dyDescent="0.25">
      <c r="A105" s="45" t="s">
        <v>146</v>
      </c>
      <c r="B105" s="31"/>
      <c r="C105" s="31"/>
      <c r="D105" s="31"/>
      <c r="E105" s="31">
        <v>1</v>
      </c>
      <c r="F105" s="31"/>
      <c r="G105" s="31"/>
      <c r="H105" s="13">
        <f t="shared" ref="H105" si="83">H104-F105-D105+B105</f>
        <v>6.25</v>
      </c>
      <c r="I105" s="13">
        <f t="shared" ref="I105" si="84">I104-E105+C105</f>
        <v>89.75</v>
      </c>
      <c r="J105" s="62">
        <f t="shared" ref="J105" si="85">H105+I105</f>
        <v>96</v>
      </c>
    </row>
    <row r="106" spans="1:11" ht="18.95" customHeight="1" x14ac:dyDescent="0.25">
      <c r="A106" s="45" t="s">
        <v>148</v>
      </c>
      <c r="B106" s="31"/>
      <c r="C106" s="31"/>
      <c r="D106" s="31"/>
      <c r="E106" s="31"/>
      <c r="F106" s="31"/>
      <c r="G106" s="67">
        <v>1</v>
      </c>
      <c r="H106" s="13">
        <f t="shared" ref="H106" si="86">H105-F106-D106+B106</f>
        <v>6.25</v>
      </c>
      <c r="I106" s="13">
        <f t="shared" ref="I106" si="87">I105-E106+C106</f>
        <v>89.75</v>
      </c>
      <c r="J106" s="62">
        <f t="shared" ref="J106" si="88">H106+I106</f>
        <v>96</v>
      </c>
      <c r="K106" t="s">
        <v>147</v>
      </c>
    </row>
    <row r="107" spans="1:11" ht="18.95" customHeight="1" x14ac:dyDescent="0.25">
      <c r="A107" s="45" t="s">
        <v>152</v>
      </c>
      <c r="B107" s="31">
        <v>2.5</v>
      </c>
      <c r="C107" s="31">
        <v>2.5</v>
      </c>
      <c r="D107" s="31"/>
      <c r="E107" s="31"/>
      <c r="F107" s="31"/>
      <c r="G107" s="31"/>
      <c r="H107" s="13">
        <f t="shared" ref="H107" si="89">H106-F107-D107+B107</f>
        <v>8.75</v>
      </c>
      <c r="I107" s="13">
        <f t="shared" ref="I107" si="90">I106-E107+C107</f>
        <v>92.25</v>
      </c>
      <c r="J107" s="62">
        <f t="shared" ref="J107" si="91">H107+I107</f>
        <v>101</v>
      </c>
    </row>
    <row r="108" spans="1:11" ht="18.95" customHeight="1" x14ac:dyDescent="0.25">
      <c r="A108" s="45" t="s">
        <v>153</v>
      </c>
      <c r="B108" s="31"/>
      <c r="C108" s="31"/>
      <c r="D108" s="31"/>
      <c r="E108" s="31"/>
      <c r="F108" s="66">
        <v>4</v>
      </c>
      <c r="G108" s="31"/>
      <c r="H108" s="13">
        <f t="shared" ref="H108" si="92">H107-F108-D108+B108</f>
        <v>4.75</v>
      </c>
      <c r="I108" s="13">
        <f t="shared" ref="I108" si="93">I107-E108+C108</f>
        <v>92.25</v>
      </c>
      <c r="J108" s="62">
        <f t="shared" ref="J108" si="94">H108+I108</f>
        <v>97</v>
      </c>
    </row>
    <row r="109" spans="1:11" ht="18.95" customHeight="1" x14ac:dyDescent="0.25">
      <c r="A109" s="51"/>
      <c r="B109" s="51"/>
      <c r="C109" s="51"/>
      <c r="D109" s="51"/>
      <c r="E109" s="51"/>
      <c r="F109" s="50"/>
      <c r="G109" s="51"/>
      <c r="H109" s="52"/>
      <c r="I109" s="52"/>
      <c r="J109" s="63"/>
    </row>
    <row r="110" spans="1:11" s="1" customFormat="1" x14ac:dyDescent="0.25">
      <c r="B110" s="7"/>
      <c r="C110" s="7"/>
      <c r="E110" s="7"/>
      <c r="G110" s="7" t="s">
        <v>37</v>
      </c>
      <c r="J110" s="57"/>
    </row>
    <row r="111" spans="1:11" s="1" customFormat="1" x14ac:dyDescent="0.25">
      <c r="B111" s="7"/>
      <c r="C111" s="7"/>
      <c r="E111" s="7"/>
      <c r="G111" s="7"/>
      <c r="J111" s="57"/>
    </row>
    <row r="112" spans="1:11" s="1" customFormat="1" x14ac:dyDescent="0.25">
      <c r="B112" s="7"/>
      <c r="C112" s="7"/>
      <c r="E112" s="7"/>
      <c r="H112" s="49" t="s">
        <v>38</v>
      </c>
      <c r="J112" s="57"/>
    </row>
    <row r="113" spans="2:10" s="1" customFormat="1" x14ac:dyDescent="0.25">
      <c r="B113" s="7"/>
      <c r="C113" s="7"/>
      <c r="E113" s="7"/>
      <c r="H113" s="7" t="s">
        <v>39</v>
      </c>
      <c r="J113" s="57"/>
    </row>
    <row r="114" spans="2:10" s="1" customFormat="1" x14ac:dyDescent="0.25">
      <c r="B114" s="7"/>
      <c r="C114" s="7"/>
      <c r="E114" s="7"/>
      <c r="H114" s="7" t="s">
        <v>40</v>
      </c>
      <c r="J114" s="57"/>
    </row>
  </sheetData>
  <mergeCells count="13">
    <mergeCell ref="A10:J10"/>
    <mergeCell ref="A13:J13"/>
    <mergeCell ref="A11:A12"/>
    <mergeCell ref="J11:J12"/>
    <mergeCell ref="B11:C11"/>
    <mergeCell ref="D11:F11"/>
    <mergeCell ref="H11:I11"/>
    <mergeCell ref="B7:D7"/>
    <mergeCell ref="B9:D9"/>
    <mergeCell ref="A2:J2"/>
    <mergeCell ref="A3:J3"/>
    <mergeCell ref="A4:J4"/>
    <mergeCell ref="A5:J5"/>
  </mergeCells>
  <phoneticPr fontId="5" type="noConversion"/>
  <printOptions horizontalCentered="1"/>
  <pageMargins left="0.23622047244094491" right="0.23622047244094491" top="0.55118110236220474" bottom="0.55118110236220474" header="0.31496062992125984" footer="0.31496062992125984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5"/>
  <sheetViews>
    <sheetView topLeftCell="A11" workbookViewId="0">
      <selection activeCell="B15" sqref="B15:E15"/>
    </sheetView>
  </sheetViews>
  <sheetFormatPr defaultRowHeight="15" x14ac:dyDescent="0.25"/>
  <cols>
    <col min="1" max="1" width="21.5703125" customWidth="1"/>
    <col min="2" max="2" width="17.5703125" customWidth="1"/>
  </cols>
  <sheetData>
    <row r="1" spans="1:12" s="1" customFormat="1" ht="52.5" customHeight="1" x14ac:dyDescent="0.25"/>
    <row r="2" spans="1:12" s="1" customFormat="1" ht="10.5" customHeight="1" x14ac:dyDescent="0.25">
      <c r="A2" s="77" t="s">
        <v>11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2" s="1" customFormat="1" ht="15.95" customHeight="1" x14ac:dyDescent="0.25">
      <c r="A3" s="77" t="s">
        <v>12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2" s="1" customFormat="1" ht="15.95" customHeight="1" x14ac:dyDescent="0.25">
      <c r="A4" s="77" t="s">
        <v>13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</row>
    <row r="5" spans="1:12" s="1" customFormat="1" ht="15.95" customHeight="1" x14ac:dyDescent="0.25">
      <c r="A5" s="77" t="s">
        <v>14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s="1" customFormat="1" ht="8.25" customHeight="1" x14ac:dyDescent="0.25"/>
    <row r="7" spans="1:12" s="1" customFormat="1" ht="12" customHeight="1" x14ac:dyDescent="0.25">
      <c r="A7" s="1" t="s">
        <v>33</v>
      </c>
      <c r="C7" s="3" t="s">
        <v>35</v>
      </c>
      <c r="D7" s="3"/>
      <c r="G7" s="3" t="s">
        <v>9</v>
      </c>
      <c r="H7" s="36"/>
    </row>
    <row r="8" spans="1:12" s="1" customFormat="1" ht="12" customHeight="1" x14ac:dyDescent="0.25">
      <c r="C8" s="2"/>
      <c r="G8" s="2"/>
      <c r="H8" s="2"/>
    </row>
    <row r="9" spans="1:12" s="1" customFormat="1" ht="12" customHeight="1" x14ac:dyDescent="0.25">
      <c r="A9" s="1" t="s">
        <v>34</v>
      </c>
      <c r="C9" s="3" t="s">
        <v>36</v>
      </c>
      <c r="D9" s="3"/>
      <c r="G9" s="3" t="s">
        <v>10</v>
      </c>
      <c r="H9" s="4"/>
    </row>
    <row r="10" spans="1:12" ht="16.5" customHeight="1" thickBot="1" x14ac:dyDescent="0.3">
      <c r="A10" s="112" t="s">
        <v>42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</row>
    <row r="11" spans="1:12" s="28" customFormat="1" ht="18.75" customHeight="1" x14ac:dyDescent="0.2">
      <c r="A11" s="102" t="s">
        <v>4</v>
      </c>
      <c r="B11" s="104" t="s">
        <v>5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6" t="s">
        <v>8</v>
      </c>
    </row>
    <row r="12" spans="1:12" s="28" customFormat="1" ht="24" customHeight="1" x14ac:dyDescent="0.2">
      <c r="A12" s="103"/>
      <c r="B12" s="97" t="s">
        <v>43</v>
      </c>
      <c r="C12" s="108"/>
      <c r="D12" s="108"/>
      <c r="E12" s="98"/>
      <c r="F12" s="97" t="s">
        <v>44</v>
      </c>
      <c r="G12" s="98"/>
      <c r="H12" s="97" t="s">
        <v>45</v>
      </c>
      <c r="I12" s="98"/>
      <c r="J12" s="97" t="s">
        <v>46</v>
      </c>
      <c r="K12" s="98"/>
      <c r="L12" s="107"/>
    </row>
    <row r="13" spans="1:12" s="28" customFormat="1" ht="24.95" customHeight="1" x14ac:dyDescent="0.2">
      <c r="A13" s="12" t="s">
        <v>116</v>
      </c>
      <c r="B13" s="99" t="s">
        <v>117</v>
      </c>
      <c r="C13" s="100"/>
      <c r="D13" s="100"/>
      <c r="E13" s="101"/>
      <c r="F13" s="37">
        <v>1</v>
      </c>
      <c r="G13" s="38"/>
      <c r="H13" s="99">
        <v>0</v>
      </c>
      <c r="I13" s="101"/>
      <c r="J13" s="99">
        <v>1</v>
      </c>
      <c r="K13" s="101"/>
      <c r="L13" s="11">
        <v>1</v>
      </c>
    </row>
    <row r="14" spans="1:12" s="29" customFormat="1" ht="25.5" customHeight="1" x14ac:dyDescent="0.2">
      <c r="A14" s="12" t="s">
        <v>115</v>
      </c>
      <c r="B14" s="99" t="s">
        <v>117</v>
      </c>
      <c r="C14" s="100"/>
      <c r="D14" s="100"/>
      <c r="E14" s="101"/>
      <c r="F14" s="37"/>
      <c r="G14" s="38"/>
      <c r="H14" s="99">
        <v>1</v>
      </c>
      <c r="I14" s="101"/>
      <c r="J14" s="99">
        <v>0</v>
      </c>
      <c r="K14" s="101"/>
      <c r="L14" s="54">
        <v>0</v>
      </c>
    </row>
    <row r="15" spans="1:12" s="70" customFormat="1" ht="25.5" customHeight="1" x14ac:dyDescent="0.2">
      <c r="A15" s="68" t="s">
        <v>136</v>
      </c>
      <c r="B15" s="109" t="s">
        <v>137</v>
      </c>
      <c r="C15" s="110"/>
      <c r="D15" s="110"/>
      <c r="E15" s="111"/>
      <c r="F15" s="109">
        <v>1</v>
      </c>
      <c r="G15" s="111"/>
      <c r="H15" s="109">
        <v>1</v>
      </c>
      <c r="I15" s="111"/>
      <c r="J15" s="109">
        <v>0</v>
      </c>
      <c r="K15" s="111"/>
      <c r="L15" s="69">
        <v>0</v>
      </c>
    </row>
    <row r="16" spans="1:12" s="70" customFormat="1" ht="25.5" customHeight="1" x14ac:dyDescent="0.2">
      <c r="A16" s="68" t="s">
        <v>138</v>
      </c>
      <c r="B16" s="109" t="s">
        <v>137</v>
      </c>
      <c r="C16" s="110"/>
      <c r="D16" s="110"/>
      <c r="E16" s="111"/>
      <c r="F16" s="109"/>
      <c r="G16" s="111"/>
      <c r="H16" s="109">
        <v>1</v>
      </c>
      <c r="I16" s="111"/>
      <c r="J16" s="109">
        <v>0</v>
      </c>
      <c r="K16" s="111"/>
      <c r="L16" s="71">
        <v>0</v>
      </c>
    </row>
    <row r="17" spans="1:12" s="6" customFormat="1" ht="19.5" customHeight="1" x14ac:dyDescent="0.2">
      <c r="A17" s="72" t="s">
        <v>149</v>
      </c>
      <c r="B17" s="92" t="s">
        <v>150</v>
      </c>
      <c r="C17" s="93"/>
      <c r="D17" s="93"/>
      <c r="E17" s="94"/>
      <c r="F17" s="73">
        <v>1</v>
      </c>
      <c r="G17" s="74"/>
      <c r="H17" s="92">
        <v>0</v>
      </c>
      <c r="I17" s="94"/>
      <c r="J17" s="92">
        <v>1</v>
      </c>
      <c r="K17" s="94"/>
      <c r="L17" s="75">
        <v>1</v>
      </c>
    </row>
    <row r="18" spans="1:12" s="6" customFormat="1" ht="19.5" customHeight="1" x14ac:dyDescent="0.2">
      <c r="A18" s="72" t="s">
        <v>151</v>
      </c>
      <c r="B18" s="92" t="s">
        <v>150</v>
      </c>
      <c r="C18" s="93"/>
      <c r="D18" s="93"/>
      <c r="E18" s="94"/>
      <c r="F18" s="73"/>
      <c r="G18" s="74"/>
      <c r="H18" s="92">
        <v>1</v>
      </c>
      <c r="I18" s="94"/>
      <c r="J18" s="92">
        <v>0</v>
      </c>
      <c r="K18" s="94"/>
      <c r="L18" s="54">
        <v>0</v>
      </c>
    </row>
    <row r="19" spans="1:12" s="29" customFormat="1" x14ac:dyDescent="0.2">
      <c r="A19" s="39" t="s">
        <v>47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1"/>
    </row>
    <row r="20" spans="1:12" ht="18.95" customHeight="1" x14ac:dyDescent="0.25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</row>
    <row r="21" spans="1:12" s="1" customFormat="1" x14ac:dyDescent="0.25">
      <c r="C21" s="7"/>
      <c r="H21" s="1" t="s">
        <v>37</v>
      </c>
    </row>
    <row r="22" spans="1:12" s="1" customFormat="1" x14ac:dyDescent="0.25">
      <c r="C22" s="7"/>
    </row>
    <row r="23" spans="1:12" x14ac:dyDescent="0.25">
      <c r="J23" s="56" t="s">
        <v>38</v>
      </c>
      <c r="K23" s="55"/>
    </row>
    <row r="24" spans="1:12" x14ac:dyDescent="0.25">
      <c r="J24" t="s">
        <v>39</v>
      </c>
    </row>
    <row r="25" spans="1:12" x14ac:dyDescent="0.25">
      <c r="J25" s="95" t="s">
        <v>40</v>
      </c>
      <c r="K25" s="95"/>
    </row>
  </sheetData>
  <mergeCells count="34">
    <mergeCell ref="F15:G15"/>
    <mergeCell ref="H15:I15"/>
    <mergeCell ref="J15:K15"/>
    <mergeCell ref="B16:E16"/>
    <mergeCell ref="F16:G16"/>
    <mergeCell ref="H16:I16"/>
    <mergeCell ref="J16:K16"/>
    <mergeCell ref="A2:L2"/>
    <mergeCell ref="A3:L3"/>
    <mergeCell ref="A4:L4"/>
    <mergeCell ref="A5:L5"/>
    <mergeCell ref="A10:L10"/>
    <mergeCell ref="J25:K25"/>
    <mergeCell ref="A20:L20"/>
    <mergeCell ref="H12:I12"/>
    <mergeCell ref="J12:K12"/>
    <mergeCell ref="B13:E13"/>
    <mergeCell ref="H13:I13"/>
    <mergeCell ref="J13:K13"/>
    <mergeCell ref="B14:E14"/>
    <mergeCell ref="H14:I14"/>
    <mergeCell ref="J14:K14"/>
    <mergeCell ref="A11:A12"/>
    <mergeCell ref="B11:K11"/>
    <mergeCell ref="L11:L12"/>
    <mergeCell ref="B12:E12"/>
    <mergeCell ref="F12:G12"/>
    <mergeCell ref="B15:E15"/>
    <mergeCell ref="B17:E17"/>
    <mergeCell ref="H17:I17"/>
    <mergeCell ref="J17:K17"/>
    <mergeCell ref="B18:E18"/>
    <mergeCell ref="H18:I18"/>
    <mergeCell ref="J18:K18"/>
  </mergeCells>
  <pageMargins left="0.7" right="0.7" top="0.75" bottom="0.75" header="0.3" footer="0.3"/>
  <pageSetup paperSize="9" scale="67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zoomScale="98" zoomScaleNormal="100" zoomScaleSheetLayoutView="98" workbookViewId="0">
      <selection activeCell="C14" sqref="C14"/>
    </sheetView>
  </sheetViews>
  <sheetFormatPr defaultRowHeight="15" x14ac:dyDescent="0.25"/>
  <cols>
    <col min="1" max="1" width="27.140625" customWidth="1"/>
    <col min="2" max="11" width="9.5703125" customWidth="1"/>
    <col min="12" max="12" width="7.5703125" customWidth="1"/>
    <col min="13" max="13" width="8.7109375" hidden="1" customWidth="1"/>
  </cols>
  <sheetData>
    <row r="1" spans="1:12" s="1" customFormat="1" ht="52.5" customHeight="1" x14ac:dyDescent="0.25">
      <c r="C1" s="20"/>
      <c r="D1" s="21"/>
      <c r="H1" s="7"/>
    </row>
    <row r="2" spans="1:12" s="1" customFormat="1" ht="10.5" customHeight="1" x14ac:dyDescent="0.25">
      <c r="A2" s="77" t="s">
        <v>11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2" s="1" customFormat="1" ht="15.95" customHeight="1" x14ac:dyDescent="0.25">
      <c r="A3" s="77" t="s">
        <v>12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2" s="1" customFormat="1" ht="15.95" customHeight="1" x14ac:dyDescent="0.25">
      <c r="A4" s="77" t="s">
        <v>13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</row>
    <row r="5" spans="1:12" s="1" customFormat="1" ht="15.95" customHeight="1" x14ac:dyDescent="0.25">
      <c r="A5" s="77" t="s">
        <v>14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s="1" customFormat="1" ht="8.25" customHeight="1" x14ac:dyDescent="0.25">
      <c r="C6" s="7"/>
      <c r="H6" s="7"/>
    </row>
    <row r="7" spans="1:12" s="1" customFormat="1" ht="8.25" customHeight="1" x14ac:dyDescent="0.25">
      <c r="C7" s="7"/>
      <c r="H7" s="7"/>
    </row>
    <row r="8" spans="1:12" s="1" customFormat="1" ht="12" customHeight="1" x14ac:dyDescent="0.25">
      <c r="A8" s="22" t="s">
        <v>15</v>
      </c>
      <c r="B8" s="22"/>
      <c r="C8" s="113" t="s">
        <v>16</v>
      </c>
      <c r="D8" s="113"/>
      <c r="E8" s="113"/>
      <c r="F8" s="113"/>
      <c r="G8" s="113"/>
      <c r="I8" s="113" t="s">
        <v>17</v>
      </c>
      <c r="J8" s="113"/>
      <c r="K8" s="113"/>
      <c r="L8" s="22"/>
    </row>
    <row r="9" spans="1:12" s="1" customFormat="1" ht="12" customHeight="1" x14ac:dyDescent="0.25">
      <c r="B9" s="23"/>
      <c r="C9" s="113" t="s">
        <v>18</v>
      </c>
      <c r="D9" s="113"/>
      <c r="E9" s="113"/>
      <c r="F9" s="113"/>
      <c r="G9" s="113"/>
      <c r="I9" s="114" t="s">
        <v>19</v>
      </c>
      <c r="J9" s="114"/>
      <c r="K9" s="114"/>
      <c r="L9" s="23"/>
    </row>
    <row r="10" spans="1:12" s="1" customFormat="1" ht="12" customHeight="1" x14ac:dyDescent="0.25">
      <c r="A10" s="22" t="s">
        <v>20</v>
      </c>
      <c r="B10" s="22"/>
      <c r="C10" s="24"/>
      <c r="D10" s="23"/>
      <c r="E10" s="23"/>
      <c r="I10" s="113" t="s">
        <v>21</v>
      </c>
      <c r="J10" s="113"/>
      <c r="K10" s="113"/>
      <c r="L10" s="22"/>
    </row>
    <row r="11" spans="1:12" ht="16.5" customHeight="1" thickBot="1" x14ac:dyDescent="0.3">
      <c r="A11" s="112" t="s">
        <v>22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</row>
    <row r="12" spans="1:12" s="28" customFormat="1" ht="48" x14ac:dyDescent="0.2">
      <c r="A12" s="25" t="s">
        <v>4</v>
      </c>
      <c r="B12" s="26" t="s">
        <v>23</v>
      </c>
      <c r="C12" s="26" t="s">
        <v>24</v>
      </c>
      <c r="D12" s="26" t="s">
        <v>25</v>
      </c>
      <c r="E12" s="26" t="s">
        <v>26</v>
      </c>
      <c r="F12" s="26" t="s">
        <v>27</v>
      </c>
      <c r="G12" s="26" t="s">
        <v>28</v>
      </c>
      <c r="H12" s="26" t="s">
        <v>29</v>
      </c>
      <c r="I12" s="26" t="s">
        <v>30</v>
      </c>
      <c r="J12" s="26" t="s">
        <v>31</v>
      </c>
      <c r="K12" s="26" t="s">
        <v>32</v>
      </c>
      <c r="L12" s="27" t="s">
        <v>8</v>
      </c>
    </row>
    <row r="13" spans="1:12" s="28" customFormat="1" x14ac:dyDescent="0.2">
      <c r="A13" s="12"/>
      <c r="B13" s="8"/>
      <c r="C13" s="10"/>
      <c r="D13" s="10"/>
      <c r="E13" s="8"/>
      <c r="F13" s="8"/>
      <c r="G13" s="8"/>
      <c r="H13" s="10"/>
      <c r="I13" s="8"/>
      <c r="J13" s="8"/>
      <c r="K13" s="8"/>
      <c r="L13" s="11"/>
    </row>
    <row r="14" spans="1:12" s="28" customFormat="1" x14ac:dyDescent="0.2">
      <c r="A14" s="12"/>
      <c r="B14" s="8"/>
      <c r="C14" s="10"/>
      <c r="D14" s="10"/>
      <c r="E14" s="8"/>
      <c r="F14" s="8"/>
      <c r="G14" s="8"/>
      <c r="H14" s="10"/>
      <c r="I14" s="8"/>
      <c r="J14" s="8"/>
      <c r="K14" s="8"/>
      <c r="L14" s="11"/>
    </row>
    <row r="15" spans="1:12" s="29" customFormat="1" x14ac:dyDescent="0.2">
      <c r="A15" s="30"/>
      <c r="B15" s="8"/>
      <c r="C15" s="10"/>
      <c r="D15" s="10"/>
      <c r="E15" s="8"/>
      <c r="F15" s="8"/>
      <c r="G15" s="8"/>
      <c r="H15" s="10"/>
      <c r="I15" s="8"/>
      <c r="J15" s="8"/>
      <c r="K15" s="8"/>
      <c r="L15" s="11"/>
    </row>
    <row r="16" spans="1:12" s="29" customFormat="1" x14ac:dyDescent="0.2">
      <c r="A16" s="31"/>
      <c r="B16" s="8"/>
      <c r="C16" s="10"/>
      <c r="D16" s="10"/>
      <c r="E16" s="8"/>
      <c r="F16" s="8"/>
      <c r="G16" s="8"/>
      <c r="H16" s="10"/>
      <c r="I16" s="8"/>
      <c r="J16" s="8"/>
      <c r="K16" s="8"/>
      <c r="L16" s="11"/>
    </row>
    <row r="17" spans="1:12" s="29" customFormat="1" x14ac:dyDescent="0.2">
      <c r="A17" s="10"/>
      <c r="B17" s="8"/>
      <c r="C17" s="10"/>
      <c r="D17" s="10"/>
      <c r="E17" s="8"/>
      <c r="F17" s="8"/>
      <c r="G17" s="8"/>
      <c r="H17" s="10"/>
      <c r="I17" s="8"/>
      <c r="J17" s="8"/>
      <c r="K17" s="8"/>
      <c r="L17" s="11"/>
    </row>
    <row r="18" spans="1:12" s="29" customFormat="1" x14ac:dyDescent="0.2">
      <c r="A18" s="12"/>
      <c r="B18" s="8"/>
      <c r="C18" s="10"/>
      <c r="D18" s="10"/>
      <c r="E18" s="8"/>
      <c r="F18" s="8"/>
      <c r="G18" s="8"/>
      <c r="H18" s="10"/>
      <c r="I18" s="8"/>
      <c r="J18" s="8"/>
      <c r="K18" s="8"/>
      <c r="L18" s="11"/>
    </row>
    <row r="19" spans="1:12" s="29" customFormat="1" x14ac:dyDescent="0.2">
      <c r="A19" s="12"/>
      <c r="B19" s="8"/>
      <c r="C19" s="10"/>
      <c r="D19" s="10"/>
      <c r="E19" s="8"/>
      <c r="F19" s="8"/>
      <c r="G19" s="8"/>
      <c r="H19" s="10"/>
      <c r="I19" s="8"/>
      <c r="J19" s="8"/>
      <c r="K19" s="8"/>
      <c r="L19" s="11"/>
    </row>
    <row r="20" spans="1:12" s="29" customFormat="1" x14ac:dyDescent="0.2">
      <c r="A20" s="12"/>
      <c r="B20" s="8"/>
      <c r="C20" s="10"/>
      <c r="D20" s="10"/>
      <c r="E20" s="8"/>
      <c r="F20" s="8"/>
      <c r="G20" s="8"/>
      <c r="H20" s="10"/>
      <c r="I20" s="8"/>
      <c r="J20" s="8"/>
      <c r="K20" s="8"/>
      <c r="L20" s="11"/>
    </row>
    <row r="21" spans="1:12" s="29" customFormat="1" x14ac:dyDescent="0.2">
      <c r="A21" s="9"/>
      <c r="B21" s="8"/>
      <c r="C21" s="10"/>
      <c r="D21" s="10"/>
      <c r="E21" s="8"/>
      <c r="F21" s="8"/>
      <c r="G21" s="8"/>
      <c r="H21" s="10"/>
      <c r="I21" s="8"/>
      <c r="J21" s="8"/>
      <c r="K21" s="13"/>
      <c r="L21" s="11"/>
    </row>
    <row r="22" spans="1:12" ht="75.75" customHeight="1" x14ac:dyDescent="0.25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</row>
    <row r="23" spans="1:12" s="1" customFormat="1" x14ac:dyDescent="0.25">
      <c r="C23" s="7"/>
    </row>
    <row r="24" spans="1:12" s="1" customFormat="1" x14ac:dyDescent="0.25">
      <c r="C24" s="7"/>
    </row>
  </sheetData>
  <mergeCells count="11">
    <mergeCell ref="C9:G9"/>
    <mergeCell ref="I9:K9"/>
    <mergeCell ref="I10:K10"/>
    <mergeCell ref="A11:L11"/>
    <mergeCell ref="A22:L22"/>
    <mergeCell ref="A2:L2"/>
    <mergeCell ref="A3:L3"/>
    <mergeCell ref="A4:L4"/>
    <mergeCell ref="A5:L5"/>
    <mergeCell ref="C8:G8"/>
    <mergeCell ref="I8:K8"/>
  </mergeCells>
  <printOptions horizontalCentered="1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 (NE)</vt:lpstr>
      <vt:lpstr>CTO</vt:lpstr>
      <vt:lpstr>Other types of leave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2025-12-12T05:12:39Z</cp:lastPrinted>
  <dcterms:created xsi:type="dcterms:W3CDTF">2021-10-07T06:10:16Z</dcterms:created>
  <dcterms:modified xsi:type="dcterms:W3CDTF">2025-12-12T05:13:59Z</dcterms:modified>
</cp:coreProperties>
</file>