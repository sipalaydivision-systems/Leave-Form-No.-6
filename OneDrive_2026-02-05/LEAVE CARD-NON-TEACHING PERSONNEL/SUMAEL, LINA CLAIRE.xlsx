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479C1FE-E857-4D35-84A8-5B9A588068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9" r:id="rId2"/>
    <sheet name="OTHER LEAVES" sheetId="8" r:id="rId3"/>
  </sheets>
  <definedNames>
    <definedName name="_xlnm.Print_Area" localSheetId="0">'Leave Card (NE)'!$A$1:$J$114</definedName>
    <definedName name="_xlnm.Print_Area" localSheetId="2">'OTHER LEAVES'!$A$1:$L$24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6" l="1"/>
  <c r="I107" i="6"/>
  <c r="J107" i="6"/>
  <c r="I13" i="6" l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H13" i="6"/>
  <c r="I63" i="6" l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H14" i="6"/>
  <c r="H15" i="6" s="1"/>
  <c r="J15" i="6" l="1"/>
  <c r="H16" i="6"/>
  <c r="J14" i="6"/>
  <c r="J13" i="6"/>
  <c r="H17" i="6" l="1"/>
  <c r="J16" i="6"/>
  <c r="H18" i="6" l="1"/>
  <c r="J17" i="6"/>
  <c r="J18" i="6" l="1"/>
  <c r="H19" i="6"/>
  <c r="H20" i="6" l="1"/>
  <c r="J19" i="6"/>
  <c r="J20" i="6" l="1"/>
  <c r="H21" i="6"/>
  <c r="H22" i="6" l="1"/>
  <c r="H23" i="6" s="1"/>
  <c r="J21" i="6"/>
  <c r="H24" i="6" l="1"/>
  <c r="J23" i="6"/>
  <c r="J22" i="6"/>
  <c r="J24" i="6" l="1"/>
  <c r="H25" i="6"/>
  <c r="H26" i="6" l="1"/>
  <c r="J25" i="6"/>
  <c r="J26" i="6" l="1"/>
  <c r="H27" i="6"/>
  <c r="H28" i="6" l="1"/>
  <c r="J27" i="6"/>
  <c r="J28" i="6" l="1"/>
  <c r="H29" i="6"/>
  <c r="H30" i="6" l="1"/>
  <c r="J29" i="6"/>
  <c r="J30" i="6" l="1"/>
  <c r="H31" i="6"/>
  <c r="H32" i="6" l="1"/>
  <c r="J31" i="6"/>
  <c r="J32" i="6" l="1"/>
  <c r="H33" i="6"/>
  <c r="H34" i="6" l="1"/>
  <c r="J33" i="6"/>
  <c r="H35" i="6" l="1"/>
  <c r="J34" i="6"/>
  <c r="H36" i="6" l="1"/>
  <c r="J35" i="6"/>
  <c r="J36" i="6" l="1"/>
  <c r="H37" i="6"/>
  <c r="H38" i="6" l="1"/>
  <c r="J37" i="6"/>
  <c r="J38" i="6" l="1"/>
  <c r="H39" i="6"/>
  <c r="H40" i="6" l="1"/>
  <c r="J39" i="6"/>
  <c r="H41" i="6" l="1"/>
  <c r="J40" i="6"/>
  <c r="H42" i="6" l="1"/>
  <c r="J41" i="6"/>
  <c r="H43" i="6" l="1"/>
  <c r="J42" i="6"/>
  <c r="J43" i="6" l="1"/>
  <c r="H44" i="6"/>
  <c r="H45" i="6" l="1"/>
  <c r="J44" i="6"/>
  <c r="H46" i="6" l="1"/>
  <c r="J45" i="6"/>
  <c r="J46" i="6" l="1"/>
  <c r="H47" i="6"/>
  <c r="J47" i="6" l="1"/>
  <c r="H48" i="6"/>
  <c r="H49" i="6" l="1"/>
  <c r="J48" i="6"/>
  <c r="J49" i="6" l="1"/>
  <c r="H50" i="6"/>
  <c r="H51" i="6" l="1"/>
  <c r="J50" i="6"/>
  <c r="J51" i="6" l="1"/>
  <c r="H52" i="6"/>
  <c r="H53" i="6" l="1"/>
  <c r="J52" i="6"/>
  <c r="J53" i="6" l="1"/>
  <c r="H54" i="6"/>
  <c r="H55" i="6" l="1"/>
  <c r="J54" i="6"/>
  <c r="J55" i="6" l="1"/>
  <c r="H56" i="6"/>
  <c r="H57" i="6" l="1"/>
  <c r="J56" i="6"/>
  <c r="J57" i="6" l="1"/>
  <c r="H58" i="6"/>
  <c r="H59" i="6" l="1"/>
  <c r="J58" i="6"/>
  <c r="J59" i="6" l="1"/>
  <c r="H60" i="6"/>
  <c r="H61" i="6" l="1"/>
  <c r="J60" i="6"/>
  <c r="J61" i="6" l="1"/>
  <c r="H62" i="6"/>
  <c r="H63" i="6" l="1"/>
  <c r="J62" i="6"/>
  <c r="H64" i="6" l="1"/>
  <c r="J63" i="6"/>
  <c r="J64" i="6" l="1"/>
  <c r="H65" i="6"/>
  <c r="J65" i="6" l="1"/>
  <c r="H66" i="6"/>
  <c r="J66" i="6" l="1"/>
  <c r="H67" i="6"/>
  <c r="J67" i="6" l="1"/>
  <c r="H68" i="6"/>
  <c r="J68" i="6" l="1"/>
  <c r="H69" i="6"/>
  <c r="J69" i="6" l="1"/>
  <c r="H70" i="6"/>
  <c r="J70" i="6" l="1"/>
  <c r="H71" i="6"/>
  <c r="J71" i="6" l="1"/>
  <c r="H72" i="6"/>
  <c r="H73" i="6" s="1"/>
  <c r="J73" i="6" l="1"/>
  <c r="H74" i="6"/>
  <c r="J72" i="6"/>
  <c r="H75" i="6" l="1"/>
  <c r="J74" i="6"/>
  <c r="J75" i="6" l="1"/>
  <c r="H76" i="6"/>
  <c r="H77" i="6" l="1"/>
  <c r="J76" i="6"/>
  <c r="H78" i="6" l="1"/>
  <c r="J77" i="6"/>
  <c r="H79" i="6" l="1"/>
  <c r="J78" i="6"/>
  <c r="H80" i="6" l="1"/>
  <c r="J79" i="6"/>
  <c r="J80" i="6" l="1"/>
  <c r="H81" i="6"/>
  <c r="H82" i="6" l="1"/>
  <c r="J81" i="6"/>
  <c r="H83" i="6" l="1"/>
  <c r="J82" i="6"/>
  <c r="J83" i="6" l="1"/>
  <c r="H84" i="6"/>
  <c r="H85" i="6" l="1"/>
  <c r="J84" i="6"/>
  <c r="H86" i="6" l="1"/>
  <c r="J85" i="6"/>
  <c r="H87" i="6" l="1"/>
  <c r="J86" i="6"/>
  <c r="H88" i="6" l="1"/>
  <c r="J87" i="6"/>
  <c r="J88" i="6" l="1"/>
  <c r="H89" i="6"/>
  <c r="J89" i="6" l="1"/>
  <c r="H90" i="6"/>
  <c r="J90" i="6" l="1"/>
  <c r="H91" i="6"/>
  <c r="J91" i="6" l="1"/>
  <c r="H92" i="6"/>
  <c r="J92" i="6" l="1"/>
  <c r="H93" i="6"/>
  <c r="J93" i="6" l="1"/>
  <c r="H94" i="6"/>
  <c r="J94" i="6" l="1"/>
  <c r="H95" i="6"/>
  <c r="J95" i="6" l="1"/>
  <c r="H96" i="6"/>
  <c r="J96" i="6" l="1"/>
  <c r="H97" i="6"/>
  <c r="J97" i="6" l="1"/>
  <c r="H98" i="6"/>
  <c r="J98" i="6" l="1"/>
  <c r="H99" i="6"/>
  <c r="J99" i="6" l="1"/>
  <c r="H100" i="6"/>
  <c r="J100" i="6" l="1"/>
  <c r="H101" i="6"/>
  <c r="J101" i="6" l="1"/>
  <c r="H102" i="6"/>
  <c r="J102" i="6" l="1"/>
  <c r="H103" i="6"/>
  <c r="H104" i="6" s="1"/>
  <c r="H105" i="6" l="1"/>
  <c r="J104" i="6"/>
  <c r="J103" i="6"/>
  <c r="H106" i="6" l="1"/>
  <c r="J106" i="6" s="1"/>
  <c r="J105" i="6"/>
</calcChain>
</file>

<file path=xl/sharedStrings.xml><?xml version="1.0" encoding="utf-8"?>
<sst xmlns="http://schemas.openxmlformats.org/spreadsheetml/2006/main" count="210" uniqueCount="174">
  <si>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</si>
  <si>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</si>
  <si>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</si>
  <si>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</si>
  <si>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</si>
  <si>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</si>
  <si>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</si>
  <si>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</si>
  <si>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</si>
  <si>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</si>
  <si>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</si>
  <si>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</si>
  <si>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ADD: 01/01/2022 - 01/31/2022</t>
  </si>
  <si>
    <t>LESS: 01/25/2022</t>
  </si>
  <si>
    <t>LESS: 02/10-11/2022</t>
  </si>
  <si>
    <t>LESS: 02/08/2022</t>
  </si>
  <si>
    <t>LESS: 02/16/2022</t>
  </si>
  <si>
    <t>ADD: 02/01/2022 - 02/28/2022</t>
  </si>
  <si>
    <t>LESS: 02/17,18,21,22,23,24,28 &amp; 03/01/22</t>
  </si>
  <si>
    <t>ADD: 03/01/2022 - 06/30/2022</t>
  </si>
  <si>
    <t>LESS: 07/01/2022</t>
  </si>
  <si>
    <t>LESS: 07/04  &amp; 05 /2022</t>
  </si>
  <si>
    <t>ADD: 07/01/2022 - 07/31/2022</t>
  </si>
  <si>
    <t>LESS: 08/15, 16 &amp; 18/2022</t>
  </si>
  <si>
    <t>ADD: 08/01/2022 - 08/31/2022</t>
  </si>
  <si>
    <t>LESS: MONETIZATION 2022</t>
  </si>
  <si>
    <t>LESS: 09/16/22</t>
  </si>
  <si>
    <t>ADD: 09/01/2022 - 10/31/2022</t>
  </si>
  <si>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</si>
  <si>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</si>
  <si>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</si>
  <si>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</si>
  <si>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</si>
  <si>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</si>
  <si>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</si>
  <si>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</si>
  <si>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</si>
  <si>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</si>
  <si>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</si>
  <si>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</si>
  <si>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</si>
  <si>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</si>
  <si>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</si>
  <si>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</si>
  <si>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</si>
  <si>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</si>
  <si>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</si>
  <si>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 : SUMAEL, LINA CLAIRE</t>
  </si>
  <si>
    <t>POSITION   : NURSE II</t>
  </si>
  <si>
    <t>SCHOOL/OFFICE   : SGOD</t>
  </si>
  <si>
    <t>LESS: 11/9 &amp; 10/2022</t>
  </si>
  <si>
    <t>ADD: 11/01/2022 - 12/31/2022</t>
  </si>
  <si>
    <t>ADD:01/01/23-02/28/23</t>
  </si>
  <si>
    <t>LESS:02/08/23</t>
  </si>
  <si>
    <t>LESS: 03/20/2023</t>
  </si>
  <si>
    <t>Name: _____________________________</t>
  </si>
  <si>
    <t>DISTRICT: ___________________________</t>
  </si>
  <si>
    <t>POSITION: __________________________</t>
  </si>
  <si>
    <t>SCHOOL/OFFICE:_____________________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</si>
  <si>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</si>
  <si>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</si>
  <si>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</si>
  <si>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</si>
  <si>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</si>
  <si>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ADD: 04/17/2023</t>
  </si>
  <si>
    <t>Certified Correct:</t>
  </si>
  <si>
    <t>MA. LUISA B. CATIGAN</t>
  </si>
  <si>
    <t>Administrative Officer IV</t>
  </si>
  <si>
    <t>HRMO</t>
  </si>
  <si>
    <t>SO # 049, S.2023, CHICKSAA MEET 2023</t>
  </si>
  <si>
    <t>LESS: 05/19/2023</t>
  </si>
  <si>
    <t>SO # 048, S.2023, DISTRICT AND CITY SPORTS MEET 2023</t>
  </si>
  <si>
    <t>LESS: JUNE 05 &amp; 09/2023</t>
  </si>
  <si>
    <t>ADD:03/01/23-05/31/23</t>
  </si>
  <si>
    <t>ADD:06/01/23-07/31/23</t>
  </si>
  <si>
    <t>LESS: 08/01/2023</t>
  </si>
  <si>
    <t>SPECIAL PRIVILEGE LEAVE</t>
  </si>
  <si>
    <t>ADD: 03/27/2019 - 03/31/2019</t>
  </si>
  <si>
    <t>LESS: 08/22 &amp; 23/2019</t>
  </si>
  <si>
    <t>ADD: 01/01/2020 - 12/31/2020</t>
  </si>
  <si>
    <t>LESS: MONETIZATION 2020</t>
  </si>
  <si>
    <t>LESS: 12/21-23, 28 - 29/2020</t>
  </si>
  <si>
    <t>LESS: 03/15 &amp; 16/2021</t>
  </si>
  <si>
    <t>LESS: 06/2, 3 &amp; 4/2021</t>
  </si>
  <si>
    <t>LESS: 08/25, 26 &amp; 27/2021</t>
  </si>
  <si>
    <t>LESS: 09/1-3, 8-10, 15-17/2021</t>
  </si>
  <si>
    <t>LESS: 09/6,7,13 &amp; 14/2021</t>
  </si>
  <si>
    <t>LESS: MONETIZATION 2021</t>
  </si>
  <si>
    <t>LESS: 12/03/2021</t>
  </si>
  <si>
    <t>ADD:08/01/23-08/31/23</t>
  </si>
  <si>
    <t>LESS: MONETIZATION 2023</t>
  </si>
  <si>
    <t>LESS: 10/9-10/2023</t>
  </si>
  <si>
    <t>ADD: 09/04/2023</t>
  </si>
  <si>
    <t>SO #059, S. 2023, BSP DIVISION CAMPORE</t>
  </si>
  <si>
    <t>LESS: 01/06, 11 &amp; 12/2023</t>
  </si>
  <si>
    <t>LESS: 1/2-4/23</t>
  </si>
  <si>
    <t>LESS: 10/5,6,16/2023</t>
  </si>
  <si>
    <t>LESS: 09/01/2023</t>
  </si>
  <si>
    <t>ADD: 09/01/2023-09/30/2023</t>
  </si>
  <si>
    <t>LESS:  10/11-13/2023</t>
  </si>
  <si>
    <t>ADD: 08/30/2022</t>
  </si>
  <si>
    <t>SO #072, S. 2023, 1ST DIVISION GSP ENCAMPMENT</t>
  </si>
  <si>
    <t>LESS: 10/27/2023</t>
  </si>
  <si>
    <t>ADD: 10/01/2023-11/30/2023</t>
  </si>
  <si>
    <t>LESS: 12/19&amp;22/2023</t>
  </si>
  <si>
    <t>LESS: 01/3-4/2024</t>
  </si>
  <si>
    <t>ADD: 12/01/2023-12/31/2023</t>
  </si>
  <si>
    <t>ADD: 01/01/2024-01/31/2024</t>
  </si>
  <si>
    <t>LESS: 01/2,5/2024</t>
  </si>
  <si>
    <t>ADD: 02/01/2024-02/29/2024</t>
  </si>
  <si>
    <t>LESS: 02/20-23 &amp; 26-27/2024</t>
  </si>
  <si>
    <t>ADD: MARCH 12, 2024</t>
  </si>
  <si>
    <t>LESS: 04/30/2024</t>
  </si>
  <si>
    <t>ADD: 03/01-31/2024</t>
  </si>
  <si>
    <t>LESS: 03/08 &amp; 18, 2024</t>
  </si>
  <si>
    <t>SO #005, S. 2024, 2024 DISTRICT MEET</t>
  </si>
  <si>
    <t>SO #004, S. 2024, 2024 REFRESHER COURSE FOR DISTRICT MEET</t>
  </si>
  <si>
    <t>SO #006, S. 2024, 2024 DIVISION MEET</t>
  </si>
  <si>
    <t>ADD: MAY 20, 2024</t>
  </si>
  <si>
    <t>SO # 015,S. 2024 PALARONG PANLALAWIGAN 2024</t>
  </si>
  <si>
    <t>LESS: 06/7/2024</t>
  </si>
  <si>
    <t>LESS: 07/1-2/2024</t>
  </si>
  <si>
    <t>LESS: 07/3-4/2024</t>
  </si>
  <si>
    <t>LESS: 07/5/2024</t>
  </si>
  <si>
    <t>ADD: 06/1-30/2024</t>
  </si>
  <si>
    <t>LESS: 07/8-9/2024</t>
  </si>
  <si>
    <t>LESS: 07/10/2024</t>
  </si>
  <si>
    <t>LESS: 07/16/2024</t>
  </si>
  <si>
    <t>ADD: JULY 1-31, 2024</t>
  </si>
  <si>
    <t>LESS: 07/11-12/2024</t>
  </si>
  <si>
    <t>LESS: 11/25/2024</t>
  </si>
  <si>
    <t>LESS: 11/26-28/2024</t>
  </si>
  <si>
    <t xml:space="preserve">LESS: 11/29/2024 </t>
  </si>
  <si>
    <t>LESS: 12/02/2024</t>
  </si>
  <si>
    <t>TRAVEL ABROAD: 11/25/2024 to 12/02/2024 (6 working days)</t>
  </si>
  <si>
    <t>SO #0 015, S. 2024, 2024 PALRONG PANLALAWIGAN</t>
  </si>
  <si>
    <t>LESS: 11/04/2024</t>
  </si>
  <si>
    <t>ADD: 08/1/2024-11/30/2024</t>
  </si>
  <si>
    <t>LESS: 12/3/2024</t>
  </si>
  <si>
    <t>ADD: 12/1-31/2024</t>
  </si>
  <si>
    <t>LESS: 01/13 &amp; 17/2025</t>
  </si>
  <si>
    <t>LESS: 01/14-15/2025</t>
  </si>
  <si>
    <t>LESS: 01/16/2025</t>
  </si>
  <si>
    <t>LESS: 01/8-10/2025</t>
  </si>
  <si>
    <t>ADD:1/1-31/2025</t>
  </si>
  <si>
    <t>LESS: 02/4/2025</t>
  </si>
  <si>
    <t>ADD: 02/1/2025-03/31/2025</t>
  </si>
  <si>
    <t>LESS: 03/14/2025</t>
  </si>
  <si>
    <t>ADD: 04/1-30/2025</t>
  </si>
  <si>
    <t>LESS: 05/22/2025</t>
  </si>
  <si>
    <t>LESS: 05/23/2025</t>
  </si>
  <si>
    <t>ADD: 05/1/2025-07/31/2025</t>
  </si>
  <si>
    <t>LESS: 08/22/2025</t>
  </si>
  <si>
    <t>ADD: 04/01/2019 - 07/31/2019</t>
  </si>
  <si>
    <t>ADD: 08/1/2019-12/31/2019</t>
  </si>
  <si>
    <t>LESS: FL 2019</t>
  </si>
  <si>
    <t>LESS: 11/01/2022</t>
  </si>
  <si>
    <t>ADD: 01/01/2021 - 02/28/2021</t>
  </si>
  <si>
    <t>ADD: 03/1/2021-05/31/2021</t>
  </si>
  <si>
    <t>ADD: 06/1/2021-07/31/2021</t>
  </si>
  <si>
    <t>ADD: 08/1-31/2021</t>
  </si>
  <si>
    <t>ADD: 09/1/2021-11/30/2021</t>
  </si>
  <si>
    <t>ADD: 12/1-31/2021</t>
  </si>
  <si>
    <t>ADD: 08/1-31/2025</t>
  </si>
  <si>
    <t>LESS: MONETIZATION 2025 (25 DAYS)</t>
  </si>
  <si>
    <t>ADD: 04/01/2024-05/31/2024</t>
  </si>
  <si>
    <t>LESS: 07/5-12/2025                                               (5 WORKING DAYS ONLY)</t>
  </si>
  <si>
    <t>NEGROS ISLAND REGION</t>
  </si>
  <si>
    <t>LESS: 09/10/2025</t>
  </si>
  <si>
    <t>LESS: 09/16-17/2025</t>
  </si>
  <si>
    <t>ADD: 09/1/2025-10/31/2025</t>
  </si>
  <si>
    <t>LESS: 12/15/2025</t>
  </si>
  <si>
    <t>LESS: 12/16-19/2025</t>
  </si>
  <si>
    <t>LESS: 11/24/2025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</si>
</sst>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/dd/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9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5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7" fillId="7" borderId="3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9" fillId="0" borderId="0" xfId="0" applyFont="1"/>
    <xf numFmtId="0" fontId="0" fillId="2" borderId="8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0" fillId="0" borderId="0" xfId="0" applyFont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64" fontId="0" fillId="12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right" vertical="center" wrapText="1"/>
    </xf>
    <xf numFmtId="0" fontId="15" fillId="2" borderId="13" xfId="0" applyFont="1" applyFill="1" applyBorder="1" applyAlignment="1">
      <alignment horizontal="right" vertical="center" wrapText="1"/>
    </xf>
    <xf numFmtId="0" fontId="15" fillId="2" borderId="10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323849</xdr:colOff>
      <xdr:row>0</xdr:row>
      <xdr:rowOff>127000</xdr:rowOff>
    </xdr:from>
    <xdr:to>
      <xdr:col>4</xdr:col>
      <xdr:colOff>209679</xdr:colOff>
      <xdr:row>0</xdr:row>
      <xdr:rowOff>657225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49" y="127000"/>
          <a:ext cx="65735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8A95D8-B231-4D03-818C-60CB329E5273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SUMAEL,</a:t>
          </a:r>
          <a:r>
            <a:rPr lang="en-US" sz="1100" baseline="0"/>
            <a:t> LINA CLAIRE M.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96F486-82FF-4318-9C95-F9D23DDFBB60}"/>
            </a:ext>
          </a:extLst>
        </xdr:cNvPr>
        <xdr:cNvSpPr txBox="1"/>
      </xdr:nvSpPr>
      <xdr:spPr>
        <a:xfrm>
          <a:off x="616683" y="172475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NURSE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8991ED-A322-4BD6-876C-BCB190CCD867}"/>
            </a:ext>
          </a:extLst>
        </xdr:cNvPr>
        <xdr:cNvSpPr txBox="1"/>
      </xdr:nvSpPr>
      <xdr:spPr>
        <a:xfrm>
          <a:off x="38505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291042</xdr:colOff>
      <xdr:row>0</xdr:row>
      <xdr:rowOff>90136</xdr:rowOff>
    </xdr:from>
    <xdr:to>
      <xdr:col>5</xdr:col>
      <xdr:colOff>292805</xdr:colOff>
      <xdr:row>1</xdr:row>
      <xdr:rowOff>8820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70DDF4-FC10-443D-AE74-52B3003370F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8681" y="90136"/>
          <a:ext cx="610305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8</xdr:row>
      <xdr:rowOff>19051</xdr:rowOff>
    </xdr:from>
    <xdr:to>
      <xdr:col>0</xdr:col>
      <xdr:colOff>1720850</xdr:colOff>
      <xdr:row>9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486379-D5BF-4E39-A9E0-05A3D0527981}"/>
            </a:ext>
          </a:extLst>
        </xdr:cNvPr>
        <xdr:cNvSpPr txBox="1"/>
      </xdr:nvSpPr>
      <xdr:spPr>
        <a:xfrm>
          <a:off x="654051" y="1682751"/>
          <a:ext cx="8508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NURSE</a:t>
          </a:r>
          <a:r>
            <a:rPr lang="en-US" sz="1100" baseline="0"/>
            <a:t>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8</xdr:row>
      <xdr:rowOff>42410</xdr:rowOff>
    </xdr:from>
    <xdr:to>
      <xdr:col>5</xdr:col>
      <xdr:colOff>463323</xdr:colOff>
      <xdr:row>10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5D24C8-A2E9-4D60-A58E-B986602916FE}"/>
            </a:ext>
          </a:extLst>
        </xdr:cNvPr>
        <xdr:cNvSpPr txBox="1"/>
      </xdr:nvSpPr>
      <xdr:spPr>
        <a:xfrm>
          <a:off x="38732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SDO-SGOD</a:t>
          </a:r>
        </a:p>
      </xdr:txBody>
    </xdr:sp>
    <xdr:clientData/>
  </xdr:twoCellAnchor>
  <xdr:twoCellAnchor>
    <xdr:from>
      <xdr:col>0</xdr:col>
      <xdr:colOff>491627</xdr:colOff>
      <xdr:row>6</xdr:row>
      <xdr:rowOff>7508</xdr:rowOff>
    </xdr:from>
    <xdr:to>
      <xdr:col>1</xdr:col>
      <xdr:colOff>995241</xdr:colOff>
      <xdr:row>9</xdr:row>
      <xdr:rowOff>57938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32EB70F-B0F8-4123-AC41-0155BE273502}"/>
            </a:ext>
          </a:extLst>
        </xdr:cNvPr>
        <xdr:cNvSpPr txBox="1"/>
      </xdr:nvSpPr>
      <xdr:spPr>
        <a:xfrm>
          <a:off x="491627" y="1621466"/>
          <a:ext cx="1941183" cy="456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SUMAEL, LINA CLAIRE M.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458610</xdr:colOff>
      <xdr:row>0</xdr:row>
      <xdr:rowOff>34650</xdr:rowOff>
    </xdr:from>
    <xdr:to>
      <xdr:col>5</xdr:col>
      <xdr:colOff>488009</xdr:colOff>
      <xdr:row>1</xdr:row>
      <xdr:rowOff>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051E04-62F1-4A55-8203-1B9546C864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6295" y="34650"/>
          <a:ext cx="699677" cy="723824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74C700-4529-4470-9B91-6968DB678EE4}"/>
            </a:ext>
          </a:extLst>
        </xdr:cNvPr>
        <xdr:cNvSpPr txBox="1"/>
      </xdr:nvSpPr>
      <xdr:spPr>
        <a:xfrm>
          <a:off x="76200" y="4756150"/>
          <a:ext cx="302895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1"/>
  <sheetViews>
    <sheetView tabSelected="1" view="pageBreakPreview" topLeftCell="A90" zoomScaleNormal="100" zoomScaleSheetLayoutView="100" workbookViewId="0">
      <selection activeCell="A106" sqref="A106:XFD106"/>
    </sheetView>
  </sheetViews>
  <sheetFormatPr defaultRowHeight="15" x14ac:dyDescent="0.25"/>
  <cols>
    <col min="1" max="1" width="34.140625" customWidth="1"/>
    <col min="2" max="10" width="11.5703125" customWidth="1"/>
    <col min="11" max="11" width="26.42578125" style="6" customWidth="1"/>
  </cols>
  <sheetData>
    <row r="1" spans="1:11" s="1" customFormat="1" ht="52.5" customHeight="1" x14ac:dyDescent="0.25"/>
    <row r="2" spans="1:11" s="1" customFormat="1" ht="10.5" customHeight="1" x14ac:dyDescent="0.25">
      <c r="A2" s="52" t="s">
        <v>28</v>
      </c>
      <c r="B2" s="52"/>
      <c r="C2" s="52"/>
      <c r="D2" s="52"/>
      <c r="E2" s="52"/>
      <c r="F2" s="52"/>
      <c r="G2" s="52"/>
      <c r="H2" s="52"/>
      <c r="I2" s="52"/>
      <c r="J2" s="52"/>
    </row>
    <row r="3" spans="1:11" s="1" customFormat="1" ht="15.95" customHeight="1" x14ac:dyDescent="0.25">
      <c r="A3" s="52" t="s">
        <v>29</v>
      </c>
      <c r="B3" s="52"/>
      <c r="C3" s="52"/>
      <c r="D3" s="52"/>
      <c r="E3" s="52"/>
      <c r="F3" s="52"/>
      <c r="G3" s="52"/>
      <c r="H3" s="52"/>
      <c r="I3" s="52"/>
      <c r="J3" s="52"/>
    </row>
    <row r="4" spans="1:11" s="1" customFormat="1" ht="15.95" customHeight="1" x14ac:dyDescent="0.25">
      <c r="A4" s="52" t="s">
        <v>167</v>
      </c>
      <c r="B4" s="52"/>
      <c r="C4" s="52"/>
      <c r="D4" s="52"/>
      <c r="E4" s="52"/>
      <c r="F4" s="52"/>
      <c r="G4" s="52"/>
      <c r="H4" s="52"/>
      <c r="I4" s="52"/>
      <c r="J4" s="52"/>
    </row>
    <row r="5" spans="1:11" s="1" customFormat="1" ht="15.95" customHeight="1" x14ac:dyDescent="0.25">
      <c r="A5" s="52" t="s">
        <v>31</v>
      </c>
      <c r="B5" s="52"/>
      <c r="C5" s="52"/>
      <c r="D5" s="52"/>
      <c r="E5" s="52"/>
      <c r="F5" s="52"/>
      <c r="G5" s="52"/>
      <c r="H5" s="52"/>
      <c r="I5" s="52"/>
      <c r="J5" s="52"/>
    </row>
    <row r="6" spans="1:11" s="1" customFormat="1" ht="8.25" customHeight="1" x14ac:dyDescent="0.25"/>
    <row r="7" spans="1:11" s="1" customFormat="1" ht="12" customHeight="1" x14ac:dyDescent="0.25">
      <c r="A7" s="1" t="s">
        <v>55</v>
      </c>
      <c r="B7" s="50" t="s">
        <v>56</v>
      </c>
      <c r="C7" s="50"/>
      <c r="D7" s="50"/>
      <c r="H7" s="2" t="s">
        <v>9</v>
      </c>
      <c r="I7" s="25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57</v>
      </c>
      <c r="B9" s="50" t="s">
        <v>58</v>
      </c>
      <c r="C9" s="50"/>
      <c r="D9" s="50"/>
      <c r="H9" s="2" t="s">
        <v>10</v>
      </c>
      <c r="I9" s="4"/>
      <c r="J9" s="2"/>
    </row>
    <row r="10" spans="1:11" ht="16.5" customHeight="1" thickBot="1" x14ac:dyDescent="0.3">
      <c r="A10" s="51" t="s">
        <v>0</v>
      </c>
      <c r="B10" s="51"/>
      <c r="C10" s="51"/>
      <c r="D10" s="51"/>
      <c r="E10" s="51"/>
      <c r="F10" s="51"/>
      <c r="G10" s="51"/>
      <c r="H10" s="51"/>
      <c r="I10" s="51"/>
      <c r="J10" s="51"/>
      <c r="K10"/>
    </row>
    <row r="11" spans="1:11" ht="18.75" customHeight="1" x14ac:dyDescent="0.25">
      <c r="A11" s="56" t="s">
        <v>4</v>
      </c>
      <c r="B11" s="60" t="s">
        <v>5</v>
      </c>
      <c r="C11" s="60"/>
      <c r="D11" s="54" t="s">
        <v>6</v>
      </c>
      <c r="E11" s="54"/>
      <c r="F11" s="54"/>
      <c r="G11" s="54"/>
      <c r="H11" s="55" t="s">
        <v>7</v>
      </c>
      <c r="I11" s="55"/>
      <c r="J11" s="58" t="s">
        <v>8</v>
      </c>
      <c r="K11" s="53" t="s">
        <v>11</v>
      </c>
    </row>
    <row r="12" spans="1:11" ht="30" customHeight="1" x14ac:dyDescent="0.25">
      <c r="A12" s="57"/>
      <c r="B12" s="45" t="s">
        <v>1</v>
      </c>
      <c r="C12" s="45" t="s">
        <v>2</v>
      </c>
      <c r="D12" s="45" t="s">
        <v>1</v>
      </c>
      <c r="E12" s="45" t="s">
        <v>2</v>
      </c>
      <c r="F12" s="45" t="s">
        <v>3</v>
      </c>
      <c r="G12" s="46" t="s">
        <v>76</v>
      </c>
      <c r="H12" s="45" t="s">
        <v>1</v>
      </c>
      <c r="I12" s="45" t="s">
        <v>2</v>
      </c>
      <c r="J12" s="59"/>
      <c r="K12" s="53"/>
    </row>
    <row r="13" spans="1:11" ht="18.75" customHeight="1" x14ac:dyDescent="0.25">
      <c r="A13" s="22" t="s">
        <v>77</v>
      </c>
      <c r="B13" s="24">
        <v>0.20799999999999999</v>
      </c>
      <c r="C13" s="24">
        <v>0.20799999999999999</v>
      </c>
      <c r="D13" s="24"/>
      <c r="E13" s="24"/>
      <c r="F13" s="24"/>
      <c r="G13" s="24"/>
      <c r="H13" s="24">
        <f>B13</f>
        <v>0.20799999999999999</v>
      </c>
      <c r="I13" s="24">
        <f>C13</f>
        <v>0.20799999999999999</v>
      </c>
      <c r="J13" s="24">
        <f>SUM(H13:I13)</f>
        <v>0.41599999999999998</v>
      </c>
    </row>
    <row r="14" spans="1:11" ht="18.75" customHeight="1" x14ac:dyDescent="0.25">
      <c r="A14" s="22" t="s">
        <v>153</v>
      </c>
      <c r="B14" s="24">
        <v>5</v>
      </c>
      <c r="C14" s="24">
        <v>5</v>
      </c>
      <c r="D14" s="24"/>
      <c r="E14" s="24"/>
      <c r="F14" s="24"/>
      <c r="G14" s="24"/>
      <c r="H14" s="24">
        <f>H13-F14-D14+B14</f>
        <v>5.2080000000000002</v>
      </c>
      <c r="I14" s="24">
        <f>I13-E14+C14</f>
        <v>5.2080000000000002</v>
      </c>
      <c r="J14" s="24">
        <f>SUM(H14:I14)</f>
        <v>10.416</v>
      </c>
    </row>
    <row r="15" spans="1:11" ht="18.75" customHeight="1" x14ac:dyDescent="0.25">
      <c r="A15" s="22" t="s">
        <v>78</v>
      </c>
      <c r="B15" s="24"/>
      <c r="C15" s="24"/>
      <c r="D15" s="24"/>
      <c r="E15" s="24"/>
      <c r="F15" s="24">
        <v>2</v>
      </c>
      <c r="G15" s="24"/>
      <c r="H15" s="24">
        <f t="shared" ref="H15" si="0">H14-F15-D15+B15</f>
        <v>3.2080000000000002</v>
      </c>
      <c r="I15" s="24">
        <f t="shared" ref="I15" si="1">I14-E15+C15</f>
        <v>5.2080000000000002</v>
      </c>
      <c r="J15" s="24">
        <f t="shared" ref="J15" si="2">SUM(H15:I15)</f>
        <v>8.4160000000000004</v>
      </c>
    </row>
    <row r="16" spans="1:11" ht="18.75" customHeight="1" x14ac:dyDescent="0.25">
      <c r="A16" s="22" t="s">
        <v>154</v>
      </c>
      <c r="B16" s="24">
        <v>6.25</v>
      </c>
      <c r="C16" s="24">
        <v>6.25</v>
      </c>
      <c r="D16" s="24"/>
      <c r="E16" s="24"/>
      <c r="F16" s="24"/>
      <c r="G16" s="24"/>
      <c r="H16" s="24">
        <f t="shared" ref="H16:H22" si="3">H15-F16-D16+B16</f>
        <v>9.4580000000000002</v>
      </c>
      <c r="I16" s="24">
        <f t="shared" ref="I16:I22" si="4">I15-E16+C16</f>
        <v>11.458</v>
      </c>
      <c r="J16" s="24">
        <f t="shared" ref="J16:J22" si="5">SUM(H16:I16)</f>
        <v>20.916</v>
      </c>
    </row>
    <row r="17" spans="1:10" ht="18.75" customHeight="1" x14ac:dyDescent="0.25">
      <c r="A17" s="22" t="s">
        <v>155</v>
      </c>
      <c r="B17" s="24"/>
      <c r="C17" s="24"/>
      <c r="D17" s="24"/>
      <c r="E17" s="24"/>
      <c r="F17" s="24">
        <v>3</v>
      </c>
      <c r="G17" s="24"/>
      <c r="H17" s="24">
        <f t="shared" si="3"/>
        <v>6.4580000000000002</v>
      </c>
      <c r="I17" s="24">
        <f t="shared" si="4"/>
        <v>11.458</v>
      </c>
      <c r="J17" s="24">
        <f t="shared" si="5"/>
        <v>17.916</v>
      </c>
    </row>
    <row r="18" spans="1:10" ht="18.75" customHeight="1" x14ac:dyDescent="0.25">
      <c r="A18" s="22" t="s">
        <v>79</v>
      </c>
      <c r="B18" s="24">
        <v>15</v>
      </c>
      <c r="C18" s="24">
        <v>15</v>
      </c>
      <c r="D18" s="24"/>
      <c r="E18" s="24"/>
      <c r="F18" s="24"/>
      <c r="G18" s="24"/>
      <c r="H18" s="24">
        <f t="shared" si="3"/>
        <v>21.457999999999998</v>
      </c>
      <c r="I18" s="24">
        <f t="shared" si="4"/>
        <v>26.457999999999998</v>
      </c>
      <c r="J18" s="24">
        <f t="shared" si="5"/>
        <v>47.915999999999997</v>
      </c>
    </row>
    <row r="19" spans="1:10" ht="18.75" customHeight="1" x14ac:dyDescent="0.25">
      <c r="A19" s="22" t="s">
        <v>80</v>
      </c>
      <c r="B19" s="24"/>
      <c r="C19" s="24"/>
      <c r="D19" s="24">
        <v>10</v>
      </c>
      <c r="E19" s="24"/>
      <c r="F19" s="24"/>
      <c r="G19" s="24"/>
      <c r="H19" s="24">
        <f t="shared" si="3"/>
        <v>11.457999999999998</v>
      </c>
      <c r="I19" s="24">
        <f t="shared" si="4"/>
        <v>26.457999999999998</v>
      </c>
      <c r="J19" s="24">
        <f t="shared" si="5"/>
        <v>37.915999999999997</v>
      </c>
    </row>
    <row r="20" spans="1:10" ht="18.75" customHeight="1" x14ac:dyDescent="0.25">
      <c r="A20" s="22" t="s">
        <v>81</v>
      </c>
      <c r="B20" s="24"/>
      <c r="C20" s="24"/>
      <c r="D20" s="24"/>
      <c r="E20" s="24"/>
      <c r="F20" s="24">
        <v>5</v>
      </c>
      <c r="G20" s="24"/>
      <c r="H20" s="24">
        <f t="shared" si="3"/>
        <v>6.4579999999999984</v>
      </c>
      <c r="I20" s="24">
        <f t="shared" si="4"/>
        <v>26.457999999999998</v>
      </c>
      <c r="J20" s="24">
        <f t="shared" si="5"/>
        <v>32.915999999999997</v>
      </c>
    </row>
    <row r="21" spans="1:10" ht="18.75" customHeight="1" x14ac:dyDescent="0.25">
      <c r="A21" s="22" t="s">
        <v>157</v>
      </c>
      <c r="B21" s="24">
        <v>2.5</v>
      </c>
      <c r="C21" s="24">
        <v>2.5</v>
      </c>
      <c r="D21" s="24"/>
      <c r="E21" s="24"/>
      <c r="F21" s="24"/>
      <c r="G21" s="24"/>
      <c r="H21" s="24">
        <f>H20-F21-D21+B21</f>
        <v>8.9579999999999984</v>
      </c>
      <c r="I21" s="24">
        <f>I20-E21+C21</f>
        <v>28.957999999999998</v>
      </c>
      <c r="J21" s="24">
        <f t="shared" si="5"/>
        <v>37.915999999999997</v>
      </c>
    </row>
    <row r="22" spans="1:10" ht="18.75" customHeight="1" x14ac:dyDescent="0.25">
      <c r="A22" s="22" t="s">
        <v>82</v>
      </c>
      <c r="B22" s="24"/>
      <c r="C22" s="24"/>
      <c r="D22" s="24"/>
      <c r="E22" s="24"/>
      <c r="F22" s="24">
        <v>2</v>
      </c>
      <c r="G22" s="24"/>
      <c r="H22" s="24">
        <f t="shared" si="3"/>
        <v>6.9579999999999984</v>
      </c>
      <c r="I22" s="24">
        <f t="shared" si="4"/>
        <v>28.957999999999998</v>
      </c>
      <c r="J22" s="24">
        <f t="shared" si="5"/>
        <v>35.915999999999997</v>
      </c>
    </row>
    <row r="23" spans="1:10" ht="18.75" customHeight="1" x14ac:dyDescent="0.25">
      <c r="A23" s="22" t="s">
        <v>158</v>
      </c>
      <c r="B23" s="24">
        <v>3.75</v>
      </c>
      <c r="C23" s="24">
        <v>3.75</v>
      </c>
      <c r="D23" s="24"/>
      <c r="E23" s="24"/>
      <c r="F23" s="24"/>
      <c r="G23" s="24"/>
      <c r="H23" s="24">
        <f t="shared" ref="H23:H44" si="6">H22-F23-D23+B23</f>
        <v>10.707999999999998</v>
      </c>
      <c r="I23" s="24">
        <f t="shared" ref="I23:I44" si="7">I22-E23+C23</f>
        <v>32.707999999999998</v>
      </c>
      <c r="J23" s="24">
        <f t="shared" ref="J23:J44" si="8">SUM(H23:I23)</f>
        <v>43.415999999999997</v>
      </c>
    </row>
    <row r="24" spans="1:10" ht="18.75" customHeight="1" x14ac:dyDescent="0.25">
      <c r="A24" s="22" t="s">
        <v>83</v>
      </c>
      <c r="B24" s="24"/>
      <c r="C24" s="24"/>
      <c r="D24" s="24"/>
      <c r="E24" s="24"/>
      <c r="F24" s="24">
        <v>3</v>
      </c>
      <c r="G24" s="24"/>
      <c r="H24" s="24">
        <f t="shared" si="6"/>
        <v>7.7079999999999984</v>
      </c>
      <c r="I24" s="24">
        <f t="shared" si="7"/>
        <v>32.707999999999998</v>
      </c>
      <c r="J24" s="24">
        <f t="shared" si="8"/>
        <v>40.415999999999997</v>
      </c>
    </row>
    <row r="25" spans="1:10" ht="18.75" customHeight="1" x14ac:dyDescent="0.25">
      <c r="A25" s="22" t="s">
        <v>159</v>
      </c>
      <c r="B25" s="24">
        <v>2.5</v>
      </c>
      <c r="C25" s="24">
        <v>2.5</v>
      </c>
      <c r="D25" s="24"/>
      <c r="E25" s="24"/>
      <c r="F25" s="24"/>
      <c r="G25" s="24"/>
      <c r="H25" s="24">
        <f t="shared" si="6"/>
        <v>10.207999999999998</v>
      </c>
      <c r="I25" s="24">
        <f t="shared" si="7"/>
        <v>35.207999999999998</v>
      </c>
      <c r="J25" s="24">
        <f t="shared" si="8"/>
        <v>45.415999999999997</v>
      </c>
    </row>
    <row r="26" spans="1:10" ht="18.75" customHeight="1" x14ac:dyDescent="0.25">
      <c r="A26" s="22" t="s">
        <v>84</v>
      </c>
      <c r="B26" s="24"/>
      <c r="C26" s="24"/>
      <c r="D26" s="24"/>
      <c r="E26" s="24">
        <v>3</v>
      </c>
      <c r="F26" s="24"/>
      <c r="G26" s="24"/>
      <c r="H26" s="24">
        <f t="shared" si="6"/>
        <v>10.207999999999998</v>
      </c>
      <c r="I26" s="24">
        <f t="shared" si="7"/>
        <v>32.207999999999998</v>
      </c>
      <c r="J26" s="24">
        <f t="shared" si="8"/>
        <v>42.415999999999997</v>
      </c>
    </row>
    <row r="27" spans="1:10" ht="18.75" customHeight="1" x14ac:dyDescent="0.25">
      <c r="A27" s="22" t="s">
        <v>160</v>
      </c>
      <c r="B27" s="24">
        <v>1.25</v>
      </c>
      <c r="C27" s="24">
        <v>1.25</v>
      </c>
      <c r="D27" s="24"/>
      <c r="E27" s="24"/>
      <c r="F27" s="24"/>
      <c r="G27" s="24"/>
      <c r="H27" s="24">
        <f t="shared" si="6"/>
        <v>11.457999999999998</v>
      </c>
      <c r="I27" s="24">
        <f t="shared" si="7"/>
        <v>33.457999999999998</v>
      </c>
      <c r="J27" s="24">
        <f t="shared" si="8"/>
        <v>44.915999999999997</v>
      </c>
    </row>
    <row r="28" spans="1:10" ht="18.75" customHeight="1" x14ac:dyDescent="0.25">
      <c r="A28" s="22" t="s">
        <v>85</v>
      </c>
      <c r="B28" s="24"/>
      <c r="C28" s="24"/>
      <c r="D28" s="24"/>
      <c r="E28" s="24">
        <v>9</v>
      </c>
      <c r="F28" s="24"/>
      <c r="G28" s="24"/>
      <c r="H28" s="24">
        <f t="shared" si="6"/>
        <v>11.457999999999998</v>
      </c>
      <c r="I28" s="24">
        <f t="shared" si="7"/>
        <v>24.457999999999998</v>
      </c>
      <c r="J28" s="24">
        <f t="shared" si="8"/>
        <v>35.915999999999997</v>
      </c>
    </row>
    <row r="29" spans="1:10" ht="18.75" customHeight="1" x14ac:dyDescent="0.25">
      <c r="A29" s="22" t="s">
        <v>86</v>
      </c>
      <c r="B29" s="24"/>
      <c r="C29" s="24"/>
      <c r="D29" s="24"/>
      <c r="E29" s="24">
        <v>4</v>
      </c>
      <c r="F29" s="24"/>
      <c r="G29" s="24"/>
      <c r="H29" s="24">
        <f t="shared" si="6"/>
        <v>11.457999999999998</v>
      </c>
      <c r="I29" s="24">
        <f t="shared" si="7"/>
        <v>20.457999999999998</v>
      </c>
      <c r="J29" s="24">
        <f t="shared" si="8"/>
        <v>31.915999999999997</v>
      </c>
    </row>
    <row r="30" spans="1:10" ht="18.75" customHeight="1" x14ac:dyDescent="0.25">
      <c r="A30" s="22" t="s">
        <v>87</v>
      </c>
      <c r="B30" s="24"/>
      <c r="C30" s="24"/>
      <c r="D30" s="24">
        <v>10</v>
      </c>
      <c r="E30" s="24"/>
      <c r="F30" s="24"/>
      <c r="G30" s="24"/>
      <c r="H30" s="24">
        <f t="shared" si="6"/>
        <v>1.4579999999999984</v>
      </c>
      <c r="I30" s="24">
        <f t="shared" si="7"/>
        <v>20.457999999999998</v>
      </c>
      <c r="J30" s="24">
        <f t="shared" si="8"/>
        <v>21.915999999999997</v>
      </c>
    </row>
    <row r="31" spans="1:10" ht="18.75" customHeight="1" x14ac:dyDescent="0.25">
      <c r="A31" s="22" t="s">
        <v>161</v>
      </c>
      <c r="B31" s="24">
        <v>3.75</v>
      </c>
      <c r="C31" s="24">
        <v>3.75</v>
      </c>
      <c r="D31" s="24"/>
      <c r="E31" s="24"/>
      <c r="F31" s="24"/>
      <c r="G31" s="24"/>
      <c r="H31" s="24">
        <f t="shared" si="6"/>
        <v>5.2079999999999984</v>
      </c>
      <c r="I31" s="24">
        <f t="shared" si="7"/>
        <v>24.207999999999998</v>
      </c>
      <c r="J31" s="24">
        <f t="shared" si="8"/>
        <v>29.415999999999997</v>
      </c>
    </row>
    <row r="32" spans="1:10" ht="18.75" customHeight="1" x14ac:dyDescent="0.25">
      <c r="A32" s="22" t="s">
        <v>88</v>
      </c>
      <c r="B32" s="24"/>
      <c r="C32" s="24"/>
      <c r="D32" s="24"/>
      <c r="E32" s="24">
        <v>1</v>
      </c>
      <c r="F32" s="24"/>
      <c r="G32" s="24"/>
      <c r="H32" s="24">
        <f t="shared" si="6"/>
        <v>5.2079999999999984</v>
      </c>
      <c r="I32" s="24">
        <f t="shared" si="7"/>
        <v>23.207999999999998</v>
      </c>
      <c r="J32" s="24">
        <f t="shared" si="8"/>
        <v>28.415999999999997</v>
      </c>
    </row>
    <row r="33" spans="1:10" ht="18.75" customHeight="1" x14ac:dyDescent="0.25">
      <c r="A33" s="22" t="s">
        <v>162</v>
      </c>
      <c r="B33" s="24">
        <v>1.25</v>
      </c>
      <c r="C33" s="24">
        <v>1.25</v>
      </c>
      <c r="D33" s="24"/>
      <c r="E33" s="24"/>
      <c r="F33" s="24"/>
      <c r="G33" s="24"/>
      <c r="H33" s="24">
        <f t="shared" si="6"/>
        <v>6.4579999999999984</v>
      </c>
      <c r="I33" s="24">
        <f t="shared" si="7"/>
        <v>24.457999999999998</v>
      </c>
      <c r="J33" s="24">
        <f t="shared" si="8"/>
        <v>30.915999999999997</v>
      </c>
    </row>
    <row r="34" spans="1:10" ht="18.75" customHeight="1" x14ac:dyDescent="0.25">
      <c r="A34" s="47" t="s">
        <v>156</v>
      </c>
      <c r="B34" s="24"/>
      <c r="C34" s="24"/>
      <c r="D34" s="24"/>
      <c r="E34" s="24"/>
      <c r="F34" s="24"/>
      <c r="G34" s="24">
        <v>1</v>
      </c>
      <c r="H34" s="24">
        <f t="shared" si="6"/>
        <v>6.4579999999999984</v>
      </c>
      <c r="I34" s="24">
        <f t="shared" si="7"/>
        <v>24.457999999999998</v>
      </c>
      <c r="J34" s="24">
        <f t="shared" si="8"/>
        <v>30.915999999999997</v>
      </c>
    </row>
    <row r="35" spans="1:10" ht="18.75" customHeight="1" x14ac:dyDescent="0.25">
      <c r="A35" s="47" t="s">
        <v>13</v>
      </c>
      <c r="B35" s="24"/>
      <c r="C35" s="24"/>
      <c r="D35" s="24"/>
      <c r="E35" s="24"/>
      <c r="F35" s="24">
        <v>1</v>
      </c>
      <c r="G35" s="24"/>
      <c r="H35" s="24">
        <f t="shared" si="6"/>
        <v>5.4579999999999984</v>
      </c>
      <c r="I35" s="24">
        <f t="shared" si="7"/>
        <v>24.457999999999998</v>
      </c>
      <c r="J35" s="24">
        <f t="shared" si="8"/>
        <v>29.915999999999997</v>
      </c>
    </row>
    <row r="36" spans="1:10" ht="18.75" customHeight="1" x14ac:dyDescent="0.25">
      <c r="A36" s="48" t="s">
        <v>12</v>
      </c>
      <c r="B36" s="24">
        <v>1.25</v>
      </c>
      <c r="C36" s="24">
        <v>1.25</v>
      </c>
      <c r="D36" s="24"/>
      <c r="E36" s="24"/>
      <c r="F36" s="24"/>
      <c r="G36" s="24"/>
      <c r="H36" s="24">
        <f t="shared" si="6"/>
        <v>6.7079999999999984</v>
      </c>
      <c r="I36" s="24">
        <f t="shared" si="7"/>
        <v>25.707999999999998</v>
      </c>
      <c r="J36" s="24">
        <f t="shared" si="8"/>
        <v>32.415999999999997</v>
      </c>
    </row>
    <row r="37" spans="1:10" ht="18.75" customHeight="1" x14ac:dyDescent="0.25">
      <c r="A37" s="22" t="s">
        <v>15</v>
      </c>
      <c r="B37" s="24"/>
      <c r="C37" s="24"/>
      <c r="D37" s="24"/>
      <c r="E37" s="24">
        <v>1</v>
      </c>
      <c r="F37" s="24"/>
      <c r="G37" s="24"/>
      <c r="H37" s="24">
        <f t="shared" si="6"/>
        <v>6.7079999999999984</v>
      </c>
      <c r="I37" s="24">
        <f t="shared" si="7"/>
        <v>24.707999999999998</v>
      </c>
      <c r="J37" s="24">
        <f t="shared" si="8"/>
        <v>31.415999999999997</v>
      </c>
    </row>
    <row r="38" spans="1:10" ht="18.75" customHeight="1" x14ac:dyDescent="0.25">
      <c r="A38" s="22" t="s">
        <v>14</v>
      </c>
      <c r="B38" s="24"/>
      <c r="C38" s="24"/>
      <c r="D38" s="24"/>
      <c r="E38" s="24"/>
      <c r="F38" s="24">
        <v>2</v>
      </c>
      <c r="G38" s="24"/>
      <c r="H38" s="24">
        <f t="shared" si="6"/>
        <v>4.7079999999999984</v>
      </c>
      <c r="I38" s="24">
        <f t="shared" si="7"/>
        <v>24.707999999999998</v>
      </c>
      <c r="J38" s="24">
        <f t="shared" si="8"/>
        <v>29.415999999999997</v>
      </c>
    </row>
    <row r="39" spans="1:10" ht="18.75" customHeight="1" x14ac:dyDescent="0.25">
      <c r="A39" s="22" t="s">
        <v>16</v>
      </c>
      <c r="B39" s="24"/>
      <c r="C39" s="24"/>
      <c r="D39" s="24"/>
      <c r="E39" s="24">
        <v>1</v>
      </c>
      <c r="F39" s="24"/>
      <c r="G39" s="24"/>
      <c r="H39" s="24">
        <f t="shared" si="6"/>
        <v>4.7079999999999984</v>
      </c>
      <c r="I39" s="24">
        <f t="shared" si="7"/>
        <v>23.707999999999998</v>
      </c>
      <c r="J39" s="24">
        <f t="shared" si="8"/>
        <v>28.415999999999997</v>
      </c>
    </row>
    <row r="40" spans="1:10" ht="18.75" customHeight="1" x14ac:dyDescent="0.25">
      <c r="A40" s="22" t="s">
        <v>17</v>
      </c>
      <c r="B40" s="24">
        <v>1.25</v>
      </c>
      <c r="C40" s="24">
        <v>1.25</v>
      </c>
      <c r="D40" s="24"/>
      <c r="E40" s="24"/>
      <c r="F40" s="24"/>
      <c r="G40" s="24"/>
      <c r="H40" s="24">
        <f t="shared" si="6"/>
        <v>5.9579999999999984</v>
      </c>
      <c r="I40" s="24">
        <f t="shared" si="7"/>
        <v>24.957999999999998</v>
      </c>
      <c r="J40" s="24">
        <f t="shared" si="8"/>
        <v>30.915999999999997</v>
      </c>
    </row>
    <row r="41" spans="1:10" ht="18.75" customHeight="1" x14ac:dyDescent="0.25">
      <c r="A41" s="22" t="s">
        <v>18</v>
      </c>
      <c r="B41" s="24"/>
      <c r="C41" s="24"/>
      <c r="D41" s="24"/>
      <c r="E41" s="24">
        <v>8</v>
      </c>
      <c r="F41" s="24"/>
      <c r="G41" s="24"/>
      <c r="H41" s="24">
        <f t="shared" si="6"/>
        <v>5.9579999999999984</v>
      </c>
      <c r="I41" s="24">
        <f t="shared" si="7"/>
        <v>16.957999999999998</v>
      </c>
      <c r="J41" s="24">
        <f t="shared" si="8"/>
        <v>22.915999999999997</v>
      </c>
    </row>
    <row r="42" spans="1:10" ht="18.75" customHeight="1" x14ac:dyDescent="0.25">
      <c r="A42" s="22" t="s">
        <v>19</v>
      </c>
      <c r="B42" s="24">
        <v>5</v>
      </c>
      <c r="C42" s="24">
        <v>5</v>
      </c>
      <c r="D42" s="24"/>
      <c r="E42" s="24"/>
      <c r="F42" s="24"/>
      <c r="G42" s="24"/>
      <c r="H42" s="24">
        <f t="shared" si="6"/>
        <v>10.957999999999998</v>
      </c>
      <c r="I42" s="24">
        <f t="shared" si="7"/>
        <v>21.957999999999998</v>
      </c>
      <c r="J42" s="24">
        <f t="shared" si="8"/>
        <v>32.915999999999997</v>
      </c>
    </row>
    <row r="43" spans="1:10" ht="18.75" customHeight="1" x14ac:dyDescent="0.25">
      <c r="A43" s="22" t="s">
        <v>20</v>
      </c>
      <c r="B43" s="24"/>
      <c r="C43" s="24"/>
      <c r="D43" s="24"/>
      <c r="E43" s="24"/>
      <c r="F43" s="24">
        <v>1</v>
      </c>
      <c r="G43" s="24"/>
      <c r="H43" s="24">
        <f t="shared" si="6"/>
        <v>9.9579999999999984</v>
      </c>
      <c r="I43" s="24">
        <f t="shared" si="7"/>
        <v>21.957999999999998</v>
      </c>
      <c r="J43" s="24">
        <f t="shared" si="8"/>
        <v>31.915999999999997</v>
      </c>
    </row>
    <row r="44" spans="1:10" ht="18.75" customHeight="1" x14ac:dyDescent="0.25">
      <c r="A44" s="22" t="s">
        <v>21</v>
      </c>
      <c r="B44" s="24"/>
      <c r="C44" s="24"/>
      <c r="D44" s="24"/>
      <c r="E44" s="24">
        <v>2</v>
      </c>
      <c r="F44" s="24"/>
      <c r="G44" s="24"/>
      <c r="H44" s="24">
        <f t="shared" si="6"/>
        <v>9.9579999999999984</v>
      </c>
      <c r="I44" s="24">
        <f t="shared" si="7"/>
        <v>19.957999999999998</v>
      </c>
      <c r="J44" s="24">
        <f t="shared" si="8"/>
        <v>29.915999999999997</v>
      </c>
    </row>
    <row r="45" spans="1:10" ht="18.75" customHeight="1" x14ac:dyDescent="0.25">
      <c r="A45" s="22" t="s">
        <v>22</v>
      </c>
      <c r="B45" s="24">
        <v>1.25</v>
      </c>
      <c r="C45" s="24">
        <v>1.25</v>
      </c>
      <c r="D45" s="24"/>
      <c r="E45" s="24"/>
      <c r="F45" s="24"/>
      <c r="G45" s="24"/>
      <c r="H45" s="24">
        <f t="shared" ref="H45:H72" si="9">H44-F45-D45+B45</f>
        <v>11.207999999999998</v>
      </c>
      <c r="I45" s="24">
        <f t="shared" ref="I45:I72" si="10">I44-E45+C45</f>
        <v>21.207999999999998</v>
      </c>
      <c r="J45" s="24">
        <f t="shared" ref="J45:J72" si="11">SUM(H45:I45)</f>
        <v>32.415999999999997</v>
      </c>
    </row>
    <row r="46" spans="1:10" ht="18.75" customHeight="1" x14ac:dyDescent="0.25">
      <c r="A46" s="22" t="s">
        <v>23</v>
      </c>
      <c r="B46" s="24"/>
      <c r="C46" s="24"/>
      <c r="D46" s="24"/>
      <c r="E46" s="24">
        <v>3</v>
      </c>
      <c r="F46" s="24"/>
      <c r="G46" s="24"/>
      <c r="H46" s="24">
        <f t="shared" si="9"/>
        <v>11.207999999999998</v>
      </c>
      <c r="I46" s="24">
        <f t="shared" si="10"/>
        <v>18.207999999999998</v>
      </c>
      <c r="J46" s="24">
        <f t="shared" si="11"/>
        <v>29.415999999999997</v>
      </c>
    </row>
    <row r="47" spans="1:10" ht="18.75" customHeight="1" x14ac:dyDescent="0.25">
      <c r="A47" s="22" t="s">
        <v>24</v>
      </c>
      <c r="B47" s="24">
        <v>1.25</v>
      </c>
      <c r="C47" s="24">
        <v>1.25</v>
      </c>
      <c r="D47" s="24"/>
      <c r="E47" s="24"/>
      <c r="F47" s="24"/>
      <c r="G47" s="24"/>
      <c r="H47" s="24">
        <f t="shared" si="9"/>
        <v>12.457999999999998</v>
      </c>
      <c r="I47" s="24">
        <f t="shared" si="10"/>
        <v>19.457999999999998</v>
      </c>
      <c r="J47" s="24">
        <f t="shared" si="11"/>
        <v>31.915999999999997</v>
      </c>
    </row>
    <row r="48" spans="1:10" ht="18.75" customHeight="1" x14ac:dyDescent="0.25">
      <c r="A48" s="22" t="s">
        <v>26</v>
      </c>
      <c r="B48" s="24"/>
      <c r="C48" s="24"/>
      <c r="D48" s="24"/>
      <c r="E48" s="24"/>
      <c r="F48" s="24">
        <v>1</v>
      </c>
      <c r="G48" s="24"/>
      <c r="H48" s="24">
        <f t="shared" si="9"/>
        <v>11.457999999999998</v>
      </c>
      <c r="I48" s="24">
        <f t="shared" si="10"/>
        <v>19.457999999999998</v>
      </c>
      <c r="J48" s="24">
        <f t="shared" si="11"/>
        <v>30.915999999999997</v>
      </c>
    </row>
    <row r="49" spans="1:10" ht="18.75" customHeight="1" x14ac:dyDescent="0.25">
      <c r="A49" s="22" t="s">
        <v>25</v>
      </c>
      <c r="B49" s="24"/>
      <c r="C49" s="24"/>
      <c r="D49" s="24">
        <v>9</v>
      </c>
      <c r="E49" s="24">
        <v>14</v>
      </c>
      <c r="F49" s="24"/>
      <c r="G49" s="24"/>
      <c r="H49" s="24">
        <f t="shared" si="9"/>
        <v>2.4579999999999984</v>
      </c>
      <c r="I49" s="24">
        <f t="shared" si="10"/>
        <v>5.4579999999999984</v>
      </c>
      <c r="J49" s="24">
        <f t="shared" si="11"/>
        <v>7.9159999999999968</v>
      </c>
    </row>
    <row r="50" spans="1:10" ht="18.75" customHeight="1" x14ac:dyDescent="0.25">
      <c r="A50" s="22" t="s">
        <v>27</v>
      </c>
      <c r="B50" s="24">
        <v>2.5</v>
      </c>
      <c r="C50" s="24">
        <v>2.5</v>
      </c>
      <c r="D50" s="24"/>
      <c r="E50" s="24"/>
      <c r="F50" s="24"/>
      <c r="G50" s="24"/>
      <c r="H50" s="24">
        <f t="shared" si="9"/>
        <v>4.9579999999999984</v>
      </c>
      <c r="I50" s="24">
        <f t="shared" si="10"/>
        <v>7.9579999999999984</v>
      </c>
      <c r="J50" s="24">
        <f t="shared" si="11"/>
        <v>12.915999999999997</v>
      </c>
    </row>
    <row r="51" spans="1:10" ht="18.75" customHeight="1" x14ac:dyDescent="0.25">
      <c r="A51" s="22" t="s">
        <v>51</v>
      </c>
      <c r="B51" s="24">
        <v>2.5</v>
      </c>
      <c r="C51" s="24">
        <v>2.5</v>
      </c>
      <c r="D51" s="24"/>
      <c r="E51" s="24"/>
      <c r="F51" s="24"/>
      <c r="G51" s="24"/>
      <c r="H51" s="24">
        <f t="shared" si="9"/>
        <v>7.4579999999999984</v>
      </c>
      <c r="I51" s="24">
        <f t="shared" si="10"/>
        <v>10.457999999999998</v>
      </c>
      <c r="J51" s="24">
        <f t="shared" si="11"/>
        <v>17.915999999999997</v>
      </c>
    </row>
    <row r="52" spans="1:10" ht="18.75" customHeight="1" x14ac:dyDescent="0.25">
      <c r="A52" s="22" t="s">
        <v>52</v>
      </c>
      <c r="B52" s="24">
        <v>2.5</v>
      </c>
      <c r="C52" s="24">
        <v>2.5</v>
      </c>
      <c r="D52" s="24"/>
      <c r="E52" s="24"/>
      <c r="F52" s="24"/>
      <c r="G52" s="24"/>
      <c r="H52" s="24">
        <f t="shared" si="9"/>
        <v>9.9579999999999984</v>
      </c>
      <c r="I52" s="24">
        <f t="shared" si="10"/>
        <v>12.957999999999998</v>
      </c>
      <c r="J52" s="24">
        <f t="shared" si="11"/>
        <v>22.915999999999997</v>
      </c>
    </row>
    <row r="53" spans="1:10" ht="18.75" customHeight="1" x14ac:dyDescent="0.25">
      <c r="A53" s="22" t="s">
        <v>54</v>
      </c>
      <c r="B53" s="49"/>
      <c r="C53" s="49"/>
      <c r="D53" s="49"/>
      <c r="E53" s="49"/>
      <c r="F53" s="49">
        <v>1</v>
      </c>
      <c r="G53" s="49"/>
      <c r="H53" s="24">
        <f t="shared" si="9"/>
        <v>8.9579999999999984</v>
      </c>
      <c r="I53" s="24">
        <f t="shared" si="10"/>
        <v>12.957999999999998</v>
      </c>
      <c r="J53" s="24">
        <f t="shared" si="11"/>
        <v>21.915999999999997</v>
      </c>
    </row>
    <row r="54" spans="1:10" x14ac:dyDescent="0.25">
      <c r="A54" s="22" t="s">
        <v>73</v>
      </c>
      <c r="B54" s="24">
        <v>3.75</v>
      </c>
      <c r="C54" s="24">
        <v>3.75</v>
      </c>
      <c r="D54" s="27"/>
      <c r="E54" s="27"/>
      <c r="F54" s="27"/>
      <c r="G54" s="27"/>
      <c r="H54" s="24">
        <f t="shared" si="9"/>
        <v>12.707999999999998</v>
      </c>
      <c r="I54" s="24">
        <f t="shared" si="10"/>
        <v>16.707999999999998</v>
      </c>
      <c r="J54" s="24">
        <f t="shared" si="11"/>
        <v>29.415999999999997</v>
      </c>
    </row>
    <row r="55" spans="1:10" x14ac:dyDescent="0.25">
      <c r="A55" s="22" t="s">
        <v>74</v>
      </c>
      <c r="B55" s="27">
        <v>2.5</v>
      </c>
      <c r="C55" s="27">
        <v>2.5</v>
      </c>
      <c r="D55" s="27"/>
      <c r="E55" s="27"/>
      <c r="F55" s="27"/>
      <c r="G55" s="27"/>
      <c r="H55" s="24">
        <f t="shared" si="9"/>
        <v>15.207999999999998</v>
      </c>
      <c r="I55" s="24">
        <f t="shared" si="10"/>
        <v>19.207999999999998</v>
      </c>
      <c r="J55" s="24">
        <f t="shared" si="11"/>
        <v>34.415999999999997</v>
      </c>
    </row>
    <row r="56" spans="1:10" x14ac:dyDescent="0.25">
      <c r="A56" s="22" t="s">
        <v>75</v>
      </c>
      <c r="B56" s="27"/>
      <c r="C56" s="27"/>
      <c r="D56" s="27"/>
      <c r="E56" s="27">
        <v>1</v>
      </c>
      <c r="F56" s="27"/>
      <c r="G56" s="27"/>
      <c r="H56" s="24">
        <f t="shared" si="9"/>
        <v>15.207999999999998</v>
      </c>
      <c r="I56" s="24">
        <f t="shared" si="10"/>
        <v>18.207999999999998</v>
      </c>
      <c r="J56" s="24">
        <f t="shared" si="11"/>
        <v>33.415999999999997</v>
      </c>
    </row>
    <row r="57" spans="1:10" x14ac:dyDescent="0.25">
      <c r="A57" s="22" t="s">
        <v>89</v>
      </c>
      <c r="B57" s="27">
        <v>1.25</v>
      </c>
      <c r="C57" s="27">
        <v>1.25</v>
      </c>
      <c r="D57" s="27"/>
      <c r="E57" s="27"/>
      <c r="F57" s="27"/>
      <c r="G57" s="27"/>
      <c r="H57" s="24">
        <f t="shared" si="9"/>
        <v>16.457999999999998</v>
      </c>
      <c r="I57" s="24">
        <f t="shared" si="10"/>
        <v>19.457999999999998</v>
      </c>
      <c r="J57" s="24">
        <f t="shared" si="11"/>
        <v>35.915999999999997</v>
      </c>
    </row>
    <row r="58" spans="1:10" x14ac:dyDescent="0.25">
      <c r="A58" s="22" t="s">
        <v>90</v>
      </c>
      <c r="B58" s="27"/>
      <c r="C58" s="27"/>
      <c r="D58" s="27">
        <v>10</v>
      </c>
      <c r="E58" s="27">
        <v>14</v>
      </c>
      <c r="F58" s="27"/>
      <c r="G58" s="27"/>
      <c r="H58" s="24">
        <f t="shared" si="9"/>
        <v>6.4579999999999984</v>
      </c>
      <c r="I58" s="24">
        <f t="shared" si="10"/>
        <v>5.4579999999999984</v>
      </c>
      <c r="J58" s="24">
        <f t="shared" si="11"/>
        <v>11.915999999999997</v>
      </c>
    </row>
    <row r="59" spans="1:10" x14ac:dyDescent="0.25">
      <c r="A59" s="22" t="s">
        <v>91</v>
      </c>
      <c r="B59" s="27"/>
      <c r="C59" s="27"/>
      <c r="D59" s="27"/>
      <c r="E59" s="27"/>
      <c r="F59" s="27">
        <v>2</v>
      </c>
      <c r="G59" s="27"/>
      <c r="H59" s="24">
        <f t="shared" si="9"/>
        <v>4.4579999999999984</v>
      </c>
      <c r="I59" s="24">
        <f t="shared" si="10"/>
        <v>5.4579999999999984</v>
      </c>
      <c r="J59" s="24">
        <f t="shared" si="11"/>
        <v>9.9159999999999968</v>
      </c>
    </row>
    <row r="60" spans="1:10" x14ac:dyDescent="0.25">
      <c r="A60" s="22" t="s">
        <v>96</v>
      </c>
      <c r="B60" s="27"/>
      <c r="C60" s="27"/>
      <c r="D60" s="27"/>
      <c r="E60" s="27"/>
      <c r="F60" s="27"/>
      <c r="G60" s="27">
        <v>3</v>
      </c>
      <c r="H60" s="24">
        <f t="shared" si="9"/>
        <v>4.4579999999999984</v>
      </c>
      <c r="I60" s="24">
        <f t="shared" si="10"/>
        <v>5.4579999999999984</v>
      </c>
      <c r="J60" s="24">
        <f t="shared" si="11"/>
        <v>9.9159999999999968</v>
      </c>
    </row>
    <row r="61" spans="1:10" x14ac:dyDescent="0.25">
      <c r="A61" s="22" t="s">
        <v>97</v>
      </c>
      <c r="B61" s="27"/>
      <c r="C61" s="27"/>
      <c r="D61" s="27"/>
      <c r="E61" s="27">
        <v>1</v>
      </c>
      <c r="F61" s="27"/>
      <c r="G61" s="27"/>
      <c r="H61" s="24">
        <f t="shared" si="9"/>
        <v>4.4579999999999984</v>
      </c>
      <c r="I61" s="24">
        <f t="shared" si="10"/>
        <v>4.4579999999999984</v>
      </c>
      <c r="J61" s="24">
        <f t="shared" si="11"/>
        <v>8.9159999999999968</v>
      </c>
    </row>
    <row r="62" spans="1:10" x14ac:dyDescent="0.25">
      <c r="A62" s="22" t="s">
        <v>98</v>
      </c>
      <c r="B62" s="27">
        <v>1.25</v>
      </c>
      <c r="C62" s="27">
        <v>1.25</v>
      </c>
      <c r="D62" s="27"/>
      <c r="E62" s="27"/>
      <c r="F62" s="27"/>
      <c r="G62" s="27"/>
      <c r="H62" s="24">
        <f t="shared" si="9"/>
        <v>5.7079999999999984</v>
      </c>
      <c r="I62" s="24">
        <f t="shared" si="10"/>
        <v>5.7079999999999984</v>
      </c>
      <c r="J62" s="24">
        <f t="shared" si="11"/>
        <v>11.415999999999997</v>
      </c>
    </row>
    <row r="63" spans="1:10" x14ac:dyDescent="0.25">
      <c r="A63" s="22" t="s">
        <v>103</v>
      </c>
      <c r="B63" s="27">
        <v>2.5</v>
      </c>
      <c r="C63" s="27">
        <v>2.5</v>
      </c>
      <c r="D63" s="27"/>
      <c r="E63" s="27"/>
      <c r="F63" s="27"/>
      <c r="G63" s="27"/>
      <c r="H63" s="24">
        <f t="shared" si="9"/>
        <v>8.2079999999999984</v>
      </c>
      <c r="I63" s="24">
        <f t="shared" si="10"/>
        <v>8.2079999999999984</v>
      </c>
      <c r="J63" s="24">
        <f t="shared" si="11"/>
        <v>16.415999999999997</v>
      </c>
    </row>
    <row r="64" spans="1:10" x14ac:dyDescent="0.25">
      <c r="A64" s="22" t="s">
        <v>104</v>
      </c>
      <c r="B64" s="27"/>
      <c r="C64" s="27"/>
      <c r="D64" s="27"/>
      <c r="E64" s="27"/>
      <c r="F64" s="27">
        <v>2</v>
      </c>
      <c r="G64" s="27"/>
      <c r="H64" s="24">
        <f t="shared" si="9"/>
        <v>6.2079999999999984</v>
      </c>
      <c r="I64" s="24">
        <f t="shared" si="10"/>
        <v>8.2079999999999984</v>
      </c>
      <c r="J64" s="24">
        <f t="shared" si="11"/>
        <v>14.415999999999997</v>
      </c>
    </row>
    <row r="65" spans="1:10" x14ac:dyDescent="0.25">
      <c r="A65" s="22" t="s">
        <v>105</v>
      </c>
      <c r="B65" s="27"/>
      <c r="C65" s="27"/>
      <c r="D65" s="27">
        <v>2</v>
      </c>
      <c r="E65" s="27"/>
      <c r="F65" s="27"/>
      <c r="G65" s="27"/>
      <c r="H65" s="24">
        <f t="shared" si="9"/>
        <v>4.2079999999999984</v>
      </c>
      <c r="I65" s="24">
        <f t="shared" si="10"/>
        <v>8.2079999999999984</v>
      </c>
      <c r="J65" s="24">
        <f t="shared" si="11"/>
        <v>12.415999999999997</v>
      </c>
    </row>
    <row r="66" spans="1:10" x14ac:dyDescent="0.25">
      <c r="A66" s="22" t="s">
        <v>106</v>
      </c>
      <c r="B66" s="27">
        <v>1.25</v>
      </c>
      <c r="C66" s="27">
        <v>1.25</v>
      </c>
      <c r="D66" s="27"/>
      <c r="E66" s="27"/>
      <c r="F66" s="27"/>
      <c r="G66" s="27"/>
      <c r="H66" s="24">
        <f t="shared" si="9"/>
        <v>5.4579999999999984</v>
      </c>
      <c r="I66" s="24">
        <f t="shared" si="10"/>
        <v>9.4579999999999984</v>
      </c>
      <c r="J66" s="24">
        <f t="shared" si="11"/>
        <v>14.915999999999997</v>
      </c>
    </row>
    <row r="67" spans="1:10" x14ac:dyDescent="0.25">
      <c r="A67" s="22" t="s">
        <v>107</v>
      </c>
      <c r="B67" s="27">
        <v>1.25</v>
      </c>
      <c r="C67" s="27">
        <v>1.25</v>
      </c>
      <c r="D67" s="27"/>
      <c r="E67" s="27"/>
      <c r="F67" s="27"/>
      <c r="G67" s="27"/>
      <c r="H67" s="24">
        <f t="shared" si="9"/>
        <v>6.7079999999999984</v>
      </c>
      <c r="I67" s="24">
        <f t="shared" si="10"/>
        <v>10.707999999999998</v>
      </c>
      <c r="J67" s="24">
        <f t="shared" si="11"/>
        <v>17.415999999999997</v>
      </c>
    </row>
    <row r="68" spans="1:10" x14ac:dyDescent="0.25">
      <c r="A68" s="22" t="s">
        <v>108</v>
      </c>
      <c r="B68" s="27"/>
      <c r="C68" s="27"/>
      <c r="D68" s="27"/>
      <c r="E68" s="27"/>
      <c r="F68" s="27">
        <v>2</v>
      </c>
      <c r="G68" s="27"/>
      <c r="H68" s="24">
        <f t="shared" si="9"/>
        <v>4.7079999999999984</v>
      </c>
      <c r="I68" s="24">
        <f t="shared" si="10"/>
        <v>10.707999999999998</v>
      </c>
      <c r="J68" s="24">
        <f t="shared" si="11"/>
        <v>15.415999999999997</v>
      </c>
    </row>
    <row r="69" spans="1:10" x14ac:dyDescent="0.25">
      <c r="A69" s="22" t="s">
        <v>109</v>
      </c>
      <c r="B69" s="27">
        <v>1.25</v>
      </c>
      <c r="C69" s="27">
        <v>1.25</v>
      </c>
      <c r="D69" s="27"/>
      <c r="E69" s="27"/>
      <c r="F69" s="27"/>
      <c r="G69" s="27"/>
      <c r="H69" s="24">
        <f t="shared" si="9"/>
        <v>5.9579999999999984</v>
      </c>
      <c r="I69" s="24">
        <f t="shared" si="10"/>
        <v>11.957999999999998</v>
      </c>
      <c r="J69" s="24">
        <f t="shared" si="11"/>
        <v>17.915999999999997</v>
      </c>
    </row>
    <row r="70" spans="1:10" x14ac:dyDescent="0.25">
      <c r="A70" s="22" t="s">
        <v>113</v>
      </c>
      <c r="B70" s="27">
        <v>1.25</v>
      </c>
      <c r="C70" s="27">
        <v>1.25</v>
      </c>
      <c r="D70" s="27"/>
      <c r="E70" s="27"/>
      <c r="F70" s="27"/>
      <c r="G70" s="27"/>
      <c r="H70" s="24">
        <f t="shared" si="9"/>
        <v>7.2079999999999984</v>
      </c>
      <c r="I70" s="24">
        <f t="shared" si="10"/>
        <v>13.207999999999998</v>
      </c>
      <c r="J70" s="24">
        <f t="shared" si="11"/>
        <v>20.415999999999997</v>
      </c>
    </row>
    <row r="71" spans="1:10" x14ac:dyDescent="0.25">
      <c r="A71" s="22" t="s">
        <v>112</v>
      </c>
      <c r="B71" s="27"/>
      <c r="C71" s="27"/>
      <c r="D71" s="27"/>
      <c r="E71" s="27">
        <v>1</v>
      </c>
      <c r="F71" s="27"/>
      <c r="G71" s="27"/>
      <c r="H71" s="24">
        <f t="shared" si="9"/>
        <v>7.2079999999999984</v>
      </c>
      <c r="I71" s="24">
        <f t="shared" si="10"/>
        <v>12.207999999999998</v>
      </c>
      <c r="J71" s="24">
        <f t="shared" si="11"/>
        <v>19.415999999999997</v>
      </c>
    </row>
    <row r="72" spans="1:10" x14ac:dyDescent="0.25">
      <c r="A72" s="22" t="s">
        <v>165</v>
      </c>
      <c r="B72" s="27">
        <v>2.5</v>
      </c>
      <c r="C72" s="27">
        <v>2.5</v>
      </c>
      <c r="D72" s="27"/>
      <c r="E72" s="27"/>
      <c r="F72" s="27"/>
      <c r="G72" s="27"/>
      <c r="H72" s="24">
        <f t="shared" si="9"/>
        <v>9.7079999999999984</v>
      </c>
      <c r="I72" s="24">
        <f t="shared" si="10"/>
        <v>14.707999999999998</v>
      </c>
      <c r="J72" s="24">
        <f t="shared" si="11"/>
        <v>24.415999999999997</v>
      </c>
    </row>
    <row r="73" spans="1:10" x14ac:dyDescent="0.25">
      <c r="A73" s="22" t="s">
        <v>120</v>
      </c>
      <c r="B73" s="27"/>
      <c r="C73" s="27"/>
      <c r="D73" s="27"/>
      <c r="E73" s="27">
        <v>1</v>
      </c>
      <c r="F73" s="27"/>
      <c r="G73" s="27"/>
      <c r="H73" s="24">
        <f t="shared" ref="H73:H101" si="12">H72-F73-D73+B73</f>
        <v>9.7079999999999984</v>
      </c>
      <c r="I73" s="24">
        <f t="shared" ref="I73:I101" si="13">I72-E73+C73</f>
        <v>13.707999999999998</v>
      </c>
      <c r="J73" s="24">
        <f t="shared" ref="J73:J101" si="14">SUM(H73:I73)</f>
        <v>23.415999999999997</v>
      </c>
    </row>
    <row r="74" spans="1:10" x14ac:dyDescent="0.25">
      <c r="A74" s="22" t="s">
        <v>121</v>
      </c>
      <c r="B74" s="27"/>
      <c r="C74" s="27"/>
      <c r="D74" s="27"/>
      <c r="E74" s="27"/>
      <c r="F74" s="27">
        <v>2</v>
      </c>
      <c r="G74" s="27"/>
      <c r="H74" s="24">
        <f t="shared" si="12"/>
        <v>7.7079999999999984</v>
      </c>
      <c r="I74" s="24">
        <f t="shared" si="13"/>
        <v>13.707999999999998</v>
      </c>
      <c r="J74" s="24">
        <f t="shared" si="14"/>
        <v>21.415999999999997</v>
      </c>
    </row>
    <row r="75" spans="1:10" x14ac:dyDescent="0.25">
      <c r="A75" s="22" t="s">
        <v>122</v>
      </c>
      <c r="B75" s="27"/>
      <c r="C75" s="27"/>
      <c r="D75" s="27"/>
      <c r="E75" s="27"/>
      <c r="F75" s="27"/>
      <c r="G75" s="27">
        <v>2</v>
      </c>
      <c r="H75" s="24">
        <f t="shared" si="12"/>
        <v>7.7079999999999984</v>
      </c>
      <c r="I75" s="24">
        <f t="shared" si="13"/>
        <v>13.707999999999998</v>
      </c>
      <c r="J75" s="24">
        <f t="shared" si="14"/>
        <v>21.415999999999997</v>
      </c>
    </row>
    <row r="76" spans="1:10" x14ac:dyDescent="0.25">
      <c r="A76" s="22" t="s">
        <v>123</v>
      </c>
      <c r="B76" s="27"/>
      <c r="C76" s="27"/>
      <c r="D76" s="27"/>
      <c r="E76" s="27"/>
      <c r="F76" s="27">
        <v>1</v>
      </c>
      <c r="G76" s="27"/>
      <c r="H76" s="24">
        <f t="shared" si="12"/>
        <v>6.7079999999999984</v>
      </c>
      <c r="I76" s="24">
        <f t="shared" si="13"/>
        <v>13.707999999999998</v>
      </c>
      <c r="J76" s="24">
        <f t="shared" si="14"/>
        <v>20.415999999999997</v>
      </c>
    </row>
    <row r="77" spans="1:10" x14ac:dyDescent="0.25">
      <c r="A77" s="22" t="s">
        <v>124</v>
      </c>
      <c r="B77" s="27">
        <v>1.25</v>
      </c>
      <c r="C77" s="27">
        <v>1.25</v>
      </c>
      <c r="D77" s="27"/>
      <c r="E77" s="27"/>
      <c r="F77" s="27"/>
      <c r="G77" s="27"/>
      <c r="H77" s="24">
        <f t="shared" si="12"/>
        <v>7.9579999999999984</v>
      </c>
      <c r="I77" s="24">
        <f t="shared" si="13"/>
        <v>14.957999999999998</v>
      </c>
      <c r="J77" s="24">
        <f t="shared" si="14"/>
        <v>22.915999999999997</v>
      </c>
    </row>
    <row r="78" spans="1:10" x14ac:dyDescent="0.25">
      <c r="A78" s="22" t="s">
        <v>125</v>
      </c>
      <c r="B78" s="27"/>
      <c r="C78" s="27"/>
      <c r="D78" s="27"/>
      <c r="E78" s="27">
        <v>2</v>
      </c>
      <c r="F78" s="27"/>
      <c r="G78" s="27"/>
      <c r="H78" s="24">
        <f t="shared" si="12"/>
        <v>7.9579999999999984</v>
      </c>
      <c r="I78" s="24">
        <f t="shared" si="13"/>
        <v>12.957999999999998</v>
      </c>
      <c r="J78" s="24">
        <f t="shared" si="14"/>
        <v>20.915999999999997</v>
      </c>
    </row>
    <row r="79" spans="1:10" x14ac:dyDescent="0.25">
      <c r="A79" s="22" t="s">
        <v>126</v>
      </c>
      <c r="B79" s="27"/>
      <c r="C79" s="27"/>
      <c r="D79" s="27"/>
      <c r="E79" s="27"/>
      <c r="F79" s="27"/>
      <c r="G79" s="27">
        <v>1</v>
      </c>
      <c r="H79" s="24">
        <f t="shared" si="12"/>
        <v>7.9579999999999984</v>
      </c>
      <c r="I79" s="24">
        <f t="shared" si="13"/>
        <v>12.957999999999998</v>
      </c>
      <c r="J79" s="24">
        <f t="shared" si="14"/>
        <v>20.915999999999997</v>
      </c>
    </row>
    <row r="80" spans="1:10" x14ac:dyDescent="0.25">
      <c r="A80" s="22" t="s">
        <v>127</v>
      </c>
      <c r="B80" s="27"/>
      <c r="C80" s="27"/>
      <c r="D80" s="27"/>
      <c r="E80" s="27">
        <v>1</v>
      </c>
      <c r="F80" s="27"/>
      <c r="G80" s="27"/>
      <c r="H80" s="24">
        <f t="shared" si="12"/>
        <v>7.9579999999999984</v>
      </c>
      <c r="I80" s="24">
        <f t="shared" si="13"/>
        <v>11.957999999999998</v>
      </c>
      <c r="J80" s="24">
        <f t="shared" si="14"/>
        <v>19.915999999999997</v>
      </c>
    </row>
    <row r="81" spans="1:10" x14ac:dyDescent="0.25">
      <c r="A81" s="22" t="s">
        <v>128</v>
      </c>
      <c r="B81" s="27">
        <v>1.25</v>
      </c>
      <c r="C81" s="27">
        <v>1.25</v>
      </c>
      <c r="D81" s="27"/>
      <c r="E81" s="27"/>
      <c r="F81" s="27"/>
      <c r="G81" s="27"/>
      <c r="H81" s="24">
        <f t="shared" si="12"/>
        <v>9.2079999999999984</v>
      </c>
      <c r="I81" s="24">
        <f t="shared" si="13"/>
        <v>13.207999999999998</v>
      </c>
      <c r="J81" s="24">
        <f t="shared" si="14"/>
        <v>22.415999999999997</v>
      </c>
    </row>
    <row r="82" spans="1:10" x14ac:dyDescent="0.25">
      <c r="A82" s="22" t="s">
        <v>129</v>
      </c>
      <c r="B82" s="27"/>
      <c r="C82" s="27"/>
      <c r="D82" s="27"/>
      <c r="E82" s="27">
        <v>2</v>
      </c>
      <c r="F82" s="27"/>
      <c r="G82" s="27"/>
      <c r="H82" s="24">
        <f t="shared" si="12"/>
        <v>9.2079999999999984</v>
      </c>
      <c r="I82" s="24">
        <f t="shared" si="13"/>
        <v>11.207999999999998</v>
      </c>
      <c r="J82" s="24">
        <f t="shared" si="14"/>
        <v>20.415999999999997</v>
      </c>
    </row>
    <row r="83" spans="1:10" x14ac:dyDescent="0.25">
      <c r="A83" s="22" t="s">
        <v>137</v>
      </c>
      <c r="B83" s="27">
        <v>5</v>
      </c>
      <c r="C83" s="27">
        <v>5</v>
      </c>
      <c r="D83" s="27"/>
      <c r="E83" s="27"/>
      <c r="F83" s="27"/>
      <c r="G83" s="27"/>
      <c r="H83" s="24">
        <f t="shared" si="12"/>
        <v>14.207999999999998</v>
      </c>
      <c r="I83" s="24">
        <f t="shared" si="13"/>
        <v>16.207999999999998</v>
      </c>
      <c r="J83" s="24">
        <f t="shared" si="14"/>
        <v>30.415999999999997</v>
      </c>
    </row>
    <row r="84" spans="1:10" x14ac:dyDescent="0.25">
      <c r="A84" s="22" t="s">
        <v>138</v>
      </c>
      <c r="B84" s="27"/>
      <c r="C84" s="27"/>
      <c r="D84" s="27"/>
      <c r="E84" s="27">
        <v>1</v>
      </c>
      <c r="F84" s="27"/>
      <c r="G84" s="27"/>
      <c r="H84" s="24">
        <f t="shared" si="12"/>
        <v>14.207999999999998</v>
      </c>
      <c r="I84" s="24">
        <f t="shared" si="13"/>
        <v>15.207999999999998</v>
      </c>
      <c r="J84" s="24">
        <f t="shared" si="14"/>
        <v>29.415999999999997</v>
      </c>
    </row>
    <row r="85" spans="1:10" x14ac:dyDescent="0.25">
      <c r="A85" s="22" t="s">
        <v>139</v>
      </c>
      <c r="B85" s="27">
        <v>1.25</v>
      </c>
      <c r="C85" s="27">
        <v>1.25</v>
      </c>
      <c r="D85" s="27"/>
      <c r="E85" s="27"/>
      <c r="F85" s="27"/>
      <c r="G85" s="27"/>
      <c r="H85" s="24">
        <f t="shared" si="12"/>
        <v>15.457999999999998</v>
      </c>
      <c r="I85" s="24">
        <f t="shared" si="13"/>
        <v>16.457999999999998</v>
      </c>
      <c r="J85" s="24">
        <f t="shared" si="14"/>
        <v>31.915999999999997</v>
      </c>
    </row>
    <row r="86" spans="1:10" x14ac:dyDescent="0.25">
      <c r="A86" s="22" t="s">
        <v>140</v>
      </c>
      <c r="B86" s="27"/>
      <c r="C86" s="27"/>
      <c r="D86" s="27"/>
      <c r="E86" s="27"/>
      <c r="F86" s="27"/>
      <c r="G86" s="44">
        <v>2</v>
      </c>
      <c r="H86" s="24">
        <f t="shared" si="12"/>
        <v>15.457999999999998</v>
      </c>
      <c r="I86" s="24">
        <f t="shared" si="13"/>
        <v>16.457999999999998</v>
      </c>
      <c r="J86" s="24">
        <f t="shared" si="14"/>
        <v>31.915999999999997</v>
      </c>
    </row>
    <row r="87" spans="1:10" x14ac:dyDescent="0.25">
      <c r="A87" s="22" t="s">
        <v>141</v>
      </c>
      <c r="B87" s="27"/>
      <c r="C87" s="27"/>
      <c r="D87" s="27"/>
      <c r="E87" s="27"/>
      <c r="F87" s="43">
        <v>2</v>
      </c>
      <c r="G87" s="27"/>
      <c r="H87" s="24">
        <f t="shared" si="12"/>
        <v>13.457999999999998</v>
      </c>
      <c r="I87" s="24">
        <f t="shared" si="13"/>
        <v>16.457999999999998</v>
      </c>
      <c r="J87" s="24">
        <f t="shared" si="14"/>
        <v>29.915999999999997</v>
      </c>
    </row>
    <row r="88" spans="1:10" x14ac:dyDescent="0.25">
      <c r="A88" s="22" t="s">
        <v>142</v>
      </c>
      <c r="B88" s="27"/>
      <c r="C88" s="27"/>
      <c r="D88" s="27">
        <v>1</v>
      </c>
      <c r="E88" s="27"/>
      <c r="F88" s="27"/>
      <c r="G88" s="27"/>
      <c r="H88" s="24">
        <f t="shared" si="12"/>
        <v>12.457999999999998</v>
      </c>
      <c r="I88" s="24">
        <f t="shared" si="13"/>
        <v>16.457999999999998</v>
      </c>
      <c r="J88" s="24">
        <f t="shared" si="14"/>
        <v>28.915999999999997</v>
      </c>
    </row>
    <row r="89" spans="1:10" x14ac:dyDescent="0.25">
      <c r="A89" s="22" t="s">
        <v>143</v>
      </c>
      <c r="B89" s="27"/>
      <c r="C89" s="27"/>
      <c r="D89" s="27"/>
      <c r="E89" s="27">
        <v>3</v>
      </c>
      <c r="F89" s="27"/>
      <c r="G89" s="27"/>
      <c r="H89" s="24">
        <f t="shared" si="12"/>
        <v>12.457999999999998</v>
      </c>
      <c r="I89" s="24">
        <f t="shared" si="13"/>
        <v>13.457999999999998</v>
      </c>
      <c r="J89" s="24">
        <f t="shared" si="14"/>
        <v>25.915999999999997</v>
      </c>
    </row>
    <row r="90" spans="1:10" x14ac:dyDescent="0.25">
      <c r="A90" s="22" t="s">
        <v>144</v>
      </c>
      <c r="B90" s="27">
        <v>1.25</v>
      </c>
      <c r="C90" s="27">
        <v>1.25</v>
      </c>
      <c r="D90" s="27"/>
      <c r="E90" s="27"/>
      <c r="F90" s="27"/>
      <c r="G90" s="27"/>
      <c r="H90" s="24">
        <f t="shared" si="12"/>
        <v>13.707999999999998</v>
      </c>
      <c r="I90" s="24">
        <f t="shared" si="13"/>
        <v>14.707999999999998</v>
      </c>
      <c r="J90" s="24">
        <f t="shared" si="14"/>
        <v>28.415999999999997</v>
      </c>
    </row>
    <row r="91" spans="1:10" x14ac:dyDescent="0.25">
      <c r="A91" s="22" t="s">
        <v>145</v>
      </c>
      <c r="B91" s="27"/>
      <c r="C91" s="27"/>
      <c r="D91" s="27"/>
      <c r="E91" s="27">
        <v>1</v>
      </c>
      <c r="F91" s="27"/>
      <c r="G91" s="27"/>
      <c r="H91" s="24">
        <f t="shared" si="12"/>
        <v>13.707999999999998</v>
      </c>
      <c r="I91" s="24">
        <f t="shared" si="13"/>
        <v>13.707999999999998</v>
      </c>
      <c r="J91" s="24">
        <f t="shared" si="14"/>
        <v>27.415999999999997</v>
      </c>
    </row>
    <row r="92" spans="1:10" x14ac:dyDescent="0.25">
      <c r="A92" s="22" t="s">
        <v>146</v>
      </c>
      <c r="B92" s="27">
        <v>2.5</v>
      </c>
      <c r="C92" s="27">
        <v>2.5</v>
      </c>
      <c r="D92" s="27"/>
      <c r="E92" s="27"/>
      <c r="F92" s="27"/>
      <c r="G92" s="27"/>
      <c r="H92" s="24">
        <f t="shared" si="12"/>
        <v>16.207999999999998</v>
      </c>
      <c r="I92" s="24">
        <f t="shared" si="13"/>
        <v>16.207999999999998</v>
      </c>
      <c r="J92" s="24">
        <f t="shared" si="14"/>
        <v>32.415999999999997</v>
      </c>
    </row>
    <row r="93" spans="1:10" x14ac:dyDescent="0.25">
      <c r="A93" s="22" t="s">
        <v>147</v>
      </c>
      <c r="B93" s="27"/>
      <c r="C93" s="27"/>
      <c r="D93" s="27"/>
      <c r="E93" s="27">
        <v>1</v>
      </c>
      <c r="F93" s="27"/>
      <c r="G93" s="27"/>
      <c r="H93" s="24">
        <f t="shared" si="12"/>
        <v>16.207999999999998</v>
      </c>
      <c r="I93" s="24">
        <f t="shared" si="13"/>
        <v>15.207999999999998</v>
      </c>
      <c r="J93" s="24">
        <f t="shared" si="14"/>
        <v>31.415999999999997</v>
      </c>
    </row>
    <row r="94" spans="1:10" ht="30" x14ac:dyDescent="0.25">
      <c r="A94" s="37" t="s">
        <v>166</v>
      </c>
      <c r="B94" s="27"/>
      <c r="C94" s="27"/>
      <c r="D94" s="27">
        <v>5</v>
      </c>
      <c r="E94" s="27"/>
      <c r="F94" s="27"/>
      <c r="G94" s="27"/>
      <c r="H94" s="24">
        <f t="shared" si="12"/>
        <v>11.207999999999998</v>
      </c>
      <c r="I94" s="24">
        <f t="shared" si="13"/>
        <v>15.207999999999998</v>
      </c>
      <c r="J94" s="24">
        <f t="shared" si="14"/>
        <v>26.415999999999997</v>
      </c>
    </row>
    <row r="95" spans="1:10" x14ac:dyDescent="0.25">
      <c r="A95" s="22" t="s">
        <v>148</v>
      </c>
      <c r="B95" s="27">
        <v>1.25</v>
      </c>
      <c r="C95" s="27">
        <v>1.25</v>
      </c>
      <c r="D95" s="27"/>
      <c r="E95" s="27"/>
      <c r="F95" s="27"/>
      <c r="G95" s="27"/>
      <c r="H95" s="24">
        <f t="shared" si="12"/>
        <v>12.457999999999998</v>
      </c>
      <c r="I95" s="24">
        <f t="shared" si="13"/>
        <v>16.457999999999998</v>
      </c>
      <c r="J95" s="24">
        <f t="shared" si="14"/>
        <v>28.915999999999997</v>
      </c>
    </row>
    <row r="96" spans="1:10" x14ac:dyDescent="0.25">
      <c r="A96" s="22" t="s">
        <v>149</v>
      </c>
      <c r="B96" s="27"/>
      <c r="C96" s="27"/>
      <c r="D96" s="27"/>
      <c r="E96" s="27"/>
      <c r="F96" s="27"/>
      <c r="G96" s="44">
        <v>1</v>
      </c>
      <c r="H96" s="24">
        <f t="shared" si="12"/>
        <v>12.457999999999998</v>
      </c>
      <c r="I96" s="24">
        <f t="shared" si="13"/>
        <v>16.457999999999998</v>
      </c>
      <c r="J96" s="24">
        <f t="shared" si="14"/>
        <v>28.915999999999997</v>
      </c>
    </row>
    <row r="97" spans="1:10" x14ac:dyDescent="0.25">
      <c r="A97" s="22" t="s">
        <v>150</v>
      </c>
      <c r="B97" s="27"/>
      <c r="C97" s="27"/>
      <c r="D97" s="27"/>
      <c r="E97" s="27">
        <v>1</v>
      </c>
      <c r="F97" s="27"/>
      <c r="G97" s="27"/>
      <c r="H97" s="24">
        <f t="shared" si="12"/>
        <v>12.457999999999998</v>
      </c>
      <c r="I97" s="24">
        <f t="shared" si="13"/>
        <v>15.457999999999998</v>
      </c>
      <c r="J97" s="24">
        <f t="shared" si="14"/>
        <v>27.915999999999997</v>
      </c>
    </row>
    <row r="98" spans="1:10" x14ac:dyDescent="0.25">
      <c r="A98" s="22" t="s">
        <v>151</v>
      </c>
      <c r="B98" s="27">
        <v>3.75</v>
      </c>
      <c r="C98" s="27">
        <v>3.75</v>
      </c>
      <c r="D98" s="27"/>
      <c r="E98" s="27"/>
      <c r="F98" s="27"/>
      <c r="G98" s="27"/>
      <c r="H98" s="24">
        <f t="shared" si="12"/>
        <v>16.207999999999998</v>
      </c>
      <c r="I98" s="24">
        <f t="shared" si="13"/>
        <v>19.207999999999998</v>
      </c>
      <c r="J98" s="24">
        <f t="shared" si="14"/>
        <v>35.415999999999997</v>
      </c>
    </row>
    <row r="99" spans="1:10" x14ac:dyDescent="0.25">
      <c r="A99" s="22" t="s">
        <v>152</v>
      </c>
      <c r="B99" s="27"/>
      <c r="C99" s="27"/>
      <c r="D99" s="27"/>
      <c r="E99" s="27"/>
      <c r="F99" s="43">
        <v>1</v>
      </c>
      <c r="G99" s="27"/>
      <c r="H99" s="24">
        <f t="shared" si="12"/>
        <v>15.207999999999998</v>
      </c>
      <c r="I99" s="24">
        <f t="shared" si="13"/>
        <v>19.207999999999998</v>
      </c>
      <c r="J99" s="24">
        <f t="shared" si="14"/>
        <v>34.415999999999997</v>
      </c>
    </row>
    <row r="100" spans="1:10" x14ac:dyDescent="0.25">
      <c r="A100" s="22" t="s">
        <v>163</v>
      </c>
      <c r="B100" s="27">
        <v>1.25</v>
      </c>
      <c r="C100" s="27">
        <v>1.25</v>
      </c>
      <c r="D100" s="27"/>
      <c r="E100" s="27"/>
      <c r="F100" s="27"/>
      <c r="G100" s="27"/>
      <c r="H100" s="24">
        <f t="shared" si="12"/>
        <v>16.457999999999998</v>
      </c>
      <c r="I100" s="24">
        <f t="shared" si="13"/>
        <v>20.457999999999998</v>
      </c>
      <c r="J100" s="24">
        <f t="shared" si="14"/>
        <v>36.915999999999997</v>
      </c>
    </row>
    <row r="101" spans="1:10" x14ac:dyDescent="0.25">
      <c r="A101" s="22" t="s">
        <v>164</v>
      </c>
      <c r="B101" s="27"/>
      <c r="C101" s="27"/>
      <c r="D101" s="27">
        <v>11.458</v>
      </c>
      <c r="E101" s="27">
        <v>13.542</v>
      </c>
      <c r="F101" s="27"/>
      <c r="G101" s="27"/>
      <c r="H101" s="24">
        <f t="shared" si="12"/>
        <v>4.9999999999999982</v>
      </c>
      <c r="I101" s="24">
        <f t="shared" si="13"/>
        <v>6.9159999999999986</v>
      </c>
      <c r="J101" s="24">
        <f t="shared" si="14"/>
        <v>11.915999999999997</v>
      </c>
    </row>
    <row r="102" spans="1:10" x14ac:dyDescent="0.25">
      <c r="A102" s="22" t="s">
        <v>168</v>
      </c>
      <c r="B102" s="27"/>
      <c r="C102" s="27"/>
      <c r="D102" s="27"/>
      <c r="E102" s="27"/>
      <c r="F102" s="43">
        <v>1</v>
      </c>
      <c r="G102" s="27"/>
      <c r="H102" s="24">
        <f t="shared" ref="H102" si="15">H101-F102-D102+B102</f>
        <v>3.9999999999999982</v>
      </c>
      <c r="I102" s="24">
        <f t="shared" ref="I102" si="16">I101-E102+C102</f>
        <v>6.9159999999999986</v>
      </c>
      <c r="J102" s="24">
        <f t="shared" ref="J102" si="17">SUM(H102:I102)</f>
        <v>10.915999999999997</v>
      </c>
    </row>
    <row r="103" spans="1:10" x14ac:dyDescent="0.25">
      <c r="A103" s="22" t="s">
        <v>169</v>
      </c>
      <c r="B103" s="27"/>
      <c r="C103" s="27"/>
      <c r="D103" s="27"/>
      <c r="E103" s="27">
        <v>2</v>
      </c>
      <c r="F103" s="27"/>
      <c r="G103" s="27"/>
      <c r="H103" s="24">
        <f t="shared" ref="H103" si="18">H102-F103-D103+B103</f>
        <v>3.9999999999999982</v>
      </c>
      <c r="I103" s="24">
        <f t="shared" ref="I103" si="19">I102-E103+C103</f>
        <v>4.9159999999999986</v>
      </c>
      <c r="J103" s="24">
        <f t="shared" ref="J103" si="20">SUM(H103:I103)</f>
        <v>8.9159999999999968</v>
      </c>
    </row>
    <row r="104" spans="1:10" x14ac:dyDescent="0.25">
      <c r="A104" s="22" t="s">
        <v>170</v>
      </c>
      <c r="B104" s="27">
        <v>2.5</v>
      </c>
      <c r="C104" s="27">
        <v>2.5</v>
      </c>
      <c r="D104" s="27"/>
      <c r="E104" s="27"/>
      <c r="F104" s="27"/>
      <c r="G104" s="27"/>
      <c r="H104" s="24">
        <f t="shared" ref="H104:H105" si="21">H103-F104-D104+B104</f>
        <v>6.4999999999999982</v>
      </c>
      <c r="I104" s="24">
        <f t="shared" ref="I104:I105" si="22">I103-E104+C104</f>
        <v>7.4159999999999986</v>
      </c>
      <c r="J104" s="24">
        <f t="shared" ref="J104:J105" si="23">SUM(H104:I104)</f>
        <v>13.915999999999997</v>
      </c>
    </row>
    <row r="105" spans="1:10" x14ac:dyDescent="0.25">
      <c r="A105" s="22" t="s">
        <v>171</v>
      </c>
      <c r="B105" s="27"/>
      <c r="C105" s="27"/>
      <c r="D105" s="27"/>
      <c r="E105" s="27"/>
      <c r="F105" s="43">
        <v>1</v>
      </c>
      <c r="G105" s="27"/>
      <c r="H105" s="24">
        <f t="shared" si="21"/>
        <v>5.4999999999999982</v>
      </c>
      <c r="I105" s="24">
        <f t="shared" si="22"/>
        <v>7.4159999999999986</v>
      </c>
      <c r="J105" s="24">
        <f t="shared" si="23"/>
        <v>12.915999999999997</v>
      </c>
    </row>
    <row r="106" spans="1:10" x14ac:dyDescent="0.25">
      <c r="A106" s="22" t="s">
        <v>172</v>
      </c>
      <c r="B106" s="27"/>
      <c r="C106" s="27"/>
      <c r="D106" s="27">
        <v>4</v>
      </c>
      <c r="E106" s="27"/>
      <c r="F106" s="27"/>
      <c r="G106" s="27"/>
      <c r="H106" s="24">
        <f t="shared" ref="H106" si="24">H105-F106-D106+B106</f>
        <v>1.4999999999999982</v>
      </c>
      <c r="I106" s="24">
        <f t="shared" ref="I106" si="25">I105-E106+C106</f>
        <v>7.4159999999999986</v>
      </c>
      <c r="J106" s="24">
        <f t="shared" ref="J106" si="26">SUM(H106:I106)</f>
        <v>8.9159999999999968</v>
      </c>
    </row>
    <row r="107" spans="1:10" x14ac:dyDescent="0.25">
      <c r="A107" s="22" t="s">
        <v>173</v>
      </c>
      <c r="B107" s="27"/>
      <c r="C107" s="27"/>
      <c r="D107" s="27"/>
      <c r="E107" s="27">
        <v>1</v>
      </c>
      <c r="F107" s="27"/>
      <c r="G107" s="27"/>
      <c r="H107" s="24">
        <f t="shared" ref="H107" si="27">H106-F107-D107+B107</f>
        <v>1.4999999999999982</v>
      </c>
      <c r="I107" s="24">
        <f t="shared" ref="I107" si="28">I106-E107+C107</f>
        <v>6.4159999999999986</v>
      </c>
      <c r="J107" s="24">
        <f t="shared" ref="J107" si="29">SUM(H107:I107)</f>
        <v>7.9159999999999968</v>
      </c>
    </row>
    <row r="108" spans="1:10" x14ac:dyDescent="0.25">
      <c r="A108" s="22"/>
      <c r="B108" s="27"/>
      <c r="C108" s="27"/>
      <c r="D108" s="27"/>
      <c r="E108" s="27"/>
      <c r="F108" s="27"/>
      <c r="G108" s="27"/>
      <c r="H108" s="24"/>
      <c r="I108" s="24"/>
      <c r="J108" s="24"/>
    </row>
    <row r="109" spans="1:10" x14ac:dyDescent="0.25">
      <c r="A109" s="26"/>
      <c r="B109" s="28"/>
      <c r="C109" s="28"/>
      <c r="D109" s="28"/>
      <c r="E109" s="28"/>
      <c r="F109" s="28"/>
      <c r="G109" s="28"/>
      <c r="H109" s="31"/>
      <c r="I109" s="31"/>
      <c r="J109" s="28"/>
    </row>
    <row r="110" spans="1:10" s="29" customFormat="1" ht="15" customHeight="1" x14ac:dyDescent="0.25">
      <c r="F110" s="29" t="s">
        <v>65</v>
      </c>
      <c r="H110" s="28"/>
      <c r="I110" s="31"/>
      <c r="J110" s="31"/>
    </row>
    <row r="111" spans="1:10" s="29" customFormat="1" ht="15" customHeight="1" x14ac:dyDescent="0.25"/>
    <row r="112" spans="1:10" s="29" customFormat="1" ht="15" customHeight="1" x14ac:dyDescent="0.25">
      <c r="G112" s="39" t="s">
        <v>66</v>
      </c>
    </row>
    <row r="113" spans="1:11" s="29" customFormat="1" ht="15" customHeight="1" x14ac:dyDescent="0.25">
      <c r="G113" s="30" t="s">
        <v>67</v>
      </c>
    </row>
    <row r="114" spans="1:11" ht="15" customHeight="1" x14ac:dyDescent="0.25">
      <c r="B114" s="1"/>
      <c r="C114" s="1"/>
      <c r="D114" s="1"/>
      <c r="E114" s="1"/>
      <c r="F114" s="1"/>
      <c r="G114" s="30" t="s">
        <v>68</v>
      </c>
      <c r="H114" s="1"/>
      <c r="I114" s="1"/>
      <c r="J114" s="1"/>
      <c r="K114" s="1"/>
    </row>
    <row r="115" spans="1:11" x14ac:dyDescent="0.25">
      <c r="A115" s="26"/>
      <c r="B115" s="28"/>
      <c r="C115" s="28"/>
      <c r="D115" s="28"/>
      <c r="E115" s="28"/>
      <c r="F115" s="28"/>
      <c r="G115" s="28"/>
      <c r="H115" s="28"/>
      <c r="I115" s="28"/>
      <c r="J115" s="28"/>
    </row>
    <row r="116" spans="1:11" x14ac:dyDescent="0.25">
      <c r="A116" s="26"/>
      <c r="B116" s="28"/>
      <c r="C116" s="28"/>
      <c r="D116" s="28"/>
      <c r="E116" s="28"/>
      <c r="F116" s="28"/>
      <c r="G116" s="28"/>
      <c r="H116" s="28"/>
      <c r="I116" s="28"/>
      <c r="J116" s="28"/>
    </row>
    <row r="117" spans="1:11" x14ac:dyDescent="0.25">
      <c r="A117" s="26"/>
      <c r="B117" s="28"/>
      <c r="C117" s="28"/>
      <c r="D117" s="28"/>
      <c r="E117" s="28"/>
      <c r="F117" s="28"/>
      <c r="G117" s="28"/>
      <c r="H117" s="28"/>
      <c r="I117" s="28"/>
      <c r="J117" s="28"/>
    </row>
    <row r="118" spans="1:11" x14ac:dyDescent="0.25">
      <c r="A118" s="26"/>
      <c r="B118" s="28"/>
      <c r="C118" s="28"/>
      <c r="D118" s="28"/>
      <c r="E118" s="28"/>
      <c r="F118" s="28"/>
      <c r="G118" s="28"/>
      <c r="H118" s="28"/>
      <c r="I118" s="28"/>
      <c r="J118" s="28"/>
    </row>
    <row r="119" spans="1:11" x14ac:dyDescent="0.25">
      <c r="A119" s="26"/>
      <c r="B119" s="28"/>
      <c r="C119" s="28"/>
      <c r="D119" s="28"/>
      <c r="E119" s="28"/>
      <c r="F119" s="28"/>
      <c r="G119" s="28"/>
      <c r="H119" s="28"/>
      <c r="I119" s="28"/>
      <c r="J119" s="28"/>
    </row>
    <row r="120" spans="1:11" x14ac:dyDescent="0.25">
      <c r="A120" s="26"/>
      <c r="B120" s="28"/>
      <c r="C120" s="28"/>
      <c r="D120" s="28"/>
      <c r="E120" s="28"/>
      <c r="F120" s="28"/>
      <c r="G120" s="28"/>
      <c r="H120" s="28"/>
      <c r="I120" s="28"/>
      <c r="J120" s="28"/>
    </row>
    <row r="121" spans="1:11" x14ac:dyDescent="0.25">
      <c r="A121" s="26"/>
      <c r="B121" s="28"/>
      <c r="C121" s="28"/>
      <c r="D121" s="28"/>
      <c r="E121" s="28"/>
      <c r="F121" s="28"/>
      <c r="G121" s="28"/>
      <c r="H121" s="28"/>
      <c r="I121" s="28"/>
      <c r="J121" s="28"/>
    </row>
    <row r="122" spans="1:11" x14ac:dyDescent="0.25">
      <c r="A122" s="26"/>
      <c r="B122" s="28"/>
      <c r="C122" s="28"/>
      <c r="D122" s="28"/>
      <c r="E122" s="28"/>
      <c r="F122" s="28"/>
      <c r="G122" s="28"/>
      <c r="H122" s="28"/>
      <c r="I122" s="28"/>
      <c r="J122" s="28"/>
    </row>
    <row r="123" spans="1:11" x14ac:dyDescent="0.25">
      <c r="A123" s="26"/>
      <c r="B123" s="28"/>
      <c r="C123" s="28"/>
      <c r="D123" s="28"/>
      <c r="E123" s="28"/>
      <c r="F123" s="28"/>
      <c r="G123" s="28"/>
      <c r="H123" s="28"/>
      <c r="I123" s="28"/>
      <c r="J123" s="28"/>
    </row>
    <row r="124" spans="1:11" x14ac:dyDescent="0.25">
      <c r="A124" s="26"/>
      <c r="B124" s="28"/>
      <c r="C124" s="28"/>
      <c r="D124" s="28"/>
      <c r="E124" s="28"/>
      <c r="F124" s="28"/>
      <c r="G124" s="28"/>
      <c r="H124" s="28"/>
      <c r="I124" s="28"/>
      <c r="J124" s="28"/>
    </row>
    <row r="125" spans="1:11" x14ac:dyDescent="0.25">
      <c r="A125" s="26"/>
      <c r="B125" s="28"/>
      <c r="C125" s="28"/>
      <c r="D125" s="28"/>
      <c r="E125" s="28"/>
      <c r="F125" s="28"/>
      <c r="G125" s="28"/>
      <c r="H125" s="28"/>
      <c r="I125" s="28"/>
      <c r="J125" s="28"/>
    </row>
    <row r="126" spans="1:11" x14ac:dyDescent="0.25">
      <c r="A126" s="26"/>
      <c r="B126" s="28"/>
      <c r="C126" s="28"/>
      <c r="D126" s="28"/>
      <c r="E126" s="28"/>
      <c r="F126" s="28"/>
      <c r="G126" s="28"/>
      <c r="H126" s="28"/>
      <c r="I126" s="28"/>
      <c r="J126" s="28"/>
    </row>
    <row r="127" spans="1:11" x14ac:dyDescent="0.25">
      <c r="A127" s="26"/>
      <c r="B127" s="28"/>
      <c r="C127" s="28"/>
      <c r="D127" s="28"/>
      <c r="E127" s="28"/>
      <c r="F127" s="28"/>
      <c r="G127" s="28"/>
      <c r="H127" s="28"/>
      <c r="I127" s="28"/>
      <c r="J127" s="28"/>
    </row>
    <row r="128" spans="1:11" x14ac:dyDescent="0.25">
      <c r="A128" s="26"/>
      <c r="B128" s="28"/>
      <c r="C128" s="28"/>
      <c r="D128" s="28"/>
      <c r="E128" s="28"/>
      <c r="F128" s="28"/>
      <c r="G128" s="28"/>
      <c r="H128" s="28"/>
      <c r="I128" s="28"/>
      <c r="J128" s="28"/>
    </row>
    <row r="129" spans="1:10" x14ac:dyDescent="0.25">
      <c r="A129" s="26"/>
      <c r="B129" s="28"/>
      <c r="C129" s="28"/>
      <c r="D129" s="28"/>
      <c r="E129" s="28"/>
      <c r="F129" s="28"/>
      <c r="G129" s="28"/>
      <c r="H129" s="28"/>
      <c r="I129" s="28"/>
      <c r="J129" s="28"/>
    </row>
    <row r="130" spans="1:10" x14ac:dyDescent="0.25">
      <c r="A130" s="26"/>
      <c r="B130" s="28"/>
      <c r="C130" s="28"/>
      <c r="D130" s="28"/>
      <c r="E130" s="28"/>
      <c r="F130" s="28"/>
      <c r="G130" s="28"/>
      <c r="H130" s="28"/>
      <c r="I130" s="28"/>
      <c r="J130" s="28"/>
    </row>
    <row r="131" spans="1:10" x14ac:dyDescent="0.25">
      <c r="A131" s="26"/>
      <c r="B131" s="28"/>
      <c r="C131" s="28"/>
      <c r="D131" s="28"/>
      <c r="E131" s="28"/>
      <c r="F131" s="28"/>
      <c r="G131" s="28"/>
      <c r="H131" s="28"/>
      <c r="I131" s="28"/>
      <c r="J131" s="28"/>
    </row>
    <row r="132" spans="1:10" x14ac:dyDescent="0.25">
      <c r="A132" s="26"/>
      <c r="B132" s="28"/>
      <c r="C132" s="28"/>
      <c r="D132" s="28"/>
      <c r="E132" s="28"/>
      <c r="F132" s="28"/>
      <c r="G132" s="28"/>
      <c r="H132" s="28"/>
      <c r="I132" s="28"/>
      <c r="J132" s="28"/>
    </row>
    <row r="133" spans="1:10" x14ac:dyDescent="0.25">
      <c r="A133" s="26"/>
      <c r="B133" s="28"/>
      <c r="C133" s="28"/>
      <c r="D133" s="28"/>
      <c r="E133" s="28"/>
      <c r="F133" s="28"/>
      <c r="G133" s="28"/>
      <c r="H133" s="28"/>
      <c r="I133" s="28"/>
      <c r="J133" s="28"/>
    </row>
    <row r="134" spans="1:10" x14ac:dyDescent="0.25">
      <c r="A134" s="26"/>
      <c r="B134" s="28"/>
      <c r="C134" s="28"/>
      <c r="D134" s="28"/>
      <c r="E134" s="28"/>
      <c r="F134" s="28"/>
      <c r="G134" s="28"/>
      <c r="H134" s="28"/>
      <c r="I134" s="28"/>
      <c r="J134" s="28"/>
    </row>
    <row r="135" spans="1:10" x14ac:dyDescent="0.25">
      <c r="A135" s="26"/>
      <c r="B135" s="28"/>
      <c r="C135" s="28"/>
      <c r="D135" s="28"/>
      <c r="E135" s="28"/>
      <c r="F135" s="28"/>
      <c r="G135" s="28"/>
      <c r="H135" s="28"/>
      <c r="I135" s="28"/>
      <c r="J135" s="28"/>
    </row>
    <row r="136" spans="1:10" x14ac:dyDescent="0.25">
      <c r="A136" s="26"/>
      <c r="B136" s="28"/>
      <c r="C136" s="28"/>
      <c r="D136" s="28"/>
      <c r="E136" s="28"/>
      <c r="F136" s="28"/>
      <c r="G136" s="28"/>
      <c r="H136" s="28"/>
      <c r="I136" s="28"/>
      <c r="J136" s="28"/>
    </row>
    <row r="137" spans="1:10" x14ac:dyDescent="0.25">
      <c r="A137" s="26"/>
      <c r="B137" s="28"/>
      <c r="C137" s="28"/>
      <c r="D137" s="28"/>
      <c r="E137" s="28"/>
      <c r="F137" s="28"/>
      <c r="G137" s="28"/>
      <c r="H137" s="28"/>
      <c r="I137" s="28"/>
      <c r="J137" s="28"/>
    </row>
    <row r="138" spans="1:10" x14ac:dyDescent="0.25">
      <c r="A138" s="26"/>
      <c r="B138" s="28"/>
      <c r="C138" s="28"/>
      <c r="D138" s="28"/>
      <c r="E138" s="28"/>
      <c r="F138" s="28"/>
      <c r="G138" s="28"/>
      <c r="H138" s="28"/>
      <c r="I138" s="28"/>
      <c r="J138" s="28"/>
    </row>
    <row r="139" spans="1:10" x14ac:dyDescent="0.25">
      <c r="A139" s="26"/>
      <c r="B139" s="28"/>
      <c r="C139" s="28"/>
      <c r="D139" s="28"/>
      <c r="E139" s="28"/>
      <c r="F139" s="28"/>
      <c r="G139" s="28"/>
      <c r="H139" s="28"/>
      <c r="I139" s="28"/>
      <c r="J139" s="28"/>
    </row>
    <row r="140" spans="1:10" x14ac:dyDescent="0.25">
      <c r="A140" s="26"/>
      <c r="B140" s="28"/>
      <c r="C140" s="28"/>
      <c r="D140" s="28"/>
      <c r="E140" s="28"/>
      <c r="F140" s="28"/>
      <c r="G140" s="28"/>
      <c r="H140" s="28"/>
      <c r="I140" s="28"/>
      <c r="J140" s="28"/>
    </row>
    <row r="141" spans="1:10" x14ac:dyDescent="0.25">
      <c r="A141" s="26"/>
      <c r="B141" s="28"/>
      <c r="C141" s="28"/>
      <c r="D141" s="28"/>
      <c r="E141" s="28"/>
      <c r="F141" s="28"/>
      <c r="G141" s="28"/>
      <c r="H141" s="28"/>
      <c r="I141" s="28"/>
      <c r="J141" s="28"/>
    </row>
    <row r="142" spans="1:10" x14ac:dyDescent="0.25">
      <c r="A142" s="26"/>
      <c r="B142" s="28"/>
      <c r="C142" s="28"/>
      <c r="D142" s="28"/>
      <c r="E142" s="28"/>
      <c r="F142" s="28"/>
      <c r="G142" s="28"/>
      <c r="H142" s="28"/>
      <c r="I142" s="28"/>
      <c r="J142" s="28"/>
    </row>
    <row r="143" spans="1:10" x14ac:dyDescent="0.25">
      <c r="A143" s="26"/>
      <c r="B143" s="28"/>
      <c r="C143" s="28"/>
      <c r="D143" s="28"/>
      <c r="E143" s="28"/>
      <c r="F143" s="28"/>
      <c r="G143" s="28"/>
      <c r="H143" s="28"/>
      <c r="I143" s="28"/>
      <c r="J143" s="28"/>
    </row>
    <row r="144" spans="1:10" x14ac:dyDescent="0.25">
      <c r="A144" s="26"/>
      <c r="B144" s="28"/>
      <c r="C144" s="28"/>
      <c r="D144" s="28"/>
      <c r="E144" s="28"/>
      <c r="F144" s="28"/>
      <c r="G144" s="28"/>
      <c r="H144" s="28"/>
      <c r="I144" s="28"/>
      <c r="J144" s="28"/>
    </row>
    <row r="145" spans="1:10" x14ac:dyDescent="0.25">
      <c r="A145" s="26"/>
      <c r="B145" s="28"/>
      <c r="C145" s="28"/>
      <c r="D145" s="28"/>
      <c r="E145" s="28"/>
      <c r="F145" s="28"/>
      <c r="G145" s="28"/>
      <c r="H145" s="28"/>
      <c r="I145" s="28"/>
      <c r="J145" s="28"/>
    </row>
    <row r="146" spans="1:10" x14ac:dyDescent="0.25">
      <c r="A146" s="26"/>
      <c r="B146" s="28"/>
      <c r="C146" s="28"/>
      <c r="D146" s="28"/>
      <c r="E146" s="28"/>
      <c r="F146" s="28"/>
      <c r="G146" s="28"/>
      <c r="H146" s="28"/>
      <c r="I146" s="28"/>
      <c r="J146" s="28"/>
    </row>
    <row r="147" spans="1:10" x14ac:dyDescent="0.25">
      <c r="A147" s="26"/>
      <c r="B147" s="28"/>
      <c r="C147" s="28"/>
      <c r="D147" s="28"/>
      <c r="E147" s="28"/>
      <c r="F147" s="28"/>
      <c r="G147" s="28"/>
      <c r="H147" s="28"/>
      <c r="I147" s="28"/>
      <c r="J147" s="28"/>
    </row>
    <row r="148" spans="1:10" x14ac:dyDescent="0.25">
      <c r="A148" s="26"/>
      <c r="B148" s="28"/>
      <c r="C148" s="28"/>
      <c r="D148" s="28"/>
      <c r="E148" s="28"/>
      <c r="F148" s="28"/>
      <c r="G148" s="28"/>
      <c r="H148" s="28"/>
      <c r="I148" s="28"/>
      <c r="J148" s="28"/>
    </row>
    <row r="149" spans="1:10" x14ac:dyDescent="0.25">
      <c r="A149" s="26"/>
      <c r="B149" s="28"/>
      <c r="C149" s="28"/>
      <c r="D149" s="28"/>
      <c r="E149" s="28"/>
      <c r="F149" s="28"/>
      <c r="G149" s="28"/>
      <c r="H149" s="28"/>
      <c r="I149" s="28"/>
      <c r="J149" s="28"/>
    </row>
    <row r="150" spans="1:10" x14ac:dyDescent="0.25">
      <c r="A150" s="26"/>
      <c r="B150" s="28"/>
      <c r="C150" s="28"/>
      <c r="D150" s="28"/>
      <c r="E150" s="28"/>
      <c r="F150" s="28"/>
      <c r="G150" s="28"/>
      <c r="H150" s="28"/>
      <c r="I150" s="28"/>
      <c r="J150" s="28"/>
    </row>
    <row r="151" spans="1:10" x14ac:dyDescent="0.25">
      <c r="A151" s="26"/>
      <c r="B151" s="28"/>
      <c r="C151" s="28"/>
      <c r="D151" s="28"/>
      <c r="E151" s="28"/>
      <c r="F151" s="28"/>
      <c r="G151" s="28"/>
      <c r="H151" s="28"/>
      <c r="I151" s="28"/>
      <c r="J151" s="28"/>
    </row>
    <row r="152" spans="1:10" x14ac:dyDescent="0.25">
      <c r="A152" s="26"/>
      <c r="B152" s="28"/>
      <c r="C152" s="28"/>
      <c r="D152" s="28"/>
      <c r="E152" s="28"/>
      <c r="F152" s="28"/>
      <c r="G152" s="28"/>
      <c r="H152" s="28"/>
      <c r="I152" s="28"/>
      <c r="J152" s="28"/>
    </row>
    <row r="153" spans="1:10" x14ac:dyDescent="0.25">
      <c r="A153" s="26"/>
      <c r="B153" s="28"/>
      <c r="C153" s="28"/>
      <c r="D153" s="28"/>
      <c r="E153" s="28"/>
      <c r="F153" s="28"/>
      <c r="G153" s="28"/>
      <c r="H153" s="28"/>
      <c r="I153" s="28"/>
      <c r="J153" s="28"/>
    </row>
    <row r="154" spans="1:10" x14ac:dyDescent="0.25">
      <c r="A154" s="26"/>
      <c r="B154" s="28"/>
      <c r="C154" s="28"/>
      <c r="D154" s="28"/>
      <c r="E154" s="28"/>
      <c r="F154" s="28"/>
      <c r="G154" s="28"/>
      <c r="H154" s="28"/>
      <c r="I154" s="28"/>
      <c r="J154" s="28"/>
    </row>
    <row r="155" spans="1:10" x14ac:dyDescent="0.25">
      <c r="A155" s="26"/>
      <c r="B155" s="28"/>
      <c r="C155" s="28"/>
      <c r="D155" s="28"/>
      <c r="E155" s="28"/>
      <c r="F155" s="28"/>
      <c r="G155" s="28"/>
      <c r="H155" s="28"/>
      <c r="I155" s="28"/>
      <c r="J155" s="28"/>
    </row>
    <row r="156" spans="1:10" x14ac:dyDescent="0.25">
      <c r="A156" s="26"/>
      <c r="B156" s="28"/>
      <c r="C156" s="28"/>
      <c r="D156" s="28"/>
      <c r="E156" s="28"/>
      <c r="F156" s="28"/>
      <c r="G156" s="28"/>
      <c r="H156" s="28"/>
      <c r="I156" s="28"/>
      <c r="J156" s="28"/>
    </row>
    <row r="157" spans="1:10" x14ac:dyDescent="0.25">
      <c r="A157" s="26"/>
      <c r="B157" s="28"/>
      <c r="C157" s="28"/>
      <c r="D157" s="28"/>
      <c r="E157" s="28"/>
      <c r="F157" s="28"/>
      <c r="G157" s="28"/>
      <c r="H157" s="28"/>
      <c r="I157" s="28"/>
      <c r="J157" s="28"/>
    </row>
    <row r="158" spans="1:10" x14ac:dyDescent="0.25">
      <c r="A158" s="26"/>
      <c r="B158" s="28"/>
      <c r="C158" s="28"/>
      <c r="D158" s="28"/>
      <c r="E158" s="28"/>
      <c r="F158" s="28"/>
      <c r="G158" s="28"/>
      <c r="H158" s="28"/>
      <c r="I158" s="28"/>
      <c r="J158" s="28"/>
    </row>
    <row r="159" spans="1:10" x14ac:dyDescent="0.25">
      <c r="A159" s="26"/>
      <c r="B159" s="28"/>
      <c r="C159" s="28"/>
      <c r="D159" s="28"/>
      <c r="E159" s="28"/>
      <c r="F159" s="28"/>
      <c r="G159" s="28"/>
      <c r="H159" s="28"/>
      <c r="I159" s="28"/>
      <c r="J159" s="28"/>
    </row>
    <row r="160" spans="1:10" x14ac:dyDescent="0.25">
      <c r="A160" s="26"/>
      <c r="B160" s="28"/>
      <c r="C160" s="28"/>
      <c r="D160" s="28"/>
      <c r="E160" s="28"/>
      <c r="F160" s="28"/>
      <c r="G160" s="28"/>
      <c r="H160" s="28"/>
      <c r="I160" s="28"/>
      <c r="J160" s="28"/>
    </row>
    <row r="161" spans="1:10" x14ac:dyDescent="0.25">
      <c r="A161" s="26"/>
      <c r="B161" s="28"/>
      <c r="C161" s="28"/>
      <c r="D161" s="28"/>
      <c r="E161" s="28"/>
      <c r="F161" s="28"/>
      <c r="G161" s="28"/>
      <c r="H161" s="28"/>
      <c r="I161" s="28"/>
      <c r="J161" s="28"/>
    </row>
    <row r="162" spans="1:10" x14ac:dyDescent="0.25">
      <c r="A162" s="26"/>
      <c r="B162" s="28"/>
      <c r="C162" s="28"/>
      <c r="D162" s="28"/>
      <c r="E162" s="28"/>
      <c r="F162" s="28"/>
      <c r="G162" s="28"/>
      <c r="H162" s="28"/>
      <c r="I162" s="28"/>
      <c r="J162" s="28"/>
    </row>
    <row r="163" spans="1:10" x14ac:dyDescent="0.25">
      <c r="A163" s="26"/>
      <c r="B163" s="28"/>
      <c r="C163" s="28"/>
      <c r="D163" s="28"/>
      <c r="E163" s="28"/>
      <c r="F163" s="28"/>
      <c r="G163" s="28"/>
      <c r="H163" s="28"/>
      <c r="I163" s="28"/>
      <c r="J163" s="28"/>
    </row>
    <row r="164" spans="1:10" x14ac:dyDescent="0.25">
      <c r="A164" s="26"/>
      <c r="B164" s="28"/>
      <c r="C164" s="28"/>
      <c r="D164" s="28"/>
      <c r="E164" s="28"/>
      <c r="F164" s="28"/>
      <c r="G164" s="28"/>
      <c r="H164" s="28"/>
      <c r="I164" s="28"/>
      <c r="J164" s="28"/>
    </row>
    <row r="165" spans="1:10" x14ac:dyDescent="0.25">
      <c r="A165" s="26"/>
      <c r="B165" s="28"/>
      <c r="C165" s="28"/>
      <c r="D165" s="28"/>
      <c r="E165" s="28"/>
      <c r="F165" s="28"/>
      <c r="G165" s="28"/>
      <c r="H165" s="28"/>
      <c r="I165" s="28"/>
      <c r="J165" s="28"/>
    </row>
    <row r="166" spans="1:10" x14ac:dyDescent="0.25">
      <c r="A166" s="26"/>
      <c r="B166" s="28"/>
      <c r="C166" s="28"/>
      <c r="D166" s="28"/>
      <c r="E166" s="28"/>
      <c r="F166" s="28"/>
      <c r="G166" s="28"/>
      <c r="H166" s="28"/>
      <c r="I166" s="28"/>
      <c r="J166" s="28"/>
    </row>
    <row r="167" spans="1:10" x14ac:dyDescent="0.25">
      <c r="A167" s="26"/>
      <c r="B167" s="28"/>
      <c r="C167" s="28"/>
      <c r="D167" s="28"/>
      <c r="E167" s="28"/>
      <c r="F167" s="28"/>
      <c r="G167" s="28"/>
      <c r="H167" s="28"/>
      <c r="I167" s="28"/>
      <c r="J167" s="28"/>
    </row>
    <row r="168" spans="1:10" x14ac:dyDescent="0.25">
      <c r="A168" s="26"/>
      <c r="B168" s="28"/>
      <c r="C168" s="28"/>
      <c r="D168" s="28"/>
      <c r="E168" s="28"/>
      <c r="F168" s="28"/>
      <c r="G168" s="28"/>
      <c r="H168" s="28"/>
      <c r="I168" s="28"/>
      <c r="J168" s="28"/>
    </row>
    <row r="169" spans="1:10" x14ac:dyDescent="0.25">
      <c r="A169" s="26"/>
      <c r="B169" s="28"/>
      <c r="C169" s="28"/>
      <c r="D169" s="28"/>
      <c r="E169" s="28"/>
      <c r="F169" s="28"/>
      <c r="G169" s="28"/>
      <c r="H169" s="28"/>
      <c r="I169" s="28"/>
      <c r="J169" s="28"/>
    </row>
    <row r="170" spans="1:10" x14ac:dyDescent="0.25">
      <c r="A170" s="26"/>
      <c r="B170" s="28"/>
      <c r="C170" s="28"/>
      <c r="D170" s="28"/>
      <c r="E170" s="28"/>
      <c r="F170" s="28"/>
      <c r="G170" s="28"/>
      <c r="H170" s="28"/>
      <c r="I170" s="28"/>
      <c r="J170" s="28"/>
    </row>
    <row r="171" spans="1:10" x14ac:dyDescent="0.25">
      <c r="A171" s="26"/>
      <c r="B171" s="28"/>
      <c r="C171" s="28"/>
      <c r="D171" s="28"/>
      <c r="E171" s="28"/>
      <c r="F171" s="28"/>
      <c r="G171" s="28"/>
      <c r="H171" s="28"/>
      <c r="I171" s="28"/>
      <c r="J171" s="28"/>
    </row>
    <row r="172" spans="1:10" x14ac:dyDescent="0.25">
      <c r="A172" s="26"/>
      <c r="B172" s="28"/>
      <c r="C172" s="28"/>
      <c r="D172" s="28"/>
      <c r="E172" s="28"/>
      <c r="F172" s="28"/>
      <c r="G172" s="28"/>
      <c r="H172" s="28"/>
      <c r="I172" s="28"/>
      <c r="J172" s="28"/>
    </row>
    <row r="173" spans="1:10" x14ac:dyDescent="0.25">
      <c r="A173" s="26"/>
      <c r="B173" s="28"/>
      <c r="C173" s="28"/>
      <c r="D173" s="28"/>
      <c r="E173" s="28"/>
      <c r="F173" s="28"/>
      <c r="G173" s="28"/>
      <c r="H173" s="28"/>
      <c r="I173" s="28"/>
      <c r="J173" s="28"/>
    </row>
    <row r="174" spans="1:10" x14ac:dyDescent="0.25">
      <c r="A174" s="26"/>
      <c r="B174" s="28"/>
      <c r="C174" s="28"/>
      <c r="D174" s="28"/>
      <c r="E174" s="28"/>
      <c r="F174" s="28"/>
      <c r="G174" s="28"/>
      <c r="H174" s="28"/>
      <c r="I174" s="28"/>
      <c r="J174" s="28"/>
    </row>
    <row r="175" spans="1:10" x14ac:dyDescent="0.25">
      <c r="A175" s="26"/>
      <c r="B175" s="28"/>
      <c r="C175" s="28"/>
      <c r="D175" s="28"/>
      <c r="E175" s="28"/>
      <c r="F175" s="28"/>
      <c r="G175" s="28"/>
      <c r="H175" s="28"/>
      <c r="I175" s="28"/>
      <c r="J175" s="28"/>
    </row>
    <row r="176" spans="1:10" x14ac:dyDescent="0.25">
      <c r="A176" s="26"/>
      <c r="B176" s="28"/>
      <c r="C176" s="28"/>
      <c r="D176" s="28"/>
      <c r="E176" s="28"/>
      <c r="F176" s="28"/>
      <c r="G176" s="28"/>
      <c r="H176" s="28"/>
      <c r="I176" s="28"/>
      <c r="J176" s="28"/>
    </row>
    <row r="177" spans="1:10" x14ac:dyDescent="0.25">
      <c r="A177" s="26"/>
      <c r="B177" s="28"/>
      <c r="C177" s="28"/>
      <c r="D177" s="28"/>
      <c r="E177" s="28"/>
      <c r="F177" s="28"/>
      <c r="G177" s="28"/>
      <c r="H177" s="28"/>
      <c r="I177" s="28"/>
      <c r="J177" s="28"/>
    </row>
    <row r="178" spans="1:10" x14ac:dyDescent="0.25">
      <c r="A178" s="26"/>
      <c r="B178" s="28"/>
      <c r="C178" s="28"/>
      <c r="D178" s="28"/>
      <c r="E178" s="28"/>
      <c r="F178" s="28"/>
      <c r="G178" s="28"/>
      <c r="H178" s="28"/>
      <c r="I178" s="28"/>
      <c r="J178" s="28"/>
    </row>
    <row r="179" spans="1:10" x14ac:dyDescent="0.25">
      <c r="A179" s="26"/>
      <c r="B179" s="28"/>
      <c r="C179" s="28"/>
      <c r="D179" s="28"/>
      <c r="E179" s="28"/>
      <c r="F179" s="28"/>
      <c r="G179" s="28"/>
      <c r="H179" s="28"/>
      <c r="I179" s="28"/>
      <c r="J179" s="28"/>
    </row>
    <row r="180" spans="1:10" x14ac:dyDescent="0.25">
      <c r="A180" s="26"/>
      <c r="B180" s="28"/>
      <c r="C180" s="28"/>
      <c r="D180" s="28"/>
      <c r="E180" s="28"/>
      <c r="F180" s="28"/>
      <c r="G180" s="28"/>
      <c r="H180" s="28"/>
      <c r="I180" s="28"/>
      <c r="J180" s="28"/>
    </row>
    <row r="181" spans="1:10" x14ac:dyDescent="0.25">
      <c r="A181" s="26"/>
      <c r="B181" s="28"/>
      <c r="C181" s="28"/>
      <c r="D181" s="28"/>
      <c r="E181" s="28"/>
      <c r="F181" s="28"/>
      <c r="G181" s="28"/>
      <c r="H181" s="28"/>
      <c r="I181" s="28"/>
      <c r="J181" s="28"/>
    </row>
    <row r="182" spans="1:10" x14ac:dyDescent="0.25">
      <c r="A182" s="26"/>
      <c r="B182" s="28"/>
      <c r="C182" s="28"/>
      <c r="D182" s="28"/>
      <c r="E182" s="28"/>
      <c r="F182" s="28"/>
      <c r="G182" s="28"/>
      <c r="H182" s="28"/>
      <c r="I182" s="28"/>
      <c r="J182" s="28"/>
    </row>
    <row r="183" spans="1:10" x14ac:dyDescent="0.25">
      <c r="A183" s="26"/>
      <c r="B183" s="28"/>
      <c r="C183" s="28"/>
      <c r="D183" s="28"/>
      <c r="E183" s="28"/>
      <c r="F183" s="28"/>
      <c r="G183" s="28"/>
      <c r="H183" s="28"/>
      <c r="I183" s="28"/>
      <c r="J183" s="28"/>
    </row>
    <row r="184" spans="1:10" x14ac:dyDescent="0.25">
      <c r="A184" s="26"/>
      <c r="B184" s="28"/>
      <c r="C184" s="28"/>
      <c r="D184" s="28"/>
      <c r="E184" s="28"/>
      <c r="F184" s="28"/>
      <c r="G184" s="28"/>
      <c r="H184" s="28"/>
      <c r="I184" s="28"/>
      <c r="J184" s="28"/>
    </row>
    <row r="185" spans="1:10" x14ac:dyDescent="0.25">
      <c r="A185" s="26"/>
      <c r="B185" s="28"/>
      <c r="C185" s="28"/>
      <c r="D185" s="28"/>
      <c r="E185" s="28"/>
      <c r="F185" s="28"/>
      <c r="G185" s="28"/>
      <c r="H185" s="28"/>
      <c r="I185" s="28"/>
      <c r="J185" s="28"/>
    </row>
    <row r="186" spans="1:10" x14ac:dyDescent="0.25">
      <c r="A186" s="26"/>
      <c r="B186" s="28"/>
      <c r="C186" s="28"/>
      <c r="D186" s="28"/>
      <c r="E186" s="28"/>
      <c r="F186" s="28"/>
      <c r="G186" s="28"/>
      <c r="H186" s="28"/>
      <c r="I186" s="28"/>
      <c r="J186" s="28"/>
    </row>
    <row r="187" spans="1:10" x14ac:dyDescent="0.25">
      <c r="A187" s="26"/>
      <c r="B187" s="28"/>
      <c r="C187" s="28"/>
      <c r="D187" s="28"/>
      <c r="E187" s="28"/>
      <c r="F187" s="28"/>
      <c r="G187" s="28"/>
      <c r="H187" s="28"/>
      <c r="I187" s="28"/>
      <c r="J187" s="28"/>
    </row>
    <row r="188" spans="1:10" x14ac:dyDescent="0.25">
      <c r="A188" s="26"/>
      <c r="B188" s="28"/>
      <c r="C188" s="28"/>
      <c r="D188" s="28"/>
      <c r="E188" s="28"/>
      <c r="F188" s="28"/>
      <c r="G188" s="28"/>
      <c r="H188" s="28"/>
      <c r="I188" s="28"/>
      <c r="J188" s="28"/>
    </row>
    <row r="189" spans="1:10" x14ac:dyDescent="0.25">
      <c r="A189" s="26"/>
      <c r="B189" s="28"/>
      <c r="C189" s="28"/>
      <c r="D189" s="28"/>
      <c r="E189" s="28"/>
      <c r="F189" s="28"/>
      <c r="G189" s="28"/>
      <c r="H189" s="28"/>
      <c r="I189" s="28"/>
      <c r="J189" s="28"/>
    </row>
    <row r="190" spans="1:10" x14ac:dyDescent="0.25">
      <c r="A190" s="26"/>
      <c r="B190" s="28"/>
      <c r="C190" s="28"/>
      <c r="D190" s="28"/>
      <c r="E190" s="28"/>
      <c r="F190" s="28"/>
      <c r="G190" s="28"/>
      <c r="H190" s="28"/>
      <c r="I190" s="28"/>
      <c r="J190" s="28"/>
    </row>
    <row r="191" spans="1:10" x14ac:dyDescent="0.25">
      <c r="A191" s="26"/>
      <c r="B191" s="28"/>
      <c r="C191" s="28"/>
      <c r="D191" s="28"/>
      <c r="E191" s="28"/>
      <c r="F191" s="28"/>
      <c r="G191" s="28"/>
      <c r="H191" s="28"/>
      <c r="I191" s="28"/>
      <c r="J191" s="28"/>
    </row>
    <row r="192" spans="1:10" x14ac:dyDescent="0.25">
      <c r="A192" s="26"/>
      <c r="B192" s="28"/>
      <c r="C192" s="28"/>
      <c r="D192" s="28"/>
      <c r="E192" s="28"/>
      <c r="F192" s="28"/>
      <c r="G192" s="28"/>
      <c r="H192" s="28"/>
      <c r="I192" s="28"/>
      <c r="J192" s="28"/>
    </row>
    <row r="193" spans="1:10" x14ac:dyDescent="0.25">
      <c r="A193" s="26"/>
      <c r="B193" s="28"/>
      <c r="C193" s="28"/>
      <c r="D193" s="28"/>
      <c r="E193" s="28"/>
      <c r="F193" s="28"/>
      <c r="G193" s="28"/>
      <c r="H193" s="28"/>
      <c r="I193" s="28"/>
      <c r="J193" s="28"/>
    </row>
    <row r="194" spans="1:10" x14ac:dyDescent="0.25">
      <c r="A194" s="26"/>
      <c r="B194" s="28"/>
      <c r="C194" s="28"/>
      <c r="D194" s="28"/>
      <c r="E194" s="28"/>
      <c r="F194" s="28"/>
      <c r="G194" s="28"/>
      <c r="H194" s="28"/>
      <c r="I194" s="28"/>
      <c r="J194" s="28"/>
    </row>
    <row r="195" spans="1:10" x14ac:dyDescent="0.25">
      <c r="A195" s="26"/>
      <c r="B195" s="28"/>
      <c r="C195" s="28"/>
      <c r="D195" s="28"/>
      <c r="E195" s="28"/>
      <c r="F195" s="28"/>
      <c r="G195" s="28"/>
      <c r="H195" s="28"/>
      <c r="I195" s="28"/>
      <c r="J195" s="28"/>
    </row>
    <row r="196" spans="1:10" x14ac:dyDescent="0.25">
      <c r="A196" s="26"/>
      <c r="B196" s="28"/>
      <c r="C196" s="28"/>
      <c r="D196" s="28"/>
      <c r="E196" s="28"/>
      <c r="F196" s="28"/>
      <c r="G196" s="28"/>
      <c r="H196" s="28"/>
      <c r="I196" s="28"/>
      <c r="J196" s="28"/>
    </row>
    <row r="197" spans="1:10" x14ac:dyDescent="0.25">
      <c r="A197" s="26"/>
      <c r="B197" s="28"/>
      <c r="C197" s="28"/>
      <c r="D197" s="28"/>
      <c r="E197" s="28"/>
      <c r="F197" s="28"/>
      <c r="G197" s="28"/>
      <c r="H197" s="28"/>
      <c r="I197" s="28"/>
      <c r="J197" s="28"/>
    </row>
    <row r="198" spans="1:10" x14ac:dyDescent="0.25">
      <c r="A198" s="26"/>
      <c r="B198" s="28"/>
      <c r="C198" s="28"/>
      <c r="D198" s="28"/>
      <c r="E198" s="28"/>
      <c r="F198" s="28"/>
      <c r="G198" s="28"/>
      <c r="H198" s="28"/>
      <c r="I198" s="28"/>
      <c r="J198" s="28"/>
    </row>
    <row r="199" spans="1:10" x14ac:dyDescent="0.25">
      <c r="A199" s="26"/>
      <c r="B199" s="28"/>
      <c r="C199" s="28"/>
      <c r="D199" s="28"/>
      <c r="E199" s="28"/>
      <c r="F199" s="28"/>
      <c r="G199" s="28"/>
      <c r="H199" s="28"/>
      <c r="I199" s="28"/>
      <c r="J199" s="28"/>
    </row>
    <row r="200" spans="1:10" x14ac:dyDescent="0.25">
      <c r="A200" s="26"/>
      <c r="B200" s="28"/>
      <c r="C200" s="28"/>
      <c r="D200" s="28"/>
      <c r="E200" s="28"/>
      <c r="F200" s="28"/>
      <c r="G200" s="28"/>
      <c r="H200" s="28"/>
      <c r="I200" s="28"/>
      <c r="J200" s="28"/>
    </row>
    <row r="201" spans="1:10" x14ac:dyDescent="0.25">
      <c r="A201" s="26"/>
      <c r="B201" s="28"/>
      <c r="C201" s="28"/>
      <c r="D201" s="28"/>
      <c r="E201" s="28"/>
      <c r="F201" s="28"/>
      <c r="G201" s="28"/>
      <c r="H201" s="28"/>
      <c r="I201" s="28"/>
      <c r="J201" s="28"/>
    </row>
    <row r="202" spans="1:10" x14ac:dyDescent="0.25">
      <c r="A202" s="26"/>
      <c r="B202" s="28"/>
      <c r="C202" s="28"/>
      <c r="D202" s="28"/>
      <c r="E202" s="28"/>
      <c r="F202" s="28"/>
      <c r="G202" s="28"/>
      <c r="H202" s="28"/>
      <c r="I202" s="28"/>
      <c r="J202" s="28"/>
    </row>
    <row r="203" spans="1:10" x14ac:dyDescent="0.25">
      <c r="A203" s="26"/>
      <c r="B203" s="28"/>
      <c r="C203" s="28"/>
      <c r="D203" s="28"/>
      <c r="E203" s="28"/>
      <c r="F203" s="28"/>
      <c r="G203" s="28"/>
      <c r="H203" s="28"/>
      <c r="I203" s="28"/>
      <c r="J203" s="28"/>
    </row>
    <row r="204" spans="1:10" x14ac:dyDescent="0.25">
      <c r="A204" s="26"/>
      <c r="B204" s="28"/>
      <c r="C204" s="28"/>
      <c r="D204" s="28"/>
      <c r="E204" s="28"/>
      <c r="F204" s="28"/>
      <c r="G204" s="28"/>
      <c r="H204" s="28"/>
      <c r="I204" s="28"/>
      <c r="J204" s="28"/>
    </row>
    <row r="205" spans="1:10" x14ac:dyDescent="0.25">
      <c r="A205" s="26"/>
      <c r="B205" s="28"/>
      <c r="C205" s="28"/>
      <c r="D205" s="28"/>
      <c r="E205" s="28"/>
      <c r="F205" s="28"/>
      <c r="G205" s="28"/>
      <c r="H205" s="28"/>
      <c r="I205" s="28"/>
      <c r="J205" s="28"/>
    </row>
    <row r="206" spans="1:10" x14ac:dyDescent="0.25">
      <c r="A206" s="26"/>
      <c r="B206" s="28"/>
      <c r="C206" s="28"/>
      <c r="D206" s="28"/>
      <c r="E206" s="28"/>
      <c r="F206" s="28"/>
      <c r="G206" s="28"/>
      <c r="H206" s="28"/>
      <c r="I206" s="28"/>
      <c r="J206" s="28"/>
    </row>
    <row r="207" spans="1:10" x14ac:dyDescent="0.25">
      <c r="A207" s="26"/>
      <c r="B207" s="28"/>
      <c r="C207" s="28"/>
      <c r="D207" s="28"/>
      <c r="E207" s="28"/>
      <c r="F207" s="28"/>
      <c r="G207" s="28"/>
      <c r="H207" s="28"/>
      <c r="I207" s="28"/>
      <c r="J207" s="28"/>
    </row>
    <row r="208" spans="1:10" x14ac:dyDescent="0.25">
      <c r="A208" s="26"/>
      <c r="B208" s="28"/>
      <c r="C208" s="28"/>
      <c r="D208" s="28"/>
      <c r="E208" s="28"/>
      <c r="F208" s="28"/>
      <c r="G208" s="28"/>
      <c r="H208" s="28"/>
      <c r="I208" s="28"/>
      <c r="J208" s="28"/>
    </row>
    <row r="209" spans="1:10" x14ac:dyDescent="0.25">
      <c r="A209" s="26"/>
      <c r="B209" s="28"/>
      <c r="C209" s="28"/>
      <c r="D209" s="28"/>
      <c r="E209" s="28"/>
      <c r="F209" s="28"/>
      <c r="G209" s="28"/>
      <c r="H209" s="28"/>
      <c r="I209" s="28"/>
      <c r="J209" s="28"/>
    </row>
    <row r="210" spans="1:10" x14ac:dyDescent="0.25">
      <c r="A210" s="26"/>
      <c r="B210" s="28"/>
      <c r="C210" s="28"/>
      <c r="D210" s="28"/>
      <c r="E210" s="28"/>
      <c r="F210" s="28"/>
      <c r="G210" s="28"/>
      <c r="H210" s="28"/>
      <c r="I210" s="28"/>
      <c r="J210" s="28"/>
    </row>
    <row r="211" spans="1:10" x14ac:dyDescent="0.25">
      <c r="A211" s="26"/>
      <c r="B211" s="28"/>
      <c r="C211" s="28"/>
      <c r="D211" s="28"/>
      <c r="E211" s="28"/>
      <c r="F211" s="28"/>
      <c r="G211" s="28"/>
      <c r="H211" s="28"/>
      <c r="I211" s="28"/>
      <c r="J211" s="28"/>
    </row>
    <row r="212" spans="1:10" x14ac:dyDescent="0.25">
      <c r="A212" s="26"/>
      <c r="B212" s="28"/>
      <c r="C212" s="28"/>
      <c r="D212" s="28"/>
      <c r="E212" s="28"/>
      <c r="F212" s="28"/>
      <c r="G212" s="28"/>
      <c r="H212" s="28"/>
      <c r="I212" s="28"/>
      <c r="J212" s="28"/>
    </row>
    <row r="213" spans="1:10" x14ac:dyDescent="0.25">
      <c r="A213" s="26"/>
      <c r="B213" s="28"/>
      <c r="C213" s="28"/>
      <c r="D213" s="28"/>
      <c r="E213" s="28"/>
      <c r="F213" s="28"/>
      <c r="G213" s="28"/>
      <c r="H213" s="28"/>
      <c r="I213" s="28"/>
      <c r="J213" s="28"/>
    </row>
    <row r="214" spans="1:10" x14ac:dyDescent="0.25">
      <c r="A214" s="26"/>
      <c r="B214" s="28"/>
      <c r="C214" s="28"/>
      <c r="D214" s="28"/>
      <c r="E214" s="28"/>
      <c r="F214" s="28"/>
      <c r="G214" s="28"/>
      <c r="H214" s="28"/>
      <c r="I214" s="28"/>
      <c r="J214" s="28"/>
    </row>
    <row r="215" spans="1:10" x14ac:dyDescent="0.25">
      <c r="A215" s="26"/>
      <c r="B215" s="28"/>
      <c r="C215" s="28"/>
      <c r="D215" s="28"/>
      <c r="E215" s="28"/>
      <c r="F215" s="28"/>
      <c r="G215" s="28"/>
      <c r="H215" s="28"/>
      <c r="I215" s="28"/>
      <c r="J215" s="28"/>
    </row>
    <row r="216" spans="1:10" x14ac:dyDescent="0.25">
      <c r="A216" s="26"/>
      <c r="B216" s="28"/>
      <c r="C216" s="28"/>
      <c r="D216" s="28"/>
      <c r="E216" s="28"/>
      <c r="F216" s="28"/>
      <c r="G216" s="28"/>
      <c r="H216" s="28"/>
      <c r="I216" s="28"/>
      <c r="J216" s="28"/>
    </row>
    <row r="217" spans="1:10" x14ac:dyDescent="0.25">
      <c r="A217" s="26"/>
      <c r="B217" s="28"/>
      <c r="C217" s="28"/>
      <c r="D217" s="28"/>
      <c r="E217" s="28"/>
      <c r="F217" s="28"/>
      <c r="G217" s="28"/>
      <c r="H217" s="28"/>
      <c r="I217" s="28"/>
      <c r="J217" s="28"/>
    </row>
    <row r="218" spans="1:10" x14ac:dyDescent="0.25">
      <c r="A218" s="26"/>
      <c r="B218" s="28"/>
      <c r="C218" s="28"/>
      <c r="D218" s="28"/>
      <c r="E218" s="28"/>
      <c r="F218" s="28"/>
      <c r="G218" s="28"/>
      <c r="H218" s="28"/>
      <c r="I218" s="28"/>
      <c r="J218" s="28"/>
    </row>
    <row r="219" spans="1:10" x14ac:dyDescent="0.25">
      <c r="A219" s="26"/>
      <c r="B219" s="28"/>
      <c r="C219" s="28"/>
      <c r="D219" s="28"/>
      <c r="E219" s="28"/>
      <c r="F219" s="28"/>
      <c r="G219" s="28"/>
      <c r="H219" s="28"/>
      <c r="I219" s="28"/>
      <c r="J219" s="28"/>
    </row>
    <row r="220" spans="1:10" x14ac:dyDescent="0.25">
      <c r="A220" s="26"/>
      <c r="B220" s="28"/>
      <c r="C220" s="28"/>
      <c r="D220" s="28"/>
      <c r="E220" s="28"/>
      <c r="F220" s="28"/>
      <c r="G220" s="28"/>
      <c r="H220" s="28"/>
      <c r="I220" s="28"/>
      <c r="J220" s="28"/>
    </row>
    <row r="221" spans="1:10" x14ac:dyDescent="0.25">
      <c r="A221" s="26"/>
      <c r="B221" s="28"/>
      <c r="C221" s="28"/>
      <c r="D221" s="28"/>
      <c r="E221" s="28"/>
      <c r="F221" s="28"/>
      <c r="G221" s="28"/>
      <c r="H221" s="28"/>
      <c r="I221" s="28"/>
      <c r="J221" s="28"/>
    </row>
    <row r="222" spans="1:10" x14ac:dyDescent="0.25">
      <c r="A222" s="26"/>
      <c r="B222" s="28"/>
      <c r="C222" s="28"/>
      <c r="D222" s="28"/>
      <c r="E222" s="28"/>
      <c r="F222" s="28"/>
      <c r="G222" s="28"/>
      <c r="H222" s="28"/>
      <c r="I222" s="28"/>
      <c r="J222" s="28"/>
    </row>
    <row r="223" spans="1:10" x14ac:dyDescent="0.25">
      <c r="A223" s="26"/>
      <c r="B223" s="28"/>
      <c r="C223" s="28"/>
      <c r="D223" s="28"/>
      <c r="E223" s="28"/>
      <c r="F223" s="28"/>
      <c r="G223" s="28"/>
      <c r="H223" s="28"/>
      <c r="I223" s="28"/>
      <c r="J223" s="28"/>
    </row>
    <row r="224" spans="1:10" x14ac:dyDescent="0.25">
      <c r="A224" s="26"/>
      <c r="B224" s="28"/>
      <c r="C224" s="28"/>
      <c r="D224" s="28"/>
      <c r="E224" s="28"/>
      <c r="F224" s="28"/>
      <c r="G224" s="28"/>
      <c r="H224" s="28"/>
      <c r="I224" s="28"/>
      <c r="J224" s="28"/>
    </row>
    <row r="225" spans="1:10" x14ac:dyDescent="0.25">
      <c r="A225" s="26"/>
      <c r="B225" s="28"/>
      <c r="C225" s="28"/>
      <c r="D225" s="28"/>
      <c r="E225" s="28"/>
      <c r="F225" s="28"/>
      <c r="G225" s="28"/>
      <c r="H225" s="28"/>
      <c r="I225" s="28"/>
      <c r="J225" s="28"/>
    </row>
    <row r="226" spans="1:10" x14ac:dyDescent="0.25">
      <c r="A226" s="26"/>
      <c r="B226" s="28"/>
      <c r="C226" s="28"/>
      <c r="D226" s="28"/>
      <c r="E226" s="28"/>
      <c r="F226" s="28"/>
      <c r="G226" s="28"/>
      <c r="H226" s="28"/>
      <c r="I226" s="28"/>
      <c r="J226" s="28"/>
    </row>
    <row r="227" spans="1:10" x14ac:dyDescent="0.25">
      <c r="A227" s="26"/>
      <c r="B227" s="28"/>
      <c r="C227" s="28"/>
      <c r="D227" s="28"/>
      <c r="E227" s="28"/>
      <c r="F227" s="28"/>
      <c r="G227" s="28"/>
      <c r="H227" s="28"/>
      <c r="I227" s="28"/>
      <c r="J227" s="28"/>
    </row>
    <row r="228" spans="1:10" x14ac:dyDescent="0.25">
      <c r="A228" s="26"/>
      <c r="B228" s="28"/>
      <c r="C228" s="28"/>
      <c r="D228" s="28"/>
      <c r="E228" s="28"/>
      <c r="F228" s="28"/>
      <c r="G228" s="28"/>
      <c r="H228" s="28"/>
      <c r="I228" s="28"/>
      <c r="J228" s="28"/>
    </row>
    <row r="229" spans="1:10" x14ac:dyDescent="0.25">
      <c r="A229" s="26"/>
      <c r="B229" s="28"/>
      <c r="C229" s="28"/>
      <c r="D229" s="28"/>
      <c r="E229" s="28"/>
      <c r="F229" s="28"/>
      <c r="G229" s="28"/>
      <c r="H229" s="28"/>
      <c r="I229" s="28"/>
      <c r="J229" s="28"/>
    </row>
    <row r="230" spans="1:10" x14ac:dyDescent="0.25">
      <c r="A230" s="26"/>
      <c r="B230" s="28"/>
      <c r="C230" s="28"/>
      <c r="D230" s="28"/>
      <c r="E230" s="28"/>
      <c r="F230" s="28"/>
      <c r="G230" s="28"/>
      <c r="H230" s="28"/>
      <c r="I230" s="28"/>
      <c r="J230" s="28"/>
    </row>
    <row r="231" spans="1:10" x14ac:dyDescent="0.25">
      <c r="A231" s="26"/>
      <c r="B231" s="28"/>
      <c r="C231" s="28"/>
      <c r="D231" s="28"/>
      <c r="E231" s="28"/>
      <c r="F231" s="28"/>
      <c r="G231" s="28"/>
      <c r="H231" s="28"/>
      <c r="I231" s="28"/>
      <c r="J231" s="28"/>
    </row>
    <row r="232" spans="1:10" x14ac:dyDescent="0.25">
      <c r="A232" s="26"/>
      <c r="B232" s="28"/>
      <c r="C232" s="28"/>
      <c r="D232" s="28"/>
      <c r="E232" s="28"/>
      <c r="F232" s="28"/>
      <c r="G232" s="28"/>
      <c r="H232" s="28"/>
      <c r="I232" s="28"/>
      <c r="J232" s="28"/>
    </row>
    <row r="233" spans="1:10" x14ac:dyDescent="0.25">
      <c r="A233" s="26"/>
      <c r="B233" s="28"/>
      <c r="C233" s="28"/>
      <c r="D233" s="28"/>
      <c r="E233" s="28"/>
      <c r="F233" s="28"/>
      <c r="G233" s="28"/>
      <c r="H233" s="28"/>
      <c r="I233" s="28"/>
      <c r="J233" s="28"/>
    </row>
    <row r="234" spans="1:10" x14ac:dyDescent="0.25">
      <c r="A234" s="26"/>
      <c r="B234" s="28"/>
      <c r="C234" s="28"/>
      <c r="D234" s="28"/>
      <c r="E234" s="28"/>
      <c r="F234" s="28"/>
      <c r="G234" s="28"/>
      <c r="H234" s="28"/>
      <c r="I234" s="28"/>
      <c r="J234" s="28"/>
    </row>
    <row r="235" spans="1:10" x14ac:dyDescent="0.25">
      <c r="A235" s="26"/>
      <c r="B235" s="28"/>
      <c r="C235" s="28"/>
      <c r="D235" s="28"/>
      <c r="E235" s="28"/>
      <c r="F235" s="28"/>
      <c r="G235" s="28"/>
      <c r="H235" s="28"/>
      <c r="I235" s="28"/>
      <c r="J235" s="28"/>
    </row>
    <row r="236" spans="1:10" x14ac:dyDescent="0.25">
      <c r="A236" s="26"/>
      <c r="B236" s="28"/>
      <c r="C236" s="28"/>
      <c r="D236" s="28"/>
      <c r="E236" s="28"/>
      <c r="F236" s="28"/>
      <c r="G236" s="28"/>
      <c r="H236" s="28"/>
      <c r="I236" s="28"/>
      <c r="J236" s="28"/>
    </row>
    <row r="237" spans="1:10" x14ac:dyDescent="0.25">
      <c r="A237" s="26"/>
      <c r="B237" s="28"/>
      <c r="C237" s="28"/>
      <c r="D237" s="28"/>
      <c r="E237" s="28"/>
      <c r="F237" s="28"/>
      <c r="G237" s="28"/>
      <c r="H237" s="28"/>
      <c r="I237" s="28"/>
      <c r="J237" s="28"/>
    </row>
    <row r="238" spans="1:10" x14ac:dyDescent="0.25">
      <c r="A238" s="26"/>
      <c r="B238" s="28"/>
      <c r="C238" s="28"/>
      <c r="D238" s="28"/>
      <c r="E238" s="28"/>
      <c r="F238" s="28"/>
      <c r="G238" s="28"/>
      <c r="H238" s="28"/>
      <c r="I238" s="28"/>
      <c r="J238" s="28"/>
    </row>
    <row r="239" spans="1:10" x14ac:dyDescent="0.25">
      <c r="A239" s="26"/>
      <c r="B239" s="28"/>
      <c r="C239" s="28"/>
      <c r="D239" s="28"/>
      <c r="E239" s="28"/>
      <c r="F239" s="28"/>
      <c r="G239" s="28"/>
      <c r="H239" s="28"/>
      <c r="I239" s="28"/>
      <c r="J239" s="28"/>
    </row>
    <row r="240" spans="1:10" x14ac:dyDescent="0.25">
      <c r="A240" s="26"/>
      <c r="B240" s="28"/>
      <c r="C240" s="28"/>
      <c r="D240" s="28"/>
      <c r="E240" s="28"/>
      <c r="F240" s="28"/>
      <c r="G240" s="28"/>
      <c r="H240" s="28"/>
      <c r="I240" s="28"/>
      <c r="J240" s="28"/>
    </row>
    <row r="241" spans="1:10" x14ac:dyDescent="0.25">
      <c r="A241" s="26"/>
      <c r="B241" s="28"/>
      <c r="C241" s="28"/>
      <c r="D241" s="28"/>
      <c r="E241" s="28"/>
      <c r="F241" s="28"/>
      <c r="G241" s="28"/>
      <c r="H241" s="28"/>
      <c r="I241" s="28"/>
      <c r="J241" s="28"/>
    </row>
    <row r="242" spans="1:10" x14ac:dyDescent="0.25">
      <c r="A242" s="26"/>
      <c r="B242" s="28"/>
      <c r="C242" s="28"/>
      <c r="D242" s="28"/>
      <c r="E242" s="28"/>
      <c r="F242" s="28"/>
      <c r="G242" s="28"/>
      <c r="H242" s="28"/>
      <c r="I242" s="28"/>
      <c r="J242" s="28"/>
    </row>
    <row r="243" spans="1:10" x14ac:dyDescent="0.25">
      <c r="A243" s="26"/>
      <c r="B243" s="28"/>
      <c r="C243" s="28"/>
      <c r="D243" s="28"/>
      <c r="E243" s="28"/>
      <c r="F243" s="28"/>
      <c r="G243" s="28"/>
      <c r="H243" s="28"/>
      <c r="I243" s="28"/>
      <c r="J243" s="28"/>
    </row>
    <row r="244" spans="1:10" x14ac:dyDescent="0.25">
      <c r="A244" s="26"/>
      <c r="B244" s="28"/>
      <c r="C244" s="28"/>
      <c r="D244" s="28"/>
      <c r="E244" s="28"/>
      <c r="F244" s="28"/>
      <c r="G244" s="28"/>
      <c r="H244" s="28"/>
      <c r="I244" s="28"/>
      <c r="J244" s="28"/>
    </row>
    <row r="245" spans="1:10" x14ac:dyDescent="0.25">
      <c r="A245" s="26"/>
      <c r="B245" s="28"/>
      <c r="C245" s="28"/>
      <c r="D245" s="28"/>
      <c r="E245" s="28"/>
      <c r="F245" s="28"/>
      <c r="G245" s="28"/>
      <c r="H245" s="28"/>
      <c r="I245" s="28"/>
      <c r="J245" s="28"/>
    </row>
    <row r="246" spans="1:10" x14ac:dyDescent="0.25">
      <c r="A246" s="26"/>
      <c r="B246" s="28"/>
      <c r="C246" s="28"/>
      <c r="D246" s="28"/>
      <c r="E246" s="28"/>
      <c r="F246" s="28"/>
      <c r="G246" s="28"/>
      <c r="H246" s="28"/>
      <c r="I246" s="28"/>
      <c r="J246" s="28"/>
    </row>
    <row r="247" spans="1:10" x14ac:dyDescent="0.25">
      <c r="A247" s="26"/>
      <c r="B247" s="28"/>
      <c r="C247" s="28"/>
      <c r="D247" s="28"/>
      <c r="E247" s="28"/>
      <c r="F247" s="28"/>
      <c r="G247" s="28"/>
      <c r="H247" s="28"/>
      <c r="I247" s="28"/>
      <c r="J247" s="28"/>
    </row>
    <row r="248" spans="1:10" x14ac:dyDescent="0.25">
      <c r="A248" s="26"/>
      <c r="B248" s="28"/>
      <c r="C248" s="28"/>
      <c r="D248" s="28"/>
      <c r="E248" s="28"/>
      <c r="F248" s="28"/>
      <c r="G248" s="28"/>
      <c r="H248" s="28"/>
      <c r="I248" s="28"/>
      <c r="J248" s="28"/>
    </row>
    <row r="249" spans="1:10" x14ac:dyDescent="0.25">
      <c r="A249" s="26"/>
      <c r="B249" s="28"/>
      <c r="C249" s="28"/>
      <c r="D249" s="28"/>
      <c r="E249" s="28"/>
      <c r="F249" s="28"/>
      <c r="G249" s="28"/>
      <c r="H249" s="28"/>
      <c r="I249" s="28"/>
      <c r="J249" s="28"/>
    </row>
    <row r="250" spans="1:10" x14ac:dyDescent="0.25">
      <c r="A250" s="26"/>
      <c r="B250" s="28"/>
      <c r="C250" s="28"/>
      <c r="D250" s="28"/>
      <c r="E250" s="28"/>
      <c r="F250" s="28"/>
      <c r="G250" s="28"/>
      <c r="H250" s="28"/>
      <c r="I250" s="28"/>
      <c r="J250" s="28"/>
    </row>
    <row r="251" spans="1:10" x14ac:dyDescent="0.25">
      <c r="A251" s="26"/>
      <c r="B251" s="28"/>
      <c r="C251" s="28"/>
      <c r="D251" s="28"/>
      <c r="E251" s="28"/>
      <c r="F251" s="28"/>
      <c r="G251" s="28"/>
      <c r="H251" s="28"/>
      <c r="I251" s="28"/>
      <c r="J251" s="28"/>
    </row>
    <row r="252" spans="1:10" x14ac:dyDescent="0.25">
      <c r="A252" s="26"/>
      <c r="B252" s="28"/>
      <c r="C252" s="28"/>
      <c r="D252" s="28"/>
      <c r="E252" s="28"/>
      <c r="F252" s="28"/>
      <c r="G252" s="28"/>
      <c r="H252" s="28"/>
      <c r="I252" s="28"/>
      <c r="J252" s="28"/>
    </row>
    <row r="253" spans="1:10" x14ac:dyDescent="0.25">
      <c r="A253" s="26"/>
      <c r="B253" s="28"/>
      <c r="C253" s="28"/>
      <c r="D253" s="28"/>
      <c r="E253" s="28"/>
      <c r="F253" s="28"/>
      <c r="G253" s="28"/>
      <c r="H253" s="28"/>
      <c r="I253" s="28"/>
      <c r="J253" s="28"/>
    </row>
    <row r="254" spans="1:10" x14ac:dyDescent="0.25">
      <c r="A254" s="26"/>
      <c r="B254" s="28"/>
      <c r="C254" s="28"/>
      <c r="D254" s="28"/>
      <c r="E254" s="28"/>
      <c r="F254" s="28"/>
      <c r="G254" s="28"/>
      <c r="H254" s="28"/>
      <c r="I254" s="28"/>
      <c r="J254" s="28"/>
    </row>
    <row r="255" spans="1:10" x14ac:dyDescent="0.25">
      <c r="A255" s="26"/>
      <c r="B255" s="28"/>
      <c r="C255" s="28"/>
      <c r="D255" s="28"/>
      <c r="E255" s="28"/>
      <c r="F255" s="28"/>
      <c r="G255" s="28"/>
      <c r="H255" s="28"/>
      <c r="I255" s="28"/>
      <c r="J255" s="28"/>
    </row>
    <row r="256" spans="1:10" x14ac:dyDescent="0.25">
      <c r="A256" s="26"/>
      <c r="B256" s="28"/>
      <c r="C256" s="28"/>
      <c r="D256" s="28"/>
      <c r="E256" s="28"/>
      <c r="F256" s="28"/>
      <c r="G256" s="28"/>
      <c r="H256" s="28"/>
      <c r="I256" s="28"/>
      <c r="J256" s="28"/>
    </row>
    <row r="257" spans="1:10" x14ac:dyDescent="0.25">
      <c r="A257" s="26"/>
      <c r="B257" s="28"/>
      <c r="C257" s="28"/>
      <c r="D257" s="28"/>
      <c r="E257" s="28"/>
      <c r="F257" s="28"/>
      <c r="G257" s="28"/>
      <c r="H257" s="28"/>
      <c r="I257" s="28"/>
      <c r="J257" s="28"/>
    </row>
    <row r="258" spans="1:10" x14ac:dyDescent="0.25">
      <c r="A258" s="26"/>
      <c r="B258" s="28"/>
      <c r="C258" s="28"/>
      <c r="D258" s="28"/>
      <c r="E258" s="28"/>
      <c r="F258" s="28"/>
      <c r="G258" s="28"/>
      <c r="H258" s="28"/>
      <c r="I258" s="28"/>
      <c r="J258" s="28"/>
    </row>
    <row r="259" spans="1:10" x14ac:dyDescent="0.25">
      <c r="A259" s="26"/>
      <c r="B259" s="28"/>
      <c r="C259" s="28"/>
      <c r="D259" s="28"/>
      <c r="E259" s="28"/>
      <c r="F259" s="28"/>
      <c r="G259" s="28"/>
      <c r="H259" s="28"/>
      <c r="I259" s="28"/>
      <c r="J259" s="28"/>
    </row>
    <row r="260" spans="1:10" x14ac:dyDescent="0.25">
      <c r="A260" s="26"/>
      <c r="B260" s="28"/>
      <c r="C260" s="28"/>
      <c r="D260" s="28"/>
      <c r="E260" s="28"/>
      <c r="F260" s="28"/>
      <c r="G260" s="28"/>
      <c r="H260" s="28"/>
      <c r="I260" s="28"/>
      <c r="J260" s="28"/>
    </row>
    <row r="261" spans="1:10" x14ac:dyDescent="0.25">
      <c r="A261" s="26"/>
      <c r="B261" s="28"/>
      <c r="C261" s="28"/>
      <c r="D261" s="28"/>
      <c r="E261" s="28"/>
      <c r="F261" s="28"/>
      <c r="G261" s="28"/>
      <c r="H261" s="28"/>
      <c r="I261" s="28"/>
      <c r="J261" s="28"/>
    </row>
    <row r="262" spans="1:10" x14ac:dyDescent="0.25">
      <c r="A262" s="26"/>
      <c r="B262" s="28"/>
      <c r="C262" s="28"/>
      <c r="D262" s="28"/>
      <c r="E262" s="28"/>
      <c r="F262" s="28"/>
      <c r="G262" s="28"/>
      <c r="H262" s="28"/>
      <c r="I262" s="28"/>
      <c r="J262" s="28"/>
    </row>
    <row r="263" spans="1:10" x14ac:dyDescent="0.25">
      <c r="A263" s="26"/>
      <c r="B263" s="28"/>
      <c r="C263" s="28"/>
      <c r="D263" s="28"/>
      <c r="E263" s="28"/>
      <c r="F263" s="28"/>
      <c r="G263" s="28"/>
      <c r="H263" s="28"/>
      <c r="I263" s="28"/>
      <c r="J263" s="28"/>
    </row>
    <row r="264" spans="1:10" x14ac:dyDescent="0.25">
      <c r="A264" s="26"/>
      <c r="B264" s="28"/>
      <c r="C264" s="28"/>
      <c r="D264" s="28"/>
      <c r="E264" s="28"/>
      <c r="F264" s="28"/>
      <c r="G264" s="28"/>
      <c r="H264" s="28"/>
      <c r="I264" s="28"/>
      <c r="J264" s="28"/>
    </row>
    <row r="265" spans="1:10" x14ac:dyDescent="0.25">
      <c r="A265" s="26"/>
      <c r="B265" s="28"/>
      <c r="C265" s="28"/>
      <c r="D265" s="28"/>
      <c r="E265" s="28"/>
      <c r="F265" s="28"/>
      <c r="G265" s="28"/>
      <c r="H265" s="28"/>
      <c r="I265" s="28"/>
      <c r="J265" s="28"/>
    </row>
    <row r="266" spans="1:10" x14ac:dyDescent="0.25">
      <c r="A266" s="26"/>
      <c r="B266" s="28"/>
      <c r="C266" s="28"/>
      <c r="D266" s="28"/>
      <c r="E266" s="28"/>
      <c r="F266" s="28"/>
      <c r="G266" s="28"/>
      <c r="H266" s="28"/>
      <c r="I266" s="28"/>
      <c r="J266" s="28"/>
    </row>
    <row r="267" spans="1:10" x14ac:dyDescent="0.25">
      <c r="A267" s="26"/>
      <c r="B267" s="28"/>
      <c r="C267" s="28"/>
      <c r="D267" s="28"/>
      <c r="E267" s="28"/>
      <c r="F267" s="28"/>
      <c r="G267" s="28"/>
      <c r="H267" s="28"/>
      <c r="I267" s="28"/>
      <c r="J267" s="28"/>
    </row>
    <row r="268" spans="1:10" x14ac:dyDescent="0.25">
      <c r="A268" s="26"/>
      <c r="B268" s="28"/>
      <c r="C268" s="28"/>
      <c r="D268" s="28"/>
      <c r="E268" s="28"/>
      <c r="F268" s="28"/>
      <c r="G268" s="28"/>
      <c r="H268" s="28"/>
      <c r="I268" s="28"/>
      <c r="J268" s="28"/>
    </row>
    <row r="269" spans="1:10" x14ac:dyDescent="0.25">
      <c r="A269" s="26"/>
      <c r="B269" s="28"/>
      <c r="C269" s="28"/>
      <c r="D269" s="28"/>
      <c r="E269" s="28"/>
      <c r="F269" s="28"/>
      <c r="G269" s="28"/>
      <c r="H269" s="28"/>
      <c r="I269" s="28"/>
      <c r="J269" s="28"/>
    </row>
    <row r="270" spans="1:10" x14ac:dyDescent="0.25">
      <c r="A270" s="26"/>
      <c r="B270" s="28"/>
      <c r="C270" s="28"/>
      <c r="D270" s="28"/>
      <c r="E270" s="28"/>
      <c r="F270" s="28"/>
      <c r="G270" s="28"/>
      <c r="H270" s="28"/>
      <c r="I270" s="28"/>
      <c r="J270" s="28"/>
    </row>
    <row r="271" spans="1:10" x14ac:dyDescent="0.25">
      <c r="A271" s="26"/>
      <c r="B271" s="28"/>
      <c r="C271" s="28"/>
      <c r="D271" s="28"/>
      <c r="E271" s="28"/>
      <c r="F271" s="28"/>
      <c r="G271" s="28"/>
      <c r="H271" s="28"/>
      <c r="I271" s="28"/>
      <c r="J271" s="28"/>
    </row>
    <row r="272" spans="1:10" x14ac:dyDescent="0.25">
      <c r="A272" s="26"/>
      <c r="B272" s="28"/>
      <c r="C272" s="28"/>
      <c r="D272" s="28"/>
      <c r="E272" s="28"/>
      <c r="F272" s="28"/>
      <c r="G272" s="28"/>
      <c r="H272" s="28"/>
      <c r="I272" s="28"/>
      <c r="J272" s="28"/>
    </row>
    <row r="273" spans="1:10" x14ac:dyDescent="0.25">
      <c r="A273" s="26"/>
      <c r="B273" s="28"/>
      <c r="C273" s="28"/>
      <c r="D273" s="28"/>
      <c r="E273" s="28"/>
      <c r="F273" s="28"/>
      <c r="G273" s="28"/>
      <c r="H273" s="28"/>
      <c r="I273" s="28"/>
      <c r="J273" s="28"/>
    </row>
    <row r="274" spans="1:10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</row>
    <row r="275" spans="1:10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</row>
    <row r="276" spans="1:10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</row>
    <row r="277" spans="1:10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</row>
    <row r="278" spans="1:10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</row>
    <row r="279" spans="1:10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</row>
    <row r="280" spans="1:10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</row>
    <row r="281" spans="1:10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</row>
    <row r="282" spans="1:10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</row>
    <row r="283" spans="1:10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</row>
    <row r="284" spans="1:10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</row>
    <row r="285" spans="1:10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</row>
    <row r="286" spans="1:10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</row>
    <row r="287" spans="1:10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</row>
    <row r="288" spans="1:10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</row>
    <row r="289" spans="1:10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</row>
    <row r="290" spans="1:10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</row>
    <row r="291" spans="1:10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</row>
    <row r="292" spans="1:10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</row>
    <row r="293" spans="1:10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</row>
    <row r="294" spans="1:10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</row>
    <row r="295" spans="1:10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</row>
    <row r="296" spans="1:10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</row>
    <row r="297" spans="1:10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</row>
    <row r="298" spans="1:10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</row>
    <row r="299" spans="1:10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</row>
    <row r="300" spans="1:10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</row>
    <row r="301" spans="1:10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6"/>
    </row>
    <row r="302" spans="1:10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6"/>
    </row>
    <row r="303" spans="1:10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</row>
    <row r="304" spans="1:10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6"/>
    </row>
    <row r="305" spans="1:10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</row>
    <row r="306" spans="1:10" x14ac:dyDescent="0.25">
      <c r="A306" s="26"/>
      <c r="B306" s="26"/>
      <c r="C306" s="26"/>
      <c r="D306" s="26"/>
      <c r="E306" s="26"/>
      <c r="F306" s="26"/>
      <c r="G306" s="26"/>
      <c r="H306" s="26"/>
      <c r="I306" s="26"/>
      <c r="J306" s="26"/>
    </row>
    <row r="307" spans="1:10" x14ac:dyDescent="0.25">
      <c r="A307" s="26"/>
      <c r="B307" s="26"/>
      <c r="C307" s="26"/>
      <c r="D307" s="26"/>
      <c r="E307" s="26"/>
      <c r="F307" s="26"/>
      <c r="G307" s="26"/>
      <c r="H307" s="26"/>
      <c r="I307" s="26"/>
      <c r="J307" s="26"/>
    </row>
    <row r="308" spans="1:10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</row>
    <row r="309" spans="1:10" x14ac:dyDescent="0.25">
      <c r="A309" s="26"/>
      <c r="B309" s="26"/>
      <c r="C309" s="26"/>
      <c r="D309" s="26"/>
      <c r="E309" s="26"/>
      <c r="F309" s="26"/>
      <c r="G309" s="26"/>
      <c r="H309" s="26"/>
      <c r="I309" s="26"/>
      <c r="J309" s="26"/>
    </row>
    <row r="310" spans="1:10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</row>
    <row r="311" spans="1:10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</row>
    <row r="312" spans="1:10" x14ac:dyDescent="0.25">
      <c r="A312" s="26"/>
      <c r="B312" s="26"/>
      <c r="C312" s="26"/>
      <c r="D312" s="26"/>
      <c r="E312" s="26"/>
      <c r="F312" s="26"/>
      <c r="G312" s="26"/>
      <c r="H312" s="26"/>
      <c r="I312" s="26"/>
      <c r="J312" s="26"/>
    </row>
    <row r="313" spans="1:10" x14ac:dyDescent="0.25">
      <c r="A313" s="26"/>
      <c r="B313" s="26"/>
      <c r="C313" s="26"/>
      <c r="D313" s="26"/>
      <c r="E313" s="26"/>
      <c r="F313" s="26"/>
      <c r="G313" s="26"/>
      <c r="H313" s="26"/>
      <c r="I313" s="26"/>
      <c r="J313" s="26"/>
    </row>
    <row r="314" spans="1:10" x14ac:dyDescent="0.25">
      <c r="A314" s="26"/>
      <c r="B314" s="26"/>
      <c r="C314" s="26"/>
      <c r="D314" s="26"/>
      <c r="E314" s="26"/>
      <c r="F314" s="26"/>
      <c r="G314" s="26"/>
      <c r="H314" s="26"/>
      <c r="I314" s="26"/>
      <c r="J314" s="26"/>
    </row>
    <row r="315" spans="1:10" x14ac:dyDescent="0.25">
      <c r="A315" s="26"/>
      <c r="B315" s="26"/>
      <c r="C315" s="26"/>
      <c r="D315" s="26"/>
      <c r="E315" s="26"/>
      <c r="F315" s="26"/>
      <c r="G315" s="26"/>
      <c r="H315" s="26"/>
      <c r="I315" s="26"/>
      <c r="J315" s="26"/>
    </row>
    <row r="316" spans="1:10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</row>
    <row r="317" spans="1:10" x14ac:dyDescent="0.25">
      <c r="A317" s="26"/>
      <c r="B317" s="26"/>
      <c r="C317" s="26"/>
      <c r="D317" s="26"/>
      <c r="E317" s="26"/>
      <c r="F317" s="26"/>
      <c r="G317" s="26"/>
      <c r="H317" s="26"/>
      <c r="I317" s="26"/>
      <c r="J317" s="26"/>
    </row>
    <row r="318" spans="1:10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</row>
    <row r="319" spans="1:10" x14ac:dyDescent="0.25">
      <c r="A319" s="26"/>
      <c r="B319" s="26"/>
      <c r="C319" s="26"/>
      <c r="D319" s="26"/>
      <c r="E319" s="26"/>
      <c r="F319" s="26"/>
      <c r="G319" s="26"/>
      <c r="H319" s="26"/>
      <c r="I319" s="26"/>
      <c r="J319" s="26"/>
    </row>
    <row r="320" spans="1:10" x14ac:dyDescent="0.25">
      <c r="A320" s="26"/>
      <c r="B320" s="26"/>
      <c r="C320" s="26"/>
      <c r="D320" s="26"/>
      <c r="E320" s="26"/>
      <c r="F320" s="26"/>
      <c r="G320" s="26"/>
      <c r="H320" s="26"/>
      <c r="I320" s="26"/>
      <c r="J320" s="26"/>
    </row>
    <row r="321" spans="1:10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</row>
  </sheetData>
  <mergeCells count="13">
    <mergeCell ref="K11:K12"/>
    <mergeCell ref="D11:G11"/>
    <mergeCell ref="H11:I11"/>
    <mergeCell ref="A11:A12"/>
    <mergeCell ref="J11:J12"/>
    <mergeCell ref="B11:C11"/>
    <mergeCell ref="B9:D9"/>
    <mergeCell ref="A10:J10"/>
    <mergeCell ref="A2:J2"/>
    <mergeCell ref="A3:J3"/>
    <mergeCell ref="A4:J4"/>
    <mergeCell ref="A5:J5"/>
    <mergeCell ref="B7:D7"/>
  </mergeCells>
  <printOptions horizontalCentered="1"/>
  <pageMargins left="0.19685039370078741" right="0.23622047244094491" top="0.59055118110236227" bottom="0.62992125984251968" header="0.31496062992125984" footer="0.31496062992125984"/>
  <pageSetup paperSize="9" scale="72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view="pageBreakPreview" topLeftCell="A11" zoomScale="108" zoomScaleNormal="100" zoomScaleSheetLayoutView="108" workbookViewId="0">
      <selection activeCell="J31" sqref="J31:K31"/>
    </sheetView>
  </sheetViews>
  <sheetFormatPr defaultRowHeight="15" x14ac:dyDescent="0.25"/>
  <cols>
    <col min="1" max="1" width="21.5703125" customWidth="1"/>
    <col min="2" max="2" width="17.5703125" customWidth="1"/>
    <col min="12" max="12" width="11.85546875" customWidth="1"/>
  </cols>
  <sheetData>
    <row r="1" spans="1:12" s="1" customFormat="1" ht="52.5" customHeight="1" x14ac:dyDescent="0.25"/>
    <row r="2" spans="1:12" s="1" customFormat="1" ht="10.5" customHeight="1" x14ac:dyDescent="0.25">
      <c r="A2" s="52" t="s">
        <v>28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s="1" customFormat="1" ht="15.95" customHeight="1" x14ac:dyDescent="0.25">
      <c r="A3" s="52" t="s">
        <v>29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2" s="1" customFormat="1" ht="15.95" customHeight="1" x14ac:dyDescent="0.25">
      <c r="A4" s="52" t="s">
        <v>30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s="1" customFormat="1" ht="15.95" customHeight="1" x14ac:dyDescent="0.25">
      <c r="A5" s="52" t="s">
        <v>31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2" s="1" customFormat="1" ht="15.95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2" s="1" customFormat="1" ht="8.25" customHeight="1" x14ac:dyDescent="0.25"/>
    <row r="8" spans="1:12" s="1" customFormat="1" ht="12" customHeight="1" x14ac:dyDescent="0.25">
      <c r="A8" s="1" t="s">
        <v>55</v>
      </c>
      <c r="C8" s="2" t="s">
        <v>56</v>
      </c>
      <c r="D8" s="2"/>
      <c r="G8" s="2" t="s">
        <v>9</v>
      </c>
      <c r="H8" s="25"/>
    </row>
    <row r="9" spans="1:12" s="1" customFormat="1" ht="12" customHeight="1" x14ac:dyDescent="0.25">
      <c r="C9" s="3"/>
      <c r="G9" s="3"/>
      <c r="H9" s="3"/>
    </row>
    <row r="10" spans="1:12" s="1" customFormat="1" ht="12" customHeight="1" x14ac:dyDescent="0.25">
      <c r="A10" s="1" t="s">
        <v>57</v>
      </c>
      <c r="C10" s="2" t="s">
        <v>58</v>
      </c>
      <c r="D10" s="2"/>
      <c r="G10" s="2" t="s">
        <v>10</v>
      </c>
      <c r="H10" s="4"/>
    </row>
    <row r="11" spans="1:12" ht="16.5" customHeight="1" thickBot="1" x14ac:dyDescent="0.3">
      <c r="A11" s="67" t="s">
        <v>59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</row>
    <row r="12" spans="1:12" s="16" customFormat="1" ht="18.75" customHeight="1" x14ac:dyDescent="0.2">
      <c r="A12" s="68" t="s">
        <v>4</v>
      </c>
      <c r="B12" s="70" t="s">
        <v>5</v>
      </c>
      <c r="C12" s="71"/>
      <c r="D12" s="71"/>
      <c r="E12" s="71"/>
      <c r="F12" s="71"/>
      <c r="G12" s="71"/>
      <c r="H12" s="71"/>
      <c r="I12" s="71"/>
      <c r="J12" s="71"/>
      <c r="K12" s="71"/>
      <c r="L12" s="72" t="s">
        <v>8</v>
      </c>
    </row>
    <row r="13" spans="1:12" s="16" customFormat="1" ht="24" customHeight="1" x14ac:dyDescent="0.2">
      <c r="A13" s="69"/>
      <c r="B13" s="74" t="s">
        <v>60</v>
      </c>
      <c r="C13" s="75"/>
      <c r="D13" s="75"/>
      <c r="E13" s="76"/>
      <c r="F13" s="74" t="s">
        <v>61</v>
      </c>
      <c r="G13" s="76"/>
      <c r="H13" s="74" t="s">
        <v>62</v>
      </c>
      <c r="I13" s="76"/>
      <c r="J13" s="74" t="s">
        <v>63</v>
      </c>
      <c r="K13" s="76"/>
      <c r="L13" s="73"/>
    </row>
    <row r="14" spans="1:12" s="16" customFormat="1" ht="24.95" hidden="1" customHeight="1" x14ac:dyDescent="0.2">
      <c r="A14" s="17" t="s">
        <v>64</v>
      </c>
      <c r="B14" s="63" t="s">
        <v>69</v>
      </c>
      <c r="C14" s="64"/>
      <c r="D14" s="64"/>
      <c r="E14" s="65"/>
      <c r="F14" s="63">
        <v>1</v>
      </c>
      <c r="G14" s="65"/>
      <c r="H14" s="63">
        <v>0</v>
      </c>
      <c r="I14" s="65"/>
      <c r="J14" s="63">
        <v>1</v>
      </c>
      <c r="K14" s="65"/>
      <c r="L14" s="19">
        <v>1</v>
      </c>
    </row>
    <row r="15" spans="1:12" s="21" customFormat="1" ht="25.5" hidden="1" customHeight="1" x14ac:dyDescent="0.2">
      <c r="A15" s="17" t="s">
        <v>70</v>
      </c>
      <c r="B15" s="63"/>
      <c r="C15" s="64"/>
      <c r="D15" s="64"/>
      <c r="E15" s="65"/>
      <c r="F15" s="63"/>
      <c r="G15" s="65"/>
      <c r="H15" s="63">
        <v>1</v>
      </c>
      <c r="I15" s="65"/>
      <c r="J15" s="63">
        <v>0</v>
      </c>
      <c r="K15" s="65"/>
      <c r="L15" s="35">
        <v>0</v>
      </c>
    </row>
    <row r="16" spans="1:12" s="16" customFormat="1" ht="24.95" hidden="1" customHeight="1" x14ac:dyDescent="0.2">
      <c r="A16" s="17" t="s">
        <v>64</v>
      </c>
      <c r="B16" s="63" t="s">
        <v>71</v>
      </c>
      <c r="C16" s="64"/>
      <c r="D16" s="64"/>
      <c r="E16" s="65"/>
      <c r="F16" s="63">
        <v>2</v>
      </c>
      <c r="G16" s="65"/>
      <c r="H16" s="63">
        <v>0</v>
      </c>
      <c r="I16" s="65"/>
      <c r="J16" s="63">
        <v>2</v>
      </c>
      <c r="K16" s="65"/>
      <c r="L16" s="19">
        <v>2</v>
      </c>
    </row>
    <row r="17" spans="1:12" s="16" customFormat="1" ht="28.5" hidden="1" customHeight="1" x14ac:dyDescent="0.2">
      <c r="A17" s="17" t="s">
        <v>72</v>
      </c>
      <c r="B17" s="63"/>
      <c r="C17" s="64"/>
      <c r="D17" s="64"/>
      <c r="E17" s="65"/>
      <c r="F17" s="63"/>
      <c r="G17" s="65"/>
      <c r="H17" s="63">
        <v>2</v>
      </c>
      <c r="I17" s="65"/>
      <c r="J17" s="63">
        <v>0</v>
      </c>
      <c r="K17" s="65"/>
      <c r="L17" s="35">
        <v>0</v>
      </c>
    </row>
    <row r="18" spans="1:12" s="16" customFormat="1" ht="24.95" hidden="1" customHeight="1" x14ac:dyDescent="0.2">
      <c r="A18" s="18" t="s">
        <v>92</v>
      </c>
      <c r="B18" s="62" t="s">
        <v>93</v>
      </c>
      <c r="C18" s="62"/>
      <c r="D18" s="62"/>
      <c r="E18" s="62"/>
      <c r="F18" s="62">
        <v>3</v>
      </c>
      <c r="G18" s="62"/>
      <c r="H18" s="62">
        <v>0</v>
      </c>
      <c r="I18" s="62"/>
      <c r="J18" s="62">
        <v>3</v>
      </c>
      <c r="K18" s="62"/>
      <c r="L18" s="18">
        <v>3</v>
      </c>
    </row>
    <row r="19" spans="1:12" s="16" customFormat="1" ht="24.95" hidden="1" customHeight="1" x14ac:dyDescent="0.2">
      <c r="A19" s="18" t="s">
        <v>99</v>
      </c>
      <c r="B19" s="62"/>
      <c r="C19" s="62"/>
      <c r="D19" s="62"/>
      <c r="E19" s="62"/>
      <c r="F19" s="62"/>
      <c r="G19" s="62"/>
      <c r="H19" s="62">
        <v>3</v>
      </c>
      <c r="I19" s="62"/>
      <c r="J19" s="62">
        <v>0</v>
      </c>
      <c r="K19" s="62"/>
      <c r="L19" s="36">
        <v>0</v>
      </c>
    </row>
    <row r="20" spans="1:12" s="16" customFormat="1" ht="24.95" hidden="1" customHeight="1" x14ac:dyDescent="0.2">
      <c r="A20" s="18" t="s">
        <v>100</v>
      </c>
      <c r="B20" s="62" t="s">
        <v>101</v>
      </c>
      <c r="C20" s="62"/>
      <c r="D20" s="62"/>
      <c r="E20" s="62"/>
      <c r="F20" s="62">
        <v>1</v>
      </c>
      <c r="G20" s="62"/>
      <c r="H20" s="62">
        <v>0</v>
      </c>
      <c r="I20" s="62"/>
      <c r="J20" s="62">
        <v>1</v>
      </c>
      <c r="K20" s="62"/>
      <c r="L20" s="18">
        <v>1</v>
      </c>
    </row>
    <row r="21" spans="1:12" s="16" customFormat="1" ht="24.95" hidden="1" customHeight="1" x14ac:dyDescent="0.2">
      <c r="A21" s="18" t="s">
        <v>102</v>
      </c>
      <c r="B21" s="62"/>
      <c r="C21" s="62"/>
      <c r="D21" s="62"/>
      <c r="E21" s="62"/>
      <c r="F21" s="62"/>
      <c r="G21" s="62"/>
      <c r="H21" s="62">
        <v>1</v>
      </c>
      <c r="I21" s="62"/>
      <c r="J21" s="62">
        <v>0</v>
      </c>
      <c r="K21" s="62"/>
      <c r="L21" s="36">
        <v>0</v>
      </c>
    </row>
    <row r="22" spans="1:12" s="16" customFormat="1" ht="24.95" customHeight="1" x14ac:dyDescent="0.2">
      <c r="A22" s="18" t="s">
        <v>111</v>
      </c>
      <c r="B22" s="62" t="s">
        <v>116</v>
      </c>
      <c r="C22" s="62"/>
      <c r="D22" s="62"/>
      <c r="E22" s="62"/>
      <c r="F22" s="62">
        <v>3</v>
      </c>
      <c r="G22" s="62"/>
      <c r="H22" s="62">
        <v>0</v>
      </c>
      <c r="I22" s="62"/>
      <c r="J22" s="62">
        <v>3</v>
      </c>
      <c r="K22" s="62"/>
      <c r="L22" s="37">
        <v>3</v>
      </c>
    </row>
    <row r="23" spans="1:12" s="16" customFormat="1" ht="24.95" customHeight="1" x14ac:dyDescent="0.2">
      <c r="A23" s="18" t="s">
        <v>114</v>
      </c>
      <c r="B23" s="62" t="s">
        <v>116</v>
      </c>
      <c r="C23" s="62"/>
      <c r="D23" s="62"/>
      <c r="E23" s="62"/>
      <c r="F23" s="62"/>
      <c r="G23" s="62"/>
      <c r="H23" s="62">
        <v>2</v>
      </c>
      <c r="I23" s="62"/>
      <c r="J23" s="62">
        <v>1</v>
      </c>
      <c r="K23" s="62"/>
      <c r="L23" s="40">
        <v>1</v>
      </c>
    </row>
    <row r="24" spans="1:12" s="16" customFormat="1" ht="24.95" customHeight="1" x14ac:dyDescent="0.2">
      <c r="A24" s="37" t="s">
        <v>130</v>
      </c>
      <c r="B24" s="61" t="s">
        <v>116</v>
      </c>
      <c r="C24" s="61"/>
      <c r="D24" s="61"/>
      <c r="E24" s="61"/>
      <c r="F24" s="61"/>
      <c r="G24" s="61"/>
      <c r="H24" s="61">
        <v>1</v>
      </c>
      <c r="I24" s="61"/>
      <c r="J24" s="61">
        <v>0</v>
      </c>
      <c r="K24" s="61"/>
      <c r="L24" s="42">
        <v>0</v>
      </c>
    </row>
    <row r="25" spans="1:12" s="16" customFormat="1" ht="24.95" customHeight="1" x14ac:dyDescent="0.2">
      <c r="A25" s="37" t="s">
        <v>111</v>
      </c>
      <c r="B25" s="61" t="s">
        <v>115</v>
      </c>
      <c r="C25" s="61"/>
      <c r="D25" s="61"/>
      <c r="E25" s="61"/>
      <c r="F25" s="61">
        <v>3</v>
      </c>
      <c r="G25" s="61"/>
      <c r="H25" s="61">
        <v>0</v>
      </c>
      <c r="I25" s="61"/>
      <c r="J25" s="61">
        <v>3</v>
      </c>
      <c r="K25" s="61"/>
      <c r="L25" s="40">
        <v>3</v>
      </c>
    </row>
    <row r="26" spans="1:12" s="16" customFormat="1" ht="24.95" customHeight="1" x14ac:dyDescent="0.2">
      <c r="A26" s="37" t="s">
        <v>131</v>
      </c>
      <c r="B26" s="61" t="s">
        <v>115</v>
      </c>
      <c r="C26" s="61"/>
      <c r="D26" s="61"/>
      <c r="E26" s="61"/>
      <c r="F26" s="61"/>
      <c r="G26" s="61"/>
      <c r="H26" s="61">
        <v>3</v>
      </c>
      <c r="I26" s="61"/>
      <c r="J26" s="61">
        <v>0</v>
      </c>
      <c r="K26" s="61"/>
      <c r="L26" s="42">
        <v>0</v>
      </c>
    </row>
    <row r="27" spans="1:12" s="16" customFormat="1" ht="24.95" customHeight="1" x14ac:dyDescent="0.2">
      <c r="A27" s="37" t="s">
        <v>111</v>
      </c>
      <c r="B27" s="61" t="s">
        <v>117</v>
      </c>
      <c r="C27" s="61"/>
      <c r="D27" s="61"/>
      <c r="E27" s="61"/>
      <c r="F27" s="61">
        <v>3</v>
      </c>
      <c r="G27" s="61"/>
      <c r="H27" s="61">
        <v>0</v>
      </c>
      <c r="I27" s="61"/>
      <c r="J27" s="61">
        <v>3</v>
      </c>
      <c r="K27" s="61"/>
      <c r="L27" s="40">
        <v>3</v>
      </c>
    </row>
    <row r="28" spans="1:12" s="16" customFormat="1" ht="24.95" customHeight="1" x14ac:dyDescent="0.2">
      <c r="A28" s="37" t="s">
        <v>132</v>
      </c>
      <c r="B28" s="61" t="s">
        <v>117</v>
      </c>
      <c r="C28" s="61"/>
      <c r="D28" s="61"/>
      <c r="E28" s="61"/>
      <c r="F28" s="61"/>
      <c r="G28" s="61"/>
      <c r="H28" s="61">
        <v>1</v>
      </c>
      <c r="I28" s="61"/>
      <c r="J28" s="61">
        <v>2</v>
      </c>
      <c r="K28" s="61"/>
      <c r="L28" s="40">
        <v>2</v>
      </c>
    </row>
    <row r="29" spans="1:12" s="16" customFormat="1" ht="24.95" customHeight="1" x14ac:dyDescent="0.2">
      <c r="A29" s="37" t="s">
        <v>133</v>
      </c>
      <c r="B29" s="61" t="s">
        <v>117</v>
      </c>
      <c r="C29" s="61"/>
      <c r="D29" s="61"/>
      <c r="E29" s="61"/>
      <c r="F29" s="61"/>
      <c r="G29" s="61"/>
      <c r="H29" s="61">
        <v>1</v>
      </c>
      <c r="I29" s="61"/>
      <c r="J29" s="61">
        <v>1</v>
      </c>
      <c r="K29" s="61"/>
      <c r="L29" s="40">
        <v>1</v>
      </c>
    </row>
    <row r="30" spans="1:12" s="16" customFormat="1" ht="24.95" hidden="1" customHeight="1" x14ac:dyDescent="0.2">
      <c r="A30" s="38" t="s">
        <v>118</v>
      </c>
      <c r="B30" s="62" t="s">
        <v>119</v>
      </c>
      <c r="C30" s="62"/>
      <c r="D30" s="62"/>
      <c r="E30" s="62"/>
      <c r="F30" s="62">
        <v>3</v>
      </c>
      <c r="G30" s="62"/>
      <c r="H30" s="62">
        <v>0</v>
      </c>
      <c r="I30" s="62"/>
      <c r="J30" s="62">
        <v>10</v>
      </c>
      <c r="K30" s="62"/>
      <c r="L30" s="40">
        <v>10</v>
      </c>
    </row>
    <row r="31" spans="1:12" s="16" customFormat="1" ht="30" customHeight="1" x14ac:dyDescent="0.2">
      <c r="A31" s="77" t="s">
        <v>134</v>
      </c>
      <c r="B31" s="78"/>
      <c r="C31" s="78"/>
      <c r="D31" s="78"/>
      <c r="E31" s="78"/>
      <c r="F31" s="78"/>
      <c r="G31" s="79"/>
      <c r="H31" s="82">
        <v>6</v>
      </c>
      <c r="I31" s="83"/>
      <c r="J31" s="84">
        <v>1</v>
      </c>
      <c r="K31" s="85"/>
      <c r="L31" s="41">
        <v>1</v>
      </c>
    </row>
    <row r="32" spans="1:12" s="16" customFormat="1" ht="24.95" customHeight="1" x14ac:dyDescent="0.2">
      <c r="A32" s="37" t="s">
        <v>118</v>
      </c>
      <c r="B32" s="61" t="s">
        <v>135</v>
      </c>
      <c r="C32" s="61"/>
      <c r="D32" s="61"/>
      <c r="E32" s="61"/>
      <c r="F32" s="61">
        <v>3</v>
      </c>
      <c r="G32" s="61"/>
      <c r="H32" s="61">
        <v>0</v>
      </c>
      <c r="I32" s="61"/>
      <c r="J32" s="61">
        <v>3</v>
      </c>
      <c r="K32" s="61"/>
      <c r="L32" s="40">
        <v>3</v>
      </c>
    </row>
    <row r="33" spans="1:12" s="16" customFormat="1" ht="24.95" customHeight="1" x14ac:dyDescent="0.2">
      <c r="A33" s="37" t="s">
        <v>136</v>
      </c>
      <c r="B33" s="61" t="s">
        <v>135</v>
      </c>
      <c r="C33" s="61"/>
      <c r="D33" s="61"/>
      <c r="E33" s="61"/>
      <c r="F33" s="61"/>
      <c r="G33" s="61"/>
      <c r="H33" s="61">
        <v>1</v>
      </c>
      <c r="I33" s="61"/>
      <c r="J33" s="61">
        <v>2</v>
      </c>
      <c r="K33" s="61"/>
      <c r="L33" s="40">
        <v>2</v>
      </c>
    </row>
    <row r="34" spans="1:12" ht="18.95" customHeight="1" x14ac:dyDescent="0.2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</row>
    <row r="35" spans="1:12" s="1" customFormat="1" x14ac:dyDescent="0.25">
      <c r="C35" s="7"/>
      <c r="H35" s="1" t="s">
        <v>65</v>
      </c>
    </row>
    <row r="36" spans="1:12" s="1" customFormat="1" x14ac:dyDescent="0.25">
      <c r="C36" s="7"/>
    </row>
    <row r="37" spans="1:12" x14ac:dyDescent="0.25">
      <c r="H37" s="86" t="s">
        <v>66</v>
      </c>
      <c r="I37" s="86"/>
      <c r="J37" s="86"/>
    </row>
    <row r="38" spans="1:12" x14ac:dyDescent="0.25">
      <c r="H38" s="80" t="s">
        <v>67</v>
      </c>
      <c r="I38" s="80"/>
      <c r="J38" s="80"/>
    </row>
    <row r="39" spans="1:12" x14ac:dyDescent="0.25">
      <c r="H39" s="81" t="s">
        <v>68</v>
      </c>
      <c r="I39" s="81"/>
      <c r="J39" s="81"/>
    </row>
  </sheetData>
  <mergeCells count="95">
    <mergeCell ref="B26:E26"/>
    <mergeCell ref="F26:G26"/>
    <mergeCell ref="H26:I26"/>
    <mergeCell ref="J26:K26"/>
    <mergeCell ref="B28:E28"/>
    <mergeCell ref="F28:G28"/>
    <mergeCell ref="H28:I28"/>
    <mergeCell ref="J28:K28"/>
    <mergeCell ref="H38:J38"/>
    <mergeCell ref="H39:J39"/>
    <mergeCell ref="H31:I31"/>
    <mergeCell ref="J31:K31"/>
    <mergeCell ref="H37:J37"/>
    <mergeCell ref="A31:G31"/>
    <mergeCell ref="J21:K21"/>
    <mergeCell ref="H22:I22"/>
    <mergeCell ref="J22:K22"/>
    <mergeCell ref="B25:E25"/>
    <mergeCell ref="F25:G25"/>
    <mergeCell ref="H25:I25"/>
    <mergeCell ref="J25:K25"/>
    <mergeCell ref="J23:K23"/>
    <mergeCell ref="B23:E23"/>
    <mergeCell ref="F23:G23"/>
    <mergeCell ref="H23:I23"/>
    <mergeCell ref="H21:I21"/>
    <mergeCell ref="B24:E24"/>
    <mergeCell ref="F24:G24"/>
    <mergeCell ref="H24:I24"/>
    <mergeCell ref="J24:K24"/>
    <mergeCell ref="J19:K19"/>
    <mergeCell ref="B20:E20"/>
    <mergeCell ref="F20:G20"/>
    <mergeCell ref="H20:I20"/>
    <mergeCell ref="J20:K20"/>
    <mergeCell ref="A12:A13"/>
    <mergeCell ref="B12:K12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A11:L11"/>
    <mergeCell ref="B14:E14"/>
    <mergeCell ref="F14:G14"/>
    <mergeCell ref="H14:I14"/>
    <mergeCell ref="J14:K14"/>
    <mergeCell ref="A34:L34"/>
    <mergeCell ref="H15:I15"/>
    <mergeCell ref="J15:K15"/>
    <mergeCell ref="H16:I16"/>
    <mergeCell ref="J16:K16"/>
    <mergeCell ref="H17:I17"/>
    <mergeCell ref="J17:K17"/>
    <mergeCell ref="H18:I18"/>
    <mergeCell ref="J18:K18"/>
    <mergeCell ref="B19:E19"/>
    <mergeCell ref="F19:G19"/>
    <mergeCell ref="H19:I19"/>
    <mergeCell ref="B15:E15"/>
    <mergeCell ref="F15:G15"/>
    <mergeCell ref="B16:E16"/>
    <mergeCell ref="F16:G16"/>
    <mergeCell ref="B17:E17"/>
    <mergeCell ref="F17:G17"/>
    <mergeCell ref="B18:E18"/>
    <mergeCell ref="F18:G18"/>
    <mergeCell ref="B21:E21"/>
    <mergeCell ref="F21:G21"/>
    <mergeCell ref="B22:E22"/>
    <mergeCell ref="F22:G22"/>
    <mergeCell ref="J30:K30"/>
    <mergeCell ref="F27:G27"/>
    <mergeCell ref="H27:I27"/>
    <mergeCell ref="J27:K27"/>
    <mergeCell ref="B30:E30"/>
    <mergeCell ref="B27:E27"/>
    <mergeCell ref="F30:G30"/>
    <mergeCell ref="H30:I30"/>
    <mergeCell ref="B29:E29"/>
    <mergeCell ref="F29:G29"/>
    <mergeCell ref="H29:I29"/>
    <mergeCell ref="J29:K29"/>
    <mergeCell ref="B32:E32"/>
    <mergeCell ref="F32:G32"/>
    <mergeCell ref="H32:I32"/>
    <mergeCell ref="J32:K32"/>
    <mergeCell ref="B33:E33"/>
    <mergeCell ref="F33:G33"/>
    <mergeCell ref="H33:I33"/>
    <mergeCell ref="J33:K33"/>
  </mergeCells>
  <phoneticPr fontId="12" type="noConversion"/>
  <pageMargins left="0.25" right="0.25" top="0.75" bottom="0.75" header="0.3" footer="0.3"/>
  <pageSetup paperSize="9" scale="71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view="pageBreakPreview" zoomScale="108" zoomScaleNormal="100" zoomScaleSheetLayoutView="108" workbookViewId="0">
      <selection activeCell="C20" sqref="C20"/>
    </sheetView>
  </sheetViews>
  <sheetFormatPr defaultRowHeight="15" x14ac:dyDescent="0.25"/>
  <cols>
    <col min="1" max="1" width="25.85546875" customWidth="1"/>
    <col min="2" max="12" width="9.5703125" customWidth="1"/>
  </cols>
  <sheetData>
    <row r="1" spans="1:12" s="1" customFormat="1" ht="59.45" customHeight="1" x14ac:dyDescent="0.25">
      <c r="C1" s="8"/>
      <c r="D1" s="9"/>
      <c r="H1" s="7"/>
    </row>
    <row r="2" spans="1:12" s="1" customFormat="1" ht="10.5" customHeight="1" x14ac:dyDescent="0.25">
      <c r="A2" s="52" t="s">
        <v>28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s="1" customFormat="1" ht="15.95" customHeight="1" x14ac:dyDescent="0.25">
      <c r="A3" s="52" t="s">
        <v>29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2" s="1" customFormat="1" ht="15.95" customHeight="1" x14ac:dyDescent="0.25">
      <c r="A4" s="52" t="s">
        <v>30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 s="1" customFormat="1" ht="15.95" customHeight="1" x14ac:dyDescent="0.25">
      <c r="A5" s="52" t="s">
        <v>31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10" t="s">
        <v>47</v>
      </c>
      <c r="B8" s="10"/>
      <c r="C8" s="87" t="s">
        <v>32</v>
      </c>
      <c r="D8" s="87"/>
      <c r="E8" s="87"/>
      <c r="F8" s="87"/>
      <c r="G8" s="87"/>
      <c r="I8" s="87" t="s">
        <v>33</v>
      </c>
      <c r="J8" s="87"/>
      <c r="K8" s="87"/>
      <c r="L8" s="10"/>
    </row>
    <row r="9" spans="1:12" s="1" customFormat="1" ht="12" customHeight="1" x14ac:dyDescent="0.25">
      <c r="B9" s="11"/>
      <c r="C9" s="87" t="s">
        <v>49</v>
      </c>
      <c r="D9" s="87"/>
      <c r="E9" s="87"/>
      <c r="F9" s="87"/>
      <c r="G9" s="87"/>
      <c r="I9" s="88" t="s">
        <v>34</v>
      </c>
      <c r="J9" s="88"/>
      <c r="K9" s="88"/>
      <c r="L9" s="11"/>
    </row>
    <row r="10" spans="1:12" s="1" customFormat="1" ht="12" customHeight="1" x14ac:dyDescent="0.25">
      <c r="A10" s="10" t="s">
        <v>48</v>
      </c>
      <c r="B10" s="10"/>
      <c r="C10" s="12"/>
      <c r="D10" s="11"/>
      <c r="E10" s="11"/>
      <c r="I10" s="87" t="s">
        <v>35</v>
      </c>
      <c r="J10" s="87"/>
      <c r="K10" s="87"/>
      <c r="L10" s="10"/>
    </row>
    <row r="11" spans="1:12" ht="16.5" customHeight="1" thickBot="1" x14ac:dyDescent="0.3">
      <c r="A11" s="67" t="s">
        <v>36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</row>
    <row r="12" spans="1:12" s="16" customFormat="1" ht="48" x14ac:dyDescent="0.2">
      <c r="A12" s="13" t="s">
        <v>4</v>
      </c>
      <c r="B12" s="14" t="s">
        <v>37</v>
      </c>
      <c r="C12" s="14" t="s">
        <v>38</v>
      </c>
      <c r="D12" s="14" t="s">
        <v>39</v>
      </c>
      <c r="E12" s="14" t="s">
        <v>40</v>
      </c>
      <c r="F12" s="14" t="s">
        <v>41</v>
      </c>
      <c r="G12" s="14" t="s">
        <v>42</v>
      </c>
      <c r="H12" s="14" t="s">
        <v>43</v>
      </c>
      <c r="I12" s="14" t="s">
        <v>44</v>
      </c>
      <c r="J12" s="14" t="s">
        <v>45</v>
      </c>
      <c r="K12" s="14" t="s">
        <v>46</v>
      </c>
      <c r="L12" s="15" t="s">
        <v>8</v>
      </c>
    </row>
    <row r="13" spans="1:12" s="16" customFormat="1" x14ac:dyDescent="0.2">
      <c r="A13" s="17" t="s">
        <v>50</v>
      </c>
      <c r="B13" s="5"/>
      <c r="C13" s="18"/>
      <c r="D13" s="18"/>
      <c r="E13" s="5">
        <v>2</v>
      </c>
      <c r="F13" s="5"/>
      <c r="G13" s="5"/>
      <c r="H13" s="18"/>
      <c r="I13" s="5"/>
      <c r="J13" s="5"/>
      <c r="K13" s="5"/>
      <c r="L13" s="19">
        <v>2</v>
      </c>
    </row>
    <row r="14" spans="1:12" s="16" customFormat="1" x14ac:dyDescent="0.2">
      <c r="A14" s="17" t="s">
        <v>94</v>
      </c>
      <c r="B14" s="5"/>
      <c r="C14" s="18"/>
      <c r="D14" s="18"/>
      <c r="E14" s="5">
        <v>3</v>
      </c>
      <c r="F14" s="5"/>
      <c r="G14" s="5"/>
      <c r="H14" s="18"/>
      <c r="I14" s="5"/>
      <c r="J14" s="5"/>
      <c r="K14" s="5"/>
      <c r="L14" s="89">
        <v>7</v>
      </c>
    </row>
    <row r="15" spans="1:12" s="21" customFormat="1" x14ac:dyDescent="0.2">
      <c r="A15" s="20" t="s">
        <v>53</v>
      </c>
      <c r="B15" s="5"/>
      <c r="C15" s="18"/>
      <c r="D15" s="18"/>
      <c r="E15" s="5">
        <v>1</v>
      </c>
      <c r="F15" s="5"/>
      <c r="G15" s="5"/>
      <c r="H15" s="18"/>
      <c r="I15" s="5"/>
      <c r="J15" s="5"/>
      <c r="K15" s="5"/>
      <c r="L15" s="90"/>
    </row>
    <row r="16" spans="1:12" s="21" customFormat="1" x14ac:dyDescent="0.2">
      <c r="A16" s="22" t="s">
        <v>95</v>
      </c>
      <c r="B16" s="5"/>
      <c r="C16" s="18"/>
      <c r="D16" s="18"/>
      <c r="E16" s="5">
        <v>3</v>
      </c>
      <c r="F16" s="5"/>
      <c r="G16" s="5"/>
      <c r="H16" s="18"/>
      <c r="I16" s="5"/>
      <c r="J16" s="5"/>
      <c r="K16" s="5"/>
      <c r="L16" s="91"/>
    </row>
    <row r="17" spans="1:12" s="21" customFormat="1" ht="16.5" customHeight="1" x14ac:dyDescent="0.2">
      <c r="A17" s="32" t="s">
        <v>110</v>
      </c>
      <c r="B17" s="33"/>
      <c r="C17" s="32"/>
      <c r="D17" s="32"/>
      <c r="E17" s="33">
        <v>7</v>
      </c>
      <c r="F17" s="33"/>
      <c r="G17" s="33"/>
      <c r="H17" s="32"/>
      <c r="I17" s="33"/>
      <c r="J17" s="33"/>
      <c r="K17" s="33"/>
      <c r="L17" s="34">
        <v>7</v>
      </c>
    </row>
    <row r="18" spans="1:12" s="21" customFormat="1" x14ac:dyDescent="0.2">
      <c r="A18" s="17"/>
      <c r="B18" s="5"/>
      <c r="C18" s="18"/>
      <c r="D18" s="18"/>
      <c r="E18" s="5"/>
      <c r="F18" s="5"/>
      <c r="G18" s="5"/>
      <c r="H18" s="18"/>
      <c r="I18" s="5"/>
      <c r="J18" s="5"/>
      <c r="K18" s="5"/>
      <c r="L18" s="19"/>
    </row>
    <row r="19" spans="1:12" s="21" customFormat="1" x14ac:dyDescent="0.2">
      <c r="A19" s="17"/>
      <c r="B19" s="5"/>
      <c r="C19" s="18"/>
      <c r="D19" s="18"/>
      <c r="E19" s="5"/>
      <c r="F19" s="5"/>
      <c r="G19" s="5"/>
      <c r="H19" s="18"/>
      <c r="I19" s="5"/>
      <c r="J19" s="5"/>
      <c r="K19" s="5"/>
      <c r="L19" s="19"/>
    </row>
    <row r="20" spans="1:12" s="21" customFormat="1" x14ac:dyDescent="0.2">
      <c r="A20" s="17"/>
      <c r="B20" s="5"/>
      <c r="C20" s="18"/>
      <c r="D20" s="18"/>
      <c r="E20" s="5"/>
      <c r="F20" s="5"/>
      <c r="G20" s="5"/>
      <c r="H20" s="18"/>
      <c r="I20" s="5"/>
      <c r="J20" s="5"/>
      <c r="K20" s="5"/>
      <c r="L20" s="19"/>
    </row>
    <row r="21" spans="1:12" s="21" customFormat="1" x14ac:dyDescent="0.2">
      <c r="A21" s="23"/>
      <c r="B21" s="5"/>
      <c r="C21" s="18"/>
      <c r="D21" s="18"/>
      <c r="E21" s="5"/>
      <c r="F21" s="5"/>
      <c r="G21" s="5"/>
      <c r="H21" s="18"/>
      <c r="I21" s="5"/>
      <c r="J21" s="5"/>
      <c r="K21" s="24"/>
      <c r="L21" s="19"/>
    </row>
    <row r="22" spans="1:12" ht="75.75" customHeight="1" x14ac:dyDescent="0.2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</row>
    <row r="23" spans="1:12" s="1" customFormat="1" x14ac:dyDescent="0.25">
      <c r="C23" s="7"/>
    </row>
    <row r="24" spans="1:12" s="1" customFormat="1" x14ac:dyDescent="0.25">
      <c r="C24" s="7"/>
    </row>
  </sheetData>
  <mergeCells count="12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  <mergeCell ref="L14:L16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(NE)</vt:lpstr>
      <vt:lpstr>CTO</vt:lpstr>
      <vt:lpstr>OTHER LEAVES</vt:lpstr>
      <vt:lpstr>'Leave Card (NE)'!Print_Area</vt:lpstr>
      <vt:lpstr>'OTHER LEAVES'!Print_Area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2025-12-15T07:12:12Z</cp:lastPrinted>
  <dcterms:created xsi:type="dcterms:W3CDTF">2021-10-07T06:10:16Z</dcterms:created>
  <dcterms:modified xsi:type="dcterms:W3CDTF">2025-12-15T07:14:06Z</dcterms:modified>
</cp:coreProperties>
</file>