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D1EEEE37-AC51-456F-92FF-86378B1FE1D3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Leave Card (NE) (2)" sheetId="9" r:id="rId1"/>
    <sheet name="CTO" sheetId="8" r:id="rId2"/>
  </sheets>
  <definedNames>
    <definedName name="_xlnm.Print_Area" localSheetId="0">'Leave Card (NE) (2)'!$A$1:$J$38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9" l="1"/>
  <c r="J29" i="9" s="1"/>
  <c r="I29" i="9"/>
  <c r="H30" i="9"/>
  <c r="I30" i="9"/>
  <c r="J30" i="9"/>
  <c r="I14" i="9" l="1"/>
  <c r="I15" i="9" s="1"/>
  <c r="I16" i="9" s="1"/>
  <c r="I17" i="9" s="1"/>
  <c r="H14" i="9"/>
  <c r="H15" i="9" s="1"/>
  <c r="J13" i="9"/>
  <c r="I18" i="9" l="1"/>
  <c r="J15" i="9"/>
  <c r="H16" i="9"/>
  <c r="H17" i="9" s="1"/>
  <c r="H18" i="9" s="1"/>
  <c r="H19" i="9" s="1"/>
  <c r="H20" i="9" s="1"/>
  <c r="J14" i="9"/>
  <c r="J17" i="9" l="1"/>
  <c r="H21" i="9"/>
  <c r="H22" i="9" s="1"/>
  <c r="J18" i="9"/>
  <c r="I19" i="9"/>
  <c r="I20" i="9" s="1"/>
  <c r="I21" i="9" s="1"/>
  <c r="J16" i="9"/>
  <c r="J20" i="9" l="1"/>
  <c r="J19" i="9"/>
  <c r="H23" i="9"/>
  <c r="J21" i="9"/>
  <c r="I22" i="9"/>
  <c r="I23" i="9" s="1"/>
  <c r="I24" i="9" s="1"/>
  <c r="I25" i="9" s="1"/>
  <c r="I26" i="9" s="1"/>
  <c r="I27" i="9" s="1"/>
  <c r="I28" i="9" s="1"/>
  <c r="J22" i="9" l="1"/>
  <c r="J23" i="9"/>
  <c r="H24" i="9"/>
  <c r="J24" i="9" l="1"/>
  <c r="H25" i="9"/>
  <c r="H26" i="9" s="1"/>
  <c r="J26" i="9" l="1"/>
  <c r="H27" i="9"/>
  <c r="J25" i="9"/>
  <c r="J27" i="9" l="1"/>
  <c r="H28" i="9"/>
  <c r="J28" i="9" l="1"/>
</calcChain>
</file>

<file path=xl/sharedStrings.xml><?xml version="1.0" encoding="utf-8"?>
<sst xmlns="http://schemas.openxmlformats.org/spreadsheetml/2006/main" count="78" uniqueCount="64">
  <si>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</si>
  <si>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</si>
  <si>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</si>
  <si>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</si>
  <si>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</si>
  <si>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</si>
  <si>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</si>
  <si>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</si>
  <si>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</si>
  <si>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</si>
  <si>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</si>
  <si>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</si>
  <si>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Republic of the Philippines</t>
  </si>
  <si>
    <t>Department of Education</t>
  </si>
  <si>
    <t>SCHOOLS DIVISION OF SIPALAY CITY</t>
  </si>
  <si>
    <t>DISTRICT             : _______________________</t>
  </si>
  <si>
    <t>EMPLOYEE NO   : __________</t>
  </si>
  <si>
    <t>SCHOOL/OFFICE : CID</t>
  </si>
  <si>
    <t>STATION CODE   : __________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</si>
  <si>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</si>
  <si>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</si>
  <si>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</si>
  <si>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</si>
  <si>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</si>
  <si>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NOTE:  Valid for one (1) year only</t>
  </si>
  <si>
    <t>Certified Correct:</t>
  </si>
  <si>
    <t>MA. LUISA B. CATIGAN</t>
  </si>
  <si>
    <t>Administrative Officer IV</t>
  </si>
  <si>
    <t>HRMO</t>
  </si>
  <si>
    <t>NAME         : Gonzales, Rizza</t>
  </si>
  <si>
    <t>POSITION   : Librarian II</t>
  </si>
  <si>
    <t>SPECIAL</t>
  </si>
  <si>
    <t>Name: _____________________________</t>
  </si>
  <si>
    <t>DISTRICT: ___________________________</t>
  </si>
  <si>
    <t>POSITION: __________________________</t>
  </si>
  <si>
    <t>SCHOOL/OFFICE:_____________________</t>
  </si>
  <si>
    <t xml:space="preserve">   </t>
  </si>
  <si>
    <t xml:space="preserve">  </t>
  </si>
  <si>
    <t>INSULAR PERSONNEL</t>
  </si>
  <si>
    <t>ADD: 02/3-28/2025</t>
  </si>
  <si>
    <t>ADD: 03/1-31/2025</t>
  </si>
  <si>
    <t>LESS: 05/13-14/2025</t>
  </si>
  <si>
    <t>LESS: 05/15-16/2025</t>
  </si>
  <si>
    <t>ADD: 04/1-30/2025</t>
  </si>
  <si>
    <t>LESS: 06/20/2025</t>
  </si>
  <si>
    <t>LESS:07/8/2025</t>
  </si>
  <si>
    <t>ADD: 05/1/2025-07/31/2025</t>
  </si>
  <si>
    <t>LESS: 08/11-15/2025</t>
  </si>
  <si>
    <t>NEGROS ISLAND REGION</t>
  </si>
  <si>
    <t>ADD: 08/1-31/2025</t>
  </si>
  <si>
    <t>LESS: 10/28/2025</t>
  </si>
  <si>
    <t>ADD: 09/1-30/2025</t>
  </si>
  <si>
    <t>ADD: SO # 044, S. 2025</t>
  </si>
  <si>
    <t>127TH PHILIPPINE INDEPENDENCE DAY -JULY 1, 2025</t>
  </si>
  <si>
    <t>LESS: 10/27/2025</t>
  </si>
  <si>
    <t>128th PHILIPPINE INDEPENDENCE DAY -JULY 1, 2025</t>
  </si>
  <si>
    <t>NIR</t>
  </si>
  <si>
    <t>DATE FILED: OCT 29-30</t>
  </si>
  <si>
    <t>ADD: 10/1-31/2025</t>
  </si>
  <si>
    <t>ADD: 11/1-30/2025</t>
  </si>
  <si>
    <t>LESS: 01/5-9/2026</t>
  </si>
  <si>
    <t>LESS: 12/26/2025</t>
  </si>
  <si>
    <t>LESS: 12/23/2025</t>
  </si>
  <si>
    <t>LESS: 12/22/2025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</si>
</sst>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4" fillId="0" borderId="0" xfId="0" applyFont="1"/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8" fillId="0" borderId="0" xfId="0" applyFont="1"/>
    <xf numFmtId="0" fontId="10" fillId="0" borderId="0" xfId="0" applyFont="1"/>
    <xf numFmtId="0" fontId="0" fillId="0" borderId="0" xfId="0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9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12" borderId="2" xfId="0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164" fontId="14" fillId="10" borderId="1" xfId="0" applyNumberFormat="1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101600</xdr:rowOff>
    </xdr:from>
    <xdr:to>
      <xdr:col>4</xdr:col>
      <xdr:colOff>190500</xdr:colOff>
      <xdr:row>0</xdr:row>
      <xdr:rowOff>631825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8F90BF-BF2A-4E5E-9EFC-04A998012B3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101600"/>
          <a:ext cx="64770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01E41E-5792-4656-B84D-2464005C4EEB}"/>
            </a:ext>
          </a:extLst>
        </xdr:cNvPr>
        <xdr:cNvSpPr txBox="1"/>
      </xdr:nvSpPr>
      <xdr:spPr>
        <a:xfrm>
          <a:off x="573942" y="137111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GONZALES,</a:t>
          </a:r>
          <a:r>
            <a:rPr lang="en-US" sz="1100" baseline="0"/>
            <a:t> RIZZA D.</a:t>
          </a:r>
          <a:endParaRPr lang="en-US" sz="1100"/>
        </a:p>
      </xdr:txBody>
    </xdr:sp>
    <xdr:clientData/>
  </xdr:twoCellAnchor>
  <xdr:twoCellAnchor>
    <xdr:from>
      <xdr:col>0</xdr:col>
      <xdr:colOff>730983</xdr:colOff>
      <xdr:row>7</xdr:row>
      <xdr:rowOff>51532</xdr:rowOff>
    </xdr:from>
    <xdr:to>
      <xdr:col>1</xdr:col>
      <xdr:colOff>110882</xdr:colOff>
      <xdr:row>8</xdr:row>
      <xdr:rowOff>148980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9DB11BE-9B64-488D-B05C-7407E5237975}"/>
            </a:ext>
          </a:extLst>
        </xdr:cNvPr>
        <xdr:cNvSpPr txBox="1"/>
      </xdr:nvSpPr>
      <xdr:spPr>
        <a:xfrm>
          <a:off x="730983" y="1708882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LIBRARIAN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4F5001-29D7-45BA-96A2-A00D27631922}"/>
            </a:ext>
          </a:extLst>
        </xdr:cNvPr>
        <xdr:cNvSpPr txBox="1"/>
      </xdr:nvSpPr>
      <xdr:spPr>
        <a:xfrm>
          <a:off x="38156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214996</xdr:colOff>
      <xdr:row>0</xdr:row>
      <xdr:rowOff>38099</xdr:rowOff>
    </xdr:from>
    <xdr:to>
      <xdr:col>4</xdr:col>
      <xdr:colOff>885825</xdr:colOff>
      <xdr:row>3</xdr:row>
      <xdr:rowOff>4988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C1494D-F3F2-4D0C-A00C-ABDA4E073AF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2146" y="38099"/>
          <a:ext cx="670829" cy="709839"/>
        </a:xfrm>
        <a:prstGeom prst="rect">
          <a:avLst/>
        </a:prstGeom>
        <a:noFill/>
      </xdr:spPr>
    </xdr:pic>
    <xdr:clientData/>
  </xdr:twoCellAnchor>
  <xdr:twoCellAnchor>
    <xdr:from>
      <xdr:col>0</xdr:col>
      <xdr:colOff>752475</xdr:colOff>
      <xdr:row>11</xdr:row>
      <xdr:rowOff>142875</xdr:rowOff>
    </xdr:from>
    <xdr:to>
      <xdr:col>1</xdr:col>
      <xdr:colOff>28575</xdr:colOff>
      <xdr:row>11</xdr:row>
      <xdr:rowOff>142875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1CF8219-F68E-4A40-985D-3B3004441E97}"/>
            </a:ext>
          </a:extLst>
        </xdr:cNvPr>
        <xdr:cNvCxnSpPr/>
      </xdr:nvCxnSpPr>
      <xdr:spPr>
        <a:xfrm>
          <a:off x="752475" y="1647825"/>
          <a:ext cx="1047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E239-BE4E-4E5C-B5D3-93CB8671F183}">
  <dimension ref="A1:K45"/>
  <sheetViews>
    <sheetView tabSelected="1" view="pageBreakPreview" topLeftCell="A8" zoomScaleNormal="100" zoomScaleSheetLayoutView="100" workbookViewId="0">
      <selection activeCell="C22" sqref="C22"/>
    </sheetView>
  </sheetViews>
  <sheetFormatPr defaultRowHeight="15" x14ac:dyDescent="0.25"/>
  <cols>
    <col min="1" max="1" width="39.42578125" customWidth="1"/>
    <col min="2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37" t="s">
        <v>12</v>
      </c>
      <c r="B2" s="37"/>
      <c r="C2" s="37"/>
      <c r="D2" s="37"/>
      <c r="E2" s="37"/>
      <c r="F2" s="37"/>
      <c r="G2" s="37"/>
      <c r="H2" s="37"/>
      <c r="I2" s="37"/>
      <c r="J2" s="37"/>
    </row>
    <row r="3" spans="1:11" s="1" customFormat="1" ht="15.95" customHeight="1" x14ac:dyDescent="0.25">
      <c r="A3" s="37" t="s">
        <v>13</v>
      </c>
      <c r="B3" s="37"/>
      <c r="C3" s="37"/>
      <c r="D3" s="37"/>
      <c r="E3" s="37"/>
      <c r="F3" s="37"/>
      <c r="G3" s="37"/>
      <c r="H3" s="37"/>
      <c r="I3" s="37"/>
      <c r="J3" s="37"/>
    </row>
    <row r="4" spans="1:11" s="1" customFormat="1" ht="15.95" customHeight="1" x14ac:dyDescent="0.25">
      <c r="A4" s="37" t="s">
        <v>48</v>
      </c>
      <c r="B4" s="37"/>
      <c r="C4" s="37"/>
      <c r="D4" s="37"/>
      <c r="E4" s="37"/>
      <c r="F4" s="37"/>
      <c r="G4" s="37"/>
      <c r="H4" s="37"/>
      <c r="I4" s="37"/>
      <c r="J4" s="37"/>
    </row>
    <row r="5" spans="1:11" s="1" customFormat="1" ht="15.95" customHeight="1" x14ac:dyDescent="0.25">
      <c r="A5" s="37" t="s">
        <v>14</v>
      </c>
      <c r="B5" s="37"/>
      <c r="C5" s="37"/>
      <c r="D5" s="37"/>
      <c r="E5" s="37"/>
      <c r="F5" s="37"/>
      <c r="G5" s="37"/>
      <c r="H5" s="37"/>
      <c r="I5" s="37"/>
      <c r="J5" s="37"/>
    </row>
    <row r="6" spans="1:11" s="1" customFormat="1" ht="8.25" customHeight="1" x14ac:dyDescent="0.25"/>
    <row r="7" spans="1:11" s="1" customFormat="1" ht="12" customHeight="1" x14ac:dyDescent="0.25">
      <c r="A7" s="1" t="s">
        <v>32</v>
      </c>
      <c r="B7" s="36" t="s">
        <v>33</v>
      </c>
      <c r="C7" s="36"/>
      <c r="D7" s="36"/>
      <c r="H7" s="4" t="s">
        <v>9</v>
      </c>
      <c r="I7" s="18">
        <v>6446422</v>
      </c>
      <c r="J7" s="4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34</v>
      </c>
      <c r="B9" s="36" t="s">
        <v>35</v>
      </c>
      <c r="C9" s="36"/>
      <c r="D9" s="36"/>
      <c r="H9" s="4" t="s">
        <v>10</v>
      </c>
      <c r="I9" s="5" t="s">
        <v>38</v>
      </c>
      <c r="J9" s="4"/>
    </row>
    <row r="10" spans="1:11" ht="16.5" customHeight="1" thickBot="1" x14ac:dyDescent="0.3">
      <c r="A10" s="41" t="s">
        <v>0</v>
      </c>
      <c r="B10" s="41"/>
      <c r="C10" s="41"/>
      <c r="D10" s="41"/>
      <c r="E10" s="41"/>
      <c r="F10" s="41"/>
      <c r="G10" s="41"/>
      <c r="H10" s="41"/>
      <c r="I10" s="41"/>
      <c r="J10" s="41"/>
      <c r="K10"/>
    </row>
    <row r="11" spans="1:11" s="19" customFormat="1" ht="15.95" customHeight="1" x14ac:dyDescent="0.25">
      <c r="A11" s="42" t="s">
        <v>4</v>
      </c>
      <c r="B11" s="44" t="s">
        <v>5</v>
      </c>
      <c r="C11" s="44"/>
      <c r="D11" s="45" t="s">
        <v>6</v>
      </c>
      <c r="E11" s="46"/>
      <c r="F11" s="46"/>
      <c r="G11" s="47"/>
      <c r="H11" s="48" t="s">
        <v>7</v>
      </c>
      <c r="I11" s="48"/>
      <c r="J11" s="49" t="s">
        <v>8</v>
      </c>
      <c r="K11" s="38" t="s">
        <v>11</v>
      </c>
    </row>
    <row r="12" spans="1:11" s="19" customFormat="1" ht="15.95" customHeight="1" x14ac:dyDescent="0.25">
      <c r="A12" s="43"/>
      <c r="B12" s="3" t="s">
        <v>1</v>
      </c>
      <c r="C12" s="3" t="s">
        <v>2</v>
      </c>
      <c r="D12" s="3" t="s">
        <v>1</v>
      </c>
      <c r="E12" s="3" t="s">
        <v>2</v>
      </c>
      <c r="F12" s="3" t="s">
        <v>3</v>
      </c>
      <c r="G12" s="3" t="s">
        <v>31</v>
      </c>
      <c r="H12" s="3" t="s">
        <v>1</v>
      </c>
      <c r="I12" s="3" t="s">
        <v>2</v>
      </c>
      <c r="J12" s="50"/>
      <c r="K12" s="38"/>
    </row>
    <row r="13" spans="1:11" s="19" customFormat="1" ht="15.95" customHeight="1" x14ac:dyDescent="0.25">
      <c r="A13" s="31" t="s">
        <v>39</v>
      </c>
      <c r="B13" s="32">
        <v>1.167</v>
      </c>
      <c r="C13" s="32">
        <v>1.167</v>
      </c>
      <c r="D13" s="32"/>
      <c r="E13" s="32"/>
      <c r="F13" s="32"/>
      <c r="G13" s="32"/>
      <c r="H13" s="32">
        <v>0.83299999999999996</v>
      </c>
      <c r="I13" s="32">
        <v>0.83299999999999996</v>
      </c>
      <c r="J13" s="32">
        <f>SUM(H13:I13)</f>
        <v>1.6659999999999999</v>
      </c>
      <c r="K13" s="20"/>
    </row>
    <row r="14" spans="1:11" s="19" customFormat="1" ht="15.95" customHeight="1" x14ac:dyDescent="0.25">
      <c r="A14" s="31" t="s">
        <v>40</v>
      </c>
      <c r="B14" s="32">
        <v>1.25</v>
      </c>
      <c r="C14" s="32">
        <v>1.25</v>
      </c>
      <c r="D14" s="32"/>
      <c r="E14" s="32"/>
      <c r="F14" s="32"/>
      <c r="G14" s="32"/>
      <c r="H14" s="32">
        <f>H13-F14-D14+B14</f>
        <v>2.0830000000000002</v>
      </c>
      <c r="I14" s="32">
        <f>I13-E14+C14</f>
        <v>2.0830000000000002</v>
      </c>
      <c r="J14" s="32">
        <f t="shared" ref="J14" si="0">SUM(H14:I14)</f>
        <v>4.1660000000000004</v>
      </c>
      <c r="K14" s="20"/>
    </row>
    <row r="15" spans="1:11" s="19" customFormat="1" ht="15.95" customHeight="1" x14ac:dyDescent="0.25">
      <c r="A15" s="31" t="s">
        <v>41</v>
      </c>
      <c r="B15" s="32"/>
      <c r="C15" s="32"/>
      <c r="D15" s="32"/>
      <c r="E15" s="32"/>
      <c r="F15" s="33">
        <v>2</v>
      </c>
      <c r="G15" s="32"/>
      <c r="H15" s="32">
        <f t="shared" ref="H15:H16" si="1">H14-F15-D15+B15</f>
        <v>8.3000000000000185E-2</v>
      </c>
      <c r="I15" s="32">
        <f t="shared" ref="I15:I16" si="2">I14-E15+C15</f>
        <v>2.0830000000000002</v>
      </c>
      <c r="J15" s="32">
        <f t="shared" ref="J15:J16" si="3">SUM(H15:I15)</f>
        <v>2.1660000000000004</v>
      </c>
      <c r="K15" s="20"/>
    </row>
    <row r="16" spans="1:11" s="19" customFormat="1" ht="15.95" customHeight="1" x14ac:dyDescent="0.25">
      <c r="A16" s="31" t="s">
        <v>42</v>
      </c>
      <c r="B16" s="32"/>
      <c r="C16" s="32"/>
      <c r="D16" s="32"/>
      <c r="E16" s="32"/>
      <c r="F16" s="32"/>
      <c r="G16" s="34">
        <v>2</v>
      </c>
      <c r="H16" s="32">
        <f t="shared" si="1"/>
        <v>8.3000000000000185E-2</v>
      </c>
      <c r="I16" s="32">
        <f t="shared" si="2"/>
        <v>2.0830000000000002</v>
      </c>
      <c r="J16" s="32">
        <f t="shared" si="3"/>
        <v>2.1660000000000004</v>
      </c>
      <c r="K16" s="20"/>
    </row>
    <row r="17" spans="1:11" s="19" customFormat="1" ht="15.95" customHeight="1" x14ac:dyDescent="0.25">
      <c r="A17" s="31" t="s">
        <v>43</v>
      </c>
      <c r="B17" s="35">
        <v>1.25</v>
      </c>
      <c r="C17" s="35">
        <v>1.25</v>
      </c>
      <c r="D17" s="35"/>
      <c r="E17" s="35"/>
      <c r="F17" s="35"/>
      <c r="G17" s="35"/>
      <c r="H17" s="32">
        <f t="shared" ref="H17:H18" si="4">H16-F17-D17+B17</f>
        <v>1.3330000000000002</v>
      </c>
      <c r="I17" s="32">
        <f t="shared" ref="I17:I18" si="5">I16-E17+C17</f>
        <v>3.3330000000000002</v>
      </c>
      <c r="J17" s="32">
        <f t="shared" ref="J17:J18" si="6">SUM(H17:I17)</f>
        <v>4.6660000000000004</v>
      </c>
      <c r="K17" s="20"/>
    </row>
    <row r="18" spans="1:11" s="19" customFormat="1" ht="15.95" customHeight="1" x14ac:dyDescent="0.25">
      <c r="A18" s="31" t="s">
        <v>45</v>
      </c>
      <c r="B18" s="35"/>
      <c r="C18" s="35"/>
      <c r="D18" s="35">
        <v>1</v>
      </c>
      <c r="E18" s="35"/>
      <c r="F18" s="35"/>
      <c r="G18" s="35"/>
      <c r="H18" s="32">
        <f t="shared" si="4"/>
        <v>0.33300000000000018</v>
      </c>
      <c r="I18" s="32">
        <f t="shared" si="5"/>
        <v>3.3330000000000002</v>
      </c>
      <c r="J18" s="32">
        <f t="shared" si="6"/>
        <v>3.6660000000000004</v>
      </c>
      <c r="K18" s="20"/>
    </row>
    <row r="19" spans="1:11" s="19" customFormat="1" ht="15.95" customHeight="1" x14ac:dyDescent="0.25">
      <c r="A19" s="31" t="s">
        <v>44</v>
      </c>
      <c r="B19" s="35"/>
      <c r="C19" s="35"/>
      <c r="D19" s="35"/>
      <c r="E19" s="35"/>
      <c r="F19" s="35"/>
      <c r="G19" s="34">
        <v>1</v>
      </c>
      <c r="H19" s="32">
        <f t="shared" ref="H19" si="7">H18-F19-D19+B19</f>
        <v>0.33300000000000018</v>
      </c>
      <c r="I19" s="32">
        <f t="shared" ref="I19" si="8">I18-E19+C19</f>
        <v>3.3330000000000002</v>
      </c>
      <c r="J19" s="32">
        <f t="shared" ref="J19" si="9">SUM(H19:I19)</f>
        <v>3.6660000000000004</v>
      </c>
      <c r="K19" s="20"/>
    </row>
    <row r="20" spans="1:11" s="19" customFormat="1" ht="15.95" customHeight="1" x14ac:dyDescent="0.25">
      <c r="A20" s="31" t="s">
        <v>46</v>
      </c>
      <c r="B20" s="35">
        <v>3.75</v>
      </c>
      <c r="C20" s="35">
        <v>3.75</v>
      </c>
      <c r="D20" s="35"/>
      <c r="E20" s="35"/>
      <c r="F20" s="35"/>
      <c r="G20" s="35"/>
      <c r="H20" s="32">
        <f t="shared" ref="H20:H21" si="10">H19-F20-D20+B20</f>
        <v>4.0830000000000002</v>
      </c>
      <c r="I20" s="32">
        <f t="shared" ref="I20:I21" si="11">I19-E20+C20</f>
        <v>7.0830000000000002</v>
      </c>
      <c r="J20" s="32">
        <f t="shared" ref="J20:J21" si="12">SUM(H20:I20)</f>
        <v>11.166</v>
      </c>
      <c r="K20" s="20"/>
    </row>
    <row r="21" spans="1:11" s="19" customFormat="1" ht="15.95" customHeight="1" x14ac:dyDescent="0.25">
      <c r="A21" s="31" t="s">
        <v>47</v>
      </c>
      <c r="B21" s="35"/>
      <c r="C21" s="35"/>
      <c r="D21" s="35"/>
      <c r="E21" s="35">
        <v>5</v>
      </c>
      <c r="F21" s="35"/>
      <c r="G21" s="35"/>
      <c r="H21" s="32">
        <f t="shared" si="10"/>
        <v>4.0830000000000002</v>
      </c>
      <c r="I21" s="32">
        <f t="shared" si="11"/>
        <v>2.0830000000000002</v>
      </c>
      <c r="J21" s="32">
        <f t="shared" si="12"/>
        <v>6.1660000000000004</v>
      </c>
      <c r="K21" s="20"/>
    </row>
    <row r="22" spans="1:11" s="19" customFormat="1" ht="15.95" customHeight="1" x14ac:dyDescent="0.25">
      <c r="A22" s="31" t="s">
        <v>49</v>
      </c>
      <c r="B22" s="35">
        <v>1.25</v>
      </c>
      <c r="C22" s="35">
        <v>1.25</v>
      </c>
      <c r="D22" s="35"/>
      <c r="E22" s="35"/>
      <c r="F22" s="35"/>
      <c r="G22" s="35"/>
      <c r="H22" s="32">
        <f t="shared" ref="H22:H23" si="13">H21-F22-D22+B22</f>
        <v>5.3330000000000002</v>
      </c>
      <c r="I22" s="32">
        <f t="shared" ref="I22:I23" si="14">I21-E22+C22</f>
        <v>3.3330000000000002</v>
      </c>
      <c r="J22" s="32">
        <f t="shared" ref="J22:J23" si="15">SUM(H22:I22)</f>
        <v>8.6660000000000004</v>
      </c>
      <c r="K22" s="20"/>
    </row>
    <row r="23" spans="1:11" s="19" customFormat="1" ht="15.95" customHeight="1" x14ac:dyDescent="0.25">
      <c r="A23" s="31" t="s">
        <v>50</v>
      </c>
      <c r="B23" s="35"/>
      <c r="C23" s="35"/>
      <c r="D23" s="35"/>
      <c r="E23" s="35"/>
      <c r="F23" s="33">
        <v>1</v>
      </c>
      <c r="G23" s="35"/>
      <c r="H23" s="32">
        <f t="shared" si="13"/>
        <v>4.3330000000000002</v>
      </c>
      <c r="I23" s="32">
        <f t="shared" si="14"/>
        <v>3.3330000000000002</v>
      </c>
      <c r="J23" s="32">
        <f t="shared" si="15"/>
        <v>7.6660000000000004</v>
      </c>
      <c r="K23" s="20"/>
    </row>
    <row r="24" spans="1:11" s="19" customFormat="1" ht="15.95" customHeight="1" x14ac:dyDescent="0.25">
      <c r="A24" s="31" t="s">
        <v>51</v>
      </c>
      <c r="B24" s="35">
        <v>1.25</v>
      </c>
      <c r="C24" s="35">
        <v>1.25</v>
      </c>
      <c r="D24" s="35"/>
      <c r="E24" s="35"/>
      <c r="F24" s="35"/>
      <c r="G24" s="35"/>
      <c r="H24" s="32">
        <f t="shared" ref="H24" si="16">H23-F24-D24+B24</f>
        <v>5.5830000000000002</v>
      </c>
      <c r="I24" s="32">
        <f t="shared" ref="I24" si="17">I23-E24+C24</f>
        <v>4.5830000000000002</v>
      </c>
      <c r="J24" s="32">
        <f t="shared" ref="J24" si="18">SUM(H24:I24)</f>
        <v>10.166</v>
      </c>
      <c r="K24" s="20"/>
    </row>
    <row r="25" spans="1:11" s="19" customFormat="1" ht="15.95" customHeight="1" x14ac:dyDescent="0.25">
      <c r="A25" s="31" t="s">
        <v>63</v>
      </c>
      <c r="B25" s="35"/>
      <c r="C25" s="35"/>
      <c r="D25" s="35">
        <v>1</v>
      </c>
      <c r="E25" s="35"/>
      <c r="F25" s="35"/>
      <c r="G25" s="35"/>
      <c r="H25" s="32">
        <f t="shared" ref="H25" si="19">H24-F25-D25+B25</f>
        <v>4.5830000000000002</v>
      </c>
      <c r="I25" s="32">
        <f t="shared" ref="I25" si="20">I24-E25+C25</f>
        <v>4.5830000000000002</v>
      </c>
      <c r="J25" s="32">
        <f t="shared" ref="J25" si="21">SUM(H25:I25)</f>
        <v>9.1660000000000004</v>
      </c>
      <c r="K25" s="30" t="s">
        <v>57</v>
      </c>
    </row>
    <row r="26" spans="1:11" s="19" customFormat="1" ht="15.95" customHeight="1" x14ac:dyDescent="0.25">
      <c r="A26" s="31" t="s">
        <v>58</v>
      </c>
      <c r="B26" s="35">
        <v>1.25</v>
      </c>
      <c r="C26" s="35">
        <v>1.25</v>
      </c>
      <c r="D26" s="35"/>
      <c r="E26" s="35"/>
      <c r="F26" s="35"/>
      <c r="G26" s="35"/>
      <c r="H26" s="32">
        <f t="shared" ref="H26:H28" si="22">H25-F26-D26+B26</f>
        <v>5.8330000000000002</v>
      </c>
      <c r="I26" s="32">
        <f t="shared" ref="I26:I28" si="23">I25-E26+C26</f>
        <v>5.8330000000000002</v>
      </c>
      <c r="J26" s="32">
        <f t="shared" ref="J26:J30" si="24">SUM(H26:I26)</f>
        <v>11.666</v>
      </c>
      <c r="K26" s="30"/>
    </row>
    <row r="27" spans="1:11" s="19" customFormat="1" ht="15.95" customHeight="1" x14ac:dyDescent="0.25">
      <c r="A27" s="31" t="s">
        <v>61</v>
      </c>
      <c r="B27" s="35"/>
      <c r="C27" s="35"/>
      <c r="D27" s="35"/>
      <c r="E27" s="35"/>
      <c r="F27" s="33">
        <v>1</v>
      </c>
      <c r="G27" s="35"/>
      <c r="H27" s="32">
        <f t="shared" si="22"/>
        <v>4.8330000000000002</v>
      </c>
      <c r="I27" s="32">
        <f t="shared" si="23"/>
        <v>5.8330000000000002</v>
      </c>
      <c r="J27" s="32">
        <f t="shared" si="24"/>
        <v>10.666</v>
      </c>
      <c r="K27" s="30"/>
    </row>
    <row r="28" spans="1:11" s="19" customFormat="1" ht="15.95" customHeight="1" x14ac:dyDescent="0.25">
      <c r="A28" s="31" t="s">
        <v>59</v>
      </c>
      <c r="B28" s="35">
        <v>1.25</v>
      </c>
      <c r="C28" s="35">
        <v>1.25</v>
      </c>
      <c r="D28" s="35"/>
      <c r="E28" s="35"/>
      <c r="F28" s="35"/>
      <c r="G28" s="35"/>
      <c r="H28" s="32">
        <f t="shared" si="22"/>
        <v>6.0830000000000002</v>
      </c>
      <c r="I28" s="32">
        <f t="shared" si="23"/>
        <v>7.0830000000000002</v>
      </c>
      <c r="J28" s="32">
        <f t="shared" si="24"/>
        <v>13.166</v>
      </c>
      <c r="K28" s="30"/>
    </row>
    <row r="29" spans="1:11" s="19" customFormat="1" ht="15.95" customHeight="1" x14ac:dyDescent="0.25">
      <c r="A29" s="31" t="s">
        <v>62</v>
      </c>
      <c r="B29" s="35"/>
      <c r="C29" s="35"/>
      <c r="D29" s="35"/>
      <c r="E29" s="35"/>
      <c r="F29" s="33">
        <v>1</v>
      </c>
      <c r="G29" s="35"/>
      <c r="H29" s="32">
        <f t="shared" ref="H29:H30" si="25">H28-F29-D29+B29</f>
        <v>5.0830000000000002</v>
      </c>
      <c r="I29" s="32">
        <f t="shared" ref="I29:I30" si="26">I28-E29+C29</f>
        <v>7.0830000000000002</v>
      </c>
      <c r="J29" s="32">
        <f t="shared" ref="J29:J30" si="27">SUM(H29:I29)</f>
        <v>12.166</v>
      </c>
      <c r="K29" s="30"/>
    </row>
    <row r="30" spans="1:11" s="19" customFormat="1" ht="15.95" customHeight="1" x14ac:dyDescent="0.25">
      <c r="A30" s="31" t="s">
        <v>60</v>
      </c>
      <c r="B30" s="35"/>
      <c r="C30" s="35"/>
      <c r="D30" s="35">
        <v>5</v>
      </c>
      <c r="E30" s="35"/>
      <c r="F30" s="35"/>
      <c r="G30" s="35"/>
      <c r="H30" s="32">
        <f t="shared" si="25"/>
        <v>8.3000000000000185E-2</v>
      </c>
      <c r="I30" s="32">
        <f t="shared" si="26"/>
        <v>7.0830000000000002</v>
      </c>
      <c r="J30" s="32">
        <f t="shared" si="27"/>
        <v>7.1660000000000004</v>
      </c>
      <c r="K30" s="30"/>
    </row>
    <row r="31" spans="1:11" s="19" customFormat="1" ht="15.95" customHeight="1" x14ac:dyDescent="0.25">
      <c r="A31" s="31"/>
      <c r="B31" s="35"/>
      <c r="C31" s="35"/>
      <c r="D31" s="35"/>
      <c r="E31" s="35"/>
      <c r="F31" s="35"/>
      <c r="G31" s="35"/>
      <c r="H31" s="35"/>
      <c r="I31" s="35"/>
      <c r="J31" s="35"/>
      <c r="K31" s="30"/>
    </row>
    <row r="32" spans="1:11" s="19" customFormat="1" ht="15.95" customHeight="1" x14ac:dyDescent="0.25">
      <c r="B32" s="21"/>
      <c r="C32" s="21"/>
      <c r="D32" s="21"/>
      <c r="E32" s="21"/>
      <c r="F32" s="21"/>
      <c r="G32" s="21"/>
      <c r="H32" s="24"/>
      <c r="I32" s="24"/>
      <c r="J32" s="24"/>
      <c r="K32" s="20"/>
    </row>
    <row r="33" spans="2:11" s="19" customFormat="1" ht="15.95" customHeight="1" x14ac:dyDescent="0.25">
      <c r="B33" s="24"/>
      <c r="C33" s="24"/>
      <c r="D33" s="24"/>
      <c r="E33" s="24"/>
      <c r="F33" s="24"/>
      <c r="G33" s="21"/>
      <c r="H33" s="24"/>
      <c r="I33" s="24"/>
      <c r="J33" s="24"/>
      <c r="K33" s="20"/>
    </row>
    <row r="34" spans="2:11" s="1" customFormat="1" ht="15.95" customHeight="1" x14ac:dyDescent="0.25">
      <c r="H34" s="1" t="s">
        <v>25</v>
      </c>
    </row>
    <row r="35" spans="2:11" s="1" customFormat="1" ht="15.95" customHeight="1" x14ac:dyDescent="0.25"/>
    <row r="36" spans="2:11" s="1" customFormat="1" ht="15.95" customHeight="1" x14ac:dyDescent="0.25">
      <c r="H36" s="39" t="s">
        <v>26</v>
      </c>
      <c r="I36" s="39"/>
    </row>
    <row r="37" spans="2:11" s="1" customFormat="1" ht="15.95" customHeight="1" x14ac:dyDescent="0.25">
      <c r="H37" s="1" t="s">
        <v>27</v>
      </c>
    </row>
    <row r="38" spans="2:11" s="1" customFormat="1" ht="15.95" customHeight="1" x14ac:dyDescent="0.25">
      <c r="H38" s="40" t="s">
        <v>28</v>
      </c>
      <c r="I38" s="40"/>
    </row>
    <row r="39" spans="2:11" s="19" customFormat="1" ht="15.95" customHeight="1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0"/>
    </row>
    <row r="40" spans="2:11" s="19" customFormat="1" ht="15.95" customHeight="1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0"/>
    </row>
    <row r="41" spans="2:11" s="19" customFormat="1" ht="15.95" customHeight="1" x14ac:dyDescent="0.25">
      <c r="B41" s="21"/>
      <c r="C41" s="21"/>
      <c r="D41" s="21"/>
      <c r="E41" s="21"/>
      <c r="F41" s="21"/>
      <c r="G41" s="21"/>
      <c r="H41" s="21"/>
      <c r="I41" s="21"/>
      <c r="J41" s="21"/>
      <c r="K41" s="20"/>
    </row>
    <row r="42" spans="2:11" s="19" customFormat="1" ht="15.95" customHeight="1" x14ac:dyDescent="0.25">
      <c r="K42" s="20"/>
    </row>
    <row r="43" spans="2:11" s="19" customFormat="1" ht="15.95" customHeight="1" x14ac:dyDescent="0.25">
      <c r="K43" s="20"/>
    </row>
    <row r="44" spans="2:11" s="19" customFormat="1" ht="15.95" customHeight="1" x14ac:dyDescent="0.25">
      <c r="K44" s="20"/>
    </row>
    <row r="45" spans="2:11" s="19" customFormat="1" ht="15.95" customHeight="1" x14ac:dyDescent="0.25">
      <c r="K45" s="20"/>
    </row>
  </sheetData>
  <mergeCells count="15">
    <mergeCell ref="K11:K12"/>
    <mergeCell ref="H36:I36"/>
    <mergeCell ref="H38:I38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honeticPr fontId="11" type="noConversion"/>
  <printOptions horizontalCentered="1"/>
  <pageMargins left="0.23622047244094491" right="0.23622047244094491" top="0.23622047244094491" bottom="0.23622047244094491" header="0.31496062992125984" footer="0.31496062992125984"/>
  <pageSetup paperSize="9" scale="65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7F59-6798-4B0C-8FDF-B53D18D0AACC}">
  <sheetPr>
    <pageSetUpPr fitToPage="1"/>
  </sheetPr>
  <dimension ref="A1:K25"/>
  <sheetViews>
    <sheetView view="pageBreakPreview" zoomScaleNormal="100" zoomScaleSheetLayoutView="100" workbookViewId="0">
      <selection activeCell="A20" sqref="A20:K20"/>
    </sheetView>
  </sheetViews>
  <sheetFormatPr defaultRowHeight="15" x14ac:dyDescent="0.25"/>
  <cols>
    <col min="1" max="1" width="25.42578125" customWidth="1"/>
    <col min="2" max="2" width="14.28515625" customWidth="1"/>
    <col min="5" max="5" width="21" customWidth="1"/>
    <col min="6" max="10" width="9.140625" style="26"/>
    <col min="11" max="11" width="11.5703125" style="26" customWidth="1"/>
  </cols>
  <sheetData>
    <row r="1" spans="1:11" s="1" customFormat="1" ht="20.100000000000001" customHeight="1" x14ac:dyDescent="0.25">
      <c r="C1" s="8"/>
      <c r="D1" s="9"/>
      <c r="F1" s="7"/>
      <c r="G1" s="7"/>
      <c r="H1" s="7"/>
      <c r="I1" s="7"/>
      <c r="J1" s="7"/>
      <c r="K1" s="7"/>
    </row>
    <row r="2" spans="1:11" s="1" customFormat="1" ht="20.100000000000001" customHeight="1" x14ac:dyDescent="0.25">
      <c r="C2" s="8"/>
      <c r="D2" s="9"/>
      <c r="F2" s="7"/>
      <c r="G2" s="7"/>
      <c r="H2" s="7"/>
      <c r="I2" s="7"/>
      <c r="J2" s="7"/>
      <c r="K2" s="7"/>
    </row>
    <row r="3" spans="1:11" s="1" customFormat="1" ht="20.100000000000001" customHeight="1" x14ac:dyDescent="0.25">
      <c r="C3" s="8"/>
      <c r="D3" s="9"/>
      <c r="F3" s="7"/>
      <c r="G3" s="7"/>
      <c r="H3" s="7"/>
      <c r="I3" s="7"/>
      <c r="J3" s="7"/>
      <c r="K3" s="7"/>
    </row>
    <row r="4" spans="1:11" s="1" customFormat="1" ht="10.5" customHeight="1" x14ac:dyDescent="0.25">
      <c r="A4" s="37" t="s">
        <v>12</v>
      </c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1" s="1" customFormat="1" ht="15.95" customHeight="1" x14ac:dyDescent="0.25">
      <c r="A5" s="37" t="s">
        <v>13</v>
      </c>
      <c r="B5" s="37"/>
      <c r="C5" s="37"/>
      <c r="D5" s="37"/>
      <c r="E5" s="37"/>
      <c r="F5" s="37"/>
      <c r="G5" s="37"/>
      <c r="H5" s="37"/>
      <c r="I5" s="37"/>
      <c r="J5" s="37"/>
      <c r="K5" s="37"/>
    </row>
    <row r="6" spans="1:11" s="1" customFormat="1" ht="15.95" customHeight="1" x14ac:dyDescent="0.25">
      <c r="A6" s="37" t="s">
        <v>56</v>
      </c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1:11" s="1" customFormat="1" ht="15.95" customHeight="1" x14ac:dyDescent="0.25">
      <c r="A7" s="37" t="s">
        <v>14</v>
      </c>
      <c r="B7" s="37"/>
      <c r="C7" s="37"/>
      <c r="D7" s="37"/>
      <c r="E7" s="37"/>
      <c r="F7" s="37"/>
      <c r="G7" s="37"/>
      <c r="H7" s="37"/>
      <c r="I7" s="37"/>
      <c r="J7" s="37"/>
      <c r="K7" s="37"/>
    </row>
    <row r="8" spans="1:11" s="1" customFormat="1" ht="8.25" customHeight="1" x14ac:dyDescent="0.25">
      <c r="C8" s="7"/>
      <c r="F8" s="7"/>
      <c r="G8" s="7"/>
      <c r="H8" s="7"/>
      <c r="I8" s="7"/>
      <c r="J8" s="7"/>
      <c r="K8" s="7"/>
    </row>
    <row r="9" spans="1:11" s="1" customFormat="1" ht="8.25" customHeight="1" x14ac:dyDescent="0.25">
      <c r="C9" s="7"/>
      <c r="F9" s="7"/>
      <c r="G9" s="7"/>
      <c r="H9" s="7"/>
      <c r="I9" s="7"/>
      <c r="J9" s="7"/>
      <c r="K9" s="7"/>
    </row>
    <row r="10" spans="1:11" s="1" customFormat="1" ht="12" customHeight="1" x14ac:dyDescent="0.25">
      <c r="A10" s="10" t="s">
        <v>29</v>
      </c>
      <c r="B10" s="10"/>
      <c r="C10" s="54" t="s">
        <v>15</v>
      </c>
      <c r="D10" s="54"/>
      <c r="E10" s="54"/>
      <c r="F10" s="54"/>
      <c r="G10" s="7"/>
      <c r="H10" s="56" t="s">
        <v>16</v>
      </c>
      <c r="I10" s="56"/>
      <c r="J10" s="56"/>
      <c r="K10" s="28"/>
    </row>
    <row r="11" spans="1:11" s="1" customFormat="1" ht="12" customHeight="1" x14ac:dyDescent="0.25">
      <c r="B11" s="11"/>
      <c r="C11" s="54" t="s">
        <v>17</v>
      </c>
      <c r="D11" s="54"/>
      <c r="E11" s="54"/>
      <c r="F11" s="54"/>
      <c r="G11" s="7"/>
      <c r="H11" s="55" t="s">
        <v>18</v>
      </c>
      <c r="I11" s="55"/>
      <c r="J11" s="55"/>
      <c r="K11" s="12"/>
    </row>
    <row r="12" spans="1:11" s="1" customFormat="1" ht="12" customHeight="1" x14ac:dyDescent="0.25">
      <c r="A12" s="10" t="s">
        <v>30</v>
      </c>
      <c r="B12" s="10"/>
      <c r="C12" s="12"/>
      <c r="D12" s="11"/>
      <c r="E12" s="11"/>
      <c r="F12" s="7"/>
      <c r="G12" s="7"/>
      <c r="H12" s="56" t="s">
        <v>19</v>
      </c>
      <c r="I12" s="56"/>
      <c r="J12" s="56"/>
      <c r="K12" s="28"/>
    </row>
    <row r="13" spans="1:11" ht="16.5" customHeight="1" thickBot="1" x14ac:dyDescent="0.3">
      <c r="A13" s="57" t="s">
        <v>20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</row>
    <row r="14" spans="1:11" s="13" customFormat="1" ht="18.75" customHeight="1" x14ac:dyDescent="0.2">
      <c r="A14" s="58" t="s">
        <v>4</v>
      </c>
      <c r="B14" s="60" t="s">
        <v>5</v>
      </c>
      <c r="C14" s="61"/>
      <c r="D14" s="61"/>
      <c r="E14" s="61"/>
      <c r="F14" s="61"/>
      <c r="G14" s="61"/>
      <c r="H14" s="61"/>
      <c r="I14" s="61"/>
      <c r="J14" s="61"/>
      <c r="K14" s="62" t="s">
        <v>8</v>
      </c>
    </row>
    <row r="15" spans="1:11" s="13" customFormat="1" ht="24" customHeight="1" x14ac:dyDescent="0.2">
      <c r="A15" s="59"/>
      <c r="B15" s="64" t="s">
        <v>21</v>
      </c>
      <c r="C15" s="65"/>
      <c r="D15" s="65"/>
      <c r="E15" s="66"/>
      <c r="F15" s="27" t="s">
        <v>22</v>
      </c>
      <c r="G15" s="64" t="s">
        <v>23</v>
      </c>
      <c r="H15" s="66"/>
      <c r="I15" s="64" t="s">
        <v>37</v>
      </c>
      <c r="J15" s="66"/>
      <c r="K15" s="63"/>
    </row>
    <row r="16" spans="1:11" s="13" customFormat="1" ht="29.45" customHeight="1" x14ac:dyDescent="0.2">
      <c r="A16" s="22" t="s">
        <v>52</v>
      </c>
      <c r="B16" s="68" t="s">
        <v>53</v>
      </c>
      <c r="C16" s="69"/>
      <c r="D16" s="69"/>
      <c r="E16" s="70"/>
      <c r="F16" s="25">
        <v>1</v>
      </c>
      <c r="G16" s="68">
        <v>0</v>
      </c>
      <c r="H16" s="70"/>
      <c r="I16" s="68">
        <v>1</v>
      </c>
      <c r="J16" s="70"/>
      <c r="K16" s="23">
        <v>1</v>
      </c>
    </row>
    <row r="17" spans="1:11" s="14" customFormat="1" ht="25.5" customHeight="1" x14ac:dyDescent="0.2">
      <c r="A17" s="22" t="s">
        <v>54</v>
      </c>
      <c r="B17" s="68" t="s">
        <v>55</v>
      </c>
      <c r="C17" s="69"/>
      <c r="D17" s="69"/>
      <c r="E17" s="70"/>
      <c r="F17" s="25"/>
      <c r="G17" s="68">
        <v>1</v>
      </c>
      <c r="H17" s="70"/>
      <c r="I17" s="68">
        <v>0</v>
      </c>
      <c r="J17" s="70"/>
      <c r="K17" s="29">
        <v>0</v>
      </c>
    </row>
    <row r="18" spans="1:11" s="14" customFormat="1" ht="38.25" customHeight="1" x14ac:dyDescent="0.2">
      <c r="A18" s="22"/>
      <c r="B18" s="68"/>
      <c r="C18" s="69"/>
      <c r="D18" s="69"/>
      <c r="E18" s="70"/>
      <c r="F18" s="25"/>
      <c r="G18" s="68"/>
      <c r="H18" s="70"/>
      <c r="I18" s="68"/>
      <c r="J18" s="70"/>
      <c r="K18" s="23"/>
    </row>
    <row r="19" spans="1:11" s="14" customFormat="1" x14ac:dyDescent="0.2">
      <c r="A19" s="15" t="s">
        <v>24</v>
      </c>
      <c r="B19" s="16"/>
      <c r="C19" s="16"/>
      <c r="D19" s="16"/>
      <c r="E19" s="16"/>
      <c r="F19" s="16"/>
      <c r="G19" s="16"/>
      <c r="H19" s="16"/>
      <c r="I19" s="16"/>
      <c r="J19" s="16"/>
      <c r="K19" s="17"/>
    </row>
    <row r="20" spans="1:11" ht="8.25" customHeight="1" x14ac:dyDescent="0.25">
      <c r="A20" s="67" t="s">
        <v>36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</row>
    <row r="21" spans="1:11" s="1" customFormat="1" x14ac:dyDescent="0.25">
      <c r="C21" s="7"/>
      <c r="F21" s="7"/>
      <c r="G21" s="7"/>
      <c r="H21" s="1" t="s">
        <v>25</v>
      </c>
      <c r="J21" s="7"/>
      <c r="K21" s="7"/>
    </row>
    <row r="22" spans="1:11" s="1" customFormat="1" x14ac:dyDescent="0.25">
      <c r="C22" s="7"/>
      <c r="F22" s="7"/>
      <c r="G22" s="7"/>
      <c r="J22" s="7"/>
      <c r="K22" s="7"/>
    </row>
    <row r="23" spans="1:11" x14ac:dyDescent="0.25">
      <c r="H23" s="51" t="s">
        <v>26</v>
      </c>
      <c r="I23" s="51"/>
      <c r="J23" s="51"/>
    </row>
    <row r="24" spans="1:11" x14ac:dyDescent="0.25">
      <c r="H24" s="52" t="s">
        <v>27</v>
      </c>
      <c r="I24" s="52"/>
      <c r="J24" s="52"/>
    </row>
    <row r="25" spans="1:11" x14ac:dyDescent="0.25">
      <c r="H25" s="53" t="s">
        <v>28</v>
      </c>
      <c r="I25" s="53"/>
      <c r="J25" s="53"/>
    </row>
  </sheetData>
  <mergeCells count="29">
    <mergeCell ref="I16:J16"/>
    <mergeCell ref="B17:E17"/>
    <mergeCell ref="G17:H17"/>
    <mergeCell ref="I17:J17"/>
    <mergeCell ref="B18:E18"/>
    <mergeCell ref="G18:H18"/>
    <mergeCell ref="I18:J18"/>
    <mergeCell ref="A4:K4"/>
    <mergeCell ref="A5:K5"/>
    <mergeCell ref="A6:K6"/>
    <mergeCell ref="A7:K7"/>
    <mergeCell ref="C10:F10"/>
    <mergeCell ref="H10:J10"/>
    <mergeCell ref="H23:J23"/>
    <mergeCell ref="H24:J24"/>
    <mergeCell ref="H25:J25"/>
    <mergeCell ref="C11:F11"/>
    <mergeCell ref="H11:J11"/>
    <mergeCell ref="H12:J12"/>
    <mergeCell ref="A13:K13"/>
    <mergeCell ref="A14:A15"/>
    <mergeCell ref="B14:J14"/>
    <mergeCell ref="K14:K15"/>
    <mergeCell ref="B15:E15"/>
    <mergeCell ref="G15:H15"/>
    <mergeCell ref="A20:K20"/>
    <mergeCell ref="I15:J15"/>
    <mergeCell ref="B16:E16"/>
    <mergeCell ref="G16:H16"/>
  </mergeCells>
  <phoneticPr fontId="11" type="noConversion"/>
  <printOptions horizontalCentered="1"/>
  <pageMargins left="0.7" right="0.7" top="0.75" bottom="0.75" header="0.3" footer="0.3"/>
  <pageSetup paperSize="9" scale="64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 (2)</vt:lpstr>
      <vt:lpstr>CTO</vt:lpstr>
      <vt:lpstr>'Leave Card (NE)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2026-01-14T03:08:35Z</cp:lastPrinted>
  <dcterms:created xsi:type="dcterms:W3CDTF">2021-10-07T06:10:16Z</dcterms:created>
  <dcterms:modified xsi:type="dcterms:W3CDTF">2026-01-14T03:32:30Z</dcterms:modified>
</cp:coreProperties>
</file>