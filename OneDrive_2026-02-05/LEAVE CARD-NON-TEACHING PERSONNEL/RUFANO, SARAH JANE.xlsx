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74821704-6954-40D9-AFCA-C28A8989D2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CTED" sheetId="6" r:id="rId1"/>
    <sheet name="CTO" sheetId="9" r:id="rId2"/>
    <sheet name="Leave Card (Addt'l)" sheetId="7" r:id="rId3"/>
    <sheet name="Leave Card (NE) (2)" sheetId="8" r:id="rId4"/>
  </sheets>
  <definedNames>
    <definedName name="_xlnm.Print_Area" localSheetId="0">CORRECTED!$A$1:$J$86</definedName>
    <definedName name="_xlnm.Print_Area" localSheetId="2">'Leave Card (Addt''l)'!$A$1:$K$28</definedName>
    <definedName name="_xlnm.Print_Area" localSheetId="3">'Leave Card (NE) (2)'!$A$1:$J$75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" i="6" l="1"/>
  <c r="J77" i="6" s="1"/>
  <c r="I77" i="6"/>
  <c r="I78" i="6" s="1"/>
  <c r="H78" i="6" l="1"/>
  <c r="J78" i="6" s="1"/>
  <c r="C23" i="8"/>
  <c r="B23" i="8"/>
  <c r="H14" i="8"/>
  <c r="H15" i="8" s="1"/>
  <c r="I13" i="8"/>
  <c r="J13" i="8" s="1"/>
  <c r="H13" i="8"/>
  <c r="J15" i="8" l="1"/>
  <c r="H16" i="8"/>
  <c r="I14" i="8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13" i="6"/>
  <c r="I14" i="6" s="1"/>
  <c r="I15" i="6" s="1"/>
  <c r="I16" i="6" s="1"/>
  <c r="I17" i="6" s="1"/>
  <c r="I18" i="6" s="1"/>
  <c r="I19" i="6" s="1"/>
  <c r="I20" i="6" s="1"/>
  <c r="I21" i="6" s="1"/>
  <c r="I22" i="6" s="1"/>
  <c r="H13" i="6"/>
  <c r="H14" i="6" s="1"/>
  <c r="H15" i="6" s="1"/>
  <c r="H17" i="8" l="1"/>
  <c r="J16" i="8"/>
  <c r="J14" i="8"/>
  <c r="H16" i="6"/>
  <c r="J15" i="6"/>
  <c r="J14" i="6"/>
  <c r="J17" i="8" l="1"/>
  <c r="H18" i="8"/>
  <c r="J16" i="6"/>
  <c r="H17" i="6"/>
  <c r="C23" i="6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B23" i="6"/>
  <c r="J13" i="6"/>
  <c r="H19" i="8" l="1"/>
  <c r="J18" i="8"/>
  <c r="J17" i="6"/>
  <c r="H18" i="6"/>
  <c r="J19" i="8" l="1"/>
  <c r="H20" i="8"/>
  <c r="J18" i="6"/>
  <c r="H19" i="6"/>
  <c r="H21" i="8" l="1"/>
  <c r="J20" i="8"/>
  <c r="J19" i="6"/>
  <c r="H20" i="6"/>
  <c r="J21" i="8" l="1"/>
  <c r="H22" i="8"/>
  <c r="H21" i="6"/>
  <c r="J20" i="6"/>
  <c r="H23" i="8" l="1"/>
  <c r="J22" i="8"/>
  <c r="H22" i="6"/>
  <c r="J21" i="6"/>
  <c r="H24" i="8" l="1"/>
  <c r="J23" i="8"/>
  <c r="J22" i="6"/>
  <c r="H23" i="6"/>
  <c r="H25" i="8" l="1"/>
  <c r="J24" i="8"/>
  <c r="J23" i="6"/>
  <c r="H24" i="6"/>
  <c r="J25" i="8" l="1"/>
  <c r="H26" i="8"/>
  <c r="J24" i="6"/>
  <c r="H25" i="6"/>
  <c r="H27" i="8" l="1"/>
  <c r="J26" i="8"/>
  <c r="J25" i="6"/>
  <c r="H26" i="6"/>
  <c r="H28" i="8" l="1"/>
  <c r="J27" i="8"/>
  <c r="J26" i="6"/>
  <c r="H27" i="6"/>
  <c r="H28" i="6" s="1"/>
  <c r="J28" i="6" l="1"/>
  <c r="H29" i="6"/>
  <c r="H29" i="8"/>
  <c r="J28" i="8"/>
  <c r="J27" i="6"/>
  <c r="H30" i="6" l="1"/>
  <c r="J29" i="6"/>
  <c r="J29" i="8"/>
  <c r="H30" i="8"/>
  <c r="J30" i="6" l="1"/>
  <c r="H31" i="6"/>
  <c r="H31" i="8"/>
  <c r="J30" i="8"/>
  <c r="J31" i="6" l="1"/>
  <c r="H32" i="6"/>
  <c r="H32" i="8"/>
  <c r="J31" i="8"/>
  <c r="H33" i="6" l="1"/>
  <c r="J32" i="6"/>
  <c r="H33" i="8"/>
  <c r="J32" i="8"/>
  <c r="J33" i="6" l="1"/>
  <c r="H34" i="6"/>
  <c r="J33" i="8"/>
  <c r="H34" i="8"/>
  <c r="J34" i="6" l="1"/>
  <c r="H35" i="6"/>
  <c r="H35" i="8"/>
  <c r="J34" i="8"/>
  <c r="J35" i="6" l="1"/>
  <c r="H36" i="6"/>
  <c r="H36" i="8"/>
  <c r="J35" i="8"/>
  <c r="H37" i="6" l="1"/>
  <c r="J36" i="6"/>
  <c r="H37" i="8"/>
  <c r="J36" i="8"/>
  <c r="J37" i="6" l="1"/>
  <c r="H38" i="6"/>
  <c r="J37" i="8"/>
  <c r="H38" i="8"/>
  <c r="J38" i="6" l="1"/>
  <c r="H39" i="6"/>
  <c r="H39" i="8"/>
  <c r="J38" i="8"/>
  <c r="H40" i="6" l="1"/>
  <c r="J39" i="6"/>
  <c r="H40" i="8"/>
  <c r="J39" i="8"/>
  <c r="H41" i="6" l="1"/>
  <c r="J40" i="6"/>
  <c r="H41" i="8"/>
  <c r="J40" i="8"/>
  <c r="J41" i="6" l="1"/>
  <c r="H42" i="6"/>
  <c r="J41" i="8"/>
  <c r="H42" i="8"/>
  <c r="J42" i="6" l="1"/>
  <c r="H43" i="6"/>
  <c r="H43" i="8"/>
  <c r="J42" i="8"/>
  <c r="J43" i="6" l="1"/>
  <c r="H44" i="6"/>
  <c r="H44" i="8"/>
  <c r="J43" i="8"/>
  <c r="J44" i="6" l="1"/>
  <c r="H45" i="6"/>
  <c r="H45" i="8"/>
  <c r="J44" i="8"/>
  <c r="J45" i="6" l="1"/>
  <c r="H46" i="6"/>
  <c r="J45" i="8"/>
  <c r="H46" i="8"/>
  <c r="J46" i="6" l="1"/>
  <c r="H47" i="6"/>
  <c r="H47" i="8"/>
  <c r="J46" i="8"/>
  <c r="J47" i="6" l="1"/>
  <c r="H48" i="6"/>
  <c r="H48" i="8"/>
  <c r="J47" i="8"/>
  <c r="J48" i="6" l="1"/>
  <c r="H49" i="6"/>
  <c r="H49" i="8"/>
  <c r="J48" i="8"/>
  <c r="H50" i="6" l="1"/>
  <c r="J49" i="6"/>
  <c r="J49" i="8"/>
  <c r="H50" i="8"/>
  <c r="J50" i="6" l="1"/>
  <c r="H51" i="6"/>
  <c r="H51" i="8"/>
  <c r="J50" i="8"/>
  <c r="J51" i="6" l="1"/>
  <c r="H52" i="6"/>
  <c r="H52" i="8"/>
  <c r="J51" i="8"/>
  <c r="J52" i="6" l="1"/>
  <c r="H53" i="6"/>
  <c r="H53" i="8"/>
  <c r="J52" i="8"/>
  <c r="J53" i="6" l="1"/>
  <c r="H54" i="6"/>
  <c r="J53" i="8"/>
  <c r="H54" i="8"/>
  <c r="J54" i="6" l="1"/>
  <c r="H55" i="6"/>
  <c r="H55" i="8"/>
  <c r="J54" i="8"/>
  <c r="J55" i="6" l="1"/>
  <c r="H56" i="6"/>
  <c r="H56" i="8"/>
  <c r="J55" i="8"/>
  <c r="H57" i="6" l="1"/>
  <c r="J56" i="6"/>
  <c r="H57" i="8"/>
  <c r="J56" i="8"/>
  <c r="J57" i="6" l="1"/>
  <c r="H58" i="6"/>
  <c r="J57" i="8"/>
  <c r="H58" i="8"/>
  <c r="H59" i="6" l="1"/>
  <c r="J58" i="6"/>
  <c r="H59" i="8"/>
  <c r="J58" i="8"/>
  <c r="H60" i="6" l="1"/>
  <c r="J59" i="6"/>
  <c r="H60" i="8"/>
  <c r="J59" i="8"/>
  <c r="H61" i="6" l="1"/>
  <c r="J60" i="6"/>
  <c r="H61" i="8"/>
  <c r="J60" i="8"/>
  <c r="H62" i="6" l="1"/>
  <c r="J61" i="6"/>
  <c r="J61" i="8"/>
  <c r="H62" i="8"/>
  <c r="J62" i="6" l="1"/>
  <c r="H63" i="6"/>
  <c r="H63" i="8"/>
  <c r="J62" i="8"/>
  <c r="H64" i="6" l="1"/>
  <c r="J63" i="6"/>
  <c r="H64" i="8"/>
  <c r="J63" i="8"/>
  <c r="J64" i="6" l="1"/>
  <c r="H65" i="6"/>
  <c r="H65" i="8"/>
  <c r="J64" i="8"/>
  <c r="H66" i="6" l="1"/>
  <c r="J65" i="6"/>
  <c r="J65" i="8"/>
  <c r="H66" i="8"/>
  <c r="J66" i="6" l="1"/>
  <c r="H67" i="6"/>
  <c r="H67" i="8"/>
  <c r="J66" i="8"/>
  <c r="J67" i="6" l="1"/>
  <c r="H68" i="6"/>
  <c r="J67" i="8"/>
  <c r="H68" i="8"/>
  <c r="J68" i="6" l="1"/>
  <c r="H69" i="6"/>
  <c r="H69" i="8"/>
  <c r="J69" i="8" s="1"/>
  <c r="J68" i="8"/>
  <c r="H70" i="6" l="1"/>
  <c r="J69" i="6"/>
  <c r="J70" i="6" l="1"/>
  <c r="H71" i="6"/>
  <c r="J71" i="6" l="1"/>
  <c r="H72" i="6"/>
  <c r="J72" i="6" l="1"/>
  <c r="H73" i="6"/>
  <c r="J73" i="6" l="1"/>
  <c r="H74" i="6"/>
  <c r="J74" i="6" l="1"/>
  <c r="H75" i="6"/>
  <c r="J75" i="6" l="1"/>
  <c r="H76" i="6"/>
  <c r="J76" i="6" s="1"/>
</calcChain>
</file>

<file path=xl/sharedStrings.xml><?xml version="1.0" encoding="utf-8"?>
<sst xmlns="http://schemas.openxmlformats.org/spreadsheetml/2006/main" count="248" uniqueCount="131">
  <si>
    <t>EMP. NO  :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</si>
  <si>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</si>
  <si>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</si>
  <si>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</si>
  <si>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</si>
  <si>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</si>
  <si>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</si>
  <si>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</si>
  <si>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</si>
  <si>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</si>
  <si>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</si>
  <si>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LESS: 01/ 05 - 06/ 2022</t>
  </si>
  <si>
    <t>ADD: 01/01/2022 - 07/31/2022</t>
  </si>
  <si>
    <t>LESS: 08/ 25(.5) &amp; - 26/ 2022</t>
  </si>
  <si>
    <t>ADD: 08/01/2022 - 08/31/2022</t>
  </si>
  <si>
    <t>ADD: 09/01/2022 - 09/30/2022</t>
  </si>
  <si>
    <t>LESS: 10/ 21 &amp; 24/ 2022</t>
  </si>
  <si>
    <t>LESS: 10/ 7/ 2022</t>
  </si>
  <si>
    <t>LESS: MONETIZATION 2022</t>
  </si>
  <si>
    <t>ADD: 10/01/2022 - 11/30/2022</t>
  </si>
  <si>
    <t>LESS: 12/ 27, 28 &amp; 29/ 2022</t>
  </si>
  <si>
    <t>ADD: DISAPPROVED FL 2022</t>
  </si>
  <si>
    <t>ADD: 12/01/2022 - 12/31/2022</t>
  </si>
  <si>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</si>
  <si>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</si>
  <si>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</si>
  <si>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</si>
  <si>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</si>
  <si>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</si>
  <si>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</si>
  <si>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</si>
  <si>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</si>
  <si>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</si>
  <si>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</si>
  <si>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</si>
  <si>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</si>
  <si>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</si>
  <si>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</si>
  <si>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</si>
  <si>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</si>
  <si>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</si>
  <si>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</si>
  <si>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</si>
  <si>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</si>
  <si>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</si>
  <si>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01/16-18/23</t>
  </si>
  <si>
    <t>LESS: 02/06/2023</t>
  </si>
  <si>
    <t>ADD: 01/01/2023 - 01/31/2023</t>
  </si>
  <si>
    <t>ADD: 02/01/2023- 02/28/2023</t>
  </si>
  <si>
    <t>LESS: 03/17(PM) &amp; 23(AM)/2023</t>
  </si>
  <si>
    <t>ADD: 03/01/2023- 04/30/2023</t>
  </si>
  <si>
    <t>LESS: 05/12/23</t>
  </si>
  <si>
    <t>ADD: 05/01/2023- 05/31/2023</t>
  </si>
  <si>
    <t>LESS: 06/19/23</t>
  </si>
  <si>
    <t>ADD: 06/01/2023- 06/30/2023</t>
  </si>
  <si>
    <t>LESS: 07/11/23</t>
  </si>
  <si>
    <t>SPECIAL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</si>
  <si>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</si>
  <si>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</si>
  <si>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</si>
  <si>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</si>
  <si>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07/15/2019 - 07/31/2019</t>
  </si>
  <si>
    <t>ADD: 08/01/2019 - 12/31/2019</t>
  </si>
  <si>
    <t>LESS: FL 2020</t>
  </si>
  <si>
    <t>ADD: 01/01/2020 - 12/31/2020</t>
  </si>
  <si>
    <t>ADD: 01/01/2021 - 12/31/2021</t>
  </si>
  <si>
    <t>LESS: MONETIZATION 2021</t>
  </si>
  <si>
    <t>LESS: 12/16/2021</t>
  </si>
  <si>
    <t>LESS:12/27, 28 &amp; 29/ 2021</t>
  </si>
  <si>
    <t>LESS: FL 2021</t>
  </si>
  <si>
    <t>LESS: 06/22/23(8AM - 10:30AM) LATE</t>
  </si>
  <si>
    <t>ADD: 07/01/2023- 08/31/2023</t>
  </si>
  <si>
    <t>LESS: MONETIZATION 2023</t>
  </si>
  <si>
    <t>Certified Correct:</t>
  </si>
  <si>
    <t>MA. LUISA B. CATIGAN</t>
  </si>
  <si>
    <t>Administrative Officer IV</t>
  </si>
  <si>
    <t>HRMO</t>
  </si>
  <si>
    <t>ADD: 09/01/2023-11/30/2023</t>
  </si>
  <si>
    <t>LESS: 12/27-28/2023</t>
  </si>
  <si>
    <t>ADD: 12/01/2023-12/31/2023</t>
  </si>
  <si>
    <t>ADD: (DISAPPROVED FL-12/28/2023)</t>
  </si>
  <si>
    <t>ADD: 01/01/2024-03/31/2024</t>
  </si>
  <si>
    <t>LESS: 04/03/2024</t>
  </si>
  <si>
    <t>ADD: 04/1-30/2024</t>
  </si>
  <si>
    <t>LESS: 05/28/2024</t>
  </si>
  <si>
    <t>ADD: 05/1/2024-06/30/2024</t>
  </si>
  <si>
    <t>LESS: 07/17/2024</t>
  </si>
  <si>
    <t>ADD: JULY 1-31, 2024</t>
  </si>
  <si>
    <t>LESS: MONETIZATION 2024</t>
  </si>
  <si>
    <t>LESS: 07/26/2024 (UNDERTIME)</t>
  </si>
  <si>
    <t>ADD: 08/1-31/2024</t>
  </si>
  <si>
    <t>LESS: 09/20/2024</t>
  </si>
  <si>
    <t>ADD: 09/1-30/2024</t>
  </si>
  <si>
    <t>LESS: 10/23/2024</t>
  </si>
  <si>
    <t xml:space="preserve">LESS: 09/23/2024          LATE: 2 HRS               </t>
  </si>
  <si>
    <t>ADD: 10/1-31/2024</t>
  </si>
  <si>
    <t>LESS: 11/25/2024</t>
  </si>
  <si>
    <t>LESS: 11/29/2024</t>
  </si>
  <si>
    <t>ADD: 11/1-30/2024</t>
  </si>
  <si>
    <t>LESS: 12/23/2024</t>
  </si>
  <si>
    <t>LESS: 08/ 25 &amp;  26/ 2022</t>
  </si>
  <si>
    <t>COMPENSATORY TIME OFF (CTO)</t>
  </si>
  <si>
    <t>Special Order No. and Date Issued</t>
  </si>
  <si>
    <t>No. of Days Granted</t>
  </si>
  <si>
    <t>No. of Days Used</t>
  </si>
  <si>
    <t>Balance</t>
  </si>
  <si>
    <t>ADD: 06/6/2024</t>
  </si>
  <si>
    <t>S.O. # 021, S. 2024. 1ST Q COORDINATION MEETING CUM WORKSHOP W/ DIV. ACCOUNTANTS AND BUDGET OFFICERS</t>
  </si>
  <si>
    <t>LESS: 03/6/2025</t>
  </si>
  <si>
    <t>ADD: 12/1-31/2024</t>
  </si>
  <si>
    <t>ADD: 01/1/2025-02/28/2025</t>
  </si>
  <si>
    <t>LESS: 04/21/2025</t>
  </si>
  <si>
    <t>ADD: 03/1/2025-04/30/2025</t>
  </si>
  <si>
    <t>ADD: 03/21/2025</t>
  </si>
  <si>
    <t>SO # 010, S. 2024 OVERTIME (DEC. 20, 2024)</t>
  </si>
  <si>
    <t>LESS: 05/15-16/2025</t>
  </si>
  <si>
    <t>LESS: 05/19/2025</t>
  </si>
  <si>
    <t>LESS: 06/02/2025</t>
  </si>
  <si>
    <t>ADD: 05/1/2025-06/30/2025</t>
  </si>
  <si>
    <t>LESS: MONETIZATION 2025</t>
  </si>
  <si>
    <t>ADD: 06/26/2024</t>
  </si>
  <si>
    <t>S.O. # 024, S. 2024. 126TH PHILIPPINE INDEPENDENCE DAY CELEBRATION</t>
  </si>
  <si>
    <t>ADD: 02/5/2025</t>
  </si>
  <si>
    <t>S.O. # 002, S. 2025. RIZAL DAY 2024</t>
  </si>
  <si>
    <t>LESS: 09/15/2025</t>
  </si>
  <si>
    <t>LESS: 10/21 &amp; 23/2025</t>
  </si>
  <si>
    <t>LESS: 06/27/2025 PM</t>
  </si>
  <si>
    <t>LESS: 07/30/2025 AM</t>
  </si>
  <si>
    <t>LESS: 08/15/2025 PM</t>
  </si>
  <si>
    <t>ADD: 07/1/2025-11/30/2025</t>
  </si>
  <si>
    <t>LESS: 12/16/2025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</si>
</sst>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0" fontId="9" fillId="0" borderId="0"/>
    <xf numFmtId="0" fontId="6" fillId="0" borderId="0"/>
  </cellStyleXfs>
  <cellXfs count="133">
    <xf numFmtId="0" fontId="0" fillId="0" borderId="0" xfId="0"/>
    <xf numFmtId="0" fontId="0" fillId="2" borderId="0" xfId="0" applyFill="1"/>
    <xf numFmtId="0" fontId="30" fillId="2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1" fillId="2" borderId="0" xfId="0" applyFont="1" applyFill="1" applyAlignment="1">
      <alignment horizontal="center" wrapText="1"/>
    </xf>
    <xf numFmtId="0" fontId="31" fillId="2" borderId="0" xfId="0" applyFont="1" applyFill="1" applyAlignment="1">
      <alignment wrapText="1"/>
    </xf>
    <xf numFmtId="0" fontId="31" fillId="2" borderId="0" xfId="0" applyFont="1" applyFill="1" applyAlignment="1">
      <alignment vertical="center"/>
    </xf>
    <xf numFmtId="0" fontId="31" fillId="2" borderId="0" xfId="0" applyFont="1" applyFill="1"/>
    <xf numFmtId="0" fontId="31" fillId="2" borderId="0" xfId="0" applyFont="1" applyFill="1" applyAlignment="1">
      <alignment horizontal="center"/>
    </xf>
    <xf numFmtId="0" fontId="33" fillId="3" borderId="1" xfId="0" applyFont="1" applyFill="1" applyBorder="1" applyAlignment="1">
      <alignment horizontal="center" vertical="center"/>
    </xf>
    <xf numFmtId="0" fontId="34" fillId="7" borderId="3" xfId="0" applyFont="1" applyFill="1" applyBorder="1" applyAlignment="1">
      <alignment horizontal="center" vertical="center" wrapText="1"/>
    </xf>
    <xf numFmtId="0" fontId="33" fillId="3" borderId="5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164" fontId="0" fillId="2" borderId="3" xfId="0" applyNumberForma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vertical="center"/>
    </xf>
    <xf numFmtId="0" fontId="28" fillId="0" borderId="11" xfId="0" applyFont="1" applyBorder="1" applyAlignment="1">
      <alignment horizontal="center" vertical="center"/>
    </xf>
    <xf numFmtId="164" fontId="28" fillId="2" borderId="2" xfId="0" applyNumberFormat="1" applyFont="1" applyFill="1" applyBorder="1" applyAlignment="1">
      <alignment horizontal="center" vertical="center"/>
    </xf>
    <xf numFmtId="164" fontId="28" fillId="2" borderId="5" xfId="0" applyNumberFormat="1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164" fontId="28" fillId="2" borderId="3" xfId="0" applyNumberFormat="1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164" fontId="28" fillId="2" borderId="13" xfId="0" applyNumberFormat="1" applyFont="1" applyFill="1" applyBorder="1" applyAlignment="1">
      <alignment horizontal="center" vertical="center"/>
    </xf>
    <xf numFmtId="164" fontId="28" fillId="2" borderId="18" xfId="0" applyNumberFormat="1" applyFont="1" applyFill="1" applyBorder="1" applyAlignment="1">
      <alignment horizontal="center" vertical="center" wrapText="1"/>
    </xf>
    <xf numFmtId="164" fontId="28" fillId="0" borderId="3" xfId="0" applyNumberFormat="1" applyFont="1" applyBorder="1" applyAlignment="1">
      <alignment horizontal="center" vertical="center"/>
    </xf>
    <xf numFmtId="164" fontId="28" fillId="0" borderId="18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6" fillId="0" borderId="0" xfId="0" applyFont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164" fontId="28" fillId="8" borderId="3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64" fontId="28" fillId="2" borderId="0" xfId="0" applyNumberFormat="1" applyFont="1" applyFill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0" fillId="8" borderId="4" xfId="0" applyFont="1" applyFill="1" applyBorder="1" applyAlignment="1">
      <alignment horizontal="center" vertical="center"/>
    </xf>
    <xf numFmtId="0" fontId="30" fillId="9" borderId="4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164" fontId="28" fillId="9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28" fillId="10" borderId="12" xfId="0" applyFont="1" applyFill="1" applyBorder="1" applyAlignment="1">
      <alignment horizontal="center" vertical="center"/>
    </xf>
    <xf numFmtId="164" fontId="28" fillId="10" borderId="3" xfId="0" applyNumberFormat="1" applyFont="1" applyFill="1" applyBorder="1" applyAlignment="1">
      <alignment horizontal="center" vertical="center"/>
    </xf>
    <xf numFmtId="0" fontId="9" fillId="2" borderId="0" xfId="1" applyFill="1"/>
    <xf numFmtId="0" fontId="30" fillId="2" borderId="0" xfId="1" applyFont="1" applyFill="1" applyAlignment="1">
      <alignment vertical="center"/>
    </xf>
    <xf numFmtId="0" fontId="30" fillId="2" borderId="7" xfId="1" applyFont="1" applyFill="1" applyBorder="1" applyAlignment="1">
      <alignment horizontal="center" vertical="center"/>
    </xf>
    <xf numFmtId="0" fontId="30" fillId="2" borderId="0" xfId="1" applyFont="1" applyFill="1"/>
    <xf numFmtId="0" fontId="30" fillId="2" borderId="7" xfId="1" applyFont="1" applyFill="1" applyBorder="1" applyAlignment="1">
      <alignment vertical="center"/>
    </xf>
    <xf numFmtId="0" fontId="9" fillId="0" borderId="0" xfId="1"/>
    <xf numFmtId="0" fontId="38" fillId="0" borderId="0" xfId="1" applyFont="1"/>
    <xf numFmtId="0" fontId="35" fillId="0" borderId="0" xfId="1" applyFont="1"/>
    <xf numFmtId="0" fontId="30" fillId="2" borderId="3" xfId="1" applyFont="1" applyFill="1" applyBorder="1" applyAlignment="1">
      <alignment horizontal="center" vertical="center" wrapText="1"/>
    </xf>
    <xf numFmtId="0" fontId="9" fillId="0" borderId="0" xfId="1" applyAlignment="1">
      <alignment vertical="center"/>
    </xf>
    <xf numFmtId="0" fontId="9" fillId="2" borderId="0" xfId="1" applyFill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35" fillId="0" borderId="0" xfId="2" applyFont="1"/>
    <xf numFmtId="0" fontId="30" fillId="10" borderId="3" xfId="1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164" fontId="28" fillId="2" borderId="24" xfId="0" applyNumberFormat="1" applyFont="1" applyFill="1" applyBorder="1" applyAlignment="1">
      <alignment horizontal="center" vertical="center"/>
    </xf>
    <xf numFmtId="164" fontId="28" fillId="2" borderId="25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2" borderId="3" xfId="1" applyFont="1" applyFill="1" applyBorder="1" applyAlignment="1">
      <alignment horizontal="center" vertical="center" wrapText="1"/>
    </xf>
    <xf numFmtId="0" fontId="9" fillId="0" borderId="3" xfId="1" applyBorder="1" applyAlignment="1">
      <alignment horizontal="center" vertical="center" wrapText="1"/>
    </xf>
    <xf numFmtId="0" fontId="9" fillId="10" borderId="3" xfId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2" borderId="3" xfId="2" applyFill="1" applyBorder="1" applyAlignment="1">
      <alignment horizontal="center" vertical="center" wrapText="1"/>
    </xf>
    <xf numFmtId="0" fontId="6" fillId="0" borderId="3" xfId="2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0" fontId="6" fillId="10" borderId="3" xfId="2" applyFill="1" applyBorder="1" applyAlignment="1">
      <alignment horizontal="center" vertical="center" wrapText="1"/>
    </xf>
    <xf numFmtId="0" fontId="30" fillId="5" borderId="19" xfId="0" applyFont="1" applyFill="1" applyBorder="1" applyAlignment="1">
      <alignment horizontal="center" vertical="center"/>
    </xf>
    <xf numFmtId="0" fontId="30" fillId="5" borderId="20" xfId="0" applyFont="1" applyFill="1" applyBorder="1" applyAlignment="1">
      <alignment horizontal="center" vertical="center"/>
    </xf>
    <xf numFmtId="0" fontId="30" fillId="5" borderId="2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16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0" fontId="30" fillId="6" borderId="9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30" fillId="3" borderId="15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30" fillId="3" borderId="10" xfId="0" applyFont="1" applyFill="1" applyBorder="1" applyAlignment="1">
      <alignment horizontal="center" vertical="center"/>
    </xf>
    <xf numFmtId="0" fontId="34" fillId="2" borderId="3" xfId="1" applyFont="1" applyFill="1" applyBorder="1" applyAlignment="1">
      <alignment horizontal="center" vertical="center" wrapText="1"/>
    </xf>
    <xf numFmtId="0" fontId="34" fillId="2" borderId="3" xfId="2" applyFont="1" applyFill="1" applyBorder="1" applyAlignment="1">
      <alignment horizontal="center" vertical="center" wrapText="1"/>
    </xf>
    <xf numFmtId="0" fontId="39" fillId="2" borderId="3" xfId="1" applyFont="1" applyFill="1" applyBorder="1" applyAlignment="1">
      <alignment horizontal="center" vertical="center" wrapText="1"/>
    </xf>
    <xf numFmtId="0" fontId="34" fillId="2" borderId="22" xfId="2" applyFont="1" applyFill="1" applyBorder="1" applyAlignment="1">
      <alignment horizontal="center" vertical="center" wrapText="1"/>
    </xf>
    <xf numFmtId="0" fontId="34" fillId="2" borderId="13" xfId="2" applyFont="1" applyFill="1" applyBorder="1" applyAlignment="1">
      <alignment horizontal="center" vertical="center" wrapText="1"/>
    </xf>
    <xf numFmtId="0" fontId="9" fillId="0" borderId="0" xfId="1" applyAlignment="1">
      <alignment horizontal="center"/>
    </xf>
    <xf numFmtId="0" fontId="35" fillId="2" borderId="0" xfId="1" applyFont="1" applyFill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34" fillId="7" borderId="22" xfId="1" applyFont="1" applyFill="1" applyBorder="1" applyAlignment="1">
      <alignment horizontal="center" vertical="center" wrapText="1"/>
    </xf>
    <xf numFmtId="0" fontId="34" fillId="7" borderId="13" xfId="1" applyFont="1" applyFill="1" applyBorder="1" applyAlignment="1">
      <alignment horizontal="center" vertical="center" wrapText="1"/>
    </xf>
    <xf numFmtId="0" fontId="9" fillId="2" borderId="0" xfId="1" applyFill="1" applyAlignment="1">
      <alignment horizontal="center" vertical="center"/>
    </xf>
    <xf numFmtId="0" fontId="32" fillId="2" borderId="16" xfId="1" applyFont="1" applyFill="1" applyBorder="1" applyAlignment="1">
      <alignment horizontal="center" vertical="center"/>
    </xf>
    <xf numFmtId="0" fontId="33" fillId="3" borderId="8" xfId="1" applyFont="1" applyFill="1" applyBorder="1" applyAlignment="1">
      <alignment horizontal="center" vertical="center"/>
    </xf>
    <xf numFmtId="0" fontId="33" fillId="3" borderId="11" xfId="1" applyFont="1" applyFill="1" applyBorder="1" applyAlignment="1">
      <alignment horizontal="center" vertical="center"/>
    </xf>
    <xf numFmtId="0" fontId="33" fillId="11" borderId="19" xfId="1" applyFont="1" applyFill="1" applyBorder="1" applyAlignment="1">
      <alignment horizontal="center" vertical="center"/>
    </xf>
    <xf numFmtId="0" fontId="33" fillId="11" borderId="20" xfId="1" applyFont="1" applyFill="1" applyBorder="1" applyAlignment="1">
      <alignment horizontal="center" vertical="center"/>
    </xf>
    <xf numFmtId="0" fontId="33" fillId="3" borderId="14" xfId="1" applyFont="1" applyFill="1" applyBorder="1" applyAlignment="1">
      <alignment horizontal="center" vertical="center"/>
    </xf>
    <xf numFmtId="0" fontId="33" fillId="3" borderId="5" xfId="1" applyFont="1" applyFill="1" applyBorder="1" applyAlignment="1">
      <alignment horizontal="center" vertical="center"/>
    </xf>
    <xf numFmtId="0" fontId="34" fillId="7" borderId="23" xfId="1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64" fontId="28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0" fontId="3" fillId="0" borderId="3" xfId="0" applyFont="1" applyFill="1" applyBorder="1" applyAlignment="1">
      <alignment horizontal="center" vertical="center" wrapText="1"/>
    </xf>
    <xf numFmtId="164" fontId="28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45ED9E73-BDE8-4631-91EC-F72703A58FD1}"/>
    <cellStyle name="Normal 2 2" xfId="1" xr:uid="{8141B075-9ACA-45C0-ADCE-151E83F0D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295274</xdr:colOff>
      <xdr:row>0</xdr:row>
      <xdr:rowOff>88900</xdr:rowOff>
    </xdr:from>
    <xdr:to>
      <xdr:col>4</xdr:col>
      <xdr:colOff>212854</xdr:colOff>
      <xdr:row>0</xdr:row>
      <xdr:rowOff>619125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14849" y="88900"/>
          <a:ext cx="68910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592992</xdr:colOff>
      <xdr:row>5</xdr:row>
      <xdr:rowOff>66186</xdr:rowOff>
    </xdr:from>
    <xdr:to>
      <xdr:col>0</xdr:col>
      <xdr:colOff>2601791</xdr:colOff>
      <xdr:row>7</xdr:row>
      <xdr:rowOff>58860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E3166A-D1C5-44BB-8CAF-A6500FB74257}"/>
            </a:ext>
          </a:extLst>
        </xdr:cNvPr>
        <xdr:cNvSpPr txBox="1"/>
      </xdr:nvSpPr>
      <xdr:spPr>
        <a:xfrm>
          <a:off x="592992" y="14663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RUFANO, SARAH</a:t>
          </a:r>
          <a:r>
            <a:rPr lang="en-US" sz="1100" baseline="0"/>
            <a:t> JANE G.</a:t>
          </a:r>
          <a:endParaRPr lang="en-US" sz="1100"/>
        </a:p>
      </xdr:txBody>
    </xdr:sp>
    <xdr:clientData/>
  </xdr:twoCellAnchor>
  <xdr:twoCellAnchor>
    <xdr:from>
      <xdr:col>0</xdr:col>
      <xdr:colOff>940533</xdr:colOff>
      <xdr:row>7</xdr:row>
      <xdr:rowOff>61057</xdr:rowOff>
    </xdr:from>
    <xdr:to>
      <xdr:col>1</xdr:col>
      <xdr:colOff>142632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EC5B81-2760-46E6-9EA9-11B9565E9305}"/>
            </a:ext>
          </a:extLst>
        </xdr:cNvPr>
        <xdr:cNvSpPr txBox="1"/>
      </xdr:nvSpPr>
      <xdr:spPr>
        <a:xfrm>
          <a:off x="940533" y="172475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ACCOUNTANT</a:t>
          </a:r>
          <a:r>
            <a:rPr lang="en-US" sz="1100" baseline="0"/>
            <a:t> 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E15FDAF-5A8E-4CBA-96A5-2E28A82ED9CF}"/>
            </a:ext>
          </a:extLst>
        </xdr:cNvPr>
        <xdr:cNvSpPr txBox="1"/>
      </xdr:nvSpPr>
      <xdr:spPr>
        <a:xfrm>
          <a:off x="37743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4</xdr:col>
      <xdr:colOff>766534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C8FF5-56CF-42E1-A544-E1CE73FF2C1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7090" y="40369"/>
          <a:ext cx="704169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BF2C8B-4341-440B-8879-A71C67777BB5}"/>
            </a:ext>
          </a:extLst>
        </xdr:cNvPr>
        <xdr:cNvSpPr txBox="1"/>
      </xdr:nvSpPr>
      <xdr:spPr>
        <a:xfrm>
          <a:off x="573942" y="1371111"/>
          <a:ext cx="17819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RUFANO, SARAH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1</xdr:col>
      <xdr:colOff>306160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DCC4CB-59CF-4917-97DC-7FA2ADF0EB47}"/>
            </a:ext>
          </a:extLst>
        </xdr:cNvPr>
        <xdr:cNvSpPr txBox="1"/>
      </xdr:nvSpPr>
      <xdr:spPr>
        <a:xfrm>
          <a:off x="654051" y="1685926"/>
          <a:ext cx="1421038" cy="248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ACCOUNTANT III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10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D8BD4A-DC0C-42B8-BE05-B5E029C45D6A}"/>
            </a:ext>
          </a:extLst>
        </xdr:cNvPr>
        <xdr:cNvSpPr txBox="1"/>
      </xdr:nvSpPr>
      <xdr:spPr>
        <a:xfrm>
          <a:off x="3460523" y="1699760"/>
          <a:ext cx="1508125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282576</xdr:colOff>
      <xdr:row>0</xdr:row>
      <xdr:rowOff>76200</xdr:rowOff>
    </xdr:from>
    <xdr:to>
      <xdr:col>5</xdr:col>
      <xdr:colOff>473205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68775" y="76200"/>
          <a:ext cx="831850" cy="5334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265662</xdr:colOff>
      <xdr:row>0</xdr:row>
      <xdr:rowOff>28769</xdr:rowOff>
    </xdr:from>
    <xdr:to>
      <xdr:col>5</xdr:col>
      <xdr:colOff>229571</xdr:colOff>
      <xdr:row>1</xdr:row>
      <xdr:rowOff>228989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6BCD0C-6720-4FCD-A9A3-CA07B970776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3612" y="28769"/>
          <a:ext cx="700509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03D025-DDD6-4A63-A1C7-2B85F16B97B1}"/>
            </a:ext>
          </a:extLst>
        </xdr:cNvPr>
        <xdr:cNvSpPr txBox="1"/>
      </xdr:nvSpPr>
      <xdr:spPr>
        <a:xfrm>
          <a:off x="76200" y="4756150"/>
          <a:ext cx="302895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816429</xdr:colOff>
      <xdr:row>6</xdr:row>
      <xdr:rowOff>146050</xdr:rowOff>
    </xdr:from>
    <xdr:to>
      <xdr:col>2</xdr:col>
      <xdr:colOff>252830</xdr:colOff>
      <xdr:row>8</xdr:row>
      <xdr:rowOff>133349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ECD34DA-FC2E-4D2C-89B1-6C194D653AD4}"/>
            </a:ext>
          </a:extLst>
        </xdr:cNvPr>
        <xdr:cNvSpPr txBox="1"/>
      </xdr:nvSpPr>
      <xdr:spPr>
        <a:xfrm>
          <a:off x="816429" y="1962150"/>
          <a:ext cx="2008151" cy="406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RUFANO, SARAH JANE G.</a:t>
          </a:r>
        </a:p>
      </xdr:txBody>
    </xdr:sp>
    <xdr:clientData/>
  </xdr:twoCellAnchor>
  <xdr:twoCellAnchor>
    <xdr:from>
      <xdr:col>0</xdr:col>
      <xdr:colOff>822908</xdr:colOff>
      <xdr:row>8</xdr:row>
      <xdr:rowOff>120650</xdr:rowOff>
    </xdr:from>
    <xdr:to>
      <xdr:col>2</xdr:col>
      <xdr:colOff>246609</xdr:colOff>
      <xdr:row>9</xdr:row>
      <xdr:rowOff>127225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EBA7D2F-9A9E-4574-A48D-2E4179BECC10}"/>
            </a:ext>
          </a:extLst>
        </xdr:cNvPr>
        <xdr:cNvSpPr txBox="1"/>
      </xdr:nvSpPr>
      <xdr:spPr>
        <a:xfrm>
          <a:off x="822908" y="2355850"/>
          <a:ext cx="1995451" cy="241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ACCOUNTANT III</a:t>
          </a:r>
        </a:p>
      </xdr:txBody>
    </xdr:sp>
    <xdr:clientData/>
  </xdr:twoCellAnchor>
  <xdr:twoCellAnchor>
    <xdr:from>
      <xdr:col>3</xdr:col>
      <xdr:colOff>596122</xdr:colOff>
      <xdr:row>7</xdr:row>
      <xdr:rowOff>177800</xdr:rowOff>
    </xdr:from>
    <xdr:to>
      <xdr:col>6</xdr:col>
      <xdr:colOff>21557</xdr:colOff>
      <xdr:row>9</xdr:row>
      <xdr:rowOff>23552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E503CCE-7676-44F9-B0BD-DEB6E098079E}"/>
            </a:ext>
          </a:extLst>
        </xdr:cNvPr>
        <xdr:cNvSpPr txBox="1"/>
      </xdr:nvSpPr>
      <xdr:spPr>
        <a:xfrm>
          <a:off x="3840972" y="2178050"/>
          <a:ext cx="1444735" cy="315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161926</xdr:colOff>
      <xdr:row>0</xdr:row>
      <xdr:rowOff>88900</xdr:rowOff>
    </xdr:from>
    <xdr:to>
      <xdr:col>4</xdr:col>
      <xdr:colOff>212855</xdr:colOff>
      <xdr:row>0</xdr:row>
      <xdr:rowOff>619125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25026-E45E-4D2E-A60F-F869C6E51C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81501" y="88900"/>
          <a:ext cx="822454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592992</xdr:colOff>
      <xdr:row>5</xdr:row>
      <xdr:rowOff>66186</xdr:rowOff>
    </xdr:from>
    <xdr:to>
      <xdr:col>0</xdr:col>
      <xdr:colOff>2601791</xdr:colOff>
      <xdr:row>7</xdr:row>
      <xdr:rowOff>58860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417270-416F-4059-8C27-A1A6CE35B82B}"/>
            </a:ext>
          </a:extLst>
        </xdr:cNvPr>
        <xdr:cNvSpPr txBox="1"/>
      </xdr:nvSpPr>
      <xdr:spPr>
        <a:xfrm>
          <a:off x="592992" y="14663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RUFANO, SARAH</a:t>
          </a:r>
          <a:r>
            <a:rPr lang="en-US" sz="1100" baseline="0"/>
            <a:t> JANE</a:t>
          </a:r>
          <a:endParaRPr lang="en-US" sz="1100"/>
        </a:p>
      </xdr:txBody>
    </xdr:sp>
    <xdr:clientData/>
  </xdr:twoCellAnchor>
  <xdr:twoCellAnchor>
    <xdr:from>
      <xdr:col>0</xdr:col>
      <xdr:colOff>940533</xdr:colOff>
      <xdr:row>7</xdr:row>
      <xdr:rowOff>61057</xdr:rowOff>
    </xdr:from>
    <xdr:to>
      <xdr:col>1</xdr:col>
      <xdr:colOff>142632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AE5F044-03B9-4A64-9055-2D56C594721E}"/>
            </a:ext>
          </a:extLst>
        </xdr:cNvPr>
        <xdr:cNvSpPr txBox="1"/>
      </xdr:nvSpPr>
      <xdr:spPr>
        <a:xfrm>
          <a:off x="940533" y="1718407"/>
          <a:ext cx="1878624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ACCOUNTANT</a:t>
          </a:r>
          <a:r>
            <a:rPr lang="en-US" sz="1100" baseline="0"/>
            <a:t> 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721F8F-5594-4A71-A503-23A93E01CFE9}"/>
            </a:ext>
          </a:extLst>
        </xdr:cNvPr>
        <xdr:cNvSpPr txBox="1"/>
      </xdr:nvSpPr>
      <xdr:spPr>
        <a:xfrm>
          <a:off x="3863243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6"/>
  <sheetViews>
    <sheetView tabSelected="1" view="pageBreakPreview" topLeftCell="A60" zoomScaleNormal="100" workbookViewId="0">
      <selection activeCell="A77" sqref="A77:XFD77"/>
    </sheetView>
  </sheetViews>
  <sheetFormatPr defaultColWidth="9" defaultRowHeight="15"/>
  <cols>
    <col min="1" max="1" width="40.140625" customWidth="1"/>
    <col min="2" max="10" width="11.5703125" customWidth="1"/>
  </cols>
  <sheetData>
    <row r="1" spans="1:10" s="1" customFormat="1" ht="52.5" customHeight="1">
      <c r="A1" s="21"/>
    </row>
    <row r="2" spans="1:10" s="1" customFormat="1" ht="10.5" customHeight="1">
      <c r="A2" s="97" t="s">
        <v>23</v>
      </c>
      <c r="B2" s="97"/>
      <c r="C2" s="97"/>
      <c r="D2" s="97"/>
      <c r="E2" s="97"/>
      <c r="F2" s="97"/>
      <c r="G2" s="97"/>
      <c r="H2" s="97"/>
      <c r="I2" s="97"/>
      <c r="J2" s="97"/>
    </row>
    <row r="3" spans="1:10" s="1" customFormat="1" ht="15.95" customHeight="1">
      <c r="A3" s="97" t="s">
        <v>24</v>
      </c>
      <c r="B3" s="97"/>
      <c r="C3" s="97"/>
      <c r="D3" s="97"/>
      <c r="E3" s="97"/>
      <c r="F3" s="97"/>
      <c r="G3" s="97"/>
      <c r="H3" s="97"/>
      <c r="I3" s="97"/>
      <c r="J3" s="97"/>
    </row>
    <row r="4" spans="1:10" s="1" customFormat="1" ht="15.95" customHeight="1">
      <c r="A4" s="97" t="s">
        <v>25</v>
      </c>
      <c r="B4" s="97"/>
      <c r="C4" s="97"/>
      <c r="D4" s="97"/>
      <c r="E4" s="97"/>
      <c r="F4" s="97"/>
      <c r="G4" s="97"/>
      <c r="H4" s="97"/>
      <c r="I4" s="97"/>
      <c r="J4" s="97"/>
    </row>
    <row r="5" spans="1:10" s="1" customFormat="1" ht="15.95" customHeight="1">
      <c r="A5" s="97" t="s">
        <v>26</v>
      </c>
      <c r="B5" s="97"/>
      <c r="C5" s="97"/>
      <c r="D5" s="97"/>
      <c r="E5" s="97"/>
      <c r="F5" s="97"/>
      <c r="G5" s="97"/>
      <c r="H5" s="97"/>
      <c r="I5" s="97"/>
      <c r="J5" s="97"/>
    </row>
    <row r="6" spans="1:10" s="1" customFormat="1" ht="8.25" customHeight="1">
      <c r="A6" s="21"/>
    </row>
    <row r="7" spans="1:10" s="1" customFormat="1" ht="12" customHeight="1">
      <c r="A7" s="21" t="s">
        <v>57</v>
      </c>
      <c r="B7" s="98" t="s">
        <v>58</v>
      </c>
      <c r="C7" s="98"/>
      <c r="D7" s="98"/>
      <c r="H7" s="7" t="s">
        <v>0</v>
      </c>
      <c r="I7" s="22"/>
      <c r="J7" s="7"/>
    </row>
    <row r="8" spans="1:10" s="1" customFormat="1" ht="12" customHeight="1">
      <c r="A8" s="21"/>
      <c r="B8" s="8"/>
      <c r="C8" s="8"/>
      <c r="H8" s="8"/>
      <c r="I8" s="8"/>
      <c r="J8" s="8"/>
    </row>
    <row r="9" spans="1:10" s="1" customFormat="1" ht="12" customHeight="1">
      <c r="A9" s="21" t="s">
        <v>59</v>
      </c>
      <c r="B9" s="98" t="s">
        <v>60</v>
      </c>
      <c r="C9" s="98"/>
      <c r="D9" s="98"/>
      <c r="H9" s="7" t="s">
        <v>1</v>
      </c>
      <c r="I9" s="23"/>
      <c r="J9" s="7"/>
    </row>
    <row r="10" spans="1:10" ht="16.5" customHeight="1" thickBot="1">
      <c r="A10" s="99" t="s">
        <v>2</v>
      </c>
      <c r="B10" s="99"/>
      <c r="C10" s="99"/>
      <c r="D10" s="99"/>
      <c r="E10" s="99"/>
      <c r="F10" s="99"/>
      <c r="G10" s="99"/>
      <c r="H10" s="99"/>
      <c r="I10" s="99"/>
      <c r="J10" s="99"/>
    </row>
    <row r="11" spans="1:10" ht="18.75" customHeight="1">
      <c r="A11" s="104" t="s">
        <v>3</v>
      </c>
      <c r="B11" s="100" t="s">
        <v>4</v>
      </c>
      <c r="C11" s="100"/>
      <c r="D11" s="94" t="s">
        <v>5</v>
      </c>
      <c r="E11" s="95"/>
      <c r="F11" s="95"/>
      <c r="G11" s="96"/>
      <c r="H11" s="101" t="s">
        <v>6</v>
      </c>
      <c r="I11" s="101"/>
      <c r="J11" s="102" t="s">
        <v>7</v>
      </c>
    </row>
    <row r="12" spans="1:10" ht="18.75" customHeight="1" thickBot="1">
      <c r="A12" s="105"/>
      <c r="B12" s="2" t="s">
        <v>8</v>
      </c>
      <c r="C12" s="2" t="s">
        <v>9</v>
      </c>
      <c r="D12" s="2" t="s">
        <v>8</v>
      </c>
      <c r="E12" s="2" t="s">
        <v>9</v>
      </c>
      <c r="F12" s="49" t="s">
        <v>10</v>
      </c>
      <c r="G12" s="50" t="s">
        <v>56</v>
      </c>
      <c r="H12" s="2" t="s">
        <v>8</v>
      </c>
      <c r="I12" s="2" t="s">
        <v>9</v>
      </c>
      <c r="J12" s="103"/>
    </row>
    <row r="13" spans="1:10" ht="18.75" customHeight="1">
      <c r="A13" s="24" t="s">
        <v>61</v>
      </c>
      <c r="B13" s="25">
        <v>0.70799999999999996</v>
      </c>
      <c r="C13" s="25">
        <v>0.70799999999999996</v>
      </c>
      <c r="D13" s="25"/>
      <c r="E13" s="25"/>
      <c r="F13" s="25"/>
      <c r="G13" s="25"/>
      <c r="H13" s="25">
        <f>B13</f>
        <v>0.70799999999999996</v>
      </c>
      <c r="I13" s="25">
        <f>C13</f>
        <v>0.70799999999999996</v>
      </c>
      <c r="J13" s="26">
        <f>SUM(H13:I13)</f>
        <v>1.4159999999999999</v>
      </c>
    </row>
    <row r="14" spans="1:10" ht="18.75" customHeight="1">
      <c r="A14" s="24" t="s">
        <v>62</v>
      </c>
      <c r="B14" s="25">
        <v>6.25</v>
      </c>
      <c r="C14" s="25">
        <v>6.25</v>
      </c>
      <c r="D14" s="25"/>
      <c r="E14" s="25"/>
      <c r="F14" s="25"/>
      <c r="G14" s="25"/>
      <c r="H14" s="25">
        <f>H13-F14-D14+B14</f>
        <v>6.9580000000000002</v>
      </c>
      <c r="I14" s="25">
        <f>I13-E14+C14</f>
        <v>6.9580000000000002</v>
      </c>
      <c r="J14" s="26">
        <f t="shared" ref="J14" si="0">SUM(H14:I14)</f>
        <v>13.916</v>
      </c>
    </row>
    <row r="15" spans="1:10" ht="18.75" customHeight="1">
      <c r="A15" s="24" t="s">
        <v>64</v>
      </c>
      <c r="B15" s="25">
        <v>15</v>
      </c>
      <c r="C15" s="25">
        <v>15</v>
      </c>
      <c r="D15" s="25"/>
      <c r="E15" s="25"/>
      <c r="F15" s="25"/>
      <c r="G15" s="25"/>
      <c r="H15" s="25">
        <f t="shared" ref="H15:H27" si="1">H14-F15-D15+B15</f>
        <v>21.957999999999998</v>
      </c>
      <c r="I15" s="25">
        <f t="shared" ref="I15:I27" si="2">I14-E15+C15</f>
        <v>21.957999999999998</v>
      </c>
      <c r="J15" s="26">
        <f t="shared" ref="J15:J27" si="3">SUM(H15:I15)</f>
        <v>43.915999999999997</v>
      </c>
    </row>
    <row r="16" spans="1:10" ht="18.75" customHeight="1">
      <c r="A16" s="24" t="s">
        <v>63</v>
      </c>
      <c r="B16" s="25"/>
      <c r="C16" s="25"/>
      <c r="D16" s="25"/>
      <c r="E16" s="25"/>
      <c r="F16" s="25">
        <v>5</v>
      </c>
      <c r="G16" s="25"/>
      <c r="H16" s="25">
        <f t="shared" si="1"/>
        <v>16.957999999999998</v>
      </c>
      <c r="I16" s="25">
        <f t="shared" si="2"/>
        <v>21.957999999999998</v>
      </c>
      <c r="J16" s="26">
        <f t="shared" si="3"/>
        <v>38.915999999999997</v>
      </c>
    </row>
    <row r="17" spans="1:10" ht="18.75" customHeight="1">
      <c r="A17" s="24" t="s">
        <v>65</v>
      </c>
      <c r="B17" s="25">
        <v>15</v>
      </c>
      <c r="C17" s="25">
        <v>15</v>
      </c>
      <c r="D17" s="25"/>
      <c r="E17" s="25"/>
      <c r="F17" s="25"/>
      <c r="G17" s="25"/>
      <c r="H17" s="25">
        <f t="shared" si="1"/>
        <v>31.957999999999998</v>
      </c>
      <c r="I17" s="25">
        <f t="shared" si="2"/>
        <v>36.957999999999998</v>
      </c>
      <c r="J17" s="26">
        <f t="shared" si="3"/>
        <v>68.915999999999997</v>
      </c>
    </row>
    <row r="18" spans="1:10" ht="18.75" customHeight="1">
      <c r="A18" s="24" t="s">
        <v>66</v>
      </c>
      <c r="B18" s="25"/>
      <c r="C18" s="25"/>
      <c r="D18" s="25">
        <v>20</v>
      </c>
      <c r="E18" s="25"/>
      <c r="F18" s="25"/>
      <c r="G18" s="25"/>
      <c r="H18" s="25">
        <f t="shared" si="1"/>
        <v>11.957999999999998</v>
      </c>
      <c r="I18" s="25">
        <f t="shared" si="2"/>
        <v>36.957999999999998</v>
      </c>
      <c r="J18" s="26">
        <f t="shared" si="3"/>
        <v>48.915999999999997</v>
      </c>
    </row>
    <row r="19" spans="1:10" ht="18.75" customHeight="1">
      <c r="A19" s="24" t="s">
        <v>67</v>
      </c>
      <c r="B19" s="25"/>
      <c r="C19" s="25"/>
      <c r="D19" s="25"/>
      <c r="E19" s="25"/>
      <c r="F19" s="25">
        <v>1</v>
      </c>
      <c r="G19" s="25"/>
      <c r="H19" s="25">
        <f t="shared" si="1"/>
        <v>10.957999999999998</v>
      </c>
      <c r="I19" s="25">
        <f t="shared" si="2"/>
        <v>36.957999999999998</v>
      </c>
      <c r="J19" s="26">
        <f t="shared" si="3"/>
        <v>47.915999999999997</v>
      </c>
    </row>
    <row r="20" spans="1:10" ht="18.75" customHeight="1">
      <c r="A20" s="24" t="s">
        <v>68</v>
      </c>
      <c r="B20" s="25"/>
      <c r="C20" s="25"/>
      <c r="D20" s="25"/>
      <c r="E20" s="25"/>
      <c r="F20" s="25">
        <v>3</v>
      </c>
      <c r="G20" s="25"/>
      <c r="H20" s="25">
        <f t="shared" si="1"/>
        <v>7.9579999999999984</v>
      </c>
      <c r="I20" s="25">
        <f t="shared" si="2"/>
        <v>36.957999999999998</v>
      </c>
      <c r="J20" s="26">
        <f t="shared" si="3"/>
        <v>44.915999999999997</v>
      </c>
    </row>
    <row r="21" spans="1:10" ht="18.75" customHeight="1">
      <c r="A21" s="24" t="s">
        <v>69</v>
      </c>
      <c r="B21" s="25"/>
      <c r="C21" s="25"/>
      <c r="D21" s="25"/>
      <c r="E21" s="25"/>
      <c r="F21" s="25">
        <v>1</v>
      </c>
      <c r="G21" s="25"/>
      <c r="H21" s="25">
        <f t="shared" si="1"/>
        <v>6.9579999999999984</v>
      </c>
      <c r="I21" s="25">
        <f t="shared" si="2"/>
        <v>36.957999999999998</v>
      </c>
      <c r="J21" s="26">
        <f t="shared" si="3"/>
        <v>43.915999999999997</v>
      </c>
    </row>
    <row r="22" spans="1:10" ht="18.75" customHeight="1">
      <c r="A22" s="27" t="s">
        <v>11</v>
      </c>
      <c r="B22" s="28"/>
      <c r="C22" s="28"/>
      <c r="D22" s="28"/>
      <c r="E22" s="28">
        <v>2</v>
      </c>
      <c r="F22" s="28"/>
      <c r="G22" s="28"/>
      <c r="H22" s="25">
        <f t="shared" si="1"/>
        <v>6.9579999999999984</v>
      </c>
      <c r="I22" s="25">
        <f t="shared" si="2"/>
        <v>34.957999999999998</v>
      </c>
      <c r="J22" s="26">
        <f t="shared" si="3"/>
        <v>41.915999999999997</v>
      </c>
    </row>
    <row r="23" spans="1:10" ht="18.75" customHeight="1">
      <c r="A23" s="27" t="s">
        <v>12</v>
      </c>
      <c r="B23" s="28">
        <f>1.25*7</f>
        <v>8.75</v>
      </c>
      <c r="C23" s="28">
        <f>1.25*7</f>
        <v>8.75</v>
      </c>
      <c r="D23" s="28"/>
      <c r="E23" s="28"/>
      <c r="F23" s="28"/>
      <c r="G23" s="28"/>
      <c r="H23" s="25">
        <f t="shared" si="1"/>
        <v>15.707999999999998</v>
      </c>
      <c r="I23" s="25">
        <f t="shared" si="2"/>
        <v>43.707999999999998</v>
      </c>
      <c r="J23" s="26">
        <f t="shared" si="3"/>
        <v>59.415999999999997</v>
      </c>
    </row>
    <row r="24" spans="1:10" ht="18.75" customHeight="1">
      <c r="A24" s="61" t="s">
        <v>100</v>
      </c>
      <c r="B24" s="28"/>
      <c r="C24" s="28"/>
      <c r="D24" s="28"/>
      <c r="E24" s="28"/>
      <c r="F24" s="28">
        <v>2</v>
      </c>
      <c r="G24" s="28"/>
      <c r="H24" s="25">
        <f t="shared" si="1"/>
        <v>13.707999999999998</v>
      </c>
      <c r="I24" s="25">
        <f t="shared" si="2"/>
        <v>43.707999999999998</v>
      </c>
      <c r="J24" s="26">
        <f t="shared" si="3"/>
        <v>57.415999999999997</v>
      </c>
    </row>
    <row r="25" spans="1:10" ht="18.75" customHeight="1">
      <c r="A25" s="27" t="s">
        <v>14</v>
      </c>
      <c r="B25" s="28">
        <v>1.25</v>
      </c>
      <c r="C25" s="28">
        <v>1.25</v>
      </c>
      <c r="D25" s="28"/>
      <c r="E25" s="28"/>
      <c r="F25" s="28"/>
      <c r="G25" s="28"/>
      <c r="H25" s="25">
        <f t="shared" si="1"/>
        <v>14.957999999999998</v>
      </c>
      <c r="I25" s="25">
        <f t="shared" si="2"/>
        <v>44.957999999999998</v>
      </c>
      <c r="J25" s="26">
        <f t="shared" si="3"/>
        <v>59.915999999999997</v>
      </c>
    </row>
    <row r="26" spans="1:10" ht="18.75" customHeight="1">
      <c r="A26" s="27" t="s">
        <v>15</v>
      </c>
      <c r="B26" s="28">
        <v>1.25</v>
      </c>
      <c r="C26" s="28">
        <v>1.25</v>
      </c>
      <c r="D26" s="28"/>
      <c r="E26" s="28"/>
      <c r="F26" s="28"/>
      <c r="G26" s="28"/>
      <c r="H26" s="25">
        <f t="shared" si="1"/>
        <v>16.207999999999998</v>
      </c>
      <c r="I26" s="25">
        <f t="shared" si="2"/>
        <v>46.207999999999998</v>
      </c>
      <c r="J26" s="26">
        <f t="shared" si="3"/>
        <v>62.415999999999997</v>
      </c>
    </row>
    <row r="27" spans="1:10" ht="18.75" customHeight="1">
      <c r="A27" s="27" t="s">
        <v>16</v>
      </c>
      <c r="B27" s="28"/>
      <c r="C27" s="28"/>
      <c r="D27" s="28"/>
      <c r="E27" s="28"/>
      <c r="F27" s="28"/>
      <c r="G27" s="30">
        <v>2</v>
      </c>
      <c r="H27" s="25">
        <f t="shared" si="1"/>
        <v>16.207999999999998</v>
      </c>
      <c r="I27" s="25">
        <f t="shared" si="2"/>
        <v>46.207999999999998</v>
      </c>
      <c r="J27" s="26">
        <f t="shared" si="3"/>
        <v>62.415999999999997</v>
      </c>
    </row>
    <row r="28" spans="1:10" ht="18.75" customHeight="1">
      <c r="A28" s="27" t="s">
        <v>18</v>
      </c>
      <c r="B28" s="28"/>
      <c r="C28" s="28"/>
      <c r="D28" s="28">
        <v>15</v>
      </c>
      <c r="E28" s="28">
        <v>5</v>
      </c>
      <c r="F28" s="28"/>
      <c r="G28" s="28"/>
      <c r="H28" s="25">
        <f t="shared" ref="H28:H42" si="4">H27-F28-D28+B28</f>
        <v>1.2079999999999984</v>
      </c>
      <c r="I28" s="25">
        <f t="shared" ref="I28:I42" si="5">I27-E28+C28</f>
        <v>41.207999999999998</v>
      </c>
      <c r="J28" s="26">
        <f t="shared" ref="J28:J42" si="6">SUM(H28:I28)</f>
        <v>42.415999999999997</v>
      </c>
    </row>
    <row r="29" spans="1:10" ht="18.75" customHeight="1">
      <c r="A29" s="27" t="s">
        <v>19</v>
      </c>
      <c r="B29" s="28">
        <v>2.5</v>
      </c>
      <c r="C29" s="28">
        <v>2.5</v>
      </c>
      <c r="D29" s="28"/>
      <c r="E29" s="28"/>
      <c r="F29" s="28"/>
      <c r="G29" s="28"/>
      <c r="H29" s="25">
        <f t="shared" si="4"/>
        <v>3.7079999999999984</v>
      </c>
      <c r="I29" s="25">
        <f t="shared" si="5"/>
        <v>43.707999999999998</v>
      </c>
      <c r="J29" s="26">
        <f t="shared" si="6"/>
        <v>47.415999999999997</v>
      </c>
    </row>
    <row r="30" spans="1:10" ht="18.75" customHeight="1">
      <c r="A30" s="27" t="s">
        <v>20</v>
      </c>
      <c r="B30" s="28"/>
      <c r="C30" s="28"/>
      <c r="D30" s="28"/>
      <c r="E30" s="28"/>
      <c r="F30" s="28">
        <v>3</v>
      </c>
      <c r="G30" s="28"/>
      <c r="H30" s="25">
        <f t="shared" si="4"/>
        <v>0.70799999999999841</v>
      </c>
      <c r="I30" s="25">
        <f t="shared" si="5"/>
        <v>43.707999999999998</v>
      </c>
      <c r="J30" s="26">
        <f t="shared" si="6"/>
        <v>44.415999999999997</v>
      </c>
    </row>
    <row r="31" spans="1:10" ht="18.75" customHeight="1">
      <c r="A31" s="27" t="s">
        <v>21</v>
      </c>
      <c r="B31" s="28">
        <v>3</v>
      </c>
      <c r="C31" s="28"/>
      <c r="D31" s="28"/>
      <c r="E31" s="28"/>
      <c r="F31" s="28"/>
      <c r="G31" s="28"/>
      <c r="H31" s="25">
        <f t="shared" si="4"/>
        <v>3.7079999999999984</v>
      </c>
      <c r="I31" s="25">
        <f t="shared" si="5"/>
        <v>43.707999999999998</v>
      </c>
      <c r="J31" s="26">
        <f t="shared" si="6"/>
        <v>47.415999999999997</v>
      </c>
    </row>
    <row r="32" spans="1:10" ht="18.75" customHeight="1">
      <c r="A32" s="27" t="s">
        <v>22</v>
      </c>
      <c r="B32" s="28">
        <v>1.25</v>
      </c>
      <c r="C32" s="28">
        <v>1.25</v>
      </c>
      <c r="D32" s="28"/>
      <c r="E32" s="28"/>
      <c r="F32" s="28"/>
      <c r="G32" s="28"/>
      <c r="H32" s="25">
        <f t="shared" si="4"/>
        <v>4.9579999999999984</v>
      </c>
      <c r="I32" s="25">
        <f t="shared" si="5"/>
        <v>44.957999999999998</v>
      </c>
      <c r="J32" s="26">
        <f t="shared" si="6"/>
        <v>49.915999999999997</v>
      </c>
    </row>
    <row r="33" spans="1:10" ht="18.75" customHeight="1">
      <c r="A33" s="27" t="s">
        <v>47</v>
      </c>
      <c r="B33" s="28">
        <v>1.25</v>
      </c>
      <c r="C33" s="28">
        <v>1.25</v>
      </c>
      <c r="D33" s="28"/>
      <c r="E33" s="28"/>
      <c r="F33" s="28"/>
      <c r="G33" s="28"/>
      <c r="H33" s="25">
        <f t="shared" si="4"/>
        <v>6.2079999999999984</v>
      </c>
      <c r="I33" s="25">
        <f t="shared" si="5"/>
        <v>46.207999999999998</v>
      </c>
      <c r="J33" s="26">
        <f t="shared" si="6"/>
        <v>52.415999999999997</v>
      </c>
    </row>
    <row r="34" spans="1:10" ht="18.75" customHeight="1">
      <c r="A34" s="27" t="s">
        <v>46</v>
      </c>
      <c r="B34" s="28"/>
      <c r="C34" s="28"/>
      <c r="D34" s="28"/>
      <c r="E34" s="28">
        <v>1</v>
      </c>
      <c r="F34" s="28"/>
      <c r="G34" s="28"/>
      <c r="H34" s="25">
        <f t="shared" si="4"/>
        <v>6.2079999999999984</v>
      </c>
      <c r="I34" s="25">
        <f t="shared" si="5"/>
        <v>45.207999999999998</v>
      </c>
      <c r="J34" s="26">
        <f t="shared" si="6"/>
        <v>51.415999999999997</v>
      </c>
    </row>
    <row r="35" spans="1:10" ht="18.75" customHeight="1">
      <c r="A35" s="27" t="s">
        <v>48</v>
      </c>
      <c r="B35" s="28">
        <v>1.25</v>
      </c>
      <c r="C35" s="28">
        <v>1.25</v>
      </c>
      <c r="D35" s="28"/>
      <c r="E35" s="28"/>
      <c r="F35" s="28"/>
      <c r="G35" s="28"/>
      <c r="H35" s="25">
        <f t="shared" si="4"/>
        <v>7.4579999999999984</v>
      </c>
      <c r="I35" s="25">
        <f t="shared" si="5"/>
        <v>46.457999999999998</v>
      </c>
      <c r="J35" s="26">
        <f t="shared" si="6"/>
        <v>53.915999999999997</v>
      </c>
    </row>
    <row r="36" spans="1:10" ht="18.75" customHeight="1">
      <c r="A36" s="27" t="s">
        <v>49</v>
      </c>
      <c r="B36" s="28"/>
      <c r="C36" s="28"/>
      <c r="D36" s="28"/>
      <c r="E36" s="28"/>
      <c r="F36" s="28">
        <v>1</v>
      </c>
      <c r="G36" s="28"/>
      <c r="H36" s="25">
        <f t="shared" si="4"/>
        <v>6.4579999999999984</v>
      </c>
      <c r="I36" s="25">
        <f t="shared" si="5"/>
        <v>46.457999999999998</v>
      </c>
      <c r="J36" s="26">
        <f t="shared" si="6"/>
        <v>52.915999999999997</v>
      </c>
    </row>
    <row r="37" spans="1:10" ht="18.75" customHeight="1">
      <c r="A37" s="27" t="s">
        <v>50</v>
      </c>
      <c r="B37" s="28">
        <v>2.5</v>
      </c>
      <c r="C37" s="28">
        <v>2.5</v>
      </c>
      <c r="D37" s="28"/>
      <c r="E37" s="28"/>
      <c r="F37" s="28"/>
      <c r="G37" s="28"/>
      <c r="H37" s="25">
        <f t="shared" si="4"/>
        <v>8.9579999999999984</v>
      </c>
      <c r="I37" s="25">
        <f t="shared" si="5"/>
        <v>48.957999999999998</v>
      </c>
      <c r="J37" s="26">
        <f t="shared" si="6"/>
        <v>57.915999999999997</v>
      </c>
    </row>
    <row r="38" spans="1:10" ht="18.75" customHeight="1">
      <c r="A38" s="27" t="s">
        <v>51</v>
      </c>
      <c r="B38" s="28"/>
      <c r="C38" s="28"/>
      <c r="D38" s="28"/>
      <c r="E38" s="28"/>
      <c r="F38" s="28">
        <v>1</v>
      </c>
      <c r="G38" s="28"/>
      <c r="H38" s="25">
        <f t="shared" si="4"/>
        <v>7.9579999999999984</v>
      </c>
      <c r="I38" s="25">
        <f t="shared" si="5"/>
        <v>48.957999999999998</v>
      </c>
      <c r="J38" s="26">
        <f t="shared" si="6"/>
        <v>56.915999999999997</v>
      </c>
    </row>
    <row r="39" spans="1:10" ht="18.75" customHeight="1">
      <c r="A39" s="27" t="s">
        <v>52</v>
      </c>
      <c r="B39" s="28">
        <v>1.25</v>
      </c>
      <c r="C39" s="28">
        <v>1.25</v>
      </c>
      <c r="D39" s="28"/>
      <c r="E39" s="28"/>
      <c r="F39" s="28"/>
      <c r="G39" s="28"/>
      <c r="H39" s="25">
        <f t="shared" si="4"/>
        <v>9.2079999999999984</v>
      </c>
      <c r="I39" s="25">
        <f t="shared" si="5"/>
        <v>50.207999999999998</v>
      </c>
      <c r="J39" s="26">
        <f t="shared" si="6"/>
        <v>59.415999999999997</v>
      </c>
    </row>
    <row r="40" spans="1:10" ht="18.75" customHeight="1">
      <c r="A40" s="27" t="s">
        <v>53</v>
      </c>
      <c r="B40" s="28"/>
      <c r="C40" s="28"/>
      <c r="D40" s="28"/>
      <c r="E40" s="28"/>
      <c r="F40" s="28">
        <v>1</v>
      </c>
      <c r="G40" s="28"/>
      <c r="H40" s="25">
        <f t="shared" si="4"/>
        <v>8.2079999999999984</v>
      </c>
      <c r="I40" s="25">
        <f t="shared" si="5"/>
        <v>50.207999999999998</v>
      </c>
      <c r="J40" s="26">
        <f t="shared" si="6"/>
        <v>58.415999999999997</v>
      </c>
    </row>
    <row r="41" spans="1:10" ht="18.75" customHeight="1">
      <c r="A41" s="29" t="s">
        <v>70</v>
      </c>
      <c r="B41" s="31"/>
      <c r="C41" s="31"/>
      <c r="D41" s="31">
        <v>0.312</v>
      </c>
      <c r="E41" s="31"/>
      <c r="G41" s="31"/>
      <c r="H41" s="25">
        <f t="shared" si="4"/>
        <v>7.8959999999999981</v>
      </c>
      <c r="I41" s="25">
        <f t="shared" si="5"/>
        <v>50.207999999999998</v>
      </c>
      <c r="J41" s="26">
        <f t="shared" si="6"/>
        <v>58.103999999999999</v>
      </c>
    </row>
    <row r="42" spans="1:10">
      <c r="A42" s="27" t="s">
        <v>54</v>
      </c>
      <c r="B42" s="28">
        <v>1.25</v>
      </c>
      <c r="C42" s="28">
        <v>1.25</v>
      </c>
      <c r="D42" s="32"/>
      <c r="E42" s="32"/>
      <c r="F42" s="32"/>
      <c r="G42" s="33"/>
      <c r="H42" s="25">
        <f t="shared" si="4"/>
        <v>9.1459999999999972</v>
      </c>
      <c r="I42" s="25">
        <f t="shared" si="5"/>
        <v>51.457999999999998</v>
      </c>
      <c r="J42" s="26">
        <f t="shared" si="6"/>
        <v>60.603999999999999</v>
      </c>
    </row>
    <row r="43" spans="1:10">
      <c r="A43" s="27" t="s">
        <v>55</v>
      </c>
      <c r="B43" s="32"/>
      <c r="C43" s="32"/>
      <c r="D43" s="32"/>
      <c r="E43" s="32">
        <v>1</v>
      </c>
      <c r="F43" s="32"/>
      <c r="G43" s="33"/>
      <c r="H43" s="25">
        <f t="shared" ref="H43:H68" si="7">H42-F43-D43+B43</f>
        <v>9.1459999999999972</v>
      </c>
      <c r="I43" s="25">
        <f t="shared" ref="I43:I68" si="8">I42-E43+C43</f>
        <v>50.457999999999998</v>
      </c>
      <c r="J43" s="26">
        <f t="shared" ref="J43:J68" si="9">SUM(H43:I43)</f>
        <v>59.603999999999999</v>
      </c>
    </row>
    <row r="44" spans="1:10">
      <c r="A44" s="34" t="s">
        <v>71</v>
      </c>
      <c r="B44" s="32">
        <v>2.5</v>
      </c>
      <c r="C44" s="32">
        <v>2.5</v>
      </c>
      <c r="D44" s="32"/>
      <c r="E44" s="32"/>
      <c r="F44" s="32"/>
      <c r="G44" s="32"/>
      <c r="H44" s="25">
        <f t="shared" si="7"/>
        <v>11.645999999999997</v>
      </c>
      <c r="I44" s="25">
        <f t="shared" si="8"/>
        <v>52.957999999999998</v>
      </c>
      <c r="J44" s="26">
        <f t="shared" si="9"/>
        <v>64.603999999999999</v>
      </c>
    </row>
    <row r="45" spans="1:10">
      <c r="A45" s="35" t="s">
        <v>72</v>
      </c>
      <c r="B45" s="32"/>
      <c r="C45" s="32"/>
      <c r="D45" s="32">
        <v>4</v>
      </c>
      <c r="E45" s="32">
        <v>6</v>
      </c>
      <c r="F45" s="32"/>
      <c r="G45" s="32"/>
      <c r="H45" s="25">
        <f t="shared" si="7"/>
        <v>7.6459999999999972</v>
      </c>
      <c r="I45" s="25">
        <f t="shared" si="8"/>
        <v>46.957999999999998</v>
      </c>
      <c r="J45" s="26">
        <f t="shared" si="9"/>
        <v>54.603999999999999</v>
      </c>
    </row>
    <row r="46" spans="1:10">
      <c r="A46" s="38" t="s">
        <v>77</v>
      </c>
      <c r="B46" s="32">
        <v>3.75</v>
      </c>
      <c r="C46" s="32">
        <v>3.75</v>
      </c>
      <c r="D46" s="32"/>
      <c r="E46" s="32"/>
      <c r="F46" s="32"/>
      <c r="G46" s="32"/>
      <c r="H46" s="25">
        <f t="shared" si="7"/>
        <v>11.395999999999997</v>
      </c>
      <c r="I46" s="25">
        <f t="shared" si="8"/>
        <v>50.707999999999998</v>
      </c>
      <c r="J46" s="26">
        <f t="shared" si="9"/>
        <v>62.103999999999999</v>
      </c>
    </row>
    <row r="47" spans="1:10">
      <c r="A47" s="38" t="s">
        <v>78</v>
      </c>
      <c r="B47" s="32"/>
      <c r="C47" s="32"/>
      <c r="D47" s="32"/>
      <c r="E47" s="32"/>
      <c r="F47" s="32">
        <v>2</v>
      </c>
      <c r="G47" s="32"/>
      <c r="H47" s="25">
        <f t="shared" si="7"/>
        <v>9.3959999999999972</v>
      </c>
      <c r="I47" s="25">
        <f t="shared" si="8"/>
        <v>50.707999999999998</v>
      </c>
      <c r="J47" s="26">
        <f t="shared" si="9"/>
        <v>60.103999999999999</v>
      </c>
    </row>
    <row r="48" spans="1:10">
      <c r="A48" s="39" t="s">
        <v>79</v>
      </c>
      <c r="B48" s="32">
        <v>1.25</v>
      </c>
      <c r="C48" s="32">
        <v>1.25</v>
      </c>
      <c r="D48" s="32"/>
      <c r="E48" s="32"/>
      <c r="F48" s="32"/>
      <c r="G48" s="32"/>
      <c r="H48" s="25">
        <f t="shared" si="7"/>
        <v>10.645999999999997</v>
      </c>
      <c r="I48" s="25">
        <f t="shared" si="8"/>
        <v>51.957999999999998</v>
      </c>
      <c r="J48" s="26">
        <f t="shared" si="9"/>
        <v>62.603999999999999</v>
      </c>
    </row>
    <row r="49" spans="1:10">
      <c r="A49" s="40" t="s">
        <v>80</v>
      </c>
      <c r="B49" s="32">
        <v>1</v>
      </c>
      <c r="C49" s="32"/>
      <c r="D49" s="32"/>
      <c r="E49" s="32"/>
      <c r="F49" s="32"/>
      <c r="G49" s="32"/>
      <c r="H49" s="25">
        <f t="shared" si="7"/>
        <v>11.645999999999997</v>
      </c>
      <c r="I49" s="25">
        <f t="shared" si="8"/>
        <v>51.957999999999998</v>
      </c>
      <c r="J49" s="26">
        <f t="shared" si="9"/>
        <v>63.603999999999999</v>
      </c>
    </row>
    <row r="50" spans="1:10">
      <c r="A50" s="41" t="s">
        <v>81</v>
      </c>
      <c r="B50" s="32">
        <v>3.75</v>
      </c>
      <c r="C50" s="32">
        <v>3.75</v>
      </c>
      <c r="D50" s="32"/>
      <c r="E50" s="32"/>
      <c r="F50" s="32"/>
      <c r="G50" s="32"/>
      <c r="H50" s="25">
        <f t="shared" si="7"/>
        <v>15.395999999999997</v>
      </c>
      <c r="I50" s="25">
        <f t="shared" si="8"/>
        <v>55.707999999999998</v>
      </c>
      <c r="J50" s="26">
        <f t="shared" si="9"/>
        <v>71.103999999999999</v>
      </c>
    </row>
    <row r="51" spans="1:10">
      <c r="A51" s="41" t="s">
        <v>82</v>
      </c>
      <c r="B51" s="32"/>
      <c r="C51" s="32"/>
      <c r="D51" s="32"/>
      <c r="E51" s="32">
        <v>1</v>
      </c>
      <c r="F51" s="32"/>
      <c r="G51" s="32"/>
      <c r="H51" s="25">
        <f t="shared" si="7"/>
        <v>15.395999999999997</v>
      </c>
      <c r="I51" s="25">
        <f t="shared" si="8"/>
        <v>54.707999999999998</v>
      </c>
      <c r="J51" s="26">
        <f t="shared" si="9"/>
        <v>70.103999999999999</v>
      </c>
    </row>
    <row r="52" spans="1:10">
      <c r="A52" s="42" t="s">
        <v>83</v>
      </c>
      <c r="B52" s="32">
        <v>1.25</v>
      </c>
      <c r="C52" s="32">
        <v>1.25</v>
      </c>
      <c r="D52" s="32"/>
      <c r="E52" s="32"/>
      <c r="F52" s="32"/>
      <c r="G52" s="32"/>
      <c r="H52" s="25">
        <f t="shared" si="7"/>
        <v>16.645999999999997</v>
      </c>
      <c r="I52" s="25">
        <f t="shared" si="8"/>
        <v>55.957999999999998</v>
      </c>
      <c r="J52" s="26">
        <f t="shared" si="9"/>
        <v>72.603999999999999</v>
      </c>
    </row>
    <row r="53" spans="1:10">
      <c r="A53" s="42" t="s">
        <v>84</v>
      </c>
      <c r="B53" s="32"/>
      <c r="C53" s="32"/>
      <c r="D53" s="32"/>
      <c r="E53" s="32"/>
      <c r="F53" s="32">
        <v>1</v>
      </c>
      <c r="G53" s="32"/>
      <c r="H53" s="25">
        <f t="shared" si="7"/>
        <v>15.645999999999997</v>
      </c>
      <c r="I53" s="25">
        <f t="shared" si="8"/>
        <v>55.957999999999998</v>
      </c>
      <c r="J53" s="26">
        <f t="shared" si="9"/>
        <v>71.603999999999999</v>
      </c>
    </row>
    <row r="54" spans="1:10">
      <c r="A54" s="47" t="s">
        <v>85</v>
      </c>
      <c r="B54" s="32">
        <v>2.5</v>
      </c>
      <c r="C54" s="32">
        <v>2.5</v>
      </c>
      <c r="D54" s="32"/>
      <c r="E54" s="32"/>
      <c r="F54" s="32"/>
      <c r="G54" s="32"/>
      <c r="H54" s="25">
        <f t="shared" si="7"/>
        <v>18.145999999999997</v>
      </c>
      <c r="I54" s="25">
        <f t="shared" si="8"/>
        <v>58.457999999999998</v>
      </c>
      <c r="J54" s="26">
        <f t="shared" si="9"/>
        <v>76.603999999999999</v>
      </c>
    </row>
    <row r="55" spans="1:10">
      <c r="A55" s="47" t="s">
        <v>86</v>
      </c>
      <c r="B55" s="32"/>
      <c r="C55" s="32"/>
      <c r="D55" s="32"/>
      <c r="E55" s="32"/>
      <c r="F55" s="32">
        <v>1</v>
      </c>
      <c r="G55" s="32"/>
      <c r="H55" s="25">
        <f t="shared" si="7"/>
        <v>17.145999999999997</v>
      </c>
      <c r="I55" s="25">
        <f t="shared" si="8"/>
        <v>58.457999999999998</v>
      </c>
      <c r="J55" s="26">
        <f t="shared" si="9"/>
        <v>75.603999999999999</v>
      </c>
    </row>
    <row r="56" spans="1:10">
      <c r="A56" s="51" t="s">
        <v>87</v>
      </c>
      <c r="B56" s="32">
        <v>1.25</v>
      </c>
      <c r="C56" s="32">
        <v>1.25</v>
      </c>
      <c r="D56" s="32"/>
      <c r="E56" s="32"/>
      <c r="F56" s="32"/>
      <c r="G56" s="32"/>
      <c r="H56" s="25">
        <f t="shared" si="7"/>
        <v>18.395999999999997</v>
      </c>
      <c r="I56" s="25">
        <f t="shared" si="8"/>
        <v>59.707999999999998</v>
      </c>
      <c r="J56" s="26">
        <f t="shared" si="9"/>
        <v>78.103999999999999</v>
      </c>
    </row>
    <row r="57" spans="1:10">
      <c r="A57" s="52" t="s">
        <v>89</v>
      </c>
      <c r="B57" s="32"/>
      <c r="C57" s="32"/>
      <c r="D57" s="32">
        <v>0.5</v>
      </c>
      <c r="E57" s="32"/>
      <c r="F57" s="32"/>
      <c r="G57" s="32"/>
      <c r="H57" s="25">
        <f t="shared" si="7"/>
        <v>17.895999999999997</v>
      </c>
      <c r="I57" s="25">
        <f t="shared" si="8"/>
        <v>59.707999999999998</v>
      </c>
      <c r="J57" s="26">
        <f t="shared" si="9"/>
        <v>77.603999999999999</v>
      </c>
    </row>
    <row r="58" spans="1:10">
      <c r="A58" s="53" t="s">
        <v>88</v>
      </c>
      <c r="B58" s="32"/>
      <c r="C58" s="32"/>
      <c r="D58" s="32">
        <v>10</v>
      </c>
      <c r="E58" s="32"/>
      <c r="F58" s="32"/>
      <c r="G58" s="32"/>
      <c r="H58" s="25">
        <f t="shared" si="7"/>
        <v>7.8959999999999972</v>
      </c>
      <c r="I58" s="25">
        <f t="shared" si="8"/>
        <v>59.707999999999998</v>
      </c>
      <c r="J58" s="26">
        <f t="shared" si="9"/>
        <v>67.603999999999999</v>
      </c>
    </row>
    <row r="59" spans="1:10">
      <c r="A59" s="54" t="s">
        <v>90</v>
      </c>
      <c r="B59" s="32">
        <v>1.25</v>
      </c>
      <c r="C59" s="32">
        <v>1.25</v>
      </c>
      <c r="D59" s="32"/>
      <c r="E59" s="32"/>
      <c r="F59" s="32"/>
      <c r="G59" s="32"/>
      <c r="H59" s="25">
        <f t="shared" si="7"/>
        <v>9.1459999999999972</v>
      </c>
      <c r="I59" s="25">
        <f t="shared" si="8"/>
        <v>60.957999999999998</v>
      </c>
      <c r="J59" s="26">
        <f t="shared" si="9"/>
        <v>70.103999999999999</v>
      </c>
    </row>
    <row r="60" spans="1:10">
      <c r="A60" s="54" t="s">
        <v>91</v>
      </c>
      <c r="B60" s="32"/>
      <c r="C60" s="32"/>
      <c r="D60" s="32"/>
      <c r="E60" s="32"/>
      <c r="F60" s="32">
        <v>1</v>
      </c>
      <c r="G60" s="32"/>
      <c r="H60" s="25">
        <f t="shared" si="7"/>
        <v>8.1459999999999972</v>
      </c>
      <c r="I60" s="25">
        <f t="shared" si="8"/>
        <v>60.957999999999998</v>
      </c>
      <c r="J60" s="26">
        <f t="shared" si="9"/>
        <v>69.103999999999999</v>
      </c>
    </row>
    <row r="61" spans="1:10">
      <c r="A61" s="55" t="s">
        <v>94</v>
      </c>
      <c r="B61" s="32"/>
      <c r="C61" s="32"/>
      <c r="D61" s="32">
        <v>0.25</v>
      </c>
      <c r="E61" s="32"/>
      <c r="F61" s="32"/>
      <c r="G61" s="32"/>
      <c r="H61" s="25">
        <f t="shared" si="7"/>
        <v>7.8959999999999972</v>
      </c>
      <c r="I61" s="25">
        <f t="shared" si="8"/>
        <v>60.957999999999998</v>
      </c>
      <c r="J61" s="26">
        <f t="shared" si="9"/>
        <v>68.853999999999999</v>
      </c>
    </row>
    <row r="62" spans="1:10">
      <c r="A62" s="55" t="s">
        <v>92</v>
      </c>
      <c r="B62" s="32">
        <v>1.25</v>
      </c>
      <c r="C62" s="32">
        <v>1.25</v>
      </c>
      <c r="D62" s="32"/>
      <c r="E62" s="32"/>
      <c r="F62" s="32"/>
      <c r="G62" s="32"/>
      <c r="H62" s="25">
        <f t="shared" si="7"/>
        <v>9.1459999999999972</v>
      </c>
      <c r="I62" s="25">
        <f t="shared" si="8"/>
        <v>62.207999999999998</v>
      </c>
      <c r="J62" s="26">
        <f t="shared" si="9"/>
        <v>71.353999999999999</v>
      </c>
    </row>
    <row r="63" spans="1:10">
      <c r="A63" s="55" t="s">
        <v>93</v>
      </c>
      <c r="B63" s="32"/>
      <c r="C63" s="32"/>
      <c r="D63" s="32"/>
      <c r="E63" s="32"/>
      <c r="F63" s="32"/>
      <c r="G63" s="32">
        <v>1</v>
      </c>
      <c r="H63" s="25">
        <f t="shared" si="7"/>
        <v>9.1459999999999972</v>
      </c>
      <c r="I63" s="25">
        <f t="shared" si="8"/>
        <v>62.207999999999998</v>
      </c>
      <c r="J63" s="26">
        <f t="shared" si="9"/>
        <v>71.353999999999999</v>
      </c>
    </row>
    <row r="64" spans="1:10">
      <c r="A64" s="57" t="s">
        <v>95</v>
      </c>
      <c r="B64" s="32">
        <v>1.25</v>
      </c>
      <c r="C64" s="32">
        <v>1.25</v>
      </c>
      <c r="D64" s="32"/>
      <c r="E64" s="32"/>
      <c r="F64" s="32"/>
      <c r="G64" s="32"/>
      <c r="H64" s="25">
        <f t="shared" si="7"/>
        <v>10.395999999999997</v>
      </c>
      <c r="I64" s="25">
        <f t="shared" si="8"/>
        <v>63.457999999999998</v>
      </c>
      <c r="J64" s="26">
        <f t="shared" si="9"/>
        <v>73.853999999999999</v>
      </c>
    </row>
    <row r="65" spans="1:10">
      <c r="A65" s="57" t="s">
        <v>96</v>
      </c>
      <c r="B65" s="32"/>
      <c r="C65" s="32"/>
      <c r="D65" s="32"/>
      <c r="E65" s="32"/>
      <c r="F65" s="32"/>
      <c r="G65" s="32">
        <v>1</v>
      </c>
      <c r="H65" s="25">
        <f t="shared" si="7"/>
        <v>10.395999999999997</v>
      </c>
      <c r="I65" s="25">
        <f t="shared" si="8"/>
        <v>63.457999999999998</v>
      </c>
      <c r="J65" s="26">
        <f t="shared" si="9"/>
        <v>73.853999999999999</v>
      </c>
    </row>
    <row r="66" spans="1:10">
      <c r="A66" s="58" t="s">
        <v>97</v>
      </c>
      <c r="B66" s="32"/>
      <c r="C66" s="32"/>
      <c r="D66" s="32"/>
      <c r="E66" s="32"/>
      <c r="F66" s="32">
        <v>1</v>
      </c>
      <c r="G66" s="32"/>
      <c r="H66" s="25">
        <f t="shared" si="7"/>
        <v>9.3959999999999972</v>
      </c>
      <c r="I66" s="25">
        <f t="shared" si="8"/>
        <v>63.457999999999998</v>
      </c>
      <c r="J66" s="26">
        <f t="shared" si="9"/>
        <v>72.853999999999999</v>
      </c>
    </row>
    <row r="67" spans="1:10">
      <c r="A67" s="59" t="s">
        <v>98</v>
      </c>
      <c r="B67" s="32">
        <v>1.25</v>
      </c>
      <c r="C67" s="32">
        <v>1.25</v>
      </c>
      <c r="D67" s="32"/>
      <c r="E67" s="32"/>
      <c r="F67" s="32"/>
      <c r="G67" s="32"/>
      <c r="H67" s="25">
        <f t="shared" si="7"/>
        <v>10.645999999999997</v>
      </c>
      <c r="I67" s="25">
        <f t="shared" si="8"/>
        <v>64.707999999999998</v>
      </c>
      <c r="J67" s="26">
        <f t="shared" si="9"/>
        <v>75.353999999999999</v>
      </c>
    </row>
    <row r="68" spans="1:10">
      <c r="A68" s="60" t="s">
        <v>99</v>
      </c>
      <c r="B68" s="32"/>
      <c r="C68" s="32"/>
      <c r="D68" s="32"/>
      <c r="E68" s="32"/>
      <c r="F68" s="32">
        <v>1</v>
      </c>
      <c r="G68" s="32"/>
      <c r="H68" s="25">
        <f t="shared" si="7"/>
        <v>9.6459999999999972</v>
      </c>
      <c r="I68" s="25">
        <f t="shared" si="8"/>
        <v>64.707999999999998</v>
      </c>
      <c r="J68" s="26">
        <f t="shared" si="9"/>
        <v>74.353999999999999</v>
      </c>
    </row>
    <row r="69" spans="1:10">
      <c r="A69" s="75" t="s">
        <v>109</v>
      </c>
      <c r="B69" s="32">
        <v>1.25</v>
      </c>
      <c r="C69" s="32">
        <v>1.25</v>
      </c>
      <c r="D69" s="32"/>
      <c r="E69" s="32"/>
      <c r="F69" s="32"/>
      <c r="G69" s="32"/>
      <c r="H69" s="25">
        <f t="shared" ref="H69:H70" si="10">H68-F69-D69+B69</f>
        <v>10.895999999999997</v>
      </c>
      <c r="I69" s="25">
        <f t="shared" ref="I69:I70" si="11">I68-E69+C69</f>
        <v>65.957999999999998</v>
      </c>
      <c r="J69" s="26">
        <f t="shared" ref="J69:J70" si="12">SUM(H69:I69)</f>
        <v>76.853999999999999</v>
      </c>
    </row>
    <row r="70" spans="1:10">
      <c r="A70" s="75" t="s">
        <v>110</v>
      </c>
      <c r="B70" s="32">
        <v>2.5</v>
      </c>
      <c r="C70" s="32">
        <v>2.5</v>
      </c>
      <c r="D70" s="32"/>
      <c r="E70" s="32"/>
      <c r="F70" s="32"/>
      <c r="G70" s="32"/>
      <c r="H70" s="25">
        <f t="shared" si="10"/>
        <v>13.395999999999997</v>
      </c>
      <c r="I70" s="25">
        <f t="shared" si="11"/>
        <v>68.457999999999998</v>
      </c>
      <c r="J70" s="26">
        <f t="shared" si="12"/>
        <v>81.853999999999999</v>
      </c>
    </row>
    <row r="71" spans="1:10">
      <c r="A71" s="76" t="s">
        <v>108</v>
      </c>
      <c r="B71" s="32"/>
      <c r="C71" s="32"/>
      <c r="D71" s="32"/>
      <c r="E71" s="32">
        <v>1</v>
      </c>
      <c r="F71" s="32"/>
      <c r="G71" s="32"/>
      <c r="H71" s="25">
        <f t="shared" ref="H71" si="13">H70-F71-D71+B71</f>
        <v>13.395999999999997</v>
      </c>
      <c r="I71" s="25">
        <f t="shared" ref="I71" si="14">I70-E71+C71</f>
        <v>67.457999999999998</v>
      </c>
      <c r="J71" s="26">
        <f t="shared" ref="J71" si="15">SUM(H71:I71)</f>
        <v>80.853999999999999</v>
      </c>
    </row>
    <row r="72" spans="1:10">
      <c r="A72" s="80" t="s">
        <v>112</v>
      </c>
      <c r="B72" s="33">
        <v>2.5</v>
      </c>
      <c r="C72" s="33">
        <v>2.5</v>
      </c>
      <c r="D72" s="33"/>
      <c r="E72" s="33"/>
      <c r="F72" s="33"/>
      <c r="G72" s="33"/>
      <c r="H72" s="81">
        <f t="shared" ref="H72" si="16">H71-F72-D72+B72</f>
        <v>15.895999999999997</v>
      </c>
      <c r="I72" s="81">
        <f t="shared" ref="I72" si="17">I71-E72+C72</f>
        <v>69.957999999999998</v>
      </c>
      <c r="J72" s="82">
        <f t="shared" ref="J72" si="18">SUM(H72:I72)</f>
        <v>85.853999999999999</v>
      </c>
    </row>
    <row r="73" spans="1:10">
      <c r="A73" s="83" t="s">
        <v>117</v>
      </c>
      <c r="B73" s="32"/>
      <c r="C73" s="32"/>
      <c r="D73" s="32"/>
      <c r="E73" s="32"/>
      <c r="F73" s="32"/>
      <c r="G73" s="56">
        <v>1</v>
      </c>
      <c r="H73" s="28">
        <f t="shared" ref="H73" si="19">H72-F73-D73+B73</f>
        <v>15.895999999999997</v>
      </c>
      <c r="I73" s="28">
        <f t="shared" ref="I73" si="20">I72-E73+C73</f>
        <v>69.957999999999998</v>
      </c>
      <c r="J73" s="28">
        <f t="shared" ref="J73" si="21">SUM(H73:I73)</f>
        <v>85.853999999999999</v>
      </c>
    </row>
    <row r="74" spans="1:10">
      <c r="A74" s="84" t="s">
        <v>118</v>
      </c>
      <c r="B74" s="32">
        <v>2.5</v>
      </c>
      <c r="C74" s="32">
        <v>2.5</v>
      </c>
      <c r="D74" s="32"/>
      <c r="E74" s="32"/>
      <c r="F74" s="32"/>
      <c r="G74" s="32"/>
      <c r="H74" s="28">
        <f t="shared" ref="H74:H75" si="22">H73-F74-D74+B74</f>
        <v>18.395999999999997</v>
      </c>
      <c r="I74" s="28">
        <f t="shared" ref="I74:I75" si="23">I73-E74+C74</f>
        <v>72.457999999999998</v>
      </c>
      <c r="J74" s="28">
        <f t="shared" ref="J74:J75" si="24">SUM(H74:I74)</f>
        <v>90.853999999999999</v>
      </c>
    </row>
    <row r="75" spans="1:10">
      <c r="A75" s="84" t="s">
        <v>119</v>
      </c>
      <c r="B75" s="32"/>
      <c r="C75" s="32"/>
      <c r="D75" s="32">
        <v>10</v>
      </c>
      <c r="E75" s="32"/>
      <c r="F75" s="32"/>
      <c r="G75" s="32"/>
      <c r="H75" s="28">
        <f t="shared" si="22"/>
        <v>8.3959999999999972</v>
      </c>
      <c r="I75" s="28">
        <f t="shared" si="23"/>
        <v>72.457999999999998</v>
      </c>
      <c r="J75" s="28">
        <f t="shared" si="24"/>
        <v>80.853999999999999</v>
      </c>
    </row>
    <row r="76" spans="1:10">
      <c r="A76" s="88" t="s">
        <v>125</v>
      </c>
      <c r="B76" s="32"/>
      <c r="C76" s="32"/>
      <c r="D76" s="32"/>
      <c r="E76" s="32"/>
      <c r="F76" s="32"/>
      <c r="G76" s="56">
        <v>2</v>
      </c>
      <c r="H76" s="28">
        <f t="shared" ref="H76" si="25">H75-F76-D76+B76</f>
        <v>8.3959999999999972</v>
      </c>
      <c r="I76" s="28">
        <f t="shared" ref="I76" si="26">I75-E76+C76</f>
        <v>72.457999999999998</v>
      </c>
      <c r="J76" s="28">
        <f t="shared" ref="J76" si="27">SUM(H76:I76)</f>
        <v>80.853999999999999</v>
      </c>
    </row>
    <row r="77" spans="1:10" s="129" customFormat="1">
      <c r="A77" s="132" t="s">
        <v>129</v>
      </c>
      <c r="B77" s="131">
        <v>6.25</v>
      </c>
      <c r="C77" s="131">
        <v>6.25</v>
      </c>
      <c r="D77" s="131"/>
      <c r="E77" s="131"/>
      <c r="F77" s="131"/>
      <c r="G77" s="131"/>
      <c r="H77" s="28">
        <f t="shared" ref="H77:H78" si="28">H76-F77-D77+B77</f>
        <v>14.645999999999997</v>
      </c>
      <c r="I77" s="28">
        <f t="shared" ref="I77:I78" si="29">I76-E77+C77</f>
        <v>78.707999999999998</v>
      </c>
      <c r="J77" s="28">
        <f t="shared" ref="J77:J78" si="30">SUM(H77:I77)</f>
        <v>93.353999999999999</v>
      </c>
    </row>
    <row r="78" spans="1:10" s="129" customFormat="1">
      <c r="A78" s="132" t="s">
        <v>130</v>
      </c>
      <c r="B78" s="131"/>
      <c r="C78" s="131"/>
      <c r="D78" s="131"/>
      <c r="E78" s="131"/>
      <c r="F78" s="43">
        <v>1</v>
      </c>
      <c r="G78" s="131"/>
      <c r="H78" s="28">
        <f t="shared" si="28"/>
        <v>13.645999999999997</v>
      </c>
      <c r="I78" s="28">
        <f t="shared" si="29"/>
        <v>78.707999999999998</v>
      </c>
      <c r="J78" s="28">
        <f t="shared" si="30"/>
        <v>92.353999999999999</v>
      </c>
    </row>
    <row r="79" spans="1:10" s="129" customFormat="1">
      <c r="A79" s="130"/>
      <c r="B79" s="131"/>
      <c r="C79" s="131"/>
      <c r="D79" s="131"/>
      <c r="E79" s="131"/>
      <c r="F79" s="131"/>
      <c r="G79" s="131"/>
      <c r="H79" s="131"/>
      <c r="I79" s="131"/>
      <c r="J79" s="131"/>
    </row>
    <row r="80" spans="1:10" s="129" customFormat="1">
      <c r="A80" s="127"/>
      <c r="B80" s="128"/>
      <c r="C80" s="128"/>
      <c r="D80" s="128"/>
      <c r="E80" s="128"/>
      <c r="F80" s="128"/>
      <c r="G80" s="128"/>
      <c r="H80" s="128"/>
      <c r="I80" s="128"/>
      <c r="J80" s="128"/>
    </row>
    <row r="81" spans="1:11">
      <c r="A81" s="44"/>
      <c r="B81" s="45"/>
      <c r="C81" s="45"/>
      <c r="D81" s="45"/>
      <c r="E81" s="45"/>
      <c r="F81" s="45"/>
      <c r="G81" s="45"/>
      <c r="H81" s="46"/>
      <c r="I81" s="46"/>
      <c r="J81" s="45"/>
    </row>
    <row r="82" spans="1:11" s="36" customFormat="1" ht="15" customHeight="1">
      <c r="G82" s="36" t="s">
        <v>73</v>
      </c>
    </row>
    <row r="83" spans="1:11" s="36" customFormat="1" ht="15" customHeight="1"/>
    <row r="84" spans="1:11" s="36" customFormat="1" ht="15" customHeight="1">
      <c r="A84" s="37"/>
      <c r="H84" s="48" t="s">
        <v>74</v>
      </c>
    </row>
    <row r="85" spans="1:11" s="36" customFormat="1" ht="15" customHeight="1">
      <c r="A85" s="21"/>
      <c r="H85" s="21" t="s">
        <v>75</v>
      </c>
    </row>
    <row r="86" spans="1:11" ht="15" customHeight="1">
      <c r="A86" s="21"/>
      <c r="B86" s="1"/>
      <c r="C86" s="1"/>
      <c r="D86" s="1"/>
      <c r="E86" s="1"/>
      <c r="F86" s="1"/>
      <c r="G86" s="1"/>
      <c r="H86" s="21" t="s">
        <v>76</v>
      </c>
      <c r="I86" s="1"/>
      <c r="J86" s="1"/>
      <c r="K86" s="1"/>
    </row>
  </sheetData>
  <mergeCells count="12">
    <mergeCell ref="D11:G11"/>
    <mergeCell ref="A2:J2"/>
    <mergeCell ref="A3:J3"/>
    <mergeCell ref="A4:J4"/>
    <mergeCell ref="A5:J5"/>
    <mergeCell ref="B7:D7"/>
    <mergeCell ref="B9:D9"/>
    <mergeCell ref="A10:J10"/>
    <mergeCell ref="B11:C11"/>
    <mergeCell ref="H11:I11"/>
    <mergeCell ref="J11:J12"/>
    <mergeCell ref="A11:A12"/>
  </mergeCells>
  <printOptions horizontalCentered="1"/>
  <pageMargins left="0.23622047244094491" right="0.23622047244094491" top="0.70866141732283472" bottom="0.51181102362204722" header="0.31496062992125984" footer="0.31496062992125984"/>
  <pageSetup paperSize="9" scale="69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E81D-429E-415E-988F-D970F060E40F}">
  <dimension ref="A1:L30"/>
  <sheetViews>
    <sheetView view="pageBreakPreview" topLeftCell="A12" zoomScale="112" zoomScaleNormal="100" zoomScaleSheetLayoutView="112" workbookViewId="0">
      <selection activeCell="B24" sqref="B24:E24"/>
    </sheetView>
  </sheetViews>
  <sheetFormatPr defaultColWidth="8.7109375" defaultRowHeight="15"/>
  <cols>
    <col min="1" max="1" width="26.5703125" style="69" customWidth="1"/>
    <col min="2" max="4" width="8.7109375" style="69"/>
    <col min="5" max="5" width="14.85546875" style="69" customWidth="1"/>
    <col min="6" max="12" width="8.7109375" style="69"/>
    <col min="13" max="13" width="1.42578125" style="69" customWidth="1"/>
    <col min="14" max="16384" width="8.7109375" style="69"/>
  </cols>
  <sheetData>
    <row r="1" spans="1:12" s="64" customFormat="1" ht="52.5" customHeight="1"/>
    <row r="2" spans="1:12" s="64" customFormat="1" ht="10.5" customHeight="1">
      <c r="A2" s="116" t="s">
        <v>23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1:12" s="64" customFormat="1" ht="15.95" customHeight="1">
      <c r="A3" s="116" t="s">
        <v>24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1:12" s="64" customFormat="1" ht="15.95" customHeight="1">
      <c r="A4" s="116" t="s">
        <v>25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1:12" s="64" customFormat="1" ht="15.95" customHeight="1">
      <c r="A5" s="116" t="s">
        <v>26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</row>
    <row r="6" spans="1:12" s="64" customFormat="1" ht="8.25" customHeight="1"/>
    <row r="7" spans="1:12" s="64" customFormat="1" ht="12" customHeight="1">
      <c r="A7" s="64" t="s">
        <v>57</v>
      </c>
      <c r="C7" s="65" t="s">
        <v>58</v>
      </c>
      <c r="D7" s="65"/>
      <c r="G7" s="65" t="s">
        <v>0</v>
      </c>
      <c r="H7" s="66"/>
    </row>
    <row r="8" spans="1:12" s="64" customFormat="1" ht="12" customHeight="1">
      <c r="C8" s="67"/>
      <c r="G8" s="67"/>
      <c r="H8" s="67"/>
    </row>
    <row r="9" spans="1:12" s="64" customFormat="1" ht="12" customHeight="1">
      <c r="A9" s="64" t="s">
        <v>59</v>
      </c>
      <c r="C9" s="65" t="s">
        <v>60</v>
      </c>
      <c r="D9" s="65"/>
      <c r="G9" s="65" t="s">
        <v>1</v>
      </c>
      <c r="H9" s="68"/>
    </row>
    <row r="10" spans="1:12" s="64" customFormat="1" ht="12" customHeight="1">
      <c r="C10" s="65"/>
      <c r="D10" s="65"/>
      <c r="G10" s="65"/>
      <c r="H10" s="65"/>
    </row>
    <row r="11" spans="1:12" ht="16.5" customHeight="1" thickBot="1">
      <c r="A11" s="117" t="s">
        <v>101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</row>
    <row r="12" spans="1:12" s="70" customFormat="1" ht="15.95" customHeight="1">
      <c r="A12" s="118" t="s">
        <v>3</v>
      </c>
      <c r="B12" s="120" t="s">
        <v>4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2" t="s">
        <v>7</v>
      </c>
    </row>
    <row r="13" spans="1:12" s="70" customFormat="1" ht="15.95" customHeight="1">
      <c r="A13" s="119"/>
      <c r="B13" s="114" t="s">
        <v>102</v>
      </c>
      <c r="C13" s="124"/>
      <c r="D13" s="124"/>
      <c r="E13" s="115"/>
      <c r="F13" s="114" t="s">
        <v>103</v>
      </c>
      <c r="G13" s="115"/>
      <c r="H13" s="114" t="s">
        <v>104</v>
      </c>
      <c r="I13" s="115"/>
      <c r="J13" s="114" t="s">
        <v>105</v>
      </c>
      <c r="K13" s="115"/>
      <c r="L13" s="123"/>
    </row>
    <row r="14" spans="1:12" s="71" customFormat="1" ht="35.25" customHeight="1">
      <c r="A14" s="77" t="s">
        <v>106</v>
      </c>
      <c r="B14" s="106" t="s">
        <v>107</v>
      </c>
      <c r="C14" s="106"/>
      <c r="D14" s="106"/>
      <c r="E14" s="106"/>
      <c r="F14" s="108">
        <v>3</v>
      </c>
      <c r="G14" s="108"/>
      <c r="H14" s="108">
        <v>0</v>
      </c>
      <c r="I14" s="108"/>
      <c r="J14" s="108">
        <v>3</v>
      </c>
      <c r="K14" s="108"/>
      <c r="L14" s="72">
        <v>3</v>
      </c>
    </row>
    <row r="15" spans="1:12" s="71" customFormat="1" ht="42" customHeight="1">
      <c r="A15" s="77" t="s">
        <v>111</v>
      </c>
      <c r="B15" s="106" t="s">
        <v>107</v>
      </c>
      <c r="C15" s="106"/>
      <c r="D15" s="106"/>
      <c r="E15" s="106"/>
      <c r="F15" s="108"/>
      <c r="G15" s="108"/>
      <c r="H15" s="108">
        <v>1</v>
      </c>
      <c r="I15" s="108"/>
      <c r="J15" s="108">
        <v>2</v>
      </c>
      <c r="K15" s="108"/>
      <c r="L15" s="72">
        <v>2</v>
      </c>
    </row>
    <row r="16" spans="1:12" s="71" customFormat="1" ht="42" customHeight="1">
      <c r="A16" s="89" t="s">
        <v>115</v>
      </c>
      <c r="B16" s="106" t="s">
        <v>107</v>
      </c>
      <c r="C16" s="106"/>
      <c r="D16" s="106"/>
      <c r="E16" s="106"/>
      <c r="F16" s="108"/>
      <c r="G16" s="108"/>
      <c r="H16" s="108">
        <v>2</v>
      </c>
      <c r="I16" s="108"/>
      <c r="J16" s="108">
        <v>0</v>
      </c>
      <c r="K16" s="108"/>
      <c r="L16" s="79">
        <v>0</v>
      </c>
    </row>
    <row r="17" spans="1:12" s="71" customFormat="1" ht="25.5" customHeight="1">
      <c r="A17" s="85" t="s">
        <v>122</v>
      </c>
      <c r="B17" s="106" t="s">
        <v>123</v>
      </c>
      <c r="C17" s="106"/>
      <c r="D17" s="106"/>
      <c r="E17" s="106"/>
      <c r="F17" s="106">
        <v>1</v>
      </c>
      <c r="G17" s="106"/>
      <c r="H17" s="106">
        <v>0</v>
      </c>
      <c r="I17" s="106"/>
      <c r="J17" s="106">
        <v>1</v>
      </c>
      <c r="K17" s="106"/>
      <c r="L17" s="86">
        <v>1</v>
      </c>
    </row>
    <row r="18" spans="1:12" s="71" customFormat="1" ht="25.5" customHeight="1">
      <c r="A18" s="85" t="s">
        <v>124</v>
      </c>
      <c r="B18" s="106" t="s">
        <v>123</v>
      </c>
      <c r="C18" s="106"/>
      <c r="D18" s="106"/>
      <c r="E18" s="106"/>
      <c r="F18" s="106"/>
      <c r="G18" s="106"/>
      <c r="H18" s="106">
        <v>1</v>
      </c>
      <c r="I18" s="106"/>
      <c r="J18" s="106">
        <v>0</v>
      </c>
      <c r="K18" s="106"/>
      <c r="L18" s="87">
        <v>0</v>
      </c>
    </row>
    <row r="19" spans="1:12" s="78" customFormat="1" ht="25.5" customHeight="1">
      <c r="A19" s="90" t="s">
        <v>113</v>
      </c>
      <c r="B19" s="107" t="s">
        <v>114</v>
      </c>
      <c r="C19" s="107"/>
      <c r="D19" s="107"/>
      <c r="E19" s="107"/>
      <c r="F19" s="107">
        <v>1.5</v>
      </c>
      <c r="G19" s="107"/>
      <c r="H19" s="107">
        <v>0</v>
      </c>
      <c r="I19" s="107"/>
      <c r="J19" s="107">
        <v>1.5</v>
      </c>
      <c r="K19" s="107"/>
      <c r="L19" s="90">
        <v>1.5</v>
      </c>
    </row>
    <row r="20" spans="1:12" s="78" customFormat="1" ht="25.5" customHeight="1">
      <c r="A20" s="90" t="s">
        <v>116</v>
      </c>
      <c r="B20" s="107" t="s">
        <v>114</v>
      </c>
      <c r="C20" s="107"/>
      <c r="D20" s="107"/>
      <c r="E20" s="107"/>
      <c r="F20" s="109"/>
      <c r="G20" s="110"/>
      <c r="H20" s="107">
        <v>1</v>
      </c>
      <c r="I20" s="107"/>
      <c r="J20" s="107">
        <v>0.5</v>
      </c>
      <c r="K20" s="107"/>
      <c r="L20" s="91">
        <v>0.5</v>
      </c>
    </row>
    <row r="21" spans="1:12" s="78" customFormat="1" ht="25.5" customHeight="1">
      <c r="A21" s="92" t="s">
        <v>126</v>
      </c>
      <c r="B21" s="107" t="s">
        <v>114</v>
      </c>
      <c r="C21" s="107"/>
      <c r="D21" s="107"/>
      <c r="E21" s="107"/>
      <c r="F21" s="109"/>
      <c r="G21" s="110"/>
      <c r="H21" s="107">
        <v>0.5</v>
      </c>
      <c r="I21" s="107"/>
      <c r="J21" s="107">
        <v>0</v>
      </c>
      <c r="K21" s="107"/>
      <c r="L21" s="93">
        <v>0</v>
      </c>
    </row>
    <row r="22" spans="1:12" s="71" customFormat="1" ht="25.5" customHeight="1">
      <c r="A22" s="85" t="s">
        <v>120</v>
      </c>
      <c r="B22" s="106" t="s">
        <v>121</v>
      </c>
      <c r="C22" s="106"/>
      <c r="D22" s="106"/>
      <c r="E22" s="106"/>
      <c r="F22" s="106">
        <v>1</v>
      </c>
      <c r="G22" s="106"/>
      <c r="H22" s="106">
        <v>0</v>
      </c>
      <c r="I22" s="106"/>
      <c r="J22" s="106">
        <v>1</v>
      </c>
      <c r="K22" s="106"/>
      <c r="L22" s="86">
        <v>1</v>
      </c>
    </row>
    <row r="23" spans="1:12" s="71" customFormat="1" ht="25.5" customHeight="1">
      <c r="A23" s="85" t="s">
        <v>127</v>
      </c>
      <c r="B23" s="106" t="s">
        <v>121</v>
      </c>
      <c r="C23" s="106"/>
      <c r="D23" s="106"/>
      <c r="E23" s="106"/>
      <c r="F23" s="106"/>
      <c r="G23" s="106"/>
      <c r="H23" s="106">
        <v>0.5</v>
      </c>
      <c r="I23" s="106"/>
      <c r="J23" s="106">
        <v>0.5</v>
      </c>
      <c r="K23" s="106"/>
      <c r="L23" s="86">
        <v>0.5</v>
      </c>
    </row>
    <row r="24" spans="1:12" s="71" customFormat="1" ht="25.5" customHeight="1">
      <c r="A24" s="85" t="s">
        <v>128</v>
      </c>
      <c r="B24" s="106" t="s">
        <v>121</v>
      </c>
      <c r="C24" s="106"/>
      <c r="D24" s="106"/>
      <c r="E24" s="106"/>
      <c r="F24" s="106"/>
      <c r="G24" s="106"/>
      <c r="H24" s="106">
        <v>0.5</v>
      </c>
      <c r="I24" s="106"/>
      <c r="J24" s="106">
        <v>0</v>
      </c>
      <c r="K24" s="106"/>
      <c r="L24" s="87">
        <v>0</v>
      </c>
    </row>
    <row r="25" spans="1:12" ht="27" customHeight="1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</row>
    <row r="26" spans="1:12" s="64" customFormat="1">
      <c r="C26" s="74"/>
      <c r="I26" s="64" t="s">
        <v>73</v>
      </c>
    </row>
    <row r="27" spans="1:12" s="64" customFormat="1">
      <c r="C27" s="74"/>
    </row>
    <row r="28" spans="1:12">
      <c r="J28" s="113" t="s">
        <v>74</v>
      </c>
      <c r="K28" s="113"/>
      <c r="L28" s="113"/>
    </row>
    <row r="29" spans="1:12">
      <c r="J29" s="111" t="s">
        <v>75</v>
      </c>
      <c r="K29" s="111"/>
      <c r="L29" s="111"/>
    </row>
    <row r="30" spans="1:12">
      <c r="K30" s="73" t="s">
        <v>76</v>
      </c>
      <c r="L30" s="73"/>
    </row>
  </sheetData>
  <mergeCells count="59">
    <mergeCell ref="H17:I17"/>
    <mergeCell ref="J17:K17"/>
    <mergeCell ref="B18:E18"/>
    <mergeCell ref="F18:G18"/>
    <mergeCell ref="H18:I18"/>
    <mergeCell ref="J18:K18"/>
    <mergeCell ref="H13:I13"/>
    <mergeCell ref="J13:K13"/>
    <mergeCell ref="A2:L2"/>
    <mergeCell ref="A3:L3"/>
    <mergeCell ref="A4:L4"/>
    <mergeCell ref="A5:L5"/>
    <mergeCell ref="A11:L11"/>
    <mergeCell ref="A12:A13"/>
    <mergeCell ref="B12:K12"/>
    <mergeCell ref="L12:L13"/>
    <mergeCell ref="B13:E13"/>
    <mergeCell ref="F13:G13"/>
    <mergeCell ref="B14:E14"/>
    <mergeCell ref="F14:G14"/>
    <mergeCell ref="H14:I14"/>
    <mergeCell ref="J14:K14"/>
    <mergeCell ref="J16:K16"/>
    <mergeCell ref="J29:L29"/>
    <mergeCell ref="A25:L25"/>
    <mergeCell ref="J28:L28"/>
    <mergeCell ref="B15:E15"/>
    <mergeCell ref="F15:G15"/>
    <mergeCell ref="H15:I15"/>
    <mergeCell ref="J15:K15"/>
    <mergeCell ref="B19:E19"/>
    <mergeCell ref="F19:G19"/>
    <mergeCell ref="H19:I19"/>
    <mergeCell ref="J19:K19"/>
    <mergeCell ref="B20:E20"/>
    <mergeCell ref="H20:I20"/>
    <mergeCell ref="J20:K20"/>
    <mergeCell ref="B16:E16"/>
    <mergeCell ref="H16:I16"/>
    <mergeCell ref="F16:G16"/>
    <mergeCell ref="F20:G20"/>
    <mergeCell ref="F21:G21"/>
    <mergeCell ref="B22:E22"/>
    <mergeCell ref="F22:G22"/>
    <mergeCell ref="B17:E17"/>
    <mergeCell ref="F17:G17"/>
    <mergeCell ref="B24:E24"/>
    <mergeCell ref="F24:G24"/>
    <mergeCell ref="H24:I24"/>
    <mergeCell ref="J24:K24"/>
    <mergeCell ref="B21:E21"/>
    <mergeCell ref="H21:I21"/>
    <mergeCell ref="J21:K21"/>
    <mergeCell ref="H22:I22"/>
    <mergeCell ref="J22:K22"/>
    <mergeCell ref="B23:E23"/>
    <mergeCell ref="F23:G23"/>
    <mergeCell ref="H23:I23"/>
    <mergeCell ref="J23:K23"/>
  </mergeCells>
  <pageMargins left="0.25" right="0.25" top="0.75" bottom="0.75" header="0.3" footer="0.3"/>
  <pageSetup paperSize="9" scale="72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view="pageBreakPreview" topLeftCell="A4" zoomScaleNormal="100" workbookViewId="0">
      <selection activeCell="A13" sqref="A13"/>
    </sheetView>
  </sheetViews>
  <sheetFormatPr defaultColWidth="9" defaultRowHeight="15"/>
  <cols>
    <col min="1" max="1" width="27.140625" customWidth="1"/>
    <col min="2" max="11" width="9.5703125" customWidth="1"/>
    <col min="12" max="12" width="7.5703125" customWidth="1"/>
  </cols>
  <sheetData>
    <row r="1" spans="1:12" ht="33.75" customHeight="1">
      <c r="A1" s="1"/>
      <c r="B1" s="1"/>
      <c r="C1" s="5"/>
      <c r="D1" s="6"/>
      <c r="E1" s="1"/>
      <c r="F1" s="1"/>
      <c r="G1" s="1"/>
      <c r="H1" s="4"/>
      <c r="I1" s="1"/>
      <c r="J1" s="1"/>
      <c r="K1" s="1"/>
      <c r="L1" s="1"/>
    </row>
    <row r="2" spans="1:12" ht="33.75" customHeight="1">
      <c r="A2" s="97" t="s">
        <v>23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39.950000000000003" customHeight="1">
      <c r="A3" s="97" t="s">
        <v>24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2" ht="12" customHeight="1">
      <c r="A4" s="97" t="s">
        <v>25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2" customHeight="1">
      <c r="A5" s="97" t="s">
        <v>26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</row>
    <row r="6" spans="1:12" ht="12" customHeight="1">
      <c r="A6" s="1"/>
      <c r="B6" s="1"/>
      <c r="C6" s="4"/>
      <c r="D6" s="1"/>
      <c r="E6" s="1"/>
      <c r="F6" s="1"/>
      <c r="G6" s="1"/>
      <c r="H6" s="4"/>
      <c r="I6" s="1"/>
      <c r="J6" s="1"/>
      <c r="K6" s="1"/>
      <c r="L6" s="1"/>
    </row>
    <row r="7" spans="1:12">
      <c r="A7" s="1"/>
      <c r="B7" s="1"/>
      <c r="C7" s="4"/>
      <c r="D7" s="1"/>
      <c r="E7" s="1"/>
      <c r="F7" s="1"/>
      <c r="G7" s="1"/>
      <c r="H7" s="4"/>
      <c r="I7" s="1"/>
      <c r="J7" s="1"/>
      <c r="K7" s="1"/>
      <c r="L7" s="1"/>
    </row>
    <row r="8" spans="1:12" ht="18.75" customHeight="1">
      <c r="A8" s="7" t="s">
        <v>27</v>
      </c>
      <c r="B8" s="7"/>
      <c r="C8" s="98" t="s">
        <v>28</v>
      </c>
      <c r="D8" s="98"/>
      <c r="E8" s="98"/>
      <c r="F8" s="98"/>
      <c r="G8" s="98"/>
      <c r="H8" s="1"/>
      <c r="I8" s="98" t="s">
        <v>29</v>
      </c>
      <c r="J8" s="98"/>
      <c r="K8" s="98"/>
      <c r="L8" s="7"/>
    </row>
    <row r="9" spans="1:12" ht="18.75" customHeight="1">
      <c r="A9" s="1"/>
      <c r="B9" s="8"/>
      <c r="C9" s="98" t="s">
        <v>30</v>
      </c>
      <c r="D9" s="98"/>
      <c r="E9" s="98"/>
      <c r="F9" s="98"/>
      <c r="G9" s="98"/>
      <c r="H9" s="1"/>
      <c r="I9" s="125" t="s">
        <v>31</v>
      </c>
      <c r="J9" s="125"/>
      <c r="K9" s="125"/>
      <c r="L9" s="8"/>
    </row>
    <row r="10" spans="1:12" ht="18.75" customHeight="1">
      <c r="A10" s="7" t="s">
        <v>32</v>
      </c>
      <c r="B10" s="7"/>
      <c r="C10" s="9"/>
      <c r="D10" s="8"/>
      <c r="E10" s="8"/>
      <c r="F10" s="1"/>
      <c r="G10" s="1"/>
      <c r="H10" s="1"/>
      <c r="I10" s="98" t="s">
        <v>33</v>
      </c>
      <c r="J10" s="98"/>
      <c r="K10" s="98"/>
      <c r="L10" s="7"/>
    </row>
    <row r="11" spans="1:12" ht="18.75" customHeight="1" thickBot="1">
      <c r="A11" s="99" t="s">
        <v>34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</row>
    <row r="12" spans="1:12" ht="18.75" customHeight="1">
      <c r="A12" s="10" t="s">
        <v>3</v>
      </c>
      <c r="B12" s="11" t="s">
        <v>35</v>
      </c>
      <c r="C12" s="11" t="s">
        <v>36</v>
      </c>
      <c r="D12" s="11" t="s">
        <v>37</v>
      </c>
      <c r="E12" s="11" t="s">
        <v>38</v>
      </c>
      <c r="F12" s="11" t="s">
        <v>39</v>
      </c>
      <c r="G12" s="11" t="s">
        <v>40</v>
      </c>
      <c r="H12" s="11" t="s">
        <v>41</v>
      </c>
      <c r="I12" s="11" t="s">
        <v>42</v>
      </c>
      <c r="J12" s="11" t="s">
        <v>43</v>
      </c>
      <c r="K12" s="11" t="s">
        <v>44</v>
      </c>
      <c r="L12" s="12" t="s">
        <v>7</v>
      </c>
    </row>
    <row r="13" spans="1:12" ht="18.75" customHeight="1">
      <c r="A13" s="20" t="s">
        <v>45</v>
      </c>
      <c r="B13" s="3"/>
      <c r="C13" s="14"/>
      <c r="D13" s="14">
        <v>3</v>
      </c>
      <c r="E13" s="3"/>
      <c r="F13" s="3"/>
      <c r="G13" s="3"/>
      <c r="H13" s="14"/>
      <c r="I13" s="3"/>
      <c r="J13" s="3"/>
      <c r="K13" s="3"/>
      <c r="L13" s="15">
        <v>3</v>
      </c>
    </row>
    <row r="14" spans="1:12" ht="18.75" customHeight="1">
      <c r="A14" s="13"/>
      <c r="B14" s="3"/>
      <c r="C14" s="14"/>
      <c r="D14" s="14"/>
      <c r="E14" s="3"/>
      <c r="F14" s="3"/>
      <c r="G14" s="3"/>
      <c r="H14" s="14"/>
      <c r="I14" s="3"/>
      <c r="J14" s="3"/>
      <c r="K14" s="3"/>
      <c r="L14" s="15"/>
    </row>
    <row r="15" spans="1:12" ht="18.75" customHeight="1">
      <c r="A15" s="16"/>
      <c r="B15" s="3"/>
      <c r="C15" s="14"/>
      <c r="D15" s="14"/>
      <c r="E15" s="3"/>
      <c r="F15" s="3"/>
      <c r="G15" s="3"/>
      <c r="H15" s="14"/>
      <c r="I15" s="3"/>
      <c r="J15" s="3"/>
      <c r="K15" s="3"/>
      <c r="L15" s="15"/>
    </row>
    <row r="16" spans="1:12" ht="18.75" customHeight="1">
      <c r="A16" s="17"/>
      <c r="B16" s="3"/>
      <c r="C16" s="14"/>
      <c r="D16" s="14"/>
      <c r="E16" s="3"/>
      <c r="F16" s="3"/>
      <c r="G16" s="3"/>
      <c r="H16" s="14"/>
      <c r="I16" s="3"/>
      <c r="J16" s="3"/>
      <c r="K16" s="3"/>
      <c r="L16" s="15"/>
    </row>
    <row r="17" spans="1:12" ht="18.75" customHeight="1">
      <c r="A17" s="14"/>
      <c r="B17" s="3"/>
      <c r="C17" s="14"/>
      <c r="D17" s="14"/>
      <c r="E17" s="3"/>
      <c r="F17" s="3"/>
      <c r="G17" s="3"/>
      <c r="H17" s="14"/>
      <c r="I17" s="3"/>
      <c r="J17" s="3"/>
      <c r="K17" s="3"/>
      <c r="L17" s="15"/>
    </row>
    <row r="18" spans="1:12" ht="18.75" customHeight="1">
      <c r="A18" s="13"/>
      <c r="B18" s="3"/>
      <c r="C18" s="14"/>
      <c r="D18" s="14"/>
      <c r="E18" s="3"/>
      <c r="F18" s="3"/>
      <c r="G18" s="3"/>
      <c r="H18" s="14"/>
      <c r="I18" s="3"/>
      <c r="J18" s="3"/>
      <c r="K18" s="3"/>
      <c r="L18" s="15"/>
    </row>
    <row r="19" spans="1:12" ht="18.75" customHeight="1">
      <c r="A19" s="13"/>
      <c r="B19" s="3"/>
      <c r="C19" s="14"/>
      <c r="D19" s="14"/>
      <c r="E19" s="3"/>
      <c r="F19" s="3"/>
      <c r="G19" s="3"/>
      <c r="H19" s="14"/>
      <c r="I19" s="3"/>
      <c r="J19" s="3"/>
      <c r="K19" s="3"/>
      <c r="L19" s="15"/>
    </row>
    <row r="20" spans="1:12" ht="18.75" customHeight="1">
      <c r="A20" s="13"/>
      <c r="B20" s="3"/>
      <c r="C20" s="14"/>
      <c r="D20" s="14"/>
      <c r="E20" s="3"/>
      <c r="F20" s="3"/>
      <c r="G20" s="3"/>
      <c r="H20" s="14"/>
      <c r="I20" s="3"/>
      <c r="J20" s="3"/>
      <c r="K20" s="3"/>
      <c r="L20" s="15"/>
    </row>
    <row r="21" spans="1:12" ht="18.75" customHeight="1">
      <c r="A21" s="18"/>
      <c r="B21" s="3"/>
      <c r="C21" s="14"/>
      <c r="D21" s="14"/>
      <c r="E21" s="3"/>
      <c r="F21" s="3"/>
      <c r="G21" s="3"/>
      <c r="H21" s="14"/>
      <c r="I21" s="3"/>
      <c r="J21" s="3"/>
      <c r="K21" s="19"/>
      <c r="L21" s="15"/>
    </row>
    <row r="22" spans="1:12" ht="18.75" customHeight="1">
      <c r="A22" s="12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</row>
    <row r="23" spans="1:12" ht="18.75" customHeight="1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ht="18.75" customHeight="1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ht="18.75" customHeight="1"/>
    <row r="26" spans="1:12" ht="18.75" customHeight="1"/>
    <row r="27" spans="1:12" ht="18.75" customHeight="1"/>
    <row r="28" spans="1:12" ht="18.75" customHeight="1"/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rintOptions horizontalCentered="1" verticalCentered="1"/>
  <pageMargins left="0.25" right="0.25" top="0.25" bottom="0.25" header="0.3" footer="0.3"/>
  <pageSetup paperSize="9" scale="99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4F22-7A63-422C-BE37-87BE902B66DF}">
  <sheetPr>
    <pageSetUpPr fitToPage="1"/>
  </sheetPr>
  <dimension ref="A1:K75"/>
  <sheetViews>
    <sheetView view="pageBreakPreview" topLeftCell="A14" zoomScaleNormal="100" workbookViewId="0">
      <selection activeCell="A15" sqref="A15:XFD15"/>
    </sheetView>
  </sheetViews>
  <sheetFormatPr defaultColWidth="9" defaultRowHeight="15"/>
  <cols>
    <col min="1" max="1" width="40.140625" customWidth="1"/>
    <col min="2" max="10" width="11.5703125" customWidth="1"/>
  </cols>
  <sheetData>
    <row r="1" spans="1:10" s="1" customFormat="1" ht="52.5" customHeight="1">
      <c r="A1" s="21"/>
    </row>
    <row r="2" spans="1:10" s="1" customFormat="1" ht="10.5" customHeight="1">
      <c r="A2" s="97" t="s">
        <v>23</v>
      </c>
      <c r="B2" s="97"/>
      <c r="C2" s="97"/>
      <c r="D2" s="97"/>
      <c r="E2" s="97"/>
      <c r="F2" s="97"/>
      <c r="G2" s="97"/>
      <c r="H2" s="97"/>
      <c r="I2" s="97"/>
      <c r="J2" s="97"/>
    </row>
    <row r="3" spans="1:10" s="1" customFormat="1" ht="15.95" customHeight="1">
      <c r="A3" s="97" t="s">
        <v>24</v>
      </c>
      <c r="B3" s="97"/>
      <c r="C3" s="97"/>
      <c r="D3" s="97"/>
      <c r="E3" s="97"/>
      <c r="F3" s="97"/>
      <c r="G3" s="97"/>
      <c r="H3" s="97"/>
      <c r="I3" s="97"/>
      <c r="J3" s="97"/>
    </row>
    <row r="4" spans="1:10" s="1" customFormat="1" ht="15.95" customHeight="1">
      <c r="A4" s="97" t="s">
        <v>25</v>
      </c>
      <c r="B4" s="97"/>
      <c r="C4" s="97"/>
      <c r="D4" s="97"/>
      <c r="E4" s="97"/>
      <c r="F4" s="97"/>
      <c r="G4" s="97"/>
      <c r="H4" s="97"/>
      <c r="I4" s="97"/>
      <c r="J4" s="97"/>
    </row>
    <row r="5" spans="1:10" s="1" customFormat="1" ht="15.95" customHeight="1">
      <c r="A5" s="97" t="s">
        <v>26</v>
      </c>
      <c r="B5" s="97"/>
      <c r="C5" s="97"/>
      <c r="D5" s="97"/>
      <c r="E5" s="97"/>
      <c r="F5" s="97"/>
      <c r="G5" s="97"/>
      <c r="H5" s="97"/>
      <c r="I5" s="97"/>
      <c r="J5" s="97"/>
    </row>
    <row r="6" spans="1:10" s="1" customFormat="1" ht="8.25" customHeight="1">
      <c r="A6" s="21"/>
    </row>
    <row r="7" spans="1:10" s="1" customFormat="1" ht="12" customHeight="1">
      <c r="A7" s="21" t="s">
        <v>57</v>
      </c>
      <c r="B7" s="98" t="s">
        <v>58</v>
      </c>
      <c r="C7" s="98"/>
      <c r="D7" s="98"/>
      <c r="H7" s="7" t="s">
        <v>0</v>
      </c>
      <c r="I7" s="22"/>
      <c r="J7" s="7"/>
    </row>
    <row r="8" spans="1:10" s="1" customFormat="1" ht="12" customHeight="1">
      <c r="A8" s="21"/>
      <c r="B8" s="8"/>
      <c r="C8" s="8"/>
      <c r="H8" s="8"/>
      <c r="I8" s="8"/>
      <c r="J8" s="8"/>
    </row>
    <row r="9" spans="1:10" s="1" customFormat="1" ht="12" customHeight="1">
      <c r="A9" s="21" t="s">
        <v>59</v>
      </c>
      <c r="B9" s="98" t="s">
        <v>60</v>
      </c>
      <c r="C9" s="98"/>
      <c r="D9" s="98"/>
      <c r="H9" s="7" t="s">
        <v>1</v>
      </c>
      <c r="I9" s="23"/>
      <c r="J9" s="7"/>
    </row>
    <row r="10" spans="1:10" ht="16.5" customHeight="1" thickBot="1">
      <c r="A10" s="99" t="s">
        <v>2</v>
      </c>
      <c r="B10" s="99"/>
      <c r="C10" s="99"/>
      <c r="D10" s="99"/>
      <c r="E10" s="99"/>
      <c r="F10" s="99"/>
      <c r="G10" s="99"/>
      <c r="H10" s="99"/>
      <c r="I10" s="99"/>
      <c r="J10" s="99"/>
    </row>
    <row r="11" spans="1:10" ht="18.75" customHeight="1">
      <c r="A11" s="104" t="s">
        <v>3</v>
      </c>
      <c r="B11" s="100" t="s">
        <v>4</v>
      </c>
      <c r="C11" s="100"/>
      <c r="D11" s="94" t="s">
        <v>5</v>
      </c>
      <c r="E11" s="95"/>
      <c r="F11" s="95"/>
      <c r="G11" s="96"/>
      <c r="H11" s="101" t="s">
        <v>6</v>
      </c>
      <c r="I11" s="101"/>
      <c r="J11" s="102" t="s">
        <v>7</v>
      </c>
    </row>
    <row r="12" spans="1:10" ht="18.75" customHeight="1" thickBot="1">
      <c r="A12" s="105"/>
      <c r="B12" s="2" t="s">
        <v>8</v>
      </c>
      <c r="C12" s="2" t="s">
        <v>9</v>
      </c>
      <c r="D12" s="2" t="s">
        <v>8</v>
      </c>
      <c r="E12" s="2" t="s">
        <v>9</v>
      </c>
      <c r="F12" s="49" t="s">
        <v>10</v>
      </c>
      <c r="G12" s="50" t="s">
        <v>56</v>
      </c>
      <c r="H12" s="2" t="s">
        <v>8</v>
      </c>
      <c r="I12" s="2" t="s">
        <v>9</v>
      </c>
      <c r="J12" s="103"/>
    </row>
    <row r="13" spans="1:10" ht="18.75" customHeight="1">
      <c r="A13" s="24" t="s">
        <v>61</v>
      </c>
      <c r="B13" s="25">
        <v>0.70799999999999996</v>
      </c>
      <c r="C13" s="25">
        <v>0.70799999999999996</v>
      </c>
      <c r="D13" s="25"/>
      <c r="E13" s="25"/>
      <c r="F13" s="25"/>
      <c r="G13" s="25"/>
      <c r="H13" s="25">
        <f>B13</f>
        <v>0.70799999999999996</v>
      </c>
      <c r="I13" s="25">
        <f>C13</f>
        <v>0.70799999999999996</v>
      </c>
      <c r="J13" s="26">
        <f>SUM(H13:I13)</f>
        <v>1.4159999999999999</v>
      </c>
    </row>
    <row r="14" spans="1:10" ht="18.75" customHeight="1">
      <c r="A14" s="24" t="s">
        <v>62</v>
      </c>
      <c r="B14" s="25">
        <v>6.25</v>
      </c>
      <c r="C14" s="25">
        <v>6.25</v>
      </c>
      <c r="D14" s="25"/>
      <c r="E14" s="25"/>
      <c r="F14" s="25"/>
      <c r="G14" s="25"/>
      <c r="H14" s="25">
        <f>H13-F14-D14+B14</f>
        <v>6.9580000000000002</v>
      </c>
      <c r="I14" s="25">
        <f>I13-E14+C14</f>
        <v>6.9580000000000002</v>
      </c>
      <c r="J14" s="26">
        <f t="shared" ref="J14" si="0">SUM(H14:I14)</f>
        <v>13.916</v>
      </c>
    </row>
    <row r="15" spans="1:10" ht="18.75" customHeight="1">
      <c r="A15" s="24" t="s">
        <v>64</v>
      </c>
      <c r="B15" s="25">
        <v>15</v>
      </c>
      <c r="C15" s="25">
        <v>15</v>
      </c>
      <c r="D15" s="25"/>
      <c r="E15" s="25"/>
      <c r="F15" s="25"/>
      <c r="G15" s="25"/>
      <c r="H15" s="25">
        <f t="shared" ref="H15:H69" si="1">H14-F15-D15+B15</f>
        <v>21.957999999999998</v>
      </c>
      <c r="I15" s="25">
        <f t="shared" ref="I15:I69" si="2">I14-E15+C15</f>
        <v>21.957999999999998</v>
      </c>
      <c r="J15" s="26">
        <f t="shared" ref="J15:J69" si="3">SUM(H15:I15)</f>
        <v>43.915999999999997</v>
      </c>
    </row>
    <row r="16" spans="1:10" ht="18.75" customHeight="1">
      <c r="A16" s="24" t="s">
        <v>63</v>
      </c>
      <c r="B16" s="25"/>
      <c r="C16" s="25"/>
      <c r="D16" s="25"/>
      <c r="E16" s="25"/>
      <c r="F16" s="25">
        <v>5</v>
      </c>
      <c r="G16" s="25"/>
      <c r="H16" s="25">
        <f t="shared" si="1"/>
        <v>16.957999999999998</v>
      </c>
      <c r="I16" s="25">
        <f t="shared" si="2"/>
        <v>21.957999999999998</v>
      </c>
      <c r="J16" s="26">
        <f t="shared" si="3"/>
        <v>38.915999999999997</v>
      </c>
    </row>
    <row r="17" spans="1:10" ht="18.75" customHeight="1">
      <c r="A17" s="24" t="s">
        <v>65</v>
      </c>
      <c r="B17" s="25">
        <v>15</v>
      </c>
      <c r="C17" s="25">
        <v>15</v>
      </c>
      <c r="D17" s="25"/>
      <c r="E17" s="25"/>
      <c r="F17" s="25"/>
      <c r="G17" s="25"/>
      <c r="H17" s="25">
        <f t="shared" si="1"/>
        <v>31.957999999999998</v>
      </c>
      <c r="I17" s="25">
        <f t="shared" si="2"/>
        <v>36.957999999999998</v>
      </c>
      <c r="J17" s="26">
        <f t="shared" si="3"/>
        <v>68.915999999999997</v>
      </c>
    </row>
    <row r="18" spans="1:10" ht="18.75" customHeight="1">
      <c r="A18" s="24" t="s">
        <v>66</v>
      </c>
      <c r="B18" s="25"/>
      <c r="C18" s="25"/>
      <c r="D18" s="25">
        <v>20</v>
      </c>
      <c r="E18" s="25"/>
      <c r="F18" s="25"/>
      <c r="G18" s="25"/>
      <c r="H18" s="25">
        <f t="shared" si="1"/>
        <v>11.957999999999998</v>
      </c>
      <c r="I18" s="25">
        <f t="shared" si="2"/>
        <v>36.957999999999998</v>
      </c>
      <c r="J18" s="26">
        <f t="shared" si="3"/>
        <v>48.915999999999997</v>
      </c>
    </row>
    <row r="19" spans="1:10" ht="18.75" customHeight="1">
      <c r="A19" s="24" t="s">
        <v>67</v>
      </c>
      <c r="B19" s="25"/>
      <c r="C19" s="25"/>
      <c r="D19" s="25"/>
      <c r="E19" s="25"/>
      <c r="F19" s="25">
        <v>1</v>
      </c>
      <c r="G19" s="25"/>
      <c r="H19" s="25">
        <f t="shared" si="1"/>
        <v>10.957999999999998</v>
      </c>
      <c r="I19" s="25">
        <f t="shared" si="2"/>
        <v>36.957999999999998</v>
      </c>
      <c r="J19" s="26">
        <f t="shared" si="3"/>
        <v>47.915999999999997</v>
      </c>
    </row>
    <row r="20" spans="1:10" ht="18.75" customHeight="1">
      <c r="A20" s="24" t="s">
        <v>68</v>
      </c>
      <c r="B20" s="25"/>
      <c r="C20" s="25"/>
      <c r="D20" s="25"/>
      <c r="E20" s="25"/>
      <c r="F20" s="25">
        <v>3</v>
      </c>
      <c r="G20" s="25"/>
      <c r="H20" s="25">
        <f t="shared" si="1"/>
        <v>7.9579999999999984</v>
      </c>
      <c r="I20" s="25">
        <f t="shared" si="2"/>
        <v>36.957999999999998</v>
      </c>
      <c r="J20" s="26">
        <f t="shared" si="3"/>
        <v>44.915999999999997</v>
      </c>
    </row>
    <row r="21" spans="1:10" ht="18.75" customHeight="1">
      <c r="A21" s="24" t="s">
        <v>69</v>
      </c>
      <c r="B21" s="25"/>
      <c r="C21" s="25"/>
      <c r="D21" s="25"/>
      <c r="E21" s="25"/>
      <c r="F21" s="25">
        <v>1</v>
      </c>
      <c r="G21" s="25"/>
      <c r="H21" s="25">
        <f t="shared" si="1"/>
        <v>6.9579999999999984</v>
      </c>
      <c r="I21" s="25">
        <f t="shared" si="2"/>
        <v>36.957999999999998</v>
      </c>
      <c r="J21" s="26">
        <f t="shared" si="3"/>
        <v>43.915999999999997</v>
      </c>
    </row>
    <row r="22" spans="1:10" ht="18.75" customHeight="1">
      <c r="A22" s="27" t="s">
        <v>11</v>
      </c>
      <c r="B22" s="28"/>
      <c r="C22" s="28"/>
      <c r="D22" s="28"/>
      <c r="E22" s="28">
        <v>2</v>
      </c>
      <c r="F22" s="28"/>
      <c r="G22" s="28"/>
      <c r="H22" s="25">
        <f t="shared" si="1"/>
        <v>6.9579999999999984</v>
      </c>
      <c r="I22" s="25">
        <f t="shared" si="2"/>
        <v>34.957999999999998</v>
      </c>
      <c r="J22" s="26">
        <f t="shared" si="3"/>
        <v>41.915999999999997</v>
      </c>
    </row>
    <row r="23" spans="1:10" ht="18.75" customHeight="1">
      <c r="A23" s="27" t="s">
        <v>12</v>
      </c>
      <c r="B23" s="28">
        <f>1.25*7</f>
        <v>8.75</v>
      </c>
      <c r="C23" s="28">
        <f>1.25*7</f>
        <v>8.75</v>
      </c>
      <c r="D23" s="28"/>
      <c r="E23" s="28"/>
      <c r="F23" s="28"/>
      <c r="G23" s="28"/>
      <c r="H23" s="25">
        <f t="shared" si="1"/>
        <v>15.707999999999998</v>
      </c>
      <c r="I23" s="25">
        <f t="shared" si="2"/>
        <v>43.707999999999998</v>
      </c>
      <c r="J23" s="26">
        <f t="shared" si="3"/>
        <v>59.415999999999997</v>
      </c>
    </row>
    <row r="24" spans="1:10" ht="18.75" customHeight="1">
      <c r="A24" s="62" t="s">
        <v>13</v>
      </c>
      <c r="B24" s="63"/>
      <c r="C24" s="63"/>
      <c r="D24" s="63"/>
      <c r="E24" s="63"/>
      <c r="F24" s="63">
        <v>1.5</v>
      </c>
      <c r="G24" s="28"/>
      <c r="H24" s="25">
        <f t="shared" si="1"/>
        <v>14.207999999999998</v>
      </c>
      <c r="I24" s="25">
        <f t="shared" si="2"/>
        <v>43.707999999999998</v>
      </c>
      <c r="J24" s="26">
        <f t="shared" si="3"/>
        <v>57.915999999999997</v>
      </c>
    </row>
    <row r="25" spans="1:10" ht="18.75" customHeight="1">
      <c r="A25" s="27" t="s">
        <v>14</v>
      </c>
      <c r="B25" s="28">
        <v>1.25</v>
      </c>
      <c r="C25" s="28">
        <v>1.25</v>
      </c>
      <c r="D25" s="28"/>
      <c r="E25" s="28"/>
      <c r="F25" s="28"/>
      <c r="G25" s="28"/>
      <c r="H25" s="25">
        <f t="shared" si="1"/>
        <v>15.457999999999998</v>
      </c>
      <c r="I25" s="25">
        <f t="shared" si="2"/>
        <v>44.957999999999998</v>
      </c>
      <c r="J25" s="26">
        <f t="shared" si="3"/>
        <v>60.415999999999997</v>
      </c>
    </row>
    <row r="26" spans="1:10" ht="18.75" customHeight="1">
      <c r="A26" s="27" t="s">
        <v>15</v>
      </c>
      <c r="B26" s="28">
        <v>1.25</v>
      </c>
      <c r="C26" s="28">
        <v>1.25</v>
      </c>
      <c r="D26" s="28"/>
      <c r="E26" s="28"/>
      <c r="F26" s="28"/>
      <c r="G26" s="28"/>
      <c r="H26" s="25">
        <f t="shared" si="1"/>
        <v>16.707999999999998</v>
      </c>
      <c r="I26" s="25">
        <f t="shared" si="2"/>
        <v>46.207999999999998</v>
      </c>
      <c r="J26" s="26">
        <f t="shared" si="3"/>
        <v>62.915999999999997</v>
      </c>
    </row>
    <row r="27" spans="1:10" ht="18.75" customHeight="1">
      <c r="A27" s="27" t="s">
        <v>16</v>
      </c>
      <c r="B27" s="28"/>
      <c r="C27" s="28"/>
      <c r="D27" s="28"/>
      <c r="E27" s="28"/>
      <c r="F27" s="28"/>
      <c r="G27" s="30">
        <v>2</v>
      </c>
      <c r="H27" s="25">
        <f t="shared" si="1"/>
        <v>16.707999999999998</v>
      </c>
      <c r="I27" s="25">
        <f t="shared" si="2"/>
        <v>46.207999999999998</v>
      </c>
      <c r="J27" s="26">
        <f t="shared" si="3"/>
        <v>62.915999999999997</v>
      </c>
    </row>
    <row r="28" spans="1:10" ht="18.75" customHeight="1">
      <c r="A28" s="62" t="s">
        <v>17</v>
      </c>
      <c r="B28" s="63"/>
      <c r="C28" s="63"/>
      <c r="D28" s="63"/>
      <c r="E28" s="63"/>
      <c r="F28" s="63">
        <v>0.5</v>
      </c>
      <c r="G28" s="28"/>
      <c r="H28" s="25">
        <f t="shared" si="1"/>
        <v>16.207999999999998</v>
      </c>
      <c r="I28" s="25">
        <f t="shared" si="2"/>
        <v>46.207999999999998</v>
      </c>
      <c r="J28" s="26">
        <f t="shared" si="3"/>
        <v>62.415999999999997</v>
      </c>
    </row>
    <row r="29" spans="1:10" ht="18.75" customHeight="1">
      <c r="A29" s="27" t="s">
        <v>18</v>
      </c>
      <c r="B29" s="28"/>
      <c r="C29" s="28"/>
      <c r="D29" s="28">
        <v>15</v>
      </c>
      <c r="E29" s="28">
        <v>5</v>
      </c>
      <c r="F29" s="28"/>
      <c r="G29" s="28"/>
      <c r="H29" s="25">
        <f t="shared" si="1"/>
        <v>1.2079999999999984</v>
      </c>
      <c r="I29" s="25">
        <f t="shared" si="2"/>
        <v>41.207999999999998</v>
      </c>
      <c r="J29" s="26">
        <f t="shared" si="3"/>
        <v>42.415999999999997</v>
      </c>
    </row>
    <row r="30" spans="1:10" ht="18.75" customHeight="1">
      <c r="A30" s="27" t="s">
        <v>19</v>
      </c>
      <c r="B30" s="28">
        <v>2.5</v>
      </c>
      <c r="C30" s="28">
        <v>2.5</v>
      </c>
      <c r="D30" s="28"/>
      <c r="E30" s="28"/>
      <c r="F30" s="28"/>
      <c r="G30" s="28"/>
      <c r="H30" s="25">
        <f t="shared" si="1"/>
        <v>3.7079999999999984</v>
      </c>
      <c r="I30" s="25">
        <f t="shared" si="2"/>
        <v>43.707999999999998</v>
      </c>
      <c r="J30" s="26">
        <f t="shared" si="3"/>
        <v>47.415999999999997</v>
      </c>
    </row>
    <row r="31" spans="1:10" ht="18.75" customHeight="1">
      <c r="A31" s="27" t="s">
        <v>20</v>
      </c>
      <c r="B31" s="28"/>
      <c r="C31" s="28"/>
      <c r="D31" s="28"/>
      <c r="E31" s="28"/>
      <c r="F31" s="28">
        <v>3</v>
      </c>
      <c r="G31" s="28"/>
      <c r="H31" s="25">
        <f t="shared" si="1"/>
        <v>0.70799999999999841</v>
      </c>
      <c r="I31" s="25">
        <f t="shared" si="2"/>
        <v>43.707999999999998</v>
      </c>
      <c r="J31" s="26">
        <f t="shared" si="3"/>
        <v>44.415999999999997</v>
      </c>
    </row>
    <row r="32" spans="1:10" ht="18.75" customHeight="1">
      <c r="A32" s="27" t="s">
        <v>21</v>
      </c>
      <c r="B32" s="28">
        <v>3</v>
      </c>
      <c r="C32" s="28"/>
      <c r="D32" s="28"/>
      <c r="E32" s="28"/>
      <c r="F32" s="28"/>
      <c r="G32" s="28"/>
      <c r="H32" s="25">
        <f t="shared" si="1"/>
        <v>3.7079999999999984</v>
      </c>
      <c r="I32" s="25">
        <f t="shared" si="2"/>
        <v>43.707999999999998</v>
      </c>
      <c r="J32" s="26">
        <f t="shared" si="3"/>
        <v>47.415999999999997</v>
      </c>
    </row>
    <row r="33" spans="1:10" ht="18.75" customHeight="1">
      <c r="A33" s="27" t="s">
        <v>22</v>
      </c>
      <c r="B33" s="28">
        <v>1.25</v>
      </c>
      <c r="C33" s="28">
        <v>1.25</v>
      </c>
      <c r="D33" s="28"/>
      <c r="E33" s="28"/>
      <c r="F33" s="28"/>
      <c r="G33" s="28"/>
      <c r="H33" s="25">
        <f t="shared" si="1"/>
        <v>4.9579999999999984</v>
      </c>
      <c r="I33" s="25">
        <f t="shared" si="2"/>
        <v>44.957999999999998</v>
      </c>
      <c r="J33" s="26">
        <f t="shared" si="3"/>
        <v>49.915999999999997</v>
      </c>
    </row>
    <row r="34" spans="1:10" ht="18.75" customHeight="1">
      <c r="A34" s="27" t="s">
        <v>47</v>
      </c>
      <c r="B34" s="28">
        <v>1.25</v>
      </c>
      <c r="C34" s="28">
        <v>1.25</v>
      </c>
      <c r="D34" s="28"/>
      <c r="E34" s="28"/>
      <c r="F34" s="28"/>
      <c r="G34" s="28"/>
      <c r="H34" s="25">
        <f t="shared" si="1"/>
        <v>6.2079999999999984</v>
      </c>
      <c r="I34" s="25">
        <f t="shared" si="2"/>
        <v>46.207999999999998</v>
      </c>
      <c r="J34" s="26">
        <f t="shared" si="3"/>
        <v>52.415999999999997</v>
      </c>
    </row>
    <row r="35" spans="1:10" ht="18.75" customHeight="1">
      <c r="A35" s="27" t="s">
        <v>46</v>
      </c>
      <c r="B35" s="28"/>
      <c r="C35" s="28"/>
      <c r="D35" s="28"/>
      <c r="E35" s="28">
        <v>1</v>
      </c>
      <c r="F35" s="28"/>
      <c r="G35" s="28"/>
      <c r="H35" s="25">
        <f t="shared" si="1"/>
        <v>6.2079999999999984</v>
      </c>
      <c r="I35" s="25">
        <f t="shared" si="2"/>
        <v>45.207999999999998</v>
      </c>
      <c r="J35" s="26">
        <f t="shared" si="3"/>
        <v>51.415999999999997</v>
      </c>
    </row>
    <row r="36" spans="1:10" ht="18.75" customHeight="1">
      <c r="A36" s="27" t="s">
        <v>48</v>
      </c>
      <c r="B36" s="28">
        <v>1.25</v>
      </c>
      <c r="C36" s="28">
        <v>1.25</v>
      </c>
      <c r="D36" s="28"/>
      <c r="E36" s="28"/>
      <c r="F36" s="28"/>
      <c r="G36" s="28"/>
      <c r="H36" s="25">
        <f t="shared" si="1"/>
        <v>7.4579999999999984</v>
      </c>
      <c r="I36" s="25">
        <f t="shared" si="2"/>
        <v>46.457999999999998</v>
      </c>
      <c r="J36" s="26">
        <f t="shared" si="3"/>
        <v>53.915999999999997</v>
      </c>
    </row>
    <row r="37" spans="1:10" ht="18.75" customHeight="1">
      <c r="A37" s="27" t="s">
        <v>49</v>
      </c>
      <c r="B37" s="28"/>
      <c r="C37" s="28"/>
      <c r="D37" s="28"/>
      <c r="E37" s="28"/>
      <c r="F37" s="28">
        <v>1</v>
      </c>
      <c r="G37" s="28"/>
      <c r="H37" s="25">
        <f t="shared" si="1"/>
        <v>6.4579999999999984</v>
      </c>
      <c r="I37" s="25">
        <f t="shared" si="2"/>
        <v>46.457999999999998</v>
      </c>
      <c r="J37" s="26">
        <f t="shared" si="3"/>
        <v>52.915999999999997</v>
      </c>
    </row>
    <row r="38" spans="1:10" ht="18.75" customHeight="1">
      <c r="A38" s="27" t="s">
        <v>50</v>
      </c>
      <c r="B38" s="28">
        <v>2.5</v>
      </c>
      <c r="C38" s="28">
        <v>2.5</v>
      </c>
      <c r="D38" s="28"/>
      <c r="E38" s="28"/>
      <c r="F38" s="28"/>
      <c r="G38" s="28"/>
      <c r="H38" s="25">
        <f t="shared" si="1"/>
        <v>8.9579999999999984</v>
      </c>
      <c r="I38" s="25">
        <f t="shared" si="2"/>
        <v>48.957999999999998</v>
      </c>
      <c r="J38" s="26">
        <f t="shared" si="3"/>
        <v>57.915999999999997</v>
      </c>
    </row>
    <row r="39" spans="1:10" ht="18.75" customHeight="1">
      <c r="A39" s="27" t="s">
        <v>51</v>
      </c>
      <c r="B39" s="28"/>
      <c r="C39" s="28"/>
      <c r="D39" s="28"/>
      <c r="E39" s="28"/>
      <c r="F39" s="28">
        <v>1</v>
      </c>
      <c r="G39" s="28"/>
      <c r="H39" s="25">
        <f t="shared" si="1"/>
        <v>7.9579999999999984</v>
      </c>
      <c r="I39" s="25">
        <f t="shared" si="2"/>
        <v>48.957999999999998</v>
      </c>
      <c r="J39" s="26">
        <f t="shared" si="3"/>
        <v>56.915999999999997</v>
      </c>
    </row>
    <row r="40" spans="1:10" ht="18.75" customHeight="1">
      <c r="A40" s="27" t="s">
        <v>52</v>
      </c>
      <c r="B40" s="28">
        <v>1.25</v>
      </c>
      <c r="C40" s="28">
        <v>1.25</v>
      </c>
      <c r="D40" s="28"/>
      <c r="E40" s="28"/>
      <c r="F40" s="28"/>
      <c r="G40" s="28"/>
      <c r="H40" s="25">
        <f t="shared" si="1"/>
        <v>9.2079999999999984</v>
      </c>
      <c r="I40" s="25">
        <f t="shared" si="2"/>
        <v>50.207999999999998</v>
      </c>
      <c r="J40" s="26">
        <f t="shared" si="3"/>
        <v>59.415999999999997</v>
      </c>
    </row>
    <row r="41" spans="1:10" ht="18.75" customHeight="1">
      <c r="A41" s="27" t="s">
        <v>53</v>
      </c>
      <c r="B41" s="28"/>
      <c r="C41" s="28"/>
      <c r="D41" s="28"/>
      <c r="E41" s="28"/>
      <c r="F41" s="28">
        <v>1</v>
      </c>
      <c r="G41" s="28"/>
      <c r="H41" s="25">
        <f t="shared" si="1"/>
        <v>8.2079999999999984</v>
      </c>
      <c r="I41" s="25">
        <f t="shared" si="2"/>
        <v>50.207999999999998</v>
      </c>
      <c r="J41" s="26">
        <f t="shared" si="3"/>
        <v>58.415999999999997</v>
      </c>
    </row>
    <row r="42" spans="1:10" ht="18.75" customHeight="1">
      <c r="A42" s="29" t="s">
        <v>70</v>
      </c>
      <c r="B42" s="31"/>
      <c r="C42" s="31"/>
      <c r="D42" s="31">
        <v>0.312</v>
      </c>
      <c r="E42" s="31"/>
      <c r="G42" s="31"/>
      <c r="H42" s="25">
        <f t="shared" si="1"/>
        <v>7.8959999999999981</v>
      </c>
      <c r="I42" s="25">
        <f t="shared" si="2"/>
        <v>50.207999999999998</v>
      </c>
      <c r="J42" s="26">
        <f t="shared" si="3"/>
        <v>58.103999999999999</v>
      </c>
    </row>
    <row r="43" spans="1:10">
      <c r="A43" s="27" t="s">
        <v>54</v>
      </c>
      <c r="B43" s="28">
        <v>1.25</v>
      </c>
      <c r="C43" s="28">
        <v>1.25</v>
      </c>
      <c r="D43" s="32"/>
      <c r="E43" s="32"/>
      <c r="F43" s="32"/>
      <c r="G43" s="33"/>
      <c r="H43" s="25">
        <f t="shared" si="1"/>
        <v>9.1459999999999972</v>
      </c>
      <c r="I43" s="25">
        <f t="shared" si="2"/>
        <v>51.457999999999998</v>
      </c>
      <c r="J43" s="26">
        <f t="shared" si="3"/>
        <v>60.603999999999999</v>
      </c>
    </row>
    <row r="44" spans="1:10">
      <c r="A44" s="27" t="s">
        <v>55</v>
      </c>
      <c r="B44" s="32"/>
      <c r="C44" s="32"/>
      <c r="D44" s="32"/>
      <c r="E44" s="32">
        <v>1</v>
      </c>
      <c r="F44" s="32"/>
      <c r="G44" s="33"/>
      <c r="H44" s="25">
        <f t="shared" si="1"/>
        <v>9.1459999999999972</v>
      </c>
      <c r="I44" s="25">
        <f t="shared" si="2"/>
        <v>50.457999999999998</v>
      </c>
      <c r="J44" s="26">
        <f t="shared" si="3"/>
        <v>59.603999999999999</v>
      </c>
    </row>
    <row r="45" spans="1:10">
      <c r="A45" s="34" t="s">
        <v>71</v>
      </c>
      <c r="B45" s="32">
        <v>2.5</v>
      </c>
      <c r="C45" s="32">
        <v>2.5</v>
      </c>
      <c r="D45" s="32"/>
      <c r="E45" s="32"/>
      <c r="F45" s="32"/>
      <c r="G45" s="32"/>
      <c r="H45" s="25">
        <f t="shared" si="1"/>
        <v>11.645999999999997</v>
      </c>
      <c r="I45" s="25">
        <f t="shared" si="2"/>
        <v>52.957999999999998</v>
      </c>
      <c r="J45" s="26">
        <f t="shared" si="3"/>
        <v>64.603999999999999</v>
      </c>
    </row>
    <row r="46" spans="1:10">
      <c r="A46" s="35" t="s">
        <v>72</v>
      </c>
      <c r="B46" s="32"/>
      <c r="C46" s="32"/>
      <c r="D46" s="32">
        <v>4</v>
      </c>
      <c r="E46" s="32">
        <v>6</v>
      </c>
      <c r="F46" s="32"/>
      <c r="G46" s="32"/>
      <c r="H46" s="25">
        <f t="shared" si="1"/>
        <v>7.6459999999999972</v>
      </c>
      <c r="I46" s="25">
        <f t="shared" si="2"/>
        <v>46.957999999999998</v>
      </c>
      <c r="J46" s="26">
        <f t="shared" si="3"/>
        <v>54.603999999999999</v>
      </c>
    </row>
    <row r="47" spans="1:10">
      <c r="A47" s="38" t="s">
        <v>77</v>
      </c>
      <c r="B47" s="32">
        <v>3.75</v>
      </c>
      <c r="C47" s="32">
        <v>3.75</v>
      </c>
      <c r="D47" s="32"/>
      <c r="E47" s="32"/>
      <c r="F47" s="32"/>
      <c r="G47" s="32"/>
      <c r="H47" s="25">
        <f t="shared" si="1"/>
        <v>11.395999999999997</v>
      </c>
      <c r="I47" s="25">
        <f t="shared" si="2"/>
        <v>50.707999999999998</v>
      </c>
      <c r="J47" s="26">
        <f t="shared" si="3"/>
        <v>62.103999999999999</v>
      </c>
    </row>
    <row r="48" spans="1:10">
      <c r="A48" s="38" t="s">
        <v>78</v>
      </c>
      <c r="B48" s="32"/>
      <c r="C48" s="32"/>
      <c r="D48" s="32"/>
      <c r="E48" s="32"/>
      <c r="F48" s="32">
        <v>2</v>
      </c>
      <c r="G48" s="32"/>
      <c r="H48" s="25">
        <f t="shared" si="1"/>
        <v>9.3959999999999972</v>
      </c>
      <c r="I48" s="25">
        <f t="shared" si="2"/>
        <v>50.707999999999998</v>
      </c>
      <c r="J48" s="26">
        <f t="shared" si="3"/>
        <v>60.103999999999999</v>
      </c>
    </row>
    <row r="49" spans="1:10">
      <c r="A49" s="39" t="s">
        <v>79</v>
      </c>
      <c r="B49" s="32">
        <v>1.25</v>
      </c>
      <c r="C49" s="32">
        <v>1.25</v>
      </c>
      <c r="D49" s="32"/>
      <c r="E49" s="32"/>
      <c r="F49" s="32"/>
      <c r="G49" s="32"/>
      <c r="H49" s="25">
        <f t="shared" si="1"/>
        <v>10.645999999999997</v>
      </c>
      <c r="I49" s="25">
        <f t="shared" si="2"/>
        <v>51.957999999999998</v>
      </c>
      <c r="J49" s="26">
        <f t="shared" si="3"/>
        <v>62.603999999999999</v>
      </c>
    </row>
    <row r="50" spans="1:10">
      <c r="A50" s="40" t="s">
        <v>80</v>
      </c>
      <c r="B50" s="32">
        <v>1</v>
      </c>
      <c r="C50" s="32"/>
      <c r="D50" s="32"/>
      <c r="E50" s="32"/>
      <c r="F50" s="32"/>
      <c r="G50" s="32"/>
      <c r="H50" s="25">
        <f t="shared" si="1"/>
        <v>11.645999999999997</v>
      </c>
      <c r="I50" s="25">
        <f t="shared" si="2"/>
        <v>51.957999999999998</v>
      </c>
      <c r="J50" s="26">
        <f t="shared" si="3"/>
        <v>63.603999999999999</v>
      </c>
    </row>
    <row r="51" spans="1:10">
      <c r="A51" s="41" t="s">
        <v>81</v>
      </c>
      <c r="B51" s="32">
        <v>3.75</v>
      </c>
      <c r="C51" s="32">
        <v>3.75</v>
      </c>
      <c r="D51" s="32"/>
      <c r="E51" s="32"/>
      <c r="F51" s="32"/>
      <c r="G51" s="32"/>
      <c r="H51" s="25">
        <f t="shared" si="1"/>
        <v>15.395999999999997</v>
      </c>
      <c r="I51" s="25">
        <f t="shared" si="2"/>
        <v>55.707999999999998</v>
      </c>
      <c r="J51" s="26">
        <f t="shared" si="3"/>
        <v>71.103999999999999</v>
      </c>
    </row>
    <row r="52" spans="1:10">
      <c r="A52" s="41" t="s">
        <v>82</v>
      </c>
      <c r="B52" s="32"/>
      <c r="C52" s="32"/>
      <c r="D52" s="32"/>
      <c r="E52" s="32">
        <v>1</v>
      </c>
      <c r="F52" s="32"/>
      <c r="G52" s="32"/>
      <c r="H52" s="25">
        <f t="shared" si="1"/>
        <v>15.395999999999997</v>
      </c>
      <c r="I52" s="25">
        <f t="shared" si="2"/>
        <v>54.707999999999998</v>
      </c>
      <c r="J52" s="26">
        <f t="shared" si="3"/>
        <v>70.103999999999999</v>
      </c>
    </row>
    <row r="53" spans="1:10">
      <c r="A53" s="42" t="s">
        <v>83</v>
      </c>
      <c r="B53" s="32">
        <v>1.25</v>
      </c>
      <c r="C53" s="32">
        <v>1.25</v>
      </c>
      <c r="D53" s="32"/>
      <c r="E53" s="32"/>
      <c r="F53" s="32"/>
      <c r="G53" s="32"/>
      <c r="H53" s="25">
        <f t="shared" si="1"/>
        <v>16.645999999999997</v>
      </c>
      <c r="I53" s="25">
        <f t="shared" si="2"/>
        <v>55.957999999999998</v>
      </c>
      <c r="J53" s="26">
        <f t="shared" si="3"/>
        <v>72.603999999999999</v>
      </c>
    </row>
    <row r="54" spans="1:10">
      <c r="A54" s="42" t="s">
        <v>84</v>
      </c>
      <c r="B54" s="32"/>
      <c r="C54" s="32"/>
      <c r="D54" s="32"/>
      <c r="E54" s="32"/>
      <c r="F54" s="43">
        <v>1</v>
      </c>
      <c r="G54" s="32"/>
      <c r="H54" s="25">
        <f t="shared" si="1"/>
        <v>15.645999999999997</v>
      </c>
      <c r="I54" s="25">
        <f t="shared" si="2"/>
        <v>55.957999999999998</v>
      </c>
      <c r="J54" s="26">
        <f t="shared" si="3"/>
        <v>71.603999999999999</v>
      </c>
    </row>
    <row r="55" spans="1:10">
      <c r="A55" s="47" t="s">
        <v>85</v>
      </c>
      <c r="B55" s="32">
        <v>2.5</v>
      </c>
      <c r="C55" s="32">
        <v>2.5</v>
      </c>
      <c r="D55" s="32"/>
      <c r="E55" s="32"/>
      <c r="F55" s="32"/>
      <c r="G55" s="32"/>
      <c r="H55" s="25">
        <f t="shared" si="1"/>
        <v>18.145999999999997</v>
      </c>
      <c r="I55" s="25">
        <f t="shared" si="2"/>
        <v>58.457999999999998</v>
      </c>
      <c r="J55" s="26">
        <f t="shared" si="3"/>
        <v>76.603999999999999</v>
      </c>
    </row>
    <row r="56" spans="1:10">
      <c r="A56" s="47" t="s">
        <v>86</v>
      </c>
      <c r="B56" s="32"/>
      <c r="C56" s="32"/>
      <c r="D56" s="32"/>
      <c r="E56" s="32"/>
      <c r="F56" s="43">
        <v>1</v>
      </c>
      <c r="G56" s="32"/>
      <c r="H56" s="25">
        <f t="shared" si="1"/>
        <v>17.145999999999997</v>
      </c>
      <c r="I56" s="25">
        <f t="shared" si="2"/>
        <v>58.457999999999998</v>
      </c>
      <c r="J56" s="26">
        <f t="shared" si="3"/>
        <v>75.603999999999999</v>
      </c>
    </row>
    <row r="57" spans="1:10">
      <c r="A57" s="51" t="s">
        <v>87</v>
      </c>
      <c r="B57" s="32">
        <v>1.25</v>
      </c>
      <c r="C57" s="32">
        <v>1.25</v>
      </c>
      <c r="D57" s="32"/>
      <c r="E57" s="32"/>
      <c r="F57" s="32"/>
      <c r="G57" s="32"/>
      <c r="H57" s="25">
        <f t="shared" si="1"/>
        <v>18.395999999999997</v>
      </c>
      <c r="I57" s="25">
        <f t="shared" si="2"/>
        <v>59.707999999999998</v>
      </c>
      <c r="J57" s="26">
        <f t="shared" si="3"/>
        <v>78.103999999999999</v>
      </c>
    </row>
    <row r="58" spans="1:10">
      <c r="A58" s="52" t="s">
        <v>89</v>
      </c>
      <c r="B58" s="32"/>
      <c r="C58" s="32"/>
      <c r="D58" s="32">
        <v>0.5</v>
      </c>
      <c r="E58" s="32"/>
      <c r="F58" s="32"/>
      <c r="G58" s="32"/>
      <c r="H58" s="25">
        <f t="shared" si="1"/>
        <v>17.895999999999997</v>
      </c>
      <c r="I58" s="25">
        <f t="shared" si="2"/>
        <v>59.707999999999998</v>
      </c>
      <c r="J58" s="26">
        <f t="shared" si="3"/>
        <v>77.603999999999999</v>
      </c>
    </row>
    <row r="59" spans="1:10">
      <c r="A59" s="53" t="s">
        <v>88</v>
      </c>
      <c r="B59" s="32"/>
      <c r="C59" s="32"/>
      <c r="D59" s="32">
        <v>10</v>
      </c>
      <c r="E59" s="32"/>
      <c r="F59" s="32"/>
      <c r="G59" s="32"/>
      <c r="H59" s="32">
        <f t="shared" si="1"/>
        <v>7.8959999999999972</v>
      </c>
      <c r="I59" s="32">
        <f t="shared" si="2"/>
        <v>59.707999999999998</v>
      </c>
      <c r="J59" s="32">
        <f t="shared" si="3"/>
        <v>67.603999999999999</v>
      </c>
    </row>
    <row r="60" spans="1:10">
      <c r="A60" s="54" t="s">
        <v>90</v>
      </c>
      <c r="B60" s="32">
        <v>1.25</v>
      </c>
      <c r="C60" s="32">
        <v>1.25</v>
      </c>
      <c r="D60" s="32"/>
      <c r="E60" s="32"/>
      <c r="F60" s="32"/>
      <c r="G60" s="32"/>
      <c r="H60" s="32">
        <f t="shared" si="1"/>
        <v>9.1459999999999972</v>
      </c>
      <c r="I60" s="32">
        <f t="shared" si="2"/>
        <v>60.957999999999998</v>
      </c>
      <c r="J60" s="32">
        <f t="shared" si="3"/>
        <v>70.103999999999999</v>
      </c>
    </row>
    <row r="61" spans="1:10">
      <c r="A61" s="54" t="s">
        <v>91</v>
      </c>
      <c r="B61" s="32"/>
      <c r="C61" s="32"/>
      <c r="D61" s="32"/>
      <c r="E61" s="32"/>
      <c r="F61" s="43">
        <v>1</v>
      </c>
      <c r="G61" s="32"/>
      <c r="H61" s="32">
        <f t="shared" si="1"/>
        <v>8.1459999999999972</v>
      </c>
      <c r="I61" s="32">
        <f t="shared" si="2"/>
        <v>60.957999999999998</v>
      </c>
      <c r="J61" s="32">
        <f t="shared" si="3"/>
        <v>69.103999999999999</v>
      </c>
    </row>
    <row r="62" spans="1:10">
      <c r="A62" s="55" t="s">
        <v>94</v>
      </c>
      <c r="B62" s="32"/>
      <c r="C62" s="32"/>
      <c r="D62" s="32">
        <v>0.25</v>
      </c>
      <c r="E62" s="32"/>
      <c r="F62" s="32"/>
      <c r="G62" s="32"/>
      <c r="H62" s="32">
        <f t="shared" si="1"/>
        <v>7.8959999999999972</v>
      </c>
      <c r="I62" s="32">
        <f t="shared" si="2"/>
        <v>60.957999999999998</v>
      </c>
      <c r="J62" s="32">
        <f t="shared" si="3"/>
        <v>68.853999999999999</v>
      </c>
    </row>
    <row r="63" spans="1:10">
      <c r="A63" s="55" t="s">
        <v>92</v>
      </c>
      <c r="B63" s="32">
        <v>1.25</v>
      </c>
      <c r="C63" s="32">
        <v>1.25</v>
      </c>
      <c r="D63" s="32"/>
      <c r="E63" s="32"/>
      <c r="F63" s="32"/>
      <c r="G63" s="32"/>
      <c r="H63" s="32">
        <f t="shared" si="1"/>
        <v>9.1459999999999972</v>
      </c>
      <c r="I63" s="32">
        <f t="shared" si="2"/>
        <v>62.207999999999998</v>
      </c>
      <c r="J63" s="32">
        <f t="shared" si="3"/>
        <v>71.353999999999999</v>
      </c>
    </row>
    <row r="64" spans="1:10">
      <c r="A64" s="55" t="s">
        <v>93</v>
      </c>
      <c r="B64" s="32"/>
      <c r="C64" s="32"/>
      <c r="D64" s="32"/>
      <c r="E64" s="32"/>
      <c r="F64" s="32"/>
      <c r="G64" s="56">
        <v>1</v>
      </c>
      <c r="H64" s="32">
        <f t="shared" si="1"/>
        <v>9.1459999999999972</v>
      </c>
      <c r="I64" s="32">
        <f t="shared" si="2"/>
        <v>62.207999999999998</v>
      </c>
      <c r="J64" s="32">
        <f t="shared" si="3"/>
        <v>71.353999999999999</v>
      </c>
    </row>
    <row r="65" spans="1:11">
      <c r="A65" s="57" t="s">
        <v>95</v>
      </c>
      <c r="B65" s="32">
        <v>1.25</v>
      </c>
      <c r="C65" s="32">
        <v>1.25</v>
      </c>
      <c r="D65" s="32"/>
      <c r="E65" s="32"/>
      <c r="F65" s="32"/>
      <c r="G65" s="32"/>
      <c r="H65" s="32">
        <f t="shared" si="1"/>
        <v>10.395999999999997</v>
      </c>
      <c r="I65" s="32">
        <f t="shared" si="2"/>
        <v>63.457999999999998</v>
      </c>
      <c r="J65" s="32">
        <f t="shared" si="3"/>
        <v>73.853999999999999</v>
      </c>
    </row>
    <row r="66" spans="1:11">
      <c r="A66" s="57" t="s">
        <v>96</v>
      </c>
      <c r="B66" s="32"/>
      <c r="C66" s="32"/>
      <c r="D66" s="32"/>
      <c r="E66" s="32"/>
      <c r="F66" s="32"/>
      <c r="G66" s="56">
        <v>1</v>
      </c>
      <c r="H66" s="32">
        <f t="shared" si="1"/>
        <v>10.395999999999997</v>
      </c>
      <c r="I66" s="32">
        <f t="shared" si="2"/>
        <v>63.457999999999998</v>
      </c>
      <c r="J66" s="32">
        <f t="shared" si="3"/>
        <v>73.853999999999999</v>
      </c>
    </row>
    <row r="67" spans="1:11">
      <c r="A67" s="58" t="s">
        <v>97</v>
      </c>
      <c r="B67" s="32"/>
      <c r="C67" s="32"/>
      <c r="D67" s="32"/>
      <c r="E67" s="32"/>
      <c r="F67" s="43">
        <v>1</v>
      </c>
      <c r="G67" s="32"/>
      <c r="H67" s="32">
        <f t="shared" si="1"/>
        <v>9.3959999999999972</v>
      </c>
      <c r="I67" s="32">
        <f t="shared" si="2"/>
        <v>63.457999999999998</v>
      </c>
      <c r="J67" s="32">
        <f t="shared" si="3"/>
        <v>72.853999999999999</v>
      </c>
    </row>
    <row r="68" spans="1:11">
      <c r="A68" s="59" t="s">
        <v>98</v>
      </c>
      <c r="B68" s="32"/>
      <c r="C68" s="32"/>
      <c r="D68" s="32"/>
      <c r="E68" s="32"/>
      <c r="F68" s="32"/>
      <c r="G68" s="32"/>
      <c r="H68" s="32">
        <f t="shared" si="1"/>
        <v>9.3959999999999972</v>
      </c>
      <c r="I68" s="32">
        <f t="shared" si="2"/>
        <v>63.457999999999998</v>
      </c>
      <c r="J68" s="32">
        <f t="shared" si="3"/>
        <v>72.853999999999999</v>
      </c>
    </row>
    <row r="69" spans="1:11">
      <c r="A69" s="60" t="s">
        <v>99</v>
      </c>
      <c r="B69" s="32"/>
      <c r="C69" s="32"/>
      <c r="D69" s="32"/>
      <c r="E69" s="32"/>
      <c r="F69" s="43">
        <v>1</v>
      </c>
      <c r="G69" s="32"/>
      <c r="H69" s="32">
        <f t="shared" si="1"/>
        <v>8.3959999999999972</v>
      </c>
      <c r="I69" s="32">
        <f t="shared" si="2"/>
        <v>63.457999999999998</v>
      </c>
      <c r="J69" s="32">
        <f t="shared" si="3"/>
        <v>71.853999999999999</v>
      </c>
    </row>
    <row r="70" spans="1:11">
      <c r="A70" s="44"/>
      <c r="B70" s="45"/>
      <c r="C70" s="45"/>
      <c r="D70" s="45"/>
      <c r="E70" s="45"/>
      <c r="F70" s="45"/>
      <c r="G70" s="45"/>
      <c r="H70" s="46"/>
      <c r="I70" s="46"/>
      <c r="J70" s="45"/>
    </row>
    <row r="71" spans="1:11" s="36" customFormat="1" ht="15" customHeight="1">
      <c r="G71" s="36" t="s">
        <v>73</v>
      </c>
    </row>
    <row r="72" spans="1:11" s="36" customFormat="1" ht="15" customHeight="1"/>
    <row r="73" spans="1:11" s="36" customFormat="1" ht="15" customHeight="1">
      <c r="A73" s="37"/>
      <c r="H73" s="48" t="s">
        <v>74</v>
      </c>
    </row>
    <row r="74" spans="1:11" s="36" customFormat="1" ht="15" customHeight="1">
      <c r="A74" s="21"/>
      <c r="H74" s="21" t="s">
        <v>75</v>
      </c>
    </row>
    <row r="75" spans="1:11" ht="15" customHeight="1">
      <c r="A75" s="21"/>
      <c r="B75" s="1"/>
      <c r="C75" s="1"/>
      <c r="D75" s="1"/>
      <c r="E75" s="1"/>
      <c r="F75" s="1"/>
      <c r="G75" s="1"/>
      <c r="H75" s="21" t="s">
        <v>76</v>
      </c>
      <c r="I75" s="1"/>
      <c r="J75" s="1"/>
      <c r="K75" s="1"/>
    </row>
  </sheetData>
  <mergeCells count="12"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3622047244094491" right="0.23622047244094491" top="0.11811023622047245" bottom="0.11811023622047245" header="0.31496062992125984" footer="0.31496062992125984"/>
  <pageSetup paperSize="9" scale="67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CORRECTED</vt:lpstr>
      <vt:lpstr>CTO</vt:lpstr>
      <vt:lpstr>Leave Card (Addt'l)</vt:lpstr>
      <vt:lpstr>Leave Card (NE) (2)</vt:lpstr>
      <vt:lpstr>CORRECTED!Print_Area</vt:lpstr>
      <vt:lpstr>'Leave Card (Addt''l)'!Print_Area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2026-01-07T07:14:14Z</cp:lastPrinted>
  <dcterms:created xsi:type="dcterms:W3CDTF">2021-10-07T06:10:00Z</dcterms:created>
  <dcterms:modified xsi:type="dcterms:W3CDTF">2026-01-07T07:15:55Z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EF3591BE23FF4CABA828CA93A197A444</vt:lpwstr>
  </property>
  <property fmtid="{D5CDD505-2E9C-101B-9397-08002B2CF9AE}" pid="3" name="KSOProductBuildVer">
    <vt:lpwstr>1033-11.2.0.11341</vt:lpwstr>
  </property>
</Properties>
</file>