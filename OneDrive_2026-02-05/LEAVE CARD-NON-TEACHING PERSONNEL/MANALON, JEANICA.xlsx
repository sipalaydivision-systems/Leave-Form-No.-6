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EB80855-9543-473D-8681-318790FDF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7" r:id="rId2"/>
    <sheet name="OTHER TYPES OF LEAVE CORRECTED" sheetId="8" r:id="rId3"/>
  </sheets>
  <definedNames>
    <definedName name="_xlnm.Print_Area" localSheetId="0">'Leave Card (NE)'!$A$1:$J$54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6" l="1"/>
  <c r="I47" i="6"/>
  <c r="I48" i="6" s="1"/>
  <c r="J47" i="6"/>
  <c r="H48" i="6"/>
  <c r="J48" i="6" l="1"/>
  <c r="B36" i="6"/>
  <c r="C13" i="6" l="1"/>
  <c r="B13" i="6"/>
  <c r="H13" i="6" l="1"/>
  <c r="H14" i="6" s="1"/>
  <c r="H15" i="6" s="1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J15" i="6" l="1"/>
  <c r="H16" i="6"/>
  <c r="J13" i="6"/>
  <c r="H17" i="6" l="1"/>
  <c r="J16" i="6"/>
  <c r="J14" i="6"/>
  <c r="H18" i="6" l="1"/>
  <c r="J17" i="6"/>
  <c r="H19" i="6" l="1"/>
  <c r="J18" i="6"/>
  <c r="J19" i="6" l="1"/>
  <c r="H20" i="6"/>
  <c r="H21" i="6" l="1"/>
  <c r="J20" i="6"/>
  <c r="J21" i="6" l="1"/>
  <c r="H22" i="6"/>
  <c r="H23" i="6" l="1"/>
  <c r="J22" i="6"/>
  <c r="H24" i="6" l="1"/>
  <c r="J23" i="6"/>
  <c r="H25" i="6" l="1"/>
  <c r="J24" i="6"/>
  <c r="H26" i="6" l="1"/>
  <c r="J25" i="6"/>
  <c r="H27" i="6" l="1"/>
  <c r="J26" i="6"/>
  <c r="H28" i="6" l="1"/>
  <c r="J27" i="6"/>
  <c r="H29" i="6" l="1"/>
  <c r="J28" i="6"/>
  <c r="J29" i="6" l="1"/>
  <c r="H30" i="6"/>
  <c r="J30" i="6" l="1"/>
  <c r="H31" i="6"/>
  <c r="J31" i="6" l="1"/>
  <c r="H32" i="6"/>
  <c r="H33" i="6" l="1"/>
  <c r="J32" i="6"/>
  <c r="H34" i="6" l="1"/>
  <c r="J33" i="6"/>
  <c r="J34" i="6" l="1"/>
  <c r="H35" i="6"/>
  <c r="H36" i="6" l="1"/>
  <c r="J35" i="6"/>
  <c r="J36" i="6" l="1"/>
  <c r="H37" i="6"/>
  <c r="H38" i="6" l="1"/>
  <c r="J37" i="6"/>
  <c r="J38" i="6" l="1"/>
  <c r="H39" i="6"/>
  <c r="J39" i="6" l="1"/>
  <c r="H40" i="6"/>
  <c r="H41" i="6" l="1"/>
  <c r="J40" i="6"/>
  <c r="J41" i="6" l="1"/>
  <c r="H42" i="6"/>
  <c r="H43" i="6" l="1"/>
  <c r="J42" i="6"/>
  <c r="H44" i="6" l="1"/>
  <c r="J43" i="6"/>
  <c r="J44" i="6" l="1"/>
  <c r="H45" i="6"/>
  <c r="J45" i="6" l="1"/>
  <c r="H46" i="6"/>
  <c r="J46" i="6" s="1"/>
</calcChain>
</file>

<file path=xl/sharedStrings.xml><?xml version="1.0" encoding="utf-8"?>
<sst xmlns="http://schemas.openxmlformats.org/spreadsheetml/2006/main" count="136" uniqueCount="106">
  <si>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</si>
  <si>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</si>
  <si>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</si>
  <si>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</si>
  <si>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</si>
  <si>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</si>
  <si>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</si>
  <si>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</si>
  <si>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</si>
  <si>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</si>
  <si>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</si>
  <si>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3/15/2021 - 3/31/2021</t>
  </si>
  <si>
    <t>ADD: 4/01/2021 - 12/31/2021</t>
  </si>
  <si>
    <t>ADD: 1/01/2022 - 04/30/2022</t>
  </si>
  <si>
    <t>LESS: 05/11/22</t>
  </si>
  <si>
    <t>LESS: 06/17/22</t>
  </si>
  <si>
    <t>ADD: 6/01/2022 - 07/31/2022</t>
  </si>
  <si>
    <t>LESS: 08/08 &amp; 09/22</t>
  </si>
  <si>
    <t>LESS: 08/23/22</t>
  </si>
  <si>
    <t>ADD: 8/01/2022 - 08/31/2022</t>
  </si>
  <si>
    <t>LESS: MONETIZATION 2022</t>
  </si>
  <si>
    <t>ADD: 9/01/2022 - 12/31/2022</t>
  </si>
  <si>
    <t>LESS: 12/23 &amp; 29/22</t>
  </si>
  <si>
    <t>SPECIAL</t>
  </si>
  <si>
    <t>LESS: 01/18/23</t>
  </si>
  <si>
    <t>LESS: 12/28/22</t>
  </si>
  <si>
    <t>ADD: 01/01/2023 - 04/30/2023</t>
  </si>
  <si>
    <t>LESS: 05/19/2023</t>
  </si>
  <si>
    <t>ADD: 05/01/2023 - 05/31/2023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</si>
  <si>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</si>
  <si>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</si>
  <si>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</si>
  <si>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</si>
  <si>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</si>
  <si>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</si>
  <si>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</si>
  <si>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</si>
  <si>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LESS: 06/19(PM) &amp; 20 (PM)/2023</t>
  </si>
  <si>
    <t>ADD: 06/01/2023 - 08/31/2023</t>
  </si>
  <si>
    <t>LESS: MONETIZATION 2023</t>
  </si>
  <si>
    <t>Certified Correct:</t>
  </si>
  <si>
    <t>MA. LUISA B. CATIGAN</t>
  </si>
  <si>
    <t>Administrative Officer IV</t>
  </si>
  <si>
    <t>HRMO</t>
  </si>
  <si>
    <t>LESS: 09/20-21/2023</t>
  </si>
  <si>
    <t>ADD: 09/01/2023-12/31/2023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</si>
  <si>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</si>
  <si>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</si>
  <si>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</si>
  <si>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</si>
  <si>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</si>
  <si>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</si>
  <si>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ADD: 03/12/2024</t>
  </si>
  <si>
    <t xml:space="preserve"> </t>
  </si>
  <si>
    <t>LESS: 06/21/2024</t>
  </si>
  <si>
    <t>ADD: 06/1-30/2024</t>
  </si>
  <si>
    <t>S.O. # 006, S. 2024 DIVISION SPORTS MEET 2024</t>
  </si>
  <si>
    <t>LESS: 08/28-30/2024</t>
  </si>
  <si>
    <t>ADD: 05/20/2024</t>
  </si>
  <si>
    <t>S.O. # 015, S. 2024 PALARONG PANLALAWIGAN 2024</t>
  </si>
  <si>
    <t>LESS: 09/2-4/2024</t>
  </si>
  <si>
    <t>LESS: 09/5-11/2024</t>
  </si>
  <si>
    <t>ADD: 08/30/2023</t>
  </si>
  <si>
    <t>SO# 073, S. 2023 NDRRM MID-YEAR EVALUATION &amp; PLANNING WORKSHOP</t>
  </si>
  <si>
    <t>LESS: 09/12-16/2024</t>
  </si>
  <si>
    <t>ADD: 10/17/2023</t>
  </si>
  <si>
    <t>SO# 159, S. 2023 125TH PHIL. IND. DAY</t>
  </si>
  <si>
    <t>LESS: 07/12/2024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</si>
  <si>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</si>
  <si>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</si>
  <si>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</si>
  <si>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</si>
  <si>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</si>
  <si>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</si>
  <si>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</si>
  <si>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</si>
  <si>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</si>
  <si>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</si>
  <si>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</si>
  <si>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</si>
  <si>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</si>
  <si>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</si>
  <si>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</si>
  <si>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</si>
  <si>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</si>
  <si>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</si>
  <si>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ADD: YEAR 2024</t>
  </si>
  <si>
    <t>LESS: AUGUST 15-27, 2024</t>
  </si>
  <si>
    <t>LESS: AUG. 12-28, 2024</t>
  </si>
  <si>
    <t>ADD: 06/26/2024</t>
  </si>
  <si>
    <t>SO# 024, S. 2024 126TH PHIL. IND. DAY</t>
  </si>
  <si>
    <t>LESS: 09/17/2024</t>
  </si>
  <si>
    <t>ADD: 07/1/2024-12/31/2024</t>
  </si>
  <si>
    <t>ADD: 01/1/2025-03/31/2025</t>
  </si>
  <si>
    <t>LESS: 04/10/2025</t>
  </si>
  <si>
    <t>ADD: 05/13/2025</t>
  </si>
  <si>
    <t>S.O. # 019, S. 2025 PROVINCIAL MEET 2025</t>
  </si>
  <si>
    <t>LESS: 05/20/2025</t>
  </si>
  <si>
    <t>LESS: FL 2021</t>
  </si>
  <si>
    <t>ADD: 5/01/2022 - 05/31/2022</t>
  </si>
  <si>
    <t>ADD: 04/1/2025-05/31/2025</t>
  </si>
  <si>
    <t>LESS: 07/3/2025</t>
  </si>
  <si>
    <t>ADD: 06/1/2025-08/31/2025</t>
  </si>
  <si>
    <t>LESS: MONETIZATION 2025</t>
  </si>
  <si>
    <t>ADD: 01/01/2024-05/31/2024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</si>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</sst>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97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5" fillId="2" borderId="0" xfId="1" applyFill="1"/>
    <xf numFmtId="0" fontId="1" fillId="2" borderId="0" xfId="1" applyFont="1" applyFill="1" applyAlignment="1">
      <alignment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5" xfId="1" applyFont="1" applyFill="1" applyBorder="1" applyAlignment="1">
      <alignment vertical="center"/>
    </xf>
    <xf numFmtId="0" fontId="5" fillId="2" borderId="1" xfId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5" fillId="0" borderId="0" xfId="1" applyAlignment="1">
      <alignment vertical="center"/>
    </xf>
    <xf numFmtId="0" fontId="7" fillId="2" borderId="0" xfId="1" applyFont="1" applyFill="1" applyAlignment="1">
      <alignment horizontal="center" vertical="center" wrapText="1"/>
    </xf>
    <xf numFmtId="0" fontId="5" fillId="2" borderId="0" xfId="1" applyFill="1" applyAlignment="1">
      <alignment horizontal="center" vertical="center" wrapText="1"/>
    </xf>
    <xf numFmtId="0" fontId="5" fillId="2" borderId="0" xfId="1" applyFill="1" applyAlignment="1">
      <alignment horizontal="center"/>
    </xf>
    <xf numFmtId="0" fontId="5" fillId="0" borderId="0" xfId="1"/>
    <xf numFmtId="0" fontId="5" fillId="0" borderId="1" xfId="1" applyBorder="1" applyAlignment="1">
      <alignment horizontal="center" vertical="center" wrapText="1"/>
    </xf>
    <xf numFmtId="0" fontId="5" fillId="10" borderId="1" xfId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9" fillId="2" borderId="0" xfId="0" applyFont="1" applyFill="1"/>
    <xf numFmtId="0" fontId="0" fillId="2" borderId="0" xfId="1" applyFont="1" applyFill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1" fillId="2" borderId="0" xfId="1" applyFont="1" applyFill="1" applyAlignment="1">
      <alignment horizontal="center"/>
    </xf>
    <xf numFmtId="0" fontId="6" fillId="7" borderId="19" xfId="1" applyFont="1" applyFill="1" applyBorder="1" applyAlignment="1">
      <alignment horizontal="center" vertical="center"/>
    </xf>
    <xf numFmtId="0" fontId="7" fillId="9" borderId="20" xfId="1" applyFont="1" applyFill="1" applyBorder="1" applyAlignment="1">
      <alignment horizontal="center" vertical="center" wrapText="1"/>
    </xf>
    <xf numFmtId="0" fontId="7" fillId="9" borderId="21" xfId="1" applyFont="1" applyFill="1" applyBorder="1" applyAlignment="1">
      <alignment horizontal="center" vertical="center" wrapText="1"/>
    </xf>
    <xf numFmtId="0" fontId="7" fillId="9" borderId="22" xfId="1" applyFont="1" applyFill="1" applyBorder="1" applyAlignment="1">
      <alignment horizontal="center" vertical="center" wrapText="1"/>
    </xf>
    <xf numFmtId="0" fontId="10" fillId="0" borderId="0" xfId="1" applyFont="1"/>
    <xf numFmtId="0" fontId="0" fillId="11" borderId="23" xfId="0" applyFill="1" applyBorder="1" applyAlignment="1">
      <alignment horizontal="left"/>
    </xf>
    <xf numFmtId="0" fontId="5" fillId="0" borderId="2" xfId="1" applyBorder="1" applyAlignment="1">
      <alignment horizontal="center" vertical="center"/>
    </xf>
    <xf numFmtId="0" fontId="5" fillId="0" borderId="2" xfId="1" applyBorder="1" applyAlignment="1">
      <alignment horizontal="center" vertical="center" wrapText="1"/>
    </xf>
    <xf numFmtId="0" fontId="8" fillId="0" borderId="0" xfId="1" applyFont="1"/>
    <xf numFmtId="0" fontId="0" fillId="0" borderId="16" xfId="0" applyBorder="1" applyAlignment="1">
      <alignment horizontal="center"/>
    </xf>
    <xf numFmtId="0" fontId="5" fillId="2" borderId="1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10" borderId="1" xfId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0" fontId="0" fillId="2" borderId="1" xfId="2" applyFont="1" applyFill="1" applyBorder="1" applyAlignment="1">
      <alignment horizontal="center" vertical="center" wrapText="1"/>
    </xf>
    <xf numFmtId="0" fontId="5" fillId="0" borderId="1" xfId="2" applyBorder="1" applyAlignment="1">
      <alignment horizontal="center" vertical="center" wrapText="1"/>
    </xf>
    <xf numFmtId="0" fontId="8" fillId="0" borderId="0" xfId="2" applyFont="1"/>
    <xf numFmtId="0" fontId="5" fillId="2" borderId="1" xfId="2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7" fillId="2" borderId="16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0" fontId="7" fillId="2" borderId="18" xfId="2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7" fillId="9" borderId="16" xfId="1" applyFont="1" applyFill="1" applyBorder="1" applyAlignment="1">
      <alignment horizontal="center" vertical="center" wrapText="1"/>
    </xf>
    <xf numFmtId="0" fontId="7" fillId="9" borderId="18" xfId="1" applyFont="1" applyFill="1" applyBorder="1" applyAlignment="1">
      <alignment horizontal="center" vertical="center" wrapText="1"/>
    </xf>
    <xf numFmtId="0" fontId="5" fillId="2" borderId="0" xfId="1" applyFill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6" fillId="7" borderId="7" xfId="1" applyFont="1" applyFill="1" applyBorder="1" applyAlignment="1">
      <alignment horizontal="center" vertical="center"/>
    </xf>
    <xf numFmtId="0" fontId="6" fillId="7" borderId="8" xfId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horizontal="center" vertical="center"/>
    </xf>
    <xf numFmtId="0" fontId="6" fillId="8" borderId="13" xfId="1" applyFont="1" applyFill="1" applyBorder="1" applyAlignment="1">
      <alignment horizontal="center" vertical="center"/>
    </xf>
    <xf numFmtId="0" fontId="6" fillId="7" borderId="9" xfId="1" applyFont="1" applyFill="1" applyBorder="1" applyAlignment="1">
      <alignment horizontal="center" vertical="center"/>
    </xf>
    <xf numFmtId="0" fontId="6" fillId="7" borderId="4" xfId="1" applyFont="1" applyFill="1" applyBorder="1" applyAlignment="1">
      <alignment horizontal="center" vertical="center"/>
    </xf>
    <xf numFmtId="0" fontId="7" fillId="9" borderId="17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9D88E261-9A6A-4FD8-8002-6CCD673BB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117475</xdr:rowOff>
    </xdr:from>
    <xdr:to>
      <xdr:col>4</xdr:col>
      <xdr:colOff>117605</xdr:colOff>
      <xdr:row>0</xdr:row>
      <xdr:rowOff>647700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17475"/>
          <a:ext cx="60338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B2CD10-892E-4097-894F-180046D24080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MANALON,</a:t>
          </a:r>
          <a:r>
            <a:rPr lang="en-US" sz="1100" baseline="0"/>
            <a:t> JEANICA S.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82CFFD-67CC-4DAD-8A27-49BFFF8414CB}"/>
            </a:ext>
          </a:extLst>
        </xdr:cNvPr>
        <xdr:cNvSpPr txBox="1"/>
      </xdr:nvSpPr>
      <xdr:spPr>
        <a:xfrm>
          <a:off x="616683" y="17247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PDO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165183-62BC-4D54-ABDF-7D3FD2FDC3BE}"/>
            </a:ext>
          </a:extLst>
        </xdr:cNvPr>
        <xdr:cNvSpPr txBox="1"/>
      </xdr:nvSpPr>
      <xdr:spPr>
        <a:xfrm>
          <a:off x="402199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272596</xdr:colOff>
      <xdr:row>0</xdr:row>
      <xdr:rowOff>29030</xdr:rowOff>
    </xdr:from>
    <xdr:ext cx="708251" cy="617309"/>
    <xdr:pic>
      <xdr:nvPicPr>
        <xdr:cNvPr id="2" name="Picture 1">
          <a:extLst>
            <a:ext uri="{FF2B5EF4-FFF2-40B4-BE49-F238E27FC236}">
              <a16:creationId xmlns:a16="http://schemas.microsoft.com/office/drawing/2014/main" id="{67B29B6E-A794-4797-8A74-8FE6C885BA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7346" y="29030"/>
          <a:ext cx="708251" cy="617309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E813E3-E378-4492-8C53-4CC77624CC21}"/>
            </a:ext>
          </a:extLst>
        </xdr:cNvPr>
        <xdr:cNvSpPr txBox="1"/>
      </xdr:nvSpPr>
      <xdr:spPr>
        <a:xfrm>
          <a:off x="573942" y="1313961"/>
          <a:ext cx="1981933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MANALON, JEANICA S.</a:t>
          </a:r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AC30CCF-B368-453E-93FF-FC2602B7701A}"/>
            </a:ext>
          </a:extLst>
        </xdr:cNvPr>
        <xdr:cNvSpPr txBox="1"/>
      </xdr:nvSpPr>
      <xdr:spPr>
        <a:xfrm>
          <a:off x="654051" y="17335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PDO II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B56E33-6C19-4B62-BAA3-6363C057194C}"/>
            </a:ext>
          </a:extLst>
        </xdr:cNvPr>
        <xdr:cNvSpPr txBox="1"/>
      </xdr:nvSpPr>
      <xdr:spPr>
        <a:xfrm>
          <a:off x="3660548" y="1756910"/>
          <a:ext cx="13843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218037</xdr:colOff>
      <xdr:row>1</xdr:row>
      <xdr:rowOff>181169</xdr:rowOff>
    </xdr:from>
    <xdr:to>
      <xdr:col>5</xdr:col>
      <xdr:colOff>274021</xdr:colOff>
      <xdr:row>5</xdr:row>
      <xdr:rowOff>44839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00D0D-BAD6-4DA7-8104-68B045D27F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08937" y="371669"/>
          <a:ext cx="694159" cy="625670"/>
        </a:xfrm>
        <a:prstGeom prst="rect">
          <a:avLst/>
        </a:prstGeom>
        <a:noFill/>
      </xdr:spPr>
    </xdr:pic>
    <xdr:clientData/>
  </xdr:twoCellAnchor>
  <xdr:twoCellAnchor>
    <xdr:from>
      <xdr:col>7</xdr:col>
      <xdr:colOff>409575</xdr:colOff>
      <xdr:row>21</xdr:row>
      <xdr:rowOff>19050</xdr:rowOff>
    </xdr:from>
    <xdr:to>
      <xdr:col>13</xdr:col>
      <xdr:colOff>152400</xdr:colOff>
      <xdr:row>26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10B4D1C-6E6E-4CF9-8B05-5EF2466B8E04}"/>
            </a:ext>
          </a:extLst>
        </xdr:cNvPr>
        <xdr:cNvSpPr txBox="1"/>
      </xdr:nvSpPr>
      <xdr:spPr>
        <a:xfrm>
          <a:off x="5553075" y="4533900"/>
          <a:ext cx="2819400" cy="1009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806126</xdr:colOff>
      <xdr:row>10</xdr:row>
      <xdr:rowOff>58705</xdr:rowOff>
    </xdr:from>
    <xdr:to>
      <xdr:col>1</xdr:col>
      <xdr:colOff>476250</xdr:colOff>
      <xdr:row>12</xdr:row>
      <xdr:rowOff>97583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D653A7-DE10-45B8-816B-E1AF68885403}"/>
            </a:ext>
          </a:extLst>
        </xdr:cNvPr>
        <xdr:cNvSpPr txBox="1"/>
      </xdr:nvSpPr>
      <xdr:spPr>
        <a:xfrm>
          <a:off x="806126" y="1963705"/>
          <a:ext cx="1479874" cy="419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MANALON, JEANICA</a:t>
          </a:r>
          <a:r>
            <a:rPr lang="en-US" sz="1100" baseline="0"/>
            <a:t> S.</a:t>
          </a:r>
          <a:endParaRPr lang="en-US" sz="1100"/>
        </a:p>
      </xdr:txBody>
    </xdr:sp>
    <xdr:clientData/>
  </xdr:twoCellAnchor>
  <xdr:twoCellAnchor>
    <xdr:from>
      <xdr:col>0</xdr:col>
      <xdr:colOff>894507</xdr:colOff>
      <xdr:row>12</xdr:row>
      <xdr:rowOff>57927</xdr:rowOff>
    </xdr:from>
    <xdr:to>
      <xdr:col>1</xdr:col>
      <xdr:colOff>356702</xdr:colOff>
      <xdr:row>13</xdr:row>
      <xdr:rowOff>135682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E3D604-3002-4421-9F45-80FFC778C583}"/>
            </a:ext>
          </a:extLst>
        </xdr:cNvPr>
        <xdr:cNvSpPr txBox="1"/>
      </xdr:nvSpPr>
      <xdr:spPr>
        <a:xfrm>
          <a:off x="894507" y="2343927"/>
          <a:ext cx="1271945" cy="268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PDO II</a:t>
          </a:r>
        </a:p>
      </xdr:txBody>
    </xdr:sp>
    <xdr:clientData/>
  </xdr:twoCellAnchor>
  <xdr:twoCellAnchor>
    <xdr:from>
      <xdr:col>4</xdr:col>
      <xdr:colOff>165553</xdr:colOff>
      <xdr:row>11</xdr:row>
      <xdr:rowOff>135294</xdr:rowOff>
    </xdr:from>
    <xdr:to>
      <xdr:col>6</xdr:col>
      <xdr:colOff>171768</xdr:colOff>
      <xdr:row>13</xdr:row>
      <xdr:rowOff>74610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5ECEF2-A129-44CA-B162-67A4EB737D48}"/>
            </a:ext>
          </a:extLst>
        </xdr:cNvPr>
        <xdr:cNvSpPr txBox="1"/>
      </xdr:nvSpPr>
      <xdr:spPr>
        <a:xfrm>
          <a:off x="3556453" y="2230794"/>
          <a:ext cx="1206365" cy="320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view="pageBreakPreview" topLeftCell="A23" zoomScaleNormal="100" zoomScaleSheetLayoutView="100" workbookViewId="0">
      <selection activeCell="H47" sqref="H47:J47"/>
    </sheetView>
  </sheetViews>
  <sheetFormatPr defaultRowHeight="15" x14ac:dyDescent="0.25"/>
  <cols>
    <col min="1" max="1" width="39.42578125" customWidth="1"/>
    <col min="2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1" t="s">
        <v>29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s="1" customFormat="1" ht="15.95" customHeight="1" x14ac:dyDescent="0.25">
      <c r="A3" s="61" t="s">
        <v>30</v>
      </c>
      <c r="B3" s="61"/>
      <c r="C3" s="61"/>
      <c r="D3" s="61"/>
      <c r="E3" s="61"/>
      <c r="F3" s="61"/>
      <c r="G3" s="61"/>
      <c r="H3" s="61"/>
      <c r="I3" s="61"/>
      <c r="J3" s="61"/>
    </row>
    <row r="4" spans="1:10" s="1" customFormat="1" ht="15.95" customHeight="1" x14ac:dyDescent="0.25">
      <c r="A4" s="61" t="s">
        <v>105</v>
      </c>
      <c r="B4" s="61"/>
      <c r="C4" s="61"/>
      <c r="D4" s="61"/>
      <c r="E4" s="61"/>
      <c r="F4" s="61"/>
      <c r="G4" s="61"/>
      <c r="H4" s="61"/>
      <c r="I4" s="61"/>
      <c r="J4" s="61"/>
    </row>
    <row r="5" spans="1:10" s="1" customFormat="1" ht="15.95" customHeight="1" x14ac:dyDescent="0.25">
      <c r="A5" s="61" t="s">
        <v>32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s="1" customFormat="1" ht="8.25" customHeight="1" x14ac:dyDescent="0.25"/>
    <row r="7" spans="1:10" s="1" customFormat="1" ht="12" customHeight="1" x14ac:dyDescent="0.25">
      <c r="A7" s="1" t="s">
        <v>33</v>
      </c>
      <c r="B7" s="59" t="s">
        <v>34</v>
      </c>
      <c r="C7" s="59"/>
      <c r="D7" s="59"/>
      <c r="H7" s="4" t="s">
        <v>9</v>
      </c>
      <c r="I7" s="10"/>
      <c r="J7" s="4"/>
    </row>
    <row r="8" spans="1:10" s="1" customFormat="1" ht="12" customHeight="1" x14ac:dyDescent="0.25">
      <c r="B8" s="3"/>
      <c r="C8" s="3"/>
      <c r="H8" s="3"/>
      <c r="I8" s="3"/>
      <c r="J8" s="3"/>
    </row>
    <row r="9" spans="1:10" s="1" customFormat="1" ht="12" customHeight="1" x14ac:dyDescent="0.25">
      <c r="A9" s="1" t="s">
        <v>35</v>
      </c>
      <c r="B9" s="59" t="s">
        <v>36</v>
      </c>
      <c r="C9" s="59"/>
      <c r="D9" s="59"/>
      <c r="H9" s="4" t="s">
        <v>10</v>
      </c>
      <c r="I9" s="5"/>
      <c r="J9" s="4"/>
    </row>
    <row r="10" spans="1:10" ht="16.5" customHeight="1" thickBot="1" x14ac:dyDescent="0.3">
      <c r="A10" s="60" t="s">
        <v>0</v>
      </c>
      <c r="B10" s="60"/>
      <c r="C10" s="60"/>
      <c r="D10" s="60"/>
      <c r="E10" s="60"/>
      <c r="F10" s="60"/>
      <c r="G10" s="60"/>
      <c r="H10" s="60"/>
      <c r="I10" s="60"/>
      <c r="J10" s="60"/>
    </row>
    <row r="11" spans="1:10" ht="18.75" customHeight="1" x14ac:dyDescent="0.25">
      <c r="A11" s="62" t="s">
        <v>4</v>
      </c>
      <c r="B11" s="66" t="s">
        <v>5</v>
      </c>
      <c r="C11" s="66"/>
      <c r="D11" s="67" t="s">
        <v>6</v>
      </c>
      <c r="E11" s="68"/>
      <c r="F11" s="68"/>
      <c r="G11" s="69"/>
      <c r="H11" s="70" t="s">
        <v>7</v>
      </c>
      <c r="I11" s="70"/>
      <c r="J11" s="64" t="s">
        <v>8</v>
      </c>
    </row>
    <row r="12" spans="1:10" ht="18.75" customHeight="1" thickBot="1" x14ac:dyDescent="0.3">
      <c r="A12" s="63"/>
      <c r="B12" s="8" t="s">
        <v>1</v>
      </c>
      <c r="C12" s="8" t="s">
        <v>2</v>
      </c>
      <c r="D12" s="8" t="s">
        <v>1</v>
      </c>
      <c r="E12" s="8" t="s">
        <v>2</v>
      </c>
      <c r="F12" s="8" t="s">
        <v>3</v>
      </c>
      <c r="G12" s="8" t="s">
        <v>23</v>
      </c>
      <c r="H12" s="8" t="s">
        <v>1</v>
      </c>
      <c r="I12" s="8" t="s">
        <v>2</v>
      </c>
      <c r="J12" s="65"/>
    </row>
    <row r="13" spans="1:10" ht="18.75" customHeight="1" x14ac:dyDescent="0.25">
      <c r="A13" s="9" t="s">
        <v>11</v>
      </c>
      <c r="B13" s="6">
        <f>SUM(1.25/30)*17</f>
        <v>0.70833333333333326</v>
      </c>
      <c r="C13" s="6">
        <f>SUM(1.25/30)*17</f>
        <v>0.70833333333333326</v>
      </c>
      <c r="D13" s="6"/>
      <c r="E13" s="6"/>
      <c r="F13" s="6"/>
      <c r="G13" s="6"/>
      <c r="H13" s="6">
        <f>B13</f>
        <v>0.70833333333333326</v>
      </c>
      <c r="I13" s="6">
        <f>C13</f>
        <v>0.70833333333333326</v>
      </c>
      <c r="J13" s="7">
        <f>SUM(H13:I13)</f>
        <v>1.4166666666666665</v>
      </c>
    </row>
    <row r="14" spans="1:10" ht="18.75" customHeight="1" x14ac:dyDescent="0.25">
      <c r="A14" s="11" t="s">
        <v>12</v>
      </c>
      <c r="B14" s="2">
        <v>11.25</v>
      </c>
      <c r="C14" s="2">
        <v>11.25</v>
      </c>
      <c r="D14" s="2"/>
      <c r="E14" s="2"/>
      <c r="F14" s="2"/>
      <c r="G14" s="2"/>
      <c r="H14" s="2">
        <f>H13-F14-D14+B14</f>
        <v>11.958333333333334</v>
      </c>
      <c r="I14" s="2">
        <f>I13-E14+C14</f>
        <v>11.958333333333334</v>
      </c>
      <c r="J14" s="2">
        <f>SUM(H14:I14)</f>
        <v>23.916666666666668</v>
      </c>
    </row>
    <row r="15" spans="1:10" ht="18.75" customHeight="1" x14ac:dyDescent="0.25">
      <c r="A15" s="11" t="s">
        <v>98</v>
      </c>
      <c r="B15" s="2"/>
      <c r="C15" s="2"/>
      <c r="D15" s="2"/>
      <c r="E15" s="2"/>
      <c r="F15" s="2">
        <v>5</v>
      </c>
      <c r="G15" s="2"/>
      <c r="H15" s="2">
        <f t="shared" ref="H15:H36" si="0">H14-F15-D15+B15</f>
        <v>6.9583333333333339</v>
      </c>
      <c r="I15" s="2">
        <f t="shared" ref="I15:I36" si="1">I14-E15+C15</f>
        <v>11.958333333333334</v>
      </c>
      <c r="J15" s="2">
        <f t="shared" ref="J15:J36" si="2">SUM(H15:I15)</f>
        <v>18.916666666666668</v>
      </c>
    </row>
    <row r="16" spans="1:10" ht="18.75" customHeight="1" x14ac:dyDescent="0.25">
      <c r="A16" s="11" t="s">
        <v>13</v>
      </c>
      <c r="B16" s="2">
        <v>5</v>
      </c>
      <c r="C16" s="2">
        <v>5</v>
      </c>
      <c r="D16" s="2"/>
      <c r="E16" s="2"/>
      <c r="F16" s="2"/>
      <c r="G16" s="2"/>
      <c r="H16" s="2">
        <f t="shared" si="0"/>
        <v>11.958333333333334</v>
      </c>
      <c r="I16" s="2">
        <f t="shared" si="1"/>
        <v>16.958333333333336</v>
      </c>
      <c r="J16" s="2">
        <f t="shared" si="2"/>
        <v>28.916666666666671</v>
      </c>
    </row>
    <row r="17" spans="1:10" ht="18.75" customHeight="1" x14ac:dyDescent="0.25">
      <c r="A17" s="11" t="s">
        <v>14</v>
      </c>
      <c r="B17" s="2"/>
      <c r="C17" s="2"/>
      <c r="D17" s="2"/>
      <c r="E17" s="2"/>
      <c r="F17" s="2">
        <v>1</v>
      </c>
      <c r="G17" s="2"/>
      <c r="H17" s="2">
        <f t="shared" si="0"/>
        <v>10.958333333333334</v>
      </c>
      <c r="I17" s="2">
        <f t="shared" si="1"/>
        <v>16.958333333333336</v>
      </c>
      <c r="J17" s="2">
        <f t="shared" si="2"/>
        <v>27.916666666666671</v>
      </c>
    </row>
    <row r="18" spans="1:10" ht="18.75" customHeight="1" x14ac:dyDescent="0.25">
      <c r="A18" s="11" t="s">
        <v>99</v>
      </c>
      <c r="B18" s="2">
        <v>1.25</v>
      </c>
      <c r="C18" s="2">
        <v>1.25</v>
      </c>
      <c r="D18" s="2"/>
      <c r="E18" s="2"/>
      <c r="F18" s="2"/>
      <c r="G18" s="2"/>
      <c r="H18" s="2">
        <f t="shared" si="0"/>
        <v>12.208333333333334</v>
      </c>
      <c r="I18" s="2">
        <f t="shared" si="1"/>
        <v>18.208333333333336</v>
      </c>
      <c r="J18" s="2">
        <f t="shared" si="2"/>
        <v>30.416666666666671</v>
      </c>
    </row>
    <row r="19" spans="1:10" ht="18.75" customHeight="1" x14ac:dyDescent="0.25">
      <c r="A19" s="11" t="s">
        <v>15</v>
      </c>
      <c r="B19" s="2"/>
      <c r="C19" s="2"/>
      <c r="D19" s="2"/>
      <c r="E19" s="2"/>
      <c r="F19" s="2"/>
      <c r="G19" s="2">
        <v>1</v>
      </c>
      <c r="H19" s="2">
        <f t="shared" si="0"/>
        <v>12.208333333333334</v>
      </c>
      <c r="I19" s="2">
        <f t="shared" si="1"/>
        <v>18.208333333333336</v>
      </c>
      <c r="J19" s="2">
        <f t="shared" si="2"/>
        <v>30.416666666666671</v>
      </c>
    </row>
    <row r="20" spans="1:10" ht="18.75" customHeight="1" x14ac:dyDescent="0.25">
      <c r="A20" s="11" t="s">
        <v>16</v>
      </c>
      <c r="B20" s="2">
        <v>2.5</v>
      </c>
      <c r="C20" s="2">
        <v>2.5</v>
      </c>
      <c r="D20" s="2"/>
      <c r="E20" s="2"/>
      <c r="F20" s="2"/>
      <c r="G20" s="2"/>
      <c r="H20" s="2">
        <f t="shared" si="0"/>
        <v>14.708333333333334</v>
      </c>
      <c r="I20" s="2">
        <f t="shared" si="1"/>
        <v>20.708333333333336</v>
      </c>
      <c r="J20" s="2">
        <f t="shared" si="2"/>
        <v>35.416666666666671</v>
      </c>
    </row>
    <row r="21" spans="1:10" ht="18.75" customHeight="1" x14ac:dyDescent="0.25">
      <c r="A21" s="11" t="s">
        <v>17</v>
      </c>
      <c r="B21" s="2"/>
      <c r="C21" s="2"/>
      <c r="D21" s="2"/>
      <c r="E21" s="2"/>
      <c r="F21" s="2">
        <v>2</v>
      </c>
      <c r="G21" s="2"/>
      <c r="H21" s="2">
        <f t="shared" si="0"/>
        <v>12.708333333333334</v>
      </c>
      <c r="I21" s="2">
        <f t="shared" si="1"/>
        <v>20.708333333333336</v>
      </c>
      <c r="J21" s="2">
        <f t="shared" si="2"/>
        <v>33.416666666666671</v>
      </c>
    </row>
    <row r="22" spans="1:10" ht="18.75" customHeight="1" x14ac:dyDescent="0.25">
      <c r="A22" s="11" t="s">
        <v>18</v>
      </c>
      <c r="B22" s="2"/>
      <c r="C22" s="2"/>
      <c r="D22" s="2"/>
      <c r="E22" s="2"/>
      <c r="F22" s="2">
        <v>1</v>
      </c>
      <c r="G22" s="2"/>
      <c r="H22" s="2">
        <f t="shared" si="0"/>
        <v>11.708333333333334</v>
      </c>
      <c r="I22" s="2">
        <f t="shared" si="1"/>
        <v>20.708333333333336</v>
      </c>
      <c r="J22" s="2">
        <f t="shared" si="2"/>
        <v>32.416666666666671</v>
      </c>
    </row>
    <row r="23" spans="1:10" ht="18.75" customHeight="1" x14ac:dyDescent="0.25">
      <c r="A23" s="11" t="s">
        <v>19</v>
      </c>
      <c r="B23" s="2">
        <v>1.25</v>
      </c>
      <c r="C23" s="2">
        <v>1.25</v>
      </c>
      <c r="D23" s="2"/>
      <c r="E23" s="2"/>
      <c r="F23" s="2"/>
      <c r="G23" s="2"/>
      <c r="H23" s="2">
        <f t="shared" si="0"/>
        <v>12.958333333333334</v>
      </c>
      <c r="I23" s="2">
        <f t="shared" si="1"/>
        <v>21.958333333333336</v>
      </c>
      <c r="J23" s="2">
        <f t="shared" si="2"/>
        <v>34.916666666666671</v>
      </c>
    </row>
    <row r="24" spans="1:10" ht="18.75" customHeight="1" x14ac:dyDescent="0.25">
      <c r="A24" s="11" t="s">
        <v>20</v>
      </c>
      <c r="B24" s="2"/>
      <c r="C24" s="2"/>
      <c r="D24" s="2">
        <v>6</v>
      </c>
      <c r="E24" s="2">
        <v>20</v>
      </c>
      <c r="F24" s="2"/>
      <c r="G24" s="2"/>
      <c r="H24" s="2">
        <f t="shared" si="0"/>
        <v>6.9583333333333339</v>
      </c>
      <c r="I24" s="2">
        <f t="shared" si="1"/>
        <v>1.9583333333333357</v>
      </c>
      <c r="J24" s="2">
        <f t="shared" si="2"/>
        <v>8.9166666666666696</v>
      </c>
    </row>
    <row r="25" spans="1:10" ht="18.75" customHeight="1" x14ac:dyDescent="0.25">
      <c r="A25" s="11" t="s">
        <v>21</v>
      </c>
      <c r="B25" s="2">
        <v>5</v>
      </c>
      <c r="C25" s="2">
        <v>5</v>
      </c>
      <c r="D25" s="2"/>
      <c r="E25" s="2"/>
      <c r="F25" s="2"/>
      <c r="G25" s="2"/>
      <c r="H25" s="2">
        <f t="shared" si="0"/>
        <v>11.958333333333334</v>
      </c>
      <c r="I25" s="2">
        <f t="shared" si="1"/>
        <v>6.9583333333333357</v>
      </c>
      <c r="J25" s="2">
        <f t="shared" si="2"/>
        <v>18.916666666666671</v>
      </c>
    </row>
    <row r="26" spans="1:10" ht="18.75" customHeight="1" x14ac:dyDescent="0.25">
      <c r="A26" s="11" t="s">
        <v>22</v>
      </c>
      <c r="B26" s="2"/>
      <c r="C26" s="2"/>
      <c r="D26" s="2"/>
      <c r="E26" s="2"/>
      <c r="F26" s="2"/>
      <c r="G26" s="2">
        <v>1</v>
      </c>
      <c r="H26" s="2">
        <f t="shared" si="0"/>
        <v>11.958333333333334</v>
      </c>
      <c r="I26" s="2">
        <f t="shared" si="1"/>
        <v>6.9583333333333357</v>
      </c>
      <c r="J26" s="2">
        <f t="shared" si="2"/>
        <v>18.916666666666671</v>
      </c>
    </row>
    <row r="27" spans="1:10" ht="18.75" customHeight="1" x14ac:dyDescent="0.25">
      <c r="A27" s="11" t="s">
        <v>25</v>
      </c>
      <c r="B27" s="2"/>
      <c r="C27" s="2"/>
      <c r="D27" s="2"/>
      <c r="E27" s="2"/>
      <c r="F27" s="2">
        <v>1</v>
      </c>
      <c r="G27" s="2"/>
      <c r="H27" s="2">
        <f t="shared" si="0"/>
        <v>10.958333333333334</v>
      </c>
      <c r="I27" s="2">
        <f t="shared" si="1"/>
        <v>6.9583333333333357</v>
      </c>
      <c r="J27" s="2">
        <f t="shared" si="2"/>
        <v>17.916666666666671</v>
      </c>
    </row>
    <row r="28" spans="1:10" ht="18.75" customHeight="1" x14ac:dyDescent="0.25">
      <c r="A28" s="11" t="s">
        <v>24</v>
      </c>
      <c r="B28" s="2"/>
      <c r="C28" s="2"/>
      <c r="D28" s="2"/>
      <c r="E28" s="2"/>
      <c r="F28" s="2">
        <v>1</v>
      </c>
      <c r="G28" s="2"/>
      <c r="H28" s="2">
        <f t="shared" si="0"/>
        <v>9.9583333333333339</v>
      </c>
      <c r="I28" s="2">
        <f t="shared" si="1"/>
        <v>6.9583333333333357</v>
      </c>
      <c r="J28" s="2">
        <f t="shared" si="2"/>
        <v>16.916666666666671</v>
      </c>
    </row>
    <row r="29" spans="1:10" ht="18.75" customHeight="1" x14ac:dyDescent="0.25">
      <c r="A29" s="11" t="s">
        <v>26</v>
      </c>
      <c r="B29" s="2">
        <v>5</v>
      </c>
      <c r="C29" s="2">
        <v>5</v>
      </c>
      <c r="D29" s="2"/>
      <c r="E29" s="2"/>
      <c r="F29" s="2"/>
      <c r="G29" s="2"/>
      <c r="H29" s="2">
        <f t="shared" si="0"/>
        <v>14.958333333333334</v>
      </c>
      <c r="I29" s="2">
        <f t="shared" si="1"/>
        <v>11.958333333333336</v>
      </c>
      <c r="J29" s="2">
        <f t="shared" si="2"/>
        <v>26.916666666666671</v>
      </c>
    </row>
    <row r="30" spans="1:10" ht="18.75" customHeight="1" x14ac:dyDescent="0.25">
      <c r="A30" s="11" t="s">
        <v>27</v>
      </c>
      <c r="B30" s="2"/>
      <c r="C30" s="2"/>
      <c r="D30" s="2"/>
      <c r="E30" s="2"/>
      <c r="F30" s="2">
        <v>1</v>
      </c>
      <c r="G30" s="2"/>
      <c r="H30" s="2">
        <f t="shared" si="0"/>
        <v>13.958333333333334</v>
      </c>
      <c r="I30" s="2">
        <f t="shared" si="1"/>
        <v>11.958333333333336</v>
      </c>
      <c r="J30" s="2">
        <f t="shared" si="2"/>
        <v>25.916666666666671</v>
      </c>
    </row>
    <row r="31" spans="1:10" ht="18.75" customHeight="1" x14ac:dyDescent="0.25">
      <c r="A31" s="11" t="s">
        <v>28</v>
      </c>
      <c r="B31" s="2">
        <v>1.25</v>
      </c>
      <c r="C31" s="2">
        <v>1.25</v>
      </c>
      <c r="D31" s="2"/>
      <c r="E31" s="2"/>
      <c r="F31" s="2"/>
      <c r="G31" s="2"/>
      <c r="H31" s="2">
        <f t="shared" si="0"/>
        <v>15.208333333333334</v>
      </c>
      <c r="I31" s="2">
        <f t="shared" si="1"/>
        <v>13.208333333333336</v>
      </c>
      <c r="J31" s="2">
        <f t="shared" si="2"/>
        <v>28.416666666666671</v>
      </c>
    </row>
    <row r="32" spans="1:10" ht="15.75" x14ac:dyDescent="0.25">
      <c r="A32" s="11" t="s">
        <v>37</v>
      </c>
      <c r="B32" s="12"/>
      <c r="C32" s="12"/>
      <c r="D32" s="12"/>
      <c r="E32" s="12"/>
      <c r="F32" s="12">
        <v>1</v>
      </c>
      <c r="G32" s="12"/>
      <c r="H32" s="2">
        <f t="shared" si="0"/>
        <v>14.208333333333334</v>
      </c>
      <c r="I32" s="2">
        <f t="shared" si="1"/>
        <v>13.208333333333336</v>
      </c>
      <c r="J32" s="2">
        <f t="shared" si="2"/>
        <v>27.416666666666671</v>
      </c>
    </row>
    <row r="33" spans="1:10" ht="15.75" x14ac:dyDescent="0.25">
      <c r="A33" s="11" t="s">
        <v>38</v>
      </c>
      <c r="B33" s="12">
        <v>3.75</v>
      </c>
      <c r="C33" s="12">
        <v>3.75</v>
      </c>
      <c r="D33" s="12"/>
      <c r="E33" s="12"/>
      <c r="F33" s="12"/>
      <c r="G33" s="12"/>
      <c r="H33" s="2">
        <f t="shared" si="0"/>
        <v>17.958333333333336</v>
      </c>
      <c r="I33" s="2">
        <f t="shared" si="1"/>
        <v>16.958333333333336</v>
      </c>
      <c r="J33" s="2">
        <f t="shared" si="2"/>
        <v>34.916666666666671</v>
      </c>
    </row>
    <row r="34" spans="1:10" ht="15.75" x14ac:dyDescent="0.25">
      <c r="A34" s="11" t="s">
        <v>39</v>
      </c>
      <c r="B34" s="12"/>
      <c r="C34" s="12"/>
      <c r="D34" s="12">
        <v>13</v>
      </c>
      <c r="E34" s="12">
        <v>15</v>
      </c>
      <c r="F34" s="12"/>
      <c r="G34" s="12"/>
      <c r="H34" s="2">
        <f t="shared" si="0"/>
        <v>4.9583333333333357</v>
      </c>
      <c r="I34" s="2">
        <f t="shared" si="1"/>
        <v>1.9583333333333357</v>
      </c>
      <c r="J34" s="2">
        <f t="shared" si="2"/>
        <v>6.9166666666666714</v>
      </c>
    </row>
    <row r="35" spans="1:10" ht="15.75" x14ac:dyDescent="0.25">
      <c r="A35" s="11" t="s">
        <v>44</v>
      </c>
      <c r="B35" s="12"/>
      <c r="C35" s="12"/>
      <c r="D35" s="12"/>
      <c r="E35" s="12"/>
      <c r="F35" s="12">
        <v>2</v>
      </c>
      <c r="G35" s="12"/>
      <c r="H35" s="2">
        <f t="shared" si="0"/>
        <v>2.9583333333333357</v>
      </c>
      <c r="I35" s="2">
        <f t="shared" si="1"/>
        <v>1.9583333333333357</v>
      </c>
      <c r="J35" s="2">
        <f t="shared" si="2"/>
        <v>4.9166666666666714</v>
      </c>
    </row>
    <row r="36" spans="1:10" ht="15.75" x14ac:dyDescent="0.25">
      <c r="A36" s="11" t="s">
        <v>45</v>
      </c>
      <c r="B36" s="12">
        <f>4*1.25</f>
        <v>5</v>
      </c>
      <c r="C36" s="12">
        <v>5</v>
      </c>
      <c r="D36" s="12"/>
      <c r="E36" s="12"/>
      <c r="F36" s="12"/>
      <c r="G36" s="12"/>
      <c r="H36" s="2">
        <f t="shared" si="0"/>
        <v>7.9583333333333357</v>
      </c>
      <c r="I36" s="2">
        <f t="shared" si="1"/>
        <v>6.9583333333333357</v>
      </c>
      <c r="J36" s="2">
        <f t="shared" si="2"/>
        <v>14.916666666666671</v>
      </c>
    </row>
    <row r="37" spans="1:10" ht="15.75" x14ac:dyDescent="0.25">
      <c r="A37" s="11" t="s">
        <v>104</v>
      </c>
      <c r="B37" s="12">
        <v>6.25</v>
      </c>
      <c r="C37" s="12">
        <v>6.25</v>
      </c>
      <c r="D37" s="12"/>
      <c r="E37" s="12"/>
      <c r="F37" s="12"/>
      <c r="G37" s="12"/>
      <c r="H37" s="2">
        <f t="shared" ref="H37:H45" si="3">H36-F37-D37+B37</f>
        <v>14.208333333333336</v>
      </c>
      <c r="I37" s="2">
        <f t="shared" ref="I37:I45" si="4">I36-E37+C37</f>
        <v>13.208333333333336</v>
      </c>
      <c r="J37" s="2">
        <f t="shared" ref="J37:J45" si="5">SUM(H37:I37)</f>
        <v>27.416666666666671</v>
      </c>
    </row>
    <row r="38" spans="1:10" ht="15.75" x14ac:dyDescent="0.25">
      <c r="A38" s="11" t="s">
        <v>55</v>
      </c>
      <c r="B38" s="12">
        <v>1.25</v>
      </c>
      <c r="C38" s="12">
        <v>1.25</v>
      </c>
      <c r="D38" s="12"/>
      <c r="E38" s="12"/>
      <c r="F38" s="12"/>
      <c r="G38" s="12"/>
      <c r="H38" s="2">
        <f t="shared" si="3"/>
        <v>15.458333333333336</v>
      </c>
      <c r="I38" s="2">
        <f t="shared" si="4"/>
        <v>14.458333333333336</v>
      </c>
      <c r="J38" s="2">
        <f t="shared" si="5"/>
        <v>29.916666666666671</v>
      </c>
    </row>
    <row r="39" spans="1:10" ht="15.75" x14ac:dyDescent="0.25">
      <c r="A39" s="11" t="s">
        <v>61</v>
      </c>
      <c r="B39" s="12"/>
      <c r="C39" s="12"/>
      <c r="D39" s="12"/>
      <c r="E39" s="12"/>
      <c r="F39" s="12">
        <v>5</v>
      </c>
      <c r="G39" s="12"/>
      <c r="H39" s="2">
        <f t="shared" si="3"/>
        <v>10.458333333333336</v>
      </c>
      <c r="I39" s="2">
        <f t="shared" si="4"/>
        <v>14.458333333333336</v>
      </c>
      <c r="J39" s="2">
        <f t="shared" si="5"/>
        <v>24.916666666666671</v>
      </c>
    </row>
    <row r="40" spans="1:10" ht="15.75" x14ac:dyDescent="0.25">
      <c r="A40" s="11" t="s">
        <v>64</v>
      </c>
      <c r="B40" s="12"/>
      <c r="C40" s="12"/>
      <c r="D40" s="12"/>
      <c r="E40" s="12"/>
      <c r="F40" s="12"/>
      <c r="G40" s="12">
        <v>3</v>
      </c>
      <c r="H40" s="2">
        <f t="shared" si="3"/>
        <v>10.458333333333336</v>
      </c>
      <c r="I40" s="2">
        <f t="shared" si="4"/>
        <v>14.458333333333336</v>
      </c>
      <c r="J40" s="2">
        <f t="shared" si="5"/>
        <v>24.916666666666671</v>
      </c>
    </row>
    <row r="41" spans="1:10" ht="15.75" x14ac:dyDescent="0.25">
      <c r="A41" s="11" t="s">
        <v>88</v>
      </c>
      <c r="B41" s="12"/>
      <c r="C41" s="12"/>
      <c r="D41" s="12">
        <v>10</v>
      </c>
      <c r="E41" s="12"/>
      <c r="F41" s="12"/>
      <c r="G41" s="12"/>
      <c r="H41" s="2">
        <f t="shared" si="3"/>
        <v>0.4583333333333357</v>
      </c>
      <c r="I41" s="2">
        <f t="shared" si="4"/>
        <v>14.458333333333336</v>
      </c>
      <c r="J41" s="2">
        <f t="shared" si="5"/>
        <v>14.916666666666671</v>
      </c>
    </row>
    <row r="42" spans="1:10" ht="15.75" x14ac:dyDescent="0.25">
      <c r="A42" s="11" t="s">
        <v>92</v>
      </c>
      <c r="B42" s="12">
        <v>7.5</v>
      </c>
      <c r="C42" s="12">
        <v>7.5</v>
      </c>
      <c r="D42" s="12"/>
      <c r="E42" s="12"/>
      <c r="F42" s="12"/>
      <c r="G42" s="12"/>
      <c r="H42" s="2">
        <f t="shared" si="3"/>
        <v>7.9583333333333357</v>
      </c>
      <c r="I42" s="2">
        <f t="shared" si="4"/>
        <v>21.958333333333336</v>
      </c>
      <c r="J42" s="2">
        <f t="shared" si="5"/>
        <v>29.916666666666671</v>
      </c>
    </row>
    <row r="43" spans="1:10" ht="15.75" x14ac:dyDescent="0.25">
      <c r="A43" s="11" t="s">
        <v>93</v>
      </c>
      <c r="B43" s="12">
        <v>3.75</v>
      </c>
      <c r="C43" s="12">
        <v>3.75</v>
      </c>
      <c r="D43" s="12"/>
      <c r="E43" s="12"/>
      <c r="F43" s="12"/>
      <c r="G43" s="12"/>
      <c r="H43" s="2">
        <f t="shared" si="3"/>
        <v>11.708333333333336</v>
      </c>
      <c r="I43" s="2">
        <f t="shared" si="4"/>
        <v>25.708333333333336</v>
      </c>
      <c r="J43" s="2">
        <f t="shared" si="5"/>
        <v>37.416666666666671</v>
      </c>
    </row>
    <row r="44" spans="1:10" ht="15.75" x14ac:dyDescent="0.25">
      <c r="A44" s="11" t="s">
        <v>94</v>
      </c>
      <c r="B44" s="12"/>
      <c r="C44" s="12"/>
      <c r="D44" s="12"/>
      <c r="E44" s="12"/>
      <c r="F44" s="51">
        <v>1</v>
      </c>
      <c r="G44" s="12"/>
      <c r="H44" s="2">
        <f t="shared" si="3"/>
        <v>10.708333333333336</v>
      </c>
      <c r="I44" s="2">
        <f t="shared" si="4"/>
        <v>25.708333333333336</v>
      </c>
      <c r="J44" s="2">
        <f t="shared" si="5"/>
        <v>36.416666666666671</v>
      </c>
    </row>
    <row r="45" spans="1:10" ht="15.75" x14ac:dyDescent="0.25">
      <c r="A45" s="11" t="s">
        <v>100</v>
      </c>
      <c r="B45" s="12">
        <v>2.5</v>
      </c>
      <c r="C45" s="12">
        <v>2.5</v>
      </c>
      <c r="D45" s="12"/>
      <c r="E45" s="12"/>
      <c r="F45" s="12"/>
      <c r="G45" s="12"/>
      <c r="H45" s="2">
        <f t="shared" si="3"/>
        <v>13.208333333333336</v>
      </c>
      <c r="I45" s="2">
        <f t="shared" si="4"/>
        <v>28.208333333333336</v>
      </c>
      <c r="J45" s="2">
        <f t="shared" si="5"/>
        <v>41.416666666666671</v>
      </c>
    </row>
    <row r="46" spans="1:10" ht="15.75" x14ac:dyDescent="0.25">
      <c r="A46" s="11" t="s">
        <v>101</v>
      </c>
      <c r="B46" s="12"/>
      <c r="C46" s="12"/>
      <c r="D46" s="12"/>
      <c r="E46" s="12"/>
      <c r="F46" s="51">
        <v>1</v>
      </c>
      <c r="G46" s="12"/>
      <c r="H46" s="2">
        <f t="shared" ref="H46" si="6">H45-F46-D46+B46</f>
        <v>12.208333333333336</v>
      </c>
      <c r="I46" s="2">
        <f t="shared" ref="I46" si="7">I45-E46+C46</f>
        <v>28.208333333333336</v>
      </c>
      <c r="J46" s="2">
        <f t="shared" ref="J46" si="8">SUM(H46:I46)</f>
        <v>40.416666666666671</v>
      </c>
    </row>
    <row r="47" spans="1:10" s="93" customFormat="1" ht="15.75" x14ac:dyDescent="0.25">
      <c r="A47" s="94" t="s">
        <v>102</v>
      </c>
      <c r="B47" s="95">
        <v>3.75</v>
      </c>
      <c r="C47" s="95">
        <v>3.75</v>
      </c>
      <c r="D47" s="95"/>
      <c r="E47" s="95"/>
      <c r="F47" s="95"/>
      <c r="G47" s="95"/>
      <c r="H47" s="2">
        <f t="shared" ref="H47:H48" si="9">H46-F47-D47+B47</f>
        <v>15.958333333333336</v>
      </c>
      <c r="I47" s="2">
        <f t="shared" ref="I47:I48" si="10">I46-E47+C47</f>
        <v>31.958333333333336</v>
      </c>
      <c r="J47" s="2">
        <f t="shared" ref="J47:J48" si="11">SUM(H47:I47)</f>
        <v>47.916666666666671</v>
      </c>
    </row>
    <row r="48" spans="1:10" s="93" customFormat="1" ht="15.75" x14ac:dyDescent="0.25">
      <c r="A48" s="94" t="s">
        <v>103</v>
      </c>
      <c r="B48" s="95"/>
      <c r="C48" s="95"/>
      <c r="D48" s="95">
        <v>10</v>
      </c>
      <c r="E48" s="95"/>
      <c r="F48" s="95"/>
      <c r="G48" s="95"/>
      <c r="H48" s="2">
        <f t="shared" si="9"/>
        <v>5.9583333333333357</v>
      </c>
      <c r="I48" s="2">
        <f t="shared" si="10"/>
        <v>31.958333333333336</v>
      </c>
      <c r="J48" s="2">
        <f t="shared" si="11"/>
        <v>37.916666666666671</v>
      </c>
    </row>
    <row r="49" spans="1:10" ht="15.75" x14ac:dyDescent="0.25">
      <c r="A49" s="56"/>
      <c r="B49" s="57"/>
      <c r="C49" s="57"/>
      <c r="D49" s="57"/>
      <c r="E49" s="57"/>
      <c r="F49" s="57"/>
      <c r="G49" s="57"/>
      <c r="H49" s="58"/>
      <c r="I49" s="58"/>
      <c r="J49" s="58"/>
    </row>
    <row r="50" spans="1:10" s="1" customFormat="1" ht="15" customHeight="1" x14ac:dyDescent="0.25">
      <c r="G50" s="1" t="s">
        <v>40</v>
      </c>
    </row>
    <row r="51" spans="1:10" s="1" customFormat="1" ht="15" customHeight="1" x14ac:dyDescent="0.25"/>
    <row r="52" spans="1:10" s="1" customFormat="1" ht="15" customHeight="1" x14ac:dyDescent="0.25">
      <c r="G52" s="29" t="s">
        <v>41</v>
      </c>
    </row>
    <row r="53" spans="1:10" s="1" customFormat="1" ht="15" customHeight="1" x14ac:dyDescent="0.25">
      <c r="G53" s="1" t="s">
        <v>42</v>
      </c>
    </row>
    <row r="54" spans="1:10" s="1" customFormat="1" ht="15" customHeight="1" x14ac:dyDescent="0.25">
      <c r="G54" s="96" t="s">
        <v>43</v>
      </c>
      <c r="H54" s="96"/>
    </row>
    <row r="55" spans="1:10" x14ac:dyDescent="0.25"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5"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5"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5"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5"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5"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5">
      <c r="B61" s="13"/>
      <c r="C61" s="13"/>
      <c r="D61" s="13"/>
      <c r="E61" s="13"/>
      <c r="F61" s="13"/>
      <c r="G61" s="13"/>
      <c r="H61" s="13"/>
      <c r="I61" s="13"/>
      <c r="J61" s="13"/>
    </row>
  </sheetData>
  <mergeCells count="13">
    <mergeCell ref="G54:H54"/>
    <mergeCell ref="A11:A12"/>
    <mergeCell ref="J11:J12"/>
    <mergeCell ref="B11:C11"/>
    <mergeCell ref="D11:G11"/>
    <mergeCell ref="H11:I11"/>
    <mergeCell ref="B9:D9"/>
    <mergeCell ref="A10:J10"/>
    <mergeCell ref="A2:J2"/>
    <mergeCell ref="A3:J3"/>
    <mergeCell ref="A4:J4"/>
    <mergeCell ref="A5:J5"/>
    <mergeCell ref="B7:D7"/>
  </mergeCells>
  <phoneticPr fontId="4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67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4"/>
  <sheetViews>
    <sheetView topLeftCell="A6" workbookViewId="0">
      <selection activeCell="J26" sqref="J26:K26"/>
    </sheetView>
  </sheetViews>
  <sheetFormatPr defaultRowHeight="15" x14ac:dyDescent="0.25"/>
  <cols>
    <col min="1" max="1" width="26.85546875" style="25" customWidth="1"/>
    <col min="2" max="2" width="11.42578125" style="25" customWidth="1"/>
    <col min="3" max="4" width="9.140625" style="25"/>
    <col min="5" max="5" width="13" style="25" customWidth="1"/>
    <col min="6" max="10" width="9.140625" style="25"/>
    <col min="11" max="11" width="5" style="25" customWidth="1"/>
    <col min="12" max="12" width="9.140625" style="25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9.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25">
      <c r="A4" s="81" t="s">
        <v>29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x14ac:dyDescent="0.25">
      <c r="A5" s="81" t="s">
        <v>30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x14ac:dyDescent="0.25">
      <c r="A6" s="81" t="s">
        <v>31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</row>
    <row r="7" spans="1:12" x14ac:dyDescent="0.25">
      <c r="A7" s="81" t="s">
        <v>32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</row>
    <row r="8" spans="1:1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25">
      <c r="A9" s="14" t="s">
        <v>33</v>
      </c>
      <c r="B9" s="14"/>
      <c r="C9" s="15" t="s">
        <v>34</v>
      </c>
      <c r="D9" s="15"/>
      <c r="E9" s="14"/>
      <c r="F9" s="14"/>
      <c r="G9" s="15" t="s">
        <v>9</v>
      </c>
      <c r="H9" s="16"/>
      <c r="I9" s="14"/>
      <c r="J9" s="14"/>
      <c r="K9" s="14"/>
      <c r="L9" s="14"/>
    </row>
    <row r="10" spans="1:12" x14ac:dyDescent="0.25">
      <c r="A10" s="14"/>
      <c r="B10" s="14"/>
      <c r="C10" s="17"/>
      <c r="D10" s="14"/>
      <c r="E10" s="14"/>
      <c r="F10" s="14"/>
      <c r="G10" s="17"/>
      <c r="H10" s="17"/>
      <c r="I10" s="14"/>
      <c r="J10" s="14"/>
      <c r="K10" s="14"/>
      <c r="L10" s="14"/>
    </row>
    <row r="11" spans="1:12" x14ac:dyDescent="0.25">
      <c r="A11" s="14" t="s">
        <v>35</v>
      </c>
      <c r="B11" s="14"/>
      <c r="C11" s="15" t="s">
        <v>36</v>
      </c>
      <c r="D11" s="15"/>
      <c r="E11" s="14"/>
      <c r="F11" s="14"/>
      <c r="G11" s="15" t="s">
        <v>10</v>
      </c>
      <c r="H11" s="18"/>
      <c r="I11" s="14"/>
      <c r="J11" s="14"/>
      <c r="K11" s="14"/>
      <c r="L11" s="14"/>
    </row>
    <row r="12" spans="1:12" ht="21.75" thickBot="1" x14ac:dyDescent="0.3">
      <c r="A12" s="82" t="s">
        <v>46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</row>
    <row r="13" spans="1:12" x14ac:dyDescent="0.25">
      <c r="A13" s="83" t="s">
        <v>4</v>
      </c>
      <c r="B13" s="85" t="s">
        <v>5</v>
      </c>
      <c r="C13" s="86"/>
      <c r="D13" s="86"/>
      <c r="E13" s="86"/>
      <c r="F13" s="86"/>
      <c r="G13" s="86"/>
      <c r="H13" s="86"/>
      <c r="I13" s="86"/>
      <c r="J13" s="86"/>
      <c r="K13" s="86"/>
      <c r="L13" s="87" t="s">
        <v>8</v>
      </c>
    </row>
    <row r="14" spans="1:12" x14ac:dyDescent="0.25">
      <c r="A14" s="84"/>
      <c r="B14" s="79" t="s">
        <v>47</v>
      </c>
      <c r="C14" s="89"/>
      <c r="D14" s="89"/>
      <c r="E14" s="80"/>
      <c r="F14" s="79" t="s">
        <v>48</v>
      </c>
      <c r="G14" s="80"/>
      <c r="H14" s="79" t="s">
        <v>49</v>
      </c>
      <c r="I14" s="80"/>
      <c r="J14" s="79" t="s">
        <v>50</v>
      </c>
      <c r="K14" s="80"/>
      <c r="L14" s="88"/>
    </row>
    <row r="15" spans="1:12" ht="29.25" hidden="1" customHeight="1" x14ac:dyDescent="0.25">
      <c r="A15" s="20" t="s">
        <v>62</v>
      </c>
      <c r="B15" s="71" t="s">
        <v>63</v>
      </c>
      <c r="C15" s="73"/>
      <c r="D15" s="73"/>
      <c r="E15" s="72"/>
      <c r="F15" s="71">
        <v>1</v>
      </c>
      <c r="G15" s="72"/>
      <c r="H15" s="71">
        <v>0</v>
      </c>
      <c r="I15" s="72"/>
      <c r="J15" s="71">
        <v>1</v>
      </c>
      <c r="K15" s="72"/>
      <c r="L15" s="26">
        <v>1</v>
      </c>
    </row>
    <row r="16" spans="1:12" ht="29.25" hidden="1" customHeight="1" x14ac:dyDescent="0.25">
      <c r="A16" s="20" t="s">
        <v>54</v>
      </c>
      <c r="B16" s="71" t="s">
        <v>53</v>
      </c>
      <c r="C16" s="73"/>
      <c r="D16" s="73"/>
      <c r="E16" s="72"/>
      <c r="F16" s="71"/>
      <c r="G16" s="72"/>
      <c r="H16" s="71">
        <v>1</v>
      </c>
      <c r="I16" s="72"/>
      <c r="J16" s="71">
        <v>0</v>
      </c>
      <c r="K16" s="72"/>
      <c r="L16" s="27">
        <v>0</v>
      </c>
    </row>
    <row r="17" spans="1:12" ht="29.25" hidden="1" customHeight="1" x14ac:dyDescent="0.25">
      <c r="A17" s="20" t="s">
        <v>52</v>
      </c>
      <c r="B17" s="71" t="s">
        <v>56</v>
      </c>
      <c r="C17" s="73"/>
      <c r="D17" s="73"/>
      <c r="E17" s="72"/>
      <c r="F17" s="71">
        <v>3</v>
      </c>
      <c r="G17" s="72"/>
      <c r="H17" s="71">
        <v>0</v>
      </c>
      <c r="I17" s="72"/>
      <c r="J17" s="71">
        <v>3</v>
      </c>
      <c r="K17" s="72"/>
      <c r="L17" s="19">
        <v>3</v>
      </c>
    </row>
    <row r="18" spans="1:12" ht="29.25" hidden="1" customHeight="1" x14ac:dyDescent="0.25">
      <c r="A18" s="20" t="s">
        <v>57</v>
      </c>
      <c r="B18" s="71"/>
      <c r="C18" s="73"/>
      <c r="D18" s="73"/>
      <c r="E18" s="72"/>
      <c r="F18" s="71"/>
      <c r="G18" s="72"/>
      <c r="H18" s="71">
        <v>3</v>
      </c>
      <c r="I18" s="72"/>
      <c r="J18" s="71">
        <v>0</v>
      </c>
      <c r="K18" s="72"/>
      <c r="L18" s="27">
        <v>0</v>
      </c>
    </row>
    <row r="19" spans="1:12" ht="29.25" hidden="1" customHeight="1" x14ac:dyDescent="0.25">
      <c r="A19" s="20" t="s">
        <v>58</v>
      </c>
      <c r="B19" s="71" t="s">
        <v>59</v>
      </c>
      <c r="C19" s="73"/>
      <c r="D19" s="73"/>
      <c r="E19" s="72"/>
      <c r="F19" s="71">
        <v>3</v>
      </c>
      <c r="G19" s="72"/>
      <c r="H19" s="71">
        <v>0</v>
      </c>
      <c r="I19" s="72"/>
      <c r="J19" s="71">
        <v>3</v>
      </c>
      <c r="K19" s="72"/>
      <c r="L19" s="26">
        <v>3</v>
      </c>
    </row>
    <row r="20" spans="1:12" ht="29.25" hidden="1" customHeight="1" x14ac:dyDescent="0.25">
      <c r="A20" s="20" t="s">
        <v>60</v>
      </c>
      <c r="B20" s="71" t="s">
        <v>59</v>
      </c>
      <c r="C20" s="73"/>
      <c r="D20" s="73"/>
      <c r="E20" s="72"/>
      <c r="F20" s="71"/>
      <c r="G20" s="72"/>
      <c r="H20" s="71">
        <v>3</v>
      </c>
      <c r="I20" s="72"/>
      <c r="J20" s="71">
        <v>0</v>
      </c>
      <c r="K20" s="72"/>
      <c r="L20" s="27">
        <v>0</v>
      </c>
    </row>
    <row r="21" spans="1:12" ht="29.25" hidden="1" customHeight="1" x14ac:dyDescent="0.25">
      <c r="A21" s="20" t="s">
        <v>65</v>
      </c>
      <c r="B21" s="71" t="s">
        <v>66</v>
      </c>
      <c r="C21" s="73"/>
      <c r="D21" s="73"/>
      <c r="E21" s="72"/>
      <c r="F21" s="71">
        <v>1</v>
      </c>
      <c r="G21" s="72"/>
      <c r="H21" s="71">
        <v>0</v>
      </c>
      <c r="I21" s="72"/>
      <c r="J21" s="71">
        <v>1</v>
      </c>
      <c r="K21" s="72"/>
      <c r="L21" s="26">
        <v>1</v>
      </c>
    </row>
    <row r="22" spans="1:12" ht="29.25" hidden="1" customHeight="1" x14ac:dyDescent="0.25">
      <c r="A22" s="20" t="s">
        <v>67</v>
      </c>
      <c r="B22" s="71" t="s">
        <v>53</v>
      </c>
      <c r="C22" s="73"/>
      <c r="D22" s="73"/>
      <c r="E22" s="72"/>
      <c r="F22" s="71"/>
      <c r="G22" s="72"/>
      <c r="H22" s="71">
        <v>1</v>
      </c>
      <c r="I22" s="72"/>
      <c r="J22" s="71">
        <v>0</v>
      </c>
      <c r="K22" s="72"/>
      <c r="L22" s="27">
        <v>0</v>
      </c>
    </row>
    <row r="23" spans="1:12" ht="29.25" customHeight="1" x14ac:dyDescent="0.25">
      <c r="A23" s="20" t="s">
        <v>89</v>
      </c>
      <c r="B23" s="71" t="s">
        <v>90</v>
      </c>
      <c r="C23" s="73"/>
      <c r="D23" s="73"/>
      <c r="E23" s="72"/>
      <c r="F23" s="71">
        <v>1</v>
      </c>
      <c r="G23" s="72"/>
      <c r="H23" s="71">
        <v>0</v>
      </c>
      <c r="I23" s="72"/>
      <c r="J23" s="71">
        <v>1</v>
      </c>
      <c r="K23" s="72"/>
      <c r="L23" s="26">
        <v>1</v>
      </c>
    </row>
    <row r="24" spans="1:12" ht="29.25" customHeight="1" x14ac:dyDescent="0.25">
      <c r="A24" s="20" t="s">
        <v>91</v>
      </c>
      <c r="B24" s="71" t="s">
        <v>90</v>
      </c>
      <c r="C24" s="73"/>
      <c r="D24" s="73"/>
      <c r="E24" s="72"/>
      <c r="F24" s="71"/>
      <c r="G24" s="72"/>
      <c r="H24" s="71">
        <v>1</v>
      </c>
      <c r="I24" s="72"/>
      <c r="J24" s="71">
        <v>0</v>
      </c>
      <c r="K24" s="72"/>
      <c r="L24" s="27">
        <v>0</v>
      </c>
    </row>
    <row r="25" spans="1:12" s="54" customFormat="1" ht="30.75" customHeight="1" x14ac:dyDescent="0.2">
      <c r="A25" s="52" t="s">
        <v>95</v>
      </c>
      <c r="B25" s="75" t="s">
        <v>96</v>
      </c>
      <c r="C25" s="76"/>
      <c r="D25" s="76"/>
      <c r="E25" s="77"/>
      <c r="F25" s="75">
        <v>3</v>
      </c>
      <c r="G25" s="77"/>
      <c r="H25" s="75">
        <v>0</v>
      </c>
      <c r="I25" s="77"/>
      <c r="J25" s="75">
        <v>3</v>
      </c>
      <c r="K25" s="77"/>
      <c r="L25" s="53">
        <v>3</v>
      </c>
    </row>
    <row r="26" spans="1:12" s="54" customFormat="1" ht="28.5" customHeight="1" x14ac:dyDescent="0.2">
      <c r="A26" s="55" t="s">
        <v>97</v>
      </c>
      <c r="B26" s="75" t="s">
        <v>96</v>
      </c>
      <c r="C26" s="76"/>
      <c r="D26" s="76"/>
      <c r="E26" s="77"/>
      <c r="F26" s="75"/>
      <c r="G26" s="77"/>
      <c r="H26" s="75">
        <v>1</v>
      </c>
      <c r="I26" s="77"/>
      <c r="J26" s="75">
        <v>2</v>
      </c>
      <c r="K26" s="77"/>
      <c r="L26" s="53">
        <v>2</v>
      </c>
    </row>
    <row r="27" spans="1:12" ht="29.25" customHeight="1" x14ac:dyDescent="0.25">
      <c r="A27" s="30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31"/>
    </row>
    <row r="28" spans="1:12" x14ac:dyDescent="0.25">
      <c r="A28" s="21" t="s">
        <v>51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</row>
    <row r="30" spans="1:12" x14ac:dyDescent="0.25">
      <c r="C30" s="24"/>
      <c r="D30" s="14"/>
      <c r="E30" s="14"/>
      <c r="F30" s="14"/>
      <c r="G30" s="14"/>
      <c r="H30" s="14" t="s">
        <v>40</v>
      </c>
      <c r="I30" s="14"/>
      <c r="J30" s="14"/>
      <c r="K30" s="14"/>
      <c r="L30" s="14"/>
    </row>
    <row r="31" spans="1:12" x14ac:dyDescent="0.25">
      <c r="C31" s="24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H32" s="32" t="s">
        <v>41</v>
      </c>
      <c r="I32" s="28"/>
    </row>
    <row r="33" spans="8:9" x14ac:dyDescent="0.25">
      <c r="H33" s="25" t="s">
        <v>42</v>
      </c>
    </row>
    <row r="34" spans="8:9" x14ac:dyDescent="0.25">
      <c r="H34" s="74" t="s">
        <v>43</v>
      </c>
      <c r="I34" s="74"/>
    </row>
  </sheetData>
  <mergeCells count="62">
    <mergeCell ref="J25:K25"/>
    <mergeCell ref="B26:E26"/>
    <mergeCell ref="F26:G26"/>
    <mergeCell ref="H26:I26"/>
    <mergeCell ref="J26:K26"/>
    <mergeCell ref="A13:A14"/>
    <mergeCell ref="B13:K13"/>
    <mergeCell ref="L13:L14"/>
    <mergeCell ref="B14:E14"/>
    <mergeCell ref="F14:G14"/>
    <mergeCell ref="A4:L4"/>
    <mergeCell ref="A5:L5"/>
    <mergeCell ref="A6:L6"/>
    <mergeCell ref="A7:L7"/>
    <mergeCell ref="A12:L12"/>
    <mergeCell ref="J15:K15"/>
    <mergeCell ref="H16:I16"/>
    <mergeCell ref="J16:K16"/>
    <mergeCell ref="H14:I14"/>
    <mergeCell ref="J14:K14"/>
    <mergeCell ref="J18:K18"/>
    <mergeCell ref="A29:L29"/>
    <mergeCell ref="B17:E17"/>
    <mergeCell ref="F17:G17"/>
    <mergeCell ref="H17:I17"/>
    <mergeCell ref="J17:K17"/>
    <mergeCell ref="J19:K19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15:E15"/>
    <mergeCell ref="F15:G15"/>
    <mergeCell ref="H15:I15"/>
    <mergeCell ref="B16:E16"/>
    <mergeCell ref="F16:G16"/>
    <mergeCell ref="H34:I34"/>
    <mergeCell ref="B18:E18"/>
    <mergeCell ref="F18:G18"/>
    <mergeCell ref="H18:I18"/>
    <mergeCell ref="B19:E19"/>
    <mergeCell ref="F19:G19"/>
    <mergeCell ref="H19:I19"/>
    <mergeCell ref="B20:E20"/>
    <mergeCell ref="F20:G20"/>
    <mergeCell ref="H20:I20"/>
    <mergeCell ref="B23:E23"/>
    <mergeCell ref="F23:G23"/>
    <mergeCell ref="H23:I23"/>
    <mergeCell ref="B25:E25"/>
    <mergeCell ref="F25:G25"/>
    <mergeCell ref="H25:I25"/>
    <mergeCell ref="J23:K23"/>
    <mergeCell ref="B24:E24"/>
    <mergeCell ref="F24:G24"/>
    <mergeCell ref="H24:I24"/>
    <mergeCell ref="J24:K24"/>
  </mergeCells>
  <phoneticPr fontId="4" type="noConversion"/>
  <pageMargins left="0.7" right="0.7" top="0.75" bottom="0.75" header="0.3" footer="0.3"/>
  <pageSetup paperSize="9" scale="68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00AD-DC0A-4B39-B047-6FDB109BAB57}">
  <sheetPr>
    <pageSetUpPr fitToPage="1"/>
  </sheetPr>
  <dimension ref="A1:O23"/>
  <sheetViews>
    <sheetView workbookViewId="0">
      <selection activeCell="P26" sqref="P26"/>
    </sheetView>
  </sheetViews>
  <sheetFormatPr defaultRowHeight="15" x14ac:dyDescent="0.25"/>
  <cols>
    <col min="1" max="1" width="27.140625" style="25" customWidth="1"/>
    <col min="2" max="2" width="8.28515625" style="25" customWidth="1"/>
    <col min="3" max="3" width="8.140625" style="25" customWidth="1"/>
    <col min="4" max="4" width="7.28515625" style="25" customWidth="1"/>
    <col min="5" max="5" width="9.5703125" style="25" customWidth="1"/>
    <col min="6" max="6" width="8.42578125" style="25" customWidth="1"/>
    <col min="7" max="7" width="8.28515625" style="25" customWidth="1"/>
    <col min="8" max="10" width="9.5703125" style="25" customWidth="1"/>
    <col min="11" max="12" width="8.7109375" style="25" customWidth="1"/>
    <col min="13" max="13" width="8.7109375" style="25" hidden="1" customWidth="1"/>
    <col min="14" max="15" width="9.140625" style="25"/>
  </cols>
  <sheetData>
    <row r="1" spans="1:15" x14ac:dyDescent="0.25">
      <c r="A1" s="14"/>
      <c r="B1" s="14"/>
      <c r="C1" s="33"/>
      <c r="D1" s="34"/>
      <c r="E1" s="14"/>
      <c r="F1" s="14"/>
      <c r="G1" s="14"/>
      <c r="H1" s="24"/>
      <c r="I1" s="14"/>
      <c r="J1" s="14"/>
      <c r="K1" s="14"/>
      <c r="L1" s="14"/>
      <c r="M1" s="14"/>
      <c r="N1" s="14"/>
      <c r="O1" s="14"/>
    </row>
    <row r="2" spans="1:15" x14ac:dyDescent="0.25">
      <c r="A2" s="14"/>
      <c r="B2" s="14"/>
      <c r="C2" s="33"/>
      <c r="D2" s="34"/>
      <c r="E2" s="14"/>
      <c r="F2" s="14"/>
      <c r="G2" s="14"/>
      <c r="H2" s="24"/>
      <c r="I2" s="14"/>
      <c r="J2" s="14"/>
      <c r="K2" s="14"/>
      <c r="L2" s="14"/>
      <c r="M2" s="14"/>
      <c r="N2" s="14"/>
      <c r="O2" s="14"/>
    </row>
    <row r="3" spans="1:15" x14ac:dyDescent="0.25">
      <c r="A3" s="14"/>
      <c r="B3" s="14"/>
      <c r="C3" s="33"/>
      <c r="D3" s="34"/>
      <c r="E3" s="14"/>
      <c r="F3" s="14"/>
      <c r="G3" s="14"/>
      <c r="H3" s="24"/>
      <c r="I3" s="14"/>
      <c r="J3" s="14"/>
      <c r="K3" s="14"/>
      <c r="L3" s="14"/>
      <c r="M3" s="14"/>
      <c r="N3" s="14"/>
      <c r="O3" s="14"/>
    </row>
    <row r="4" spans="1:15" x14ac:dyDescent="0.25">
      <c r="A4" s="14"/>
      <c r="B4" s="14"/>
      <c r="C4" s="33"/>
      <c r="D4" s="34"/>
      <c r="E4" s="14"/>
      <c r="F4" s="14"/>
      <c r="G4" s="14"/>
      <c r="H4" s="24"/>
      <c r="I4" s="14"/>
      <c r="J4" s="14"/>
      <c r="K4" s="14"/>
      <c r="L4" s="14"/>
      <c r="M4" s="14"/>
      <c r="N4" s="14"/>
      <c r="O4" s="14"/>
    </row>
    <row r="5" spans="1:15" x14ac:dyDescent="0.25">
      <c r="A5" s="14"/>
      <c r="B5" s="14"/>
      <c r="C5" s="33"/>
      <c r="D5" s="34"/>
      <c r="E5" s="14"/>
      <c r="F5" s="14"/>
      <c r="G5" s="14"/>
      <c r="H5" s="24"/>
      <c r="I5" s="14"/>
      <c r="J5" s="14"/>
      <c r="K5" s="14"/>
      <c r="L5" s="14"/>
      <c r="M5" s="14"/>
      <c r="N5" s="14"/>
      <c r="O5" s="14"/>
    </row>
    <row r="6" spans="1:15" x14ac:dyDescent="0.25">
      <c r="A6" s="81" t="s">
        <v>29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14"/>
      <c r="N6" s="14"/>
      <c r="O6" s="14"/>
    </row>
    <row r="7" spans="1:15" x14ac:dyDescent="0.25">
      <c r="A7" s="81" t="s">
        <v>30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14"/>
      <c r="N7" s="14"/>
      <c r="O7" s="14"/>
    </row>
    <row r="8" spans="1:15" x14ac:dyDescent="0.25">
      <c r="A8" s="81" t="s">
        <v>31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14"/>
      <c r="N8" s="14"/>
      <c r="O8" s="14"/>
    </row>
    <row r="9" spans="1:15" x14ac:dyDescent="0.25">
      <c r="A9" s="81" t="s">
        <v>32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14"/>
      <c r="N9" s="14"/>
      <c r="O9" s="14"/>
    </row>
    <row r="10" spans="1:15" x14ac:dyDescent="0.25">
      <c r="A10" s="14"/>
      <c r="B10" s="14"/>
      <c r="C10" s="24"/>
      <c r="D10" s="14"/>
      <c r="E10" s="14"/>
      <c r="F10" s="14"/>
      <c r="G10" s="14"/>
      <c r="H10" s="24"/>
      <c r="I10" s="14"/>
      <c r="J10" s="14"/>
      <c r="K10" s="14"/>
      <c r="L10" s="14"/>
      <c r="M10" s="14"/>
      <c r="N10" s="14"/>
      <c r="O10" s="14"/>
    </row>
    <row r="11" spans="1:15" x14ac:dyDescent="0.25">
      <c r="A11" s="14"/>
      <c r="B11" s="14"/>
      <c r="C11" s="24"/>
      <c r="D11" s="14"/>
      <c r="E11" s="14"/>
      <c r="F11" s="14"/>
      <c r="G11" s="14"/>
      <c r="H11" s="24"/>
      <c r="I11" s="14"/>
      <c r="J11" s="14"/>
      <c r="K11" s="14"/>
      <c r="L11" s="14"/>
      <c r="M11" s="14"/>
      <c r="N11" s="14"/>
      <c r="O11" s="14"/>
    </row>
    <row r="12" spans="1:15" x14ac:dyDescent="0.25">
      <c r="A12" s="15" t="s">
        <v>68</v>
      </c>
      <c r="B12" s="15"/>
      <c r="C12" s="90" t="s">
        <v>69</v>
      </c>
      <c r="D12" s="90"/>
      <c r="E12" s="90"/>
      <c r="F12" s="90"/>
      <c r="G12" s="90"/>
      <c r="H12" s="14"/>
      <c r="I12" s="90" t="s">
        <v>70</v>
      </c>
      <c r="J12" s="90"/>
      <c r="K12" s="90"/>
      <c r="L12" s="35"/>
      <c r="M12" s="14"/>
      <c r="N12" s="14"/>
      <c r="O12" s="14"/>
    </row>
    <row r="13" spans="1:15" x14ac:dyDescent="0.25">
      <c r="A13" s="14"/>
      <c r="B13" s="17"/>
      <c r="C13" s="90" t="s">
        <v>71</v>
      </c>
      <c r="D13" s="90"/>
      <c r="E13" s="90"/>
      <c r="F13" s="90"/>
      <c r="G13" s="90"/>
      <c r="H13" s="14"/>
      <c r="I13" s="91" t="s">
        <v>72</v>
      </c>
      <c r="J13" s="91"/>
      <c r="K13" s="91"/>
      <c r="L13" s="36"/>
      <c r="M13" s="14"/>
      <c r="N13" s="14"/>
      <c r="O13" s="14"/>
    </row>
    <row r="14" spans="1:15" x14ac:dyDescent="0.25">
      <c r="A14" s="15" t="s">
        <v>73</v>
      </c>
      <c r="B14" s="15"/>
      <c r="C14" s="37"/>
      <c r="D14" s="17"/>
      <c r="E14" s="17"/>
      <c r="F14" s="14"/>
      <c r="G14" s="14"/>
      <c r="H14" s="14"/>
      <c r="I14" s="90" t="s">
        <v>74</v>
      </c>
      <c r="J14" s="90"/>
      <c r="K14" s="90"/>
      <c r="L14" s="35"/>
      <c r="M14" s="14"/>
      <c r="N14" s="14"/>
      <c r="O14" s="14"/>
    </row>
    <row r="15" spans="1:15" ht="21.75" thickBot="1" x14ac:dyDescent="0.3">
      <c r="A15" s="92" t="s">
        <v>75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</row>
    <row r="16" spans="1:15" ht="48.75" thickBot="1" x14ac:dyDescent="0.3">
      <c r="A16" s="38" t="s">
        <v>4</v>
      </c>
      <c r="B16" s="39" t="s">
        <v>76</v>
      </c>
      <c r="C16" s="39" t="s">
        <v>77</v>
      </c>
      <c r="D16" s="39" t="s">
        <v>78</v>
      </c>
      <c r="E16" s="39" t="s">
        <v>79</v>
      </c>
      <c r="F16" s="39" t="s">
        <v>80</v>
      </c>
      <c r="G16" s="39" t="s">
        <v>81</v>
      </c>
      <c r="H16" s="39" t="s">
        <v>82</v>
      </c>
      <c r="I16" s="39" t="s">
        <v>83</v>
      </c>
      <c r="J16" s="39" t="s">
        <v>84</v>
      </c>
      <c r="K16" s="40" t="s">
        <v>85</v>
      </c>
      <c r="L16" s="41" t="s">
        <v>7</v>
      </c>
      <c r="M16" s="42"/>
      <c r="N16" s="42"/>
      <c r="O16" s="42"/>
    </row>
    <row r="17" spans="1:15" x14ac:dyDescent="0.25">
      <c r="A17" s="43" t="s">
        <v>86</v>
      </c>
      <c r="B17" s="44"/>
      <c r="C17" s="45"/>
      <c r="D17" s="45"/>
      <c r="E17" s="44">
        <v>7</v>
      </c>
      <c r="F17" s="44"/>
      <c r="G17" s="44"/>
      <c r="H17" s="45"/>
      <c r="I17" s="44"/>
      <c r="J17" s="44"/>
      <c r="K17" s="44"/>
      <c r="L17" s="44">
        <v>7</v>
      </c>
      <c r="M17" s="46"/>
      <c r="N17" s="46"/>
      <c r="O17" s="46"/>
    </row>
    <row r="18" spans="1:15" x14ac:dyDescent="0.25">
      <c r="A18" s="47" t="s">
        <v>87</v>
      </c>
      <c r="B18" s="48"/>
      <c r="C18" s="19"/>
      <c r="D18" s="19"/>
      <c r="E18" s="48">
        <v>7</v>
      </c>
      <c r="F18" s="48"/>
      <c r="G18" s="48"/>
      <c r="H18" s="19"/>
      <c r="I18" s="48"/>
      <c r="J18" s="48"/>
      <c r="K18" s="48"/>
      <c r="L18" s="50">
        <v>0</v>
      </c>
      <c r="M18" s="46"/>
      <c r="N18" s="46"/>
      <c r="O18" s="46"/>
    </row>
    <row r="19" spans="1:15" x14ac:dyDescent="0.25">
      <c r="A19" s="49"/>
      <c r="B19" s="48"/>
      <c r="C19" s="19"/>
      <c r="D19" s="19"/>
      <c r="E19" s="48"/>
      <c r="F19" s="48"/>
      <c r="G19" s="48"/>
      <c r="H19" s="19"/>
      <c r="I19" s="48"/>
      <c r="J19" s="48"/>
      <c r="K19" s="48"/>
      <c r="L19" s="48"/>
      <c r="M19" s="46"/>
      <c r="N19" s="46"/>
      <c r="O19" s="46"/>
    </row>
    <row r="20" spans="1:15" x14ac:dyDescent="0.25">
      <c r="A20" s="49"/>
      <c r="B20" s="48"/>
      <c r="C20" s="19"/>
      <c r="D20" s="19"/>
      <c r="E20" s="48"/>
      <c r="F20" s="48"/>
      <c r="G20" s="48"/>
      <c r="H20" s="19"/>
      <c r="I20" s="48"/>
      <c r="J20" s="48"/>
      <c r="K20" s="48"/>
      <c r="L20" s="48"/>
      <c r="M20" s="46"/>
      <c r="N20" s="46"/>
      <c r="O20" s="46"/>
    </row>
    <row r="21" spans="1:15" x14ac:dyDescent="0.25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</row>
    <row r="22" spans="1:15" x14ac:dyDescent="0.25">
      <c r="A22" s="14"/>
      <c r="B22" s="14"/>
      <c r="C22" s="2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14"/>
      <c r="B23" s="14"/>
      <c r="C23" s="2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</sheetData>
  <mergeCells count="11">
    <mergeCell ref="C13:G13"/>
    <mergeCell ref="I13:K13"/>
    <mergeCell ref="I14:K14"/>
    <mergeCell ref="A15:L15"/>
    <mergeCell ref="A21:L21"/>
    <mergeCell ref="A6:L6"/>
    <mergeCell ref="A7:L7"/>
    <mergeCell ref="A8:L8"/>
    <mergeCell ref="A9:L9"/>
    <mergeCell ref="C12:G12"/>
    <mergeCell ref="I12:K12"/>
  </mergeCells>
  <pageMargins left="0.7" right="0.7" top="0.75" bottom="0.75" header="0.3" footer="0.3"/>
  <pageSetup paperSize="9" scale="62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OTHER TYPES OF LEAVE CORRECTED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2025-09-02T00:52:39Z</cp:lastPrinted>
  <dcterms:created xsi:type="dcterms:W3CDTF">2021-10-07T06:10:16Z</dcterms:created>
  <dcterms:modified xsi:type="dcterms:W3CDTF">2025-09-02T01:03:10Z</dcterms:modified>
</cp:coreProperties>
</file>