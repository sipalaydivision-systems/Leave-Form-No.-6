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E482E81A-92E0-441F-AED4-CAED5A5C82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16" r:id="rId1"/>
    <sheet name="Election &amp; NLC" sheetId="13" r:id="rId2"/>
  </sheets>
  <definedNames>
    <definedName name="_xlnm.Print_Area" localSheetId="1">'Election &amp; NLC'!$A$1:$G$26</definedName>
    <definedName name="_xlnm.Print_Area" localSheetId="0">'Leave Card (NE)'!$A$1:$J$41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6" l="1"/>
  <c r="I17" i="16" s="1"/>
  <c r="I18" i="16" s="1"/>
  <c r="I19" i="16" s="1"/>
  <c r="I20" i="16" s="1"/>
  <c r="I21" i="16" s="1"/>
  <c r="I22" i="16" s="1"/>
  <c r="I23" i="16" s="1"/>
  <c r="I24" i="16" s="1"/>
  <c r="I27" i="16" s="1"/>
  <c r="I29" i="16" s="1"/>
  <c r="I30" i="16" s="1"/>
  <c r="I31" i="16" s="1"/>
  <c r="I32" i="16" s="1"/>
  <c r="I33" i="16" s="1"/>
  <c r="I34" i="16" s="1"/>
  <c r="H16" i="16"/>
  <c r="H17" i="16" l="1"/>
  <c r="J16" i="16"/>
  <c r="J17" i="16" l="1"/>
  <c r="H18" i="16"/>
  <c r="H19" i="16" l="1"/>
  <c r="J18" i="16"/>
  <c r="J19" i="16" l="1"/>
  <c r="H20" i="16"/>
  <c r="H21" i="16" l="1"/>
  <c r="J20" i="16"/>
  <c r="J21" i="16" l="1"/>
  <c r="H22" i="16"/>
  <c r="H23" i="16" l="1"/>
  <c r="H24" i="16" s="1"/>
  <c r="J22" i="16"/>
  <c r="J24" i="16" l="1"/>
  <c r="J23" i="16"/>
  <c r="H27" i="16" l="1"/>
  <c r="H29" i="16" l="1"/>
  <c r="J27" i="16"/>
  <c r="J29" i="16" l="1"/>
  <c r="H30" i="16"/>
  <c r="J30" i="16" l="1"/>
  <c r="H31" i="16"/>
  <c r="J31" i="16" l="1"/>
  <c r="H32" i="16"/>
  <c r="J32" i="16" l="1"/>
  <c r="H33" i="16"/>
  <c r="H34" i="16" s="1"/>
  <c r="J34" i="16" l="1"/>
  <c r="J33" i="16"/>
</calcChain>
</file>

<file path=xl/sharedStrings.xml><?xml version="1.0" encoding="utf-8"?>
<sst xmlns="http://schemas.openxmlformats.org/spreadsheetml/2006/main" count="74" uniqueCount="63">
  <si>
    <t>Republic of the Philippines</t>
  </si>
  <si>
    <t>Department of Education</t>
  </si>
  <si>
    <t>REGION VI-WESTERN VISAYAS</t>
  </si>
  <si>
    <t>SCHOOLS DIVISION OF SIPALAY CITY</t>
  </si>
  <si>
    <t>PERIOD COVERED</t>
  </si>
  <si>
    <t>TOTAL</t>
  </si>
  <si>
    <t>LEAVE EARNED</t>
  </si>
  <si>
    <t>No. of Days Granted</t>
  </si>
  <si>
    <t>No. of Days Used</t>
  </si>
  <si>
    <t>Balance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</si>
  <si>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</si>
  <si>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</si>
  <si>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</si>
  <si>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</si>
  <si>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</si>
  <si>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</si>
  <si>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</si>
  <si>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</si>
  <si>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</si>
  <si>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</si>
  <si>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</si>
  <si>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</si>
  <si>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</si>
  <si>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</si>
  <si>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</si>
  <si>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</si>
  <si>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>DESIGNATED AS TIC: EFFECTIVE JULY 29, 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</si>
  <si>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</si>
  <si>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</si>
  <si>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</si>
  <si>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</si>
  <si>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</si>
  <si>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</si>
  <si>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</si>
  <si>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</si>
  <si>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</si>
  <si>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</si>
  <si>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</si>
  <si>
    <t>057, S. 2024</t>
  </si>
  <si>
    <t>10/18/2024</t>
  </si>
  <si>
    <t>DEPED ACTIVITIES AND TRAININGS FOR SY 2024-2025</t>
  </si>
  <si>
    <t>ADD: 08/1/2024-12/31/2024</t>
  </si>
  <si>
    <t>ADD: 01/1/2025-03/31/2025</t>
  </si>
  <si>
    <t>LESS: 04/14/2025</t>
  </si>
  <si>
    <t>ADD: 04/1/2025-06/30/2025</t>
  </si>
  <si>
    <t>LESS: FL 2017</t>
  </si>
  <si>
    <t>ADD: 12/1-31/2016</t>
  </si>
  <si>
    <t>ADD: 01/1/2017-12/31/2017</t>
  </si>
  <si>
    <t>LESS: MONETIZATION 2018</t>
  </si>
  <si>
    <t>ADD: 1/1/2018-06/30/2018</t>
  </si>
  <si>
    <t>ADD: 07/1-31/2018</t>
  </si>
  <si>
    <t>ADD: 08/1-23/2018</t>
  </si>
  <si>
    <t>TEACHER-II: 08/24/2018</t>
  </si>
  <si>
    <t>ADAS II: 11/09/2016</t>
  </si>
  <si>
    <t>ADD: 11/9-30/2016</t>
  </si>
  <si>
    <t>LESS: MONETIZATION 2019 (15 DAYS)</t>
  </si>
  <si>
    <t>PROMOTED to T-II: 08/24/2018</t>
  </si>
  <si>
    <r>
      <t xml:space="preserve">CONVERT 14.750 VL-SL CREDITS BALANCE TO VSC </t>
    </r>
    <r>
      <rPr>
        <b/>
        <sz val="11"/>
        <color theme="4" tint="-0.499984740745262"/>
        <rFont val="Calibri"/>
        <family val="2"/>
        <scheme val="minor"/>
      </rPr>
      <t>(33.924 DAYS)</t>
    </r>
  </si>
  <si>
    <t xml:space="preserve">ADD: </t>
  </si>
  <si>
    <t>CONVERTED VL-SL CREDITS BALANCE (14.750)</t>
  </si>
  <si>
    <t>LESS: MONETIZATION 2025</t>
  </si>
  <si>
    <r>
      <t xml:space="preserve"> UNUSED VACATION SERVICE CREDITS                                         ADD: </t>
    </r>
    <r>
      <rPr>
        <b/>
        <sz val="11"/>
        <rFont val="Calibri"/>
        <family val="2"/>
        <scheme val="minor"/>
      </rPr>
      <t xml:space="preserve">33.924 DAYS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ADD: SO # 057, S. 2024 -DEPED ACTIVITIES &amp; TRAININGS FOR SY 2024-2025: </t>
    </r>
    <r>
      <rPr>
        <b/>
        <sz val="11"/>
        <color theme="1"/>
        <rFont val="Calibri"/>
        <family val="2"/>
        <scheme val="minor"/>
      </rPr>
      <t>15 DAYS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b/>
        <sz val="11"/>
        <color theme="4" tint="-0.499984740745262"/>
        <rFont val="Calibri"/>
        <family val="2"/>
        <scheme val="minor"/>
      </rPr>
      <t>TOTAL: 48.924 DAYS</t>
    </r>
    <r>
      <rPr>
        <sz val="11"/>
        <color theme="1"/>
        <rFont val="Calibri"/>
        <family val="2"/>
        <scheme val="minor"/>
      </rPr>
      <t xml:space="preserve">                                       </t>
    </r>
    <r>
      <rPr>
        <b/>
        <sz val="11"/>
        <color theme="1"/>
        <rFont val="Calibri"/>
        <family val="2"/>
        <scheme val="minor"/>
      </rPr>
      <t>CONVERT 48.924 TO  VL-SL CREDITS</t>
    </r>
  </si>
  <si>
    <t>48.924 DAYS-CONVERTED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</si>
</sst>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</borders>
  <cellStyleXfs count="7">
    <xf numFmtId="0" fontId="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4" fillId="0" borderId="0"/>
  </cellStyleXfs>
  <cellXfs count="101">
    <xf numFmtId="0" fontId="0" fillId="0" borderId="0" xfId="0"/>
    <xf numFmtId="0" fontId="8" fillId="0" borderId="0" xfId="2"/>
    <xf numFmtId="0" fontId="17" fillId="0" borderId="0" xfId="2" applyFont="1" applyAlignment="1">
      <alignment horizontal="center" vertical="center"/>
    </xf>
    <xf numFmtId="0" fontId="7" fillId="2" borderId="0" xfId="3" applyFill="1"/>
    <xf numFmtId="0" fontId="7" fillId="2" borderId="0" xfId="3" applyFill="1" applyAlignment="1">
      <alignment horizontal="center"/>
    </xf>
    <xf numFmtId="0" fontId="19" fillId="2" borderId="0" xfId="3" applyFont="1" applyFill="1" applyAlignment="1">
      <alignment vertical="center"/>
    </xf>
    <xf numFmtId="0" fontId="12" fillId="2" borderId="0" xfId="3" applyFont="1" applyFill="1" applyAlignment="1">
      <alignment horizontal="left" vertical="center"/>
    </xf>
    <xf numFmtId="0" fontId="12" fillId="2" borderId="0" xfId="3" applyFont="1" applyFill="1" applyAlignment="1">
      <alignment vertical="center"/>
    </xf>
    <xf numFmtId="0" fontId="21" fillId="2" borderId="0" xfId="3" applyFont="1" applyFill="1"/>
    <xf numFmtId="0" fontId="12" fillId="2" borderId="0" xfId="3" applyFont="1" applyFill="1"/>
    <xf numFmtId="0" fontId="12" fillId="2" borderId="0" xfId="3" applyFont="1" applyFill="1" applyAlignment="1">
      <alignment horizontal="left"/>
    </xf>
    <xf numFmtId="0" fontId="7" fillId="0" borderId="0" xfId="3"/>
    <xf numFmtId="0" fontId="14" fillId="5" borderId="17" xfId="3" applyFont="1" applyFill="1" applyBorder="1" applyAlignment="1">
      <alignment horizontal="center" vertical="center" wrapText="1"/>
    </xf>
    <xf numFmtId="0" fontId="14" fillId="5" borderId="17" xfId="3" applyFont="1" applyFill="1" applyBorder="1" applyAlignment="1">
      <alignment horizontal="center" vertical="center"/>
    </xf>
    <xf numFmtId="0" fontId="15" fillId="6" borderId="20" xfId="3" applyFont="1" applyFill="1" applyBorder="1" applyAlignment="1">
      <alignment horizontal="center" vertical="center" wrapText="1"/>
    </xf>
    <xf numFmtId="0" fontId="15" fillId="6" borderId="21" xfId="3" applyFont="1" applyFill="1" applyBorder="1" applyAlignment="1">
      <alignment horizontal="center" vertical="center" wrapText="1"/>
    </xf>
    <xf numFmtId="0" fontId="14" fillId="5" borderId="22" xfId="3" applyFont="1" applyFill="1" applyBorder="1" applyAlignment="1">
      <alignment horizontal="center" vertical="center"/>
    </xf>
    <xf numFmtId="0" fontId="10" fillId="0" borderId="0" xfId="3" applyFont="1"/>
    <xf numFmtId="0" fontId="7" fillId="2" borderId="4" xfId="4" applyFill="1" applyBorder="1" applyAlignment="1">
      <alignment horizontal="center" vertical="center" wrapText="1"/>
    </xf>
    <xf numFmtId="0" fontId="7" fillId="2" borderId="5" xfId="4" applyFill="1" applyBorder="1" applyAlignment="1">
      <alignment horizontal="center" vertical="center"/>
    </xf>
    <xf numFmtId="0" fontId="15" fillId="2" borderId="14" xfId="4" applyFont="1" applyFill="1" applyBorder="1" applyAlignment="1">
      <alignment vertical="center" wrapText="1"/>
    </xf>
    <xf numFmtId="0" fontId="15" fillId="2" borderId="14" xfId="4" applyFont="1" applyFill="1" applyBorder="1" applyAlignment="1">
      <alignment horizontal="center" vertical="center" wrapText="1"/>
    </xf>
    <xf numFmtId="0" fontId="22" fillId="2" borderId="23" xfId="3" applyFont="1" applyFill="1" applyBorder="1" applyAlignment="1">
      <alignment horizontal="center" vertical="center" wrapText="1"/>
    </xf>
    <xf numFmtId="0" fontId="19" fillId="2" borderId="10" xfId="3" applyFont="1" applyFill="1" applyBorder="1" applyAlignment="1">
      <alignment horizontal="center" vertical="center" wrapText="1"/>
    </xf>
    <xf numFmtId="0" fontId="22" fillId="2" borderId="6" xfId="3" applyFont="1" applyFill="1" applyBorder="1" applyAlignment="1">
      <alignment horizontal="center" vertical="center" wrapText="1"/>
    </xf>
    <xf numFmtId="0" fontId="11" fillId="0" borderId="0" xfId="3" applyFont="1"/>
    <xf numFmtId="0" fontId="19" fillId="2" borderId="11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11" fillId="2" borderId="0" xfId="3" applyFont="1" applyFill="1" applyAlignment="1">
      <alignment horizontal="center" vertical="center"/>
    </xf>
    <xf numFmtId="0" fontId="7" fillId="3" borderId="0" xfId="3" applyFill="1"/>
    <xf numFmtId="0" fontId="7" fillId="4" borderId="0" xfId="3" applyFill="1"/>
    <xf numFmtId="0" fontId="7" fillId="2" borderId="15" xfId="4" applyFill="1" applyBorder="1" applyAlignment="1">
      <alignment horizontal="center" vertical="center" wrapText="1"/>
    </xf>
    <xf numFmtId="0" fontId="7" fillId="2" borderId="14" xfId="4" applyFill="1" applyBorder="1" applyAlignment="1">
      <alignment horizontal="center" vertical="center" wrapText="1"/>
    </xf>
    <xf numFmtId="0" fontId="6" fillId="2" borderId="15" xfId="4" applyFont="1" applyFill="1" applyBorder="1" applyAlignment="1">
      <alignment horizontal="center" vertical="center" wrapText="1"/>
    </xf>
    <xf numFmtId="0" fontId="6" fillId="2" borderId="5" xfId="4" applyFont="1" applyFill="1" applyBorder="1" applyAlignment="1">
      <alignment horizontal="center" vertical="center"/>
    </xf>
    <xf numFmtId="14" fontId="7" fillId="2" borderId="5" xfId="4" applyNumberFormat="1" applyFill="1" applyBorder="1" applyAlignment="1">
      <alignment horizontal="center" vertical="center"/>
    </xf>
    <xf numFmtId="0" fontId="5" fillId="2" borderId="4" xfId="4" applyFont="1" applyFill="1" applyBorder="1" applyAlignment="1">
      <alignment horizontal="center" vertical="center" wrapText="1"/>
    </xf>
    <xf numFmtId="14" fontId="5" fillId="2" borderId="5" xfId="4" applyNumberFormat="1" applyFont="1" applyFill="1" applyBorder="1" applyAlignment="1">
      <alignment horizontal="center" vertical="center"/>
    </xf>
    <xf numFmtId="0" fontId="12" fillId="7" borderId="25" xfId="2" applyFont="1" applyFill="1" applyBorder="1" applyAlignment="1">
      <alignment horizontal="left" vertical="center"/>
    </xf>
    <xf numFmtId="0" fontId="12" fillId="7" borderId="1" xfId="2" applyFont="1" applyFill="1" applyBorder="1" applyAlignment="1">
      <alignment horizontal="left" vertical="center"/>
    </xf>
    <xf numFmtId="0" fontId="12" fillId="7" borderId="26" xfId="2" applyFont="1" applyFill="1" applyBorder="1" applyAlignment="1">
      <alignment horizontal="left" vertical="center"/>
    </xf>
    <xf numFmtId="0" fontId="4" fillId="2" borderId="0" xfId="6" applyFill="1"/>
    <xf numFmtId="0" fontId="12" fillId="2" borderId="0" xfId="6" applyFont="1" applyFill="1" applyAlignment="1">
      <alignment vertical="center"/>
    </xf>
    <xf numFmtId="0" fontId="12" fillId="2" borderId="15" xfId="6" applyFont="1" applyFill="1" applyBorder="1" applyAlignment="1">
      <alignment horizontal="center" vertical="center"/>
    </xf>
    <xf numFmtId="0" fontId="12" fillId="2" borderId="0" xfId="6" applyFont="1" applyFill="1"/>
    <xf numFmtId="0" fontId="12" fillId="2" borderId="15" xfId="6" applyFont="1" applyFill="1" applyBorder="1" applyAlignment="1">
      <alignment vertical="center"/>
    </xf>
    <xf numFmtId="0" fontId="4" fillId="0" borderId="0" xfId="6"/>
    <xf numFmtId="0" fontId="12" fillId="2" borderId="27" xfId="6" applyFont="1" applyFill="1" applyBorder="1" applyAlignment="1">
      <alignment horizontal="center" vertical="center"/>
    </xf>
    <xf numFmtId="164" fontId="4" fillId="2" borderId="5" xfId="6" applyNumberFormat="1" applyFill="1" applyBorder="1" applyAlignment="1">
      <alignment horizontal="center" vertical="center"/>
    </xf>
    <xf numFmtId="164" fontId="4" fillId="2" borderId="10" xfId="6" applyNumberFormat="1" applyFill="1" applyBorder="1" applyAlignment="1">
      <alignment horizontal="center" vertical="center"/>
    </xf>
    <xf numFmtId="0" fontId="18" fillId="0" borderId="0" xfId="6" applyFont="1"/>
    <xf numFmtId="164" fontId="4" fillId="0" borderId="14" xfId="6" applyNumberFormat="1" applyBorder="1" applyAlignment="1">
      <alignment horizontal="center" vertical="center"/>
    </xf>
    <xf numFmtId="164" fontId="4" fillId="2" borderId="14" xfId="6" applyNumberFormat="1" applyFill="1" applyBorder="1" applyAlignment="1">
      <alignment horizontal="center" vertical="center"/>
    </xf>
    <xf numFmtId="164" fontId="4" fillId="2" borderId="11" xfId="6" applyNumberFormat="1" applyFill="1" applyBorder="1" applyAlignment="1">
      <alignment horizontal="center" vertical="center"/>
    </xf>
    <xf numFmtId="0" fontId="4" fillId="0" borderId="0" xfId="6" applyAlignment="1">
      <alignment horizontal="center" vertical="center"/>
    </xf>
    <xf numFmtId="164" fontId="4" fillId="0" borderId="5" xfId="6" applyNumberFormat="1" applyBorder="1" applyAlignment="1">
      <alignment horizontal="center" vertical="center"/>
    </xf>
    <xf numFmtId="0" fontId="4" fillId="0" borderId="24" xfId="6" applyBorder="1" applyAlignment="1">
      <alignment horizontal="center" vertical="center"/>
    </xf>
    <xf numFmtId="0" fontId="4" fillId="0" borderId="24" xfId="6" applyBorder="1" applyAlignment="1">
      <alignment horizontal="center" vertical="center" wrapText="1"/>
    </xf>
    <xf numFmtId="0" fontId="3" fillId="0" borderId="24" xfId="6" applyFont="1" applyBorder="1" applyAlignment="1">
      <alignment horizontal="center" vertical="center"/>
    </xf>
    <xf numFmtId="0" fontId="3" fillId="0" borderId="4" xfId="6" applyFont="1" applyBorder="1" applyAlignment="1">
      <alignment horizontal="center" vertical="center" wrapText="1"/>
    </xf>
    <xf numFmtId="0" fontId="3" fillId="0" borderId="24" xfId="6" applyFont="1" applyBorder="1" applyAlignment="1">
      <alignment horizontal="center" vertical="center" wrapText="1"/>
    </xf>
    <xf numFmtId="164" fontId="12" fillId="2" borderId="11" xfId="6" applyNumberFormat="1" applyFont="1" applyFill="1" applyBorder="1" applyAlignment="1">
      <alignment horizontal="center" vertical="center"/>
    </xf>
    <xf numFmtId="0" fontId="3" fillId="2" borderId="4" xfId="4" applyFont="1" applyFill="1" applyBorder="1" applyAlignment="1">
      <alignment horizontal="center" vertical="center" wrapText="1"/>
    </xf>
    <xf numFmtId="0" fontId="4" fillId="0" borderId="0" xfId="6" applyAlignment="1">
      <alignment horizontal="center" vertical="center" wrapText="1"/>
    </xf>
    <xf numFmtId="164" fontId="4" fillId="0" borderId="0" xfId="6" applyNumberFormat="1" applyAlignment="1">
      <alignment horizontal="center" vertical="center"/>
    </xf>
    <xf numFmtId="164" fontId="4" fillId="2" borderId="0" xfId="6" applyNumberFormat="1" applyFill="1" applyAlignment="1">
      <alignment horizontal="center" vertical="center"/>
    </xf>
    <xf numFmtId="0" fontId="2" fillId="0" borderId="24" xfId="6" applyFont="1" applyBorder="1" applyAlignment="1">
      <alignment horizontal="center" vertical="center" wrapText="1"/>
    </xf>
    <xf numFmtId="0" fontId="12" fillId="2" borderId="0" xfId="6" applyFont="1" applyFill="1" applyAlignment="1">
      <alignment horizontal="left" vertical="center"/>
    </xf>
    <xf numFmtId="0" fontId="12" fillId="0" borderId="24" xfId="6" applyFont="1" applyBorder="1" applyAlignment="1">
      <alignment horizontal="left" vertical="center" wrapText="1"/>
    </xf>
    <xf numFmtId="0" fontId="12" fillId="0" borderId="7" xfId="6" applyFont="1" applyBorder="1" applyAlignment="1">
      <alignment horizontal="left" vertical="center" wrapText="1"/>
    </xf>
    <xf numFmtId="0" fontId="12" fillId="0" borderId="29" xfId="6" applyFont="1" applyBorder="1" applyAlignment="1">
      <alignment horizontal="left" vertical="center" wrapText="1"/>
    </xf>
    <xf numFmtId="0" fontId="12" fillId="0" borderId="24" xfId="6" applyFont="1" applyBorder="1" applyAlignment="1">
      <alignment horizontal="left" vertical="center"/>
    </xf>
    <xf numFmtId="0" fontId="12" fillId="0" borderId="7" xfId="6" applyFont="1" applyBorder="1" applyAlignment="1">
      <alignment horizontal="left" vertical="center"/>
    </xf>
    <xf numFmtId="0" fontId="12" fillId="0" borderId="29" xfId="6" applyFont="1" applyBorder="1" applyAlignment="1">
      <alignment horizontal="left" vertical="center"/>
    </xf>
    <xf numFmtId="0" fontId="4" fillId="2" borderId="0" xfId="6" applyFill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2" fillId="7" borderId="25" xfId="2" applyFont="1" applyFill="1" applyBorder="1" applyAlignment="1">
      <alignment horizontal="left" vertical="center"/>
    </xf>
    <xf numFmtId="0" fontId="12" fillId="7" borderId="1" xfId="2" applyFont="1" applyFill="1" applyBorder="1" applyAlignment="1">
      <alignment horizontal="left" vertical="center"/>
    </xf>
    <xf numFmtId="0" fontId="12" fillId="7" borderId="26" xfId="2" applyFont="1" applyFill="1" applyBorder="1" applyAlignment="1">
      <alignment horizontal="left" vertical="center"/>
    </xf>
    <xf numFmtId="0" fontId="12" fillId="7" borderId="17" xfId="2" applyFont="1" applyFill="1" applyBorder="1" applyAlignment="1">
      <alignment horizontal="left" vertical="center"/>
    </xf>
    <xf numFmtId="0" fontId="12" fillId="7" borderId="18" xfId="2" applyFont="1" applyFill="1" applyBorder="1" applyAlignment="1">
      <alignment horizontal="left" vertical="center"/>
    </xf>
    <xf numFmtId="0" fontId="12" fillId="7" borderId="19" xfId="2" applyFont="1" applyFill="1" applyBorder="1" applyAlignment="1">
      <alignment horizontal="left" vertical="center"/>
    </xf>
    <xf numFmtId="0" fontId="13" fillId="2" borderId="1" xfId="6" applyFont="1" applyFill="1" applyBorder="1" applyAlignment="1">
      <alignment horizontal="center" vertical="center"/>
    </xf>
    <xf numFmtId="0" fontId="12" fillId="7" borderId="2" xfId="6" applyFont="1" applyFill="1" applyBorder="1" applyAlignment="1">
      <alignment horizontal="center" vertical="center"/>
    </xf>
    <xf numFmtId="0" fontId="12" fillId="7" borderId="25" xfId="6" applyFont="1" applyFill="1" applyBorder="1" applyAlignment="1">
      <alignment horizontal="center" vertical="center"/>
    </xf>
    <xf numFmtId="0" fontId="12" fillId="8" borderId="12" xfId="6" applyFont="1" applyFill="1" applyBorder="1" applyAlignment="1">
      <alignment horizontal="center" vertical="center"/>
    </xf>
    <xf numFmtId="0" fontId="12" fillId="8" borderId="13" xfId="6" applyFont="1" applyFill="1" applyBorder="1" applyAlignment="1">
      <alignment horizontal="center" vertical="center"/>
    </xf>
    <xf numFmtId="0" fontId="12" fillId="9" borderId="12" xfId="6" applyFont="1" applyFill="1" applyBorder="1" applyAlignment="1">
      <alignment horizontal="center" vertical="center"/>
    </xf>
    <xf numFmtId="0" fontId="12" fillId="9" borderId="13" xfId="6" applyFont="1" applyFill="1" applyBorder="1" applyAlignment="1">
      <alignment horizontal="center" vertical="center"/>
    </xf>
    <xf numFmtId="0" fontId="12" fillId="9" borderId="16" xfId="6" applyFont="1" applyFill="1" applyBorder="1" applyAlignment="1">
      <alignment horizontal="center" vertical="center"/>
    </xf>
    <xf numFmtId="0" fontId="12" fillId="10" borderId="12" xfId="6" applyFont="1" applyFill="1" applyBorder="1" applyAlignment="1">
      <alignment horizontal="center" vertical="center"/>
    </xf>
    <xf numFmtId="0" fontId="12" fillId="10" borderId="13" xfId="6" applyFont="1" applyFill="1" applyBorder="1" applyAlignment="1">
      <alignment horizontal="center" vertical="center"/>
    </xf>
    <xf numFmtId="0" fontId="12" fillId="7" borderId="9" xfId="6" applyFont="1" applyFill="1" applyBorder="1" applyAlignment="1">
      <alignment horizontal="center" vertical="center"/>
    </xf>
    <xf numFmtId="0" fontId="12" fillId="7" borderId="28" xfId="6" applyFont="1" applyFill="1" applyBorder="1" applyAlignment="1">
      <alignment horizontal="center" vertical="center"/>
    </xf>
    <xf numFmtId="0" fontId="19" fillId="2" borderId="24" xfId="3" applyFont="1" applyFill="1" applyBorder="1" applyAlignment="1">
      <alignment horizontal="right" vertical="center" wrapText="1"/>
    </xf>
    <xf numFmtId="0" fontId="19" fillId="2" borderId="7" xfId="3" applyFont="1" applyFill="1" applyBorder="1" applyAlignment="1">
      <alignment horizontal="right" vertical="center" wrapText="1"/>
    </xf>
    <xf numFmtId="0" fontId="19" fillId="2" borderId="8" xfId="3" applyFont="1" applyFill="1" applyBorder="1" applyAlignment="1">
      <alignment horizontal="right" vertical="center" wrapText="1"/>
    </xf>
    <xf numFmtId="0" fontId="12" fillId="2" borderId="0" xfId="3" applyFont="1" applyFill="1" applyAlignment="1">
      <alignment horizontal="center" vertical="center"/>
    </xf>
    <xf numFmtId="0" fontId="13" fillId="2" borderId="17" xfId="3" applyFont="1" applyFill="1" applyBorder="1" applyAlignment="1">
      <alignment horizontal="center" vertical="center"/>
    </xf>
    <xf numFmtId="0" fontId="13" fillId="2" borderId="18" xfId="3" applyFont="1" applyFill="1" applyBorder="1" applyAlignment="1">
      <alignment horizontal="center" vertical="center"/>
    </xf>
    <xf numFmtId="0" fontId="13" fillId="2" borderId="19" xfId="3" applyFont="1" applyFill="1" applyBorder="1" applyAlignment="1">
      <alignment horizontal="center" vertical="center"/>
    </xf>
  </cellXfs>
  <cellStyles count="7">
    <cellStyle name="Normal" xfId="0" builtinId="0"/>
    <cellStyle name="Normal 2" xfId="1" xr:uid="{A788F1B3-DE58-4EFE-A967-6836EFC63250}"/>
    <cellStyle name="Normal 2 2" xfId="3" xr:uid="{237C39A6-AFD4-4845-885C-F2A2DE357A85}"/>
    <cellStyle name="Normal 3" xfId="2" xr:uid="{DA5B43DB-B81B-4693-A0FE-5DF2E1DC9E44}"/>
    <cellStyle name="Normal 3 2" xfId="4" xr:uid="{59F5650C-65A8-4487-B20A-BB446D1B3792}"/>
    <cellStyle name="Normal 4" xfId="5" xr:uid="{2B35434C-5AE4-452B-B7C0-304C64B3D456}"/>
    <cellStyle name="Normal 5" xfId="6" xr:uid="{C98E9BD5-A9F7-4FE7-8E0C-FF03BDD54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642EAE-BA0A-4115-876B-08D24F07375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397A5D-F273-4C35-AB81-16EEFF794038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JOYLENE</a:t>
          </a:r>
          <a:r>
            <a:rPr lang="en-US" sz="1100" baseline="0"/>
            <a:t> A. BARTOLOME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07ACA6-10E2-4DF2-B88F-6245095DA938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TIC (T-II)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7</xdr:row>
      <xdr:rowOff>42741</xdr:rowOff>
    </xdr:from>
    <xdr:to>
      <xdr:col>5</xdr:col>
      <xdr:colOff>44928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8CA1F9-1932-4013-A5DD-F2166B1B936A}"/>
            </a:ext>
          </a:extLst>
        </xdr:cNvPr>
        <xdr:cNvSpPr txBox="1"/>
      </xdr:nvSpPr>
      <xdr:spPr>
        <a:xfrm>
          <a:off x="3623140" y="1696137"/>
          <a:ext cx="1948085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GMNHS-CROS. TANDUAY EXT.</a:t>
          </a:r>
        </a:p>
      </xdr:txBody>
    </xdr:sp>
    <xdr:clientData/>
  </xdr:twoCellAnchor>
  <xdr:twoCellAnchor>
    <xdr:from>
      <xdr:col>5</xdr:col>
      <xdr:colOff>347452</xdr:colOff>
      <xdr:row>35</xdr:row>
      <xdr:rowOff>53914</xdr:rowOff>
    </xdr:from>
    <xdr:to>
      <xdr:col>9</xdr:col>
      <xdr:colOff>672043</xdr:colOff>
      <xdr:row>40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48F7996-EFA3-4B26-B8F6-98FA83A4D65E}"/>
            </a:ext>
          </a:extLst>
        </xdr:cNvPr>
        <xdr:cNvSpPr txBox="1"/>
      </xdr:nvSpPr>
      <xdr:spPr>
        <a:xfrm>
          <a:off x="5871952" y="1607496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6F69A-FE25-4E7A-A680-8AFCBFD453C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962025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3D1DA7-71A1-463A-885D-DED2B1A25AB7}"/>
            </a:ext>
          </a:extLst>
        </xdr:cNvPr>
        <xdr:cNvSpPr txBox="1"/>
      </xdr:nvSpPr>
      <xdr:spPr>
        <a:xfrm>
          <a:off x="76200" y="4295775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23</xdr:row>
      <xdr:rowOff>236220</xdr:rowOff>
    </xdr:from>
    <xdr:to>
      <xdr:col>6</xdr:col>
      <xdr:colOff>476250</xdr:colOff>
      <xdr:row>25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91BFC3-E97A-4679-8BB0-E273674B20BE}"/>
            </a:ext>
          </a:extLst>
        </xdr:cNvPr>
        <xdr:cNvSpPr txBox="1"/>
      </xdr:nvSpPr>
      <xdr:spPr>
        <a:xfrm>
          <a:off x="5238750" y="432244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6D40-3927-437B-82E0-090AE8E71316}">
  <sheetPr>
    <pageSetUpPr fitToPage="1"/>
  </sheetPr>
  <dimension ref="A1:K39"/>
  <sheetViews>
    <sheetView tabSelected="1" view="pageBreakPreview" topLeftCell="A18" zoomScale="106" zoomScaleNormal="100" zoomScaleSheetLayoutView="106" workbookViewId="0">
      <selection activeCell="F27" sqref="F27"/>
    </sheetView>
  </sheetViews>
  <sheetFormatPr defaultRowHeight="15"/>
  <cols>
    <col min="1" max="1" width="40.140625" style="46" customWidth="1"/>
    <col min="2" max="5" width="11.5703125" style="46" customWidth="1"/>
    <col min="6" max="7" width="11.5703125" style="54" customWidth="1"/>
    <col min="8" max="10" width="11.5703125" style="46" customWidth="1"/>
    <col min="11" max="11" width="26.42578125" style="50" customWidth="1"/>
    <col min="12" max="16384" width="9.140625" style="46"/>
  </cols>
  <sheetData>
    <row r="1" spans="1:11" s="41" customFormat="1" ht="52.5" customHeight="1"/>
    <row r="2" spans="1:11" s="41" customFormat="1" ht="10.5" customHeight="1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</row>
    <row r="3" spans="1:11" s="41" customFormat="1" ht="15.95" customHeight="1">
      <c r="A3" s="74" t="s">
        <v>1</v>
      </c>
      <c r="B3" s="74"/>
      <c r="C3" s="74"/>
      <c r="D3" s="74"/>
      <c r="E3" s="74"/>
      <c r="F3" s="74"/>
      <c r="G3" s="74"/>
      <c r="H3" s="74"/>
      <c r="I3" s="74"/>
      <c r="J3" s="74"/>
    </row>
    <row r="4" spans="1:11" s="41" customFormat="1" ht="15.95" customHeight="1">
      <c r="A4" s="74" t="s">
        <v>2</v>
      </c>
      <c r="B4" s="74"/>
      <c r="C4" s="74"/>
      <c r="D4" s="74"/>
      <c r="E4" s="74"/>
      <c r="F4" s="74"/>
      <c r="G4" s="74"/>
      <c r="H4" s="74"/>
      <c r="I4" s="74"/>
      <c r="J4" s="74"/>
    </row>
    <row r="5" spans="1:11" s="41" customFormat="1" ht="15.95" customHeight="1">
      <c r="A5" s="74" t="s">
        <v>3</v>
      </c>
      <c r="B5" s="74"/>
      <c r="C5" s="74"/>
      <c r="D5" s="74"/>
      <c r="E5" s="74"/>
      <c r="F5" s="74"/>
      <c r="G5" s="74"/>
      <c r="H5" s="74"/>
      <c r="I5" s="74"/>
      <c r="J5" s="74"/>
    </row>
    <row r="6" spans="1:11" s="41" customFormat="1" ht="8.25" customHeight="1"/>
    <row r="7" spans="1:11" s="41" customFormat="1" ht="12" customHeight="1">
      <c r="A7" s="41" t="s">
        <v>10</v>
      </c>
      <c r="B7" s="67" t="s">
        <v>11</v>
      </c>
      <c r="C7" s="67"/>
      <c r="D7" s="67"/>
      <c r="H7" s="42" t="s">
        <v>12</v>
      </c>
      <c r="I7" s="43"/>
      <c r="J7" s="42"/>
    </row>
    <row r="8" spans="1:11" s="41" customFormat="1" ht="12" customHeight="1">
      <c r="B8" s="44"/>
      <c r="C8" s="44"/>
      <c r="H8" s="44"/>
      <c r="I8" s="44"/>
      <c r="J8" s="44"/>
    </row>
    <row r="9" spans="1:11" s="41" customFormat="1" ht="12" customHeight="1">
      <c r="A9" s="41" t="s">
        <v>13</v>
      </c>
      <c r="B9" s="67" t="s">
        <v>14</v>
      </c>
      <c r="C9" s="67"/>
      <c r="D9" s="67"/>
      <c r="H9" s="42" t="s">
        <v>15</v>
      </c>
      <c r="I9" s="45"/>
      <c r="J9" s="42"/>
    </row>
    <row r="10" spans="1:11" ht="23.25" customHeight="1" thickBot="1">
      <c r="A10" s="82" t="s">
        <v>16</v>
      </c>
      <c r="B10" s="82"/>
      <c r="C10" s="82"/>
      <c r="D10" s="82"/>
      <c r="E10" s="82"/>
      <c r="F10" s="82"/>
      <c r="G10" s="82"/>
      <c r="H10" s="82"/>
      <c r="I10" s="82"/>
      <c r="J10" s="82"/>
      <c r="K10" s="46"/>
    </row>
    <row r="11" spans="1:11" ht="18.75" customHeight="1">
      <c r="A11" s="83" t="s">
        <v>4</v>
      </c>
      <c r="B11" s="85" t="s">
        <v>6</v>
      </c>
      <c r="C11" s="86"/>
      <c r="D11" s="87" t="s">
        <v>17</v>
      </c>
      <c r="E11" s="88"/>
      <c r="F11" s="88"/>
      <c r="G11" s="89"/>
      <c r="H11" s="90" t="s">
        <v>18</v>
      </c>
      <c r="I11" s="91"/>
      <c r="J11" s="92" t="s">
        <v>5</v>
      </c>
      <c r="K11" s="75" t="s">
        <v>19</v>
      </c>
    </row>
    <row r="12" spans="1:11" ht="18.75" customHeight="1" thickBot="1">
      <c r="A12" s="84"/>
      <c r="B12" s="47" t="s">
        <v>20</v>
      </c>
      <c r="C12" s="47" t="s">
        <v>21</v>
      </c>
      <c r="D12" s="47" t="s">
        <v>20</v>
      </c>
      <c r="E12" s="47" t="s">
        <v>21</v>
      </c>
      <c r="F12" s="47" t="s">
        <v>22</v>
      </c>
      <c r="G12" s="47" t="s">
        <v>23</v>
      </c>
      <c r="H12" s="47" t="s">
        <v>20</v>
      </c>
      <c r="I12" s="47" t="s">
        <v>21</v>
      </c>
      <c r="J12" s="93"/>
      <c r="K12" s="75"/>
    </row>
    <row r="13" spans="1:11" s="1" customFormat="1" ht="15.75" thickBot="1">
      <c r="A13" s="76" t="s">
        <v>53</v>
      </c>
      <c r="B13" s="77"/>
      <c r="C13" s="77"/>
      <c r="D13" s="77"/>
      <c r="E13" s="77"/>
      <c r="F13" s="77"/>
      <c r="G13" s="77"/>
      <c r="H13" s="77"/>
      <c r="I13" s="77"/>
      <c r="J13" s="78"/>
      <c r="K13" s="2"/>
    </row>
    <row r="14" spans="1:11" s="1" customFormat="1" ht="15.75" thickBot="1">
      <c r="A14" s="38" t="s">
        <v>52</v>
      </c>
      <c r="B14" s="39"/>
      <c r="C14" s="39"/>
      <c r="D14" s="39"/>
      <c r="E14" s="39"/>
      <c r="F14" s="39"/>
      <c r="G14" s="39"/>
      <c r="H14" s="39"/>
      <c r="I14" s="39"/>
      <c r="J14" s="40"/>
      <c r="K14" s="2"/>
    </row>
    <row r="15" spans="1:11" s="1" customFormat="1" ht="15.75" thickBot="1">
      <c r="A15" s="79" t="s">
        <v>26</v>
      </c>
      <c r="B15" s="80"/>
      <c r="C15" s="80"/>
      <c r="D15" s="80"/>
      <c r="E15" s="80"/>
      <c r="F15" s="80"/>
      <c r="G15" s="80"/>
      <c r="H15" s="80"/>
      <c r="I15" s="80"/>
      <c r="J15" s="81"/>
      <c r="K15" s="2"/>
    </row>
    <row r="16" spans="1:11" ht="30.75" customHeight="1">
      <c r="A16" s="59" t="s">
        <v>54</v>
      </c>
      <c r="B16" s="55">
        <v>0.91700000000000004</v>
      </c>
      <c r="C16" s="55">
        <v>0.91700000000000004</v>
      </c>
      <c r="D16" s="55"/>
      <c r="E16" s="55"/>
      <c r="F16" s="55"/>
      <c r="G16" s="55"/>
      <c r="H16" s="48">
        <f>B16</f>
        <v>0.91700000000000004</v>
      </c>
      <c r="I16" s="48">
        <f>C16</f>
        <v>0.91700000000000004</v>
      </c>
      <c r="J16" s="49">
        <f>SUM(H16:I16)</f>
        <v>1.8340000000000001</v>
      </c>
    </row>
    <row r="17" spans="1:10" ht="12" customHeight="1">
      <c r="A17" s="56" t="s">
        <v>46</v>
      </c>
      <c r="B17" s="51">
        <v>1.25</v>
      </c>
      <c r="C17" s="51">
        <v>1.25</v>
      </c>
      <c r="D17" s="51"/>
      <c r="E17" s="51"/>
      <c r="F17" s="51"/>
      <c r="G17" s="51"/>
      <c r="H17" s="52">
        <f>H16-F17-D17+B17</f>
        <v>2.1669999999999998</v>
      </c>
      <c r="I17" s="52">
        <f>I16-E17+C17</f>
        <v>2.1669999999999998</v>
      </c>
      <c r="J17" s="53">
        <f>SUM(H17:I17)</f>
        <v>4.3339999999999996</v>
      </c>
    </row>
    <row r="18" spans="1:10" ht="12" customHeight="1">
      <c r="A18" s="56" t="s">
        <v>47</v>
      </c>
      <c r="B18" s="51">
        <v>15</v>
      </c>
      <c r="C18" s="51">
        <v>15</v>
      </c>
      <c r="D18" s="51"/>
      <c r="E18" s="51"/>
      <c r="F18" s="51"/>
      <c r="G18" s="51"/>
      <c r="H18" s="52">
        <f t="shared" ref="H18:H23" si="0">H17-F18-D18+B18</f>
        <v>17.167000000000002</v>
      </c>
      <c r="I18" s="52">
        <f t="shared" ref="I18:I23" si="1">I17-E18+C18</f>
        <v>17.167000000000002</v>
      </c>
      <c r="J18" s="53">
        <f t="shared" ref="J18:J23" si="2">SUM(H18:I18)</f>
        <v>34.334000000000003</v>
      </c>
    </row>
    <row r="19" spans="1:10" ht="12.75" customHeight="1">
      <c r="A19" s="56" t="s">
        <v>45</v>
      </c>
      <c r="B19" s="51"/>
      <c r="C19" s="51"/>
      <c r="D19" s="51"/>
      <c r="E19" s="51"/>
      <c r="F19" s="51">
        <v>5</v>
      </c>
      <c r="G19" s="51"/>
      <c r="H19" s="52">
        <f t="shared" si="0"/>
        <v>12.167000000000002</v>
      </c>
      <c r="I19" s="52">
        <f t="shared" si="1"/>
        <v>17.167000000000002</v>
      </c>
      <c r="J19" s="53">
        <f t="shared" si="2"/>
        <v>29.334000000000003</v>
      </c>
    </row>
    <row r="20" spans="1:10" s="50" customFormat="1" ht="12.75" customHeight="1">
      <c r="A20" s="56" t="s">
        <v>49</v>
      </c>
      <c r="B20" s="51">
        <v>7.5</v>
      </c>
      <c r="C20" s="51">
        <v>7.5</v>
      </c>
      <c r="D20" s="51"/>
      <c r="E20" s="51"/>
      <c r="F20" s="51"/>
      <c r="G20" s="51"/>
      <c r="H20" s="52">
        <f>H19-F20-D20+B20</f>
        <v>19.667000000000002</v>
      </c>
      <c r="I20" s="52">
        <f>I19-E20+C20</f>
        <v>24.667000000000002</v>
      </c>
      <c r="J20" s="53">
        <f t="shared" si="2"/>
        <v>44.334000000000003</v>
      </c>
    </row>
    <row r="21" spans="1:10" s="50" customFormat="1" ht="12" customHeight="1">
      <c r="A21" s="56" t="s">
        <v>48</v>
      </c>
      <c r="B21" s="51"/>
      <c r="C21" s="51"/>
      <c r="D21" s="51">
        <v>14</v>
      </c>
      <c r="E21" s="51"/>
      <c r="F21" s="51"/>
      <c r="G21" s="51"/>
      <c r="H21" s="52">
        <f>H20-F21-D21+B21</f>
        <v>5.6670000000000016</v>
      </c>
      <c r="I21" s="52">
        <f>I20-E21+C21</f>
        <v>24.667000000000002</v>
      </c>
      <c r="J21" s="53">
        <f t="shared" si="2"/>
        <v>30.334000000000003</v>
      </c>
    </row>
    <row r="22" spans="1:10" s="50" customFormat="1" ht="15.75" customHeight="1">
      <c r="A22" s="58" t="s">
        <v>50</v>
      </c>
      <c r="B22" s="51">
        <v>1.25</v>
      </c>
      <c r="C22" s="51">
        <v>1.25</v>
      </c>
      <c r="D22" s="51"/>
      <c r="E22" s="51"/>
      <c r="F22" s="51"/>
      <c r="G22" s="51"/>
      <c r="H22" s="52">
        <f>H21-F22-D22+B22</f>
        <v>6.9170000000000016</v>
      </c>
      <c r="I22" s="52">
        <f>I21-E22+C22</f>
        <v>25.917000000000002</v>
      </c>
      <c r="J22" s="53">
        <f t="shared" si="2"/>
        <v>32.834000000000003</v>
      </c>
    </row>
    <row r="23" spans="1:10" s="50" customFormat="1" ht="15" customHeight="1">
      <c r="A23" s="58" t="s">
        <v>51</v>
      </c>
      <c r="B23" s="51">
        <v>0.95799999999999996</v>
      </c>
      <c r="C23" s="51">
        <v>0.95799999999999996</v>
      </c>
      <c r="D23" s="51"/>
      <c r="E23" s="51"/>
      <c r="F23" s="51">
        <v>5</v>
      </c>
      <c r="G23" s="51"/>
      <c r="H23" s="52">
        <f t="shared" si="0"/>
        <v>2.8750000000000018</v>
      </c>
      <c r="I23" s="52">
        <f t="shared" si="1"/>
        <v>26.875</v>
      </c>
      <c r="J23" s="53">
        <f t="shared" si="2"/>
        <v>29.75</v>
      </c>
    </row>
    <row r="24" spans="1:10" s="50" customFormat="1" ht="17.25" customHeight="1">
      <c r="A24" s="58" t="s">
        <v>55</v>
      </c>
      <c r="B24" s="51"/>
      <c r="C24" s="51"/>
      <c r="D24" s="51">
        <v>2.875</v>
      </c>
      <c r="E24" s="51">
        <v>12.125</v>
      </c>
      <c r="F24" s="51"/>
      <c r="G24" s="51"/>
      <c r="H24" s="52">
        <f t="shared" ref="H24" si="3">H23-F24-D24+B24</f>
        <v>1.7763568394002505E-15</v>
      </c>
      <c r="I24" s="52">
        <f t="shared" ref="I24" si="4">I23-E24+C24</f>
        <v>14.75</v>
      </c>
      <c r="J24" s="61">
        <f t="shared" ref="J24" si="5">SUM(H24:I24)</f>
        <v>14.750000000000002</v>
      </c>
    </row>
    <row r="25" spans="1:10" s="50" customFormat="1" ht="19.5" customHeight="1">
      <c r="A25" s="71" t="s">
        <v>56</v>
      </c>
      <c r="B25" s="72"/>
      <c r="C25" s="72"/>
      <c r="D25" s="72"/>
      <c r="E25" s="72"/>
      <c r="F25" s="72"/>
      <c r="G25" s="72"/>
      <c r="H25" s="72"/>
      <c r="I25" s="72"/>
      <c r="J25" s="73"/>
    </row>
    <row r="26" spans="1:10" s="50" customFormat="1" ht="26.25" customHeight="1">
      <c r="A26" s="68" t="s">
        <v>57</v>
      </c>
      <c r="B26" s="69"/>
      <c r="C26" s="69"/>
      <c r="D26" s="69"/>
      <c r="E26" s="69"/>
      <c r="F26" s="69"/>
      <c r="G26" s="69"/>
      <c r="H26" s="69"/>
      <c r="I26" s="69"/>
      <c r="J26" s="70"/>
    </row>
    <row r="27" spans="1:10" s="50" customFormat="1" ht="111" customHeight="1">
      <c r="A27" s="66" t="s">
        <v>61</v>
      </c>
      <c r="B27" s="51">
        <v>10.635</v>
      </c>
      <c r="C27" s="51">
        <v>10.635</v>
      </c>
      <c r="D27" s="51"/>
      <c r="E27" s="51"/>
      <c r="F27" s="51"/>
      <c r="G27" s="51"/>
      <c r="H27" s="52">
        <f t="shared" ref="H27:H33" si="6">H26-F27-D27+B27</f>
        <v>10.635</v>
      </c>
      <c r="I27" s="52">
        <f t="shared" ref="I27:I33" si="7">I26-E27+C27</f>
        <v>10.635</v>
      </c>
      <c r="J27" s="53">
        <f t="shared" ref="J27:J33" si="8">SUM(H27:I27)</f>
        <v>21.27</v>
      </c>
    </row>
    <row r="28" spans="1:10" s="50" customFormat="1" ht="19.5" customHeight="1">
      <c r="A28" s="68" t="s">
        <v>26</v>
      </c>
      <c r="B28" s="69"/>
      <c r="C28" s="69"/>
      <c r="D28" s="69"/>
      <c r="E28" s="69"/>
      <c r="F28" s="69"/>
      <c r="G28" s="69"/>
      <c r="H28" s="69"/>
      <c r="I28" s="69"/>
      <c r="J28" s="70"/>
    </row>
    <row r="29" spans="1:10" s="50" customFormat="1" ht="15" customHeight="1">
      <c r="A29" s="56" t="s">
        <v>25</v>
      </c>
      <c r="B29" s="51">
        <v>0.125</v>
      </c>
      <c r="C29" s="51">
        <v>0.125</v>
      </c>
      <c r="D29" s="51"/>
      <c r="E29" s="51"/>
      <c r="F29" s="51"/>
      <c r="G29" s="51"/>
      <c r="H29" s="52">
        <f>H27-F29-D29+B29</f>
        <v>10.76</v>
      </c>
      <c r="I29" s="52">
        <f>I27-E29+C29</f>
        <v>10.76</v>
      </c>
      <c r="J29" s="53">
        <f t="shared" si="8"/>
        <v>21.52</v>
      </c>
    </row>
    <row r="30" spans="1:10" s="50" customFormat="1" ht="14.25" customHeight="1">
      <c r="A30" s="56" t="s">
        <v>41</v>
      </c>
      <c r="B30" s="51">
        <v>6.25</v>
      </c>
      <c r="C30" s="51">
        <v>6.25</v>
      </c>
      <c r="D30" s="51"/>
      <c r="E30" s="51"/>
      <c r="F30" s="51"/>
      <c r="G30" s="51"/>
      <c r="H30" s="52">
        <f t="shared" si="6"/>
        <v>17.009999999999998</v>
      </c>
      <c r="I30" s="52">
        <f t="shared" si="7"/>
        <v>17.009999999999998</v>
      </c>
      <c r="J30" s="53">
        <f t="shared" si="8"/>
        <v>34.019999999999996</v>
      </c>
    </row>
    <row r="31" spans="1:10" s="50" customFormat="1" ht="16.5" customHeight="1">
      <c r="A31" s="56" t="s">
        <v>42</v>
      </c>
      <c r="B31" s="51">
        <v>3.75</v>
      </c>
      <c r="C31" s="51">
        <v>3.75</v>
      </c>
      <c r="D31" s="51"/>
      <c r="E31" s="51"/>
      <c r="F31" s="51"/>
      <c r="G31" s="51"/>
      <c r="H31" s="52">
        <f t="shared" si="6"/>
        <v>20.759999999999998</v>
      </c>
      <c r="I31" s="52">
        <f t="shared" si="7"/>
        <v>20.759999999999998</v>
      </c>
      <c r="J31" s="53">
        <f t="shared" si="8"/>
        <v>41.519999999999996</v>
      </c>
    </row>
    <row r="32" spans="1:10" s="50" customFormat="1" ht="16.5" customHeight="1">
      <c r="A32" s="56" t="s">
        <v>43</v>
      </c>
      <c r="B32" s="51"/>
      <c r="C32" s="51"/>
      <c r="D32" s="51"/>
      <c r="E32" s="51"/>
      <c r="F32" s="51">
        <v>1</v>
      </c>
      <c r="G32" s="51"/>
      <c r="H32" s="52">
        <f t="shared" si="6"/>
        <v>19.759999999999998</v>
      </c>
      <c r="I32" s="52">
        <f t="shared" si="7"/>
        <v>20.759999999999998</v>
      </c>
      <c r="J32" s="53">
        <f t="shared" si="8"/>
        <v>40.519999999999996</v>
      </c>
    </row>
    <row r="33" spans="1:10" s="50" customFormat="1" ht="18.75" customHeight="1">
      <c r="A33" s="57" t="s">
        <v>44</v>
      </c>
      <c r="B33" s="51">
        <v>3.75</v>
      </c>
      <c r="C33" s="51">
        <v>3.75</v>
      </c>
      <c r="D33" s="51"/>
      <c r="E33" s="51"/>
      <c r="F33" s="51"/>
      <c r="G33" s="51"/>
      <c r="H33" s="52">
        <f t="shared" si="6"/>
        <v>23.509999999999998</v>
      </c>
      <c r="I33" s="52">
        <f t="shared" si="7"/>
        <v>24.509999999999998</v>
      </c>
      <c r="J33" s="53">
        <f t="shared" si="8"/>
        <v>48.019999999999996</v>
      </c>
    </row>
    <row r="34" spans="1:10" s="50" customFormat="1" ht="18.75" customHeight="1">
      <c r="A34" s="60" t="s">
        <v>60</v>
      </c>
      <c r="B34" s="51"/>
      <c r="C34" s="51"/>
      <c r="D34" s="51">
        <v>10</v>
      </c>
      <c r="E34" s="51"/>
      <c r="F34" s="51"/>
      <c r="G34" s="51"/>
      <c r="H34" s="52">
        <f t="shared" ref="H34" si="9">H33-F34-D34+B34</f>
        <v>13.509999999999998</v>
      </c>
      <c r="I34" s="52">
        <f t="shared" ref="I34" si="10">I33-E34+C34</f>
        <v>24.509999999999998</v>
      </c>
      <c r="J34" s="53">
        <f t="shared" ref="J34" si="11">SUM(H34:I34)</f>
        <v>38.019999999999996</v>
      </c>
    </row>
    <row r="35" spans="1:10" s="50" customFormat="1" ht="29.25" customHeight="1">
      <c r="A35" s="63"/>
      <c r="B35" s="64"/>
      <c r="C35" s="64"/>
      <c r="D35" s="64"/>
      <c r="E35" s="64"/>
      <c r="F35" s="64"/>
      <c r="G35" s="64"/>
      <c r="H35" s="65"/>
      <c r="I35" s="65"/>
      <c r="J35" s="65"/>
    </row>
    <row r="39" spans="1:10" s="50" customFormat="1">
      <c r="A39" s="46"/>
      <c r="B39" s="46"/>
      <c r="C39" s="46"/>
      <c r="D39" s="46"/>
      <c r="E39" s="46"/>
      <c r="F39" s="54" t="s">
        <v>24</v>
      </c>
      <c r="G39" s="54"/>
      <c r="H39" s="46"/>
      <c r="I39" s="46"/>
      <c r="J39" s="46"/>
    </row>
  </sheetData>
  <mergeCells count="18">
    <mergeCell ref="K11:K12"/>
    <mergeCell ref="A13:J13"/>
    <mergeCell ref="A15:J15"/>
    <mergeCell ref="A10:J10"/>
    <mergeCell ref="A11:A12"/>
    <mergeCell ref="B11:C11"/>
    <mergeCell ref="D11:G11"/>
    <mergeCell ref="H11:I11"/>
    <mergeCell ref="J11:J12"/>
    <mergeCell ref="B9:D9"/>
    <mergeCell ref="A28:J28"/>
    <mergeCell ref="A26:J26"/>
    <mergeCell ref="A25:J25"/>
    <mergeCell ref="A2:J2"/>
    <mergeCell ref="A3:J3"/>
    <mergeCell ref="A4:J4"/>
    <mergeCell ref="A5:J5"/>
    <mergeCell ref="B7:D7"/>
  </mergeCells>
  <printOptions horizontalCentered="1"/>
  <pageMargins left="0.23622047244094491" right="0.23622047244094491" top="0.11811023622047245" bottom="0.11811023622047245" header="0.31496062992125984" footer="0.31496062992125984"/>
  <pageSetup paperSize="9" scale="6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DF87-E01F-4D4E-9FA3-3F17E9E19ECF}">
  <dimension ref="A1:G26"/>
  <sheetViews>
    <sheetView view="pageBreakPreview" zoomScaleNormal="100" workbookViewId="0">
      <selection activeCell="G21" sqref="G21"/>
    </sheetView>
  </sheetViews>
  <sheetFormatPr defaultColWidth="9" defaultRowHeight="15"/>
  <cols>
    <col min="1" max="1" width="23.85546875" style="11" customWidth="1"/>
    <col min="2" max="2" width="18.85546875" style="11" customWidth="1"/>
    <col min="3" max="3" width="35" style="29" customWidth="1"/>
    <col min="4" max="4" width="11.7109375" style="30" customWidth="1"/>
    <col min="5" max="5" width="11" style="11" customWidth="1"/>
    <col min="6" max="6" width="11.85546875" style="30" customWidth="1"/>
    <col min="7" max="7" width="22" style="11" customWidth="1"/>
    <col min="8" max="16384" width="9" style="11"/>
  </cols>
  <sheetData>
    <row r="1" spans="1:7" s="3" customFormat="1" ht="52.5" customHeight="1">
      <c r="E1" s="4"/>
    </row>
    <row r="2" spans="1:7" s="3" customFormat="1" ht="10.5" customHeight="1">
      <c r="A2" s="97" t="s">
        <v>0</v>
      </c>
      <c r="B2" s="97"/>
      <c r="C2" s="97"/>
      <c r="D2" s="97"/>
      <c r="E2" s="97"/>
      <c r="F2" s="97"/>
      <c r="G2" s="97"/>
    </row>
    <row r="3" spans="1:7" s="3" customFormat="1" ht="15.95" customHeight="1">
      <c r="A3" s="97" t="s">
        <v>1</v>
      </c>
      <c r="B3" s="97"/>
      <c r="C3" s="97"/>
      <c r="D3" s="97"/>
      <c r="E3" s="97"/>
      <c r="F3" s="97"/>
      <c r="G3" s="97"/>
    </row>
    <row r="4" spans="1:7" s="3" customFormat="1" ht="15.95" customHeight="1">
      <c r="A4" s="97" t="s">
        <v>2</v>
      </c>
      <c r="B4" s="97"/>
      <c r="C4" s="97"/>
      <c r="D4" s="97"/>
      <c r="E4" s="97"/>
      <c r="F4" s="97"/>
      <c r="G4" s="97"/>
    </row>
    <row r="5" spans="1:7" s="3" customFormat="1" ht="15.95" customHeight="1">
      <c r="A5" s="97" t="s">
        <v>3</v>
      </c>
      <c r="B5" s="97"/>
      <c r="C5" s="97"/>
      <c r="D5" s="97"/>
      <c r="E5" s="97"/>
      <c r="F5" s="97"/>
      <c r="G5" s="97"/>
    </row>
    <row r="6" spans="1:7" s="3" customFormat="1" ht="8.25" customHeight="1">
      <c r="E6" s="4"/>
    </row>
    <row r="7" spans="1:7" s="3" customFormat="1" ht="8.25" customHeight="1">
      <c r="E7" s="4"/>
    </row>
    <row r="8" spans="1:7" s="3" customFormat="1" ht="17.25" customHeight="1">
      <c r="A8" s="5" t="s">
        <v>37</v>
      </c>
      <c r="B8" s="5"/>
      <c r="C8" s="5" t="s">
        <v>27</v>
      </c>
      <c r="D8" s="6"/>
      <c r="E8" s="5" t="s">
        <v>28</v>
      </c>
      <c r="F8" s="6"/>
      <c r="G8" s="7"/>
    </row>
    <row r="9" spans="1:7" s="3" customFormat="1" ht="12" customHeight="1">
      <c r="A9" s="8"/>
      <c r="B9" s="8"/>
      <c r="C9" s="9"/>
      <c r="E9" s="5" t="s">
        <v>29</v>
      </c>
      <c r="F9" s="10"/>
      <c r="G9" s="9"/>
    </row>
    <row r="10" spans="1:7" s="3" customFormat="1" ht="14.25" customHeight="1">
      <c r="A10" s="5" t="s">
        <v>30</v>
      </c>
      <c r="B10" s="5"/>
      <c r="C10" s="5" t="s">
        <v>31</v>
      </c>
      <c r="D10" s="6"/>
      <c r="E10" s="5" t="s">
        <v>32</v>
      </c>
      <c r="F10" s="6"/>
      <c r="G10" s="7"/>
    </row>
    <row r="11" spans="1:7" s="3" customFormat="1" ht="12" customHeight="1" thickBot="1">
      <c r="A11" s="7"/>
      <c r="B11" s="7"/>
      <c r="C11" s="7"/>
      <c r="F11" s="6"/>
      <c r="G11" s="7"/>
    </row>
    <row r="12" spans="1:7" ht="23.25" customHeight="1" thickBot="1">
      <c r="A12" s="98" t="s">
        <v>33</v>
      </c>
      <c r="B12" s="99"/>
      <c r="C12" s="99"/>
      <c r="D12" s="99"/>
      <c r="E12" s="99"/>
      <c r="F12" s="99"/>
      <c r="G12" s="100"/>
    </row>
    <row r="13" spans="1:7" s="17" customFormat="1" ht="37.5" customHeight="1" thickBot="1">
      <c r="A13" s="12" t="s">
        <v>34</v>
      </c>
      <c r="B13" s="13" t="s">
        <v>35</v>
      </c>
      <c r="C13" s="14" t="s">
        <v>36</v>
      </c>
      <c r="D13" s="14" t="s">
        <v>7</v>
      </c>
      <c r="E13" s="15" t="s">
        <v>8</v>
      </c>
      <c r="F13" s="15" t="s">
        <v>9</v>
      </c>
      <c r="G13" s="16" t="s">
        <v>5</v>
      </c>
    </row>
    <row r="14" spans="1:7" s="17" customFormat="1" ht="18.75" customHeight="1">
      <c r="A14" s="62" t="s">
        <v>58</v>
      </c>
      <c r="B14" s="35"/>
      <c r="C14" s="20" t="s">
        <v>59</v>
      </c>
      <c r="D14" s="21">
        <v>33.923999999999999</v>
      </c>
      <c r="E14" s="22">
        <v>0</v>
      </c>
      <c r="F14" s="22">
        <v>33.923999999999999</v>
      </c>
      <c r="G14" s="23">
        <v>33.923999999999999</v>
      </c>
    </row>
    <row r="15" spans="1:7" s="17" customFormat="1" ht="23.25" customHeight="1">
      <c r="A15" s="36" t="s">
        <v>38</v>
      </c>
      <c r="B15" s="37" t="s">
        <v>39</v>
      </c>
      <c r="C15" s="20" t="s">
        <v>40</v>
      </c>
      <c r="D15" s="21">
        <v>15</v>
      </c>
      <c r="E15" s="22">
        <v>0</v>
      </c>
      <c r="F15" s="22">
        <v>15</v>
      </c>
      <c r="G15" s="23">
        <v>15</v>
      </c>
    </row>
    <row r="16" spans="1:7" s="17" customFormat="1" ht="15.75" customHeight="1">
      <c r="A16" s="33"/>
      <c r="B16" s="34"/>
      <c r="C16" s="20"/>
      <c r="D16" s="21"/>
      <c r="E16" s="22"/>
      <c r="F16" s="22"/>
      <c r="G16" s="23"/>
    </row>
    <row r="17" spans="1:7" s="17" customFormat="1" ht="15.75" customHeight="1">
      <c r="A17" s="33"/>
      <c r="B17" s="34"/>
      <c r="C17" s="20"/>
      <c r="D17" s="21"/>
      <c r="E17" s="22"/>
      <c r="F17" s="22"/>
      <c r="G17" s="23"/>
    </row>
    <row r="18" spans="1:7" s="17" customFormat="1" ht="15.75" customHeight="1">
      <c r="A18" s="33"/>
      <c r="B18" s="19"/>
      <c r="C18" s="20"/>
      <c r="D18" s="21"/>
      <c r="E18" s="22"/>
      <c r="F18" s="22"/>
      <c r="G18" s="23"/>
    </row>
    <row r="19" spans="1:7" s="17" customFormat="1" ht="15.75" customHeight="1">
      <c r="A19" s="18"/>
      <c r="B19" s="19"/>
      <c r="C19" s="20"/>
      <c r="D19" s="21"/>
      <c r="E19" s="22"/>
      <c r="F19" s="22"/>
      <c r="G19" s="23"/>
    </row>
    <row r="20" spans="1:7" s="17" customFormat="1" ht="15.75" customHeight="1">
      <c r="A20" s="31"/>
      <c r="B20" s="19"/>
      <c r="C20" s="20"/>
      <c r="D20" s="21"/>
      <c r="E20" s="22"/>
      <c r="F20" s="22"/>
      <c r="G20" s="23"/>
    </row>
    <row r="21" spans="1:7" s="25" customFormat="1" ht="15.75">
      <c r="A21" s="32"/>
      <c r="B21" s="32"/>
      <c r="C21" s="20"/>
      <c r="D21" s="24"/>
      <c r="E21" s="24"/>
      <c r="F21" s="24"/>
      <c r="G21" s="23"/>
    </row>
    <row r="22" spans="1:7" s="25" customFormat="1" ht="15.75">
      <c r="A22" s="32"/>
      <c r="B22" s="32"/>
      <c r="C22" s="20"/>
      <c r="D22" s="24"/>
      <c r="E22" s="24"/>
      <c r="F22" s="24"/>
      <c r="G22" s="26"/>
    </row>
    <row r="23" spans="1:7" s="25" customFormat="1" ht="31.5">
      <c r="A23" s="94" t="s">
        <v>5</v>
      </c>
      <c r="B23" s="95"/>
      <c r="C23" s="95"/>
      <c r="D23" s="95"/>
      <c r="E23" s="95"/>
      <c r="F23" s="96"/>
      <c r="G23" s="27" t="s">
        <v>62</v>
      </c>
    </row>
    <row r="24" spans="1:7" s="3" customFormat="1" ht="75.75" customHeight="1">
      <c r="A24" s="28"/>
      <c r="B24" s="28"/>
      <c r="G24" s="28"/>
    </row>
    <row r="25" spans="1:7" s="3" customFormat="1"/>
    <row r="26" spans="1:7" s="3" customFormat="1"/>
  </sheetData>
  <mergeCells count="6">
    <mergeCell ref="A23:F23"/>
    <mergeCell ref="A2:G2"/>
    <mergeCell ref="A3:G3"/>
    <mergeCell ref="A4:G4"/>
    <mergeCell ref="A5:G5"/>
    <mergeCell ref="A12:G12"/>
  </mergeCells>
  <phoneticPr fontId="16" type="noConversion"/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Election &amp; NLC</vt:lpstr>
      <vt:lpstr>'Election &amp; NLC'!Print_Area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2025-06-16T01:12:10Z</cp:lastPrinted>
  <dcterms:created xsi:type="dcterms:W3CDTF">2021-10-07T06:10:00Z</dcterms:created>
  <dcterms:modified xsi:type="dcterms:W3CDTF">2025-06-16T01:16:30Z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