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E96A4FE-1ABF-4BA4-8446-A5B8C867C9AC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CORRECTED" sheetId="6" r:id="rId1"/>
    <sheet name="CTO" sheetId="8" r:id="rId2"/>
    <sheet name="Leave Card (NE) (3)" sheetId="10" r:id="rId3"/>
    <sheet name="Leave Card (NE) (2)" sheetId="9" r:id="rId4"/>
  </sheets>
  <definedNames>
    <definedName name="_xlnm.Print_Area" localSheetId="0">CORRECTED!$A$1:$J$84</definedName>
    <definedName name="_xlnm.Print_Area" localSheetId="3">'Leave Card (NE) (2)'!$A$1:$L$23</definedName>
    <definedName name="_xlnm.Print_Area" localSheetId="2">'Leave Card (NE) (3)'!$A$1:$J$65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6" l="1"/>
  <c r="J77" i="6" s="1"/>
  <c r="I77" i="6"/>
  <c r="B46" i="10"/>
  <c r="C13" i="10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B13" i="10"/>
  <c r="H13" i="10" s="1"/>
  <c r="B45" i="6"/>
  <c r="H14" i="10" l="1"/>
  <c r="J13" i="10"/>
  <c r="C13" i="6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B13" i="6"/>
  <c r="H13" i="6" s="1"/>
  <c r="H14" i="6" s="1"/>
  <c r="H15" i="6" s="1"/>
  <c r="I60" i="6" l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H15" i="10"/>
  <c r="J14" i="10"/>
  <c r="H16" i="6"/>
  <c r="J15" i="6"/>
  <c r="J13" i="6"/>
  <c r="H16" i="10" l="1"/>
  <c r="J15" i="10"/>
  <c r="J16" i="6"/>
  <c r="H17" i="6"/>
  <c r="J14" i="6"/>
  <c r="H17" i="10" l="1"/>
  <c r="J16" i="10"/>
  <c r="J17" i="6"/>
  <c r="H18" i="6"/>
  <c r="H18" i="10" l="1"/>
  <c r="J17" i="10"/>
  <c r="H19" i="6"/>
  <c r="J18" i="6"/>
  <c r="H19" i="10" l="1"/>
  <c r="J18" i="10"/>
  <c r="J19" i="6"/>
  <c r="H20" i="6"/>
  <c r="H20" i="10" l="1"/>
  <c r="J19" i="10"/>
  <c r="H21" i="6"/>
  <c r="J20" i="6"/>
  <c r="H21" i="10" l="1"/>
  <c r="J20" i="10"/>
  <c r="H22" i="6"/>
  <c r="J21" i="6"/>
  <c r="H22" i="10" l="1"/>
  <c r="J21" i="10"/>
  <c r="J22" i="6"/>
  <c r="H23" i="6"/>
  <c r="H23" i="10" l="1"/>
  <c r="J22" i="10"/>
  <c r="H24" i="6"/>
  <c r="J23" i="6"/>
  <c r="H24" i="10" l="1"/>
  <c r="J23" i="10"/>
  <c r="J24" i="6"/>
  <c r="H25" i="6"/>
  <c r="H25" i="10" l="1"/>
  <c r="J24" i="10"/>
  <c r="H26" i="6"/>
  <c r="J25" i="6"/>
  <c r="H26" i="10" l="1"/>
  <c r="J25" i="10"/>
  <c r="H27" i="6"/>
  <c r="J26" i="6"/>
  <c r="H27" i="10" l="1"/>
  <c r="J26" i="10"/>
  <c r="H28" i="6"/>
  <c r="J27" i="6"/>
  <c r="H28" i="10" l="1"/>
  <c r="J27" i="10"/>
  <c r="H29" i="6"/>
  <c r="H30" i="6" s="1"/>
  <c r="J28" i="6"/>
  <c r="J30" i="6" l="1"/>
  <c r="H31" i="6"/>
  <c r="H29" i="10"/>
  <c r="J28" i="10"/>
  <c r="J29" i="6"/>
  <c r="H32" i="6" l="1"/>
  <c r="J31" i="6"/>
  <c r="H30" i="10"/>
  <c r="J29" i="10"/>
  <c r="H33" i="6" l="1"/>
  <c r="J32" i="6"/>
  <c r="H31" i="10"/>
  <c r="J30" i="10"/>
  <c r="H34" i="6" l="1"/>
  <c r="J33" i="6"/>
  <c r="H32" i="10"/>
  <c r="J31" i="10"/>
  <c r="J34" i="6" l="1"/>
  <c r="H35" i="6"/>
  <c r="H33" i="10"/>
  <c r="J32" i="10"/>
  <c r="J35" i="6" l="1"/>
  <c r="H36" i="6"/>
  <c r="H34" i="10"/>
  <c r="J33" i="10"/>
  <c r="J36" i="6" l="1"/>
  <c r="H37" i="6"/>
  <c r="H35" i="10"/>
  <c r="J34" i="10"/>
  <c r="J37" i="6" l="1"/>
  <c r="H38" i="6"/>
  <c r="H36" i="10"/>
  <c r="J35" i="10"/>
  <c r="J38" i="6" l="1"/>
  <c r="H39" i="6"/>
  <c r="H37" i="10"/>
  <c r="J36" i="10"/>
  <c r="J39" i="6" l="1"/>
  <c r="H40" i="6"/>
  <c r="H38" i="10"/>
  <c r="J37" i="10"/>
  <c r="J40" i="6" l="1"/>
  <c r="H41" i="6"/>
  <c r="H39" i="10"/>
  <c r="J38" i="10"/>
  <c r="H42" i="6" l="1"/>
  <c r="J41" i="6"/>
  <c r="H40" i="10"/>
  <c r="J39" i="10"/>
  <c r="J42" i="6" l="1"/>
  <c r="H43" i="6"/>
  <c r="H41" i="10"/>
  <c r="J40" i="10"/>
  <c r="J43" i="6" l="1"/>
  <c r="H44" i="6"/>
  <c r="H42" i="10"/>
  <c r="J41" i="10"/>
  <c r="J44" i="6" l="1"/>
  <c r="H45" i="6"/>
  <c r="H43" i="10"/>
  <c r="J42" i="10"/>
  <c r="J45" i="6" l="1"/>
  <c r="H46" i="6"/>
  <c r="H44" i="10"/>
  <c r="J43" i="10"/>
  <c r="J46" i="6" l="1"/>
  <c r="H47" i="6"/>
  <c r="H45" i="10"/>
  <c r="J44" i="10"/>
  <c r="H48" i="6" l="1"/>
  <c r="J47" i="6"/>
  <c r="H46" i="10"/>
  <c r="J45" i="10"/>
  <c r="J48" i="6" l="1"/>
  <c r="H49" i="6"/>
  <c r="J46" i="10"/>
  <c r="H47" i="10"/>
  <c r="J49" i="6" l="1"/>
  <c r="H50" i="6"/>
  <c r="H48" i="10"/>
  <c r="J47" i="10"/>
  <c r="J50" i="6" l="1"/>
  <c r="H51" i="6"/>
  <c r="J48" i="10"/>
  <c r="H49" i="10"/>
  <c r="J51" i="6" l="1"/>
  <c r="H52" i="6"/>
  <c r="H50" i="10"/>
  <c r="J49" i="10"/>
  <c r="J52" i="6" l="1"/>
  <c r="H53" i="6"/>
  <c r="J50" i="10"/>
  <c r="H51" i="10"/>
  <c r="H54" i="6" l="1"/>
  <c r="J53" i="6"/>
  <c r="H52" i="10"/>
  <c r="J51" i="10"/>
  <c r="J54" i="6" l="1"/>
  <c r="H55" i="6"/>
  <c r="J52" i="10"/>
  <c r="H53" i="10"/>
  <c r="J55" i="6" l="1"/>
  <c r="H56" i="6"/>
  <c r="H54" i="10"/>
  <c r="J53" i="10"/>
  <c r="J56" i="6" l="1"/>
  <c r="H57" i="6"/>
  <c r="J54" i="10"/>
  <c r="H55" i="10"/>
  <c r="J57" i="6" l="1"/>
  <c r="H58" i="6"/>
  <c r="H56" i="10"/>
  <c r="J56" i="10" s="1"/>
  <c r="J55" i="10"/>
  <c r="J58" i="6" l="1"/>
  <c r="H59" i="6"/>
  <c r="H60" i="6" l="1"/>
  <c r="J59" i="6"/>
  <c r="J60" i="6" l="1"/>
  <c r="H61" i="6"/>
  <c r="J61" i="6" l="1"/>
  <c r="H62" i="6"/>
  <c r="H63" i="6" l="1"/>
  <c r="J62" i="6"/>
  <c r="J63" i="6" l="1"/>
  <c r="H64" i="6"/>
  <c r="H65" i="6" l="1"/>
  <c r="J64" i="6"/>
  <c r="J65" i="6" l="1"/>
  <c r="H66" i="6"/>
  <c r="J66" i="6" l="1"/>
  <c r="H67" i="6"/>
  <c r="H68" i="6" l="1"/>
  <c r="J67" i="6"/>
  <c r="J68" i="6" l="1"/>
  <c r="H69" i="6"/>
  <c r="J69" i="6" l="1"/>
  <c r="H70" i="6"/>
  <c r="J70" i="6" l="1"/>
  <c r="H71" i="6"/>
  <c r="J71" i="6" l="1"/>
  <c r="H72" i="6"/>
  <c r="H73" i="6" l="1"/>
  <c r="J72" i="6"/>
  <c r="H74" i="6" l="1"/>
  <c r="J73" i="6"/>
  <c r="J74" i="6" l="1"/>
  <c r="H75" i="6"/>
  <c r="J75" i="6" l="1"/>
  <c r="H76" i="6"/>
  <c r="J76" i="6" s="1"/>
</calcChain>
</file>

<file path=xl/sharedStrings.xml><?xml version="1.0" encoding="utf-8"?>
<sst xmlns="http://schemas.openxmlformats.org/spreadsheetml/2006/main" count="222" uniqueCount="125">
  <si>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</si>
  <si>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</si>
  <si>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</si>
  <si>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</si>
  <si>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</si>
  <si>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</si>
  <si>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</si>
  <si>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</si>
  <si>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</si>
  <si>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</si>
  <si>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</si>
  <si>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01/03/2022 - 01/31/2022</t>
  </si>
  <si>
    <t>LESS: 04/01/22</t>
  </si>
  <si>
    <t>ADD: 06/01/2022 - 06/30/2022</t>
  </si>
  <si>
    <t>LESS: 07/11/22</t>
  </si>
  <si>
    <t>ADD: 07/01/2022 - 07/31/2022</t>
  </si>
  <si>
    <t>LESS: 08/26 &amp; 30/22</t>
  </si>
  <si>
    <t>ADD: 08/01/2022 - 08/31/2022</t>
  </si>
  <si>
    <t>LESS: 09/29 &amp; 30/2022</t>
  </si>
  <si>
    <t>S.O CSC MC NO. 16, S. 2021 COVID - 19</t>
  </si>
  <si>
    <t>ADD: 09/01/2022 - 10/31/2022</t>
  </si>
  <si>
    <t>LESS: 11/11/ (PM), 14, 2022</t>
  </si>
  <si>
    <t>LESS: 11/24 &amp; 25/ 2022</t>
  </si>
  <si>
    <t>ADD: 11/01/2022 - 11/30/2022</t>
  </si>
  <si>
    <t>LESS: 12/06/ 2022</t>
  </si>
  <si>
    <t>ADD: 12/01/2022 - 12/31/2022</t>
  </si>
  <si>
    <t>LESS: 12/29/ 2022 (pm)</t>
  </si>
  <si>
    <t>LESS: 01/3 &amp; 4/ 2023</t>
  </si>
  <si>
    <t>LESS: 01/5 &amp; 6/ 2023</t>
  </si>
  <si>
    <t>LESS: 01/12/ 2023</t>
  </si>
  <si>
    <t>LESS: 02/27 &amp; 28/ 2023</t>
  </si>
  <si>
    <t>ADD: 01/01/2023 - 01/31/2023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</si>
  <si>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</si>
  <si>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</si>
  <si>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</si>
  <si>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</si>
  <si>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</si>
  <si>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</si>
  <si>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</si>
  <si>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</si>
  <si>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</si>
  <si>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</si>
  <si>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</si>
  <si>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</si>
  <si>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</si>
  <si>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</si>
  <si>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</si>
  <si>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LESS: 03/20/23</t>
  </si>
  <si>
    <t>NOTE:  Valid for one (1) year only</t>
  </si>
  <si>
    <t>Certified Correct:</t>
  </si>
  <si>
    <t>MA. LUISA B. CATIGAN</t>
  </si>
  <si>
    <t>Administrative Officer IV</t>
  </si>
  <si>
    <t>HRMO</t>
  </si>
  <si>
    <t>ADD: 02/01/2023 - 03/31/2023</t>
  </si>
  <si>
    <t>ADD: 04/01/2023 - 04/30/2023</t>
  </si>
  <si>
    <t>LESS: 05/29 - 31 &amp; 06/01 - 02/ 2023</t>
  </si>
  <si>
    <t>LESS: 06/05/ 2023</t>
  </si>
  <si>
    <t>ADD: 05/01/2023 - 05/31/2023</t>
  </si>
  <si>
    <t>LESS: 06/29 &amp; 30/ 2023</t>
  </si>
  <si>
    <t>SPECIAL PRIVILEGE LEAVE</t>
  </si>
  <si>
    <t>LESS: 08/14 &amp; 15/2023</t>
  </si>
  <si>
    <t>SERVICE LEAVE CARD</t>
  </si>
  <si>
    <t>LESS:08/31/2023-09/01/2023</t>
  </si>
  <si>
    <t>LESS: 10/09/2023</t>
  </si>
  <si>
    <t>ADD: 10/17/2023</t>
  </si>
  <si>
    <t>S.O. #159, S. 2023. 125THPHILIPPINE INDEPENDENCE DAY CELEBRATION</t>
  </si>
  <si>
    <t>LESS: 11/03/2023</t>
  </si>
  <si>
    <t>ADD: 10/01/2023-12/31/2023</t>
  </si>
  <si>
    <t>LESS: 01/3-5/2024</t>
  </si>
  <si>
    <t>ADD: 01/01/2024-01/31/2024</t>
  </si>
  <si>
    <t>LESS: 02/05/2024</t>
  </si>
  <si>
    <t>ADD: 02/01-29/2024</t>
  </si>
  <si>
    <t>LESS: 02/28-29/2024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</si>
  <si>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</si>
  <si>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</si>
  <si>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</si>
  <si>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</si>
  <si>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ADAS III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</si>
  <si>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</si>
  <si>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</si>
  <si>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</si>
  <si>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</si>
  <si>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</si>
  <si>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</si>
  <si>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</si>
  <si>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</si>
  <si>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</si>
  <si>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</si>
  <si>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</si>
  <si>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</si>
  <si>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 : SILARIO, JOEY D.</t>
  </si>
  <si>
    <t>MAY 23-JUNE 3, 2024</t>
  </si>
  <si>
    <t>ADD: 06/26/2024</t>
  </si>
  <si>
    <t>S.O. #024, S. 2024. 126TH PHILIPPINE INDEPENDENCE DAY CELEBRATION</t>
  </si>
  <si>
    <t>LESS: 06/24/2024</t>
  </si>
  <si>
    <t>ADD: 03/1/2024-06/30/2024</t>
  </si>
  <si>
    <t>ADD: 02/01/2022 - 05/31/2022</t>
  </si>
  <si>
    <t>LESS: 07/29/2024</t>
  </si>
  <si>
    <t>LESS: 08/1-2/2024</t>
  </si>
  <si>
    <t>ADD: 06/01/2023 - 09/30/2023</t>
  </si>
  <si>
    <t>LESS: 08/30/2024</t>
  </si>
  <si>
    <t>ADD: 07/1-31/2024</t>
  </si>
  <si>
    <t>ADD: 08/1/2024-11/30/2024</t>
  </si>
  <si>
    <t>LESS: 11/11 &amp; 14, 2022</t>
  </si>
  <si>
    <t>LESS: 11/29/2024</t>
  </si>
  <si>
    <t>LESS: 12/23/2024</t>
  </si>
  <si>
    <t>ADD: 12/1-31/2024</t>
  </si>
  <si>
    <t>LESS: 01/08/2025</t>
  </si>
  <si>
    <t>ADD: 01/1-31/2025</t>
  </si>
  <si>
    <t>LESS: 02/17/2025</t>
  </si>
  <si>
    <t>LESS: 03/7/2025</t>
  </si>
  <si>
    <t>ADD: 02/1-28/2025</t>
  </si>
  <si>
    <t>LESS: 03/21/2025</t>
  </si>
  <si>
    <t>ADD: 03/1/2025-04/30/2025</t>
  </si>
  <si>
    <t>LESS: 05/2/2025</t>
  </si>
  <si>
    <t>LESS: 05/30/2025</t>
  </si>
  <si>
    <t>ADD: 05/1/2025-06/30/2025</t>
  </si>
  <si>
    <t>LESS: 07/14/2025</t>
  </si>
  <si>
    <t>LESS: 08/4 &amp; 6/2025</t>
  </si>
  <si>
    <t>ADD: 07/1-31/2025</t>
  </si>
  <si>
    <t>LESS: 08/15/2025</t>
  </si>
  <si>
    <t>LESS: 08/5, 7, 8 &amp; 11/2025</t>
  </si>
  <si>
    <t>LESS: 08/26/2025</t>
  </si>
  <si>
    <t>LESS: 09/8/2025</t>
  </si>
  <si>
    <t>ADD: 08/1-31/2025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</si>
</sst>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9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6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6" fillId="0" borderId="0" xfId="1"/>
    <xf numFmtId="0" fontId="7" fillId="0" borderId="0" xfId="1" applyFont="1"/>
    <xf numFmtId="0" fontId="0" fillId="2" borderId="7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0" fontId="9" fillId="0" borderId="0" xfId="1" applyFont="1"/>
    <xf numFmtId="0" fontId="6" fillId="0" borderId="0" xfId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6" fillId="2" borderId="0" xfId="1" applyFill="1" applyAlignment="1">
      <alignment horizontal="center" vertical="center" wrapText="1"/>
    </xf>
    <xf numFmtId="0" fontId="6" fillId="2" borderId="0" xfId="1" applyFill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/>
    </xf>
    <xf numFmtId="0" fontId="6" fillId="0" borderId="0" xfId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/>
    </xf>
    <xf numFmtId="0" fontId="3" fillId="7" borderId="20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6" fillId="2" borderId="1" xfId="1" applyFill="1" applyBorder="1" applyAlignment="1">
      <alignment horizontal="center" vertical="center"/>
    </xf>
    <xf numFmtId="0" fontId="6" fillId="2" borderId="1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0" borderId="8" xfId="1" applyBorder="1" applyAlignment="1">
      <alignment vertical="center"/>
    </xf>
    <xf numFmtId="164" fontId="6" fillId="2" borderId="1" xfId="1" applyNumberFormat="1" applyFill="1" applyBorder="1" applyAlignment="1">
      <alignment horizontal="center" vertical="center"/>
    </xf>
    <xf numFmtId="0" fontId="6" fillId="12" borderId="0" xfId="1" applyFill="1"/>
    <xf numFmtId="0" fontId="6" fillId="13" borderId="0" xfId="1" applyFill="1"/>
    <xf numFmtId="0" fontId="6" fillId="14" borderId="0" xfId="1" applyFill="1"/>
    <xf numFmtId="0" fontId="6" fillId="15" borderId="2" xfId="1" applyFill="1" applyBorder="1" applyAlignment="1">
      <alignment horizontal="center" vertical="center" wrapText="1"/>
    </xf>
    <xf numFmtId="0" fontId="6" fillId="15" borderId="1" xfId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13" fillId="0" borderId="0" xfId="1" applyFont="1"/>
    <xf numFmtId="0" fontId="14" fillId="0" borderId="0" xfId="0" applyFont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center" vertical="center"/>
    </xf>
    <xf numFmtId="0" fontId="3" fillId="8" borderId="16" xfId="1" applyFont="1" applyFill="1" applyBorder="1" applyAlignment="1">
      <alignment horizontal="center" vertical="center"/>
    </xf>
    <xf numFmtId="0" fontId="3" fillId="8" borderId="17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 wrapText="1"/>
    </xf>
    <xf numFmtId="0" fontId="8" fillId="9" borderId="13" xfId="1" applyFont="1" applyFill="1" applyBorder="1" applyAlignment="1">
      <alignment horizontal="center"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6" fillId="0" borderId="0" xfId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0820AF05-3832-40E7-B0C5-F7979F3EB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295276</xdr:colOff>
      <xdr:row>0</xdr:row>
      <xdr:rowOff>57151</xdr:rowOff>
    </xdr:from>
    <xdr:to>
      <xdr:col>4</xdr:col>
      <xdr:colOff>161925</xdr:colOff>
      <xdr:row>0</xdr:row>
      <xdr:rowOff>660401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57151"/>
          <a:ext cx="638174" cy="6032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DEA9AB-E8BF-4C41-AD29-18FEE3E1F325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SILARIO, JOEY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13FB73-23D9-4131-AC69-77C2F2F1A0EE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020AC9-C23D-4AC2-935E-1470700A8BC4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A7D1A-AD50-4EC2-8EFD-CB5F7603FE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C5E466-4616-47C4-8184-BA2C74A20F00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SILARIO,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JOEY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61A300-F35B-4A24-911D-6274D731E478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D31EB8-DE2F-466E-ACDB-7A4EE7463324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295276</xdr:colOff>
      <xdr:row>0</xdr:row>
      <xdr:rowOff>57151</xdr:rowOff>
    </xdr:from>
    <xdr:to>
      <xdr:col>4</xdr:col>
      <xdr:colOff>161925</xdr:colOff>
      <xdr:row>0</xdr:row>
      <xdr:rowOff>660401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64F85-E985-4E54-960F-A24ACCA3944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57151"/>
          <a:ext cx="638174" cy="6032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868E9F-D7AC-4C48-BC29-A2AD88FEA2DD}"/>
            </a:ext>
          </a:extLst>
        </xdr:cNvPr>
        <xdr:cNvSpPr txBox="1"/>
      </xdr:nvSpPr>
      <xdr:spPr>
        <a:xfrm>
          <a:off x="573942" y="1371111"/>
          <a:ext cx="19421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SILARIO, JOEY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A1F6F7-0B18-4B02-A669-73A507F4EA68}"/>
            </a:ext>
          </a:extLst>
        </xdr:cNvPr>
        <xdr:cNvSpPr txBox="1"/>
      </xdr:nvSpPr>
      <xdr:spPr>
        <a:xfrm>
          <a:off x="616683" y="1718407"/>
          <a:ext cx="18944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CE44C9-9ECE-4CAB-ADF3-9581918EA21C}"/>
            </a:ext>
          </a:extLst>
        </xdr:cNvPr>
        <xdr:cNvSpPr txBox="1"/>
      </xdr:nvSpPr>
      <xdr:spPr>
        <a:xfrm>
          <a:off x="37013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3B4B9-C53A-4453-A748-DA122B6AFB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6</xdr:col>
      <xdr:colOff>581608</xdr:colOff>
      <xdr:row>20</xdr:row>
      <xdr:rowOff>219269</xdr:rowOff>
    </xdr:from>
    <xdr:to>
      <xdr:col>11</xdr:col>
      <xdr:colOff>387609</xdr:colOff>
      <xdr:row>22</xdr:row>
      <xdr:rowOff>133544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2BF09A-878F-450C-BA98-396C0D35319C}"/>
            </a:ext>
          </a:extLst>
        </xdr:cNvPr>
        <xdr:cNvSpPr txBox="1"/>
      </xdr:nvSpPr>
      <xdr:spPr>
        <a:xfrm>
          <a:off x="5723164" y="4699907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88"/>
  <sheetViews>
    <sheetView tabSelected="1" view="pageBreakPreview" topLeftCell="A54" zoomScaleNormal="100" zoomScaleSheetLayoutView="100" workbookViewId="0">
      <selection activeCell="H76" sqref="H76:J77"/>
    </sheetView>
  </sheetViews>
  <sheetFormatPr defaultRowHeight="15" x14ac:dyDescent="0.25"/>
  <cols>
    <col min="1" max="1" width="37.710937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32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33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34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35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36</v>
      </c>
      <c r="B7" s="73" t="s">
        <v>37</v>
      </c>
      <c r="C7" s="73"/>
      <c r="D7" s="73"/>
      <c r="H7" s="4" t="s">
        <v>8</v>
      </c>
      <c r="I7" s="23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38</v>
      </c>
      <c r="B9" s="73" t="s">
        <v>39</v>
      </c>
      <c r="C9" s="73"/>
      <c r="D9" s="73"/>
      <c r="H9" s="4" t="s">
        <v>9</v>
      </c>
      <c r="I9" s="5"/>
      <c r="J9" s="4"/>
    </row>
    <row r="10" spans="1:11" ht="16.5" customHeight="1" thickBot="1" x14ac:dyDescent="0.3">
      <c r="A10" s="74" t="s">
        <v>61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 x14ac:dyDescent="0.25">
      <c r="A11" s="65" t="s">
        <v>3</v>
      </c>
      <c r="B11" s="69" t="s">
        <v>4</v>
      </c>
      <c r="C11" s="69"/>
      <c r="D11" s="70" t="s">
        <v>5</v>
      </c>
      <c r="E11" s="71"/>
      <c r="F11" s="71"/>
      <c r="G11" s="72"/>
      <c r="H11" s="64" t="s">
        <v>6</v>
      </c>
      <c r="I11" s="64"/>
      <c r="J11" s="67" t="s">
        <v>7</v>
      </c>
      <c r="K11" s="63" t="s">
        <v>10</v>
      </c>
    </row>
    <row r="12" spans="1:11" ht="30.75" customHeight="1" x14ac:dyDescent="0.25">
      <c r="A12" s="66"/>
      <c r="B12" s="3" t="s">
        <v>0</v>
      </c>
      <c r="C12" s="3" t="s">
        <v>1</v>
      </c>
      <c r="D12" s="3" t="s">
        <v>0</v>
      </c>
      <c r="E12" s="3" t="s">
        <v>1</v>
      </c>
      <c r="F12" s="3" t="s">
        <v>2</v>
      </c>
      <c r="G12" s="24" t="s">
        <v>59</v>
      </c>
      <c r="H12" s="3" t="s">
        <v>0</v>
      </c>
      <c r="I12" s="3" t="s">
        <v>1</v>
      </c>
      <c r="J12" s="68"/>
      <c r="K12" s="63"/>
    </row>
    <row r="13" spans="1:11" ht="18.75" customHeight="1" x14ac:dyDescent="0.25">
      <c r="A13" s="22" t="s">
        <v>11</v>
      </c>
      <c r="B13" s="29">
        <f>SUM(1.25/30)*29</f>
        <v>1.2083333333333333</v>
      </c>
      <c r="C13" s="29">
        <f>SUM(1.25/30)*29</f>
        <v>1.2083333333333333</v>
      </c>
      <c r="D13" s="29"/>
      <c r="E13" s="29"/>
      <c r="F13" s="29"/>
      <c r="G13" s="29"/>
      <c r="H13" s="29">
        <f>B13</f>
        <v>1.2083333333333333</v>
      </c>
      <c r="I13" s="29">
        <f>C13</f>
        <v>1.2083333333333333</v>
      </c>
      <c r="J13" s="30">
        <f>SUM(H13:I13)</f>
        <v>2.4166666666666665</v>
      </c>
    </row>
    <row r="14" spans="1:11" ht="18.75" customHeight="1" x14ac:dyDescent="0.25">
      <c r="A14" s="22" t="s">
        <v>96</v>
      </c>
      <c r="B14" s="29">
        <v>5</v>
      </c>
      <c r="C14" s="29">
        <v>5</v>
      </c>
      <c r="D14" s="29"/>
      <c r="E14" s="29"/>
      <c r="F14" s="29"/>
      <c r="G14" s="29"/>
      <c r="H14" s="29">
        <f>H13-F14-D14+B14</f>
        <v>6.208333333333333</v>
      </c>
      <c r="I14" s="29">
        <f>I13-E14+B14</f>
        <v>6.208333333333333</v>
      </c>
      <c r="J14" s="30">
        <f>SUM(H14:I14)</f>
        <v>12.416666666666666</v>
      </c>
    </row>
    <row r="15" spans="1:11" ht="18.75" hidden="1" customHeight="1" x14ac:dyDescent="0.25">
      <c r="A15" s="22"/>
      <c r="B15" s="29"/>
      <c r="C15" s="29"/>
      <c r="D15" s="29"/>
      <c r="E15" s="29"/>
      <c r="F15" s="29"/>
      <c r="G15" s="29"/>
      <c r="H15" s="29">
        <f t="shared" ref="H15:H26" si="0">H14-F15-D15+B15</f>
        <v>6.208333333333333</v>
      </c>
      <c r="I15" s="29">
        <f t="shared" ref="I15:I26" si="1">I14-E15+B15</f>
        <v>6.208333333333333</v>
      </c>
      <c r="J15" s="30">
        <f t="shared" ref="J15:J26" si="2">SUM(H15:I15)</f>
        <v>12.416666666666666</v>
      </c>
    </row>
    <row r="16" spans="1:11" ht="18.75" hidden="1" customHeight="1" x14ac:dyDescent="0.25">
      <c r="A16" s="22"/>
      <c r="B16" s="29"/>
      <c r="C16" s="29"/>
      <c r="D16" s="29"/>
      <c r="E16" s="29"/>
      <c r="F16" s="29"/>
      <c r="G16" s="29"/>
      <c r="H16" s="29">
        <f t="shared" si="0"/>
        <v>6.208333333333333</v>
      </c>
      <c r="I16" s="29">
        <f t="shared" si="1"/>
        <v>6.208333333333333</v>
      </c>
      <c r="J16" s="30">
        <f t="shared" si="2"/>
        <v>12.416666666666666</v>
      </c>
    </row>
    <row r="17" spans="1:10" ht="18.75" hidden="1" customHeight="1" x14ac:dyDescent="0.25">
      <c r="A17" s="22"/>
      <c r="B17" s="29"/>
      <c r="C17" s="29"/>
      <c r="D17" s="29"/>
      <c r="E17" s="29"/>
      <c r="F17" s="29"/>
      <c r="G17" s="29"/>
      <c r="H17" s="29">
        <f t="shared" si="0"/>
        <v>6.208333333333333</v>
      </c>
      <c r="I17" s="29">
        <f t="shared" si="1"/>
        <v>6.208333333333333</v>
      </c>
      <c r="J17" s="30">
        <f t="shared" si="2"/>
        <v>12.416666666666666</v>
      </c>
    </row>
    <row r="18" spans="1:10" ht="18.75" customHeight="1" x14ac:dyDescent="0.25">
      <c r="A18" s="22" t="s">
        <v>12</v>
      </c>
      <c r="B18" s="29"/>
      <c r="C18" s="29"/>
      <c r="D18" s="29"/>
      <c r="E18" s="29">
        <v>1</v>
      </c>
      <c r="F18" s="29"/>
      <c r="G18" s="29"/>
      <c r="H18" s="29">
        <f>H17-F18-D18+B18</f>
        <v>6.208333333333333</v>
      </c>
      <c r="I18" s="29">
        <f>I17-E18+B18</f>
        <v>5.208333333333333</v>
      </c>
      <c r="J18" s="30">
        <f t="shared" si="2"/>
        <v>11.416666666666666</v>
      </c>
    </row>
    <row r="19" spans="1:10" ht="18.75" customHeight="1" x14ac:dyDescent="0.25">
      <c r="A19" s="22" t="s">
        <v>13</v>
      </c>
      <c r="B19" s="29">
        <v>1.25</v>
      </c>
      <c r="C19" s="29">
        <v>1.25</v>
      </c>
      <c r="D19" s="29"/>
      <c r="E19" s="29"/>
      <c r="F19" s="29"/>
      <c r="G19" s="29"/>
      <c r="H19" s="29">
        <f t="shared" si="0"/>
        <v>7.458333333333333</v>
      </c>
      <c r="I19" s="29">
        <f t="shared" si="1"/>
        <v>6.458333333333333</v>
      </c>
      <c r="J19" s="30">
        <f t="shared" si="2"/>
        <v>13.916666666666666</v>
      </c>
    </row>
    <row r="20" spans="1:10" ht="18.75" customHeight="1" x14ac:dyDescent="0.25">
      <c r="A20" s="22" t="s">
        <v>14</v>
      </c>
      <c r="B20" s="29"/>
      <c r="C20" s="29"/>
      <c r="D20" s="29"/>
      <c r="E20" s="29"/>
      <c r="F20" s="29"/>
      <c r="G20" s="29">
        <v>1</v>
      </c>
      <c r="H20" s="29">
        <f t="shared" si="0"/>
        <v>7.458333333333333</v>
      </c>
      <c r="I20" s="29">
        <f t="shared" si="1"/>
        <v>6.458333333333333</v>
      </c>
      <c r="J20" s="30">
        <f t="shared" si="2"/>
        <v>13.916666666666666</v>
      </c>
    </row>
    <row r="21" spans="1:10" ht="18.75" customHeight="1" x14ac:dyDescent="0.25">
      <c r="A21" s="22" t="s">
        <v>15</v>
      </c>
      <c r="B21" s="29">
        <v>1.25</v>
      </c>
      <c r="C21" s="29">
        <v>1.25</v>
      </c>
      <c r="D21" s="29"/>
      <c r="E21" s="29"/>
      <c r="F21" s="29"/>
      <c r="G21" s="29"/>
      <c r="H21" s="29">
        <f t="shared" si="0"/>
        <v>8.7083333333333321</v>
      </c>
      <c r="I21" s="29">
        <f t="shared" si="1"/>
        <v>7.708333333333333</v>
      </c>
      <c r="J21" s="30">
        <f t="shared" si="2"/>
        <v>16.416666666666664</v>
      </c>
    </row>
    <row r="22" spans="1:10" ht="18.75" customHeight="1" x14ac:dyDescent="0.25">
      <c r="A22" s="22" t="s">
        <v>16</v>
      </c>
      <c r="B22" s="29"/>
      <c r="C22" s="29"/>
      <c r="D22" s="29"/>
      <c r="E22" s="29"/>
      <c r="F22" s="29"/>
      <c r="G22" s="29">
        <v>2</v>
      </c>
      <c r="H22" s="29">
        <f t="shared" si="0"/>
        <v>8.7083333333333321</v>
      </c>
      <c r="I22" s="29">
        <f t="shared" si="1"/>
        <v>7.708333333333333</v>
      </c>
      <c r="J22" s="30">
        <f t="shared" si="2"/>
        <v>16.416666666666664</v>
      </c>
    </row>
    <row r="23" spans="1:10" ht="18.75" customHeight="1" x14ac:dyDescent="0.25">
      <c r="A23" s="22" t="s">
        <v>17</v>
      </c>
      <c r="B23" s="29">
        <v>1.25</v>
      </c>
      <c r="C23" s="29">
        <v>1.25</v>
      </c>
      <c r="D23" s="29"/>
      <c r="E23" s="29"/>
      <c r="F23" s="29"/>
      <c r="G23" s="29"/>
      <c r="H23" s="29">
        <f t="shared" si="0"/>
        <v>9.9583333333333321</v>
      </c>
      <c r="I23" s="29">
        <f t="shared" si="1"/>
        <v>8.9583333333333321</v>
      </c>
      <c r="J23" s="30">
        <f t="shared" si="2"/>
        <v>18.916666666666664</v>
      </c>
    </row>
    <row r="24" spans="1:10" ht="18.75" customHeight="1" x14ac:dyDescent="0.25">
      <c r="A24" s="22" t="s">
        <v>20</v>
      </c>
      <c r="B24" s="29">
        <v>2.5</v>
      </c>
      <c r="C24" s="29">
        <v>2.5</v>
      </c>
      <c r="D24" s="29"/>
      <c r="E24" s="29"/>
      <c r="F24" s="29"/>
      <c r="G24" s="29"/>
      <c r="H24" s="29">
        <f t="shared" si="0"/>
        <v>12.458333333333332</v>
      </c>
      <c r="I24" s="29">
        <f t="shared" si="1"/>
        <v>11.458333333333332</v>
      </c>
      <c r="J24" s="30">
        <f t="shared" si="2"/>
        <v>23.916666666666664</v>
      </c>
    </row>
    <row r="25" spans="1:10" ht="18.75" customHeight="1" x14ac:dyDescent="0.25">
      <c r="A25" s="22" t="s">
        <v>103</v>
      </c>
      <c r="B25" s="29"/>
      <c r="C25" s="29"/>
      <c r="D25" s="29"/>
      <c r="E25" s="29"/>
      <c r="F25" s="29">
        <v>2</v>
      </c>
      <c r="G25" s="29"/>
      <c r="H25" s="29">
        <f t="shared" si="0"/>
        <v>10.458333333333332</v>
      </c>
      <c r="I25" s="29">
        <f t="shared" si="1"/>
        <v>11.458333333333332</v>
      </c>
      <c r="J25" s="30">
        <f t="shared" si="2"/>
        <v>21.916666666666664</v>
      </c>
    </row>
    <row r="26" spans="1:10" ht="18.75" customHeight="1" x14ac:dyDescent="0.25">
      <c r="A26" s="22" t="s">
        <v>22</v>
      </c>
      <c r="B26" s="29"/>
      <c r="C26" s="29"/>
      <c r="D26" s="29"/>
      <c r="E26" s="29"/>
      <c r="F26" s="29">
        <v>2</v>
      </c>
      <c r="G26" s="29"/>
      <c r="H26" s="29">
        <f t="shared" si="0"/>
        <v>8.4583333333333321</v>
      </c>
      <c r="I26" s="29">
        <f t="shared" si="1"/>
        <v>11.458333333333332</v>
      </c>
      <c r="J26" s="30">
        <f t="shared" si="2"/>
        <v>19.916666666666664</v>
      </c>
    </row>
    <row r="27" spans="1:10" ht="18.75" customHeight="1" x14ac:dyDescent="0.25">
      <c r="A27" s="22" t="s">
        <v>23</v>
      </c>
      <c r="B27" s="29">
        <v>1.25</v>
      </c>
      <c r="C27" s="29">
        <v>1.25</v>
      </c>
      <c r="D27" s="29"/>
      <c r="E27" s="29"/>
      <c r="F27" s="29"/>
      <c r="G27" s="29"/>
      <c r="H27" s="29">
        <f t="shared" ref="H27:H29" si="3">H26-F27-D27+B27</f>
        <v>9.7083333333333321</v>
      </c>
      <c r="I27" s="29">
        <f t="shared" ref="I27:I29" si="4">I26-E27+B27</f>
        <v>12.708333333333332</v>
      </c>
      <c r="J27" s="30">
        <f t="shared" ref="J27:J29" si="5">SUM(H27:I27)</f>
        <v>22.416666666666664</v>
      </c>
    </row>
    <row r="28" spans="1:10" ht="18.75" customHeight="1" x14ac:dyDescent="0.25">
      <c r="A28" s="22" t="s">
        <v>24</v>
      </c>
      <c r="B28" s="29"/>
      <c r="C28" s="29"/>
      <c r="D28" s="29"/>
      <c r="E28" s="29"/>
      <c r="F28" s="29">
        <v>1</v>
      </c>
      <c r="G28" s="29"/>
      <c r="H28" s="29">
        <f t="shared" si="3"/>
        <v>8.7083333333333321</v>
      </c>
      <c r="I28" s="29">
        <f t="shared" si="4"/>
        <v>12.708333333333332</v>
      </c>
      <c r="J28" s="30">
        <f t="shared" si="5"/>
        <v>21.416666666666664</v>
      </c>
    </row>
    <row r="29" spans="1:10" ht="18.75" customHeight="1" x14ac:dyDescent="0.25">
      <c r="A29" s="22" t="s">
        <v>25</v>
      </c>
      <c r="B29" s="29">
        <v>1.25</v>
      </c>
      <c r="C29" s="29">
        <v>1.25</v>
      </c>
      <c r="D29" s="29"/>
      <c r="E29" s="29"/>
      <c r="F29" s="29"/>
      <c r="G29" s="29"/>
      <c r="H29" s="29">
        <f t="shared" si="3"/>
        <v>9.9583333333333321</v>
      </c>
      <c r="I29" s="29">
        <f t="shared" si="4"/>
        <v>13.958333333333332</v>
      </c>
      <c r="J29" s="30">
        <f t="shared" si="5"/>
        <v>23.916666666666664</v>
      </c>
    </row>
    <row r="30" spans="1:10" ht="18.75" customHeight="1" x14ac:dyDescent="0.25">
      <c r="A30" s="22" t="s">
        <v>27</v>
      </c>
      <c r="B30" s="31"/>
      <c r="C30" s="31"/>
      <c r="D30" s="31"/>
      <c r="E30" s="31"/>
      <c r="F30" s="31"/>
      <c r="G30" s="31">
        <v>2</v>
      </c>
      <c r="H30" s="29">
        <f t="shared" ref="H30:H55" si="6">H29-F30-D30+B30</f>
        <v>9.9583333333333321</v>
      </c>
      <c r="I30" s="29">
        <f t="shared" ref="I30:I55" si="7">I29-E30+B30</f>
        <v>13.958333333333332</v>
      </c>
      <c r="J30" s="30">
        <f t="shared" ref="J30:J55" si="8">SUM(H30:I30)</f>
        <v>23.916666666666664</v>
      </c>
    </row>
    <row r="31" spans="1:10" x14ac:dyDescent="0.25">
      <c r="A31" s="22" t="s">
        <v>28</v>
      </c>
      <c r="B31" s="27"/>
      <c r="C31" s="27"/>
      <c r="D31" s="27"/>
      <c r="E31" s="27"/>
      <c r="F31" s="27">
        <v>2</v>
      </c>
      <c r="G31" s="27"/>
      <c r="H31" s="29">
        <f t="shared" si="6"/>
        <v>7.9583333333333321</v>
      </c>
      <c r="I31" s="29">
        <f t="shared" si="7"/>
        <v>13.958333333333332</v>
      </c>
      <c r="J31" s="30">
        <f t="shared" si="8"/>
        <v>21.916666666666664</v>
      </c>
    </row>
    <row r="32" spans="1:10" x14ac:dyDescent="0.25">
      <c r="A32" s="22" t="s">
        <v>29</v>
      </c>
      <c r="B32" s="27"/>
      <c r="C32" s="27"/>
      <c r="D32" s="27"/>
      <c r="E32" s="27"/>
      <c r="F32" s="27">
        <v>1</v>
      </c>
      <c r="G32" s="27"/>
      <c r="H32" s="29">
        <f t="shared" si="6"/>
        <v>6.9583333333333321</v>
      </c>
      <c r="I32" s="29">
        <f t="shared" si="7"/>
        <v>13.958333333333332</v>
      </c>
      <c r="J32" s="30">
        <f t="shared" si="8"/>
        <v>20.916666666666664</v>
      </c>
    </row>
    <row r="33" spans="1:10" x14ac:dyDescent="0.25">
      <c r="A33" s="22" t="s">
        <v>31</v>
      </c>
      <c r="B33" s="29">
        <v>1.25</v>
      </c>
      <c r="C33" s="29">
        <v>1.25</v>
      </c>
      <c r="D33" s="27"/>
      <c r="E33" s="27"/>
      <c r="F33" s="27"/>
      <c r="G33" s="27"/>
      <c r="H33" s="29">
        <f t="shared" si="6"/>
        <v>8.2083333333333321</v>
      </c>
      <c r="I33" s="29">
        <f t="shared" si="7"/>
        <v>15.208333333333332</v>
      </c>
      <c r="J33" s="30">
        <f t="shared" si="8"/>
        <v>23.416666666666664</v>
      </c>
    </row>
    <row r="34" spans="1:10" x14ac:dyDescent="0.25">
      <c r="A34" s="22" t="s">
        <v>30</v>
      </c>
      <c r="B34" s="27"/>
      <c r="C34" s="27"/>
      <c r="D34" s="27"/>
      <c r="E34" s="27"/>
      <c r="F34" s="27">
        <v>2</v>
      </c>
      <c r="G34" s="27"/>
      <c r="H34" s="29">
        <f t="shared" si="6"/>
        <v>6.2083333333333321</v>
      </c>
      <c r="I34" s="29">
        <f t="shared" si="7"/>
        <v>15.208333333333332</v>
      </c>
      <c r="J34" s="30">
        <f t="shared" si="8"/>
        <v>21.416666666666664</v>
      </c>
    </row>
    <row r="35" spans="1:10" x14ac:dyDescent="0.25">
      <c r="A35" s="22" t="s">
        <v>53</v>
      </c>
      <c r="B35" s="27">
        <v>2.5</v>
      </c>
      <c r="C35" s="27">
        <v>2.5</v>
      </c>
      <c r="D35" s="27"/>
      <c r="E35" s="27"/>
      <c r="F35" s="27"/>
      <c r="G35" s="27"/>
      <c r="H35" s="29">
        <f t="shared" si="6"/>
        <v>8.7083333333333321</v>
      </c>
      <c r="I35" s="29">
        <f t="shared" si="7"/>
        <v>17.708333333333332</v>
      </c>
      <c r="J35" s="30">
        <f t="shared" si="8"/>
        <v>26.416666666666664</v>
      </c>
    </row>
    <row r="36" spans="1:10" x14ac:dyDescent="0.25">
      <c r="A36" s="22" t="s">
        <v>54</v>
      </c>
      <c r="B36" s="29">
        <v>1.25</v>
      </c>
      <c r="C36" s="29">
        <v>1.25</v>
      </c>
      <c r="D36" s="27"/>
      <c r="E36" s="27"/>
      <c r="F36" s="27"/>
      <c r="G36" s="27"/>
      <c r="H36" s="29">
        <f t="shared" si="6"/>
        <v>9.9583333333333321</v>
      </c>
      <c r="I36" s="29">
        <f t="shared" si="7"/>
        <v>18.958333333333332</v>
      </c>
      <c r="J36" s="30">
        <f t="shared" si="8"/>
        <v>28.916666666666664</v>
      </c>
    </row>
    <row r="37" spans="1:10" x14ac:dyDescent="0.25">
      <c r="A37" s="25" t="s">
        <v>55</v>
      </c>
      <c r="B37" s="28"/>
      <c r="C37" s="28"/>
      <c r="D37" s="28">
        <v>5</v>
      </c>
      <c r="E37" s="28"/>
      <c r="F37" s="28"/>
      <c r="G37" s="28"/>
      <c r="H37" s="29">
        <f t="shared" si="6"/>
        <v>4.9583333333333321</v>
      </c>
      <c r="I37" s="29">
        <f t="shared" si="7"/>
        <v>18.958333333333332</v>
      </c>
      <c r="J37" s="30">
        <f t="shared" si="8"/>
        <v>23.916666666666664</v>
      </c>
    </row>
    <row r="38" spans="1:10" x14ac:dyDescent="0.25">
      <c r="A38" s="22" t="s">
        <v>56</v>
      </c>
      <c r="B38" s="27"/>
      <c r="C38" s="27"/>
      <c r="D38" s="27"/>
      <c r="E38" s="27">
        <v>1</v>
      </c>
      <c r="F38" s="27"/>
      <c r="G38" s="28"/>
      <c r="H38" s="29">
        <f t="shared" si="6"/>
        <v>4.9583333333333321</v>
      </c>
      <c r="I38" s="29">
        <f t="shared" si="7"/>
        <v>17.958333333333332</v>
      </c>
      <c r="J38" s="30">
        <f t="shared" si="8"/>
        <v>22.916666666666664</v>
      </c>
    </row>
    <row r="39" spans="1:10" x14ac:dyDescent="0.25">
      <c r="A39" s="22" t="s">
        <v>57</v>
      </c>
      <c r="B39" s="29">
        <v>1.25</v>
      </c>
      <c r="C39" s="29">
        <v>1.25</v>
      </c>
      <c r="D39" s="27"/>
      <c r="E39" s="27"/>
      <c r="F39" s="27"/>
      <c r="G39" s="28"/>
      <c r="H39" s="29">
        <f t="shared" si="6"/>
        <v>6.2083333333333321</v>
      </c>
      <c r="I39" s="29">
        <f t="shared" si="7"/>
        <v>19.208333333333332</v>
      </c>
      <c r="J39" s="30">
        <f t="shared" si="8"/>
        <v>25.416666666666664</v>
      </c>
    </row>
    <row r="40" spans="1:10" x14ac:dyDescent="0.25">
      <c r="A40" s="25" t="s">
        <v>58</v>
      </c>
      <c r="B40" s="28"/>
      <c r="C40" s="28"/>
      <c r="D40" s="28">
        <v>2</v>
      </c>
      <c r="E40" s="28"/>
      <c r="F40" s="28"/>
      <c r="G40" s="28"/>
      <c r="H40" s="29">
        <f t="shared" si="6"/>
        <v>4.2083333333333321</v>
      </c>
      <c r="I40" s="29">
        <f t="shared" si="7"/>
        <v>19.208333333333332</v>
      </c>
      <c r="J40" s="30">
        <f t="shared" si="8"/>
        <v>23.416666666666664</v>
      </c>
    </row>
    <row r="41" spans="1:10" x14ac:dyDescent="0.25">
      <c r="A41" s="22" t="s">
        <v>99</v>
      </c>
      <c r="B41" s="27">
        <v>5</v>
      </c>
      <c r="C41" s="27">
        <v>5</v>
      </c>
      <c r="D41" s="27"/>
      <c r="E41" s="27"/>
      <c r="F41" s="27"/>
      <c r="G41" s="27"/>
      <c r="H41" s="29">
        <f t="shared" si="6"/>
        <v>9.2083333333333321</v>
      </c>
      <c r="I41" s="29">
        <f t="shared" si="7"/>
        <v>24.208333333333332</v>
      </c>
      <c r="J41" s="30">
        <f t="shared" si="8"/>
        <v>33.416666666666664</v>
      </c>
    </row>
    <row r="42" spans="1:10" x14ac:dyDescent="0.25">
      <c r="A42" s="7" t="s">
        <v>60</v>
      </c>
      <c r="B42" s="27"/>
      <c r="C42" s="27"/>
      <c r="D42" s="27"/>
      <c r="E42" s="27">
        <v>2</v>
      </c>
      <c r="F42" s="27"/>
      <c r="G42" s="27"/>
      <c r="H42" s="29">
        <f t="shared" si="6"/>
        <v>9.2083333333333321</v>
      </c>
      <c r="I42" s="29">
        <f t="shared" si="7"/>
        <v>22.208333333333332</v>
      </c>
      <c r="J42" s="30">
        <f t="shared" si="8"/>
        <v>31.416666666666664</v>
      </c>
    </row>
    <row r="43" spans="1:10" x14ac:dyDescent="0.25">
      <c r="A43" s="7" t="s">
        <v>62</v>
      </c>
      <c r="B43" s="27"/>
      <c r="C43" s="27"/>
      <c r="D43" s="27"/>
      <c r="E43" s="27">
        <v>2</v>
      </c>
      <c r="F43" s="27"/>
      <c r="G43" s="27"/>
      <c r="H43" s="29">
        <f t="shared" si="6"/>
        <v>9.2083333333333321</v>
      </c>
      <c r="I43" s="29">
        <f t="shared" si="7"/>
        <v>20.208333333333332</v>
      </c>
      <c r="J43" s="30">
        <f t="shared" si="8"/>
        <v>29.416666666666664</v>
      </c>
    </row>
    <row r="44" spans="1:10" x14ac:dyDescent="0.25">
      <c r="A44" s="7" t="s">
        <v>63</v>
      </c>
      <c r="B44" s="27"/>
      <c r="C44" s="27"/>
      <c r="D44" s="27"/>
      <c r="E44" s="27"/>
      <c r="F44" s="27"/>
      <c r="G44" s="27">
        <v>1</v>
      </c>
      <c r="H44" s="29">
        <f t="shared" si="6"/>
        <v>9.2083333333333321</v>
      </c>
      <c r="I44" s="29">
        <f t="shared" si="7"/>
        <v>20.208333333333332</v>
      </c>
      <c r="J44" s="30">
        <f t="shared" si="8"/>
        <v>29.416666666666664</v>
      </c>
    </row>
    <row r="45" spans="1:10" x14ac:dyDescent="0.25">
      <c r="A45" s="7" t="s">
        <v>67</v>
      </c>
      <c r="B45" s="27">
        <f>3*1.25</f>
        <v>3.75</v>
      </c>
      <c r="C45" s="27">
        <v>3.75</v>
      </c>
      <c r="D45" s="27"/>
      <c r="E45" s="27"/>
      <c r="F45" s="27"/>
      <c r="G45" s="27"/>
      <c r="H45" s="29">
        <f t="shared" si="6"/>
        <v>12.958333333333332</v>
      </c>
      <c r="I45" s="29">
        <f t="shared" si="7"/>
        <v>23.958333333333332</v>
      </c>
      <c r="J45" s="30">
        <f t="shared" si="8"/>
        <v>36.916666666666664</v>
      </c>
    </row>
    <row r="46" spans="1:10" x14ac:dyDescent="0.25">
      <c r="A46" s="7" t="s">
        <v>68</v>
      </c>
      <c r="B46" s="27"/>
      <c r="C46" s="27"/>
      <c r="D46" s="27"/>
      <c r="E46" s="27"/>
      <c r="F46" s="27"/>
      <c r="G46" s="27">
        <v>3</v>
      </c>
      <c r="H46" s="29">
        <f t="shared" si="6"/>
        <v>12.958333333333332</v>
      </c>
      <c r="I46" s="29">
        <f t="shared" si="7"/>
        <v>23.958333333333332</v>
      </c>
      <c r="J46" s="30">
        <f t="shared" si="8"/>
        <v>36.916666666666664</v>
      </c>
    </row>
    <row r="47" spans="1:10" x14ac:dyDescent="0.25">
      <c r="A47" s="7" t="s">
        <v>69</v>
      </c>
      <c r="B47" s="27">
        <v>1.25</v>
      </c>
      <c r="C47" s="27">
        <v>1.25</v>
      </c>
      <c r="D47" s="27"/>
      <c r="E47" s="27"/>
      <c r="F47" s="27"/>
      <c r="G47" s="27"/>
      <c r="H47" s="29">
        <f t="shared" si="6"/>
        <v>14.208333333333332</v>
      </c>
      <c r="I47" s="29">
        <f t="shared" si="7"/>
        <v>25.208333333333332</v>
      </c>
      <c r="J47" s="30">
        <f t="shared" si="8"/>
        <v>39.416666666666664</v>
      </c>
    </row>
    <row r="48" spans="1:10" x14ac:dyDescent="0.25">
      <c r="A48" s="7" t="s">
        <v>70</v>
      </c>
      <c r="B48" s="27"/>
      <c r="C48" s="27"/>
      <c r="D48" s="27"/>
      <c r="E48" s="27">
        <v>1</v>
      </c>
      <c r="F48" s="27"/>
      <c r="G48" s="27"/>
      <c r="H48" s="29">
        <f t="shared" si="6"/>
        <v>14.208333333333332</v>
      </c>
      <c r="I48" s="29">
        <f t="shared" si="7"/>
        <v>24.208333333333332</v>
      </c>
      <c r="J48" s="30">
        <f t="shared" si="8"/>
        <v>38.416666666666664</v>
      </c>
    </row>
    <row r="49" spans="1:10" x14ac:dyDescent="0.25">
      <c r="A49" s="7" t="s">
        <v>71</v>
      </c>
      <c r="B49" s="27">
        <v>1.25</v>
      </c>
      <c r="C49" s="27">
        <v>1.25</v>
      </c>
      <c r="D49" s="27"/>
      <c r="E49" s="27"/>
      <c r="F49" s="27"/>
      <c r="G49" s="27"/>
      <c r="H49" s="29">
        <f t="shared" si="6"/>
        <v>15.458333333333332</v>
      </c>
      <c r="I49" s="29">
        <f t="shared" si="7"/>
        <v>25.458333333333332</v>
      </c>
      <c r="J49" s="30">
        <f t="shared" si="8"/>
        <v>40.916666666666664</v>
      </c>
    </row>
    <row r="50" spans="1:10" x14ac:dyDescent="0.25">
      <c r="A50" s="7" t="s">
        <v>72</v>
      </c>
      <c r="B50" s="27"/>
      <c r="C50" s="27"/>
      <c r="D50" s="27"/>
      <c r="E50" s="27"/>
      <c r="F50" s="27">
        <v>2</v>
      </c>
      <c r="G50" s="27"/>
      <c r="H50" s="29">
        <f t="shared" si="6"/>
        <v>13.458333333333332</v>
      </c>
      <c r="I50" s="29">
        <f t="shared" si="7"/>
        <v>25.458333333333332</v>
      </c>
      <c r="J50" s="30">
        <f t="shared" si="8"/>
        <v>38.916666666666664</v>
      </c>
    </row>
    <row r="51" spans="1:10" x14ac:dyDescent="0.25">
      <c r="A51" s="7" t="s">
        <v>95</v>
      </c>
      <c r="B51" s="27">
        <v>5</v>
      </c>
      <c r="C51" s="27">
        <v>5</v>
      </c>
      <c r="D51" s="27"/>
      <c r="E51" s="27"/>
      <c r="F51" s="27"/>
      <c r="G51" s="27"/>
      <c r="H51" s="29">
        <f t="shared" si="6"/>
        <v>18.458333333333332</v>
      </c>
      <c r="I51" s="29">
        <f t="shared" si="7"/>
        <v>30.458333333333332</v>
      </c>
      <c r="J51" s="30">
        <f t="shared" si="8"/>
        <v>48.916666666666664</v>
      </c>
    </row>
    <row r="52" spans="1:10" x14ac:dyDescent="0.25">
      <c r="A52" s="7" t="s">
        <v>97</v>
      </c>
      <c r="B52" s="27"/>
      <c r="C52" s="27"/>
      <c r="D52" s="27"/>
      <c r="E52" s="27"/>
      <c r="F52" s="27">
        <v>1</v>
      </c>
      <c r="G52" s="27"/>
      <c r="H52" s="29">
        <f t="shared" si="6"/>
        <v>17.458333333333332</v>
      </c>
      <c r="I52" s="29">
        <f t="shared" si="7"/>
        <v>30.458333333333332</v>
      </c>
      <c r="J52" s="30">
        <f t="shared" si="8"/>
        <v>47.916666666666664</v>
      </c>
    </row>
    <row r="53" spans="1:10" x14ac:dyDescent="0.25">
      <c r="A53" s="7" t="s">
        <v>101</v>
      </c>
      <c r="B53" s="27">
        <v>1.25</v>
      </c>
      <c r="C53" s="27">
        <v>1.25</v>
      </c>
      <c r="D53" s="27"/>
      <c r="E53" s="27"/>
      <c r="F53" s="27"/>
      <c r="G53" s="27"/>
      <c r="H53" s="29">
        <f t="shared" si="6"/>
        <v>18.708333333333332</v>
      </c>
      <c r="I53" s="29">
        <f t="shared" si="7"/>
        <v>31.708333333333332</v>
      </c>
      <c r="J53" s="30">
        <f t="shared" si="8"/>
        <v>50.416666666666664</v>
      </c>
    </row>
    <row r="54" spans="1:10" x14ac:dyDescent="0.25">
      <c r="A54" s="7" t="s">
        <v>98</v>
      </c>
      <c r="B54" s="27"/>
      <c r="C54" s="27"/>
      <c r="D54" s="27"/>
      <c r="E54" s="27">
        <v>2</v>
      </c>
      <c r="F54" s="27"/>
      <c r="G54" s="27"/>
      <c r="H54" s="29">
        <f t="shared" si="6"/>
        <v>18.708333333333332</v>
      </c>
      <c r="I54" s="29">
        <f t="shared" si="7"/>
        <v>29.708333333333332</v>
      </c>
      <c r="J54" s="30">
        <f t="shared" si="8"/>
        <v>48.416666666666664</v>
      </c>
    </row>
    <row r="55" spans="1:10" x14ac:dyDescent="0.25">
      <c r="A55" s="7" t="s">
        <v>100</v>
      </c>
      <c r="B55" s="27"/>
      <c r="C55" s="27"/>
      <c r="D55" s="27"/>
      <c r="E55" s="27"/>
      <c r="F55" s="27">
        <v>1</v>
      </c>
      <c r="G55" s="27"/>
      <c r="H55" s="29">
        <f t="shared" si="6"/>
        <v>17.708333333333332</v>
      </c>
      <c r="I55" s="29">
        <f t="shared" si="7"/>
        <v>29.708333333333332</v>
      </c>
      <c r="J55" s="30">
        <f t="shared" si="8"/>
        <v>47.416666666666664</v>
      </c>
    </row>
    <row r="56" spans="1:10" x14ac:dyDescent="0.25">
      <c r="A56" s="7" t="s">
        <v>102</v>
      </c>
      <c r="B56" s="27">
        <v>5</v>
      </c>
      <c r="C56" s="27">
        <v>5</v>
      </c>
      <c r="D56" s="27"/>
      <c r="E56" s="27"/>
      <c r="F56" s="27"/>
      <c r="G56" s="27"/>
      <c r="H56" s="29">
        <f t="shared" ref="H56:H57" si="9">H55-F56-D56+B56</f>
        <v>22.708333333333332</v>
      </c>
      <c r="I56" s="29">
        <f t="shared" ref="I56:I57" si="10">I55-E56+B56</f>
        <v>34.708333333333329</v>
      </c>
      <c r="J56" s="30">
        <f t="shared" ref="J56:J57" si="11">SUM(H56:I56)</f>
        <v>57.416666666666657</v>
      </c>
    </row>
    <row r="57" spans="1:10" x14ac:dyDescent="0.25">
      <c r="A57" s="7" t="s">
        <v>104</v>
      </c>
      <c r="B57" s="27"/>
      <c r="C57" s="27"/>
      <c r="D57" s="27"/>
      <c r="E57" s="27">
        <v>1</v>
      </c>
      <c r="F57" s="27"/>
      <c r="G57" s="27"/>
      <c r="H57" s="29">
        <f t="shared" si="9"/>
        <v>22.708333333333332</v>
      </c>
      <c r="I57" s="29">
        <f t="shared" si="10"/>
        <v>33.708333333333329</v>
      </c>
      <c r="J57" s="30">
        <f t="shared" si="11"/>
        <v>56.416666666666657</v>
      </c>
    </row>
    <row r="58" spans="1:10" x14ac:dyDescent="0.25">
      <c r="A58" s="7" t="s">
        <v>105</v>
      </c>
      <c r="B58" s="27"/>
      <c r="C58" s="27"/>
      <c r="D58" s="27"/>
      <c r="E58" s="27"/>
      <c r="F58" s="27">
        <v>1</v>
      </c>
      <c r="G58" s="27"/>
      <c r="H58" s="29">
        <f t="shared" ref="H58" si="12">H57-F58-D58+B58</f>
        <v>21.708333333333332</v>
      </c>
      <c r="I58" s="29">
        <f t="shared" ref="I58" si="13">I57-E58+B58</f>
        <v>33.708333333333329</v>
      </c>
      <c r="J58" s="30">
        <f t="shared" ref="J58" si="14">SUM(H58:I58)</f>
        <v>55.416666666666657</v>
      </c>
    </row>
    <row r="59" spans="1:10" x14ac:dyDescent="0.25">
      <c r="A59" s="7" t="s">
        <v>106</v>
      </c>
      <c r="B59" s="27">
        <v>1.25</v>
      </c>
      <c r="C59" s="27">
        <v>1.25</v>
      </c>
      <c r="D59" s="27"/>
      <c r="E59" s="27"/>
      <c r="F59" s="27"/>
      <c r="G59" s="27"/>
      <c r="H59" s="29">
        <f t="shared" ref="H59:H60" si="15">H58-F59-D59+B59</f>
        <v>22.958333333333332</v>
      </c>
      <c r="I59" s="29">
        <f t="shared" ref="I59:I60" si="16">I58-E59+B59</f>
        <v>34.958333333333329</v>
      </c>
      <c r="J59" s="30">
        <f t="shared" ref="J59:J60" si="17">SUM(H59:I59)</f>
        <v>57.916666666666657</v>
      </c>
    </row>
    <row r="60" spans="1:10" x14ac:dyDescent="0.25">
      <c r="A60" s="7" t="s">
        <v>107</v>
      </c>
      <c r="B60" s="27"/>
      <c r="C60" s="27"/>
      <c r="D60" s="27"/>
      <c r="E60" s="27"/>
      <c r="F60" s="27"/>
      <c r="G60" s="37">
        <v>1</v>
      </c>
      <c r="H60" s="29">
        <f t="shared" si="15"/>
        <v>22.958333333333332</v>
      </c>
      <c r="I60" s="29">
        <f t="shared" si="16"/>
        <v>34.958333333333329</v>
      </c>
      <c r="J60" s="30">
        <f t="shared" si="17"/>
        <v>57.916666666666657</v>
      </c>
    </row>
    <row r="61" spans="1:10" x14ac:dyDescent="0.25">
      <c r="A61" s="7" t="s">
        <v>108</v>
      </c>
      <c r="B61" s="27">
        <v>1.25</v>
      </c>
      <c r="C61" s="27">
        <v>1.25</v>
      </c>
      <c r="D61" s="27"/>
      <c r="E61" s="27"/>
      <c r="F61" s="27"/>
      <c r="G61" s="27"/>
      <c r="H61" s="29">
        <f t="shared" ref="H61:H62" si="18">H60-F61-D61+B61</f>
        <v>24.208333333333332</v>
      </c>
      <c r="I61" s="29">
        <f t="shared" ref="I61:I62" si="19">I60-E61+B61</f>
        <v>36.208333333333329</v>
      </c>
      <c r="J61" s="30">
        <f t="shared" ref="J61:J62" si="20">SUM(H61:I61)</f>
        <v>60.416666666666657</v>
      </c>
    </row>
    <row r="62" spans="1:10" x14ac:dyDescent="0.25">
      <c r="A62" s="7" t="s">
        <v>109</v>
      </c>
      <c r="B62" s="27"/>
      <c r="C62" s="27"/>
      <c r="D62" s="27"/>
      <c r="E62" s="27">
        <v>1</v>
      </c>
      <c r="F62" s="27"/>
      <c r="G62" s="27"/>
      <c r="H62" s="29">
        <f t="shared" si="18"/>
        <v>24.208333333333332</v>
      </c>
      <c r="I62" s="29">
        <f t="shared" si="19"/>
        <v>35.208333333333329</v>
      </c>
      <c r="J62" s="30">
        <f t="shared" si="20"/>
        <v>59.416666666666657</v>
      </c>
    </row>
    <row r="63" spans="1:10" x14ac:dyDescent="0.25">
      <c r="A63" s="7" t="s">
        <v>110</v>
      </c>
      <c r="B63" s="27"/>
      <c r="C63" s="27"/>
      <c r="D63" s="27"/>
      <c r="E63" s="27"/>
      <c r="F63" s="38">
        <v>1</v>
      </c>
      <c r="G63" s="27"/>
      <c r="H63" s="29">
        <f t="shared" ref="H63" si="21">H62-F63-D63+B63</f>
        <v>23.208333333333332</v>
      </c>
      <c r="I63" s="29">
        <f t="shared" ref="I63" si="22">I62-E63+B63</f>
        <v>35.208333333333329</v>
      </c>
      <c r="J63" s="30">
        <f t="shared" ref="J63" si="23">SUM(H63:I63)</f>
        <v>58.416666666666657</v>
      </c>
    </row>
    <row r="64" spans="1:10" x14ac:dyDescent="0.25">
      <c r="A64" s="7" t="s">
        <v>111</v>
      </c>
      <c r="B64" s="27">
        <v>1.25</v>
      </c>
      <c r="C64" s="27">
        <v>1.25</v>
      </c>
      <c r="D64" s="27"/>
      <c r="E64" s="27"/>
      <c r="F64" s="27"/>
      <c r="G64" s="27"/>
      <c r="H64" s="29">
        <f t="shared" ref="H64:H65" si="24">H63-F64-D64+B64</f>
        <v>24.458333333333332</v>
      </c>
      <c r="I64" s="29">
        <f t="shared" ref="I64:I65" si="25">I63-E64+B64</f>
        <v>36.458333333333329</v>
      </c>
      <c r="J64" s="30">
        <f t="shared" ref="J64:J65" si="26">SUM(H64:I64)</f>
        <v>60.916666666666657</v>
      </c>
    </row>
    <row r="65" spans="1:10" x14ac:dyDescent="0.25">
      <c r="A65" s="7" t="s">
        <v>112</v>
      </c>
      <c r="B65" s="27"/>
      <c r="C65" s="27"/>
      <c r="D65" s="27"/>
      <c r="E65" s="27"/>
      <c r="F65" s="38">
        <v>1</v>
      </c>
      <c r="G65" s="27"/>
      <c r="H65" s="29">
        <f t="shared" si="24"/>
        <v>23.458333333333332</v>
      </c>
      <c r="I65" s="29">
        <f t="shared" si="25"/>
        <v>36.458333333333329</v>
      </c>
      <c r="J65" s="30">
        <f t="shared" si="26"/>
        <v>59.916666666666657</v>
      </c>
    </row>
    <row r="66" spans="1:10" x14ac:dyDescent="0.25">
      <c r="A66" s="7" t="s">
        <v>113</v>
      </c>
      <c r="B66" s="27">
        <v>2.5</v>
      </c>
      <c r="C66" s="27">
        <v>2.5</v>
      </c>
      <c r="D66" s="27"/>
      <c r="E66" s="27"/>
      <c r="F66" s="27"/>
      <c r="G66" s="27"/>
      <c r="H66" s="29">
        <f t="shared" ref="H66:H68" si="27">H65-F66-D66+B66</f>
        <v>25.958333333333332</v>
      </c>
      <c r="I66" s="29">
        <f t="shared" ref="I66:I68" si="28">I65-E66+B66</f>
        <v>38.958333333333329</v>
      </c>
      <c r="J66" s="30">
        <f t="shared" ref="J66:J68" si="29">SUM(H66:I66)</f>
        <v>64.916666666666657</v>
      </c>
    </row>
    <row r="67" spans="1:10" x14ac:dyDescent="0.25">
      <c r="A67" s="7" t="s">
        <v>114</v>
      </c>
      <c r="B67" s="27"/>
      <c r="C67" s="27"/>
      <c r="D67" s="27"/>
      <c r="E67" s="27">
        <v>1</v>
      </c>
      <c r="F67" s="27"/>
      <c r="G67" s="27"/>
      <c r="H67" s="29">
        <f t="shared" si="27"/>
        <v>25.958333333333332</v>
      </c>
      <c r="I67" s="29">
        <f t="shared" si="28"/>
        <v>37.958333333333329</v>
      </c>
      <c r="J67" s="30">
        <f t="shared" si="29"/>
        <v>63.916666666666657</v>
      </c>
    </row>
    <row r="68" spans="1:10" x14ac:dyDescent="0.25">
      <c r="A68" s="7" t="s">
        <v>115</v>
      </c>
      <c r="B68" s="27"/>
      <c r="C68" s="27"/>
      <c r="D68" s="27"/>
      <c r="E68" s="27"/>
      <c r="F68" s="27"/>
      <c r="G68" s="37">
        <v>1</v>
      </c>
      <c r="H68" s="29">
        <f t="shared" si="27"/>
        <v>25.958333333333332</v>
      </c>
      <c r="I68" s="29">
        <f t="shared" si="28"/>
        <v>37.958333333333329</v>
      </c>
      <c r="J68" s="30">
        <f t="shared" si="29"/>
        <v>63.916666666666657</v>
      </c>
    </row>
    <row r="69" spans="1:10" x14ac:dyDescent="0.25">
      <c r="A69" s="7" t="s">
        <v>116</v>
      </c>
      <c r="B69" s="27">
        <v>2.5</v>
      </c>
      <c r="C69" s="27">
        <v>2.5</v>
      </c>
      <c r="D69" s="27"/>
      <c r="E69" s="27"/>
      <c r="F69" s="27"/>
      <c r="G69" s="27"/>
      <c r="H69" s="29">
        <f t="shared" ref="H69:H70" si="30">H68-F69-D69+B69</f>
        <v>28.458333333333332</v>
      </c>
      <c r="I69" s="29">
        <f t="shared" ref="I69:I70" si="31">I68-E69+B69</f>
        <v>40.458333333333329</v>
      </c>
      <c r="J69" s="30">
        <f t="shared" ref="J69:J70" si="32">SUM(H69:I69)</f>
        <v>68.916666666666657</v>
      </c>
    </row>
    <row r="70" spans="1:10" x14ac:dyDescent="0.25">
      <c r="A70" s="7" t="s">
        <v>117</v>
      </c>
      <c r="B70" s="27"/>
      <c r="C70" s="27"/>
      <c r="D70" s="27"/>
      <c r="E70" s="27">
        <v>1</v>
      </c>
      <c r="F70" s="27"/>
      <c r="G70" s="27"/>
      <c r="H70" s="29">
        <f t="shared" si="30"/>
        <v>28.458333333333332</v>
      </c>
      <c r="I70" s="29">
        <f t="shared" si="31"/>
        <v>39.458333333333329</v>
      </c>
      <c r="J70" s="30">
        <f t="shared" si="32"/>
        <v>67.916666666666657</v>
      </c>
    </row>
    <row r="71" spans="1:10" x14ac:dyDescent="0.25">
      <c r="A71" s="7" t="s">
        <v>118</v>
      </c>
      <c r="B71" s="27"/>
      <c r="C71" s="27"/>
      <c r="D71" s="27"/>
      <c r="E71" s="27"/>
      <c r="F71" s="38">
        <v>2</v>
      </c>
      <c r="G71" s="27"/>
      <c r="H71" s="29">
        <f t="shared" ref="H71" si="33">H70-F71-D71+B71</f>
        <v>26.458333333333332</v>
      </c>
      <c r="I71" s="29">
        <f t="shared" ref="I71" si="34">I70-E71+B71</f>
        <v>39.458333333333329</v>
      </c>
      <c r="J71" s="30">
        <f t="shared" ref="J71" si="35">SUM(H71:I71)</f>
        <v>65.916666666666657</v>
      </c>
    </row>
    <row r="72" spans="1:10" x14ac:dyDescent="0.25">
      <c r="A72" s="7" t="s">
        <v>119</v>
      </c>
      <c r="B72" s="27">
        <v>1.25</v>
      </c>
      <c r="C72" s="27">
        <v>1.25</v>
      </c>
      <c r="D72" s="27"/>
      <c r="E72" s="27"/>
      <c r="F72" s="27"/>
      <c r="G72" s="27"/>
      <c r="H72" s="29">
        <f t="shared" ref="H72:H74" si="36">H71-F72-D72+B72</f>
        <v>27.708333333333332</v>
      </c>
      <c r="I72" s="29">
        <f t="shared" ref="I72:I74" si="37">I71-E72+B72</f>
        <v>40.708333333333329</v>
      </c>
      <c r="J72" s="30">
        <f t="shared" ref="J72:J74" si="38">SUM(H72:I72)</f>
        <v>68.416666666666657</v>
      </c>
    </row>
    <row r="73" spans="1:10" x14ac:dyDescent="0.25">
      <c r="A73" s="7" t="s">
        <v>120</v>
      </c>
      <c r="B73" s="27"/>
      <c r="C73" s="27"/>
      <c r="D73" s="27"/>
      <c r="E73" s="27"/>
      <c r="F73" s="38">
        <v>1</v>
      </c>
      <c r="G73" s="27"/>
      <c r="H73" s="29">
        <f t="shared" si="36"/>
        <v>26.708333333333332</v>
      </c>
      <c r="I73" s="29">
        <f t="shared" si="37"/>
        <v>40.708333333333329</v>
      </c>
      <c r="J73" s="30">
        <f t="shared" si="38"/>
        <v>67.416666666666657</v>
      </c>
    </row>
    <row r="74" spans="1:10" x14ac:dyDescent="0.25">
      <c r="A74" s="7" t="s">
        <v>121</v>
      </c>
      <c r="B74" s="27"/>
      <c r="C74" s="27"/>
      <c r="D74" s="27"/>
      <c r="E74" s="27">
        <v>4</v>
      </c>
      <c r="F74" s="27"/>
      <c r="G74" s="27"/>
      <c r="H74" s="29">
        <f t="shared" si="36"/>
        <v>26.708333333333332</v>
      </c>
      <c r="I74" s="29">
        <f t="shared" si="37"/>
        <v>36.708333333333329</v>
      </c>
      <c r="J74" s="30">
        <f t="shared" si="38"/>
        <v>63.416666666666657</v>
      </c>
    </row>
    <row r="75" spans="1:10" x14ac:dyDescent="0.25">
      <c r="A75" s="7" t="s">
        <v>122</v>
      </c>
      <c r="B75" s="27"/>
      <c r="C75" s="27"/>
      <c r="D75" s="27"/>
      <c r="E75" s="27">
        <v>1</v>
      </c>
      <c r="F75" s="27"/>
      <c r="G75" s="27"/>
      <c r="H75" s="29">
        <f t="shared" ref="H75" si="39">H74-F75-D75+B75</f>
        <v>26.708333333333332</v>
      </c>
      <c r="I75" s="29">
        <f t="shared" ref="I75" si="40">I74-E75+B75</f>
        <v>35.708333333333329</v>
      </c>
      <c r="J75" s="30">
        <f t="shared" ref="J75" si="41">SUM(H75:I75)</f>
        <v>62.416666666666657</v>
      </c>
    </row>
    <row r="76" spans="1:10" x14ac:dyDescent="0.25">
      <c r="A76" s="7" t="s">
        <v>123</v>
      </c>
      <c r="B76" s="27"/>
      <c r="C76" s="27"/>
      <c r="D76" s="27"/>
      <c r="E76" s="27"/>
      <c r="F76" s="27"/>
      <c r="G76" s="37">
        <v>1</v>
      </c>
      <c r="H76" s="29">
        <f t="shared" ref="H76" si="42">H75-F76-D76+B76</f>
        <v>26.708333333333332</v>
      </c>
      <c r="I76" s="29">
        <f t="shared" ref="I76" si="43">I75-E76+B76</f>
        <v>35.708333333333329</v>
      </c>
      <c r="J76" s="30">
        <f t="shared" ref="J76" si="44">SUM(H76:I76)</f>
        <v>62.416666666666657</v>
      </c>
    </row>
    <row r="77" spans="1:10" x14ac:dyDescent="0.25">
      <c r="A77" s="94" t="s">
        <v>124</v>
      </c>
      <c r="B77" s="95">
        <v>1.25</v>
      </c>
      <c r="C77" s="95">
        <v>1.25</v>
      </c>
      <c r="D77" s="95"/>
      <c r="E77" s="95"/>
      <c r="F77" s="95"/>
      <c r="G77" s="95"/>
      <c r="H77" s="29">
        <f t="shared" ref="H77" si="45">H76-F77-D77+B77</f>
        <v>27.958333333333332</v>
      </c>
      <c r="I77" s="29">
        <f t="shared" ref="I77" si="46">I76-E77+B77</f>
        <v>36.958333333333329</v>
      </c>
      <c r="J77" s="30">
        <f t="shared" ref="J77" si="47">SUM(H77:I77)</f>
        <v>64.916666666666657</v>
      </c>
    </row>
    <row r="78" spans="1:10" x14ac:dyDescent="0.25">
      <c r="A78" s="26"/>
      <c r="B78" s="39"/>
      <c r="C78" s="39"/>
      <c r="D78" s="39"/>
      <c r="E78" s="39"/>
      <c r="F78" s="39"/>
      <c r="G78" s="39"/>
      <c r="H78" s="40"/>
      <c r="I78" s="40"/>
      <c r="J78" s="40"/>
    </row>
    <row r="79" spans="1:10" x14ac:dyDescent="0.25">
      <c r="A79" s="26"/>
      <c r="B79" s="39"/>
      <c r="C79" s="39"/>
      <c r="D79" s="39"/>
      <c r="E79" s="39"/>
      <c r="F79" s="39"/>
      <c r="G79" s="39"/>
      <c r="H79" s="40"/>
      <c r="I79" s="40"/>
      <c r="J79" s="40"/>
    </row>
    <row r="80" spans="1:10" s="32" customFormat="1" ht="15" customHeight="1" x14ac:dyDescent="0.25">
      <c r="F80" s="32" t="s">
        <v>49</v>
      </c>
    </row>
    <row r="81" spans="1:11" s="32" customFormat="1" ht="15" customHeight="1" x14ac:dyDescent="0.25"/>
    <row r="82" spans="1:11" s="32" customFormat="1" ht="15" customHeight="1" x14ac:dyDescent="0.25">
      <c r="H82" s="60" t="s">
        <v>50</v>
      </c>
    </row>
    <row r="83" spans="1:11" s="32" customFormat="1" ht="15" customHeight="1" x14ac:dyDescent="0.25">
      <c r="H83" s="33" t="s">
        <v>51</v>
      </c>
    </row>
    <row r="84" spans="1:11" ht="15" customHeight="1" x14ac:dyDescent="0.25">
      <c r="B84" s="1"/>
      <c r="C84" s="1"/>
      <c r="D84" s="1"/>
      <c r="G84" s="1"/>
      <c r="H84" s="33" t="s">
        <v>52</v>
      </c>
      <c r="I84" s="1"/>
      <c r="J84" s="1"/>
      <c r="K84" s="1"/>
    </row>
    <row r="85" spans="1:1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H11:I11"/>
    <mergeCell ref="A11:A12"/>
    <mergeCell ref="J11:J12"/>
    <mergeCell ref="B11:C11"/>
    <mergeCell ref="D11:G11"/>
  </mergeCells>
  <printOptions horizontalCentered="1"/>
  <pageMargins left="0.25" right="0.25" top="0.25" bottom="0.25" header="0.3" footer="0.3"/>
  <pageSetup paperSize="9" scale="63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2AFB-A658-422D-B23E-12232967F829}">
  <sheetPr>
    <pageSetUpPr fitToPage="1"/>
  </sheetPr>
  <dimension ref="A1:L26"/>
  <sheetViews>
    <sheetView view="pageBreakPreview" topLeftCell="A10" zoomScale="112" zoomScaleNormal="100" zoomScaleSheetLayoutView="112" workbookViewId="0">
      <selection activeCell="B19" sqref="B19:E19"/>
    </sheetView>
  </sheetViews>
  <sheetFormatPr defaultColWidth="8.7109375" defaultRowHeight="15" x14ac:dyDescent="0.25"/>
  <cols>
    <col min="1" max="1" width="33.5703125" style="13" customWidth="1"/>
    <col min="2" max="16384" width="8.7109375" style="13"/>
  </cols>
  <sheetData>
    <row r="1" spans="1:12" s="8" customFormat="1" ht="52.5" customHeight="1" x14ac:dyDescent="0.25"/>
    <row r="2" spans="1:12" s="8" customFormat="1" ht="10.5" customHeight="1" x14ac:dyDescent="0.25">
      <c r="A2" s="76" t="s">
        <v>32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s="8" customFormat="1" ht="15.95" customHeight="1" x14ac:dyDescent="0.25">
      <c r="A3" s="76" t="s">
        <v>33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s="8" customFormat="1" ht="15.95" customHeight="1" x14ac:dyDescent="0.25">
      <c r="A4" s="76" t="s">
        <v>34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s="8" customFormat="1" ht="15.95" customHeight="1" x14ac:dyDescent="0.25">
      <c r="A5" s="76" t="s">
        <v>35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s="8" customFormat="1" ht="8.25" customHeight="1" x14ac:dyDescent="0.25"/>
    <row r="7" spans="1:12" s="8" customFormat="1" ht="12" customHeight="1" x14ac:dyDescent="0.25">
      <c r="A7" s="8" t="s">
        <v>36</v>
      </c>
      <c r="C7" s="9" t="s">
        <v>37</v>
      </c>
      <c r="D7" s="9"/>
      <c r="G7" s="9" t="s">
        <v>8</v>
      </c>
      <c r="H7" s="10"/>
    </row>
    <row r="8" spans="1:12" s="8" customFormat="1" ht="12" customHeight="1" x14ac:dyDescent="0.25">
      <c r="C8" s="11"/>
      <c r="G8" s="11"/>
      <c r="H8" s="11"/>
    </row>
    <row r="9" spans="1:12" s="8" customFormat="1" ht="12" customHeight="1" x14ac:dyDescent="0.25">
      <c r="A9" s="8" t="s">
        <v>38</v>
      </c>
      <c r="C9" s="9" t="s">
        <v>39</v>
      </c>
      <c r="D9" s="9"/>
      <c r="G9" s="9" t="s">
        <v>9</v>
      </c>
      <c r="H9" s="12"/>
    </row>
    <row r="10" spans="1:12" ht="16.5" customHeight="1" thickBot="1" x14ac:dyDescent="0.3">
      <c r="A10" s="77" t="s">
        <v>40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s="14" customFormat="1" ht="18.75" customHeight="1" x14ac:dyDescent="0.2">
      <c r="A11" s="78" t="s">
        <v>3</v>
      </c>
      <c r="B11" s="80" t="s">
        <v>4</v>
      </c>
      <c r="C11" s="81"/>
      <c r="D11" s="81"/>
      <c r="E11" s="81"/>
      <c r="F11" s="81"/>
      <c r="G11" s="81"/>
      <c r="H11" s="81"/>
      <c r="I11" s="81"/>
      <c r="J11" s="81"/>
      <c r="K11" s="81"/>
      <c r="L11" s="82" t="s">
        <v>7</v>
      </c>
    </row>
    <row r="12" spans="1:12" s="14" customFormat="1" ht="24" customHeight="1" x14ac:dyDescent="0.2">
      <c r="A12" s="79"/>
      <c r="B12" s="84" t="s">
        <v>41</v>
      </c>
      <c r="C12" s="85"/>
      <c r="D12" s="85"/>
      <c r="E12" s="86"/>
      <c r="F12" s="84" t="s">
        <v>42</v>
      </c>
      <c r="G12" s="86"/>
      <c r="H12" s="84" t="s">
        <v>43</v>
      </c>
      <c r="I12" s="86"/>
      <c r="J12" s="84" t="s">
        <v>44</v>
      </c>
      <c r="K12" s="86"/>
      <c r="L12" s="83"/>
    </row>
    <row r="13" spans="1:12" s="14" customFormat="1" ht="24.95" customHeight="1" x14ac:dyDescent="0.2">
      <c r="A13" s="15" t="s">
        <v>45</v>
      </c>
      <c r="B13" s="87" t="s">
        <v>46</v>
      </c>
      <c r="C13" s="89"/>
      <c r="D13" s="89"/>
      <c r="E13" s="88"/>
      <c r="F13" s="87">
        <v>1</v>
      </c>
      <c r="G13" s="88"/>
      <c r="H13" s="87">
        <v>0</v>
      </c>
      <c r="I13" s="88"/>
      <c r="J13" s="87">
        <v>1</v>
      </c>
      <c r="K13" s="88"/>
      <c r="L13" s="16">
        <v>1</v>
      </c>
    </row>
    <row r="14" spans="1:12" s="17" customFormat="1" ht="25.5" customHeight="1" x14ac:dyDescent="0.2">
      <c r="A14" s="15" t="s">
        <v>47</v>
      </c>
      <c r="B14" s="87"/>
      <c r="C14" s="89"/>
      <c r="D14" s="89"/>
      <c r="E14" s="88"/>
      <c r="F14" s="87"/>
      <c r="G14" s="88"/>
      <c r="H14" s="87">
        <v>1</v>
      </c>
      <c r="I14" s="88"/>
      <c r="J14" s="87">
        <v>0</v>
      </c>
      <c r="K14" s="88"/>
      <c r="L14" s="55">
        <v>0</v>
      </c>
    </row>
    <row r="15" spans="1:12" s="17" customFormat="1" ht="25.5" customHeight="1" x14ac:dyDescent="0.2">
      <c r="A15" s="15" t="s">
        <v>18</v>
      </c>
      <c r="B15" s="87" t="s">
        <v>19</v>
      </c>
      <c r="C15" s="89"/>
      <c r="D15" s="89"/>
      <c r="E15" s="88"/>
      <c r="F15" s="87">
        <v>2</v>
      </c>
      <c r="G15" s="88"/>
      <c r="H15" s="87">
        <v>2</v>
      </c>
      <c r="I15" s="88"/>
      <c r="J15" s="87">
        <v>0</v>
      </c>
      <c r="K15" s="88"/>
      <c r="L15" s="55">
        <v>0</v>
      </c>
    </row>
    <row r="16" spans="1:12" s="17" customFormat="1" ht="25.5" customHeight="1" x14ac:dyDescent="0.2">
      <c r="A16" s="34" t="s">
        <v>64</v>
      </c>
      <c r="B16" s="87" t="s">
        <v>65</v>
      </c>
      <c r="C16" s="89"/>
      <c r="D16" s="89"/>
      <c r="E16" s="88"/>
      <c r="F16" s="87">
        <v>1</v>
      </c>
      <c r="G16" s="88"/>
      <c r="H16" s="87">
        <v>0</v>
      </c>
      <c r="I16" s="88"/>
      <c r="J16" s="87">
        <v>1</v>
      </c>
      <c r="K16" s="88"/>
      <c r="L16" s="16">
        <v>1</v>
      </c>
    </row>
    <row r="17" spans="1:12" s="17" customFormat="1" ht="25.5" customHeight="1" x14ac:dyDescent="0.2">
      <c r="A17" s="34" t="s">
        <v>66</v>
      </c>
      <c r="B17" s="87"/>
      <c r="C17" s="89"/>
      <c r="D17" s="89"/>
      <c r="E17" s="88"/>
      <c r="F17" s="87"/>
      <c r="G17" s="88"/>
      <c r="H17" s="87">
        <v>1</v>
      </c>
      <c r="I17" s="88"/>
      <c r="J17" s="87">
        <v>0</v>
      </c>
      <c r="K17" s="88"/>
      <c r="L17" s="56">
        <v>0</v>
      </c>
    </row>
    <row r="18" spans="1:12" s="17" customFormat="1" ht="25.5" customHeight="1" x14ac:dyDescent="0.2">
      <c r="A18" s="34" t="s">
        <v>92</v>
      </c>
      <c r="B18" s="87" t="s">
        <v>93</v>
      </c>
      <c r="C18" s="89"/>
      <c r="D18" s="89"/>
      <c r="E18" s="88"/>
      <c r="F18" s="87">
        <v>1</v>
      </c>
      <c r="G18" s="88"/>
      <c r="H18" s="87">
        <v>1</v>
      </c>
      <c r="I18" s="88"/>
      <c r="J18" s="87">
        <v>1</v>
      </c>
      <c r="K18" s="88"/>
      <c r="L18" s="57">
        <v>1</v>
      </c>
    </row>
    <row r="19" spans="1:12" s="17" customFormat="1" ht="25.5" customHeight="1" x14ac:dyDescent="0.2">
      <c r="A19" s="34" t="s">
        <v>94</v>
      </c>
      <c r="B19" s="87"/>
      <c r="C19" s="89"/>
      <c r="D19" s="89"/>
      <c r="E19" s="88"/>
      <c r="F19" s="87"/>
      <c r="G19" s="88"/>
      <c r="H19" s="87">
        <v>1</v>
      </c>
      <c r="I19" s="88"/>
      <c r="J19" s="87">
        <v>0</v>
      </c>
      <c r="K19" s="88"/>
      <c r="L19" s="56">
        <v>0</v>
      </c>
    </row>
    <row r="20" spans="1:12" s="17" customFormat="1" x14ac:dyDescent="0.2">
      <c r="A20" s="18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18.95" customHeight="1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</row>
    <row r="22" spans="1:12" s="8" customFormat="1" x14ac:dyDescent="0.25">
      <c r="C22" s="21"/>
      <c r="H22" s="8" t="s">
        <v>49</v>
      </c>
    </row>
    <row r="23" spans="1:12" s="8" customFormat="1" x14ac:dyDescent="0.25">
      <c r="C23" s="21"/>
    </row>
    <row r="24" spans="1:12" x14ac:dyDescent="0.25">
      <c r="H24" s="58" t="s">
        <v>50</v>
      </c>
      <c r="I24" s="58"/>
      <c r="J24" s="59"/>
    </row>
    <row r="25" spans="1:12" x14ac:dyDescent="0.25">
      <c r="H25" s="13" t="s">
        <v>51</v>
      </c>
    </row>
    <row r="26" spans="1:12" x14ac:dyDescent="0.25">
      <c r="H26" s="90" t="s">
        <v>52</v>
      </c>
      <c r="I26" s="90"/>
    </row>
  </sheetData>
  <mergeCells count="42">
    <mergeCell ref="H26:I26"/>
    <mergeCell ref="B14:E14"/>
    <mergeCell ref="F14:G14"/>
    <mergeCell ref="H14:I14"/>
    <mergeCell ref="H15:I15"/>
    <mergeCell ref="A21:L21"/>
    <mergeCell ref="B15:E15"/>
    <mergeCell ref="F15:G15"/>
    <mergeCell ref="J15:K15"/>
    <mergeCell ref="J14:K14"/>
    <mergeCell ref="B16:E16"/>
    <mergeCell ref="F16:G16"/>
    <mergeCell ref="H16:I16"/>
    <mergeCell ref="J16:K16"/>
    <mergeCell ref="B17:E17"/>
    <mergeCell ref="B18:E18"/>
    <mergeCell ref="B13:E13"/>
    <mergeCell ref="F13:G13"/>
    <mergeCell ref="H13:I13"/>
    <mergeCell ref="J13:K13"/>
    <mergeCell ref="F17:G17"/>
    <mergeCell ref="H17:I17"/>
    <mergeCell ref="J17:K17"/>
    <mergeCell ref="F18:G18"/>
    <mergeCell ref="H18:I18"/>
    <mergeCell ref="J18:K18"/>
    <mergeCell ref="B19:E19"/>
    <mergeCell ref="F19:G19"/>
    <mergeCell ref="H19:I19"/>
    <mergeCell ref="J19:K19"/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honeticPr fontId="11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2426-8816-4D52-BEEA-2BF5A8B55052}">
  <sheetPr>
    <pageSetUpPr fitToPage="1"/>
  </sheetPr>
  <dimension ref="A1:K69"/>
  <sheetViews>
    <sheetView view="pageBreakPreview" topLeftCell="A12" zoomScaleNormal="100" zoomScaleSheetLayoutView="100" workbookViewId="0">
      <selection activeCell="D37" sqref="D37"/>
    </sheetView>
  </sheetViews>
  <sheetFormatPr defaultRowHeight="15" x14ac:dyDescent="0.25"/>
  <cols>
    <col min="1" max="1" width="37.710937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32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33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34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35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36</v>
      </c>
      <c r="B7" s="73" t="s">
        <v>37</v>
      </c>
      <c r="C7" s="73"/>
      <c r="D7" s="73"/>
      <c r="H7" s="4" t="s">
        <v>8</v>
      </c>
      <c r="I7" s="23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38</v>
      </c>
      <c r="B9" s="73" t="s">
        <v>39</v>
      </c>
      <c r="C9" s="73"/>
      <c r="D9" s="73"/>
      <c r="H9" s="4" t="s">
        <v>9</v>
      </c>
      <c r="I9" s="5"/>
      <c r="J9" s="4"/>
    </row>
    <row r="10" spans="1:11" ht="16.5" customHeight="1" thickBot="1" x14ac:dyDescent="0.3">
      <c r="A10" s="74" t="s">
        <v>61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 x14ac:dyDescent="0.25">
      <c r="A11" s="65" t="s">
        <v>3</v>
      </c>
      <c r="B11" s="69" t="s">
        <v>4</v>
      </c>
      <c r="C11" s="69"/>
      <c r="D11" s="70" t="s">
        <v>5</v>
      </c>
      <c r="E11" s="71"/>
      <c r="F11" s="71"/>
      <c r="G11" s="72"/>
      <c r="H11" s="64" t="s">
        <v>6</v>
      </c>
      <c r="I11" s="64"/>
      <c r="J11" s="67" t="s">
        <v>7</v>
      </c>
      <c r="K11" s="63" t="s">
        <v>10</v>
      </c>
    </row>
    <row r="12" spans="1:11" ht="18.75" customHeight="1" x14ac:dyDescent="0.25">
      <c r="A12" s="66"/>
      <c r="B12" s="3" t="s">
        <v>0</v>
      </c>
      <c r="C12" s="3" t="s">
        <v>1</v>
      </c>
      <c r="D12" s="3" t="s">
        <v>0</v>
      </c>
      <c r="E12" s="3" t="s">
        <v>1</v>
      </c>
      <c r="F12" s="3" t="s">
        <v>2</v>
      </c>
      <c r="G12" s="24" t="s">
        <v>59</v>
      </c>
      <c r="H12" s="3" t="s">
        <v>0</v>
      </c>
      <c r="I12" s="3" t="s">
        <v>1</v>
      </c>
      <c r="J12" s="68"/>
      <c r="K12" s="63"/>
    </row>
    <row r="13" spans="1:11" ht="18.75" customHeight="1" x14ac:dyDescent="0.25">
      <c r="A13" s="22" t="s">
        <v>11</v>
      </c>
      <c r="B13" s="29">
        <f>SUM(1.25/30)*29</f>
        <v>1.2083333333333333</v>
      </c>
      <c r="C13" s="29">
        <f>SUM(1.25/30)*29</f>
        <v>1.2083333333333333</v>
      </c>
      <c r="D13" s="29"/>
      <c r="E13" s="29"/>
      <c r="F13" s="29"/>
      <c r="G13" s="29"/>
      <c r="H13" s="29">
        <f>B13</f>
        <v>1.2083333333333333</v>
      </c>
      <c r="I13" s="29">
        <f>C13</f>
        <v>1.2083333333333333</v>
      </c>
      <c r="J13" s="30">
        <f>SUM(H13:I13)</f>
        <v>2.4166666666666665</v>
      </c>
    </row>
    <row r="14" spans="1:11" ht="18.75" customHeight="1" x14ac:dyDescent="0.25">
      <c r="A14" s="22" t="s">
        <v>96</v>
      </c>
      <c r="B14" s="29">
        <v>5</v>
      </c>
      <c r="C14" s="29">
        <v>5</v>
      </c>
      <c r="D14" s="29"/>
      <c r="E14" s="29"/>
      <c r="F14" s="29"/>
      <c r="G14" s="29"/>
      <c r="H14" s="29">
        <f>H13-F14-D14+B14</f>
        <v>6.208333333333333</v>
      </c>
      <c r="I14" s="29">
        <f>I13-E14+B14</f>
        <v>6.208333333333333</v>
      </c>
      <c r="J14" s="30">
        <f>SUM(H14:I14)</f>
        <v>12.416666666666666</v>
      </c>
    </row>
    <row r="15" spans="1:11" ht="18.75" hidden="1" customHeight="1" x14ac:dyDescent="0.25">
      <c r="A15" s="22"/>
      <c r="B15" s="29"/>
      <c r="C15" s="29"/>
      <c r="D15" s="29"/>
      <c r="E15" s="29"/>
      <c r="F15" s="29"/>
      <c r="G15" s="29"/>
      <c r="H15" s="29">
        <f t="shared" ref="H15:H44" si="0">H14-F15-D15+B15</f>
        <v>6.208333333333333</v>
      </c>
      <c r="I15" s="29">
        <f t="shared" ref="I15:I44" si="1">I14-E15+B15</f>
        <v>6.208333333333333</v>
      </c>
      <c r="J15" s="30">
        <f t="shared" ref="J15:J44" si="2">SUM(H15:I15)</f>
        <v>12.416666666666666</v>
      </c>
    </row>
    <row r="16" spans="1:11" ht="18.75" hidden="1" customHeight="1" x14ac:dyDescent="0.25">
      <c r="A16" s="22"/>
      <c r="B16" s="29"/>
      <c r="C16" s="29"/>
      <c r="D16" s="29"/>
      <c r="E16" s="29"/>
      <c r="F16" s="29"/>
      <c r="G16" s="29"/>
      <c r="H16" s="29">
        <f t="shared" si="0"/>
        <v>6.208333333333333</v>
      </c>
      <c r="I16" s="29">
        <f t="shared" si="1"/>
        <v>6.208333333333333</v>
      </c>
      <c r="J16" s="30">
        <f t="shared" si="2"/>
        <v>12.416666666666666</v>
      </c>
    </row>
    <row r="17" spans="1:10" ht="18.75" hidden="1" customHeight="1" x14ac:dyDescent="0.25">
      <c r="A17" s="22"/>
      <c r="B17" s="29"/>
      <c r="C17" s="29"/>
      <c r="D17" s="29"/>
      <c r="E17" s="29"/>
      <c r="F17" s="29"/>
      <c r="G17" s="29"/>
      <c r="H17" s="29">
        <f t="shared" si="0"/>
        <v>6.208333333333333</v>
      </c>
      <c r="I17" s="29">
        <f t="shared" si="1"/>
        <v>6.208333333333333</v>
      </c>
      <c r="J17" s="30">
        <f t="shared" si="2"/>
        <v>12.416666666666666</v>
      </c>
    </row>
    <row r="18" spans="1:10" ht="18.75" customHeight="1" x14ac:dyDescent="0.25">
      <c r="A18" s="22" t="s">
        <v>12</v>
      </c>
      <c r="B18" s="29"/>
      <c r="C18" s="29"/>
      <c r="D18" s="29"/>
      <c r="E18" s="29">
        <v>1</v>
      </c>
      <c r="F18" s="29"/>
      <c r="G18" s="29"/>
      <c r="H18" s="29">
        <f>H17-F18-D18+B18</f>
        <v>6.208333333333333</v>
      </c>
      <c r="I18" s="29">
        <f>I17-E18+B18</f>
        <v>5.208333333333333</v>
      </c>
      <c r="J18" s="30">
        <f t="shared" si="2"/>
        <v>11.416666666666666</v>
      </c>
    </row>
    <row r="19" spans="1:10" ht="18.75" customHeight="1" x14ac:dyDescent="0.25">
      <c r="A19" s="22" t="s">
        <v>13</v>
      </c>
      <c r="B19" s="29">
        <v>1.25</v>
      </c>
      <c r="C19" s="29">
        <v>1.25</v>
      </c>
      <c r="D19" s="29"/>
      <c r="E19" s="29"/>
      <c r="F19" s="29"/>
      <c r="G19" s="29"/>
      <c r="H19" s="29">
        <f t="shared" si="0"/>
        <v>7.458333333333333</v>
      </c>
      <c r="I19" s="29">
        <f t="shared" si="1"/>
        <v>6.458333333333333</v>
      </c>
      <c r="J19" s="30">
        <f t="shared" si="2"/>
        <v>13.916666666666666</v>
      </c>
    </row>
    <row r="20" spans="1:10" ht="18.75" customHeight="1" x14ac:dyDescent="0.25">
      <c r="A20" s="22" t="s">
        <v>14</v>
      </c>
      <c r="B20" s="29"/>
      <c r="C20" s="29"/>
      <c r="D20" s="29"/>
      <c r="E20" s="29"/>
      <c r="F20" s="29"/>
      <c r="G20" s="29">
        <v>1</v>
      </c>
      <c r="H20" s="29">
        <f t="shared" si="0"/>
        <v>7.458333333333333</v>
      </c>
      <c r="I20" s="29">
        <f t="shared" si="1"/>
        <v>6.458333333333333</v>
      </c>
      <c r="J20" s="30">
        <f t="shared" si="2"/>
        <v>13.916666666666666</v>
      </c>
    </row>
    <row r="21" spans="1:10" ht="18.75" customHeight="1" x14ac:dyDescent="0.25">
      <c r="A21" s="22" t="s">
        <v>15</v>
      </c>
      <c r="B21" s="29">
        <v>1.25</v>
      </c>
      <c r="C21" s="29">
        <v>1.25</v>
      </c>
      <c r="D21" s="29"/>
      <c r="E21" s="29"/>
      <c r="F21" s="29"/>
      <c r="G21" s="29"/>
      <c r="H21" s="29">
        <f t="shared" si="0"/>
        <v>8.7083333333333321</v>
      </c>
      <c r="I21" s="29">
        <f t="shared" si="1"/>
        <v>7.708333333333333</v>
      </c>
      <c r="J21" s="30">
        <f t="shared" si="2"/>
        <v>16.416666666666664</v>
      </c>
    </row>
    <row r="22" spans="1:10" ht="18.75" customHeight="1" x14ac:dyDescent="0.25">
      <c r="A22" s="22" t="s">
        <v>16</v>
      </c>
      <c r="B22" s="29"/>
      <c r="C22" s="29"/>
      <c r="D22" s="29"/>
      <c r="E22" s="29"/>
      <c r="F22" s="29"/>
      <c r="G22" s="29">
        <v>2</v>
      </c>
      <c r="H22" s="29">
        <f t="shared" si="0"/>
        <v>8.7083333333333321</v>
      </c>
      <c r="I22" s="29">
        <f t="shared" si="1"/>
        <v>7.708333333333333</v>
      </c>
      <c r="J22" s="30">
        <f t="shared" si="2"/>
        <v>16.416666666666664</v>
      </c>
    </row>
    <row r="23" spans="1:10" ht="18.75" customHeight="1" x14ac:dyDescent="0.25">
      <c r="A23" s="22" t="s">
        <v>17</v>
      </c>
      <c r="B23" s="29">
        <v>1.25</v>
      </c>
      <c r="C23" s="29">
        <v>1.25</v>
      </c>
      <c r="D23" s="29"/>
      <c r="E23" s="29"/>
      <c r="F23" s="29"/>
      <c r="G23" s="29"/>
      <c r="H23" s="29">
        <f t="shared" si="0"/>
        <v>9.9583333333333321</v>
      </c>
      <c r="I23" s="29">
        <f t="shared" si="1"/>
        <v>8.9583333333333321</v>
      </c>
      <c r="J23" s="30">
        <f t="shared" si="2"/>
        <v>18.916666666666664</v>
      </c>
    </row>
    <row r="24" spans="1:10" ht="18.75" customHeight="1" x14ac:dyDescent="0.25">
      <c r="A24" s="22" t="s">
        <v>20</v>
      </c>
      <c r="B24" s="29">
        <v>2.5</v>
      </c>
      <c r="C24" s="29">
        <v>2.5</v>
      </c>
      <c r="D24" s="29"/>
      <c r="E24" s="29"/>
      <c r="F24" s="29"/>
      <c r="G24" s="29"/>
      <c r="H24" s="29">
        <f t="shared" si="0"/>
        <v>12.458333333333332</v>
      </c>
      <c r="I24" s="29">
        <f t="shared" si="1"/>
        <v>11.458333333333332</v>
      </c>
      <c r="J24" s="30">
        <f t="shared" si="2"/>
        <v>23.916666666666664</v>
      </c>
    </row>
    <row r="25" spans="1:10" ht="18.75" customHeight="1" x14ac:dyDescent="0.25">
      <c r="A25" s="62" t="s">
        <v>21</v>
      </c>
      <c r="B25" s="61"/>
      <c r="C25" s="61"/>
      <c r="D25" s="61"/>
      <c r="E25" s="61"/>
      <c r="F25" s="61">
        <v>1.5</v>
      </c>
      <c r="G25" s="29"/>
      <c r="H25" s="29">
        <f t="shared" si="0"/>
        <v>10.958333333333332</v>
      </c>
      <c r="I25" s="29">
        <f t="shared" si="1"/>
        <v>11.458333333333332</v>
      </c>
      <c r="J25" s="30">
        <f t="shared" si="2"/>
        <v>22.416666666666664</v>
      </c>
    </row>
    <row r="26" spans="1:10" ht="18.75" customHeight="1" x14ac:dyDescent="0.25">
      <c r="A26" s="22" t="s">
        <v>22</v>
      </c>
      <c r="B26" s="29"/>
      <c r="C26" s="29"/>
      <c r="D26" s="29"/>
      <c r="E26" s="29"/>
      <c r="F26" s="29">
        <v>2</v>
      </c>
      <c r="G26" s="29"/>
      <c r="H26" s="29">
        <f t="shared" si="0"/>
        <v>8.9583333333333321</v>
      </c>
      <c r="I26" s="29">
        <f t="shared" si="1"/>
        <v>11.458333333333332</v>
      </c>
      <c r="J26" s="30">
        <f t="shared" si="2"/>
        <v>20.416666666666664</v>
      </c>
    </row>
    <row r="27" spans="1:10" ht="18.75" customHeight="1" x14ac:dyDescent="0.25">
      <c r="A27" s="22" t="s">
        <v>23</v>
      </c>
      <c r="B27" s="29">
        <v>1.25</v>
      </c>
      <c r="C27" s="29">
        <v>1.25</v>
      </c>
      <c r="D27" s="29"/>
      <c r="E27" s="29"/>
      <c r="F27" s="29"/>
      <c r="G27" s="29"/>
      <c r="H27" s="29">
        <f t="shared" si="0"/>
        <v>10.208333333333332</v>
      </c>
      <c r="I27" s="29">
        <f t="shared" si="1"/>
        <v>12.708333333333332</v>
      </c>
      <c r="J27" s="30">
        <f t="shared" si="2"/>
        <v>22.916666666666664</v>
      </c>
    </row>
    <row r="28" spans="1:10" ht="18.75" customHeight="1" x14ac:dyDescent="0.25">
      <c r="A28" s="22" t="s">
        <v>24</v>
      </c>
      <c r="B28" s="29"/>
      <c r="C28" s="29"/>
      <c r="D28" s="29"/>
      <c r="E28" s="29"/>
      <c r="F28" s="29">
        <v>1</v>
      </c>
      <c r="G28" s="29"/>
      <c r="H28" s="29">
        <f t="shared" si="0"/>
        <v>9.2083333333333321</v>
      </c>
      <c r="I28" s="29">
        <f t="shared" si="1"/>
        <v>12.708333333333332</v>
      </c>
      <c r="J28" s="30">
        <f t="shared" si="2"/>
        <v>21.916666666666664</v>
      </c>
    </row>
    <row r="29" spans="1:10" ht="18.75" customHeight="1" x14ac:dyDescent="0.25">
      <c r="A29" s="22" t="s">
        <v>25</v>
      </c>
      <c r="B29" s="29">
        <v>1.25</v>
      </c>
      <c r="C29" s="29">
        <v>1.25</v>
      </c>
      <c r="D29" s="29"/>
      <c r="E29" s="29"/>
      <c r="F29" s="29"/>
      <c r="G29" s="29"/>
      <c r="H29" s="29">
        <f t="shared" si="0"/>
        <v>10.458333333333332</v>
      </c>
      <c r="I29" s="29">
        <f t="shared" si="1"/>
        <v>13.958333333333332</v>
      </c>
      <c r="J29" s="30">
        <f t="shared" si="2"/>
        <v>24.416666666666664</v>
      </c>
    </row>
    <row r="30" spans="1:10" ht="18.75" customHeight="1" x14ac:dyDescent="0.25">
      <c r="A30" s="62" t="s">
        <v>26</v>
      </c>
      <c r="B30" s="61"/>
      <c r="C30" s="61"/>
      <c r="D30" s="61"/>
      <c r="E30" s="61"/>
      <c r="F30" s="61">
        <v>0.5</v>
      </c>
      <c r="G30" s="27"/>
      <c r="H30" s="29">
        <f t="shared" si="0"/>
        <v>9.9583333333333321</v>
      </c>
      <c r="I30" s="29">
        <f t="shared" si="1"/>
        <v>13.958333333333332</v>
      </c>
      <c r="J30" s="30">
        <f t="shared" si="2"/>
        <v>23.916666666666664</v>
      </c>
    </row>
    <row r="31" spans="1:10" ht="18.75" customHeight="1" x14ac:dyDescent="0.25">
      <c r="A31" s="22" t="s">
        <v>27</v>
      </c>
      <c r="B31" s="31"/>
      <c r="C31" s="31"/>
      <c r="D31" s="31"/>
      <c r="E31" s="31"/>
      <c r="F31" s="31"/>
      <c r="G31" s="31">
        <v>2</v>
      </c>
      <c r="H31" s="29">
        <f t="shared" si="0"/>
        <v>9.9583333333333321</v>
      </c>
      <c r="I31" s="29">
        <f t="shared" si="1"/>
        <v>13.958333333333332</v>
      </c>
      <c r="J31" s="30">
        <f t="shared" si="2"/>
        <v>23.916666666666664</v>
      </c>
    </row>
    <row r="32" spans="1:10" x14ac:dyDescent="0.25">
      <c r="A32" s="22" t="s">
        <v>28</v>
      </c>
      <c r="B32" s="27"/>
      <c r="C32" s="27"/>
      <c r="D32" s="27"/>
      <c r="E32" s="27"/>
      <c r="F32" s="27">
        <v>2</v>
      </c>
      <c r="G32" s="27"/>
      <c r="H32" s="29">
        <f t="shared" si="0"/>
        <v>7.9583333333333321</v>
      </c>
      <c r="I32" s="29">
        <f t="shared" si="1"/>
        <v>13.958333333333332</v>
      </c>
      <c r="J32" s="30">
        <f t="shared" si="2"/>
        <v>21.916666666666664</v>
      </c>
    </row>
    <row r="33" spans="1:10" x14ac:dyDescent="0.25">
      <c r="A33" s="22" t="s">
        <v>29</v>
      </c>
      <c r="B33" s="27"/>
      <c r="C33" s="27"/>
      <c r="D33" s="27"/>
      <c r="E33" s="27"/>
      <c r="F33" s="27">
        <v>1</v>
      </c>
      <c r="G33" s="27"/>
      <c r="H33" s="29">
        <f t="shared" si="0"/>
        <v>6.9583333333333321</v>
      </c>
      <c r="I33" s="29">
        <f t="shared" si="1"/>
        <v>13.958333333333332</v>
      </c>
      <c r="J33" s="30">
        <f t="shared" si="2"/>
        <v>20.916666666666664</v>
      </c>
    </row>
    <row r="34" spans="1:10" x14ac:dyDescent="0.25">
      <c r="A34" s="22" t="s">
        <v>31</v>
      </c>
      <c r="B34" s="29">
        <v>1.25</v>
      </c>
      <c r="C34" s="29">
        <v>1.25</v>
      </c>
      <c r="D34" s="27"/>
      <c r="E34" s="27"/>
      <c r="F34" s="27"/>
      <c r="G34" s="27"/>
      <c r="H34" s="29">
        <f t="shared" si="0"/>
        <v>8.2083333333333321</v>
      </c>
      <c r="I34" s="29">
        <f t="shared" si="1"/>
        <v>15.208333333333332</v>
      </c>
      <c r="J34" s="30">
        <f t="shared" si="2"/>
        <v>23.416666666666664</v>
      </c>
    </row>
    <row r="35" spans="1:10" x14ac:dyDescent="0.25">
      <c r="A35" s="22" t="s">
        <v>30</v>
      </c>
      <c r="B35" s="27"/>
      <c r="C35" s="27"/>
      <c r="D35" s="27"/>
      <c r="E35" s="27"/>
      <c r="F35" s="27">
        <v>2</v>
      </c>
      <c r="G35" s="27"/>
      <c r="H35" s="29">
        <f t="shared" si="0"/>
        <v>6.2083333333333321</v>
      </c>
      <c r="I35" s="29">
        <f t="shared" si="1"/>
        <v>15.208333333333332</v>
      </c>
      <c r="J35" s="30">
        <f t="shared" si="2"/>
        <v>21.416666666666664</v>
      </c>
    </row>
    <row r="36" spans="1:10" x14ac:dyDescent="0.25">
      <c r="A36" s="22" t="s">
        <v>53</v>
      </c>
      <c r="B36" s="27">
        <v>2.5</v>
      </c>
      <c r="C36" s="27">
        <v>2.5</v>
      </c>
      <c r="D36" s="27"/>
      <c r="E36" s="27"/>
      <c r="F36" s="27"/>
      <c r="G36" s="27"/>
      <c r="H36" s="29">
        <f t="shared" si="0"/>
        <v>8.7083333333333321</v>
      </c>
      <c r="I36" s="29">
        <f t="shared" si="1"/>
        <v>17.708333333333332</v>
      </c>
      <c r="J36" s="30">
        <f t="shared" si="2"/>
        <v>26.416666666666664</v>
      </c>
    </row>
    <row r="37" spans="1:10" x14ac:dyDescent="0.25">
      <c r="A37" s="22" t="s">
        <v>54</v>
      </c>
      <c r="B37" s="29">
        <v>1.25</v>
      </c>
      <c r="C37" s="29">
        <v>1.25</v>
      </c>
      <c r="D37" s="27"/>
      <c r="E37" s="27"/>
      <c r="F37" s="27"/>
      <c r="G37" s="27"/>
      <c r="H37" s="29">
        <f t="shared" si="0"/>
        <v>9.9583333333333321</v>
      </c>
      <c r="I37" s="29">
        <f t="shared" si="1"/>
        <v>18.958333333333332</v>
      </c>
      <c r="J37" s="30">
        <f t="shared" si="2"/>
        <v>28.916666666666664</v>
      </c>
    </row>
    <row r="38" spans="1:10" x14ac:dyDescent="0.25">
      <c r="A38" s="25" t="s">
        <v>55</v>
      </c>
      <c r="B38" s="28"/>
      <c r="C38" s="28"/>
      <c r="D38" s="28">
        <v>5</v>
      </c>
      <c r="E38" s="28"/>
      <c r="F38" s="28"/>
      <c r="G38" s="28"/>
      <c r="H38" s="29">
        <f t="shared" si="0"/>
        <v>4.9583333333333321</v>
      </c>
      <c r="I38" s="29">
        <f t="shared" si="1"/>
        <v>18.958333333333332</v>
      </c>
      <c r="J38" s="30">
        <f t="shared" si="2"/>
        <v>23.916666666666664</v>
      </c>
    </row>
    <row r="39" spans="1:10" x14ac:dyDescent="0.25">
      <c r="A39" s="22" t="s">
        <v>56</v>
      </c>
      <c r="B39" s="27"/>
      <c r="C39" s="27"/>
      <c r="D39" s="27"/>
      <c r="E39" s="27">
        <v>1</v>
      </c>
      <c r="F39" s="27"/>
      <c r="G39" s="28"/>
      <c r="H39" s="29">
        <f t="shared" si="0"/>
        <v>4.9583333333333321</v>
      </c>
      <c r="I39" s="29">
        <f t="shared" si="1"/>
        <v>17.958333333333332</v>
      </c>
      <c r="J39" s="30">
        <f t="shared" si="2"/>
        <v>22.916666666666664</v>
      </c>
    </row>
    <row r="40" spans="1:10" x14ac:dyDescent="0.25">
      <c r="A40" s="22" t="s">
        <v>57</v>
      </c>
      <c r="B40" s="29">
        <v>1.25</v>
      </c>
      <c r="C40" s="29">
        <v>1.25</v>
      </c>
      <c r="D40" s="27"/>
      <c r="E40" s="27"/>
      <c r="F40" s="27"/>
      <c r="G40" s="28"/>
      <c r="H40" s="29">
        <f t="shared" si="0"/>
        <v>6.2083333333333321</v>
      </c>
      <c r="I40" s="29">
        <f t="shared" si="1"/>
        <v>19.208333333333332</v>
      </c>
      <c r="J40" s="30">
        <f t="shared" si="2"/>
        <v>25.416666666666664</v>
      </c>
    </row>
    <row r="41" spans="1:10" x14ac:dyDescent="0.25">
      <c r="A41" s="25" t="s">
        <v>58</v>
      </c>
      <c r="B41" s="28"/>
      <c r="C41" s="28"/>
      <c r="D41" s="28">
        <v>2</v>
      </c>
      <c r="E41" s="28"/>
      <c r="F41" s="28"/>
      <c r="G41" s="28"/>
      <c r="H41" s="29">
        <f t="shared" si="0"/>
        <v>4.2083333333333321</v>
      </c>
      <c r="I41" s="29">
        <f t="shared" si="1"/>
        <v>19.208333333333332</v>
      </c>
      <c r="J41" s="30">
        <f t="shared" si="2"/>
        <v>23.416666666666664</v>
      </c>
    </row>
    <row r="42" spans="1:10" x14ac:dyDescent="0.25">
      <c r="A42" s="22" t="s">
        <v>99</v>
      </c>
      <c r="B42" s="27">
        <v>5</v>
      </c>
      <c r="C42" s="27">
        <v>5</v>
      </c>
      <c r="D42" s="27"/>
      <c r="E42" s="27"/>
      <c r="F42" s="27"/>
      <c r="G42" s="27"/>
      <c r="H42" s="29">
        <f t="shared" si="0"/>
        <v>9.2083333333333321</v>
      </c>
      <c r="I42" s="29">
        <f t="shared" si="1"/>
        <v>24.208333333333332</v>
      </c>
      <c r="J42" s="30">
        <f t="shared" si="2"/>
        <v>33.416666666666664</v>
      </c>
    </row>
    <row r="43" spans="1:10" x14ac:dyDescent="0.25">
      <c r="A43" s="7" t="s">
        <v>60</v>
      </c>
      <c r="B43" s="27"/>
      <c r="C43" s="27"/>
      <c r="D43" s="27"/>
      <c r="E43" s="27">
        <v>2</v>
      </c>
      <c r="F43" s="27"/>
      <c r="G43" s="27"/>
      <c r="H43" s="29">
        <f t="shared" si="0"/>
        <v>9.2083333333333321</v>
      </c>
      <c r="I43" s="29">
        <f t="shared" si="1"/>
        <v>22.208333333333332</v>
      </c>
      <c r="J43" s="30">
        <f t="shared" si="2"/>
        <v>31.416666666666664</v>
      </c>
    </row>
    <row r="44" spans="1:10" x14ac:dyDescent="0.25">
      <c r="A44" s="7" t="s">
        <v>62</v>
      </c>
      <c r="B44" s="27"/>
      <c r="C44" s="27"/>
      <c r="D44" s="27"/>
      <c r="E44" s="27">
        <v>2</v>
      </c>
      <c r="F44" s="27"/>
      <c r="G44" s="27"/>
      <c r="H44" s="29">
        <f t="shared" si="0"/>
        <v>9.2083333333333321</v>
      </c>
      <c r="I44" s="29">
        <f t="shared" si="1"/>
        <v>20.208333333333332</v>
      </c>
      <c r="J44" s="30">
        <f t="shared" si="2"/>
        <v>29.416666666666664</v>
      </c>
    </row>
    <row r="45" spans="1:10" x14ac:dyDescent="0.25">
      <c r="A45" s="7" t="s">
        <v>63</v>
      </c>
      <c r="B45" s="27"/>
      <c r="C45" s="27"/>
      <c r="D45" s="27"/>
      <c r="E45" s="27"/>
      <c r="F45" s="27"/>
      <c r="G45" s="27">
        <v>1</v>
      </c>
      <c r="H45" s="29">
        <f>H44-F45-D45+B45</f>
        <v>9.2083333333333321</v>
      </c>
      <c r="I45" s="29">
        <f>I44-E45+B45</f>
        <v>20.208333333333332</v>
      </c>
      <c r="J45" s="30">
        <f>SUM(H45:I45)</f>
        <v>29.416666666666664</v>
      </c>
    </row>
    <row r="46" spans="1:10" x14ac:dyDescent="0.25">
      <c r="A46" s="7" t="s">
        <v>67</v>
      </c>
      <c r="B46" s="27">
        <f>3*1.25</f>
        <v>3.75</v>
      </c>
      <c r="C46" s="27">
        <v>3.75</v>
      </c>
      <c r="D46" s="27"/>
      <c r="E46" s="27"/>
      <c r="F46" s="27"/>
      <c r="G46" s="27"/>
      <c r="H46" s="29">
        <f t="shared" ref="H46:H56" si="3">H45-F46-D46+B46</f>
        <v>12.958333333333332</v>
      </c>
      <c r="I46" s="29">
        <f t="shared" ref="I46:I56" si="4">I45-E46+B46</f>
        <v>23.958333333333332</v>
      </c>
      <c r="J46" s="30">
        <f t="shared" ref="J46:J56" si="5">SUM(H46:I46)</f>
        <v>36.916666666666664</v>
      </c>
    </row>
    <row r="47" spans="1:10" x14ac:dyDescent="0.25">
      <c r="A47" s="7" t="s">
        <v>68</v>
      </c>
      <c r="B47" s="27"/>
      <c r="C47" s="27"/>
      <c r="D47" s="27"/>
      <c r="E47" s="27"/>
      <c r="F47" s="27"/>
      <c r="G47" s="37">
        <v>3</v>
      </c>
      <c r="H47" s="29">
        <f t="shared" si="3"/>
        <v>12.958333333333332</v>
      </c>
      <c r="I47" s="29">
        <f t="shared" si="4"/>
        <v>23.958333333333332</v>
      </c>
      <c r="J47" s="30">
        <f t="shared" si="5"/>
        <v>36.916666666666664</v>
      </c>
    </row>
    <row r="48" spans="1:10" x14ac:dyDescent="0.25">
      <c r="A48" s="7" t="s">
        <v>69</v>
      </c>
      <c r="B48" s="27">
        <v>1.25</v>
      </c>
      <c r="C48" s="27">
        <v>1.25</v>
      </c>
      <c r="D48" s="27"/>
      <c r="E48" s="27"/>
      <c r="F48" s="27"/>
      <c r="G48" s="27"/>
      <c r="H48" s="29">
        <f t="shared" si="3"/>
        <v>14.208333333333332</v>
      </c>
      <c r="I48" s="29">
        <f t="shared" si="4"/>
        <v>25.208333333333332</v>
      </c>
      <c r="J48" s="30">
        <f t="shared" si="5"/>
        <v>39.416666666666664</v>
      </c>
    </row>
    <row r="49" spans="1:10" x14ac:dyDescent="0.25">
      <c r="A49" s="7" t="s">
        <v>70</v>
      </c>
      <c r="B49" s="27"/>
      <c r="C49" s="27"/>
      <c r="D49" s="27"/>
      <c r="E49" s="27">
        <v>1</v>
      </c>
      <c r="F49" s="27"/>
      <c r="G49" s="27"/>
      <c r="H49" s="29">
        <f t="shared" si="3"/>
        <v>14.208333333333332</v>
      </c>
      <c r="I49" s="29">
        <f t="shared" si="4"/>
        <v>24.208333333333332</v>
      </c>
      <c r="J49" s="30">
        <f t="shared" si="5"/>
        <v>38.416666666666664</v>
      </c>
    </row>
    <row r="50" spans="1:10" x14ac:dyDescent="0.25">
      <c r="A50" s="7" t="s">
        <v>71</v>
      </c>
      <c r="B50" s="27">
        <v>1.25</v>
      </c>
      <c r="C50" s="27">
        <v>1.25</v>
      </c>
      <c r="D50" s="27"/>
      <c r="E50" s="27"/>
      <c r="F50" s="27"/>
      <c r="G50" s="27"/>
      <c r="H50" s="29">
        <f t="shared" si="3"/>
        <v>15.458333333333332</v>
      </c>
      <c r="I50" s="29">
        <f t="shared" si="4"/>
        <v>25.458333333333332</v>
      </c>
      <c r="J50" s="30">
        <f t="shared" si="5"/>
        <v>40.916666666666664</v>
      </c>
    </row>
    <row r="51" spans="1:10" x14ac:dyDescent="0.25">
      <c r="A51" s="7" t="s">
        <v>72</v>
      </c>
      <c r="B51" s="27"/>
      <c r="C51" s="27"/>
      <c r="D51" s="27"/>
      <c r="E51" s="27"/>
      <c r="F51" s="38">
        <v>2</v>
      </c>
      <c r="G51" s="27"/>
      <c r="H51" s="29">
        <f t="shared" si="3"/>
        <v>13.458333333333332</v>
      </c>
      <c r="I51" s="29">
        <f t="shared" si="4"/>
        <v>25.458333333333332</v>
      </c>
      <c r="J51" s="30">
        <f t="shared" si="5"/>
        <v>38.916666666666664</v>
      </c>
    </row>
    <row r="52" spans="1:10" x14ac:dyDescent="0.25">
      <c r="A52" s="7" t="s">
        <v>95</v>
      </c>
      <c r="B52" s="27">
        <v>5</v>
      </c>
      <c r="C52" s="27">
        <v>5</v>
      </c>
      <c r="D52" s="27"/>
      <c r="E52" s="27"/>
      <c r="F52" s="27"/>
      <c r="G52" s="27"/>
      <c r="H52" s="29">
        <f t="shared" si="3"/>
        <v>18.458333333333332</v>
      </c>
      <c r="I52" s="29">
        <f t="shared" si="4"/>
        <v>30.458333333333332</v>
      </c>
      <c r="J52" s="30">
        <f t="shared" si="5"/>
        <v>48.916666666666664</v>
      </c>
    </row>
    <row r="53" spans="1:10" x14ac:dyDescent="0.25">
      <c r="A53" s="7" t="s">
        <v>97</v>
      </c>
      <c r="B53" s="27"/>
      <c r="C53" s="27"/>
      <c r="D53" s="27"/>
      <c r="E53" s="27"/>
      <c r="F53" s="38">
        <v>1</v>
      </c>
      <c r="G53" s="27"/>
      <c r="H53" s="29">
        <f t="shared" si="3"/>
        <v>17.458333333333332</v>
      </c>
      <c r="I53" s="29">
        <f t="shared" si="4"/>
        <v>30.458333333333332</v>
      </c>
      <c r="J53" s="30">
        <f t="shared" si="5"/>
        <v>47.916666666666664</v>
      </c>
    </row>
    <row r="54" spans="1:10" x14ac:dyDescent="0.25">
      <c r="A54" s="7" t="s">
        <v>101</v>
      </c>
      <c r="B54" s="27">
        <v>1.25</v>
      </c>
      <c r="C54" s="27">
        <v>1.25</v>
      </c>
      <c r="D54" s="27"/>
      <c r="E54" s="27"/>
      <c r="F54" s="27"/>
      <c r="G54" s="27"/>
      <c r="H54" s="29">
        <f t="shared" si="3"/>
        <v>18.708333333333332</v>
      </c>
      <c r="I54" s="29">
        <f t="shared" si="4"/>
        <v>31.708333333333332</v>
      </c>
      <c r="J54" s="30">
        <f t="shared" si="5"/>
        <v>50.416666666666664</v>
      </c>
    </row>
    <row r="55" spans="1:10" x14ac:dyDescent="0.25">
      <c r="A55" s="7" t="s">
        <v>98</v>
      </c>
      <c r="B55" s="27"/>
      <c r="C55" s="27"/>
      <c r="D55" s="27"/>
      <c r="E55" s="27">
        <v>2</v>
      </c>
      <c r="F55" s="27"/>
      <c r="G55" s="27"/>
      <c r="H55" s="29">
        <f t="shared" si="3"/>
        <v>18.708333333333332</v>
      </c>
      <c r="I55" s="29">
        <f t="shared" si="4"/>
        <v>29.708333333333332</v>
      </c>
      <c r="J55" s="30">
        <f t="shared" si="5"/>
        <v>48.416666666666664</v>
      </c>
    </row>
    <row r="56" spans="1:10" x14ac:dyDescent="0.25">
      <c r="A56" s="7" t="s">
        <v>100</v>
      </c>
      <c r="B56" s="27"/>
      <c r="C56" s="27"/>
      <c r="D56" s="27"/>
      <c r="E56" s="27"/>
      <c r="F56" s="38">
        <v>1</v>
      </c>
      <c r="G56" s="27"/>
      <c r="H56" s="29">
        <f t="shared" si="3"/>
        <v>17.708333333333332</v>
      </c>
      <c r="I56" s="29">
        <f t="shared" si="4"/>
        <v>29.708333333333332</v>
      </c>
      <c r="J56" s="30">
        <f t="shared" si="5"/>
        <v>47.416666666666664</v>
      </c>
    </row>
    <row r="57" spans="1:10" x14ac:dyDescent="0.25">
      <c r="A57" s="7" t="s">
        <v>102</v>
      </c>
      <c r="B57" s="27">
        <v>5</v>
      </c>
      <c r="C57" s="27">
        <v>5</v>
      </c>
      <c r="D57" s="27"/>
      <c r="E57" s="27"/>
      <c r="F57" s="27"/>
      <c r="G57" s="27"/>
      <c r="H57" s="27"/>
      <c r="I57" s="27"/>
      <c r="J57" s="27"/>
    </row>
    <row r="58" spans="1:10" x14ac:dyDescent="0.25">
      <c r="A58" s="7"/>
      <c r="B58" s="27"/>
      <c r="C58" s="27"/>
      <c r="D58" s="27"/>
      <c r="E58" s="27"/>
      <c r="F58" s="27"/>
      <c r="G58" s="27"/>
      <c r="H58" s="27"/>
      <c r="I58" s="27"/>
      <c r="J58" s="27"/>
    </row>
    <row r="59" spans="1:10" x14ac:dyDescent="0.25">
      <c r="A59" s="7"/>
      <c r="B59" s="27"/>
      <c r="C59" s="27"/>
      <c r="D59" s="27"/>
      <c r="E59" s="27"/>
      <c r="F59" s="27"/>
      <c r="G59" s="27"/>
      <c r="H59" s="27"/>
      <c r="I59" s="27"/>
      <c r="J59" s="27"/>
    </row>
    <row r="60" spans="1:10" x14ac:dyDescent="0.25">
      <c r="A60" s="26"/>
      <c r="B60" s="39"/>
      <c r="C60" s="39"/>
      <c r="D60" s="39"/>
      <c r="E60" s="39"/>
      <c r="F60" s="39"/>
      <c r="G60" s="39"/>
      <c r="H60" s="40"/>
      <c r="I60" s="40"/>
      <c r="J60" s="40"/>
    </row>
    <row r="61" spans="1:10" s="32" customFormat="1" ht="15" customHeight="1" x14ac:dyDescent="0.25">
      <c r="F61" s="32" t="s">
        <v>49</v>
      </c>
    </row>
    <row r="62" spans="1:10" s="32" customFormat="1" ht="15" customHeight="1" x14ac:dyDescent="0.25"/>
    <row r="63" spans="1:10" s="32" customFormat="1" ht="15" customHeight="1" x14ac:dyDescent="0.25">
      <c r="H63" s="60" t="s">
        <v>50</v>
      </c>
    </row>
    <row r="64" spans="1:10" s="32" customFormat="1" ht="15" customHeight="1" x14ac:dyDescent="0.25">
      <c r="H64" s="33" t="s">
        <v>51</v>
      </c>
    </row>
    <row r="65" spans="1:11" ht="15" customHeight="1" x14ac:dyDescent="0.25">
      <c r="B65" s="1"/>
      <c r="C65" s="1"/>
      <c r="D65" s="1"/>
      <c r="G65" s="1"/>
      <c r="H65" s="33" t="s">
        <v>52</v>
      </c>
      <c r="I65" s="1"/>
      <c r="J65" s="1"/>
      <c r="K65" s="1"/>
    </row>
    <row r="66" spans="1:1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2E58-5571-45D6-87CB-3CE65C6EB4DB}">
  <sheetPr>
    <pageSetUpPr fitToPage="1"/>
  </sheetPr>
  <dimension ref="A1:M23"/>
  <sheetViews>
    <sheetView view="pageBreakPreview" zoomScale="98" zoomScaleNormal="100" workbookViewId="0">
      <selection activeCell="N21" sqref="N21"/>
    </sheetView>
  </sheetViews>
  <sheetFormatPr defaultColWidth="9" defaultRowHeight="15" x14ac:dyDescent="0.25"/>
  <cols>
    <col min="1" max="1" width="29.85546875" style="13" customWidth="1"/>
    <col min="2" max="2" width="9.42578125" style="52" customWidth="1"/>
    <col min="3" max="3" width="9.28515625" style="36" customWidth="1"/>
    <col min="4" max="4" width="9.140625" style="13" customWidth="1"/>
    <col min="5" max="5" width="8.42578125" style="52" customWidth="1"/>
    <col min="6" max="6" width="10.85546875" style="53" customWidth="1"/>
    <col min="7" max="7" width="9.7109375" style="54" customWidth="1"/>
    <col min="8" max="8" width="10.85546875" style="13" customWidth="1"/>
    <col min="9" max="9" width="9.7109375" style="52" customWidth="1"/>
    <col min="10" max="10" width="10" style="53" customWidth="1"/>
    <col min="11" max="11" width="8.7109375" style="54" customWidth="1"/>
    <col min="12" max="12" width="7.5703125" style="13" customWidth="1"/>
    <col min="13" max="16384" width="9" style="13"/>
  </cols>
  <sheetData>
    <row r="1" spans="1:13" s="8" customFormat="1" ht="52.5" customHeight="1" x14ac:dyDescent="0.25">
      <c r="C1" s="41"/>
      <c r="D1" s="42"/>
      <c r="H1" s="21"/>
    </row>
    <row r="2" spans="1:13" s="8" customFormat="1" ht="10.5" customHeight="1" x14ac:dyDescent="0.25">
      <c r="A2" s="76" t="s">
        <v>32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3" s="8" customFormat="1" ht="15.95" customHeight="1" x14ac:dyDescent="0.25">
      <c r="A3" s="76" t="s">
        <v>33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3" s="8" customFormat="1" ht="15.95" customHeight="1" x14ac:dyDescent="0.25">
      <c r="A4" s="76" t="s">
        <v>34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3" s="8" customFormat="1" ht="15.95" customHeight="1" x14ac:dyDescent="0.25">
      <c r="A5" s="76" t="s">
        <v>35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3" s="8" customFormat="1" ht="8.25" customHeight="1" x14ac:dyDescent="0.25">
      <c r="C6" s="21"/>
      <c r="H6" s="21"/>
    </row>
    <row r="7" spans="1:13" s="8" customFormat="1" ht="8.25" customHeight="1" x14ac:dyDescent="0.25">
      <c r="C7" s="21"/>
      <c r="H7" s="21"/>
    </row>
    <row r="8" spans="1:13" s="8" customFormat="1" ht="12" customHeight="1" x14ac:dyDescent="0.25">
      <c r="A8" s="9" t="s">
        <v>90</v>
      </c>
      <c r="B8" s="9"/>
      <c r="C8" s="92" t="s">
        <v>73</v>
      </c>
      <c r="D8" s="92"/>
      <c r="E8" s="92"/>
      <c r="F8" s="92"/>
      <c r="G8" s="92"/>
      <c r="I8" s="92" t="s">
        <v>74</v>
      </c>
      <c r="J8" s="92"/>
      <c r="K8" s="92"/>
      <c r="L8" s="9"/>
    </row>
    <row r="9" spans="1:13" s="8" customFormat="1" ht="12" customHeight="1" x14ac:dyDescent="0.25">
      <c r="B9" s="11"/>
      <c r="C9" s="92" t="s">
        <v>75</v>
      </c>
      <c r="D9" s="92"/>
      <c r="E9" s="92"/>
      <c r="F9" s="92"/>
      <c r="G9" s="92"/>
      <c r="I9" s="93" t="s">
        <v>76</v>
      </c>
      <c r="J9" s="93"/>
      <c r="K9" s="93"/>
      <c r="L9" s="11"/>
    </row>
    <row r="10" spans="1:13" s="8" customFormat="1" ht="12" customHeight="1" x14ac:dyDescent="0.25">
      <c r="A10" s="9" t="s">
        <v>77</v>
      </c>
      <c r="B10" s="9"/>
      <c r="C10" s="43"/>
      <c r="D10" s="11"/>
      <c r="E10" s="11"/>
      <c r="I10" s="92" t="s">
        <v>78</v>
      </c>
      <c r="J10" s="92"/>
      <c r="K10" s="92"/>
      <c r="L10" s="9"/>
    </row>
    <row r="11" spans="1:13" ht="16.5" customHeight="1" thickBot="1" x14ac:dyDescent="0.3">
      <c r="A11" s="77" t="s">
        <v>79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</row>
    <row r="12" spans="1:13" s="14" customFormat="1" ht="48" x14ac:dyDescent="0.2">
      <c r="A12" s="44" t="s">
        <v>3</v>
      </c>
      <c r="B12" s="45" t="s">
        <v>80</v>
      </c>
      <c r="C12" s="45" t="s">
        <v>81</v>
      </c>
      <c r="D12" s="45" t="s">
        <v>82</v>
      </c>
      <c r="E12" s="45" t="s">
        <v>83</v>
      </c>
      <c r="F12" s="45" t="s">
        <v>84</v>
      </c>
      <c r="G12" s="45" t="s">
        <v>85</v>
      </c>
      <c r="H12" s="45" t="s">
        <v>86</v>
      </c>
      <c r="I12" s="45" t="s">
        <v>87</v>
      </c>
      <c r="J12" s="45" t="s">
        <v>88</v>
      </c>
      <c r="K12" s="45" t="s">
        <v>89</v>
      </c>
      <c r="L12" s="35" t="s">
        <v>7</v>
      </c>
      <c r="M12" s="14" t="s">
        <v>3</v>
      </c>
    </row>
    <row r="13" spans="1:13" s="14" customFormat="1" x14ac:dyDescent="0.2">
      <c r="A13" s="46" t="s">
        <v>91</v>
      </c>
      <c r="B13" s="47"/>
      <c r="C13" s="48">
        <v>7</v>
      </c>
      <c r="D13" s="48"/>
      <c r="E13" s="47"/>
      <c r="F13" s="47"/>
      <c r="G13" s="47"/>
      <c r="H13" s="48"/>
      <c r="I13" s="47"/>
      <c r="J13" s="47"/>
      <c r="K13" s="47"/>
      <c r="L13" s="16">
        <v>7</v>
      </c>
    </row>
    <row r="14" spans="1:13" s="17" customFormat="1" x14ac:dyDescent="0.2">
      <c r="A14" s="49"/>
      <c r="B14" s="47"/>
      <c r="C14" s="48"/>
      <c r="D14" s="48"/>
      <c r="E14" s="47"/>
      <c r="F14" s="47"/>
      <c r="G14" s="47"/>
      <c r="H14" s="48"/>
      <c r="I14" s="47"/>
      <c r="J14" s="47"/>
      <c r="K14" s="47"/>
      <c r="L14" s="16"/>
    </row>
    <row r="15" spans="1:13" s="17" customFormat="1" x14ac:dyDescent="0.2">
      <c r="A15" s="49"/>
      <c r="B15" s="47"/>
      <c r="C15" s="48"/>
      <c r="D15" s="48"/>
      <c r="E15" s="47"/>
      <c r="F15" s="47"/>
      <c r="G15" s="47"/>
      <c r="H15" s="48"/>
      <c r="I15" s="47"/>
      <c r="J15" s="47"/>
      <c r="K15" s="47"/>
      <c r="L15" s="16"/>
    </row>
    <row r="16" spans="1:13" s="17" customFormat="1" x14ac:dyDescent="0.2">
      <c r="A16" s="49"/>
      <c r="B16" s="47"/>
      <c r="C16" s="48"/>
      <c r="D16" s="48"/>
      <c r="E16" s="47"/>
      <c r="F16" s="47"/>
      <c r="G16" s="47"/>
      <c r="H16" s="48"/>
      <c r="I16" s="47"/>
      <c r="J16" s="47"/>
      <c r="K16" s="47"/>
      <c r="L16" s="16"/>
    </row>
    <row r="17" spans="1:12" s="17" customFormat="1" x14ac:dyDescent="0.2">
      <c r="A17" s="49"/>
      <c r="B17" s="47"/>
      <c r="C17" s="48"/>
      <c r="D17" s="48"/>
      <c r="E17" s="47"/>
      <c r="F17" s="47"/>
      <c r="G17" s="47"/>
      <c r="H17" s="48"/>
      <c r="I17" s="47"/>
      <c r="J17" s="47"/>
      <c r="K17" s="47"/>
      <c r="L17" s="16"/>
    </row>
    <row r="18" spans="1:12" s="17" customFormat="1" x14ac:dyDescent="0.2">
      <c r="A18" s="49"/>
      <c r="B18" s="47"/>
      <c r="C18" s="48"/>
      <c r="D18" s="48"/>
      <c r="E18" s="47"/>
      <c r="F18" s="47"/>
      <c r="G18" s="47"/>
      <c r="H18" s="48"/>
      <c r="I18" s="47"/>
      <c r="J18" s="47"/>
      <c r="K18" s="47"/>
      <c r="L18" s="16"/>
    </row>
    <row r="19" spans="1:12" s="17" customFormat="1" x14ac:dyDescent="0.2">
      <c r="A19" s="49"/>
      <c r="B19" s="47"/>
      <c r="C19" s="48"/>
      <c r="D19" s="48"/>
      <c r="E19" s="47"/>
      <c r="F19" s="47"/>
      <c r="G19" s="47"/>
      <c r="H19" s="48"/>
      <c r="I19" s="47"/>
      <c r="J19" s="47"/>
      <c r="K19" s="47"/>
      <c r="L19" s="16"/>
    </row>
    <row r="20" spans="1:12" s="17" customFormat="1" x14ac:dyDescent="0.2">
      <c r="A20" s="50"/>
      <c r="B20" s="47"/>
      <c r="C20" s="48"/>
      <c r="D20" s="48"/>
      <c r="E20" s="47"/>
      <c r="F20" s="47"/>
      <c r="G20" s="47"/>
      <c r="H20" s="48"/>
      <c r="I20" s="47"/>
      <c r="J20" s="47"/>
      <c r="K20" s="51"/>
      <c r="L20" s="16"/>
    </row>
    <row r="21" spans="1:12" ht="75.75" customHeight="1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</row>
    <row r="22" spans="1:12" s="8" customFormat="1" x14ac:dyDescent="0.25">
      <c r="C22" s="21"/>
    </row>
    <row r="23" spans="1:12" s="8" customFormat="1" x14ac:dyDescent="0.25">
      <c r="C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77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CORRECTED</vt:lpstr>
      <vt:lpstr>CTO</vt:lpstr>
      <vt:lpstr>Leave Card (NE) (3)</vt:lpstr>
      <vt:lpstr>Leave Card (NE) (2)</vt:lpstr>
      <vt:lpstr>CORRECTED!Print_Area</vt:lpstr>
      <vt:lpstr>'Leave Card (NE) (2)'!Print_Area</vt:lpstr>
      <vt:lpstr>'Leave Card (NE) (3)'!Print_Area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2025-09-04T07:47:17Z</cp:lastPrinted>
  <dcterms:created xsi:type="dcterms:W3CDTF">2021-10-07T06:10:16Z</dcterms:created>
  <dcterms:modified xsi:type="dcterms:W3CDTF">2025-09-04T07:49:09Z</dcterms:modified>
</cp:coreProperties>
</file>