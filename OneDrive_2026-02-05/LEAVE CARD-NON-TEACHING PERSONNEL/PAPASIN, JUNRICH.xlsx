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7ACF00D2-BD8D-4A03-88CA-7AECD96E0718}" xr6:coauthVersionLast="47" xr6:coauthVersionMax="47" xr10:uidLastSave="{00000000-0000-0000-0000-000000000000}"/>
  <bookViews>
    <workbookView xWindow="0" yWindow="0" windowWidth="28800" windowHeight="15480" xr2:uid="{C532281A-DA89-4ACA-8363-B39317021647}"/>
  </bookViews>
  <sheets>
    <sheet name="Leave Card (NE)" sheetId="6" r:id="rId1"/>
    <sheet name="Other types of leave" sheetId="9" r:id="rId2"/>
    <sheet name="Leave Card (NE) (2)" sheetId="10" r:id="rId3"/>
  </sheets>
  <definedNames>
    <definedName name="_xlnm.Print_Area" localSheetId="0">'Leave Card (NE)'!$A$1:$J$43</definedName>
    <definedName name="_xlnm.Print_Area" localSheetId="2">'Leave Card (NE) (2)'!$A$1:$G$19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" i="6" l="1"/>
  <c r="I35" i="6"/>
  <c r="I36" i="6" s="1"/>
  <c r="I37" i="6" s="1"/>
  <c r="J35" i="6"/>
  <c r="H36" i="6"/>
  <c r="G12" i="10"/>
  <c r="G13" i="10" s="1"/>
  <c r="B18" i="6"/>
  <c r="J36" i="6" l="1"/>
  <c r="H37" i="6"/>
  <c r="J37" i="6" s="1"/>
  <c r="I14" i="6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H14" i="6"/>
  <c r="H15" i="6" s="1"/>
  <c r="H16" i="6" s="1"/>
  <c r="J16" i="6" l="1"/>
  <c r="H17" i="6"/>
  <c r="J14" i="6"/>
  <c r="J15" i="6"/>
  <c r="H18" i="6" l="1"/>
  <c r="J17" i="6"/>
  <c r="H19" i="6" l="1"/>
  <c r="J18" i="6"/>
  <c r="H20" i="6" l="1"/>
  <c r="J19" i="6"/>
  <c r="J20" i="6" l="1"/>
  <c r="H21" i="6"/>
  <c r="H22" i="6" l="1"/>
  <c r="J21" i="6"/>
  <c r="J22" i="6" l="1"/>
  <c r="H23" i="6"/>
  <c r="H24" i="6" s="1"/>
  <c r="J24" i="6" l="1"/>
  <c r="H25" i="6"/>
  <c r="J23" i="6"/>
  <c r="J25" i="6" l="1"/>
  <c r="H26" i="6"/>
  <c r="J26" i="6" l="1"/>
  <c r="H27" i="6"/>
  <c r="J27" i="6" l="1"/>
  <c r="H28" i="6"/>
  <c r="J28" i="6" l="1"/>
  <c r="H29" i="6"/>
  <c r="J29" i="6" l="1"/>
  <c r="H30" i="6"/>
  <c r="H31" i="6" l="1"/>
  <c r="J30" i="6"/>
  <c r="H32" i="6" l="1"/>
  <c r="J31" i="6"/>
  <c r="H33" i="6" l="1"/>
  <c r="J32" i="6"/>
  <c r="J33" i="6" l="1"/>
  <c r="H34" i="6"/>
  <c r="J34" i="6" s="1"/>
</calcChain>
</file>

<file path=xl/sharedStrings.xml><?xml version="1.0" encoding="utf-8"?>
<sst xmlns="http://schemas.openxmlformats.org/spreadsheetml/2006/main" count="103" uniqueCount="85">
  <si>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</si>
  <si>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</si>
  <si>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</si>
  <si>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</si>
  <si>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</si>
  <si>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</si>
  <si>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</si>
  <si>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</si>
  <si>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</si>
  <si>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</si>
  <si>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</si>
  <si>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Republic of the Philippines</t>
  </si>
  <si>
    <t>Department of Education</t>
  </si>
  <si>
    <t>REGION VI-WESTERN VISAYAS</t>
  </si>
  <si>
    <t>SCHOOLS DIVISION OF SIPALAY CITY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</si>
  <si>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</si>
  <si>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</si>
  <si>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</si>
  <si>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</si>
  <si>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</si>
  <si>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</si>
  <si>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</si>
  <si>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</si>
  <si>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</si>
  <si>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</si>
  <si>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</si>
  <si>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</si>
  <si>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</si>
  <si>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</si>
  <si>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</si>
  <si>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</si>
  <si>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</si>
  <si>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Name: _____________________________</t>
  </si>
  <si>
    <t>POSITION: __________________________</t>
  </si>
  <si>
    <t>DISTRICT: ___________________________</t>
  </si>
  <si>
    <t>SCHOOL/OFFICE:_____________________</t>
  </si>
  <si>
    <t>Certified Correct:</t>
  </si>
  <si>
    <t>MA. LUISA B. CATIGAN</t>
  </si>
  <si>
    <t>Administrative Officer IV</t>
  </si>
  <si>
    <t>SPECIAL PRIVILEGE LEAVE</t>
  </si>
  <si>
    <t>DATE OF ORIGINAL APPOINTMENT: HT - JUNE 16, 2022</t>
  </si>
  <si>
    <t>ADD: 6/16/2022 - 6/30/2022</t>
  </si>
  <si>
    <t>ADD: 7/01/2022 - 10/31/2022</t>
  </si>
  <si>
    <t>LESS: 11/28/2022</t>
  </si>
  <si>
    <t>NAME          : PAPASIN, JUNRICH</t>
  </si>
  <si>
    <t>ADD: 11/01/2022 - 12/31/2022</t>
  </si>
  <si>
    <t>LESS: 12/26, 27 &amp; 28/22</t>
  </si>
  <si>
    <t>ADD: 01/01/2023 - 8/31/2023</t>
  </si>
  <si>
    <t>LESS: 08/18/2023</t>
  </si>
  <si>
    <t>LESS: MONETIZATION 2023</t>
  </si>
  <si>
    <t>ADD: 09/01/2023-10/31/2023</t>
  </si>
  <si>
    <t>LESS: 11/22/2023</t>
  </si>
  <si>
    <t>ADD: 11/01/2023-12/31/2023</t>
  </si>
  <si>
    <t>ADD: 01/01/2024-05/31/2024</t>
  </si>
  <si>
    <t>LESS: 06/6-7/2024</t>
  </si>
  <si>
    <t>LESS: 06/21, 24,/2024 &amp; 07/01/2024</t>
  </si>
  <si>
    <t xml:space="preserve">                 HRMO</t>
  </si>
  <si>
    <t>LESS: MONETIZATION 2024</t>
  </si>
  <si>
    <t>ADD: 06/1/2024-09/30/2024</t>
  </si>
  <si>
    <t>ADD: 10/1/2024-12/31/2024</t>
  </si>
  <si>
    <t>LESS: 04/28/2025</t>
  </si>
  <si>
    <t>Name       :</t>
  </si>
  <si>
    <t>PAPASIN, JUNRICH</t>
  </si>
  <si>
    <t>POSITION:</t>
  </si>
  <si>
    <t>HT I</t>
  </si>
  <si>
    <t>SPECIAL ORDER LEAVE CREDITS</t>
  </si>
  <si>
    <t>DATE</t>
  </si>
  <si>
    <t>SPECIAL ORDER NUMBER</t>
  </si>
  <si>
    <t>DETAILS</t>
  </si>
  <si>
    <t># OF DAYS GRANTED</t>
  </si>
  <si>
    <t># OF DAYS UTILIZED</t>
  </si>
  <si>
    <t>JULY 29, 2022</t>
  </si>
  <si>
    <t>S.O. #051, s. 2022, dated May 09, 2022</t>
  </si>
  <si>
    <t>MAY 09, 2022 NATIONAL AND LOCAL ELECTION</t>
  </si>
  <si>
    <t>Total Remaining Balance</t>
  </si>
  <si>
    <t>CERTIFIED CORRECT:</t>
  </si>
  <si>
    <t>HRMO</t>
  </si>
  <si>
    <t>LESS:  FL 2024</t>
  </si>
  <si>
    <t>ADD: 01/1/2025-07/31/2025</t>
  </si>
  <si>
    <t>LESS:  FL 2023</t>
  </si>
  <si>
    <t>LESS: 08/22/2025</t>
  </si>
  <si>
    <t>NEGROS ISLAND REGION</t>
  </si>
  <si>
    <t>ADD: 08/1/2025-11/30/2025</t>
  </si>
  <si>
    <t>LESS: 12/18-19/2025</t>
  </si>
  <si>
    <t>LESS: 12/22, 23, 26/2025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</si>
</sst>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2" borderId="4" xfId="0" applyFont="1" applyFill="1" applyBorder="1" applyAlignment="1">
      <alignment vertical="center"/>
    </xf>
    <xf numFmtId="0" fontId="6" fillId="0" borderId="0" xfId="0" applyFont="1"/>
    <xf numFmtId="0" fontId="7" fillId="0" borderId="0" xfId="0" applyFont="1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7" borderId="0" xfId="0" applyFill="1"/>
    <xf numFmtId="0" fontId="0" fillId="8" borderId="0" xfId="0" applyFill="1"/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9" borderId="0" xfId="0" applyFill="1"/>
    <xf numFmtId="0" fontId="8" fillId="2" borderId="0" xfId="0" applyFont="1" applyFill="1" applyAlignment="1">
      <alignment horizontal="center" wrapText="1"/>
    </xf>
    <xf numFmtId="0" fontId="8" fillId="2" borderId="0" xfId="0" applyFont="1" applyFill="1" applyAlignment="1">
      <alignment wrapText="1"/>
    </xf>
    <xf numFmtId="0" fontId="8" fillId="2" borderId="0" xfId="0" applyFont="1" applyFill="1" applyAlignment="1">
      <alignment vertical="center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10" fillId="11" borderId="14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2" borderId="1" xfId="0" applyNumberFormat="1" applyFill="1" applyBorder="1" applyAlignment="1">
      <alignment vertical="center"/>
    </xf>
    <xf numFmtId="0" fontId="3" fillId="4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/>
    </xf>
    <xf numFmtId="0" fontId="14" fillId="2" borderId="0" xfId="0" applyFont="1" applyFill="1"/>
    <xf numFmtId="0" fontId="0" fillId="0" borderId="0" xfId="0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0" fontId="1" fillId="2" borderId="0" xfId="0" applyFont="1" applyFill="1" applyAlignment="1">
      <alignment horizontal="right" vertical="center"/>
    </xf>
    <xf numFmtId="0" fontId="0" fillId="2" borderId="4" xfId="0" applyFill="1" applyBorder="1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right"/>
    </xf>
    <xf numFmtId="0" fontId="1" fillId="2" borderId="4" xfId="0" applyFont="1" applyFill="1" applyBorder="1"/>
    <xf numFmtId="0" fontId="1" fillId="2" borderId="1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164" fontId="15" fillId="2" borderId="1" xfId="0" applyNumberFormat="1" applyFont="1" applyFill="1" applyBorder="1" applyAlignment="1">
      <alignment horizontal="center" vertical="center" wrapText="1"/>
    </xf>
    <xf numFmtId="1" fontId="15" fillId="2" borderId="19" xfId="0" applyNumberFormat="1" applyFont="1" applyFill="1" applyBorder="1" applyAlignment="1">
      <alignment horizontal="center" vertical="center"/>
    </xf>
    <xf numFmtId="1" fontId="15" fillId="2" borderId="1" xfId="0" applyNumberFormat="1" applyFont="1" applyFill="1" applyBorder="1" applyAlignment="1">
      <alignment horizontal="center" vertical="center"/>
    </xf>
    <xf numFmtId="1" fontId="15" fillId="2" borderId="2" xfId="0" applyNumberFormat="1" applyFont="1" applyFill="1" applyBorder="1" applyAlignment="1">
      <alignment horizontal="center" vertical="center"/>
    </xf>
    <xf numFmtId="1" fontId="16" fillId="2" borderId="2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/>
    </xf>
    <xf numFmtId="0" fontId="9" fillId="2" borderId="1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16" fillId="0" borderId="20" xfId="0" applyFont="1" applyBorder="1" applyAlignment="1">
      <alignment horizontal="right" vertical="center"/>
    </xf>
    <xf numFmtId="0" fontId="16" fillId="0" borderId="21" xfId="0" applyFont="1" applyBorder="1" applyAlignment="1">
      <alignment horizontal="right" vertical="center"/>
    </xf>
    <xf numFmtId="0" fontId="16" fillId="0" borderId="22" xfId="0" applyFont="1" applyBorder="1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6" fillId="0" borderId="0" xfId="0" applyFont="1" applyFill="1"/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329712</xdr:colOff>
      <xdr:row>0</xdr:row>
      <xdr:rowOff>91587</xdr:rowOff>
    </xdr:from>
    <xdr:to>
      <xdr:col>4</xdr:col>
      <xdr:colOff>137379</xdr:colOff>
      <xdr:row>0</xdr:row>
      <xdr:rowOff>659422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E583BF-7ACB-41D0-907A-09324B82736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6058" y="91587"/>
          <a:ext cx="576994" cy="56783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AD164D0-8D7D-4CCD-AD41-8A4D617563EE}"/>
            </a:ext>
          </a:extLst>
        </xdr:cNvPr>
        <xdr:cNvSpPr txBox="1"/>
      </xdr:nvSpPr>
      <xdr:spPr>
        <a:xfrm>
          <a:off x="573942" y="1373798"/>
          <a:ext cx="2008799" cy="2503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PAPASIN, JUNRICH M.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01795DB-4861-48A2-B4B7-D3A3C38DC620}"/>
            </a:ext>
          </a:extLst>
        </xdr:cNvPr>
        <xdr:cNvSpPr txBox="1"/>
      </xdr:nvSpPr>
      <xdr:spPr>
        <a:xfrm>
          <a:off x="616683" y="1721826"/>
          <a:ext cx="2008799" cy="2503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PRINCIPAL</a:t>
          </a:r>
          <a:r>
            <a:rPr lang="en-US" sz="1100" baseline="0"/>
            <a:t> 1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6</xdr:col>
      <xdr:colOff>91586</xdr:colOff>
      <xdr:row>8</xdr:row>
      <xdr:rowOff>140434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2901F2D-D8D6-4A1B-AEB7-8CA9472FA25B}"/>
            </a:ext>
          </a:extLst>
        </xdr:cNvPr>
        <xdr:cNvSpPr txBox="1"/>
      </xdr:nvSpPr>
      <xdr:spPr>
        <a:xfrm>
          <a:off x="3693991" y="1703510"/>
          <a:ext cx="2362932" cy="2503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GIL MONTILLA ES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265662</xdr:colOff>
      <xdr:row>0</xdr:row>
      <xdr:rowOff>28769</xdr:rowOff>
    </xdr:from>
    <xdr:to>
      <xdr:col>5</xdr:col>
      <xdr:colOff>293071</xdr:colOff>
      <xdr:row>0</xdr:row>
      <xdr:rowOff>654439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018324-BFF7-40F7-A2A6-A3C57F9EBAF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85815" y="28769"/>
          <a:ext cx="701287" cy="62567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2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960ACA0-01C7-4F83-8414-400905B9AA46}"/>
            </a:ext>
          </a:extLst>
        </xdr:cNvPr>
        <xdr:cNvSpPr txBox="1"/>
      </xdr:nvSpPr>
      <xdr:spPr>
        <a:xfrm>
          <a:off x="76200" y="4572000"/>
          <a:ext cx="3200400" cy="1057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920752</xdr:colOff>
      <xdr:row>0</xdr:row>
      <xdr:rowOff>66674</xdr:rowOff>
    </xdr:from>
    <xdr:to>
      <xdr:col>3</xdr:col>
      <xdr:colOff>1876426</xdr:colOff>
      <xdr:row>1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D7E750-984E-4EF8-93D9-312D8CAF70A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4952" y="66674"/>
          <a:ext cx="955674" cy="70485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B4019-FA1B-4FBF-AFF8-E55EE122EEA8}">
  <sheetPr>
    <pageSetUpPr fitToPage="1"/>
  </sheetPr>
  <dimension ref="A1:J43"/>
  <sheetViews>
    <sheetView tabSelected="1" view="pageBreakPreview" topLeftCell="A23" zoomScale="104" zoomScaleNormal="100" zoomScaleSheetLayoutView="104" workbookViewId="0">
      <selection activeCell="C32" sqref="C32"/>
    </sheetView>
  </sheetViews>
  <sheetFormatPr defaultRowHeight="15" x14ac:dyDescent="0.25"/>
  <cols>
    <col min="1" max="1" width="39.5703125" customWidth="1"/>
    <col min="2" max="2" width="11.5703125" style="15" customWidth="1"/>
    <col min="3" max="3" width="11.5703125" style="16" customWidth="1"/>
    <col min="4" max="4" width="11.5703125" style="15" customWidth="1"/>
    <col min="5" max="5" width="11.5703125" style="16" customWidth="1"/>
    <col min="6" max="7" width="11.5703125" style="19" customWidth="1"/>
    <col min="8" max="8" width="11.5703125" style="15" customWidth="1"/>
    <col min="9" max="9" width="11.5703125" style="16" customWidth="1"/>
    <col min="10" max="10" width="11.5703125" customWidth="1"/>
  </cols>
  <sheetData>
    <row r="1" spans="1:10" s="1" customFormat="1" ht="52.5" customHeight="1" x14ac:dyDescent="0.25"/>
    <row r="2" spans="1:10" s="1" customFormat="1" ht="10.5" customHeight="1" x14ac:dyDescent="0.25">
      <c r="A2" s="62" t="s">
        <v>11</v>
      </c>
      <c r="B2" s="62"/>
      <c r="C2" s="62"/>
      <c r="D2" s="62"/>
      <c r="E2" s="62"/>
      <c r="F2" s="62"/>
      <c r="G2" s="62"/>
      <c r="H2" s="62"/>
      <c r="I2" s="62"/>
      <c r="J2" s="62"/>
    </row>
    <row r="3" spans="1:10" s="1" customFormat="1" ht="15.95" customHeight="1" x14ac:dyDescent="0.25">
      <c r="A3" s="62" t="s">
        <v>12</v>
      </c>
      <c r="B3" s="62"/>
      <c r="C3" s="62"/>
      <c r="D3" s="62"/>
      <c r="E3" s="62"/>
      <c r="F3" s="62"/>
      <c r="G3" s="62"/>
      <c r="H3" s="62"/>
      <c r="I3" s="62"/>
      <c r="J3" s="62"/>
    </row>
    <row r="4" spans="1:10" s="1" customFormat="1" ht="15.95" customHeight="1" x14ac:dyDescent="0.25">
      <c r="A4" s="62" t="s">
        <v>81</v>
      </c>
      <c r="B4" s="62"/>
      <c r="C4" s="62"/>
      <c r="D4" s="62"/>
      <c r="E4" s="62"/>
      <c r="F4" s="62"/>
      <c r="G4" s="62"/>
      <c r="H4" s="62"/>
      <c r="I4" s="62"/>
      <c r="J4" s="62"/>
    </row>
    <row r="5" spans="1:10" s="1" customFormat="1" ht="15.95" customHeight="1" x14ac:dyDescent="0.25">
      <c r="A5" s="62" t="s">
        <v>14</v>
      </c>
      <c r="B5" s="62"/>
      <c r="C5" s="62"/>
      <c r="D5" s="62"/>
      <c r="E5" s="62"/>
      <c r="F5" s="62"/>
      <c r="G5" s="62"/>
      <c r="H5" s="62"/>
      <c r="I5" s="62"/>
      <c r="J5" s="62"/>
    </row>
    <row r="6" spans="1:10" s="1" customFormat="1" ht="8.25" customHeight="1" x14ac:dyDescent="0.25"/>
    <row r="7" spans="1:10" s="1" customFormat="1" ht="12" customHeight="1" x14ac:dyDescent="0.25">
      <c r="A7" s="1" t="s">
        <v>32</v>
      </c>
      <c r="B7" s="61" t="s">
        <v>34</v>
      </c>
      <c r="C7" s="61"/>
      <c r="D7" s="61"/>
      <c r="H7" s="3" t="s">
        <v>9</v>
      </c>
      <c r="I7" s="35"/>
      <c r="J7" s="3"/>
    </row>
    <row r="8" spans="1:10" s="1" customFormat="1" ht="12" customHeight="1" x14ac:dyDescent="0.25">
      <c r="B8" s="2"/>
      <c r="C8" s="2"/>
      <c r="H8" s="2"/>
      <c r="I8" s="2"/>
      <c r="J8" s="2"/>
    </row>
    <row r="9" spans="1:10" s="1" customFormat="1" ht="12" customHeight="1" x14ac:dyDescent="0.25">
      <c r="A9" s="1" t="s">
        <v>33</v>
      </c>
      <c r="B9" s="61" t="s">
        <v>35</v>
      </c>
      <c r="C9" s="61"/>
      <c r="D9" s="61"/>
      <c r="H9" s="3" t="s">
        <v>10</v>
      </c>
      <c r="I9" s="4"/>
      <c r="J9" s="3"/>
    </row>
    <row r="10" spans="1:10" ht="16.5" customHeight="1" thickBot="1" x14ac:dyDescent="0.3">
      <c r="A10" s="63" t="s">
        <v>0</v>
      </c>
      <c r="B10" s="63"/>
      <c r="C10" s="63"/>
      <c r="D10" s="63"/>
      <c r="E10" s="63"/>
      <c r="F10" s="63"/>
      <c r="G10" s="63"/>
      <c r="H10" s="63"/>
      <c r="I10" s="63"/>
      <c r="J10" s="63"/>
    </row>
    <row r="11" spans="1:10" s="6" customFormat="1" ht="18.75" customHeight="1" x14ac:dyDescent="0.2">
      <c r="A11" s="67" t="s">
        <v>4</v>
      </c>
      <c r="B11" s="71" t="s">
        <v>5</v>
      </c>
      <c r="C11" s="72"/>
      <c r="D11" s="73" t="s">
        <v>6</v>
      </c>
      <c r="E11" s="74"/>
      <c r="F11" s="74"/>
      <c r="G11" s="33"/>
      <c r="H11" s="75" t="s">
        <v>7</v>
      </c>
      <c r="I11" s="76"/>
      <c r="J11" s="69" t="s">
        <v>8</v>
      </c>
    </row>
    <row r="12" spans="1:10" s="6" customFormat="1" ht="51" customHeight="1" x14ac:dyDescent="0.2">
      <c r="A12" s="68"/>
      <c r="B12" s="14" t="s">
        <v>1</v>
      </c>
      <c r="C12" s="17" t="s">
        <v>2</v>
      </c>
      <c r="D12" s="14" t="s">
        <v>1</v>
      </c>
      <c r="E12" s="17" t="s">
        <v>2</v>
      </c>
      <c r="F12" s="18" t="s">
        <v>3</v>
      </c>
      <c r="G12" s="34" t="s">
        <v>39</v>
      </c>
      <c r="H12" s="14" t="s">
        <v>1</v>
      </c>
      <c r="I12" s="17" t="s">
        <v>2</v>
      </c>
      <c r="J12" s="70"/>
    </row>
    <row r="13" spans="1:10" s="6" customFormat="1" ht="18.75" customHeight="1" x14ac:dyDescent="0.2">
      <c r="A13" s="64" t="s">
        <v>40</v>
      </c>
      <c r="B13" s="65"/>
      <c r="C13" s="65"/>
      <c r="D13" s="65"/>
      <c r="E13" s="65"/>
      <c r="F13" s="65"/>
      <c r="G13" s="65"/>
      <c r="H13" s="65"/>
      <c r="I13" s="65"/>
      <c r="J13" s="66"/>
    </row>
    <row r="14" spans="1:10" s="6" customFormat="1" ht="15.95" customHeight="1" x14ac:dyDescent="0.2">
      <c r="A14" s="8" t="s">
        <v>41</v>
      </c>
      <c r="B14" s="13">
        <v>0.625</v>
      </c>
      <c r="C14" s="13">
        <v>0.625</v>
      </c>
      <c r="D14" s="13"/>
      <c r="E14" s="13"/>
      <c r="F14" s="13"/>
      <c r="G14" s="13"/>
      <c r="H14" s="13">
        <f>B14</f>
        <v>0.625</v>
      </c>
      <c r="I14" s="13">
        <f>C14</f>
        <v>0.625</v>
      </c>
      <c r="J14" s="36">
        <f t="shared" ref="J14:J15" si="0">H14+I14</f>
        <v>1.25</v>
      </c>
    </row>
    <row r="15" spans="1:10" s="5" customFormat="1" ht="15.95" customHeight="1" x14ac:dyDescent="0.2">
      <c r="A15" s="10" t="s">
        <v>42</v>
      </c>
      <c r="B15" s="13">
        <v>5</v>
      </c>
      <c r="C15" s="13">
        <v>5</v>
      </c>
      <c r="D15" s="13"/>
      <c r="E15" s="13"/>
      <c r="F15" s="13"/>
      <c r="G15" s="13"/>
      <c r="H15" s="13">
        <f t="shared" ref="H15" si="1">H14-F15-D15+B15</f>
        <v>5.625</v>
      </c>
      <c r="I15" s="13">
        <f t="shared" ref="I15" si="2">I14-E15+C15</f>
        <v>5.625</v>
      </c>
      <c r="J15" s="36">
        <f t="shared" si="0"/>
        <v>11.25</v>
      </c>
    </row>
    <row r="16" spans="1:10" s="5" customFormat="1" ht="15.95" customHeight="1" x14ac:dyDescent="0.2">
      <c r="A16" s="10" t="s">
        <v>45</v>
      </c>
      <c r="B16" s="13">
        <v>2.5</v>
      </c>
      <c r="C16" s="13">
        <v>2.5</v>
      </c>
      <c r="D16" s="13"/>
      <c r="E16" s="13"/>
      <c r="F16" s="13"/>
      <c r="G16" s="13"/>
      <c r="H16" s="13">
        <f t="shared" ref="H16:H22" si="3">H15-F16-D16+B16</f>
        <v>8.125</v>
      </c>
      <c r="I16" s="13">
        <f t="shared" ref="I16:I22" si="4">I15-E16+C16</f>
        <v>8.125</v>
      </c>
      <c r="J16" s="36">
        <f t="shared" ref="J16:J22" si="5">H16+I16</f>
        <v>16.25</v>
      </c>
    </row>
    <row r="17" spans="1:10" s="5" customFormat="1" ht="15.95" customHeight="1" x14ac:dyDescent="0.2">
      <c r="A17" s="10" t="s">
        <v>46</v>
      </c>
      <c r="B17" s="13"/>
      <c r="C17" s="13"/>
      <c r="D17" s="13"/>
      <c r="E17" s="13"/>
      <c r="F17" s="13">
        <v>3</v>
      </c>
      <c r="G17" s="13"/>
      <c r="H17" s="13">
        <f t="shared" si="3"/>
        <v>5.125</v>
      </c>
      <c r="I17" s="13">
        <f t="shared" si="4"/>
        <v>8.125</v>
      </c>
      <c r="J17" s="36">
        <f t="shared" si="5"/>
        <v>13.25</v>
      </c>
    </row>
    <row r="18" spans="1:10" s="5" customFormat="1" ht="15.95" customHeight="1" x14ac:dyDescent="0.2">
      <c r="A18" s="10" t="s">
        <v>47</v>
      </c>
      <c r="B18" s="13">
        <f>8*1.25</f>
        <v>10</v>
      </c>
      <c r="C18" s="13">
        <v>10</v>
      </c>
      <c r="D18" s="13"/>
      <c r="E18" s="13"/>
      <c r="F18" s="13"/>
      <c r="G18" s="13"/>
      <c r="H18" s="13">
        <f t="shared" si="3"/>
        <v>15.125</v>
      </c>
      <c r="I18" s="13">
        <f t="shared" si="4"/>
        <v>18.125</v>
      </c>
      <c r="J18" s="36">
        <f t="shared" si="5"/>
        <v>33.25</v>
      </c>
    </row>
    <row r="19" spans="1:10" s="5" customFormat="1" ht="15.95" customHeight="1" x14ac:dyDescent="0.2">
      <c r="A19" s="10" t="s">
        <v>48</v>
      </c>
      <c r="B19" s="13"/>
      <c r="C19" s="13"/>
      <c r="D19" s="13"/>
      <c r="E19" s="13"/>
      <c r="F19" s="13"/>
      <c r="G19" s="13">
        <v>1</v>
      </c>
      <c r="H19" s="13">
        <f t="shared" si="3"/>
        <v>15.125</v>
      </c>
      <c r="I19" s="13">
        <f t="shared" si="4"/>
        <v>18.125</v>
      </c>
      <c r="J19" s="36">
        <f t="shared" si="5"/>
        <v>33.25</v>
      </c>
    </row>
    <row r="20" spans="1:10" s="5" customFormat="1" ht="15.95" customHeight="1" x14ac:dyDescent="0.2">
      <c r="A20" s="10" t="s">
        <v>49</v>
      </c>
      <c r="B20" s="13"/>
      <c r="C20" s="13"/>
      <c r="D20" s="13">
        <v>8</v>
      </c>
      <c r="E20" s="13">
        <v>10</v>
      </c>
      <c r="F20" s="13"/>
      <c r="G20" s="13"/>
      <c r="H20" s="13">
        <f t="shared" si="3"/>
        <v>7.125</v>
      </c>
      <c r="I20" s="13">
        <f t="shared" si="4"/>
        <v>8.125</v>
      </c>
      <c r="J20" s="36">
        <f t="shared" si="5"/>
        <v>15.25</v>
      </c>
    </row>
    <row r="21" spans="1:10" s="5" customFormat="1" ht="15.95" customHeight="1" x14ac:dyDescent="0.2">
      <c r="A21" s="8" t="s">
        <v>50</v>
      </c>
      <c r="B21" s="13">
        <v>2.5</v>
      </c>
      <c r="C21" s="13">
        <v>2.5</v>
      </c>
      <c r="D21" s="13"/>
      <c r="E21" s="13"/>
      <c r="F21" s="13"/>
      <c r="G21" s="13"/>
      <c r="H21" s="13">
        <f t="shared" si="3"/>
        <v>9.625</v>
      </c>
      <c r="I21" s="13">
        <f t="shared" si="4"/>
        <v>10.625</v>
      </c>
      <c r="J21" s="36">
        <f t="shared" si="5"/>
        <v>20.25</v>
      </c>
    </row>
    <row r="22" spans="1:10" s="5" customFormat="1" ht="15.95" customHeight="1" x14ac:dyDescent="0.2">
      <c r="A22" s="8" t="s">
        <v>51</v>
      </c>
      <c r="B22" s="32"/>
      <c r="C22" s="13"/>
      <c r="D22" s="13"/>
      <c r="E22" s="13"/>
      <c r="F22" s="13">
        <v>1</v>
      </c>
      <c r="G22" s="13"/>
      <c r="H22" s="13">
        <f t="shared" si="3"/>
        <v>8.625</v>
      </c>
      <c r="I22" s="13">
        <f t="shared" si="4"/>
        <v>10.625</v>
      </c>
      <c r="J22" s="36">
        <f t="shared" si="5"/>
        <v>19.25</v>
      </c>
    </row>
    <row r="23" spans="1:10" s="5" customFormat="1" ht="15.95" customHeight="1" x14ac:dyDescent="0.2">
      <c r="A23" s="8" t="s">
        <v>52</v>
      </c>
      <c r="B23" s="13">
        <v>2.5</v>
      </c>
      <c r="C23" s="13">
        <v>2.5</v>
      </c>
      <c r="D23" s="13"/>
      <c r="E23" s="13"/>
      <c r="F23" s="13"/>
      <c r="G23" s="13"/>
      <c r="H23" s="13">
        <f t="shared" ref="H23" si="6">H22-F23-D23+B23</f>
        <v>11.125</v>
      </c>
      <c r="I23" s="13">
        <f t="shared" ref="I23" si="7">I22-E23+C23</f>
        <v>13.125</v>
      </c>
      <c r="J23" s="36">
        <f t="shared" ref="J23" si="8">H23+I23</f>
        <v>24.25</v>
      </c>
    </row>
    <row r="24" spans="1:10" s="5" customFormat="1" ht="15.95" customHeight="1" x14ac:dyDescent="0.2">
      <c r="A24" s="31" t="s">
        <v>79</v>
      </c>
      <c r="B24" s="42"/>
      <c r="C24" s="42"/>
      <c r="D24" s="42"/>
      <c r="E24" s="42"/>
      <c r="F24" s="42">
        <v>4</v>
      </c>
      <c r="G24" s="42"/>
      <c r="H24" s="13">
        <f t="shared" ref="H24:H26" si="9">H23-F24-D24+B24</f>
        <v>7.125</v>
      </c>
      <c r="I24" s="13">
        <f t="shared" ref="I24:I26" si="10">I23-E24+C24</f>
        <v>13.125</v>
      </c>
      <c r="J24" s="36">
        <f t="shared" ref="J24:J26" si="11">H24+I24</f>
        <v>20.25</v>
      </c>
    </row>
    <row r="25" spans="1:10" s="5" customFormat="1" ht="15.95" customHeight="1" x14ac:dyDescent="0.2">
      <c r="A25" s="8" t="s">
        <v>53</v>
      </c>
      <c r="B25" s="13">
        <v>6.25</v>
      </c>
      <c r="C25" s="13">
        <v>6.25</v>
      </c>
      <c r="D25" s="13"/>
      <c r="E25" s="13"/>
      <c r="F25" s="13"/>
      <c r="G25" s="13"/>
      <c r="H25" s="13">
        <f t="shared" si="9"/>
        <v>13.375</v>
      </c>
      <c r="I25" s="13">
        <f t="shared" si="10"/>
        <v>19.375</v>
      </c>
      <c r="J25" s="36">
        <f t="shared" si="11"/>
        <v>32.75</v>
      </c>
    </row>
    <row r="26" spans="1:10" s="5" customFormat="1" ht="15.95" customHeight="1" x14ac:dyDescent="0.2">
      <c r="A26" s="8" t="s">
        <v>54</v>
      </c>
      <c r="B26" s="8"/>
      <c r="C26" s="8"/>
      <c r="D26" s="8"/>
      <c r="E26" s="8"/>
      <c r="F26" s="31"/>
      <c r="G26" s="31">
        <v>2</v>
      </c>
      <c r="H26" s="13">
        <f t="shared" si="9"/>
        <v>13.375</v>
      </c>
      <c r="I26" s="13">
        <f t="shared" si="10"/>
        <v>19.375</v>
      </c>
      <c r="J26" s="36">
        <f t="shared" si="11"/>
        <v>32.75</v>
      </c>
    </row>
    <row r="27" spans="1:10" s="5" customFormat="1" ht="15.95" customHeight="1" x14ac:dyDescent="0.2">
      <c r="A27" s="8" t="s">
        <v>55</v>
      </c>
      <c r="B27" s="8"/>
      <c r="C27" s="8"/>
      <c r="D27" s="8"/>
      <c r="E27" s="8"/>
      <c r="F27" s="31">
        <v>3</v>
      </c>
      <c r="G27" s="31"/>
      <c r="H27" s="13">
        <f t="shared" ref="H27" si="12">H26-F27-D27+B27</f>
        <v>10.375</v>
      </c>
      <c r="I27" s="13">
        <f t="shared" ref="I27" si="13">I26-E27+C27</f>
        <v>19.375</v>
      </c>
      <c r="J27" s="36">
        <f t="shared" ref="J27" si="14">H27+I27</f>
        <v>29.75</v>
      </c>
    </row>
    <row r="28" spans="1:10" s="5" customFormat="1" ht="15.95" customHeight="1" x14ac:dyDescent="0.2">
      <c r="A28" s="31" t="s">
        <v>58</v>
      </c>
      <c r="B28" s="31">
        <v>5</v>
      </c>
      <c r="C28" s="31">
        <v>5</v>
      </c>
      <c r="D28" s="31"/>
      <c r="E28" s="31"/>
      <c r="F28" s="31"/>
      <c r="G28" s="31"/>
      <c r="H28" s="13">
        <f t="shared" ref="H28" si="15">H27-F28-D28+B28</f>
        <v>15.375</v>
      </c>
      <c r="I28" s="13">
        <f t="shared" ref="I28" si="16">I27-E28+C28</f>
        <v>24.375</v>
      </c>
      <c r="J28" s="36">
        <f t="shared" ref="J28" si="17">H28+I28</f>
        <v>39.75</v>
      </c>
    </row>
    <row r="29" spans="1:10" s="5" customFormat="1" ht="15.95" customHeight="1" x14ac:dyDescent="0.2">
      <c r="A29" s="31" t="s">
        <v>57</v>
      </c>
      <c r="B29" s="31"/>
      <c r="C29" s="31"/>
      <c r="D29" s="31">
        <v>10</v>
      </c>
      <c r="E29" s="31"/>
      <c r="F29" s="31"/>
      <c r="G29" s="31"/>
      <c r="H29" s="42">
        <f t="shared" ref="H29" si="18">H28-F29-D29+B29</f>
        <v>5.375</v>
      </c>
      <c r="I29" s="42">
        <f t="shared" ref="I29" si="19">I28-E29+C29</f>
        <v>24.375</v>
      </c>
      <c r="J29" s="43">
        <f t="shared" ref="J29" si="20">H29+I29</f>
        <v>29.75</v>
      </c>
    </row>
    <row r="30" spans="1:10" s="5" customFormat="1" ht="15.95" customHeight="1" x14ac:dyDescent="0.2">
      <c r="A30" s="31" t="s">
        <v>59</v>
      </c>
      <c r="B30" s="31">
        <v>3.75</v>
      </c>
      <c r="C30" s="31">
        <v>3.75</v>
      </c>
      <c r="D30" s="31"/>
      <c r="E30" s="31"/>
      <c r="F30" s="31"/>
      <c r="G30" s="31"/>
      <c r="H30" s="42">
        <f t="shared" ref="H30:H32" si="21">H29-F30-D30+B30</f>
        <v>9.125</v>
      </c>
      <c r="I30" s="42">
        <f t="shared" ref="I30:I32" si="22">I29-E30+C30</f>
        <v>28.125</v>
      </c>
      <c r="J30" s="43">
        <f t="shared" ref="J30:J32" si="23">H30+I30</f>
        <v>37.25</v>
      </c>
    </row>
    <row r="31" spans="1:10" s="5" customFormat="1" ht="15.95" customHeight="1" x14ac:dyDescent="0.2">
      <c r="A31" s="31" t="s">
        <v>77</v>
      </c>
      <c r="B31" s="31"/>
      <c r="C31" s="31"/>
      <c r="D31" s="31"/>
      <c r="E31" s="31"/>
      <c r="F31" s="31">
        <v>2</v>
      </c>
      <c r="G31" s="31"/>
      <c r="H31" s="42">
        <f t="shared" si="21"/>
        <v>7.125</v>
      </c>
      <c r="I31" s="42">
        <f t="shared" si="22"/>
        <v>28.125</v>
      </c>
      <c r="J31" s="43">
        <f t="shared" si="23"/>
        <v>35.25</v>
      </c>
    </row>
    <row r="32" spans="1:10" s="5" customFormat="1" ht="15.95" customHeight="1" x14ac:dyDescent="0.2">
      <c r="A32" s="31" t="s">
        <v>60</v>
      </c>
      <c r="B32" s="31"/>
      <c r="C32" s="31"/>
      <c r="D32" s="31"/>
      <c r="E32" s="31"/>
      <c r="F32" s="31"/>
      <c r="G32" s="37">
        <v>1</v>
      </c>
      <c r="H32" s="42">
        <f t="shared" si="21"/>
        <v>7.125</v>
      </c>
      <c r="I32" s="42">
        <f t="shared" si="22"/>
        <v>28.125</v>
      </c>
      <c r="J32" s="43">
        <f t="shared" si="23"/>
        <v>35.25</v>
      </c>
    </row>
    <row r="33" spans="1:10" s="5" customFormat="1" ht="15.95" customHeight="1" x14ac:dyDescent="0.2">
      <c r="A33" s="31" t="s">
        <v>78</v>
      </c>
      <c r="B33" s="31">
        <v>8.75</v>
      </c>
      <c r="C33" s="31">
        <v>8.75</v>
      </c>
      <c r="D33" s="31"/>
      <c r="E33" s="31"/>
      <c r="F33" s="31"/>
      <c r="G33" s="31"/>
      <c r="H33" s="42">
        <f t="shared" ref="H33" si="24">H32-F33-D33+B33</f>
        <v>15.875</v>
      </c>
      <c r="I33" s="42">
        <f t="shared" ref="I33" si="25">I32-E33+C33</f>
        <v>36.875</v>
      </c>
      <c r="J33" s="43">
        <f t="shared" ref="J33" si="26">H33+I33</f>
        <v>52.75</v>
      </c>
    </row>
    <row r="34" spans="1:10" s="5" customFormat="1" ht="15.95" customHeight="1" x14ac:dyDescent="0.2">
      <c r="A34" s="31" t="s">
        <v>80</v>
      </c>
      <c r="B34" s="31"/>
      <c r="C34" s="31"/>
      <c r="D34" s="31"/>
      <c r="E34" s="31"/>
      <c r="F34" s="60">
        <v>1</v>
      </c>
      <c r="G34" s="31"/>
      <c r="H34" s="42">
        <f t="shared" ref="H34" si="27">H33-F34-D34+B34</f>
        <v>14.875</v>
      </c>
      <c r="I34" s="42">
        <f t="shared" ref="I34" si="28">I33-E34+C34</f>
        <v>36.875</v>
      </c>
      <c r="J34" s="43">
        <f t="shared" ref="J34" si="29">H34+I34</f>
        <v>51.75</v>
      </c>
    </row>
    <row r="35" spans="1:10" s="95" customFormat="1" ht="15.95" customHeight="1" x14ac:dyDescent="0.2">
      <c r="A35" s="96" t="s">
        <v>82</v>
      </c>
      <c r="B35" s="96">
        <v>5</v>
      </c>
      <c r="C35" s="96">
        <v>5</v>
      </c>
      <c r="D35" s="96"/>
      <c r="E35" s="96"/>
      <c r="F35" s="96"/>
      <c r="G35" s="96"/>
      <c r="H35" s="42">
        <f t="shared" ref="H35:H37" si="30">H34-F35-D35+B35</f>
        <v>19.875</v>
      </c>
      <c r="I35" s="42">
        <f t="shared" ref="I35:I37" si="31">I34-E35+C35</f>
        <v>41.875</v>
      </c>
      <c r="J35" s="43">
        <f t="shared" ref="J35:J37" si="32">H35+I35</f>
        <v>61.75</v>
      </c>
    </row>
    <row r="36" spans="1:10" s="95" customFormat="1" ht="15.95" customHeight="1" x14ac:dyDescent="0.2">
      <c r="A36" s="96" t="s">
        <v>83</v>
      </c>
      <c r="B36" s="96"/>
      <c r="C36" s="96"/>
      <c r="D36" s="96"/>
      <c r="E36" s="96"/>
      <c r="F36" s="96"/>
      <c r="G36" s="37">
        <v>2</v>
      </c>
      <c r="H36" s="42">
        <f t="shared" si="30"/>
        <v>19.875</v>
      </c>
      <c r="I36" s="42">
        <f t="shared" si="31"/>
        <v>41.875</v>
      </c>
      <c r="J36" s="43">
        <f t="shared" si="32"/>
        <v>61.75</v>
      </c>
    </row>
    <row r="37" spans="1:10" s="95" customFormat="1" ht="15.95" customHeight="1" x14ac:dyDescent="0.2">
      <c r="A37" s="96" t="s">
        <v>84</v>
      </c>
      <c r="B37" s="96"/>
      <c r="C37" s="96"/>
      <c r="D37" s="96"/>
      <c r="E37" s="96"/>
      <c r="F37" s="60">
        <v>3</v>
      </c>
      <c r="G37" s="96"/>
      <c r="H37" s="42">
        <f t="shared" si="30"/>
        <v>16.875</v>
      </c>
      <c r="I37" s="42">
        <f t="shared" si="31"/>
        <v>41.875</v>
      </c>
      <c r="J37" s="43">
        <f t="shared" si="32"/>
        <v>58.75</v>
      </c>
    </row>
    <row r="38" spans="1:10" s="5" customFormat="1" ht="15.95" customHeight="1" x14ac:dyDescent="0.2">
      <c r="A38" s="39"/>
      <c r="B38" s="39"/>
      <c r="C38" s="39"/>
      <c r="D38" s="39"/>
      <c r="E38" s="39"/>
      <c r="F38" s="39"/>
      <c r="G38" s="39"/>
      <c r="H38" s="40"/>
      <c r="I38" s="40"/>
      <c r="J38" s="41"/>
    </row>
    <row r="39" spans="1:10" s="1" customFormat="1" x14ac:dyDescent="0.25">
      <c r="G39" s="1" t="s">
        <v>36</v>
      </c>
    </row>
    <row r="40" spans="1:10" s="1" customFormat="1" x14ac:dyDescent="0.25"/>
    <row r="41" spans="1:10" s="1" customFormat="1" x14ac:dyDescent="0.25">
      <c r="H41" s="38" t="s">
        <v>37</v>
      </c>
    </row>
    <row r="42" spans="1:10" s="1" customFormat="1" x14ac:dyDescent="0.25">
      <c r="H42" s="1" t="s">
        <v>38</v>
      </c>
    </row>
    <row r="43" spans="1:10" s="1" customFormat="1" x14ac:dyDescent="0.25">
      <c r="H43" s="1" t="s">
        <v>56</v>
      </c>
    </row>
  </sheetData>
  <mergeCells count="13">
    <mergeCell ref="A10:J10"/>
    <mergeCell ref="A13:J13"/>
    <mergeCell ref="A11:A12"/>
    <mergeCell ref="J11:J12"/>
    <mergeCell ref="B11:C11"/>
    <mergeCell ref="D11:F11"/>
    <mergeCell ref="H11:I11"/>
    <mergeCell ref="B7:D7"/>
    <mergeCell ref="B9:D9"/>
    <mergeCell ref="A2:J2"/>
    <mergeCell ref="A3:J3"/>
    <mergeCell ref="A4:J4"/>
    <mergeCell ref="A5:J5"/>
  </mergeCells>
  <phoneticPr fontId="5" type="noConversion"/>
  <printOptions horizontalCentered="1"/>
  <pageMargins left="0.5" right="0.5" top="0.5" bottom="0.5" header="0.31496062992126" footer="0.31496062992126"/>
  <pageSetup paperSize="9" scale="64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4C9D5-FE19-4F9F-8A7D-51AFBA751079}">
  <dimension ref="A1:M24"/>
  <sheetViews>
    <sheetView view="pageBreakPreview" topLeftCell="A4" zoomScale="98" zoomScaleNormal="100" zoomScaleSheetLayoutView="98" workbookViewId="0">
      <selection activeCell="I18" sqref="I18"/>
    </sheetView>
  </sheetViews>
  <sheetFormatPr defaultRowHeight="15" x14ac:dyDescent="0.25"/>
  <cols>
    <col min="1" max="1" width="27.140625" customWidth="1"/>
    <col min="2" max="11" width="9.5703125" customWidth="1"/>
    <col min="12" max="12" width="7.5703125" customWidth="1"/>
    <col min="13" max="13" width="8.7109375" hidden="1" customWidth="1"/>
  </cols>
  <sheetData>
    <row r="1" spans="1:12" s="1" customFormat="1" ht="52.5" customHeight="1" x14ac:dyDescent="0.25">
      <c r="C1" s="20"/>
      <c r="D1" s="21"/>
      <c r="H1" s="7"/>
    </row>
    <row r="2" spans="1:12" s="1" customFormat="1" ht="10.5" customHeight="1" x14ac:dyDescent="0.25">
      <c r="A2" s="62" t="s">
        <v>11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</row>
    <row r="3" spans="1:12" s="1" customFormat="1" ht="15.95" customHeight="1" x14ac:dyDescent="0.25">
      <c r="A3" s="62" t="s">
        <v>12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</row>
    <row r="4" spans="1:12" s="1" customFormat="1" ht="15.95" customHeight="1" x14ac:dyDescent="0.25">
      <c r="A4" s="62" t="s">
        <v>13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</row>
    <row r="5" spans="1:12" s="1" customFormat="1" ht="15.95" customHeight="1" x14ac:dyDescent="0.25">
      <c r="A5" s="62" t="s">
        <v>14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</row>
    <row r="6" spans="1:12" s="1" customFormat="1" ht="8.25" customHeight="1" x14ac:dyDescent="0.25">
      <c r="C6" s="7"/>
      <c r="H6" s="7"/>
    </row>
    <row r="7" spans="1:12" s="1" customFormat="1" ht="8.25" customHeight="1" x14ac:dyDescent="0.25">
      <c r="C7" s="7"/>
      <c r="H7" s="7"/>
    </row>
    <row r="8" spans="1:12" s="1" customFormat="1" ht="12" customHeight="1" x14ac:dyDescent="0.25">
      <c r="A8" s="22" t="s">
        <v>44</v>
      </c>
      <c r="B8" s="22"/>
      <c r="C8" s="77" t="s">
        <v>15</v>
      </c>
      <c r="D8" s="77"/>
      <c r="E8" s="77"/>
      <c r="F8" s="77"/>
      <c r="G8" s="77"/>
      <c r="I8" s="77" t="s">
        <v>16</v>
      </c>
      <c r="J8" s="77"/>
      <c r="K8" s="77"/>
      <c r="L8" s="22"/>
    </row>
    <row r="9" spans="1:12" s="1" customFormat="1" ht="12" customHeight="1" x14ac:dyDescent="0.25">
      <c r="B9" s="23"/>
      <c r="C9" s="77" t="s">
        <v>17</v>
      </c>
      <c r="D9" s="77"/>
      <c r="E9" s="77"/>
      <c r="F9" s="77"/>
      <c r="G9" s="77"/>
      <c r="I9" s="78" t="s">
        <v>18</v>
      </c>
      <c r="J9" s="78"/>
      <c r="K9" s="78"/>
      <c r="L9" s="23"/>
    </row>
    <row r="10" spans="1:12" s="1" customFormat="1" ht="12" customHeight="1" x14ac:dyDescent="0.25">
      <c r="A10" s="22" t="s">
        <v>19</v>
      </c>
      <c r="B10" s="22"/>
      <c r="C10" s="24"/>
      <c r="D10" s="23"/>
      <c r="E10" s="23"/>
      <c r="I10" s="77" t="s">
        <v>20</v>
      </c>
      <c r="J10" s="77"/>
      <c r="K10" s="77"/>
      <c r="L10" s="22"/>
    </row>
    <row r="11" spans="1:12" ht="16.5" customHeight="1" thickBot="1" x14ac:dyDescent="0.3">
      <c r="A11" s="79" t="s">
        <v>21</v>
      </c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</row>
    <row r="12" spans="1:12" s="28" customFormat="1" ht="48" x14ac:dyDescent="0.2">
      <c r="A12" s="25" t="s">
        <v>4</v>
      </c>
      <c r="B12" s="26" t="s">
        <v>22</v>
      </c>
      <c r="C12" s="26" t="s">
        <v>23</v>
      </c>
      <c r="D12" s="26" t="s">
        <v>24</v>
      </c>
      <c r="E12" s="26" t="s">
        <v>25</v>
      </c>
      <c r="F12" s="26" t="s">
        <v>26</v>
      </c>
      <c r="G12" s="26" t="s">
        <v>27</v>
      </c>
      <c r="H12" s="26" t="s">
        <v>28</v>
      </c>
      <c r="I12" s="26" t="s">
        <v>29</v>
      </c>
      <c r="J12" s="26" t="s">
        <v>30</v>
      </c>
      <c r="K12" s="26" t="s">
        <v>31</v>
      </c>
      <c r="L12" s="27" t="s">
        <v>8</v>
      </c>
    </row>
    <row r="13" spans="1:12" s="28" customFormat="1" x14ac:dyDescent="0.2">
      <c r="A13" s="12" t="s">
        <v>43</v>
      </c>
      <c r="B13" s="8"/>
      <c r="C13" s="10"/>
      <c r="D13" s="10">
        <v>1</v>
      </c>
      <c r="E13" s="8"/>
      <c r="F13" s="8"/>
      <c r="G13" s="8"/>
      <c r="H13" s="10"/>
      <c r="I13" s="8"/>
      <c r="J13" s="8"/>
      <c r="K13" s="8"/>
      <c r="L13" s="11">
        <v>1</v>
      </c>
    </row>
    <row r="14" spans="1:12" s="28" customFormat="1" x14ac:dyDescent="0.2">
      <c r="A14" s="12"/>
      <c r="B14" s="8"/>
      <c r="C14" s="10"/>
      <c r="D14" s="10"/>
      <c r="E14" s="8"/>
      <c r="F14" s="8"/>
      <c r="G14" s="8"/>
      <c r="H14" s="10"/>
      <c r="I14" s="8"/>
      <c r="J14" s="8"/>
      <c r="K14" s="8"/>
      <c r="L14" s="11"/>
    </row>
    <row r="15" spans="1:12" s="29" customFormat="1" x14ac:dyDescent="0.2">
      <c r="A15" s="30"/>
      <c r="B15" s="8"/>
      <c r="C15" s="10"/>
      <c r="D15" s="10"/>
      <c r="E15" s="8"/>
      <c r="F15" s="8"/>
      <c r="G15" s="8"/>
      <c r="H15" s="10"/>
      <c r="I15" s="8"/>
      <c r="J15" s="8"/>
      <c r="K15" s="8"/>
      <c r="L15" s="11"/>
    </row>
    <row r="16" spans="1:12" s="29" customFormat="1" x14ac:dyDescent="0.2">
      <c r="A16" s="31"/>
      <c r="B16" s="8"/>
      <c r="C16" s="10"/>
      <c r="D16" s="10"/>
      <c r="E16" s="8"/>
      <c r="F16" s="8"/>
      <c r="G16" s="8"/>
      <c r="H16" s="10"/>
      <c r="I16" s="8"/>
      <c r="J16" s="8"/>
      <c r="K16" s="8"/>
      <c r="L16" s="11"/>
    </row>
    <row r="17" spans="1:12" s="29" customFormat="1" x14ac:dyDescent="0.2">
      <c r="A17" s="10"/>
      <c r="B17" s="8"/>
      <c r="C17" s="10"/>
      <c r="D17" s="10"/>
      <c r="E17" s="8"/>
      <c r="F17" s="8"/>
      <c r="G17" s="8"/>
      <c r="H17" s="10"/>
      <c r="I17" s="8"/>
      <c r="J17" s="8"/>
      <c r="K17" s="8"/>
      <c r="L17" s="11"/>
    </row>
    <row r="18" spans="1:12" s="29" customFormat="1" x14ac:dyDescent="0.2">
      <c r="A18" s="12"/>
      <c r="B18" s="8"/>
      <c r="C18" s="10"/>
      <c r="D18" s="10"/>
      <c r="E18" s="8"/>
      <c r="F18" s="8"/>
      <c r="G18" s="8"/>
      <c r="H18" s="10"/>
      <c r="I18" s="8"/>
      <c r="J18" s="8"/>
      <c r="K18" s="8"/>
      <c r="L18" s="11"/>
    </row>
    <row r="19" spans="1:12" s="29" customFormat="1" x14ac:dyDescent="0.2">
      <c r="A19" s="12"/>
      <c r="B19" s="8"/>
      <c r="C19" s="10"/>
      <c r="D19" s="10"/>
      <c r="E19" s="8"/>
      <c r="F19" s="8"/>
      <c r="G19" s="8"/>
      <c r="H19" s="10"/>
      <c r="I19" s="8"/>
      <c r="J19" s="8"/>
      <c r="K19" s="8"/>
      <c r="L19" s="11"/>
    </row>
    <row r="20" spans="1:12" s="29" customFormat="1" x14ac:dyDescent="0.2">
      <c r="A20" s="12"/>
      <c r="B20" s="8"/>
      <c r="C20" s="10"/>
      <c r="D20" s="10"/>
      <c r="E20" s="8"/>
      <c r="F20" s="8"/>
      <c r="G20" s="8"/>
      <c r="H20" s="10"/>
      <c r="I20" s="8"/>
      <c r="J20" s="8"/>
      <c r="K20" s="8"/>
      <c r="L20" s="11"/>
    </row>
    <row r="21" spans="1:12" s="29" customFormat="1" x14ac:dyDescent="0.2">
      <c r="A21" s="9"/>
      <c r="B21" s="8"/>
      <c r="C21" s="10"/>
      <c r="D21" s="10"/>
      <c r="E21" s="8"/>
      <c r="F21" s="8"/>
      <c r="G21" s="8"/>
      <c r="H21" s="10"/>
      <c r="I21" s="8"/>
      <c r="J21" s="8"/>
      <c r="K21" s="13"/>
      <c r="L21" s="11"/>
    </row>
    <row r="22" spans="1:12" ht="75.75" customHeight="1" x14ac:dyDescent="0.25">
      <c r="A22" s="80"/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</row>
    <row r="23" spans="1:12" s="1" customFormat="1" x14ac:dyDescent="0.25">
      <c r="C23" s="7"/>
    </row>
    <row r="24" spans="1:12" s="1" customFormat="1" x14ac:dyDescent="0.25">
      <c r="C24" s="7"/>
    </row>
  </sheetData>
  <mergeCells count="11">
    <mergeCell ref="C9:G9"/>
    <mergeCell ref="I9:K9"/>
    <mergeCell ref="I10:K10"/>
    <mergeCell ref="A11:L11"/>
    <mergeCell ref="A22:L22"/>
    <mergeCell ref="A2:L2"/>
    <mergeCell ref="A3:L3"/>
    <mergeCell ref="A4:L4"/>
    <mergeCell ref="A5:L5"/>
    <mergeCell ref="C8:G8"/>
    <mergeCell ref="I8:K8"/>
  </mergeCells>
  <printOptions horizontalCentered="1"/>
  <pageMargins left="0.7" right="0.7" top="0.75" bottom="0.75" header="0.3" footer="0.3"/>
  <pageSetup paperSize="9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DB917-C36E-4C68-BCB9-312CBBA0E5AB}">
  <dimension ref="A1:G19"/>
  <sheetViews>
    <sheetView view="pageBreakPreview" zoomScaleNormal="100" zoomScaleSheetLayoutView="100" workbookViewId="0">
      <selection activeCell="E16" sqref="E16"/>
    </sheetView>
  </sheetViews>
  <sheetFormatPr defaultRowHeight="15" x14ac:dyDescent="0.25"/>
  <cols>
    <col min="2" max="2" width="18.140625" customWidth="1"/>
    <col min="3" max="3" width="19.5703125" customWidth="1"/>
    <col min="4" max="4" width="56.42578125" customWidth="1"/>
    <col min="5" max="5" width="12.42578125" customWidth="1"/>
    <col min="6" max="6" width="13.42578125" customWidth="1"/>
    <col min="7" max="7" width="15.140625" customWidth="1"/>
  </cols>
  <sheetData>
    <row r="1" spans="1:7" ht="58.5" customHeight="1" x14ac:dyDescent="0.25"/>
    <row r="2" spans="1:7" ht="15.95" customHeight="1" x14ac:dyDescent="0.25">
      <c r="A2" s="92" t="s">
        <v>11</v>
      </c>
      <c r="B2" s="93"/>
      <c r="C2" s="93"/>
      <c r="D2" s="93"/>
      <c r="E2" s="93"/>
      <c r="F2" s="93"/>
      <c r="G2" s="93"/>
    </row>
    <row r="3" spans="1:7" ht="15.95" customHeight="1" x14ac:dyDescent="0.25">
      <c r="A3" s="93" t="s">
        <v>12</v>
      </c>
      <c r="B3" s="93"/>
      <c r="C3" s="93"/>
      <c r="D3" s="93"/>
      <c r="E3" s="93"/>
      <c r="F3" s="93"/>
      <c r="G3" s="93"/>
    </row>
    <row r="4" spans="1:7" ht="15.95" customHeight="1" x14ac:dyDescent="0.25">
      <c r="A4" s="93" t="s">
        <v>13</v>
      </c>
      <c r="B4" s="93"/>
      <c r="C4" s="93"/>
      <c r="D4" s="93"/>
      <c r="E4" s="93"/>
      <c r="F4" s="93"/>
      <c r="G4" s="93"/>
    </row>
    <row r="5" spans="1:7" ht="15.95" customHeight="1" x14ac:dyDescent="0.25">
      <c r="A5" s="93" t="s">
        <v>14</v>
      </c>
      <c r="B5" s="93"/>
      <c r="C5" s="93"/>
      <c r="D5" s="93"/>
      <c r="E5" s="93"/>
      <c r="F5" s="93"/>
      <c r="G5" s="93"/>
    </row>
    <row r="6" spans="1:7" ht="19.5" customHeight="1" x14ac:dyDescent="0.25">
      <c r="A6" s="94"/>
      <c r="B6" s="94"/>
      <c r="C6" s="94"/>
      <c r="D6" s="94"/>
      <c r="E6" s="94"/>
      <c r="F6" s="94"/>
      <c r="G6" s="94"/>
    </row>
    <row r="7" spans="1:7" ht="12" customHeight="1" x14ac:dyDescent="0.25">
      <c r="A7" s="1" t="s">
        <v>61</v>
      </c>
      <c r="B7" s="35" t="s">
        <v>62</v>
      </c>
      <c r="C7" s="3"/>
      <c r="D7" s="3"/>
      <c r="E7" s="44" t="s">
        <v>9</v>
      </c>
      <c r="F7" s="4"/>
      <c r="G7" s="45"/>
    </row>
    <row r="8" spans="1:7" ht="12" customHeight="1" x14ac:dyDescent="0.25">
      <c r="A8" s="1"/>
      <c r="B8" s="46"/>
      <c r="C8" s="2"/>
      <c r="D8" s="2"/>
      <c r="E8" s="47"/>
      <c r="F8" s="1"/>
      <c r="G8" s="1"/>
    </row>
    <row r="9" spans="1:7" ht="12" customHeight="1" x14ac:dyDescent="0.25">
      <c r="A9" s="1" t="s">
        <v>63</v>
      </c>
      <c r="B9" s="35" t="s">
        <v>64</v>
      </c>
      <c r="C9" s="3"/>
      <c r="D9" s="2"/>
      <c r="E9" s="44" t="s">
        <v>10</v>
      </c>
      <c r="F9" s="48"/>
      <c r="G9" s="45"/>
    </row>
    <row r="10" spans="1:7" ht="24.75" customHeight="1" thickBot="1" x14ac:dyDescent="0.3">
      <c r="A10" s="63" t="s">
        <v>65</v>
      </c>
      <c r="B10" s="63"/>
      <c r="C10" s="63"/>
      <c r="D10" s="63"/>
      <c r="E10" s="63"/>
      <c r="F10" s="63"/>
      <c r="G10" s="63"/>
    </row>
    <row r="11" spans="1:7" s="39" customFormat="1" ht="29.25" customHeight="1" x14ac:dyDescent="0.25">
      <c r="A11" s="82" t="s">
        <v>66</v>
      </c>
      <c r="B11" s="83"/>
      <c r="C11" s="49" t="s">
        <v>67</v>
      </c>
      <c r="D11" s="50" t="s">
        <v>68</v>
      </c>
      <c r="E11" s="49" t="s">
        <v>69</v>
      </c>
      <c r="F11" s="49" t="s">
        <v>70</v>
      </c>
      <c r="G11" s="51" t="s">
        <v>7</v>
      </c>
    </row>
    <row r="12" spans="1:7" ht="44.25" customHeight="1" x14ac:dyDescent="0.25">
      <c r="A12" s="84" t="s">
        <v>71</v>
      </c>
      <c r="B12" s="85"/>
      <c r="C12" s="52" t="s">
        <v>72</v>
      </c>
      <c r="D12" s="52" t="s">
        <v>73</v>
      </c>
      <c r="E12" s="53">
        <v>5</v>
      </c>
      <c r="F12" s="54">
        <v>1</v>
      </c>
      <c r="G12" s="55">
        <f>E12-F12</f>
        <v>4</v>
      </c>
    </row>
    <row r="13" spans="1:7" s="57" customFormat="1" ht="30" customHeight="1" thickBot="1" x14ac:dyDescent="0.3">
      <c r="A13" s="86" t="s">
        <v>74</v>
      </c>
      <c r="B13" s="87"/>
      <c r="C13" s="87"/>
      <c r="D13" s="87"/>
      <c r="E13" s="87"/>
      <c r="F13" s="88"/>
      <c r="G13" s="56">
        <f>G12</f>
        <v>4</v>
      </c>
    </row>
    <row r="14" spans="1:7" ht="10.5" customHeight="1" x14ac:dyDescent="0.25">
      <c r="A14" s="58"/>
      <c r="B14" s="58"/>
      <c r="C14" s="59"/>
      <c r="D14" s="59"/>
      <c r="E14" s="59"/>
      <c r="F14" s="59"/>
      <c r="G14" s="59"/>
    </row>
    <row r="15" spans="1:7" ht="18.75" customHeight="1" x14ac:dyDescent="0.25">
      <c r="A15" s="89" t="s">
        <v>75</v>
      </c>
      <c r="B15" s="89"/>
      <c r="C15" s="59"/>
      <c r="D15" s="59"/>
      <c r="E15" s="59"/>
      <c r="F15" s="59"/>
      <c r="G15" s="59"/>
    </row>
    <row r="16" spans="1:7" ht="18.75" customHeight="1" x14ac:dyDescent="0.25">
      <c r="A16" s="90"/>
      <c r="B16" s="90"/>
      <c r="C16" s="59"/>
      <c r="D16" s="59"/>
      <c r="E16" s="59"/>
      <c r="F16" s="59"/>
      <c r="G16" s="59"/>
    </row>
    <row r="17" spans="1:7" ht="18.75" customHeight="1" x14ac:dyDescent="0.25">
      <c r="A17" s="91" t="s">
        <v>37</v>
      </c>
      <c r="B17" s="91"/>
      <c r="C17" s="91"/>
      <c r="D17" s="59"/>
      <c r="E17" s="59"/>
      <c r="F17" s="59"/>
      <c r="G17" s="59"/>
    </row>
    <row r="18" spans="1:7" ht="18.75" customHeight="1" x14ac:dyDescent="0.25">
      <c r="A18" s="81" t="s">
        <v>38</v>
      </c>
      <c r="B18" s="81"/>
      <c r="C18" s="81"/>
      <c r="D18" s="59"/>
      <c r="E18" s="59"/>
      <c r="F18" s="59"/>
      <c r="G18" s="59"/>
    </row>
    <row r="19" spans="1:7" ht="18.75" customHeight="1" x14ac:dyDescent="0.25">
      <c r="A19" s="81" t="s">
        <v>76</v>
      </c>
      <c r="B19" s="81"/>
      <c r="C19" s="59"/>
      <c r="D19" s="59"/>
      <c r="E19" s="59"/>
      <c r="F19" s="59"/>
      <c r="G19" s="59"/>
    </row>
  </sheetData>
  <mergeCells count="14">
    <mergeCell ref="A10:G10"/>
    <mergeCell ref="A2:G2"/>
    <mergeCell ref="A3:G3"/>
    <mergeCell ref="A4:G4"/>
    <mergeCell ref="A5:G5"/>
    <mergeCell ref="A6:G6"/>
    <mergeCell ref="A18:C18"/>
    <mergeCell ref="A19:B19"/>
    <mergeCell ref="A11:B11"/>
    <mergeCell ref="A12:B12"/>
    <mergeCell ref="A13:F13"/>
    <mergeCell ref="A15:B15"/>
    <mergeCell ref="A16:B16"/>
    <mergeCell ref="A17:C17"/>
  </mergeCells>
  <printOptions horizontalCentered="1"/>
  <pageMargins left="0.23622047244094491" right="0.23622047244094491" top="0.23622047244094491" bottom="0.23622047244094491" header="0.31496062992125984" footer="0.31496062992125984"/>
  <pageSetup paperSize="9" scale="99" orientation="landscape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AB49C824F4DD48B84E7E33F80B9B91" ma:contentTypeVersion="12" ma:contentTypeDescription="Create a new document." ma:contentTypeScope="" ma:versionID="bb3afd1b557caaa3024e6d05bf599bc5">
  <xsd:schema xmlns:xsd="http://www.w3.org/2001/XMLSchema" xmlns:xs="http://www.w3.org/2001/XMLSchema" xmlns:p="http://schemas.microsoft.com/office/2006/metadata/properties" xmlns:ns3="546f70b6-842b-4b5e-99cb-cf3af2c3c19f" xmlns:ns4="941fee33-f9af-40bf-a33d-91bb87567951" targetNamespace="http://schemas.microsoft.com/office/2006/metadata/properties" ma:root="true" ma:fieldsID="d704fe1c4be96f7c2d814c76a510d6ac" ns3:_="" ns4:_="">
    <xsd:import namespace="546f70b6-842b-4b5e-99cb-cf3af2c3c19f"/>
    <xsd:import namespace="941fee33-f9af-40bf-a33d-91bb8756795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6f70b6-842b-4b5e-99cb-cf3af2c3c1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1fee33-f9af-40bf-a33d-91bb8756795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46f70b6-842b-4b5e-99cb-cf3af2c3c19f" xsi:nil="true"/>
  </documentManagement>
</p:properties>
</file>

<file path=customXml/itemProps1.xml><?xml version="1.0" encoding="utf-8"?>
<ds:datastoreItem xmlns:ds="http://schemas.openxmlformats.org/officeDocument/2006/customXml" ds:itemID="{DA9764AB-137F-457D-8C3D-3FD989BD561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EF6C698-BEA3-49C7-8898-0B93749851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6f70b6-842b-4b5e-99cb-cf3af2c3c19f"/>
    <ds:schemaRef ds:uri="941fee33-f9af-40bf-a33d-91bb875679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E10903C-81F5-48D0-AB5B-161C621ABF9D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546f70b6-842b-4b5e-99cb-cf3af2c3c19f"/>
    <ds:schemaRef ds:uri="941fee33-f9af-40bf-a33d-91bb87567951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Leave Card (NE)</vt:lpstr>
      <vt:lpstr>Other types of leave</vt:lpstr>
      <vt:lpstr>Leave Card (NE) (2)</vt:lpstr>
      <vt:lpstr>'Leave Card (NE)'!Print_Area</vt:lpstr>
      <vt:lpstr>'Leave Card (NE) (2)'!Print_Area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2026-01-08T02:58:59Z</cp:lastPrinted>
  <dcterms:created xsi:type="dcterms:W3CDTF">2021-10-07T06:10:16Z</dcterms:created>
  <dcterms:modified xsi:type="dcterms:W3CDTF">2026-01-08T04:01:53Z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0x010100ADAB49C824F4DD48B84E7E33F80B9B91</vt:lpwstr>
  </property>
</Properties>
</file>