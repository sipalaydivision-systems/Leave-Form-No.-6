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D878D8DB-71B5-42D4-B9DD-95ADCBBBA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" sheetId="8" r:id="rId1"/>
    <sheet name="Sheet1" sheetId="9" r:id="rId2"/>
  </sheets>
  <definedNames>
    <definedName name="_xlnm.Print_Area" localSheetId="0">'Leave Card'!$A$1:$K$72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8" l="1"/>
  <c r="J67" i="8"/>
  <c r="K67" i="8" s="1"/>
  <c r="I68" i="8"/>
  <c r="K68" i="8" s="1"/>
  <c r="J68" i="8"/>
  <c r="J15" i="8" l="1"/>
  <c r="J16" i="8" s="1"/>
  <c r="J17" i="8" s="1"/>
  <c r="J18" i="8" s="1"/>
  <c r="J19" i="8" s="1"/>
  <c r="J20" i="8" s="1"/>
  <c r="J21" i="8" s="1"/>
  <c r="J22" i="8" s="1"/>
  <c r="J23" i="8" s="1"/>
  <c r="J24" i="8" s="1"/>
  <c r="I15" i="8"/>
  <c r="J25" i="8" l="1"/>
  <c r="J26" i="8" s="1"/>
  <c r="I16" i="8"/>
  <c r="K15" i="8"/>
  <c r="J27" i="8" l="1"/>
  <c r="J28" i="8" s="1"/>
  <c r="I17" i="8"/>
  <c r="I18" i="8" s="1"/>
  <c r="I19" i="8" s="1"/>
  <c r="I20" i="8" s="1"/>
  <c r="I21" i="8" s="1"/>
  <c r="I22" i="8" s="1"/>
  <c r="K16" i="8"/>
  <c r="J29" i="8" l="1"/>
  <c r="I23" i="8"/>
  <c r="K22" i="8"/>
  <c r="K21" i="8"/>
  <c r="K17" i="8"/>
  <c r="J30" i="8" l="1"/>
  <c r="J31" i="8" s="1"/>
  <c r="J32" i="8" s="1"/>
  <c r="J33" i="8" s="1"/>
  <c r="J34" i="8" s="1"/>
  <c r="J35" i="8" s="1"/>
  <c r="K23" i="8"/>
  <c r="I24" i="8"/>
  <c r="K18" i="8"/>
  <c r="I25" i="8" l="1"/>
  <c r="K24" i="8"/>
  <c r="J36" i="8"/>
  <c r="J37" i="8" s="1"/>
  <c r="K19" i="8"/>
  <c r="K20" i="8"/>
  <c r="J38" i="8" l="1"/>
  <c r="I26" i="8"/>
  <c r="K25" i="8"/>
  <c r="J39" i="8" l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I27" i="8"/>
  <c r="K26" i="8"/>
  <c r="I28" i="8" l="1"/>
  <c r="K27" i="8"/>
  <c r="I29" i="8" l="1"/>
  <c r="K28" i="8"/>
  <c r="I30" i="8" l="1"/>
  <c r="K29" i="8"/>
  <c r="I31" i="8" l="1"/>
  <c r="K30" i="8"/>
  <c r="K31" i="8" l="1"/>
  <c r="I32" i="8"/>
  <c r="I33" i="8" l="1"/>
  <c r="K32" i="8"/>
  <c r="K33" i="8" l="1"/>
  <c r="I34" i="8"/>
  <c r="I35" i="8" l="1"/>
  <c r="K34" i="8"/>
  <c r="I36" i="8" l="1"/>
  <c r="K35" i="8"/>
  <c r="K36" i="8" l="1"/>
  <c r="I37" i="8"/>
  <c r="I38" i="8" l="1"/>
  <c r="K37" i="8"/>
  <c r="I39" i="8" l="1"/>
  <c r="K38" i="8"/>
  <c r="I40" i="8" l="1"/>
  <c r="K39" i="8"/>
  <c r="I41" i="8" l="1"/>
  <c r="K40" i="8"/>
  <c r="K41" i="8" l="1"/>
  <c r="I42" i="8"/>
  <c r="I43" i="8" l="1"/>
  <c r="K42" i="8"/>
  <c r="K43" i="8" l="1"/>
  <c r="I44" i="8"/>
  <c r="K44" i="8" l="1"/>
  <c r="I45" i="8"/>
  <c r="I46" i="8" s="1"/>
  <c r="I47" i="8" l="1"/>
  <c r="K46" i="8"/>
  <c r="K45" i="8"/>
  <c r="K47" i="8" l="1"/>
  <c r="I48" i="8"/>
  <c r="I49" i="8" l="1"/>
  <c r="K48" i="8"/>
  <c r="K49" i="8" l="1"/>
  <c r="I50" i="8"/>
  <c r="I51" i="8" l="1"/>
  <c r="K50" i="8"/>
  <c r="K51" i="8" l="1"/>
  <c r="I52" i="8"/>
  <c r="I53" i="8" l="1"/>
  <c r="K52" i="8"/>
  <c r="I54" i="8" l="1"/>
  <c r="K53" i="8"/>
  <c r="K54" i="8" l="1"/>
  <c r="I55" i="8"/>
  <c r="K55" i="8" l="1"/>
  <c r="I56" i="8"/>
  <c r="I57" i="8" l="1"/>
  <c r="K56" i="8"/>
  <c r="I58" i="8" l="1"/>
  <c r="K57" i="8"/>
  <c r="K58" i="8" l="1"/>
  <c r="I59" i="8"/>
  <c r="I60" i="8" s="1"/>
  <c r="K60" i="8" l="1"/>
  <c r="I61" i="8"/>
  <c r="K59" i="8"/>
  <c r="I62" i="8" l="1"/>
  <c r="K61" i="8"/>
  <c r="K62" i="8" l="1"/>
  <c r="I63" i="8"/>
  <c r="K63" i="8" l="1"/>
  <c r="I64" i="8"/>
  <c r="I65" i="8" l="1"/>
  <c r="K64" i="8"/>
  <c r="I66" i="8" l="1"/>
  <c r="K66" i="8" s="1"/>
  <c r="K65" i="8"/>
</calcChain>
</file>

<file path=xl/sharedStrings.xml><?xml version="1.0" encoding="utf-8"?>
<sst xmlns="http://schemas.openxmlformats.org/spreadsheetml/2006/main" count="115" uniqueCount="96">
  <si>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</si>
  <si>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</si>
  <si>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</si>
  <si>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</si>
  <si>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</si>
  <si>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</si>
  <si>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</si>
  <si>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</si>
  <si>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</si>
  <si>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</si>
  <si>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</si>
  <si>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</si>
  <si>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</si>
  <si>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</si>
  <si>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</si>
  <si>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</si>
  <si>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ORIGINAL APPOINTMENT: MARCH 15, 2022</t>
  </si>
  <si>
    <t>ADD: 03/15/22 - 03/31/22</t>
  </si>
  <si>
    <t>ADD: 04/01/22 - 06/30/22</t>
  </si>
  <si>
    <t>ADD: 07/01/22 - 08/31/22</t>
  </si>
  <si>
    <t>LESS: 09/22 &amp; 23/ 22</t>
  </si>
  <si>
    <t>ADD: 09/01/22 - 10/31/22</t>
  </si>
  <si>
    <t>LESS: 11/18 &amp; 21/2022</t>
  </si>
  <si>
    <t>Name: _____________________________</t>
  </si>
  <si>
    <t>DISTRICT: ___________________________</t>
  </si>
  <si>
    <t>POSITION: __________________________</t>
  </si>
  <si>
    <t>SCHOOL/OFFICE:_____________________</t>
  </si>
  <si>
    <t>LESS: 12/28 &amp; 29/ 2022</t>
  </si>
  <si>
    <t>ADD: 11/01/22 - 11/30/22</t>
  </si>
  <si>
    <t>LESS: 12/12 &amp; 13/ 2022</t>
  </si>
  <si>
    <t>ADD: 12/01/22 - 12/31/22</t>
  </si>
  <si>
    <t>LESS: FL 2022</t>
  </si>
  <si>
    <t>LESS: 01/27/2023</t>
  </si>
  <si>
    <t>ADD: 01/01/2023 - 03/31/2023</t>
  </si>
  <si>
    <t>LESS:03/09,10, 13 &amp; 14/2023</t>
  </si>
  <si>
    <t>LESS:03/15, 16 &amp; 17/2023</t>
  </si>
  <si>
    <t>ADD: 04/01/2023 - 04/30/2023</t>
  </si>
  <si>
    <t>LESS: 05/19/2023</t>
  </si>
  <si>
    <t>ADD: 05/01/2023 - 06/30/2023</t>
  </si>
  <si>
    <t>LESS: 06/29 &amp; 30/23</t>
  </si>
  <si>
    <t>ADD: 07/01/2023 - 08/31/2023</t>
  </si>
  <si>
    <t>LESS: MONETIZATION 2023</t>
  </si>
  <si>
    <t>ADD: 09/01/2023-09/30-2023</t>
  </si>
  <si>
    <t>LESS: 10/4-6/2023</t>
  </si>
  <si>
    <t>ADD: 10/01/2023-12/31/2023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</si>
  <si>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</si>
  <si>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</si>
  <si>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</si>
  <si>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</si>
  <si>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</si>
  <si>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</si>
  <si>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Certified Correct:</t>
  </si>
  <si>
    <t>MA. LUISA B. CATIGAN</t>
  </si>
  <si>
    <t>Administrative Officer IV</t>
  </si>
  <si>
    <t>HRMO</t>
  </si>
  <si>
    <t>S.O # 159, S. 2023 125TH PHILIPPINE INDEPENDENCE DAY CELEBRATION</t>
  </si>
  <si>
    <t>LESS: 02/07/2024</t>
  </si>
  <si>
    <t>ADD: 01/01/2024-02/29/2024</t>
  </si>
  <si>
    <t>LESS: 03/15/2024</t>
  </si>
  <si>
    <t>ADD: 03/1/2024-05/31/2024</t>
  </si>
  <si>
    <t>LESS: 06/13-14/2024</t>
  </si>
  <si>
    <t>LESS: 06/18-19/2024</t>
  </si>
  <si>
    <t>ADD: 06/1/2024-07/31/2024</t>
  </si>
  <si>
    <t>LESS: 08/07/2024</t>
  </si>
  <si>
    <t>LESS: 08/16/2024</t>
  </si>
  <si>
    <t>ADD: 08/1-31/2024</t>
  </si>
  <si>
    <t>LESS: 09/10-11/2024</t>
  </si>
  <si>
    <t>ADD: 09/1-30/2024</t>
  </si>
  <si>
    <t>LESS: 10/25/2024</t>
  </si>
  <si>
    <t>ADD: 10/1/2024-11/30/2024</t>
  </si>
  <si>
    <t>LESS: 12/17/2024</t>
  </si>
  <si>
    <t>LESS: MONETIZATION 2024</t>
  </si>
  <si>
    <t>LESS: 12/26-27/2024</t>
  </si>
  <si>
    <t>ADD: 12/1-31/2024</t>
  </si>
  <si>
    <t>ADD: 1/1-31/2025</t>
  </si>
  <si>
    <t>LESS: 02/14/2025</t>
  </si>
  <si>
    <t>ADD: 06/26/2024</t>
  </si>
  <si>
    <t>S.O # 024, S. 2024 126TH PHILIPPINE INDEPENDENCE DAY CELEBRATION</t>
  </si>
  <si>
    <t>LESS: 03/27/2025</t>
  </si>
  <si>
    <t>ADD: 02/1/2025-04/30/2025</t>
  </si>
  <si>
    <t>LESS: 05/26-30/2025</t>
  </si>
  <si>
    <t>ADD: 02/5/2025</t>
  </si>
  <si>
    <t>S.O # 002, S. 2025 RIZAL DAY 2024</t>
  </si>
  <si>
    <t>LWOP</t>
  </si>
  <si>
    <t>LWOP: 03/30/2022 (1 DAY)</t>
  </si>
  <si>
    <t xml:space="preserve"> </t>
  </si>
  <si>
    <t>LESS: 07/31/2025</t>
  </si>
  <si>
    <t>ADD: 05/1/2025-08/31/2025</t>
  </si>
  <si>
    <t>LESS: MONETIZATION 2025</t>
  </si>
  <si>
    <t>NEGROS ISLAND REGION</t>
  </si>
  <si>
    <t>LESS: 09/11/2025</t>
  </si>
  <si>
    <t>ADD: 09/1-30/2025</t>
  </si>
  <si>
    <t>LESS: 10/24/2025</t>
  </si>
  <si>
    <t>LESS: 10/27/2025</t>
  </si>
  <si>
    <t>ADD: 10/1-31/2025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</si>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</sst>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164" fontId="0" fillId="2" borderId="2" xfId="0" applyNumberFormat="1" applyFill="1" applyBorder="1" applyAlignment="1">
      <alignment horizontal="center" vertical="center" wrapText="1"/>
    </xf>
    <xf numFmtId="0" fontId="6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0" fillId="2" borderId="6" xfId="1" applyFont="1" applyFill="1" applyBorder="1" applyAlignment="1">
      <alignment horizontal="center" vertical="center" wrapText="1"/>
    </xf>
    <xf numFmtId="0" fontId="6" fillId="2" borderId="0" xfId="1" applyFill="1" applyAlignment="1">
      <alignment horizontal="center"/>
    </xf>
    <xf numFmtId="0" fontId="6" fillId="0" borderId="0" xfId="1"/>
    <xf numFmtId="164" fontId="0" fillId="0" borderId="2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2" xfId="1" applyBorder="1" applyAlignment="1">
      <alignment horizontal="center" vertical="center" wrapText="1"/>
    </xf>
    <xf numFmtId="0" fontId="6" fillId="12" borderId="2" xfId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6" fillId="2" borderId="0" xfId="1" applyFill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3" fillId="9" borderId="5" xfId="1" applyFont="1" applyFill="1" applyBorder="1" applyAlignment="1">
      <alignment horizontal="center" vertical="center"/>
    </xf>
    <xf numFmtId="0" fontId="3" fillId="9" borderId="6" xfId="1" applyFont="1" applyFill="1" applyBorder="1" applyAlignment="1">
      <alignment horizontal="center" vertical="center"/>
    </xf>
    <xf numFmtId="0" fontId="3" fillId="10" borderId="11" xfId="1" applyFont="1" applyFill="1" applyBorder="1" applyAlignment="1">
      <alignment horizontal="center" vertical="center"/>
    </xf>
    <xf numFmtId="0" fontId="3" fillId="10" borderId="12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0" fontId="7" fillId="11" borderId="10" xfId="1" applyFont="1" applyFill="1" applyBorder="1" applyAlignment="1">
      <alignment horizontal="center" vertical="center" wrapText="1"/>
    </xf>
    <xf numFmtId="0" fontId="7" fillId="11" borderId="14" xfId="1" applyFont="1" applyFill="1" applyBorder="1" applyAlignment="1">
      <alignment horizontal="center" vertical="center" wrapText="1"/>
    </xf>
    <xf numFmtId="0" fontId="7" fillId="11" borderId="8" xfId="1" applyFont="1" applyFill="1" applyBorder="1" applyAlignment="1">
      <alignment horizontal="center" vertical="center" wrapText="1"/>
    </xf>
    <xf numFmtId="0" fontId="6" fillId="0" borderId="0" xfId="1" applyAlignment="1">
      <alignment horizontal="center"/>
    </xf>
    <xf numFmtId="0" fontId="0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317501</xdr:colOff>
      <xdr:row>0</xdr:row>
      <xdr:rowOff>9525</xdr:rowOff>
    </xdr:from>
    <xdr:to>
      <xdr:col>5</xdr:col>
      <xdr:colOff>209550</xdr:colOff>
      <xdr:row>0</xdr:row>
      <xdr:rowOff>647701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132980-A22F-4F37-8F7E-84FE47C4795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1376" y="9525"/>
          <a:ext cx="663574" cy="638176"/>
        </a:xfrm>
        <a:prstGeom prst="rect">
          <a:avLst/>
        </a:prstGeom>
        <a:noFill/>
      </xdr:spPr>
    </xdr:pic>
    <xdr:clientData/>
  </xdr:twoCellAnchor>
  <xdr:twoCellAnchor>
    <xdr:from>
      <xdr:col>6</xdr:col>
      <xdr:colOff>104775</xdr:colOff>
      <xdr:row>68</xdr:row>
      <xdr:rowOff>219075</xdr:rowOff>
    </xdr:from>
    <xdr:to>
      <xdr:col>10</xdr:col>
      <xdr:colOff>695325</xdr:colOff>
      <xdr:row>71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5981700" y="15935325"/>
          <a:ext cx="3676650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i="0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5</xdr:row>
      <xdr:rowOff>170961</xdr:rowOff>
    </xdr:from>
    <xdr:to>
      <xdr:col>0</xdr:col>
      <xdr:colOff>2582741</xdr:colOff>
      <xdr:row>7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589AF9-498D-4B96-9F57-1E9E661B7FB4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AMEYAW, KATHLEEN  P.</a:t>
          </a:r>
        </a:p>
      </xdr:txBody>
    </xdr:sp>
    <xdr:clientData/>
  </xdr:twoCellAnchor>
  <xdr:twoCellAnchor>
    <xdr:from>
      <xdr:col>0</xdr:col>
      <xdr:colOff>616683</xdr:colOff>
      <xdr:row>8</xdr:row>
      <xdr:rowOff>61057</xdr:rowOff>
    </xdr:from>
    <xdr:to>
      <xdr:col>0</xdr:col>
      <xdr:colOff>2625482</xdr:colOff>
      <xdr:row>10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6DB4F51-2685-4A3B-ABAA-21EC3344287F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</a:p>
      </xdr:txBody>
    </xdr:sp>
    <xdr:clientData/>
  </xdr:twoCellAnchor>
  <xdr:twoCellAnchor>
    <xdr:from>
      <xdr:col>2</xdr:col>
      <xdr:colOff>415192</xdr:colOff>
      <xdr:row>8</xdr:row>
      <xdr:rowOff>42741</xdr:rowOff>
    </xdr:from>
    <xdr:to>
      <xdr:col>4</xdr:col>
      <xdr:colOff>469899</xdr:colOff>
      <xdr:row>9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632156C-4858-41B6-99D3-DB375A2E6737}"/>
            </a:ext>
          </a:extLst>
        </xdr:cNvPr>
        <xdr:cNvSpPr txBox="1"/>
      </xdr:nvSpPr>
      <xdr:spPr>
        <a:xfrm>
          <a:off x="4460142" y="1808041"/>
          <a:ext cx="1680307" cy="243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CABADIANGAN</a:t>
          </a:r>
          <a:r>
            <a:rPr lang="en-US" sz="1100" baseline="0"/>
            <a:t> ES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481466</xdr:colOff>
      <xdr:row>0</xdr:row>
      <xdr:rowOff>107044</xdr:rowOff>
    </xdr:from>
    <xdr:to>
      <xdr:col>5</xdr:col>
      <xdr:colOff>323850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EE3BC-2AE8-45C8-B9EC-51D4A541D95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8566" y="107044"/>
          <a:ext cx="699634" cy="68353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8</xdr:row>
      <xdr:rowOff>123336</xdr:rowOff>
    </xdr:from>
    <xdr:to>
      <xdr:col>2</xdr:col>
      <xdr:colOff>3175</xdr:colOff>
      <xdr:row>10</xdr:row>
      <xdr:rowOff>41275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9F8315-D998-4C89-B2DA-23D6D05EB34B}"/>
            </a:ext>
          </a:extLst>
        </xdr:cNvPr>
        <xdr:cNvSpPr txBox="1"/>
      </xdr:nvSpPr>
      <xdr:spPr>
        <a:xfrm>
          <a:off x="573942" y="1647336"/>
          <a:ext cx="1677133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KATHLEEN P. AMEYAW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673101</xdr:colOff>
      <xdr:row>10</xdr:row>
      <xdr:rowOff>142876</xdr:rowOff>
    </xdr:from>
    <xdr:to>
      <xdr:col>1</xdr:col>
      <xdr:colOff>15875</xdr:colOff>
      <xdr:row>12</xdr:row>
      <xdr:rowOff>47626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9E3987C-0564-49A2-86B7-ABC308C32C80}"/>
            </a:ext>
          </a:extLst>
        </xdr:cNvPr>
        <xdr:cNvSpPr txBox="1"/>
      </xdr:nvSpPr>
      <xdr:spPr>
        <a:xfrm>
          <a:off x="673101" y="2047876"/>
          <a:ext cx="828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 AO II</a:t>
          </a:r>
        </a:p>
        <a:p>
          <a:endParaRPr lang="en-US" sz="1100"/>
        </a:p>
      </xdr:txBody>
    </xdr:sp>
    <xdr:clientData/>
  </xdr:twoCellAnchor>
  <xdr:twoCellAnchor>
    <xdr:from>
      <xdr:col>3</xdr:col>
      <xdr:colOff>460148</xdr:colOff>
      <xdr:row>10</xdr:row>
      <xdr:rowOff>147185</xdr:rowOff>
    </xdr:from>
    <xdr:to>
      <xdr:col>5</xdr:col>
      <xdr:colOff>396648</xdr:colOff>
      <xdr:row>12</xdr:row>
      <xdr:rowOff>115489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536C8-80A7-41D6-BA62-3D6364DCF753}"/>
            </a:ext>
          </a:extLst>
        </xdr:cNvPr>
        <xdr:cNvSpPr txBox="1"/>
      </xdr:nvSpPr>
      <xdr:spPr>
        <a:xfrm>
          <a:off x="3317648" y="2052185"/>
          <a:ext cx="140335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CABADIANGAN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2"/>
  <sheetViews>
    <sheetView tabSelected="1" view="pageBreakPreview" topLeftCell="A52" zoomScaleNormal="100" zoomScaleSheetLayoutView="100" workbookViewId="0">
      <selection activeCell="D71" sqref="D71"/>
    </sheetView>
  </sheetViews>
  <sheetFormatPr defaultRowHeight="15" x14ac:dyDescent="0.25"/>
  <cols>
    <col min="1" max="1" width="30.28515625" customWidth="1"/>
    <col min="2" max="2" width="11.5703125" style="10" customWidth="1"/>
    <col min="3" max="3" width="11.5703125" style="11" customWidth="1"/>
    <col min="4" max="4" width="11.5703125" style="10" customWidth="1"/>
    <col min="5" max="5" width="11.5703125" style="11" customWidth="1"/>
    <col min="6" max="8" width="11.5703125" customWidth="1"/>
    <col min="9" max="9" width="11.5703125" style="10" customWidth="1"/>
    <col min="10" max="10" width="11.5703125" style="11" customWidth="1"/>
    <col min="11" max="11" width="11.5703125" customWidth="1"/>
  </cols>
  <sheetData>
    <row r="1" spans="1:11" s="1" customFormat="1" ht="52.5" customHeight="1" x14ac:dyDescent="0.25">
      <c r="F1"/>
      <c r="G1" s="13"/>
      <c r="H1" s="13"/>
    </row>
    <row r="2" spans="1:11" s="1" customFormat="1" ht="10.5" customHeight="1" x14ac:dyDescent="0.25">
      <c r="A2" s="42" t="s">
        <v>12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s="1" customFormat="1" ht="15.95" customHeight="1" x14ac:dyDescent="0.25">
      <c r="A3" s="42" t="s">
        <v>13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s="1" customFormat="1" ht="15.95" customHeight="1" x14ac:dyDescent="0.25">
      <c r="A4" s="42" t="s">
        <v>89</v>
      </c>
      <c r="B4" s="42"/>
      <c r="C4" s="42"/>
      <c r="D4" s="42"/>
      <c r="E4" s="42"/>
      <c r="F4" s="42"/>
      <c r="G4" s="42"/>
      <c r="H4" s="42"/>
      <c r="I4" s="42"/>
      <c r="J4" s="42"/>
      <c r="K4" s="42"/>
    </row>
    <row r="5" spans="1:11" s="1" customFormat="1" ht="15.95" customHeight="1" x14ac:dyDescent="0.25">
      <c r="A5" s="42" t="s">
        <v>15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1:11" s="1" customFormat="1" ht="8.25" customHeight="1" x14ac:dyDescent="0.25">
      <c r="F6"/>
      <c r="G6" s="13"/>
      <c r="H6" s="13"/>
    </row>
    <row r="7" spans="1:11" s="1" customFormat="1" ht="8.25" customHeight="1" x14ac:dyDescent="0.25">
      <c r="F7"/>
    </row>
    <row r="8" spans="1:11" s="1" customFormat="1" ht="12" customHeight="1" x14ac:dyDescent="0.25">
      <c r="A8" s="1" t="s">
        <v>23</v>
      </c>
      <c r="B8" s="46" t="s">
        <v>24</v>
      </c>
      <c r="C8" s="46"/>
      <c r="D8" s="46"/>
      <c r="F8"/>
      <c r="I8" s="3" t="s">
        <v>9</v>
      </c>
      <c r="J8" s="47"/>
      <c r="K8" s="47"/>
    </row>
    <row r="9" spans="1:11" s="1" customFormat="1" ht="12" customHeight="1" x14ac:dyDescent="0.25">
      <c r="B9" s="2"/>
      <c r="C9" s="2"/>
      <c r="F9"/>
      <c r="I9" s="2"/>
      <c r="J9" s="2"/>
      <c r="K9" s="2"/>
    </row>
    <row r="10" spans="1:11" s="1" customFormat="1" ht="12" customHeight="1" x14ac:dyDescent="0.25">
      <c r="A10" s="1" t="s">
        <v>25</v>
      </c>
      <c r="B10" s="46" t="s">
        <v>26</v>
      </c>
      <c r="C10" s="46"/>
      <c r="D10" s="46"/>
      <c r="F10"/>
      <c r="I10" s="3" t="s">
        <v>10</v>
      </c>
      <c r="J10" s="4"/>
      <c r="K10" s="4"/>
    </row>
    <row r="11" spans="1:11" ht="16.5" customHeight="1" thickBot="1" x14ac:dyDescent="0.3">
      <c r="A11" s="58" t="s">
        <v>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</row>
    <row r="12" spans="1:11" s="5" customFormat="1" ht="18.75" customHeight="1" x14ac:dyDescent="0.2">
      <c r="A12" s="48" t="s">
        <v>4</v>
      </c>
      <c r="B12" s="50" t="s">
        <v>5</v>
      </c>
      <c r="C12" s="51"/>
      <c r="D12" s="52" t="s">
        <v>6</v>
      </c>
      <c r="E12" s="53"/>
      <c r="F12" s="53"/>
      <c r="G12" s="53"/>
      <c r="H12" s="37"/>
      <c r="I12" s="54" t="s">
        <v>7</v>
      </c>
      <c r="J12" s="55"/>
      <c r="K12" s="56" t="s">
        <v>8</v>
      </c>
    </row>
    <row r="13" spans="1:11" s="5" customFormat="1" ht="28.5" customHeight="1" x14ac:dyDescent="0.2">
      <c r="A13" s="49"/>
      <c r="B13" s="9" t="s">
        <v>1</v>
      </c>
      <c r="C13" s="12" t="s">
        <v>2</v>
      </c>
      <c r="D13" s="9" t="s">
        <v>1</v>
      </c>
      <c r="E13" s="12" t="s">
        <v>2</v>
      </c>
      <c r="F13" s="26" t="s">
        <v>3</v>
      </c>
      <c r="G13" s="6" t="s">
        <v>11</v>
      </c>
      <c r="H13" s="6" t="s">
        <v>83</v>
      </c>
      <c r="I13" s="9" t="s">
        <v>1</v>
      </c>
      <c r="J13" s="12" t="s">
        <v>2</v>
      </c>
      <c r="K13" s="57"/>
    </row>
    <row r="14" spans="1:11" s="14" customFormat="1" ht="21" customHeight="1" x14ac:dyDescent="0.2">
      <c r="A14" s="43" t="s">
        <v>16</v>
      </c>
      <c r="B14" s="44"/>
      <c r="C14" s="44"/>
      <c r="D14" s="44"/>
      <c r="E14" s="44"/>
      <c r="F14" s="44"/>
      <c r="G14" s="44"/>
      <c r="H14" s="44"/>
      <c r="I14" s="44"/>
      <c r="J14" s="44"/>
      <c r="K14" s="45"/>
    </row>
    <row r="15" spans="1:11" s="15" customFormat="1" ht="18" customHeight="1" x14ac:dyDescent="0.2">
      <c r="A15" s="8" t="s">
        <v>17</v>
      </c>
      <c r="B15" s="29">
        <v>0.66700000000000004</v>
      </c>
      <c r="C15" s="29">
        <v>0.66700000000000004</v>
      </c>
      <c r="D15" s="27"/>
      <c r="E15" s="27"/>
      <c r="F15" s="27"/>
      <c r="G15" s="30"/>
      <c r="H15" s="30"/>
      <c r="I15" s="29">
        <f>B15</f>
        <v>0.66700000000000004</v>
      </c>
      <c r="J15" s="29">
        <f>C15</f>
        <v>0.66700000000000004</v>
      </c>
      <c r="K15" s="16">
        <f>I15+J15</f>
        <v>1.3340000000000001</v>
      </c>
    </row>
    <row r="16" spans="1:11" s="15" customFormat="1" ht="18" customHeight="1" x14ac:dyDescent="0.2">
      <c r="A16" s="8" t="s">
        <v>84</v>
      </c>
      <c r="B16" s="27"/>
      <c r="C16" s="27"/>
      <c r="D16" s="27"/>
      <c r="E16" s="27"/>
      <c r="F16" s="27"/>
      <c r="G16" s="30"/>
      <c r="H16" s="38">
        <v>1</v>
      </c>
      <c r="I16" s="29">
        <f>I15</f>
        <v>0.66700000000000004</v>
      </c>
      <c r="J16" s="29">
        <f>J15</f>
        <v>0.66700000000000004</v>
      </c>
      <c r="K16" s="16">
        <f>I16+J16</f>
        <v>1.3340000000000001</v>
      </c>
    </row>
    <row r="17" spans="1:11" s="15" customFormat="1" ht="18" customHeight="1" x14ac:dyDescent="0.2">
      <c r="A17" s="8" t="s">
        <v>18</v>
      </c>
      <c r="B17" s="29">
        <v>3.75</v>
      </c>
      <c r="C17" s="29">
        <v>3.75</v>
      </c>
      <c r="D17" s="29"/>
      <c r="E17" s="29"/>
      <c r="F17" s="29"/>
      <c r="G17" s="31"/>
      <c r="H17" s="31"/>
      <c r="I17" s="29">
        <f t="shared" ref="I17:I59" si="0">I16-F17-D17+B17</f>
        <v>4.4169999999999998</v>
      </c>
      <c r="J17" s="29">
        <f t="shared" ref="J17:J59" si="1">J16-E17+C17</f>
        <v>4.4169999999999998</v>
      </c>
      <c r="K17" s="16">
        <f>I17+J17</f>
        <v>8.8339999999999996</v>
      </c>
    </row>
    <row r="18" spans="1:11" s="15" customFormat="1" ht="18" customHeight="1" x14ac:dyDescent="0.2">
      <c r="A18" s="8" t="s">
        <v>19</v>
      </c>
      <c r="B18" s="29">
        <v>2.5</v>
      </c>
      <c r="C18" s="29">
        <v>2.5</v>
      </c>
      <c r="D18" s="29"/>
      <c r="E18" s="29"/>
      <c r="F18" s="29"/>
      <c r="G18" s="31"/>
      <c r="H18" s="31"/>
      <c r="I18" s="29">
        <f t="shared" si="0"/>
        <v>6.9169999999999998</v>
      </c>
      <c r="J18" s="29">
        <f t="shared" si="1"/>
        <v>6.9169999999999998</v>
      </c>
      <c r="K18" s="16">
        <f t="shared" ref="K18:K21" si="2">I18+J18</f>
        <v>13.834</v>
      </c>
    </row>
    <row r="19" spans="1:11" s="15" customFormat="1" ht="18" customHeight="1" x14ac:dyDescent="0.2">
      <c r="A19" s="8" t="s">
        <v>20</v>
      </c>
      <c r="B19" s="29"/>
      <c r="C19" s="29"/>
      <c r="D19" s="29"/>
      <c r="E19" s="29">
        <v>2</v>
      </c>
      <c r="F19" s="29"/>
      <c r="G19" s="31"/>
      <c r="H19" s="31"/>
      <c r="I19" s="29">
        <f t="shared" si="0"/>
        <v>6.9169999999999998</v>
      </c>
      <c r="J19" s="29">
        <f t="shared" si="1"/>
        <v>4.9169999999999998</v>
      </c>
      <c r="K19" s="16">
        <f t="shared" si="2"/>
        <v>11.834</v>
      </c>
    </row>
    <row r="20" spans="1:11" s="15" customFormat="1" ht="18" customHeight="1" x14ac:dyDescent="0.2">
      <c r="A20" s="8" t="s">
        <v>21</v>
      </c>
      <c r="B20" s="29">
        <v>2.5</v>
      </c>
      <c r="C20" s="29">
        <v>2.5</v>
      </c>
      <c r="D20" s="29"/>
      <c r="E20" s="29"/>
      <c r="F20" s="29"/>
      <c r="G20" s="31"/>
      <c r="H20" s="31"/>
      <c r="I20" s="29">
        <f t="shared" si="0"/>
        <v>9.4169999999999998</v>
      </c>
      <c r="J20" s="29">
        <f t="shared" si="1"/>
        <v>7.4169999999999998</v>
      </c>
      <c r="K20" s="16">
        <f t="shared" si="2"/>
        <v>16.834</v>
      </c>
    </row>
    <row r="21" spans="1:11" s="15" customFormat="1" ht="18" customHeight="1" x14ac:dyDescent="0.2">
      <c r="A21" s="8" t="s">
        <v>22</v>
      </c>
      <c r="B21" s="29"/>
      <c r="C21" s="29"/>
      <c r="D21" s="29"/>
      <c r="E21" s="29"/>
      <c r="F21" s="29"/>
      <c r="G21" s="31">
        <v>2</v>
      </c>
      <c r="H21" s="31"/>
      <c r="I21" s="29">
        <f t="shared" si="0"/>
        <v>9.4169999999999998</v>
      </c>
      <c r="J21" s="29">
        <f t="shared" si="1"/>
        <v>7.4169999999999998</v>
      </c>
      <c r="K21" s="16">
        <f t="shared" si="2"/>
        <v>16.834</v>
      </c>
    </row>
    <row r="22" spans="1:11" s="15" customFormat="1" ht="18" customHeight="1" x14ac:dyDescent="0.2">
      <c r="A22" s="8" t="s">
        <v>27</v>
      </c>
      <c r="B22" s="29"/>
      <c r="C22" s="29"/>
      <c r="D22" s="29"/>
      <c r="E22" s="29"/>
      <c r="F22" s="29">
        <v>2</v>
      </c>
      <c r="G22" s="31"/>
      <c r="H22" s="31"/>
      <c r="I22" s="29">
        <f t="shared" si="0"/>
        <v>7.4169999999999998</v>
      </c>
      <c r="J22" s="29">
        <f t="shared" si="1"/>
        <v>7.4169999999999998</v>
      </c>
      <c r="K22" s="16">
        <f t="shared" ref="K22:K23" si="3">I22+J22</f>
        <v>14.834</v>
      </c>
    </row>
    <row r="23" spans="1:11" s="15" customFormat="1" ht="18" customHeight="1" x14ac:dyDescent="0.2">
      <c r="A23" s="8" t="s">
        <v>28</v>
      </c>
      <c r="B23" s="29">
        <v>1.25</v>
      </c>
      <c r="C23" s="29">
        <v>1.25</v>
      </c>
      <c r="D23" s="29"/>
      <c r="E23" s="29"/>
      <c r="F23" s="29"/>
      <c r="G23" s="31"/>
      <c r="H23" s="31"/>
      <c r="I23" s="29">
        <f t="shared" si="0"/>
        <v>8.6669999999999998</v>
      </c>
      <c r="J23" s="29">
        <f t="shared" si="1"/>
        <v>8.6669999999999998</v>
      </c>
      <c r="K23" s="16">
        <f t="shared" si="3"/>
        <v>17.334</v>
      </c>
    </row>
    <row r="24" spans="1:11" s="15" customFormat="1" ht="18" customHeight="1" x14ac:dyDescent="0.2">
      <c r="A24" s="8" t="s">
        <v>29</v>
      </c>
      <c r="B24" s="29"/>
      <c r="C24" s="29"/>
      <c r="D24" s="29"/>
      <c r="E24" s="29"/>
      <c r="F24" s="29">
        <v>2</v>
      </c>
      <c r="G24" s="31"/>
      <c r="H24" s="31"/>
      <c r="I24" s="29">
        <f t="shared" si="0"/>
        <v>6.6669999999999998</v>
      </c>
      <c r="J24" s="29">
        <f t="shared" si="1"/>
        <v>8.6669999999999998</v>
      </c>
      <c r="K24" s="16">
        <f t="shared" ref="K24" si="4">I24+J24</f>
        <v>15.334</v>
      </c>
    </row>
    <row r="25" spans="1:11" s="15" customFormat="1" ht="18" customHeight="1" x14ac:dyDescent="0.2">
      <c r="A25" s="8" t="s">
        <v>30</v>
      </c>
      <c r="B25" s="29">
        <v>1.25</v>
      </c>
      <c r="C25" s="29">
        <v>1.25</v>
      </c>
      <c r="D25" s="29"/>
      <c r="E25" s="29"/>
      <c r="F25" s="29"/>
      <c r="G25" s="31"/>
      <c r="H25" s="31"/>
      <c r="I25" s="29">
        <f t="shared" si="0"/>
        <v>7.9169999999999998</v>
      </c>
      <c r="J25" s="29">
        <f t="shared" si="1"/>
        <v>9.9169999999999998</v>
      </c>
      <c r="K25" s="16">
        <f t="shared" ref="K25" si="5">I25+J25</f>
        <v>17.834</v>
      </c>
    </row>
    <row r="26" spans="1:11" s="15" customFormat="1" ht="18" customHeight="1" x14ac:dyDescent="0.2">
      <c r="A26" s="8" t="s">
        <v>31</v>
      </c>
      <c r="B26" s="29"/>
      <c r="C26" s="29"/>
      <c r="D26" s="29"/>
      <c r="E26" s="29"/>
      <c r="F26" s="29">
        <v>1</v>
      </c>
      <c r="G26" s="31"/>
      <c r="H26" s="31"/>
      <c r="I26" s="29">
        <f t="shared" si="0"/>
        <v>6.9169999999999998</v>
      </c>
      <c r="J26" s="29">
        <f t="shared" si="1"/>
        <v>9.9169999999999998</v>
      </c>
      <c r="K26" s="16">
        <f t="shared" ref="K26" si="6">I26+J26</f>
        <v>16.834</v>
      </c>
    </row>
    <row r="27" spans="1:11" s="15" customFormat="1" ht="18" customHeight="1" x14ac:dyDescent="0.2">
      <c r="A27" s="8" t="s">
        <v>32</v>
      </c>
      <c r="B27" s="29"/>
      <c r="C27" s="29"/>
      <c r="D27" s="29"/>
      <c r="E27" s="29"/>
      <c r="F27" s="29">
        <v>1</v>
      </c>
      <c r="G27" s="31"/>
      <c r="H27" s="31"/>
      <c r="I27" s="29">
        <f t="shared" si="0"/>
        <v>5.9169999999999998</v>
      </c>
      <c r="J27" s="29">
        <f t="shared" si="1"/>
        <v>9.9169999999999998</v>
      </c>
      <c r="K27" s="16">
        <f t="shared" ref="K27" si="7">I27+J27</f>
        <v>15.834</v>
      </c>
    </row>
    <row r="28" spans="1:11" s="15" customFormat="1" ht="18" customHeight="1" x14ac:dyDescent="0.2">
      <c r="A28" s="8" t="s">
        <v>33</v>
      </c>
      <c r="B28" s="29">
        <v>3.75</v>
      </c>
      <c r="C28" s="29">
        <v>3.75</v>
      </c>
      <c r="D28" s="29"/>
      <c r="E28" s="29"/>
      <c r="F28" s="29"/>
      <c r="G28" s="31"/>
      <c r="H28" s="31"/>
      <c r="I28" s="29">
        <f t="shared" si="0"/>
        <v>9.6669999999999998</v>
      </c>
      <c r="J28" s="29">
        <f t="shared" si="1"/>
        <v>13.667</v>
      </c>
      <c r="K28" s="16">
        <f t="shared" ref="K28" si="8">I28+J28</f>
        <v>23.334</v>
      </c>
    </row>
    <row r="29" spans="1:11" s="15" customFormat="1" ht="18" customHeight="1" x14ac:dyDescent="0.2">
      <c r="A29" s="8" t="s">
        <v>34</v>
      </c>
      <c r="B29" s="29"/>
      <c r="C29" s="29"/>
      <c r="D29" s="29"/>
      <c r="E29" s="29"/>
      <c r="F29" s="29">
        <v>4</v>
      </c>
      <c r="G29" s="31"/>
      <c r="H29" s="31"/>
      <c r="I29" s="29">
        <f t="shared" si="0"/>
        <v>5.6669999999999998</v>
      </c>
      <c r="J29" s="29">
        <f t="shared" si="1"/>
        <v>13.667</v>
      </c>
      <c r="K29" s="16">
        <f t="shared" ref="K29" si="9">I29+J29</f>
        <v>19.334</v>
      </c>
    </row>
    <row r="30" spans="1:11" s="15" customFormat="1" ht="18" customHeight="1" x14ac:dyDescent="0.2">
      <c r="A30" s="8" t="s">
        <v>35</v>
      </c>
      <c r="B30" s="29"/>
      <c r="C30" s="29"/>
      <c r="D30" s="29"/>
      <c r="E30" s="29"/>
      <c r="F30" s="29"/>
      <c r="G30" s="31">
        <v>3</v>
      </c>
      <c r="H30" s="31"/>
      <c r="I30" s="29">
        <f t="shared" si="0"/>
        <v>5.6669999999999998</v>
      </c>
      <c r="J30" s="29">
        <f t="shared" si="1"/>
        <v>13.667</v>
      </c>
      <c r="K30" s="16">
        <f t="shared" ref="K30" si="10">I30+J30</f>
        <v>19.334</v>
      </c>
    </row>
    <row r="31" spans="1:11" s="15" customFormat="1" ht="18" customHeight="1" x14ac:dyDescent="0.2">
      <c r="A31" s="8" t="s">
        <v>36</v>
      </c>
      <c r="B31" s="29">
        <v>1.25</v>
      </c>
      <c r="C31" s="29">
        <v>1.25</v>
      </c>
      <c r="D31" s="29"/>
      <c r="E31" s="29"/>
      <c r="F31" s="29"/>
      <c r="G31" s="31"/>
      <c r="H31" s="31"/>
      <c r="I31" s="29">
        <f t="shared" si="0"/>
        <v>6.9169999999999998</v>
      </c>
      <c r="J31" s="29">
        <f t="shared" si="1"/>
        <v>14.917</v>
      </c>
      <c r="K31" s="16">
        <f t="shared" ref="K31:K32" si="11">I31+J31</f>
        <v>21.834</v>
      </c>
    </row>
    <row r="32" spans="1:11" s="15" customFormat="1" ht="18" customHeight="1" x14ac:dyDescent="0.2">
      <c r="A32" s="8" t="s">
        <v>37</v>
      </c>
      <c r="B32" s="29"/>
      <c r="C32" s="29"/>
      <c r="D32" s="29"/>
      <c r="E32" s="29">
        <v>1</v>
      </c>
      <c r="F32" s="29"/>
      <c r="G32" s="31"/>
      <c r="H32" s="31"/>
      <c r="I32" s="29">
        <f t="shared" si="0"/>
        <v>6.9169999999999998</v>
      </c>
      <c r="J32" s="29">
        <f t="shared" si="1"/>
        <v>13.917</v>
      </c>
      <c r="K32" s="16">
        <f t="shared" si="11"/>
        <v>20.834</v>
      </c>
    </row>
    <row r="33" spans="1:11" s="15" customFormat="1" ht="18" customHeight="1" x14ac:dyDescent="0.2">
      <c r="A33" s="8" t="s">
        <v>38</v>
      </c>
      <c r="B33" s="29">
        <v>2.5</v>
      </c>
      <c r="C33" s="29">
        <v>2.5</v>
      </c>
      <c r="D33" s="29"/>
      <c r="E33" s="29"/>
      <c r="F33" s="29"/>
      <c r="G33" s="31"/>
      <c r="H33" s="31"/>
      <c r="I33" s="29">
        <f t="shared" si="0"/>
        <v>9.4169999999999998</v>
      </c>
      <c r="J33" s="29">
        <f t="shared" si="1"/>
        <v>16.417000000000002</v>
      </c>
      <c r="K33" s="16">
        <f t="shared" ref="K33:K36" si="12">I33+J33</f>
        <v>25.834000000000003</v>
      </c>
    </row>
    <row r="34" spans="1:11" s="15" customFormat="1" ht="18" customHeight="1" x14ac:dyDescent="0.2">
      <c r="A34" s="8" t="s">
        <v>39</v>
      </c>
      <c r="B34" s="29"/>
      <c r="C34" s="29"/>
      <c r="D34" s="29"/>
      <c r="E34" s="29">
        <v>2</v>
      </c>
      <c r="F34" s="29"/>
      <c r="G34" s="31"/>
      <c r="H34" s="31"/>
      <c r="I34" s="29">
        <f t="shared" si="0"/>
        <v>9.4169999999999998</v>
      </c>
      <c r="J34" s="29">
        <f t="shared" si="1"/>
        <v>14.417000000000002</v>
      </c>
      <c r="K34" s="16">
        <f t="shared" si="12"/>
        <v>23.834000000000003</v>
      </c>
    </row>
    <row r="35" spans="1:11" s="15" customFormat="1" ht="18" customHeight="1" x14ac:dyDescent="0.2">
      <c r="A35" s="8" t="s">
        <v>40</v>
      </c>
      <c r="B35" s="29">
        <v>2.5</v>
      </c>
      <c r="C35" s="29">
        <v>2.5</v>
      </c>
      <c r="D35" s="29"/>
      <c r="E35" s="29"/>
      <c r="F35" s="29"/>
      <c r="G35" s="31"/>
      <c r="H35" s="31"/>
      <c r="I35" s="29">
        <f t="shared" si="0"/>
        <v>11.917</v>
      </c>
      <c r="J35" s="29">
        <f t="shared" si="1"/>
        <v>16.917000000000002</v>
      </c>
      <c r="K35" s="16">
        <f t="shared" si="12"/>
        <v>28.834000000000003</v>
      </c>
    </row>
    <row r="36" spans="1:11" s="15" customFormat="1" ht="18" customHeight="1" x14ac:dyDescent="0.2">
      <c r="A36" s="8" t="s">
        <v>41</v>
      </c>
      <c r="B36" s="29"/>
      <c r="C36" s="29"/>
      <c r="D36" s="29">
        <v>6</v>
      </c>
      <c r="E36" s="29">
        <v>9</v>
      </c>
      <c r="F36" s="29"/>
      <c r="G36" s="31"/>
      <c r="H36" s="31"/>
      <c r="I36" s="29">
        <f t="shared" si="0"/>
        <v>5.9169999999999998</v>
      </c>
      <c r="J36" s="29">
        <f t="shared" si="1"/>
        <v>7.9170000000000016</v>
      </c>
      <c r="K36" s="16">
        <f t="shared" si="12"/>
        <v>13.834000000000001</v>
      </c>
    </row>
    <row r="37" spans="1:11" s="15" customFormat="1" ht="18" customHeight="1" x14ac:dyDescent="0.2">
      <c r="A37" s="8" t="s">
        <v>42</v>
      </c>
      <c r="B37" s="29">
        <v>1.25</v>
      </c>
      <c r="C37" s="29">
        <v>1.25</v>
      </c>
      <c r="D37" s="29"/>
      <c r="E37" s="29"/>
      <c r="F37" s="29"/>
      <c r="G37" s="31"/>
      <c r="H37" s="31"/>
      <c r="I37" s="29">
        <f t="shared" si="0"/>
        <v>7.1669999999999998</v>
      </c>
      <c r="J37" s="29">
        <f t="shared" si="1"/>
        <v>9.1670000000000016</v>
      </c>
      <c r="K37" s="16">
        <f t="shared" ref="K37:K40" si="13">I37+J37</f>
        <v>16.334000000000003</v>
      </c>
    </row>
    <row r="38" spans="1:11" s="15" customFormat="1" ht="18" customHeight="1" x14ac:dyDescent="0.2">
      <c r="A38" s="8" t="s">
        <v>43</v>
      </c>
      <c r="B38" s="27"/>
      <c r="C38" s="27"/>
      <c r="D38" s="27"/>
      <c r="E38" s="27">
        <v>3</v>
      </c>
      <c r="F38" s="27"/>
      <c r="G38" s="30"/>
      <c r="H38" s="30"/>
      <c r="I38" s="29">
        <f t="shared" si="0"/>
        <v>7.1669999999999998</v>
      </c>
      <c r="J38" s="29">
        <f t="shared" si="1"/>
        <v>6.1670000000000016</v>
      </c>
      <c r="K38" s="16">
        <f t="shared" si="13"/>
        <v>13.334000000000001</v>
      </c>
    </row>
    <row r="39" spans="1:11" s="15" customFormat="1" ht="18" customHeight="1" x14ac:dyDescent="0.2">
      <c r="A39" s="8" t="s">
        <v>44</v>
      </c>
      <c r="B39" s="27">
        <v>3.75</v>
      </c>
      <c r="C39" s="27">
        <v>3.75</v>
      </c>
      <c r="D39" s="27"/>
      <c r="E39" s="27"/>
      <c r="F39" s="27"/>
      <c r="G39" s="30"/>
      <c r="H39" s="30"/>
      <c r="I39" s="29">
        <f t="shared" si="0"/>
        <v>10.917</v>
      </c>
      <c r="J39" s="29">
        <f t="shared" si="1"/>
        <v>9.9170000000000016</v>
      </c>
      <c r="K39" s="25">
        <f t="shared" si="13"/>
        <v>20.834000000000003</v>
      </c>
    </row>
    <row r="40" spans="1:11" s="15" customFormat="1" ht="18" customHeight="1" x14ac:dyDescent="0.2">
      <c r="A40" s="8" t="s">
        <v>57</v>
      </c>
      <c r="B40" s="27">
        <v>2.5</v>
      </c>
      <c r="C40" s="27">
        <v>2.5</v>
      </c>
      <c r="D40" s="27"/>
      <c r="E40" s="27"/>
      <c r="F40" s="27"/>
      <c r="G40" s="30"/>
      <c r="H40" s="30"/>
      <c r="I40" s="29">
        <f t="shared" si="0"/>
        <v>13.417</v>
      </c>
      <c r="J40" s="29">
        <f t="shared" si="1"/>
        <v>12.417000000000002</v>
      </c>
      <c r="K40" s="25">
        <f t="shared" si="13"/>
        <v>25.834000000000003</v>
      </c>
    </row>
    <row r="41" spans="1:11" s="15" customFormat="1" ht="18" customHeight="1" x14ac:dyDescent="0.2">
      <c r="A41" s="8" t="s">
        <v>58</v>
      </c>
      <c r="B41" s="27"/>
      <c r="C41" s="27"/>
      <c r="D41" s="27"/>
      <c r="E41" s="27">
        <v>1</v>
      </c>
      <c r="F41" s="27"/>
      <c r="G41" s="30"/>
      <c r="H41" s="30"/>
      <c r="I41" s="29">
        <f t="shared" si="0"/>
        <v>13.417</v>
      </c>
      <c r="J41" s="29">
        <f t="shared" si="1"/>
        <v>11.417000000000002</v>
      </c>
      <c r="K41" s="25">
        <f t="shared" ref="K41" si="14">I41+J41</f>
        <v>24.834000000000003</v>
      </c>
    </row>
    <row r="42" spans="1:11" s="15" customFormat="1" ht="18" customHeight="1" x14ac:dyDescent="0.2">
      <c r="A42" s="8" t="s">
        <v>59</v>
      </c>
      <c r="B42" s="27">
        <v>3.75</v>
      </c>
      <c r="C42" s="27">
        <v>3.75</v>
      </c>
      <c r="D42" s="27"/>
      <c r="E42" s="27"/>
      <c r="F42" s="27"/>
      <c r="G42" s="30"/>
      <c r="H42" s="30"/>
      <c r="I42" s="29">
        <f t="shared" si="0"/>
        <v>17.167000000000002</v>
      </c>
      <c r="J42" s="29">
        <f t="shared" si="1"/>
        <v>15.167000000000002</v>
      </c>
      <c r="K42" s="25">
        <f t="shared" ref="K42:K43" si="15">I42+J42</f>
        <v>32.334000000000003</v>
      </c>
    </row>
    <row r="43" spans="1:11" s="15" customFormat="1" ht="18" customHeight="1" x14ac:dyDescent="0.2">
      <c r="A43" s="8" t="s">
        <v>60</v>
      </c>
      <c r="B43" s="27"/>
      <c r="C43" s="27"/>
      <c r="D43" s="27"/>
      <c r="E43" s="27"/>
      <c r="F43" s="27"/>
      <c r="G43" s="30">
        <v>2</v>
      </c>
      <c r="H43" s="30"/>
      <c r="I43" s="29">
        <f t="shared" si="0"/>
        <v>17.167000000000002</v>
      </c>
      <c r="J43" s="29">
        <f t="shared" si="1"/>
        <v>15.167000000000002</v>
      </c>
      <c r="K43" s="25">
        <f t="shared" si="15"/>
        <v>32.334000000000003</v>
      </c>
    </row>
    <row r="44" spans="1:11" s="15" customFormat="1" ht="18" customHeight="1" x14ac:dyDescent="0.2">
      <c r="A44" s="7" t="s">
        <v>61</v>
      </c>
      <c r="B44" s="27"/>
      <c r="C44" s="27"/>
      <c r="D44" s="27"/>
      <c r="E44" s="27"/>
      <c r="F44" s="27">
        <v>2</v>
      </c>
      <c r="G44" s="30"/>
      <c r="H44" s="30"/>
      <c r="I44" s="29">
        <f t="shared" si="0"/>
        <v>15.167000000000002</v>
      </c>
      <c r="J44" s="29">
        <f t="shared" si="1"/>
        <v>15.167000000000002</v>
      </c>
      <c r="K44" s="25">
        <f t="shared" ref="K44" si="16">I44+J44</f>
        <v>30.334000000000003</v>
      </c>
    </row>
    <row r="45" spans="1:11" s="28" customFormat="1" ht="18.75" customHeight="1" x14ac:dyDescent="0.25">
      <c r="A45" s="32" t="s">
        <v>62</v>
      </c>
      <c r="B45" s="32">
        <v>2.5</v>
      </c>
      <c r="C45" s="32">
        <v>2.5</v>
      </c>
      <c r="D45" s="32"/>
      <c r="E45" s="32"/>
      <c r="F45" s="27"/>
      <c r="G45" s="27"/>
      <c r="H45" s="27"/>
      <c r="I45" s="29">
        <f t="shared" si="0"/>
        <v>17.667000000000002</v>
      </c>
      <c r="J45" s="29">
        <f t="shared" si="1"/>
        <v>17.667000000000002</v>
      </c>
      <c r="K45" s="25">
        <f t="shared" ref="K45" si="17">I45+J45</f>
        <v>35.334000000000003</v>
      </c>
    </row>
    <row r="46" spans="1:11" s="28" customFormat="1" ht="18.75" customHeight="1" x14ac:dyDescent="0.25">
      <c r="A46" s="32" t="s">
        <v>71</v>
      </c>
      <c r="B46" s="32"/>
      <c r="C46" s="32"/>
      <c r="D46" s="32">
        <v>10</v>
      </c>
      <c r="E46" s="32"/>
      <c r="F46" s="27"/>
      <c r="G46" s="27"/>
      <c r="H46" s="27"/>
      <c r="I46" s="29">
        <f t="shared" si="0"/>
        <v>7.6670000000000016</v>
      </c>
      <c r="J46" s="29">
        <f t="shared" si="1"/>
        <v>17.667000000000002</v>
      </c>
      <c r="K46" s="25">
        <f t="shared" ref="K46:K54" si="18">I46+J46</f>
        <v>25.334000000000003</v>
      </c>
    </row>
    <row r="47" spans="1:11" s="33" customFormat="1" ht="18.75" customHeight="1" x14ac:dyDescent="0.25">
      <c r="A47" s="27" t="s">
        <v>63</v>
      </c>
      <c r="B47" s="27"/>
      <c r="C47" s="27"/>
      <c r="D47" s="27"/>
      <c r="E47" s="27">
        <v>1</v>
      </c>
      <c r="F47" s="27"/>
      <c r="G47" s="27"/>
      <c r="H47" s="27"/>
      <c r="I47" s="29">
        <f t="shared" si="0"/>
        <v>7.6670000000000016</v>
      </c>
      <c r="J47" s="29">
        <f t="shared" si="1"/>
        <v>16.667000000000002</v>
      </c>
      <c r="K47" s="25">
        <f t="shared" si="18"/>
        <v>24.334000000000003</v>
      </c>
    </row>
    <row r="48" spans="1:11" s="33" customFormat="1" ht="18.75" customHeight="1" x14ac:dyDescent="0.25">
      <c r="A48" s="27" t="s">
        <v>64</v>
      </c>
      <c r="B48" s="27"/>
      <c r="C48" s="27"/>
      <c r="D48" s="27"/>
      <c r="E48" s="27"/>
      <c r="F48" s="27">
        <v>1</v>
      </c>
      <c r="G48" s="27"/>
      <c r="H48" s="27"/>
      <c r="I48" s="29">
        <f t="shared" si="0"/>
        <v>6.6670000000000016</v>
      </c>
      <c r="J48" s="29">
        <f t="shared" si="1"/>
        <v>16.667000000000002</v>
      </c>
      <c r="K48" s="25">
        <f t="shared" si="18"/>
        <v>23.334000000000003</v>
      </c>
    </row>
    <row r="49" spans="1:11" s="33" customFormat="1" ht="18.75" customHeight="1" x14ac:dyDescent="0.25">
      <c r="A49" s="27" t="s">
        <v>65</v>
      </c>
      <c r="B49" s="27">
        <v>1.25</v>
      </c>
      <c r="C49" s="27">
        <v>1.25</v>
      </c>
      <c r="D49" s="27"/>
      <c r="E49" s="27"/>
      <c r="F49" s="27"/>
      <c r="G49" s="27"/>
      <c r="H49" s="27"/>
      <c r="I49" s="29">
        <f t="shared" si="0"/>
        <v>7.9170000000000016</v>
      </c>
      <c r="J49" s="29">
        <f t="shared" si="1"/>
        <v>17.917000000000002</v>
      </c>
      <c r="K49" s="25">
        <f t="shared" si="18"/>
        <v>25.834000000000003</v>
      </c>
    </row>
    <row r="50" spans="1:11" s="33" customFormat="1" ht="18.75" customHeight="1" x14ac:dyDescent="0.25">
      <c r="A50" s="27" t="s">
        <v>66</v>
      </c>
      <c r="B50" s="27"/>
      <c r="C50" s="27"/>
      <c r="D50" s="27"/>
      <c r="E50" s="27">
        <v>2</v>
      </c>
      <c r="F50" s="27"/>
      <c r="G50" s="27"/>
      <c r="H50" s="27"/>
      <c r="I50" s="29">
        <f t="shared" si="0"/>
        <v>7.9170000000000016</v>
      </c>
      <c r="J50" s="29">
        <f t="shared" si="1"/>
        <v>15.917000000000002</v>
      </c>
      <c r="K50" s="25">
        <f t="shared" si="18"/>
        <v>23.834000000000003</v>
      </c>
    </row>
    <row r="51" spans="1:11" s="33" customFormat="1" ht="18.75" customHeight="1" x14ac:dyDescent="0.25">
      <c r="A51" s="27" t="s">
        <v>67</v>
      </c>
      <c r="B51" s="27">
        <v>1.25</v>
      </c>
      <c r="C51" s="27">
        <v>1.25</v>
      </c>
      <c r="D51" s="27"/>
      <c r="E51" s="27"/>
      <c r="F51" s="27"/>
      <c r="G51" s="27"/>
      <c r="H51" s="27"/>
      <c r="I51" s="29">
        <f t="shared" si="0"/>
        <v>9.1670000000000016</v>
      </c>
      <c r="J51" s="29">
        <f t="shared" si="1"/>
        <v>17.167000000000002</v>
      </c>
      <c r="K51" s="25">
        <f t="shared" si="18"/>
        <v>26.334000000000003</v>
      </c>
    </row>
    <row r="52" spans="1:11" s="33" customFormat="1" ht="18.75" customHeight="1" x14ac:dyDescent="0.25">
      <c r="A52" s="27" t="s">
        <v>68</v>
      </c>
      <c r="B52" s="27"/>
      <c r="C52" s="27"/>
      <c r="D52" s="27"/>
      <c r="E52" s="27">
        <v>1</v>
      </c>
      <c r="F52" s="27"/>
      <c r="G52" s="27"/>
      <c r="H52" s="27"/>
      <c r="I52" s="29">
        <f t="shared" si="0"/>
        <v>9.1670000000000016</v>
      </c>
      <c r="J52" s="29">
        <f t="shared" si="1"/>
        <v>16.167000000000002</v>
      </c>
      <c r="K52" s="25">
        <f t="shared" si="18"/>
        <v>25.334000000000003</v>
      </c>
    </row>
    <row r="53" spans="1:11" s="33" customFormat="1" ht="18.75" customHeight="1" x14ac:dyDescent="0.25">
      <c r="A53" s="27" t="s">
        <v>69</v>
      </c>
      <c r="B53" s="27">
        <v>2.5</v>
      </c>
      <c r="C53" s="27">
        <v>2.5</v>
      </c>
      <c r="D53" s="27"/>
      <c r="E53" s="27"/>
      <c r="F53" s="27"/>
      <c r="G53" s="27"/>
      <c r="H53" s="27"/>
      <c r="I53" s="29">
        <f t="shared" si="0"/>
        <v>11.667000000000002</v>
      </c>
      <c r="J53" s="29">
        <f t="shared" si="1"/>
        <v>18.667000000000002</v>
      </c>
      <c r="K53" s="25">
        <f t="shared" si="18"/>
        <v>30.334000000000003</v>
      </c>
    </row>
    <row r="54" spans="1:11" s="33" customFormat="1" ht="18.75" customHeight="1" x14ac:dyDescent="0.25">
      <c r="A54" s="27" t="s">
        <v>70</v>
      </c>
      <c r="B54" s="27"/>
      <c r="C54" s="27"/>
      <c r="D54" s="27"/>
      <c r="E54" s="27"/>
      <c r="F54" s="27"/>
      <c r="G54" s="30">
        <v>1</v>
      </c>
      <c r="H54" s="30"/>
      <c r="I54" s="29">
        <f t="shared" si="0"/>
        <v>11.667000000000002</v>
      </c>
      <c r="J54" s="29">
        <f t="shared" si="1"/>
        <v>18.667000000000002</v>
      </c>
      <c r="K54" s="25">
        <f t="shared" si="18"/>
        <v>30.334000000000003</v>
      </c>
    </row>
    <row r="55" spans="1:11" s="33" customFormat="1" ht="18.75" customHeight="1" x14ac:dyDescent="0.25">
      <c r="A55" s="27" t="s">
        <v>72</v>
      </c>
      <c r="B55" s="27"/>
      <c r="C55" s="27"/>
      <c r="D55" s="27"/>
      <c r="E55" s="27"/>
      <c r="F55" s="27">
        <v>2</v>
      </c>
      <c r="G55" s="30"/>
      <c r="H55" s="30"/>
      <c r="I55" s="29">
        <f t="shared" si="0"/>
        <v>9.6670000000000016</v>
      </c>
      <c r="J55" s="29">
        <f t="shared" si="1"/>
        <v>18.667000000000002</v>
      </c>
      <c r="K55" s="25">
        <f t="shared" ref="K55" si="19">I55+J55</f>
        <v>28.334000000000003</v>
      </c>
    </row>
    <row r="56" spans="1:11" s="33" customFormat="1" ht="18.75" customHeight="1" x14ac:dyDescent="0.25">
      <c r="A56" s="27" t="s">
        <v>73</v>
      </c>
      <c r="B56" s="27">
        <v>1.25</v>
      </c>
      <c r="C56" s="27">
        <v>1.25</v>
      </c>
      <c r="D56" s="27"/>
      <c r="E56" s="27"/>
      <c r="F56" s="27"/>
      <c r="G56" s="30"/>
      <c r="H56" s="30"/>
      <c r="I56" s="29">
        <f t="shared" si="0"/>
        <v>10.917000000000002</v>
      </c>
      <c r="J56" s="29">
        <f t="shared" si="1"/>
        <v>19.917000000000002</v>
      </c>
      <c r="K56" s="25">
        <f t="shared" ref="K56:K58" si="20">I56+J56</f>
        <v>30.834000000000003</v>
      </c>
    </row>
    <row r="57" spans="1:11" s="33" customFormat="1" ht="18.75" customHeight="1" x14ac:dyDescent="0.25">
      <c r="A57" s="27" t="s">
        <v>74</v>
      </c>
      <c r="B57" s="27">
        <v>1.25</v>
      </c>
      <c r="C57" s="27">
        <v>1.25</v>
      </c>
      <c r="D57" s="27"/>
      <c r="E57" s="27"/>
      <c r="F57" s="27"/>
      <c r="G57" s="30"/>
      <c r="H57" s="30"/>
      <c r="I57" s="29">
        <f t="shared" si="0"/>
        <v>12.167000000000002</v>
      </c>
      <c r="J57" s="29">
        <f t="shared" si="1"/>
        <v>21.167000000000002</v>
      </c>
      <c r="K57" s="25">
        <f t="shared" si="20"/>
        <v>33.334000000000003</v>
      </c>
    </row>
    <row r="58" spans="1:11" s="33" customFormat="1" ht="18.75" customHeight="1" x14ac:dyDescent="0.25">
      <c r="A58" s="27" t="s">
        <v>75</v>
      </c>
      <c r="B58" s="27"/>
      <c r="C58" s="27"/>
      <c r="D58" s="27"/>
      <c r="E58" s="27">
        <v>1</v>
      </c>
      <c r="F58" s="27"/>
      <c r="G58" s="30"/>
      <c r="H58" s="30"/>
      <c r="I58" s="29">
        <f t="shared" si="0"/>
        <v>12.167000000000002</v>
      </c>
      <c r="J58" s="29">
        <f t="shared" si="1"/>
        <v>20.167000000000002</v>
      </c>
      <c r="K58" s="25">
        <f t="shared" si="20"/>
        <v>32.334000000000003</v>
      </c>
    </row>
    <row r="59" spans="1:11" s="33" customFormat="1" ht="18.75" customHeight="1" x14ac:dyDescent="0.25">
      <c r="A59" s="27" t="s">
        <v>79</v>
      </c>
      <c r="B59" s="27">
        <v>3.75</v>
      </c>
      <c r="C59" s="27">
        <v>3.75</v>
      </c>
      <c r="D59" s="27"/>
      <c r="E59" s="27"/>
      <c r="F59" s="27"/>
      <c r="G59" s="30"/>
      <c r="H59" s="30"/>
      <c r="I59" s="29">
        <f t="shared" si="0"/>
        <v>15.917000000000002</v>
      </c>
      <c r="J59" s="29">
        <f t="shared" si="1"/>
        <v>23.917000000000002</v>
      </c>
      <c r="K59" s="25">
        <f t="shared" ref="K59" si="21">I59+J59</f>
        <v>39.834000000000003</v>
      </c>
    </row>
    <row r="60" spans="1:11" s="33" customFormat="1" ht="18.75" customHeight="1" x14ac:dyDescent="0.25">
      <c r="A60" s="39" t="s">
        <v>80</v>
      </c>
      <c r="B60" s="39"/>
      <c r="C60" s="39"/>
      <c r="D60" s="39"/>
      <c r="E60" s="39"/>
      <c r="F60" s="40">
        <v>5</v>
      </c>
      <c r="G60" s="41"/>
      <c r="H60" s="41"/>
      <c r="I60" s="29">
        <f t="shared" ref="I60:I63" si="22">I59-F60-D60+B60</f>
        <v>10.917000000000002</v>
      </c>
      <c r="J60" s="29">
        <f t="shared" ref="J60:J63" si="23">J59-E60+C60</f>
        <v>23.917000000000002</v>
      </c>
      <c r="K60" s="25">
        <f t="shared" ref="K60:K63" si="24">I60+J60</f>
        <v>34.834000000000003</v>
      </c>
    </row>
    <row r="61" spans="1:11" s="33" customFormat="1" ht="18.75" customHeight="1" x14ac:dyDescent="0.25">
      <c r="A61" s="27" t="s">
        <v>87</v>
      </c>
      <c r="B61" s="27">
        <v>5</v>
      </c>
      <c r="C61" s="27">
        <v>5</v>
      </c>
      <c r="D61" s="27"/>
      <c r="E61" s="27"/>
      <c r="F61" s="27"/>
      <c r="G61" s="30"/>
      <c r="H61" s="30"/>
      <c r="I61" s="29">
        <f t="shared" si="22"/>
        <v>15.917000000000002</v>
      </c>
      <c r="J61" s="29">
        <f t="shared" si="23"/>
        <v>28.917000000000002</v>
      </c>
      <c r="K61" s="25">
        <f t="shared" si="24"/>
        <v>44.834000000000003</v>
      </c>
    </row>
    <row r="62" spans="1:11" s="33" customFormat="1" ht="18.75" customHeight="1" x14ac:dyDescent="0.25">
      <c r="A62" s="27" t="s">
        <v>88</v>
      </c>
      <c r="B62" s="27"/>
      <c r="C62" s="27"/>
      <c r="D62" s="27">
        <v>10</v>
      </c>
      <c r="E62" s="27"/>
      <c r="F62" s="27"/>
      <c r="G62" s="30"/>
      <c r="H62" s="30"/>
      <c r="I62" s="29">
        <f t="shared" si="22"/>
        <v>5.9170000000000016</v>
      </c>
      <c r="J62" s="29">
        <f t="shared" si="23"/>
        <v>28.917000000000002</v>
      </c>
      <c r="K62" s="25">
        <f t="shared" si="24"/>
        <v>34.834000000000003</v>
      </c>
    </row>
    <row r="63" spans="1:11" s="33" customFormat="1" ht="18.75" customHeight="1" x14ac:dyDescent="0.25">
      <c r="A63" s="27" t="s">
        <v>90</v>
      </c>
      <c r="B63" s="27"/>
      <c r="C63" s="27"/>
      <c r="D63" s="27"/>
      <c r="E63" s="27"/>
      <c r="F63" s="27"/>
      <c r="G63" s="36">
        <v>1</v>
      </c>
      <c r="H63" s="30"/>
      <c r="I63" s="29">
        <f t="shared" si="22"/>
        <v>5.9170000000000016</v>
      </c>
      <c r="J63" s="29">
        <f t="shared" si="23"/>
        <v>28.917000000000002</v>
      </c>
      <c r="K63" s="25">
        <f t="shared" si="24"/>
        <v>34.834000000000003</v>
      </c>
    </row>
    <row r="64" spans="1:11" s="33" customFormat="1" ht="18.75" customHeight="1" x14ac:dyDescent="0.25">
      <c r="A64" s="27" t="s">
        <v>91</v>
      </c>
      <c r="B64" s="27">
        <v>1.25</v>
      </c>
      <c r="C64" s="27">
        <v>1.25</v>
      </c>
      <c r="D64" s="27"/>
      <c r="E64" s="27"/>
      <c r="F64" s="27"/>
      <c r="G64" s="30"/>
      <c r="H64" s="30"/>
      <c r="I64" s="29">
        <f t="shared" ref="I64:I65" si="25">I63-F64-D64+B64</f>
        <v>7.1670000000000016</v>
      </c>
      <c r="J64" s="29">
        <f t="shared" ref="J64:J65" si="26">J63-E64+C64</f>
        <v>30.167000000000002</v>
      </c>
      <c r="K64" s="25">
        <f t="shared" ref="K64:K65" si="27">I64+J64</f>
        <v>37.334000000000003</v>
      </c>
    </row>
    <row r="65" spans="1:11" s="33" customFormat="1" ht="18.75" customHeight="1" x14ac:dyDescent="0.25">
      <c r="A65" s="27" t="s">
        <v>92</v>
      </c>
      <c r="B65" s="27"/>
      <c r="C65" s="27"/>
      <c r="D65" s="27"/>
      <c r="E65" s="27"/>
      <c r="F65" s="27"/>
      <c r="G65" s="36">
        <v>1</v>
      </c>
      <c r="H65" s="30"/>
      <c r="I65" s="29">
        <f t="shared" si="25"/>
        <v>7.1670000000000016</v>
      </c>
      <c r="J65" s="29">
        <f t="shared" si="26"/>
        <v>30.167000000000002</v>
      </c>
      <c r="K65" s="25">
        <f t="shared" si="27"/>
        <v>37.334000000000003</v>
      </c>
    </row>
    <row r="66" spans="1:11" s="33" customFormat="1" ht="18.75" customHeight="1" x14ac:dyDescent="0.25">
      <c r="A66" s="27" t="s">
        <v>93</v>
      </c>
      <c r="B66" s="27"/>
      <c r="C66" s="27"/>
      <c r="D66" s="27"/>
      <c r="E66" s="27">
        <v>1</v>
      </c>
      <c r="F66" s="27"/>
      <c r="G66" s="30"/>
      <c r="H66" s="30"/>
      <c r="I66" s="29">
        <f t="shared" ref="I66" si="28">I65-F66-D66+B66</f>
        <v>7.1670000000000016</v>
      </c>
      <c r="J66" s="29">
        <f t="shared" ref="J66" si="29">J65-E66+C66</f>
        <v>29.167000000000002</v>
      </c>
      <c r="K66" s="25">
        <f t="shared" ref="K66" si="30">I66+J66</f>
        <v>36.334000000000003</v>
      </c>
    </row>
    <row r="67" spans="1:11" s="28" customFormat="1" ht="18.75" customHeight="1" x14ac:dyDescent="0.25">
      <c r="A67" s="32" t="s">
        <v>94</v>
      </c>
      <c r="B67" s="32">
        <v>1.25</v>
      </c>
      <c r="C67" s="32">
        <v>1.25</v>
      </c>
      <c r="D67" s="77"/>
      <c r="E67" s="77"/>
      <c r="F67" s="77"/>
      <c r="G67" s="77"/>
      <c r="H67" s="77"/>
      <c r="I67" s="29">
        <f t="shared" ref="I67:I68" si="31">I66-F67-D67+B67</f>
        <v>8.4170000000000016</v>
      </c>
      <c r="J67" s="29">
        <f t="shared" ref="J67:J68" si="32">J66-E67+C67</f>
        <v>30.417000000000002</v>
      </c>
      <c r="K67" s="25">
        <f t="shared" ref="K67:K68" si="33">I67+J67</f>
        <v>38.834000000000003</v>
      </c>
    </row>
    <row r="68" spans="1:11" s="28" customFormat="1" ht="18.75" customHeight="1" x14ac:dyDescent="0.25">
      <c r="A68" s="32" t="s">
        <v>95</v>
      </c>
      <c r="B68" s="32"/>
      <c r="C68" s="32"/>
      <c r="D68" s="77"/>
      <c r="E68" s="77"/>
      <c r="F68" s="77"/>
      <c r="G68" s="36">
        <v>1</v>
      </c>
      <c r="H68" s="77"/>
      <c r="I68" s="29">
        <f t="shared" si="31"/>
        <v>8.4170000000000016</v>
      </c>
      <c r="J68" s="29">
        <f t="shared" si="32"/>
        <v>30.417000000000002</v>
      </c>
      <c r="K68" s="25">
        <f t="shared" si="33"/>
        <v>38.834000000000003</v>
      </c>
    </row>
    <row r="69" spans="1:11" s="28" customFormat="1" ht="18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</row>
    <row r="70" spans="1:11" s="28" customFormat="1" ht="18.75" customHeight="1" x14ac:dyDescent="0.25"/>
    <row r="71" spans="1:11" s="28" customFormat="1" ht="42.75" customHeight="1" x14ac:dyDescent="0.25"/>
    <row r="72" spans="1:11" s="28" customFormat="1" ht="18.75" customHeight="1" x14ac:dyDescent="0.25"/>
  </sheetData>
  <mergeCells count="14">
    <mergeCell ref="A2:K2"/>
    <mergeCell ref="A3:K3"/>
    <mergeCell ref="A4:K4"/>
    <mergeCell ref="A5:K5"/>
    <mergeCell ref="A14:K14"/>
    <mergeCell ref="B8:D8"/>
    <mergeCell ref="J8:K8"/>
    <mergeCell ref="A12:A13"/>
    <mergeCell ref="B12:C12"/>
    <mergeCell ref="D12:G12"/>
    <mergeCell ref="I12:J12"/>
    <mergeCell ref="K12:K13"/>
    <mergeCell ref="B10:D10"/>
    <mergeCell ref="A11:K11"/>
  </mergeCells>
  <printOptions horizontalCentered="1"/>
  <pageMargins left="0.5" right="0.5" top="0.5" bottom="0.5" header="0.31496062992126" footer="0.31496062992126"/>
  <pageSetup paperSize="9" scale="5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R27"/>
  <sheetViews>
    <sheetView topLeftCell="A10" workbookViewId="0">
      <selection activeCell="R21" sqref="R21"/>
    </sheetView>
  </sheetViews>
  <sheetFormatPr defaultRowHeight="15" x14ac:dyDescent="0.25"/>
  <cols>
    <col min="1" max="1" width="22.28515625" customWidth="1"/>
    <col min="2" max="2" width="11.42578125" customWidth="1"/>
    <col min="5" max="5" width="12.85546875" customWidth="1"/>
  </cols>
  <sheetData>
    <row r="4" spans="1:18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8" x14ac:dyDescent="0.25">
      <c r="A5" s="62" t="s">
        <v>12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8" x14ac:dyDescent="0.25">
      <c r="A6" s="62" t="s">
        <v>13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1:18" x14ac:dyDescent="0.25">
      <c r="A7" s="62" t="s">
        <v>14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</row>
    <row r="8" spans="1:18" x14ac:dyDescent="0.25">
      <c r="A8" s="62" t="s">
        <v>15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</row>
    <row r="9" spans="1:18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8" x14ac:dyDescent="0.25">
      <c r="A10" s="17" t="s">
        <v>23</v>
      </c>
      <c r="B10" s="17"/>
      <c r="C10" s="18" t="s">
        <v>24</v>
      </c>
      <c r="D10" s="18"/>
      <c r="E10" s="17"/>
      <c r="F10" s="17"/>
      <c r="G10" s="18" t="s">
        <v>9</v>
      </c>
      <c r="H10" s="19"/>
      <c r="I10" s="17"/>
      <c r="J10" s="17"/>
      <c r="K10" s="17"/>
      <c r="L10" s="17"/>
    </row>
    <row r="11" spans="1:18" x14ac:dyDescent="0.25">
      <c r="A11" s="17"/>
      <c r="B11" s="17"/>
      <c r="C11" s="20"/>
      <c r="D11" s="17"/>
      <c r="E11" s="17"/>
      <c r="F11" s="17"/>
      <c r="G11" s="20"/>
      <c r="H11" s="20"/>
      <c r="I11" s="17"/>
      <c r="J11" s="17"/>
      <c r="K11" s="17"/>
      <c r="L11" s="17"/>
    </row>
    <row r="12" spans="1:18" x14ac:dyDescent="0.25">
      <c r="A12" s="17" t="s">
        <v>25</v>
      </c>
      <c r="B12" s="17"/>
      <c r="C12" s="18" t="s">
        <v>26</v>
      </c>
      <c r="D12" s="18"/>
      <c r="E12" s="17"/>
      <c r="F12" s="17"/>
      <c r="G12" s="18" t="s">
        <v>10</v>
      </c>
      <c r="H12" s="21"/>
      <c r="I12" s="17"/>
      <c r="J12" s="17"/>
      <c r="K12" s="17"/>
      <c r="L12" s="17"/>
    </row>
    <row r="13" spans="1:18" ht="21.75" thickBot="1" x14ac:dyDescent="0.3">
      <c r="A13" s="63" t="s">
        <v>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</row>
    <row r="14" spans="1:18" x14ac:dyDescent="0.25">
      <c r="A14" s="64" t="s">
        <v>4</v>
      </c>
      <c r="B14" s="66" t="s">
        <v>5</v>
      </c>
      <c r="C14" s="67"/>
      <c r="D14" s="67"/>
      <c r="E14" s="67"/>
      <c r="F14" s="67"/>
      <c r="G14" s="67"/>
      <c r="H14" s="67"/>
      <c r="I14" s="67"/>
      <c r="J14" s="67"/>
      <c r="K14" s="67"/>
      <c r="L14" s="68" t="s">
        <v>8</v>
      </c>
    </row>
    <row r="15" spans="1:18" x14ac:dyDescent="0.25">
      <c r="A15" s="65"/>
      <c r="B15" s="70" t="s">
        <v>46</v>
      </c>
      <c r="C15" s="71"/>
      <c r="D15" s="71"/>
      <c r="E15" s="72"/>
      <c r="F15" s="70" t="s">
        <v>47</v>
      </c>
      <c r="G15" s="72"/>
      <c r="H15" s="70" t="s">
        <v>48</v>
      </c>
      <c r="I15" s="72"/>
      <c r="J15" s="70" t="s">
        <v>49</v>
      </c>
      <c r="K15" s="72"/>
      <c r="L15" s="69"/>
    </row>
    <row r="16" spans="1:18" ht="26.25" customHeight="1" x14ac:dyDescent="0.25">
      <c r="A16" s="22" t="s">
        <v>50</v>
      </c>
      <c r="B16" s="59" t="s">
        <v>55</v>
      </c>
      <c r="C16" s="60"/>
      <c r="D16" s="60"/>
      <c r="E16" s="61"/>
      <c r="F16" s="59">
        <v>1</v>
      </c>
      <c r="G16" s="61"/>
      <c r="H16" s="59">
        <v>0</v>
      </c>
      <c r="I16" s="61"/>
      <c r="J16" s="59">
        <v>1</v>
      </c>
      <c r="K16" s="61"/>
      <c r="L16" s="34">
        <v>1</v>
      </c>
      <c r="R16" t="s">
        <v>85</v>
      </c>
    </row>
    <row r="17" spans="1:12" ht="26.25" customHeight="1" x14ac:dyDescent="0.25">
      <c r="A17" s="22" t="s">
        <v>56</v>
      </c>
      <c r="B17" s="59" t="s">
        <v>55</v>
      </c>
      <c r="C17" s="60"/>
      <c r="D17" s="60"/>
      <c r="E17" s="61"/>
      <c r="F17" s="59"/>
      <c r="G17" s="61"/>
      <c r="H17" s="59">
        <v>1</v>
      </c>
      <c r="I17" s="61"/>
      <c r="J17" s="59">
        <v>0</v>
      </c>
      <c r="K17" s="61"/>
      <c r="L17" s="35">
        <v>0</v>
      </c>
    </row>
    <row r="18" spans="1:12" ht="26.25" customHeight="1" x14ac:dyDescent="0.25">
      <c r="A18" s="22" t="s">
        <v>76</v>
      </c>
      <c r="B18" s="59" t="s">
        <v>77</v>
      </c>
      <c r="C18" s="60"/>
      <c r="D18" s="60"/>
      <c r="E18" s="61"/>
      <c r="F18" s="59">
        <v>1</v>
      </c>
      <c r="G18" s="61"/>
      <c r="H18" s="59">
        <v>0</v>
      </c>
      <c r="I18" s="61"/>
      <c r="J18" s="59">
        <v>1</v>
      </c>
      <c r="K18" s="61"/>
      <c r="L18" s="34">
        <v>1</v>
      </c>
    </row>
    <row r="19" spans="1:12" ht="26.25" customHeight="1" x14ac:dyDescent="0.25">
      <c r="A19" s="22" t="s">
        <v>78</v>
      </c>
      <c r="B19" s="59" t="s">
        <v>77</v>
      </c>
      <c r="C19" s="60"/>
      <c r="D19" s="60"/>
      <c r="E19" s="61"/>
      <c r="F19" s="59"/>
      <c r="G19" s="61"/>
      <c r="H19" s="59">
        <v>1</v>
      </c>
      <c r="I19" s="61"/>
      <c r="J19" s="59">
        <v>0</v>
      </c>
      <c r="K19" s="61"/>
      <c r="L19" s="35">
        <v>0</v>
      </c>
    </row>
    <row r="20" spans="1:12" ht="26.25" customHeight="1" x14ac:dyDescent="0.25">
      <c r="A20" s="22" t="s">
        <v>81</v>
      </c>
      <c r="B20" s="59" t="s">
        <v>82</v>
      </c>
      <c r="C20" s="60"/>
      <c r="D20" s="60"/>
      <c r="E20" s="61"/>
      <c r="F20" s="59">
        <v>1</v>
      </c>
      <c r="G20" s="61"/>
      <c r="H20" s="59">
        <v>0</v>
      </c>
      <c r="I20" s="61"/>
      <c r="J20" s="59">
        <v>1</v>
      </c>
      <c r="K20" s="61"/>
      <c r="L20" s="34">
        <v>1</v>
      </c>
    </row>
    <row r="21" spans="1:12" ht="26.25" customHeight="1" x14ac:dyDescent="0.25">
      <c r="A21" s="22" t="s">
        <v>86</v>
      </c>
      <c r="B21" s="59" t="s">
        <v>82</v>
      </c>
      <c r="C21" s="60"/>
      <c r="D21" s="60"/>
      <c r="E21" s="61"/>
      <c r="F21" s="59"/>
      <c r="G21" s="61"/>
      <c r="H21" s="59">
        <v>1</v>
      </c>
      <c r="I21" s="61"/>
      <c r="J21" s="59">
        <v>0</v>
      </c>
      <c r="K21" s="61"/>
      <c r="L21" s="35">
        <v>0</v>
      </c>
    </row>
    <row r="22" spans="1:12" x14ac:dyDescent="0.25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</row>
    <row r="23" spans="1:12" x14ac:dyDescent="0.25">
      <c r="C23" s="23"/>
      <c r="D23" s="17"/>
      <c r="E23" s="17"/>
      <c r="F23" s="17"/>
      <c r="G23" s="17"/>
      <c r="H23" s="17" t="s">
        <v>51</v>
      </c>
      <c r="I23" s="17"/>
      <c r="J23" s="17"/>
      <c r="K23" s="17"/>
      <c r="L23" s="17"/>
    </row>
    <row r="24" spans="1:12" x14ac:dyDescent="0.25">
      <c r="C24" s="23"/>
      <c r="D24" s="17"/>
      <c r="E24" s="17"/>
      <c r="F24" s="17"/>
      <c r="G24" s="17"/>
      <c r="H24" s="17"/>
      <c r="I24" s="17"/>
      <c r="J24" s="17"/>
      <c r="K24" s="17"/>
      <c r="L24" s="17"/>
    </row>
    <row r="25" spans="1:12" ht="18.75" customHeight="1" x14ac:dyDescent="0.25">
      <c r="C25" s="24"/>
      <c r="D25" s="24"/>
      <c r="E25" s="24"/>
      <c r="F25" s="24"/>
      <c r="G25" s="24"/>
      <c r="H25" s="75" t="s">
        <v>52</v>
      </c>
      <c r="I25" s="75"/>
      <c r="J25" s="75"/>
      <c r="K25" s="24"/>
      <c r="L25" s="24"/>
    </row>
    <row r="26" spans="1:12" x14ac:dyDescent="0.25">
      <c r="C26" s="24"/>
      <c r="D26" s="24"/>
      <c r="E26" s="24"/>
      <c r="F26" s="24"/>
      <c r="G26" s="24"/>
      <c r="H26" s="73" t="s">
        <v>53</v>
      </c>
      <c r="I26" s="73"/>
      <c r="J26" s="73"/>
      <c r="K26" s="24"/>
      <c r="L26" s="24"/>
    </row>
    <row r="27" spans="1:12" x14ac:dyDescent="0.25">
      <c r="C27" s="24"/>
      <c r="D27" s="24"/>
      <c r="E27" s="24"/>
      <c r="F27" s="24"/>
      <c r="G27" s="24"/>
      <c r="H27" s="74" t="s">
        <v>54</v>
      </c>
      <c r="I27" s="74"/>
      <c r="J27" s="74"/>
      <c r="K27" s="24"/>
      <c r="L27" s="24"/>
    </row>
  </sheetData>
  <mergeCells count="40">
    <mergeCell ref="H26:J26"/>
    <mergeCell ref="H27:J27"/>
    <mergeCell ref="B21:E21"/>
    <mergeCell ref="F21:G21"/>
    <mergeCell ref="H21:I21"/>
    <mergeCell ref="J21:K21"/>
    <mergeCell ref="H25:J25"/>
    <mergeCell ref="A22:L22"/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A13:L13"/>
    <mergeCell ref="B16:E16"/>
    <mergeCell ref="F16:G16"/>
    <mergeCell ref="H16:I16"/>
    <mergeCell ref="J16:K16"/>
    <mergeCell ref="J17:K17"/>
    <mergeCell ref="B17:E17"/>
    <mergeCell ref="F17:G17"/>
    <mergeCell ref="H17:I17"/>
    <mergeCell ref="B20:E20"/>
    <mergeCell ref="F20:G20"/>
    <mergeCell ref="H20:I20"/>
    <mergeCell ref="J20:K20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8" type="noConversion"/>
  <pageMargins left="0.25" right="0.25" top="0.75" bottom="0.75" header="0.3" footer="0.3"/>
  <pageSetup paperSize="9" scale="7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</vt:lpstr>
      <vt:lpstr>Sheet1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2025-12-12T02:51:13Z</cp:lastPrinted>
  <dcterms:created xsi:type="dcterms:W3CDTF">2021-10-07T06:10:16Z</dcterms:created>
  <dcterms:modified xsi:type="dcterms:W3CDTF">2025-12-12T02:52:26Z</dcterms:modified>
</cp:coreProperties>
</file>