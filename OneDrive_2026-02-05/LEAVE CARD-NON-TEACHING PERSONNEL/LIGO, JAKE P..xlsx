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987BE04-542C-4B86-916D-B04F24DAFBA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Leave Card as TIC" sheetId="3" r:id="rId1"/>
    <sheet name="Election &amp; NLC" sheetId="4" r:id="rId2"/>
    <sheet name="CTO" sheetId="10" r:id="rId3"/>
  </sheets>
  <definedNames>
    <definedName name="_xlnm.Print_Area" localSheetId="2">CTO!$A$1:$L$21</definedName>
    <definedName name="_xlnm.Print_Area" localSheetId="1">'Election &amp; NLC'!$A$1:$G$25</definedName>
    <definedName name="_xlnm.Print_Area" localSheetId="0">'Leave Card as TIC'!$A$1:$J$31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I24" i="3"/>
  <c r="I14" i="3"/>
  <c r="I15" i="3" s="1"/>
  <c r="I16" i="3" s="1"/>
  <c r="I17" i="3" s="1"/>
  <c r="I18" i="3" s="1"/>
  <c r="I19" i="3" s="1"/>
  <c r="I20" i="3" s="1"/>
  <c r="I21" i="3" s="1"/>
  <c r="I22" i="3" s="1"/>
  <c r="H14" i="3"/>
  <c r="H15" i="3" l="1"/>
  <c r="H16" i="3" s="1"/>
  <c r="H17" i="3" s="1"/>
  <c r="J14" i="3"/>
  <c r="H18" i="3" l="1"/>
  <c r="J17" i="3"/>
  <c r="J16" i="3"/>
  <c r="J15" i="3"/>
  <c r="H19" i="3" l="1"/>
  <c r="J18" i="3"/>
  <c r="H20" i="3" l="1"/>
  <c r="J19" i="3"/>
  <c r="J20" i="3" l="1"/>
  <c r="H21" i="3"/>
  <c r="J21" i="3" l="1"/>
  <c r="H22" i="3"/>
  <c r="J22" i="3" l="1"/>
  <c r="H23" i="3"/>
  <c r="J23" i="3" l="1"/>
  <c r="H24" i="3"/>
  <c r="J24" i="3" s="1"/>
</calcChain>
</file>

<file path=xl/sharedStrings.xml><?xml version="1.0" encoding="utf-8"?>
<sst xmlns="http://schemas.openxmlformats.org/spreadsheetml/2006/main" count="98" uniqueCount="78">
  <si>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</si>
  <si>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</si>
  <si>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</si>
  <si>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</si>
  <si>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</si>
  <si>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</si>
  <si>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</si>
  <si>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</si>
  <si>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</si>
  <si>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</si>
  <si>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</si>
  <si>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</si>
  <si>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</si>
  <si>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</si>
  <si>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</si>
  <si>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</si>
  <si>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</si>
  <si>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ADD: 10/11/2023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</si>
  <si>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</si>
  <si>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</si>
  <si>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</si>
  <si>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</si>
  <si>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</si>
  <si>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</si>
  <si>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</si>
  <si>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</si>
  <si>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</si>
  <si>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</si>
  <si>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</si>
  <si>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</si>
  <si>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</si>
  <si>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</si>
  <si>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</si>
  <si>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</si>
  <si>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</si>
  <si>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</si>
  <si>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</si>
  <si>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</si>
  <si>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</si>
  <si>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</si>
  <si>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</si>
  <si>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</si>
  <si>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</si>
  <si>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</si>
  <si>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DEPED ACTIVITIES 2024-2025</t>
  </si>
  <si>
    <t>POSITION   : TEACHER III</t>
  </si>
  <si>
    <t xml:space="preserve">  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</si>
  <si>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</si>
  <si>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LIGO, JAKE</t>
    </r>
  </si>
  <si>
    <t>NAME         : LIGO, JAKE</t>
  </si>
  <si>
    <t>SCHOOL/OFFICE : DUNG-I ES</t>
  </si>
  <si>
    <t>ADD: SEPTEMBER 15, 2022</t>
  </si>
  <si>
    <t>S.O. # 080, S. 2022. BRIGADA ESKWELA 2022</t>
  </si>
  <si>
    <t>LESS: FEBRUARY 16, 2023</t>
  </si>
  <si>
    <t>S.O. # 096, S. 2023</t>
  </si>
  <si>
    <t xml:space="preserve">S.O. # 096, S. 2023. </t>
  </si>
  <si>
    <t>BRIGADA ESKWELA 2023</t>
  </si>
  <si>
    <t>S.O. # 051, S. 2022</t>
  </si>
  <si>
    <t>MAY 9, 2022 ELECTION</t>
  </si>
  <si>
    <t>SO # 010, S. 2024</t>
  </si>
  <si>
    <t>04/30/2024</t>
  </si>
  <si>
    <t>OCT. 30, 2023 ELECTION</t>
  </si>
  <si>
    <t>003, S. 2024</t>
  </si>
  <si>
    <t>01/31/2024</t>
  </si>
  <si>
    <t>MTAP-WV REGIONAL TRAINING WORKSHOP &amp; CONFERENCE 2023</t>
  </si>
  <si>
    <t>38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</si>
  <si>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38 DAYS</t>
    </r>
    <r>
      <rPr>
        <sz val="11"/>
        <color theme="1"/>
        <rFont val="Calibri"/>
        <family val="2"/>
        <scheme val="minor"/>
      </rPr>
      <t xml:space="preserve">:                                    FORMULA: 30Y/69/2 </t>
    </r>
  </si>
  <si>
    <t>056, S. 2024</t>
  </si>
  <si>
    <t>10/18/2024</t>
  </si>
  <si>
    <t>ADD: 08/1/2024-12/31/2024</t>
  </si>
  <si>
    <t>ADD: 01/01/2025-02/28/2025</t>
  </si>
  <si>
    <t>LESS: 04/28/2025</t>
  </si>
  <si>
    <t>ADD: 03/1/2025-06/30/2025</t>
  </si>
  <si>
    <t>LESS: MONETIZATION 2025</t>
  </si>
  <si>
    <t>LESS: 06/23-24/2025</t>
  </si>
  <si>
    <t>LESS: 07/16/2025</t>
  </si>
  <si>
    <t>ADD: 07/1/2025-11/30/2025</t>
  </si>
  <si>
    <t>LESS: 12/23 &amp;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</si>
</sst>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10" borderId="21" xfId="0" applyFont="1" applyFill="1" applyBorder="1" applyAlignment="1">
      <alignment horizontal="left" vertical="center"/>
    </xf>
    <xf numFmtId="0" fontId="1" fillId="10" borderId="23" xfId="0" applyFont="1" applyFill="1" applyBorder="1" applyAlignment="1">
      <alignment horizontal="left" vertical="center"/>
    </xf>
    <xf numFmtId="0" fontId="1" fillId="10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LIGO, JAKE P.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(TIC)/HT-I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MAUBOY IS</a:t>
          </a:r>
        </a:p>
      </xdr:txBody>
    </xdr:sp>
    <xdr:clientData/>
  </xdr:twoCellAnchor>
  <xdr:twoCellAnchor>
    <xdr:from>
      <xdr:col>5</xdr:col>
      <xdr:colOff>347452</xdr:colOff>
      <xdr:row>25</xdr:row>
      <xdr:rowOff>53914</xdr:rowOff>
    </xdr:from>
    <xdr:to>
      <xdr:col>9</xdr:col>
      <xdr:colOff>672043</xdr:colOff>
      <xdr:row>30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962025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A07B7-7A76-487A-A8A7-9733D171AD6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12F8EA-21C8-48C4-A6D5-B6096FF78636}"/>
            </a:ext>
          </a:extLst>
        </xdr:cNvPr>
        <xdr:cNvSpPr txBox="1"/>
      </xdr:nvSpPr>
      <xdr:spPr>
        <a:xfrm>
          <a:off x="76200" y="518160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E5CB34-D819-4E7D-8133-A7B4F394EE5E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9"/>
  <sheetViews>
    <sheetView tabSelected="1" view="pageBreakPreview" topLeftCell="A4" zoomScale="106" zoomScaleNormal="100" zoomScaleSheetLayoutView="106" workbookViewId="0">
      <selection activeCell="C23" sqref="C23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0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</row>
    <row r="3" spans="1:11" s="1" customFormat="1" ht="15.95" customHeight="1" x14ac:dyDescent="0.25">
      <c r="A3" s="92" t="s">
        <v>1</v>
      </c>
      <c r="B3" s="92"/>
      <c r="C3" s="92"/>
      <c r="D3" s="92"/>
      <c r="E3" s="92"/>
      <c r="F3" s="92"/>
      <c r="G3" s="92"/>
      <c r="H3" s="92"/>
      <c r="I3" s="92"/>
      <c r="J3" s="92"/>
    </row>
    <row r="4" spans="1:11" s="1" customFormat="1" ht="15.95" customHeight="1" x14ac:dyDescent="0.25">
      <c r="A4" s="92" t="s">
        <v>2</v>
      </c>
      <c r="B4" s="92"/>
      <c r="C4" s="92"/>
      <c r="D4" s="92"/>
      <c r="E4" s="92"/>
      <c r="F4" s="92"/>
      <c r="G4" s="92"/>
      <c r="H4" s="92"/>
      <c r="I4" s="92"/>
      <c r="J4" s="92"/>
    </row>
    <row r="5" spans="1:11" s="1" customFormat="1" ht="15.95" customHeight="1" x14ac:dyDescent="0.25">
      <c r="A5" s="92" t="s">
        <v>3</v>
      </c>
      <c r="B5" s="92"/>
      <c r="C5" s="92"/>
      <c r="D5" s="92"/>
      <c r="E5" s="92"/>
      <c r="F5" s="92"/>
      <c r="G5" s="92"/>
      <c r="H5" s="92"/>
      <c r="I5" s="92"/>
      <c r="J5" s="92"/>
    </row>
    <row r="6" spans="1:11" s="1" customFormat="1" ht="8.25" customHeight="1" x14ac:dyDescent="0.25"/>
    <row r="7" spans="1:11" s="1" customFormat="1" ht="12" customHeight="1" x14ac:dyDescent="0.25">
      <c r="A7" s="1" t="s">
        <v>18</v>
      </c>
      <c r="B7" s="91" t="s">
        <v>19</v>
      </c>
      <c r="C7" s="91"/>
      <c r="D7" s="91"/>
      <c r="H7" s="5" t="s">
        <v>20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21</v>
      </c>
      <c r="B9" s="91" t="s">
        <v>22</v>
      </c>
      <c r="C9" s="91"/>
      <c r="D9" s="91"/>
      <c r="H9" s="5" t="s">
        <v>23</v>
      </c>
      <c r="I9" s="20"/>
      <c r="J9" s="5"/>
    </row>
    <row r="10" spans="1:11" ht="23.25" customHeight="1" thickBot="1" x14ac:dyDescent="0.3">
      <c r="A10" s="79" t="s">
        <v>24</v>
      </c>
      <c r="B10" s="79"/>
      <c r="C10" s="79"/>
      <c r="D10" s="79"/>
      <c r="E10" s="79"/>
      <c r="F10" s="79"/>
      <c r="G10" s="79"/>
      <c r="H10" s="79"/>
      <c r="I10" s="79"/>
      <c r="J10" s="79"/>
      <c r="K10"/>
    </row>
    <row r="11" spans="1:11" ht="18.75" customHeight="1" x14ac:dyDescent="0.25">
      <c r="A11" s="80" t="s">
        <v>9</v>
      </c>
      <c r="B11" s="82" t="s">
        <v>10</v>
      </c>
      <c r="C11" s="83"/>
      <c r="D11" s="84" t="s">
        <v>25</v>
      </c>
      <c r="E11" s="85"/>
      <c r="F11" s="85"/>
      <c r="G11" s="86"/>
      <c r="H11" s="87" t="s">
        <v>26</v>
      </c>
      <c r="I11" s="88"/>
      <c r="J11" s="89" t="s">
        <v>11</v>
      </c>
      <c r="K11" s="75" t="s">
        <v>27</v>
      </c>
    </row>
    <row r="12" spans="1:11" ht="15.75" thickBot="1" x14ac:dyDescent="0.3">
      <c r="A12" s="81"/>
      <c r="B12" s="21" t="s">
        <v>28</v>
      </c>
      <c r="C12" s="21" t="s">
        <v>29</v>
      </c>
      <c r="D12" s="21" t="s">
        <v>28</v>
      </c>
      <c r="E12" s="21" t="s">
        <v>29</v>
      </c>
      <c r="F12" s="21" t="s">
        <v>30</v>
      </c>
      <c r="G12" s="21" t="s">
        <v>31</v>
      </c>
      <c r="H12" s="21" t="s">
        <v>28</v>
      </c>
      <c r="I12" s="21" t="s">
        <v>29</v>
      </c>
      <c r="J12" s="90"/>
      <c r="K12" s="75"/>
    </row>
    <row r="13" spans="1:11" ht="15.75" thickBot="1" x14ac:dyDescent="0.3">
      <c r="A13" s="76" t="s">
        <v>43</v>
      </c>
      <c r="B13" s="77"/>
      <c r="C13" s="77"/>
      <c r="D13" s="77"/>
      <c r="E13" s="77"/>
      <c r="F13" s="77"/>
      <c r="G13" s="77"/>
      <c r="H13" s="77"/>
      <c r="I13" s="77"/>
      <c r="J13" s="78"/>
      <c r="K13" s="22"/>
    </row>
    <row r="14" spans="1:11" ht="34.5" customHeight="1" x14ac:dyDescent="0.25">
      <c r="A14" s="23" t="s">
        <v>66</v>
      </c>
      <c r="B14" s="32">
        <v>8.26</v>
      </c>
      <c r="C14" s="33">
        <v>8.26</v>
      </c>
      <c r="D14" s="33"/>
      <c r="E14" s="32"/>
      <c r="F14" s="32"/>
      <c r="G14" s="32"/>
      <c r="H14" s="25">
        <f>B14</f>
        <v>8.26</v>
      </c>
      <c r="I14" s="25">
        <f>C14</f>
        <v>8.26</v>
      </c>
      <c r="J14" s="26">
        <f>SUM(H14:I14)</f>
        <v>16.52</v>
      </c>
    </row>
    <row r="15" spans="1:11" ht="17.25" customHeight="1" x14ac:dyDescent="0.25">
      <c r="A15" s="23" t="s">
        <v>33</v>
      </c>
      <c r="B15" s="32">
        <v>0.125</v>
      </c>
      <c r="C15" s="33">
        <v>0.125</v>
      </c>
      <c r="D15" s="24"/>
      <c r="E15" s="17"/>
      <c r="F15" s="17"/>
      <c r="G15" s="17"/>
      <c r="H15" s="28">
        <f>H14-F15-D15+B15</f>
        <v>8.3849999999999998</v>
      </c>
      <c r="I15" s="28">
        <f>I14-E15+C15</f>
        <v>8.3849999999999998</v>
      </c>
      <c r="J15" s="29">
        <f>SUM(H15:I15)</f>
        <v>16.77</v>
      </c>
    </row>
    <row r="16" spans="1:11" ht="17.25" customHeight="1" x14ac:dyDescent="0.25">
      <c r="A16" s="23" t="s">
        <v>69</v>
      </c>
      <c r="B16" s="32">
        <v>6.25</v>
      </c>
      <c r="C16" s="33">
        <v>6.25</v>
      </c>
      <c r="D16" s="24"/>
      <c r="E16" s="17"/>
      <c r="F16" s="17"/>
      <c r="G16" s="17"/>
      <c r="H16" s="28">
        <f t="shared" ref="H16" si="0">H15-F16-D16+B16</f>
        <v>14.635</v>
      </c>
      <c r="I16" s="28">
        <f t="shared" ref="I16" si="1">I15-E16+C16</f>
        <v>14.635</v>
      </c>
      <c r="J16" s="29">
        <f t="shared" ref="J16" si="2">SUM(H16:I16)</f>
        <v>29.27</v>
      </c>
    </row>
    <row r="17" spans="1:10" ht="15.75" customHeight="1" x14ac:dyDescent="0.25">
      <c r="A17" s="23" t="s">
        <v>70</v>
      </c>
      <c r="B17" s="17">
        <v>2.5</v>
      </c>
      <c r="C17" s="24">
        <v>2.5</v>
      </c>
      <c r="D17" s="24"/>
      <c r="E17" s="17"/>
      <c r="F17" s="17"/>
      <c r="G17" s="17"/>
      <c r="H17" s="28">
        <f t="shared" ref="H17:H18" si="3">H16-F17-D17+B17</f>
        <v>17.134999999999998</v>
      </c>
      <c r="I17" s="28">
        <f t="shared" ref="I17:I18" si="4">I16-E17+C17</f>
        <v>17.134999999999998</v>
      </c>
      <c r="J17" s="29">
        <f t="shared" ref="J17:J18" si="5">SUM(H17:I17)</f>
        <v>34.269999999999996</v>
      </c>
    </row>
    <row r="18" spans="1:10" ht="15.75" customHeight="1" x14ac:dyDescent="0.25">
      <c r="A18" s="24" t="s">
        <v>71</v>
      </c>
      <c r="B18" s="17"/>
      <c r="C18" s="24"/>
      <c r="D18" s="24"/>
      <c r="E18" s="17">
        <v>1</v>
      </c>
      <c r="F18" s="17"/>
      <c r="G18" s="17"/>
      <c r="H18" s="28">
        <f t="shared" si="3"/>
        <v>17.134999999999998</v>
      </c>
      <c r="I18" s="28">
        <f t="shared" si="4"/>
        <v>16.134999999999998</v>
      </c>
      <c r="J18" s="29">
        <f t="shared" si="5"/>
        <v>33.269999999999996</v>
      </c>
    </row>
    <row r="19" spans="1:10" ht="15.75" customHeight="1" x14ac:dyDescent="0.25">
      <c r="A19" s="24" t="s">
        <v>72</v>
      </c>
      <c r="B19" s="17">
        <v>5</v>
      </c>
      <c r="C19" s="24">
        <v>5</v>
      </c>
      <c r="D19" s="24"/>
      <c r="E19" s="17"/>
      <c r="F19" s="17"/>
      <c r="G19" s="17"/>
      <c r="H19" s="28">
        <f t="shared" ref="H19:H20" si="6">H18-F19-D19+B19</f>
        <v>22.134999999999998</v>
      </c>
      <c r="I19" s="28">
        <f t="shared" ref="I19:I20" si="7">I18-E19+C19</f>
        <v>21.134999999999998</v>
      </c>
      <c r="J19" s="29">
        <f t="shared" ref="J19:J20" si="8">SUM(H19:I19)</f>
        <v>43.269999999999996</v>
      </c>
    </row>
    <row r="20" spans="1:10" ht="15.75" customHeight="1" x14ac:dyDescent="0.25">
      <c r="A20" s="24" t="s">
        <v>73</v>
      </c>
      <c r="B20" s="17"/>
      <c r="C20" s="24"/>
      <c r="D20" s="24">
        <v>17</v>
      </c>
      <c r="E20" s="17"/>
      <c r="F20" s="17"/>
      <c r="G20" s="17"/>
      <c r="H20" s="28">
        <f t="shared" si="6"/>
        <v>5.134999999999998</v>
      </c>
      <c r="I20" s="28">
        <f t="shared" si="7"/>
        <v>21.134999999999998</v>
      </c>
      <c r="J20" s="29">
        <f t="shared" si="8"/>
        <v>26.269999999999996</v>
      </c>
    </row>
    <row r="21" spans="1:10" ht="15.75" customHeight="1" x14ac:dyDescent="0.25">
      <c r="A21" s="24" t="s">
        <v>74</v>
      </c>
      <c r="B21" s="17"/>
      <c r="C21" s="24"/>
      <c r="D21" s="24"/>
      <c r="E21" s="17"/>
      <c r="F21" s="17"/>
      <c r="G21" s="72">
        <v>2</v>
      </c>
      <c r="H21" s="28">
        <f t="shared" ref="H21" si="9">H20-F21-D21+B21</f>
        <v>5.134999999999998</v>
      </c>
      <c r="I21" s="28">
        <f t="shared" ref="I21" si="10">I20-E21+C21</f>
        <v>21.134999999999998</v>
      </c>
      <c r="J21" s="29">
        <f t="shared" ref="J21" si="11">SUM(H21:I21)</f>
        <v>26.269999999999996</v>
      </c>
    </row>
    <row r="22" spans="1:10" ht="15.75" customHeight="1" x14ac:dyDescent="0.25">
      <c r="A22" s="24" t="s">
        <v>75</v>
      </c>
      <c r="B22" s="17"/>
      <c r="C22" s="24"/>
      <c r="D22" s="24"/>
      <c r="E22" s="17"/>
      <c r="F22" s="74">
        <v>1</v>
      </c>
      <c r="G22" s="73"/>
      <c r="H22" s="28">
        <f t="shared" ref="H22" si="12">H21-F22-D22+B22</f>
        <v>4.134999999999998</v>
      </c>
      <c r="I22" s="28">
        <f t="shared" ref="I22" si="13">I21-E22+C22</f>
        <v>21.134999999999998</v>
      </c>
      <c r="J22" s="29">
        <f t="shared" ref="J22" si="14">SUM(H22:I22)</f>
        <v>25.269999999999996</v>
      </c>
    </row>
    <row r="23" spans="1:10" ht="15.75" customHeight="1" x14ac:dyDescent="0.25">
      <c r="A23" s="120" t="s">
        <v>76</v>
      </c>
      <c r="B23" s="121">
        <v>6.25</v>
      </c>
      <c r="C23" s="120">
        <v>6.25</v>
      </c>
      <c r="D23" s="120"/>
      <c r="E23" s="121"/>
      <c r="F23" s="121"/>
      <c r="G23" s="121"/>
      <c r="H23" s="28">
        <f t="shared" ref="H23:H24" si="15">H22-F23-D23+B23</f>
        <v>10.384999999999998</v>
      </c>
      <c r="I23" s="28">
        <f t="shared" ref="I23:I24" si="16">I22-E23+C23</f>
        <v>27.384999999999998</v>
      </c>
      <c r="J23" s="29">
        <f t="shared" ref="J23:J24" si="17">SUM(H23:I23)</f>
        <v>37.769999999999996</v>
      </c>
    </row>
    <row r="24" spans="1:10" ht="15.75" customHeight="1" x14ac:dyDescent="0.25">
      <c r="A24" s="120" t="s">
        <v>77</v>
      </c>
      <c r="B24" s="121"/>
      <c r="C24" s="120"/>
      <c r="D24" s="120"/>
      <c r="E24" s="121"/>
      <c r="F24" s="74">
        <v>2</v>
      </c>
      <c r="G24" s="121"/>
      <c r="H24" s="28">
        <f t="shared" si="15"/>
        <v>8.384999999999998</v>
      </c>
      <c r="I24" s="28">
        <f t="shared" si="16"/>
        <v>27.384999999999998</v>
      </c>
      <c r="J24" s="29">
        <f t="shared" si="17"/>
        <v>35.769999999999996</v>
      </c>
    </row>
    <row r="25" spans="1:10" x14ac:dyDescent="0.25">
      <c r="H25" s="31"/>
      <c r="I25" s="31"/>
      <c r="J25" s="31"/>
    </row>
    <row r="29" spans="1:10" x14ac:dyDescent="0.25">
      <c r="F29" s="30" t="s">
        <v>32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5"/>
  <sheetViews>
    <sheetView view="pageBreakPreview" zoomScaleNormal="100" workbookViewId="0">
      <selection activeCell="C19" sqref="C19"/>
    </sheetView>
  </sheetViews>
  <sheetFormatPr defaultColWidth="9" defaultRowHeight="15" x14ac:dyDescent="0.25"/>
  <cols>
    <col min="1" max="1" width="23.5703125" style="43" customWidth="1"/>
    <col min="2" max="2" width="18.85546875" style="43" customWidth="1"/>
    <col min="3" max="3" width="35" style="55" customWidth="1"/>
    <col min="4" max="4" width="11.7109375" style="56" customWidth="1"/>
    <col min="5" max="5" width="11" style="43" customWidth="1"/>
    <col min="6" max="6" width="11.85546875" style="56" customWidth="1"/>
    <col min="7" max="7" width="22" style="43" customWidth="1"/>
    <col min="8" max="16384" width="9" style="43"/>
  </cols>
  <sheetData>
    <row r="1" spans="1:7" s="35" customFormat="1" ht="52.5" customHeight="1" x14ac:dyDescent="0.25">
      <c r="E1" s="36"/>
    </row>
    <row r="2" spans="1:7" s="35" customFormat="1" ht="10.5" customHeight="1" x14ac:dyDescent="0.25">
      <c r="A2" s="96" t="s">
        <v>0</v>
      </c>
      <c r="B2" s="96"/>
      <c r="C2" s="96"/>
      <c r="D2" s="96"/>
      <c r="E2" s="96"/>
      <c r="F2" s="96"/>
      <c r="G2" s="96"/>
    </row>
    <row r="3" spans="1:7" s="35" customFormat="1" ht="15.95" customHeight="1" x14ac:dyDescent="0.25">
      <c r="A3" s="96" t="s">
        <v>1</v>
      </c>
      <c r="B3" s="96"/>
      <c r="C3" s="96"/>
      <c r="D3" s="96"/>
      <c r="E3" s="96"/>
      <c r="F3" s="96"/>
      <c r="G3" s="96"/>
    </row>
    <row r="4" spans="1:7" s="35" customFormat="1" ht="15.95" customHeight="1" x14ac:dyDescent="0.25">
      <c r="A4" s="96" t="s">
        <v>2</v>
      </c>
      <c r="B4" s="96"/>
      <c r="C4" s="96"/>
      <c r="D4" s="96"/>
      <c r="E4" s="96"/>
      <c r="F4" s="96"/>
      <c r="G4" s="96"/>
    </row>
    <row r="5" spans="1:7" s="35" customFormat="1" ht="15.95" customHeight="1" x14ac:dyDescent="0.25">
      <c r="A5" s="96" t="s">
        <v>3</v>
      </c>
      <c r="B5" s="96"/>
      <c r="C5" s="96"/>
      <c r="D5" s="96"/>
      <c r="E5" s="96"/>
      <c r="F5" s="96"/>
      <c r="G5" s="96"/>
    </row>
    <row r="6" spans="1:7" s="35" customFormat="1" ht="8.25" customHeight="1" x14ac:dyDescent="0.25">
      <c r="E6" s="36"/>
    </row>
    <row r="7" spans="1:7" s="35" customFormat="1" ht="8.25" customHeight="1" x14ac:dyDescent="0.25">
      <c r="E7" s="36"/>
    </row>
    <row r="8" spans="1:7" s="35" customFormat="1" ht="17.25" customHeight="1" x14ac:dyDescent="0.25">
      <c r="A8" s="37" t="s">
        <v>48</v>
      </c>
      <c r="B8" s="37"/>
      <c r="C8" s="37" t="s">
        <v>34</v>
      </c>
      <c r="D8" s="38"/>
      <c r="E8" s="37" t="s">
        <v>35</v>
      </c>
      <c r="F8" s="38"/>
      <c r="G8" s="39"/>
    </row>
    <row r="9" spans="1:7" s="35" customFormat="1" ht="12" customHeight="1" x14ac:dyDescent="0.25">
      <c r="A9" s="40"/>
      <c r="B9" s="40"/>
      <c r="C9" s="41"/>
      <c r="E9" s="37" t="s">
        <v>36</v>
      </c>
      <c r="F9" s="42"/>
      <c r="G9" s="41"/>
    </row>
    <row r="10" spans="1:7" s="35" customFormat="1" ht="14.25" customHeight="1" x14ac:dyDescent="0.25">
      <c r="A10" s="37" t="s">
        <v>47</v>
      </c>
      <c r="B10" s="37"/>
      <c r="C10" s="37" t="s">
        <v>37</v>
      </c>
      <c r="D10" s="38"/>
      <c r="E10" s="37" t="s">
        <v>38</v>
      </c>
      <c r="F10" s="38"/>
      <c r="G10" s="39"/>
    </row>
    <row r="11" spans="1:7" s="35" customFormat="1" ht="12" customHeight="1" thickBot="1" x14ac:dyDescent="0.3">
      <c r="A11" s="39"/>
      <c r="B11" s="39"/>
      <c r="C11" s="39"/>
      <c r="F11" s="38"/>
      <c r="G11" s="39"/>
    </row>
    <row r="12" spans="1:7" ht="23.25" customHeight="1" thickBot="1" x14ac:dyDescent="0.3">
      <c r="A12" s="97" t="s">
        <v>39</v>
      </c>
      <c r="B12" s="98"/>
      <c r="C12" s="98"/>
      <c r="D12" s="98"/>
      <c r="E12" s="98"/>
      <c r="F12" s="98"/>
      <c r="G12" s="99"/>
    </row>
    <row r="13" spans="1:7" s="48" customFormat="1" ht="37.5" customHeight="1" thickBot="1" x14ac:dyDescent="0.25">
      <c r="A13" s="44" t="s">
        <v>40</v>
      </c>
      <c r="B13" s="45" t="s">
        <v>41</v>
      </c>
      <c r="C13" s="57" t="s">
        <v>42</v>
      </c>
      <c r="D13" s="57" t="s">
        <v>13</v>
      </c>
      <c r="E13" s="46" t="s">
        <v>14</v>
      </c>
      <c r="F13" s="46" t="s">
        <v>15</v>
      </c>
      <c r="G13" s="47" t="s">
        <v>11</v>
      </c>
    </row>
    <row r="14" spans="1:7" s="48" customFormat="1" ht="15.75" customHeight="1" x14ac:dyDescent="0.2">
      <c r="A14" s="60" t="s">
        <v>57</v>
      </c>
      <c r="B14" s="71">
        <v>44568</v>
      </c>
      <c r="C14" s="58" t="s">
        <v>58</v>
      </c>
      <c r="D14" s="34">
        <v>5</v>
      </c>
      <c r="E14" s="49">
        <v>0</v>
      </c>
      <c r="F14" s="49">
        <v>5</v>
      </c>
      <c r="G14" s="50">
        <v>5</v>
      </c>
    </row>
    <row r="15" spans="1:7" s="48" customFormat="1" ht="15.75" customHeight="1" x14ac:dyDescent="0.2">
      <c r="A15" s="60" t="s">
        <v>54</v>
      </c>
      <c r="B15" s="71">
        <v>45240</v>
      </c>
      <c r="C15" s="58" t="s">
        <v>56</v>
      </c>
      <c r="D15" s="34">
        <v>11</v>
      </c>
      <c r="E15" s="49">
        <v>0</v>
      </c>
      <c r="F15" s="49">
        <v>11</v>
      </c>
      <c r="G15" s="50">
        <v>11</v>
      </c>
    </row>
    <row r="16" spans="1:7" s="48" customFormat="1" ht="25.5" customHeight="1" x14ac:dyDescent="0.2">
      <c r="A16" s="60" t="s">
        <v>62</v>
      </c>
      <c r="B16" s="71" t="s">
        <v>63</v>
      </c>
      <c r="C16" s="66" t="s">
        <v>64</v>
      </c>
      <c r="D16" s="67">
        <v>2</v>
      </c>
      <c r="E16" s="49">
        <v>0</v>
      </c>
      <c r="F16" s="49">
        <v>2</v>
      </c>
      <c r="G16" s="50">
        <v>2</v>
      </c>
    </row>
    <row r="17" spans="1:7" s="48" customFormat="1" ht="15.75" customHeight="1" x14ac:dyDescent="0.2">
      <c r="A17" s="60" t="s">
        <v>59</v>
      </c>
      <c r="B17" s="71" t="s">
        <v>60</v>
      </c>
      <c r="C17" s="66" t="s">
        <v>61</v>
      </c>
      <c r="D17" s="67">
        <v>5</v>
      </c>
      <c r="E17" s="49">
        <v>0</v>
      </c>
      <c r="F17" s="49">
        <v>5</v>
      </c>
      <c r="G17" s="50">
        <v>5</v>
      </c>
    </row>
    <row r="18" spans="1:7" s="48" customFormat="1" ht="15.75" customHeight="1" x14ac:dyDescent="0.2">
      <c r="A18" s="60" t="s">
        <v>67</v>
      </c>
      <c r="B18" s="61" t="s">
        <v>68</v>
      </c>
      <c r="C18" s="66" t="s">
        <v>44</v>
      </c>
      <c r="D18" s="67">
        <v>15</v>
      </c>
      <c r="E18" s="49">
        <v>0</v>
      </c>
      <c r="F18" s="49">
        <v>15</v>
      </c>
      <c r="G18" s="50">
        <v>15</v>
      </c>
    </row>
    <row r="19" spans="1:7" s="48" customFormat="1" ht="15.75" customHeight="1" x14ac:dyDescent="0.2">
      <c r="A19" s="60"/>
      <c r="B19" s="61"/>
      <c r="C19" s="58"/>
      <c r="D19" s="34"/>
      <c r="E19" s="49"/>
      <c r="F19" s="49"/>
      <c r="G19" s="50"/>
    </row>
    <row r="20" spans="1:7" s="53" customFormat="1" ht="27" customHeight="1" x14ac:dyDescent="0.2">
      <c r="A20" s="18"/>
      <c r="B20" s="18"/>
      <c r="C20" s="65"/>
      <c r="D20" s="51"/>
      <c r="E20" s="51"/>
      <c r="F20" s="51"/>
      <c r="G20" s="50"/>
    </row>
    <row r="21" spans="1:7" s="53" customFormat="1" ht="15.75" x14ac:dyDescent="0.2">
      <c r="A21" s="18"/>
      <c r="B21" s="18"/>
      <c r="C21" s="58"/>
      <c r="D21" s="51"/>
      <c r="E21" s="51"/>
      <c r="F21" s="51"/>
      <c r="G21" s="52"/>
    </row>
    <row r="22" spans="1:7" s="53" customFormat="1" ht="15.75" x14ac:dyDescent="0.2">
      <c r="A22" s="93" t="s">
        <v>11</v>
      </c>
      <c r="B22" s="94"/>
      <c r="C22" s="94"/>
      <c r="D22" s="94"/>
      <c r="E22" s="94"/>
      <c r="F22" s="95"/>
      <c r="G22" s="59" t="s">
        <v>65</v>
      </c>
    </row>
    <row r="23" spans="1:7" s="35" customFormat="1" ht="75.75" customHeight="1" x14ac:dyDescent="0.25">
      <c r="A23" s="54"/>
      <c r="B23" s="54"/>
      <c r="G23" s="54"/>
    </row>
    <row r="24" spans="1:7" s="35" customFormat="1" x14ac:dyDescent="0.25"/>
    <row r="25" spans="1:7" s="35" customFormat="1" x14ac:dyDescent="0.25"/>
  </sheetData>
  <mergeCells count="6">
    <mergeCell ref="A22:F22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7305-C1B4-478A-A05A-DC2D91688EDA}">
  <dimension ref="A1:L23"/>
  <sheetViews>
    <sheetView view="pageBreakPreview" zoomScale="112" zoomScaleNormal="100" workbookViewId="0">
      <selection activeCell="B16" sqref="B16:E16"/>
    </sheetView>
  </sheetViews>
  <sheetFormatPr defaultColWidth="9"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2" s="1" customFormat="1" ht="52.5" customHeight="1" x14ac:dyDescent="0.25">
      <c r="C1" s="2"/>
      <c r="D1" s="3"/>
      <c r="H1" s="4"/>
    </row>
    <row r="2" spans="1:12" s="1" customFormat="1" ht="10.5" customHeight="1" x14ac:dyDescent="0.25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s="1" customFormat="1" ht="15.95" customHeight="1" x14ac:dyDescent="0.25">
      <c r="A3" s="92" t="s">
        <v>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s="1" customFormat="1" ht="15.95" customHeight="1" x14ac:dyDescent="0.25">
      <c r="A4" s="92" t="s">
        <v>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s="1" customFormat="1" ht="15.95" customHeight="1" x14ac:dyDescent="0.25">
      <c r="A5" s="92" t="s">
        <v>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s="1" customFormat="1" ht="8.25" customHeight="1" x14ac:dyDescent="0.25">
      <c r="C6" s="4"/>
      <c r="H6" s="4"/>
    </row>
    <row r="7" spans="1:12" s="1" customFormat="1" ht="8.25" customHeight="1" x14ac:dyDescent="0.25">
      <c r="C7" s="4"/>
      <c r="H7" s="4"/>
    </row>
    <row r="8" spans="1:12" s="1" customFormat="1" ht="12" customHeight="1" x14ac:dyDescent="0.25">
      <c r="A8" s="5" t="s">
        <v>49</v>
      </c>
      <c r="B8" s="5"/>
      <c r="C8" s="91" t="s">
        <v>4</v>
      </c>
      <c r="D8" s="91"/>
      <c r="E8" s="91"/>
      <c r="F8" s="91"/>
      <c r="G8" s="91"/>
      <c r="I8" s="91" t="s">
        <v>5</v>
      </c>
      <c r="J8" s="91"/>
      <c r="K8" s="91"/>
      <c r="L8" s="5"/>
    </row>
    <row r="9" spans="1:12" s="1" customFormat="1" ht="12" customHeight="1" x14ac:dyDescent="0.25">
      <c r="B9" s="6"/>
      <c r="C9" s="91" t="s">
        <v>50</v>
      </c>
      <c r="D9" s="91"/>
      <c r="E9" s="91"/>
      <c r="F9" s="91"/>
      <c r="G9" s="91"/>
      <c r="I9" s="103" t="s">
        <v>6</v>
      </c>
      <c r="J9" s="103"/>
      <c r="K9" s="103"/>
      <c r="L9" s="6"/>
    </row>
    <row r="10" spans="1:12" s="1" customFormat="1" ht="12" customHeight="1" x14ac:dyDescent="0.25">
      <c r="A10" s="5" t="s">
        <v>45</v>
      </c>
      <c r="B10" s="5"/>
      <c r="C10" s="7"/>
      <c r="D10" s="6"/>
      <c r="E10" s="6"/>
      <c r="I10" s="91" t="s">
        <v>7</v>
      </c>
      <c r="J10" s="91"/>
      <c r="K10" s="91"/>
      <c r="L10" s="5"/>
    </row>
    <row r="11" spans="1:12" ht="16.5" customHeight="1" thickBot="1" x14ac:dyDescent="0.3">
      <c r="A11" s="79" t="s">
        <v>8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</row>
    <row r="12" spans="1:12" s="8" customFormat="1" ht="18.75" customHeight="1" x14ac:dyDescent="0.2">
      <c r="A12" s="104" t="s">
        <v>9</v>
      </c>
      <c r="B12" s="106" t="s">
        <v>10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8" t="s">
        <v>11</v>
      </c>
    </row>
    <row r="13" spans="1:12" s="8" customFormat="1" ht="24" customHeight="1" x14ac:dyDescent="0.2">
      <c r="A13" s="105"/>
      <c r="B13" s="110" t="s">
        <v>12</v>
      </c>
      <c r="C13" s="111"/>
      <c r="D13" s="111"/>
      <c r="E13" s="112"/>
      <c r="F13" s="110" t="s">
        <v>13</v>
      </c>
      <c r="G13" s="112"/>
      <c r="H13" s="110" t="s">
        <v>14</v>
      </c>
      <c r="I13" s="112"/>
      <c r="J13" s="110" t="s">
        <v>15</v>
      </c>
      <c r="K13" s="112"/>
      <c r="L13" s="109"/>
    </row>
    <row r="14" spans="1:12" s="8" customFormat="1" ht="44.25" customHeight="1" x14ac:dyDescent="0.2">
      <c r="A14" s="62" t="s">
        <v>51</v>
      </c>
      <c r="B14" s="100" t="s">
        <v>52</v>
      </c>
      <c r="C14" s="101"/>
      <c r="D14" s="101"/>
      <c r="E14" s="102"/>
      <c r="F14" s="100">
        <v>5</v>
      </c>
      <c r="G14" s="102"/>
      <c r="H14" s="100">
        <v>0</v>
      </c>
      <c r="I14" s="102"/>
      <c r="J14" s="100">
        <v>5</v>
      </c>
      <c r="K14" s="102"/>
      <c r="L14" s="63">
        <v>5</v>
      </c>
    </row>
    <row r="15" spans="1:12" s="9" customFormat="1" ht="29.25" customHeight="1" x14ac:dyDescent="0.2">
      <c r="A15" s="68" t="s">
        <v>53</v>
      </c>
      <c r="B15" s="113"/>
      <c r="C15" s="114"/>
      <c r="D15" s="114"/>
      <c r="E15" s="115"/>
      <c r="F15" s="113"/>
      <c r="G15" s="115"/>
      <c r="H15" s="113"/>
      <c r="I15" s="115"/>
      <c r="J15" s="113">
        <v>4</v>
      </c>
      <c r="K15" s="115"/>
      <c r="L15" s="69">
        <v>4</v>
      </c>
    </row>
    <row r="16" spans="1:12" s="9" customFormat="1" ht="40.5" customHeight="1" x14ac:dyDescent="0.2">
      <c r="A16" s="70" t="s">
        <v>17</v>
      </c>
      <c r="B16" s="117" t="s">
        <v>55</v>
      </c>
      <c r="C16" s="118"/>
      <c r="D16" s="118"/>
      <c r="E16" s="119"/>
      <c r="F16" s="117">
        <v>11</v>
      </c>
      <c r="G16" s="119"/>
      <c r="H16" s="117">
        <v>0</v>
      </c>
      <c r="I16" s="119"/>
      <c r="J16" s="117">
        <v>11</v>
      </c>
      <c r="K16" s="119"/>
      <c r="L16" s="64">
        <v>11</v>
      </c>
    </row>
    <row r="17" spans="1:12" s="9" customFormat="1" ht="40.5" customHeight="1" x14ac:dyDescent="0.2">
      <c r="A17" s="70"/>
      <c r="B17" s="117"/>
      <c r="C17" s="118"/>
      <c r="D17" s="118"/>
      <c r="E17" s="119"/>
      <c r="F17" s="117"/>
      <c r="G17" s="119"/>
      <c r="H17" s="117"/>
      <c r="I17" s="119"/>
      <c r="J17" s="117"/>
      <c r="K17" s="119"/>
      <c r="L17" s="64"/>
    </row>
    <row r="18" spans="1:12" s="9" customFormat="1" x14ac:dyDescent="0.2">
      <c r="A18" s="10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</row>
    <row r="19" spans="1:12" ht="75.75" customHeight="1" x14ac:dyDescent="0.2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</row>
    <row r="20" spans="1:12" s="1" customFormat="1" x14ac:dyDescent="0.25">
      <c r="C20" s="4"/>
    </row>
    <row r="21" spans="1:12" s="1" customFormat="1" x14ac:dyDescent="0.25">
      <c r="C21" s="4"/>
    </row>
    <row r="23" spans="1:12" x14ac:dyDescent="0.25">
      <c r="G23" s="16" t="s">
        <v>46</v>
      </c>
    </row>
  </sheetData>
  <mergeCells count="34">
    <mergeCell ref="B15:E15"/>
    <mergeCell ref="F15:G15"/>
    <mergeCell ref="H15:I15"/>
    <mergeCell ref="J15:K15"/>
    <mergeCell ref="A19:L19"/>
    <mergeCell ref="B16:E16"/>
    <mergeCell ref="F16:G16"/>
    <mergeCell ref="H16:I16"/>
    <mergeCell ref="J16:K16"/>
    <mergeCell ref="B17:E17"/>
    <mergeCell ref="F17:G17"/>
    <mergeCell ref="H17:I17"/>
    <mergeCell ref="J17:K17"/>
    <mergeCell ref="H13:I13"/>
    <mergeCell ref="J13:K13"/>
    <mergeCell ref="F14:G14"/>
    <mergeCell ref="H14:I14"/>
    <mergeCell ref="J14:K14"/>
    <mergeCell ref="B14:E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2025-12-22T04:41:24Z</cp:lastPrinted>
  <dcterms:created xsi:type="dcterms:W3CDTF">2022-11-24T07:01:13Z</dcterms:created>
  <dcterms:modified xsi:type="dcterms:W3CDTF">2025-12-22T04:43:33Z</dcterms:modified>
</cp:coreProperties>
</file>