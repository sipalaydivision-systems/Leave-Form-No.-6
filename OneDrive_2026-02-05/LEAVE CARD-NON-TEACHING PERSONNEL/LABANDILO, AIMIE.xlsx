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CE20A305-DC29-4441-BDA4-96CAE9D3D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OMPENSATORY TIME OFF (CTO)" sheetId="8" r:id="rId2"/>
  </sheets>
  <definedNames>
    <definedName name="_xlnm.Print_Area" localSheetId="0">'Leave Card (NE)'!$A$1:$J$62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6" l="1"/>
  <c r="J53" i="6" s="1"/>
  <c r="I53" i="6"/>
  <c r="H54" i="6"/>
  <c r="H55" i="6" s="1"/>
  <c r="I54" i="6"/>
  <c r="I55" i="6" s="1"/>
  <c r="C14" i="6"/>
  <c r="B14" i="6"/>
  <c r="I13" i="6"/>
  <c r="H13" i="6"/>
  <c r="J55" i="6" l="1"/>
  <c r="J54" i="6"/>
  <c r="H14" i="6"/>
  <c r="H15" i="6" s="1"/>
  <c r="H16" i="6" s="1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J13" i="6"/>
  <c r="J14" i="6" l="1"/>
  <c r="J16" i="6"/>
  <c r="H17" i="6"/>
  <c r="J15" i="6"/>
  <c r="J17" i="6" l="1"/>
  <c r="H18" i="6"/>
  <c r="J18" i="6" l="1"/>
  <c r="H19" i="6"/>
  <c r="J19" i="6" l="1"/>
  <c r="H20" i="6"/>
  <c r="J20" i="6" l="1"/>
  <c r="H21" i="6"/>
  <c r="H22" i="6" s="1"/>
  <c r="J22" i="6" l="1"/>
  <c r="H23" i="6"/>
  <c r="J21" i="6"/>
  <c r="H24" i="6" l="1"/>
  <c r="J23" i="6"/>
  <c r="J24" i="6" l="1"/>
  <c r="H25" i="6"/>
  <c r="H26" i="6" l="1"/>
  <c r="J25" i="6"/>
  <c r="J26" i="6" l="1"/>
  <c r="H27" i="6"/>
  <c r="J27" i="6" l="1"/>
  <c r="H28" i="6"/>
  <c r="J28" i="6" l="1"/>
  <c r="H29" i="6"/>
  <c r="J29" i="6" l="1"/>
  <c r="H30" i="6"/>
  <c r="J30" i="6" l="1"/>
  <c r="H31" i="6"/>
  <c r="J31" i="6" l="1"/>
  <c r="H32" i="6"/>
  <c r="J32" i="6" l="1"/>
  <c r="H33" i="6"/>
  <c r="H34" i="6" l="1"/>
  <c r="J33" i="6"/>
  <c r="J34" i="6" l="1"/>
  <c r="H35" i="6"/>
  <c r="H36" i="6" s="1"/>
  <c r="J36" i="6" l="1"/>
  <c r="H37" i="6"/>
  <c r="J35" i="6"/>
  <c r="H38" i="6" l="1"/>
  <c r="J37" i="6"/>
  <c r="J38" i="6" l="1"/>
  <c r="H39" i="6"/>
  <c r="J39" i="6" l="1"/>
  <c r="H40" i="6"/>
  <c r="J40" i="6" l="1"/>
  <c r="H41" i="6"/>
  <c r="J41" i="6" l="1"/>
  <c r="H42" i="6"/>
  <c r="J42" i="6" l="1"/>
  <c r="H43" i="6"/>
  <c r="J43" i="6" l="1"/>
  <c r="H44" i="6"/>
  <c r="J44" i="6" l="1"/>
  <c r="H45" i="6"/>
  <c r="J45" i="6" l="1"/>
  <c r="H46" i="6"/>
  <c r="J46" i="6" l="1"/>
  <c r="H47" i="6"/>
  <c r="J47" i="6" l="1"/>
  <c r="H48" i="6"/>
  <c r="H49" i="6" l="1"/>
  <c r="J48" i="6"/>
  <c r="J49" i="6" l="1"/>
  <c r="H50" i="6"/>
  <c r="J50" i="6" l="1"/>
  <c r="H51" i="6"/>
  <c r="H52" i="6" l="1"/>
  <c r="J52" i="6" s="1"/>
  <c r="J51" i="6"/>
</calcChain>
</file>

<file path=xl/sharedStrings.xml><?xml version="1.0" encoding="utf-8"?>
<sst xmlns="http://schemas.openxmlformats.org/spreadsheetml/2006/main" count="97" uniqueCount="85">
  <si>
    <t>EMP. NO  :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</si>
  <si>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</si>
  <si>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</si>
  <si>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</si>
  <si>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</si>
  <si>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</si>
  <si>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</si>
  <si>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</si>
  <si>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</si>
  <si>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</si>
  <si>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</si>
  <si>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</si>
  <si>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ADD: 03/15/22 - 03/31/22</t>
  </si>
  <si>
    <t>ADD: 04/01/22 - 09/30/22</t>
  </si>
  <si>
    <t>LESS: 10/17 &amp; 18/22</t>
  </si>
  <si>
    <t>ADD: 10/01/22-10/31/22</t>
  </si>
  <si>
    <t>ADD: 11/01/22-11/30/22</t>
  </si>
  <si>
    <t>LESS: 12/01 &amp; 02/22</t>
  </si>
  <si>
    <t>LESS: 12/05/22</t>
  </si>
  <si>
    <t>LESS: 12/28 &amp; 29/22</t>
  </si>
  <si>
    <t>ADD: 12/01/22-12/31/22</t>
  </si>
  <si>
    <t>LESS: 01/04/23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</si>
  <si>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</si>
  <si>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</si>
  <si>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</si>
  <si>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</si>
  <si>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</si>
  <si>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</si>
  <si>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</si>
  <si>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</si>
  <si>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</si>
  <si>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01/01/23 - 02/28/23</t>
  </si>
  <si>
    <t>LESS: 03/21 &amp; 22/23</t>
  </si>
  <si>
    <t>ADD: 03/01/23 - 06/30/23</t>
  </si>
  <si>
    <t>ADD: 07/01/23 - 08/31/23</t>
  </si>
  <si>
    <t>LESS: 08/10/23</t>
  </si>
  <si>
    <t>LESS: MONETIZATION 2023</t>
  </si>
  <si>
    <t>ADD: 09/01/2023-09/30/2023</t>
  </si>
  <si>
    <t>LESS: 10/27/2023</t>
  </si>
  <si>
    <t>LESS: 10/26/2023</t>
  </si>
  <si>
    <t>ADD: 10/01/2023-11/30/2023</t>
  </si>
  <si>
    <t>LESS: 12/21-22/2023</t>
  </si>
  <si>
    <t>LESS: 12/27-28/2023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</si>
  <si>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</si>
  <si>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</si>
  <si>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</si>
  <si>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</si>
  <si>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</si>
  <si>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</si>
  <si>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</si>
  <si>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</si>
  <si>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</si>
  <si>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</si>
  <si>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ADD: OCTOBER 17, 2023</t>
  </si>
  <si>
    <t>S.O # 132, S. 2023 BRIGADA ESKWELA AND OPLAN BALIK ESKWELA 2023</t>
  </si>
  <si>
    <t>LESS: 02/1-2/2024</t>
  </si>
  <si>
    <t>NAME         : AIMIE M. LABANDILO</t>
  </si>
  <si>
    <t>POSITION   : AO2</t>
  </si>
  <si>
    <t>SCHOOL/OFFICE : CAMBOGUI-OT ES</t>
  </si>
  <si>
    <t>ADD: 01/01-02-29/2024</t>
  </si>
  <si>
    <t>LESS: 03/25-26/2024</t>
  </si>
  <si>
    <t>LESS: 03/18-20/2024</t>
  </si>
  <si>
    <t>ADD: 03/1/2024-05/31/2024</t>
  </si>
  <si>
    <t>SO# 159, S. 2023</t>
  </si>
  <si>
    <t>LESS: 06/13/2024</t>
  </si>
  <si>
    <t>LESS: 06/14/2024</t>
  </si>
  <si>
    <t>ADD: JUNE-JULY 31, 2024</t>
  </si>
  <si>
    <t>LESS: 07/22-24/2024</t>
  </si>
  <si>
    <t>ADD:06/26/2024</t>
  </si>
  <si>
    <t>SO# 024, S.2024 126TH PHIL. IND. DAY</t>
  </si>
  <si>
    <t>LESS: 07/29/2024</t>
  </si>
  <si>
    <t>LESS: MONETIZATION 2024</t>
  </si>
  <si>
    <t>LESS: FL 2022</t>
  </si>
  <si>
    <t>ADD: 08/1/2024-12/31/2024</t>
  </si>
  <si>
    <t>ADD: 01/1-31/2025</t>
  </si>
  <si>
    <t>LESS: 02/20/2025</t>
  </si>
  <si>
    <t>ADD: 02/1/2025-06/30/2025</t>
  </si>
  <si>
    <t>LESS: MONETIZATION 2025</t>
  </si>
  <si>
    <t>ADD: 12/1-31/2023</t>
  </si>
  <si>
    <t>LESS: 06/9/2025</t>
  </si>
  <si>
    <t>ADD: 07/1/2025-09/30/2025</t>
  </si>
  <si>
    <t>LESS: 10/17 &amp; 27/2025</t>
  </si>
  <si>
    <t>ADD:  10/1-31/2025</t>
  </si>
  <si>
    <t>LESS: 11/27-28/2025</t>
  </si>
  <si>
    <t>LESS: 12/22, 23, 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</si>
</sst>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164" fontId="8" fillId="2" borderId="2" xfId="0" applyNumberFormat="1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0" fontId="10" fillId="0" borderId="0" xfId="0" applyFont="1"/>
    <xf numFmtId="0" fontId="7" fillId="2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0" xfId="0" applyFont="1" applyFill="1"/>
    <xf numFmtId="0" fontId="12" fillId="2" borderId="5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9" fillId="2" borderId="18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0" fontId="14" fillId="2" borderId="0" xfId="0" applyFont="1" applyFill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164" fontId="23" fillId="0" borderId="18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1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16" fillId="7" borderId="19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 vertical="center"/>
    </xf>
    <xf numFmtId="0" fontId="17" fillId="8" borderId="19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0" fillId="0" borderId="0" xfId="0" applyFont="1" applyFill="1"/>
    <xf numFmtId="0" fontId="0" fillId="0" borderId="0" xfId="0" applyFill="1"/>
    <xf numFmtId="164" fontId="0" fillId="0" borderId="2" xfId="0" applyNumberForma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149226</xdr:colOff>
      <xdr:row>0</xdr:row>
      <xdr:rowOff>95250</xdr:rowOff>
    </xdr:from>
    <xdr:to>
      <xdr:col>4</xdr:col>
      <xdr:colOff>206505</xdr:colOff>
      <xdr:row>0</xdr:row>
      <xdr:rowOff>625475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87876" y="95250"/>
          <a:ext cx="870079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C8A1B6-8BB1-4BAF-A8B9-562C03C43B35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LABANDILO, AIMEE M.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FFB5807-AE9D-4619-92D5-A622066619C6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73E74E-1B07-43C8-9A57-545BBC960E3B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CAMBOGUI-OT ES</a:t>
          </a:r>
        </a:p>
      </xdr:txBody>
    </xdr:sp>
    <xdr:clientData/>
  </xdr:twoCellAnchor>
  <xdr:twoCellAnchor>
    <xdr:from>
      <xdr:col>6</xdr:col>
      <xdr:colOff>38100</xdr:colOff>
      <xdr:row>56</xdr:row>
      <xdr:rowOff>47625</xdr:rowOff>
    </xdr:from>
    <xdr:to>
      <xdr:col>9</xdr:col>
      <xdr:colOff>619125</xdr:colOff>
      <xdr:row>61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3EACB4-B17A-4013-AEA5-0618B0745CA4}"/>
            </a:ext>
          </a:extLst>
        </xdr:cNvPr>
        <xdr:cNvSpPr txBox="1"/>
      </xdr:nvSpPr>
      <xdr:spPr>
        <a:xfrm>
          <a:off x="6581775" y="9772650"/>
          <a:ext cx="28956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440225</xdr:colOff>
      <xdr:row>0</xdr:row>
      <xdr:rowOff>123825</xdr:rowOff>
    </xdr:from>
    <xdr:to>
      <xdr:col>5</xdr:col>
      <xdr:colOff>438150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DD16DA-385D-401F-ABF6-F416A9F9723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54925" y="123825"/>
          <a:ext cx="607525" cy="6477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200025</xdr:colOff>
      <xdr:row>23</xdr:row>
      <xdr:rowOff>38100</xdr:rowOff>
    </xdr:from>
    <xdr:to>
      <xdr:col>11</xdr:col>
      <xdr:colOff>561975</xdr:colOff>
      <xdr:row>29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414A18-70F0-4582-9EBA-B388284279A9}"/>
            </a:ext>
          </a:extLst>
        </xdr:cNvPr>
        <xdr:cNvSpPr txBox="1"/>
      </xdr:nvSpPr>
      <xdr:spPr>
        <a:xfrm>
          <a:off x="5343525" y="4781550"/>
          <a:ext cx="2800350" cy="1152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pPr algn="ctr"/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pPr algn="ctr"/>
          <a:r>
            <a:rPr lang="en-US" sz="1100" baseline="0"/>
            <a:t>	Administrative Officer IV</a:t>
          </a:r>
        </a:p>
        <a:p>
          <a:pPr algn="ctr"/>
          <a:r>
            <a:rPr lang="en-US" sz="1100" baseline="0"/>
            <a:t>	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EB69E18-2E73-46B2-B82E-A681ED525F19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476250</xdr:colOff>
      <xdr:row>28</xdr:row>
      <xdr:rowOff>142875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E05FB2-2860-4833-9BE0-E00E06C5D0D6}"/>
            </a:ext>
          </a:extLst>
        </xdr:cNvPr>
        <xdr:cNvSpPr txBox="1"/>
      </xdr:nvSpPr>
      <xdr:spPr>
        <a:xfrm>
          <a:off x="1695450" y="613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4"/>
  <sheetViews>
    <sheetView tabSelected="1" view="pageBreakPreview" topLeftCell="A37" zoomScaleNormal="100" workbookViewId="0">
      <selection activeCell="A53" sqref="A53:XFD53"/>
    </sheetView>
  </sheetViews>
  <sheetFormatPr defaultColWidth="9" defaultRowHeight="15"/>
  <cols>
    <col min="1" max="1" width="40.28515625" customWidth="1"/>
    <col min="2" max="10" width="11.5703125" customWidth="1"/>
    <col min="11" max="11" width="26.42578125" style="4" customWidth="1"/>
  </cols>
  <sheetData>
    <row r="1" spans="1:11" s="1" customFormat="1" ht="52.5" customHeight="1"/>
    <row r="2" spans="1:11" s="1" customFormat="1" ht="10.5" customHeight="1">
      <c r="A2" s="41" t="s">
        <v>23</v>
      </c>
      <c r="B2" s="41"/>
      <c r="C2" s="41"/>
      <c r="D2" s="41"/>
      <c r="E2" s="41"/>
      <c r="F2" s="41"/>
      <c r="G2" s="41"/>
      <c r="H2" s="41"/>
      <c r="I2" s="41"/>
      <c r="J2" s="41"/>
    </row>
    <row r="3" spans="1:11" s="1" customFormat="1" ht="15.95" customHeight="1">
      <c r="A3" s="41" t="s">
        <v>24</v>
      </c>
      <c r="B3" s="41"/>
      <c r="C3" s="41"/>
      <c r="D3" s="41"/>
      <c r="E3" s="41"/>
      <c r="F3" s="41"/>
      <c r="G3" s="41"/>
      <c r="H3" s="41"/>
      <c r="I3" s="41"/>
      <c r="J3" s="41"/>
    </row>
    <row r="4" spans="1:11" s="1" customFormat="1" ht="15.95" customHeight="1">
      <c r="A4" s="41" t="s">
        <v>25</v>
      </c>
      <c r="B4" s="41"/>
      <c r="C4" s="41"/>
      <c r="D4" s="41"/>
      <c r="E4" s="41"/>
      <c r="F4" s="41"/>
      <c r="G4" s="41"/>
      <c r="H4" s="41"/>
      <c r="I4" s="41"/>
      <c r="J4" s="41"/>
    </row>
    <row r="5" spans="1:11" s="1" customFormat="1" ht="15.95" customHeight="1">
      <c r="A5" s="41" t="s">
        <v>26</v>
      </c>
      <c r="B5" s="41"/>
      <c r="C5" s="41"/>
      <c r="D5" s="41"/>
      <c r="E5" s="41"/>
      <c r="F5" s="41"/>
      <c r="G5" s="41"/>
      <c r="H5" s="41"/>
      <c r="I5" s="41"/>
      <c r="J5" s="41"/>
    </row>
    <row r="6" spans="1:11" s="1" customFormat="1" ht="8.25" customHeight="1"/>
    <row r="7" spans="1:11" s="1" customFormat="1" ht="12" customHeight="1">
      <c r="A7" s="1" t="s">
        <v>27</v>
      </c>
      <c r="B7" s="39" t="s">
        <v>28</v>
      </c>
      <c r="C7" s="39"/>
      <c r="D7" s="39"/>
      <c r="H7" s="6" t="s">
        <v>0</v>
      </c>
      <c r="I7" s="7"/>
      <c r="J7" s="6"/>
    </row>
    <row r="8" spans="1:11" s="1" customFormat="1" ht="12" customHeight="1">
      <c r="B8" s="8"/>
      <c r="C8" s="8"/>
      <c r="H8" s="8"/>
      <c r="I8" s="8"/>
      <c r="J8" s="8"/>
    </row>
    <row r="9" spans="1:11" s="1" customFormat="1" ht="12" customHeight="1">
      <c r="A9" s="1" t="s">
        <v>29</v>
      </c>
      <c r="B9" s="39" t="s">
        <v>30</v>
      </c>
      <c r="C9" s="39"/>
      <c r="D9" s="39"/>
      <c r="H9" s="6" t="s">
        <v>1</v>
      </c>
      <c r="I9" s="9"/>
      <c r="J9" s="6"/>
    </row>
    <row r="10" spans="1:11" ht="16.5" customHeight="1" thickBot="1">
      <c r="A10" s="40" t="s">
        <v>2</v>
      </c>
      <c r="B10" s="40"/>
      <c r="C10" s="40"/>
      <c r="D10" s="40"/>
      <c r="E10" s="40"/>
      <c r="F10" s="40"/>
      <c r="G10" s="40"/>
      <c r="H10" s="40"/>
      <c r="I10" s="40"/>
      <c r="J10" s="40"/>
      <c r="K10"/>
    </row>
    <row r="11" spans="1:11" ht="18.75" customHeight="1">
      <c r="A11" s="49" t="s">
        <v>3</v>
      </c>
      <c r="B11" s="51" t="s">
        <v>4</v>
      </c>
      <c r="C11" s="51"/>
      <c r="D11" s="45" t="s">
        <v>5</v>
      </c>
      <c r="E11" s="46"/>
      <c r="F11" s="46"/>
      <c r="G11" s="47"/>
      <c r="H11" s="44" t="s">
        <v>6</v>
      </c>
      <c r="I11" s="44"/>
      <c r="J11" s="42" t="s">
        <v>7</v>
      </c>
      <c r="K11" s="48" t="s">
        <v>8</v>
      </c>
    </row>
    <row r="12" spans="1:11" ht="18.75" customHeight="1" thickBot="1">
      <c r="A12" s="50"/>
      <c r="B12" s="5" t="s">
        <v>9</v>
      </c>
      <c r="C12" s="5" t="s">
        <v>10</v>
      </c>
      <c r="D12" s="5" t="s">
        <v>9</v>
      </c>
      <c r="E12" s="5" t="s">
        <v>10</v>
      </c>
      <c r="F12" s="5" t="s">
        <v>11</v>
      </c>
      <c r="G12" s="5" t="s">
        <v>22</v>
      </c>
      <c r="H12" s="5" t="s">
        <v>9</v>
      </c>
      <c r="I12" s="5" t="s">
        <v>10</v>
      </c>
      <c r="J12" s="43"/>
      <c r="K12" s="48"/>
    </row>
    <row r="13" spans="1:11" ht="18.75" customHeight="1">
      <c r="A13" s="10" t="s">
        <v>12</v>
      </c>
      <c r="B13" s="2">
        <v>0.70799999999999996</v>
      </c>
      <c r="C13" s="2">
        <v>0.70799999999999996</v>
      </c>
      <c r="D13" s="2"/>
      <c r="E13" s="2"/>
      <c r="F13" s="2"/>
      <c r="G13" s="2"/>
      <c r="H13" s="2">
        <f>B13</f>
        <v>0.70799999999999996</v>
      </c>
      <c r="I13" s="2">
        <f>C13</f>
        <v>0.70799999999999996</v>
      </c>
      <c r="J13" s="3">
        <f t="shared" ref="J13:J14" si="0">SUM(H13+I13)</f>
        <v>1.4159999999999999</v>
      </c>
    </row>
    <row r="14" spans="1:11" ht="18.75" customHeight="1">
      <c r="A14" s="10" t="s">
        <v>13</v>
      </c>
      <c r="B14" s="12">
        <f>1.25*6</f>
        <v>7.5</v>
      </c>
      <c r="C14" s="12">
        <f>1.25*6</f>
        <v>7.5</v>
      </c>
      <c r="D14" s="12"/>
      <c r="E14" s="12"/>
      <c r="F14" s="12"/>
      <c r="G14" s="12"/>
      <c r="H14" s="2">
        <f>H13-F14-D14+B14</f>
        <v>8.2080000000000002</v>
      </c>
      <c r="I14" s="2">
        <f>I13-E14+C14</f>
        <v>8.2080000000000002</v>
      </c>
      <c r="J14" s="3">
        <f t="shared" si="0"/>
        <v>16.416</v>
      </c>
    </row>
    <row r="15" spans="1:11" ht="18.75" customHeight="1">
      <c r="A15" s="10" t="s">
        <v>14</v>
      </c>
      <c r="B15" s="12"/>
      <c r="C15" s="2"/>
      <c r="D15" s="2"/>
      <c r="E15" s="2"/>
      <c r="F15" s="2"/>
      <c r="G15" s="2">
        <v>2</v>
      </c>
      <c r="H15" s="2">
        <f t="shared" ref="H15:H21" si="1">H14-F15-D15+B15</f>
        <v>8.2080000000000002</v>
      </c>
      <c r="I15" s="2">
        <f t="shared" ref="I15:I21" si="2">I14-E15+C15</f>
        <v>8.2080000000000002</v>
      </c>
      <c r="J15" s="3">
        <f t="shared" ref="J15:J21" si="3">SUM(H15+I15)</f>
        <v>16.416</v>
      </c>
    </row>
    <row r="16" spans="1:11" ht="18.75" customHeight="1">
      <c r="A16" s="10" t="s">
        <v>15</v>
      </c>
      <c r="B16" s="2">
        <v>1.25</v>
      </c>
      <c r="C16" s="2">
        <v>1.25</v>
      </c>
      <c r="D16" s="2"/>
      <c r="E16" s="2"/>
      <c r="F16" s="2"/>
      <c r="G16" s="2"/>
      <c r="H16" s="2">
        <f t="shared" si="1"/>
        <v>9.4580000000000002</v>
      </c>
      <c r="I16" s="2">
        <f t="shared" si="2"/>
        <v>9.4580000000000002</v>
      </c>
      <c r="J16" s="3">
        <f t="shared" si="3"/>
        <v>18.916</v>
      </c>
    </row>
    <row r="17" spans="1:10" ht="18.75" customHeight="1">
      <c r="A17" s="10" t="s">
        <v>16</v>
      </c>
      <c r="B17" s="2">
        <v>1.25</v>
      </c>
      <c r="C17" s="2">
        <v>1.25</v>
      </c>
      <c r="D17" s="2"/>
      <c r="E17" s="2"/>
      <c r="F17" s="2"/>
      <c r="G17" s="2"/>
      <c r="H17" s="2">
        <f t="shared" si="1"/>
        <v>10.708</v>
      </c>
      <c r="I17" s="2">
        <f t="shared" si="2"/>
        <v>10.708</v>
      </c>
      <c r="J17" s="3">
        <f t="shared" si="3"/>
        <v>21.416</v>
      </c>
    </row>
    <row r="18" spans="1:10" ht="18.75" customHeight="1">
      <c r="A18" s="10" t="s">
        <v>17</v>
      </c>
      <c r="B18" s="2"/>
      <c r="C18" s="2"/>
      <c r="D18" s="2"/>
      <c r="E18" s="2"/>
      <c r="F18" s="2">
        <v>2</v>
      </c>
      <c r="G18" s="2"/>
      <c r="H18" s="2">
        <f t="shared" si="1"/>
        <v>8.7080000000000002</v>
      </c>
      <c r="I18" s="2">
        <f t="shared" si="2"/>
        <v>10.708</v>
      </c>
      <c r="J18" s="3">
        <f t="shared" si="3"/>
        <v>19.416</v>
      </c>
    </row>
    <row r="19" spans="1:10" ht="18.75" customHeight="1">
      <c r="A19" s="10" t="s">
        <v>18</v>
      </c>
      <c r="B19" s="2"/>
      <c r="C19" s="2"/>
      <c r="D19" s="2"/>
      <c r="E19" s="2"/>
      <c r="F19" s="2"/>
      <c r="G19" s="2">
        <v>1</v>
      </c>
      <c r="H19" s="2">
        <f t="shared" si="1"/>
        <v>8.7080000000000002</v>
      </c>
      <c r="I19" s="2">
        <f t="shared" si="2"/>
        <v>10.708</v>
      </c>
      <c r="J19" s="3">
        <f t="shared" si="3"/>
        <v>19.416</v>
      </c>
    </row>
    <row r="20" spans="1:10" ht="18.75" customHeight="1">
      <c r="A20" s="10" t="s">
        <v>19</v>
      </c>
      <c r="B20" s="2"/>
      <c r="C20" s="2"/>
      <c r="D20" s="2"/>
      <c r="E20" s="2"/>
      <c r="F20" s="2">
        <v>2</v>
      </c>
      <c r="G20" s="2"/>
      <c r="H20" s="2">
        <f t="shared" si="1"/>
        <v>6.7080000000000002</v>
      </c>
      <c r="I20" s="2">
        <f t="shared" si="2"/>
        <v>10.708</v>
      </c>
      <c r="J20" s="3">
        <f t="shared" si="3"/>
        <v>17.416</v>
      </c>
    </row>
    <row r="21" spans="1:10" ht="18.75" customHeight="1">
      <c r="A21" s="10" t="s">
        <v>20</v>
      </c>
      <c r="B21" s="2">
        <v>1.25</v>
      </c>
      <c r="C21" s="2">
        <v>1.25</v>
      </c>
      <c r="D21" s="2"/>
      <c r="E21" s="2"/>
      <c r="F21" s="2"/>
      <c r="G21" s="2"/>
      <c r="H21" s="2">
        <f t="shared" si="1"/>
        <v>7.9580000000000002</v>
      </c>
      <c r="I21" s="2">
        <f t="shared" si="2"/>
        <v>11.958</v>
      </c>
      <c r="J21" s="3">
        <f t="shared" si="3"/>
        <v>19.916</v>
      </c>
    </row>
    <row r="22" spans="1:10" ht="18.75" customHeight="1">
      <c r="A22" s="10" t="s">
        <v>72</v>
      </c>
      <c r="B22" s="2"/>
      <c r="C22" s="2"/>
      <c r="D22" s="2"/>
      <c r="E22" s="2"/>
      <c r="F22" s="2">
        <v>1</v>
      </c>
      <c r="G22" s="2"/>
      <c r="H22" s="2">
        <f t="shared" ref="H22:H28" si="4">H21-F22-D22+B22</f>
        <v>6.9580000000000002</v>
      </c>
      <c r="I22" s="2">
        <f t="shared" ref="I22:I28" si="5">I21-E22+C22</f>
        <v>11.958</v>
      </c>
      <c r="J22" s="3">
        <f t="shared" ref="J22:J28" si="6">SUM(H22+I22)</f>
        <v>18.916</v>
      </c>
    </row>
    <row r="23" spans="1:10" ht="18.75" customHeight="1">
      <c r="A23" s="10" t="s">
        <v>21</v>
      </c>
      <c r="B23" s="2"/>
      <c r="C23" s="2"/>
      <c r="D23" s="2"/>
      <c r="E23" s="2">
        <v>1</v>
      </c>
      <c r="F23" s="2"/>
      <c r="G23" s="2"/>
      <c r="H23" s="2">
        <f t="shared" si="4"/>
        <v>6.9580000000000002</v>
      </c>
      <c r="I23" s="2">
        <f t="shared" si="5"/>
        <v>10.958</v>
      </c>
      <c r="J23" s="3">
        <f t="shared" si="6"/>
        <v>17.916</v>
      </c>
    </row>
    <row r="24" spans="1:10" ht="18.75" customHeight="1">
      <c r="A24" s="10" t="s">
        <v>31</v>
      </c>
      <c r="B24" s="2">
        <v>2.5</v>
      </c>
      <c r="C24" s="2">
        <v>2.5</v>
      </c>
      <c r="D24" s="2"/>
      <c r="E24" s="2"/>
      <c r="F24" s="2"/>
      <c r="G24" s="2"/>
      <c r="H24" s="2">
        <f t="shared" si="4"/>
        <v>9.4580000000000002</v>
      </c>
      <c r="I24" s="2">
        <f t="shared" si="5"/>
        <v>13.458</v>
      </c>
      <c r="J24" s="3">
        <f t="shared" si="6"/>
        <v>22.916</v>
      </c>
    </row>
    <row r="25" spans="1:10" ht="18.75" customHeight="1">
      <c r="A25" s="10" t="s">
        <v>32</v>
      </c>
      <c r="B25" s="2"/>
      <c r="C25" s="2"/>
      <c r="D25" s="2"/>
      <c r="E25" s="2"/>
      <c r="F25" s="2"/>
      <c r="G25" s="2">
        <v>2</v>
      </c>
      <c r="H25" s="2">
        <f t="shared" si="4"/>
        <v>9.4580000000000002</v>
      </c>
      <c r="I25" s="2">
        <f t="shared" si="5"/>
        <v>13.458</v>
      </c>
      <c r="J25" s="3">
        <f t="shared" si="6"/>
        <v>22.916</v>
      </c>
    </row>
    <row r="26" spans="1:10" ht="18.75" customHeight="1">
      <c r="A26" s="10" t="s">
        <v>33</v>
      </c>
      <c r="B26" s="2">
        <v>5</v>
      </c>
      <c r="C26" s="2">
        <v>5</v>
      </c>
      <c r="D26" s="2"/>
      <c r="E26" s="2"/>
      <c r="F26" s="2"/>
      <c r="G26" s="2"/>
      <c r="H26" s="2">
        <f t="shared" si="4"/>
        <v>14.458</v>
      </c>
      <c r="I26" s="2">
        <f t="shared" si="5"/>
        <v>18.457999999999998</v>
      </c>
      <c r="J26" s="3">
        <f t="shared" si="6"/>
        <v>32.915999999999997</v>
      </c>
    </row>
    <row r="27" spans="1:10" ht="18.75" customHeight="1">
      <c r="A27" s="14" t="s">
        <v>34</v>
      </c>
      <c r="B27" s="2">
        <v>2.5</v>
      </c>
      <c r="C27" s="2">
        <v>2.5</v>
      </c>
      <c r="D27" s="2"/>
      <c r="E27" s="2"/>
      <c r="F27" s="2"/>
      <c r="G27" s="2"/>
      <c r="H27" s="2">
        <f t="shared" si="4"/>
        <v>16.957999999999998</v>
      </c>
      <c r="I27" s="2">
        <f t="shared" si="5"/>
        <v>20.957999999999998</v>
      </c>
      <c r="J27" s="3">
        <f t="shared" si="6"/>
        <v>37.915999999999997</v>
      </c>
    </row>
    <row r="28" spans="1:10" ht="18.75" customHeight="1">
      <c r="A28" s="10" t="s">
        <v>35</v>
      </c>
      <c r="B28" s="2"/>
      <c r="C28" s="2"/>
      <c r="D28" s="2"/>
      <c r="E28" s="2"/>
      <c r="F28" s="2"/>
      <c r="G28" s="2">
        <v>1</v>
      </c>
      <c r="H28" s="2">
        <f t="shared" si="4"/>
        <v>16.957999999999998</v>
      </c>
      <c r="I28" s="2">
        <f t="shared" si="5"/>
        <v>20.957999999999998</v>
      </c>
      <c r="J28" s="3">
        <f t="shared" si="6"/>
        <v>37.915999999999997</v>
      </c>
    </row>
    <row r="29" spans="1:10" ht="18.75" customHeight="1">
      <c r="A29" s="10" t="s">
        <v>36</v>
      </c>
      <c r="B29" s="2"/>
      <c r="C29" s="2"/>
      <c r="D29" s="2">
        <v>7</v>
      </c>
      <c r="E29" s="2">
        <v>15</v>
      </c>
      <c r="F29" s="2"/>
      <c r="G29" s="2"/>
      <c r="H29" s="2">
        <f t="shared" ref="H29:H35" si="7">H28-F29-D29+B29</f>
        <v>9.9579999999999984</v>
      </c>
      <c r="I29" s="2">
        <f t="shared" ref="I29:I35" si="8">I28-E29+C29</f>
        <v>5.9579999999999984</v>
      </c>
      <c r="J29" s="3">
        <f t="shared" ref="J29:J35" si="9">SUM(H29+I29)</f>
        <v>15.915999999999997</v>
      </c>
    </row>
    <row r="30" spans="1:10" ht="18.75" customHeight="1">
      <c r="A30" s="15" t="s">
        <v>37</v>
      </c>
      <c r="B30" s="35">
        <v>1.25</v>
      </c>
      <c r="C30" s="35">
        <v>1.25</v>
      </c>
      <c r="D30" s="16"/>
      <c r="E30" s="16"/>
      <c r="F30" s="16"/>
      <c r="G30" s="16"/>
      <c r="H30" s="2">
        <f t="shared" si="7"/>
        <v>11.207999999999998</v>
      </c>
      <c r="I30" s="2">
        <f t="shared" si="8"/>
        <v>7.2079999999999984</v>
      </c>
      <c r="J30" s="3">
        <f t="shared" si="9"/>
        <v>18.415999999999997</v>
      </c>
    </row>
    <row r="31" spans="1:10" ht="15.75">
      <c r="A31" s="17" t="s">
        <v>38</v>
      </c>
      <c r="B31" s="18"/>
      <c r="C31" s="18"/>
      <c r="D31" s="18">
        <v>1</v>
      </c>
      <c r="E31" s="18"/>
      <c r="F31" s="18"/>
      <c r="G31" s="18"/>
      <c r="H31" s="2">
        <f t="shared" si="7"/>
        <v>10.207999999999998</v>
      </c>
      <c r="I31" s="2">
        <f t="shared" si="8"/>
        <v>7.2079999999999984</v>
      </c>
      <c r="J31" s="3">
        <f t="shared" si="9"/>
        <v>17.415999999999997</v>
      </c>
    </row>
    <row r="32" spans="1:10" ht="15.75">
      <c r="A32" s="17" t="s">
        <v>39</v>
      </c>
      <c r="B32" s="18"/>
      <c r="C32" s="18"/>
      <c r="D32" s="18"/>
      <c r="E32" s="18"/>
      <c r="F32" s="18">
        <v>1</v>
      </c>
      <c r="G32" s="18"/>
      <c r="H32" s="2">
        <f t="shared" si="7"/>
        <v>9.2079999999999984</v>
      </c>
      <c r="I32" s="2">
        <f t="shared" si="8"/>
        <v>7.2079999999999984</v>
      </c>
      <c r="J32" s="3">
        <f t="shared" si="9"/>
        <v>16.415999999999997</v>
      </c>
    </row>
    <row r="33" spans="1:10" ht="15.75">
      <c r="A33" s="17" t="s">
        <v>40</v>
      </c>
      <c r="B33" s="18">
        <v>2.5</v>
      </c>
      <c r="C33" s="18">
        <v>2.5</v>
      </c>
      <c r="D33" s="18"/>
      <c r="E33" s="18"/>
      <c r="F33" s="18"/>
      <c r="G33" s="18"/>
      <c r="H33" s="2">
        <f t="shared" si="7"/>
        <v>11.707999999999998</v>
      </c>
      <c r="I33" s="2">
        <f t="shared" si="8"/>
        <v>9.7079999999999984</v>
      </c>
      <c r="J33" s="3">
        <f t="shared" si="9"/>
        <v>21.415999999999997</v>
      </c>
    </row>
    <row r="34" spans="1:10" ht="15.75">
      <c r="A34" s="17" t="s">
        <v>41</v>
      </c>
      <c r="B34" s="18"/>
      <c r="C34" s="18"/>
      <c r="D34" s="18"/>
      <c r="E34" s="18"/>
      <c r="F34" s="18">
        <v>2</v>
      </c>
      <c r="G34" s="18"/>
      <c r="H34" s="2">
        <f t="shared" si="7"/>
        <v>9.7079999999999984</v>
      </c>
      <c r="I34" s="2">
        <f t="shared" si="8"/>
        <v>9.7079999999999984</v>
      </c>
      <c r="J34" s="3">
        <f t="shared" si="9"/>
        <v>19.415999999999997</v>
      </c>
    </row>
    <row r="35" spans="1:10" ht="15.75">
      <c r="A35" s="17" t="s">
        <v>42</v>
      </c>
      <c r="B35" s="18"/>
      <c r="C35" s="18"/>
      <c r="D35" s="18"/>
      <c r="E35" s="18"/>
      <c r="F35" s="18">
        <v>2</v>
      </c>
      <c r="G35" s="18"/>
      <c r="H35" s="2">
        <f t="shared" si="7"/>
        <v>7.7079999999999984</v>
      </c>
      <c r="I35" s="2">
        <f t="shared" si="8"/>
        <v>9.7079999999999984</v>
      </c>
      <c r="J35" s="3">
        <f t="shared" si="9"/>
        <v>17.415999999999997</v>
      </c>
    </row>
    <row r="36" spans="1:10" ht="15.75">
      <c r="A36" s="36" t="s">
        <v>78</v>
      </c>
      <c r="B36" s="18">
        <v>1.25</v>
      </c>
      <c r="C36" s="18">
        <v>1.25</v>
      </c>
      <c r="D36" s="18"/>
      <c r="E36" s="18"/>
      <c r="F36" s="18"/>
      <c r="G36" s="18"/>
      <c r="H36" s="2">
        <f t="shared" ref="H36:H49" si="10">H35-F36-D36+B36</f>
        <v>8.9579999999999984</v>
      </c>
      <c r="I36" s="2">
        <f t="shared" ref="I36:I49" si="11">I35-E36+C36</f>
        <v>10.957999999999998</v>
      </c>
      <c r="J36" s="3">
        <f t="shared" ref="J36:J49" si="12">SUM(H36+I36)</f>
        <v>19.915999999999997</v>
      </c>
    </row>
    <row r="37" spans="1:10" ht="15.75">
      <c r="A37" s="17" t="s">
        <v>59</v>
      </c>
      <c r="B37" s="18">
        <v>2.5</v>
      </c>
      <c r="C37" s="18">
        <v>2.5</v>
      </c>
      <c r="D37" s="18"/>
      <c r="E37" s="18"/>
      <c r="F37" s="18"/>
      <c r="G37" s="18"/>
      <c r="H37" s="2">
        <f t="shared" si="10"/>
        <v>11.457999999999998</v>
      </c>
      <c r="I37" s="2">
        <f t="shared" si="11"/>
        <v>13.457999999999998</v>
      </c>
      <c r="J37" s="3">
        <f t="shared" si="12"/>
        <v>24.915999999999997</v>
      </c>
    </row>
    <row r="38" spans="1:10" ht="15.75">
      <c r="A38" s="17" t="s">
        <v>60</v>
      </c>
      <c r="B38" s="18"/>
      <c r="C38" s="18"/>
      <c r="D38" s="18"/>
      <c r="E38" s="18"/>
      <c r="F38" s="18">
        <v>2</v>
      </c>
      <c r="G38" s="18"/>
      <c r="H38" s="2">
        <f t="shared" si="10"/>
        <v>9.4579999999999984</v>
      </c>
      <c r="I38" s="2">
        <f t="shared" si="11"/>
        <v>13.457999999999998</v>
      </c>
      <c r="J38" s="3">
        <f t="shared" si="12"/>
        <v>22.915999999999997</v>
      </c>
    </row>
    <row r="39" spans="1:10" ht="15.75">
      <c r="A39" s="17" t="s">
        <v>61</v>
      </c>
      <c r="B39" s="18"/>
      <c r="C39" s="18"/>
      <c r="D39" s="18"/>
      <c r="E39" s="18"/>
      <c r="F39" s="18">
        <v>3</v>
      </c>
      <c r="G39" s="18"/>
      <c r="H39" s="2">
        <f t="shared" si="10"/>
        <v>6.4579999999999984</v>
      </c>
      <c r="I39" s="2">
        <f t="shared" si="11"/>
        <v>13.457999999999998</v>
      </c>
      <c r="J39" s="3">
        <f t="shared" si="12"/>
        <v>19.915999999999997</v>
      </c>
    </row>
    <row r="40" spans="1:10" ht="15.75">
      <c r="A40" s="17" t="s">
        <v>62</v>
      </c>
      <c r="B40" s="18">
        <v>3.75</v>
      </c>
      <c r="C40" s="18">
        <v>3.75</v>
      </c>
      <c r="D40" s="18"/>
      <c r="E40" s="18"/>
      <c r="F40" s="18"/>
      <c r="G40" s="18"/>
      <c r="H40" s="2">
        <f t="shared" si="10"/>
        <v>10.207999999999998</v>
      </c>
      <c r="I40" s="2">
        <f t="shared" si="11"/>
        <v>17.207999999999998</v>
      </c>
      <c r="J40" s="3">
        <f t="shared" si="12"/>
        <v>27.415999999999997</v>
      </c>
    </row>
    <row r="41" spans="1:10" ht="15.75">
      <c r="A41" s="17" t="s">
        <v>65</v>
      </c>
      <c r="B41" s="18"/>
      <c r="C41" s="18"/>
      <c r="D41" s="18"/>
      <c r="E41" s="18"/>
      <c r="F41" s="18"/>
      <c r="G41" s="18">
        <v>1</v>
      </c>
      <c r="H41" s="2">
        <f t="shared" si="10"/>
        <v>10.207999999999998</v>
      </c>
      <c r="I41" s="2">
        <f t="shared" si="11"/>
        <v>17.207999999999998</v>
      </c>
      <c r="J41" s="3">
        <f t="shared" si="12"/>
        <v>27.415999999999997</v>
      </c>
    </row>
    <row r="42" spans="1:10" ht="15.75">
      <c r="A42" s="17" t="s">
        <v>67</v>
      </c>
      <c r="B42" s="18"/>
      <c r="C42" s="18"/>
      <c r="D42" s="18"/>
      <c r="E42" s="18">
        <v>3</v>
      </c>
      <c r="F42" s="18"/>
      <c r="G42" s="18"/>
      <c r="H42" s="2">
        <f t="shared" si="10"/>
        <v>10.207999999999998</v>
      </c>
      <c r="I42" s="2">
        <f t="shared" si="11"/>
        <v>14.207999999999998</v>
      </c>
      <c r="J42" s="3">
        <f t="shared" si="12"/>
        <v>24.415999999999997</v>
      </c>
    </row>
    <row r="43" spans="1:10" ht="15.75">
      <c r="A43" s="17" t="s">
        <v>66</v>
      </c>
      <c r="B43" s="18">
        <v>2.5</v>
      </c>
      <c r="C43" s="18">
        <v>2.5</v>
      </c>
      <c r="D43" s="18"/>
      <c r="E43" s="18"/>
      <c r="F43" s="18"/>
      <c r="G43" s="18"/>
      <c r="H43" s="2">
        <f t="shared" si="10"/>
        <v>12.707999999999998</v>
      </c>
      <c r="I43" s="2">
        <f t="shared" si="11"/>
        <v>16.707999999999998</v>
      </c>
      <c r="J43" s="3">
        <f t="shared" si="12"/>
        <v>29.415999999999997</v>
      </c>
    </row>
    <row r="44" spans="1:10" ht="15.75">
      <c r="A44" s="17" t="s">
        <v>71</v>
      </c>
      <c r="B44" s="18"/>
      <c r="C44" s="18"/>
      <c r="D44" s="18">
        <v>6.4580000000000002</v>
      </c>
      <c r="E44" s="18">
        <v>13.542</v>
      </c>
      <c r="F44" s="18"/>
      <c r="G44" s="18"/>
      <c r="H44" s="2">
        <f t="shared" si="10"/>
        <v>6.2499999999999982</v>
      </c>
      <c r="I44" s="2">
        <f t="shared" si="11"/>
        <v>3.1659999999999986</v>
      </c>
      <c r="J44" s="3">
        <f t="shared" si="12"/>
        <v>9.4159999999999968</v>
      </c>
    </row>
    <row r="45" spans="1:10" ht="15.75">
      <c r="A45" s="17" t="s">
        <v>73</v>
      </c>
      <c r="B45" s="18">
        <v>6.25</v>
      </c>
      <c r="C45" s="18">
        <v>6.25</v>
      </c>
      <c r="D45" s="18"/>
      <c r="E45" s="18"/>
      <c r="F45" s="18"/>
      <c r="G45" s="18"/>
      <c r="H45" s="2">
        <f t="shared" si="10"/>
        <v>12.499999999999998</v>
      </c>
      <c r="I45" s="2">
        <f t="shared" si="11"/>
        <v>9.4159999999999986</v>
      </c>
      <c r="J45" s="3">
        <f t="shared" si="12"/>
        <v>21.915999999999997</v>
      </c>
    </row>
    <row r="46" spans="1:10" ht="15.75">
      <c r="A46" s="17" t="s">
        <v>74</v>
      </c>
      <c r="B46" s="18">
        <v>1.25</v>
      </c>
      <c r="C46" s="18">
        <v>1.25</v>
      </c>
      <c r="D46" s="18"/>
      <c r="E46" s="18"/>
      <c r="F46" s="18"/>
      <c r="G46" s="18"/>
      <c r="H46" s="2">
        <f t="shared" si="10"/>
        <v>13.749999999999998</v>
      </c>
      <c r="I46" s="2">
        <f t="shared" si="11"/>
        <v>10.665999999999999</v>
      </c>
      <c r="J46" s="3">
        <f t="shared" si="12"/>
        <v>24.415999999999997</v>
      </c>
    </row>
    <row r="47" spans="1:10" ht="15.75">
      <c r="A47" s="17" t="s">
        <v>75</v>
      </c>
      <c r="B47" s="18"/>
      <c r="C47" s="18"/>
      <c r="D47" s="18"/>
      <c r="E47" s="18">
        <v>1</v>
      </c>
      <c r="F47" s="18"/>
      <c r="G47" s="18"/>
      <c r="H47" s="2">
        <f t="shared" si="10"/>
        <v>13.749999999999998</v>
      </c>
      <c r="I47" s="2">
        <f t="shared" si="11"/>
        <v>9.6659999999999986</v>
      </c>
      <c r="J47" s="3">
        <f t="shared" si="12"/>
        <v>23.415999999999997</v>
      </c>
    </row>
    <row r="48" spans="1:10" ht="15.75">
      <c r="A48" s="17" t="s">
        <v>76</v>
      </c>
      <c r="B48" s="18">
        <v>6.25</v>
      </c>
      <c r="C48" s="18">
        <v>6.25</v>
      </c>
      <c r="D48" s="18"/>
      <c r="E48" s="18"/>
      <c r="F48" s="18"/>
      <c r="G48" s="18"/>
      <c r="H48" s="2">
        <f t="shared" si="10"/>
        <v>20</v>
      </c>
      <c r="I48" s="2">
        <f t="shared" si="11"/>
        <v>15.915999999999999</v>
      </c>
      <c r="J48" s="3">
        <f t="shared" si="12"/>
        <v>35.915999999999997</v>
      </c>
    </row>
    <row r="49" spans="1:11" ht="15.75">
      <c r="A49" s="17" t="s">
        <v>77</v>
      </c>
      <c r="B49" s="18"/>
      <c r="C49" s="18"/>
      <c r="D49" s="18">
        <v>10</v>
      </c>
      <c r="E49" s="18"/>
      <c r="F49" s="18"/>
      <c r="G49" s="18"/>
      <c r="H49" s="2">
        <f t="shared" si="10"/>
        <v>10</v>
      </c>
      <c r="I49" s="2">
        <f t="shared" si="11"/>
        <v>15.915999999999999</v>
      </c>
      <c r="J49" s="3">
        <f t="shared" si="12"/>
        <v>25.915999999999997</v>
      </c>
    </row>
    <row r="50" spans="1:11" ht="15.75">
      <c r="A50" s="17" t="s">
        <v>79</v>
      </c>
      <c r="B50" s="18"/>
      <c r="C50" s="18"/>
      <c r="D50" s="18"/>
      <c r="E50" s="18"/>
      <c r="F50" s="38">
        <v>1</v>
      </c>
      <c r="G50" s="18"/>
      <c r="H50" s="2">
        <f t="shared" ref="H50" si="13">H49-F50-D50+B50</f>
        <v>9</v>
      </c>
      <c r="I50" s="2">
        <f t="shared" ref="I50" si="14">I49-E50+C50</f>
        <v>15.915999999999999</v>
      </c>
      <c r="J50" s="3">
        <f t="shared" ref="J50" si="15">SUM(H50+I50)</f>
        <v>24.915999999999997</v>
      </c>
    </row>
    <row r="51" spans="1:11" ht="15.75">
      <c r="A51" s="17" t="s">
        <v>80</v>
      </c>
      <c r="B51" s="18">
        <v>3.75</v>
      </c>
      <c r="C51" s="18">
        <v>3.75</v>
      </c>
      <c r="D51" s="18"/>
      <c r="E51" s="18"/>
      <c r="F51" s="18"/>
      <c r="G51" s="18"/>
      <c r="H51" s="2">
        <f t="shared" ref="H51:H52" si="16">H50-F51-D51+B51</f>
        <v>12.75</v>
      </c>
      <c r="I51" s="2">
        <f t="shared" ref="I51:I52" si="17">I50-E51+C51</f>
        <v>19.665999999999997</v>
      </c>
      <c r="J51" s="3">
        <f t="shared" ref="J51:J52" si="18">SUM(H51+I51)</f>
        <v>32.415999999999997</v>
      </c>
    </row>
    <row r="52" spans="1:11" ht="15.75">
      <c r="A52" s="17" t="s">
        <v>81</v>
      </c>
      <c r="B52" s="18"/>
      <c r="C52" s="18"/>
      <c r="D52" s="18"/>
      <c r="E52" s="18"/>
      <c r="F52" s="38">
        <v>2</v>
      </c>
      <c r="G52" s="18"/>
      <c r="H52" s="2">
        <f t="shared" si="16"/>
        <v>10.75</v>
      </c>
      <c r="I52" s="2">
        <f t="shared" si="17"/>
        <v>19.665999999999997</v>
      </c>
      <c r="J52" s="3">
        <f t="shared" si="18"/>
        <v>30.415999999999997</v>
      </c>
    </row>
    <row r="53" spans="1:11" s="72" customFormat="1" ht="15.75">
      <c r="A53" s="74" t="s">
        <v>82</v>
      </c>
      <c r="B53" s="73">
        <v>1.25</v>
      </c>
      <c r="C53" s="73">
        <v>1.25</v>
      </c>
      <c r="D53" s="73"/>
      <c r="E53" s="73"/>
      <c r="F53" s="73"/>
      <c r="G53" s="73"/>
      <c r="H53" s="2">
        <f t="shared" ref="H53:H55" si="19">H52-F53-D53+B53</f>
        <v>12</v>
      </c>
      <c r="I53" s="2">
        <f t="shared" ref="I53:I55" si="20">I52-E53+C53</f>
        <v>20.915999999999997</v>
      </c>
      <c r="J53" s="3">
        <f t="shared" ref="J53:J55" si="21">SUM(H53+I53)</f>
        <v>32.915999999999997</v>
      </c>
      <c r="K53" s="71"/>
    </row>
    <row r="54" spans="1:11" s="72" customFormat="1" ht="15.75">
      <c r="A54" s="74" t="s">
        <v>83</v>
      </c>
      <c r="B54" s="73"/>
      <c r="C54" s="73"/>
      <c r="D54" s="73"/>
      <c r="E54" s="73"/>
      <c r="F54" s="38">
        <v>2</v>
      </c>
      <c r="G54" s="73"/>
      <c r="H54" s="2">
        <f t="shared" si="19"/>
        <v>10</v>
      </c>
      <c r="I54" s="2">
        <f t="shared" si="20"/>
        <v>20.915999999999997</v>
      </c>
      <c r="J54" s="3">
        <f t="shared" si="21"/>
        <v>30.915999999999997</v>
      </c>
      <c r="K54" s="71"/>
    </row>
    <row r="55" spans="1:11" s="72" customFormat="1" ht="15.75">
      <c r="A55" s="74" t="s">
        <v>84</v>
      </c>
      <c r="B55" s="73"/>
      <c r="C55" s="73"/>
      <c r="D55" s="73"/>
      <c r="E55" s="73"/>
      <c r="F55" s="73"/>
      <c r="G55" s="75">
        <v>3</v>
      </c>
      <c r="H55" s="2">
        <f t="shared" si="19"/>
        <v>10</v>
      </c>
      <c r="I55" s="2">
        <f t="shared" si="20"/>
        <v>20.915999999999997</v>
      </c>
      <c r="J55" s="3">
        <f t="shared" si="21"/>
        <v>30.915999999999997</v>
      </c>
      <c r="K55" s="71"/>
    </row>
    <row r="56" spans="1:11" ht="15.75">
      <c r="A56" s="11"/>
      <c r="B56" s="13"/>
      <c r="C56" s="13"/>
      <c r="D56" s="13"/>
      <c r="E56" s="13"/>
      <c r="F56" s="13"/>
      <c r="G56" s="13"/>
      <c r="H56" s="37"/>
      <c r="I56" s="37"/>
      <c r="J56" s="37"/>
    </row>
    <row r="57" spans="1:11">
      <c r="A57" s="11"/>
      <c r="B57" s="13"/>
      <c r="C57" s="13"/>
      <c r="D57" s="13"/>
      <c r="E57" s="13"/>
      <c r="F57" s="13"/>
      <c r="G57" s="13"/>
      <c r="H57" s="13"/>
      <c r="I57" s="13"/>
      <c r="J57" s="13"/>
    </row>
    <row r="58" spans="1:11">
      <c r="A58" s="11"/>
      <c r="B58" s="13"/>
      <c r="C58" s="13"/>
      <c r="D58" s="13"/>
      <c r="E58" s="13"/>
      <c r="F58" s="13"/>
      <c r="G58" s="13"/>
      <c r="H58" s="13"/>
      <c r="I58" s="13"/>
      <c r="J58" s="13"/>
    </row>
    <row r="59" spans="1:11">
      <c r="A59" s="11"/>
      <c r="B59" s="13"/>
      <c r="C59" s="13"/>
      <c r="D59" s="13"/>
      <c r="E59" s="13"/>
      <c r="F59" s="13"/>
      <c r="G59" s="13"/>
      <c r="H59" s="13"/>
      <c r="I59" s="13"/>
      <c r="J59" s="13"/>
    </row>
    <row r="60" spans="1:11">
      <c r="A60" s="11"/>
      <c r="B60" s="13"/>
      <c r="C60" s="13"/>
      <c r="D60" s="13"/>
      <c r="E60" s="13"/>
      <c r="F60" s="13"/>
      <c r="G60" s="13"/>
      <c r="H60" s="13"/>
      <c r="I60" s="13"/>
      <c r="J60" s="13"/>
    </row>
    <row r="61" spans="1:11">
      <c r="A61" s="11"/>
      <c r="B61" s="13"/>
      <c r="C61" s="13"/>
      <c r="D61" s="13"/>
      <c r="E61" s="13"/>
      <c r="F61" s="13"/>
      <c r="G61" s="13"/>
      <c r="H61" s="13"/>
      <c r="I61" s="13"/>
      <c r="J61" s="13"/>
    </row>
    <row r="62" spans="1:11">
      <c r="A62" s="11"/>
      <c r="B62" s="13"/>
      <c r="C62" s="13"/>
      <c r="D62" s="13"/>
      <c r="E62" s="13"/>
      <c r="F62" s="13"/>
      <c r="G62" s="13"/>
      <c r="H62" s="13"/>
      <c r="I62" s="13"/>
      <c r="J62" s="13"/>
    </row>
    <row r="63" spans="1:11">
      <c r="A63" s="11"/>
      <c r="B63" s="13"/>
      <c r="C63" s="13"/>
      <c r="D63" s="13"/>
      <c r="E63" s="13"/>
      <c r="F63" s="13"/>
      <c r="G63" s="13"/>
      <c r="H63" s="13"/>
      <c r="I63" s="13"/>
      <c r="J63" s="13"/>
    </row>
    <row r="64" spans="1:11">
      <c r="A64" s="11"/>
      <c r="B64" s="13"/>
      <c r="C64" s="13"/>
      <c r="D64" s="13"/>
      <c r="E64" s="13"/>
      <c r="F64" s="13"/>
      <c r="G64" s="13"/>
      <c r="H64" s="13"/>
      <c r="I64" s="13"/>
      <c r="J64" s="13"/>
    </row>
    <row r="65" spans="1:10">
      <c r="A65" s="11"/>
      <c r="B65" s="13"/>
      <c r="C65" s="13"/>
      <c r="D65" s="13"/>
      <c r="E65" s="13"/>
      <c r="F65" s="13"/>
      <c r="G65" s="13"/>
      <c r="H65" s="13"/>
      <c r="I65" s="13"/>
      <c r="J65" s="13"/>
    </row>
    <row r="66" spans="1:10">
      <c r="A66" s="11"/>
      <c r="B66" s="13"/>
      <c r="C66" s="13"/>
      <c r="D66" s="13"/>
      <c r="E66" s="13"/>
      <c r="F66" s="13"/>
      <c r="G66" s="13"/>
      <c r="H66" s="13"/>
      <c r="I66" s="13"/>
      <c r="J66" s="13"/>
    </row>
    <row r="67" spans="1:10">
      <c r="A67" s="11"/>
      <c r="B67" s="13"/>
      <c r="C67" s="13"/>
      <c r="D67" s="13"/>
      <c r="E67" s="13"/>
      <c r="F67" s="13"/>
      <c r="G67" s="13"/>
      <c r="H67" s="13"/>
      <c r="I67" s="13"/>
      <c r="J67" s="13"/>
    </row>
    <row r="68" spans="1:10">
      <c r="A68" s="11"/>
      <c r="B68" s="13"/>
      <c r="C68" s="13"/>
      <c r="D68" s="13"/>
      <c r="E68" s="13"/>
      <c r="F68" s="13"/>
      <c r="G68" s="13"/>
      <c r="H68" s="13"/>
      <c r="I68" s="13"/>
      <c r="J68" s="13"/>
    </row>
    <row r="69" spans="1:10">
      <c r="A69" s="11"/>
      <c r="B69" s="13"/>
      <c r="C69" s="13"/>
      <c r="D69" s="13"/>
      <c r="E69" s="13"/>
      <c r="F69" s="13"/>
      <c r="G69" s="13"/>
      <c r="H69" s="13"/>
      <c r="I69" s="13"/>
      <c r="J69" s="13"/>
    </row>
    <row r="70" spans="1:10">
      <c r="A70" s="11"/>
      <c r="B70" s="13"/>
      <c r="C70" s="13"/>
      <c r="D70" s="13"/>
      <c r="E70" s="13"/>
      <c r="F70" s="13"/>
      <c r="G70" s="13"/>
      <c r="H70" s="13"/>
      <c r="I70" s="13"/>
      <c r="J70" s="13"/>
    </row>
    <row r="71" spans="1:10">
      <c r="A71" s="11"/>
      <c r="B71" s="13"/>
      <c r="C71" s="13"/>
      <c r="D71" s="13"/>
      <c r="E71" s="13"/>
      <c r="F71" s="13"/>
      <c r="G71" s="13"/>
      <c r="H71" s="13"/>
      <c r="I71" s="13"/>
      <c r="J71" s="13"/>
    </row>
    <row r="72" spans="1:10">
      <c r="A72" s="11"/>
      <c r="B72" s="13"/>
      <c r="C72" s="13"/>
      <c r="D72" s="13"/>
      <c r="E72" s="13"/>
      <c r="F72" s="13"/>
      <c r="G72" s="13"/>
      <c r="H72" s="13"/>
      <c r="I72" s="13"/>
      <c r="J72" s="13"/>
    </row>
    <row r="73" spans="1:10">
      <c r="A73" s="11"/>
      <c r="B73" s="13"/>
      <c r="C73" s="13"/>
      <c r="D73" s="13"/>
      <c r="E73" s="13"/>
      <c r="F73" s="13"/>
      <c r="G73" s="13"/>
      <c r="H73" s="13"/>
      <c r="I73" s="13"/>
      <c r="J73" s="13"/>
    </row>
    <row r="74" spans="1:10">
      <c r="A74" s="11"/>
      <c r="B74" s="13"/>
      <c r="C74" s="13"/>
      <c r="D74" s="13"/>
      <c r="E74" s="13"/>
      <c r="F74" s="13"/>
      <c r="G74" s="13"/>
      <c r="H74" s="13"/>
      <c r="I74" s="13"/>
      <c r="J74" s="13"/>
    </row>
    <row r="75" spans="1:10">
      <c r="A75" s="11"/>
      <c r="B75" s="13"/>
      <c r="C75" s="13"/>
      <c r="D75" s="13"/>
      <c r="E75" s="13"/>
      <c r="F75" s="13"/>
      <c r="G75" s="13"/>
      <c r="H75" s="13"/>
      <c r="I75" s="13"/>
      <c r="J75" s="13"/>
    </row>
    <row r="76" spans="1:10">
      <c r="A76" s="11"/>
      <c r="B76" s="13"/>
      <c r="C76" s="13"/>
      <c r="D76" s="13"/>
      <c r="E76" s="13"/>
      <c r="F76" s="13"/>
      <c r="G76" s="13"/>
      <c r="H76" s="13"/>
      <c r="I76" s="13"/>
      <c r="J76" s="13"/>
    </row>
    <row r="77" spans="1:10">
      <c r="A77" s="11"/>
      <c r="B77" s="13"/>
      <c r="C77" s="13"/>
      <c r="D77" s="13"/>
      <c r="E77" s="13"/>
      <c r="F77" s="13"/>
      <c r="G77" s="13"/>
      <c r="H77" s="13"/>
      <c r="I77" s="13"/>
      <c r="J77" s="13"/>
    </row>
    <row r="78" spans="1:10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>
      <c r="A84" s="11"/>
      <c r="B84" s="11"/>
      <c r="C84" s="11"/>
      <c r="D84" s="11"/>
      <c r="E84" s="11"/>
      <c r="F84" s="11"/>
      <c r="G84" s="11"/>
      <c r="H84" s="11"/>
      <c r="I84" s="11"/>
      <c r="J84" s="11"/>
    </row>
  </sheetData>
  <mergeCells count="13">
    <mergeCell ref="J11:J12"/>
    <mergeCell ref="H11:I11"/>
    <mergeCell ref="D11:G11"/>
    <mergeCell ref="K11:K12"/>
    <mergeCell ref="A11:A12"/>
    <mergeCell ref="B11:C11"/>
    <mergeCell ref="B9:D9"/>
    <mergeCell ref="A10:J10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6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L26"/>
  <sheetViews>
    <sheetView topLeftCell="A4" workbookViewId="0">
      <selection activeCell="D23" sqref="D23"/>
    </sheetView>
  </sheetViews>
  <sheetFormatPr defaultRowHeight="15"/>
  <cols>
    <col min="1" max="1" width="22.28515625" customWidth="1"/>
    <col min="12" max="12" width="9.7109375" customWidth="1"/>
  </cols>
  <sheetData>
    <row r="4" spans="1:12">
      <c r="A4" s="1"/>
      <c r="B4" s="1"/>
      <c r="C4" s="20"/>
      <c r="D4" s="21"/>
      <c r="E4" s="1"/>
      <c r="F4" s="1"/>
      <c r="G4" s="1"/>
      <c r="H4" s="19"/>
      <c r="I4" s="1"/>
      <c r="J4" s="1"/>
      <c r="K4" s="1"/>
      <c r="L4" s="1"/>
    </row>
    <row r="5" spans="1:12">
      <c r="A5" s="41" t="s">
        <v>23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>
      <c r="A6" s="41" t="s">
        <v>24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>
      <c r="A7" s="41" t="s">
        <v>25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2">
      <c r="A8" s="41" t="s">
        <v>26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2">
      <c r="A9" s="1"/>
      <c r="B9" s="1"/>
      <c r="C9" s="19"/>
      <c r="D9" s="1"/>
      <c r="E9" s="1"/>
      <c r="F9" s="1"/>
      <c r="G9" s="1"/>
      <c r="H9" s="19"/>
      <c r="I9" s="1"/>
      <c r="J9" s="1"/>
      <c r="K9" s="1"/>
      <c r="L9" s="1"/>
    </row>
    <row r="10" spans="1:12">
      <c r="A10" s="1"/>
      <c r="B10" s="1"/>
      <c r="C10" s="19"/>
      <c r="D10" s="1"/>
      <c r="E10" s="1"/>
      <c r="F10" s="1"/>
      <c r="G10" s="1"/>
      <c r="H10" s="19"/>
      <c r="I10" s="1"/>
      <c r="J10" s="1"/>
      <c r="K10" s="1"/>
      <c r="L10" s="1"/>
    </row>
    <row r="11" spans="1:12">
      <c r="A11" s="22" t="s">
        <v>56</v>
      </c>
      <c r="B11" s="22"/>
      <c r="C11" s="52" t="s">
        <v>43</v>
      </c>
      <c r="D11" s="52"/>
      <c r="E11" s="52"/>
      <c r="F11" s="52"/>
      <c r="G11" s="52"/>
      <c r="H11" s="1"/>
      <c r="I11" s="52" t="s">
        <v>44</v>
      </c>
      <c r="J11" s="52"/>
      <c r="K11" s="52"/>
      <c r="L11" s="22"/>
    </row>
    <row r="12" spans="1:12">
      <c r="A12" s="1"/>
      <c r="B12" s="23"/>
      <c r="C12" s="52" t="s">
        <v>58</v>
      </c>
      <c r="D12" s="52"/>
      <c r="E12" s="52"/>
      <c r="F12" s="52"/>
      <c r="G12" s="52"/>
      <c r="H12" s="1"/>
      <c r="I12" s="55" t="s">
        <v>45</v>
      </c>
      <c r="J12" s="55"/>
      <c r="K12" s="55"/>
      <c r="L12" s="23"/>
    </row>
    <row r="13" spans="1:12">
      <c r="A13" s="22" t="s">
        <v>57</v>
      </c>
      <c r="B13" s="22"/>
      <c r="C13" s="24"/>
      <c r="D13" s="23"/>
      <c r="E13" s="23"/>
      <c r="F13" s="1"/>
      <c r="G13" s="1"/>
      <c r="H13" s="1"/>
      <c r="I13" s="52" t="s">
        <v>46</v>
      </c>
      <c r="J13" s="52"/>
      <c r="K13" s="52"/>
      <c r="L13" s="22"/>
    </row>
    <row r="14" spans="1:12" ht="21">
      <c r="A14" s="56" t="s">
        <v>47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</row>
    <row r="15" spans="1:12">
      <c r="A15" s="57" t="s">
        <v>3</v>
      </c>
      <c r="B15" s="59" t="s">
        <v>4</v>
      </c>
      <c r="C15" s="60"/>
      <c r="D15" s="60"/>
      <c r="E15" s="60"/>
      <c r="F15" s="60"/>
      <c r="G15" s="60"/>
      <c r="H15" s="60"/>
      <c r="I15" s="60"/>
      <c r="J15" s="60"/>
      <c r="K15" s="60"/>
      <c r="L15" s="63" t="s">
        <v>7</v>
      </c>
    </row>
    <row r="16" spans="1:12">
      <c r="A16" s="58"/>
      <c r="B16" s="61" t="s">
        <v>48</v>
      </c>
      <c r="C16" s="65"/>
      <c r="D16" s="65"/>
      <c r="E16" s="62"/>
      <c r="F16" s="61" t="s">
        <v>49</v>
      </c>
      <c r="G16" s="62"/>
      <c r="H16" s="61" t="s">
        <v>50</v>
      </c>
      <c r="I16" s="62"/>
      <c r="J16" s="61" t="s">
        <v>51</v>
      </c>
      <c r="K16" s="62"/>
      <c r="L16" s="64"/>
    </row>
    <row r="17" spans="1:12" ht="29.25" customHeight="1">
      <c r="A17" s="28" t="s">
        <v>53</v>
      </c>
      <c r="B17" s="53" t="s">
        <v>54</v>
      </c>
      <c r="C17" s="67"/>
      <c r="D17" s="67"/>
      <c r="E17" s="54"/>
      <c r="F17" s="68">
        <v>2</v>
      </c>
      <c r="G17" s="69"/>
      <c r="H17" s="68">
        <v>0</v>
      </c>
      <c r="I17" s="69"/>
      <c r="J17" s="68">
        <v>2</v>
      </c>
      <c r="K17" s="69"/>
      <c r="L17" s="29">
        <v>2</v>
      </c>
    </row>
    <row r="18" spans="1:12" ht="27.75" customHeight="1">
      <c r="A18" s="30" t="s">
        <v>55</v>
      </c>
      <c r="B18" s="66"/>
      <c r="C18" s="67"/>
      <c r="D18" s="67"/>
      <c r="E18" s="54"/>
      <c r="F18" s="53"/>
      <c r="G18" s="54"/>
      <c r="H18" s="53">
        <v>2</v>
      </c>
      <c r="I18" s="54"/>
      <c r="J18" s="53">
        <v>0</v>
      </c>
      <c r="K18" s="54"/>
      <c r="L18" s="33">
        <v>0</v>
      </c>
    </row>
    <row r="19" spans="1:12" ht="27.75" customHeight="1">
      <c r="A19" s="32" t="s">
        <v>53</v>
      </c>
      <c r="B19" s="66" t="s">
        <v>63</v>
      </c>
      <c r="C19" s="67"/>
      <c r="D19" s="67"/>
      <c r="E19" s="54"/>
      <c r="F19" s="53">
        <v>1</v>
      </c>
      <c r="G19" s="54"/>
      <c r="H19" s="53">
        <v>0</v>
      </c>
      <c r="I19" s="54"/>
      <c r="J19" s="53">
        <v>1</v>
      </c>
      <c r="K19" s="54"/>
      <c r="L19" s="31">
        <v>1</v>
      </c>
    </row>
    <row r="20" spans="1:12" ht="27.75" customHeight="1">
      <c r="A20" s="32" t="s">
        <v>64</v>
      </c>
      <c r="B20" s="66"/>
      <c r="C20" s="67"/>
      <c r="D20" s="67"/>
      <c r="E20" s="54"/>
      <c r="F20" s="53"/>
      <c r="G20" s="54"/>
      <c r="H20" s="53">
        <v>1</v>
      </c>
      <c r="I20" s="54"/>
      <c r="J20" s="53">
        <v>0</v>
      </c>
      <c r="K20" s="54"/>
      <c r="L20" s="33">
        <v>0</v>
      </c>
    </row>
    <row r="21" spans="1:12" ht="27.75" customHeight="1">
      <c r="A21" s="34" t="s">
        <v>68</v>
      </c>
      <c r="B21" s="66" t="s">
        <v>69</v>
      </c>
      <c r="C21" s="67"/>
      <c r="D21" s="67"/>
      <c r="E21" s="54"/>
      <c r="F21" s="53">
        <v>1</v>
      </c>
      <c r="G21" s="54"/>
      <c r="H21" s="53">
        <v>0</v>
      </c>
      <c r="I21" s="54"/>
      <c r="J21" s="53">
        <v>1</v>
      </c>
      <c r="K21" s="54"/>
      <c r="L21" s="31">
        <v>1</v>
      </c>
    </row>
    <row r="22" spans="1:12" ht="27.75" customHeight="1">
      <c r="A22" s="34" t="s">
        <v>70</v>
      </c>
      <c r="B22" s="66"/>
      <c r="C22" s="67"/>
      <c r="D22" s="67"/>
      <c r="E22" s="54"/>
      <c r="F22" s="53"/>
      <c r="G22" s="54"/>
      <c r="H22" s="53">
        <v>1</v>
      </c>
      <c r="I22" s="54"/>
      <c r="J22" s="53">
        <v>0</v>
      </c>
      <c r="K22" s="54"/>
      <c r="L22" s="33">
        <v>0</v>
      </c>
    </row>
    <row r="23" spans="1:12">
      <c r="A23" s="25" t="s">
        <v>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</row>
    <row r="25" spans="1:12">
      <c r="A25" s="1"/>
      <c r="B25" s="1"/>
      <c r="C25" s="19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9"/>
      <c r="D26" s="1"/>
      <c r="E26" s="1"/>
      <c r="F26" s="1"/>
      <c r="G26" s="1"/>
      <c r="H26" s="1"/>
      <c r="I26" s="1"/>
      <c r="J26" s="1"/>
      <c r="K26" s="1"/>
      <c r="L26" s="1"/>
    </row>
  </sheetData>
  <mergeCells count="42">
    <mergeCell ref="B22:E22"/>
    <mergeCell ref="F22:G22"/>
    <mergeCell ref="H22:I22"/>
    <mergeCell ref="J22:K22"/>
    <mergeCell ref="A24:L24"/>
    <mergeCell ref="F17:G17"/>
    <mergeCell ref="F18:G18"/>
    <mergeCell ref="J16:K16"/>
    <mergeCell ref="B17:E17"/>
    <mergeCell ref="H17:I17"/>
    <mergeCell ref="J17:K17"/>
    <mergeCell ref="B18:E18"/>
    <mergeCell ref="H18:I18"/>
    <mergeCell ref="J18:K18"/>
    <mergeCell ref="B19:E19"/>
    <mergeCell ref="F19:G19"/>
    <mergeCell ref="B21:E21"/>
    <mergeCell ref="F21:G21"/>
    <mergeCell ref="H21:I21"/>
    <mergeCell ref="F20:G20"/>
    <mergeCell ref="J21:K21"/>
    <mergeCell ref="C12:G12"/>
    <mergeCell ref="I12:K12"/>
    <mergeCell ref="I13:K13"/>
    <mergeCell ref="A14:L14"/>
    <mergeCell ref="A15:A16"/>
    <mergeCell ref="B15:K15"/>
    <mergeCell ref="F16:G16"/>
    <mergeCell ref="H16:I16"/>
    <mergeCell ref="L15:L16"/>
    <mergeCell ref="B16:E16"/>
    <mergeCell ref="H19:I19"/>
    <mergeCell ref="J19:K19"/>
    <mergeCell ref="H20:I20"/>
    <mergeCell ref="J20:K20"/>
    <mergeCell ref="B20:E20"/>
    <mergeCell ref="A5:L5"/>
    <mergeCell ref="A6:L6"/>
    <mergeCell ref="A7:L7"/>
    <mergeCell ref="A8:L8"/>
    <mergeCell ref="C11:G11"/>
    <mergeCell ref="I11:K11"/>
  </mergeCells>
  <phoneticPr fontId="22" type="noConversion"/>
  <pageMargins left="0.7" right="0.7" top="0.75" bottom="0.75" header="0.3" footer="0.3"/>
  <pageSetup paperSize="9" scale="7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COMPENSATORY TIME OFF (CTO)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2025-12-12T02:46:20Z</cp:lastPrinted>
  <dcterms:created xsi:type="dcterms:W3CDTF">2021-10-07T06:10:00Z</dcterms:created>
  <dcterms:modified xsi:type="dcterms:W3CDTF">2025-12-12T02:47:57Z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3DEC904AE447450795846BAF3B494C0C</vt:lpwstr>
  </property>
  <property fmtid="{D5CDD505-2E9C-101B-9397-08002B2CF9AE}" pid="3" name="KSOProductBuildVer">
    <vt:lpwstr>1033-11.2.0.11341</vt:lpwstr>
  </property>
</Properties>
</file>