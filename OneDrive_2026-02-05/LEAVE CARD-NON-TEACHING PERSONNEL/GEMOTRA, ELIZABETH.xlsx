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3" documentId="11_D7F389D536106E9FB94E4B98B85B2B8FD9AF9B9A" xr6:coauthVersionLast="47" xr6:coauthVersionMax="47" xr10:uidLastSave="{1365E15A-7E29-48AB-A923-E0FBC00CBDA7}"/>
  <bookViews>
    <workbookView xWindow="0" yWindow="0" windowWidth="22188" windowHeight="9000" xr2:uid="{00000000-000D-0000-FFFF-FFFF00000000}"/>
  </bookViews>
  <sheets>
    <sheet name="Leave Card (NE)" sheetId="6" r:id="rId1"/>
    <sheet name="CTO" sheetId="8" r:id="rId2"/>
    <sheet name="Other types of leave" sheetId="9" r:id="rId3"/>
  </sheets>
  <definedNames>
    <definedName name="_xlnm.Print_Area" localSheetId="0">'Leave Card (NE)'!$A$1:$J$120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6" l="1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H13" i="6"/>
  <c r="H14" i="6" l="1"/>
  <c r="J13" i="6"/>
  <c r="H15" i="6" l="1"/>
  <c r="J14" i="6"/>
  <c r="H16" i="6" l="1"/>
  <c r="J15" i="6"/>
  <c r="H17" i="6" l="1"/>
  <c r="J16" i="6"/>
  <c r="H18" i="6" l="1"/>
  <c r="J17" i="6"/>
  <c r="H19" i="6" l="1"/>
  <c r="J18" i="6"/>
  <c r="H20" i="6" l="1"/>
  <c r="J19" i="6"/>
  <c r="H21" i="6" l="1"/>
  <c r="J20" i="6"/>
  <c r="H22" i="6" l="1"/>
  <c r="J21" i="6"/>
  <c r="H23" i="6" l="1"/>
  <c r="J22" i="6"/>
  <c r="H24" i="6" l="1"/>
  <c r="J23" i="6"/>
  <c r="H25" i="6" l="1"/>
  <c r="J24" i="6"/>
  <c r="H26" i="6" l="1"/>
  <c r="J25" i="6"/>
  <c r="H27" i="6" l="1"/>
  <c r="J26" i="6"/>
  <c r="H28" i="6" l="1"/>
  <c r="J27" i="6"/>
  <c r="H29" i="6" l="1"/>
  <c r="J28" i="6"/>
  <c r="H30" i="6" l="1"/>
  <c r="J29" i="6"/>
  <c r="H31" i="6" l="1"/>
  <c r="J30" i="6"/>
  <c r="H32" i="6" l="1"/>
  <c r="J31" i="6"/>
  <c r="H33" i="6" l="1"/>
  <c r="J32" i="6"/>
  <c r="H34" i="6" l="1"/>
  <c r="J33" i="6"/>
  <c r="H35" i="6" l="1"/>
  <c r="J34" i="6"/>
  <c r="H36" i="6" l="1"/>
  <c r="J35" i="6"/>
  <c r="H37" i="6" l="1"/>
  <c r="J36" i="6"/>
  <c r="H38" i="6" l="1"/>
  <c r="J37" i="6"/>
  <c r="H39" i="6" l="1"/>
  <c r="J38" i="6"/>
  <c r="H40" i="6" l="1"/>
  <c r="J39" i="6"/>
  <c r="H41" i="6" l="1"/>
  <c r="J40" i="6"/>
  <c r="H42" i="6" l="1"/>
  <c r="J41" i="6"/>
  <c r="H43" i="6" l="1"/>
  <c r="J42" i="6"/>
  <c r="H44" i="6" l="1"/>
  <c r="J43" i="6"/>
  <c r="H45" i="6" l="1"/>
  <c r="J44" i="6"/>
  <c r="H46" i="6" l="1"/>
  <c r="J45" i="6"/>
  <c r="H47" i="6" l="1"/>
  <c r="J46" i="6"/>
  <c r="H48" i="6" l="1"/>
  <c r="J47" i="6"/>
  <c r="H49" i="6" l="1"/>
  <c r="J48" i="6"/>
  <c r="H50" i="6" l="1"/>
  <c r="J49" i="6"/>
  <c r="H51" i="6" l="1"/>
  <c r="J50" i="6"/>
  <c r="H52" i="6" l="1"/>
  <c r="J51" i="6"/>
  <c r="H53" i="6" l="1"/>
  <c r="J52" i="6"/>
  <c r="H54" i="6" l="1"/>
  <c r="J53" i="6"/>
  <c r="H55" i="6" l="1"/>
  <c r="J54" i="6"/>
  <c r="H56" i="6" l="1"/>
  <c r="J55" i="6"/>
  <c r="H57" i="6" l="1"/>
  <c r="J56" i="6"/>
  <c r="H58" i="6" l="1"/>
  <c r="J57" i="6"/>
  <c r="H59" i="6" l="1"/>
  <c r="J58" i="6"/>
  <c r="H60" i="6" l="1"/>
  <c r="J59" i="6"/>
  <c r="H61" i="6" l="1"/>
  <c r="J60" i="6"/>
  <c r="H62" i="6" l="1"/>
  <c r="J61" i="6"/>
  <c r="H63" i="6" l="1"/>
  <c r="J62" i="6"/>
  <c r="H64" i="6" l="1"/>
  <c r="J63" i="6"/>
  <c r="H65" i="6" l="1"/>
  <c r="J64" i="6"/>
  <c r="H66" i="6" l="1"/>
  <c r="J65" i="6"/>
  <c r="H67" i="6" l="1"/>
  <c r="J66" i="6"/>
  <c r="H68" i="6" l="1"/>
  <c r="J67" i="6"/>
  <c r="H69" i="6" l="1"/>
  <c r="J68" i="6"/>
  <c r="H70" i="6" l="1"/>
  <c r="J69" i="6"/>
  <c r="H71" i="6" l="1"/>
  <c r="J70" i="6"/>
  <c r="H72" i="6" l="1"/>
  <c r="J71" i="6"/>
  <c r="H73" i="6" l="1"/>
  <c r="J72" i="6"/>
  <c r="H74" i="6" l="1"/>
  <c r="J73" i="6"/>
  <c r="H75" i="6" l="1"/>
  <c r="J74" i="6"/>
  <c r="H76" i="6" l="1"/>
  <c r="J75" i="6"/>
  <c r="H77" i="6" l="1"/>
  <c r="J76" i="6"/>
  <c r="H78" i="6" l="1"/>
  <c r="J77" i="6"/>
  <c r="H79" i="6" l="1"/>
  <c r="J78" i="6"/>
  <c r="H80" i="6" l="1"/>
  <c r="J79" i="6"/>
  <c r="H81" i="6" l="1"/>
  <c r="J80" i="6"/>
  <c r="H82" i="6" l="1"/>
  <c r="J81" i="6"/>
  <c r="H83" i="6" l="1"/>
  <c r="J82" i="6"/>
  <c r="H84" i="6" l="1"/>
  <c r="J83" i="6"/>
  <c r="H85" i="6" l="1"/>
  <c r="J84" i="6"/>
  <c r="H86" i="6" l="1"/>
  <c r="J85" i="6"/>
  <c r="H87" i="6" l="1"/>
  <c r="J86" i="6"/>
  <c r="H88" i="6" l="1"/>
  <c r="J87" i="6"/>
  <c r="H89" i="6" l="1"/>
  <c r="J88" i="6"/>
  <c r="H90" i="6" l="1"/>
  <c r="J89" i="6"/>
  <c r="H91" i="6" l="1"/>
  <c r="J90" i="6"/>
  <c r="H92" i="6" l="1"/>
  <c r="J91" i="6"/>
  <c r="H93" i="6" l="1"/>
  <c r="J92" i="6"/>
  <c r="H94" i="6" l="1"/>
  <c r="J93" i="6"/>
  <c r="H95" i="6" l="1"/>
  <c r="J94" i="6"/>
  <c r="H96" i="6" l="1"/>
  <c r="J95" i="6"/>
  <c r="H97" i="6" l="1"/>
  <c r="J96" i="6"/>
  <c r="H98" i="6" l="1"/>
  <c r="J97" i="6"/>
  <c r="H99" i="6" l="1"/>
  <c r="J98" i="6"/>
  <c r="H100" i="6" l="1"/>
  <c r="J99" i="6"/>
  <c r="H101" i="6" l="1"/>
  <c r="J100" i="6"/>
  <c r="H102" i="6" l="1"/>
  <c r="J101" i="6"/>
  <c r="H103" i="6" l="1"/>
  <c r="J102" i="6"/>
  <c r="H104" i="6" l="1"/>
  <c r="J103" i="6"/>
  <c r="H105" i="6" l="1"/>
  <c r="J104" i="6"/>
  <c r="H106" i="6" l="1"/>
  <c r="J105" i="6"/>
  <c r="H107" i="6" l="1"/>
  <c r="J106" i="6"/>
  <c r="H108" i="6" l="1"/>
  <c r="J107" i="6"/>
  <c r="H109" i="6" l="1"/>
  <c r="J108" i="6"/>
  <c r="H110" i="6" l="1"/>
  <c r="J109" i="6"/>
  <c r="H111" i="6" l="1"/>
  <c r="J110" i="6"/>
  <c r="H112" i="6" l="1"/>
  <c r="J111" i="6"/>
  <c r="H113" i="6" l="1"/>
  <c r="J113" i="6" s="1"/>
  <c r="J112" i="6"/>
</calcChain>
</file>

<file path=xl/sharedStrings.xml><?xml version="1.0" encoding="utf-8"?>
<sst xmlns="http://schemas.openxmlformats.org/spreadsheetml/2006/main" count="222" uniqueCount="186">
  <si>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</si>
  <si>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</si>
  <si>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</si>
  <si>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</si>
  <si>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</si>
  <si>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</si>
  <si>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</si>
  <si>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</si>
  <si>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</si>
  <si>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</si>
  <si>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</si>
  <si>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</si>
  <si>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</si>
  <si>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</si>
  <si>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</si>
  <si>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</si>
  <si>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</si>
  <si>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</si>
  <si>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</si>
  <si>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</si>
  <si>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</si>
  <si>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12/27/2006 - 12/31/2006</t>
  </si>
  <si>
    <t>ADD: 01/01/2007 - 12/31/2007</t>
  </si>
  <si>
    <t>LESS: FL 2007</t>
  </si>
  <si>
    <t>LESS: MONETIZATION 2007</t>
  </si>
  <si>
    <t>ADD: 01/01/2008 - 12/31/2008</t>
  </si>
  <si>
    <t>LESS: FL 2008</t>
  </si>
  <si>
    <t>LESS: MONETIZATION 2008</t>
  </si>
  <si>
    <t>LESS: ADDTL MONETIZATION 2008</t>
  </si>
  <si>
    <t>ADD: 01/01/2009 - 12/31/2009</t>
  </si>
  <si>
    <t>LESS: FL 2009</t>
  </si>
  <si>
    <t>LESS: MONETIZATION 8/26/2009</t>
  </si>
  <si>
    <t>LESS: MONETIZATION 11/17/2009</t>
  </si>
  <si>
    <t>ADD: 01/01/2010 - 12/31/2010</t>
  </si>
  <si>
    <t>LESS: FL 2010</t>
  </si>
  <si>
    <t>LESS: MONETIZATION 2010</t>
  </si>
  <si>
    <t>ADD: 01/01/2011 - 12/31/2011</t>
  </si>
  <si>
    <t>LESS: FL 2011</t>
  </si>
  <si>
    <t>ADD: 01/01/2012 - 12/31/2012</t>
  </si>
  <si>
    <t>LESS: FL 2012</t>
  </si>
  <si>
    <t>LESS: MONETIZATION 2012</t>
  </si>
  <si>
    <t>ADD: 01/01/2013 - 12/31/2013</t>
  </si>
  <si>
    <t>LESS: FL 2013</t>
  </si>
  <si>
    <t>ADD: 01/01/2014 - 12/31/2014</t>
  </si>
  <si>
    <t>LESS: FL 2014</t>
  </si>
  <si>
    <t>LESS: MONETIZATION 2014</t>
  </si>
  <si>
    <t>ADD: 01/01/2015 - 12/31/2015</t>
  </si>
  <si>
    <t>LESS: FL 2015</t>
  </si>
  <si>
    <t>LESS: MONETIZATION 2015</t>
  </si>
  <si>
    <t>ADD: 01/01/2016 - 12/31/2016</t>
  </si>
  <si>
    <t>LESS: FL 2016</t>
  </si>
  <si>
    <t>LESS: MONETIZATION 2016</t>
  </si>
  <si>
    <t>ADD: 01/01/2017 - 12/31/2017</t>
  </si>
  <si>
    <t>LESS: FL 2017</t>
  </si>
  <si>
    <t>LESS: MONETIZATION 2017</t>
  </si>
  <si>
    <t>ADD: 01/01/2018 - 12/31/2018</t>
  </si>
  <si>
    <t>LESS: FL 2018</t>
  </si>
  <si>
    <t>LESS: MONETIZATION 2018</t>
  </si>
  <si>
    <t>ADD: 01/01/2019 - 12/31/2019</t>
  </si>
  <si>
    <t>LESS: FL 2019</t>
  </si>
  <si>
    <t>ADD: 01/01/2020 - 12/31/2020</t>
  </si>
  <si>
    <t>LESS: FL 2020</t>
  </si>
  <si>
    <t>LESS: MONETIZATION 2020</t>
  </si>
  <si>
    <t>ADD: 01/01/2021 - 12/31/2021</t>
  </si>
  <si>
    <t>LESS: MONETIZATION 2021</t>
  </si>
  <si>
    <t>LESS: 12/22, 23, 24, 27, 28/2021</t>
  </si>
  <si>
    <t>ADD: 01/01/22 - 01/31/22</t>
  </si>
  <si>
    <t>LESS: 02/14/2022</t>
  </si>
  <si>
    <t>ADD: 02/01/22 - 03/31/22</t>
  </si>
  <si>
    <t>LESS: 04/19/22</t>
  </si>
  <si>
    <t>ADD: 04/01/22 - 04/30/22</t>
  </si>
  <si>
    <t>LESS: 05/16/22</t>
  </si>
  <si>
    <t>ADD: 05/01/22 - 06/30/22</t>
  </si>
  <si>
    <t>LESS: 07/04/22</t>
  </si>
  <si>
    <t>ADD: 07/01/22 - 07/31/22</t>
  </si>
  <si>
    <t>LESS: 08/15/22</t>
  </si>
  <si>
    <t>ADD: 08/01/22 - 08/31/22</t>
  </si>
  <si>
    <t>LESS: MONETIZATION 2022</t>
  </si>
  <si>
    <t>ADD: 09/01/22 - 11/30/22</t>
  </si>
  <si>
    <t>LESS: 12/22 &amp;23/2022</t>
  </si>
  <si>
    <t>ADD: 12/01/22 - 12/31/22</t>
  </si>
  <si>
    <t>LESS: 12/29/2022</t>
  </si>
  <si>
    <t>ADD: 01/01/23 - 01/31/23</t>
  </si>
  <si>
    <t>LESS: 02/03/2023</t>
  </si>
  <si>
    <t>ADD: 02/01/23 - 03/31/23</t>
  </si>
  <si>
    <t>LESS: 04/19/2023</t>
  </si>
  <si>
    <t>ADD: 04/01/23 - 04/30/23</t>
  </si>
  <si>
    <t>LESS: 05/15/2023</t>
  </si>
  <si>
    <t>ADD: 05/01/23 - 08/31/23</t>
  </si>
  <si>
    <t>LESS: 08/15 &amp; 16/2023</t>
  </si>
  <si>
    <t>LESS: MONETIZATION 2023</t>
  </si>
  <si>
    <t>LESS: 09/27/2023</t>
  </si>
  <si>
    <t>LESS: 09/25/2023</t>
  </si>
  <si>
    <t>ADD: 09/01/2023-09/30/2023</t>
  </si>
  <si>
    <t>LESS: 10/13/2023</t>
  </si>
  <si>
    <t>LESS:11/03/2023</t>
  </si>
  <si>
    <t>ADD: 10/01/2023-12/31/2023</t>
  </si>
  <si>
    <t>LESS: 01/03/2024</t>
  </si>
  <si>
    <t>LESS: 01/16/2024</t>
  </si>
  <si>
    <t>ADD: 01/01-31/2024</t>
  </si>
  <si>
    <t>ADD: 02/1/2024-04/30/2024</t>
  </si>
  <si>
    <t>LESS: 05/15/2024</t>
  </si>
  <si>
    <t>ADD: 05/1/2024-07/31/2024</t>
  </si>
  <si>
    <t>LESS: MONETIZATION 2024</t>
  </si>
  <si>
    <t>ADD: 08/1/2024-11/30/2024</t>
  </si>
  <si>
    <t>LESS: 12/23, 26-27/2024</t>
  </si>
  <si>
    <t>ADD: 12/1-31/2024</t>
  </si>
  <si>
    <t>LESS:  FL 2024</t>
  </si>
  <si>
    <t>ADD: 01/1/2025-04/30/2025</t>
  </si>
  <si>
    <t>LESS: 05/15-16/2025</t>
  </si>
  <si>
    <t>LESS: 05/22/2025</t>
  </si>
  <si>
    <t>LESS: 05/26-30/2025</t>
  </si>
  <si>
    <t>ADD: 05/1/2025-06/30/2025</t>
  </si>
  <si>
    <t>LESS: MONETIZATION 2025 (30 DAYS)</t>
  </si>
  <si>
    <t>LESS: 06/19/2025</t>
  </si>
  <si>
    <t>ADD: 07/1-31/2025</t>
  </si>
  <si>
    <t>LESS: 08/15/2025</t>
  </si>
  <si>
    <t>ADD: 08/1/2025-10/31/2025</t>
  </si>
  <si>
    <t>LESS: 11/03/2025</t>
  </si>
  <si>
    <t>ADD: 11/1-30/2025</t>
  </si>
  <si>
    <t>LESS: 12/22-23/2025</t>
  </si>
  <si>
    <t>LESS: 12/26/2025</t>
  </si>
  <si>
    <t>Certified Correct:</t>
  </si>
  <si>
    <t>MA. LUISA B. CATIGAN</t>
  </si>
  <si>
    <t>Administrative Officer IV</t>
  </si>
  <si>
    <t xml:space="preserve">                 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</si>
  <si>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</si>
  <si>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</si>
  <si>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</si>
  <si>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</si>
  <si>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</si>
  <si>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</si>
  <si>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</si>
  <si>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</si>
  <si>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LESS: 02/17/23</t>
  </si>
  <si>
    <t>ADD: APRIL 12, 2023</t>
  </si>
  <si>
    <t>S.O. # 047, S. 2023. PERFORMANCE PLANNING &amp; COMMITMENT FOR SY 2023</t>
  </si>
  <si>
    <t>LESS: 10/9-10/2023</t>
  </si>
  <si>
    <t>ADD: 10/11/2023</t>
  </si>
  <si>
    <t>S.O. # 084, S. 2023.CAPACITY BUILDING OF TEACHERS ON THE IMPLEMENTATION OF THE NATIONAL LEARNING CAMP</t>
  </si>
  <si>
    <t>ADD: 10/17/2023</t>
  </si>
  <si>
    <t>S.O. # 159, S. 2023. 125TH PHILIPPINE INDEPENDENCE DAY</t>
  </si>
  <si>
    <t>LESS: 10/20 &amp; 23/2023</t>
  </si>
  <si>
    <t>S.O. # 159, S. 2023. 125TH PHILIPPINE INDEPENDENCE DAY AND S.O. # 084, S. 2023.CAPACITY BUILDING OF TEACHERS ON THE IMPLEMENTATION OF THE NATIONAL LEARNING CAMP</t>
  </si>
  <si>
    <t>ADD: 06/26/2024</t>
  </si>
  <si>
    <t xml:space="preserve">S.O. # 024, S. 2024. 126TH PHILIPPINE INDEPENDENCE DAY </t>
  </si>
  <si>
    <t>LESS: 06/21/2024</t>
  </si>
  <si>
    <t>ADD: 05/20/2024</t>
  </si>
  <si>
    <t>SO # 015, S. 2024 PALARONG PANLALAWIGAN 2024</t>
  </si>
  <si>
    <t>LESS: 08/06/2024</t>
  </si>
  <si>
    <t>LESS: 04/30/2025 &amp; 05/2/2025</t>
  </si>
  <si>
    <t>ADD: 02/5/2025</t>
  </si>
  <si>
    <t>S.O. # 002, S. 2025. RIZAL DAY 2024</t>
  </si>
  <si>
    <t>LESS: 05/5/2025</t>
  </si>
  <si>
    <t>ADD: 05/13/2025</t>
  </si>
  <si>
    <t>S.O. # 019, S. 2025 PROVINCIAL MEET 2025</t>
  </si>
  <si>
    <t>LESS: 05/19, 20, 23/2025</t>
  </si>
  <si>
    <t>ADD: 06/5/2025</t>
  </si>
  <si>
    <t xml:space="preserve">S.O. # 030, S. 2025 REGIONAL SCREENING AND ACCREDITATION AND 2025 WESTERN VISAYAS REGIONAL ATHLETIC MEET </t>
  </si>
  <si>
    <t>4.5 DAYS &amp; 2.5 HRS</t>
  </si>
  <si>
    <t>LESS: 06/25/2025 &amp; 07/4/2025</t>
  </si>
  <si>
    <t>2.5 DAYS &amp; 2.5 HRS</t>
  </si>
  <si>
    <t>LESS:  07/1/2025</t>
  </si>
  <si>
    <t>1.5 DAYS &amp; 2.5 HRS</t>
  </si>
  <si>
    <t>NOTE:  Valid for one (1) year only</t>
  </si>
  <si>
    <t>HRMO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</si>
  <si>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</si>
  <si>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</si>
  <si>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</si>
  <si>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</si>
  <si>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</si>
  <si>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</si>
  <si>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</si>
  <si>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</si>
  <si>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</si>
  <si>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</si>
  <si>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</si>
  <si>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</si>
  <si>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</si>
  <si>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</si>
  <si>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</si>
  <si>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</si>
  <si>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</si>
  <si>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</si>
  <si>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8/20/2010 - 10/18/2010</t>
  </si>
  <si>
    <t>JAN 11, 12,13,14 &amp; 17,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</si>
</sst>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color theme="0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1" fillId="2" borderId="0" xfId="1" applyFill="1"/>
    <xf numFmtId="0" fontId="2" fillId="0" borderId="0" xfId="1" applyFont="1"/>
    <xf numFmtId="0" fontId="3" fillId="0" borderId="0" xfId="1" applyFont="1"/>
    <xf numFmtId="0" fontId="1" fillId="0" borderId="0" xfId="1"/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wrapText="1"/>
    </xf>
    <xf numFmtId="0" fontId="1" fillId="2" borderId="0" xfId="1" applyFill="1" applyAlignment="1">
      <alignment horizontal="center"/>
    </xf>
    <xf numFmtId="0" fontId="4" fillId="2" borderId="0" xfId="1" applyFont="1" applyFill="1" applyAlignment="1">
      <alignment vertical="center"/>
    </xf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6" fillId="3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vertical="center"/>
    </xf>
    <xf numFmtId="0" fontId="6" fillId="3" borderId="6" xfId="1" applyFont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 wrapText="1"/>
    </xf>
    <xf numFmtId="168" fontId="1" fillId="2" borderId="3" xfId="1" applyNumberFormat="1" applyFill="1" applyBorder="1" applyAlignment="1">
      <alignment horizontal="center" vertical="center"/>
    </xf>
    <xf numFmtId="0" fontId="1" fillId="2" borderId="0" xfId="2" applyFill="1"/>
    <xf numFmtId="0" fontId="2" fillId="0" borderId="0" xfId="2" applyFont="1"/>
    <xf numFmtId="0" fontId="3" fillId="0" borderId="0" xfId="2" applyFont="1"/>
    <xf numFmtId="0" fontId="1" fillId="0" borderId="0" xfId="2"/>
    <xf numFmtId="0" fontId="4" fillId="2" borderId="0" xfId="2" applyFont="1" applyFill="1" applyAlignment="1">
      <alignment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0" xfId="2" applyFont="1" applyFill="1"/>
    <xf numFmtId="0" fontId="4" fillId="2" borderId="8" xfId="2" applyFont="1" applyFill="1" applyBorder="1" applyAlignment="1">
      <alignment vertical="center"/>
    </xf>
    <xf numFmtId="0" fontId="1" fillId="2" borderId="4" xfId="2" applyFill="1" applyBorder="1" applyAlignment="1">
      <alignment horizontal="center" vertical="center" wrapText="1"/>
    </xf>
    <xf numFmtId="0" fontId="0" fillId="2" borderId="4" xfId="2" applyFont="1" applyFill="1" applyBorder="1" applyAlignment="1">
      <alignment horizontal="center" vertical="center" wrapText="1"/>
    </xf>
    <xf numFmtId="0" fontId="0" fillId="2" borderId="3" xfId="2" applyFont="1" applyFill="1" applyBorder="1" applyAlignment="1">
      <alignment horizontal="center" vertical="center" wrapText="1"/>
    </xf>
    <xf numFmtId="0" fontId="1" fillId="2" borderId="3" xfId="2" applyFill="1" applyBorder="1" applyAlignment="1">
      <alignment horizontal="center" vertical="center" wrapText="1"/>
    </xf>
    <xf numFmtId="0" fontId="1" fillId="0" borderId="0" xfId="2" applyAlignment="1">
      <alignment vertical="center"/>
    </xf>
    <xf numFmtId="0" fontId="7" fillId="2" borderId="0" xfId="2" applyFont="1" applyFill="1" applyAlignment="1">
      <alignment horizontal="center" vertical="center" wrapText="1"/>
    </xf>
    <xf numFmtId="0" fontId="1" fillId="2" borderId="0" xfId="2" applyFill="1" applyAlignment="1">
      <alignment horizontal="center"/>
    </xf>
    <xf numFmtId="0" fontId="1" fillId="2" borderId="7" xfId="2" applyFill="1" applyBorder="1" applyAlignment="1">
      <alignment horizontal="center" vertical="center" wrapText="1"/>
    </xf>
    <xf numFmtId="0" fontId="1" fillId="6" borderId="3" xfId="2" applyFill="1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7" fillId="2" borderId="3" xfId="2" applyFont="1" applyFill="1" applyBorder="1" applyAlignment="1">
      <alignment vertical="center" wrapText="1"/>
    </xf>
    <xf numFmtId="0" fontId="1" fillId="2" borderId="0" xfId="2" applyFill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8" fontId="1" fillId="2" borderId="3" xfId="0" applyNumberFormat="1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8" fontId="1" fillId="2" borderId="3" xfId="0" applyNumberFormat="1" applyFont="1" applyFill="1" applyBorder="1" applyAlignment="1">
      <alignment horizontal="center" vertical="center" wrapText="1"/>
    </xf>
    <xf numFmtId="168" fontId="1" fillId="0" borderId="3" xfId="0" applyNumberFormat="1" applyFont="1" applyBorder="1" applyAlignment="1">
      <alignment horizontal="center" vertical="center"/>
    </xf>
    <xf numFmtId="168" fontId="1" fillId="8" borderId="3" xfId="0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0" fontId="1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" fillId="2" borderId="0" xfId="2" applyFill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5" borderId="10" xfId="2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center" vertical="center"/>
    </xf>
    <xf numFmtId="0" fontId="7" fillId="4" borderId="12" xfId="2" applyFont="1" applyFill="1" applyBorder="1" applyAlignment="1">
      <alignment horizontal="center" vertical="center" wrapText="1"/>
    </xf>
    <xf numFmtId="0" fontId="7" fillId="4" borderId="13" xfId="2" applyFont="1" applyFill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6" borderId="12" xfId="2" applyFont="1" applyFill="1" applyBorder="1" applyAlignment="1">
      <alignment horizontal="center" vertical="center" wrapText="1"/>
    </xf>
    <xf numFmtId="0" fontId="7" fillId="6" borderId="14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0" fontId="1" fillId="0" borderId="0" xfId="2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/>
    </xf>
    <xf numFmtId="0" fontId="5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8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168" fontId="1" fillId="10" borderId="3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31000000}"/>
    <cellStyle name="Normal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95250</xdr:rowOff>
    </xdr:from>
    <xdr:to>
      <xdr:col>4</xdr:col>
      <xdr:colOff>308105</xdr:colOff>
      <xdr:row>0</xdr:row>
      <xdr:rowOff>625475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7535" y="95250"/>
          <a:ext cx="70167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146051</xdr:rowOff>
    </xdr:from>
    <xdr:to>
      <xdr:col>2</xdr:col>
      <xdr:colOff>63500</xdr:colOff>
      <xdr:row>6</xdr:row>
      <xdr:rowOff>116011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51280"/>
          <a:ext cx="2703830" cy="27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GEMOTRA,</a:t>
          </a:r>
          <a:r>
            <a:rPr lang="en-US" sz="1100" baseline="0"/>
            <a:t> ELIZABETH D.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180340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62839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561294</xdr:colOff>
      <xdr:row>0</xdr:row>
      <xdr:rowOff>40369</xdr:rowOff>
    </xdr:from>
    <xdr:to>
      <xdr:col>4</xdr:col>
      <xdr:colOff>653141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490" y="40005"/>
          <a:ext cx="68961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06184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GEMOTRA, ELIZABETH D.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759200" y="1706880"/>
          <a:ext cx="129794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385" y="28575"/>
          <a:ext cx="683895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932045"/>
          <a:ext cx="29749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77240" y="1485265"/>
          <a:ext cx="1498600" cy="248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GEMOTRA,</a:t>
          </a:r>
          <a:r>
            <a:rPr lang="en-US" sz="1100" baseline="0"/>
            <a:t> ELIZABETH</a:t>
          </a:r>
          <a:endParaRPr lang="en-US" sz="1100"/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751205" y="1808480"/>
          <a:ext cx="1323340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672840" y="1714500"/>
          <a:ext cx="148082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view="pageBreakPreview" topLeftCell="A91" zoomScaleNormal="100" workbookViewId="0">
      <selection activeCell="A117" sqref="A117"/>
    </sheetView>
  </sheetViews>
  <sheetFormatPr defaultColWidth="9" defaultRowHeight="14.45"/>
  <cols>
    <col min="1" max="1" width="35.25" customWidth="1"/>
    <col min="2" max="10" width="11.625" customWidth="1"/>
    <col min="11" max="11" width="26.375" style="46" customWidth="1"/>
  </cols>
  <sheetData>
    <row r="1" spans="1:11" s="43" customFormat="1" ht="52.5" customHeight="1"/>
    <row r="2" spans="1:11" s="43" customFormat="1" ht="10.5" customHeight="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</row>
    <row r="3" spans="1:11" s="43" customFormat="1" ht="15.95" customHeight="1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</row>
    <row r="4" spans="1:11" s="43" customFormat="1" ht="15.95" customHeight="1">
      <c r="A4" s="63" t="s">
        <v>2</v>
      </c>
      <c r="B4" s="63"/>
      <c r="C4" s="63"/>
      <c r="D4" s="63"/>
      <c r="E4" s="63"/>
      <c r="F4" s="63"/>
      <c r="G4" s="63"/>
      <c r="H4" s="63"/>
      <c r="I4" s="63"/>
      <c r="J4" s="63"/>
    </row>
    <row r="5" spans="1:11" s="43" customFormat="1" ht="15.95" customHeight="1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</row>
    <row r="6" spans="1:11" s="43" customFormat="1" ht="8.25" customHeight="1"/>
    <row r="7" spans="1:11" s="43" customFormat="1" ht="12" customHeight="1">
      <c r="A7" s="43" t="s">
        <v>4</v>
      </c>
      <c r="B7" s="64" t="s">
        <v>5</v>
      </c>
      <c r="C7" s="64"/>
      <c r="D7" s="64"/>
      <c r="H7" s="47" t="s">
        <v>6</v>
      </c>
      <c r="I7" s="53"/>
      <c r="J7" s="47"/>
    </row>
    <row r="8" spans="1:11" s="43" customFormat="1" ht="12" customHeight="1">
      <c r="B8" s="48"/>
      <c r="C8" s="48"/>
      <c r="H8" s="48"/>
      <c r="I8" s="48"/>
      <c r="J8" s="48"/>
    </row>
    <row r="9" spans="1:11" s="43" customFormat="1" ht="12" customHeight="1">
      <c r="A9" s="43" t="s">
        <v>7</v>
      </c>
      <c r="B9" s="64" t="s">
        <v>8</v>
      </c>
      <c r="C9" s="64"/>
      <c r="D9" s="64"/>
      <c r="H9" s="47" t="s">
        <v>9</v>
      </c>
      <c r="I9" s="54"/>
      <c r="J9" s="47"/>
    </row>
    <row r="10" spans="1:11" ht="16.5" customHeight="1">
      <c r="A10" s="65" t="s">
        <v>10</v>
      </c>
      <c r="B10" s="65"/>
      <c r="C10" s="65"/>
      <c r="D10" s="65"/>
      <c r="E10" s="65"/>
      <c r="F10" s="65"/>
      <c r="G10" s="65"/>
      <c r="H10" s="65"/>
      <c r="I10" s="65"/>
      <c r="J10" s="65"/>
      <c r="K10"/>
    </row>
    <row r="11" spans="1:11" ht="18.75" customHeight="1">
      <c r="A11" s="69" t="s">
        <v>11</v>
      </c>
      <c r="B11" s="101" t="s">
        <v>12</v>
      </c>
      <c r="C11" s="101"/>
      <c r="D11" s="66" t="s">
        <v>13</v>
      </c>
      <c r="E11" s="67"/>
      <c r="F11" s="67"/>
      <c r="G11" s="68"/>
      <c r="H11" s="102" t="s">
        <v>14</v>
      </c>
      <c r="I11" s="102"/>
      <c r="J11" s="71" t="s">
        <v>15</v>
      </c>
      <c r="K11" s="73" t="s">
        <v>16</v>
      </c>
    </row>
    <row r="12" spans="1:11" ht="18.75" customHeight="1">
      <c r="A12" s="70"/>
      <c r="B12" s="49" t="s">
        <v>17</v>
      </c>
      <c r="C12" s="49" t="s">
        <v>18</v>
      </c>
      <c r="D12" s="49" t="s">
        <v>17</v>
      </c>
      <c r="E12" s="49" t="s">
        <v>18</v>
      </c>
      <c r="F12" s="49" t="s">
        <v>19</v>
      </c>
      <c r="G12" s="49" t="s">
        <v>20</v>
      </c>
      <c r="H12" s="49" t="s">
        <v>17</v>
      </c>
      <c r="I12" s="49" t="s">
        <v>18</v>
      </c>
      <c r="J12" s="72"/>
      <c r="K12" s="73"/>
    </row>
    <row r="13" spans="1:11" s="44" customFormat="1" ht="15.95" customHeight="1">
      <c r="A13" s="50" t="s">
        <v>21</v>
      </c>
      <c r="B13" s="51">
        <v>0.20799999999999999</v>
      </c>
      <c r="C13" s="51">
        <v>0.20799999999999999</v>
      </c>
      <c r="D13" s="51"/>
      <c r="E13" s="51"/>
      <c r="F13" s="51"/>
      <c r="G13" s="51"/>
      <c r="H13" s="51">
        <f>B13</f>
        <v>0.20799999999999999</v>
      </c>
      <c r="I13" s="51">
        <f>C13</f>
        <v>0.20799999999999999</v>
      </c>
      <c r="J13" s="51">
        <f>SUM(H13:I13)</f>
        <v>0.41599999999999998</v>
      </c>
      <c r="K13" s="55"/>
    </row>
    <row r="14" spans="1:11" s="44" customFormat="1" ht="15.95" customHeight="1">
      <c r="A14" s="50" t="s">
        <v>22</v>
      </c>
      <c r="B14" s="51">
        <v>15</v>
      </c>
      <c r="C14" s="51">
        <v>15</v>
      </c>
      <c r="D14" s="51"/>
      <c r="E14" s="51"/>
      <c r="F14" s="51"/>
      <c r="G14" s="51"/>
      <c r="H14" s="51">
        <f>H13-F14-D14+B14</f>
        <v>15.208</v>
      </c>
      <c r="I14" s="51">
        <f>I13-E14+C14</f>
        <v>15.208</v>
      </c>
      <c r="J14" s="51">
        <f t="shared" ref="J14:J24" si="0">SUM(H14:I14)</f>
        <v>30.416</v>
      </c>
      <c r="K14" s="55"/>
    </row>
    <row r="15" spans="1:11" s="44" customFormat="1" ht="15.95" customHeight="1">
      <c r="A15" s="50" t="s">
        <v>23</v>
      </c>
      <c r="B15" s="51"/>
      <c r="C15" s="51"/>
      <c r="D15" s="51"/>
      <c r="E15" s="51"/>
      <c r="F15" s="51">
        <v>5</v>
      </c>
      <c r="G15" s="51"/>
      <c r="H15" s="51">
        <f t="shared" ref="H15:H24" si="1">H14-F15-D15+B15</f>
        <v>10.208</v>
      </c>
      <c r="I15" s="51">
        <f t="shared" ref="I15:I24" si="2">I14-E15+C15</f>
        <v>15.208</v>
      </c>
      <c r="J15" s="51">
        <f t="shared" si="0"/>
        <v>25.416</v>
      </c>
      <c r="K15" s="55"/>
    </row>
    <row r="16" spans="1:11" s="44" customFormat="1" ht="15.95" customHeight="1">
      <c r="A16" s="50" t="s">
        <v>24</v>
      </c>
      <c r="B16" s="51"/>
      <c r="C16" s="51"/>
      <c r="D16" s="51">
        <v>5</v>
      </c>
      <c r="E16" s="51">
        <v>10</v>
      </c>
      <c r="F16" s="51"/>
      <c r="G16" s="51"/>
      <c r="H16" s="51">
        <f t="shared" si="1"/>
        <v>5.2080000000000002</v>
      </c>
      <c r="I16" s="51">
        <f t="shared" si="2"/>
        <v>5.2080000000000002</v>
      </c>
      <c r="J16" s="51">
        <f t="shared" si="0"/>
        <v>10.416</v>
      </c>
      <c r="K16" s="55"/>
    </row>
    <row r="17" spans="1:11" s="44" customFormat="1" ht="15.95" customHeight="1">
      <c r="A17" s="50" t="s">
        <v>25</v>
      </c>
      <c r="B17" s="51">
        <v>15</v>
      </c>
      <c r="C17" s="51">
        <v>15</v>
      </c>
      <c r="D17" s="51"/>
      <c r="E17" s="51"/>
      <c r="F17" s="51"/>
      <c r="G17" s="51"/>
      <c r="H17" s="51">
        <f t="shared" si="1"/>
        <v>20.207999999999998</v>
      </c>
      <c r="I17" s="51">
        <f t="shared" si="2"/>
        <v>20.207999999999998</v>
      </c>
      <c r="J17" s="51">
        <f t="shared" si="0"/>
        <v>40.415999999999997</v>
      </c>
      <c r="K17" s="55"/>
    </row>
    <row r="18" spans="1:11" s="44" customFormat="1" ht="15.95" customHeight="1">
      <c r="A18" s="50" t="s">
        <v>26</v>
      </c>
      <c r="B18" s="51"/>
      <c r="C18" s="51"/>
      <c r="D18" s="51"/>
      <c r="E18" s="51"/>
      <c r="F18" s="51">
        <v>5</v>
      </c>
      <c r="G18" s="51"/>
      <c r="H18" s="51">
        <f t="shared" si="1"/>
        <v>15.207999999999998</v>
      </c>
      <c r="I18" s="51">
        <f t="shared" si="2"/>
        <v>20.207999999999998</v>
      </c>
      <c r="J18" s="51">
        <f t="shared" si="0"/>
        <v>35.415999999999997</v>
      </c>
      <c r="K18" s="55"/>
    </row>
    <row r="19" spans="1:11" s="44" customFormat="1" ht="15.95" customHeight="1">
      <c r="A19" s="50" t="s">
        <v>27</v>
      </c>
      <c r="B19" s="51"/>
      <c r="C19" s="51"/>
      <c r="D19" s="51">
        <v>10</v>
      </c>
      <c r="E19" s="51">
        <v>5</v>
      </c>
      <c r="F19" s="51"/>
      <c r="G19" s="51"/>
      <c r="H19" s="51">
        <f t="shared" si="1"/>
        <v>5.2079999999999984</v>
      </c>
      <c r="I19" s="51">
        <f t="shared" si="2"/>
        <v>15.207999999999998</v>
      </c>
      <c r="J19" s="51">
        <f t="shared" si="0"/>
        <v>20.415999999999997</v>
      </c>
      <c r="K19" s="55"/>
    </row>
    <row r="20" spans="1:11" s="44" customFormat="1" ht="15.95" customHeight="1">
      <c r="A20" s="50" t="s">
        <v>28</v>
      </c>
      <c r="B20" s="51"/>
      <c r="C20" s="51"/>
      <c r="D20" s="51">
        <v>3</v>
      </c>
      <c r="E20" s="51">
        <v>10</v>
      </c>
      <c r="F20" s="51"/>
      <c r="G20" s="51"/>
      <c r="H20" s="51">
        <f t="shared" si="1"/>
        <v>2.2079999999999984</v>
      </c>
      <c r="I20" s="51">
        <f t="shared" si="2"/>
        <v>5.2079999999999984</v>
      </c>
      <c r="J20" s="51">
        <f t="shared" si="0"/>
        <v>7.4159999999999968</v>
      </c>
      <c r="K20" s="55"/>
    </row>
    <row r="21" spans="1:11" s="44" customFormat="1" ht="15.95" customHeight="1">
      <c r="A21" s="50" t="s">
        <v>29</v>
      </c>
      <c r="B21" s="51">
        <v>15</v>
      </c>
      <c r="C21" s="51">
        <v>15</v>
      </c>
      <c r="D21" s="51"/>
      <c r="E21" s="51"/>
      <c r="F21" s="51"/>
      <c r="G21" s="51"/>
      <c r="H21" s="51">
        <f t="shared" si="1"/>
        <v>17.207999999999998</v>
      </c>
      <c r="I21" s="51">
        <f t="shared" si="2"/>
        <v>20.207999999999998</v>
      </c>
      <c r="J21" s="51">
        <f t="shared" si="0"/>
        <v>37.415999999999997</v>
      </c>
      <c r="K21" s="55"/>
    </row>
    <row r="22" spans="1:11" s="44" customFormat="1" ht="15.95" customHeight="1">
      <c r="A22" s="50" t="s">
        <v>30</v>
      </c>
      <c r="B22" s="51"/>
      <c r="C22" s="51"/>
      <c r="D22" s="51"/>
      <c r="E22" s="51"/>
      <c r="F22" s="51">
        <v>5</v>
      </c>
      <c r="G22" s="51"/>
      <c r="H22" s="51">
        <f t="shared" si="1"/>
        <v>12.207999999999998</v>
      </c>
      <c r="I22" s="51">
        <f t="shared" si="2"/>
        <v>20.207999999999998</v>
      </c>
      <c r="J22" s="51">
        <f t="shared" si="0"/>
        <v>32.415999999999997</v>
      </c>
      <c r="K22" s="55"/>
    </row>
    <row r="23" spans="1:11" s="44" customFormat="1" ht="15.95" customHeight="1">
      <c r="A23" s="50" t="s">
        <v>31</v>
      </c>
      <c r="B23" s="51"/>
      <c r="C23" s="51"/>
      <c r="D23" s="51">
        <v>10</v>
      </c>
      <c r="E23" s="51">
        <v>10</v>
      </c>
      <c r="F23" s="51"/>
      <c r="G23" s="51"/>
      <c r="H23" s="51">
        <f t="shared" si="1"/>
        <v>2.2079999999999984</v>
      </c>
      <c r="I23" s="51">
        <f t="shared" si="2"/>
        <v>10.207999999999998</v>
      </c>
      <c r="J23" s="51">
        <f t="shared" si="0"/>
        <v>12.415999999999997</v>
      </c>
      <c r="K23" s="55"/>
    </row>
    <row r="24" spans="1:11" s="44" customFormat="1" ht="15.95" customHeight="1">
      <c r="A24" s="50" t="s">
        <v>32</v>
      </c>
      <c r="B24" s="51"/>
      <c r="C24" s="51"/>
      <c r="D24" s="51">
        <v>2</v>
      </c>
      <c r="E24" s="51">
        <v>7</v>
      </c>
      <c r="F24" s="51"/>
      <c r="G24" s="51"/>
      <c r="H24" s="51">
        <f t="shared" si="1"/>
        <v>0.20799999999999841</v>
      </c>
      <c r="I24" s="51">
        <f t="shared" si="2"/>
        <v>3.2079999999999984</v>
      </c>
      <c r="J24" s="51">
        <f t="shared" si="0"/>
        <v>3.4159999999999968</v>
      </c>
      <c r="K24" s="55"/>
    </row>
    <row r="25" spans="1:11" s="44" customFormat="1" ht="15.95" customHeight="1">
      <c r="A25" s="50" t="s">
        <v>33</v>
      </c>
      <c r="B25" s="51">
        <v>15</v>
      </c>
      <c r="C25" s="51">
        <v>15</v>
      </c>
      <c r="D25" s="51"/>
      <c r="E25" s="51"/>
      <c r="F25" s="51"/>
      <c r="G25" s="51"/>
      <c r="H25" s="51">
        <f t="shared" ref="H25:H31" si="3">H24-F25-D25+B25</f>
        <v>15.207999999999998</v>
      </c>
      <c r="I25" s="51">
        <f t="shared" ref="I25:I31" si="4">I24-E25+C25</f>
        <v>18.207999999999998</v>
      </c>
      <c r="J25" s="51">
        <f t="shared" ref="J25:J31" si="5">SUM(H25:I25)</f>
        <v>33.415999999999997</v>
      </c>
      <c r="K25" s="55"/>
    </row>
    <row r="26" spans="1:11" s="44" customFormat="1" ht="15.95" customHeight="1">
      <c r="A26" s="50" t="s">
        <v>34</v>
      </c>
      <c r="B26" s="51"/>
      <c r="C26" s="51"/>
      <c r="D26" s="51"/>
      <c r="E26" s="51"/>
      <c r="F26" s="51">
        <v>5</v>
      </c>
      <c r="G26" s="51"/>
      <c r="H26" s="51">
        <f t="shared" si="3"/>
        <v>10.207999999999998</v>
      </c>
      <c r="I26" s="51">
        <f t="shared" si="4"/>
        <v>18.207999999999998</v>
      </c>
      <c r="J26" s="51">
        <f t="shared" si="5"/>
        <v>28.415999999999997</v>
      </c>
      <c r="K26" s="55"/>
    </row>
    <row r="27" spans="1:11" s="44" customFormat="1" ht="15.95" customHeight="1">
      <c r="A27" s="50" t="s">
        <v>35</v>
      </c>
      <c r="B27" s="51"/>
      <c r="C27" s="51"/>
      <c r="D27" s="51">
        <v>8</v>
      </c>
      <c r="E27" s="51">
        <v>12</v>
      </c>
      <c r="F27" s="51"/>
      <c r="G27" s="51"/>
      <c r="H27" s="51">
        <f t="shared" si="3"/>
        <v>2.2079999999999984</v>
      </c>
      <c r="I27" s="51">
        <f t="shared" si="4"/>
        <v>6.2079999999999984</v>
      </c>
      <c r="J27" s="51">
        <f t="shared" si="5"/>
        <v>8.4159999999999968</v>
      </c>
      <c r="K27" s="55"/>
    </row>
    <row r="28" spans="1:11" s="44" customFormat="1" ht="15.95" customHeight="1">
      <c r="A28" s="50" t="s">
        <v>36</v>
      </c>
      <c r="B28" s="51">
        <v>15</v>
      </c>
      <c r="C28" s="51">
        <v>15</v>
      </c>
      <c r="D28" s="51"/>
      <c r="E28" s="51"/>
      <c r="F28" s="51"/>
      <c r="G28" s="51"/>
      <c r="H28" s="51">
        <f t="shared" si="3"/>
        <v>17.207999999999998</v>
      </c>
      <c r="I28" s="51">
        <f t="shared" si="4"/>
        <v>21.207999999999998</v>
      </c>
      <c r="J28" s="51">
        <f t="shared" si="5"/>
        <v>38.415999999999997</v>
      </c>
      <c r="K28" s="55"/>
    </row>
    <row r="29" spans="1:11" s="44" customFormat="1" ht="15.95" customHeight="1">
      <c r="A29" s="50" t="s">
        <v>37</v>
      </c>
      <c r="B29" s="51"/>
      <c r="C29" s="51"/>
      <c r="D29" s="51"/>
      <c r="E29" s="51"/>
      <c r="F29" s="51">
        <v>5</v>
      </c>
      <c r="G29" s="51"/>
      <c r="H29" s="51">
        <f t="shared" si="3"/>
        <v>12.207999999999998</v>
      </c>
      <c r="I29" s="51">
        <f t="shared" si="4"/>
        <v>21.207999999999998</v>
      </c>
      <c r="J29" s="51">
        <f t="shared" si="5"/>
        <v>33.415999999999997</v>
      </c>
      <c r="K29" s="55"/>
    </row>
    <row r="30" spans="1:11" s="44" customFormat="1" ht="15.95" customHeight="1">
      <c r="A30" s="50" t="s">
        <v>38</v>
      </c>
      <c r="B30" s="51">
        <v>15</v>
      </c>
      <c r="C30" s="51">
        <v>15</v>
      </c>
      <c r="D30" s="51"/>
      <c r="E30" s="51"/>
      <c r="F30" s="51"/>
      <c r="G30" s="51"/>
      <c r="H30" s="51">
        <f t="shared" si="3"/>
        <v>27.207999999999998</v>
      </c>
      <c r="I30" s="51">
        <f t="shared" si="4"/>
        <v>36.207999999999998</v>
      </c>
      <c r="J30" s="51">
        <f t="shared" si="5"/>
        <v>63.415999999999997</v>
      </c>
      <c r="K30" s="55"/>
    </row>
    <row r="31" spans="1:11" s="44" customFormat="1" ht="15.95" customHeight="1">
      <c r="A31" s="50" t="s">
        <v>39</v>
      </c>
      <c r="B31" s="51"/>
      <c r="C31" s="51"/>
      <c r="D31" s="51"/>
      <c r="E31" s="51"/>
      <c r="F31" s="51">
        <v>5</v>
      </c>
      <c r="G31" s="51"/>
      <c r="H31" s="51">
        <f t="shared" si="3"/>
        <v>22.207999999999998</v>
      </c>
      <c r="I31" s="51">
        <f t="shared" si="4"/>
        <v>36.207999999999998</v>
      </c>
      <c r="J31" s="51">
        <f t="shared" si="5"/>
        <v>58.415999999999997</v>
      </c>
      <c r="K31" s="55"/>
    </row>
    <row r="32" spans="1:11" s="44" customFormat="1" ht="15.95" customHeight="1">
      <c r="A32" s="50" t="s">
        <v>40</v>
      </c>
      <c r="B32" s="51"/>
      <c r="C32" s="51"/>
      <c r="D32" s="51">
        <v>10</v>
      </c>
      <c r="E32" s="51">
        <v>20</v>
      </c>
      <c r="F32" s="51"/>
      <c r="G32" s="51"/>
      <c r="H32" s="51">
        <f t="shared" ref="H32:H36" si="6">H31-F32-D32+B32</f>
        <v>12.207999999999998</v>
      </c>
      <c r="I32" s="51">
        <f t="shared" ref="I32:I36" si="7">I31-E32+C32</f>
        <v>16.207999999999998</v>
      </c>
      <c r="J32" s="51">
        <f t="shared" ref="J32:J36" si="8">SUM(H32:I32)</f>
        <v>28.415999999999997</v>
      </c>
      <c r="K32" s="55"/>
    </row>
    <row r="33" spans="1:11" s="44" customFormat="1" ht="15.95" customHeight="1">
      <c r="A33" s="50" t="s">
        <v>41</v>
      </c>
      <c r="B33" s="51">
        <v>15</v>
      </c>
      <c r="C33" s="51">
        <v>15</v>
      </c>
      <c r="D33" s="51"/>
      <c r="E33" s="51"/>
      <c r="F33" s="51"/>
      <c r="G33" s="51"/>
      <c r="H33" s="51">
        <f t="shared" si="6"/>
        <v>27.207999999999998</v>
      </c>
      <c r="I33" s="51">
        <f t="shared" si="7"/>
        <v>31.207999999999998</v>
      </c>
      <c r="J33" s="51">
        <f t="shared" si="8"/>
        <v>58.415999999999997</v>
      </c>
      <c r="K33" s="55"/>
    </row>
    <row r="34" spans="1:11" s="44" customFormat="1" ht="15.95" customHeight="1">
      <c r="A34" s="50" t="s">
        <v>42</v>
      </c>
      <c r="B34" s="51"/>
      <c r="C34" s="51"/>
      <c r="D34" s="51"/>
      <c r="E34" s="51"/>
      <c r="F34" s="51">
        <v>5</v>
      </c>
      <c r="G34" s="51"/>
      <c r="H34" s="51">
        <f t="shared" si="6"/>
        <v>22.207999999999998</v>
      </c>
      <c r="I34" s="51">
        <f t="shared" si="7"/>
        <v>31.207999999999998</v>
      </c>
      <c r="J34" s="51">
        <f t="shared" si="8"/>
        <v>53.415999999999997</v>
      </c>
      <c r="K34" s="55"/>
    </row>
    <row r="35" spans="1:11" s="44" customFormat="1" ht="15.95" customHeight="1">
      <c r="A35" s="50" t="s">
        <v>43</v>
      </c>
      <c r="B35" s="51">
        <v>15</v>
      </c>
      <c r="C35" s="51">
        <v>15</v>
      </c>
      <c r="D35" s="51"/>
      <c r="E35" s="51"/>
      <c r="F35" s="51"/>
      <c r="G35" s="51"/>
      <c r="H35" s="51">
        <f t="shared" si="6"/>
        <v>37.207999999999998</v>
      </c>
      <c r="I35" s="51">
        <f t="shared" si="7"/>
        <v>46.207999999999998</v>
      </c>
      <c r="J35" s="51">
        <f t="shared" si="8"/>
        <v>83.415999999999997</v>
      </c>
      <c r="K35" s="55"/>
    </row>
    <row r="36" spans="1:11" s="44" customFormat="1" ht="15.95" customHeight="1">
      <c r="A36" s="50" t="s">
        <v>44</v>
      </c>
      <c r="B36" s="51"/>
      <c r="C36" s="51"/>
      <c r="D36" s="51"/>
      <c r="E36" s="51"/>
      <c r="F36" s="51">
        <v>5</v>
      </c>
      <c r="G36" s="51"/>
      <c r="H36" s="51">
        <f t="shared" si="6"/>
        <v>32.207999999999998</v>
      </c>
      <c r="I36" s="51">
        <f t="shared" si="7"/>
        <v>46.207999999999998</v>
      </c>
      <c r="J36" s="51">
        <f t="shared" si="8"/>
        <v>78.415999999999997</v>
      </c>
      <c r="K36" s="55"/>
    </row>
    <row r="37" spans="1:11" s="44" customFormat="1" ht="15.95" customHeight="1">
      <c r="A37" s="50" t="s">
        <v>45</v>
      </c>
      <c r="B37" s="51"/>
      <c r="C37" s="51"/>
      <c r="D37" s="51">
        <v>10</v>
      </c>
      <c r="E37" s="51"/>
      <c r="F37" s="51"/>
      <c r="G37" s="51"/>
      <c r="H37" s="51">
        <f t="shared" ref="H37:H39" si="9">H36-F37-D37+B37</f>
        <v>22.207999999999998</v>
      </c>
      <c r="I37" s="51">
        <f t="shared" ref="I37:I39" si="10">I36-E37+C37</f>
        <v>46.207999999999998</v>
      </c>
      <c r="J37" s="51">
        <f t="shared" ref="J37:J39" si="11">SUM(H37:I37)</f>
        <v>68.415999999999997</v>
      </c>
      <c r="K37" s="55"/>
    </row>
    <row r="38" spans="1:11" s="44" customFormat="1" ht="15.95" customHeight="1">
      <c r="A38" s="50" t="s">
        <v>46</v>
      </c>
      <c r="B38" s="51">
        <v>15</v>
      </c>
      <c r="C38" s="51">
        <v>15</v>
      </c>
      <c r="D38" s="51"/>
      <c r="E38" s="51"/>
      <c r="F38" s="51"/>
      <c r="G38" s="51"/>
      <c r="H38" s="51">
        <f t="shared" si="9"/>
        <v>37.207999999999998</v>
      </c>
      <c r="I38" s="51">
        <f t="shared" si="10"/>
        <v>61.207999999999998</v>
      </c>
      <c r="J38" s="51">
        <f t="shared" si="11"/>
        <v>98.415999999999997</v>
      </c>
      <c r="K38" s="55"/>
    </row>
    <row r="39" spans="1:11" s="44" customFormat="1" ht="15.95" customHeight="1">
      <c r="A39" s="50" t="s">
        <v>47</v>
      </c>
      <c r="B39" s="51"/>
      <c r="C39" s="51"/>
      <c r="D39" s="51"/>
      <c r="E39" s="51"/>
      <c r="F39" s="51">
        <v>5</v>
      </c>
      <c r="G39" s="51"/>
      <c r="H39" s="51">
        <f t="shared" si="9"/>
        <v>32.207999999999998</v>
      </c>
      <c r="I39" s="51">
        <f t="shared" si="10"/>
        <v>61.207999999999998</v>
      </c>
      <c r="J39" s="51">
        <f t="shared" si="11"/>
        <v>93.415999999999997</v>
      </c>
      <c r="K39" s="55"/>
    </row>
    <row r="40" spans="1:11" s="44" customFormat="1" ht="15.95" customHeight="1">
      <c r="A40" s="50" t="s">
        <v>48</v>
      </c>
      <c r="B40" s="51"/>
      <c r="C40" s="51"/>
      <c r="D40" s="51">
        <v>10</v>
      </c>
      <c r="E40" s="51"/>
      <c r="F40" s="51"/>
      <c r="G40" s="51"/>
      <c r="H40" s="51">
        <f t="shared" ref="H40:H52" si="12">H39-F40-D40+B40</f>
        <v>22.207999999999998</v>
      </c>
      <c r="I40" s="51">
        <f t="shared" ref="I40:I52" si="13">I39-E40+C40</f>
        <v>61.207999999999998</v>
      </c>
      <c r="J40" s="51">
        <f t="shared" ref="J40:J52" si="14">SUM(H40:I40)</f>
        <v>83.415999999999997</v>
      </c>
      <c r="K40" s="55"/>
    </row>
    <row r="41" spans="1:11" s="44" customFormat="1" ht="15.95" customHeight="1">
      <c r="A41" s="50" t="s">
        <v>49</v>
      </c>
      <c r="B41" s="51">
        <v>15</v>
      </c>
      <c r="C41" s="51">
        <v>15</v>
      </c>
      <c r="D41" s="51"/>
      <c r="E41" s="51"/>
      <c r="F41" s="51"/>
      <c r="G41" s="51"/>
      <c r="H41" s="51">
        <f t="shared" si="12"/>
        <v>37.207999999999998</v>
      </c>
      <c r="I41" s="51">
        <f t="shared" si="13"/>
        <v>76.207999999999998</v>
      </c>
      <c r="J41" s="51">
        <f t="shared" si="14"/>
        <v>113.416</v>
      </c>
      <c r="K41" s="55"/>
    </row>
    <row r="42" spans="1:11" s="44" customFormat="1" ht="15.95" customHeight="1">
      <c r="A42" s="50" t="s">
        <v>50</v>
      </c>
      <c r="B42" s="51"/>
      <c r="C42" s="51"/>
      <c r="D42" s="51"/>
      <c r="E42" s="51"/>
      <c r="F42" s="51">
        <v>5</v>
      </c>
      <c r="G42" s="51"/>
      <c r="H42" s="51">
        <f t="shared" si="12"/>
        <v>32.207999999999998</v>
      </c>
      <c r="I42" s="51">
        <f t="shared" si="13"/>
        <v>76.207999999999998</v>
      </c>
      <c r="J42" s="51">
        <f t="shared" si="14"/>
        <v>108.416</v>
      </c>
      <c r="K42" s="55"/>
    </row>
    <row r="43" spans="1:11" s="44" customFormat="1" ht="15.95" customHeight="1">
      <c r="A43" s="50" t="s">
        <v>51</v>
      </c>
      <c r="B43" s="51"/>
      <c r="C43" s="51"/>
      <c r="D43" s="51">
        <v>10</v>
      </c>
      <c r="E43" s="51"/>
      <c r="F43" s="51"/>
      <c r="G43" s="51"/>
      <c r="H43" s="51">
        <f t="shared" si="12"/>
        <v>22.207999999999998</v>
      </c>
      <c r="I43" s="51">
        <f t="shared" si="13"/>
        <v>76.207999999999998</v>
      </c>
      <c r="J43" s="51">
        <f t="shared" si="14"/>
        <v>98.415999999999997</v>
      </c>
      <c r="K43" s="55"/>
    </row>
    <row r="44" spans="1:11" s="44" customFormat="1" ht="15.95" customHeight="1">
      <c r="A44" s="50" t="s">
        <v>52</v>
      </c>
      <c r="B44" s="51">
        <v>15</v>
      </c>
      <c r="C44" s="51">
        <v>15</v>
      </c>
      <c r="D44" s="51"/>
      <c r="E44" s="51"/>
      <c r="F44" s="51"/>
      <c r="G44" s="51"/>
      <c r="H44" s="51">
        <f t="shared" si="12"/>
        <v>37.207999999999998</v>
      </c>
      <c r="I44" s="51">
        <f t="shared" si="13"/>
        <v>91.207999999999998</v>
      </c>
      <c r="J44" s="51">
        <f t="shared" si="14"/>
        <v>128.416</v>
      </c>
      <c r="K44" s="55"/>
    </row>
    <row r="45" spans="1:11" s="44" customFormat="1" ht="15.95" customHeight="1">
      <c r="A45" s="50" t="s">
        <v>53</v>
      </c>
      <c r="B45" s="51"/>
      <c r="C45" s="51"/>
      <c r="D45" s="51"/>
      <c r="E45" s="51"/>
      <c r="F45" s="51">
        <v>5</v>
      </c>
      <c r="G45" s="51"/>
      <c r="H45" s="51">
        <f t="shared" si="12"/>
        <v>32.207999999999998</v>
      </c>
      <c r="I45" s="51">
        <f t="shared" si="13"/>
        <v>91.207999999999998</v>
      </c>
      <c r="J45" s="51">
        <f t="shared" si="14"/>
        <v>123.416</v>
      </c>
      <c r="K45" s="55"/>
    </row>
    <row r="46" spans="1:11" s="44" customFormat="1" ht="15.95" customHeight="1">
      <c r="A46" s="50" t="s">
        <v>54</v>
      </c>
      <c r="B46" s="51"/>
      <c r="C46" s="51"/>
      <c r="D46" s="51">
        <v>15</v>
      </c>
      <c r="E46" s="51"/>
      <c r="F46" s="51"/>
      <c r="G46" s="51"/>
      <c r="H46" s="51">
        <f t="shared" si="12"/>
        <v>17.207999999999998</v>
      </c>
      <c r="I46" s="51">
        <f t="shared" si="13"/>
        <v>91.207999999999998</v>
      </c>
      <c r="J46" s="51">
        <f t="shared" si="14"/>
        <v>108.416</v>
      </c>
      <c r="K46" s="55"/>
    </row>
    <row r="47" spans="1:11" s="44" customFormat="1" ht="15.95" customHeight="1">
      <c r="A47" s="50" t="s">
        <v>55</v>
      </c>
      <c r="B47" s="51">
        <v>15</v>
      </c>
      <c r="C47" s="51">
        <v>15</v>
      </c>
      <c r="D47" s="51"/>
      <c r="E47" s="51"/>
      <c r="F47" s="51"/>
      <c r="G47" s="51"/>
      <c r="H47" s="51">
        <f t="shared" si="12"/>
        <v>32.207999999999998</v>
      </c>
      <c r="I47" s="51">
        <f t="shared" si="13"/>
        <v>106.208</v>
      </c>
      <c r="J47" s="51">
        <f t="shared" si="14"/>
        <v>138.416</v>
      </c>
      <c r="K47" s="55"/>
    </row>
    <row r="48" spans="1:11" s="44" customFormat="1" ht="15.95" customHeight="1">
      <c r="A48" s="50" t="s">
        <v>56</v>
      </c>
      <c r="B48" s="51"/>
      <c r="C48" s="51"/>
      <c r="D48" s="51"/>
      <c r="E48" s="51"/>
      <c r="F48" s="51">
        <v>5</v>
      </c>
      <c r="G48" s="51"/>
      <c r="H48" s="51">
        <f t="shared" si="12"/>
        <v>27.207999999999998</v>
      </c>
      <c r="I48" s="51">
        <f t="shared" si="13"/>
        <v>106.208</v>
      </c>
      <c r="J48" s="51">
        <f t="shared" si="14"/>
        <v>133.416</v>
      </c>
      <c r="K48" s="55"/>
    </row>
    <row r="49" spans="1:11" s="44" customFormat="1" ht="15.95" customHeight="1">
      <c r="A49" s="50" t="s">
        <v>57</v>
      </c>
      <c r="B49" s="51"/>
      <c r="C49" s="51"/>
      <c r="D49" s="51">
        <v>19</v>
      </c>
      <c r="E49" s="51">
        <v>10</v>
      </c>
      <c r="F49" s="51"/>
      <c r="G49" s="51"/>
      <c r="H49" s="51">
        <f t="shared" si="12"/>
        <v>8.2079999999999984</v>
      </c>
      <c r="I49" s="51">
        <f t="shared" si="13"/>
        <v>96.207999999999998</v>
      </c>
      <c r="J49" s="51">
        <f t="shared" si="14"/>
        <v>104.416</v>
      </c>
      <c r="K49" s="55"/>
    </row>
    <row r="50" spans="1:11" s="44" customFormat="1" ht="15.95" customHeight="1">
      <c r="A50" s="50" t="s">
        <v>58</v>
      </c>
      <c r="B50" s="51">
        <v>15</v>
      </c>
      <c r="C50" s="51">
        <v>15</v>
      </c>
      <c r="D50" s="51"/>
      <c r="E50" s="51"/>
      <c r="F50" s="51"/>
      <c r="G50" s="51"/>
      <c r="H50" s="51">
        <f t="shared" si="12"/>
        <v>23.207999999999998</v>
      </c>
      <c r="I50" s="51">
        <f t="shared" si="13"/>
        <v>111.208</v>
      </c>
      <c r="J50" s="51">
        <f t="shared" si="14"/>
        <v>134.416</v>
      </c>
      <c r="K50" s="55"/>
    </row>
    <row r="51" spans="1:11" s="44" customFormat="1" ht="15.95" customHeight="1">
      <c r="A51" s="50" t="s">
        <v>59</v>
      </c>
      <c r="B51" s="51"/>
      <c r="C51" s="51"/>
      <c r="D51" s="51"/>
      <c r="E51" s="51"/>
      <c r="F51" s="51">
        <v>5</v>
      </c>
      <c r="G51" s="51"/>
      <c r="H51" s="51">
        <f t="shared" si="12"/>
        <v>18.207999999999998</v>
      </c>
      <c r="I51" s="51">
        <f t="shared" si="13"/>
        <v>111.208</v>
      </c>
      <c r="J51" s="51">
        <f t="shared" si="14"/>
        <v>129.416</v>
      </c>
      <c r="K51" s="55"/>
    </row>
    <row r="52" spans="1:11" s="44" customFormat="1" ht="15.95" customHeight="1">
      <c r="A52" s="50" t="s">
        <v>60</v>
      </c>
      <c r="B52" s="51">
        <v>15</v>
      </c>
      <c r="C52" s="51">
        <v>15</v>
      </c>
      <c r="D52" s="51"/>
      <c r="E52" s="51"/>
      <c r="F52" s="51"/>
      <c r="G52" s="51"/>
      <c r="H52" s="51">
        <f t="shared" si="12"/>
        <v>33.207999999999998</v>
      </c>
      <c r="I52" s="51">
        <f t="shared" si="13"/>
        <v>126.208</v>
      </c>
      <c r="J52" s="51">
        <f t="shared" si="14"/>
        <v>159.416</v>
      </c>
      <c r="K52" s="55"/>
    </row>
    <row r="53" spans="1:11" s="44" customFormat="1" ht="15.95" customHeight="1">
      <c r="A53" s="50" t="s">
        <v>61</v>
      </c>
      <c r="B53" s="51"/>
      <c r="C53" s="51"/>
      <c r="D53" s="51"/>
      <c r="E53" s="51"/>
      <c r="F53" s="51">
        <v>5</v>
      </c>
      <c r="G53" s="51"/>
      <c r="H53" s="51">
        <f t="shared" ref="H53:H56" si="15">H52-F53-D53+B53</f>
        <v>28.207999999999998</v>
      </c>
      <c r="I53" s="51">
        <f t="shared" ref="I53:I56" si="16">I52-E53+C53</f>
        <v>126.208</v>
      </c>
      <c r="J53" s="51">
        <f t="shared" ref="J53:J56" si="17">SUM(H53:I53)</f>
        <v>154.416</v>
      </c>
      <c r="K53" s="55"/>
    </row>
    <row r="54" spans="1:11" s="44" customFormat="1" ht="15.95" customHeight="1">
      <c r="A54" s="50" t="s">
        <v>62</v>
      </c>
      <c r="B54" s="51"/>
      <c r="C54" s="51"/>
      <c r="D54" s="51">
        <v>19</v>
      </c>
      <c r="E54" s="51">
        <v>10</v>
      </c>
      <c r="F54" s="51"/>
      <c r="G54" s="51"/>
      <c r="H54" s="51">
        <f t="shared" si="15"/>
        <v>9.2079999999999984</v>
      </c>
      <c r="I54" s="51">
        <f t="shared" si="16"/>
        <v>116.208</v>
      </c>
      <c r="J54" s="51">
        <f t="shared" si="17"/>
        <v>125.416</v>
      </c>
      <c r="K54" s="55"/>
    </row>
    <row r="55" spans="1:11" s="44" customFormat="1" ht="15.95" customHeight="1">
      <c r="A55" s="50" t="s">
        <v>63</v>
      </c>
      <c r="B55" s="51">
        <v>15</v>
      </c>
      <c r="C55" s="51">
        <v>15</v>
      </c>
      <c r="D55" s="51"/>
      <c r="E55" s="51"/>
      <c r="F55" s="51"/>
      <c r="G55" s="51"/>
      <c r="H55" s="51">
        <f t="shared" si="15"/>
        <v>24.207999999999998</v>
      </c>
      <c r="I55" s="51">
        <f t="shared" si="16"/>
        <v>131.208</v>
      </c>
      <c r="J55" s="51">
        <f t="shared" si="17"/>
        <v>155.416</v>
      </c>
      <c r="K55" s="55"/>
    </row>
    <row r="56" spans="1:11" s="44" customFormat="1" ht="15.95" customHeight="1">
      <c r="A56" s="50" t="s">
        <v>64</v>
      </c>
      <c r="B56" s="51"/>
      <c r="C56" s="51"/>
      <c r="D56" s="51">
        <v>15</v>
      </c>
      <c r="E56" s="51">
        <v>14</v>
      </c>
      <c r="F56" s="51"/>
      <c r="G56" s="51"/>
      <c r="H56" s="51">
        <f t="shared" si="15"/>
        <v>9.2079999999999984</v>
      </c>
      <c r="I56" s="51">
        <f t="shared" si="16"/>
        <v>117.208</v>
      </c>
      <c r="J56" s="51">
        <f t="shared" si="17"/>
        <v>126.416</v>
      </c>
      <c r="K56" s="55"/>
    </row>
    <row r="57" spans="1:11" s="44" customFormat="1" ht="15.95" customHeight="1">
      <c r="A57" s="50" t="s">
        <v>65</v>
      </c>
      <c r="B57" s="51"/>
      <c r="C57" s="51"/>
      <c r="D57" s="51"/>
      <c r="E57" s="51"/>
      <c r="F57" s="51">
        <v>5</v>
      </c>
      <c r="G57" s="51"/>
      <c r="H57" s="51">
        <f t="shared" ref="H57" si="18">H56-F57-D57+B57</f>
        <v>4.2079999999999984</v>
      </c>
      <c r="I57" s="51">
        <f t="shared" ref="I57" si="19">I56-E57+C57</f>
        <v>117.208</v>
      </c>
      <c r="J57" s="51">
        <f t="shared" ref="J57" si="20">SUM(H57:I57)</f>
        <v>121.416</v>
      </c>
      <c r="K57" s="55"/>
    </row>
    <row r="58" spans="1:11" s="44" customFormat="1" ht="15.95" customHeight="1">
      <c r="A58" s="52" t="s">
        <v>66</v>
      </c>
      <c r="B58" s="51">
        <v>1.25</v>
      </c>
      <c r="C58" s="51">
        <v>1.25</v>
      </c>
      <c r="D58" s="51"/>
      <c r="E58" s="51"/>
      <c r="F58" s="51"/>
      <c r="G58" s="51"/>
      <c r="H58" s="51">
        <f t="shared" ref="H58:H77" si="21">H57-F58-D58+B58</f>
        <v>5.4579999999999984</v>
      </c>
      <c r="I58" s="51">
        <f t="shared" ref="I58:I77" si="22">I57-E58+C58</f>
        <v>118.458</v>
      </c>
      <c r="J58" s="51">
        <f t="shared" ref="J58:J77" si="23">SUM(H58:I58)</f>
        <v>123.916</v>
      </c>
      <c r="K58" s="55"/>
    </row>
    <row r="59" spans="1:11" s="44" customFormat="1" ht="15.95" customHeight="1">
      <c r="A59" s="52" t="s">
        <v>67</v>
      </c>
      <c r="B59" s="51"/>
      <c r="C59" s="51"/>
      <c r="D59" s="51"/>
      <c r="E59" s="51"/>
      <c r="F59" s="51"/>
      <c r="G59" s="51">
        <v>1</v>
      </c>
      <c r="H59" s="51">
        <f t="shared" si="21"/>
        <v>5.4579999999999984</v>
      </c>
      <c r="I59" s="51">
        <f t="shared" si="22"/>
        <v>118.458</v>
      </c>
      <c r="J59" s="51">
        <f t="shared" si="23"/>
        <v>123.916</v>
      </c>
      <c r="K59" s="55"/>
    </row>
    <row r="60" spans="1:11" s="44" customFormat="1" ht="15.95" customHeight="1">
      <c r="A60" s="50" t="s">
        <v>68</v>
      </c>
      <c r="B60" s="51">
        <v>2.5</v>
      </c>
      <c r="C60" s="51">
        <v>2.5</v>
      </c>
      <c r="D60" s="51"/>
      <c r="E60" s="51"/>
      <c r="F60" s="51"/>
      <c r="G60" s="51"/>
      <c r="H60" s="51">
        <f t="shared" si="21"/>
        <v>7.9579999999999984</v>
      </c>
      <c r="I60" s="51">
        <f t="shared" si="22"/>
        <v>120.958</v>
      </c>
      <c r="J60" s="51">
        <f t="shared" si="23"/>
        <v>128.916</v>
      </c>
      <c r="K60" s="55"/>
    </row>
    <row r="61" spans="1:11" s="44" customFormat="1" ht="15.95" customHeight="1">
      <c r="A61" s="50" t="s">
        <v>69</v>
      </c>
      <c r="B61" s="51"/>
      <c r="C61" s="51"/>
      <c r="D61" s="51"/>
      <c r="E61" s="51"/>
      <c r="F61" s="51"/>
      <c r="G61" s="51">
        <v>1</v>
      </c>
      <c r="H61" s="51">
        <f t="shared" si="21"/>
        <v>7.9579999999999984</v>
      </c>
      <c r="I61" s="51">
        <f t="shared" si="22"/>
        <v>120.958</v>
      </c>
      <c r="J61" s="51">
        <f t="shared" si="23"/>
        <v>128.916</v>
      </c>
      <c r="K61" s="55"/>
    </row>
    <row r="62" spans="1:11" s="44" customFormat="1" ht="15.95" customHeight="1">
      <c r="A62" s="50" t="s">
        <v>70</v>
      </c>
      <c r="B62" s="51">
        <v>1.25</v>
      </c>
      <c r="C62" s="51">
        <v>1.25</v>
      </c>
      <c r="D62" s="51"/>
      <c r="E62" s="51"/>
      <c r="F62" s="51"/>
      <c r="G62" s="51"/>
      <c r="H62" s="51">
        <f t="shared" si="21"/>
        <v>9.2079999999999984</v>
      </c>
      <c r="I62" s="51">
        <f t="shared" si="22"/>
        <v>122.208</v>
      </c>
      <c r="J62" s="51">
        <f t="shared" si="23"/>
        <v>131.416</v>
      </c>
      <c r="K62" s="55"/>
    </row>
    <row r="63" spans="1:11" s="44" customFormat="1" ht="15.95" customHeight="1">
      <c r="A63" s="50" t="s">
        <v>71</v>
      </c>
      <c r="B63" s="51"/>
      <c r="C63" s="51"/>
      <c r="D63" s="51"/>
      <c r="E63" s="51"/>
      <c r="F63" s="51"/>
      <c r="G63" s="51">
        <v>1</v>
      </c>
      <c r="H63" s="51">
        <f t="shared" si="21"/>
        <v>9.2079999999999984</v>
      </c>
      <c r="I63" s="51">
        <f t="shared" si="22"/>
        <v>122.208</v>
      </c>
      <c r="J63" s="51">
        <f t="shared" si="23"/>
        <v>131.416</v>
      </c>
      <c r="K63" s="55"/>
    </row>
    <row r="64" spans="1:11" s="44" customFormat="1" ht="15.95" customHeight="1">
      <c r="A64" s="50" t="s">
        <v>72</v>
      </c>
      <c r="B64" s="51">
        <v>2.5</v>
      </c>
      <c r="C64" s="51">
        <v>2.5</v>
      </c>
      <c r="D64" s="51"/>
      <c r="E64" s="51"/>
      <c r="F64" s="51"/>
      <c r="G64" s="51"/>
      <c r="H64" s="51">
        <f t="shared" si="21"/>
        <v>11.707999999999998</v>
      </c>
      <c r="I64" s="51">
        <f t="shared" si="22"/>
        <v>124.708</v>
      </c>
      <c r="J64" s="51">
        <f t="shared" si="23"/>
        <v>136.416</v>
      </c>
      <c r="K64" s="55"/>
    </row>
    <row r="65" spans="1:11" s="44" customFormat="1" ht="15.95" customHeight="1">
      <c r="A65" s="50" t="s">
        <v>73</v>
      </c>
      <c r="B65" s="51"/>
      <c r="C65" s="51"/>
      <c r="D65" s="51"/>
      <c r="E65" s="51"/>
      <c r="F65" s="51">
        <v>1</v>
      </c>
      <c r="G65" s="51"/>
      <c r="H65" s="51">
        <f t="shared" si="21"/>
        <v>10.707999999999998</v>
      </c>
      <c r="I65" s="51">
        <f t="shared" si="22"/>
        <v>124.708</v>
      </c>
      <c r="J65" s="51">
        <f t="shared" si="23"/>
        <v>135.416</v>
      </c>
      <c r="K65" s="55"/>
    </row>
    <row r="66" spans="1:11" s="44" customFormat="1" ht="15.95" customHeight="1">
      <c r="A66" s="50" t="s">
        <v>74</v>
      </c>
      <c r="B66" s="51">
        <v>1.25</v>
      </c>
      <c r="C66" s="51">
        <v>1.25</v>
      </c>
      <c r="D66" s="51"/>
      <c r="E66" s="51"/>
      <c r="F66" s="51"/>
      <c r="G66" s="51"/>
      <c r="H66" s="51">
        <f t="shared" si="21"/>
        <v>11.957999999999998</v>
      </c>
      <c r="I66" s="51">
        <f t="shared" si="22"/>
        <v>125.958</v>
      </c>
      <c r="J66" s="51">
        <f t="shared" si="23"/>
        <v>137.916</v>
      </c>
      <c r="K66" s="55"/>
    </row>
    <row r="67" spans="1:11" s="44" customFormat="1" ht="15.95" customHeight="1">
      <c r="A67" s="50" t="s">
        <v>75</v>
      </c>
      <c r="B67" s="51"/>
      <c r="C67" s="51"/>
      <c r="D67" s="51"/>
      <c r="E67" s="51"/>
      <c r="F67" s="51">
        <v>1</v>
      </c>
      <c r="G67" s="51"/>
      <c r="H67" s="51">
        <f t="shared" si="21"/>
        <v>10.957999999999998</v>
      </c>
      <c r="I67" s="51">
        <f t="shared" si="22"/>
        <v>125.958</v>
      </c>
      <c r="J67" s="51">
        <f t="shared" si="23"/>
        <v>136.916</v>
      </c>
      <c r="K67" s="55"/>
    </row>
    <row r="68" spans="1:11" s="44" customFormat="1" ht="15.95" customHeight="1">
      <c r="A68" s="50" t="s">
        <v>76</v>
      </c>
      <c r="B68" s="51">
        <v>1.25</v>
      </c>
      <c r="C68" s="51">
        <v>1.25</v>
      </c>
      <c r="D68" s="51"/>
      <c r="E68" s="51"/>
      <c r="F68" s="51"/>
      <c r="G68" s="51"/>
      <c r="H68" s="51">
        <f t="shared" si="21"/>
        <v>12.207999999999998</v>
      </c>
      <c r="I68" s="51">
        <f t="shared" si="22"/>
        <v>127.208</v>
      </c>
      <c r="J68" s="51">
        <f t="shared" si="23"/>
        <v>139.416</v>
      </c>
      <c r="K68" s="55"/>
    </row>
    <row r="69" spans="1:11" s="44" customFormat="1" ht="15.95" customHeight="1">
      <c r="A69" s="50" t="s">
        <v>77</v>
      </c>
      <c r="B69" s="51"/>
      <c r="C69" s="51"/>
      <c r="D69" s="51">
        <v>10</v>
      </c>
      <c r="E69" s="51">
        <v>19</v>
      </c>
      <c r="F69" s="51"/>
      <c r="G69" s="51"/>
      <c r="H69" s="51">
        <f t="shared" si="21"/>
        <v>2.2079999999999984</v>
      </c>
      <c r="I69" s="51">
        <f t="shared" si="22"/>
        <v>108.208</v>
      </c>
      <c r="J69" s="51">
        <f t="shared" si="23"/>
        <v>110.416</v>
      </c>
      <c r="K69" s="55"/>
    </row>
    <row r="70" spans="1:11" s="44" customFormat="1" ht="15.95" customHeight="1">
      <c r="A70" s="50" t="s">
        <v>78</v>
      </c>
      <c r="B70" s="51">
        <v>3.75</v>
      </c>
      <c r="C70" s="51">
        <v>3.75</v>
      </c>
      <c r="D70" s="51"/>
      <c r="E70" s="51"/>
      <c r="F70" s="51"/>
      <c r="G70" s="51"/>
      <c r="H70" s="51">
        <f t="shared" si="21"/>
        <v>5.9579999999999984</v>
      </c>
      <c r="I70" s="51">
        <f t="shared" si="22"/>
        <v>111.958</v>
      </c>
      <c r="J70" s="51">
        <f t="shared" si="23"/>
        <v>117.916</v>
      </c>
      <c r="K70" s="55"/>
    </row>
    <row r="71" spans="1:11" s="44" customFormat="1" ht="15.95" customHeight="1">
      <c r="A71" s="50" t="s">
        <v>79</v>
      </c>
      <c r="B71" s="51"/>
      <c r="C71" s="51"/>
      <c r="D71" s="51"/>
      <c r="E71" s="51"/>
      <c r="F71" s="51">
        <v>2</v>
      </c>
      <c r="G71" s="51"/>
      <c r="H71" s="51">
        <f t="shared" si="21"/>
        <v>3.9579999999999984</v>
      </c>
      <c r="I71" s="51">
        <f t="shared" si="22"/>
        <v>111.958</v>
      </c>
      <c r="J71" s="51">
        <f t="shared" si="23"/>
        <v>115.916</v>
      </c>
      <c r="K71" s="55"/>
    </row>
    <row r="72" spans="1:11" s="44" customFormat="1" ht="15.95" customHeight="1">
      <c r="A72" s="50" t="s">
        <v>80</v>
      </c>
      <c r="B72" s="51">
        <v>1.25</v>
      </c>
      <c r="C72" s="51">
        <v>1.25</v>
      </c>
      <c r="D72" s="51"/>
      <c r="E72" s="51"/>
      <c r="F72" s="51"/>
      <c r="G72" s="51"/>
      <c r="H72" s="51">
        <f t="shared" si="21"/>
        <v>5.2079999999999984</v>
      </c>
      <c r="I72" s="51">
        <f t="shared" si="22"/>
        <v>113.208</v>
      </c>
      <c r="J72" s="51">
        <f t="shared" si="23"/>
        <v>118.416</v>
      </c>
      <c r="K72" s="55"/>
    </row>
    <row r="73" spans="1:11" s="44" customFormat="1" ht="15.95" customHeight="1">
      <c r="A73" s="50" t="s">
        <v>81</v>
      </c>
      <c r="B73" s="51"/>
      <c r="C73" s="51"/>
      <c r="D73" s="51"/>
      <c r="E73" s="51"/>
      <c r="F73" s="51">
        <v>1</v>
      </c>
      <c r="G73" s="51"/>
      <c r="H73" s="51">
        <f t="shared" si="21"/>
        <v>4.2079999999999984</v>
      </c>
      <c r="I73" s="51">
        <f t="shared" si="22"/>
        <v>113.208</v>
      </c>
      <c r="J73" s="51">
        <f t="shared" si="23"/>
        <v>117.416</v>
      </c>
      <c r="K73" s="55"/>
    </row>
    <row r="74" spans="1:11" s="44" customFormat="1" ht="15.95" customHeight="1">
      <c r="A74" s="50" t="s">
        <v>82</v>
      </c>
      <c r="B74" s="51">
        <v>1.25</v>
      </c>
      <c r="C74" s="51">
        <v>1.25</v>
      </c>
      <c r="D74" s="51"/>
      <c r="E74" s="51"/>
      <c r="F74" s="51"/>
      <c r="G74" s="51"/>
      <c r="H74" s="51">
        <f t="shared" si="21"/>
        <v>5.4579999999999984</v>
      </c>
      <c r="I74" s="51">
        <f t="shared" si="22"/>
        <v>114.458</v>
      </c>
      <c r="J74" s="51">
        <f t="shared" si="23"/>
        <v>119.916</v>
      </c>
      <c r="K74" s="55"/>
    </row>
    <row r="75" spans="1:11" s="44" customFormat="1" ht="15.95" customHeight="1">
      <c r="A75" s="50" t="s">
        <v>83</v>
      </c>
      <c r="B75" s="56"/>
      <c r="C75" s="56"/>
      <c r="D75" s="56"/>
      <c r="E75" s="56"/>
      <c r="F75" s="56">
        <v>1</v>
      </c>
      <c r="G75" s="56"/>
      <c r="H75" s="51">
        <f t="shared" si="21"/>
        <v>4.4579999999999984</v>
      </c>
      <c r="I75" s="51">
        <f t="shared" si="22"/>
        <v>114.458</v>
      </c>
      <c r="J75" s="51">
        <f t="shared" si="23"/>
        <v>118.916</v>
      </c>
      <c r="K75" s="55"/>
    </row>
    <row r="76" spans="1:11" s="44" customFormat="1" ht="15.95" customHeight="1">
      <c r="A76" s="50" t="s">
        <v>84</v>
      </c>
      <c r="B76" s="57">
        <v>2.5</v>
      </c>
      <c r="C76" s="57">
        <v>2.5</v>
      </c>
      <c r="D76" s="57"/>
      <c r="E76" s="57"/>
      <c r="F76" s="57"/>
      <c r="G76" s="57"/>
      <c r="H76" s="51">
        <f t="shared" si="21"/>
        <v>6.9579999999999984</v>
      </c>
      <c r="I76" s="51">
        <f t="shared" si="22"/>
        <v>116.958</v>
      </c>
      <c r="J76" s="51">
        <f t="shared" si="23"/>
        <v>123.916</v>
      </c>
      <c r="K76" s="55"/>
    </row>
    <row r="77" spans="1:11" s="44" customFormat="1" ht="15.95" customHeight="1">
      <c r="A77" s="50" t="s">
        <v>85</v>
      </c>
      <c r="B77" s="57"/>
      <c r="C77" s="57"/>
      <c r="D77" s="57"/>
      <c r="E77" s="57"/>
      <c r="F77" s="57"/>
      <c r="G77" s="57">
        <v>1</v>
      </c>
      <c r="H77" s="51">
        <f t="shared" si="21"/>
        <v>6.9579999999999984</v>
      </c>
      <c r="I77" s="51">
        <f t="shared" si="22"/>
        <v>116.958</v>
      </c>
      <c r="J77" s="51">
        <f t="shared" si="23"/>
        <v>123.916</v>
      </c>
      <c r="K77" s="55"/>
    </row>
    <row r="78" spans="1:11" s="44" customFormat="1" ht="15.95" customHeight="1">
      <c r="A78" s="50" t="s">
        <v>86</v>
      </c>
      <c r="B78" s="51">
        <v>1.25</v>
      </c>
      <c r="C78" s="51">
        <v>1.25</v>
      </c>
      <c r="D78" s="57"/>
      <c r="E78" s="57"/>
      <c r="F78" s="57"/>
      <c r="G78" s="57"/>
      <c r="H78" s="51">
        <f t="shared" ref="H78:H79" si="24">H77-F78-D78+B78</f>
        <v>8.2079999999999984</v>
      </c>
      <c r="I78" s="51">
        <f t="shared" ref="I78:I79" si="25">I77-E78+C78</f>
        <v>118.208</v>
      </c>
      <c r="J78" s="51">
        <f t="shared" ref="J78:J79" si="26">SUM(H78:I78)</f>
        <v>126.416</v>
      </c>
      <c r="K78" s="55"/>
    </row>
    <row r="79" spans="1:11" s="44" customFormat="1" ht="15.95" customHeight="1">
      <c r="A79" s="50" t="s">
        <v>87</v>
      </c>
      <c r="B79" s="57"/>
      <c r="C79" s="57"/>
      <c r="D79" s="57"/>
      <c r="E79" s="57"/>
      <c r="F79" s="57"/>
      <c r="G79" s="57">
        <v>1</v>
      </c>
      <c r="H79" s="51">
        <f t="shared" si="24"/>
        <v>8.2079999999999984</v>
      </c>
      <c r="I79" s="51">
        <f t="shared" si="25"/>
        <v>118.208</v>
      </c>
      <c r="J79" s="51">
        <f t="shared" si="26"/>
        <v>126.416</v>
      </c>
      <c r="K79" s="55"/>
    </row>
    <row r="80" spans="1:11" s="44" customFormat="1" ht="15.95" customHeight="1">
      <c r="A80" s="50" t="s">
        <v>88</v>
      </c>
      <c r="B80" s="57">
        <v>5</v>
      </c>
      <c r="C80" s="57">
        <v>5</v>
      </c>
      <c r="D80" s="57"/>
      <c r="E80" s="57"/>
      <c r="F80" s="57"/>
      <c r="G80" s="57"/>
      <c r="H80" s="51">
        <f t="shared" ref="H80:H81" si="27">H79-F80-D80+B80</f>
        <v>13.207999999999998</v>
      </c>
      <c r="I80" s="51">
        <f t="shared" ref="I80:I81" si="28">I79-E80+C80</f>
        <v>123.208</v>
      </c>
      <c r="J80" s="51">
        <f t="shared" ref="J80:J81" si="29">SUM(H80:I80)</f>
        <v>136.416</v>
      </c>
      <c r="K80" s="55"/>
    </row>
    <row r="81" spans="1:11" s="44" customFormat="1" ht="15.95" customHeight="1">
      <c r="A81" s="50" t="s">
        <v>89</v>
      </c>
      <c r="B81" s="57"/>
      <c r="C81" s="57"/>
      <c r="D81" s="57"/>
      <c r="E81" s="57"/>
      <c r="F81" s="57">
        <v>2</v>
      </c>
      <c r="G81" s="57"/>
      <c r="H81" s="51">
        <f t="shared" si="27"/>
        <v>11.207999999999998</v>
      </c>
      <c r="I81" s="51">
        <f t="shared" si="28"/>
        <v>123.208</v>
      </c>
      <c r="J81" s="51">
        <f t="shared" si="29"/>
        <v>134.416</v>
      </c>
      <c r="K81" s="55"/>
    </row>
    <row r="82" spans="1:11" s="44" customFormat="1" ht="15.95" customHeight="1">
      <c r="A82" s="50" t="s">
        <v>90</v>
      </c>
      <c r="B82" s="57"/>
      <c r="C82" s="57"/>
      <c r="D82" s="57">
        <v>4</v>
      </c>
      <c r="E82" s="57">
        <v>25</v>
      </c>
      <c r="F82" s="57"/>
      <c r="G82" s="57"/>
      <c r="H82" s="51">
        <f t="shared" ref="H82:H85" si="30">H81-F82-D82+B82</f>
        <v>7.2079999999999984</v>
      </c>
      <c r="I82" s="51">
        <f t="shared" ref="I82:I85" si="31">I81-E82+C82</f>
        <v>98.207999999999998</v>
      </c>
      <c r="J82" s="51">
        <f t="shared" ref="J82:J85" si="32">SUM(H82:I82)</f>
        <v>105.416</v>
      </c>
      <c r="K82" s="55"/>
    </row>
    <row r="83" spans="1:11" s="44" customFormat="1" ht="15.95" customHeight="1">
      <c r="A83" s="50" t="s">
        <v>91</v>
      </c>
      <c r="B83" s="57"/>
      <c r="C83" s="57"/>
      <c r="D83" s="57"/>
      <c r="E83" s="57">
        <v>1</v>
      </c>
      <c r="F83" s="57"/>
      <c r="G83" s="57"/>
      <c r="H83" s="51">
        <f t="shared" si="30"/>
        <v>7.2079999999999984</v>
      </c>
      <c r="I83" s="51">
        <f t="shared" si="31"/>
        <v>97.207999999999998</v>
      </c>
      <c r="J83" s="51">
        <f t="shared" si="32"/>
        <v>104.416</v>
      </c>
      <c r="K83" s="55"/>
    </row>
    <row r="84" spans="1:11" s="44" customFormat="1" ht="15.95" customHeight="1">
      <c r="A84" s="50" t="s">
        <v>92</v>
      </c>
      <c r="B84" s="57"/>
      <c r="C84" s="57"/>
      <c r="D84" s="57"/>
      <c r="E84" s="57"/>
      <c r="F84" s="57">
        <v>1</v>
      </c>
      <c r="G84" s="57"/>
      <c r="H84" s="51">
        <f t="shared" si="30"/>
        <v>6.2079999999999984</v>
      </c>
      <c r="I84" s="51">
        <f t="shared" si="31"/>
        <v>97.207999999999998</v>
      </c>
      <c r="J84" s="51">
        <f t="shared" si="32"/>
        <v>103.416</v>
      </c>
      <c r="K84" s="55"/>
    </row>
    <row r="85" spans="1:11" s="44" customFormat="1" ht="15.95" customHeight="1">
      <c r="A85" s="50" t="s">
        <v>93</v>
      </c>
      <c r="B85" s="57">
        <v>1.25</v>
      </c>
      <c r="C85" s="57">
        <v>1.25</v>
      </c>
      <c r="D85" s="57"/>
      <c r="E85" s="57"/>
      <c r="F85" s="57"/>
      <c r="G85" s="57"/>
      <c r="H85" s="51">
        <f t="shared" si="30"/>
        <v>7.4579999999999984</v>
      </c>
      <c r="I85" s="51">
        <f t="shared" si="31"/>
        <v>98.457999999999998</v>
      </c>
      <c r="J85" s="51">
        <f t="shared" si="32"/>
        <v>105.916</v>
      </c>
      <c r="K85" s="55"/>
    </row>
    <row r="86" spans="1:11" s="44" customFormat="1" ht="15.95" customHeight="1">
      <c r="A86" s="50" t="s">
        <v>94</v>
      </c>
      <c r="B86" s="57"/>
      <c r="C86" s="57"/>
      <c r="D86" s="57"/>
      <c r="E86" s="57"/>
      <c r="F86" s="57"/>
      <c r="G86" s="57">
        <v>1</v>
      </c>
      <c r="H86" s="51">
        <f t="shared" ref="H86" si="33">H85-F86-D86+B86</f>
        <v>7.4579999999999984</v>
      </c>
      <c r="I86" s="51">
        <f t="shared" ref="I86" si="34">I85-E86+C86</f>
        <v>98.457999999999998</v>
      </c>
      <c r="J86" s="51">
        <f t="shared" ref="J86" si="35">SUM(H86:I86)</f>
        <v>105.916</v>
      </c>
      <c r="K86" s="55"/>
    </row>
    <row r="87" spans="1:11" s="44" customFormat="1" ht="15.95" customHeight="1">
      <c r="A87" s="50" t="s">
        <v>95</v>
      </c>
      <c r="B87" s="57"/>
      <c r="C87" s="57"/>
      <c r="D87" s="57"/>
      <c r="E87" s="57"/>
      <c r="F87" s="57">
        <v>1</v>
      </c>
      <c r="G87" s="57"/>
      <c r="H87" s="51">
        <f t="shared" ref="H87" si="36">H86-F87-D87+B87</f>
        <v>6.4579999999999984</v>
      </c>
      <c r="I87" s="51">
        <f t="shared" ref="I87" si="37">I86-E87+C87</f>
        <v>98.457999999999998</v>
      </c>
      <c r="J87" s="51">
        <f t="shared" ref="J87" si="38">SUM(H87:I87)</f>
        <v>104.916</v>
      </c>
      <c r="K87" s="55"/>
    </row>
    <row r="88" spans="1:11" s="44" customFormat="1" ht="15.95" customHeight="1">
      <c r="A88" s="50" t="s">
        <v>96</v>
      </c>
      <c r="B88" s="57">
        <f>3*1.25</f>
        <v>3.75</v>
      </c>
      <c r="C88" s="57">
        <v>3.75</v>
      </c>
      <c r="D88" s="57"/>
      <c r="E88" s="57"/>
      <c r="F88" s="57"/>
      <c r="G88" s="57"/>
      <c r="H88" s="51">
        <f t="shared" ref="H88:H89" si="39">H87-F88-D88+B88</f>
        <v>10.207999999999998</v>
      </c>
      <c r="I88" s="51">
        <f t="shared" ref="I88:I89" si="40">I87-E88+C88</f>
        <v>102.208</v>
      </c>
      <c r="J88" s="51">
        <f t="shared" ref="J88:J89" si="41">SUM(H88:I88)</f>
        <v>112.416</v>
      </c>
      <c r="K88" s="55"/>
    </row>
    <row r="89" spans="1:11" s="44" customFormat="1" ht="15.95" customHeight="1">
      <c r="A89" s="50" t="s">
        <v>97</v>
      </c>
      <c r="B89" s="57"/>
      <c r="C89" s="57"/>
      <c r="D89" s="57"/>
      <c r="E89" s="57"/>
      <c r="F89" s="57">
        <v>1</v>
      </c>
      <c r="G89" s="57"/>
      <c r="H89" s="51">
        <f t="shared" si="39"/>
        <v>9.2079999999999984</v>
      </c>
      <c r="I89" s="51">
        <f t="shared" si="40"/>
        <v>102.208</v>
      </c>
      <c r="J89" s="51">
        <f t="shared" si="41"/>
        <v>111.416</v>
      </c>
      <c r="K89" s="55"/>
    </row>
    <row r="90" spans="1:11" s="44" customFormat="1" ht="15.95" customHeight="1">
      <c r="A90" s="50" t="s">
        <v>98</v>
      </c>
      <c r="B90" s="57"/>
      <c r="C90" s="57"/>
      <c r="D90" s="57"/>
      <c r="E90" s="57"/>
      <c r="F90" s="57"/>
      <c r="G90" s="57">
        <v>1</v>
      </c>
      <c r="H90" s="51">
        <f t="shared" ref="H90:H91" si="42">H89-F90-D90+B90</f>
        <v>9.2079999999999984</v>
      </c>
      <c r="I90" s="51">
        <f t="shared" ref="I90:I91" si="43">I89-E90+C90</f>
        <v>102.208</v>
      </c>
      <c r="J90" s="51">
        <f t="shared" ref="J90:J91" si="44">SUM(H90:I90)</f>
        <v>111.416</v>
      </c>
      <c r="K90" s="55"/>
    </row>
    <row r="91" spans="1:11" s="44" customFormat="1" ht="15.95" customHeight="1">
      <c r="A91" s="50" t="s">
        <v>99</v>
      </c>
      <c r="B91" s="57">
        <v>1.25</v>
      </c>
      <c r="C91" s="57">
        <v>1.25</v>
      </c>
      <c r="D91" s="57"/>
      <c r="E91" s="57"/>
      <c r="F91" s="57"/>
      <c r="G91" s="57"/>
      <c r="H91" s="51">
        <f t="shared" si="42"/>
        <v>10.457999999999998</v>
      </c>
      <c r="I91" s="51">
        <f t="shared" si="43"/>
        <v>103.458</v>
      </c>
      <c r="J91" s="51">
        <f t="shared" si="44"/>
        <v>113.916</v>
      </c>
      <c r="K91" s="55"/>
    </row>
    <row r="92" spans="1:11" s="44" customFormat="1" ht="15.95" customHeight="1">
      <c r="A92" s="50" t="s">
        <v>100</v>
      </c>
      <c r="B92" s="57">
        <v>3.75</v>
      </c>
      <c r="C92" s="57">
        <v>3.75</v>
      </c>
      <c r="D92" s="57"/>
      <c r="E92" s="57"/>
      <c r="F92" s="57"/>
      <c r="G92" s="57"/>
      <c r="H92" s="51">
        <f t="shared" ref="H92:H93" si="45">H91-F92-D92+B92</f>
        <v>14.207999999999998</v>
      </c>
      <c r="I92" s="51">
        <f t="shared" ref="I92:I93" si="46">I91-E92+C92</f>
        <v>107.208</v>
      </c>
      <c r="J92" s="51">
        <f t="shared" ref="J92:J93" si="47">SUM(H92:I92)</f>
        <v>121.416</v>
      </c>
      <c r="K92" s="55"/>
    </row>
    <row r="93" spans="1:11" s="44" customFormat="1" ht="15.95" customHeight="1">
      <c r="A93" s="50" t="s">
        <v>101</v>
      </c>
      <c r="B93" s="57"/>
      <c r="C93" s="57"/>
      <c r="D93" s="57"/>
      <c r="E93" s="57"/>
      <c r="F93" s="57"/>
      <c r="G93" s="57">
        <v>1</v>
      </c>
      <c r="H93" s="51">
        <f t="shared" si="45"/>
        <v>14.207999999999998</v>
      </c>
      <c r="I93" s="51">
        <f t="shared" si="46"/>
        <v>107.208</v>
      </c>
      <c r="J93" s="51">
        <f t="shared" si="47"/>
        <v>121.416</v>
      </c>
      <c r="K93" s="55"/>
    </row>
    <row r="94" spans="1:11" s="44" customFormat="1" ht="15.95" customHeight="1">
      <c r="A94" s="50" t="s">
        <v>102</v>
      </c>
      <c r="B94" s="57">
        <v>3.75</v>
      </c>
      <c r="C94" s="57">
        <v>3.75</v>
      </c>
      <c r="D94" s="57"/>
      <c r="E94" s="57"/>
      <c r="F94" s="57"/>
      <c r="G94" s="57"/>
      <c r="H94" s="51">
        <f t="shared" ref="H94" si="48">H93-F94-D94+B94</f>
        <v>17.957999999999998</v>
      </c>
      <c r="I94" s="51">
        <f t="shared" ref="I94" si="49">I93-E94+C94</f>
        <v>110.958</v>
      </c>
      <c r="J94" s="51">
        <f t="shared" ref="J94" si="50">SUM(H94:I94)</f>
        <v>128.916</v>
      </c>
      <c r="K94" s="55"/>
    </row>
    <row r="95" spans="1:11" s="44" customFormat="1" ht="15.95" customHeight="1">
      <c r="A95" s="50" t="s">
        <v>103</v>
      </c>
      <c r="B95" s="57"/>
      <c r="C95" s="57"/>
      <c r="D95" s="57">
        <v>12.958</v>
      </c>
      <c r="E95" s="57">
        <v>17.042000000000002</v>
      </c>
      <c r="F95" s="57"/>
      <c r="G95" s="57"/>
      <c r="H95" s="57">
        <f t="shared" ref="H95" si="51">H94-F95-D95+B95</f>
        <v>4.9999999999999982</v>
      </c>
      <c r="I95" s="57">
        <f t="shared" ref="I95" si="52">I94-E95+C95</f>
        <v>93.915999999999997</v>
      </c>
      <c r="J95" s="57">
        <f t="shared" ref="J95" si="53">SUM(H95:I95)</f>
        <v>98.915999999999997</v>
      </c>
      <c r="K95" s="55"/>
    </row>
    <row r="96" spans="1:11" s="44" customFormat="1" ht="15.95" hidden="1" customHeight="1">
      <c r="A96" s="50"/>
      <c r="B96" s="57"/>
      <c r="C96" s="57"/>
      <c r="D96" s="57"/>
      <c r="E96" s="57"/>
      <c r="F96" s="57"/>
      <c r="G96" s="57"/>
      <c r="H96" s="57">
        <f t="shared" ref="H96:H98" si="54">H95-F96-D96+B96</f>
        <v>4.9999999999999982</v>
      </c>
      <c r="I96" s="57">
        <f t="shared" ref="I96:I98" si="55">I95-E96+C96</f>
        <v>93.915999999999997</v>
      </c>
      <c r="J96" s="57">
        <f t="shared" ref="J96:J98" si="56">SUM(H96:I96)</f>
        <v>98.915999999999997</v>
      </c>
      <c r="K96" s="55"/>
    </row>
    <row r="97" spans="1:11" s="44" customFormat="1" ht="15.95" customHeight="1">
      <c r="A97" s="50" t="s">
        <v>104</v>
      </c>
      <c r="B97" s="57">
        <v>5</v>
      </c>
      <c r="C97" s="57">
        <v>5</v>
      </c>
      <c r="D97" s="57"/>
      <c r="E97" s="57"/>
      <c r="F97" s="57"/>
      <c r="G97" s="57"/>
      <c r="H97" s="57">
        <f t="shared" si="54"/>
        <v>9.9999999999999982</v>
      </c>
      <c r="I97" s="57">
        <f t="shared" si="55"/>
        <v>98.915999999999997</v>
      </c>
      <c r="J97" s="57">
        <f t="shared" si="56"/>
        <v>108.916</v>
      </c>
      <c r="K97" s="55"/>
    </row>
    <row r="98" spans="1:11" s="44" customFormat="1" ht="15.95" customHeight="1">
      <c r="A98" s="50" t="s">
        <v>105</v>
      </c>
      <c r="B98" s="57"/>
      <c r="C98" s="57"/>
      <c r="D98" s="57"/>
      <c r="E98" s="57"/>
      <c r="F98" s="57">
        <v>3</v>
      </c>
      <c r="G98" s="57"/>
      <c r="H98" s="57">
        <f t="shared" si="54"/>
        <v>6.9999999999999982</v>
      </c>
      <c r="I98" s="57">
        <f t="shared" si="55"/>
        <v>98.915999999999997</v>
      </c>
      <c r="J98" s="57">
        <f t="shared" si="56"/>
        <v>105.916</v>
      </c>
      <c r="K98" s="55"/>
    </row>
    <row r="99" spans="1:11" s="44" customFormat="1" ht="15.95" customHeight="1">
      <c r="A99" s="50" t="s">
        <v>106</v>
      </c>
      <c r="B99" s="57">
        <v>1.25</v>
      </c>
      <c r="C99" s="57">
        <v>1.25</v>
      </c>
      <c r="D99" s="57"/>
      <c r="E99" s="57"/>
      <c r="F99" s="57"/>
      <c r="G99" s="57"/>
      <c r="H99" s="57">
        <f t="shared" ref="H99:H102" si="57">H98-F99-D99+B99</f>
        <v>8.2499999999999982</v>
      </c>
      <c r="I99" s="57">
        <f t="shared" ref="I99:I102" si="58">I98-E99+C99</f>
        <v>100.166</v>
      </c>
      <c r="J99" s="57">
        <f t="shared" ref="J99:J104" si="59">SUM(H99:I99)</f>
        <v>108.416</v>
      </c>
      <c r="K99" s="55"/>
    </row>
    <row r="100" spans="1:11" s="44" customFormat="1" ht="15.95" customHeight="1">
      <c r="A100" s="50" t="s">
        <v>107</v>
      </c>
      <c r="B100" s="57"/>
      <c r="C100" s="57"/>
      <c r="D100" s="57"/>
      <c r="E100" s="57"/>
      <c r="F100" s="57">
        <v>1</v>
      </c>
      <c r="G100" s="57"/>
      <c r="H100" s="57">
        <f t="shared" si="57"/>
        <v>7.2499999999999982</v>
      </c>
      <c r="I100" s="57">
        <f t="shared" si="58"/>
        <v>100.166</v>
      </c>
      <c r="J100" s="57">
        <f t="shared" si="59"/>
        <v>107.416</v>
      </c>
      <c r="K100" s="55"/>
    </row>
    <row r="101" spans="1:11" s="44" customFormat="1" ht="15.95" customHeight="1">
      <c r="A101" s="50" t="s">
        <v>108</v>
      </c>
      <c r="B101" s="57">
        <v>3.75</v>
      </c>
      <c r="C101" s="57">
        <v>5</v>
      </c>
      <c r="D101" s="57"/>
      <c r="E101" s="57"/>
      <c r="F101" s="57"/>
      <c r="G101" s="57"/>
      <c r="H101" s="57">
        <f t="shared" si="57"/>
        <v>10.999999999999998</v>
      </c>
      <c r="I101" s="57">
        <f t="shared" si="58"/>
        <v>105.166</v>
      </c>
      <c r="J101" s="57">
        <f t="shared" si="59"/>
        <v>116.166</v>
      </c>
      <c r="K101" s="55"/>
    </row>
    <row r="102" spans="1:11" s="44" customFormat="1" ht="15.95" customHeight="1">
      <c r="A102" s="50" t="s">
        <v>109</v>
      </c>
      <c r="B102" s="57"/>
      <c r="C102" s="57"/>
      <c r="D102" s="57"/>
      <c r="E102" s="57"/>
      <c r="F102" s="57"/>
      <c r="G102" s="103">
        <v>2</v>
      </c>
      <c r="H102" s="57">
        <f t="shared" si="57"/>
        <v>10.999999999999998</v>
      </c>
      <c r="I102" s="57">
        <f t="shared" si="58"/>
        <v>105.166</v>
      </c>
      <c r="J102" s="57">
        <f t="shared" si="59"/>
        <v>116.166</v>
      </c>
      <c r="K102" s="55"/>
    </row>
    <row r="103" spans="1:11" s="44" customFormat="1" ht="15.95" customHeight="1">
      <c r="A103" s="50" t="s">
        <v>110</v>
      </c>
      <c r="B103" s="57"/>
      <c r="C103" s="57"/>
      <c r="D103" s="57"/>
      <c r="E103" s="57"/>
      <c r="F103" s="57"/>
      <c r="G103" s="103">
        <v>1</v>
      </c>
      <c r="H103" s="57">
        <f t="shared" ref="H103:H104" si="60">H102-F103-D103+B103</f>
        <v>10.999999999999998</v>
      </c>
      <c r="I103" s="57">
        <f t="shared" ref="I103:I104" si="61">I102-E103+C103</f>
        <v>105.166</v>
      </c>
      <c r="J103" s="57">
        <f t="shared" si="59"/>
        <v>116.166</v>
      </c>
      <c r="K103" s="55"/>
    </row>
    <row r="104" spans="1:11" s="44" customFormat="1" ht="15.95" customHeight="1">
      <c r="A104" s="50" t="s">
        <v>111</v>
      </c>
      <c r="B104" s="57"/>
      <c r="C104" s="57"/>
      <c r="D104" s="57"/>
      <c r="E104" s="57"/>
      <c r="F104" s="58">
        <v>5</v>
      </c>
      <c r="G104" s="57"/>
      <c r="H104" s="57">
        <f t="shared" si="60"/>
        <v>5.9999999999999982</v>
      </c>
      <c r="I104" s="57">
        <f t="shared" si="61"/>
        <v>105.166</v>
      </c>
      <c r="J104" s="57">
        <f t="shared" si="59"/>
        <v>111.166</v>
      </c>
      <c r="K104" s="55"/>
    </row>
    <row r="105" spans="1:11" s="44" customFormat="1" ht="15.95" customHeight="1">
      <c r="A105" s="50" t="s">
        <v>112</v>
      </c>
      <c r="B105" s="57">
        <v>2.5</v>
      </c>
      <c r="C105" s="57">
        <v>2.5</v>
      </c>
      <c r="D105" s="57"/>
      <c r="E105" s="57"/>
      <c r="F105" s="57"/>
      <c r="G105" s="57"/>
      <c r="H105" s="57">
        <f t="shared" ref="H105:H107" si="62">H104-F105-D105+B105</f>
        <v>8.4999999999999982</v>
      </c>
      <c r="I105" s="57">
        <f t="shared" ref="I105:I106" si="63">I104-E105+C105</f>
        <v>107.666</v>
      </c>
      <c r="J105" s="57">
        <f t="shared" ref="J105:J106" si="64">SUM(H105:I105)</f>
        <v>116.166</v>
      </c>
      <c r="K105" s="55"/>
    </row>
    <row r="106" spans="1:11" s="44" customFormat="1" ht="15.95" customHeight="1">
      <c r="A106" s="50" t="s">
        <v>113</v>
      </c>
      <c r="B106" s="57"/>
      <c r="C106" s="57"/>
      <c r="D106" s="57">
        <v>3.5</v>
      </c>
      <c r="E106" s="57">
        <v>26.5</v>
      </c>
      <c r="F106" s="57"/>
      <c r="G106" s="57"/>
      <c r="H106" s="57">
        <f t="shared" si="62"/>
        <v>4.9999999999999982</v>
      </c>
      <c r="I106" s="57">
        <f t="shared" si="63"/>
        <v>81.165999999999997</v>
      </c>
      <c r="J106" s="57">
        <f t="shared" si="64"/>
        <v>86.165999999999997</v>
      </c>
      <c r="K106" s="55"/>
    </row>
    <row r="107" spans="1:11" s="44" customFormat="1" ht="15.95" customHeight="1">
      <c r="A107" s="50" t="s">
        <v>114</v>
      </c>
      <c r="B107" s="57"/>
      <c r="C107" s="57"/>
      <c r="D107" s="57"/>
      <c r="E107" s="57">
        <v>1</v>
      </c>
      <c r="F107" s="57"/>
      <c r="G107" s="57"/>
      <c r="H107" s="57">
        <f t="shared" si="62"/>
        <v>4.9999999999999982</v>
      </c>
      <c r="I107" s="57">
        <f t="shared" ref="I107" si="65">I106-E107+C107</f>
        <v>80.165999999999997</v>
      </c>
      <c r="J107" s="57">
        <f t="shared" ref="J107" si="66">SUM(H107:I107)</f>
        <v>85.165999999999997</v>
      </c>
      <c r="K107" s="55"/>
    </row>
    <row r="108" spans="1:11" s="44" customFormat="1" ht="15.95" customHeight="1">
      <c r="A108" s="50" t="s">
        <v>115</v>
      </c>
      <c r="B108" s="57">
        <v>1.25</v>
      </c>
      <c r="C108" s="57">
        <v>1.25</v>
      </c>
      <c r="D108" s="57"/>
      <c r="E108" s="57"/>
      <c r="F108" s="57"/>
      <c r="G108" s="57"/>
      <c r="H108" s="57">
        <f t="shared" ref="H108:H109" si="67">H107-F108-D108+B108</f>
        <v>6.2499999999999982</v>
      </c>
      <c r="I108" s="57">
        <f t="shared" ref="I108:I109" si="68">I107-E108+C108</f>
        <v>81.415999999999997</v>
      </c>
      <c r="J108" s="57">
        <f t="shared" ref="J108:J109" si="69">SUM(H108:I108)</f>
        <v>87.665999999999997</v>
      </c>
      <c r="K108" s="55"/>
    </row>
    <row r="109" spans="1:11" s="44" customFormat="1" ht="15.95" customHeight="1">
      <c r="A109" s="50" t="s">
        <v>116</v>
      </c>
      <c r="B109" s="57"/>
      <c r="C109" s="57"/>
      <c r="D109" s="57"/>
      <c r="E109" s="57">
        <v>1</v>
      </c>
      <c r="F109" s="57"/>
      <c r="G109" s="57"/>
      <c r="H109" s="57">
        <f t="shared" si="67"/>
        <v>6.2499999999999982</v>
      </c>
      <c r="I109" s="57">
        <f t="shared" si="68"/>
        <v>80.415999999999997</v>
      </c>
      <c r="J109" s="57">
        <f t="shared" si="69"/>
        <v>86.665999999999997</v>
      </c>
      <c r="K109" s="55"/>
    </row>
    <row r="110" spans="1:11" s="44" customFormat="1" ht="15.95" customHeight="1">
      <c r="A110" s="50" t="s">
        <v>117</v>
      </c>
      <c r="B110" s="57">
        <v>3.75</v>
      </c>
      <c r="C110" s="57">
        <v>3.75</v>
      </c>
      <c r="D110" s="57"/>
      <c r="E110" s="57"/>
      <c r="F110" s="57"/>
      <c r="G110" s="57"/>
      <c r="H110" s="57">
        <f t="shared" ref="H110:H111" si="70">H109-F110-D110+B110</f>
        <v>9.9999999999999982</v>
      </c>
      <c r="I110" s="57">
        <f t="shared" ref="I110:I111" si="71">I109-E110+C110</f>
        <v>84.165999999999997</v>
      </c>
      <c r="J110" s="57">
        <f t="shared" ref="J110:J111" si="72">SUM(H110:I110)</f>
        <v>94.165999999999997</v>
      </c>
      <c r="K110" s="55"/>
    </row>
    <row r="111" spans="1:11" s="44" customFormat="1" ht="15.95" customHeight="1">
      <c r="A111" s="50" t="s">
        <v>118</v>
      </c>
      <c r="B111" s="57"/>
      <c r="C111" s="57"/>
      <c r="D111" s="57"/>
      <c r="E111" s="57">
        <v>1</v>
      </c>
      <c r="F111" s="57"/>
      <c r="G111" s="57"/>
      <c r="H111" s="57">
        <f t="shared" si="70"/>
        <v>9.9999999999999982</v>
      </c>
      <c r="I111" s="57">
        <f t="shared" si="71"/>
        <v>83.165999999999997</v>
      </c>
      <c r="J111" s="57">
        <f t="shared" si="72"/>
        <v>93.165999999999997</v>
      </c>
      <c r="K111" s="55"/>
    </row>
    <row r="112" spans="1:11" s="44" customFormat="1" ht="15.95" customHeight="1">
      <c r="A112" s="50" t="s">
        <v>119</v>
      </c>
      <c r="B112" s="57">
        <v>1.25</v>
      </c>
      <c r="C112" s="57">
        <v>1.25</v>
      </c>
      <c r="D112" s="57"/>
      <c r="E112" s="57"/>
      <c r="F112" s="57"/>
      <c r="G112" s="57"/>
      <c r="H112" s="57">
        <f>H111-F112-D112+B112</f>
        <v>11.249999999999998</v>
      </c>
      <c r="I112" s="57">
        <f>I111-E112+C112</f>
        <v>84.415999999999997</v>
      </c>
      <c r="J112" s="57">
        <f>SUM(H112:I112)</f>
        <v>95.665999999999997</v>
      </c>
      <c r="K112" s="55"/>
    </row>
    <row r="113" spans="1:11" s="44" customFormat="1" ht="15.95" customHeight="1">
      <c r="A113" s="99" t="s">
        <v>120</v>
      </c>
      <c r="B113" s="100"/>
      <c r="C113" s="100"/>
      <c r="D113" s="100">
        <v>2</v>
      </c>
      <c r="E113" s="100"/>
      <c r="F113" s="100"/>
      <c r="G113" s="100"/>
      <c r="H113" s="100">
        <f>H112-F113-D113+B113</f>
        <v>9.2499999999999982</v>
      </c>
      <c r="I113" s="100">
        <f>I112-E113+C113</f>
        <v>84.415999999999997</v>
      </c>
      <c r="J113" s="100">
        <f>SUM(H113:I113)</f>
        <v>93.665999999999997</v>
      </c>
      <c r="K113" s="55"/>
    </row>
    <row r="114" spans="1:11" s="44" customFormat="1" ht="15.95" customHeight="1">
      <c r="A114" s="97" t="s">
        <v>121</v>
      </c>
      <c r="B114" s="98"/>
      <c r="C114" s="98"/>
      <c r="D114" s="98"/>
      <c r="E114" s="98"/>
      <c r="F114" s="98"/>
      <c r="G114" s="98"/>
      <c r="H114" s="98"/>
      <c r="I114" s="98"/>
      <c r="J114" s="98"/>
      <c r="K114" s="55"/>
    </row>
    <row r="115" spans="1:11" s="44" customFormat="1" ht="15.95" customHeight="1">
      <c r="B115" s="59"/>
      <c r="C115" s="59"/>
      <c r="D115" s="59"/>
      <c r="E115" s="59"/>
      <c r="F115" s="59"/>
      <c r="G115" s="59"/>
      <c r="H115" s="60"/>
      <c r="I115" s="60"/>
      <c r="J115" s="60"/>
      <c r="K115" s="55"/>
    </row>
    <row r="116" spans="1:11" s="43" customFormat="1" ht="15.95" customHeight="1">
      <c r="G116" s="43" t="s">
        <v>122</v>
      </c>
    </row>
    <row r="117" spans="1:11" s="43" customFormat="1" ht="15.95" customHeight="1"/>
    <row r="118" spans="1:11" s="43" customFormat="1" ht="15.95" customHeight="1">
      <c r="G118" s="61" t="s">
        <v>123</v>
      </c>
    </row>
    <row r="119" spans="1:11" s="43" customFormat="1" ht="15.95" customHeight="1">
      <c r="G119" s="43" t="s">
        <v>124</v>
      </c>
    </row>
    <row r="120" spans="1:11" s="43" customFormat="1" ht="15.95" customHeight="1">
      <c r="G120" s="43" t="s">
        <v>125</v>
      </c>
    </row>
    <row r="121" spans="1:11" s="44" customFormat="1" ht="15.95" customHeight="1">
      <c r="B121" s="59"/>
      <c r="C121" s="59"/>
      <c r="D121" s="59"/>
      <c r="E121" s="59"/>
      <c r="F121" s="59"/>
      <c r="G121" s="59"/>
      <c r="H121" s="59"/>
      <c r="I121" s="59"/>
      <c r="J121" s="59"/>
      <c r="K121" s="55"/>
    </row>
    <row r="122" spans="1:11" s="44" customFormat="1" ht="15.95" customHeight="1">
      <c r="B122" s="59"/>
      <c r="C122" s="59"/>
      <c r="D122" s="59"/>
      <c r="E122" s="59"/>
      <c r="F122" s="59"/>
      <c r="G122" s="59"/>
      <c r="H122" s="59"/>
      <c r="I122" s="59"/>
      <c r="J122" s="59"/>
      <c r="K122" s="55"/>
    </row>
    <row r="123" spans="1:11" s="44" customFormat="1" ht="15.95" customHeight="1">
      <c r="B123" s="59"/>
      <c r="C123" s="59"/>
      <c r="D123" s="59"/>
      <c r="E123" s="59"/>
      <c r="F123" s="59"/>
      <c r="G123" s="59"/>
      <c r="H123" s="59"/>
      <c r="I123" s="59"/>
      <c r="J123" s="59"/>
      <c r="K123" s="55"/>
    </row>
    <row r="124" spans="1:11" s="44" customFormat="1" ht="15.95" customHeight="1">
      <c r="B124" s="59"/>
      <c r="C124" s="59"/>
      <c r="D124" s="59"/>
      <c r="E124" s="59"/>
      <c r="F124" s="59"/>
      <c r="G124" s="59"/>
      <c r="H124" s="59"/>
      <c r="I124" s="59"/>
      <c r="J124" s="59"/>
      <c r="K124" s="55"/>
    </row>
    <row r="125" spans="1:11" s="44" customFormat="1" ht="15.95" customHeight="1">
      <c r="B125" s="59"/>
      <c r="C125" s="59"/>
      <c r="D125" s="59"/>
      <c r="E125" s="59"/>
      <c r="F125" s="59"/>
      <c r="G125" s="59"/>
      <c r="H125" s="59"/>
      <c r="I125" s="59"/>
      <c r="J125" s="59"/>
      <c r="K125" s="55"/>
    </row>
    <row r="126" spans="1:11" s="44" customFormat="1" ht="15.95" customHeight="1">
      <c r="B126" s="59"/>
      <c r="C126" s="59"/>
      <c r="D126" s="59"/>
      <c r="E126" s="59"/>
      <c r="F126" s="59"/>
      <c r="G126" s="59"/>
      <c r="H126" s="59"/>
      <c r="I126" s="59"/>
      <c r="J126" s="59"/>
      <c r="K126" s="55"/>
    </row>
    <row r="127" spans="1:11" s="44" customFormat="1" ht="15.95" customHeight="1">
      <c r="B127" s="59"/>
      <c r="C127" s="59"/>
      <c r="D127" s="59"/>
      <c r="E127" s="59"/>
      <c r="F127" s="59"/>
      <c r="G127" s="59"/>
      <c r="H127" s="59"/>
      <c r="I127" s="59"/>
      <c r="J127" s="59"/>
      <c r="K127" s="55"/>
    </row>
    <row r="128" spans="1:11" s="44" customFormat="1" ht="15.95" customHeight="1">
      <c r="B128" s="59"/>
      <c r="C128" s="59"/>
      <c r="D128" s="59"/>
      <c r="E128" s="59"/>
      <c r="F128" s="59"/>
      <c r="G128" s="59"/>
      <c r="H128" s="59"/>
      <c r="I128" s="59"/>
      <c r="J128" s="59"/>
      <c r="K128" s="55"/>
    </row>
    <row r="129" spans="2:11" s="44" customFormat="1" ht="15.95" customHeight="1">
      <c r="B129" s="59"/>
      <c r="C129" s="59"/>
      <c r="D129" s="59"/>
      <c r="E129" s="59"/>
      <c r="F129" s="59"/>
      <c r="G129" s="59"/>
      <c r="H129" s="59"/>
      <c r="I129" s="59"/>
      <c r="J129" s="59"/>
      <c r="K129" s="55"/>
    </row>
    <row r="130" spans="2:11" s="44" customFormat="1" ht="15.95" customHeight="1">
      <c r="B130" s="59"/>
      <c r="C130" s="59"/>
      <c r="D130" s="59"/>
      <c r="E130" s="59"/>
      <c r="F130" s="59"/>
      <c r="G130" s="59"/>
      <c r="H130" s="59"/>
      <c r="I130" s="59"/>
      <c r="J130" s="59"/>
      <c r="K130" s="55"/>
    </row>
    <row r="131" spans="2:11" s="44" customFormat="1" ht="15.95" customHeight="1">
      <c r="B131" s="59"/>
      <c r="C131" s="59"/>
      <c r="D131" s="59"/>
      <c r="E131" s="59"/>
      <c r="F131" s="59"/>
      <c r="G131" s="59"/>
      <c r="H131" s="59"/>
      <c r="I131" s="59"/>
      <c r="J131" s="59"/>
      <c r="K131" s="55"/>
    </row>
    <row r="132" spans="2:11" s="44" customFormat="1" ht="15.95" customHeight="1">
      <c r="B132" s="59"/>
      <c r="C132" s="59"/>
      <c r="D132" s="59"/>
      <c r="E132" s="59"/>
      <c r="F132" s="59"/>
      <c r="G132" s="59"/>
      <c r="H132" s="59"/>
      <c r="I132" s="59"/>
      <c r="J132" s="59"/>
      <c r="K132" s="55"/>
    </row>
    <row r="133" spans="2:11" s="44" customFormat="1" ht="15.95" customHeight="1">
      <c r="B133" s="59"/>
      <c r="C133" s="59"/>
      <c r="D133" s="59"/>
      <c r="E133" s="59"/>
      <c r="F133" s="59"/>
      <c r="G133" s="59"/>
      <c r="H133" s="59"/>
      <c r="I133" s="59"/>
      <c r="J133" s="59"/>
      <c r="K133" s="55"/>
    </row>
    <row r="134" spans="2:11" s="44" customFormat="1" ht="15.95" customHeight="1">
      <c r="B134" s="59"/>
      <c r="C134" s="59"/>
      <c r="D134" s="59"/>
      <c r="E134" s="59"/>
      <c r="F134" s="59"/>
      <c r="G134" s="59"/>
      <c r="H134" s="59"/>
      <c r="I134" s="59"/>
      <c r="J134" s="59"/>
      <c r="K134" s="55"/>
    </row>
    <row r="135" spans="2:11" s="44" customFormat="1" ht="15.95" customHeight="1">
      <c r="B135" s="59"/>
      <c r="C135" s="59"/>
      <c r="D135" s="59"/>
      <c r="E135" s="59"/>
      <c r="F135" s="59"/>
      <c r="G135" s="59"/>
      <c r="H135" s="59"/>
      <c r="I135" s="59"/>
      <c r="J135" s="59"/>
      <c r="K135" s="55"/>
    </row>
    <row r="136" spans="2:11" s="44" customFormat="1" ht="15.95" customHeight="1">
      <c r="B136" s="59"/>
      <c r="C136" s="59"/>
      <c r="D136" s="59"/>
      <c r="E136" s="59"/>
      <c r="F136" s="59"/>
      <c r="G136" s="59"/>
      <c r="H136" s="59"/>
      <c r="I136" s="59"/>
      <c r="J136" s="59"/>
      <c r="K136" s="55"/>
    </row>
    <row r="137" spans="2:11" s="44" customFormat="1" ht="15.95" customHeight="1">
      <c r="B137" s="59"/>
      <c r="C137" s="59"/>
      <c r="D137" s="59"/>
      <c r="E137" s="59"/>
      <c r="F137" s="59"/>
      <c r="G137" s="59"/>
      <c r="H137" s="59"/>
      <c r="I137" s="59"/>
      <c r="J137" s="59"/>
      <c r="K137" s="55"/>
    </row>
    <row r="138" spans="2:11" s="44" customFormat="1" ht="15.95" customHeight="1">
      <c r="B138" s="59"/>
      <c r="C138" s="59"/>
      <c r="D138" s="59"/>
      <c r="E138" s="59"/>
      <c r="F138" s="59"/>
      <c r="G138" s="59"/>
      <c r="H138" s="59"/>
      <c r="I138" s="59"/>
      <c r="J138" s="59"/>
      <c r="K138" s="55"/>
    </row>
    <row r="139" spans="2:11" s="44" customFormat="1" ht="15.95" customHeight="1">
      <c r="K139" s="55"/>
    </row>
    <row r="140" spans="2:11" s="44" customFormat="1" ht="15.95" customHeight="1">
      <c r="K140" s="55"/>
    </row>
    <row r="141" spans="2:11" s="44" customFormat="1" ht="15.95" customHeight="1">
      <c r="K141" s="55"/>
    </row>
    <row r="142" spans="2:11" s="44" customFormat="1" ht="15.95" customHeight="1">
      <c r="K142" s="55"/>
    </row>
    <row r="143" spans="2:11" s="44" customFormat="1" ht="15.95" customHeight="1">
      <c r="K143" s="55"/>
    </row>
    <row r="144" spans="2:11" s="45" customFormat="1" ht="15.6">
      <c r="K144" s="62"/>
    </row>
    <row r="145" spans="11:11" s="45" customFormat="1" ht="15.6">
      <c r="K145" s="62"/>
    </row>
    <row r="146" spans="11:11" s="45" customFormat="1" ht="15.6">
      <c r="K146" s="62"/>
    </row>
    <row r="147" spans="11:11" s="45" customFormat="1" ht="15.6">
      <c r="K147" s="62"/>
    </row>
    <row r="148" spans="11:11" s="45" customFormat="1" ht="15.6">
      <c r="K148" s="62"/>
    </row>
    <row r="149" spans="11:11" s="45" customFormat="1" ht="15.6">
      <c r="K149" s="62"/>
    </row>
    <row r="150" spans="11:11" s="45" customFormat="1" ht="15.6">
      <c r="K150" s="62"/>
    </row>
    <row r="151" spans="11:11" s="45" customFormat="1" ht="15.6">
      <c r="K151" s="62"/>
    </row>
    <row r="152" spans="11:11" s="45" customFormat="1" ht="15.6">
      <c r="K152" s="62"/>
    </row>
    <row r="153" spans="11:11" s="45" customFormat="1" ht="15.6">
      <c r="K153" s="62"/>
    </row>
    <row r="154" spans="11:11" s="45" customFormat="1" ht="15.6">
      <c r="K154" s="62"/>
    </row>
    <row r="155" spans="11:11" s="45" customFormat="1" ht="15.6">
      <c r="K155" s="62"/>
    </row>
    <row r="156" spans="11:11" s="45" customFormat="1" ht="15.6">
      <c r="K156" s="62"/>
    </row>
    <row r="157" spans="11:11" s="45" customFormat="1" ht="15.6">
      <c r="K157" s="62"/>
    </row>
    <row r="158" spans="11:11" s="45" customFormat="1" ht="15.6">
      <c r="K158" s="62"/>
    </row>
    <row r="159" spans="11:11" s="45" customFormat="1" ht="15.6">
      <c r="K159" s="62"/>
    </row>
    <row r="160" spans="11:11" s="45" customFormat="1" ht="15.6">
      <c r="K160" s="62"/>
    </row>
    <row r="161" spans="11:11" s="45" customFormat="1" ht="15.6">
      <c r="K161" s="62"/>
    </row>
    <row r="162" spans="11:11" s="45" customFormat="1" ht="15.6">
      <c r="K162" s="62"/>
    </row>
    <row r="163" spans="11:11" s="45" customFormat="1" ht="15.6">
      <c r="K163" s="62"/>
    </row>
    <row r="164" spans="11:11" s="45" customFormat="1" ht="15.6">
      <c r="K164" s="62"/>
    </row>
    <row r="165" spans="11:11" s="45" customFormat="1" ht="15.6">
      <c r="K165" s="62"/>
    </row>
    <row r="166" spans="11:11" s="45" customFormat="1" ht="15.6">
      <c r="K166" s="62"/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196850393700787" right="0.196850393700787" top="0.55118110236220497" bottom="0.74803149606299202" header="0.31496062992126" footer="0.31496062992126"/>
  <pageSetup paperSize="9" scale="70" fitToHeight="0" orientation="portrait"/>
  <rowBreaks count="1" manualBreakCount="1">
    <brk id="66" max="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8"/>
  <sheetViews>
    <sheetView view="pageBreakPreview" topLeftCell="A21" zoomScale="112" zoomScaleNormal="100" workbookViewId="0">
      <selection activeCell="J28" sqref="J28:K28"/>
    </sheetView>
  </sheetViews>
  <sheetFormatPr defaultColWidth="8.75" defaultRowHeight="14.45"/>
  <cols>
    <col min="1" max="1" width="29.75" style="25" customWidth="1"/>
    <col min="2" max="4" width="8.75" style="25"/>
    <col min="5" max="5" width="11.125" style="25" customWidth="1"/>
    <col min="6" max="11" width="8.75" style="25"/>
    <col min="12" max="12" width="15.25" style="25" customWidth="1"/>
    <col min="13" max="16384" width="8.75" style="25"/>
  </cols>
  <sheetData>
    <row r="1" spans="1:12" s="22" customFormat="1" ht="52.5" customHeight="1"/>
    <row r="2" spans="1:12" s="22" customFormat="1" ht="10.5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s="22" customFormat="1" ht="15.95" customHeight="1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 s="22" customFormat="1" ht="15.95" customHeight="1">
      <c r="A4" s="74" t="s">
        <v>126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s="22" customFormat="1" ht="15.95" customHeight="1">
      <c r="A5" s="74" t="s">
        <v>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s="22" customFormat="1" ht="8.25" customHeight="1"/>
    <row r="7" spans="1:12" s="22" customFormat="1" ht="12" customHeight="1">
      <c r="A7" s="22" t="s">
        <v>4</v>
      </c>
      <c r="C7" s="26" t="s">
        <v>5</v>
      </c>
      <c r="D7" s="26"/>
      <c r="G7" s="26" t="s">
        <v>6</v>
      </c>
      <c r="H7" s="27"/>
    </row>
    <row r="8" spans="1:12" s="22" customFormat="1" ht="12" customHeight="1">
      <c r="C8" s="28"/>
      <c r="G8" s="28"/>
      <c r="H8" s="28"/>
    </row>
    <row r="9" spans="1:12" s="22" customFormat="1" ht="12" customHeight="1">
      <c r="A9" s="22" t="s">
        <v>7</v>
      </c>
      <c r="C9" s="26" t="s">
        <v>8</v>
      </c>
      <c r="D9" s="26"/>
      <c r="G9" s="26" t="s">
        <v>9</v>
      </c>
      <c r="H9" s="29"/>
    </row>
    <row r="10" spans="1:12" ht="16.5" customHeight="1">
      <c r="A10" s="75" t="s">
        <v>127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s="23" customFormat="1" ht="18.75" customHeight="1">
      <c r="A11" s="88" t="s">
        <v>11</v>
      </c>
      <c r="B11" s="76" t="s">
        <v>12</v>
      </c>
      <c r="C11" s="77"/>
      <c r="D11" s="77"/>
      <c r="E11" s="77"/>
      <c r="F11" s="77"/>
      <c r="G11" s="77"/>
      <c r="H11" s="77"/>
      <c r="I11" s="77"/>
      <c r="J11" s="77"/>
      <c r="K11" s="77"/>
      <c r="L11" s="90" t="s">
        <v>15</v>
      </c>
    </row>
    <row r="12" spans="1:12" s="23" customFormat="1" ht="24" customHeight="1">
      <c r="A12" s="89"/>
      <c r="B12" s="78" t="s">
        <v>128</v>
      </c>
      <c r="C12" s="79"/>
      <c r="D12" s="79"/>
      <c r="E12" s="80"/>
      <c r="F12" s="78" t="s">
        <v>129</v>
      </c>
      <c r="G12" s="80"/>
      <c r="H12" s="78" t="s">
        <v>130</v>
      </c>
      <c r="I12" s="80"/>
      <c r="J12" s="78" t="s">
        <v>131</v>
      </c>
      <c r="K12" s="80"/>
      <c r="L12" s="91"/>
    </row>
    <row r="13" spans="1:12" s="23" customFormat="1" ht="24.75" hidden="1" customHeight="1">
      <c r="A13" s="30" t="s">
        <v>132</v>
      </c>
      <c r="B13" s="81" t="s">
        <v>133</v>
      </c>
      <c r="C13" s="82"/>
      <c r="D13" s="82"/>
      <c r="E13" s="83"/>
      <c r="F13" s="81">
        <v>1</v>
      </c>
      <c r="G13" s="83"/>
      <c r="H13" s="81">
        <v>0</v>
      </c>
      <c r="I13" s="83"/>
      <c r="J13" s="81">
        <v>1</v>
      </c>
      <c r="K13" s="83"/>
      <c r="L13" s="37">
        <v>1</v>
      </c>
    </row>
    <row r="14" spans="1:12" s="24" customFormat="1" ht="21.75" hidden="1" customHeight="1">
      <c r="A14" s="31" t="s">
        <v>134</v>
      </c>
      <c r="B14" s="81"/>
      <c r="C14" s="82"/>
      <c r="D14" s="82"/>
      <c r="E14" s="83"/>
      <c r="F14" s="81"/>
      <c r="G14" s="83"/>
      <c r="H14" s="81">
        <v>1</v>
      </c>
      <c r="I14" s="83"/>
      <c r="J14" s="81">
        <v>0</v>
      </c>
      <c r="K14" s="83"/>
      <c r="L14" s="37">
        <v>0</v>
      </c>
    </row>
    <row r="15" spans="1:12" s="24" customFormat="1" ht="21.75" hidden="1" customHeight="1">
      <c r="A15" s="31" t="s">
        <v>135</v>
      </c>
      <c r="B15" s="81" t="s">
        <v>136</v>
      </c>
      <c r="C15" s="82"/>
      <c r="D15" s="82"/>
      <c r="E15" s="83"/>
      <c r="F15" s="81">
        <v>2</v>
      </c>
      <c r="G15" s="83"/>
      <c r="H15" s="81">
        <v>0</v>
      </c>
      <c r="I15" s="83"/>
      <c r="J15" s="81">
        <v>2</v>
      </c>
      <c r="K15" s="83"/>
      <c r="L15" s="37">
        <v>2</v>
      </c>
    </row>
    <row r="16" spans="1:12" s="24" customFormat="1" ht="21.75" hidden="1" customHeight="1">
      <c r="A16" s="32" t="s">
        <v>137</v>
      </c>
      <c r="B16" s="81"/>
      <c r="C16" s="82"/>
      <c r="D16" s="82"/>
      <c r="E16" s="83"/>
      <c r="F16" s="81"/>
      <c r="G16" s="83"/>
      <c r="H16" s="81">
        <v>2</v>
      </c>
      <c r="I16" s="83"/>
      <c r="J16" s="81">
        <v>0</v>
      </c>
      <c r="K16" s="83"/>
      <c r="L16" s="38">
        <v>0</v>
      </c>
    </row>
    <row r="17" spans="1:12" s="24" customFormat="1" ht="39" hidden="1" customHeight="1">
      <c r="A17" s="33" t="s">
        <v>138</v>
      </c>
      <c r="B17" s="81" t="s">
        <v>139</v>
      </c>
      <c r="C17" s="82"/>
      <c r="D17" s="82"/>
      <c r="E17" s="83"/>
      <c r="F17" s="81">
        <v>1</v>
      </c>
      <c r="G17" s="83"/>
      <c r="H17" s="81">
        <v>0</v>
      </c>
      <c r="I17" s="83"/>
      <c r="J17" s="81">
        <v>1</v>
      </c>
      <c r="K17" s="83"/>
      <c r="L17" s="33">
        <v>1</v>
      </c>
    </row>
    <row r="18" spans="1:12" s="24" customFormat="1" ht="36" hidden="1" customHeight="1">
      <c r="A18" s="33" t="s">
        <v>140</v>
      </c>
      <c r="B18" s="81" t="s">
        <v>141</v>
      </c>
      <c r="C18" s="82"/>
      <c r="D18" s="82"/>
      <c r="E18" s="83"/>
      <c r="F18" s="81">
        <v>1</v>
      </c>
      <c r="G18" s="83"/>
      <c r="H18" s="81">
        <v>0</v>
      </c>
      <c r="I18" s="83"/>
      <c r="J18" s="81">
        <v>2</v>
      </c>
      <c r="K18" s="83"/>
      <c r="L18" s="33">
        <v>2</v>
      </c>
    </row>
    <row r="19" spans="1:12" s="24" customFormat="1" ht="61.5" hidden="1" customHeight="1">
      <c r="A19" s="33" t="s">
        <v>142</v>
      </c>
      <c r="B19" s="81" t="s">
        <v>143</v>
      </c>
      <c r="C19" s="82"/>
      <c r="D19" s="82"/>
      <c r="E19" s="83"/>
      <c r="F19" s="81"/>
      <c r="G19" s="83"/>
      <c r="H19" s="81">
        <v>2</v>
      </c>
      <c r="I19" s="83"/>
      <c r="J19" s="81">
        <v>0</v>
      </c>
      <c r="K19" s="83"/>
      <c r="L19" s="38">
        <v>0</v>
      </c>
    </row>
    <row r="20" spans="1:12" s="24" customFormat="1" ht="27" customHeight="1">
      <c r="A20" s="33" t="s">
        <v>144</v>
      </c>
      <c r="B20" s="81" t="s">
        <v>145</v>
      </c>
      <c r="C20" s="82"/>
      <c r="D20" s="82"/>
      <c r="E20" s="83"/>
      <c r="F20" s="81">
        <v>1</v>
      </c>
      <c r="G20" s="83"/>
      <c r="H20" s="81">
        <v>0</v>
      </c>
      <c r="I20" s="83"/>
      <c r="J20" s="81">
        <v>1</v>
      </c>
      <c r="K20" s="83"/>
      <c r="L20" s="39">
        <v>1</v>
      </c>
    </row>
    <row r="21" spans="1:12" s="24" customFormat="1" ht="27.75" customHeight="1">
      <c r="A21" s="33" t="s">
        <v>146</v>
      </c>
      <c r="B21" s="81" t="s">
        <v>145</v>
      </c>
      <c r="C21" s="82"/>
      <c r="D21" s="82"/>
      <c r="E21" s="83"/>
      <c r="F21" s="81"/>
      <c r="G21" s="83"/>
      <c r="H21" s="81">
        <v>1</v>
      </c>
      <c r="I21" s="83"/>
      <c r="J21" s="84">
        <v>0</v>
      </c>
      <c r="K21" s="85"/>
      <c r="L21" s="38">
        <v>0</v>
      </c>
    </row>
    <row r="22" spans="1:12" s="24" customFormat="1" ht="27.75" customHeight="1">
      <c r="A22" s="33" t="s">
        <v>147</v>
      </c>
      <c r="B22" s="81" t="s">
        <v>148</v>
      </c>
      <c r="C22" s="82"/>
      <c r="D22" s="82"/>
      <c r="E22" s="83"/>
      <c r="F22" s="81">
        <v>3</v>
      </c>
      <c r="G22" s="83"/>
      <c r="H22" s="81">
        <v>0</v>
      </c>
      <c r="I22" s="83"/>
      <c r="J22" s="81">
        <v>3</v>
      </c>
      <c r="K22" s="83"/>
      <c r="L22" s="39">
        <v>3</v>
      </c>
    </row>
    <row r="23" spans="1:12" s="24" customFormat="1" ht="27.75" customHeight="1">
      <c r="A23" s="33" t="s">
        <v>149</v>
      </c>
      <c r="B23" s="81" t="s">
        <v>148</v>
      </c>
      <c r="C23" s="82"/>
      <c r="D23" s="82"/>
      <c r="E23" s="83"/>
      <c r="F23" s="81"/>
      <c r="G23" s="83"/>
      <c r="H23" s="81">
        <v>1</v>
      </c>
      <c r="I23" s="83"/>
      <c r="J23" s="81">
        <v>2</v>
      </c>
      <c r="K23" s="83"/>
      <c r="L23" s="39">
        <v>2</v>
      </c>
    </row>
    <row r="24" spans="1:12" s="24" customFormat="1" ht="27.75" customHeight="1">
      <c r="A24" s="33" t="s">
        <v>150</v>
      </c>
      <c r="B24" s="81" t="s">
        <v>148</v>
      </c>
      <c r="C24" s="82"/>
      <c r="D24" s="82"/>
      <c r="E24" s="83"/>
      <c r="F24" s="81"/>
      <c r="G24" s="83"/>
      <c r="H24" s="81">
        <v>2</v>
      </c>
      <c r="I24" s="83"/>
      <c r="J24" s="84">
        <v>0</v>
      </c>
      <c r="K24" s="85"/>
      <c r="L24" s="38">
        <v>0</v>
      </c>
    </row>
    <row r="25" spans="1:12" s="24" customFormat="1" ht="25.5" customHeight="1">
      <c r="A25" s="32" t="s">
        <v>151</v>
      </c>
      <c r="B25" s="81" t="s">
        <v>152</v>
      </c>
      <c r="C25" s="82"/>
      <c r="D25" s="82"/>
      <c r="E25" s="83"/>
      <c r="F25" s="81">
        <v>1</v>
      </c>
      <c r="G25" s="83"/>
      <c r="H25" s="81">
        <v>1</v>
      </c>
      <c r="I25" s="83"/>
      <c r="J25" s="81">
        <v>0</v>
      </c>
      <c r="K25" s="83"/>
      <c r="L25" s="39">
        <v>0</v>
      </c>
    </row>
    <row r="26" spans="1:12" s="24" customFormat="1" ht="25.5" customHeight="1">
      <c r="A26" s="32" t="s">
        <v>153</v>
      </c>
      <c r="B26" s="81" t="s">
        <v>152</v>
      </c>
      <c r="C26" s="82"/>
      <c r="D26" s="82"/>
      <c r="E26" s="83"/>
      <c r="F26" s="81"/>
      <c r="G26" s="83"/>
      <c r="H26" s="81">
        <v>1</v>
      </c>
      <c r="I26" s="83"/>
      <c r="J26" s="84">
        <v>0</v>
      </c>
      <c r="K26" s="85"/>
      <c r="L26" s="38">
        <v>0</v>
      </c>
    </row>
    <row r="27" spans="1:12" s="24" customFormat="1" ht="30.75" customHeight="1">
      <c r="A27" s="32" t="s">
        <v>154</v>
      </c>
      <c r="B27" s="81" t="s">
        <v>155</v>
      </c>
      <c r="C27" s="82"/>
      <c r="D27" s="82"/>
      <c r="E27" s="83"/>
      <c r="F27" s="81">
        <v>3</v>
      </c>
      <c r="G27" s="83"/>
      <c r="H27" s="81">
        <v>0</v>
      </c>
      <c r="I27" s="83"/>
      <c r="J27" s="81">
        <v>3</v>
      </c>
      <c r="K27" s="83"/>
      <c r="L27" s="39">
        <v>3</v>
      </c>
    </row>
    <row r="28" spans="1:12" s="24" customFormat="1" ht="28.5" customHeight="1">
      <c r="A28" s="33" t="s">
        <v>156</v>
      </c>
      <c r="B28" s="81" t="s">
        <v>155</v>
      </c>
      <c r="C28" s="82"/>
      <c r="D28" s="82"/>
      <c r="E28" s="83"/>
      <c r="F28" s="81"/>
      <c r="G28" s="83"/>
      <c r="H28" s="81">
        <v>3</v>
      </c>
      <c r="I28" s="83"/>
      <c r="J28" s="84">
        <v>0</v>
      </c>
      <c r="K28" s="85"/>
      <c r="L28" s="38">
        <v>0</v>
      </c>
    </row>
    <row r="29" spans="1:12" s="24" customFormat="1" ht="38.25" customHeight="1">
      <c r="A29" s="32" t="s">
        <v>157</v>
      </c>
      <c r="B29" s="81" t="s">
        <v>158</v>
      </c>
      <c r="C29" s="82"/>
      <c r="D29" s="82"/>
      <c r="E29" s="83"/>
      <c r="F29" s="81" t="s">
        <v>159</v>
      </c>
      <c r="G29" s="83"/>
      <c r="H29" s="81">
        <v>0</v>
      </c>
      <c r="I29" s="83"/>
      <c r="J29" s="81" t="s">
        <v>159</v>
      </c>
      <c r="K29" s="83"/>
      <c r="L29" s="40" t="s">
        <v>159</v>
      </c>
    </row>
    <row r="30" spans="1:12" s="24" customFormat="1" ht="38.25" customHeight="1">
      <c r="A30" s="33" t="s">
        <v>160</v>
      </c>
      <c r="B30" s="81" t="s">
        <v>158</v>
      </c>
      <c r="C30" s="82"/>
      <c r="D30" s="82"/>
      <c r="E30" s="83"/>
      <c r="F30" s="81"/>
      <c r="G30" s="83"/>
      <c r="H30" s="81">
        <v>2</v>
      </c>
      <c r="I30" s="83"/>
      <c r="J30" s="81" t="s">
        <v>161</v>
      </c>
      <c r="K30" s="83"/>
      <c r="L30" s="40" t="s">
        <v>161</v>
      </c>
    </row>
    <row r="31" spans="1:12" s="24" customFormat="1" ht="38.25" customHeight="1">
      <c r="A31" s="33" t="s">
        <v>162</v>
      </c>
      <c r="B31" s="81" t="s">
        <v>158</v>
      </c>
      <c r="C31" s="82"/>
      <c r="D31" s="82"/>
      <c r="E31" s="83"/>
      <c r="F31" s="81"/>
      <c r="G31" s="83"/>
      <c r="H31" s="81">
        <v>1</v>
      </c>
      <c r="I31" s="83"/>
      <c r="J31" s="81" t="s">
        <v>163</v>
      </c>
      <c r="K31" s="83"/>
      <c r="L31" s="40" t="s">
        <v>163</v>
      </c>
    </row>
    <row r="32" spans="1:12" s="24" customFormat="1">
      <c r="A32" s="34" t="s">
        <v>164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41"/>
    </row>
    <row r="33" spans="1:12" ht="18.9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</row>
    <row r="34" spans="1:12" s="22" customFormat="1">
      <c r="C34" s="36"/>
      <c r="H34" s="22" t="s">
        <v>122</v>
      </c>
    </row>
    <row r="35" spans="1:12" s="22" customFormat="1">
      <c r="C35" s="36"/>
    </row>
    <row r="36" spans="1:12">
      <c r="J36" s="42" t="s">
        <v>123</v>
      </c>
      <c r="K36" s="42"/>
    </row>
    <row r="37" spans="1:12">
      <c r="J37" s="25" t="s">
        <v>124</v>
      </c>
    </row>
    <row r="38" spans="1:12">
      <c r="J38" s="87" t="s">
        <v>165</v>
      </c>
      <c r="K38" s="87"/>
    </row>
  </sheetData>
  <mergeCells count="90">
    <mergeCell ref="J38:K38"/>
    <mergeCell ref="A11:A12"/>
    <mergeCell ref="L11:L12"/>
    <mergeCell ref="B31:E31"/>
    <mergeCell ref="F31:G31"/>
    <mergeCell ref="H31:I31"/>
    <mergeCell ref="J31:K31"/>
    <mergeCell ref="A33:L33"/>
    <mergeCell ref="B29:E29"/>
    <mergeCell ref="F29:G29"/>
    <mergeCell ref="H29:I29"/>
    <mergeCell ref="J29:K29"/>
    <mergeCell ref="B30:E30"/>
    <mergeCell ref="F30:G30"/>
    <mergeCell ref="H30:I30"/>
    <mergeCell ref="J30:K30"/>
    <mergeCell ref="B27:E27"/>
    <mergeCell ref="F27:G27"/>
    <mergeCell ref="H27:I27"/>
    <mergeCell ref="J27:K27"/>
    <mergeCell ref="B28:E28"/>
    <mergeCell ref="F28:G28"/>
    <mergeCell ref="H28:I28"/>
    <mergeCell ref="J28:K28"/>
    <mergeCell ref="B25:E25"/>
    <mergeCell ref="F25:G25"/>
    <mergeCell ref="H25:I25"/>
    <mergeCell ref="J25:K25"/>
    <mergeCell ref="B26:E26"/>
    <mergeCell ref="F26:G26"/>
    <mergeCell ref="H26:I26"/>
    <mergeCell ref="J26:K26"/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65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view="pageBreakPreview" zoomScale="98" zoomScaleNormal="100" workbookViewId="0">
      <selection activeCell="A14" sqref="A14:XFD14"/>
    </sheetView>
  </sheetViews>
  <sheetFormatPr defaultColWidth="8.75" defaultRowHeight="14.45"/>
  <cols>
    <col min="1" max="1" width="27.125" style="4" customWidth="1"/>
    <col min="2" max="11" width="9.625" style="4" customWidth="1"/>
    <col min="12" max="12" width="7.625" style="4" customWidth="1"/>
    <col min="13" max="13" width="8.75" style="4" hidden="1" customWidth="1"/>
    <col min="14" max="16384" width="8.75" style="4"/>
  </cols>
  <sheetData>
    <row r="1" spans="1:12" s="1" customFormat="1" ht="52.5" customHeight="1">
      <c r="C1" s="5"/>
      <c r="D1" s="6"/>
      <c r="H1" s="7"/>
    </row>
    <row r="2" spans="1:12" s="1" customFormat="1" ht="10.5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s="1" customFormat="1" ht="15.95" customHeight="1">
      <c r="A3" s="92" t="s">
        <v>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s="1" customFormat="1" ht="15.95" customHeight="1">
      <c r="A4" s="92" t="s">
        <v>126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s="1" customFormat="1" ht="15.95" customHeight="1">
      <c r="A5" s="92" t="s">
        <v>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2" s="1" customFormat="1" ht="8.25" customHeight="1">
      <c r="C6" s="7"/>
      <c r="H6" s="7"/>
    </row>
    <row r="7" spans="1:12" s="1" customFormat="1" ht="8.25" customHeight="1">
      <c r="C7" s="7"/>
      <c r="H7" s="7"/>
    </row>
    <row r="8" spans="1:12" s="1" customFormat="1" ht="12" customHeight="1">
      <c r="A8" s="8" t="s">
        <v>166</v>
      </c>
      <c r="B8" s="8"/>
      <c r="C8" s="93" t="s">
        <v>167</v>
      </c>
      <c r="D8" s="93"/>
      <c r="E8" s="93"/>
      <c r="F8" s="93"/>
      <c r="G8" s="93"/>
      <c r="I8" s="93" t="s">
        <v>168</v>
      </c>
      <c r="J8" s="93"/>
      <c r="K8" s="93"/>
      <c r="L8" s="8"/>
    </row>
    <row r="9" spans="1:12" s="1" customFormat="1" ht="12" customHeight="1">
      <c r="B9" s="9"/>
      <c r="C9" s="93" t="s">
        <v>169</v>
      </c>
      <c r="D9" s="93"/>
      <c r="E9" s="93"/>
      <c r="F9" s="93"/>
      <c r="G9" s="93"/>
      <c r="I9" s="94" t="s">
        <v>170</v>
      </c>
      <c r="J9" s="94"/>
      <c r="K9" s="94"/>
      <c r="L9" s="9"/>
    </row>
    <row r="10" spans="1:12" s="1" customFormat="1" ht="12" customHeight="1">
      <c r="A10" s="8" t="s">
        <v>171</v>
      </c>
      <c r="B10" s="8"/>
      <c r="C10" s="10"/>
      <c r="D10" s="9"/>
      <c r="E10" s="9"/>
      <c r="I10" s="93" t="s">
        <v>172</v>
      </c>
      <c r="J10" s="93"/>
      <c r="K10" s="93"/>
      <c r="L10" s="8"/>
    </row>
    <row r="11" spans="1:12" ht="16.5" customHeight="1">
      <c r="A11" s="95" t="s">
        <v>173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</row>
    <row r="12" spans="1:12" s="2" customFormat="1" ht="48">
      <c r="A12" s="11" t="s">
        <v>11</v>
      </c>
      <c r="B12" s="12" t="s">
        <v>174</v>
      </c>
      <c r="C12" s="12" t="s">
        <v>175</v>
      </c>
      <c r="D12" s="12" t="s">
        <v>176</v>
      </c>
      <c r="E12" s="12" t="s">
        <v>177</v>
      </c>
      <c r="F12" s="12" t="s">
        <v>178</v>
      </c>
      <c r="G12" s="12" t="s">
        <v>179</v>
      </c>
      <c r="H12" s="12" t="s">
        <v>180</v>
      </c>
      <c r="I12" s="12" t="s">
        <v>181</v>
      </c>
      <c r="J12" s="12" t="s">
        <v>182</v>
      </c>
      <c r="K12" s="12" t="s">
        <v>183</v>
      </c>
      <c r="L12" s="19" t="s">
        <v>15</v>
      </c>
    </row>
    <row r="13" spans="1:12" s="2" customFormat="1">
      <c r="A13" s="13" t="s">
        <v>184</v>
      </c>
      <c r="B13" s="14"/>
      <c r="C13" s="15"/>
      <c r="D13" s="15"/>
      <c r="E13" s="14"/>
      <c r="F13" s="14"/>
      <c r="G13" s="14"/>
      <c r="H13" s="15"/>
      <c r="I13" s="14">
        <v>60</v>
      </c>
      <c r="J13" s="14"/>
      <c r="K13" s="14"/>
      <c r="L13" s="20">
        <v>60</v>
      </c>
    </row>
    <row r="14" spans="1:12" s="2" customFormat="1">
      <c r="A14" s="13" t="s">
        <v>185</v>
      </c>
      <c r="B14" s="14"/>
      <c r="C14" s="15"/>
      <c r="D14" s="15">
        <v>1</v>
      </c>
      <c r="E14" s="14"/>
      <c r="F14" s="14"/>
      <c r="G14" s="14"/>
      <c r="H14" s="15"/>
      <c r="I14" s="14"/>
      <c r="J14" s="14">
        <v>5</v>
      </c>
      <c r="K14" s="14"/>
      <c r="L14" s="20">
        <v>5</v>
      </c>
    </row>
    <row r="15" spans="1:12" s="2" customFormat="1">
      <c r="A15" s="13"/>
      <c r="B15" s="14"/>
      <c r="C15" s="15"/>
      <c r="D15" s="15"/>
      <c r="E15" s="14"/>
      <c r="F15" s="14"/>
      <c r="G15" s="14"/>
      <c r="H15" s="15"/>
      <c r="I15" s="14"/>
      <c r="J15" s="14"/>
      <c r="K15" s="14"/>
      <c r="L15" s="20"/>
    </row>
    <row r="16" spans="1:12" s="3" customFormat="1">
      <c r="A16" s="16"/>
      <c r="B16" s="14"/>
      <c r="C16" s="15"/>
      <c r="D16" s="15"/>
      <c r="E16" s="14"/>
      <c r="F16" s="14"/>
      <c r="G16" s="14"/>
      <c r="H16" s="15"/>
      <c r="I16" s="14"/>
      <c r="J16" s="14"/>
      <c r="K16" s="14"/>
      <c r="L16" s="20"/>
    </row>
    <row r="17" spans="1:12" s="3" customFormat="1">
      <c r="A17" s="17"/>
      <c r="B17" s="14"/>
      <c r="C17" s="15"/>
      <c r="D17" s="15"/>
      <c r="E17" s="14"/>
      <c r="F17" s="14"/>
      <c r="G17" s="14"/>
      <c r="H17" s="15"/>
      <c r="I17" s="14"/>
      <c r="J17" s="14"/>
      <c r="K17" s="14"/>
      <c r="L17" s="20"/>
    </row>
    <row r="18" spans="1:12" s="3" customFormat="1">
      <c r="A18" s="15"/>
      <c r="B18" s="14"/>
      <c r="C18" s="15"/>
      <c r="D18" s="15"/>
      <c r="E18" s="14"/>
      <c r="F18" s="14"/>
      <c r="G18" s="14"/>
      <c r="H18" s="15"/>
      <c r="I18" s="14"/>
      <c r="J18" s="14"/>
      <c r="K18" s="14"/>
      <c r="L18" s="20"/>
    </row>
    <row r="19" spans="1:12" s="3" customFormat="1">
      <c r="A19" s="13"/>
      <c r="B19" s="14"/>
      <c r="C19" s="15"/>
      <c r="D19" s="15"/>
      <c r="E19" s="14"/>
      <c r="F19" s="14"/>
      <c r="G19" s="14"/>
      <c r="H19" s="15"/>
      <c r="I19" s="14"/>
      <c r="J19" s="14"/>
      <c r="K19" s="14"/>
      <c r="L19" s="20"/>
    </row>
    <row r="20" spans="1:12" s="3" customFormat="1">
      <c r="A20" s="13"/>
      <c r="B20" s="14"/>
      <c r="C20" s="15"/>
      <c r="D20" s="15"/>
      <c r="E20" s="14"/>
      <c r="F20" s="14"/>
      <c r="G20" s="14"/>
      <c r="H20" s="15"/>
      <c r="I20" s="14"/>
      <c r="J20" s="14"/>
      <c r="K20" s="14"/>
      <c r="L20" s="20"/>
    </row>
    <row r="21" spans="1:12" s="3" customFormat="1">
      <c r="A21" s="13"/>
      <c r="B21" s="14"/>
      <c r="C21" s="15"/>
      <c r="D21" s="15"/>
      <c r="E21" s="14"/>
      <c r="F21" s="14"/>
      <c r="G21" s="14"/>
      <c r="H21" s="15"/>
      <c r="I21" s="14"/>
      <c r="J21" s="14"/>
      <c r="K21" s="14"/>
      <c r="L21" s="20"/>
    </row>
    <row r="22" spans="1:12" s="3" customFormat="1">
      <c r="A22" s="18"/>
      <c r="B22" s="14"/>
      <c r="C22" s="15"/>
      <c r="D22" s="15"/>
      <c r="E22" s="14"/>
      <c r="F22" s="14"/>
      <c r="G22" s="14"/>
      <c r="H22" s="15"/>
      <c r="I22" s="14"/>
      <c r="J22" s="14"/>
      <c r="K22" s="21"/>
      <c r="L22" s="20"/>
    </row>
    <row r="23" spans="1:12" ht="75.7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</row>
    <row r="24" spans="1:12" s="1" customFormat="1">
      <c r="C24" s="7"/>
    </row>
    <row r="25" spans="1:12" s="1" customFormat="1">
      <c r="C25" s="7"/>
    </row>
  </sheetData>
  <mergeCells count="11">
    <mergeCell ref="C9:G9"/>
    <mergeCell ref="I9:K9"/>
    <mergeCell ref="I10:K10"/>
    <mergeCell ref="A11:L11"/>
    <mergeCell ref="A23:L23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2026-02-04T06:52:42Z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17A833956B5744E99B9412EB782382B7</vt:lpwstr>
  </property>
  <property fmtid="{D5CDD505-2E9C-101B-9397-08002B2CF9AE}" pid="3" name="KSOProductBuildVer">
    <vt:lpwstr>1033-12.2.0.23196</vt:lpwstr>
  </property>
</Properties>
</file>