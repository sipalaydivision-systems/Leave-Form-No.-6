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2D95A71-9283-4D9A-82AE-48FEBAADEF0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 RETIREMENT (2)" sheetId="13" r:id="rId1"/>
    <sheet name="statement" sheetId="14" r:id="rId2"/>
    <sheet name="CTO" sheetId="9" r:id="rId3"/>
    <sheet name="Leave Card (NE)" sheetId="6" r:id="rId4"/>
    <sheet name="ELECTION" sheetId="11" r:id="rId5"/>
  </sheets>
  <definedNames>
    <definedName name="_xlnm.Print_Area" localSheetId="0">'FOR RETIREMENT (2)'!$A$1:$J$156</definedName>
    <definedName name="_xlnm.Print_Area" localSheetId="3">'Leave Card (NE)'!$A$1:$J$77</definedName>
    <definedName name="_xlnm.Print_Area" localSheetId="1">statement!$A$1:$J$152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7" i="14" l="1"/>
  <c r="J137" i="14" s="1"/>
  <c r="B137" i="14"/>
  <c r="I11" i="14"/>
  <c r="I12" i="14" s="1"/>
  <c r="I13" i="14" s="1"/>
  <c r="I14" i="14" s="1"/>
  <c r="I15" i="14" s="1"/>
  <c r="I16" i="14" s="1"/>
  <c r="I17" i="14" s="1"/>
  <c r="I18" i="14" s="1"/>
  <c r="I19" i="14" s="1"/>
  <c r="I20" i="14" s="1"/>
  <c r="I21" i="14" s="1"/>
  <c r="I22" i="14" s="1"/>
  <c r="I23" i="14" s="1"/>
  <c r="I24" i="14" s="1"/>
  <c r="I25" i="14" s="1"/>
  <c r="I26" i="14" s="1"/>
  <c r="I27" i="14" s="1"/>
  <c r="I28" i="14" s="1"/>
  <c r="I29" i="14" s="1"/>
  <c r="I30" i="14" s="1"/>
  <c r="I31" i="14" s="1"/>
  <c r="I32" i="14" s="1"/>
  <c r="I33" i="14" s="1"/>
  <c r="I34" i="14" s="1"/>
  <c r="I35" i="14" s="1"/>
  <c r="I36" i="14" s="1"/>
  <c r="I37" i="14" s="1"/>
  <c r="I38" i="14" s="1"/>
  <c r="I39" i="14" s="1"/>
  <c r="I40" i="14" s="1"/>
  <c r="I41" i="14" s="1"/>
  <c r="I42" i="14" s="1"/>
  <c r="I43" i="14" s="1"/>
  <c r="I44" i="14" s="1"/>
  <c r="I45" i="14" s="1"/>
  <c r="I46" i="14" s="1"/>
  <c r="I47" i="14" s="1"/>
  <c r="I48" i="14" s="1"/>
  <c r="I49" i="14" s="1"/>
  <c r="I50" i="14" s="1"/>
  <c r="I51" i="14" s="1"/>
  <c r="I52" i="14" s="1"/>
  <c r="I53" i="14" s="1"/>
  <c r="I54" i="14" s="1"/>
  <c r="I55" i="14" s="1"/>
  <c r="I56" i="14" s="1"/>
  <c r="I57" i="14" s="1"/>
  <c r="I58" i="14" s="1"/>
  <c r="I59" i="14" s="1"/>
  <c r="I60" i="14" s="1"/>
  <c r="I61" i="14" s="1"/>
  <c r="I62" i="14" s="1"/>
  <c r="I63" i="14" s="1"/>
  <c r="I64" i="14" s="1"/>
  <c r="I65" i="14" s="1"/>
  <c r="I66" i="14" s="1"/>
  <c r="I67" i="14" s="1"/>
  <c r="I68" i="14" s="1"/>
  <c r="I69" i="14" s="1"/>
  <c r="I70" i="14" s="1"/>
  <c r="I71" i="14" s="1"/>
  <c r="I72" i="14" s="1"/>
  <c r="I73" i="14" s="1"/>
  <c r="I74" i="14" s="1"/>
  <c r="I75" i="14" s="1"/>
  <c r="I76" i="14" s="1"/>
  <c r="I77" i="14" s="1"/>
  <c r="I78" i="14" s="1"/>
  <c r="I79" i="14" s="1"/>
  <c r="I80" i="14" s="1"/>
  <c r="I81" i="14" s="1"/>
  <c r="I82" i="14" s="1"/>
  <c r="I83" i="14" s="1"/>
  <c r="I84" i="14" s="1"/>
  <c r="I85" i="14" s="1"/>
  <c r="I86" i="14" s="1"/>
  <c r="I87" i="14" s="1"/>
  <c r="H11" i="14"/>
  <c r="H12" i="14" s="1"/>
  <c r="I88" i="14" l="1"/>
  <c r="I89" i="14" s="1"/>
  <c r="I90" i="14" s="1"/>
  <c r="I91" i="14" s="1"/>
  <c r="I92" i="14" s="1"/>
  <c r="I93" i="14" s="1"/>
  <c r="I94" i="14" s="1"/>
  <c r="I95" i="14" s="1"/>
  <c r="I96" i="14" s="1"/>
  <c r="I97" i="14" s="1"/>
  <c r="I98" i="14" s="1"/>
  <c r="I99" i="14" s="1"/>
  <c r="I100" i="14" s="1"/>
  <c r="I101" i="14" s="1"/>
  <c r="I102" i="14" s="1"/>
  <c r="I103" i="14" s="1"/>
  <c r="I104" i="14" s="1"/>
  <c r="I105" i="14" s="1"/>
  <c r="I106" i="14" s="1"/>
  <c r="I107" i="14" s="1"/>
  <c r="I108" i="14" s="1"/>
  <c r="I109" i="14" s="1"/>
  <c r="I110" i="14" s="1"/>
  <c r="I111" i="14" s="1"/>
  <c r="I112" i="14" s="1"/>
  <c r="I113" i="14" s="1"/>
  <c r="H13" i="14"/>
  <c r="J12" i="14"/>
  <c r="J11" i="14"/>
  <c r="I114" i="14" l="1"/>
  <c r="H14" i="14"/>
  <c r="J13" i="14"/>
  <c r="I115" i="14" l="1"/>
  <c r="J14" i="14"/>
  <c r="H15" i="14"/>
  <c r="I116" i="14" l="1"/>
  <c r="H16" i="14"/>
  <c r="J15" i="14"/>
  <c r="I117" i="14" l="1"/>
  <c r="H17" i="14"/>
  <c r="J16" i="14"/>
  <c r="I118" i="14" l="1"/>
  <c r="H18" i="14"/>
  <c r="J17" i="14"/>
  <c r="I119" i="14" l="1"/>
  <c r="J18" i="14"/>
  <c r="H19" i="14"/>
  <c r="I120" i="14" l="1"/>
  <c r="H20" i="14"/>
  <c r="J19" i="14"/>
  <c r="I121" i="14" l="1"/>
  <c r="J20" i="14"/>
  <c r="H21" i="14"/>
  <c r="I122" i="14" l="1"/>
  <c r="H22" i="14"/>
  <c r="J21" i="14"/>
  <c r="I123" i="14" l="1"/>
  <c r="H23" i="14"/>
  <c r="J22" i="14"/>
  <c r="I124" i="14" l="1"/>
  <c r="H24" i="14"/>
  <c r="J23" i="14"/>
  <c r="I125" i="14" l="1"/>
  <c r="J24" i="14"/>
  <c r="H25" i="14"/>
  <c r="I126" i="14" l="1"/>
  <c r="H26" i="14"/>
  <c r="J25" i="14"/>
  <c r="I127" i="14" l="1"/>
  <c r="H27" i="14"/>
  <c r="J26" i="14"/>
  <c r="I128" i="14" l="1"/>
  <c r="H28" i="14"/>
  <c r="J27" i="14"/>
  <c r="I129" i="14" l="1"/>
  <c r="J28" i="14"/>
  <c r="H29" i="14"/>
  <c r="I130" i="14" l="1"/>
  <c r="H30" i="14"/>
  <c r="J29" i="14"/>
  <c r="I131" i="14" l="1"/>
  <c r="H31" i="14"/>
  <c r="J30" i="14"/>
  <c r="I132" i="14" l="1"/>
  <c r="H32" i="14"/>
  <c r="J31" i="14"/>
  <c r="I133" i="14" l="1"/>
  <c r="J32" i="14"/>
  <c r="H33" i="14"/>
  <c r="I134" i="14" l="1"/>
  <c r="H34" i="14"/>
  <c r="J33" i="14"/>
  <c r="I135" i="14" l="1"/>
  <c r="J34" i="14"/>
  <c r="H35" i="14"/>
  <c r="I136" i="14" l="1"/>
  <c r="H36" i="14"/>
  <c r="J35" i="14"/>
  <c r="I137" i="14" l="1"/>
  <c r="H37" i="14"/>
  <c r="J36" i="14"/>
  <c r="H38" i="14" l="1"/>
  <c r="J37" i="14"/>
  <c r="J38" i="14" l="1"/>
  <c r="H39" i="14"/>
  <c r="H40" i="14" l="1"/>
  <c r="J39" i="14"/>
  <c r="J40" i="14" l="1"/>
  <c r="H41" i="14"/>
  <c r="H42" i="14" l="1"/>
  <c r="J41" i="14"/>
  <c r="H43" i="14" l="1"/>
  <c r="J42" i="14"/>
  <c r="H44" i="14" l="1"/>
  <c r="J43" i="14"/>
  <c r="J44" i="14" l="1"/>
  <c r="H45" i="14"/>
  <c r="H46" i="14" l="1"/>
  <c r="J45" i="14"/>
  <c r="H47" i="14" l="1"/>
  <c r="J46" i="14"/>
  <c r="H48" i="14" l="1"/>
  <c r="J47" i="14"/>
  <c r="J48" i="14" l="1"/>
  <c r="H49" i="14"/>
  <c r="H50" i="14" l="1"/>
  <c r="J49" i="14"/>
  <c r="J50" i="14" l="1"/>
  <c r="H51" i="14"/>
  <c r="H52" i="14" l="1"/>
  <c r="J51" i="14"/>
  <c r="H53" i="14" l="1"/>
  <c r="J52" i="14"/>
  <c r="H54" i="14" l="1"/>
  <c r="J53" i="14"/>
  <c r="J54" i="14" l="1"/>
  <c r="H55" i="14"/>
  <c r="H56" i="14" l="1"/>
  <c r="J55" i="14"/>
  <c r="J56" i="14" l="1"/>
  <c r="H57" i="14"/>
  <c r="H58" i="14" l="1"/>
  <c r="J57" i="14"/>
  <c r="H59" i="14" l="1"/>
  <c r="H60" i="14" s="1"/>
  <c r="J58" i="14"/>
  <c r="J60" i="14" l="1"/>
  <c r="H61" i="14"/>
  <c r="J59" i="14"/>
  <c r="J61" i="14" l="1"/>
  <c r="H62" i="14"/>
  <c r="H67" i="6"/>
  <c r="H68" i="6" s="1"/>
  <c r="I67" i="6"/>
  <c r="I68" i="6" s="1"/>
  <c r="I69" i="6" s="1"/>
  <c r="J67" i="6"/>
  <c r="I13" i="13"/>
  <c r="I14" i="13" s="1"/>
  <c r="I15" i="13" s="1"/>
  <c r="I16" i="13" s="1"/>
  <c r="I17" i="13" s="1"/>
  <c r="I18" i="13" s="1"/>
  <c r="H13" i="13"/>
  <c r="H14" i="13" s="1"/>
  <c r="J62" i="14" l="1"/>
  <c r="H63" i="14"/>
  <c r="I19" i="13"/>
  <c r="I20" i="13" s="1"/>
  <c r="I21" i="13" s="1"/>
  <c r="I22" i="13" s="1"/>
  <c r="I23" i="13" s="1"/>
  <c r="I24" i="13" s="1"/>
  <c r="I25" i="13" s="1"/>
  <c r="I26" i="13" s="1"/>
  <c r="I27" i="13" s="1"/>
  <c r="I28" i="13" s="1"/>
  <c r="I29" i="13" s="1"/>
  <c r="I30" i="13" s="1"/>
  <c r="I31" i="13" s="1"/>
  <c r="I32" i="13" s="1"/>
  <c r="I33" i="13" s="1"/>
  <c r="I34" i="13" s="1"/>
  <c r="I35" i="13" s="1"/>
  <c r="I36" i="13" s="1"/>
  <c r="I37" i="13" s="1"/>
  <c r="I38" i="13" s="1"/>
  <c r="I39" i="13" s="1"/>
  <c r="I40" i="13" s="1"/>
  <c r="I41" i="13" s="1"/>
  <c r="I42" i="13" s="1"/>
  <c r="I43" i="13" s="1"/>
  <c r="I44" i="13" s="1"/>
  <c r="I45" i="13" s="1"/>
  <c r="I46" i="13" s="1"/>
  <c r="I47" i="13" s="1"/>
  <c r="I48" i="13" s="1"/>
  <c r="I49" i="13" s="1"/>
  <c r="I50" i="13" s="1"/>
  <c r="I51" i="13" s="1"/>
  <c r="I52" i="13" s="1"/>
  <c r="I53" i="13" s="1"/>
  <c r="I54" i="13" s="1"/>
  <c r="I55" i="13" s="1"/>
  <c r="I56" i="13" s="1"/>
  <c r="I57" i="13" s="1"/>
  <c r="I58" i="13" s="1"/>
  <c r="I59" i="13" s="1"/>
  <c r="I60" i="13" s="1"/>
  <c r="I61" i="13" s="1"/>
  <c r="I62" i="13" s="1"/>
  <c r="I63" i="13" s="1"/>
  <c r="I64" i="13" s="1"/>
  <c r="I65" i="13" s="1"/>
  <c r="I66" i="13" s="1"/>
  <c r="I67" i="13" s="1"/>
  <c r="I68" i="13" s="1"/>
  <c r="I69" i="13" s="1"/>
  <c r="I70" i="13" s="1"/>
  <c r="I71" i="13" s="1"/>
  <c r="I72" i="13" s="1"/>
  <c r="I73" i="13" s="1"/>
  <c r="I74" i="13" s="1"/>
  <c r="I75" i="13" s="1"/>
  <c r="I76" i="13" s="1"/>
  <c r="I77" i="13" s="1"/>
  <c r="I78" i="13" s="1"/>
  <c r="I79" i="13" s="1"/>
  <c r="I80" i="13" s="1"/>
  <c r="I81" i="13" s="1"/>
  <c r="I82" i="13" s="1"/>
  <c r="I83" i="13" s="1"/>
  <c r="I84" i="13" s="1"/>
  <c r="I85" i="13" s="1"/>
  <c r="I86" i="13" s="1"/>
  <c r="I87" i="13" s="1"/>
  <c r="I88" i="13" s="1"/>
  <c r="I89" i="13" s="1"/>
  <c r="I90" i="13" s="1"/>
  <c r="I91" i="13" s="1"/>
  <c r="I92" i="13" s="1"/>
  <c r="I93" i="13" s="1"/>
  <c r="I94" i="13" s="1"/>
  <c r="I95" i="13" s="1"/>
  <c r="I96" i="13" s="1"/>
  <c r="I97" i="13" s="1"/>
  <c r="I98" i="13" s="1"/>
  <c r="I99" i="13" s="1"/>
  <c r="I100" i="13" s="1"/>
  <c r="I101" i="13" s="1"/>
  <c r="I102" i="13" s="1"/>
  <c r="I103" i="13" s="1"/>
  <c r="I104" i="13" s="1"/>
  <c r="I105" i="13" s="1"/>
  <c r="I106" i="13" s="1"/>
  <c r="I107" i="13" s="1"/>
  <c r="I108" i="13" s="1"/>
  <c r="I109" i="13" s="1"/>
  <c r="I110" i="13" s="1"/>
  <c r="I111" i="13" s="1"/>
  <c r="I112" i="13" s="1"/>
  <c r="I113" i="13" s="1"/>
  <c r="I114" i="13" s="1"/>
  <c r="I115" i="13" s="1"/>
  <c r="I116" i="13" s="1"/>
  <c r="I117" i="13" s="1"/>
  <c r="I118" i="13" s="1"/>
  <c r="I119" i="13" s="1"/>
  <c r="I120" i="13" s="1"/>
  <c r="I121" i="13" s="1"/>
  <c r="I122" i="13" s="1"/>
  <c r="I123" i="13" s="1"/>
  <c r="I124" i="13" s="1"/>
  <c r="I125" i="13" s="1"/>
  <c r="I126" i="13" s="1"/>
  <c r="I127" i="13" s="1"/>
  <c r="I128" i="13" s="1"/>
  <c r="I129" i="13" s="1"/>
  <c r="I130" i="13" s="1"/>
  <c r="I131" i="13" s="1"/>
  <c r="I132" i="13" s="1"/>
  <c r="I133" i="13" s="1"/>
  <c r="I134" i="13" s="1"/>
  <c r="I135" i="13" s="1"/>
  <c r="I136" i="13" s="1"/>
  <c r="I137" i="13" s="1"/>
  <c r="I138" i="13" s="1"/>
  <c r="I139" i="13" s="1"/>
  <c r="I140" i="13" s="1"/>
  <c r="I141" i="13" s="1"/>
  <c r="I142" i="13" s="1"/>
  <c r="I143" i="13" s="1"/>
  <c r="I144" i="13" s="1"/>
  <c r="I145" i="13" s="1"/>
  <c r="I146" i="13" s="1"/>
  <c r="I147" i="13" s="1"/>
  <c r="I148" i="13" s="1"/>
  <c r="I149" i="13" s="1"/>
  <c r="J68" i="6"/>
  <c r="H69" i="6"/>
  <c r="J69" i="6" s="1"/>
  <c r="J13" i="13"/>
  <c r="J14" i="13"/>
  <c r="H15" i="13"/>
  <c r="J63" i="14" l="1"/>
  <c r="H64" i="14"/>
  <c r="H16" i="13"/>
  <c r="H17" i="13" s="1"/>
  <c r="J15" i="13"/>
  <c r="J64" i="14" l="1"/>
  <c r="H65" i="14"/>
  <c r="H18" i="13"/>
  <c r="J17" i="13"/>
  <c r="J16" i="13"/>
  <c r="J65" i="14" l="1"/>
  <c r="H66" i="14"/>
  <c r="H19" i="13"/>
  <c r="J18" i="13"/>
  <c r="K15" i="11"/>
  <c r="H67" i="14" l="1"/>
  <c r="J66" i="14"/>
  <c r="H20" i="13"/>
  <c r="J19" i="13"/>
  <c r="B15" i="6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H14" i="6"/>
  <c r="J67" i="14" l="1"/>
  <c r="H68" i="14"/>
  <c r="H21" i="13"/>
  <c r="J20" i="13"/>
  <c r="I66" i="6"/>
  <c r="I70" i="6" s="1"/>
  <c r="J14" i="6"/>
  <c r="H15" i="6"/>
  <c r="J68" i="14" l="1"/>
  <c r="H69" i="14"/>
  <c r="J21" i="13"/>
  <c r="H22" i="13"/>
  <c r="J15" i="6"/>
  <c r="H16" i="6"/>
  <c r="J13" i="6"/>
  <c r="J69" i="14" l="1"/>
  <c r="H70" i="14"/>
  <c r="J22" i="13"/>
  <c r="H23" i="13"/>
  <c r="J16" i="6"/>
  <c r="H17" i="6"/>
  <c r="H18" i="6" s="1"/>
  <c r="J70" i="14" l="1"/>
  <c r="H71" i="14"/>
  <c r="H24" i="13"/>
  <c r="J23" i="13"/>
  <c r="J18" i="6"/>
  <c r="H19" i="6"/>
  <c r="J17" i="6"/>
  <c r="H72" i="14" l="1"/>
  <c r="J71" i="14"/>
  <c r="H25" i="13"/>
  <c r="J24" i="13"/>
  <c r="H20" i="6"/>
  <c r="J19" i="6"/>
  <c r="J72" i="14" l="1"/>
  <c r="H73" i="14"/>
  <c r="J25" i="13"/>
  <c r="H26" i="13"/>
  <c r="H21" i="6"/>
  <c r="J20" i="6"/>
  <c r="J73" i="14" l="1"/>
  <c r="H74" i="14"/>
  <c r="H27" i="13"/>
  <c r="J26" i="13"/>
  <c r="J21" i="6"/>
  <c r="H22" i="6"/>
  <c r="J74" i="14" l="1"/>
  <c r="H75" i="14"/>
  <c r="H28" i="13"/>
  <c r="J27" i="13"/>
  <c r="H23" i="6"/>
  <c r="J22" i="6"/>
  <c r="J75" i="14" l="1"/>
  <c r="H76" i="14"/>
  <c r="H29" i="13"/>
  <c r="J28" i="13"/>
  <c r="H24" i="6"/>
  <c r="J23" i="6"/>
  <c r="H77" i="14" l="1"/>
  <c r="J76" i="14"/>
  <c r="H30" i="13"/>
  <c r="J29" i="13"/>
  <c r="H25" i="6"/>
  <c r="J24" i="6"/>
  <c r="H78" i="14" l="1"/>
  <c r="J77" i="14"/>
  <c r="H31" i="13"/>
  <c r="J30" i="13"/>
  <c r="J25" i="6"/>
  <c r="H26" i="6"/>
  <c r="H79" i="14" l="1"/>
  <c r="J78" i="14"/>
  <c r="J31" i="13"/>
  <c r="H32" i="13"/>
  <c r="J26" i="6"/>
  <c r="H27" i="6"/>
  <c r="H80" i="14" l="1"/>
  <c r="J79" i="14"/>
  <c r="J32" i="13"/>
  <c r="H33" i="13"/>
  <c r="J27" i="6"/>
  <c r="H28" i="6"/>
  <c r="H81" i="14" l="1"/>
  <c r="J80" i="14"/>
  <c r="H34" i="13"/>
  <c r="J33" i="13"/>
  <c r="J28" i="6"/>
  <c r="H29" i="6"/>
  <c r="H82" i="14" l="1"/>
  <c r="J81" i="14"/>
  <c r="J34" i="13"/>
  <c r="H35" i="13"/>
  <c r="J29" i="6"/>
  <c r="H30" i="6"/>
  <c r="J82" i="14" l="1"/>
  <c r="H83" i="14"/>
  <c r="J35" i="13"/>
  <c r="H36" i="13"/>
  <c r="J30" i="6"/>
  <c r="H31" i="6"/>
  <c r="H84" i="14" l="1"/>
  <c r="J83" i="14"/>
  <c r="H37" i="13"/>
  <c r="J36" i="13"/>
  <c r="J31" i="6"/>
  <c r="H32" i="6"/>
  <c r="H85" i="14" l="1"/>
  <c r="J84" i="14"/>
  <c r="H38" i="13"/>
  <c r="J37" i="13"/>
  <c r="J32" i="6"/>
  <c r="H33" i="6"/>
  <c r="J85" i="14" l="1"/>
  <c r="H86" i="14"/>
  <c r="J38" i="13"/>
  <c r="H39" i="13"/>
  <c r="H34" i="6"/>
  <c r="J33" i="6"/>
  <c r="H87" i="14" l="1"/>
  <c r="J86" i="14"/>
  <c r="H40" i="13"/>
  <c r="J39" i="13"/>
  <c r="J34" i="6"/>
  <c r="H35" i="6"/>
  <c r="H88" i="14" l="1"/>
  <c r="J87" i="14"/>
  <c r="J40" i="13"/>
  <c r="H41" i="13"/>
  <c r="J35" i="6"/>
  <c r="H36" i="6"/>
  <c r="H89" i="14" l="1"/>
  <c r="J88" i="14"/>
  <c r="J41" i="13"/>
  <c r="H42" i="13"/>
  <c r="J36" i="6"/>
  <c r="H37" i="6"/>
  <c r="H90" i="14" l="1"/>
  <c r="J89" i="14"/>
  <c r="H43" i="13"/>
  <c r="J42" i="13"/>
  <c r="J37" i="6"/>
  <c r="H38" i="6"/>
  <c r="J90" i="14" l="1"/>
  <c r="H91" i="14"/>
  <c r="H44" i="13"/>
  <c r="J43" i="13"/>
  <c r="J38" i="6"/>
  <c r="H39" i="6"/>
  <c r="H92" i="14" l="1"/>
  <c r="J91" i="14"/>
  <c r="H45" i="13"/>
  <c r="J44" i="13"/>
  <c r="J39" i="6"/>
  <c r="H40" i="6"/>
  <c r="J92" i="14" l="1"/>
  <c r="H93" i="14"/>
  <c r="H46" i="13"/>
  <c r="J45" i="13"/>
  <c r="J40" i="6"/>
  <c r="H41" i="6"/>
  <c r="H94" i="14" l="1"/>
  <c r="J93" i="14"/>
  <c r="J46" i="13"/>
  <c r="H47" i="13"/>
  <c r="J41" i="6"/>
  <c r="H42" i="6"/>
  <c r="J94" i="14" l="1"/>
  <c r="H95" i="14"/>
  <c r="H48" i="13"/>
  <c r="J47" i="13"/>
  <c r="H43" i="6"/>
  <c r="J42" i="6"/>
  <c r="J95" i="14" l="1"/>
  <c r="H96" i="14"/>
  <c r="H49" i="13"/>
  <c r="J48" i="13"/>
  <c r="H44" i="6"/>
  <c r="J43" i="6"/>
  <c r="J96" i="14" l="1"/>
  <c r="H97" i="14"/>
  <c r="H50" i="13"/>
  <c r="J49" i="13"/>
  <c r="H45" i="6"/>
  <c r="J44" i="6"/>
  <c r="H98" i="14" l="1"/>
  <c r="J97" i="14"/>
  <c r="H51" i="13"/>
  <c r="J50" i="13"/>
  <c r="H46" i="6"/>
  <c r="J45" i="6"/>
  <c r="H99" i="14" l="1"/>
  <c r="J98" i="14"/>
  <c r="H52" i="13"/>
  <c r="J51" i="13"/>
  <c r="J46" i="6"/>
  <c r="H47" i="6"/>
  <c r="H100" i="14" l="1"/>
  <c r="J99" i="14"/>
  <c r="H53" i="13"/>
  <c r="J52" i="13"/>
  <c r="J47" i="6"/>
  <c r="H48" i="6"/>
  <c r="J100" i="14" l="1"/>
  <c r="H101" i="14"/>
  <c r="H54" i="13"/>
  <c r="J53" i="13"/>
  <c r="H49" i="6"/>
  <c r="J48" i="6"/>
  <c r="H102" i="14" l="1"/>
  <c r="J101" i="14"/>
  <c r="H55" i="13"/>
  <c r="J54" i="13"/>
  <c r="J49" i="6"/>
  <c r="H50" i="6"/>
  <c r="J102" i="14" l="1"/>
  <c r="H103" i="14"/>
  <c r="H56" i="13"/>
  <c r="J55" i="13"/>
  <c r="J50" i="6"/>
  <c r="H51" i="6"/>
  <c r="J103" i="14" l="1"/>
  <c r="H104" i="14"/>
  <c r="H57" i="13"/>
  <c r="J56" i="13"/>
  <c r="H52" i="6"/>
  <c r="J51" i="6"/>
  <c r="H105" i="14" l="1"/>
  <c r="J104" i="14"/>
  <c r="H58" i="13"/>
  <c r="J57" i="13"/>
  <c r="J52" i="6"/>
  <c r="H53" i="6"/>
  <c r="H106" i="14" l="1"/>
  <c r="J105" i="14"/>
  <c r="J58" i="13"/>
  <c r="H59" i="13"/>
  <c r="H54" i="6"/>
  <c r="J53" i="6"/>
  <c r="H107" i="14" l="1"/>
  <c r="J106" i="14"/>
  <c r="H60" i="13"/>
  <c r="J59" i="13"/>
  <c r="J54" i="6"/>
  <c r="H55" i="6"/>
  <c r="J107" i="14" l="1"/>
  <c r="H108" i="14"/>
  <c r="H61" i="13"/>
  <c r="J60" i="13"/>
  <c r="J55" i="6"/>
  <c r="H56" i="6"/>
  <c r="H109" i="14" l="1"/>
  <c r="J108" i="14"/>
  <c r="J61" i="13"/>
  <c r="H62" i="13"/>
  <c r="J56" i="6"/>
  <c r="H57" i="6"/>
  <c r="J109" i="14" l="1"/>
  <c r="H110" i="14"/>
  <c r="H63" i="13"/>
  <c r="J62" i="13"/>
  <c r="H58" i="6"/>
  <c r="J57" i="6"/>
  <c r="H111" i="14" l="1"/>
  <c r="J110" i="14"/>
  <c r="H64" i="13"/>
  <c r="J63" i="13"/>
  <c r="J58" i="6"/>
  <c r="H59" i="6"/>
  <c r="J111" i="14" l="1"/>
  <c r="H112" i="14"/>
  <c r="J64" i="13"/>
  <c r="H65" i="13"/>
  <c r="J59" i="6"/>
  <c r="H60" i="6"/>
  <c r="J112" i="14" l="1"/>
  <c r="H113" i="14"/>
  <c r="J65" i="13"/>
  <c r="H66" i="13"/>
  <c r="H61" i="6"/>
  <c r="J60" i="6"/>
  <c r="H114" i="14" l="1"/>
  <c r="J113" i="14"/>
  <c r="H67" i="13"/>
  <c r="J66" i="13"/>
  <c r="J61" i="6"/>
  <c r="H62" i="6"/>
  <c r="H115" i="14" l="1"/>
  <c r="J114" i="14"/>
  <c r="J67" i="13"/>
  <c r="H68" i="13"/>
  <c r="J62" i="6"/>
  <c r="H63" i="6"/>
  <c r="H116" i="14" l="1"/>
  <c r="J115" i="14"/>
  <c r="H69" i="13"/>
  <c r="J68" i="13"/>
  <c r="H64" i="6"/>
  <c r="J63" i="6"/>
  <c r="H117" i="14" l="1"/>
  <c r="J116" i="14"/>
  <c r="H70" i="13"/>
  <c r="J69" i="13"/>
  <c r="J64" i="6"/>
  <c r="H65" i="6"/>
  <c r="H118" i="14" l="1"/>
  <c r="J117" i="14"/>
  <c r="J70" i="13"/>
  <c r="H71" i="13"/>
  <c r="H66" i="6"/>
  <c r="J65" i="6"/>
  <c r="H119" i="14" l="1"/>
  <c r="J118" i="14"/>
  <c r="H72" i="13"/>
  <c r="J71" i="13"/>
  <c r="J66" i="6"/>
  <c r="H120" i="14" l="1"/>
  <c r="J119" i="14"/>
  <c r="H73" i="13"/>
  <c r="J72" i="13"/>
  <c r="H70" i="6"/>
  <c r="J70" i="6" s="1"/>
  <c r="H121" i="14" l="1"/>
  <c r="J120" i="14"/>
  <c r="H74" i="13"/>
  <c r="J73" i="13"/>
  <c r="H122" i="14" l="1"/>
  <c r="J121" i="14"/>
  <c r="J74" i="13"/>
  <c r="H75" i="13"/>
  <c r="H123" i="14" l="1"/>
  <c r="J122" i="14"/>
  <c r="H76" i="13"/>
  <c r="J75" i="13"/>
  <c r="H124" i="14" l="1"/>
  <c r="J123" i="14"/>
  <c r="H77" i="13"/>
  <c r="J76" i="13"/>
  <c r="H125" i="14" l="1"/>
  <c r="J124" i="14"/>
  <c r="H78" i="13"/>
  <c r="J77" i="13"/>
  <c r="H126" i="14" l="1"/>
  <c r="J125" i="14"/>
  <c r="H79" i="13"/>
  <c r="J78" i="13"/>
  <c r="H127" i="14" l="1"/>
  <c r="J126" i="14"/>
  <c r="H80" i="13"/>
  <c r="J79" i="13"/>
  <c r="H128" i="14" l="1"/>
  <c r="J127" i="14"/>
  <c r="H81" i="13"/>
  <c r="J80" i="13"/>
  <c r="H129" i="14" l="1"/>
  <c r="J128" i="14"/>
  <c r="J81" i="13"/>
  <c r="H82" i="13"/>
  <c r="H130" i="14" l="1"/>
  <c r="J129" i="14"/>
  <c r="J82" i="13"/>
  <c r="H83" i="13"/>
  <c r="H131" i="14" l="1"/>
  <c r="J130" i="14"/>
  <c r="H84" i="13"/>
  <c r="J83" i="13"/>
  <c r="H132" i="14" l="1"/>
  <c r="J131" i="14"/>
  <c r="J84" i="13"/>
  <c r="H85" i="13"/>
  <c r="H133" i="14" l="1"/>
  <c r="J132" i="14"/>
  <c r="H86" i="13"/>
  <c r="J85" i="13"/>
  <c r="H134" i="14" l="1"/>
  <c r="J133" i="14"/>
  <c r="J86" i="13"/>
  <c r="H87" i="13"/>
  <c r="H135" i="14" l="1"/>
  <c r="J134" i="14"/>
  <c r="J87" i="13"/>
  <c r="H88" i="13"/>
  <c r="H136" i="14" l="1"/>
  <c r="J135" i="14"/>
  <c r="J88" i="13"/>
  <c r="H89" i="13"/>
  <c r="H137" i="14" l="1"/>
  <c r="J136" i="14"/>
  <c r="H90" i="13"/>
  <c r="J89" i="13"/>
  <c r="H91" i="13" l="1"/>
  <c r="J90" i="13"/>
  <c r="H92" i="13" l="1"/>
  <c r="J91" i="13"/>
  <c r="H93" i="13" l="1"/>
  <c r="J92" i="13"/>
  <c r="J93" i="13" l="1"/>
  <c r="H94" i="13"/>
  <c r="H95" i="13" l="1"/>
  <c r="J94" i="13"/>
  <c r="H96" i="13" l="1"/>
  <c r="J95" i="13"/>
  <c r="H97" i="13" l="1"/>
  <c r="J96" i="13"/>
  <c r="H98" i="13" l="1"/>
  <c r="J97" i="13"/>
  <c r="H99" i="13" l="1"/>
  <c r="J98" i="13"/>
  <c r="J99" i="13" l="1"/>
  <c r="H100" i="13"/>
  <c r="H101" i="13" l="1"/>
  <c r="J100" i="13"/>
  <c r="J101" i="13" l="1"/>
  <c r="H102" i="13"/>
  <c r="H103" i="13" l="1"/>
  <c r="J102" i="13"/>
  <c r="H104" i="13" l="1"/>
  <c r="J103" i="13"/>
  <c r="J104" i="13" l="1"/>
  <c r="H105" i="13"/>
  <c r="H106" i="13" l="1"/>
  <c r="J105" i="13"/>
  <c r="H107" i="13" l="1"/>
  <c r="J106" i="13"/>
  <c r="H108" i="13" l="1"/>
  <c r="J107" i="13"/>
  <c r="H109" i="13" l="1"/>
  <c r="J108" i="13"/>
  <c r="H110" i="13" l="1"/>
  <c r="J109" i="13"/>
  <c r="H111" i="13" l="1"/>
  <c r="J110" i="13"/>
  <c r="H112" i="13" l="1"/>
  <c r="J111" i="13"/>
  <c r="H113" i="13" l="1"/>
  <c r="J112" i="13"/>
  <c r="H114" i="13" l="1"/>
  <c r="J113" i="13"/>
  <c r="H115" i="13" l="1"/>
  <c r="J114" i="13"/>
  <c r="J115" i="13" l="1"/>
  <c r="H116" i="13"/>
  <c r="J116" i="13" l="1"/>
  <c r="H117" i="13"/>
  <c r="J117" i="13" l="1"/>
  <c r="H118" i="13"/>
  <c r="J118" i="13" l="1"/>
  <c r="H119" i="13"/>
  <c r="J119" i="13" l="1"/>
  <c r="H120" i="13"/>
  <c r="J120" i="13" l="1"/>
  <c r="H121" i="13"/>
  <c r="H122" i="13" l="1"/>
  <c r="J121" i="13"/>
  <c r="J122" i="13" l="1"/>
  <c r="H123" i="13"/>
  <c r="J123" i="13" l="1"/>
  <c r="H124" i="13"/>
  <c r="J124" i="13" l="1"/>
  <c r="H125" i="13"/>
  <c r="H126" i="13" l="1"/>
  <c r="J125" i="13"/>
  <c r="J126" i="13" l="1"/>
  <c r="H127" i="13"/>
  <c r="J127" i="13" l="1"/>
  <c r="H128" i="13"/>
  <c r="H129" i="13" l="1"/>
  <c r="J128" i="13"/>
  <c r="H130" i="13" l="1"/>
  <c r="J129" i="13"/>
  <c r="H131" i="13" l="1"/>
  <c r="J130" i="13"/>
  <c r="H132" i="13" l="1"/>
  <c r="J131" i="13"/>
  <c r="H133" i="13" l="1"/>
  <c r="J132" i="13"/>
  <c r="J133" i="13" l="1"/>
  <c r="H134" i="13"/>
  <c r="H135" i="13" l="1"/>
  <c r="J134" i="13"/>
  <c r="H136" i="13" l="1"/>
  <c r="J135" i="13"/>
  <c r="H137" i="13" l="1"/>
  <c r="J136" i="13"/>
  <c r="H138" i="13" l="1"/>
  <c r="J137" i="13"/>
  <c r="H139" i="13" l="1"/>
  <c r="J138" i="13"/>
  <c r="H140" i="13" l="1"/>
  <c r="J139" i="13"/>
  <c r="H141" i="13" l="1"/>
  <c r="J140" i="13"/>
  <c r="H142" i="13" l="1"/>
  <c r="J141" i="13"/>
  <c r="H143" i="13" l="1"/>
  <c r="J142" i="13"/>
  <c r="J143" i="13" l="1"/>
  <c r="H144" i="13"/>
  <c r="J144" i="13" l="1"/>
  <c r="H145" i="13"/>
  <c r="J145" i="13" l="1"/>
  <c r="H146" i="13"/>
  <c r="J146" i="13" l="1"/>
  <c r="H147" i="13"/>
  <c r="H148" i="13" s="1"/>
  <c r="J148" i="13" l="1"/>
  <c r="H149" i="13"/>
  <c r="J149" i="13" s="1"/>
  <c r="J147" i="13"/>
</calcChain>
</file>

<file path=xl/sharedStrings.xml><?xml version="1.0" encoding="utf-8"?>
<sst xmlns="http://schemas.openxmlformats.org/spreadsheetml/2006/main" count="487" uniqueCount="240">
  <si>
    <t>EMP. NO  :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</si>
  <si>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</si>
  <si>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</si>
  <si>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</si>
  <si>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</si>
  <si>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</si>
  <si>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</si>
  <si>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</si>
  <si>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DATE FILED/RECEIVED</t>
  </si>
  <si>
    <t>VACATION</t>
  </si>
  <si>
    <t>SICK</t>
  </si>
  <si>
    <t>FORCED</t>
  </si>
  <si>
    <t>ADD: 02/01/22 - 03/31/22</t>
  </si>
  <si>
    <t>LESS: 04/26 &amp; 27/22</t>
  </si>
  <si>
    <t>ADD: 04/01/22 - 05/31/22</t>
  </si>
  <si>
    <t>LESS: 06/20/22</t>
  </si>
  <si>
    <t>ADD: 06/01/22 - 07/31/22</t>
  </si>
  <si>
    <t>LESS: 08/03/22</t>
  </si>
  <si>
    <t>LESS: 08/18/22</t>
  </si>
  <si>
    <t>ADD: 08/01/22 - 08/31/22</t>
  </si>
  <si>
    <t>LESS: 09/01/22</t>
  </si>
  <si>
    <t>LESS: 09/19/22</t>
  </si>
  <si>
    <t>LESS: MONETIZATION 2022</t>
  </si>
  <si>
    <t>Republic of the Philippines</t>
  </si>
  <si>
    <t>Department of Education</t>
  </si>
  <si>
    <t>REGION VI-WESTERN VISAYAS</t>
  </si>
  <si>
    <t>SCHOOLS DIVISION OF SIPALAY CITY</t>
  </si>
  <si>
    <t>Certified Correct:</t>
  </si>
  <si>
    <t>MA. LUISA B. CATIGAN</t>
  </si>
  <si>
    <t>Administrative Officer IV</t>
  </si>
  <si>
    <t>HRMO</t>
  </si>
  <si>
    <t>ADD: 09/01/22 - 11/30/22</t>
  </si>
  <si>
    <t>LESS: 12/2 &amp; 5/22</t>
  </si>
  <si>
    <t>LESS: 12/29/2022</t>
  </si>
  <si>
    <t>SPECIAL</t>
  </si>
  <si>
    <t>LESS: 12/27/2022</t>
  </si>
  <si>
    <t>ADD: DISAPPROVED FL</t>
  </si>
  <si>
    <t>Name: _____________________________</t>
  </si>
  <si>
    <t>DISTRICT: ___________________________</t>
  </si>
  <si>
    <t>POSITION: __________________________</t>
  </si>
  <si>
    <t>SCHOOL/OFFICE:_____________________</t>
  </si>
  <si>
    <t>COMPENSATORY TIME OFF (CTO)</t>
  </si>
  <si>
    <t>Special Order No. and Date Issued</t>
  </si>
  <si>
    <t>No. of Days Granted</t>
  </si>
  <si>
    <t>No. of Days Used</t>
  </si>
  <si>
    <t>Balance</t>
  </si>
  <si>
    <t>ADD: APRIL 12, 2023</t>
  </si>
  <si>
    <t>S.O. # 047, S. 2023. PERFORMANCE PLANNING &amp; COMMITMENT FOR SY 2023</t>
  </si>
  <si>
    <t>LESS: 05/15/23</t>
  </si>
  <si>
    <t>ADD: 12/01/2022 - 12/31/2022</t>
  </si>
  <si>
    <t>ADD: 01/01/2023 - 04/30/2023</t>
  </si>
  <si>
    <t>BALANCE FORWARDED AS OF MARCH 8, 2020</t>
  </si>
  <si>
    <t>ADD: 03/09/2020 - 03/31/2020</t>
  </si>
  <si>
    <t>ADD: 04/01/2020 - 12/31/2020</t>
  </si>
  <si>
    <t>LESS: MONETIZATION 2020</t>
  </si>
  <si>
    <t>ADD: 01/01/2021 - 12/31/2021</t>
  </si>
  <si>
    <t>LESS: 12/22 &amp; 23/2020</t>
  </si>
  <si>
    <t>LESS: MONETIZATION 2021</t>
  </si>
  <si>
    <t>LESS: 12/24,27, 28, 29 &amp; 31/2021</t>
  </si>
  <si>
    <t>ADD: 01/01/2022 - 01/31/2022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</si>
  <si>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</si>
  <si>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</si>
  <si>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</si>
  <si>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</si>
  <si>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No. 1576 s. 2003</t>
  </si>
  <si>
    <t>ADD: JULY 15, 2002</t>
  </si>
  <si>
    <t xml:space="preserve"> Barangay and SK Elections</t>
  </si>
  <si>
    <t>LESS: April 6, 7 &amp; 8, 2022</t>
  </si>
  <si>
    <t>ADD: 05/01/2023 - 08/31/2023</t>
  </si>
  <si>
    <t>LESS: MONETIZATION 2023</t>
  </si>
  <si>
    <t>LESS: 08/25/2023</t>
  </si>
  <si>
    <t>LESS: 08/22/2023</t>
  </si>
  <si>
    <t>LESS: 08/18/23</t>
  </si>
  <si>
    <t>LESS: 09/05/2023</t>
  </si>
  <si>
    <t>ADD: 09/01/2023-09/30/2023</t>
  </si>
  <si>
    <t>ADD: 10/11/2023</t>
  </si>
  <si>
    <t>S.O. # 084, S. 2023. CAPACITY BUILDING OF TEACHERS ON THE IMPLEMENTATION OF THE NATIONAL LEARNING CAMP</t>
  </si>
  <si>
    <t>ADD: 10/17/2023</t>
  </si>
  <si>
    <t>S.O. #159, S. 2023. 125th PHILIPPINE INDEPENDENCE DAY</t>
  </si>
  <si>
    <t>LESS: 10/31/2023 &amp; 11/03/2023</t>
  </si>
  <si>
    <t>LESS: 12/01/2023</t>
  </si>
  <si>
    <t>LESS: 12/26-29/2023</t>
  </si>
  <si>
    <t>ADD: 10/01/2023-11/30/2023</t>
  </si>
  <si>
    <t>ADD: 12/01/2023-12/31/2023</t>
  </si>
  <si>
    <t>ADD: (DISAPPROVED FL-12/27-29/2023)</t>
  </si>
  <si>
    <t>ADD: 01/01/2024-05/31/2024</t>
  </si>
  <si>
    <t xml:space="preserve"> SO# 174, S. 1994</t>
  </si>
  <si>
    <t>ADD: MAY 9, 1994</t>
  </si>
  <si>
    <t>BRGY. ELECTION</t>
  </si>
  <si>
    <t>LESS: 06/7/2024</t>
  </si>
  <si>
    <t>LESS: 06/18/2024</t>
  </si>
  <si>
    <t>ADD: JUNE-JULY 31, 2024</t>
  </si>
  <si>
    <t>LESS: MONETIZATION 2024</t>
  </si>
  <si>
    <t>LESS: FL 2020</t>
  </si>
  <si>
    <t>ADD: 05/20/2024</t>
  </si>
  <si>
    <t>S.O. # 015, S. 2024 PALARONG PANLALAWIGAN 2024</t>
  </si>
  <si>
    <t xml:space="preserve">    HRMO</t>
  </si>
  <si>
    <t>LESS: 10/04/2024</t>
  </si>
  <si>
    <t>S.O. # 084, S. 2023.  &amp; S.O. #159, S. 2023</t>
  </si>
  <si>
    <t>LESS: 10/18/2024</t>
  </si>
  <si>
    <t>LESS: 10/25/2024</t>
  </si>
  <si>
    <t>ADD: 08/1/2024-10/31/2024</t>
  </si>
  <si>
    <t>LESS: 11/12-18/2024</t>
  </si>
  <si>
    <t>LESS: 11/20/2024</t>
  </si>
  <si>
    <t>ADD: 11/1-30/2024</t>
  </si>
  <si>
    <t>LESS: 12/26-27/2024</t>
  </si>
  <si>
    <t>ADD: 12/1-31/2024</t>
  </si>
  <si>
    <t>ADD:  1/1-31/2025</t>
  </si>
  <si>
    <t>LESS: 02/6-7/2025</t>
  </si>
  <si>
    <t>ADD: 02/5/2025</t>
  </si>
  <si>
    <t>S.O. # 002, S. 2025 RIZAL DAY 2024</t>
  </si>
  <si>
    <t>LESS: 03/31/2025</t>
  </si>
  <si>
    <t>ADD: 02/1/2025-03/31/2025</t>
  </si>
  <si>
    <t>LESS: MONETIZATION 2025</t>
  </si>
  <si>
    <t xml:space="preserve">  </t>
  </si>
  <si>
    <t>EMP. NO  : 644436</t>
  </si>
  <si>
    <t>STATION   : 094</t>
  </si>
  <si>
    <r>
      <t xml:space="preserve">ADD: UNUSED VSC </t>
    </r>
    <r>
      <rPr>
        <b/>
        <sz val="11"/>
        <color theme="1"/>
        <rFont val="Calibri"/>
        <family val="2"/>
        <scheme val="minor"/>
      </rPr>
      <t>(6 DAYS)</t>
    </r>
    <r>
      <rPr>
        <sz val="11"/>
        <color theme="1"/>
        <rFont val="Calibri"/>
        <family val="2"/>
        <scheme val="minor"/>
      </rPr>
      <t xml:space="preserve">                  CONVERT USING THE FORMULA : 30Y/69</t>
    </r>
  </si>
  <si>
    <t>ADD: 04/1/2005-11/30/2005</t>
  </si>
  <si>
    <t>LESS: 12/22, 23, 27, 28, 29/2005</t>
  </si>
  <si>
    <t>ADD: 12/1-31/2005</t>
  </si>
  <si>
    <t>ADD: 01/1-31/2006</t>
  </si>
  <si>
    <t>ADD: 02/1/2006-05/31/2006</t>
  </si>
  <si>
    <t>LESS: 09/8/2006</t>
  </si>
  <si>
    <t>ADD: 06/1/2006-08/31/2006</t>
  </si>
  <si>
    <t>ADD: 09/1/2006-11/30/2006</t>
  </si>
  <si>
    <t>LESS: 12/7-8/2006</t>
  </si>
  <si>
    <t>ADD: 12/1-31/2006</t>
  </si>
  <si>
    <t>LESS: 04/30/2007</t>
  </si>
  <si>
    <t>ADD: 01/1-31/2007</t>
  </si>
  <si>
    <t>LESS: 01/31/2007</t>
  </si>
  <si>
    <t>ADD: 02/1/2007-03/31/2007</t>
  </si>
  <si>
    <t>ADD: 04/1-30/2007</t>
  </si>
  <si>
    <t>LESS: 05/10, 11, 16/2007</t>
  </si>
  <si>
    <t>ADD: 05/1/2007-12/31/2007</t>
  </si>
  <si>
    <t>ADD: 01/1/2008-02/29/2008</t>
  </si>
  <si>
    <t>LESS: 03/12/2008</t>
  </si>
  <si>
    <t>ADD: 03/1/2008-12/31/2008</t>
  </si>
  <si>
    <t>ADD: 01/1/2009-12/31/2009</t>
  </si>
  <si>
    <t>ADD: 01/1/2010-12/31/2010</t>
  </si>
  <si>
    <t>ADD: 01/1/2011-12/31/2011</t>
  </si>
  <si>
    <t>ADD: 01/1/2012-12/31/2012</t>
  </si>
  <si>
    <t>LESS: MONETIZATION 2012</t>
  </si>
  <si>
    <t>ADD: 01/1/2013-12/31/2013</t>
  </si>
  <si>
    <t>LESS: MONETIZATION 2013</t>
  </si>
  <si>
    <t>ADD: 01/1/2014-12/31/2014</t>
  </si>
  <si>
    <t>LESS: MONETIZATION 2014</t>
  </si>
  <si>
    <t>ADD: 01/1/2015-12/31/2015</t>
  </si>
  <si>
    <t>ADD: 01/1-31/2016</t>
  </si>
  <si>
    <t>LESS: MONETIZATION 2015</t>
  </si>
  <si>
    <t>ADD: 02/1/2016-11/30/2016</t>
  </si>
  <si>
    <t>LESS: 12/19-23/2016</t>
  </si>
  <si>
    <t>ADD: 12/19-23/2016                             (EXIGENCY OF SERVICE)</t>
  </si>
  <si>
    <t>LESS: 12/27-29/2016</t>
  </si>
  <si>
    <t>ADD: 12/1-31/2016</t>
  </si>
  <si>
    <t>LESS: MONETIZATION 2016</t>
  </si>
  <si>
    <t>ADD: 01/1-31/2017</t>
  </si>
  <si>
    <t>LESS: 01/13,16,17, 18, 19, 20/2017</t>
  </si>
  <si>
    <t>ADD: 02/1/2017-09/30/2017</t>
  </si>
  <si>
    <t>ADD: 10/1/2017-11/30/2017</t>
  </si>
  <si>
    <t>LESS: 12/21, 22, 27, 28, 29/2017</t>
  </si>
  <si>
    <t>ADD: 12/21, 22, 27, 28, 29/2017 (EXIGENCY OF SERVICE)</t>
  </si>
  <si>
    <t>ADD: 12/1-31/2017</t>
  </si>
  <si>
    <t>LESS: MONETIZATION 2017</t>
  </si>
  <si>
    <t>ADD: 01/1/2018-07/31/2018</t>
  </si>
  <si>
    <t>LESS: 08/3/2018</t>
  </si>
  <si>
    <t>ADD: 08/1/2018-11/30/2018</t>
  </si>
  <si>
    <t>LESS: 12/19, 20, 21, 26, 27/2018</t>
  </si>
  <si>
    <t>ADD: 12/19, 20, 21, 26, 27/2018 (EXIGENCY OF SERVICE)</t>
  </si>
  <si>
    <t>LESS: 12/28/2018</t>
  </si>
  <si>
    <t>LESS: 12/17-18/2018</t>
  </si>
  <si>
    <t>ADD: 12/1-31/2018</t>
  </si>
  <si>
    <t>ADD: 01/1/2019-03/31/2019</t>
  </si>
  <si>
    <t>LESS: 04/22, 23, 29, 30/2019</t>
  </si>
  <si>
    <t>ADD: 04/1/2019-05/31/2019</t>
  </si>
  <si>
    <t>LESS: 06/5-7/2019</t>
  </si>
  <si>
    <t>LESS: 07/29/2019</t>
  </si>
  <si>
    <t>ADD: 06/1/2019-09/30/2019</t>
  </si>
  <si>
    <t>LESS: MONETIZATION 2019</t>
  </si>
  <si>
    <t>10/28/2019 RELIEVED as Campus CDO</t>
  </si>
  <si>
    <t>LESS: 11/11, 14, 18, 22 (PM)/2019</t>
  </si>
  <si>
    <t>ADD: 04/1-30/2025</t>
  </si>
  <si>
    <t>LESS: 04/30/2025</t>
  </si>
  <si>
    <t>ADD: 04/1/2025-06/30/2025</t>
  </si>
  <si>
    <r>
      <t xml:space="preserve">DIVISION: </t>
    </r>
    <r>
      <rPr>
        <sz val="11"/>
        <color theme="1"/>
        <rFont val="Calibri"/>
        <family val="2"/>
        <scheme val="minor"/>
      </rPr>
      <t>419 SIPALAY CITY</t>
    </r>
  </si>
  <si>
    <t>EMP. NO  : 6444436</t>
  </si>
  <si>
    <t>TOTAL UNUSED SERVICE CREDITS</t>
  </si>
  <si>
    <t>LESS: 04/23-25/2025</t>
  </si>
  <si>
    <t>ADD: 05/13/2025</t>
  </si>
  <si>
    <t>S.O. # 019, S. 2025 PROVINCIAL MEET 2025</t>
  </si>
  <si>
    <t>03/09/2020                                              EFFECTIVE DATE OF TRANSFER TO SDO-SIPALAY CITY as EPSVR</t>
  </si>
  <si>
    <t>JULY 01, 2025 EFFECTIVE DATE OF RETIREMENT</t>
  </si>
  <si>
    <t>LESS: 02/20-22, 23(AM)/2006</t>
  </si>
  <si>
    <t>LESS: 06/26-27/2006</t>
  </si>
  <si>
    <t>LESS: 09/02/2022</t>
  </si>
  <si>
    <t>ADD: DISAPPROVED FL 12/29/2022 EXIGENCY OF SERVICE</t>
  </si>
  <si>
    <t>ADD: 10/01/2023-12/31/2023</t>
  </si>
  <si>
    <t>ADD: 06/1/2024-07/31/2024</t>
  </si>
  <si>
    <t>LESS: 05/22-23/2025</t>
  </si>
  <si>
    <t>LESS: 05/06/2025</t>
  </si>
  <si>
    <t>LESS: 06/26, 27, 30/2025</t>
  </si>
  <si>
    <t>LESS: FL 2005</t>
  </si>
  <si>
    <t>LESS:  FL 2006</t>
  </si>
  <si>
    <t>LESS:  FL 2007</t>
  </si>
  <si>
    <t>LESS:  FL 2008</t>
  </si>
  <si>
    <t>LESS:  FL 2009</t>
  </si>
  <si>
    <t>LESS:  FL 2010</t>
  </si>
  <si>
    <t>LESS:  FL 2011</t>
  </si>
  <si>
    <t>LESS:  FL 2012</t>
  </si>
  <si>
    <t>LESS:  FL 2013</t>
  </si>
  <si>
    <t>LESS: FL 2014</t>
  </si>
  <si>
    <t>LESS:  FL 2015</t>
  </si>
  <si>
    <t>ADD: 05/1-31/2025</t>
  </si>
  <si>
    <t>ADD: 06/1-30/2025</t>
  </si>
  <si>
    <t xml:space="preserve">ADD: 10/1-27/2019 </t>
  </si>
  <si>
    <t>STATEMENT OF VACATION AND SICK LEAVE CREDITS</t>
  </si>
  <si>
    <t>PURSUANT TO CIVIL CERVICE COMMISSION</t>
  </si>
  <si>
    <t>RESOLUTION NO. 06- 213 DATED JUNE 6, 1986</t>
  </si>
  <si>
    <t xml:space="preserve"> </t>
  </si>
  <si>
    <t>Agency: DepEd Division of Sipalay City</t>
  </si>
  <si>
    <t xml:space="preserve">Vacation </t>
  </si>
  <si>
    <t>Sick</t>
  </si>
  <si>
    <t>Vacation</t>
  </si>
  <si>
    <t>Mon</t>
  </si>
  <si>
    <t>Conformed by:</t>
  </si>
  <si>
    <t xml:space="preserve">Certified Correct:              </t>
  </si>
  <si>
    <t>Administrative Officer IV - HRMO</t>
  </si>
  <si>
    <t>BALTAZAR B. TABIANO</t>
  </si>
  <si>
    <t>Administrative Officer V- Admin</t>
  </si>
  <si>
    <t>Administrative Officer - V</t>
  </si>
  <si>
    <t xml:space="preserve">              Budget Officer</t>
  </si>
  <si>
    <t>DANECA JOY M. NOARBE</t>
  </si>
  <si>
    <t>AGNES L. PARABA</t>
  </si>
  <si>
    <t>DATE: _____________</t>
  </si>
  <si>
    <t>Name: AGNES L. PARABA</t>
  </si>
  <si>
    <t>RETIRED EFFECTIVE 07/01/2025</t>
  </si>
  <si>
    <t>ADD: UNUSED VSC (6 DAYS)                  CONVERT USING THE FORMULA : 30Y/69</t>
  </si>
  <si>
    <t>ADD: 02/1/2017-11/30/2017</t>
  </si>
  <si>
    <t>03/09/2020: EFFECTIVE DATE OF TRANSFER TO SDO-SIPALAY CITY as EPSVR</t>
  </si>
  <si>
    <t>LESS: MONETIZATION 2024 (30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</si>
</sst>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0" fontId="30" fillId="0" borderId="0"/>
    <xf numFmtId="0" fontId="29" fillId="0" borderId="0"/>
    <xf numFmtId="0" fontId="13" fillId="0" borderId="0"/>
    <xf numFmtId="0" fontId="4" fillId="0" borderId="0"/>
    <xf numFmtId="0" fontId="4" fillId="0" borderId="0"/>
  </cellStyleXfs>
  <cellXfs count="260">
    <xf numFmtId="0" fontId="0" fillId="0" borderId="0" xfId="0"/>
    <xf numFmtId="0" fontId="0" fillId="2" borderId="0" xfId="0" applyFill="1"/>
    <xf numFmtId="0" fontId="32" fillId="0" borderId="0" xfId="0" applyFont="1"/>
    <xf numFmtId="0" fontId="31" fillId="2" borderId="2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14" fontId="0" fillId="0" borderId="15" xfId="0" applyNumberFormat="1" applyBorder="1" applyAlignment="1">
      <alignment horizontal="center" vertical="center"/>
    </xf>
    <xf numFmtId="0" fontId="30" fillId="2" borderId="0" xfId="1" applyFill="1"/>
    <xf numFmtId="0" fontId="34" fillId="2" borderId="0" xfId="1" applyFont="1" applyFill="1" applyAlignment="1">
      <alignment vertical="center"/>
    </xf>
    <xf numFmtId="0" fontId="34" fillId="2" borderId="9" xfId="1" applyFont="1" applyFill="1" applyBorder="1" applyAlignment="1">
      <alignment horizontal="center" vertical="center"/>
    </xf>
    <xf numFmtId="0" fontId="34" fillId="2" borderId="0" xfId="1" applyFont="1" applyFill="1"/>
    <xf numFmtId="0" fontId="34" fillId="2" borderId="9" xfId="1" applyFont="1" applyFill="1" applyBorder="1" applyAlignment="1">
      <alignment vertical="center"/>
    </xf>
    <xf numFmtId="0" fontId="30" fillId="0" borderId="0" xfId="1"/>
    <xf numFmtId="0" fontId="37" fillId="0" borderId="0" xfId="1" applyFont="1"/>
    <xf numFmtId="0" fontId="0" fillId="2" borderId="13" xfId="1" applyFont="1" applyFill="1" applyBorder="1" applyAlignment="1">
      <alignment horizontal="center" vertical="center" wrapText="1"/>
    </xf>
    <xf numFmtId="0" fontId="30" fillId="2" borderId="8" xfId="1" applyFill="1" applyBorder="1" applyAlignment="1">
      <alignment horizontal="center" vertical="center" wrapText="1"/>
    </xf>
    <xf numFmtId="0" fontId="39" fillId="0" borderId="0" xfId="1" applyFont="1"/>
    <xf numFmtId="0" fontId="38" fillId="2" borderId="0" xfId="1" applyFont="1" applyFill="1" applyAlignment="1">
      <alignment horizontal="center" vertical="center" wrapText="1"/>
    </xf>
    <xf numFmtId="0" fontId="30" fillId="2" borderId="0" xfId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4" fillId="2" borderId="0" xfId="0" applyFont="1" applyFill="1" applyAlignment="1">
      <alignment vertical="center"/>
    </xf>
    <xf numFmtId="0" fontId="34" fillId="2" borderId="9" xfId="0" applyFont="1" applyFill="1" applyBorder="1" applyAlignment="1">
      <alignment horizontal="center" vertical="center"/>
    </xf>
    <xf numFmtId="0" fontId="34" fillId="2" borderId="0" xfId="0" applyFont="1" applyFill="1"/>
    <xf numFmtId="0" fontId="34" fillId="2" borderId="9" xfId="0" applyFont="1" applyFill="1" applyBorder="1" applyAlignment="1">
      <alignment vertical="center"/>
    </xf>
    <xf numFmtId="164" fontId="40" fillId="2" borderId="2" xfId="0" applyNumberFormat="1" applyFont="1" applyFill="1" applyBorder="1" applyAlignment="1">
      <alignment horizontal="center" vertical="center"/>
    </xf>
    <xf numFmtId="164" fontId="40" fillId="2" borderId="8" xfId="0" applyNumberFormat="1" applyFont="1" applyFill="1" applyBorder="1" applyAlignment="1">
      <alignment horizontal="center" vertical="center"/>
    </xf>
    <xf numFmtId="164" fontId="40" fillId="2" borderId="6" xfId="0" applyNumberFormat="1" applyFont="1" applyFill="1" applyBorder="1" applyAlignment="1">
      <alignment horizontal="center" vertical="center"/>
    </xf>
    <xf numFmtId="164" fontId="40" fillId="2" borderId="1" xfId="0" applyNumberFormat="1" applyFont="1" applyFill="1" applyBorder="1" applyAlignment="1">
      <alignment horizontal="center" vertical="center" wrapText="1"/>
    </xf>
    <xf numFmtId="0" fontId="29" fillId="2" borderId="0" xfId="2" applyFill="1"/>
    <xf numFmtId="0" fontId="34" fillId="2" borderId="0" xfId="2" applyFont="1" applyFill="1" applyAlignment="1">
      <alignment vertical="center"/>
    </xf>
    <xf numFmtId="0" fontId="34" fillId="2" borderId="0" xfId="2" applyFont="1" applyFill="1"/>
    <xf numFmtId="0" fontId="34" fillId="2" borderId="9" xfId="2" applyFont="1" applyFill="1" applyBorder="1" applyAlignment="1">
      <alignment vertical="center"/>
    </xf>
    <xf numFmtId="0" fontId="29" fillId="0" borderId="0" xfId="2"/>
    <xf numFmtId="0" fontId="37" fillId="0" borderId="0" xfId="2" applyFont="1"/>
    <xf numFmtId="0" fontId="29" fillId="2" borderId="8" xfId="2" applyFill="1" applyBorder="1" applyAlignment="1">
      <alignment horizontal="center" vertical="center" wrapText="1"/>
    </xf>
    <xf numFmtId="0" fontId="29" fillId="6" borderId="8" xfId="2" applyFill="1" applyBorder="1" applyAlignment="1">
      <alignment horizontal="center" vertical="center" wrapText="1"/>
    </xf>
    <xf numFmtId="0" fontId="39" fillId="0" borderId="0" xfId="2" applyFont="1"/>
    <xf numFmtId="0" fontId="29" fillId="2" borderId="0" xfId="2" applyFill="1" applyAlignment="1">
      <alignment horizontal="center"/>
    </xf>
    <xf numFmtId="0" fontId="29" fillId="2" borderId="13" xfId="2" applyFill="1" applyBorder="1" applyAlignment="1">
      <alignment horizontal="center" vertical="center" wrapText="1"/>
    </xf>
    <xf numFmtId="0" fontId="29" fillId="2" borderId="3" xfId="2" applyFill="1" applyBorder="1" applyAlignment="1">
      <alignment horizontal="center" vertical="center"/>
    </xf>
    <xf numFmtId="0" fontId="29" fillId="2" borderId="3" xfId="2" applyFill="1" applyBorder="1" applyAlignment="1">
      <alignment horizontal="center" vertical="center" wrapText="1"/>
    </xf>
    <xf numFmtId="0" fontId="39" fillId="2" borderId="0" xfId="2" applyFont="1" applyFill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2" xfId="0" applyBorder="1"/>
    <xf numFmtId="0" fontId="28" fillId="0" borderId="27" xfId="0" applyFont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28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2" xfId="1" applyFont="1" applyFill="1" applyBorder="1" applyAlignment="1">
      <alignment horizontal="center" vertical="center" wrapText="1"/>
    </xf>
    <xf numFmtId="0" fontId="30" fillId="2" borderId="2" xfId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40" fillId="2" borderId="0" xfId="0" applyNumberFormat="1" applyFont="1" applyFill="1" applyAlignment="1">
      <alignment horizontal="center" vertical="center"/>
    </xf>
    <xf numFmtId="164" fontId="40" fillId="0" borderId="0" xfId="0" applyNumberFormat="1" applyFont="1" applyAlignment="1">
      <alignment horizontal="center" vertical="center"/>
    </xf>
    <xf numFmtId="0" fontId="26" fillId="2" borderId="13" xfId="2" applyFont="1" applyFill="1" applyBorder="1" applyAlignment="1">
      <alignment horizontal="center" vertical="center" wrapText="1"/>
    </xf>
    <xf numFmtId="0" fontId="26" fillId="2" borderId="3" xfId="2" applyFont="1" applyFill="1" applyBorder="1" applyAlignment="1">
      <alignment horizontal="center" vertical="center" wrapText="1"/>
    </xf>
    <xf numFmtId="0" fontId="29" fillId="0" borderId="8" xfId="2" applyBorder="1" applyAlignment="1">
      <alignment horizontal="center" vertical="center" wrapText="1"/>
    </xf>
    <xf numFmtId="0" fontId="30" fillId="10" borderId="8" xfId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64" fontId="40" fillId="0" borderId="2" xfId="0" applyNumberFormat="1" applyFont="1" applyBorder="1" applyAlignment="1">
      <alignment horizontal="center" vertical="center"/>
    </xf>
    <xf numFmtId="0" fontId="30" fillId="10" borderId="2" xfId="1" applyFill="1" applyBorder="1" applyAlignment="1">
      <alignment horizontal="center" vertical="center" wrapText="1"/>
    </xf>
    <xf numFmtId="0" fontId="44" fillId="0" borderId="0" xfId="1" applyFont="1" applyAlignment="1">
      <alignment vertical="center"/>
    </xf>
    <xf numFmtId="0" fontId="45" fillId="0" borderId="0" xfId="1" applyFont="1"/>
    <xf numFmtId="0" fontId="22" fillId="2" borderId="2" xfId="1" applyFont="1" applyFill="1" applyBorder="1" applyAlignment="1">
      <alignment horizontal="center" vertical="center" wrapText="1"/>
    </xf>
    <xf numFmtId="0" fontId="30" fillId="0" borderId="2" xfId="1" applyBorder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30" fillId="0" borderId="0" xfId="1" applyAlignment="1">
      <alignment horizontal="center" vertical="center" wrapText="1"/>
    </xf>
    <xf numFmtId="0" fontId="21" fillId="2" borderId="2" xfId="1" applyFont="1" applyFill="1" applyBorder="1" applyAlignment="1">
      <alignment horizontal="center" vertical="center" wrapText="1"/>
    </xf>
    <xf numFmtId="0" fontId="20" fillId="2" borderId="2" xfId="1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3" fillId="2" borderId="0" xfId="3" applyFill="1"/>
    <xf numFmtId="0" fontId="31" fillId="2" borderId="0" xfId="3" applyFont="1" applyFill="1" applyAlignment="1">
      <alignment vertical="center"/>
    </xf>
    <xf numFmtId="0" fontId="31" fillId="2" borderId="9" xfId="3" applyFont="1" applyFill="1" applyBorder="1" applyAlignment="1">
      <alignment horizontal="center" vertical="center"/>
    </xf>
    <xf numFmtId="0" fontId="31" fillId="2" borderId="0" xfId="3" applyFont="1" applyFill="1"/>
    <xf numFmtId="0" fontId="31" fillId="2" borderId="9" xfId="3" applyFont="1" applyFill="1" applyBorder="1" applyAlignment="1">
      <alignment vertical="center"/>
    </xf>
    <xf numFmtId="0" fontId="13" fillId="0" borderId="0" xfId="3"/>
    <xf numFmtId="0" fontId="31" fillId="2" borderId="29" xfId="3" applyFont="1" applyFill="1" applyBorder="1" applyAlignment="1">
      <alignment horizontal="center" vertical="center"/>
    </xf>
    <xf numFmtId="164" fontId="13" fillId="2" borderId="3" xfId="3" applyNumberFormat="1" applyFill="1" applyBorder="1" applyAlignment="1">
      <alignment horizontal="center" vertical="center"/>
    </xf>
    <xf numFmtId="0" fontId="32" fillId="0" borderId="0" xfId="3" applyFont="1"/>
    <xf numFmtId="164" fontId="13" fillId="2" borderId="2" xfId="3" applyNumberFormat="1" applyFill="1" applyBorder="1" applyAlignment="1">
      <alignment horizontal="center" vertical="center"/>
    </xf>
    <xf numFmtId="0" fontId="32" fillId="0" borderId="0" xfId="3" applyFont="1" applyAlignment="1">
      <alignment vertical="center"/>
    </xf>
    <xf numFmtId="0" fontId="13" fillId="0" borderId="0" xfId="3" applyAlignment="1">
      <alignment vertical="center"/>
    </xf>
    <xf numFmtId="0" fontId="13" fillId="0" borderId="0" xfId="3" applyAlignment="1">
      <alignment horizontal="center" vertical="center"/>
    </xf>
    <xf numFmtId="164" fontId="13" fillId="0" borderId="3" xfId="3" applyNumberFormat="1" applyBorder="1" applyAlignment="1">
      <alignment horizontal="center" vertical="center"/>
    </xf>
    <xf numFmtId="164" fontId="13" fillId="0" borderId="2" xfId="3" applyNumberFormat="1" applyBorder="1" applyAlignment="1">
      <alignment horizontal="center" vertical="center"/>
    </xf>
    <xf numFmtId="164" fontId="31" fillId="0" borderId="2" xfId="3" applyNumberFormat="1" applyFont="1" applyBorder="1" applyAlignment="1">
      <alignment horizontal="center" vertical="center"/>
    </xf>
    <xf numFmtId="0" fontId="13" fillId="0" borderId="2" xfId="3" applyBorder="1" applyAlignment="1">
      <alignment horizontal="center" vertical="center"/>
    </xf>
    <xf numFmtId="0" fontId="34" fillId="2" borderId="0" xfId="2" applyFont="1" applyFill="1" applyAlignment="1">
      <alignment horizontal="left" vertical="center"/>
    </xf>
    <xf numFmtId="0" fontId="12" fillId="0" borderId="2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31" fillId="2" borderId="0" xfId="0" applyFont="1" applyFill="1" applyAlignment="1">
      <alignment vertical="center"/>
    </xf>
    <xf numFmtId="0" fontId="29" fillId="2" borderId="17" xfId="2" applyFill="1" applyBorder="1" applyAlignment="1">
      <alignment horizontal="center" vertical="center" wrapText="1"/>
    </xf>
    <xf numFmtId="0" fontId="26" fillId="2" borderId="31" xfId="2" applyFont="1" applyFill="1" applyBorder="1" applyAlignment="1">
      <alignment horizontal="center" vertical="center" wrapText="1"/>
    </xf>
    <xf numFmtId="0" fontId="29" fillId="6" borderId="35" xfId="2" applyFill="1" applyBorder="1" applyAlignment="1">
      <alignment horizontal="center" vertical="center" wrapText="1"/>
    </xf>
    <xf numFmtId="0" fontId="46" fillId="0" borderId="38" xfId="2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0" borderId="2" xfId="3" applyFont="1" applyBorder="1" applyAlignment="1">
      <alignment horizontal="center" vertical="center"/>
    </xf>
    <xf numFmtId="14" fontId="12" fillId="0" borderId="2" xfId="3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3" fillId="2" borderId="1" xfId="3" applyNumberFormat="1" applyFill="1" applyBorder="1" applyAlignment="1">
      <alignment horizontal="center" vertical="center"/>
    </xf>
    <xf numFmtId="0" fontId="4" fillId="0" borderId="3" xfId="3" applyFont="1" applyBorder="1" applyAlignment="1">
      <alignment horizontal="center" vertical="center" wrapText="1"/>
    </xf>
    <xf numFmtId="0" fontId="4" fillId="0" borderId="0" xfId="4" applyAlignment="1">
      <alignment horizontal="center"/>
    </xf>
    <xf numFmtId="0" fontId="4" fillId="0" borderId="0" xfId="4"/>
    <xf numFmtId="0" fontId="4" fillId="0" borderId="13" xfId="5" applyBorder="1" applyAlignment="1">
      <alignment horizontal="center" vertical="center" wrapText="1"/>
    </xf>
    <xf numFmtId="164" fontId="39" fillId="0" borderId="3" xfId="5" applyNumberFormat="1" applyFont="1" applyBorder="1" applyAlignment="1">
      <alignment horizontal="center" vertical="center"/>
    </xf>
    <xf numFmtId="164" fontId="39" fillId="2" borderId="2" xfId="4" applyNumberFormat="1" applyFont="1" applyFill="1" applyBorder="1" applyAlignment="1">
      <alignment horizontal="center" vertical="center"/>
    </xf>
    <xf numFmtId="2" fontId="39" fillId="2" borderId="2" xfId="4" applyNumberFormat="1" applyFont="1" applyFill="1" applyBorder="1" applyAlignment="1">
      <alignment horizontal="center" vertical="center"/>
    </xf>
    <xf numFmtId="0" fontId="4" fillId="0" borderId="15" xfId="5" applyBorder="1" applyAlignment="1">
      <alignment horizontal="center" vertical="center"/>
    </xf>
    <xf numFmtId="164" fontId="39" fillId="0" borderId="2" xfId="5" applyNumberFormat="1" applyFont="1" applyBorder="1" applyAlignment="1">
      <alignment horizontal="center" vertical="center"/>
    </xf>
    <xf numFmtId="164" fontId="4" fillId="0" borderId="2" xfId="4" applyNumberFormat="1" applyBorder="1" applyAlignment="1">
      <alignment horizontal="center" vertical="center"/>
    </xf>
    <xf numFmtId="0" fontId="4" fillId="0" borderId="17" xfId="5" applyBorder="1" applyAlignment="1">
      <alignment horizontal="center"/>
    </xf>
    <xf numFmtId="164" fontId="48" fillId="2" borderId="1" xfId="4" applyNumberFormat="1" applyFont="1" applyFill="1" applyBorder="1" applyAlignment="1">
      <alignment horizontal="center" vertical="center" wrapText="1"/>
    </xf>
    <xf numFmtId="164" fontId="39" fillId="2" borderId="1" xfId="4" applyNumberFormat="1" applyFont="1" applyFill="1" applyBorder="1" applyAlignment="1">
      <alignment horizontal="center" vertical="center" wrapText="1"/>
    </xf>
    <xf numFmtId="164" fontId="39" fillId="0" borderId="2" xfId="4" applyNumberFormat="1" applyFont="1" applyBorder="1" applyAlignment="1">
      <alignment horizontal="center" vertical="center"/>
    </xf>
    <xf numFmtId="0" fontId="4" fillId="0" borderId="39" xfId="5" applyBorder="1" applyAlignment="1">
      <alignment horizontal="center"/>
    </xf>
    <xf numFmtId="2" fontId="39" fillId="0" borderId="2" xfId="4" applyNumberFormat="1" applyFont="1" applyBorder="1" applyAlignment="1">
      <alignment horizontal="center" vertical="center"/>
    </xf>
    <xf numFmtId="164" fontId="48" fillId="0" borderId="2" xfId="4" applyNumberFormat="1" applyFont="1" applyBorder="1" applyAlignment="1">
      <alignment horizontal="center" vertical="center"/>
    </xf>
    <xf numFmtId="164" fontId="39" fillId="2" borderId="2" xfId="5" applyNumberFormat="1" applyFont="1" applyFill="1" applyBorder="1" applyAlignment="1">
      <alignment horizontal="center" vertical="center"/>
    </xf>
    <xf numFmtId="0" fontId="4" fillId="0" borderId="27" xfId="5" applyBorder="1" applyAlignment="1">
      <alignment horizontal="center" vertical="center"/>
    </xf>
    <xf numFmtId="164" fontId="39" fillId="0" borderId="1" xfId="5" applyNumberFormat="1" applyFont="1" applyBorder="1" applyAlignment="1">
      <alignment horizontal="center" vertical="center"/>
    </xf>
    <xf numFmtId="0" fontId="4" fillId="0" borderId="15" xfId="5" applyBorder="1" applyAlignment="1">
      <alignment horizontal="center" vertical="center" wrapText="1"/>
    </xf>
    <xf numFmtId="0" fontId="49" fillId="0" borderId="36" xfId="4" applyFont="1" applyBorder="1" applyAlignment="1">
      <alignment horizontal="center"/>
    </xf>
    <xf numFmtId="164" fontId="49" fillId="0" borderId="44" xfId="4" applyNumberFormat="1" applyFont="1" applyBorder="1" applyAlignment="1">
      <alignment horizontal="center" vertical="center"/>
    </xf>
    <xf numFmtId="0" fontId="4" fillId="0" borderId="0" xfId="4" applyAlignment="1">
      <alignment horizontal="center" vertical="center"/>
    </xf>
    <xf numFmtId="0" fontId="31" fillId="0" borderId="0" xfId="4" applyFont="1"/>
    <xf numFmtId="0" fontId="50" fillId="0" borderId="0" xfId="4" applyFont="1" applyAlignment="1">
      <alignment vertical="center"/>
    </xf>
    <xf numFmtId="0" fontId="37" fillId="0" borderId="0" xfId="4" applyFont="1"/>
    <xf numFmtId="164" fontId="39" fillId="2" borderId="3" xfId="4" applyNumberFormat="1" applyFont="1" applyFill="1" applyBorder="1" applyAlignment="1">
      <alignment horizontal="center" vertical="center"/>
    </xf>
    <xf numFmtId="2" fontId="39" fillId="2" borderId="3" xfId="4" applyNumberFormat="1" applyFont="1" applyFill="1" applyBorder="1" applyAlignment="1">
      <alignment horizontal="center" vertical="center"/>
    </xf>
    <xf numFmtId="2" fontId="4" fillId="0" borderId="3" xfId="4" applyNumberFormat="1" applyBorder="1" applyAlignment="1">
      <alignment horizontal="center" vertical="center"/>
    </xf>
    <xf numFmtId="0" fontId="31" fillId="0" borderId="29" xfId="4" applyFont="1" applyBorder="1" applyAlignment="1">
      <alignment horizontal="center" vertical="center"/>
    </xf>
    <xf numFmtId="0" fontId="31" fillId="0" borderId="29" xfId="4" applyFont="1" applyBorder="1"/>
    <xf numFmtId="0" fontId="31" fillId="0" borderId="0" xfId="4" applyFont="1" applyAlignment="1">
      <alignment horizontal="left"/>
    </xf>
    <xf numFmtId="164" fontId="49" fillId="0" borderId="42" xfId="4" applyNumberFormat="1" applyFont="1" applyBorder="1" applyAlignment="1">
      <alignment horizontal="center" vertical="center"/>
    </xf>
    <xf numFmtId="0" fontId="3" fillId="0" borderId="15" xfId="5" applyFont="1" applyBorder="1" applyAlignment="1">
      <alignment horizontal="center" vertical="center"/>
    </xf>
    <xf numFmtId="0" fontId="2" fillId="0" borderId="15" xfId="5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164" fontId="4" fillId="0" borderId="1" xfId="4" applyNumberForma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37" xfId="0" applyFont="1" applyBorder="1" applyAlignment="1">
      <alignment horizontal="center" vertical="center"/>
    </xf>
    <xf numFmtId="0" fontId="47" fillId="0" borderId="38" xfId="0" applyFont="1" applyBorder="1" applyAlignment="1">
      <alignment horizontal="center" vertical="center"/>
    </xf>
    <xf numFmtId="0" fontId="31" fillId="2" borderId="0" xfId="3" applyFont="1" applyFill="1" applyAlignment="1">
      <alignment horizontal="left" vertical="center"/>
    </xf>
    <xf numFmtId="0" fontId="13" fillId="2" borderId="0" xfId="3" applyFill="1" applyAlignment="1">
      <alignment horizontal="center" vertical="center"/>
    </xf>
    <xf numFmtId="0" fontId="33" fillId="0" borderId="17" xfId="3" applyFont="1" applyBorder="1" applyAlignment="1">
      <alignment horizontal="center" vertical="center"/>
    </xf>
    <xf numFmtId="0" fontId="35" fillId="2" borderId="18" xfId="3" applyFont="1" applyFill="1" applyBorder="1" applyAlignment="1">
      <alignment horizontal="center" vertical="center"/>
    </xf>
    <xf numFmtId="0" fontId="31" fillId="11" borderId="10" xfId="3" applyFont="1" applyFill="1" applyBorder="1" applyAlignment="1">
      <alignment horizontal="center" vertical="center"/>
    </xf>
    <xf numFmtId="0" fontId="31" fillId="11" borderId="28" xfId="3" applyFont="1" applyFill="1" applyBorder="1" applyAlignment="1">
      <alignment horizontal="center" vertical="center"/>
    </xf>
    <xf numFmtId="0" fontId="31" fillId="4" borderId="19" xfId="3" applyFont="1" applyFill="1" applyBorder="1" applyAlignment="1">
      <alignment horizontal="center" vertical="center"/>
    </xf>
    <xf numFmtId="0" fontId="31" fillId="4" borderId="20" xfId="3" applyFont="1" applyFill="1" applyBorder="1" applyAlignment="1">
      <alignment horizontal="center" vertical="center"/>
    </xf>
    <xf numFmtId="0" fontId="31" fillId="12" borderId="19" xfId="3" applyFont="1" applyFill="1" applyBorder="1" applyAlignment="1">
      <alignment horizontal="center" vertical="center"/>
    </xf>
    <xf numFmtId="0" fontId="31" fillId="12" borderId="20" xfId="3" applyFont="1" applyFill="1" applyBorder="1" applyAlignment="1">
      <alignment horizontal="center" vertical="center"/>
    </xf>
    <xf numFmtId="0" fontId="31" fillId="12" borderId="21" xfId="3" applyFont="1" applyFill="1" applyBorder="1" applyAlignment="1">
      <alignment horizontal="center" vertical="center"/>
    </xf>
    <xf numFmtId="0" fontId="31" fillId="7" borderId="19" xfId="3" applyFont="1" applyFill="1" applyBorder="1" applyAlignment="1">
      <alignment horizontal="center" vertical="center"/>
    </xf>
    <xf numFmtId="0" fontId="31" fillId="7" borderId="20" xfId="3" applyFont="1" applyFill="1" applyBorder="1" applyAlignment="1">
      <alignment horizontal="center" vertical="center"/>
    </xf>
    <xf numFmtId="0" fontId="31" fillId="11" borderId="16" xfId="3" applyFont="1" applyFill="1" applyBorder="1" applyAlignment="1">
      <alignment horizontal="center" vertical="center"/>
    </xf>
    <xf numFmtId="0" fontId="31" fillId="11" borderId="30" xfId="3" applyFont="1" applyFill="1" applyBorder="1" applyAlignment="1">
      <alignment horizontal="center" vertical="center"/>
    </xf>
    <xf numFmtId="0" fontId="50" fillId="0" borderId="0" xfId="4" applyFont="1" applyAlignment="1">
      <alignment horizontal="left" vertical="center"/>
    </xf>
    <xf numFmtId="0" fontId="4" fillId="0" borderId="45" xfId="4" applyBorder="1" applyAlignment="1">
      <alignment horizontal="center"/>
    </xf>
    <xf numFmtId="0" fontId="4" fillId="0" borderId="40" xfId="4" applyBorder="1" applyAlignment="1">
      <alignment horizontal="center"/>
    </xf>
    <xf numFmtId="0" fontId="4" fillId="0" borderId="47" xfId="4" applyBorder="1" applyAlignment="1">
      <alignment horizontal="center"/>
    </xf>
    <xf numFmtId="0" fontId="44" fillId="0" borderId="0" xfId="4" applyFont="1" applyAlignment="1">
      <alignment horizontal="left" vertical="center"/>
    </xf>
    <xf numFmtId="0" fontId="31" fillId="0" borderId="2" xfId="4" applyFont="1" applyBorder="1" applyAlignment="1">
      <alignment horizontal="center"/>
    </xf>
    <xf numFmtId="0" fontId="31" fillId="0" borderId="2" xfId="4" applyFont="1" applyBorder="1" applyAlignment="1">
      <alignment horizontal="center" vertical="center"/>
    </xf>
    <xf numFmtId="0" fontId="31" fillId="0" borderId="29" xfId="4" applyFont="1" applyBorder="1" applyAlignment="1">
      <alignment horizontal="center" vertical="center"/>
    </xf>
    <xf numFmtId="164" fontId="49" fillId="0" borderId="41" xfId="4" applyNumberFormat="1" applyFont="1" applyBorder="1" applyAlignment="1">
      <alignment horizontal="center" vertical="center"/>
    </xf>
    <xf numFmtId="164" fontId="49" fillId="0" borderId="42" xfId="4" applyNumberFormat="1" applyFont="1" applyBorder="1" applyAlignment="1">
      <alignment horizontal="center" vertical="center"/>
    </xf>
    <xf numFmtId="2" fontId="49" fillId="0" borderId="43" xfId="4" applyNumberFormat="1" applyFont="1" applyBorder="1" applyAlignment="1">
      <alignment horizontal="center" vertical="center"/>
    </xf>
    <xf numFmtId="2" fontId="49" fillId="0" borderId="44" xfId="4" applyNumberFormat="1" applyFont="1" applyBorder="1" applyAlignment="1">
      <alignment horizontal="center" vertical="center"/>
    </xf>
    <xf numFmtId="0" fontId="4" fillId="0" borderId="0" xfId="4" applyAlignment="1">
      <alignment horizontal="left" vertical="center"/>
    </xf>
    <xf numFmtId="0" fontId="2" fillId="0" borderId="15" xfId="5" applyFont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4" fillId="0" borderId="0" xfId="4" applyAlignment="1">
      <alignment horizontal="center"/>
    </xf>
    <xf numFmtId="0" fontId="31" fillId="0" borderId="12" xfId="4" applyFont="1" applyBorder="1" applyAlignment="1">
      <alignment horizontal="center"/>
    </xf>
    <xf numFmtId="0" fontId="47" fillId="0" borderId="12" xfId="4" applyFont="1" applyBorder="1" applyAlignment="1">
      <alignment horizontal="center"/>
    </xf>
    <xf numFmtId="0" fontId="31" fillId="0" borderId="12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0" borderId="8" xfId="4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22" fillId="0" borderId="0" xfId="1" applyFont="1" applyAlignment="1">
      <alignment horizontal="center" vertical="center"/>
    </xf>
    <xf numFmtId="0" fontId="30" fillId="0" borderId="0" xfId="1" applyAlignment="1">
      <alignment horizontal="center" vertical="center"/>
    </xf>
    <xf numFmtId="0" fontId="38" fillId="2" borderId="4" xfId="1" applyFont="1" applyFill="1" applyBorder="1" applyAlignment="1">
      <alignment horizontal="center" vertical="center" wrapText="1"/>
    </xf>
    <xf numFmtId="0" fontId="38" fillId="2" borderId="5" xfId="1" applyFont="1" applyFill="1" applyBorder="1" applyAlignment="1">
      <alignment horizontal="center" vertical="center" wrapText="1"/>
    </xf>
    <xf numFmtId="0" fontId="38" fillId="2" borderId="6" xfId="1" applyFont="1" applyFill="1" applyBorder="1" applyAlignment="1">
      <alignment horizontal="center" vertical="center" wrapText="1"/>
    </xf>
    <xf numFmtId="0" fontId="39" fillId="2" borderId="0" xfId="1" applyFont="1" applyFill="1" applyAlignment="1">
      <alignment horizontal="center" vertical="center"/>
    </xf>
    <xf numFmtId="0" fontId="30" fillId="2" borderId="0" xfId="1" applyFill="1" applyAlignment="1">
      <alignment horizontal="center" vertical="center"/>
    </xf>
    <xf numFmtId="0" fontId="35" fillId="2" borderId="18" xfId="1" applyFont="1" applyFill="1" applyBorder="1" applyAlignment="1">
      <alignment horizontal="center" vertical="center"/>
    </xf>
    <xf numFmtId="0" fontId="36" fillId="3" borderId="10" xfId="1" applyFont="1" applyFill="1" applyBorder="1" applyAlignment="1">
      <alignment horizontal="center" vertical="center"/>
    </xf>
    <xf numFmtId="0" fontId="36" fillId="3" borderId="13" xfId="1" applyFont="1" applyFill="1" applyBorder="1" applyAlignment="1">
      <alignment horizontal="center" vertical="center"/>
    </xf>
    <xf numFmtId="0" fontId="36" fillId="8" borderId="19" xfId="1" applyFont="1" applyFill="1" applyBorder="1" applyAlignment="1">
      <alignment horizontal="center" vertical="center"/>
    </xf>
    <xf numFmtId="0" fontId="36" fillId="8" borderId="20" xfId="1" applyFont="1" applyFill="1" applyBorder="1" applyAlignment="1">
      <alignment horizontal="center" vertical="center"/>
    </xf>
    <xf numFmtId="0" fontId="36" fillId="3" borderId="16" xfId="1" applyFont="1" applyFill="1" applyBorder="1" applyAlignment="1">
      <alignment horizontal="center" vertical="center"/>
    </xf>
    <xf numFmtId="0" fontId="36" fillId="3" borderId="7" xfId="1" applyFont="1" applyFill="1" applyBorder="1" applyAlignment="1">
      <alignment horizontal="center" vertical="center"/>
    </xf>
    <xf numFmtId="0" fontId="38" fillId="9" borderId="4" xfId="1" applyFont="1" applyFill="1" applyBorder="1" applyAlignment="1">
      <alignment horizontal="center" vertical="center" wrapText="1"/>
    </xf>
    <xf numFmtId="0" fontId="38" fillId="9" borderId="5" xfId="1" applyFont="1" applyFill="1" applyBorder="1" applyAlignment="1">
      <alignment horizontal="center" vertical="center" wrapText="1"/>
    </xf>
    <xf numFmtId="0" fontId="38" fillId="9" borderId="6" xfId="1" applyFont="1" applyFill="1" applyBorder="1" applyAlignment="1">
      <alignment horizontal="center" vertical="center" wrapText="1"/>
    </xf>
    <xf numFmtId="0" fontId="34" fillId="2" borderId="0" xfId="0" applyFont="1" applyFill="1" applyAlignment="1">
      <alignment horizontal="left" vertical="center"/>
    </xf>
    <xf numFmtId="0" fontId="31" fillId="3" borderId="16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1" fillId="3" borderId="10" xfId="0" applyFont="1" applyFill="1" applyBorder="1" applyAlignment="1">
      <alignment horizontal="center" vertical="center"/>
    </xf>
    <xf numFmtId="0" fontId="31" fillId="3" borderId="13" xfId="0" applyFont="1" applyFill="1" applyBorder="1" applyAlignment="1">
      <alignment horizontal="center" vertical="center"/>
    </xf>
    <xf numFmtId="0" fontId="35" fillId="2" borderId="18" xfId="0" applyFont="1" applyFill="1" applyBorder="1" applyAlignment="1">
      <alignment horizontal="center" vertical="center"/>
    </xf>
    <xf numFmtId="0" fontId="31" fillId="4" borderId="12" xfId="0" applyFont="1" applyFill="1" applyBorder="1" applyAlignment="1">
      <alignment horizontal="center" vertical="center"/>
    </xf>
    <xf numFmtId="0" fontId="31" fillId="7" borderId="12" xfId="0" applyFont="1" applyFill="1" applyBorder="1" applyAlignment="1">
      <alignment horizontal="center" vertical="center"/>
    </xf>
    <xf numFmtId="0" fontId="31" fillId="5" borderId="19" xfId="0" applyFont="1" applyFill="1" applyBorder="1" applyAlignment="1">
      <alignment horizontal="center" vertical="center"/>
    </xf>
    <xf numFmtId="0" fontId="31" fillId="5" borderId="20" xfId="0" applyFont="1" applyFill="1" applyBorder="1" applyAlignment="1">
      <alignment horizontal="center" vertical="center"/>
    </xf>
    <xf numFmtId="0" fontId="31" fillId="5" borderId="2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0" fontId="46" fillId="0" borderId="36" xfId="2" applyFont="1" applyBorder="1" applyAlignment="1">
      <alignment horizontal="right" vertical="center" wrapText="1"/>
    </xf>
    <xf numFmtId="0" fontId="46" fillId="0" borderId="37" xfId="2" applyFont="1" applyBorder="1" applyAlignment="1">
      <alignment horizontal="right" vertical="center" wrapText="1"/>
    </xf>
    <xf numFmtId="0" fontId="46" fillId="0" borderId="38" xfId="2" applyFont="1" applyBorder="1" applyAlignment="1">
      <alignment horizontal="right" vertical="center" wrapText="1"/>
    </xf>
    <xf numFmtId="0" fontId="38" fillId="2" borderId="32" xfId="2" applyFont="1" applyFill="1" applyBorder="1" applyAlignment="1">
      <alignment horizontal="center" vertical="center" wrapText="1"/>
    </xf>
    <xf numFmtId="0" fontId="38" fillId="2" borderId="33" xfId="2" applyFont="1" applyFill="1" applyBorder="1" applyAlignment="1">
      <alignment horizontal="center" vertical="center" wrapText="1"/>
    </xf>
    <xf numFmtId="0" fontId="38" fillId="2" borderId="34" xfId="2" applyFont="1" applyFill="1" applyBorder="1" applyAlignment="1">
      <alignment horizontal="center" vertical="center" wrapText="1"/>
    </xf>
    <xf numFmtId="0" fontId="38" fillId="2" borderId="4" xfId="2" applyFont="1" applyFill="1" applyBorder="1" applyAlignment="1">
      <alignment horizontal="center" vertical="center" wrapText="1"/>
    </xf>
    <xf numFmtId="0" fontId="38" fillId="2" borderId="5" xfId="2" applyFont="1" applyFill="1" applyBorder="1" applyAlignment="1">
      <alignment horizontal="center" vertical="center" wrapText="1"/>
    </xf>
    <xf numFmtId="0" fontId="38" fillId="2" borderId="6" xfId="2" applyFont="1" applyFill="1" applyBorder="1" applyAlignment="1">
      <alignment horizontal="center" vertical="center" wrapText="1"/>
    </xf>
    <xf numFmtId="0" fontId="29" fillId="2" borderId="0" xfId="2" applyFill="1" applyAlignment="1">
      <alignment horizontal="center" vertical="center"/>
    </xf>
    <xf numFmtId="0" fontId="34" fillId="2" borderId="0" xfId="2" applyFont="1" applyFill="1" applyAlignment="1">
      <alignment horizontal="left" vertical="center"/>
    </xf>
    <xf numFmtId="0" fontId="34" fillId="2" borderId="9" xfId="2" applyFont="1" applyFill="1" applyBorder="1" applyAlignment="1">
      <alignment horizontal="center" vertical="center"/>
    </xf>
    <xf numFmtId="0" fontId="35" fillId="2" borderId="18" xfId="2" applyFont="1" applyFill="1" applyBorder="1" applyAlignment="1">
      <alignment horizontal="center" vertical="center"/>
    </xf>
    <xf numFmtId="0" fontId="36" fillId="3" borderId="10" xfId="2" applyFont="1" applyFill="1" applyBorder="1" applyAlignment="1">
      <alignment horizontal="center" vertical="center" wrapText="1"/>
    </xf>
    <xf numFmtId="0" fontId="36" fillId="3" borderId="17" xfId="2" applyFont="1" applyFill="1" applyBorder="1" applyAlignment="1">
      <alignment horizontal="center" vertical="center" wrapText="1"/>
    </xf>
    <xf numFmtId="0" fontId="36" fillId="3" borderId="13" xfId="2" applyFont="1" applyFill="1" applyBorder="1" applyAlignment="1">
      <alignment horizontal="center" vertical="center" wrapText="1"/>
    </xf>
    <xf numFmtId="0" fontId="36" fillId="3" borderId="10" xfId="2" applyFont="1" applyFill="1" applyBorder="1" applyAlignment="1">
      <alignment horizontal="center" vertical="center"/>
    </xf>
    <xf numFmtId="0" fontId="36" fillId="3" borderId="17" xfId="2" applyFont="1" applyFill="1" applyBorder="1" applyAlignment="1">
      <alignment horizontal="center" vertical="center"/>
    </xf>
    <xf numFmtId="0" fontId="36" fillId="3" borderId="13" xfId="2" applyFont="1" applyFill="1" applyBorder="1" applyAlignment="1">
      <alignment horizontal="center" vertical="center"/>
    </xf>
    <xf numFmtId="0" fontId="38" fillId="9" borderId="22" xfId="2" applyFont="1" applyFill="1" applyBorder="1" applyAlignment="1">
      <alignment horizontal="center" vertical="center" wrapText="1"/>
    </xf>
    <xf numFmtId="0" fontId="38" fillId="9" borderId="11" xfId="2" applyFont="1" applyFill="1" applyBorder="1" applyAlignment="1">
      <alignment horizontal="center" vertical="center" wrapText="1"/>
    </xf>
    <xf numFmtId="0" fontId="38" fillId="9" borderId="23" xfId="2" applyFont="1" applyFill="1" applyBorder="1" applyAlignment="1">
      <alignment horizontal="center" vertical="center" wrapText="1"/>
    </xf>
    <xf numFmtId="0" fontId="38" fillId="9" borderId="24" xfId="2" applyFont="1" applyFill="1" applyBorder="1" applyAlignment="1">
      <alignment horizontal="center" vertical="center" wrapText="1"/>
    </xf>
    <xf numFmtId="0" fontId="38" fillId="9" borderId="26" xfId="2" applyFont="1" applyFill="1" applyBorder="1" applyAlignment="1">
      <alignment horizontal="center" vertical="center" wrapText="1"/>
    </xf>
    <xf numFmtId="0" fontId="38" fillId="9" borderId="14" xfId="2" applyFont="1" applyFill="1" applyBorder="1" applyAlignment="1">
      <alignment horizontal="center" vertical="center" wrapText="1"/>
    </xf>
    <xf numFmtId="0" fontId="36" fillId="3" borderId="16" xfId="2" applyFont="1" applyFill="1" applyBorder="1" applyAlignment="1">
      <alignment horizontal="center" vertical="center"/>
    </xf>
    <xf numFmtId="0" fontId="36" fillId="3" borderId="25" xfId="2" applyFont="1" applyFill="1" applyBorder="1" applyAlignment="1">
      <alignment horizontal="center" vertical="center"/>
    </xf>
    <xf numFmtId="0" fontId="36" fillId="3" borderId="7" xfId="2" applyFont="1" applyFill="1" applyBorder="1" applyAlignment="1">
      <alignment horizontal="center" vertical="center"/>
    </xf>
  </cellXfs>
  <cellStyles count="6">
    <cellStyle name="Normal" xfId="0" builtinId="0"/>
    <cellStyle name="Normal 2" xfId="3" xr:uid="{802CC3A0-A678-4B3D-A822-24CC2B7CD5EC}"/>
    <cellStyle name="Normal 2 2" xfId="1" xr:uid="{10F6E14D-15FC-4A71-9C50-45048FAB8F6D}"/>
    <cellStyle name="Normal 2 2 2" xfId="2" xr:uid="{6C76147E-E3B6-4425-9AC5-60858248C706}"/>
    <cellStyle name="Normal 3" xfId="5" xr:uid="{58542D43-8E9B-49F8-81DB-AF228EB04886}"/>
    <cellStyle name="Normal 4" xfId="4" xr:uid="{318F8E97-4366-4F6A-BC57-7B150F89B4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15526E-BF6C-4EC1-95D9-A17970424F0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09FD0A7-8411-4ACE-B0B7-7A1B8A61415F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AGNES</a:t>
          </a:r>
          <a:r>
            <a:rPr lang="en-US" sz="1100" baseline="0"/>
            <a:t> L. PARABA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2434982</xdr:colOff>
      <xdr:row>9</xdr:row>
      <xdr:rowOff>197689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2FE89E0-4E74-4173-9ACD-AC624A5ACE83}"/>
            </a:ext>
          </a:extLst>
        </xdr:cNvPr>
        <xdr:cNvSpPr txBox="1"/>
      </xdr:nvSpPr>
      <xdr:spPr>
        <a:xfrm>
          <a:off x="616683" y="1718407"/>
          <a:ext cx="1818299" cy="4414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EPSVR-ARALING PANLIPUNAN</a:t>
          </a:r>
          <a:endParaRPr lang="en-US" sz="1100"/>
        </a:p>
      </xdr:txBody>
    </xdr:sp>
    <xdr:clientData/>
  </xdr:twoCellAnchor>
  <xdr:twoCellAnchor>
    <xdr:from>
      <xdr:col>2</xdr:col>
      <xdr:colOff>334320</xdr:colOff>
      <xdr:row>7</xdr:row>
      <xdr:rowOff>42741</xdr:rowOff>
    </xdr:from>
    <xdr:to>
      <xdr:col>4</xdr:col>
      <xdr:colOff>523598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8FB8FC7-73B4-4F2F-9A90-04AE66A6200D}"/>
            </a:ext>
          </a:extLst>
        </xdr:cNvPr>
        <xdr:cNvSpPr txBox="1"/>
      </xdr:nvSpPr>
      <xdr:spPr>
        <a:xfrm>
          <a:off x="3544245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SDO-SIPALAY CITY (CID)</a:t>
          </a:r>
        </a:p>
      </xdr:txBody>
    </xdr:sp>
    <xdr:clientData/>
  </xdr:twoCellAnchor>
  <xdr:twoCellAnchor>
    <xdr:from>
      <xdr:col>5</xdr:col>
      <xdr:colOff>491226</xdr:colOff>
      <xdr:row>150</xdr:row>
      <xdr:rowOff>98843</xdr:rowOff>
    </xdr:from>
    <xdr:to>
      <xdr:col>9</xdr:col>
      <xdr:colOff>530166</xdr:colOff>
      <xdr:row>155</xdr:row>
      <xdr:rowOff>152760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6E2F6B-E0F2-45D6-BB90-CCE0496C36A6}"/>
            </a:ext>
          </a:extLst>
        </xdr:cNvPr>
        <xdr:cNvSpPr txBox="1"/>
      </xdr:nvSpPr>
      <xdr:spPr>
        <a:xfrm>
          <a:off x="6017523" y="28970376"/>
          <a:ext cx="3130072" cy="9974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127257</xdr:colOff>
      <xdr:row>0</xdr:row>
      <xdr:rowOff>126067</xdr:rowOff>
    </xdr:from>
    <xdr:to>
      <xdr:col>9</xdr:col>
      <xdr:colOff>137225</xdr:colOff>
      <xdr:row>4</xdr:row>
      <xdr:rowOff>40360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B0826F-8EC1-475D-879C-87BF28171E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3732" y="126067"/>
          <a:ext cx="695768" cy="6762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16144</xdr:colOff>
      <xdr:row>0</xdr:row>
      <xdr:rowOff>127135</xdr:rowOff>
    </xdr:from>
    <xdr:to>
      <xdr:col>8</xdr:col>
      <xdr:colOff>113637</xdr:colOff>
      <xdr:row>4</xdr:row>
      <xdr:rowOff>80722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1A8309-3D0D-4AF3-9B65-7856FCC08DCD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2069" y="127135"/>
          <a:ext cx="688043" cy="7155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5</xdr:col>
      <xdr:colOff>154213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86069C-E44C-4822-A371-9602994F223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FA9FB5-9934-41C6-981E-DB5C82F9A19D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PARABA, AGNES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36CB20-66A6-4FBD-9B04-4A68D9DC9C34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D2B0798-9ED4-4F1C-8692-F547E08F7EF8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95249</xdr:colOff>
      <xdr:row>0</xdr:row>
      <xdr:rowOff>111125</xdr:rowOff>
    </xdr:from>
    <xdr:to>
      <xdr:col>3</xdr:col>
      <xdr:colOff>765304</xdr:colOff>
      <xdr:row>0</xdr:row>
      <xdr:rowOff>641350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10099" y="111125"/>
          <a:ext cx="67005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AFF0496-EEEC-496E-BFBE-8F7895055AF7}"/>
            </a:ext>
          </a:extLst>
        </xdr:cNvPr>
        <xdr:cNvSpPr txBox="1"/>
      </xdr:nvSpPr>
      <xdr:spPr>
        <a:xfrm>
          <a:off x="573942" y="1377461"/>
          <a:ext cx="16531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PARABA, AGNES L.</a:t>
          </a:r>
        </a:p>
      </xdr:txBody>
    </xdr:sp>
    <xdr:clientData/>
  </xdr:twoCellAnchor>
  <xdr:twoCellAnchor>
    <xdr:from>
      <xdr:col>0</xdr:col>
      <xdr:colOff>645258</xdr:colOff>
      <xdr:row>7</xdr:row>
      <xdr:rowOff>99157</xdr:rowOff>
    </xdr:from>
    <xdr:to>
      <xdr:col>0</xdr:col>
      <xdr:colOff>2654057</xdr:colOff>
      <xdr:row>9</xdr:row>
      <xdr:rowOff>44205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0B6FEFD-287B-449A-9008-DAD7D8604147}"/>
            </a:ext>
          </a:extLst>
        </xdr:cNvPr>
        <xdr:cNvSpPr txBox="1"/>
      </xdr:nvSpPr>
      <xdr:spPr>
        <a:xfrm>
          <a:off x="645258" y="1756507"/>
          <a:ext cx="20087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6C9658-FB19-48DA-B576-855F408B7584}"/>
            </a:ext>
          </a:extLst>
        </xdr:cNvPr>
        <xdr:cNvSpPr txBox="1"/>
      </xdr:nvSpPr>
      <xdr:spPr>
        <a:xfrm>
          <a:off x="3456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96685</xdr:colOff>
      <xdr:row>19</xdr:row>
      <xdr:rowOff>230034</xdr:rowOff>
    </xdr:from>
    <xdr:to>
      <xdr:col>12</xdr:col>
      <xdr:colOff>378952</xdr:colOff>
      <xdr:row>21</xdr:row>
      <xdr:rowOff>144309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CBAE155-9A6D-4BD0-9D31-BB52A66AF248}"/>
            </a:ext>
          </a:extLst>
        </xdr:cNvPr>
        <xdr:cNvSpPr txBox="1"/>
      </xdr:nvSpPr>
      <xdr:spPr>
        <a:xfrm>
          <a:off x="5125475" y="5064228"/>
          <a:ext cx="3508477" cy="107161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342218</xdr:colOff>
      <xdr:row>0</xdr:row>
      <xdr:rowOff>43971</xdr:rowOff>
    </xdr:from>
    <xdr:to>
      <xdr:col>3</xdr:col>
      <xdr:colOff>472822</xdr:colOff>
      <xdr:row>1</xdr:row>
      <xdr:rowOff>2935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A723C1-7CCE-4032-BEB6-FA7210440F6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3508" y="43971"/>
          <a:ext cx="738292" cy="62469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2068391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234D417-E912-478E-A0A8-3A61025DD607}"/>
            </a:ext>
          </a:extLst>
        </xdr:cNvPr>
        <xdr:cNvSpPr txBox="1"/>
      </xdr:nvSpPr>
      <xdr:spPr>
        <a:xfrm>
          <a:off x="573942" y="1377461"/>
          <a:ext cx="149444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PARABA, AGNES L.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7FB0185-392E-40E7-960E-EEAB1C37C71E}"/>
            </a:ext>
          </a:extLst>
        </xdr:cNvPr>
        <xdr:cNvSpPr txBox="1"/>
      </xdr:nvSpPr>
      <xdr:spPr>
        <a:xfrm>
          <a:off x="616683" y="1724757"/>
          <a:ext cx="1456349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1</xdr:col>
      <xdr:colOff>1173095</xdr:colOff>
      <xdr:row>7</xdr:row>
      <xdr:rowOff>83709</xdr:rowOff>
    </xdr:from>
    <xdr:to>
      <xdr:col>3</xdr:col>
      <xdr:colOff>525478</xdr:colOff>
      <xdr:row>10</xdr:row>
      <xdr:rowOff>11403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93E295-42FA-467E-9715-F3B272B75875}"/>
            </a:ext>
          </a:extLst>
        </xdr:cNvPr>
        <xdr:cNvSpPr txBox="1"/>
      </xdr:nvSpPr>
      <xdr:spPr>
        <a:xfrm>
          <a:off x="3243195" y="1747409"/>
          <a:ext cx="1333583" cy="2324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5765-05E7-4055-9C44-EFB26EF8CA46}">
  <sheetPr>
    <pageSetUpPr fitToPage="1"/>
  </sheetPr>
  <dimension ref="A1:K154"/>
  <sheetViews>
    <sheetView view="pageBreakPreview" topLeftCell="A125" zoomScale="106" zoomScaleNormal="100" zoomScaleSheetLayoutView="106" workbookViewId="0">
      <selection activeCell="A140" sqref="A140:G149"/>
    </sheetView>
  </sheetViews>
  <sheetFormatPr defaultRowHeight="15"/>
  <cols>
    <col min="1" max="1" width="36.5703125" style="87" customWidth="1"/>
    <col min="2" max="5" width="11.5703125" style="87" customWidth="1"/>
    <col min="6" max="7" width="11.5703125" style="94" customWidth="1"/>
    <col min="8" max="10" width="11.5703125" style="87" customWidth="1"/>
    <col min="11" max="11" width="26.42578125" style="90" customWidth="1"/>
    <col min="12" max="16384" width="9.140625" style="87"/>
  </cols>
  <sheetData>
    <row r="1" spans="1:11" s="82" customFormat="1" ht="52.5" customHeight="1"/>
    <row r="2" spans="1:11" s="82" customFormat="1" ht="10.5" customHeight="1">
      <c r="A2" s="164" t="s">
        <v>23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1" s="82" customFormat="1" ht="15.95" customHeight="1">
      <c r="A3" s="164" t="s">
        <v>24</v>
      </c>
      <c r="B3" s="164"/>
      <c r="C3" s="164"/>
      <c r="D3" s="164"/>
      <c r="E3" s="164"/>
      <c r="F3" s="164"/>
      <c r="G3" s="164"/>
      <c r="H3" s="164"/>
      <c r="I3" s="164"/>
      <c r="J3" s="164"/>
    </row>
    <row r="4" spans="1:11" s="82" customFormat="1" ht="15.95" customHeight="1">
      <c r="A4" s="164" t="s">
        <v>25</v>
      </c>
      <c r="B4" s="164"/>
      <c r="C4" s="164"/>
      <c r="D4" s="164"/>
      <c r="E4" s="164"/>
      <c r="F4" s="164"/>
      <c r="G4" s="164"/>
      <c r="H4" s="164"/>
      <c r="I4" s="164"/>
      <c r="J4" s="164"/>
    </row>
    <row r="5" spans="1:11" s="82" customFormat="1" ht="15.95" customHeight="1">
      <c r="A5" s="164" t="s">
        <v>26</v>
      </c>
      <c r="B5" s="164"/>
      <c r="C5" s="164"/>
      <c r="D5" s="164"/>
      <c r="E5" s="164"/>
      <c r="F5" s="164"/>
      <c r="G5" s="164"/>
      <c r="H5" s="164"/>
      <c r="I5" s="164"/>
      <c r="J5" s="164"/>
    </row>
    <row r="6" spans="1:11" s="82" customFormat="1" ht="8.25" customHeight="1"/>
    <row r="7" spans="1:11" s="82" customFormat="1" ht="12" customHeight="1">
      <c r="A7" s="82" t="s">
        <v>37</v>
      </c>
      <c r="B7" s="163" t="s">
        <v>38</v>
      </c>
      <c r="C7" s="163"/>
      <c r="D7" s="163"/>
      <c r="H7" s="83" t="s">
        <v>115</v>
      </c>
      <c r="I7" s="84"/>
      <c r="J7" s="83"/>
    </row>
    <row r="8" spans="1:11" s="82" customFormat="1" ht="12" customHeight="1">
      <c r="B8" s="85"/>
      <c r="C8" s="85"/>
      <c r="H8" s="85"/>
      <c r="I8" s="85"/>
      <c r="J8" s="85"/>
    </row>
    <row r="9" spans="1:11" s="82" customFormat="1" ht="12" customHeight="1">
      <c r="A9" s="82" t="s">
        <v>39</v>
      </c>
      <c r="B9" s="163" t="s">
        <v>40</v>
      </c>
      <c r="C9" s="163"/>
      <c r="D9" s="163"/>
      <c r="H9" s="83" t="s">
        <v>116</v>
      </c>
      <c r="I9" s="86"/>
      <c r="J9" s="83"/>
    </row>
    <row r="10" spans="1:11" ht="23.25" customHeight="1" thickBot="1">
      <c r="A10" s="166" t="s">
        <v>2</v>
      </c>
      <c r="B10" s="166"/>
      <c r="C10" s="166"/>
      <c r="D10" s="166"/>
      <c r="E10" s="166"/>
      <c r="F10" s="166"/>
      <c r="G10" s="166"/>
      <c r="H10" s="166"/>
      <c r="I10" s="166"/>
      <c r="J10" s="166"/>
      <c r="K10" s="87"/>
    </row>
    <row r="11" spans="1:11" ht="18.75" customHeight="1">
      <c r="A11" s="167" t="s">
        <v>3</v>
      </c>
      <c r="B11" s="169" t="s">
        <v>4</v>
      </c>
      <c r="C11" s="170"/>
      <c r="D11" s="171" t="s">
        <v>5</v>
      </c>
      <c r="E11" s="172"/>
      <c r="F11" s="172"/>
      <c r="G11" s="173"/>
      <c r="H11" s="174" t="s">
        <v>6</v>
      </c>
      <c r="I11" s="175"/>
      <c r="J11" s="176" t="s">
        <v>7</v>
      </c>
      <c r="K11" s="165" t="s">
        <v>8</v>
      </c>
    </row>
    <row r="12" spans="1:11" ht="18.75" customHeight="1" thickBot="1">
      <c r="A12" s="168"/>
      <c r="B12" s="88" t="s">
        <v>9</v>
      </c>
      <c r="C12" s="88" t="s">
        <v>10</v>
      </c>
      <c r="D12" s="88" t="s">
        <v>9</v>
      </c>
      <c r="E12" s="88" t="s">
        <v>10</v>
      </c>
      <c r="F12" s="88" t="s">
        <v>11</v>
      </c>
      <c r="G12" s="88" t="s">
        <v>34</v>
      </c>
      <c r="H12" s="88" t="s">
        <v>9</v>
      </c>
      <c r="I12" s="88" t="s">
        <v>10</v>
      </c>
      <c r="J12" s="177"/>
      <c r="K12" s="165"/>
    </row>
    <row r="13" spans="1:11" ht="42.75" customHeight="1">
      <c r="A13" s="122" t="s">
        <v>117</v>
      </c>
      <c r="B13" s="95">
        <v>1.304</v>
      </c>
      <c r="C13" s="95">
        <v>1.304</v>
      </c>
      <c r="D13" s="95"/>
      <c r="E13" s="95"/>
      <c r="F13" s="95"/>
      <c r="G13" s="95"/>
      <c r="H13" s="89">
        <f>B13</f>
        <v>1.304</v>
      </c>
      <c r="I13" s="89">
        <f>C13</f>
        <v>1.304</v>
      </c>
      <c r="J13" s="89">
        <f>SUM(H13:I13)</f>
        <v>2.6080000000000001</v>
      </c>
    </row>
    <row r="14" spans="1:11" ht="16.5" customHeight="1">
      <c r="A14" s="100" t="s">
        <v>118</v>
      </c>
      <c r="B14" s="96">
        <v>10</v>
      </c>
      <c r="C14" s="96">
        <v>10</v>
      </c>
      <c r="D14" s="96"/>
      <c r="E14" s="96"/>
      <c r="F14" s="96"/>
      <c r="G14" s="96"/>
      <c r="H14" s="91">
        <f>H13-F14-D14+B14</f>
        <v>11.304</v>
      </c>
      <c r="I14" s="91">
        <f>I13-E14+C14</f>
        <v>11.304</v>
      </c>
      <c r="J14" s="91">
        <f>SUM(H14:I14)</f>
        <v>22.608000000000001</v>
      </c>
    </row>
    <row r="15" spans="1:11" ht="15" customHeight="1">
      <c r="A15" s="100" t="s">
        <v>119</v>
      </c>
      <c r="B15" s="96"/>
      <c r="C15" s="96"/>
      <c r="D15" s="96"/>
      <c r="E15" s="96">
        <v>5</v>
      </c>
      <c r="F15" s="96"/>
      <c r="G15" s="96"/>
      <c r="H15" s="91">
        <f t="shared" ref="H15:H16" si="0">H14-F15-D15+B15</f>
        <v>11.304</v>
      </c>
      <c r="I15" s="91">
        <f t="shared" ref="I15:I16" si="1">I14-E15+C15</f>
        <v>6.3040000000000003</v>
      </c>
      <c r="J15" s="91">
        <f t="shared" ref="J15:J16" si="2">SUM(H15:I15)</f>
        <v>17.608000000000001</v>
      </c>
    </row>
    <row r="16" spans="1:11" ht="15.75" customHeight="1">
      <c r="A16" s="100" t="s">
        <v>120</v>
      </c>
      <c r="B16" s="96">
        <v>1.25</v>
      </c>
      <c r="C16" s="96">
        <v>1.25</v>
      </c>
      <c r="D16" s="96"/>
      <c r="E16" s="96"/>
      <c r="F16" s="96"/>
      <c r="G16" s="96"/>
      <c r="H16" s="91">
        <f t="shared" si="0"/>
        <v>12.554</v>
      </c>
      <c r="I16" s="91">
        <f t="shared" si="1"/>
        <v>7.5540000000000003</v>
      </c>
      <c r="J16" s="91">
        <f t="shared" si="2"/>
        <v>20.108000000000001</v>
      </c>
    </row>
    <row r="17" spans="1:10" ht="15.75" customHeight="1">
      <c r="A17" s="116" t="s">
        <v>201</v>
      </c>
      <c r="B17" s="96"/>
      <c r="C17" s="96"/>
      <c r="D17" s="96"/>
      <c r="E17" s="96"/>
      <c r="F17" s="96">
        <v>5</v>
      </c>
      <c r="G17" s="96"/>
      <c r="H17" s="91">
        <f t="shared" ref="H17:H80" si="3">H16-F17-D17+B17</f>
        <v>7.5540000000000003</v>
      </c>
      <c r="I17" s="91">
        <f t="shared" ref="I17:I80" si="4">I16-E17+C17</f>
        <v>7.5540000000000003</v>
      </c>
      <c r="J17" s="91">
        <f t="shared" ref="J17:J80" si="5">SUM(H17:I17)</f>
        <v>15.108000000000001</v>
      </c>
    </row>
    <row r="18" spans="1:10" ht="15" customHeight="1">
      <c r="A18" s="100" t="s">
        <v>121</v>
      </c>
      <c r="B18" s="96">
        <v>1.25</v>
      </c>
      <c r="C18" s="96">
        <v>1.25</v>
      </c>
      <c r="D18" s="96"/>
      <c r="E18" s="96"/>
      <c r="F18" s="96"/>
      <c r="G18" s="96"/>
      <c r="H18" s="91">
        <f t="shared" si="3"/>
        <v>8.8040000000000003</v>
      </c>
      <c r="I18" s="91">
        <f t="shared" si="4"/>
        <v>8.8040000000000003</v>
      </c>
      <c r="J18" s="91">
        <f t="shared" si="5"/>
        <v>17.608000000000001</v>
      </c>
    </row>
    <row r="19" spans="1:10" ht="14.25" customHeight="1">
      <c r="A19" s="110" t="s">
        <v>192</v>
      </c>
      <c r="B19" s="96"/>
      <c r="C19" s="96"/>
      <c r="D19" s="96"/>
      <c r="E19" s="96">
        <v>3.5</v>
      </c>
      <c r="F19" s="96"/>
      <c r="G19" s="96"/>
      <c r="H19" s="91">
        <f t="shared" si="3"/>
        <v>8.8040000000000003</v>
      </c>
      <c r="I19" s="91">
        <f t="shared" si="4"/>
        <v>5.3040000000000003</v>
      </c>
      <c r="J19" s="91">
        <f t="shared" si="5"/>
        <v>14.108000000000001</v>
      </c>
    </row>
    <row r="20" spans="1:10" ht="14.25" customHeight="1">
      <c r="A20" s="100" t="s">
        <v>122</v>
      </c>
      <c r="B20" s="96">
        <v>5</v>
      </c>
      <c r="C20" s="96">
        <v>5</v>
      </c>
      <c r="D20" s="96"/>
      <c r="E20" s="96"/>
      <c r="F20" s="96"/>
      <c r="G20" s="96"/>
      <c r="H20" s="91">
        <f t="shared" si="3"/>
        <v>13.804</v>
      </c>
      <c r="I20" s="91">
        <f t="shared" si="4"/>
        <v>10.304</v>
      </c>
      <c r="J20" s="91">
        <f t="shared" si="5"/>
        <v>24.108000000000001</v>
      </c>
    </row>
    <row r="21" spans="1:10" ht="15.75" customHeight="1">
      <c r="A21" s="110" t="s">
        <v>193</v>
      </c>
      <c r="B21" s="96"/>
      <c r="C21" s="96"/>
      <c r="D21" s="96"/>
      <c r="E21" s="96">
        <v>2</v>
      </c>
      <c r="F21" s="96"/>
      <c r="G21" s="96"/>
      <c r="H21" s="91">
        <f t="shared" si="3"/>
        <v>13.804</v>
      </c>
      <c r="I21" s="91">
        <f t="shared" si="4"/>
        <v>8.3040000000000003</v>
      </c>
      <c r="J21" s="91">
        <f t="shared" si="5"/>
        <v>22.108000000000001</v>
      </c>
    </row>
    <row r="22" spans="1:10" ht="15.75" customHeight="1">
      <c r="A22" s="100" t="s">
        <v>124</v>
      </c>
      <c r="B22" s="96">
        <v>3.75</v>
      </c>
      <c r="C22" s="96">
        <v>3.75</v>
      </c>
      <c r="D22" s="96"/>
      <c r="E22" s="96"/>
      <c r="F22" s="96"/>
      <c r="G22" s="96"/>
      <c r="H22" s="91">
        <f t="shared" si="3"/>
        <v>17.554000000000002</v>
      </c>
      <c r="I22" s="91">
        <f t="shared" si="4"/>
        <v>12.054</v>
      </c>
      <c r="J22" s="91">
        <f t="shared" si="5"/>
        <v>29.608000000000004</v>
      </c>
    </row>
    <row r="23" spans="1:10" ht="15" customHeight="1">
      <c r="A23" s="100" t="s">
        <v>123</v>
      </c>
      <c r="B23" s="96"/>
      <c r="C23" s="96"/>
      <c r="D23" s="96"/>
      <c r="E23" s="96">
        <v>1</v>
      </c>
      <c r="F23" s="96"/>
      <c r="G23" s="96"/>
      <c r="H23" s="91">
        <f t="shared" si="3"/>
        <v>17.554000000000002</v>
      </c>
      <c r="I23" s="91">
        <f t="shared" si="4"/>
        <v>11.054</v>
      </c>
      <c r="J23" s="91">
        <f t="shared" si="5"/>
        <v>28.608000000000004</v>
      </c>
    </row>
    <row r="24" spans="1:10" ht="14.25" customHeight="1">
      <c r="A24" s="100" t="s">
        <v>125</v>
      </c>
      <c r="B24" s="96">
        <v>3.75</v>
      </c>
      <c r="C24" s="96">
        <v>3.75</v>
      </c>
      <c r="D24" s="96"/>
      <c r="E24" s="96"/>
      <c r="F24" s="96"/>
      <c r="G24" s="96"/>
      <c r="H24" s="91">
        <f t="shared" si="3"/>
        <v>21.304000000000002</v>
      </c>
      <c r="I24" s="91">
        <f t="shared" si="4"/>
        <v>14.804</v>
      </c>
      <c r="J24" s="91">
        <f t="shared" si="5"/>
        <v>36.108000000000004</v>
      </c>
    </row>
    <row r="25" spans="1:10" ht="15" customHeight="1">
      <c r="A25" s="100" t="s">
        <v>126</v>
      </c>
      <c r="B25" s="96"/>
      <c r="C25" s="96"/>
      <c r="D25" s="96"/>
      <c r="E25" s="96">
        <v>2</v>
      </c>
      <c r="F25" s="96"/>
      <c r="G25" s="96"/>
      <c r="H25" s="91">
        <f t="shared" si="3"/>
        <v>21.304000000000002</v>
      </c>
      <c r="I25" s="91">
        <f t="shared" si="4"/>
        <v>12.804</v>
      </c>
      <c r="J25" s="91">
        <f t="shared" si="5"/>
        <v>34.108000000000004</v>
      </c>
    </row>
    <row r="26" spans="1:10" ht="15" customHeight="1">
      <c r="A26" s="100" t="s">
        <v>127</v>
      </c>
      <c r="B26" s="96">
        <v>1.25</v>
      </c>
      <c r="C26" s="96">
        <v>1.25</v>
      </c>
      <c r="D26" s="96"/>
      <c r="E26" s="96"/>
      <c r="F26" s="96"/>
      <c r="G26" s="96"/>
      <c r="H26" s="91">
        <f t="shared" si="3"/>
        <v>22.554000000000002</v>
      </c>
      <c r="I26" s="91">
        <f t="shared" si="4"/>
        <v>14.054</v>
      </c>
      <c r="J26" s="91">
        <f t="shared" si="5"/>
        <v>36.608000000000004</v>
      </c>
    </row>
    <row r="27" spans="1:10" ht="15" customHeight="1">
      <c r="A27" s="116" t="s">
        <v>202</v>
      </c>
      <c r="B27" s="96"/>
      <c r="C27" s="96"/>
      <c r="D27" s="96"/>
      <c r="E27" s="96"/>
      <c r="F27" s="96">
        <v>5</v>
      </c>
      <c r="G27" s="96"/>
      <c r="H27" s="91">
        <f t="shared" si="3"/>
        <v>17.554000000000002</v>
      </c>
      <c r="I27" s="91">
        <f t="shared" si="4"/>
        <v>14.054</v>
      </c>
      <c r="J27" s="91">
        <f t="shared" si="5"/>
        <v>31.608000000000004</v>
      </c>
    </row>
    <row r="28" spans="1:10" ht="15" customHeight="1">
      <c r="A28" s="100" t="s">
        <v>129</v>
      </c>
      <c r="B28" s="96">
        <v>1.25</v>
      </c>
      <c r="C28" s="96">
        <v>1.25</v>
      </c>
      <c r="D28" s="96"/>
      <c r="E28" s="96"/>
      <c r="F28" s="96"/>
      <c r="G28" s="96"/>
      <c r="H28" s="91">
        <f t="shared" si="3"/>
        <v>18.804000000000002</v>
      </c>
      <c r="I28" s="91">
        <f t="shared" si="4"/>
        <v>15.304</v>
      </c>
      <c r="J28" s="91">
        <f t="shared" si="5"/>
        <v>34.108000000000004</v>
      </c>
    </row>
    <row r="29" spans="1:10" ht="15.75" customHeight="1">
      <c r="A29" s="100" t="s">
        <v>130</v>
      </c>
      <c r="B29" s="96"/>
      <c r="C29" s="96"/>
      <c r="D29" s="96"/>
      <c r="E29" s="96">
        <v>1</v>
      </c>
      <c r="F29" s="96"/>
      <c r="G29" s="96"/>
      <c r="H29" s="91">
        <f t="shared" si="3"/>
        <v>18.804000000000002</v>
      </c>
      <c r="I29" s="91">
        <f t="shared" si="4"/>
        <v>14.304</v>
      </c>
      <c r="J29" s="91">
        <f t="shared" si="5"/>
        <v>33.108000000000004</v>
      </c>
    </row>
    <row r="30" spans="1:10" ht="16.5" customHeight="1">
      <c r="A30" s="100" t="s">
        <v>131</v>
      </c>
      <c r="B30" s="96">
        <v>2.5</v>
      </c>
      <c r="C30" s="96">
        <v>2.5</v>
      </c>
      <c r="D30" s="96"/>
      <c r="E30" s="96"/>
      <c r="F30" s="96"/>
      <c r="G30" s="96"/>
      <c r="H30" s="91">
        <f t="shared" si="3"/>
        <v>21.304000000000002</v>
      </c>
      <c r="I30" s="91">
        <f t="shared" si="4"/>
        <v>16.804000000000002</v>
      </c>
      <c r="J30" s="91">
        <f t="shared" si="5"/>
        <v>38.108000000000004</v>
      </c>
    </row>
    <row r="31" spans="1:10" ht="15" customHeight="1">
      <c r="A31" s="101" t="s">
        <v>128</v>
      </c>
      <c r="B31" s="97"/>
      <c r="C31" s="96"/>
      <c r="D31" s="96"/>
      <c r="E31" s="96">
        <v>1</v>
      </c>
      <c r="F31" s="96"/>
      <c r="G31" s="96"/>
      <c r="H31" s="91">
        <f t="shared" si="3"/>
        <v>21.304000000000002</v>
      </c>
      <c r="I31" s="91">
        <f t="shared" si="4"/>
        <v>15.804000000000002</v>
      </c>
      <c r="J31" s="91">
        <f t="shared" si="5"/>
        <v>37.108000000000004</v>
      </c>
    </row>
    <row r="32" spans="1:10" ht="14.25" customHeight="1">
      <c r="A32" s="117" t="s">
        <v>132</v>
      </c>
      <c r="B32" s="96">
        <v>1.25</v>
      </c>
      <c r="C32" s="96">
        <v>1.25</v>
      </c>
      <c r="D32" s="96"/>
      <c r="E32" s="96"/>
      <c r="F32" s="96"/>
      <c r="G32" s="96"/>
      <c r="H32" s="91">
        <f t="shared" si="3"/>
        <v>22.554000000000002</v>
      </c>
      <c r="I32" s="91">
        <f t="shared" si="4"/>
        <v>17.054000000000002</v>
      </c>
      <c r="J32" s="91">
        <f t="shared" si="5"/>
        <v>39.608000000000004</v>
      </c>
    </row>
    <row r="33" spans="1:11" ht="13.5" customHeight="1">
      <c r="A33" s="117" t="s">
        <v>133</v>
      </c>
      <c r="B33" s="96"/>
      <c r="C33" s="96"/>
      <c r="D33" s="96"/>
      <c r="E33" s="96">
        <v>3</v>
      </c>
      <c r="F33" s="96"/>
      <c r="G33" s="96"/>
      <c r="H33" s="91">
        <f t="shared" si="3"/>
        <v>22.554000000000002</v>
      </c>
      <c r="I33" s="91">
        <f t="shared" si="4"/>
        <v>14.054000000000002</v>
      </c>
      <c r="J33" s="91">
        <f t="shared" si="5"/>
        <v>36.608000000000004</v>
      </c>
    </row>
    <row r="34" spans="1:11" ht="14.25" customHeight="1">
      <c r="A34" s="100" t="s">
        <v>134</v>
      </c>
      <c r="B34" s="96">
        <v>10</v>
      </c>
      <c r="C34" s="96">
        <v>10</v>
      </c>
      <c r="D34" s="96"/>
      <c r="E34" s="96"/>
      <c r="F34" s="96"/>
      <c r="G34" s="96"/>
      <c r="H34" s="91">
        <f t="shared" si="3"/>
        <v>32.554000000000002</v>
      </c>
      <c r="I34" s="91">
        <f t="shared" si="4"/>
        <v>24.054000000000002</v>
      </c>
      <c r="J34" s="91">
        <f t="shared" si="5"/>
        <v>56.608000000000004</v>
      </c>
    </row>
    <row r="35" spans="1:11" ht="15" customHeight="1">
      <c r="A35" s="116" t="s">
        <v>203</v>
      </c>
      <c r="B35" s="96"/>
      <c r="C35" s="96"/>
      <c r="D35" s="96"/>
      <c r="E35" s="96"/>
      <c r="F35" s="96">
        <v>5</v>
      </c>
      <c r="G35" s="96"/>
      <c r="H35" s="91">
        <f t="shared" si="3"/>
        <v>27.554000000000002</v>
      </c>
      <c r="I35" s="91">
        <f t="shared" si="4"/>
        <v>24.054000000000002</v>
      </c>
      <c r="J35" s="91">
        <f t="shared" si="5"/>
        <v>51.608000000000004</v>
      </c>
    </row>
    <row r="36" spans="1:11" ht="14.25" customHeight="1">
      <c r="A36" s="100" t="s">
        <v>135</v>
      </c>
      <c r="B36" s="96">
        <v>2.5</v>
      </c>
      <c r="C36" s="96">
        <v>2.5</v>
      </c>
      <c r="D36" s="96"/>
      <c r="E36" s="96"/>
      <c r="F36" s="96"/>
      <c r="G36" s="96"/>
      <c r="H36" s="91">
        <f t="shared" si="3"/>
        <v>30.054000000000002</v>
      </c>
      <c r="I36" s="91">
        <f t="shared" si="4"/>
        <v>26.554000000000002</v>
      </c>
      <c r="J36" s="91">
        <f t="shared" si="5"/>
        <v>56.608000000000004</v>
      </c>
    </row>
    <row r="37" spans="1:11" ht="15" customHeight="1">
      <c r="A37" s="100" t="s">
        <v>136</v>
      </c>
      <c r="B37" s="96"/>
      <c r="C37" s="96"/>
      <c r="D37" s="96">
        <v>1</v>
      </c>
      <c r="E37" s="96"/>
      <c r="F37" s="96"/>
      <c r="G37" s="96"/>
      <c r="H37" s="91">
        <f t="shared" si="3"/>
        <v>29.054000000000002</v>
      </c>
      <c r="I37" s="91">
        <f t="shared" si="4"/>
        <v>26.554000000000002</v>
      </c>
      <c r="J37" s="91">
        <f t="shared" si="5"/>
        <v>55.608000000000004</v>
      </c>
    </row>
    <row r="38" spans="1:11" ht="15" customHeight="1">
      <c r="A38" s="100" t="s">
        <v>137</v>
      </c>
      <c r="B38" s="96">
        <v>12.5</v>
      </c>
      <c r="C38" s="96">
        <v>12.5</v>
      </c>
      <c r="D38" s="96"/>
      <c r="E38" s="96"/>
      <c r="F38" s="96"/>
      <c r="G38" s="96"/>
      <c r="H38" s="91">
        <f t="shared" si="3"/>
        <v>41.554000000000002</v>
      </c>
      <c r="I38" s="91">
        <f t="shared" si="4"/>
        <v>39.054000000000002</v>
      </c>
      <c r="J38" s="91">
        <f t="shared" si="5"/>
        <v>80.608000000000004</v>
      </c>
    </row>
    <row r="39" spans="1:11" ht="14.25" customHeight="1">
      <c r="A39" s="116" t="s">
        <v>204</v>
      </c>
      <c r="B39" s="96"/>
      <c r="C39" s="96"/>
      <c r="D39" s="96"/>
      <c r="E39" s="96"/>
      <c r="F39" s="96">
        <v>5</v>
      </c>
      <c r="G39" s="96"/>
      <c r="H39" s="91">
        <f t="shared" si="3"/>
        <v>36.554000000000002</v>
      </c>
      <c r="I39" s="91">
        <f t="shared" si="4"/>
        <v>39.054000000000002</v>
      </c>
      <c r="J39" s="91">
        <f t="shared" si="5"/>
        <v>75.608000000000004</v>
      </c>
    </row>
    <row r="40" spans="1:11" s="93" customFormat="1" ht="16.5" customHeight="1">
      <c r="A40" s="100" t="s">
        <v>138</v>
      </c>
      <c r="B40" s="96">
        <v>15</v>
      </c>
      <c r="C40" s="96">
        <v>15</v>
      </c>
      <c r="D40" s="96"/>
      <c r="E40" s="96"/>
      <c r="F40" s="96"/>
      <c r="G40" s="96"/>
      <c r="H40" s="91">
        <f t="shared" si="3"/>
        <v>51.554000000000002</v>
      </c>
      <c r="I40" s="91">
        <f t="shared" si="4"/>
        <v>54.054000000000002</v>
      </c>
      <c r="J40" s="91">
        <f t="shared" si="5"/>
        <v>105.608</v>
      </c>
      <c r="K40" s="92"/>
    </row>
    <row r="41" spans="1:11" s="93" customFormat="1" ht="15" customHeight="1">
      <c r="A41" s="116" t="s">
        <v>205</v>
      </c>
      <c r="B41" s="96"/>
      <c r="C41" s="96"/>
      <c r="D41" s="96"/>
      <c r="E41" s="96"/>
      <c r="F41" s="96">
        <v>5</v>
      </c>
      <c r="G41" s="96"/>
      <c r="H41" s="91">
        <f t="shared" si="3"/>
        <v>46.554000000000002</v>
      </c>
      <c r="I41" s="91">
        <f t="shared" si="4"/>
        <v>54.054000000000002</v>
      </c>
      <c r="J41" s="91">
        <f t="shared" si="5"/>
        <v>100.608</v>
      </c>
      <c r="K41" s="92"/>
    </row>
    <row r="42" spans="1:11" s="93" customFormat="1" ht="17.25" customHeight="1">
      <c r="A42" s="100" t="s">
        <v>139</v>
      </c>
      <c r="B42" s="96">
        <v>15</v>
      </c>
      <c r="C42" s="96">
        <v>15</v>
      </c>
      <c r="D42" s="96"/>
      <c r="E42" s="96"/>
      <c r="F42" s="96"/>
      <c r="G42" s="96"/>
      <c r="H42" s="91">
        <f t="shared" si="3"/>
        <v>61.554000000000002</v>
      </c>
      <c r="I42" s="91">
        <f t="shared" si="4"/>
        <v>69.054000000000002</v>
      </c>
      <c r="J42" s="91">
        <f t="shared" si="5"/>
        <v>130.608</v>
      </c>
      <c r="K42" s="92"/>
    </row>
    <row r="43" spans="1:11" ht="15.75" customHeight="1">
      <c r="A43" s="116" t="s">
        <v>206</v>
      </c>
      <c r="B43" s="96"/>
      <c r="C43" s="96"/>
      <c r="D43" s="96"/>
      <c r="E43" s="96"/>
      <c r="F43" s="96">
        <v>5</v>
      </c>
      <c r="G43" s="96"/>
      <c r="H43" s="91">
        <f t="shared" si="3"/>
        <v>56.554000000000002</v>
      </c>
      <c r="I43" s="91">
        <f t="shared" si="4"/>
        <v>69.054000000000002</v>
      </c>
      <c r="J43" s="91">
        <f t="shared" si="5"/>
        <v>125.608</v>
      </c>
    </row>
    <row r="44" spans="1:11" ht="15.75" customHeight="1">
      <c r="A44" s="100" t="s">
        <v>140</v>
      </c>
      <c r="B44" s="96">
        <v>15</v>
      </c>
      <c r="C44" s="96">
        <v>15</v>
      </c>
      <c r="D44" s="96"/>
      <c r="E44" s="96"/>
      <c r="F44" s="96"/>
      <c r="G44" s="96"/>
      <c r="H44" s="91">
        <f t="shared" si="3"/>
        <v>71.554000000000002</v>
      </c>
      <c r="I44" s="91">
        <f t="shared" si="4"/>
        <v>84.054000000000002</v>
      </c>
      <c r="J44" s="91">
        <f t="shared" si="5"/>
        <v>155.608</v>
      </c>
    </row>
    <row r="45" spans="1:11" s="93" customFormat="1" ht="16.5" customHeight="1">
      <c r="A45" s="116" t="s">
        <v>207</v>
      </c>
      <c r="B45" s="96"/>
      <c r="C45" s="96"/>
      <c r="D45" s="96"/>
      <c r="E45" s="96"/>
      <c r="F45" s="96">
        <v>5</v>
      </c>
      <c r="G45" s="96"/>
      <c r="H45" s="91">
        <f t="shared" si="3"/>
        <v>66.554000000000002</v>
      </c>
      <c r="I45" s="91">
        <f t="shared" si="4"/>
        <v>84.054000000000002</v>
      </c>
      <c r="J45" s="91">
        <f t="shared" si="5"/>
        <v>150.608</v>
      </c>
      <c r="K45" s="92"/>
    </row>
    <row r="46" spans="1:11" s="93" customFormat="1" ht="16.5" customHeight="1">
      <c r="A46" s="100" t="s">
        <v>141</v>
      </c>
      <c r="B46" s="96">
        <v>15</v>
      </c>
      <c r="C46" s="96">
        <v>15</v>
      </c>
      <c r="D46" s="96"/>
      <c r="E46" s="96"/>
      <c r="F46" s="96"/>
      <c r="G46" s="96"/>
      <c r="H46" s="91">
        <f t="shared" si="3"/>
        <v>81.554000000000002</v>
      </c>
      <c r="I46" s="91">
        <f t="shared" si="4"/>
        <v>99.054000000000002</v>
      </c>
      <c r="J46" s="91">
        <f t="shared" si="5"/>
        <v>180.608</v>
      </c>
      <c r="K46" s="92"/>
    </row>
    <row r="47" spans="1:11" ht="17.25" customHeight="1">
      <c r="A47" s="116" t="s">
        <v>208</v>
      </c>
      <c r="B47" s="96"/>
      <c r="C47" s="96"/>
      <c r="D47" s="96"/>
      <c r="E47" s="96"/>
      <c r="F47" s="96">
        <v>5</v>
      </c>
      <c r="G47" s="96"/>
      <c r="H47" s="91">
        <f t="shared" si="3"/>
        <v>76.554000000000002</v>
      </c>
      <c r="I47" s="91">
        <f t="shared" si="4"/>
        <v>99.054000000000002</v>
      </c>
      <c r="J47" s="91">
        <f t="shared" si="5"/>
        <v>175.608</v>
      </c>
    </row>
    <row r="48" spans="1:11" ht="16.5" customHeight="1">
      <c r="A48" s="100" t="s">
        <v>142</v>
      </c>
      <c r="B48" s="96"/>
      <c r="C48" s="96"/>
      <c r="D48" s="96">
        <v>10</v>
      </c>
      <c r="E48" s="96"/>
      <c r="F48" s="96"/>
      <c r="G48" s="96"/>
      <c r="H48" s="91">
        <f t="shared" si="3"/>
        <v>66.554000000000002</v>
      </c>
      <c r="I48" s="91">
        <f t="shared" si="4"/>
        <v>99.054000000000002</v>
      </c>
      <c r="J48" s="91">
        <f t="shared" si="5"/>
        <v>165.608</v>
      </c>
    </row>
    <row r="49" spans="1:10" ht="15.75" customHeight="1">
      <c r="A49" s="100" t="s">
        <v>143</v>
      </c>
      <c r="B49" s="96">
        <v>15</v>
      </c>
      <c r="C49" s="96">
        <v>15</v>
      </c>
      <c r="D49" s="96"/>
      <c r="E49" s="96"/>
      <c r="F49" s="96"/>
      <c r="G49" s="96"/>
      <c r="H49" s="91">
        <f t="shared" si="3"/>
        <v>81.554000000000002</v>
      </c>
      <c r="I49" s="91">
        <f t="shared" si="4"/>
        <v>114.054</v>
      </c>
      <c r="J49" s="91">
        <f t="shared" si="5"/>
        <v>195.608</v>
      </c>
    </row>
    <row r="50" spans="1:10" ht="17.25" customHeight="1">
      <c r="A50" s="100" t="s">
        <v>144</v>
      </c>
      <c r="B50" s="96"/>
      <c r="C50" s="96"/>
      <c r="D50" s="96">
        <v>7.5</v>
      </c>
      <c r="E50" s="96"/>
      <c r="F50" s="96"/>
      <c r="G50" s="96"/>
      <c r="H50" s="91">
        <f t="shared" si="3"/>
        <v>74.054000000000002</v>
      </c>
      <c r="I50" s="91">
        <f t="shared" si="4"/>
        <v>114.054</v>
      </c>
      <c r="J50" s="91">
        <f t="shared" si="5"/>
        <v>188.108</v>
      </c>
    </row>
    <row r="51" spans="1:10" ht="15" customHeight="1">
      <c r="A51" s="116" t="s">
        <v>209</v>
      </c>
      <c r="B51" s="96"/>
      <c r="C51" s="96"/>
      <c r="D51" s="96"/>
      <c r="E51" s="96"/>
      <c r="F51" s="96">
        <v>5</v>
      </c>
      <c r="G51" s="96"/>
      <c r="H51" s="91">
        <f t="shared" si="3"/>
        <v>69.054000000000002</v>
      </c>
      <c r="I51" s="91">
        <f t="shared" si="4"/>
        <v>114.054</v>
      </c>
      <c r="J51" s="91">
        <f t="shared" si="5"/>
        <v>183.108</v>
      </c>
    </row>
    <row r="52" spans="1:10" ht="16.5" customHeight="1">
      <c r="A52" s="100" t="s">
        <v>145</v>
      </c>
      <c r="B52" s="96">
        <v>15</v>
      </c>
      <c r="C52" s="96">
        <v>15</v>
      </c>
      <c r="D52" s="96"/>
      <c r="E52" s="96"/>
      <c r="F52" s="96"/>
      <c r="G52" s="96"/>
      <c r="H52" s="91">
        <f t="shared" si="3"/>
        <v>84.054000000000002</v>
      </c>
      <c r="I52" s="91">
        <f t="shared" si="4"/>
        <v>129.054</v>
      </c>
      <c r="J52" s="91">
        <f t="shared" si="5"/>
        <v>213.108</v>
      </c>
    </row>
    <row r="53" spans="1:10" ht="15" customHeight="1">
      <c r="A53" s="100" t="s">
        <v>146</v>
      </c>
      <c r="B53" s="96"/>
      <c r="C53" s="96"/>
      <c r="D53" s="96">
        <v>10</v>
      </c>
      <c r="E53" s="96"/>
      <c r="F53" s="96"/>
      <c r="G53" s="96"/>
      <c r="H53" s="91">
        <f t="shared" si="3"/>
        <v>74.054000000000002</v>
      </c>
      <c r="I53" s="91">
        <f t="shared" si="4"/>
        <v>129.054</v>
      </c>
      <c r="J53" s="91">
        <f t="shared" si="5"/>
        <v>203.108</v>
      </c>
    </row>
    <row r="54" spans="1:10" ht="17.25" customHeight="1">
      <c r="A54" s="116" t="s">
        <v>210</v>
      </c>
      <c r="B54" s="96"/>
      <c r="C54" s="96"/>
      <c r="D54" s="96"/>
      <c r="E54" s="96"/>
      <c r="F54" s="96">
        <v>5</v>
      </c>
      <c r="G54" s="96"/>
      <c r="H54" s="91">
        <f t="shared" si="3"/>
        <v>69.054000000000002</v>
      </c>
      <c r="I54" s="91">
        <f t="shared" si="4"/>
        <v>129.054</v>
      </c>
      <c r="J54" s="91">
        <f t="shared" si="5"/>
        <v>198.108</v>
      </c>
    </row>
    <row r="55" spans="1:10" ht="16.5" customHeight="1">
      <c r="A55" s="100" t="s">
        <v>147</v>
      </c>
      <c r="B55" s="96">
        <v>15</v>
      </c>
      <c r="C55" s="96">
        <v>15</v>
      </c>
      <c r="D55" s="96"/>
      <c r="E55" s="96"/>
      <c r="F55" s="96"/>
      <c r="G55" s="96"/>
      <c r="H55" s="91">
        <f t="shared" si="3"/>
        <v>84.054000000000002</v>
      </c>
      <c r="I55" s="91">
        <f t="shared" si="4"/>
        <v>144.054</v>
      </c>
      <c r="J55" s="91">
        <f t="shared" si="5"/>
        <v>228.108</v>
      </c>
    </row>
    <row r="56" spans="1:10" ht="15.75" customHeight="1">
      <c r="A56" s="116" t="s">
        <v>211</v>
      </c>
      <c r="B56" s="96"/>
      <c r="C56" s="96"/>
      <c r="D56" s="96"/>
      <c r="E56" s="96"/>
      <c r="F56" s="96">
        <v>5</v>
      </c>
      <c r="G56" s="96"/>
      <c r="H56" s="91">
        <f t="shared" si="3"/>
        <v>79.054000000000002</v>
      </c>
      <c r="I56" s="91">
        <f t="shared" si="4"/>
        <v>144.054</v>
      </c>
      <c r="J56" s="91">
        <f t="shared" si="5"/>
        <v>223.108</v>
      </c>
    </row>
    <row r="57" spans="1:10" ht="16.5" customHeight="1">
      <c r="A57" s="100" t="s">
        <v>148</v>
      </c>
      <c r="B57" s="96">
        <v>1.25</v>
      </c>
      <c r="C57" s="96">
        <v>1.25</v>
      </c>
      <c r="D57" s="96"/>
      <c r="E57" s="96"/>
      <c r="F57" s="96"/>
      <c r="G57" s="96"/>
      <c r="H57" s="91">
        <f t="shared" si="3"/>
        <v>80.304000000000002</v>
      </c>
      <c r="I57" s="91">
        <f t="shared" si="4"/>
        <v>145.304</v>
      </c>
      <c r="J57" s="91">
        <f t="shared" si="5"/>
        <v>225.608</v>
      </c>
    </row>
    <row r="58" spans="1:10" ht="14.25" customHeight="1">
      <c r="A58" s="100" t="s">
        <v>149</v>
      </c>
      <c r="B58" s="96"/>
      <c r="C58" s="96"/>
      <c r="D58" s="96">
        <v>6</v>
      </c>
      <c r="E58" s="96"/>
      <c r="F58" s="96"/>
      <c r="G58" s="96"/>
      <c r="H58" s="91">
        <f t="shared" si="3"/>
        <v>74.304000000000002</v>
      </c>
      <c r="I58" s="91">
        <f t="shared" si="4"/>
        <v>145.304</v>
      </c>
      <c r="J58" s="91">
        <f t="shared" si="5"/>
        <v>219.608</v>
      </c>
    </row>
    <row r="59" spans="1:10" ht="15" customHeight="1">
      <c r="A59" s="100" t="s">
        <v>150</v>
      </c>
      <c r="B59" s="96">
        <v>12.5</v>
      </c>
      <c r="C59" s="96">
        <v>12.5</v>
      </c>
      <c r="D59" s="96"/>
      <c r="E59" s="96"/>
      <c r="F59" s="96"/>
      <c r="G59" s="96"/>
      <c r="H59" s="91">
        <f t="shared" si="3"/>
        <v>86.804000000000002</v>
      </c>
      <c r="I59" s="91">
        <f t="shared" si="4"/>
        <v>157.804</v>
      </c>
      <c r="J59" s="91">
        <f t="shared" si="5"/>
        <v>244.608</v>
      </c>
    </row>
    <row r="60" spans="1:10" ht="15.75" customHeight="1">
      <c r="A60" s="100" t="s">
        <v>151</v>
      </c>
      <c r="B60" s="96"/>
      <c r="C60" s="96"/>
      <c r="D60" s="96"/>
      <c r="E60" s="96"/>
      <c r="F60" s="96">
        <v>5</v>
      </c>
      <c r="G60" s="96"/>
      <c r="H60" s="91">
        <f t="shared" si="3"/>
        <v>81.804000000000002</v>
      </c>
      <c r="I60" s="91">
        <f t="shared" si="4"/>
        <v>157.804</v>
      </c>
      <c r="J60" s="91">
        <f t="shared" si="5"/>
        <v>239.608</v>
      </c>
    </row>
    <row r="61" spans="1:10" ht="30" customHeight="1">
      <c r="A61" s="101" t="s">
        <v>152</v>
      </c>
      <c r="B61" s="96">
        <v>5</v>
      </c>
      <c r="C61" s="96"/>
      <c r="D61" s="96"/>
      <c r="E61" s="96"/>
      <c r="F61" s="96"/>
      <c r="G61" s="96"/>
      <c r="H61" s="91">
        <f t="shared" si="3"/>
        <v>86.804000000000002</v>
      </c>
      <c r="I61" s="91">
        <f t="shared" si="4"/>
        <v>157.804</v>
      </c>
      <c r="J61" s="91">
        <f t="shared" si="5"/>
        <v>244.608</v>
      </c>
    </row>
    <row r="62" spans="1:10" ht="18" customHeight="1">
      <c r="A62" s="100" t="s">
        <v>153</v>
      </c>
      <c r="B62" s="96"/>
      <c r="C62" s="96"/>
      <c r="D62" s="96"/>
      <c r="E62" s="96"/>
      <c r="F62" s="96"/>
      <c r="G62" s="96">
        <v>3</v>
      </c>
      <c r="H62" s="91">
        <f t="shared" si="3"/>
        <v>86.804000000000002</v>
      </c>
      <c r="I62" s="91">
        <f t="shared" si="4"/>
        <v>157.804</v>
      </c>
      <c r="J62" s="91">
        <f t="shared" si="5"/>
        <v>244.608</v>
      </c>
    </row>
    <row r="63" spans="1:10" s="90" customFormat="1" ht="15.75" customHeight="1">
      <c r="A63" s="100" t="s">
        <v>155</v>
      </c>
      <c r="B63" s="96"/>
      <c r="C63" s="96"/>
      <c r="D63" s="96">
        <v>30</v>
      </c>
      <c r="E63" s="96"/>
      <c r="F63" s="96"/>
      <c r="G63" s="96"/>
      <c r="H63" s="91">
        <f t="shared" si="3"/>
        <v>56.804000000000002</v>
      </c>
      <c r="I63" s="91">
        <f t="shared" si="4"/>
        <v>157.804</v>
      </c>
      <c r="J63" s="91">
        <f t="shared" si="5"/>
        <v>214.608</v>
      </c>
    </row>
    <row r="64" spans="1:10" s="90" customFormat="1" ht="15.75" customHeight="1">
      <c r="A64" s="100" t="s">
        <v>154</v>
      </c>
      <c r="B64" s="96">
        <v>1.25</v>
      </c>
      <c r="C64" s="96">
        <v>1.25</v>
      </c>
      <c r="D64" s="96"/>
      <c r="E64" s="96"/>
      <c r="F64" s="96"/>
      <c r="G64" s="96"/>
      <c r="H64" s="91">
        <f t="shared" si="3"/>
        <v>58.054000000000002</v>
      </c>
      <c r="I64" s="91">
        <f t="shared" si="4"/>
        <v>159.054</v>
      </c>
      <c r="J64" s="91">
        <f t="shared" si="5"/>
        <v>217.108</v>
      </c>
    </row>
    <row r="65" spans="1:10" s="90" customFormat="1" ht="15.75" customHeight="1">
      <c r="A65" s="100" t="s">
        <v>156</v>
      </c>
      <c r="B65" s="96">
        <v>1.25</v>
      </c>
      <c r="C65" s="96">
        <v>1.25</v>
      </c>
      <c r="D65" s="96"/>
      <c r="E65" s="96"/>
      <c r="F65" s="96"/>
      <c r="G65" s="96"/>
      <c r="H65" s="91">
        <f t="shared" si="3"/>
        <v>59.304000000000002</v>
      </c>
      <c r="I65" s="91">
        <f t="shared" si="4"/>
        <v>160.304</v>
      </c>
      <c r="J65" s="91">
        <f t="shared" si="5"/>
        <v>219.608</v>
      </c>
    </row>
    <row r="66" spans="1:10" s="90" customFormat="1" ht="15.75" customHeight="1">
      <c r="A66" s="100" t="s">
        <v>157</v>
      </c>
      <c r="B66" s="96"/>
      <c r="C66" s="96"/>
      <c r="D66" s="96"/>
      <c r="E66" s="96">
        <v>6</v>
      </c>
      <c r="F66" s="96"/>
      <c r="G66" s="96"/>
      <c r="H66" s="91">
        <f t="shared" si="3"/>
        <v>59.304000000000002</v>
      </c>
      <c r="I66" s="91">
        <f t="shared" si="4"/>
        <v>154.304</v>
      </c>
      <c r="J66" s="91">
        <f t="shared" si="5"/>
        <v>213.608</v>
      </c>
    </row>
    <row r="67" spans="1:10" s="90" customFormat="1" ht="15.75" customHeight="1">
      <c r="A67" s="100" t="s">
        <v>158</v>
      </c>
      <c r="B67" s="96">
        <v>10</v>
      </c>
      <c r="C67" s="96">
        <v>10</v>
      </c>
      <c r="D67" s="96"/>
      <c r="E67" s="96"/>
      <c r="F67" s="96"/>
      <c r="G67" s="96"/>
      <c r="H67" s="91">
        <f t="shared" si="3"/>
        <v>69.304000000000002</v>
      </c>
      <c r="I67" s="91">
        <f t="shared" si="4"/>
        <v>164.304</v>
      </c>
      <c r="J67" s="91">
        <f t="shared" si="5"/>
        <v>233.608</v>
      </c>
    </row>
    <row r="68" spans="1:10" s="90" customFormat="1" ht="15.75" customHeight="1">
      <c r="A68" s="100" t="s">
        <v>159</v>
      </c>
      <c r="B68" s="96">
        <v>2.5</v>
      </c>
      <c r="C68" s="96">
        <v>2.5</v>
      </c>
      <c r="D68" s="96"/>
      <c r="E68" s="96"/>
      <c r="F68" s="96"/>
      <c r="G68" s="96"/>
      <c r="H68" s="91">
        <f t="shared" si="3"/>
        <v>71.804000000000002</v>
      </c>
      <c r="I68" s="91">
        <f t="shared" si="4"/>
        <v>166.804</v>
      </c>
      <c r="J68" s="91">
        <f t="shared" si="5"/>
        <v>238.608</v>
      </c>
    </row>
    <row r="69" spans="1:10" s="90" customFormat="1" ht="15.75" customHeight="1">
      <c r="A69" s="100" t="s">
        <v>163</v>
      </c>
      <c r="B69" s="96"/>
      <c r="C69" s="96"/>
      <c r="D69" s="96">
        <v>30</v>
      </c>
      <c r="E69" s="96"/>
      <c r="F69" s="96"/>
      <c r="G69" s="96"/>
      <c r="H69" s="91">
        <f t="shared" si="3"/>
        <v>41.804000000000002</v>
      </c>
      <c r="I69" s="91">
        <f t="shared" si="4"/>
        <v>166.804</v>
      </c>
      <c r="J69" s="91">
        <f t="shared" si="5"/>
        <v>208.608</v>
      </c>
    </row>
    <row r="70" spans="1:10" s="90" customFormat="1" ht="15.75" customHeight="1">
      <c r="A70" s="100" t="s">
        <v>160</v>
      </c>
      <c r="B70" s="96"/>
      <c r="C70" s="96"/>
      <c r="D70" s="96"/>
      <c r="E70" s="96"/>
      <c r="F70" s="96">
        <v>5</v>
      </c>
      <c r="G70" s="96"/>
      <c r="H70" s="91">
        <f t="shared" si="3"/>
        <v>36.804000000000002</v>
      </c>
      <c r="I70" s="91">
        <f t="shared" si="4"/>
        <v>166.804</v>
      </c>
      <c r="J70" s="91">
        <f t="shared" si="5"/>
        <v>203.608</v>
      </c>
    </row>
    <row r="71" spans="1:10" s="90" customFormat="1" ht="28.5" customHeight="1">
      <c r="A71" s="101" t="s">
        <v>161</v>
      </c>
      <c r="B71" s="96">
        <v>5</v>
      </c>
      <c r="C71" s="96"/>
      <c r="D71" s="96"/>
      <c r="E71" s="96"/>
      <c r="F71" s="96"/>
      <c r="G71" s="96"/>
      <c r="H71" s="91">
        <f t="shared" si="3"/>
        <v>41.804000000000002</v>
      </c>
      <c r="I71" s="91">
        <f t="shared" si="4"/>
        <v>166.804</v>
      </c>
      <c r="J71" s="91">
        <f t="shared" si="5"/>
        <v>208.608</v>
      </c>
    </row>
    <row r="72" spans="1:10" s="90" customFormat="1" ht="15.75" customHeight="1">
      <c r="A72" s="100" t="s">
        <v>162</v>
      </c>
      <c r="B72" s="96">
        <v>1.25</v>
      </c>
      <c r="C72" s="96">
        <v>1.25</v>
      </c>
      <c r="D72" s="96"/>
      <c r="E72" s="96"/>
      <c r="F72" s="96"/>
      <c r="G72" s="96"/>
      <c r="H72" s="91">
        <f t="shared" si="3"/>
        <v>43.054000000000002</v>
      </c>
      <c r="I72" s="91">
        <f t="shared" si="4"/>
        <v>168.054</v>
      </c>
      <c r="J72" s="91">
        <f t="shared" si="5"/>
        <v>211.108</v>
      </c>
    </row>
    <row r="73" spans="1:10" s="90" customFormat="1" ht="15.75" customHeight="1">
      <c r="A73" s="100" t="s">
        <v>164</v>
      </c>
      <c r="B73" s="96">
        <v>8.75</v>
      </c>
      <c r="C73" s="96">
        <v>8.75</v>
      </c>
      <c r="D73" s="96"/>
      <c r="E73" s="96"/>
      <c r="F73" s="96"/>
      <c r="G73" s="96"/>
      <c r="H73" s="91">
        <f t="shared" si="3"/>
        <v>51.804000000000002</v>
      </c>
      <c r="I73" s="91">
        <f t="shared" si="4"/>
        <v>176.804</v>
      </c>
      <c r="J73" s="91">
        <f t="shared" si="5"/>
        <v>228.608</v>
      </c>
    </row>
    <row r="74" spans="1:10" s="90" customFormat="1" ht="15.75" customHeight="1">
      <c r="A74" s="100" t="s">
        <v>165</v>
      </c>
      <c r="B74" s="96"/>
      <c r="C74" s="96"/>
      <c r="D74" s="96"/>
      <c r="E74" s="96"/>
      <c r="F74" s="96"/>
      <c r="G74" s="96">
        <v>1</v>
      </c>
      <c r="H74" s="91">
        <f t="shared" si="3"/>
        <v>51.804000000000002</v>
      </c>
      <c r="I74" s="91">
        <f t="shared" si="4"/>
        <v>176.804</v>
      </c>
      <c r="J74" s="91">
        <f t="shared" si="5"/>
        <v>228.608</v>
      </c>
    </row>
    <row r="75" spans="1:10" s="90" customFormat="1" ht="15.75" customHeight="1">
      <c r="A75" s="100" t="s">
        <v>166</v>
      </c>
      <c r="B75" s="96">
        <v>5</v>
      </c>
      <c r="C75" s="96">
        <v>5</v>
      </c>
      <c r="D75" s="96"/>
      <c r="E75" s="96"/>
      <c r="F75" s="96"/>
      <c r="G75" s="96"/>
      <c r="H75" s="91">
        <f t="shared" si="3"/>
        <v>56.804000000000002</v>
      </c>
      <c r="I75" s="91">
        <f t="shared" si="4"/>
        <v>181.804</v>
      </c>
      <c r="J75" s="91">
        <f t="shared" si="5"/>
        <v>238.608</v>
      </c>
    </row>
    <row r="76" spans="1:10" s="90" customFormat="1" ht="15.75" customHeight="1">
      <c r="A76" s="100" t="s">
        <v>167</v>
      </c>
      <c r="B76" s="96"/>
      <c r="C76" s="96"/>
      <c r="D76" s="96"/>
      <c r="E76" s="96"/>
      <c r="F76" s="96">
        <v>5</v>
      </c>
      <c r="G76" s="96"/>
      <c r="H76" s="91">
        <f t="shared" si="3"/>
        <v>51.804000000000002</v>
      </c>
      <c r="I76" s="91">
        <f t="shared" si="4"/>
        <v>181.804</v>
      </c>
      <c r="J76" s="91">
        <f t="shared" si="5"/>
        <v>233.608</v>
      </c>
    </row>
    <row r="77" spans="1:10" s="90" customFormat="1" ht="27" customHeight="1">
      <c r="A77" s="101" t="s">
        <v>168</v>
      </c>
      <c r="B77" s="96">
        <v>5</v>
      </c>
      <c r="C77" s="96"/>
      <c r="D77" s="96"/>
      <c r="E77" s="96"/>
      <c r="F77" s="96"/>
      <c r="G77" s="96"/>
      <c r="H77" s="91">
        <f t="shared" si="3"/>
        <v>56.804000000000002</v>
      </c>
      <c r="I77" s="91">
        <f t="shared" si="4"/>
        <v>181.804</v>
      </c>
      <c r="J77" s="91">
        <f t="shared" si="5"/>
        <v>238.608</v>
      </c>
    </row>
    <row r="78" spans="1:10" s="90" customFormat="1" ht="15.75" customHeight="1">
      <c r="A78" s="100" t="s">
        <v>169</v>
      </c>
      <c r="B78" s="96"/>
      <c r="C78" s="96"/>
      <c r="D78" s="96"/>
      <c r="E78" s="96"/>
      <c r="F78" s="96"/>
      <c r="G78" s="96">
        <v>1</v>
      </c>
      <c r="H78" s="91">
        <f t="shared" si="3"/>
        <v>56.804000000000002</v>
      </c>
      <c r="I78" s="91">
        <f t="shared" si="4"/>
        <v>181.804</v>
      </c>
      <c r="J78" s="91">
        <f t="shared" si="5"/>
        <v>238.608</v>
      </c>
    </row>
    <row r="79" spans="1:10" s="90" customFormat="1" ht="15.75" customHeight="1">
      <c r="A79" s="100" t="s">
        <v>170</v>
      </c>
      <c r="B79" s="96"/>
      <c r="C79" s="96"/>
      <c r="D79" s="96"/>
      <c r="E79" s="96">
        <v>2</v>
      </c>
      <c r="F79" s="96"/>
      <c r="G79" s="96"/>
      <c r="H79" s="91">
        <f t="shared" si="3"/>
        <v>56.804000000000002</v>
      </c>
      <c r="I79" s="91">
        <f t="shared" si="4"/>
        <v>179.804</v>
      </c>
      <c r="J79" s="91">
        <f t="shared" si="5"/>
        <v>236.608</v>
      </c>
    </row>
    <row r="80" spans="1:10" s="90" customFormat="1" ht="15.75" customHeight="1">
      <c r="A80" s="100" t="s">
        <v>171</v>
      </c>
      <c r="B80" s="96">
        <v>1.25</v>
      </c>
      <c r="C80" s="96">
        <v>1.25</v>
      </c>
      <c r="D80" s="96"/>
      <c r="E80" s="96"/>
      <c r="F80" s="96"/>
      <c r="G80" s="96"/>
      <c r="H80" s="91">
        <f t="shared" si="3"/>
        <v>58.054000000000002</v>
      </c>
      <c r="I80" s="91">
        <f t="shared" si="4"/>
        <v>181.054</v>
      </c>
      <c r="J80" s="91">
        <f t="shared" si="5"/>
        <v>239.108</v>
      </c>
    </row>
    <row r="81" spans="1:10" s="90" customFormat="1" ht="15.75" customHeight="1">
      <c r="A81" s="100" t="s">
        <v>172</v>
      </c>
      <c r="B81" s="96">
        <v>3.75</v>
      </c>
      <c r="C81" s="96">
        <v>3.75</v>
      </c>
      <c r="D81" s="96"/>
      <c r="E81" s="96"/>
      <c r="F81" s="96"/>
      <c r="G81" s="96"/>
      <c r="H81" s="91">
        <f t="shared" ref="H81:H144" si="6">H80-F81-D81+B81</f>
        <v>61.804000000000002</v>
      </c>
      <c r="I81" s="91">
        <f t="shared" ref="I81:I144" si="7">I80-E81+C81</f>
        <v>184.804</v>
      </c>
      <c r="J81" s="91">
        <f t="shared" ref="J81:J144" si="8">SUM(H81:I81)</f>
        <v>246.608</v>
      </c>
    </row>
    <row r="82" spans="1:10" s="90" customFormat="1" ht="15.75" customHeight="1">
      <c r="A82" s="100" t="s">
        <v>173</v>
      </c>
      <c r="B82" s="96"/>
      <c r="C82" s="96"/>
      <c r="D82" s="96"/>
      <c r="E82" s="96"/>
      <c r="F82" s="96">
        <v>4</v>
      </c>
      <c r="G82" s="96"/>
      <c r="H82" s="91">
        <f t="shared" si="6"/>
        <v>57.804000000000002</v>
      </c>
      <c r="I82" s="91">
        <f t="shared" si="7"/>
        <v>184.804</v>
      </c>
      <c r="J82" s="91">
        <f t="shared" si="8"/>
        <v>242.608</v>
      </c>
    </row>
    <row r="83" spans="1:10" s="90" customFormat="1" ht="15.75" customHeight="1">
      <c r="A83" s="100" t="s">
        <v>174</v>
      </c>
      <c r="B83" s="96">
        <v>2.5</v>
      </c>
      <c r="C83" s="96">
        <v>2.5</v>
      </c>
      <c r="D83" s="96"/>
      <c r="E83" s="96"/>
      <c r="F83" s="96"/>
      <c r="G83" s="96"/>
      <c r="H83" s="91">
        <f t="shared" si="6"/>
        <v>60.304000000000002</v>
      </c>
      <c r="I83" s="91">
        <f t="shared" si="7"/>
        <v>187.304</v>
      </c>
      <c r="J83" s="91">
        <f t="shared" si="8"/>
        <v>247.608</v>
      </c>
    </row>
    <row r="84" spans="1:10" s="90" customFormat="1" ht="15.75" customHeight="1">
      <c r="A84" s="102" t="s">
        <v>175</v>
      </c>
      <c r="B84" s="96"/>
      <c r="C84" s="96"/>
      <c r="D84" s="96">
        <v>3</v>
      </c>
      <c r="E84" s="96"/>
      <c r="F84" s="96"/>
      <c r="G84" s="96"/>
      <c r="H84" s="91">
        <f t="shared" si="6"/>
        <v>57.304000000000002</v>
      </c>
      <c r="I84" s="91">
        <f t="shared" si="7"/>
        <v>187.304</v>
      </c>
      <c r="J84" s="91">
        <f t="shared" si="8"/>
        <v>244.608</v>
      </c>
    </row>
    <row r="85" spans="1:10" s="90" customFormat="1" ht="15.75" customHeight="1">
      <c r="A85" s="102" t="s">
        <v>176</v>
      </c>
      <c r="B85" s="96"/>
      <c r="C85" s="96"/>
      <c r="D85" s="96"/>
      <c r="E85" s="96"/>
      <c r="F85" s="96">
        <v>1</v>
      </c>
      <c r="G85" s="96"/>
      <c r="H85" s="91">
        <f t="shared" si="6"/>
        <v>56.304000000000002</v>
      </c>
      <c r="I85" s="91">
        <f t="shared" si="7"/>
        <v>187.304</v>
      </c>
      <c r="J85" s="91">
        <f t="shared" si="8"/>
        <v>243.608</v>
      </c>
    </row>
    <row r="86" spans="1:10" s="90" customFormat="1" ht="15.75" customHeight="1">
      <c r="A86" s="102" t="s">
        <v>177</v>
      </c>
      <c r="B86" s="96">
        <v>5</v>
      </c>
      <c r="C86" s="96">
        <v>5</v>
      </c>
      <c r="D86" s="96"/>
      <c r="E86" s="96"/>
      <c r="F86" s="96"/>
      <c r="G86" s="96"/>
      <c r="H86" s="91">
        <f t="shared" si="6"/>
        <v>61.304000000000002</v>
      </c>
      <c r="I86" s="91">
        <f t="shared" si="7"/>
        <v>192.304</v>
      </c>
      <c r="J86" s="91">
        <f t="shared" si="8"/>
        <v>253.608</v>
      </c>
    </row>
    <row r="87" spans="1:10" s="90" customFormat="1" ht="15.75" customHeight="1">
      <c r="A87" s="102" t="s">
        <v>178</v>
      </c>
      <c r="B87" s="96"/>
      <c r="C87" s="96"/>
      <c r="D87" s="96">
        <v>30</v>
      </c>
      <c r="E87" s="96"/>
      <c r="F87" s="96"/>
      <c r="G87" s="96"/>
      <c r="H87" s="91">
        <f t="shared" si="6"/>
        <v>31.304000000000002</v>
      </c>
      <c r="I87" s="91">
        <f t="shared" si="7"/>
        <v>192.304</v>
      </c>
      <c r="J87" s="91">
        <f t="shared" si="8"/>
        <v>223.608</v>
      </c>
    </row>
    <row r="88" spans="1:10" s="90" customFormat="1" ht="15.75" customHeight="1">
      <c r="A88" s="116" t="s">
        <v>214</v>
      </c>
      <c r="B88" s="96">
        <v>1.125</v>
      </c>
      <c r="C88" s="96">
        <v>1.125</v>
      </c>
      <c r="D88" s="96"/>
      <c r="E88" s="96"/>
      <c r="F88" s="96"/>
      <c r="G88" s="96"/>
      <c r="H88" s="91">
        <f t="shared" si="6"/>
        <v>32.429000000000002</v>
      </c>
      <c r="I88" s="91">
        <f t="shared" si="7"/>
        <v>193.429</v>
      </c>
      <c r="J88" s="91">
        <f t="shared" si="8"/>
        <v>225.858</v>
      </c>
    </row>
    <row r="89" spans="1:10" s="90" customFormat="1" ht="15.75" customHeight="1">
      <c r="A89" s="102" t="s">
        <v>180</v>
      </c>
      <c r="B89" s="96"/>
      <c r="C89" s="96"/>
      <c r="D89" s="96">
        <v>3.5</v>
      </c>
      <c r="E89" s="96"/>
      <c r="F89" s="96"/>
      <c r="G89" s="96"/>
      <c r="H89" s="91">
        <f t="shared" si="6"/>
        <v>28.929000000000002</v>
      </c>
      <c r="I89" s="91">
        <f t="shared" si="7"/>
        <v>193.429</v>
      </c>
      <c r="J89" s="91">
        <f t="shared" si="8"/>
        <v>222.358</v>
      </c>
    </row>
    <row r="90" spans="1:10" s="90" customFormat="1" ht="15.75" customHeight="1">
      <c r="A90" s="116" t="s">
        <v>179</v>
      </c>
      <c r="B90" s="96"/>
      <c r="C90" s="96"/>
      <c r="D90" s="96"/>
      <c r="E90" s="96"/>
      <c r="F90" s="96"/>
      <c r="G90" s="96"/>
      <c r="H90" s="91">
        <f t="shared" si="6"/>
        <v>28.929000000000002</v>
      </c>
      <c r="I90" s="91">
        <f t="shared" si="7"/>
        <v>193.429</v>
      </c>
      <c r="J90" s="91">
        <f t="shared" si="8"/>
        <v>222.358</v>
      </c>
    </row>
    <row r="91" spans="1:10" s="90" customFormat="1" ht="45.75" customHeight="1">
      <c r="A91" s="111" t="s">
        <v>190</v>
      </c>
      <c r="B91" s="96"/>
      <c r="C91" s="96"/>
      <c r="D91" s="96"/>
      <c r="E91" s="96"/>
      <c r="F91" s="96"/>
      <c r="G91" s="96"/>
      <c r="H91" s="91">
        <f t="shared" si="6"/>
        <v>28.929000000000002</v>
      </c>
      <c r="I91" s="91">
        <f t="shared" si="7"/>
        <v>193.429</v>
      </c>
      <c r="J91" s="91">
        <f t="shared" si="8"/>
        <v>222.358</v>
      </c>
    </row>
    <row r="92" spans="1:10" s="90" customFormat="1" ht="17.25" customHeight="1">
      <c r="A92" s="102" t="s">
        <v>52</v>
      </c>
      <c r="B92" s="96">
        <v>0.95799999999999996</v>
      </c>
      <c r="C92" s="96">
        <v>0.95799999999999996</v>
      </c>
      <c r="D92" s="96"/>
      <c r="E92" s="96"/>
      <c r="F92" s="96"/>
      <c r="G92" s="96"/>
      <c r="H92" s="91">
        <f t="shared" si="6"/>
        <v>29.887</v>
      </c>
      <c r="I92" s="91">
        <f t="shared" si="7"/>
        <v>194.387</v>
      </c>
      <c r="J92" s="91">
        <f t="shared" si="8"/>
        <v>224.274</v>
      </c>
    </row>
    <row r="93" spans="1:10" s="90" customFormat="1" ht="12" customHeight="1">
      <c r="A93" s="98" t="s">
        <v>53</v>
      </c>
      <c r="B93" s="96">
        <v>11.25</v>
      </c>
      <c r="C93" s="96">
        <v>11.25</v>
      </c>
      <c r="D93" s="96"/>
      <c r="E93" s="96"/>
      <c r="F93" s="96"/>
      <c r="G93" s="96"/>
      <c r="H93" s="91">
        <f t="shared" si="6"/>
        <v>41.137</v>
      </c>
      <c r="I93" s="91">
        <f t="shared" si="7"/>
        <v>205.637</v>
      </c>
      <c r="J93" s="91">
        <f t="shared" si="8"/>
        <v>246.774</v>
      </c>
    </row>
    <row r="94" spans="1:10" s="90" customFormat="1" ht="12" customHeight="1">
      <c r="A94" s="98" t="s">
        <v>54</v>
      </c>
      <c r="B94" s="96"/>
      <c r="C94" s="96"/>
      <c r="D94" s="96">
        <v>5</v>
      </c>
      <c r="E94" s="96"/>
      <c r="F94" s="96"/>
      <c r="G94" s="96"/>
      <c r="H94" s="91">
        <f t="shared" si="6"/>
        <v>36.137</v>
      </c>
      <c r="I94" s="91">
        <f t="shared" si="7"/>
        <v>205.637</v>
      </c>
      <c r="J94" s="91">
        <f t="shared" si="8"/>
        <v>241.774</v>
      </c>
    </row>
    <row r="95" spans="1:10" s="90" customFormat="1" ht="12" customHeight="1">
      <c r="A95" s="98" t="s">
        <v>56</v>
      </c>
      <c r="B95" s="96"/>
      <c r="C95" s="96"/>
      <c r="D95" s="96"/>
      <c r="E95" s="96"/>
      <c r="F95" s="96">
        <v>2</v>
      </c>
      <c r="G95" s="96"/>
      <c r="H95" s="91">
        <f t="shared" si="6"/>
        <v>34.137</v>
      </c>
      <c r="I95" s="91">
        <f t="shared" si="7"/>
        <v>205.637</v>
      </c>
      <c r="J95" s="91">
        <f t="shared" si="8"/>
        <v>239.774</v>
      </c>
    </row>
    <row r="96" spans="1:10" s="90" customFormat="1" ht="12" customHeight="1">
      <c r="A96" s="98" t="s">
        <v>93</v>
      </c>
      <c r="B96" s="96"/>
      <c r="C96" s="96"/>
      <c r="D96" s="96"/>
      <c r="E96" s="96"/>
      <c r="F96" s="96">
        <v>3</v>
      </c>
      <c r="G96" s="96"/>
      <c r="H96" s="91">
        <f t="shared" si="6"/>
        <v>31.137</v>
      </c>
      <c r="I96" s="91">
        <f t="shared" si="7"/>
        <v>205.637</v>
      </c>
      <c r="J96" s="91">
        <f t="shared" si="8"/>
        <v>236.774</v>
      </c>
    </row>
    <row r="97" spans="1:10" s="90" customFormat="1" ht="12" customHeight="1">
      <c r="A97" s="98" t="s">
        <v>55</v>
      </c>
      <c r="B97" s="96">
        <v>15</v>
      </c>
      <c r="C97" s="96">
        <v>15</v>
      </c>
      <c r="D97" s="96"/>
      <c r="E97" s="96"/>
      <c r="F97" s="96"/>
      <c r="G97" s="96"/>
      <c r="H97" s="91">
        <f t="shared" si="6"/>
        <v>46.137</v>
      </c>
      <c r="I97" s="91">
        <f t="shared" si="7"/>
        <v>220.637</v>
      </c>
      <c r="J97" s="91">
        <f t="shared" si="8"/>
        <v>266.774</v>
      </c>
    </row>
    <row r="98" spans="1:10" s="90" customFormat="1" ht="12" customHeight="1">
      <c r="A98" s="98" t="s">
        <v>57</v>
      </c>
      <c r="B98" s="96"/>
      <c r="C98" s="96"/>
      <c r="D98" s="96">
        <v>29</v>
      </c>
      <c r="E98" s="96"/>
      <c r="F98" s="96"/>
      <c r="G98" s="96"/>
      <c r="H98" s="91">
        <f t="shared" si="6"/>
        <v>17.137</v>
      </c>
      <c r="I98" s="91">
        <f t="shared" si="7"/>
        <v>220.637</v>
      </c>
      <c r="J98" s="91">
        <f t="shared" si="8"/>
        <v>237.774</v>
      </c>
    </row>
    <row r="99" spans="1:10" s="90" customFormat="1" ht="12" customHeight="1">
      <c r="A99" s="98" t="s">
        <v>58</v>
      </c>
      <c r="B99" s="96"/>
      <c r="C99" s="96"/>
      <c r="D99" s="96"/>
      <c r="E99" s="96"/>
      <c r="F99" s="96">
        <v>5</v>
      </c>
      <c r="G99" s="96"/>
      <c r="H99" s="91">
        <f t="shared" si="6"/>
        <v>12.137</v>
      </c>
      <c r="I99" s="91">
        <f t="shared" si="7"/>
        <v>220.637</v>
      </c>
      <c r="J99" s="91">
        <f t="shared" si="8"/>
        <v>232.774</v>
      </c>
    </row>
    <row r="100" spans="1:10" s="90" customFormat="1" ht="12" customHeight="1">
      <c r="A100" s="98" t="s">
        <v>59</v>
      </c>
      <c r="B100" s="96">
        <v>1.25</v>
      </c>
      <c r="C100" s="96">
        <v>1.25</v>
      </c>
      <c r="D100" s="96"/>
      <c r="E100" s="96"/>
      <c r="F100" s="96"/>
      <c r="G100" s="96"/>
      <c r="H100" s="91">
        <f t="shared" si="6"/>
        <v>13.387</v>
      </c>
      <c r="I100" s="91">
        <f t="shared" si="7"/>
        <v>221.887</v>
      </c>
      <c r="J100" s="91">
        <f t="shared" si="8"/>
        <v>235.274</v>
      </c>
    </row>
    <row r="101" spans="1:10" s="90" customFormat="1" ht="12" customHeight="1">
      <c r="A101" s="118" t="s">
        <v>194</v>
      </c>
      <c r="B101" s="96"/>
      <c r="C101" s="96"/>
      <c r="D101" s="96"/>
      <c r="E101" s="96"/>
      <c r="F101" s="96"/>
      <c r="G101" s="96">
        <v>1</v>
      </c>
      <c r="H101" s="91">
        <f t="shared" si="6"/>
        <v>13.387</v>
      </c>
      <c r="I101" s="91">
        <f t="shared" si="7"/>
        <v>221.887</v>
      </c>
      <c r="J101" s="91">
        <f t="shared" si="8"/>
        <v>235.274</v>
      </c>
    </row>
    <row r="102" spans="1:10" s="90" customFormat="1" ht="12" customHeight="1">
      <c r="A102" s="98" t="s">
        <v>12</v>
      </c>
      <c r="B102" s="96">
        <v>2.5</v>
      </c>
      <c r="C102" s="96">
        <v>2.5</v>
      </c>
      <c r="D102" s="96"/>
      <c r="E102" s="96"/>
      <c r="F102" s="96"/>
      <c r="G102" s="96"/>
      <c r="H102" s="91">
        <f t="shared" si="6"/>
        <v>15.887</v>
      </c>
      <c r="I102" s="91">
        <f t="shared" si="7"/>
        <v>224.387</v>
      </c>
      <c r="J102" s="91">
        <f t="shared" si="8"/>
        <v>240.274</v>
      </c>
    </row>
    <row r="103" spans="1:10" s="90" customFormat="1" ht="12" customHeight="1">
      <c r="A103" s="98" t="s">
        <v>13</v>
      </c>
      <c r="B103" s="96"/>
      <c r="C103" s="96"/>
      <c r="D103" s="96"/>
      <c r="E103" s="96">
        <v>2</v>
      </c>
      <c r="F103" s="96"/>
      <c r="G103" s="96"/>
      <c r="H103" s="91">
        <f t="shared" si="6"/>
        <v>15.887</v>
      </c>
      <c r="I103" s="91">
        <f t="shared" si="7"/>
        <v>222.387</v>
      </c>
      <c r="J103" s="91">
        <f t="shared" si="8"/>
        <v>238.274</v>
      </c>
    </row>
    <row r="104" spans="1:10" s="90" customFormat="1" ht="12" customHeight="1">
      <c r="A104" s="98" t="s">
        <v>14</v>
      </c>
      <c r="B104" s="96">
        <v>2.5</v>
      </c>
      <c r="C104" s="96">
        <v>2.5</v>
      </c>
      <c r="D104" s="96"/>
      <c r="E104" s="96"/>
      <c r="F104" s="96"/>
      <c r="G104" s="96"/>
      <c r="H104" s="91">
        <f t="shared" si="6"/>
        <v>18.387</v>
      </c>
      <c r="I104" s="91">
        <f t="shared" si="7"/>
        <v>224.887</v>
      </c>
      <c r="J104" s="91">
        <f t="shared" si="8"/>
        <v>243.274</v>
      </c>
    </row>
    <row r="105" spans="1:10" s="90" customFormat="1" ht="12" customHeight="1">
      <c r="A105" s="98" t="s">
        <v>15</v>
      </c>
      <c r="B105" s="96"/>
      <c r="C105" s="96"/>
      <c r="D105" s="96"/>
      <c r="E105" s="96">
        <v>1</v>
      </c>
      <c r="F105" s="96"/>
      <c r="G105" s="96"/>
      <c r="H105" s="91">
        <f t="shared" si="6"/>
        <v>18.387</v>
      </c>
      <c r="I105" s="91">
        <f t="shared" si="7"/>
        <v>223.887</v>
      </c>
      <c r="J105" s="91">
        <f t="shared" si="8"/>
        <v>242.274</v>
      </c>
    </row>
    <row r="106" spans="1:10" s="90" customFormat="1" ht="12" customHeight="1">
      <c r="A106" s="98" t="s">
        <v>16</v>
      </c>
      <c r="B106" s="96">
        <v>2.5</v>
      </c>
      <c r="C106" s="96">
        <v>2.5</v>
      </c>
      <c r="D106" s="96"/>
      <c r="E106" s="96"/>
      <c r="F106" s="96"/>
      <c r="G106" s="96"/>
      <c r="H106" s="91">
        <f t="shared" si="6"/>
        <v>20.887</v>
      </c>
      <c r="I106" s="91">
        <f t="shared" si="7"/>
        <v>226.387</v>
      </c>
      <c r="J106" s="91">
        <f t="shared" si="8"/>
        <v>247.274</v>
      </c>
    </row>
    <row r="107" spans="1:10" s="90" customFormat="1" ht="12" customHeight="1">
      <c r="A107" s="98" t="s">
        <v>17</v>
      </c>
      <c r="B107" s="96"/>
      <c r="C107" s="96"/>
      <c r="D107" s="96"/>
      <c r="E107" s="96">
        <v>1</v>
      </c>
      <c r="F107" s="96"/>
      <c r="G107" s="96"/>
      <c r="H107" s="91">
        <f t="shared" si="6"/>
        <v>20.887</v>
      </c>
      <c r="I107" s="91">
        <f t="shared" si="7"/>
        <v>225.387</v>
      </c>
      <c r="J107" s="91">
        <f t="shared" si="8"/>
        <v>246.274</v>
      </c>
    </row>
    <row r="108" spans="1:10" s="90" customFormat="1" ht="12" customHeight="1">
      <c r="A108" s="98" t="s">
        <v>18</v>
      </c>
      <c r="B108" s="96"/>
      <c r="C108" s="96"/>
      <c r="D108" s="96"/>
      <c r="E108" s="96">
        <v>1</v>
      </c>
      <c r="F108" s="96"/>
      <c r="G108" s="96"/>
      <c r="H108" s="91">
        <f t="shared" si="6"/>
        <v>20.887</v>
      </c>
      <c r="I108" s="91">
        <f t="shared" si="7"/>
        <v>224.387</v>
      </c>
      <c r="J108" s="91">
        <f t="shared" si="8"/>
        <v>245.274</v>
      </c>
    </row>
    <row r="109" spans="1:10" s="90" customFormat="1" ht="12" customHeight="1">
      <c r="A109" s="98" t="s">
        <v>19</v>
      </c>
      <c r="B109" s="96">
        <v>1.25</v>
      </c>
      <c r="C109" s="96">
        <v>1.25</v>
      </c>
      <c r="D109" s="96"/>
      <c r="E109" s="96"/>
      <c r="F109" s="96"/>
      <c r="G109" s="96"/>
      <c r="H109" s="91">
        <f t="shared" si="6"/>
        <v>22.137</v>
      </c>
      <c r="I109" s="91">
        <f t="shared" si="7"/>
        <v>225.637</v>
      </c>
      <c r="J109" s="91">
        <f t="shared" si="8"/>
        <v>247.774</v>
      </c>
    </row>
    <row r="110" spans="1:10" s="90" customFormat="1" ht="12" customHeight="1">
      <c r="A110" s="98" t="s">
        <v>20</v>
      </c>
      <c r="B110" s="96"/>
      <c r="C110" s="96"/>
      <c r="D110" s="96"/>
      <c r="E110" s="96"/>
      <c r="F110" s="96">
        <v>1</v>
      </c>
      <c r="G110" s="96"/>
      <c r="H110" s="91">
        <f t="shared" si="6"/>
        <v>21.137</v>
      </c>
      <c r="I110" s="91">
        <f t="shared" si="7"/>
        <v>225.637</v>
      </c>
      <c r="J110" s="91">
        <f t="shared" si="8"/>
        <v>246.774</v>
      </c>
    </row>
    <row r="111" spans="1:10" s="90" customFormat="1" ht="12" customHeight="1">
      <c r="A111" s="98" t="s">
        <v>21</v>
      </c>
      <c r="B111" s="96"/>
      <c r="C111" s="96"/>
      <c r="D111" s="96"/>
      <c r="E111" s="96"/>
      <c r="F111" s="96">
        <v>1</v>
      </c>
      <c r="G111" s="96"/>
      <c r="H111" s="91">
        <f t="shared" si="6"/>
        <v>20.137</v>
      </c>
      <c r="I111" s="91">
        <f t="shared" si="7"/>
        <v>225.637</v>
      </c>
      <c r="J111" s="91">
        <f t="shared" si="8"/>
        <v>245.774</v>
      </c>
    </row>
    <row r="112" spans="1:10" s="90" customFormat="1" ht="12" customHeight="1">
      <c r="A112" s="98" t="s">
        <v>22</v>
      </c>
      <c r="B112" s="96"/>
      <c r="C112" s="96"/>
      <c r="D112" s="96">
        <v>10.56</v>
      </c>
      <c r="E112" s="96">
        <v>18.440000000000001</v>
      </c>
      <c r="F112" s="96"/>
      <c r="G112" s="96"/>
      <c r="H112" s="91">
        <f t="shared" si="6"/>
        <v>9.577</v>
      </c>
      <c r="I112" s="91">
        <f t="shared" si="7"/>
        <v>207.197</v>
      </c>
      <c r="J112" s="91">
        <f t="shared" si="8"/>
        <v>216.774</v>
      </c>
    </row>
    <row r="113" spans="1:10" s="90" customFormat="1" ht="12" customHeight="1">
      <c r="A113" s="98" t="s">
        <v>31</v>
      </c>
      <c r="B113" s="96">
        <v>3.75</v>
      </c>
      <c r="C113" s="96">
        <v>3.75</v>
      </c>
      <c r="D113" s="96"/>
      <c r="E113" s="96"/>
      <c r="F113" s="96"/>
      <c r="G113" s="96"/>
      <c r="H113" s="91">
        <f t="shared" si="6"/>
        <v>13.327</v>
      </c>
      <c r="I113" s="91">
        <f t="shared" si="7"/>
        <v>210.947</v>
      </c>
      <c r="J113" s="91">
        <f t="shared" si="8"/>
        <v>224.274</v>
      </c>
    </row>
    <row r="114" spans="1:10" s="90" customFormat="1" ht="12" customHeight="1">
      <c r="A114" s="98" t="s">
        <v>32</v>
      </c>
      <c r="B114" s="96"/>
      <c r="C114" s="96"/>
      <c r="D114" s="96"/>
      <c r="E114" s="96"/>
      <c r="F114" s="96">
        <v>2</v>
      </c>
      <c r="G114" s="96"/>
      <c r="H114" s="91">
        <f t="shared" si="6"/>
        <v>11.327</v>
      </c>
      <c r="I114" s="91">
        <f t="shared" si="7"/>
        <v>210.947</v>
      </c>
      <c r="J114" s="91">
        <f t="shared" si="8"/>
        <v>222.274</v>
      </c>
    </row>
    <row r="115" spans="1:10" s="90" customFormat="1" ht="12" customHeight="1">
      <c r="A115" s="98" t="s">
        <v>33</v>
      </c>
      <c r="B115" s="96"/>
      <c r="C115" s="96"/>
      <c r="D115" s="96"/>
      <c r="E115" s="96"/>
      <c r="F115" s="96"/>
      <c r="G115" s="96">
        <v>1</v>
      </c>
      <c r="H115" s="91">
        <f t="shared" si="6"/>
        <v>11.327</v>
      </c>
      <c r="I115" s="91">
        <f t="shared" si="7"/>
        <v>210.947</v>
      </c>
      <c r="J115" s="91">
        <f t="shared" si="8"/>
        <v>222.274</v>
      </c>
    </row>
    <row r="116" spans="1:10" s="90" customFormat="1" ht="12" customHeight="1">
      <c r="A116" s="98" t="s">
        <v>35</v>
      </c>
      <c r="B116" s="96"/>
      <c r="C116" s="96"/>
      <c r="D116" s="96"/>
      <c r="E116" s="96"/>
      <c r="F116" s="96">
        <v>1</v>
      </c>
      <c r="G116" s="96"/>
      <c r="H116" s="91">
        <f t="shared" si="6"/>
        <v>10.327</v>
      </c>
      <c r="I116" s="91">
        <f t="shared" si="7"/>
        <v>210.947</v>
      </c>
      <c r="J116" s="91">
        <f t="shared" si="8"/>
        <v>221.274</v>
      </c>
    </row>
    <row r="117" spans="1:10" s="90" customFormat="1" ht="33" customHeight="1">
      <c r="A117" s="111" t="s">
        <v>195</v>
      </c>
      <c r="B117" s="96">
        <v>1</v>
      </c>
      <c r="C117" s="96"/>
      <c r="D117" s="96"/>
      <c r="E117" s="96"/>
      <c r="F117" s="96"/>
      <c r="G117" s="96"/>
      <c r="H117" s="91">
        <f t="shared" si="6"/>
        <v>11.327</v>
      </c>
      <c r="I117" s="91">
        <f t="shared" si="7"/>
        <v>210.947</v>
      </c>
      <c r="J117" s="91">
        <f t="shared" si="8"/>
        <v>222.274</v>
      </c>
    </row>
    <row r="118" spans="1:10" s="90" customFormat="1" ht="12" customHeight="1">
      <c r="A118" s="98" t="s">
        <v>49</v>
      </c>
      <c r="B118" s="96">
        <v>1.25</v>
      </c>
      <c r="C118" s="96">
        <v>1.25</v>
      </c>
      <c r="D118" s="96"/>
      <c r="E118" s="96"/>
      <c r="F118" s="96"/>
      <c r="G118" s="96"/>
      <c r="H118" s="91">
        <f t="shared" si="6"/>
        <v>12.577</v>
      </c>
      <c r="I118" s="91">
        <f t="shared" si="7"/>
        <v>212.197</v>
      </c>
      <c r="J118" s="91">
        <f t="shared" si="8"/>
        <v>224.774</v>
      </c>
    </row>
    <row r="119" spans="1:10" s="90" customFormat="1" ht="12" customHeight="1">
      <c r="A119" s="98" t="s">
        <v>50</v>
      </c>
      <c r="B119" s="96">
        <v>5</v>
      </c>
      <c r="C119" s="96">
        <v>5</v>
      </c>
      <c r="D119" s="96"/>
      <c r="E119" s="96"/>
      <c r="F119" s="96"/>
      <c r="G119" s="96"/>
      <c r="H119" s="91">
        <f t="shared" si="6"/>
        <v>17.576999999999998</v>
      </c>
      <c r="I119" s="91">
        <f t="shared" si="7"/>
        <v>217.197</v>
      </c>
      <c r="J119" s="91">
        <f t="shared" si="8"/>
        <v>234.774</v>
      </c>
    </row>
    <row r="120" spans="1:10" s="90" customFormat="1" ht="12" customHeight="1">
      <c r="A120" s="98" t="s">
        <v>68</v>
      </c>
      <c r="B120" s="96">
        <v>5</v>
      </c>
      <c r="C120" s="96">
        <v>5</v>
      </c>
      <c r="D120" s="96"/>
      <c r="E120" s="96"/>
      <c r="F120" s="96"/>
      <c r="G120" s="96"/>
      <c r="H120" s="91">
        <f t="shared" si="6"/>
        <v>22.576999999999998</v>
      </c>
      <c r="I120" s="91">
        <f t="shared" si="7"/>
        <v>222.197</v>
      </c>
      <c r="J120" s="91">
        <f t="shared" si="8"/>
        <v>244.774</v>
      </c>
    </row>
    <row r="121" spans="1:10" s="90" customFormat="1" ht="12" customHeight="1">
      <c r="A121" s="98" t="s">
        <v>69</v>
      </c>
      <c r="B121" s="96"/>
      <c r="C121" s="96"/>
      <c r="D121" s="96">
        <v>15</v>
      </c>
      <c r="E121" s="96">
        <v>14</v>
      </c>
      <c r="F121" s="96"/>
      <c r="G121" s="96"/>
      <c r="H121" s="91">
        <f t="shared" si="6"/>
        <v>7.5769999999999982</v>
      </c>
      <c r="I121" s="91">
        <f t="shared" si="7"/>
        <v>208.197</v>
      </c>
      <c r="J121" s="91">
        <f t="shared" si="8"/>
        <v>215.774</v>
      </c>
    </row>
    <row r="122" spans="1:10" s="90" customFormat="1" ht="12" customHeight="1">
      <c r="A122" s="98" t="s">
        <v>71</v>
      </c>
      <c r="B122" s="96"/>
      <c r="C122" s="96"/>
      <c r="D122" s="96"/>
      <c r="E122" s="96"/>
      <c r="F122" s="96"/>
      <c r="G122" s="96">
        <v>1</v>
      </c>
      <c r="H122" s="91">
        <f t="shared" si="6"/>
        <v>7.5769999999999982</v>
      </c>
      <c r="I122" s="91">
        <f t="shared" si="7"/>
        <v>208.197</v>
      </c>
      <c r="J122" s="91">
        <f t="shared" si="8"/>
        <v>215.774</v>
      </c>
    </row>
    <row r="123" spans="1:10" s="90" customFormat="1" ht="12" customHeight="1">
      <c r="A123" s="98" t="s">
        <v>70</v>
      </c>
      <c r="B123" s="96"/>
      <c r="C123" s="96"/>
      <c r="D123" s="96"/>
      <c r="E123" s="96"/>
      <c r="F123" s="96"/>
      <c r="G123" s="96">
        <v>1</v>
      </c>
      <c r="H123" s="91">
        <f t="shared" si="6"/>
        <v>7.5769999999999982</v>
      </c>
      <c r="I123" s="91">
        <f t="shared" si="7"/>
        <v>208.197</v>
      </c>
      <c r="J123" s="91">
        <f t="shared" si="8"/>
        <v>215.774</v>
      </c>
    </row>
    <row r="124" spans="1:10" s="90" customFormat="1" ht="12" customHeight="1">
      <c r="A124" s="98" t="s">
        <v>73</v>
      </c>
      <c r="B124" s="96"/>
      <c r="C124" s="96"/>
      <c r="D124" s="96"/>
      <c r="E124" s="96"/>
      <c r="F124" s="96">
        <v>1</v>
      </c>
      <c r="G124" s="96"/>
      <c r="H124" s="91">
        <f t="shared" si="6"/>
        <v>6.5769999999999982</v>
      </c>
      <c r="I124" s="91">
        <f t="shared" si="7"/>
        <v>208.197</v>
      </c>
      <c r="J124" s="91">
        <f t="shared" si="8"/>
        <v>214.774</v>
      </c>
    </row>
    <row r="125" spans="1:10" s="90" customFormat="1" ht="12" customHeight="1">
      <c r="A125" s="98" t="s">
        <v>74</v>
      </c>
      <c r="B125" s="96">
        <v>1.25</v>
      </c>
      <c r="C125" s="96">
        <v>1.25</v>
      </c>
      <c r="D125" s="96"/>
      <c r="E125" s="96"/>
      <c r="F125" s="96"/>
      <c r="G125" s="96"/>
      <c r="H125" s="91">
        <f t="shared" si="6"/>
        <v>7.8269999999999982</v>
      </c>
      <c r="I125" s="91">
        <f t="shared" si="7"/>
        <v>209.447</v>
      </c>
      <c r="J125" s="91">
        <f t="shared" si="8"/>
        <v>217.274</v>
      </c>
    </row>
    <row r="126" spans="1:10" s="90" customFormat="1" ht="12" customHeight="1">
      <c r="A126" s="98" t="s">
        <v>80</v>
      </c>
      <c r="B126" s="96"/>
      <c r="C126" s="96"/>
      <c r="D126" s="96"/>
      <c r="E126" s="96"/>
      <c r="F126" s="96"/>
      <c r="G126" s="96">
        <v>1</v>
      </c>
      <c r="H126" s="91">
        <f t="shared" si="6"/>
        <v>7.8269999999999982</v>
      </c>
      <c r="I126" s="91">
        <f t="shared" si="7"/>
        <v>209.447</v>
      </c>
      <c r="J126" s="91">
        <f t="shared" si="8"/>
        <v>217.274</v>
      </c>
    </row>
    <row r="127" spans="1:10" s="90" customFormat="1" ht="12" customHeight="1">
      <c r="A127" s="98" t="s">
        <v>81</v>
      </c>
      <c r="B127" s="96"/>
      <c r="C127" s="96"/>
      <c r="D127" s="96"/>
      <c r="E127" s="96"/>
      <c r="F127" s="96">
        <v>4</v>
      </c>
      <c r="G127" s="96"/>
      <c r="H127" s="91">
        <f t="shared" si="6"/>
        <v>3.8269999999999982</v>
      </c>
      <c r="I127" s="91">
        <f t="shared" si="7"/>
        <v>209.447</v>
      </c>
      <c r="J127" s="91">
        <f t="shared" si="8"/>
        <v>213.274</v>
      </c>
    </row>
    <row r="128" spans="1:10" s="90" customFormat="1" ht="12" customHeight="1">
      <c r="A128" s="110" t="s">
        <v>196</v>
      </c>
      <c r="B128" s="96">
        <v>3.75</v>
      </c>
      <c r="C128" s="96">
        <v>3.75</v>
      </c>
      <c r="D128" s="96"/>
      <c r="E128" s="96"/>
      <c r="F128" s="96"/>
      <c r="G128" s="96"/>
      <c r="H128" s="91">
        <f t="shared" si="6"/>
        <v>7.5769999999999982</v>
      </c>
      <c r="I128" s="91">
        <f t="shared" si="7"/>
        <v>213.197</v>
      </c>
      <c r="J128" s="91">
        <f t="shared" si="8"/>
        <v>220.774</v>
      </c>
    </row>
    <row r="129" spans="1:10" s="90" customFormat="1" ht="12" customHeight="1">
      <c r="A129" s="98" t="s">
        <v>84</v>
      </c>
      <c r="B129" s="96">
        <v>3</v>
      </c>
      <c r="C129" s="96"/>
      <c r="D129" s="96"/>
      <c r="E129" s="96"/>
      <c r="F129" s="96"/>
      <c r="G129" s="96"/>
      <c r="H129" s="91">
        <f t="shared" si="6"/>
        <v>10.576999999999998</v>
      </c>
      <c r="I129" s="91">
        <f t="shared" si="7"/>
        <v>213.197</v>
      </c>
      <c r="J129" s="91">
        <f t="shared" si="8"/>
        <v>223.774</v>
      </c>
    </row>
    <row r="130" spans="1:10" s="90" customFormat="1" ht="12" customHeight="1">
      <c r="A130" s="98" t="s">
        <v>85</v>
      </c>
      <c r="B130" s="96">
        <v>6.25</v>
      </c>
      <c r="C130" s="96">
        <v>6.25</v>
      </c>
      <c r="D130" s="96"/>
      <c r="E130" s="96"/>
      <c r="F130" s="96"/>
      <c r="G130" s="96"/>
      <c r="H130" s="91">
        <f t="shared" si="6"/>
        <v>16.826999999999998</v>
      </c>
      <c r="I130" s="91">
        <f t="shared" si="7"/>
        <v>219.447</v>
      </c>
      <c r="J130" s="91">
        <f t="shared" si="8"/>
        <v>236.274</v>
      </c>
    </row>
    <row r="131" spans="1:10" s="90" customFormat="1" ht="12" customHeight="1">
      <c r="A131" s="98" t="s">
        <v>90</v>
      </c>
      <c r="B131" s="96"/>
      <c r="C131" s="96"/>
      <c r="D131" s="96"/>
      <c r="E131" s="96">
        <v>1</v>
      </c>
      <c r="F131" s="96"/>
      <c r="G131" s="96"/>
      <c r="H131" s="91">
        <f t="shared" si="6"/>
        <v>16.826999999999998</v>
      </c>
      <c r="I131" s="91">
        <f t="shared" si="7"/>
        <v>218.447</v>
      </c>
      <c r="J131" s="91">
        <f t="shared" si="8"/>
        <v>235.274</v>
      </c>
    </row>
    <row r="132" spans="1:10" s="90" customFormat="1" ht="15.75" customHeight="1">
      <c r="A132" s="110" t="s">
        <v>197</v>
      </c>
      <c r="B132" s="96">
        <v>2.5</v>
      </c>
      <c r="C132" s="96">
        <v>2.5</v>
      </c>
      <c r="D132" s="96"/>
      <c r="E132" s="96"/>
      <c r="F132" s="96"/>
      <c r="G132" s="96"/>
      <c r="H132" s="91">
        <f t="shared" si="6"/>
        <v>19.326999999999998</v>
      </c>
      <c r="I132" s="91">
        <f t="shared" si="7"/>
        <v>220.947</v>
      </c>
      <c r="J132" s="91">
        <f t="shared" si="8"/>
        <v>240.274</v>
      </c>
    </row>
    <row r="133" spans="1:10" s="90" customFormat="1" ht="12" customHeight="1">
      <c r="A133" s="98" t="s">
        <v>92</v>
      </c>
      <c r="B133" s="96"/>
      <c r="C133" s="96"/>
      <c r="D133" s="96">
        <v>13.848000000000001</v>
      </c>
      <c r="E133" s="96">
        <v>16.152000000000001</v>
      </c>
      <c r="F133" s="96"/>
      <c r="G133" s="96"/>
      <c r="H133" s="91">
        <f t="shared" si="6"/>
        <v>5.4789999999999974</v>
      </c>
      <c r="I133" s="91">
        <f t="shared" si="7"/>
        <v>204.79500000000002</v>
      </c>
      <c r="J133" s="91">
        <f t="shared" si="8"/>
        <v>210.274</v>
      </c>
    </row>
    <row r="134" spans="1:10" s="90" customFormat="1" ht="12" customHeight="1">
      <c r="A134" s="98" t="s">
        <v>101</v>
      </c>
      <c r="B134" s="96">
        <v>3.75</v>
      </c>
      <c r="C134" s="96">
        <v>3.75</v>
      </c>
      <c r="D134" s="96"/>
      <c r="E134" s="96"/>
      <c r="F134" s="96"/>
      <c r="G134" s="96"/>
      <c r="H134" s="91">
        <f t="shared" si="6"/>
        <v>9.2289999999999974</v>
      </c>
      <c r="I134" s="91">
        <f t="shared" si="7"/>
        <v>208.54500000000002</v>
      </c>
      <c r="J134" s="91">
        <f t="shared" si="8"/>
        <v>217.774</v>
      </c>
    </row>
    <row r="135" spans="1:10" s="90" customFormat="1" ht="12" customHeight="1">
      <c r="A135" s="98" t="s">
        <v>102</v>
      </c>
      <c r="B135" s="96"/>
      <c r="C135" s="96"/>
      <c r="D135" s="96"/>
      <c r="E135" s="96"/>
      <c r="F135" s="96">
        <v>5</v>
      </c>
      <c r="G135" s="96"/>
      <c r="H135" s="91">
        <f t="shared" si="6"/>
        <v>4.2289999999999974</v>
      </c>
      <c r="I135" s="91">
        <f t="shared" si="7"/>
        <v>208.54500000000002</v>
      </c>
      <c r="J135" s="91">
        <f t="shared" si="8"/>
        <v>212.774</v>
      </c>
    </row>
    <row r="136" spans="1:10" s="90" customFormat="1" ht="12" customHeight="1">
      <c r="A136" s="98" t="s">
        <v>103</v>
      </c>
      <c r="B136" s="96"/>
      <c r="C136" s="96"/>
      <c r="D136" s="96"/>
      <c r="E136" s="96">
        <v>1</v>
      </c>
      <c r="F136" s="96"/>
      <c r="G136" s="96"/>
      <c r="H136" s="91">
        <f t="shared" si="6"/>
        <v>4.2289999999999974</v>
      </c>
      <c r="I136" s="91">
        <f t="shared" si="7"/>
        <v>207.54500000000002</v>
      </c>
      <c r="J136" s="91">
        <f t="shared" si="8"/>
        <v>211.774</v>
      </c>
    </row>
    <row r="137" spans="1:10" s="90" customFormat="1" ht="12" customHeight="1">
      <c r="A137" s="98" t="s">
        <v>104</v>
      </c>
      <c r="B137" s="96">
        <v>1.25</v>
      </c>
      <c r="C137" s="96">
        <v>1.25</v>
      </c>
      <c r="D137" s="96"/>
      <c r="E137" s="96"/>
      <c r="F137" s="96"/>
      <c r="G137" s="96"/>
      <c r="H137" s="91">
        <f t="shared" si="6"/>
        <v>5.4789999999999974</v>
      </c>
      <c r="I137" s="91">
        <f t="shared" si="7"/>
        <v>208.79500000000002</v>
      </c>
      <c r="J137" s="91">
        <f t="shared" si="8"/>
        <v>214.274</v>
      </c>
    </row>
    <row r="138" spans="1:10" s="90" customFormat="1" ht="12" customHeight="1">
      <c r="A138" s="98" t="s">
        <v>105</v>
      </c>
      <c r="B138" s="96"/>
      <c r="C138" s="96"/>
      <c r="D138" s="96"/>
      <c r="E138" s="96"/>
      <c r="F138" s="96"/>
      <c r="G138" s="96">
        <v>2</v>
      </c>
      <c r="H138" s="91">
        <f t="shared" si="6"/>
        <v>5.4789999999999974</v>
      </c>
      <c r="I138" s="91">
        <f t="shared" si="7"/>
        <v>208.79500000000002</v>
      </c>
      <c r="J138" s="91">
        <f t="shared" si="8"/>
        <v>214.274</v>
      </c>
    </row>
    <row r="139" spans="1:10" s="90" customFormat="1" ht="12" customHeight="1">
      <c r="A139" s="98" t="s">
        <v>106</v>
      </c>
      <c r="B139" s="96">
        <v>1.25</v>
      </c>
      <c r="C139" s="96">
        <v>1.25</v>
      </c>
      <c r="D139" s="96"/>
      <c r="E139" s="96"/>
      <c r="F139" s="96"/>
      <c r="G139" s="96"/>
      <c r="H139" s="91">
        <f t="shared" si="6"/>
        <v>6.7289999999999974</v>
      </c>
      <c r="I139" s="91">
        <f t="shared" si="7"/>
        <v>210.04500000000002</v>
      </c>
      <c r="J139" s="91">
        <f t="shared" si="8"/>
        <v>216.774</v>
      </c>
    </row>
    <row r="140" spans="1:10" s="90" customFormat="1" ht="12" customHeight="1">
      <c r="A140" s="98" t="s">
        <v>107</v>
      </c>
      <c r="B140" s="96">
        <v>1.25</v>
      </c>
      <c r="C140" s="96">
        <v>1.25</v>
      </c>
      <c r="D140" s="96"/>
      <c r="E140" s="96"/>
      <c r="F140" s="96"/>
      <c r="G140" s="96"/>
      <c r="H140" s="91">
        <f t="shared" si="6"/>
        <v>7.9789999999999974</v>
      </c>
      <c r="I140" s="91">
        <f t="shared" si="7"/>
        <v>211.29500000000002</v>
      </c>
      <c r="J140" s="91">
        <f t="shared" si="8"/>
        <v>219.274</v>
      </c>
    </row>
    <row r="141" spans="1:10" s="90" customFormat="1" ht="12" customHeight="1">
      <c r="A141" s="98" t="s">
        <v>108</v>
      </c>
      <c r="B141" s="96"/>
      <c r="C141" s="96"/>
      <c r="D141" s="96"/>
      <c r="E141" s="96">
        <v>2</v>
      </c>
      <c r="F141" s="96"/>
      <c r="G141" s="96"/>
      <c r="H141" s="91">
        <f t="shared" si="6"/>
        <v>7.9789999999999974</v>
      </c>
      <c r="I141" s="91">
        <f t="shared" si="7"/>
        <v>209.29500000000002</v>
      </c>
      <c r="J141" s="91">
        <f t="shared" si="8"/>
        <v>217.274</v>
      </c>
    </row>
    <row r="142" spans="1:10" s="90" customFormat="1" ht="12" customHeight="1">
      <c r="A142" s="98" t="s">
        <v>112</v>
      </c>
      <c r="B142" s="96">
        <v>2.5</v>
      </c>
      <c r="C142" s="96">
        <v>2.5</v>
      </c>
      <c r="D142" s="96"/>
      <c r="E142" s="96"/>
      <c r="F142" s="96"/>
      <c r="G142" s="96"/>
      <c r="H142" s="91">
        <f t="shared" si="6"/>
        <v>10.478999999999997</v>
      </c>
      <c r="I142" s="91">
        <f t="shared" si="7"/>
        <v>211.79500000000002</v>
      </c>
      <c r="J142" s="91">
        <f t="shared" si="8"/>
        <v>222.274</v>
      </c>
    </row>
    <row r="143" spans="1:10" s="90" customFormat="1" ht="12" customHeight="1">
      <c r="A143" s="98" t="s">
        <v>113</v>
      </c>
      <c r="B143" s="96"/>
      <c r="C143" s="96"/>
      <c r="D143" s="96">
        <v>5</v>
      </c>
      <c r="E143" s="96">
        <v>25</v>
      </c>
      <c r="F143" s="96"/>
      <c r="G143" s="96"/>
      <c r="H143" s="91">
        <f t="shared" si="6"/>
        <v>5.4789999999999974</v>
      </c>
      <c r="I143" s="91">
        <f t="shared" si="7"/>
        <v>186.79500000000002</v>
      </c>
      <c r="J143" s="91">
        <f t="shared" si="8"/>
        <v>192.274</v>
      </c>
    </row>
    <row r="144" spans="1:10" s="90" customFormat="1" ht="12" customHeight="1">
      <c r="A144" s="98" t="s">
        <v>187</v>
      </c>
      <c r="B144" s="96"/>
      <c r="C144" s="96"/>
      <c r="D144" s="96"/>
      <c r="E144" s="96">
        <v>3</v>
      </c>
      <c r="F144" s="96"/>
      <c r="G144" s="96"/>
      <c r="H144" s="91">
        <f t="shared" si="6"/>
        <v>5.4789999999999974</v>
      </c>
      <c r="I144" s="91">
        <f t="shared" si="7"/>
        <v>183.79500000000002</v>
      </c>
      <c r="J144" s="91">
        <f t="shared" si="8"/>
        <v>189.274</v>
      </c>
    </row>
    <row r="145" spans="1:11" customFormat="1">
      <c r="A145" s="103" t="s">
        <v>181</v>
      </c>
      <c r="B145" s="48">
        <v>1.25</v>
      </c>
      <c r="C145" s="48">
        <v>1.25</v>
      </c>
      <c r="D145" s="48"/>
      <c r="E145" s="48"/>
      <c r="F145" s="48"/>
      <c r="G145" s="48"/>
      <c r="H145" s="91">
        <f t="shared" ref="H145:H147" si="9">H144-F145-D145+B145</f>
        <v>6.7289999999999974</v>
      </c>
      <c r="I145" s="91">
        <f t="shared" ref="I145:I147" si="10">I144-E145+C145</f>
        <v>185.04500000000002</v>
      </c>
      <c r="J145" s="91">
        <f t="shared" ref="J145:J147" si="11">SUM(H145:I145)</f>
        <v>191.774</v>
      </c>
      <c r="K145" s="2"/>
    </row>
    <row r="146" spans="1:11" customFormat="1">
      <c r="A146" s="103" t="s">
        <v>182</v>
      </c>
      <c r="B146" s="48"/>
      <c r="C146" s="48"/>
      <c r="D146" s="48"/>
      <c r="E146" s="48">
        <v>1</v>
      </c>
      <c r="F146" s="48"/>
      <c r="G146" s="48"/>
      <c r="H146" s="91">
        <f t="shared" si="9"/>
        <v>6.7289999999999974</v>
      </c>
      <c r="I146" s="91">
        <f t="shared" si="10"/>
        <v>184.04500000000002</v>
      </c>
      <c r="J146" s="91">
        <f t="shared" si="11"/>
        <v>190.774</v>
      </c>
      <c r="K146" s="2"/>
    </row>
    <row r="147" spans="1:11" customFormat="1">
      <c r="A147" s="119" t="s">
        <v>212</v>
      </c>
      <c r="B147" s="48">
        <v>1.25</v>
      </c>
      <c r="C147" s="48">
        <v>1.25</v>
      </c>
      <c r="D147" s="48"/>
      <c r="E147" s="48"/>
      <c r="F147" s="48"/>
      <c r="G147" s="48"/>
      <c r="H147" s="91">
        <f t="shared" si="9"/>
        <v>7.9789999999999974</v>
      </c>
      <c r="I147" s="91">
        <f t="shared" si="10"/>
        <v>185.29500000000002</v>
      </c>
      <c r="J147" s="91">
        <f t="shared" si="11"/>
        <v>193.274</v>
      </c>
      <c r="K147" s="2"/>
    </row>
    <row r="148" spans="1:11" customFormat="1">
      <c r="A148" s="115" t="s">
        <v>200</v>
      </c>
      <c r="B148" s="48"/>
      <c r="C148" s="48"/>
      <c r="D148" s="48"/>
      <c r="E148" s="48"/>
      <c r="F148" s="48"/>
      <c r="G148" s="48">
        <v>3</v>
      </c>
      <c r="H148" s="91">
        <f t="shared" ref="H148:H149" si="12">H147-F148-D148+B148</f>
        <v>7.9789999999999974</v>
      </c>
      <c r="I148" s="91">
        <f t="shared" ref="I148:I149" si="13">I147-E148+C148</f>
        <v>185.29500000000002</v>
      </c>
      <c r="J148" s="91">
        <f t="shared" ref="J148:J149" si="14">SUM(H148:I148)</f>
        <v>193.274</v>
      </c>
      <c r="K148" s="2"/>
    </row>
    <row r="149" spans="1:11" customFormat="1" ht="15.75" thickBot="1">
      <c r="A149" s="120" t="s">
        <v>213</v>
      </c>
      <c r="B149" s="112">
        <v>1.25</v>
      </c>
      <c r="C149" s="112">
        <v>1.25</v>
      </c>
      <c r="D149" s="112"/>
      <c r="E149" s="112"/>
      <c r="F149" s="112"/>
      <c r="G149" s="112"/>
      <c r="H149" s="121">
        <f t="shared" si="12"/>
        <v>9.2289999999999974</v>
      </c>
      <c r="I149" s="121">
        <f t="shared" si="13"/>
        <v>186.54500000000002</v>
      </c>
      <c r="J149" s="121">
        <f t="shared" si="14"/>
        <v>195.774</v>
      </c>
      <c r="K149" s="2"/>
    </row>
    <row r="150" spans="1:11" customFormat="1" ht="16.5" thickBot="1">
      <c r="A150" s="160" t="s">
        <v>191</v>
      </c>
      <c r="B150" s="161"/>
      <c r="C150" s="161"/>
      <c r="D150" s="161"/>
      <c r="E150" s="161"/>
      <c r="F150" s="161"/>
      <c r="G150" s="161"/>
      <c r="H150" s="161"/>
      <c r="I150" s="161"/>
      <c r="J150" s="162"/>
      <c r="K150" s="2"/>
    </row>
    <row r="154" spans="1:11" s="90" customFormat="1">
      <c r="A154" s="87"/>
      <c r="B154" s="87"/>
      <c r="C154" s="87"/>
      <c r="D154" s="87"/>
      <c r="E154" s="87"/>
      <c r="F154" s="94" t="s">
        <v>114</v>
      </c>
      <c r="G154" s="94"/>
      <c r="H154" s="87"/>
      <c r="I154" s="87"/>
      <c r="J154" s="87"/>
    </row>
  </sheetData>
  <mergeCells count="14">
    <mergeCell ref="K11:K12"/>
    <mergeCell ref="A10:J10"/>
    <mergeCell ref="A11:A12"/>
    <mergeCell ref="B11:C11"/>
    <mergeCell ref="D11:G11"/>
    <mergeCell ref="H11:I11"/>
    <mergeCell ref="J11:J12"/>
    <mergeCell ref="A150:J150"/>
    <mergeCell ref="B9:D9"/>
    <mergeCell ref="A2:J2"/>
    <mergeCell ref="A3:J3"/>
    <mergeCell ref="A4:J4"/>
    <mergeCell ref="A5:J5"/>
    <mergeCell ref="B7:D7"/>
  </mergeCells>
  <printOptions horizontalCentered="1"/>
  <pageMargins left="0.23622047244094491" right="0.23622047244094491" top="0.59055118110236227" bottom="0.59055118110236227" header="0.31496062992125984" footer="0.31496062992125984"/>
  <pageSetup paperSize="14" scale="73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62DF9-7CF4-4773-A697-F61E4D71D954}">
  <sheetPr>
    <pageSetUpPr fitToPage="1"/>
  </sheetPr>
  <dimension ref="A1:K178"/>
  <sheetViews>
    <sheetView view="pageBreakPreview" topLeftCell="A132" zoomScale="118" zoomScaleNormal="29" zoomScaleSheetLayoutView="118" workbookViewId="0">
      <selection activeCell="M143" sqref="M143"/>
    </sheetView>
  </sheetViews>
  <sheetFormatPr defaultRowHeight="15"/>
  <cols>
    <col min="1" max="1" width="37.28515625" style="124" customWidth="1"/>
    <col min="2" max="2" width="8.5703125" style="145" customWidth="1"/>
    <col min="3" max="3" width="7.5703125" style="145" customWidth="1"/>
    <col min="4" max="5" width="7.42578125" style="145" customWidth="1"/>
    <col min="6" max="6" width="7.28515625" style="124" customWidth="1"/>
    <col min="7" max="7" width="6.85546875" style="145" customWidth="1"/>
    <col min="8" max="8" width="8.85546875" style="145" customWidth="1"/>
    <col min="9" max="9" width="10.28515625" style="145" customWidth="1"/>
    <col min="10" max="10" width="9" style="145" customWidth="1"/>
    <col min="11" max="16384" width="9.140625" style="124"/>
  </cols>
  <sheetData>
    <row r="1" spans="1:11">
      <c r="A1" s="194" t="s">
        <v>215</v>
      </c>
      <c r="B1" s="194"/>
      <c r="C1" s="194"/>
      <c r="D1" s="194"/>
      <c r="E1" s="194"/>
      <c r="F1" s="194"/>
      <c r="G1" s="194"/>
      <c r="H1" s="194"/>
      <c r="I1" s="194"/>
      <c r="J1" s="194"/>
    </row>
    <row r="2" spans="1:11">
      <c r="A2" s="194" t="s">
        <v>216</v>
      </c>
      <c r="B2" s="194"/>
      <c r="C2" s="194"/>
      <c r="D2" s="194"/>
      <c r="E2" s="194"/>
      <c r="F2" s="194"/>
      <c r="G2" s="194"/>
      <c r="H2" s="194"/>
      <c r="I2" s="194"/>
      <c r="J2" s="194"/>
    </row>
    <row r="3" spans="1:11">
      <c r="A3" s="194" t="s">
        <v>217</v>
      </c>
      <c r="B3" s="194"/>
      <c r="C3" s="194"/>
      <c r="D3" s="194"/>
      <c r="E3" s="194"/>
      <c r="F3" s="194"/>
      <c r="G3" s="194"/>
      <c r="H3" s="194"/>
      <c r="I3" s="194"/>
      <c r="J3" s="194"/>
    </row>
    <row r="4" spans="1:11">
      <c r="A4" s="123"/>
      <c r="B4" s="123"/>
      <c r="C4" s="123"/>
      <c r="D4" s="123"/>
      <c r="E4" s="123"/>
      <c r="F4" s="123"/>
      <c r="G4" s="123"/>
      <c r="H4" s="123"/>
      <c r="I4" s="123"/>
      <c r="J4" s="123"/>
    </row>
    <row r="5" spans="1:11" ht="8.1" customHeight="1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4" t="s">
        <v>218</v>
      </c>
    </row>
    <row r="6" spans="1:11">
      <c r="A6" s="154" t="s">
        <v>234</v>
      </c>
      <c r="B6" s="123"/>
      <c r="C6" s="123"/>
      <c r="D6" s="123"/>
      <c r="E6" s="123"/>
      <c r="F6" s="123"/>
      <c r="G6" s="123"/>
      <c r="H6" s="123"/>
      <c r="I6" s="123"/>
      <c r="J6" s="123"/>
    </row>
    <row r="7" spans="1:11" ht="15.75" thickBot="1">
      <c r="A7" s="154" t="s">
        <v>219</v>
      </c>
      <c r="B7" s="123"/>
      <c r="C7" s="123"/>
      <c r="D7" s="123"/>
      <c r="E7" s="123"/>
      <c r="F7" s="123"/>
      <c r="G7" s="123"/>
      <c r="H7" s="123"/>
      <c r="I7" s="123"/>
      <c r="J7" s="123"/>
    </row>
    <row r="8" spans="1:11" ht="15.95" customHeight="1">
      <c r="A8" s="179"/>
      <c r="B8" s="195" t="s">
        <v>4</v>
      </c>
      <c r="C8" s="195"/>
      <c r="D8" s="196" t="s">
        <v>5</v>
      </c>
      <c r="E8" s="196"/>
      <c r="F8" s="196"/>
      <c r="G8" s="196"/>
      <c r="H8" s="197" t="s">
        <v>6</v>
      </c>
      <c r="I8" s="197"/>
      <c r="J8" s="198" t="s">
        <v>7</v>
      </c>
    </row>
    <row r="9" spans="1:11" ht="15.95" customHeight="1">
      <c r="A9" s="180"/>
      <c r="B9" s="184" t="s">
        <v>220</v>
      </c>
      <c r="C9" s="184" t="s">
        <v>221</v>
      </c>
      <c r="D9" s="183" t="s">
        <v>222</v>
      </c>
      <c r="E9" s="183"/>
      <c r="F9" s="183" t="s">
        <v>221</v>
      </c>
      <c r="G9" s="183"/>
      <c r="H9" s="184" t="s">
        <v>222</v>
      </c>
      <c r="I9" s="184" t="s">
        <v>221</v>
      </c>
      <c r="J9" s="199"/>
    </row>
    <row r="10" spans="1:11" ht="15.95" customHeight="1" thickBot="1">
      <c r="A10" s="181"/>
      <c r="B10" s="185"/>
      <c r="C10" s="185"/>
      <c r="D10" s="152"/>
      <c r="E10" s="152" t="s">
        <v>223</v>
      </c>
      <c r="F10" s="153"/>
      <c r="G10" s="152" t="s">
        <v>223</v>
      </c>
      <c r="H10" s="185"/>
      <c r="I10" s="185"/>
      <c r="J10" s="200"/>
    </row>
    <row r="11" spans="1:11" ht="27.75" customHeight="1">
      <c r="A11" s="125" t="s">
        <v>236</v>
      </c>
      <c r="B11" s="126">
        <v>1.304</v>
      </c>
      <c r="C11" s="126">
        <v>1.304</v>
      </c>
      <c r="D11" s="149"/>
      <c r="E11" s="149"/>
      <c r="F11" s="149"/>
      <c r="G11" s="150"/>
      <c r="H11" s="151">
        <f>B11</f>
        <v>1.304</v>
      </c>
      <c r="I11" s="151">
        <f>C11</f>
        <v>1.304</v>
      </c>
      <c r="J11" s="151">
        <f>SUM(H11:I11)</f>
        <v>2.6080000000000001</v>
      </c>
    </row>
    <row r="12" spans="1:11" ht="15.95" customHeight="1">
      <c r="A12" s="129" t="s">
        <v>118</v>
      </c>
      <c r="B12" s="130">
        <v>10</v>
      </c>
      <c r="C12" s="130">
        <v>10</v>
      </c>
      <c r="D12" s="127"/>
      <c r="E12" s="127"/>
      <c r="F12" s="127"/>
      <c r="G12" s="128"/>
      <c r="H12" s="131">
        <f>H11-E12-D12+B12</f>
        <v>11.304</v>
      </c>
      <c r="I12" s="131">
        <f>I11-G12-F12+C12</f>
        <v>11.304</v>
      </c>
      <c r="J12" s="131">
        <f t="shared" ref="J12" si="0">SUM(H12:I12)</f>
        <v>22.608000000000001</v>
      </c>
    </row>
    <row r="13" spans="1:11" ht="15.95" customHeight="1">
      <c r="A13" s="129" t="s">
        <v>119</v>
      </c>
      <c r="B13" s="130"/>
      <c r="C13" s="130"/>
      <c r="D13" s="127"/>
      <c r="E13" s="127"/>
      <c r="F13" s="127">
        <v>5</v>
      </c>
      <c r="G13" s="128"/>
      <c r="H13" s="131">
        <f t="shared" ref="H13:H59" si="1">H12-E13-D13+B13</f>
        <v>11.304</v>
      </c>
      <c r="I13" s="131">
        <f t="shared" ref="I13:I59" si="2">I12-G13-F13+C13</f>
        <v>6.3040000000000003</v>
      </c>
      <c r="J13" s="131">
        <f t="shared" ref="J13:J59" si="3">SUM(H13:I13)</f>
        <v>17.608000000000001</v>
      </c>
    </row>
    <row r="14" spans="1:11" ht="15.95" customHeight="1">
      <c r="A14" s="129" t="s">
        <v>120</v>
      </c>
      <c r="B14" s="130">
        <v>1.25</v>
      </c>
      <c r="C14" s="130">
        <v>1.25</v>
      </c>
      <c r="D14" s="127"/>
      <c r="E14" s="127"/>
      <c r="F14" s="127"/>
      <c r="G14" s="128"/>
      <c r="H14" s="131">
        <f t="shared" si="1"/>
        <v>12.554</v>
      </c>
      <c r="I14" s="131">
        <f t="shared" si="2"/>
        <v>7.5540000000000003</v>
      </c>
      <c r="J14" s="131">
        <f t="shared" si="3"/>
        <v>20.108000000000001</v>
      </c>
    </row>
    <row r="15" spans="1:11" ht="15.95" customHeight="1">
      <c r="A15" s="129" t="s">
        <v>201</v>
      </c>
      <c r="B15" s="130"/>
      <c r="C15" s="130"/>
      <c r="D15" s="127">
        <v>5</v>
      </c>
      <c r="E15" s="127"/>
      <c r="F15" s="127"/>
      <c r="G15" s="128"/>
      <c r="H15" s="131">
        <f t="shared" si="1"/>
        <v>7.5540000000000003</v>
      </c>
      <c r="I15" s="131">
        <f t="shared" si="2"/>
        <v>7.5540000000000003</v>
      </c>
      <c r="J15" s="131">
        <f t="shared" si="3"/>
        <v>15.108000000000001</v>
      </c>
    </row>
    <row r="16" spans="1:11" ht="15.95" customHeight="1">
      <c r="A16" s="129" t="s">
        <v>121</v>
      </c>
      <c r="B16" s="130">
        <v>1.25</v>
      </c>
      <c r="C16" s="130">
        <v>1.25</v>
      </c>
      <c r="D16" s="127"/>
      <c r="E16" s="127"/>
      <c r="F16" s="127"/>
      <c r="G16" s="128"/>
      <c r="H16" s="131">
        <f t="shared" si="1"/>
        <v>8.8040000000000003</v>
      </c>
      <c r="I16" s="131">
        <f t="shared" si="2"/>
        <v>8.8040000000000003</v>
      </c>
      <c r="J16" s="131">
        <f t="shared" si="3"/>
        <v>17.608000000000001</v>
      </c>
    </row>
    <row r="17" spans="1:10" ht="15.95" customHeight="1">
      <c r="A17" s="129" t="s">
        <v>192</v>
      </c>
      <c r="B17" s="130"/>
      <c r="C17" s="130"/>
      <c r="D17" s="127"/>
      <c r="E17" s="127"/>
      <c r="F17" s="127">
        <v>3.5</v>
      </c>
      <c r="G17" s="128"/>
      <c r="H17" s="131">
        <f t="shared" si="1"/>
        <v>8.8040000000000003</v>
      </c>
      <c r="I17" s="131">
        <f t="shared" si="2"/>
        <v>5.3040000000000003</v>
      </c>
      <c r="J17" s="131">
        <f t="shared" si="3"/>
        <v>14.108000000000001</v>
      </c>
    </row>
    <row r="18" spans="1:10" ht="15.95" customHeight="1">
      <c r="A18" s="129" t="s">
        <v>122</v>
      </c>
      <c r="B18" s="130">
        <v>5</v>
      </c>
      <c r="C18" s="130">
        <v>5</v>
      </c>
      <c r="D18" s="127"/>
      <c r="E18" s="127"/>
      <c r="F18" s="127"/>
      <c r="G18" s="128"/>
      <c r="H18" s="131">
        <f t="shared" si="1"/>
        <v>13.804</v>
      </c>
      <c r="I18" s="131">
        <f t="shared" si="2"/>
        <v>10.304</v>
      </c>
      <c r="J18" s="131">
        <f t="shared" si="3"/>
        <v>24.108000000000001</v>
      </c>
    </row>
    <row r="19" spans="1:10" ht="15.95" customHeight="1">
      <c r="A19" s="129" t="s">
        <v>193</v>
      </c>
      <c r="B19" s="130"/>
      <c r="C19" s="130"/>
      <c r="D19" s="127"/>
      <c r="E19" s="127"/>
      <c r="F19" s="127">
        <v>2</v>
      </c>
      <c r="G19" s="128"/>
      <c r="H19" s="131">
        <f t="shared" si="1"/>
        <v>13.804</v>
      </c>
      <c r="I19" s="131">
        <f t="shared" si="2"/>
        <v>8.3040000000000003</v>
      </c>
      <c r="J19" s="131">
        <f t="shared" si="3"/>
        <v>22.108000000000001</v>
      </c>
    </row>
    <row r="20" spans="1:10" ht="15.95" customHeight="1">
      <c r="A20" s="129" t="s">
        <v>124</v>
      </c>
      <c r="B20" s="130">
        <v>3.75</v>
      </c>
      <c r="C20" s="130">
        <v>3.75</v>
      </c>
      <c r="D20" s="127"/>
      <c r="E20" s="127"/>
      <c r="F20" s="127"/>
      <c r="G20" s="128"/>
      <c r="H20" s="131">
        <f t="shared" si="1"/>
        <v>17.554000000000002</v>
      </c>
      <c r="I20" s="131">
        <f t="shared" si="2"/>
        <v>12.054</v>
      </c>
      <c r="J20" s="131">
        <f t="shared" si="3"/>
        <v>29.608000000000004</v>
      </c>
    </row>
    <row r="21" spans="1:10" ht="15.95" customHeight="1">
      <c r="A21" s="129" t="s">
        <v>123</v>
      </c>
      <c r="B21" s="130"/>
      <c r="C21" s="130"/>
      <c r="D21" s="127"/>
      <c r="E21" s="127"/>
      <c r="F21" s="127">
        <v>1</v>
      </c>
      <c r="G21" s="128"/>
      <c r="H21" s="131">
        <f t="shared" si="1"/>
        <v>17.554000000000002</v>
      </c>
      <c r="I21" s="131">
        <f t="shared" si="2"/>
        <v>11.054</v>
      </c>
      <c r="J21" s="131">
        <f t="shared" si="3"/>
        <v>28.608000000000004</v>
      </c>
    </row>
    <row r="22" spans="1:10" ht="15.95" customHeight="1">
      <c r="A22" s="132" t="s">
        <v>125</v>
      </c>
      <c r="B22" s="130">
        <v>3.75</v>
      </c>
      <c r="C22" s="130">
        <v>3.75</v>
      </c>
      <c r="D22" s="127"/>
      <c r="E22" s="127"/>
      <c r="F22" s="127"/>
      <c r="G22" s="128"/>
      <c r="H22" s="131">
        <f t="shared" si="1"/>
        <v>21.304000000000002</v>
      </c>
      <c r="I22" s="131">
        <f t="shared" si="2"/>
        <v>14.804</v>
      </c>
      <c r="J22" s="131">
        <f t="shared" si="3"/>
        <v>36.108000000000004</v>
      </c>
    </row>
    <row r="23" spans="1:10" ht="15.95" customHeight="1">
      <c r="A23" s="129" t="s">
        <v>126</v>
      </c>
      <c r="B23" s="130"/>
      <c r="C23" s="130"/>
      <c r="D23" s="127"/>
      <c r="E23" s="127"/>
      <c r="F23" s="127">
        <v>2</v>
      </c>
      <c r="G23" s="128"/>
      <c r="H23" s="131">
        <f t="shared" si="1"/>
        <v>21.304000000000002</v>
      </c>
      <c r="I23" s="131">
        <f t="shared" si="2"/>
        <v>12.804</v>
      </c>
      <c r="J23" s="131">
        <f t="shared" si="3"/>
        <v>34.108000000000004</v>
      </c>
    </row>
    <row r="24" spans="1:10" ht="15.95" customHeight="1">
      <c r="A24" s="129" t="s">
        <v>127</v>
      </c>
      <c r="B24" s="130">
        <v>1.25</v>
      </c>
      <c r="C24" s="130">
        <v>1.25</v>
      </c>
      <c r="D24" s="127"/>
      <c r="E24" s="127"/>
      <c r="F24" s="127"/>
      <c r="G24" s="127"/>
      <c r="H24" s="131">
        <f t="shared" si="1"/>
        <v>22.554000000000002</v>
      </c>
      <c r="I24" s="131">
        <f t="shared" si="2"/>
        <v>14.054</v>
      </c>
      <c r="J24" s="131">
        <f t="shared" si="3"/>
        <v>36.608000000000004</v>
      </c>
    </row>
    <row r="25" spans="1:10" ht="15.95" customHeight="1">
      <c r="A25" s="132" t="s">
        <v>202</v>
      </c>
      <c r="B25" s="130"/>
      <c r="C25" s="130"/>
      <c r="D25" s="127">
        <v>5</v>
      </c>
      <c r="E25" s="127"/>
      <c r="F25" s="127"/>
      <c r="G25" s="128"/>
      <c r="H25" s="131">
        <f t="shared" si="1"/>
        <v>17.554000000000002</v>
      </c>
      <c r="I25" s="131">
        <f t="shared" si="2"/>
        <v>14.054</v>
      </c>
      <c r="J25" s="131">
        <f t="shared" si="3"/>
        <v>31.608000000000004</v>
      </c>
    </row>
    <row r="26" spans="1:10" ht="15.95" customHeight="1">
      <c r="A26" s="129" t="s">
        <v>129</v>
      </c>
      <c r="B26" s="130">
        <v>1.25</v>
      </c>
      <c r="C26" s="130">
        <v>1.25</v>
      </c>
      <c r="D26" s="127"/>
      <c r="E26" s="127"/>
      <c r="F26" s="127"/>
      <c r="G26" s="128"/>
      <c r="H26" s="131">
        <f t="shared" si="1"/>
        <v>18.804000000000002</v>
      </c>
      <c r="I26" s="131">
        <f t="shared" si="2"/>
        <v>15.304</v>
      </c>
      <c r="J26" s="131">
        <f t="shared" si="3"/>
        <v>34.108000000000004</v>
      </c>
    </row>
    <row r="27" spans="1:10" ht="15.95" customHeight="1">
      <c r="A27" s="129" t="s">
        <v>130</v>
      </c>
      <c r="B27" s="130"/>
      <c r="C27" s="130"/>
      <c r="D27" s="127"/>
      <c r="E27" s="127"/>
      <c r="F27" s="127">
        <v>1</v>
      </c>
      <c r="G27" s="128"/>
      <c r="H27" s="131">
        <f t="shared" si="1"/>
        <v>18.804000000000002</v>
      </c>
      <c r="I27" s="131">
        <f t="shared" si="2"/>
        <v>14.304</v>
      </c>
      <c r="J27" s="131">
        <f t="shared" si="3"/>
        <v>33.108000000000004</v>
      </c>
    </row>
    <row r="28" spans="1:10" ht="15.95" customHeight="1">
      <c r="A28" s="129" t="s">
        <v>131</v>
      </c>
      <c r="B28" s="130">
        <v>2.5</v>
      </c>
      <c r="C28" s="130">
        <v>2.5</v>
      </c>
      <c r="D28" s="127"/>
      <c r="E28" s="127"/>
      <c r="F28" s="127"/>
      <c r="G28" s="128"/>
      <c r="H28" s="131">
        <f t="shared" si="1"/>
        <v>21.304000000000002</v>
      </c>
      <c r="I28" s="131">
        <f t="shared" si="2"/>
        <v>16.804000000000002</v>
      </c>
      <c r="J28" s="131">
        <f t="shared" si="3"/>
        <v>38.108000000000004</v>
      </c>
    </row>
    <row r="29" spans="1:10" ht="15.95" customHeight="1">
      <c r="A29" s="129" t="s">
        <v>128</v>
      </c>
      <c r="B29" s="130"/>
      <c r="C29" s="130"/>
      <c r="D29" s="127"/>
      <c r="E29" s="127"/>
      <c r="F29" s="127">
        <v>1</v>
      </c>
      <c r="G29" s="128"/>
      <c r="H29" s="131">
        <f t="shared" si="1"/>
        <v>21.304000000000002</v>
      </c>
      <c r="I29" s="131">
        <f t="shared" si="2"/>
        <v>15.804000000000002</v>
      </c>
      <c r="J29" s="131">
        <f t="shared" si="3"/>
        <v>37.108000000000004</v>
      </c>
    </row>
    <row r="30" spans="1:10" ht="15.95" customHeight="1">
      <c r="A30" s="132" t="s">
        <v>132</v>
      </c>
      <c r="B30" s="130">
        <v>1.25</v>
      </c>
      <c r="C30" s="130">
        <v>1.25</v>
      </c>
      <c r="D30" s="133"/>
      <c r="E30" s="134"/>
      <c r="F30" s="133"/>
      <c r="G30" s="128"/>
      <c r="H30" s="131">
        <f t="shared" si="1"/>
        <v>22.554000000000002</v>
      </c>
      <c r="I30" s="131">
        <f t="shared" si="2"/>
        <v>17.054000000000002</v>
      </c>
      <c r="J30" s="131">
        <f t="shared" si="3"/>
        <v>39.608000000000004</v>
      </c>
    </row>
    <row r="31" spans="1:10" ht="15.95" customHeight="1">
      <c r="A31" s="129" t="s">
        <v>133</v>
      </c>
      <c r="B31" s="130"/>
      <c r="C31" s="130"/>
      <c r="D31" s="135"/>
      <c r="E31" s="135"/>
      <c r="F31" s="135">
        <v>3</v>
      </c>
      <c r="G31" s="128"/>
      <c r="H31" s="131">
        <f t="shared" si="1"/>
        <v>22.554000000000002</v>
      </c>
      <c r="I31" s="131">
        <f t="shared" si="2"/>
        <v>14.054000000000002</v>
      </c>
      <c r="J31" s="131">
        <f t="shared" si="3"/>
        <v>36.608000000000004</v>
      </c>
    </row>
    <row r="32" spans="1:10" ht="15.95" customHeight="1">
      <c r="A32" s="136" t="s">
        <v>134</v>
      </c>
      <c r="B32" s="130">
        <v>10</v>
      </c>
      <c r="C32" s="130">
        <v>10</v>
      </c>
      <c r="D32" s="135"/>
      <c r="E32" s="135"/>
      <c r="F32" s="135"/>
      <c r="G32" s="128"/>
      <c r="H32" s="131">
        <f t="shared" si="1"/>
        <v>32.554000000000002</v>
      </c>
      <c r="I32" s="131">
        <f t="shared" si="2"/>
        <v>24.054000000000002</v>
      </c>
      <c r="J32" s="131">
        <f t="shared" si="3"/>
        <v>56.608000000000004</v>
      </c>
    </row>
    <row r="33" spans="1:10" ht="15.95" customHeight="1">
      <c r="A33" s="129" t="s">
        <v>203</v>
      </c>
      <c r="B33" s="130"/>
      <c r="C33" s="130"/>
      <c r="D33" s="135">
        <v>5</v>
      </c>
      <c r="E33" s="135"/>
      <c r="F33" s="135"/>
      <c r="G33" s="128"/>
      <c r="H33" s="131">
        <f t="shared" si="1"/>
        <v>27.554000000000002</v>
      </c>
      <c r="I33" s="131">
        <f t="shared" si="2"/>
        <v>24.054000000000002</v>
      </c>
      <c r="J33" s="131">
        <f t="shared" si="3"/>
        <v>51.608000000000004</v>
      </c>
    </row>
    <row r="34" spans="1:10" ht="15.95" customHeight="1">
      <c r="A34" s="129" t="s">
        <v>135</v>
      </c>
      <c r="B34" s="130">
        <v>2.5</v>
      </c>
      <c r="C34" s="130">
        <v>2.5</v>
      </c>
      <c r="D34" s="135"/>
      <c r="E34" s="135"/>
      <c r="F34" s="135"/>
      <c r="G34" s="128"/>
      <c r="H34" s="131">
        <f t="shared" si="1"/>
        <v>30.054000000000002</v>
      </c>
      <c r="I34" s="131">
        <f t="shared" si="2"/>
        <v>26.554000000000002</v>
      </c>
      <c r="J34" s="131">
        <f t="shared" si="3"/>
        <v>56.608000000000004</v>
      </c>
    </row>
    <row r="35" spans="1:10" ht="15.95" customHeight="1">
      <c r="A35" s="129" t="s">
        <v>136</v>
      </c>
      <c r="B35" s="130"/>
      <c r="C35" s="130"/>
      <c r="D35" s="135">
        <v>1</v>
      </c>
      <c r="E35" s="135"/>
      <c r="F35" s="135"/>
      <c r="G35" s="128"/>
      <c r="H35" s="131">
        <f t="shared" si="1"/>
        <v>29.054000000000002</v>
      </c>
      <c r="I35" s="131">
        <f t="shared" si="2"/>
        <v>26.554000000000002</v>
      </c>
      <c r="J35" s="131">
        <f t="shared" si="3"/>
        <v>55.608000000000004</v>
      </c>
    </row>
    <row r="36" spans="1:10" ht="15.95" customHeight="1">
      <c r="A36" s="136" t="s">
        <v>137</v>
      </c>
      <c r="B36" s="130">
        <v>12.5</v>
      </c>
      <c r="C36" s="130">
        <v>12.5</v>
      </c>
      <c r="D36" s="135"/>
      <c r="E36" s="135"/>
      <c r="F36" s="135"/>
      <c r="G36" s="128"/>
      <c r="H36" s="131">
        <f t="shared" si="1"/>
        <v>41.554000000000002</v>
      </c>
      <c r="I36" s="131">
        <f t="shared" si="2"/>
        <v>39.054000000000002</v>
      </c>
      <c r="J36" s="131">
        <f t="shared" si="3"/>
        <v>80.608000000000004</v>
      </c>
    </row>
    <row r="37" spans="1:10" ht="15.95" customHeight="1">
      <c r="A37" s="129" t="s">
        <v>204</v>
      </c>
      <c r="B37" s="130"/>
      <c r="C37" s="130"/>
      <c r="D37" s="135">
        <v>5</v>
      </c>
      <c r="E37" s="135"/>
      <c r="F37" s="135"/>
      <c r="G37" s="128"/>
      <c r="H37" s="131">
        <f t="shared" si="1"/>
        <v>36.554000000000002</v>
      </c>
      <c r="I37" s="131">
        <f t="shared" si="2"/>
        <v>39.054000000000002</v>
      </c>
      <c r="J37" s="131">
        <f t="shared" si="3"/>
        <v>75.608000000000004</v>
      </c>
    </row>
    <row r="38" spans="1:10" ht="15.95" customHeight="1">
      <c r="A38" s="129" t="s">
        <v>138</v>
      </c>
      <c r="B38" s="130">
        <v>15</v>
      </c>
      <c r="C38" s="130">
        <v>15</v>
      </c>
      <c r="D38" s="135"/>
      <c r="E38" s="135"/>
      <c r="F38" s="135"/>
      <c r="G38" s="127"/>
      <c r="H38" s="131">
        <f t="shared" si="1"/>
        <v>51.554000000000002</v>
      </c>
      <c r="I38" s="131">
        <f t="shared" si="2"/>
        <v>54.054000000000002</v>
      </c>
      <c r="J38" s="131">
        <f t="shared" si="3"/>
        <v>105.608</v>
      </c>
    </row>
    <row r="39" spans="1:10" ht="15.95" customHeight="1">
      <c r="A39" s="129" t="s">
        <v>205</v>
      </c>
      <c r="B39" s="130"/>
      <c r="C39" s="130"/>
      <c r="D39" s="135">
        <v>5</v>
      </c>
      <c r="E39" s="135"/>
      <c r="F39" s="135"/>
      <c r="G39" s="128"/>
      <c r="H39" s="131">
        <f t="shared" si="1"/>
        <v>46.554000000000002</v>
      </c>
      <c r="I39" s="131">
        <f t="shared" si="2"/>
        <v>54.054000000000002</v>
      </c>
      <c r="J39" s="131">
        <f t="shared" si="3"/>
        <v>100.608</v>
      </c>
    </row>
    <row r="40" spans="1:10" ht="15.95" customHeight="1">
      <c r="A40" s="129" t="s">
        <v>139</v>
      </c>
      <c r="B40" s="130">
        <v>15</v>
      </c>
      <c r="C40" s="130">
        <v>15</v>
      </c>
      <c r="D40" s="135"/>
      <c r="E40" s="135"/>
      <c r="F40" s="135"/>
      <c r="G40" s="128"/>
      <c r="H40" s="131">
        <f t="shared" si="1"/>
        <v>61.554000000000002</v>
      </c>
      <c r="I40" s="131">
        <f t="shared" si="2"/>
        <v>69.054000000000002</v>
      </c>
      <c r="J40" s="131">
        <f t="shared" si="3"/>
        <v>130.608</v>
      </c>
    </row>
    <row r="41" spans="1:10" ht="15.95" customHeight="1">
      <c r="A41" s="129" t="s">
        <v>206</v>
      </c>
      <c r="B41" s="130"/>
      <c r="C41" s="130"/>
      <c r="D41" s="135">
        <v>5</v>
      </c>
      <c r="E41" s="135"/>
      <c r="F41" s="135"/>
      <c r="G41" s="137"/>
      <c r="H41" s="131">
        <f t="shared" si="1"/>
        <v>56.554000000000002</v>
      </c>
      <c r="I41" s="131">
        <f t="shared" si="2"/>
        <v>69.054000000000002</v>
      </c>
      <c r="J41" s="131">
        <f t="shared" si="3"/>
        <v>125.608</v>
      </c>
    </row>
    <row r="42" spans="1:10" ht="15.95" customHeight="1">
      <c r="A42" s="129" t="s">
        <v>140</v>
      </c>
      <c r="B42" s="135">
        <v>15</v>
      </c>
      <c r="C42" s="135">
        <v>15</v>
      </c>
      <c r="D42" s="135"/>
      <c r="E42" s="135"/>
      <c r="F42" s="135"/>
      <c r="G42" s="137"/>
      <c r="H42" s="131">
        <f t="shared" si="1"/>
        <v>71.554000000000002</v>
      </c>
      <c r="I42" s="131">
        <f t="shared" si="2"/>
        <v>84.054000000000002</v>
      </c>
      <c r="J42" s="131">
        <f t="shared" si="3"/>
        <v>155.608</v>
      </c>
    </row>
    <row r="43" spans="1:10" ht="29.25" customHeight="1">
      <c r="A43" s="125" t="s">
        <v>207</v>
      </c>
      <c r="B43" s="130"/>
      <c r="C43" s="130"/>
      <c r="D43" s="135">
        <v>5</v>
      </c>
      <c r="E43" s="135"/>
      <c r="F43" s="135"/>
      <c r="G43" s="137"/>
      <c r="H43" s="131">
        <f t="shared" si="1"/>
        <v>66.554000000000002</v>
      </c>
      <c r="I43" s="131">
        <f t="shared" si="2"/>
        <v>84.054000000000002</v>
      </c>
      <c r="J43" s="131">
        <f t="shared" si="3"/>
        <v>150.608</v>
      </c>
    </row>
    <row r="44" spans="1:10" ht="15" customHeight="1">
      <c r="A44" s="129" t="s">
        <v>141</v>
      </c>
      <c r="B44" s="139">
        <v>15</v>
      </c>
      <c r="C44" s="139">
        <v>15</v>
      </c>
      <c r="D44" s="135"/>
      <c r="E44" s="135"/>
      <c r="F44" s="135"/>
      <c r="G44" s="137"/>
      <c r="H44" s="131">
        <f t="shared" si="1"/>
        <v>81.554000000000002</v>
      </c>
      <c r="I44" s="131">
        <f t="shared" si="2"/>
        <v>99.054000000000002</v>
      </c>
      <c r="J44" s="131">
        <f t="shared" si="3"/>
        <v>180.608</v>
      </c>
    </row>
    <row r="45" spans="1:10" ht="15.95" customHeight="1">
      <c r="A45" s="129" t="s">
        <v>208</v>
      </c>
      <c r="B45" s="139"/>
      <c r="C45" s="139"/>
      <c r="D45" s="135">
        <v>5</v>
      </c>
      <c r="E45" s="135"/>
      <c r="F45" s="135"/>
      <c r="G45" s="137"/>
      <c r="H45" s="131">
        <f t="shared" si="1"/>
        <v>76.554000000000002</v>
      </c>
      <c r="I45" s="131">
        <f t="shared" si="2"/>
        <v>99.054000000000002</v>
      </c>
      <c r="J45" s="131">
        <f t="shared" si="3"/>
        <v>175.608</v>
      </c>
    </row>
    <row r="46" spans="1:10" ht="15" customHeight="1">
      <c r="A46" s="129" t="s">
        <v>142</v>
      </c>
      <c r="B46" s="130"/>
      <c r="C46" s="130"/>
      <c r="D46" s="135"/>
      <c r="E46" s="135">
        <v>10</v>
      </c>
      <c r="F46" s="135"/>
      <c r="G46" s="137"/>
      <c r="H46" s="131">
        <f t="shared" si="1"/>
        <v>66.554000000000002</v>
      </c>
      <c r="I46" s="131">
        <f t="shared" si="2"/>
        <v>99.054000000000002</v>
      </c>
      <c r="J46" s="131">
        <f t="shared" si="3"/>
        <v>165.608</v>
      </c>
    </row>
    <row r="47" spans="1:10" ht="15.95" customHeight="1">
      <c r="A47" s="129" t="s">
        <v>143</v>
      </c>
      <c r="B47" s="130">
        <v>15</v>
      </c>
      <c r="C47" s="130">
        <v>15</v>
      </c>
      <c r="D47" s="135"/>
      <c r="E47" s="135"/>
      <c r="F47" s="135"/>
      <c r="G47" s="137"/>
      <c r="H47" s="131">
        <f t="shared" si="1"/>
        <v>81.554000000000002</v>
      </c>
      <c r="I47" s="131">
        <f t="shared" si="2"/>
        <v>114.054</v>
      </c>
      <c r="J47" s="131">
        <f t="shared" si="3"/>
        <v>195.608</v>
      </c>
    </row>
    <row r="48" spans="1:10" ht="15.95" customHeight="1">
      <c r="A48" s="129" t="s">
        <v>144</v>
      </c>
      <c r="B48" s="130"/>
      <c r="C48" s="130"/>
      <c r="D48" s="135"/>
      <c r="E48" s="135">
        <v>7.5</v>
      </c>
      <c r="F48" s="135"/>
      <c r="G48" s="137"/>
      <c r="H48" s="131">
        <f t="shared" si="1"/>
        <v>74.054000000000002</v>
      </c>
      <c r="I48" s="131">
        <f t="shared" si="2"/>
        <v>114.054</v>
      </c>
      <c r="J48" s="131">
        <f t="shared" si="3"/>
        <v>188.108</v>
      </c>
    </row>
    <row r="49" spans="1:10" ht="15.95" customHeight="1">
      <c r="A49" s="140" t="s">
        <v>209</v>
      </c>
      <c r="B49" s="141"/>
      <c r="C49" s="141"/>
      <c r="D49" s="135">
        <v>5</v>
      </c>
      <c r="E49" s="135"/>
      <c r="F49" s="135"/>
      <c r="G49" s="137"/>
      <c r="H49" s="131">
        <f t="shared" si="1"/>
        <v>69.054000000000002</v>
      </c>
      <c r="I49" s="131">
        <f t="shared" si="2"/>
        <v>114.054</v>
      </c>
      <c r="J49" s="131">
        <f t="shared" si="3"/>
        <v>183.108</v>
      </c>
    </row>
    <row r="50" spans="1:10" ht="15.95" customHeight="1">
      <c r="A50" s="129" t="s">
        <v>145</v>
      </c>
      <c r="B50" s="141">
        <v>15</v>
      </c>
      <c r="C50" s="141">
        <v>15</v>
      </c>
      <c r="D50" s="135"/>
      <c r="E50" s="135"/>
      <c r="F50" s="135"/>
      <c r="G50" s="137"/>
      <c r="H50" s="131">
        <f t="shared" si="1"/>
        <v>84.054000000000002</v>
      </c>
      <c r="I50" s="131">
        <f t="shared" si="2"/>
        <v>129.054</v>
      </c>
      <c r="J50" s="131">
        <f t="shared" si="3"/>
        <v>213.108</v>
      </c>
    </row>
    <row r="51" spans="1:10" ht="15.95" customHeight="1">
      <c r="A51" s="129" t="s">
        <v>146</v>
      </c>
      <c r="B51" s="141"/>
      <c r="C51" s="141"/>
      <c r="D51" s="135"/>
      <c r="E51" s="135">
        <v>10</v>
      </c>
      <c r="F51" s="135"/>
      <c r="G51" s="137"/>
      <c r="H51" s="131">
        <f t="shared" si="1"/>
        <v>74.054000000000002</v>
      </c>
      <c r="I51" s="131">
        <f t="shared" si="2"/>
        <v>129.054</v>
      </c>
      <c r="J51" s="131">
        <f t="shared" si="3"/>
        <v>203.108</v>
      </c>
    </row>
    <row r="52" spans="1:10" ht="15.95" customHeight="1">
      <c r="A52" s="129" t="s">
        <v>210</v>
      </c>
      <c r="B52" s="130"/>
      <c r="C52" s="130"/>
      <c r="D52" s="135">
        <v>5</v>
      </c>
      <c r="E52" s="135"/>
      <c r="F52" s="135"/>
      <c r="G52" s="137"/>
      <c r="H52" s="131">
        <f t="shared" si="1"/>
        <v>69.054000000000002</v>
      </c>
      <c r="I52" s="131">
        <f t="shared" si="2"/>
        <v>129.054</v>
      </c>
      <c r="J52" s="131">
        <f t="shared" si="3"/>
        <v>198.108</v>
      </c>
    </row>
    <row r="53" spans="1:10" ht="15.95" customHeight="1">
      <c r="A53" s="129" t="s">
        <v>147</v>
      </c>
      <c r="B53" s="130">
        <v>15</v>
      </c>
      <c r="C53" s="130">
        <v>15</v>
      </c>
      <c r="D53" s="135"/>
      <c r="E53" s="135"/>
      <c r="F53" s="135"/>
      <c r="G53" s="137"/>
      <c r="H53" s="131">
        <f t="shared" si="1"/>
        <v>84.054000000000002</v>
      </c>
      <c r="I53" s="131">
        <f t="shared" si="2"/>
        <v>144.054</v>
      </c>
      <c r="J53" s="131">
        <f t="shared" si="3"/>
        <v>228.108</v>
      </c>
    </row>
    <row r="54" spans="1:10" ht="15.95" customHeight="1">
      <c r="A54" s="129" t="s">
        <v>211</v>
      </c>
      <c r="B54" s="130"/>
      <c r="C54" s="130"/>
      <c r="D54" s="135">
        <v>5</v>
      </c>
      <c r="E54" s="135"/>
      <c r="F54" s="135"/>
      <c r="G54" s="137"/>
      <c r="H54" s="131">
        <f t="shared" si="1"/>
        <v>79.054000000000002</v>
      </c>
      <c r="I54" s="131">
        <f t="shared" si="2"/>
        <v>144.054</v>
      </c>
      <c r="J54" s="131">
        <f t="shared" si="3"/>
        <v>223.108</v>
      </c>
    </row>
    <row r="55" spans="1:10" ht="15.95" customHeight="1">
      <c r="A55" s="129" t="s">
        <v>148</v>
      </c>
      <c r="B55" s="130">
        <v>1.25</v>
      </c>
      <c r="C55" s="130">
        <v>1.25</v>
      </c>
      <c r="D55" s="135"/>
      <c r="E55" s="135"/>
      <c r="F55" s="135"/>
      <c r="G55" s="137"/>
      <c r="H55" s="131">
        <f t="shared" si="1"/>
        <v>80.304000000000002</v>
      </c>
      <c r="I55" s="131">
        <f t="shared" si="2"/>
        <v>145.304</v>
      </c>
      <c r="J55" s="131">
        <f t="shared" si="3"/>
        <v>225.608</v>
      </c>
    </row>
    <row r="56" spans="1:10" ht="15.95" customHeight="1">
      <c r="A56" s="129" t="s">
        <v>149</v>
      </c>
      <c r="B56" s="130"/>
      <c r="C56" s="130"/>
      <c r="D56" s="135"/>
      <c r="E56" s="135">
        <v>6</v>
      </c>
      <c r="F56" s="135"/>
      <c r="G56" s="137"/>
      <c r="H56" s="131">
        <f t="shared" si="1"/>
        <v>74.304000000000002</v>
      </c>
      <c r="I56" s="131">
        <f t="shared" si="2"/>
        <v>145.304</v>
      </c>
      <c r="J56" s="131">
        <f t="shared" si="3"/>
        <v>219.608</v>
      </c>
    </row>
    <row r="57" spans="1:10" ht="15.95" customHeight="1">
      <c r="A57" s="129" t="s">
        <v>150</v>
      </c>
      <c r="B57" s="130">
        <v>12.5</v>
      </c>
      <c r="C57" s="130">
        <v>12.5</v>
      </c>
      <c r="D57" s="135"/>
      <c r="E57" s="135"/>
      <c r="F57" s="135"/>
      <c r="G57" s="137"/>
      <c r="H57" s="131">
        <f t="shared" si="1"/>
        <v>86.804000000000002</v>
      </c>
      <c r="I57" s="131">
        <f t="shared" si="2"/>
        <v>157.804</v>
      </c>
      <c r="J57" s="131">
        <f t="shared" si="3"/>
        <v>244.608</v>
      </c>
    </row>
    <row r="58" spans="1:10" ht="15.95" customHeight="1">
      <c r="A58" s="129" t="s">
        <v>151</v>
      </c>
      <c r="B58" s="130"/>
      <c r="C58" s="130"/>
      <c r="D58" s="135">
        <v>5</v>
      </c>
      <c r="E58" s="135"/>
      <c r="F58" s="135"/>
      <c r="G58" s="137"/>
      <c r="H58" s="131">
        <f t="shared" si="1"/>
        <v>81.804000000000002</v>
      </c>
      <c r="I58" s="131">
        <f t="shared" si="2"/>
        <v>157.804</v>
      </c>
      <c r="J58" s="131">
        <f t="shared" si="3"/>
        <v>239.608</v>
      </c>
    </row>
    <row r="59" spans="1:10" ht="29.25" customHeight="1">
      <c r="A59" s="142" t="s">
        <v>152</v>
      </c>
      <c r="B59" s="130">
        <v>5</v>
      </c>
      <c r="C59" s="130"/>
      <c r="D59" s="135"/>
      <c r="E59" s="135"/>
      <c r="F59" s="135"/>
      <c r="G59" s="137"/>
      <c r="H59" s="131">
        <f t="shared" si="1"/>
        <v>86.804000000000002</v>
      </c>
      <c r="I59" s="131">
        <f t="shared" si="2"/>
        <v>157.804</v>
      </c>
      <c r="J59" s="131">
        <f t="shared" si="3"/>
        <v>244.608</v>
      </c>
    </row>
    <row r="60" spans="1:10" ht="15.95" customHeight="1">
      <c r="A60" s="129" t="s">
        <v>155</v>
      </c>
      <c r="B60" s="130"/>
      <c r="C60" s="130"/>
      <c r="D60" s="135"/>
      <c r="E60" s="135">
        <v>30</v>
      </c>
      <c r="F60" s="135"/>
      <c r="G60" s="137"/>
      <c r="H60" s="131">
        <f t="shared" ref="H60:H64" si="4">H59-E60-D60+B60</f>
        <v>56.804000000000002</v>
      </c>
      <c r="I60" s="131">
        <f t="shared" ref="I60:I64" si="5">I59-G60-F60+C60</f>
        <v>157.804</v>
      </c>
      <c r="J60" s="131">
        <f t="shared" ref="J60:J64" si="6">SUM(H60:I60)</f>
        <v>214.608</v>
      </c>
    </row>
    <row r="61" spans="1:10" ht="15.95" customHeight="1">
      <c r="A61" s="129" t="s">
        <v>154</v>
      </c>
      <c r="B61" s="130">
        <v>1.25</v>
      </c>
      <c r="C61" s="130">
        <v>1.25</v>
      </c>
      <c r="D61" s="135"/>
      <c r="E61" s="135"/>
      <c r="F61" s="135"/>
      <c r="G61" s="137"/>
      <c r="H61" s="131">
        <f t="shared" si="4"/>
        <v>58.054000000000002</v>
      </c>
      <c r="I61" s="131">
        <f t="shared" si="5"/>
        <v>159.054</v>
      </c>
      <c r="J61" s="131">
        <f t="shared" si="6"/>
        <v>217.108</v>
      </c>
    </row>
    <row r="62" spans="1:10" ht="15.95" customHeight="1">
      <c r="A62" s="129" t="s">
        <v>156</v>
      </c>
      <c r="B62" s="135">
        <v>1.25</v>
      </c>
      <c r="C62" s="135">
        <v>1.25</v>
      </c>
      <c r="D62" s="135"/>
      <c r="E62" s="135"/>
      <c r="F62" s="135"/>
      <c r="G62" s="137"/>
      <c r="H62" s="131">
        <f t="shared" si="4"/>
        <v>59.304000000000002</v>
      </c>
      <c r="I62" s="131">
        <f t="shared" si="5"/>
        <v>160.304</v>
      </c>
      <c r="J62" s="131">
        <f t="shared" si="6"/>
        <v>219.608</v>
      </c>
    </row>
    <row r="63" spans="1:10" ht="15.95" customHeight="1">
      <c r="A63" s="129" t="s">
        <v>157</v>
      </c>
      <c r="B63" s="138"/>
      <c r="C63" s="138"/>
      <c r="D63" s="135"/>
      <c r="E63" s="135"/>
      <c r="F63" s="135">
        <v>6</v>
      </c>
      <c r="G63" s="137"/>
      <c r="H63" s="131">
        <f t="shared" si="4"/>
        <v>59.304000000000002</v>
      </c>
      <c r="I63" s="131">
        <f t="shared" si="5"/>
        <v>154.304</v>
      </c>
      <c r="J63" s="131">
        <f t="shared" si="6"/>
        <v>213.608</v>
      </c>
    </row>
    <row r="64" spans="1:10" ht="15.95" customHeight="1">
      <c r="A64" s="156" t="s">
        <v>237</v>
      </c>
      <c r="B64" s="130">
        <v>12.5</v>
      </c>
      <c r="C64" s="130">
        <v>12.5</v>
      </c>
      <c r="D64" s="135"/>
      <c r="E64" s="135"/>
      <c r="F64" s="135"/>
      <c r="G64" s="137"/>
      <c r="H64" s="131">
        <f t="shared" si="4"/>
        <v>71.804000000000002</v>
      </c>
      <c r="I64" s="131">
        <f t="shared" si="5"/>
        <v>166.804</v>
      </c>
      <c r="J64" s="131">
        <f t="shared" si="6"/>
        <v>238.608</v>
      </c>
    </row>
    <row r="65" spans="1:10" ht="15.95" customHeight="1">
      <c r="A65" s="129" t="s">
        <v>163</v>
      </c>
      <c r="B65" s="130"/>
      <c r="C65" s="130"/>
      <c r="D65" s="135"/>
      <c r="E65" s="135">
        <v>30</v>
      </c>
      <c r="F65" s="135"/>
      <c r="G65" s="137"/>
      <c r="H65" s="131">
        <f t="shared" ref="H65:H69" si="7">H64-E65-D65+B65</f>
        <v>41.804000000000002</v>
      </c>
      <c r="I65" s="131">
        <f t="shared" ref="I65:I69" si="8">I64-G65-F65+C65</f>
        <v>166.804</v>
      </c>
      <c r="J65" s="131">
        <f t="shared" ref="J65:J69" si="9">SUM(H65:I65)</f>
        <v>208.608</v>
      </c>
    </row>
    <row r="66" spans="1:10" ht="15.95" customHeight="1">
      <c r="A66" s="157" t="s">
        <v>160</v>
      </c>
      <c r="B66" s="130"/>
      <c r="C66" s="130"/>
      <c r="D66" s="135">
        <v>5</v>
      </c>
      <c r="E66" s="135"/>
      <c r="F66" s="135"/>
      <c r="G66" s="137"/>
      <c r="H66" s="131">
        <f t="shared" si="7"/>
        <v>36.804000000000002</v>
      </c>
      <c r="I66" s="131">
        <f t="shared" si="8"/>
        <v>166.804</v>
      </c>
      <c r="J66" s="131">
        <f t="shared" si="9"/>
        <v>203.608</v>
      </c>
    </row>
    <row r="67" spans="1:10" ht="30.75" customHeight="1">
      <c r="A67" s="142" t="s">
        <v>161</v>
      </c>
      <c r="B67" s="130">
        <v>5</v>
      </c>
      <c r="C67" s="130"/>
      <c r="D67" s="135"/>
      <c r="E67" s="135"/>
      <c r="F67" s="135"/>
      <c r="G67" s="137"/>
      <c r="H67" s="131">
        <f t="shared" si="7"/>
        <v>41.804000000000002</v>
      </c>
      <c r="I67" s="131">
        <f t="shared" si="8"/>
        <v>166.804</v>
      </c>
      <c r="J67" s="131">
        <f t="shared" si="9"/>
        <v>208.608</v>
      </c>
    </row>
    <row r="68" spans="1:10" ht="15.95" customHeight="1">
      <c r="A68" s="129" t="s">
        <v>162</v>
      </c>
      <c r="B68" s="130">
        <v>1.25</v>
      </c>
      <c r="C68" s="130">
        <v>1.25</v>
      </c>
      <c r="D68" s="135"/>
      <c r="E68" s="135"/>
      <c r="F68" s="135"/>
      <c r="G68" s="137"/>
      <c r="H68" s="131">
        <f t="shared" si="7"/>
        <v>43.054000000000002</v>
      </c>
      <c r="I68" s="131">
        <f t="shared" si="8"/>
        <v>168.054</v>
      </c>
      <c r="J68" s="131">
        <f t="shared" si="9"/>
        <v>211.108</v>
      </c>
    </row>
    <row r="69" spans="1:10" ht="15.95" customHeight="1">
      <c r="A69" s="129" t="s">
        <v>164</v>
      </c>
      <c r="B69" s="130">
        <v>8.75</v>
      </c>
      <c r="C69" s="130">
        <v>8.75</v>
      </c>
      <c r="D69" s="135"/>
      <c r="E69" s="135"/>
      <c r="F69" s="135"/>
      <c r="G69" s="137"/>
      <c r="H69" s="131">
        <f t="shared" si="7"/>
        <v>51.804000000000002</v>
      </c>
      <c r="I69" s="131">
        <f t="shared" si="8"/>
        <v>176.804</v>
      </c>
      <c r="J69" s="131">
        <f t="shared" si="9"/>
        <v>228.608</v>
      </c>
    </row>
    <row r="70" spans="1:10" ht="17.25" customHeight="1">
      <c r="A70" s="129" t="s">
        <v>166</v>
      </c>
      <c r="B70" s="130">
        <v>5</v>
      </c>
      <c r="C70" s="130">
        <v>5</v>
      </c>
      <c r="D70" s="135"/>
      <c r="E70" s="135"/>
      <c r="F70" s="135"/>
      <c r="G70" s="137"/>
      <c r="H70" s="131">
        <f t="shared" ref="H70:H86" si="10">H69-E70-D70+B70</f>
        <v>56.804000000000002</v>
      </c>
      <c r="I70" s="131">
        <f t="shared" ref="I70:I86" si="11">I69-G70-F70+C70</f>
        <v>181.804</v>
      </c>
      <c r="J70" s="131">
        <f t="shared" ref="J70:J86" si="12">SUM(H70:I70)</f>
        <v>238.608</v>
      </c>
    </row>
    <row r="71" spans="1:10" ht="15.95" customHeight="1">
      <c r="A71" s="129" t="s">
        <v>167</v>
      </c>
      <c r="B71" s="130"/>
      <c r="C71" s="130"/>
      <c r="D71" s="135">
        <v>5</v>
      </c>
      <c r="E71" s="135"/>
      <c r="F71" s="135"/>
      <c r="G71" s="137"/>
      <c r="H71" s="131">
        <f t="shared" si="10"/>
        <v>51.804000000000002</v>
      </c>
      <c r="I71" s="131">
        <f t="shared" si="11"/>
        <v>181.804</v>
      </c>
      <c r="J71" s="131">
        <f t="shared" si="12"/>
        <v>233.608</v>
      </c>
    </row>
    <row r="72" spans="1:10" ht="30" customHeight="1">
      <c r="A72" s="142" t="s">
        <v>168</v>
      </c>
      <c r="B72" s="130">
        <v>5</v>
      </c>
      <c r="C72" s="130"/>
      <c r="D72" s="135"/>
      <c r="E72" s="135"/>
      <c r="F72" s="135"/>
      <c r="G72" s="137"/>
      <c r="H72" s="131">
        <f t="shared" si="10"/>
        <v>56.804000000000002</v>
      </c>
      <c r="I72" s="131">
        <f t="shared" si="11"/>
        <v>181.804</v>
      </c>
      <c r="J72" s="131">
        <f t="shared" si="12"/>
        <v>238.608</v>
      </c>
    </row>
    <row r="73" spans="1:10" ht="15.95" customHeight="1">
      <c r="A73" s="129" t="s">
        <v>170</v>
      </c>
      <c r="B73" s="130"/>
      <c r="C73" s="130"/>
      <c r="D73" s="135"/>
      <c r="E73" s="135"/>
      <c r="F73" s="135">
        <v>2</v>
      </c>
      <c r="G73" s="137"/>
      <c r="H73" s="131">
        <f t="shared" si="10"/>
        <v>56.804000000000002</v>
      </c>
      <c r="I73" s="131">
        <f t="shared" si="11"/>
        <v>179.804</v>
      </c>
      <c r="J73" s="131">
        <f t="shared" si="12"/>
        <v>236.608</v>
      </c>
    </row>
    <row r="74" spans="1:10" ht="15.95" customHeight="1">
      <c r="A74" s="129" t="s">
        <v>171</v>
      </c>
      <c r="B74" s="130">
        <v>1.25</v>
      </c>
      <c r="C74" s="130">
        <v>1.25</v>
      </c>
      <c r="D74" s="135"/>
      <c r="E74" s="135"/>
      <c r="F74" s="135"/>
      <c r="G74" s="137"/>
      <c r="H74" s="131">
        <f t="shared" si="10"/>
        <v>58.054000000000002</v>
      </c>
      <c r="I74" s="131">
        <f t="shared" si="11"/>
        <v>181.054</v>
      </c>
      <c r="J74" s="131">
        <f t="shared" si="12"/>
        <v>239.108</v>
      </c>
    </row>
    <row r="75" spans="1:10" ht="15.95" customHeight="1">
      <c r="A75" s="129" t="s">
        <v>172</v>
      </c>
      <c r="B75" s="130">
        <v>3.75</v>
      </c>
      <c r="C75" s="130">
        <v>3.75</v>
      </c>
      <c r="D75" s="135"/>
      <c r="E75" s="135"/>
      <c r="F75" s="135"/>
      <c r="G75" s="137"/>
      <c r="H75" s="131">
        <f t="shared" si="10"/>
        <v>61.804000000000002</v>
      </c>
      <c r="I75" s="131">
        <f t="shared" si="11"/>
        <v>184.804</v>
      </c>
      <c r="J75" s="131">
        <f t="shared" si="12"/>
        <v>246.608</v>
      </c>
    </row>
    <row r="76" spans="1:10" ht="15.95" customHeight="1">
      <c r="A76" s="129" t="s">
        <v>173</v>
      </c>
      <c r="B76" s="130"/>
      <c r="C76" s="130"/>
      <c r="D76" s="135">
        <v>4</v>
      </c>
      <c r="E76" s="135"/>
      <c r="F76" s="135"/>
      <c r="G76" s="137"/>
      <c r="H76" s="131">
        <f t="shared" si="10"/>
        <v>57.804000000000002</v>
      </c>
      <c r="I76" s="131">
        <f t="shared" si="11"/>
        <v>184.804</v>
      </c>
      <c r="J76" s="131">
        <f t="shared" si="12"/>
        <v>242.608</v>
      </c>
    </row>
    <row r="77" spans="1:10" ht="15.95" customHeight="1">
      <c r="A77" s="129" t="s">
        <v>174</v>
      </c>
      <c r="B77" s="130">
        <v>2.5</v>
      </c>
      <c r="C77" s="130">
        <v>2.5</v>
      </c>
      <c r="D77" s="135"/>
      <c r="E77" s="135"/>
      <c r="F77" s="135"/>
      <c r="G77" s="137"/>
      <c r="H77" s="131">
        <f t="shared" si="10"/>
        <v>60.304000000000002</v>
      </c>
      <c r="I77" s="131">
        <f t="shared" si="11"/>
        <v>187.304</v>
      </c>
      <c r="J77" s="131">
        <f t="shared" si="12"/>
        <v>247.608</v>
      </c>
    </row>
    <row r="78" spans="1:10" ht="15.95" customHeight="1">
      <c r="A78" s="129" t="s">
        <v>175</v>
      </c>
      <c r="B78" s="130"/>
      <c r="C78" s="130"/>
      <c r="D78" s="135">
        <v>3</v>
      </c>
      <c r="E78" s="135"/>
      <c r="F78" s="135"/>
      <c r="G78" s="137"/>
      <c r="H78" s="131">
        <f t="shared" si="10"/>
        <v>57.304000000000002</v>
      </c>
      <c r="I78" s="131">
        <f t="shared" si="11"/>
        <v>187.304</v>
      </c>
      <c r="J78" s="131">
        <f t="shared" si="12"/>
        <v>244.608</v>
      </c>
    </row>
    <row r="79" spans="1:10" ht="15.95" customHeight="1">
      <c r="A79" s="129" t="s">
        <v>176</v>
      </c>
      <c r="B79" s="130"/>
      <c r="C79" s="130"/>
      <c r="D79" s="135">
        <v>1</v>
      </c>
      <c r="E79" s="135"/>
      <c r="F79" s="135"/>
      <c r="G79" s="137"/>
      <c r="H79" s="131">
        <f t="shared" si="10"/>
        <v>56.304000000000002</v>
      </c>
      <c r="I79" s="131">
        <f t="shared" si="11"/>
        <v>187.304</v>
      </c>
      <c r="J79" s="131">
        <f t="shared" si="12"/>
        <v>243.608</v>
      </c>
    </row>
    <row r="80" spans="1:10" ht="15.95" customHeight="1">
      <c r="A80" s="129" t="s">
        <v>177</v>
      </c>
      <c r="B80" s="130">
        <v>5</v>
      </c>
      <c r="C80" s="130">
        <v>5</v>
      </c>
      <c r="D80" s="135"/>
      <c r="E80" s="135"/>
      <c r="F80" s="135"/>
      <c r="G80" s="137"/>
      <c r="H80" s="131">
        <f t="shared" si="10"/>
        <v>61.304000000000002</v>
      </c>
      <c r="I80" s="131">
        <f t="shared" si="11"/>
        <v>192.304</v>
      </c>
      <c r="J80" s="131">
        <f t="shared" si="12"/>
        <v>253.608</v>
      </c>
    </row>
    <row r="81" spans="1:10" ht="15.95" customHeight="1">
      <c r="A81" s="129" t="s">
        <v>178</v>
      </c>
      <c r="B81" s="130"/>
      <c r="C81" s="130"/>
      <c r="D81" s="135"/>
      <c r="E81" s="135">
        <v>30</v>
      </c>
      <c r="F81" s="135"/>
      <c r="G81" s="137"/>
      <c r="H81" s="131">
        <f t="shared" si="10"/>
        <v>31.304000000000002</v>
      </c>
      <c r="I81" s="131">
        <f t="shared" si="11"/>
        <v>192.304</v>
      </c>
      <c r="J81" s="131">
        <f t="shared" si="12"/>
        <v>223.608</v>
      </c>
    </row>
    <row r="82" spans="1:10" ht="15.95" customHeight="1">
      <c r="A82" s="129" t="s">
        <v>214</v>
      </c>
      <c r="B82" s="130">
        <v>1.125</v>
      </c>
      <c r="C82" s="130">
        <v>1.125</v>
      </c>
      <c r="D82" s="135"/>
      <c r="E82" s="135"/>
      <c r="F82" s="135"/>
      <c r="G82" s="137"/>
      <c r="H82" s="131">
        <f t="shared" si="10"/>
        <v>32.429000000000002</v>
      </c>
      <c r="I82" s="131">
        <f t="shared" si="11"/>
        <v>193.429</v>
      </c>
      <c r="J82" s="131">
        <f t="shared" si="12"/>
        <v>225.858</v>
      </c>
    </row>
    <row r="83" spans="1:10" ht="15.95" customHeight="1">
      <c r="A83" s="129" t="s">
        <v>180</v>
      </c>
      <c r="B83" s="130"/>
      <c r="C83" s="130"/>
      <c r="D83" s="135">
        <v>3.5</v>
      </c>
      <c r="E83" s="135"/>
      <c r="F83" s="135"/>
      <c r="G83" s="137"/>
      <c r="H83" s="131">
        <f t="shared" si="10"/>
        <v>28.929000000000002</v>
      </c>
      <c r="I83" s="131">
        <f t="shared" si="11"/>
        <v>193.429</v>
      </c>
      <c r="J83" s="131">
        <f t="shared" si="12"/>
        <v>222.358</v>
      </c>
    </row>
    <row r="84" spans="1:10" ht="15.95" customHeight="1">
      <c r="A84" s="129" t="s">
        <v>179</v>
      </c>
      <c r="B84" s="130"/>
      <c r="C84" s="130"/>
      <c r="D84" s="135"/>
      <c r="E84" s="135"/>
      <c r="F84" s="135"/>
      <c r="G84" s="137"/>
      <c r="H84" s="131">
        <f t="shared" si="10"/>
        <v>28.929000000000002</v>
      </c>
      <c r="I84" s="131">
        <f t="shared" si="11"/>
        <v>193.429</v>
      </c>
      <c r="J84" s="131">
        <f t="shared" si="12"/>
        <v>222.358</v>
      </c>
    </row>
    <row r="85" spans="1:10" ht="25.5" customHeight="1">
      <c r="A85" s="191" t="s">
        <v>238</v>
      </c>
      <c r="B85" s="192"/>
      <c r="C85" s="192"/>
      <c r="D85" s="192"/>
      <c r="E85" s="192"/>
      <c r="F85" s="192"/>
      <c r="G85" s="193"/>
      <c r="H85" s="131">
        <f t="shared" si="10"/>
        <v>28.929000000000002</v>
      </c>
      <c r="I85" s="131">
        <f t="shared" si="11"/>
        <v>193.429</v>
      </c>
      <c r="J85" s="131">
        <f t="shared" si="12"/>
        <v>222.358</v>
      </c>
    </row>
    <row r="86" spans="1:10" ht="15.95" customHeight="1">
      <c r="A86" s="129" t="s">
        <v>52</v>
      </c>
      <c r="B86" s="130">
        <v>0.95799999999999996</v>
      </c>
      <c r="C86" s="130">
        <v>0.95799999999999996</v>
      </c>
      <c r="D86" s="135"/>
      <c r="E86" s="135"/>
      <c r="F86" s="135"/>
      <c r="G86" s="137"/>
      <c r="H86" s="131">
        <f t="shared" si="10"/>
        <v>29.887</v>
      </c>
      <c r="I86" s="131">
        <f t="shared" si="11"/>
        <v>194.387</v>
      </c>
      <c r="J86" s="131">
        <f t="shared" si="12"/>
        <v>224.274</v>
      </c>
    </row>
    <row r="87" spans="1:10" ht="15.95" customHeight="1">
      <c r="A87" s="129" t="s">
        <v>53</v>
      </c>
      <c r="B87" s="130">
        <v>11.25</v>
      </c>
      <c r="C87" s="130">
        <v>11.25</v>
      </c>
      <c r="D87" s="135"/>
      <c r="E87" s="135"/>
      <c r="F87" s="135"/>
      <c r="G87" s="137"/>
      <c r="H87" s="131">
        <f t="shared" ref="H87:H136" si="13">H86-E87-D87+B87</f>
        <v>41.137</v>
      </c>
      <c r="I87" s="131">
        <f t="shared" ref="I87:I136" si="14">I86-G87-F87+C87</f>
        <v>205.637</v>
      </c>
      <c r="J87" s="131">
        <f t="shared" ref="J87:J136" si="15">SUM(H87:I87)</f>
        <v>246.774</v>
      </c>
    </row>
    <row r="88" spans="1:10" ht="15.95" customHeight="1">
      <c r="A88" s="129" t="s">
        <v>54</v>
      </c>
      <c r="B88" s="130"/>
      <c r="C88" s="130"/>
      <c r="D88" s="135"/>
      <c r="E88" s="135">
        <v>5</v>
      </c>
      <c r="F88" s="135"/>
      <c r="G88" s="137"/>
      <c r="H88" s="131">
        <f t="shared" si="13"/>
        <v>36.137</v>
      </c>
      <c r="I88" s="131">
        <f t="shared" si="14"/>
        <v>205.637</v>
      </c>
      <c r="J88" s="131">
        <f t="shared" si="15"/>
        <v>241.774</v>
      </c>
    </row>
    <row r="89" spans="1:10" ht="15.95" customHeight="1">
      <c r="A89" s="129" t="s">
        <v>56</v>
      </c>
      <c r="B89" s="130"/>
      <c r="C89" s="130"/>
      <c r="D89" s="135">
        <v>2</v>
      </c>
      <c r="E89" s="135"/>
      <c r="F89" s="135"/>
      <c r="G89" s="137"/>
      <c r="H89" s="131">
        <f t="shared" si="13"/>
        <v>34.137</v>
      </c>
      <c r="I89" s="131">
        <f t="shared" si="14"/>
        <v>205.637</v>
      </c>
      <c r="J89" s="131">
        <f t="shared" si="15"/>
        <v>239.774</v>
      </c>
    </row>
    <row r="90" spans="1:10" ht="15.95" customHeight="1">
      <c r="A90" s="129" t="s">
        <v>93</v>
      </c>
      <c r="B90" s="130"/>
      <c r="C90" s="130"/>
      <c r="D90" s="135">
        <v>3</v>
      </c>
      <c r="E90" s="135"/>
      <c r="F90" s="135"/>
      <c r="G90" s="137"/>
      <c r="H90" s="131">
        <f t="shared" si="13"/>
        <v>31.137</v>
      </c>
      <c r="I90" s="131">
        <f t="shared" si="14"/>
        <v>205.637</v>
      </c>
      <c r="J90" s="131">
        <f t="shared" si="15"/>
        <v>236.774</v>
      </c>
    </row>
    <row r="91" spans="1:10" ht="15.95" customHeight="1">
      <c r="A91" s="129" t="s">
        <v>55</v>
      </c>
      <c r="B91" s="130">
        <v>15</v>
      </c>
      <c r="C91" s="130">
        <v>15</v>
      </c>
      <c r="D91" s="135"/>
      <c r="E91" s="135"/>
      <c r="F91" s="135"/>
      <c r="G91" s="137"/>
      <c r="H91" s="131">
        <f t="shared" si="13"/>
        <v>46.137</v>
      </c>
      <c r="I91" s="131">
        <f t="shared" si="14"/>
        <v>220.637</v>
      </c>
      <c r="J91" s="131">
        <f t="shared" si="15"/>
        <v>266.774</v>
      </c>
    </row>
    <row r="92" spans="1:10" ht="15.95" customHeight="1">
      <c r="A92" s="129" t="s">
        <v>57</v>
      </c>
      <c r="B92" s="130"/>
      <c r="C92" s="130"/>
      <c r="D92" s="135"/>
      <c r="E92" s="135">
        <v>29</v>
      </c>
      <c r="F92" s="135"/>
      <c r="G92" s="137"/>
      <c r="H92" s="131">
        <f t="shared" si="13"/>
        <v>17.137</v>
      </c>
      <c r="I92" s="131">
        <f t="shared" si="14"/>
        <v>220.637</v>
      </c>
      <c r="J92" s="131">
        <f t="shared" si="15"/>
        <v>237.774</v>
      </c>
    </row>
    <row r="93" spans="1:10" ht="15.95" customHeight="1">
      <c r="A93" s="129" t="s">
        <v>58</v>
      </c>
      <c r="B93" s="130"/>
      <c r="C93" s="130"/>
      <c r="D93" s="135">
        <v>5</v>
      </c>
      <c r="E93" s="135"/>
      <c r="F93" s="135"/>
      <c r="G93" s="137"/>
      <c r="H93" s="131">
        <f t="shared" si="13"/>
        <v>12.137</v>
      </c>
      <c r="I93" s="131">
        <f t="shared" si="14"/>
        <v>220.637</v>
      </c>
      <c r="J93" s="131">
        <f t="shared" si="15"/>
        <v>232.774</v>
      </c>
    </row>
    <row r="94" spans="1:10" ht="15.95" customHeight="1">
      <c r="A94" s="129" t="s">
        <v>59</v>
      </c>
      <c r="B94" s="130">
        <v>1.25</v>
      </c>
      <c r="C94" s="130">
        <v>1.25</v>
      </c>
      <c r="D94" s="135"/>
      <c r="E94" s="135"/>
      <c r="F94" s="135"/>
      <c r="G94" s="137"/>
      <c r="H94" s="131">
        <f t="shared" si="13"/>
        <v>13.387</v>
      </c>
      <c r="I94" s="131">
        <f t="shared" si="14"/>
        <v>221.887</v>
      </c>
      <c r="J94" s="131">
        <f t="shared" si="15"/>
        <v>235.274</v>
      </c>
    </row>
    <row r="95" spans="1:10" ht="15.95" customHeight="1">
      <c r="A95" s="129" t="s">
        <v>12</v>
      </c>
      <c r="B95" s="130">
        <v>2.5</v>
      </c>
      <c r="C95" s="130">
        <v>2.5</v>
      </c>
      <c r="D95" s="135"/>
      <c r="E95" s="135"/>
      <c r="F95" s="135"/>
      <c r="G95" s="137"/>
      <c r="H95" s="131">
        <f t="shared" si="13"/>
        <v>15.887</v>
      </c>
      <c r="I95" s="131">
        <f t="shared" si="14"/>
        <v>224.387</v>
      </c>
      <c r="J95" s="131">
        <f t="shared" si="15"/>
        <v>240.274</v>
      </c>
    </row>
    <row r="96" spans="1:10" ht="15.95" customHeight="1">
      <c r="A96" s="129" t="s">
        <v>13</v>
      </c>
      <c r="B96" s="130"/>
      <c r="C96" s="130"/>
      <c r="D96" s="135"/>
      <c r="E96" s="135"/>
      <c r="F96" s="135">
        <v>2</v>
      </c>
      <c r="G96" s="137"/>
      <c r="H96" s="131">
        <f t="shared" si="13"/>
        <v>15.887</v>
      </c>
      <c r="I96" s="131">
        <f t="shared" si="14"/>
        <v>222.387</v>
      </c>
      <c r="J96" s="131">
        <f t="shared" si="15"/>
        <v>238.274</v>
      </c>
    </row>
    <row r="97" spans="1:10" ht="15.95" customHeight="1">
      <c r="A97" s="129" t="s">
        <v>14</v>
      </c>
      <c r="B97" s="130">
        <v>2.5</v>
      </c>
      <c r="C97" s="130">
        <v>2.5</v>
      </c>
      <c r="D97" s="135"/>
      <c r="E97" s="135"/>
      <c r="F97" s="135"/>
      <c r="G97" s="137"/>
      <c r="H97" s="131">
        <f t="shared" si="13"/>
        <v>18.387</v>
      </c>
      <c r="I97" s="131">
        <f t="shared" si="14"/>
        <v>224.887</v>
      </c>
      <c r="J97" s="131">
        <f t="shared" si="15"/>
        <v>243.274</v>
      </c>
    </row>
    <row r="98" spans="1:10" ht="15.95" customHeight="1">
      <c r="A98" s="129" t="s">
        <v>15</v>
      </c>
      <c r="B98" s="130"/>
      <c r="C98" s="130"/>
      <c r="D98" s="135"/>
      <c r="E98" s="135"/>
      <c r="F98" s="135">
        <v>1</v>
      </c>
      <c r="G98" s="137"/>
      <c r="H98" s="131">
        <f t="shared" si="13"/>
        <v>18.387</v>
      </c>
      <c r="I98" s="131">
        <f t="shared" si="14"/>
        <v>223.887</v>
      </c>
      <c r="J98" s="131">
        <f t="shared" si="15"/>
        <v>242.274</v>
      </c>
    </row>
    <row r="99" spans="1:10" ht="15.95" customHeight="1">
      <c r="A99" s="129" t="s">
        <v>16</v>
      </c>
      <c r="B99" s="130">
        <v>2.5</v>
      </c>
      <c r="C99" s="130">
        <v>2.5</v>
      </c>
      <c r="D99" s="135"/>
      <c r="E99" s="135"/>
      <c r="F99" s="135"/>
      <c r="G99" s="137"/>
      <c r="H99" s="131">
        <f t="shared" si="13"/>
        <v>20.887</v>
      </c>
      <c r="I99" s="131">
        <f t="shared" si="14"/>
        <v>226.387</v>
      </c>
      <c r="J99" s="131">
        <f t="shared" si="15"/>
        <v>247.274</v>
      </c>
    </row>
    <row r="100" spans="1:10" ht="15.95" customHeight="1">
      <c r="A100" s="129" t="s">
        <v>17</v>
      </c>
      <c r="B100" s="130"/>
      <c r="C100" s="130"/>
      <c r="D100" s="135"/>
      <c r="E100" s="135"/>
      <c r="F100" s="135">
        <v>1</v>
      </c>
      <c r="G100" s="137"/>
      <c r="H100" s="131">
        <f t="shared" si="13"/>
        <v>20.887</v>
      </c>
      <c r="I100" s="131">
        <f t="shared" si="14"/>
        <v>225.387</v>
      </c>
      <c r="J100" s="131">
        <f t="shared" si="15"/>
        <v>246.274</v>
      </c>
    </row>
    <row r="101" spans="1:10" ht="15.95" customHeight="1">
      <c r="A101" s="129" t="s">
        <v>18</v>
      </c>
      <c r="B101" s="130"/>
      <c r="C101" s="130"/>
      <c r="D101" s="135"/>
      <c r="E101" s="135"/>
      <c r="F101" s="135">
        <v>1</v>
      </c>
      <c r="G101" s="137"/>
      <c r="H101" s="131">
        <f t="shared" si="13"/>
        <v>20.887</v>
      </c>
      <c r="I101" s="131">
        <f t="shared" si="14"/>
        <v>224.387</v>
      </c>
      <c r="J101" s="131">
        <f t="shared" si="15"/>
        <v>245.274</v>
      </c>
    </row>
    <row r="102" spans="1:10" ht="15.95" customHeight="1">
      <c r="A102" s="129" t="s">
        <v>19</v>
      </c>
      <c r="B102" s="130">
        <v>1.25</v>
      </c>
      <c r="C102" s="130">
        <v>1.25</v>
      </c>
      <c r="D102" s="135"/>
      <c r="E102" s="135"/>
      <c r="F102" s="135"/>
      <c r="G102" s="137"/>
      <c r="H102" s="131">
        <f t="shared" si="13"/>
        <v>22.137</v>
      </c>
      <c r="I102" s="131">
        <f t="shared" si="14"/>
        <v>225.637</v>
      </c>
      <c r="J102" s="131">
        <f t="shared" si="15"/>
        <v>247.774</v>
      </c>
    </row>
    <row r="103" spans="1:10" ht="15.95" customHeight="1">
      <c r="A103" s="129" t="s">
        <v>20</v>
      </c>
      <c r="B103" s="130"/>
      <c r="C103" s="130"/>
      <c r="D103" s="135">
        <v>1</v>
      </c>
      <c r="E103" s="135"/>
      <c r="F103" s="135"/>
      <c r="G103" s="137"/>
      <c r="H103" s="131">
        <f t="shared" si="13"/>
        <v>21.137</v>
      </c>
      <c r="I103" s="131">
        <f t="shared" si="14"/>
        <v>225.637</v>
      </c>
      <c r="J103" s="131">
        <f t="shared" si="15"/>
        <v>246.774</v>
      </c>
    </row>
    <row r="104" spans="1:10" ht="15.95" customHeight="1">
      <c r="A104" s="129" t="s">
        <v>21</v>
      </c>
      <c r="B104" s="130"/>
      <c r="C104" s="130"/>
      <c r="D104" s="135">
        <v>1</v>
      </c>
      <c r="E104" s="135"/>
      <c r="F104" s="135"/>
      <c r="G104" s="137"/>
      <c r="H104" s="131">
        <f t="shared" si="13"/>
        <v>20.137</v>
      </c>
      <c r="I104" s="131">
        <f t="shared" si="14"/>
        <v>225.637</v>
      </c>
      <c r="J104" s="131">
        <f t="shared" si="15"/>
        <v>245.774</v>
      </c>
    </row>
    <row r="105" spans="1:10" ht="15.95" customHeight="1">
      <c r="A105" s="129" t="s">
        <v>22</v>
      </c>
      <c r="B105" s="130"/>
      <c r="C105" s="130"/>
      <c r="D105" s="135"/>
      <c r="E105" s="135">
        <v>10.56</v>
      </c>
      <c r="F105" s="135"/>
      <c r="G105" s="137">
        <v>18.440000000000001</v>
      </c>
      <c r="H105" s="131">
        <f t="shared" si="13"/>
        <v>9.577</v>
      </c>
      <c r="I105" s="131">
        <f t="shared" si="14"/>
        <v>207.197</v>
      </c>
      <c r="J105" s="131">
        <f t="shared" si="15"/>
        <v>216.774</v>
      </c>
    </row>
    <row r="106" spans="1:10" ht="15.95" customHeight="1">
      <c r="A106" s="129" t="s">
        <v>31</v>
      </c>
      <c r="B106" s="130">
        <v>3.75</v>
      </c>
      <c r="C106" s="130">
        <v>3.75</v>
      </c>
      <c r="D106" s="135"/>
      <c r="E106" s="135"/>
      <c r="F106" s="135"/>
      <c r="G106" s="137"/>
      <c r="H106" s="131">
        <f t="shared" si="13"/>
        <v>13.327</v>
      </c>
      <c r="I106" s="131">
        <f t="shared" si="14"/>
        <v>210.947</v>
      </c>
      <c r="J106" s="131">
        <f t="shared" si="15"/>
        <v>224.274</v>
      </c>
    </row>
    <row r="107" spans="1:10" ht="15.95" customHeight="1">
      <c r="A107" s="129" t="s">
        <v>32</v>
      </c>
      <c r="B107" s="130"/>
      <c r="C107" s="130"/>
      <c r="D107" s="135">
        <v>2</v>
      </c>
      <c r="E107" s="135"/>
      <c r="F107" s="135"/>
      <c r="G107" s="137"/>
      <c r="H107" s="131">
        <f t="shared" si="13"/>
        <v>11.327</v>
      </c>
      <c r="I107" s="131">
        <f t="shared" si="14"/>
        <v>210.947</v>
      </c>
      <c r="J107" s="131">
        <f t="shared" si="15"/>
        <v>222.274</v>
      </c>
    </row>
    <row r="108" spans="1:10" ht="15.95" customHeight="1">
      <c r="A108" s="129" t="s">
        <v>35</v>
      </c>
      <c r="B108" s="130"/>
      <c r="C108" s="130"/>
      <c r="D108" s="135">
        <v>1</v>
      </c>
      <c r="E108" s="135"/>
      <c r="F108" s="135"/>
      <c r="G108" s="137"/>
      <c r="H108" s="131">
        <f t="shared" si="13"/>
        <v>10.327</v>
      </c>
      <c r="I108" s="131">
        <f t="shared" si="14"/>
        <v>210.947</v>
      </c>
      <c r="J108" s="131">
        <f t="shared" si="15"/>
        <v>221.274</v>
      </c>
    </row>
    <row r="109" spans="1:10" ht="30.75" customHeight="1">
      <c r="A109" s="142" t="s">
        <v>195</v>
      </c>
      <c r="B109" s="130">
        <v>1</v>
      </c>
      <c r="C109" s="130"/>
      <c r="D109" s="135"/>
      <c r="E109" s="135"/>
      <c r="F109" s="135"/>
      <c r="G109" s="137"/>
      <c r="H109" s="131">
        <f t="shared" si="13"/>
        <v>11.327</v>
      </c>
      <c r="I109" s="131">
        <f t="shared" si="14"/>
        <v>210.947</v>
      </c>
      <c r="J109" s="131">
        <f t="shared" si="15"/>
        <v>222.274</v>
      </c>
    </row>
    <row r="110" spans="1:10" ht="15.95" customHeight="1">
      <c r="A110" s="129" t="s">
        <v>49</v>
      </c>
      <c r="B110" s="130">
        <v>1.25</v>
      </c>
      <c r="C110" s="130">
        <v>1.25</v>
      </c>
      <c r="D110" s="135"/>
      <c r="E110" s="135"/>
      <c r="F110" s="135"/>
      <c r="G110" s="137"/>
      <c r="H110" s="131">
        <f t="shared" si="13"/>
        <v>12.577</v>
      </c>
      <c r="I110" s="131">
        <f t="shared" si="14"/>
        <v>212.197</v>
      </c>
      <c r="J110" s="131">
        <f t="shared" si="15"/>
        <v>224.774</v>
      </c>
    </row>
    <row r="111" spans="1:10" ht="15.95" customHeight="1">
      <c r="A111" s="98" t="s">
        <v>50</v>
      </c>
      <c r="B111" s="96">
        <v>5</v>
      </c>
      <c r="C111" s="96">
        <v>5</v>
      </c>
      <c r="D111" s="96"/>
      <c r="E111" s="96"/>
      <c r="F111" s="96"/>
      <c r="G111" s="96"/>
      <c r="H111" s="131">
        <f t="shared" si="13"/>
        <v>17.576999999999998</v>
      </c>
      <c r="I111" s="131">
        <f t="shared" si="14"/>
        <v>217.197</v>
      </c>
      <c r="J111" s="131">
        <f t="shared" si="15"/>
        <v>234.774</v>
      </c>
    </row>
    <row r="112" spans="1:10" ht="15.95" customHeight="1">
      <c r="A112" s="98" t="s">
        <v>68</v>
      </c>
      <c r="B112" s="96">
        <v>5</v>
      </c>
      <c r="C112" s="96">
        <v>5</v>
      </c>
      <c r="D112" s="96"/>
      <c r="E112" s="96"/>
      <c r="F112" s="96"/>
      <c r="G112" s="96"/>
      <c r="H112" s="131">
        <f t="shared" si="13"/>
        <v>22.576999999999998</v>
      </c>
      <c r="I112" s="131">
        <f t="shared" si="14"/>
        <v>222.197</v>
      </c>
      <c r="J112" s="131">
        <f t="shared" si="15"/>
        <v>244.774</v>
      </c>
    </row>
    <row r="113" spans="1:10" ht="15.95" customHeight="1">
      <c r="A113" s="98" t="s">
        <v>69</v>
      </c>
      <c r="B113" s="96"/>
      <c r="C113" s="96"/>
      <c r="D113" s="96"/>
      <c r="E113" s="96">
        <v>15</v>
      </c>
      <c r="F113" s="96"/>
      <c r="G113" s="96">
        <v>14</v>
      </c>
      <c r="H113" s="131">
        <f t="shared" si="13"/>
        <v>7.5769999999999982</v>
      </c>
      <c r="I113" s="131">
        <f t="shared" si="14"/>
        <v>208.197</v>
      </c>
      <c r="J113" s="131">
        <f t="shared" si="15"/>
        <v>215.774</v>
      </c>
    </row>
    <row r="114" spans="1:10" ht="15.95" customHeight="1">
      <c r="A114" s="98" t="s">
        <v>73</v>
      </c>
      <c r="B114" s="96"/>
      <c r="C114" s="96"/>
      <c r="D114" s="96">
        <v>1</v>
      </c>
      <c r="E114" s="96"/>
      <c r="F114" s="96"/>
      <c r="G114" s="96"/>
      <c r="H114" s="131">
        <f t="shared" si="13"/>
        <v>6.5769999999999982</v>
      </c>
      <c r="I114" s="131">
        <f t="shared" si="14"/>
        <v>208.197</v>
      </c>
      <c r="J114" s="131">
        <f t="shared" si="15"/>
        <v>214.774</v>
      </c>
    </row>
    <row r="115" spans="1:10" ht="15.95" customHeight="1">
      <c r="A115" s="98" t="s">
        <v>74</v>
      </c>
      <c r="B115" s="96">
        <v>1.25</v>
      </c>
      <c r="C115" s="96">
        <v>1.25</v>
      </c>
      <c r="D115" s="96"/>
      <c r="E115" s="96"/>
      <c r="F115" s="96"/>
      <c r="G115" s="96"/>
      <c r="H115" s="131">
        <f t="shared" si="13"/>
        <v>7.8269999999999982</v>
      </c>
      <c r="I115" s="131">
        <f t="shared" si="14"/>
        <v>209.447</v>
      </c>
      <c r="J115" s="131">
        <f t="shared" si="15"/>
        <v>217.274</v>
      </c>
    </row>
    <row r="116" spans="1:10" ht="15.95" customHeight="1">
      <c r="A116" s="98" t="s">
        <v>81</v>
      </c>
      <c r="B116" s="96"/>
      <c r="C116" s="96"/>
      <c r="D116" s="96">
        <v>4</v>
      </c>
      <c r="E116" s="96"/>
      <c r="F116" s="96"/>
      <c r="G116" s="96"/>
      <c r="H116" s="131">
        <f t="shared" si="13"/>
        <v>3.8269999999999982</v>
      </c>
      <c r="I116" s="131">
        <f t="shared" si="14"/>
        <v>209.447</v>
      </c>
      <c r="J116" s="131">
        <f t="shared" si="15"/>
        <v>213.274</v>
      </c>
    </row>
    <row r="117" spans="1:10" ht="15.95" customHeight="1">
      <c r="A117" s="110" t="s">
        <v>196</v>
      </c>
      <c r="B117" s="96">
        <v>3.75</v>
      </c>
      <c r="C117" s="96">
        <v>3.75</v>
      </c>
      <c r="D117" s="96"/>
      <c r="E117" s="96"/>
      <c r="F117" s="96"/>
      <c r="G117" s="96"/>
      <c r="H117" s="131">
        <f t="shared" si="13"/>
        <v>7.5769999999999982</v>
      </c>
      <c r="I117" s="131">
        <f t="shared" si="14"/>
        <v>213.197</v>
      </c>
      <c r="J117" s="131">
        <f t="shared" si="15"/>
        <v>220.774</v>
      </c>
    </row>
    <row r="118" spans="1:10" ht="15.95" customHeight="1">
      <c r="A118" s="98" t="s">
        <v>84</v>
      </c>
      <c r="B118" s="96">
        <v>3</v>
      </c>
      <c r="C118" s="96"/>
      <c r="D118" s="96"/>
      <c r="E118" s="96"/>
      <c r="F118" s="96"/>
      <c r="G118" s="96"/>
      <c r="H118" s="131">
        <f t="shared" si="13"/>
        <v>10.576999999999998</v>
      </c>
      <c r="I118" s="131">
        <f t="shared" si="14"/>
        <v>213.197</v>
      </c>
      <c r="J118" s="131">
        <f t="shared" si="15"/>
        <v>223.774</v>
      </c>
    </row>
    <row r="119" spans="1:10" ht="15.95" customHeight="1">
      <c r="A119" s="98" t="s">
        <v>85</v>
      </c>
      <c r="B119" s="96">
        <v>6.25</v>
      </c>
      <c r="C119" s="96">
        <v>6.25</v>
      </c>
      <c r="D119" s="96"/>
      <c r="E119" s="96"/>
      <c r="F119" s="96"/>
      <c r="G119" s="96"/>
      <c r="H119" s="131">
        <f t="shared" si="13"/>
        <v>16.826999999999998</v>
      </c>
      <c r="I119" s="131">
        <f t="shared" si="14"/>
        <v>219.447</v>
      </c>
      <c r="J119" s="131">
        <f t="shared" si="15"/>
        <v>236.274</v>
      </c>
    </row>
    <row r="120" spans="1:10" ht="15.95" customHeight="1">
      <c r="A120" s="98" t="s">
        <v>90</v>
      </c>
      <c r="B120" s="96"/>
      <c r="C120" s="96"/>
      <c r="D120" s="96"/>
      <c r="E120" s="96"/>
      <c r="F120" s="96">
        <v>1</v>
      </c>
      <c r="G120" s="96"/>
      <c r="H120" s="131">
        <f t="shared" si="13"/>
        <v>16.826999999999998</v>
      </c>
      <c r="I120" s="131">
        <f t="shared" si="14"/>
        <v>218.447</v>
      </c>
      <c r="J120" s="131">
        <f t="shared" si="15"/>
        <v>235.274</v>
      </c>
    </row>
    <row r="121" spans="1:10" ht="15.95" customHeight="1">
      <c r="A121" s="110" t="s">
        <v>197</v>
      </c>
      <c r="B121" s="96">
        <v>2.5</v>
      </c>
      <c r="C121" s="96">
        <v>2.5</v>
      </c>
      <c r="D121" s="96"/>
      <c r="E121" s="96"/>
      <c r="F121" s="96"/>
      <c r="G121" s="96"/>
      <c r="H121" s="131">
        <f t="shared" si="13"/>
        <v>19.326999999999998</v>
      </c>
      <c r="I121" s="131">
        <f t="shared" si="14"/>
        <v>220.947</v>
      </c>
      <c r="J121" s="131">
        <f t="shared" si="15"/>
        <v>240.274</v>
      </c>
    </row>
    <row r="122" spans="1:10" ht="15.95" customHeight="1">
      <c r="A122" s="158" t="s">
        <v>239</v>
      </c>
      <c r="B122" s="96"/>
      <c r="C122" s="96"/>
      <c r="D122" s="96"/>
      <c r="E122" s="96">
        <v>13.848000000000001</v>
      </c>
      <c r="F122" s="96"/>
      <c r="G122" s="96">
        <v>16.152000000000001</v>
      </c>
      <c r="H122" s="131">
        <f t="shared" si="13"/>
        <v>5.4789999999999974</v>
      </c>
      <c r="I122" s="131">
        <f t="shared" si="14"/>
        <v>204.79500000000002</v>
      </c>
      <c r="J122" s="131">
        <f t="shared" si="15"/>
        <v>210.274</v>
      </c>
    </row>
    <row r="123" spans="1:10" ht="18" customHeight="1">
      <c r="A123" s="98" t="s">
        <v>101</v>
      </c>
      <c r="B123" s="96">
        <v>3.75</v>
      </c>
      <c r="C123" s="96">
        <v>3.75</v>
      </c>
      <c r="D123" s="96"/>
      <c r="E123" s="96"/>
      <c r="F123" s="96"/>
      <c r="G123" s="96"/>
      <c r="H123" s="131">
        <f t="shared" si="13"/>
        <v>9.2289999999999974</v>
      </c>
      <c r="I123" s="131">
        <f t="shared" si="14"/>
        <v>208.54500000000002</v>
      </c>
      <c r="J123" s="131">
        <f t="shared" si="15"/>
        <v>217.774</v>
      </c>
    </row>
    <row r="124" spans="1:10" ht="15.95" customHeight="1">
      <c r="A124" s="98" t="s">
        <v>102</v>
      </c>
      <c r="B124" s="96"/>
      <c r="C124" s="96"/>
      <c r="D124" s="96">
        <v>5</v>
      </c>
      <c r="E124" s="96"/>
      <c r="F124" s="96"/>
      <c r="G124" s="96"/>
      <c r="H124" s="131">
        <f t="shared" si="13"/>
        <v>4.2289999999999974</v>
      </c>
      <c r="I124" s="131">
        <f t="shared" si="14"/>
        <v>208.54500000000002</v>
      </c>
      <c r="J124" s="131">
        <f t="shared" si="15"/>
        <v>212.774</v>
      </c>
    </row>
    <row r="125" spans="1:10" ht="15.95" customHeight="1">
      <c r="A125" s="98" t="s">
        <v>103</v>
      </c>
      <c r="B125" s="96"/>
      <c r="C125" s="96"/>
      <c r="D125" s="96"/>
      <c r="E125" s="96"/>
      <c r="F125" s="96">
        <v>1</v>
      </c>
      <c r="G125" s="96"/>
      <c r="H125" s="131">
        <f t="shared" si="13"/>
        <v>4.2289999999999974</v>
      </c>
      <c r="I125" s="131">
        <f t="shared" si="14"/>
        <v>207.54500000000002</v>
      </c>
      <c r="J125" s="131">
        <f t="shared" si="15"/>
        <v>211.774</v>
      </c>
    </row>
    <row r="126" spans="1:10" ht="15.95" customHeight="1">
      <c r="A126" s="98" t="s">
        <v>104</v>
      </c>
      <c r="B126" s="96">
        <v>1.25</v>
      </c>
      <c r="C126" s="96">
        <v>1.25</v>
      </c>
      <c r="D126" s="96"/>
      <c r="E126" s="96"/>
      <c r="F126" s="96"/>
      <c r="G126" s="96"/>
      <c r="H126" s="131">
        <f t="shared" si="13"/>
        <v>5.4789999999999974</v>
      </c>
      <c r="I126" s="131">
        <f t="shared" si="14"/>
        <v>208.79500000000002</v>
      </c>
      <c r="J126" s="131">
        <f t="shared" si="15"/>
        <v>214.274</v>
      </c>
    </row>
    <row r="127" spans="1:10" ht="15.95" customHeight="1">
      <c r="A127" s="98" t="s">
        <v>106</v>
      </c>
      <c r="B127" s="96">
        <v>1.25</v>
      </c>
      <c r="C127" s="96">
        <v>1.25</v>
      </c>
      <c r="D127" s="96"/>
      <c r="E127" s="96"/>
      <c r="F127" s="96"/>
      <c r="G127" s="96"/>
      <c r="H127" s="131">
        <f t="shared" si="13"/>
        <v>6.7289999999999974</v>
      </c>
      <c r="I127" s="131">
        <f t="shared" si="14"/>
        <v>210.04500000000002</v>
      </c>
      <c r="J127" s="131">
        <f t="shared" si="15"/>
        <v>216.774</v>
      </c>
    </row>
    <row r="128" spans="1:10" ht="15.95" customHeight="1">
      <c r="A128" s="98" t="s">
        <v>107</v>
      </c>
      <c r="B128" s="96">
        <v>1.25</v>
      </c>
      <c r="C128" s="96">
        <v>1.25</v>
      </c>
      <c r="D128" s="96"/>
      <c r="E128" s="96"/>
      <c r="F128" s="96"/>
      <c r="G128" s="96"/>
      <c r="H128" s="131">
        <f t="shared" si="13"/>
        <v>7.9789999999999974</v>
      </c>
      <c r="I128" s="131">
        <f t="shared" si="14"/>
        <v>211.29500000000002</v>
      </c>
      <c r="J128" s="131">
        <f t="shared" si="15"/>
        <v>219.274</v>
      </c>
    </row>
    <row r="129" spans="1:10" ht="15.95" customHeight="1">
      <c r="A129" s="98" t="s">
        <v>108</v>
      </c>
      <c r="B129" s="96"/>
      <c r="C129" s="96"/>
      <c r="D129" s="96"/>
      <c r="E129" s="96"/>
      <c r="F129" s="96">
        <v>2</v>
      </c>
      <c r="G129" s="96"/>
      <c r="H129" s="131">
        <f t="shared" si="13"/>
        <v>7.9789999999999974</v>
      </c>
      <c r="I129" s="131">
        <f t="shared" si="14"/>
        <v>209.29500000000002</v>
      </c>
      <c r="J129" s="131">
        <f t="shared" si="15"/>
        <v>217.274</v>
      </c>
    </row>
    <row r="130" spans="1:10" ht="15.95" customHeight="1">
      <c r="A130" s="98" t="s">
        <v>112</v>
      </c>
      <c r="B130" s="96">
        <v>2.5</v>
      </c>
      <c r="C130" s="96">
        <v>2.5</v>
      </c>
      <c r="D130" s="96"/>
      <c r="E130" s="96"/>
      <c r="F130" s="96"/>
      <c r="G130" s="96"/>
      <c r="H130" s="131">
        <f t="shared" si="13"/>
        <v>10.478999999999997</v>
      </c>
      <c r="I130" s="131">
        <f t="shared" si="14"/>
        <v>211.79500000000002</v>
      </c>
      <c r="J130" s="131">
        <f t="shared" si="15"/>
        <v>222.274</v>
      </c>
    </row>
    <row r="131" spans="1:10" ht="15.95" customHeight="1">
      <c r="A131" s="98" t="s">
        <v>113</v>
      </c>
      <c r="B131" s="96"/>
      <c r="C131" s="96"/>
      <c r="D131" s="96"/>
      <c r="E131" s="96">
        <v>5</v>
      </c>
      <c r="F131" s="96"/>
      <c r="G131" s="96">
        <v>25</v>
      </c>
      <c r="H131" s="131">
        <f t="shared" si="13"/>
        <v>5.4789999999999974</v>
      </c>
      <c r="I131" s="131">
        <f t="shared" si="14"/>
        <v>186.79500000000002</v>
      </c>
      <c r="J131" s="131">
        <f t="shared" si="15"/>
        <v>192.274</v>
      </c>
    </row>
    <row r="132" spans="1:10" ht="15.95" customHeight="1">
      <c r="A132" s="98" t="s">
        <v>187</v>
      </c>
      <c r="B132" s="96"/>
      <c r="C132" s="96"/>
      <c r="D132" s="96"/>
      <c r="E132" s="96"/>
      <c r="F132" s="96">
        <v>3</v>
      </c>
      <c r="G132" s="96"/>
      <c r="H132" s="131">
        <f t="shared" si="13"/>
        <v>5.4789999999999974</v>
      </c>
      <c r="I132" s="131">
        <f t="shared" si="14"/>
        <v>183.79500000000002</v>
      </c>
      <c r="J132" s="131">
        <f t="shared" si="15"/>
        <v>189.274</v>
      </c>
    </row>
    <row r="133" spans="1:10" ht="15.95" customHeight="1">
      <c r="A133" s="103" t="s">
        <v>181</v>
      </c>
      <c r="B133" s="48">
        <v>1.25</v>
      </c>
      <c r="C133" s="48">
        <v>1.25</v>
      </c>
      <c r="D133" s="48"/>
      <c r="E133" s="48"/>
      <c r="F133" s="48"/>
      <c r="G133" s="48"/>
      <c r="H133" s="131">
        <f t="shared" si="13"/>
        <v>6.7289999999999974</v>
      </c>
      <c r="I133" s="131">
        <f t="shared" si="14"/>
        <v>185.04500000000002</v>
      </c>
      <c r="J133" s="131">
        <f t="shared" si="15"/>
        <v>191.774</v>
      </c>
    </row>
    <row r="134" spans="1:10" ht="15.95" customHeight="1">
      <c r="A134" s="103" t="s">
        <v>182</v>
      </c>
      <c r="B134" s="48"/>
      <c r="C134" s="48"/>
      <c r="D134" s="48"/>
      <c r="E134" s="48"/>
      <c r="F134" s="48">
        <v>1</v>
      </c>
      <c r="G134" s="48"/>
      <c r="H134" s="131">
        <f t="shared" si="13"/>
        <v>6.7289999999999974</v>
      </c>
      <c r="I134" s="131">
        <f t="shared" si="14"/>
        <v>184.04500000000002</v>
      </c>
      <c r="J134" s="131">
        <f t="shared" si="15"/>
        <v>190.774</v>
      </c>
    </row>
    <row r="135" spans="1:10" ht="15.95" customHeight="1">
      <c r="A135" s="119" t="s">
        <v>212</v>
      </c>
      <c r="B135" s="48">
        <v>1.25</v>
      </c>
      <c r="C135" s="48">
        <v>1.25</v>
      </c>
      <c r="D135" s="48"/>
      <c r="E135" s="48"/>
      <c r="F135" s="48"/>
      <c r="G135" s="48"/>
      <c r="H135" s="131">
        <f t="shared" si="13"/>
        <v>7.9789999999999974</v>
      </c>
      <c r="I135" s="131">
        <f t="shared" si="14"/>
        <v>185.29500000000002</v>
      </c>
      <c r="J135" s="131">
        <f t="shared" si="15"/>
        <v>193.274</v>
      </c>
    </row>
    <row r="136" spans="1:10" ht="15.95" customHeight="1" thickBot="1">
      <c r="A136" s="120" t="s">
        <v>213</v>
      </c>
      <c r="B136" s="112">
        <v>1.25</v>
      </c>
      <c r="C136" s="112">
        <v>1.25</v>
      </c>
      <c r="D136" s="112"/>
      <c r="E136" s="112"/>
      <c r="F136" s="112"/>
      <c r="G136" s="112"/>
      <c r="H136" s="159">
        <f t="shared" si="13"/>
        <v>9.2289999999999974</v>
      </c>
      <c r="I136" s="159">
        <f t="shared" si="14"/>
        <v>186.54500000000002</v>
      </c>
      <c r="J136" s="159">
        <f t="shared" si="15"/>
        <v>195.774</v>
      </c>
    </row>
    <row r="137" spans="1:10" ht="15.95" customHeight="1" thickBot="1">
      <c r="A137" s="143" t="s">
        <v>235</v>
      </c>
      <c r="B137" s="186">
        <f>SUM(A11:C136)</f>
        <v>618.27400000000011</v>
      </c>
      <c r="C137" s="187"/>
      <c r="D137" s="188">
        <f>SUM(D11:G136)</f>
        <v>422.5</v>
      </c>
      <c r="E137" s="189"/>
      <c r="F137" s="189"/>
      <c r="G137" s="189"/>
      <c r="H137" s="144">
        <f>H136</f>
        <v>9.2289999999999974</v>
      </c>
      <c r="I137" s="144">
        <f>I136</f>
        <v>186.54500000000002</v>
      </c>
      <c r="J137" s="155">
        <f>B137-D137</f>
        <v>195.77400000000011</v>
      </c>
    </row>
    <row r="138" spans="1:10" ht="14.25" customHeight="1"/>
    <row r="139" spans="1:10">
      <c r="A139" s="124" t="s">
        <v>224</v>
      </c>
      <c r="G139" s="190" t="s">
        <v>225</v>
      </c>
      <c r="H139" s="190"/>
      <c r="I139" s="190"/>
      <c r="J139" s="190"/>
    </row>
    <row r="140" spans="1:10" ht="24.6" customHeight="1"/>
    <row r="141" spans="1:10">
      <c r="H141" s="182" t="s">
        <v>28</v>
      </c>
      <c r="I141" s="182"/>
      <c r="J141" s="182"/>
    </row>
    <row r="142" spans="1:10">
      <c r="A142" s="146" t="s">
        <v>232</v>
      </c>
      <c r="H142" s="178" t="s">
        <v>226</v>
      </c>
      <c r="I142" s="178"/>
      <c r="J142" s="178"/>
    </row>
    <row r="143" spans="1:10" ht="6.95" customHeight="1">
      <c r="H143" s="147"/>
      <c r="I143" s="147"/>
      <c r="J143" s="147"/>
    </row>
    <row r="144" spans="1:10" ht="24" customHeight="1">
      <c r="A144" s="148" t="s">
        <v>233</v>
      </c>
    </row>
    <row r="145" spans="8:10">
      <c r="H145" s="182" t="s">
        <v>227</v>
      </c>
      <c r="I145" s="182"/>
      <c r="J145" s="182"/>
    </row>
    <row r="146" spans="8:10">
      <c r="H146" s="178" t="s">
        <v>228</v>
      </c>
      <c r="I146" s="178"/>
      <c r="J146" s="178"/>
    </row>
    <row r="147" spans="8:10" ht="9" customHeight="1"/>
    <row r="148" spans="8:10" ht="22.5" customHeight="1"/>
    <row r="149" spans="8:10">
      <c r="H149" s="182" t="s">
        <v>231</v>
      </c>
      <c r="I149" s="182"/>
      <c r="J149" s="182"/>
    </row>
    <row r="150" spans="8:10">
      <c r="H150" s="178" t="s">
        <v>229</v>
      </c>
      <c r="I150" s="178"/>
      <c r="J150" s="178"/>
    </row>
    <row r="151" spans="8:10">
      <c r="H151" s="178" t="s">
        <v>230</v>
      </c>
      <c r="I151" s="178"/>
      <c r="J151" s="178"/>
    </row>
    <row r="152" spans="8:10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t="14.45" hidden="1" customHeight="1"/>
    <row r="178" ht="14.25" customHeight="1"/>
  </sheetData>
  <mergeCells count="25">
    <mergeCell ref="A1:J1"/>
    <mergeCell ref="A2:J2"/>
    <mergeCell ref="A3:J3"/>
    <mergeCell ref="B8:C8"/>
    <mergeCell ref="D8:G8"/>
    <mergeCell ref="H8:I8"/>
    <mergeCell ref="J8:J10"/>
    <mergeCell ref="B9:B10"/>
    <mergeCell ref="C9:C10"/>
    <mergeCell ref="D9:E9"/>
    <mergeCell ref="H151:J151"/>
    <mergeCell ref="A8:A10"/>
    <mergeCell ref="H141:J141"/>
    <mergeCell ref="H142:J142"/>
    <mergeCell ref="H145:J145"/>
    <mergeCell ref="H146:J146"/>
    <mergeCell ref="H149:J149"/>
    <mergeCell ref="H150:J150"/>
    <mergeCell ref="F9:G9"/>
    <mergeCell ref="H9:H10"/>
    <mergeCell ref="I9:I10"/>
    <mergeCell ref="B137:C137"/>
    <mergeCell ref="D137:G137"/>
    <mergeCell ref="G139:J139"/>
    <mergeCell ref="A85:G85"/>
  </mergeCells>
  <printOptions horizontalCentered="1"/>
  <pageMargins left="0.43307086614173229" right="0.43307086614173229" top="0.62992125984251968" bottom="0.62992125984251968" header="0.31496062992125984" footer="0.31496062992125984"/>
  <pageSetup paperSize="14" scale="88" fitToHeight="0" orientation="portrait" horizontalDpi="0" verticalDpi="0" r:id="rId1"/>
  <rowBreaks count="1" manualBreakCount="1">
    <brk id="15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D25C-DA94-4F44-B560-ECF60C32DDAA}">
  <sheetPr>
    <pageSetUpPr fitToPage="1"/>
  </sheetPr>
  <dimension ref="A1:L34"/>
  <sheetViews>
    <sheetView tabSelected="1" view="pageBreakPreview" topLeftCell="A11" zoomScale="112" zoomScaleNormal="100" zoomScaleSheetLayoutView="112" workbookViewId="0">
      <selection activeCell="A25" sqref="A25:XFD26"/>
    </sheetView>
  </sheetViews>
  <sheetFormatPr defaultColWidth="8.7109375" defaultRowHeight="15"/>
  <cols>
    <col min="1" max="1" width="33.5703125" style="12" customWidth="1"/>
    <col min="2" max="6" width="8.7109375" style="12"/>
    <col min="7" max="7" width="6.28515625" style="12" customWidth="1"/>
    <col min="8" max="8" width="8.7109375" style="12"/>
    <col min="9" max="9" width="6.7109375" style="12" customWidth="1"/>
    <col min="10" max="10" width="8.7109375" style="12"/>
    <col min="11" max="11" width="6.42578125" style="12" customWidth="1"/>
    <col min="12" max="16384" width="8.7109375" style="12"/>
  </cols>
  <sheetData>
    <row r="1" spans="1:12" s="7" customFormat="1" ht="52.5" customHeight="1"/>
    <row r="2" spans="1:12" s="7" customFormat="1" ht="10.5" customHeight="1">
      <c r="A2" s="207" t="s">
        <v>23</v>
      </c>
      <c r="B2" s="207"/>
      <c r="C2" s="207"/>
      <c r="D2" s="207"/>
      <c r="E2" s="207"/>
      <c r="F2" s="207"/>
      <c r="G2" s="207"/>
      <c r="H2" s="207"/>
      <c r="I2" s="207"/>
      <c r="J2" s="207"/>
      <c r="K2" s="207"/>
      <c r="L2" s="207"/>
    </row>
    <row r="3" spans="1:12" s="7" customFormat="1" ht="15.95" customHeight="1">
      <c r="A3" s="207" t="s">
        <v>24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</row>
    <row r="4" spans="1:12" s="7" customFormat="1" ht="15.95" customHeight="1">
      <c r="A4" s="207" t="s">
        <v>25</v>
      </c>
      <c r="B4" s="207"/>
      <c r="C4" s="207"/>
      <c r="D4" s="207"/>
      <c r="E4" s="207"/>
      <c r="F4" s="207"/>
      <c r="G4" s="207"/>
      <c r="H4" s="207"/>
      <c r="I4" s="207"/>
      <c r="J4" s="207"/>
      <c r="K4" s="207"/>
      <c r="L4" s="207"/>
    </row>
    <row r="5" spans="1:12" s="7" customFormat="1" ht="15.95" customHeight="1">
      <c r="A5" s="207" t="s">
        <v>26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</row>
    <row r="6" spans="1:12" s="7" customFormat="1" ht="8.25" customHeight="1"/>
    <row r="7" spans="1:12" s="7" customFormat="1" ht="12" customHeight="1">
      <c r="A7" s="7" t="s">
        <v>37</v>
      </c>
      <c r="C7" s="8" t="s">
        <v>38</v>
      </c>
      <c r="D7" s="8"/>
      <c r="G7" s="8" t="s">
        <v>0</v>
      </c>
      <c r="H7" s="9"/>
    </row>
    <row r="8" spans="1:12" s="7" customFormat="1" ht="12" customHeight="1">
      <c r="C8" s="10"/>
      <c r="G8" s="10"/>
      <c r="H8" s="10"/>
    </row>
    <row r="9" spans="1:12" s="7" customFormat="1" ht="12" customHeight="1">
      <c r="A9" s="7" t="s">
        <v>39</v>
      </c>
      <c r="C9" s="8" t="s">
        <v>40</v>
      </c>
      <c r="D9" s="8"/>
      <c r="G9" s="8" t="s">
        <v>1</v>
      </c>
      <c r="H9" s="11"/>
    </row>
    <row r="10" spans="1:12" ht="16.5" customHeight="1" thickBot="1">
      <c r="A10" s="208" t="s">
        <v>41</v>
      </c>
      <c r="B10" s="208"/>
      <c r="C10" s="208"/>
      <c r="D10" s="208"/>
      <c r="E10" s="208"/>
      <c r="F10" s="208"/>
      <c r="G10" s="208"/>
      <c r="H10" s="208"/>
      <c r="I10" s="208"/>
      <c r="J10" s="208"/>
      <c r="K10" s="208"/>
      <c r="L10" s="208"/>
    </row>
    <row r="11" spans="1:12" s="13" customFormat="1" ht="18.75" customHeight="1">
      <c r="A11" s="209" t="s">
        <v>3</v>
      </c>
      <c r="B11" s="211" t="s">
        <v>4</v>
      </c>
      <c r="C11" s="212"/>
      <c r="D11" s="212"/>
      <c r="E11" s="212"/>
      <c r="F11" s="212"/>
      <c r="G11" s="212"/>
      <c r="H11" s="212"/>
      <c r="I11" s="212"/>
      <c r="J11" s="212"/>
      <c r="K11" s="212"/>
      <c r="L11" s="213" t="s">
        <v>7</v>
      </c>
    </row>
    <row r="12" spans="1:12" s="13" customFormat="1" ht="24" customHeight="1">
      <c r="A12" s="210"/>
      <c r="B12" s="215" t="s">
        <v>42</v>
      </c>
      <c r="C12" s="216"/>
      <c r="D12" s="216"/>
      <c r="E12" s="217"/>
      <c r="F12" s="215" t="s">
        <v>43</v>
      </c>
      <c r="G12" s="217"/>
      <c r="H12" s="215" t="s">
        <v>44</v>
      </c>
      <c r="I12" s="217"/>
      <c r="J12" s="215" t="s">
        <v>45</v>
      </c>
      <c r="K12" s="217"/>
      <c r="L12" s="214"/>
    </row>
    <row r="13" spans="1:12" s="13" customFormat="1" ht="24.95" hidden="1" customHeight="1">
      <c r="A13" s="14" t="s">
        <v>46</v>
      </c>
      <c r="B13" s="203" t="s">
        <v>47</v>
      </c>
      <c r="C13" s="204"/>
      <c r="D13" s="204"/>
      <c r="E13" s="205"/>
      <c r="F13" s="203">
        <v>2</v>
      </c>
      <c r="G13" s="205"/>
      <c r="H13" s="203">
        <v>0</v>
      </c>
      <c r="I13" s="205"/>
      <c r="J13" s="203">
        <v>2</v>
      </c>
      <c r="K13" s="205"/>
      <c r="L13" s="15">
        <v>2</v>
      </c>
    </row>
    <row r="14" spans="1:12" s="16" customFormat="1" ht="25.5" hidden="1" customHeight="1">
      <c r="A14" s="14" t="s">
        <v>48</v>
      </c>
      <c r="B14" s="203" t="s">
        <v>47</v>
      </c>
      <c r="C14" s="204"/>
      <c r="D14" s="204"/>
      <c r="E14" s="205"/>
      <c r="F14" s="203"/>
      <c r="G14" s="205"/>
      <c r="H14" s="203">
        <v>1</v>
      </c>
      <c r="I14" s="205"/>
      <c r="J14" s="203">
        <v>1</v>
      </c>
      <c r="K14" s="205"/>
      <c r="L14" s="15">
        <v>1</v>
      </c>
    </row>
    <row r="15" spans="1:12" s="16" customFormat="1" ht="25.5" hidden="1" customHeight="1">
      <c r="A15" s="14" t="s">
        <v>72</v>
      </c>
      <c r="B15" s="203" t="s">
        <v>47</v>
      </c>
      <c r="C15" s="204"/>
      <c r="D15" s="204"/>
      <c r="E15" s="205"/>
      <c r="F15" s="203"/>
      <c r="G15" s="205"/>
      <c r="H15" s="203">
        <v>1</v>
      </c>
      <c r="I15" s="205"/>
      <c r="J15" s="203">
        <v>0</v>
      </c>
      <c r="K15" s="205"/>
      <c r="L15" s="61">
        <v>0</v>
      </c>
    </row>
    <row r="16" spans="1:12" s="16" customFormat="1" ht="35.25" hidden="1" customHeight="1">
      <c r="A16" s="50" t="s">
        <v>75</v>
      </c>
      <c r="B16" s="203" t="s">
        <v>76</v>
      </c>
      <c r="C16" s="204"/>
      <c r="D16" s="204"/>
      <c r="E16" s="205"/>
      <c r="F16" s="203">
        <v>1</v>
      </c>
      <c r="G16" s="205"/>
      <c r="H16" s="203">
        <v>0</v>
      </c>
      <c r="I16" s="205"/>
      <c r="J16" s="203">
        <v>1</v>
      </c>
      <c r="K16" s="205"/>
      <c r="L16" s="51">
        <v>1</v>
      </c>
    </row>
    <row r="17" spans="1:12" s="16" customFormat="1" ht="25.5" hidden="1" customHeight="1">
      <c r="A17" s="50" t="s">
        <v>77</v>
      </c>
      <c r="B17" s="203" t="s">
        <v>78</v>
      </c>
      <c r="C17" s="204"/>
      <c r="D17" s="204"/>
      <c r="E17" s="205"/>
      <c r="F17" s="203">
        <v>1</v>
      </c>
      <c r="G17" s="205"/>
      <c r="H17" s="203">
        <v>0</v>
      </c>
      <c r="I17" s="205"/>
      <c r="J17" s="203">
        <v>1</v>
      </c>
      <c r="K17" s="205"/>
      <c r="L17" s="51">
        <v>1</v>
      </c>
    </row>
    <row r="18" spans="1:12" s="16" customFormat="1" ht="29.25" hidden="1" customHeight="1">
      <c r="A18" s="50" t="s">
        <v>79</v>
      </c>
      <c r="B18" s="203" t="s">
        <v>98</v>
      </c>
      <c r="C18" s="204"/>
      <c r="D18" s="204"/>
      <c r="E18" s="205"/>
      <c r="F18" s="203">
        <v>2</v>
      </c>
      <c r="G18" s="205"/>
      <c r="H18" s="203">
        <v>2</v>
      </c>
      <c r="I18" s="205"/>
      <c r="J18" s="203">
        <v>0</v>
      </c>
      <c r="K18" s="205"/>
      <c r="L18" s="67">
        <v>0</v>
      </c>
    </row>
    <row r="19" spans="1:12" s="16" customFormat="1" ht="30.75" customHeight="1">
      <c r="A19" s="50" t="s">
        <v>94</v>
      </c>
      <c r="B19" s="203" t="s">
        <v>95</v>
      </c>
      <c r="C19" s="204"/>
      <c r="D19" s="204"/>
      <c r="E19" s="205"/>
      <c r="F19" s="203">
        <v>3</v>
      </c>
      <c r="G19" s="205"/>
      <c r="H19" s="203">
        <v>0</v>
      </c>
      <c r="I19" s="205"/>
      <c r="J19" s="203">
        <v>3</v>
      </c>
      <c r="K19" s="205"/>
      <c r="L19" s="71">
        <v>3</v>
      </c>
    </row>
    <row r="20" spans="1:12" s="16" customFormat="1" ht="28.5" customHeight="1">
      <c r="A20" s="70" t="s">
        <v>97</v>
      </c>
      <c r="B20" s="203" t="s">
        <v>95</v>
      </c>
      <c r="C20" s="204"/>
      <c r="D20" s="204"/>
      <c r="E20" s="205"/>
      <c r="F20" s="203"/>
      <c r="G20" s="205"/>
      <c r="H20" s="203">
        <v>1</v>
      </c>
      <c r="I20" s="205"/>
      <c r="J20" s="203">
        <v>2</v>
      </c>
      <c r="K20" s="205"/>
      <c r="L20" s="71">
        <v>2</v>
      </c>
    </row>
    <row r="21" spans="1:12" s="16" customFormat="1" ht="28.5" customHeight="1">
      <c r="A21" s="74" t="s">
        <v>99</v>
      </c>
      <c r="B21" s="203" t="s">
        <v>95</v>
      </c>
      <c r="C21" s="204"/>
      <c r="D21" s="204"/>
      <c r="E21" s="205"/>
      <c r="F21" s="203"/>
      <c r="G21" s="205"/>
      <c r="H21" s="203">
        <v>1</v>
      </c>
      <c r="I21" s="205"/>
      <c r="J21" s="203">
        <v>1</v>
      </c>
      <c r="K21" s="205"/>
      <c r="L21" s="71">
        <v>1</v>
      </c>
    </row>
    <row r="22" spans="1:12" s="16" customFormat="1" ht="28.5" customHeight="1">
      <c r="A22" s="75" t="s">
        <v>100</v>
      </c>
      <c r="B22" s="203" t="s">
        <v>95</v>
      </c>
      <c r="C22" s="204"/>
      <c r="D22" s="204"/>
      <c r="E22" s="205"/>
      <c r="F22" s="203"/>
      <c r="G22" s="205"/>
      <c r="H22" s="203">
        <v>1</v>
      </c>
      <c r="I22" s="205"/>
      <c r="J22" s="203">
        <v>0</v>
      </c>
      <c r="K22" s="205"/>
      <c r="L22" s="67">
        <v>0</v>
      </c>
    </row>
    <row r="23" spans="1:12" s="16" customFormat="1" ht="30.75" customHeight="1">
      <c r="A23" s="50" t="s">
        <v>109</v>
      </c>
      <c r="B23" s="203" t="s">
        <v>110</v>
      </c>
      <c r="C23" s="204"/>
      <c r="D23" s="204"/>
      <c r="E23" s="205"/>
      <c r="F23" s="203">
        <v>1</v>
      </c>
      <c r="G23" s="205"/>
      <c r="H23" s="203">
        <v>0</v>
      </c>
      <c r="I23" s="205"/>
      <c r="J23" s="203">
        <v>1</v>
      </c>
      <c r="K23" s="205"/>
      <c r="L23" s="71">
        <v>1</v>
      </c>
    </row>
    <row r="24" spans="1:12" s="16" customFormat="1" ht="28.5" customHeight="1">
      <c r="A24" s="80" t="s">
        <v>111</v>
      </c>
      <c r="B24" s="203" t="s">
        <v>110</v>
      </c>
      <c r="C24" s="204"/>
      <c r="D24" s="204"/>
      <c r="E24" s="205"/>
      <c r="F24" s="203"/>
      <c r="G24" s="205"/>
      <c r="H24" s="203">
        <v>1</v>
      </c>
      <c r="I24" s="205"/>
      <c r="J24" s="203">
        <v>0</v>
      </c>
      <c r="K24" s="205"/>
      <c r="L24" s="67">
        <v>0</v>
      </c>
    </row>
    <row r="25" spans="1:12" s="16" customFormat="1" ht="30.75" customHeight="1">
      <c r="A25" s="50" t="s">
        <v>188</v>
      </c>
      <c r="B25" s="203" t="s">
        <v>189</v>
      </c>
      <c r="C25" s="204"/>
      <c r="D25" s="204"/>
      <c r="E25" s="205"/>
      <c r="F25" s="203">
        <v>3</v>
      </c>
      <c r="G25" s="205"/>
      <c r="H25" s="203">
        <v>0</v>
      </c>
      <c r="I25" s="205"/>
      <c r="J25" s="203">
        <v>3</v>
      </c>
      <c r="K25" s="205"/>
      <c r="L25" s="71">
        <v>3</v>
      </c>
    </row>
    <row r="26" spans="1:12" s="16" customFormat="1" ht="28.5" customHeight="1">
      <c r="A26" s="114" t="s">
        <v>199</v>
      </c>
      <c r="B26" s="203" t="s">
        <v>189</v>
      </c>
      <c r="C26" s="204"/>
      <c r="D26" s="204"/>
      <c r="E26" s="205"/>
      <c r="F26" s="203"/>
      <c r="G26" s="205"/>
      <c r="H26" s="203">
        <v>1</v>
      </c>
      <c r="I26" s="205"/>
      <c r="J26" s="203">
        <v>2</v>
      </c>
      <c r="K26" s="205"/>
      <c r="L26" s="71">
        <v>2</v>
      </c>
    </row>
    <row r="27" spans="1:12" s="16" customFormat="1" ht="28.5" customHeight="1">
      <c r="A27" s="113" t="s">
        <v>198</v>
      </c>
      <c r="B27" s="203" t="s">
        <v>189</v>
      </c>
      <c r="C27" s="204"/>
      <c r="D27" s="204"/>
      <c r="E27" s="205"/>
      <c r="F27" s="203"/>
      <c r="G27" s="205"/>
      <c r="H27" s="203">
        <v>2</v>
      </c>
      <c r="I27" s="205"/>
      <c r="J27" s="203">
        <v>0</v>
      </c>
      <c r="K27" s="205"/>
      <c r="L27" s="67">
        <v>0</v>
      </c>
    </row>
    <row r="28" spans="1:12" s="16" customFormat="1">
      <c r="A28" s="72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73"/>
    </row>
    <row r="29" spans="1:12" s="7" customFormat="1">
      <c r="A29" s="206"/>
      <c r="B29" s="206"/>
      <c r="C29" s="206"/>
      <c r="D29" s="206"/>
      <c r="E29" s="206"/>
      <c r="F29" s="206"/>
      <c r="G29" s="206"/>
      <c r="H29" s="206"/>
      <c r="I29" s="206"/>
      <c r="J29" s="206"/>
      <c r="K29" s="206"/>
      <c r="L29" s="206"/>
    </row>
    <row r="30" spans="1:12" s="7" customFormat="1">
      <c r="C30" s="18"/>
      <c r="G30" s="7" t="s">
        <v>27</v>
      </c>
    </row>
    <row r="31" spans="1:12">
      <c r="A31" s="7"/>
      <c r="B31" s="7"/>
      <c r="C31" s="18"/>
      <c r="D31" s="7"/>
      <c r="E31" s="7"/>
      <c r="F31" s="7"/>
      <c r="G31" s="7"/>
      <c r="H31" s="7"/>
      <c r="I31" s="7"/>
      <c r="J31" s="7"/>
      <c r="K31" s="7"/>
      <c r="L31" s="7"/>
    </row>
    <row r="32" spans="1:12">
      <c r="I32" s="68" t="s">
        <v>28</v>
      </c>
      <c r="J32" s="68"/>
      <c r="K32" s="69"/>
    </row>
    <row r="33" spans="9:10">
      <c r="I33" s="12" t="s">
        <v>29</v>
      </c>
    </row>
    <row r="34" spans="9:10">
      <c r="I34" s="201" t="s">
        <v>96</v>
      </c>
      <c r="J34" s="202"/>
    </row>
  </sheetData>
  <mergeCells count="74">
    <mergeCell ref="B27:E27"/>
    <mergeCell ref="F27:G27"/>
    <mergeCell ref="H27:I27"/>
    <mergeCell ref="J27:K27"/>
    <mergeCell ref="B25:E25"/>
    <mergeCell ref="F25:G25"/>
    <mergeCell ref="H25:I25"/>
    <mergeCell ref="J25:K25"/>
    <mergeCell ref="B26:E26"/>
    <mergeCell ref="F26:G26"/>
    <mergeCell ref="H26:I26"/>
    <mergeCell ref="J26:K26"/>
    <mergeCell ref="H18:I18"/>
    <mergeCell ref="J18:K18"/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  <mergeCell ref="B13:E13"/>
    <mergeCell ref="F13:G13"/>
    <mergeCell ref="H24:I24"/>
    <mergeCell ref="J24:K24"/>
    <mergeCell ref="H19:I19"/>
    <mergeCell ref="J19:K19"/>
    <mergeCell ref="H20:I20"/>
    <mergeCell ref="J20:K20"/>
    <mergeCell ref="H13:I13"/>
    <mergeCell ref="J13:K13"/>
    <mergeCell ref="F17:G17"/>
    <mergeCell ref="H17:I17"/>
    <mergeCell ref="J17:K17"/>
    <mergeCell ref="H16:I16"/>
    <mergeCell ref="J16:K16"/>
    <mergeCell ref="B14:E14"/>
    <mergeCell ref="F14:G14"/>
    <mergeCell ref="H14:I14"/>
    <mergeCell ref="H15:I15"/>
    <mergeCell ref="J15:K15"/>
    <mergeCell ref="J14:K14"/>
    <mergeCell ref="B19:E19"/>
    <mergeCell ref="B20:E20"/>
    <mergeCell ref="F20:G20"/>
    <mergeCell ref="F19:G19"/>
    <mergeCell ref="B15:E15"/>
    <mergeCell ref="F15:G15"/>
    <mergeCell ref="B16:E16"/>
    <mergeCell ref="F16:G16"/>
    <mergeCell ref="B17:E17"/>
    <mergeCell ref="B18:E18"/>
    <mergeCell ref="F18:G18"/>
    <mergeCell ref="I34:J34"/>
    <mergeCell ref="B21:E21"/>
    <mergeCell ref="F21:G21"/>
    <mergeCell ref="H21:I21"/>
    <mergeCell ref="J21:K21"/>
    <mergeCell ref="A29:L29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</mergeCells>
  <phoneticPr fontId="43" type="noConversion"/>
  <pageMargins left="0.7" right="0.7" top="0.75" bottom="0.75" header="0.3" footer="0.3"/>
  <pageSetup scale="74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7"/>
  <sheetViews>
    <sheetView view="pageBreakPreview" zoomScaleNormal="100" workbookViewId="0">
      <selection activeCell="A23" sqref="A23"/>
    </sheetView>
  </sheetViews>
  <sheetFormatPr defaultColWidth="9" defaultRowHeight="15"/>
  <cols>
    <col min="1" max="1" width="44.5703125" customWidth="1"/>
    <col min="2" max="10" width="11.5703125" customWidth="1"/>
    <col min="11" max="11" width="26.42578125" style="2" customWidth="1"/>
  </cols>
  <sheetData>
    <row r="1" spans="1:11" s="1" customFormat="1" ht="52.5" customHeight="1">
      <c r="A1" s="19"/>
    </row>
    <row r="2" spans="1:11" s="1" customFormat="1" ht="10.5" customHeight="1">
      <c r="A2" s="230" t="s">
        <v>23</v>
      </c>
      <c r="B2" s="230"/>
      <c r="C2" s="230"/>
      <c r="D2" s="230"/>
      <c r="E2" s="230"/>
      <c r="F2" s="230"/>
      <c r="G2" s="230"/>
      <c r="H2" s="230"/>
      <c r="I2" s="230"/>
      <c r="J2" s="230"/>
    </row>
    <row r="3" spans="1:11" s="1" customFormat="1" ht="15.95" customHeight="1">
      <c r="A3" s="230" t="s">
        <v>24</v>
      </c>
      <c r="B3" s="230"/>
      <c r="C3" s="230"/>
      <c r="D3" s="230"/>
      <c r="E3" s="230"/>
      <c r="F3" s="230"/>
      <c r="G3" s="230"/>
      <c r="H3" s="230"/>
      <c r="I3" s="230"/>
      <c r="J3" s="230"/>
    </row>
    <row r="4" spans="1:11" s="1" customFormat="1" ht="15.95" customHeight="1">
      <c r="A4" s="230" t="s">
        <v>25</v>
      </c>
      <c r="B4" s="230"/>
      <c r="C4" s="230"/>
      <c r="D4" s="230"/>
      <c r="E4" s="230"/>
      <c r="F4" s="230"/>
      <c r="G4" s="230"/>
      <c r="H4" s="230"/>
      <c r="I4" s="230"/>
      <c r="J4" s="230"/>
    </row>
    <row r="5" spans="1:11" s="1" customFormat="1" ht="15.95" customHeight="1">
      <c r="A5" s="230" t="s">
        <v>26</v>
      </c>
      <c r="B5" s="230"/>
      <c r="C5" s="230"/>
      <c r="D5" s="230"/>
      <c r="E5" s="230"/>
      <c r="F5" s="230"/>
      <c r="G5" s="230"/>
      <c r="H5" s="230"/>
      <c r="I5" s="230"/>
      <c r="J5" s="230"/>
    </row>
    <row r="6" spans="1:11" s="1" customFormat="1" ht="8.25" customHeight="1">
      <c r="A6" s="19"/>
    </row>
    <row r="7" spans="1:11" s="1" customFormat="1" ht="12" customHeight="1">
      <c r="A7" s="20" t="s">
        <v>37</v>
      </c>
      <c r="B7" s="231" t="s">
        <v>184</v>
      </c>
      <c r="C7" s="218"/>
      <c r="D7" s="218"/>
      <c r="H7" s="104" t="s">
        <v>185</v>
      </c>
      <c r="I7" s="22"/>
      <c r="J7" s="21"/>
    </row>
    <row r="8" spans="1:11" s="1" customFormat="1" ht="12" customHeight="1">
      <c r="A8" s="19"/>
      <c r="B8" s="23"/>
      <c r="C8" s="23"/>
      <c r="H8" s="23"/>
      <c r="I8" s="23"/>
      <c r="J8" s="23"/>
    </row>
    <row r="9" spans="1:11" s="1" customFormat="1" ht="12" customHeight="1">
      <c r="A9" s="20" t="s">
        <v>39</v>
      </c>
      <c r="B9" s="218" t="s">
        <v>40</v>
      </c>
      <c r="C9" s="218"/>
      <c r="D9" s="218"/>
      <c r="H9" s="104" t="s">
        <v>116</v>
      </c>
      <c r="I9" s="24"/>
      <c r="J9" s="21"/>
    </row>
    <row r="10" spans="1:11" ht="16.5" customHeight="1" thickBot="1">
      <c r="A10" s="224" t="s">
        <v>2</v>
      </c>
      <c r="B10" s="224"/>
      <c r="C10" s="224"/>
      <c r="D10" s="224"/>
      <c r="E10" s="224"/>
      <c r="F10" s="224"/>
      <c r="G10" s="224"/>
      <c r="H10" s="224"/>
      <c r="I10" s="224"/>
      <c r="J10" s="224"/>
      <c r="K10"/>
    </row>
    <row r="11" spans="1:11" ht="18.75" customHeight="1">
      <c r="A11" s="222" t="s">
        <v>3</v>
      </c>
      <c r="B11" s="225" t="s">
        <v>4</v>
      </c>
      <c r="C11" s="225"/>
      <c r="D11" s="227" t="s">
        <v>5</v>
      </c>
      <c r="E11" s="228"/>
      <c r="F11" s="228"/>
      <c r="G11" s="229"/>
      <c r="H11" s="226" t="s">
        <v>6</v>
      </c>
      <c r="I11" s="226"/>
      <c r="J11" s="219" t="s">
        <v>7</v>
      </c>
      <c r="K11" s="221" t="s">
        <v>8</v>
      </c>
    </row>
    <row r="12" spans="1:11" ht="18.75" customHeight="1">
      <c r="A12" s="223"/>
      <c r="B12" s="3" t="s">
        <v>9</v>
      </c>
      <c r="C12" s="3" t="s">
        <v>10</v>
      </c>
      <c r="D12" s="3" t="s">
        <v>9</v>
      </c>
      <c r="E12" s="3" t="s">
        <v>10</v>
      </c>
      <c r="F12" s="3" t="s">
        <v>11</v>
      </c>
      <c r="G12" s="3" t="s">
        <v>34</v>
      </c>
      <c r="H12" s="3" t="s">
        <v>9</v>
      </c>
      <c r="I12" s="3" t="s">
        <v>10</v>
      </c>
      <c r="J12" s="220"/>
      <c r="K12" s="221"/>
    </row>
    <row r="13" spans="1:11" ht="18.75" customHeight="1">
      <c r="A13" s="5" t="s">
        <v>51</v>
      </c>
      <c r="B13" s="25"/>
      <c r="C13" s="25"/>
      <c r="D13" s="25"/>
      <c r="E13" s="25"/>
      <c r="F13" s="25"/>
      <c r="G13" s="25"/>
      <c r="H13" s="25">
        <v>46.89</v>
      </c>
      <c r="I13" s="25">
        <v>216.667</v>
      </c>
      <c r="J13" s="26">
        <f>SUM(H13:I13)</f>
        <v>263.55700000000002</v>
      </c>
    </row>
    <row r="14" spans="1:11" ht="18.75" customHeight="1">
      <c r="A14" s="5" t="s">
        <v>52</v>
      </c>
      <c r="B14" s="25">
        <v>0.95799999999999996</v>
      </c>
      <c r="C14" s="25">
        <v>0.95799999999999996</v>
      </c>
      <c r="D14" s="25"/>
      <c r="E14" s="25"/>
      <c r="F14" s="25"/>
      <c r="G14" s="27"/>
      <c r="H14" s="25">
        <f>H13-F14-D14+B14</f>
        <v>47.847999999999999</v>
      </c>
      <c r="I14" s="25">
        <f>I13-E14+C14</f>
        <v>217.625</v>
      </c>
      <c r="J14" s="26">
        <f t="shared" ref="J14" si="0">SUM(H14:I14)</f>
        <v>265.47300000000001</v>
      </c>
    </row>
    <row r="15" spans="1:11" ht="18.75" customHeight="1">
      <c r="A15" s="5" t="s">
        <v>53</v>
      </c>
      <c r="B15" s="25">
        <f>9*1.25</f>
        <v>11.25</v>
      </c>
      <c r="C15" s="25">
        <v>11.25</v>
      </c>
      <c r="D15" s="25"/>
      <c r="E15" s="25"/>
      <c r="F15" s="25"/>
      <c r="G15" s="27"/>
      <c r="H15" s="25">
        <f t="shared" ref="H15:H17" si="1">H14-F15-D15+B15</f>
        <v>59.097999999999999</v>
      </c>
      <c r="I15" s="25">
        <f t="shared" ref="I15:I17" si="2">I14-E15+C15</f>
        <v>228.875</v>
      </c>
      <c r="J15" s="26">
        <f t="shared" ref="J15:J17" si="3">SUM(H15:I15)</f>
        <v>287.97300000000001</v>
      </c>
    </row>
    <row r="16" spans="1:11" ht="18.75" customHeight="1">
      <c r="A16" s="5" t="s">
        <v>54</v>
      </c>
      <c r="B16" s="25"/>
      <c r="C16" s="25"/>
      <c r="D16" s="25">
        <v>5</v>
      </c>
      <c r="E16" s="25"/>
      <c r="F16" s="25"/>
      <c r="G16" s="27"/>
      <c r="H16" s="25">
        <f t="shared" si="1"/>
        <v>54.097999999999999</v>
      </c>
      <c r="I16" s="25">
        <f t="shared" si="2"/>
        <v>228.875</v>
      </c>
      <c r="J16" s="26">
        <f t="shared" si="3"/>
        <v>282.97300000000001</v>
      </c>
    </row>
    <row r="17" spans="1:10" ht="18.75" customHeight="1">
      <c r="A17" s="5" t="s">
        <v>56</v>
      </c>
      <c r="B17" s="25"/>
      <c r="C17" s="25"/>
      <c r="D17" s="25"/>
      <c r="E17" s="25"/>
      <c r="F17" s="25">
        <v>2</v>
      </c>
      <c r="G17" s="27"/>
      <c r="H17" s="25">
        <f t="shared" si="1"/>
        <v>52.097999999999999</v>
      </c>
      <c r="I17" s="25">
        <f t="shared" si="2"/>
        <v>228.875</v>
      </c>
      <c r="J17" s="26">
        <f t="shared" si="3"/>
        <v>280.97300000000001</v>
      </c>
    </row>
    <row r="18" spans="1:10" ht="18.75" customHeight="1">
      <c r="A18" s="5" t="s">
        <v>93</v>
      </c>
      <c r="B18" s="25"/>
      <c r="C18" s="25"/>
      <c r="D18" s="25"/>
      <c r="E18" s="25"/>
      <c r="F18" s="25">
        <v>3</v>
      </c>
      <c r="G18" s="27"/>
      <c r="H18" s="25">
        <f t="shared" ref="H18:H34" si="4">H17-F18-D18+B18</f>
        <v>49.097999999999999</v>
      </c>
      <c r="I18" s="25">
        <f t="shared" ref="I18:I34" si="5">I17-E18+C18</f>
        <v>228.875</v>
      </c>
      <c r="J18" s="26">
        <f t="shared" ref="J18:J34" si="6">SUM(H18:I18)</f>
        <v>277.97300000000001</v>
      </c>
    </row>
    <row r="19" spans="1:10" ht="18.75" customHeight="1">
      <c r="A19" s="5" t="s">
        <v>55</v>
      </c>
      <c r="B19" s="25">
        <v>15</v>
      </c>
      <c r="C19" s="25">
        <v>15</v>
      </c>
      <c r="D19" s="25"/>
      <c r="E19" s="25"/>
      <c r="F19" s="25"/>
      <c r="G19" s="27"/>
      <c r="H19" s="25">
        <f t="shared" si="4"/>
        <v>64.097999999999999</v>
      </c>
      <c r="I19" s="25">
        <f t="shared" si="5"/>
        <v>243.875</v>
      </c>
      <c r="J19" s="26">
        <f t="shared" si="6"/>
        <v>307.97300000000001</v>
      </c>
    </row>
    <row r="20" spans="1:10" ht="18.75" customHeight="1">
      <c r="A20" s="5" t="s">
        <v>57</v>
      </c>
      <c r="B20" s="25"/>
      <c r="C20" s="25"/>
      <c r="D20" s="25">
        <v>29</v>
      </c>
      <c r="E20" s="25"/>
      <c r="F20" s="25"/>
      <c r="G20" s="27"/>
      <c r="H20" s="25">
        <f t="shared" si="4"/>
        <v>35.097999999999999</v>
      </c>
      <c r="I20" s="25">
        <f t="shared" si="5"/>
        <v>243.875</v>
      </c>
      <c r="J20" s="26">
        <f t="shared" si="6"/>
        <v>278.97300000000001</v>
      </c>
    </row>
    <row r="21" spans="1:10" ht="18.75" customHeight="1">
      <c r="A21" s="5" t="s">
        <v>58</v>
      </c>
      <c r="B21" s="25"/>
      <c r="C21" s="25"/>
      <c r="D21" s="25"/>
      <c r="E21" s="25"/>
      <c r="F21" s="25">
        <v>5</v>
      </c>
      <c r="G21" s="27"/>
      <c r="H21" s="25">
        <f t="shared" si="4"/>
        <v>30.097999999999999</v>
      </c>
      <c r="I21" s="25">
        <f t="shared" si="5"/>
        <v>243.875</v>
      </c>
      <c r="J21" s="26">
        <f t="shared" si="6"/>
        <v>273.97300000000001</v>
      </c>
    </row>
    <row r="22" spans="1:10" ht="18.75" customHeight="1">
      <c r="A22" s="5" t="s">
        <v>59</v>
      </c>
      <c r="B22" s="25">
        <v>1.25</v>
      </c>
      <c r="C22" s="25">
        <v>1.25</v>
      </c>
      <c r="D22" s="25"/>
      <c r="E22" s="25"/>
      <c r="F22" s="25"/>
      <c r="G22" s="27"/>
      <c r="H22" s="25">
        <f t="shared" si="4"/>
        <v>31.347999999999999</v>
      </c>
      <c r="I22" s="25">
        <f t="shared" si="5"/>
        <v>245.125</v>
      </c>
      <c r="J22" s="26">
        <f t="shared" si="6"/>
        <v>276.47300000000001</v>
      </c>
    </row>
    <row r="23" spans="1:10" ht="18.75" customHeight="1">
      <c r="A23" s="6">
        <v>44601</v>
      </c>
      <c r="B23" s="25"/>
      <c r="C23" s="25"/>
      <c r="D23" s="25"/>
      <c r="E23" s="25"/>
      <c r="F23" s="25"/>
      <c r="G23" s="27">
        <v>1</v>
      </c>
      <c r="H23" s="25">
        <f t="shared" si="4"/>
        <v>31.347999999999999</v>
      </c>
      <c r="I23" s="25">
        <f t="shared" si="5"/>
        <v>245.125</v>
      </c>
      <c r="J23" s="26">
        <f t="shared" si="6"/>
        <v>276.47300000000001</v>
      </c>
    </row>
    <row r="24" spans="1:10" ht="18.75" customHeight="1">
      <c r="A24" s="5" t="s">
        <v>12</v>
      </c>
      <c r="B24" s="25">
        <v>2.5</v>
      </c>
      <c r="C24" s="25">
        <v>2.5</v>
      </c>
      <c r="D24" s="25"/>
      <c r="E24" s="25"/>
      <c r="F24" s="25"/>
      <c r="G24" s="25"/>
      <c r="H24" s="25">
        <f t="shared" si="4"/>
        <v>33.847999999999999</v>
      </c>
      <c r="I24" s="25">
        <f t="shared" si="5"/>
        <v>247.625</v>
      </c>
      <c r="J24" s="26">
        <f t="shared" si="6"/>
        <v>281.47300000000001</v>
      </c>
    </row>
    <row r="25" spans="1:10" ht="18.75" customHeight="1">
      <c r="A25" s="5" t="s">
        <v>13</v>
      </c>
      <c r="B25" s="25"/>
      <c r="C25" s="25"/>
      <c r="D25" s="25"/>
      <c r="E25" s="25">
        <v>2</v>
      </c>
      <c r="F25" s="25"/>
      <c r="G25" s="25"/>
      <c r="H25" s="25">
        <f t="shared" si="4"/>
        <v>33.847999999999999</v>
      </c>
      <c r="I25" s="25">
        <f t="shared" si="5"/>
        <v>245.625</v>
      </c>
      <c r="J25" s="26">
        <f t="shared" si="6"/>
        <v>279.47300000000001</v>
      </c>
    </row>
    <row r="26" spans="1:10" ht="18.75" customHeight="1">
      <c r="A26" s="5" t="s">
        <v>14</v>
      </c>
      <c r="B26" s="25">
        <v>2.5</v>
      </c>
      <c r="C26" s="25">
        <v>2.5</v>
      </c>
      <c r="D26" s="25"/>
      <c r="E26" s="25"/>
      <c r="F26" s="25"/>
      <c r="G26" s="25"/>
      <c r="H26" s="25">
        <f t="shared" si="4"/>
        <v>36.347999999999999</v>
      </c>
      <c r="I26" s="25">
        <f t="shared" si="5"/>
        <v>248.125</v>
      </c>
      <c r="J26" s="26">
        <f t="shared" si="6"/>
        <v>284.47300000000001</v>
      </c>
    </row>
    <row r="27" spans="1:10" ht="18.75" customHeight="1">
      <c r="A27" s="5" t="s">
        <v>15</v>
      </c>
      <c r="B27" s="25"/>
      <c r="C27" s="25"/>
      <c r="D27" s="25"/>
      <c r="E27" s="25">
        <v>1</v>
      </c>
      <c r="F27" s="25"/>
      <c r="G27" s="25"/>
      <c r="H27" s="25">
        <f t="shared" si="4"/>
        <v>36.347999999999999</v>
      </c>
      <c r="I27" s="25">
        <f t="shared" si="5"/>
        <v>247.125</v>
      </c>
      <c r="J27" s="26">
        <f t="shared" si="6"/>
        <v>283.47300000000001</v>
      </c>
    </row>
    <row r="28" spans="1:10" ht="18.75" customHeight="1">
      <c r="A28" s="5" t="s">
        <v>16</v>
      </c>
      <c r="B28" s="25">
        <v>2.5</v>
      </c>
      <c r="C28" s="25">
        <v>2.5</v>
      </c>
      <c r="D28" s="25"/>
      <c r="E28" s="25"/>
      <c r="F28" s="25"/>
      <c r="G28" s="25"/>
      <c r="H28" s="25">
        <f t="shared" si="4"/>
        <v>38.847999999999999</v>
      </c>
      <c r="I28" s="25">
        <f t="shared" si="5"/>
        <v>249.625</v>
      </c>
      <c r="J28" s="26">
        <f t="shared" si="6"/>
        <v>288.47300000000001</v>
      </c>
    </row>
    <row r="29" spans="1:10" ht="18.75" customHeight="1">
      <c r="A29" s="5" t="s">
        <v>17</v>
      </c>
      <c r="B29" s="25"/>
      <c r="C29" s="25"/>
      <c r="D29" s="25"/>
      <c r="E29" s="25">
        <v>1</v>
      </c>
      <c r="F29" s="25"/>
      <c r="G29" s="25"/>
      <c r="H29" s="25">
        <f t="shared" si="4"/>
        <v>38.847999999999999</v>
      </c>
      <c r="I29" s="25">
        <f t="shared" si="5"/>
        <v>248.625</v>
      </c>
      <c r="J29" s="26">
        <f t="shared" si="6"/>
        <v>287.47300000000001</v>
      </c>
    </row>
    <row r="30" spans="1:10" ht="18.75" customHeight="1">
      <c r="A30" s="5" t="s">
        <v>18</v>
      </c>
      <c r="B30" s="25"/>
      <c r="C30" s="25"/>
      <c r="D30" s="25"/>
      <c r="E30" s="25">
        <v>1</v>
      </c>
      <c r="F30" s="25"/>
      <c r="G30" s="25"/>
      <c r="H30" s="25">
        <f t="shared" si="4"/>
        <v>38.847999999999999</v>
      </c>
      <c r="I30" s="25">
        <f t="shared" si="5"/>
        <v>247.625</v>
      </c>
      <c r="J30" s="26">
        <f t="shared" si="6"/>
        <v>286.47300000000001</v>
      </c>
    </row>
    <row r="31" spans="1:10" ht="18.75" customHeight="1">
      <c r="A31" s="5" t="s">
        <v>19</v>
      </c>
      <c r="B31" s="25">
        <v>1.25</v>
      </c>
      <c r="C31" s="25">
        <v>1.25</v>
      </c>
      <c r="D31" s="25"/>
      <c r="E31" s="25"/>
      <c r="F31" s="25"/>
      <c r="G31" s="25"/>
      <c r="H31" s="25">
        <f t="shared" si="4"/>
        <v>40.097999999999999</v>
      </c>
      <c r="I31" s="25">
        <f t="shared" si="5"/>
        <v>248.875</v>
      </c>
      <c r="J31" s="26">
        <f t="shared" si="6"/>
        <v>288.97300000000001</v>
      </c>
    </row>
    <row r="32" spans="1:10" ht="18.75" customHeight="1">
      <c r="A32" s="5" t="s">
        <v>20</v>
      </c>
      <c r="B32" s="25"/>
      <c r="C32" s="25"/>
      <c r="D32" s="25"/>
      <c r="E32" s="25"/>
      <c r="F32" s="25">
        <v>1</v>
      </c>
      <c r="G32" s="25"/>
      <c r="H32" s="25">
        <f t="shared" si="4"/>
        <v>39.097999999999999</v>
      </c>
      <c r="I32" s="25">
        <f t="shared" si="5"/>
        <v>248.875</v>
      </c>
      <c r="J32" s="26">
        <f t="shared" si="6"/>
        <v>287.97300000000001</v>
      </c>
    </row>
    <row r="33" spans="1:10" ht="18.75" customHeight="1">
      <c r="A33" s="5" t="s">
        <v>21</v>
      </c>
      <c r="B33" s="25"/>
      <c r="C33" s="25"/>
      <c r="D33" s="25"/>
      <c r="E33" s="25"/>
      <c r="F33" s="25">
        <v>1</v>
      </c>
      <c r="G33" s="25"/>
      <c r="H33" s="25">
        <f t="shared" si="4"/>
        <v>38.097999999999999</v>
      </c>
      <c r="I33" s="25">
        <f t="shared" si="5"/>
        <v>248.875</v>
      </c>
      <c r="J33" s="26">
        <f t="shared" si="6"/>
        <v>286.97300000000001</v>
      </c>
    </row>
    <row r="34" spans="1:10" ht="18.75" customHeight="1">
      <c r="A34" s="4" t="s">
        <v>22</v>
      </c>
      <c r="B34" s="25"/>
      <c r="C34" s="25"/>
      <c r="D34" s="25">
        <v>29</v>
      </c>
      <c r="E34" s="25"/>
      <c r="F34" s="25"/>
      <c r="G34" s="25"/>
      <c r="H34" s="25">
        <f t="shared" si="4"/>
        <v>9.097999999999999</v>
      </c>
      <c r="I34" s="25">
        <f t="shared" si="5"/>
        <v>248.875</v>
      </c>
      <c r="J34" s="26">
        <f t="shared" si="6"/>
        <v>257.97300000000001</v>
      </c>
    </row>
    <row r="35" spans="1:10" ht="18.75" customHeight="1">
      <c r="A35" s="5" t="s">
        <v>31</v>
      </c>
      <c r="B35" s="25">
        <v>3.75</v>
      </c>
      <c r="C35" s="25">
        <v>3.75</v>
      </c>
      <c r="D35" s="25"/>
      <c r="E35" s="25"/>
      <c r="F35" s="25"/>
      <c r="G35" s="25"/>
      <c r="H35" s="25">
        <f t="shared" ref="H35:H56" si="7">H34-F35-D35+B35</f>
        <v>12.847999999999999</v>
      </c>
      <c r="I35" s="25">
        <f t="shared" ref="I35:I56" si="8">I34-E35+C35</f>
        <v>252.625</v>
      </c>
      <c r="J35" s="26">
        <f t="shared" ref="J35:J56" si="9">SUM(H35:I35)</f>
        <v>265.47300000000001</v>
      </c>
    </row>
    <row r="36" spans="1:10" ht="18.75" customHeight="1">
      <c r="A36" s="5" t="s">
        <v>32</v>
      </c>
      <c r="B36" s="25"/>
      <c r="C36" s="25"/>
      <c r="D36" s="25"/>
      <c r="E36" s="25"/>
      <c r="F36" s="25">
        <v>2</v>
      </c>
      <c r="G36" s="25"/>
      <c r="H36" s="25">
        <f t="shared" si="7"/>
        <v>10.847999999999999</v>
      </c>
      <c r="I36" s="25">
        <f t="shared" si="8"/>
        <v>252.625</v>
      </c>
      <c r="J36" s="26">
        <f t="shared" si="9"/>
        <v>263.47300000000001</v>
      </c>
    </row>
    <row r="37" spans="1:10" ht="18.75" customHeight="1">
      <c r="A37" s="4" t="s">
        <v>33</v>
      </c>
      <c r="B37" s="25"/>
      <c r="C37" s="25"/>
      <c r="D37" s="25"/>
      <c r="E37" s="25"/>
      <c r="F37" s="25"/>
      <c r="G37" s="25">
        <v>1</v>
      </c>
      <c r="H37" s="25">
        <f t="shared" si="7"/>
        <v>10.847999999999999</v>
      </c>
      <c r="I37" s="25">
        <f t="shared" si="8"/>
        <v>252.625</v>
      </c>
      <c r="J37" s="26">
        <f t="shared" si="9"/>
        <v>263.47300000000001</v>
      </c>
    </row>
    <row r="38" spans="1:10" ht="18.75" customHeight="1">
      <c r="A38" s="4" t="s">
        <v>35</v>
      </c>
      <c r="B38" s="25"/>
      <c r="C38" s="25"/>
      <c r="D38" s="25"/>
      <c r="E38" s="25"/>
      <c r="F38" s="25">
        <v>1</v>
      </c>
      <c r="G38" s="25"/>
      <c r="H38" s="25">
        <f t="shared" si="7"/>
        <v>9.847999999999999</v>
      </c>
      <c r="I38" s="25">
        <f t="shared" si="8"/>
        <v>252.625</v>
      </c>
      <c r="J38" s="26">
        <f t="shared" si="9"/>
        <v>262.47300000000001</v>
      </c>
    </row>
    <row r="39" spans="1:10" ht="18.75" customHeight="1">
      <c r="A39" s="4" t="s">
        <v>36</v>
      </c>
      <c r="B39" s="25">
        <v>1</v>
      </c>
      <c r="C39" s="25"/>
      <c r="D39" s="25"/>
      <c r="E39" s="25"/>
      <c r="F39" s="25"/>
      <c r="G39" s="25"/>
      <c r="H39" s="25">
        <f t="shared" si="7"/>
        <v>10.847999999999999</v>
      </c>
      <c r="I39" s="25">
        <f t="shared" si="8"/>
        <v>252.625</v>
      </c>
      <c r="J39" s="26">
        <f t="shared" si="9"/>
        <v>263.47300000000001</v>
      </c>
    </row>
    <row r="40" spans="1:10" ht="18.75" customHeight="1">
      <c r="A40" s="4" t="s">
        <v>49</v>
      </c>
      <c r="B40" s="25">
        <v>1.25</v>
      </c>
      <c r="C40" s="25">
        <v>1.25</v>
      </c>
      <c r="D40" s="25"/>
      <c r="E40" s="25"/>
      <c r="F40" s="25"/>
      <c r="G40" s="25"/>
      <c r="H40" s="25">
        <f t="shared" si="7"/>
        <v>12.097999999999999</v>
      </c>
      <c r="I40" s="25">
        <f t="shared" si="8"/>
        <v>253.875</v>
      </c>
      <c r="J40" s="26">
        <f t="shared" si="9"/>
        <v>265.97300000000001</v>
      </c>
    </row>
    <row r="41" spans="1:10" ht="18.75" customHeight="1">
      <c r="A41" s="43" t="s">
        <v>50</v>
      </c>
      <c r="B41" s="28">
        <v>5</v>
      </c>
      <c r="C41" s="28">
        <v>5</v>
      </c>
      <c r="D41" s="28"/>
      <c r="E41" s="28"/>
      <c r="F41" s="28"/>
      <c r="G41" s="28"/>
      <c r="H41" s="25">
        <f t="shared" si="7"/>
        <v>17.097999999999999</v>
      </c>
      <c r="I41" s="25">
        <f t="shared" si="8"/>
        <v>258.875</v>
      </c>
      <c r="J41" s="26">
        <f t="shared" si="9"/>
        <v>275.97300000000001</v>
      </c>
    </row>
    <row r="42" spans="1:10" ht="15.75">
      <c r="A42" s="45" t="s">
        <v>68</v>
      </c>
      <c r="B42" s="46">
        <v>5</v>
      </c>
      <c r="C42" s="46">
        <v>5</v>
      </c>
      <c r="D42" s="44"/>
      <c r="E42" s="44"/>
      <c r="F42" s="44"/>
      <c r="G42" s="44"/>
      <c r="H42" s="25">
        <f t="shared" si="7"/>
        <v>22.097999999999999</v>
      </c>
      <c r="I42" s="25">
        <f t="shared" si="8"/>
        <v>263.875</v>
      </c>
      <c r="J42" s="26">
        <f t="shared" si="9"/>
        <v>285.97300000000001</v>
      </c>
    </row>
    <row r="43" spans="1:10" ht="15.75">
      <c r="A43" s="47" t="s">
        <v>69</v>
      </c>
      <c r="B43" s="44"/>
      <c r="C43" s="44"/>
      <c r="D43" s="46">
        <v>15</v>
      </c>
      <c r="E43" s="46">
        <v>14</v>
      </c>
      <c r="F43" s="46"/>
      <c r="G43" s="46"/>
      <c r="H43" s="25">
        <f t="shared" si="7"/>
        <v>7.097999999999999</v>
      </c>
      <c r="I43" s="25">
        <f t="shared" si="8"/>
        <v>249.875</v>
      </c>
      <c r="J43" s="26">
        <f t="shared" si="9"/>
        <v>256.97300000000001</v>
      </c>
    </row>
    <row r="44" spans="1:10" ht="15.75">
      <c r="A44" s="48" t="s">
        <v>71</v>
      </c>
      <c r="B44" s="44"/>
      <c r="C44" s="44"/>
      <c r="D44" s="44"/>
      <c r="E44" s="44"/>
      <c r="F44" s="44"/>
      <c r="G44" s="46">
        <v>1</v>
      </c>
      <c r="H44" s="25">
        <f t="shared" si="7"/>
        <v>7.097999999999999</v>
      </c>
      <c r="I44" s="25">
        <f t="shared" si="8"/>
        <v>249.875</v>
      </c>
      <c r="J44" s="26">
        <f t="shared" si="9"/>
        <v>256.97300000000001</v>
      </c>
    </row>
    <row r="45" spans="1:10" ht="15.75">
      <c r="A45" s="48" t="s">
        <v>70</v>
      </c>
      <c r="B45" s="44"/>
      <c r="C45" s="44"/>
      <c r="D45" s="44"/>
      <c r="E45" s="44"/>
      <c r="F45" s="44"/>
      <c r="G45" s="46">
        <v>1</v>
      </c>
      <c r="H45" s="25">
        <f t="shared" si="7"/>
        <v>7.097999999999999</v>
      </c>
      <c r="I45" s="25">
        <f t="shared" si="8"/>
        <v>249.875</v>
      </c>
      <c r="J45" s="26">
        <f t="shared" si="9"/>
        <v>256.97300000000001</v>
      </c>
    </row>
    <row r="46" spans="1:10" ht="15.75">
      <c r="A46" s="48" t="s">
        <v>73</v>
      </c>
      <c r="B46" s="48"/>
      <c r="C46" s="48"/>
      <c r="D46" s="48"/>
      <c r="E46" s="48"/>
      <c r="F46" s="48">
        <v>1</v>
      </c>
      <c r="G46" s="48"/>
      <c r="H46" s="25">
        <f t="shared" si="7"/>
        <v>6.097999999999999</v>
      </c>
      <c r="I46" s="25">
        <f t="shared" si="8"/>
        <v>249.875</v>
      </c>
      <c r="J46" s="26">
        <f t="shared" si="9"/>
        <v>255.97300000000001</v>
      </c>
    </row>
    <row r="47" spans="1:10" ht="15.75">
      <c r="A47" s="48" t="s">
        <v>74</v>
      </c>
      <c r="B47" s="48">
        <v>1.25</v>
      </c>
      <c r="C47" s="48">
        <v>1.25</v>
      </c>
      <c r="D47" s="48"/>
      <c r="E47" s="48"/>
      <c r="F47" s="48"/>
      <c r="G47" s="48"/>
      <c r="H47" s="25">
        <f t="shared" si="7"/>
        <v>7.347999999999999</v>
      </c>
      <c r="I47" s="25">
        <f t="shared" si="8"/>
        <v>251.125</v>
      </c>
      <c r="J47" s="26">
        <f t="shared" si="9"/>
        <v>258.47300000000001</v>
      </c>
    </row>
    <row r="48" spans="1:10" ht="15.75">
      <c r="A48" s="48" t="s">
        <v>80</v>
      </c>
      <c r="B48" s="48"/>
      <c r="C48" s="48"/>
      <c r="D48" s="48"/>
      <c r="E48" s="48"/>
      <c r="F48" s="48"/>
      <c r="G48" s="48">
        <v>1</v>
      </c>
      <c r="H48" s="25">
        <f t="shared" si="7"/>
        <v>7.347999999999999</v>
      </c>
      <c r="I48" s="25">
        <f t="shared" si="8"/>
        <v>251.125</v>
      </c>
      <c r="J48" s="26">
        <f t="shared" si="9"/>
        <v>258.47300000000001</v>
      </c>
    </row>
    <row r="49" spans="1:10" ht="15.75">
      <c r="A49" s="48" t="s">
        <v>81</v>
      </c>
      <c r="B49" s="48"/>
      <c r="C49" s="48"/>
      <c r="D49" s="48"/>
      <c r="E49" s="48"/>
      <c r="F49" s="48">
        <v>4</v>
      </c>
      <c r="G49" s="48"/>
      <c r="H49" s="25">
        <f t="shared" si="7"/>
        <v>3.347999999999999</v>
      </c>
      <c r="I49" s="25">
        <f t="shared" si="8"/>
        <v>251.125</v>
      </c>
      <c r="J49" s="26">
        <f t="shared" si="9"/>
        <v>254.47300000000001</v>
      </c>
    </row>
    <row r="50" spans="1:10" ht="15.75">
      <c r="A50" s="48" t="s">
        <v>82</v>
      </c>
      <c r="B50" s="48">
        <v>2.5</v>
      </c>
      <c r="C50" s="48">
        <v>2.5</v>
      </c>
      <c r="D50" s="48"/>
      <c r="E50" s="48"/>
      <c r="F50" s="48"/>
      <c r="G50" s="48"/>
      <c r="H50" s="25">
        <f t="shared" si="7"/>
        <v>5.847999999999999</v>
      </c>
      <c r="I50" s="25">
        <f t="shared" si="8"/>
        <v>253.625</v>
      </c>
      <c r="J50" s="26">
        <f t="shared" si="9"/>
        <v>259.47300000000001</v>
      </c>
    </row>
    <row r="51" spans="1:10" ht="15.75">
      <c r="A51" s="52" t="s">
        <v>83</v>
      </c>
      <c r="B51" s="48">
        <v>1.25</v>
      </c>
      <c r="C51" s="48">
        <v>1.25</v>
      </c>
      <c r="D51" s="48"/>
      <c r="E51" s="48"/>
      <c r="F51" s="48"/>
      <c r="G51" s="48"/>
      <c r="H51" s="25">
        <f t="shared" si="7"/>
        <v>7.097999999999999</v>
      </c>
      <c r="I51" s="25">
        <f t="shared" si="8"/>
        <v>254.875</v>
      </c>
      <c r="J51" s="26">
        <f t="shared" si="9"/>
        <v>261.97300000000001</v>
      </c>
    </row>
    <row r="52" spans="1:10" ht="15.75">
      <c r="A52" s="52" t="s">
        <v>84</v>
      </c>
      <c r="B52" s="48">
        <v>3</v>
      </c>
      <c r="C52" s="48"/>
      <c r="D52" s="48"/>
      <c r="E52" s="48"/>
      <c r="F52" s="48"/>
      <c r="G52" s="48"/>
      <c r="H52" s="25">
        <f t="shared" si="7"/>
        <v>10.097999999999999</v>
      </c>
      <c r="I52" s="25">
        <f t="shared" si="8"/>
        <v>254.875</v>
      </c>
      <c r="J52" s="26">
        <f t="shared" si="9"/>
        <v>264.97300000000001</v>
      </c>
    </row>
    <row r="53" spans="1:10" ht="15.75">
      <c r="A53" s="53" t="s">
        <v>85</v>
      </c>
      <c r="B53" s="48">
        <v>6.25</v>
      </c>
      <c r="C53" s="48">
        <v>6.25</v>
      </c>
      <c r="D53" s="48"/>
      <c r="E53" s="48"/>
      <c r="F53" s="48"/>
      <c r="G53" s="48"/>
      <c r="H53" s="25">
        <f t="shared" si="7"/>
        <v>16.347999999999999</v>
      </c>
      <c r="I53" s="25">
        <f t="shared" si="8"/>
        <v>261.125</v>
      </c>
      <c r="J53" s="26">
        <f t="shared" si="9"/>
        <v>277.47300000000001</v>
      </c>
    </row>
    <row r="54" spans="1:10" ht="15.75">
      <c r="A54" s="62" t="s">
        <v>90</v>
      </c>
      <c r="B54" s="48"/>
      <c r="C54" s="48"/>
      <c r="D54" s="48"/>
      <c r="E54" s="48">
        <v>1</v>
      </c>
      <c r="F54" s="48"/>
      <c r="G54" s="48"/>
      <c r="H54" s="25">
        <f t="shared" si="7"/>
        <v>16.347999999999999</v>
      </c>
      <c r="I54" s="25">
        <f t="shared" si="8"/>
        <v>260.125</v>
      </c>
      <c r="J54" s="26">
        <f t="shared" si="9"/>
        <v>276.47300000000001</v>
      </c>
    </row>
    <row r="55" spans="1:10" ht="15.75">
      <c r="A55" s="63" t="s">
        <v>91</v>
      </c>
      <c r="B55" s="48">
        <v>2.5</v>
      </c>
      <c r="C55" s="48">
        <v>2.5</v>
      </c>
      <c r="D55" s="48"/>
      <c r="E55" s="48"/>
      <c r="F55" s="48"/>
      <c r="G55" s="48"/>
      <c r="H55" s="25">
        <f t="shared" si="7"/>
        <v>18.847999999999999</v>
      </c>
      <c r="I55" s="25">
        <f t="shared" si="8"/>
        <v>262.625</v>
      </c>
      <c r="J55" s="26">
        <f t="shared" si="9"/>
        <v>281.47300000000001</v>
      </c>
    </row>
    <row r="56" spans="1:10" ht="15.75">
      <c r="A56" s="65" t="s">
        <v>92</v>
      </c>
      <c r="B56" s="48"/>
      <c r="C56" s="48"/>
      <c r="D56" s="48">
        <v>13.848000000000001</v>
      </c>
      <c r="E56" s="48">
        <v>16.152000000000001</v>
      </c>
      <c r="F56" s="48"/>
      <c r="G56" s="48"/>
      <c r="H56" s="66">
        <f t="shared" si="7"/>
        <v>4.9999999999999982</v>
      </c>
      <c r="I56" s="66">
        <f t="shared" si="8"/>
        <v>246.47300000000001</v>
      </c>
      <c r="J56" s="66">
        <f t="shared" si="9"/>
        <v>251.47300000000001</v>
      </c>
    </row>
    <row r="57" spans="1:10" ht="15.75">
      <c r="A57" s="76" t="s">
        <v>101</v>
      </c>
      <c r="B57" s="48">
        <v>3.75</v>
      </c>
      <c r="C57" s="48">
        <v>3.75</v>
      </c>
      <c r="D57" s="48"/>
      <c r="E57" s="48"/>
      <c r="F57" s="48"/>
      <c r="G57" s="48"/>
      <c r="H57" s="66">
        <f>H56-F57-D57+B57</f>
        <v>8.7499999999999982</v>
      </c>
      <c r="I57" s="66">
        <f t="shared" ref="I57:I58" si="10">I56-E57+C57</f>
        <v>250.22300000000001</v>
      </c>
      <c r="J57" s="66">
        <f t="shared" ref="J57:J58" si="11">SUM(H57:I57)</f>
        <v>258.97300000000001</v>
      </c>
    </row>
    <row r="58" spans="1:10" ht="15.75">
      <c r="A58" s="76" t="s">
        <v>102</v>
      </c>
      <c r="B58" s="48"/>
      <c r="C58" s="48"/>
      <c r="D58" s="48"/>
      <c r="E58" s="48"/>
      <c r="F58" s="48">
        <v>5</v>
      </c>
      <c r="G58" s="48"/>
      <c r="H58" s="66">
        <f>H57-F58-D58+B58</f>
        <v>3.7499999999999982</v>
      </c>
      <c r="I58" s="66">
        <f t="shared" si="10"/>
        <v>250.22300000000001</v>
      </c>
      <c r="J58" s="66">
        <f t="shared" si="11"/>
        <v>253.97300000000001</v>
      </c>
    </row>
    <row r="59" spans="1:10" ht="15.75">
      <c r="A59" s="77" t="s">
        <v>103</v>
      </c>
      <c r="B59" s="48"/>
      <c r="C59" s="48"/>
      <c r="D59" s="48"/>
      <c r="E59" s="48">
        <v>1</v>
      </c>
      <c r="F59" s="48"/>
      <c r="G59" s="48"/>
      <c r="H59" s="66">
        <f t="shared" ref="H59" si="12">H58-F59-D59+B59</f>
        <v>3.7499999999999982</v>
      </c>
      <c r="I59" s="66">
        <f t="shared" ref="I59" si="13">I58-E59+C59</f>
        <v>249.22300000000001</v>
      </c>
      <c r="J59" s="66">
        <f t="shared" ref="J59" si="14">SUM(H59:I59)</f>
        <v>252.97300000000001</v>
      </c>
    </row>
    <row r="60" spans="1:10" ht="15.75">
      <c r="A60" s="78" t="s">
        <v>104</v>
      </c>
      <c r="B60" s="48">
        <v>1.25</v>
      </c>
      <c r="C60" s="48">
        <v>1.25</v>
      </c>
      <c r="D60" s="48"/>
      <c r="E60" s="48"/>
      <c r="F60" s="48"/>
      <c r="G60" s="48"/>
      <c r="H60" s="66">
        <f t="shared" ref="H60:H61" si="15">H59-F60-D60+B60</f>
        <v>4.9999999999999982</v>
      </c>
      <c r="I60" s="66">
        <f t="shared" ref="I60:I61" si="16">I59-E60+C60</f>
        <v>250.47300000000001</v>
      </c>
      <c r="J60" s="66">
        <f t="shared" ref="J60:J61" si="17">SUM(H60:I60)</f>
        <v>255.47300000000001</v>
      </c>
    </row>
    <row r="61" spans="1:10" ht="15.75">
      <c r="A61" s="78" t="s">
        <v>105</v>
      </c>
      <c r="B61" s="48"/>
      <c r="C61" s="48"/>
      <c r="D61" s="48"/>
      <c r="E61" s="48"/>
      <c r="F61" s="48"/>
      <c r="G61" s="48">
        <v>2</v>
      </c>
      <c r="H61" s="66">
        <f t="shared" si="15"/>
        <v>4.9999999999999982</v>
      </c>
      <c r="I61" s="66">
        <f t="shared" si="16"/>
        <v>250.47300000000001</v>
      </c>
      <c r="J61" s="66">
        <f t="shared" si="17"/>
        <v>255.47300000000001</v>
      </c>
    </row>
    <row r="62" spans="1:10" ht="15.75">
      <c r="A62" s="79" t="s">
        <v>106</v>
      </c>
      <c r="B62" s="48">
        <v>1.25</v>
      </c>
      <c r="C62" s="48">
        <v>1.25</v>
      </c>
      <c r="D62" s="48"/>
      <c r="E62" s="48"/>
      <c r="F62" s="48"/>
      <c r="G62" s="48"/>
      <c r="H62" s="66">
        <f t="shared" ref="H62:H64" si="18">H61-F62-D62+B62</f>
        <v>6.2499999999999982</v>
      </c>
      <c r="I62" s="66">
        <f t="shared" ref="I62:I64" si="19">I61-E62+C62</f>
        <v>251.72300000000001</v>
      </c>
      <c r="J62" s="66">
        <f t="shared" ref="J62:J64" si="20">SUM(H62:I62)</f>
        <v>257.97300000000001</v>
      </c>
    </row>
    <row r="63" spans="1:10" ht="15.75">
      <c r="A63" s="79" t="s">
        <v>107</v>
      </c>
      <c r="B63" s="48">
        <v>1.25</v>
      </c>
      <c r="C63" s="48">
        <v>1.25</v>
      </c>
      <c r="D63" s="48"/>
      <c r="E63" s="48"/>
      <c r="F63" s="48"/>
      <c r="G63" s="48"/>
      <c r="H63" s="66">
        <f t="shared" si="18"/>
        <v>7.4999999999999982</v>
      </c>
      <c r="I63" s="66">
        <f t="shared" si="19"/>
        <v>252.97300000000001</v>
      </c>
      <c r="J63" s="66">
        <f t="shared" si="20"/>
        <v>260.47300000000001</v>
      </c>
    </row>
    <row r="64" spans="1:10" ht="15.75">
      <c r="A64" s="79" t="s">
        <v>108</v>
      </c>
      <c r="B64" s="48"/>
      <c r="C64" s="48"/>
      <c r="D64" s="48"/>
      <c r="E64" s="48">
        <v>2</v>
      </c>
      <c r="F64" s="48"/>
      <c r="G64" s="48"/>
      <c r="H64" s="66">
        <f t="shared" si="18"/>
        <v>7.4999999999999982</v>
      </c>
      <c r="I64" s="66">
        <f t="shared" si="19"/>
        <v>250.97300000000001</v>
      </c>
      <c r="J64" s="66">
        <f t="shared" si="20"/>
        <v>258.47300000000001</v>
      </c>
    </row>
    <row r="65" spans="1:11" ht="15.75">
      <c r="A65" s="81" t="s">
        <v>112</v>
      </c>
      <c r="B65" s="48">
        <v>2.5</v>
      </c>
      <c r="C65" s="48">
        <v>2.5</v>
      </c>
      <c r="D65" s="48"/>
      <c r="E65" s="48"/>
      <c r="F65" s="48"/>
      <c r="G65" s="48"/>
      <c r="H65" s="66">
        <f t="shared" ref="H65" si="21">H64-F65-D65+B65</f>
        <v>9.9999999999999982</v>
      </c>
      <c r="I65" s="66">
        <f t="shared" ref="I65" si="22">I64-E65+C65</f>
        <v>253.47300000000001</v>
      </c>
      <c r="J65" s="66">
        <f t="shared" ref="J65" si="23">SUM(H65:I65)</f>
        <v>263.47300000000001</v>
      </c>
    </row>
    <row r="66" spans="1:11" ht="15.75">
      <c r="A66" s="81" t="s">
        <v>113</v>
      </c>
      <c r="B66" s="48"/>
      <c r="C66" s="48"/>
      <c r="D66" s="48">
        <v>5</v>
      </c>
      <c r="E66" s="48">
        <v>25</v>
      </c>
      <c r="F66" s="48"/>
      <c r="G66" s="48"/>
      <c r="H66" s="66">
        <f t="shared" ref="H66" si="24">H65-F66-D66+B66</f>
        <v>4.9999999999999982</v>
      </c>
      <c r="I66" s="66">
        <f t="shared" ref="I66" si="25">I65-E66+C66</f>
        <v>228.47300000000001</v>
      </c>
      <c r="J66" s="66">
        <f t="shared" ref="J66" si="26">SUM(H66:I66)</f>
        <v>233.47300000000001</v>
      </c>
    </row>
    <row r="67" spans="1:11" ht="15.75">
      <c r="A67" s="109" t="s">
        <v>187</v>
      </c>
      <c r="B67" s="48"/>
      <c r="C67" s="48"/>
      <c r="D67" s="48"/>
      <c r="E67" s="48">
        <v>3</v>
      </c>
      <c r="F67" s="48"/>
      <c r="G67" s="48"/>
      <c r="H67" s="66">
        <f t="shared" ref="H67:H69" si="27">H66-F67-D67+B67</f>
        <v>4.9999999999999982</v>
      </c>
      <c r="I67" s="66">
        <f t="shared" ref="I67:I69" si="28">I66-E67+C67</f>
        <v>225.47300000000001</v>
      </c>
      <c r="J67" s="66">
        <f t="shared" ref="J67:J69" si="29">SUM(H67:I67)</f>
        <v>230.47300000000001</v>
      </c>
    </row>
    <row r="68" spans="1:11" ht="15.75">
      <c r="A68" s="109" t="s">
        <v>181</v>
      </c>
      <c r="B68" s="48">
        <v>1.25</v>
      </c>
      <c r="C68" s="48">
        <v>1.25</v>
      </c>
      <c r="D68" s="48"/>
      <c r="E68" s="48"/>
      <c r="F68" s="48"/>
      <c r="G68" s="48"/>
      <c r="H68" s="66">
        <f t="shared" si="27"/>
        <v>6.2499999999999982</v>
      </c>
      <c r="I68" s="66">
        <f t="shared" si="28"/>
        <v>226.72300000000001</v>
      </c>
      <c r="J68" s="66">
        <f t="shared" si="29"/>
        <v>232.97300000000001</v>
      </c>
    </row>
    <row r="69" spans="1:11" ht="15.75">
      <c r="A69" s="103" t="s">
        <v>182</v>
      </c>
      <c r="B69" s="48"/>
      <c r="C69" s="48"/>
      <c r="D69" s="48"/>
      <c r="E69" s="48">
        <v>1</v>
      </c>
      <c r="F69" s="48"/>
      <c r="G69" s="48"/>
      <c r="H69" s="66">
        <f t="shared" si="27"/>
        <v>6.2499999999999982</v>
      </c>
      <c r="I69" s="66">
        <f t="shared" si="28"/>
        <v>225.72300000000001</v>
      </c>
      <c r="J69" s="66">
        <f t="shared" si="29"/>
        <v>231.97300000000001</v>
      </c>
    </row>
    <row r="70" spans="1:11" ht="15.75" hidden="1">
      <c r="A70" s="103" t="s">
        <v>183</v>
      </c>
      <c r="B70" s="48">
        <v>3.75</v>
      </c>
      <c r="C70" s="48">
        <v>3.75</v>
      </c>
      <c r="D70" s="48"/>
      <c r="E70" s="48"/>
      <c r="F70" s="48"/>
      <c r="G70" s="48"/>
      <c r="H70" s="66">
        <f t="shared" ref="H70" si="30">H69-F70-D70+B70</f>
        <v>9.9999999999999982</v>
      </c>
      <c r="I70" s="66">
        <f t="shared" ref="I70" si="31">I69-E70+C70</f>
        <v>229.47300000000001</v>
      </c>
      <c r="J70" s="66">
        <f t="shared" ref="J70" si="32">SUM(H70:I70)</f>
        <v>239.47300000000001</v>
      </c>
    </row>
    <row r="71" spans="1:11" ht="15.75">
      <c r="A71" s="103"/>
      <c r="B71" s="48"/>
      <c r="C71" s="48"/>
      <c r="D71" s="48"/>
      <c r="E71" s="48"/>
      <c r="F71" s="48"/>
      <c r="G71" s="48"/>
      <c r="H71" s="66"/>
      <c r="I71" s="66"/>
      <c r="J71" s="66"/>
    </row>
    <row r="72" spans="1:11" ht="15.75">
      <c r="A72" s="54"/>
      <c r="B72" s="55"/>
      <c r="C72" s="55"/>
      <c r="D72" s="55"/>
      <c r="E72" s="55"/>
      <c r="F72" s="55"/>
      <c r="G72" s="55"/>
      <c r="H72" s="56"/>
      <c r="I72" s="56"/>
      <c r="J72" s="57"/>
    </row>
    <row r="73" spans="1:11" s="49" customFormat="1" ht="15" customHeight="1">
      <c r="B73" s="19"/>
      <c r="C73" s="19"/>
      <c r="D73" s="19"/>
      <c r="E73" s="19"/>
      <c r="F73" s="19" t="s">
        <v>27</v>
      </c>
      <c r="G73" s="19"/>
      <c r="H73" s="19"/>
      <c r="I73" s="19"/>
      <c r="J73" s="19"/>
    </row>
    <row r="74" spans="1:11" s="49" customFormat="1" ht="15" customHeight="1">
      <c r="B74" s="19"/>
      <c r="C74" s="19"/>
      <c r="D74" s="19"/>
      <c r="E74" s="19"/>
      <c r="F74" s="19"/>
      <c r="G74" s="19"/>
      <c r="H74" s="19"/>
      <c r="I74" s="19"/>
      <c r="J74" s="19"/>
    </row>
    <row r="75" spans="1:11" s="49" customFormat="1" ht="15" customHeight="1">
      <c r="B75" s="19"/>
      <c r="C75" s="19"/>
      <c r="D75" s="19"/>
      <c r="E75" s="19"/>
      <c r="G75" s="19"/>
      <c r="H75" s="64" t="s">
        <v>28</v>
      </c>
      <c r="I75" s="19"/>
      <c r="J75" s="19"/>
    </row>
    <row r="76" spans="1:11" s="49" customFormat="1" ht="15" customHeight="1">
      <c r="H76" s="19" t="s">
        <v>29</v>
      </c>
    </row>
    <row r="77" spans="1:11" ht="15" customHeight="1">
      <c r="B77" s="1"/>
      <c r="C77" s="1"/>
      <c r="D77" s="1"/>
      <c r="E77" s="1"/>
      <c r="G77" s="1"/>
      <c r="H77" s="19" t="s">
        <v>30</v>
      </c>
      <c r="I77" s="1"/>
      <c r="J77" s="1"/>
      <c r="K77" s="1"/>
    </row>
  </sheetData>
  <mergeCells count="13">
    <mergeCell ref="A2:J2"/>
    <mergeCell ref="A3:J3"/>
    <mergeCell ref="A4:J4"/>
    <mergeCell ref="A5:J5"/>
    <mergeCell ref="B7:D7"/>
    <mergeCell ref="B9:D9"/>
    <mergeCell ref="J11:J12"/>
    <mergeCell ref="K11:K12"/>
    <mergeCell ref="A11:A12"/>
    <mergeCell ref="A10:J10"/>
    <mergeCell ref="B11:C11"/>
    <mergeCell ref="H11:I11"/>
    <mergeCell ref="D11:G11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6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D13A9-2D33-4644-8A23-178196754438}">
  <sheetPr>
    <pageSetUpPr fitToPage="1"/>
  </sheetPr>
  <dimension ref="A1:M22"/>
  <sheetViews>
    <sheetView view="pageBreakPreview" zoomScale="93" zoomScaleNormal="100" zoomScaleSheetLayoutView="93" workbookViewId="0">
      <selection activeCell="A11" sqref="A11:M11"/>
    </sheetView>
  </sheetViews>
  <sheetFormatPr defaultColWidth="8.7109375" defaultRowHeight="15"/>
  <cols>
    <col min="1" max="1" width="29.5703125" style="33" customWidth="1"/>
    <col min="2" max="2" width="19.5703125" style="33" customWidth="1"/>
    <col min="3" max="5" width="8.7109375" style="33"/>
    <col min="6" max="6" width="5.140625" style="33" customWidth="1"/>
    <col min="7" max="7" width="8.7109375" style="33"/>
    <col min="8" max="8" width="10.85546875" style="33" customWidth="1"/>
    <col min="9" max="9" width="7.5703125" style="33" customWidth="1"/>
    <col min="10" max="10" width="5.140625" style="33" customWidth="1"/>
    <col min="11" max="11" width="7.140625" style="33" customWidth="1"/>
    <col min="12" max="12" width="3.85546875" style="33" customWidth="1"/>
    <col min="13" max="13" width="8" style="33" customWidth="1"/>
    <col min="14" max="16384" width="8.7109375" style="33"/>
  </cols>
  <sheetData>
    <row r="1" spans="1:13" s="29" customFormat="1" ht="52.5" customHeight="1"/>
    <row r="2" spans="1:13" s="29" customFormat="1" ht="10.5" customHeight="1">
      <c r="A2" s="241" t="s">
        <v>23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</row>
    <row r="3" spans="1:13" s="29" customFormat="1" ht="15.95" customHeight="1">
      <c r="A3" s="241" t="s">
        <v>24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</row>
    <row r="4" spans="1:13" s="29" customFormat="1" ht="15.95" customHeight="1">
      <c r="A4" s="241" t="s">
        <v>25</v>
      </c>
      <c r="B4" s="241"/>
      <c r="C4" s="241"/>
      <c r="D4" s="241"/>
      <c r="E4" s="241"/>
      <c r="F4" s="241"/>
      <c r="G4" s="241"/>
      <c r="H4" s="241"/>
      <c r="I4" s="241"/>
      <c r="J4" s="241"/>
      <c r="K4" s="241"/>
    </row>
    <row r="5" spans="1:13" s="29" customFormat="1" ht="15.95" customHeight="1">
      <c r="A5" s="241" t="s">
        <v>26</v>
      </c>
      <c r="B5" s="241"/>
      <c r="C5" s="241"/>
      <c r="D5" s="241"/>
      <c r="E5" s="241"/>
      <c r="F5" s="241"/>
      <c r="G5" s="241"/>
      <c r="H5" s="241"/>
      <c r="I5" s="241"/>
      <c r="J5" s="241"/>
      <c r="K5" s="241"/>
    </row>
    <row r="6" spans="1:13" s="29" customFormat="1" ht="8.25" customHeight="1"/>
    <row r="7" spans="1:13" s="29" customFormat="1" ht="12" customHeight="1">
      <c r="A7" s="29" t="s">
        <v>37</v>
      </c>
      <c r="B7" s="242" t="s">
        <v>38</v>
      </c>
      <c r="C7" s="242"/>
      <c r="D7" s="242"/>
      <c r="H7" s="30" t="s">
        <v>0</v>
      </c>
      <c r="I7" s="243"/>
      <c r="J7" s="243"/>
      <c r="K7" s="30"/>
    </row>
    <row r="8" spans="1:13" s="29" customFormat="1" ht="12" customHeight="1">
      <c r="B8" s="31"/>
      <c r="C8" s="31"/>
      <c r="H8" s="31"/>
      <c r="I8" s="31"/>
      <c r="J8" s="31"/>
      <c r="K8" s="31"/>
    </row>
    <row r="9" spans="1:13" s="29" customFormat="1" ht="12" customHeight="1">
      <c r="A9" s="29" t="s">
        <v>39</v>
      </c>
      <c r="B9" s="242" t="s">
        <v>40</v>
      </c>
      <c r="C9" s="242"/>
      <c r="D9" s="242"/>
      <c r="H9" s="30" t="s">
        <v>1</v>
      </c>
      <c r="I9" s="32"/>
      <c r="J9" s="32"/>
      <c r="K9" s="30"/>
    </row>
    <row r="10" spans="1:13" s="29" customFormat="1" ht="12" customHeight="1">
      <c r="B10" s="99"/>
      <c r="C10" s="99"/>
      <c r="D10" s="99"/>
      <c r="H10" s="30"/>
      <c r="I10" s="30"/>
      <c r="J10" s="30"/>
      <c r="K10" s="30"/>
    </row>
    <row r="11" spans="1:13" ht="16.5" customHeight="1" thickBot="1">
      <c r="A11" s="244" t="s">
        <v>60</v>
      </c>
      <c r="B11" s="244"/>
      <c r="C11" s="244"/>
      <c r="D11" s="244"/>
      <c r="E11" s="244"/>
      <c r="F11" s="244"/>
      <c r="G11" s="244"/>
      <c r="H11" s="244"/>
      <c r="I11" s="244"/>
      <c r="J11" s="244"/>
      <c r="K11" s="244"/>
      <c r="L11" s="244"/>
      <c r="M11" s="244"/>
    </row>
    <row r="12" spans="1:13" s="34" customFormat="1" ht="18.75" customHeight="1">
      <c r="A12" s="245" t="s">
        <v>61</v>
      </c>
      <c r="B12" s="248" t="s">
        <v>3</v>
      </c>
      <c r="C12" s="251" t="s">
        <v>62</v>
      </c>
      <c r="D12" s="252"/>
      <c r="E12" s="251" t="s">
        <v>63</v>
      </c>
      <c r="F12" s="252"/>
      <c r="G12" s="251" t="s">
        <v>43</v>
      </c>
      <c r="H12" s="252"/>
      <c r="I12" s="251" t="s">
        <v>44</v>
      </c>
      <c r="J12" s="252"/>
      <c r="K12" s="251" t="s">
        <v>45</v>
      </c>
      <c r="L12" s="252"/>
      <c r="M12" s="257" t="s">
        <v>7</v>
      </c>
    </row>
    <row r="13" spans="1:13" s="34" customFormat="1" ht="18.75" customHeight="1">
      <c r="A13" s="246"/>
      <c r="B13" s="249"/>
      <c r="C13" s="253"/>
      <c r="D13" s="254"/>
      <c r="E13" s="253"/>
      <c r="F13" s="254"/>
      <c r="G13" s="253"/>
      <c r="H13" s="254"/>
      <c r="I13" s="253"/>
      <c r="J13" s="254"/>
      <c r="K13" s="253"/>
      <c r="L13" s="254"/>
      <c r="M13" s="258"/>
    </row>
    <row r="14" spans="1:13" s="34" customFormat="1" ht="24" customHeight="1">
      <c r="A14" s="247"/>
      <c r="B14" s="250"/>
      <c r="C14" s="255"/>
      <c r="D14" s="256"/>
      <c r="E14" s="255"/>
      <c r="F14" s="256"/>
      <c r="G14" s="255"/>
      <c r="H14" s="256"/>
      <c r="I14" s="255"/>
      <c r="J14" s="256"/>
      <c r="K14" s="255"/>
      <c r="L14" s="256"/>
      <c r="M14" s="259"/>
    </row>
    <row r="15" spans="1:13" s="34" customFormat="1" ht="32.1" customHeight="1">
      <c r="A15" s="39" t="s">
        <v>64</v>
      </c>
      <c r="B15" s="40" t="s">
        <v>65</v>
      </c>
      <c r="C15" s="238" t="s">
        <v>66</v>
      </c>
      <c r="D15" s="239"/>
      <c r="E15" s="238"/>
      <c r="F15" s="239"/>
      <c r="G15" s="238">
        <v>5</v>
      </c>
      <c r="H15" s="240"/>
      <c r="I15" s="238">
        <v>0</v>
      </c>
      <c r="J15" s="240"/>
      <c r="K15" s="238">
        <f>G15-I15</f>
        <v>5</v>
      </c>
      <c r="L15" s="240"/>
      <c r="M15" s="35">
        <v>5</v>
      </c>
    </row>
    <row r="16" spans="1:13" s="37" customFormat="1" ht="39" customHeight="1">
      <c r="A16" s="39"/>
      <c r="B16" s="41" t="s">
        <v>67</v>
      </c>
      <c r="C16" s="238" t="s">
        <v>66</v>
      </c>
      <c r="D16" s="239"/>
      <c r="E16" s="238"/>
      <c r="F16" s="239"/>
      <c r="G16" s="238"/>
      <c r="H16" s="240"/>
      <c r="I16" s="238">
        <v>3</v>
      </c>
      <c r="J16" s="240"/>
      <c r="K16" s="238">
        <v>2</v>
      </c>
      <c r="L16" s="240"/>
      <c r="M16" s="36">
        <v>2</v>
      </c>
    </row>
    <row r="17" spans="1:13" s="37" customFormat="1" ht="39" customHeight="1">
      <c r="A17" s="58" t="s">
        <v>86</v>
      </c>
      <c r="B17" s="59" t="s">
        <v>87</v>
      </c>
      <c r="C17" s="238"/>
      <c r="D17" s="239"/>
      <c r="E17" s="238" t="s">
        <v>88</v>
      </c>
      <c r="F17" s="239"/>
      <c r="G17" s="238">
        <v>5</v>
      </c>
      <c r="H17" s="240"/>
      <c r="I17" s="238">
        <v>0</v>
      </c>
      <c r="J17" s="240"/>
      <c r="K17" s="238">
        <v>5</v>
      </c>
      <c r="L17" s="240"/>
      <c r="M17" s="60">
        <v>5</v>
      </c>
    </row>
    <row r="18" spans="1:13" s="37" customFormat="1" ht="39" customHeight="1" thickBot="1">
      <c r="A18" s="105"/>
      <c r="B18" s="106" t="s">
        <v>89</v>
      </c>
      <c r="C18" s="235"/>
      <c r="D18" s="236"/>
      <c r="E18" s="235"/>
      <c r="F18" s="236"/>
      <c r="G18" s="235"/>
      <c r="H18" s="237"/>
      <c r="I18" s="235">
        <v>1</v>
      </c>
      <c r="J18" s="237"/>
      <c r="K18" s="235">
        <v>4</v>
      </c>
      <c r="L18" s="237"/>
      <c r="M18" s="107">
        <v>4</v>
      </c>
    </row>
    <row r="19" spans="1:13" s="37" customFormat="1" ht="39" customHeight="1" thickBot="1">
      <c r="A19" s="232" t="s">
        <v>186</v>
      </c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4"/>
      <c r="M19" s="108">
        <v>6</v>
      </c>
    </row>
    <row r="20" spans="1:13" s="29" customFormat="1" ht="75.75" customHeight="1">
      <c r="A20" s="42"/>
      <c r="B20" s="42"/>
      <c r="D20" s="38"/>
      <c r="M20" s="42"/>
    </row>
    <row r="21" spans="1:13" s="29" customFormat="1">
      <c r="D21" s="38"/>
    </row>
    <row r="22" spans="1:13" s="29" customFormat="1">
      <c r="D22" s="38"/>
    </row>
  </sheetData>
  <mergeCells count="37"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B9:D9"/>
    <mergeCell ref="A11:M11"/>
    <mergeCell ref="A12:A14"/>
    <mergeCell ref="B12:B14"/>
    <mergeCell ref="C12:D14"/>
    <mergeCell ref="E12:F14"/>
    <mergeCell ref="G12:H14"/>
    <mergeCell ref="I12:J14"/>
    <mergeCell ref="K12:L14"/>
    <mergeCell ref="M12:M14"/>
    <mergeCell ref="A2:K2"/>
    <mergeCell ref="A3:K3"/>
    <mergeCell ref="A4:K4"/>
    <mergeCell ref="A5:K5"/>
    <mergeCell ref="B7:D7"/>
    <mergeCell ref="I7:J7"/>
    <mergeCell ref="C17:D17"/>
    <mergeCell ref="E17:F17"/>
    <mergeCell ref="G17:H17"/>
    <mergeCell ref="I17:J17"/>
    <mergeCell ref="K17:L17"/>
    <mergeCell ref="A19:L19"/>
    <mergeCell ref="C18:D18"/>
    <mergeCell ref="E18:F18"/>
    <mergeCell ref="G18:H18"/>
    <mergeCell ref="I18:J18"/>
    <mergeCell ref="K18:L18"/>
  </mergeCells>
  <phoneticPr fontId="41" type="noConversion"/>
  <pageMargins left="0.7" right="0.7" top="0.75" bottom="0.75" header="0.3" footer="0.3"/>
  <pageSetup paperSize="9"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FOR RETIREMENT (2)</vt:lpstr>
      <vt:lpstr>statement</vt:lpstr>
      <vt:lpstr>CTO</vt:lpstr>
      <vt:lpstr>Leave Card (NE)</vt:lpstr>
      <vt:lpstr>ELECTION</vt:lpstr>
      <vt:lpstr>'FOR RETIREMENT (2)'!Print_Area</vt:lpstr>
      <vt:lpstr>'Leave Card (NE)'!Print_Area</vt:lpstr>
      <vt:lpstr>statement!Print_Area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2025-11-13T05:39:46Z</cp:lastPrinted>
  <dcterms:created xsi:type="dcterms:W3CDTF">2021-10-07T06:10:00Z</dcterms:created>
  <dcterms:modified xsi:type="dcterms:W3CDTF">2026-01-08T01:45:18Z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91E8228154E4401DA70634362ECD8F18</vt:lpwstr>
  </property>
  <property fmtid="{D5CDD505-2E9C-101B-9397-08002B2CF9AE}" pid="3" name="KSOProductBuildVer">
    <vt:lpwstr>1033-11.2.0.11341</vt:lpwstr>
  </property>
</Properties>
</file>