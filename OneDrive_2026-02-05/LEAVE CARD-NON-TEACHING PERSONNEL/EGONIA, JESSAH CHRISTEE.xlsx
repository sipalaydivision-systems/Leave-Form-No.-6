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46444DBB-C85D-4421-B2F6-F7360AEC4A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9" r:id="rId2"/>
  </sheets>
  <definedNames>
    <definedName name="_xlnm.Print_Area" localSheetId="0">'Leave Card (NE)'!$A$1:$J$131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3" i="6" l="1"/>
  <c r="H124" i="6" s="1"/>
  <c r="I123" i="6"/>
  <c r="I124" i="6" s="1"/>
  <c r="J124" i="6" l="1"/>
  <c r="J123" i="6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H13" i="6"/>
  <c r="I110" i="6" l="1"/>
  <c r="I111" i="6" s="1"/>
  <c r="I112" i="6" s="1"/>
  <c r="I113" i="6" s="1"/>
  <c r="I114" i="6" s="1"/>
  <c r="I115" i="6" s="1"/>
  <c r="I116" i="6" s="1"/>
  <c r="I117" i="6" s="1"/>
  <c r="H14" i="6"/>
  <c r="H15" i="6" s="1"/>
  <c r="J13" i="6"/>
  <c r="I118" i="6" l="1"/>
  <c r="I119" i="6" s="1"/>
  <c r="I120" i="6" s="1"/>
  <c r="I121" i="6" s="1"/>
  <c r="I122" i="6" s="1"/>
  <c r="H16" i="6"/>
  <c r="J15" i="6"/>
  <c r="J14" i="6"/>
  <c r="H17" i="6" l="1"/>
  <c r="J16" i="6"/>
  <c r="H18" i="6" l="1"/>
  <c r="J17" i="6"/>
  <c r="J18" i="6" l="1"/>
  <c r="H19" i="6"/>
  <c r="H20" i="6" l="1"/>
  <c r="J19" i="6"/>
  <c r="J20" i="6" l="1"/>
  <c r="H21" i="6"/>
  <c r="H22" i="6" l="1"/>
  <c r="J21" i="6"/>
  <c r="J22" i="6" l="1"/>
  <c r="H23" i="6"/>
  <c r="J23" i="6" l="1"/>
  <c r="H24" i="6"/>
  <c r="J24" i="6" l="1"/>
  <c r="H25" i="6"/>
  <c r="H26" i="6" l="1"/>
  <c r="J25" i="6"/>
  <c r="H27" i="6" l="1"/>
  <c r="J26" i="6"/>
  <c r="H28" i="6" l="1"/>
  <c r="J27" i="6"/>
  <c r="H29" i="6" l="1"/>
  <c r="H30" i="6" s="1"/>
  <c r="J28" i="6"/>
  <c r="J30" i="6" l="1"/>
  <c r="H31" i="6"/>
  <c r="J29" i="6"/>
  <c r="H32" i="6" l="1"/>
  <c r="J31" i="6"/>
  <c r="H33" i="6" l="1"/>
  <c r="J32" i="6"/>
  <c r="H34" i="6" l="1"/>
  <c r="J33" i="6"/>
  <c r="H35" i="6" l="1"/>
  <c r="J34" i="6"/>
  <c r="J35" i="6" l="1"/>
  <c r="H36" i="6"/>
  <c r="J36" i="6" l="1"/>
  <c r="H37" i="6"/>
  <c r="H38" i="6" l="1"/>
  <c r="J37" i="6"/>
  <c r="J38" i="6" l="1"/>
  <c r="H39" i="6"/>
  <c r="H40" i="6" l="1"/>
  <c r="J39" i="6"/>
  <c r="J40" i="6" l="1"/>
  <c r="H41" i="6"/>
  <c r="H42" i="6" l="1"/>
  <c r="J41" i="6"/>
  <c r="J42" i="6" l="1"/>
  <c r="H43" i="6"/>
  <c r="H44" i="6" l="1"/>
  <c r="J43" i="6"/>
  <c r="H45" i="6" l="1"/>
  <c r="J44" i="6"/>
  <c r="H46" i="6" l="1"/>
  <c r="J45" i="6"/>
  <c r="J46" i="6" l="1"/>
  <c r="H47" i="6"/>
  <c r="H48" i="6" l="1"/>
  <c r="J47" i="6"/>
  <c r="J48" i="6" l="1"/>
  <c r="H49" i="6"/>
  <c r="J49" i="6" l="1"/>
  <c r="H50" i="6"/>
  <c r="J50" i="6" l="1"/>
  <c r="H51" i="6"/>
  <c r="H52" i="6" l="1"/>
  <c r="J51" i="6"/>
  <c r="H53" i="6" l="1"/>
  <c r="J52" i="6"/>
  <c r="H54" i="6" l="1"/>
  <c r="J53" i="6"/>
  <c r="J54" i="6" l="1"/>
  <c r="H55" i="6"/>
  <c r="H56" i="6" l="1"/>
  <c r="J55" i="6"/>
  <c r="J56" i="6" l="1"/>
  <c r="H57" i="6"/>
  <c r="H58" i="6" l="1"/>
  <c r="J57" i="6"/>
  <c r="H59" i="6" l="1"/>
  <c r="J58" i="6"/>
  <c r="H60" i="6" l="1"/>
  <c r="J59" i="6"/>
  <c r="J60" i="6" l="1"/>
  <c r="H61" i="6"/>
  <c r="H62" i="6" l="1"/>
  <c r="J61" i="6"/>
  <c r="H63" i="6" l="1"/>
  <c r="J62" i="6"/>
  <c r="H64" i="6" l="1"/>
  <c r="J63" i="6"/>
  <c r="H65" i="6" l="1"/>
  <c r="J64" i="6"/>
  <c r="H66" i="6" l="1"/>
  <c r="J65" i="6"/>
  <c r="J66" i="6" l="1"/>
  <c r="H67" i="6"/>
  <c r="H68" i="6" l="1"/>
  <c r="J67" i="6"/>
  <c r="H69" i="6" l="1"/>
  <c r="J68" i="6"/>
  <c r="H70" i="6" l="1"/>
  <c r="J69" i="6"/>
  <c r="H71" i="6" l="1"/>
  <c r="J70" i="6"/>
  <c r="J71" i="6" l="1"/>
  <c r="H72" i="6"/>
  <c r="J72" i="6" l="1"/>
  <c r="H73" i="6"/>
  <c r="J73" i="6" l="1"/>
  <c r="H74" i="6"/>
  <c r="H75" i="6" l="1"/>
  <c r="J74" i="6"/>
  <c r="J75" i="6" l="1"/>
  <c r="H76" i="6"/>
  <c r="J76" i="6" l="1"/>
  <c r="H77" i="6"/>
  <c r="J77" i="6" l="1"/>
  <c r="H78" i="6"/>
  <c r="J78" i="6" l="1"/>
  <c r="H79" i="6"/>
  <c r="H80" i="6" l="1"/>
  <c r="J79" i="6"/>
  <c r="H81" i="6" l="1"/>
  <c r="J80" i="6"/>
  <c r="J81" i="6" l="1"/>
  <c r="H82" i="6"/>
  <c r="H83" i="6" l="1"/>
  <c r="J82" i="6"/>
  <c r="H84" i="6" l="1"/>
  <c r="J83" i="6"/>
  <c r="J84" i="6" l="1"/>
  <c r="H85" i="6"/>
  <c r="H86" i="6" l="1"/>
  <c r="J85" i="6"/>
  <c r="H87" i="6" l="1"/>
  <c r="J86" i="6"/>
  <c r="H88" i="6" l="1"/>
  <c r="J87" i="6"/>
  <c r="H89" i="6" l="1"/>
  <c r="J88" i="6"/>
  <c r="H90" i="6" l="1"/>
  <c r="J89" i="6"/>
  <c r="H91" i="6" l="1"/>
  <c r="J90" i="6"/>
  <c r="J91" i="6" l="1"/>
  <c r="H92" i="6"/>
  <c r="H93" i="6" l="1"/>
  <c r="J92" i="6"/>
  <c r="J93" i="6" l="1"/>
  <c r="H94" i="6"/>
  <c r="H95" i="6" l="1"/>
  <c r="J94" i="6"/>
  <c r="H96" i="6" l="1"/>
  <c r="J95" i="6"/>
  <c r="H97" i="6" l="1"/>
  <c r="J96" i="6"/>
  <c r="J97" i="6" l="1"/>
  <c r="H98" i="6"/>
  <c r="J98" i="6" l="1"/>
  <c r="H99" i="6"/>
  <c r="J99" i="6" l="1"/>
  <c r="H100" i="6"/>
  <c r="H101" i="6" l="1"/>
  <c r="J100" i="6"/>
  <c r="H102" i="6" l="1"/>
  <c r="J101" i="6"/>
  <c r="H103" i="6" l="1"/>
  <c r="J102" i="6"/>
  <c r="H104" i="6" l="1"/>
  <c r="J103" i="6"/>
  <c r="J104" i="6" l="1"/>
  <c r="H105" i="6"/>
  <c r="H106" i="6" l="1"/>
  <c r="J105" i="6"/>
  <c r="H107" i="6" l="1"/>
  <c r="J106" i="6"/>
  <c r="J107" i="6" l="1"/>
  <c r="H108" i="6"/>
  <c r="J108" i="6" l="1"/>
  <c r="H109" i="6"/>
  <c r="H110" i="6" l="1"/>
  <c r="J109" i="6"/>
  <c r="J110" i="6" l="1"/>
  <c r="H111" i="6"/>
  <c r="J111" i="6" l="1"/>
  <c r="H112" i="6"/>
  <c r="H113" i="6" l="1"/>
  <c r="H114" i="6" s="1"/>
  <c r="J112" i="6"/>
  <c r="J114" i="6" l="1"/>
  <c r="H115" i="6"/>
  <c r="J113" i="6"/>
  <c r="H116" i="6" l="1"/>
  <c r="H117" i="6" s="1"/>
  <c r="J115" i="6"/>
  <c r="H118" i="6" l="1"/>
  <c r="J117" i="6"/>
  <c r="J116" i="6"/>
  <c r="J118" i="6" l="1"/>
  <c r="H119" i="6"/>
  <c r="H120" i="6" l="1"/>
  <c r="J119" i="6"/>
  <c r="J120" i="6" l="1"/>
  <c r="H121" i="6"/>
  <c r="J121" i="6" l="1"/>
  <c r="H122" i="6"/>
  <c r="J122" i="6" s="1"/>
</calcChain>
</file>

<file path=xl/sharedStrings.xml><?xml version="1.0" encoding="utf-8"?>
<sst xmlns="http://schemas.openxmlformats.org/spreadsheetml/2006/main" count="179" uniqueCount="156">
  <si>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</si>
  <si>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</si>
  <si>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</si>
  <si>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</si>
  <si>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</si>
  <si>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</si>
  <si>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</si>
  <si>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</si>
  <si>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</si>
  <si>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</si>
  <si>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</si>
  <si>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</si>
  <si>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ADD: 01/01/2022 - 02/28/2022</t>
  </si>
  <si>
    <t>LESS: 03/07-08/2022</t>
  </si>
  <si>
    <t>ADD: 03/01/2022 - 04/30/2022</t>
  </si>
  <si>
    <t>LESS: 03/28/22</t>
  </si>
  <si>
    <t>LESS: 05/20/2022</t>
  </si>
  <si>
    <t>ADD: 05/01/2022 - 06/30/2022</t>
  </si>
  <si>
    <t>LESS: 07/01/2022</t>
  </si>
  <si>
    <t>LESS: 07/22/2022</t>
  </si>
  <si>
    <t>LESS: 08/01 &amp; 02/2022</t>
  </si>
  <si>
    <t>ADD: 07/01/2022 - 07/31/2022</t>
  </si>
  <si>
    <t>LESS: 08/3(.5), 4 &amp; 5/2022</t>
  </si>
  <si>
    <t>ADD: 08/01/2022 - 08/31/2022</t>
  </si>
  <si>
    <t>LESS: 09/05/2022</t>
  </si>
  <si>
    <t>LESS: 09/12/2022</t>
  </si>
  <si>
    <t>ADD: 09/01/2022 - 10/31/2022</t>
  </si>
  <si>
    <t>LESS: 11/07/2022</t>
  </si>
  <si>
    <t>LESS: 11/14/2022</t>
  </si>
  <si>
    <t>LESS: 11/15/2022</t>
  </si>
  <si>
    <t>LESS: 11/28/2022</t>
  </si>
  <si>
    <t>LESS: 11/29/2022</t>
  </si>
  <si>
    <t>SPECIAL</t>
  </si>
  <si>
    <t>ADD: 11/01/2022 - 11/30/2022</t>
  </si>
  <si>
    <t>LESS: 12/05/2022</t>
  </si>
  <si>
    <t>LESS: 12/14/2022</t>
  </si>
  <si>
    <t>LESS: 12/19/2022</t>
  </si>
  <si>
    <t>ADD: 12/01/2022 - 12/31/2022</t>
  </si>
  <si>
    <t>LESS: 12/27, 28 &amp;29/2022</t>
  </si>
  <si>
    <t>LESS: 01/03/2023</t>
  </si>
  <si>
    <t>LESS: 01/13/2023</t>
  </si>
  <si>
    <t>LESS: 01/16-17/2023</t>
  </si>
  <si>
    <t>LESS: 01/23, 24 &amp; 25/2023</t>
  </si>
  <si>
    <t>LESS: 02/03/2023</t>
  </si>
  <si>
    <t>LESS: 02/20/2023</t>
  </si>
  <si>
    <t>JAN. 21, 2022 - POST COVID VACCINE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</si>
  <si>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</si>
  <si>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</si>
  <si>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</si>
  <si>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</si>
  <si>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</si>
  <si>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</si>
  <si>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</si>
  <si>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</si>
  <si>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10/04/2021 - 10/31/2021</t>
  </si>
  <si>
    <t>ADD: 11/01/2021 - 12/31/2021</t>
  </si>
  <si>
    <t>ADD: 01/01/2023 - 01/31/2023</t>
  </si>
  <si>
    <t>ADD: 02/01/2023 - 03/31/2023</t>
  </si>
  <si>
    <t>LESS: 04/12/2023</t>
  </si>
  <si>
    <t>ADD: 04/01/2023 - 04/30/2023</t>
  </si>
  <si>
    <t>LESS: 05/5/2023</t>
  </si>
  <si>
    <t>LESS: 06/13 - 16/2023</t>
  </si>
  <si>
    <t>ADD: 05/01/2023 - 05/31/2023</t>
  </si>
  <si>
    <t>LESS: 06/01 &amp; 02/23</t>
  </si>
  <si>
    <t>ADD: 06/01/2023 - 06/30/2023</t>
  </si>
  <si>
    <t>LESS: 07/04/23</t>
  </si>
  <si>
    <t>ADD: 07/01/2023 - 07/31/2023</t>
  </si>
  <si>
    <t>LESS: 08/01/23</t>
  </si>
  <si>
    <t>LESS: 08/07/23</t>
  </si>
  <si>
    <t>ADD: 08/01/2023 - 08/31/2023</t>
  </si>
  <si>
    <t>LESS: 09/07,08 &amp; 11/2023</t>
  </si>
  <si>
    <t>Certified Correct:</t>
  </si>
  <si>
    <t>MA. LUISA B. CATIGAN</t>
  </si>
  <si>
    <t>Administrative Officer IV</t>
  </si>
  <si>
    <t>HRMO</t>
  </si>
  <si>
    <t>LESS: 03/17/2023</t>
  </si>
  <si>
    <t>LESS: 09/14/2023</t>
  </si>
  <si>
    <t>LESS: 10/2-3/23</t>
  </si>
  <si>
    <t>ADD: 09/01/2023-10/31/2023</t>
  </si>
  <si>
    <t>LESS: 11/03/2023</t>
  </si>
  <si>
    <t>LESS: 11/20-22/2023</t>
  </si>
  <si>
    <t>ADD: 11/01/2023-11/30/2023</t>
  </si>
  <si>
    <t>COMPENSATORY TIME OFF (CTO)</t>
  </si>
  <si>
    <t>Special Order No. and Date Issued</t>
  </si>
  <si>
    <t>No. of Days Granted</t>
  </si>
  <si>
    <t>No. of Days Used</t>
  </si>
  <si>
    <t>Balance</t>
  </si>
  <si>
    <t>NOTE:  Valid for one (1) year only</t>
  </si>
  <si>
    <t>LESS: 01/02/2023</t>
  </si>
  <si>
    <t>ADD: 12/01/2023-12/31/2023</t>
  </si>
  <si>
    <t>ADD: 01/01/2024-01/31/2024</t>
  </si>
  <si>
    <t>LESS: 01/30/2024</t>
  </si>
  <si>
    <t>ADD: 02/01/2024-02/29/2024</t>
  </si>
  <si>
    <t>LESS: 02/20/2024</t>
  </si>
  <si>
    <t>LESS: 02/19,21/2024</t>
  </si>
  <si>
    <t>ADD: 03/01-31/2024</t>
  </si>
  <si>
    <t>LESS: 03/04/2024</t>
  </si>
  <si>
    <t>LESS: 04/15/2024</t>
  </si>
  <si>
    <t>ADD: 04/1-30/2024</t>
  </si>
  <si>
    <t>LESS: 05/2/2024</t>
  </si>
  <si>
    <t>LESS: 05/23/2024</t>
  </si>
  <si>
    <t>ADD: 05/1-31/2024</t>
  </si>
  <si>
    <t>LESS: 05/31/2024</t>
  </si>
  <si>
    <t>LESS: 06/13-14/2024</t>
  </si>
  <si>
    <t>ADD: 06/1-30/2024</t>
  </si>
  <si>
    <t>LESS: 07/1-2/2024</t>
  </si>
  <si>
    <t>LESS: 07/12/2024</t>
  </si>
  <si>
    <t>LESS: 07/15/2024</t>
  </si>
  <si>
    <t>ADD: JULY 1-31, 2024</t>
  </si>
  <si>
    <t>LESS: 08/30/2024</t>
  </si>
  <si>
    <t>LESS: 09/10-12/2024</t>
  </si>
  <si>
    <t>ADD: 08/1-31/2024</t>
  </si>
  <si>
    <t>LESS: 08/6/2024</t>
  </si>
  <si>
    <t>LESS: 09/2-3/2024</t>
  </si>
  <si>
    <t>LESS: 09/13/2024</t>
  </si>
  <si>
    <t>ADD: 06/26/2024</t>
  </si>
  <si>
    <t>SO # 024, S.2024, 126TH PHIL. IND. DAY</t>
  </si>
  <si>
    <t xml:space="preserve">                       HRMO</t>
  </si>
  <si>
    <t>LESS: 09/25/2024</t>
  </si>
  <si>
    <t>ADD: 09/1-30/2024</t>
  </si>
  <si>
    <t>LESS: 10/21/2024 (UNDERTIME: 2 HRS)</t>
  </si>
  <si>
    <t>LESS: 10/24/2024</t>
  </si>
  <si>
    <t>LESS: 10/29/2024 (UNDERTIME: AM)</t>
  </si>
  <si>
    <t>ADD: 10/1/2024-11/30/2024</t>
  </si>
  <si>
    <t>LESS: 12/23/2024</t>
  </si>
  <si>
    <t>LESS: 12/26-27/2024</t>
  </si>
  <si>
    <t>ADD: 12/1-31/2024</t>
  </si>
  <si>
    <t>LESS: 12/19/2024</t>
  </si>
  <si>
    <t>LESS: 01/03/2025</t>
  </si>
  <si>
    <t>LESS: 12/10/2024 PM (UNDERTIME)</t>
  </si>
  <si>
    <t>LESS: 01/20-21/2025</t>
  </si>
  <si>
    <t>ADD: 1/1-31/2025</t>
  </si>
  <si>
    <t>LESS: 02/10-14/2025</t>
  </si>
  <si>
    <t>LESS: 03/3-4/2025</t>
  </si>
  <si>
    <t>ADD: 02/1/2025-03/31/2025</t>
  </si>
  <si>
    <t>LESS: 04/7/2025</t>
  </si>
  <si>
    <t>LESS: 04/28-29/2025</t>
  </si>
  <si>
    <t>ADD: 04/1-30/2025</t>
  </si>
  <si>
    <t>LESS: 05/9/2025</t>
  </si>
  <si>
    <t>LESS: 05/14/2025</t>
  </si>
  <si>
    <t>LESS: 05/21/2025</t>
  </si>
  <si>
    <t>ADD: 05/13/2025</t>
  </si>
  <si>
    <t>S.O. # 020, S. 2025 APPRAISAL OF ELIGIBILTY DOCUMENTS FOR THE 2025 PROVINCIAL MEET</t>
  </si>
  <si>
    <t>LESS: 06/13/2025</t>
  </si>
  <si>
    <t>ADD: 05/1/2025-06/30/2025</t>
  </si>
  <si>
    <t>LESS: MONETIZATION 2025</t>
  </si>
  <si>
    <t>LESS: 07/9/2025</t>
  </si>
  <si>
    <t>LESS: 08/4-7/2025</t>
  </si>
  <si>
    <t>LESS: 07/24 &amp; 25-AM/2025</t>
  </si>
  <si>
    <t>ADD: 07/1-31/2025</t>
  </si>
  <si>
    <t>ADD: 08/1-26/2025</t>
  </si>
  <si>
    <t>ADD: 07/1/2025</t>
  </si>
  <si>
    <t>S.O. # 044, S. 2025 127TH PHIL. IND. DAY</t>
  </si>
  <si>
    <t>LESS: 08/22/2025</t>
  </si>
  <si>
    <t>August 27, 2025 -Effective date of transfer to other Agency</t>
  </si>
  <si>
    <t>NEGROS ISLAND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</si>
</sst>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8" fillId="0" borderId="0"/>
  </cellStyleXfs>
  <cellXfs count="7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164" fontId="3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6" fillId="0" borderId="0" xfId="0" applyFont="1"/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3" fillId="0" borderId="0" xfId="0" applyFont="1"/>
    <xf numFmtId="0" fontId="12" fillId="0" borderId="0" xfId="0" applyFont="1"/>
    <xf numFmtId="0" fontId="0" fillId="0" borderId="0" xfId="0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" fillId="0" borderId="0" xfId="0" applyFont="1"/>
    <xf numFmtId="0" fontId="14" fillId="0" borderId="0" xfId="0" applyFont="1" applyAlignment="1">
      <alignment vertical="center"/>
    </xf>
    <xf numFmtId="164" fontId="3" fillId="11" borderId="1" xfId="0" applyNumberFormat="1" applyFont="1" applyFill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center" vertical="center"/>
    </xf>
    <xf numFmtId="0" fontId="0" fillId="2" borderId="1" xfId="2" applyFont="1" applyFill="1" applyBorder="1" applyAlignment="1">
      <alignment horizontal="center" vertical="center" wrapText="1"/>
    </xf>
    <xf numFmtId="0" fontId="8" fillId="0" borderId="1" xfId="2" applyBorder="1" applyAlignment="1">
      <alignment horizontal="center" vertical="center" wrapText="1"/>
    </xf>
    <xf numFmtId="0" fontId="12" fillId="0" borderId="0" xfId="2" applyFont="1"/>
    <xf numFmtId="0" fontId="8" fillId="2" borderId="1" xfId="2" applyFill="1" applyBorder="1" applyAlignment="1">
      <alignment horizontal="center" vertical="center" wrapText="1"/>
    </xf>
    <xf numFmtId="0" fontId="8" fillId="10" borderId="1" xfId="2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4" fillId="2" borderId="0" xfId="0" applyFont="1" applyFill="1" applyAlignment="1">
      <alignment horizontal="center"/>
    </xf>
  </cellXfs>
  <cellStyles count="3">
    <cellStyle name="Comma 2" xfId="1" xr:uid="{00000000-0005-0000-0000-000000000000}"/>
    <cellStyle name="Normal" xfId="0" builtinId="0"/>
    <cellStyle name="Normal 2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458932</xdr:colOff>
      <xdr:row>0</xdr:row>
      <xdr:rowOff>93517</xdr:rowOff>
    </xdr:from>
    <xdr:to>
      <xdr:col>4</xdr:col>
      <xdr:colOff>319289</xdr:colOff>
      <xdr:row>0</xdr:row>
      <xdr:rowOff>626548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6977" y="93517"/>
          <a:ext cx="561744" cy="533031"/>
        </a:xfrm>
        <a:prstGeom prst="rect">
          <a:avLst/>
        </a:prstGeom>
        <a:noFill/>
      </xdr:spPr>
    </xdr:pic>
    <xdr:clientData/>
  </xdr:twoCellAnchor>
  <xdr:twoCellAnchor>
    <xdr:from>
      <xdr:col>0</xdr:col>
      <xdr:colOff>392101</xdr:colOff>
      <xdr:row>4</xdr:row>
      <xdr:rowOff>196939</xdr:rowOff>
    </xdr:from>
    <xdr:to>
      <xdr:col>1</xdr:col>
      <xdr:colOff>60613</xdr:colOff>
      <xdr:row>6</xdr:row>
      <xdr:rowOff>141988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329F7F0-30C4-4E9A-BCF3-4FAE86FCF58A}"/>
            </a:ext>
          </a:extLst>
        </xdr:cNvPr>
        <xdr:cNvSpPr txBox="1"/>
      </xdr:nvSpPr>
      <xdr:spPr>
        <a:xfrm>
          <a:off x="392101" y="1391894"/>
          <a:ext cx="2023785" cy="2481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EGONIA, JESSAH CHRISTEE A.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38FDF6-0122-42A2-B1C9-B324568EC5BB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ATTORNEY III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66A531-B0D1-4B28-AAB2-76D1F524E0B1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OSDS-LEGAL UNIT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121784</xdr:colOff>
      <xdr:row>0</xdr:row>
      <xdr:rowOff>112714</xdr:rowOff>
    </xdr:from>
    <xdr:to>
      <xdr:col>3</xdr:col>
      <xdr:colOff>269875</xdr:colOff>
      <xdr:row>3</xdr:row>
      <xdr:rowOff>130176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F583A6-C6C7-4156-9B5C-C6566A6F05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2159" y="112714"/>
          <a:ext cx="757691" cy="588962"/>
        </a:xfrm>
        <a:prstGeom prst="rect">
          <a:avLst/>
        </a:prstGeom>
        <a:noFill/>
      </xdr:spPr>
    </xdr:pic>
    <xdr:clientData/>
  </xdr:twoCellAnchor>
  <xdr:twoCellAnchor>
    <xdr:from>
      <xdr:col>0</xdr:col>
      <xdr:colOff>654051</xdr:colOff>
      <xdr:row>10</xdr:row>
      <xdr:rowOff>19051</xdr:rowOff>
    </xdr:from>
    <xdr:to>
      <xdr:col>1</xdr:col>
      <xdr:colOff>247650</xdr:colOff>
      <xdr:row>11</xdr:row>
      <xdr:rowOff>114301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87ADE8-DAB2-4554-BF18-63C16FA68C4D}"/>
            </a:ext>
          </a:extLst>
        </xdr:cNvPr>
        <xdr:cNvSpPr txBox="1"/>
      </xdr:nvSpPr>
      <xdr:spPr>
        <a:xfrm>
          <a:off x="654051" y="1924051"/>
          <a:ext cx="10318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ATTORNEY III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9824673-A192-41AC-AC77-5FCCDE69B236}"/>
            </a:ext>
          </a:extLst>
        </xdr:cNvPr>
        <xdr:cNvSpPr txBox="1"/>
      </xdr:nvSpPr>
      <xdr:spPr>
        <a:xfrm>
          <a:off x="3746273" y="169976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  <xdr:twoCellAnchor>
    <xdr:from>
      <xdr:col>0</xdr:col>
      <xdr:colOff>562183</xdr:colOff>
      <xdr:row>7</xdr:row>
      <xdr:rowOff>148618</xdr:rowOff>
    </xdr:from>
    <xdr:to>
      <xdr:col>1</xdr:col>
      <xdr:colOff>1065797</xdr:colOff>
      <xdr:row>9</xdr:row>
      <xdr:rowOff>93215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DB5BC21-D509-4978-BE42-ECCDCCBDE8BC}"/>
            </a:ext>
          </a:extLst>
        </xdr:cNvPr>
        <xdr:cNvSpPr txBox="1"/>
      </xdr:nvSpPr>
      <xdr:spPr>
        <a:xfrm>
          <a:off x="562183" y="1348768"/>
          <a:ext cx="1941889" cy="249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EGONIA,</a:t>
          </a:r>
          <a:r>
            <a:rPr lang="en-US" sz="1100" baseline="0"/>
            <a:t> JESSAH CHRISTEE A.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"/>
  <sheetViews>
    <sheetView tabSelected="1" view="pageBreakPreview" topLeftCell="A118" zoomScale="110" zoomScaleNormal="100" zoomScaleSheetLayoutView="110" workbookViewId="0">
      <selection activeCell="K126" sqref="K126"/>
    </sheetView>
  </sheetViews>
  <sheetFormatPr defaultRowHeight="15" x14ac:dyDescent="0.25"/>
  <cols>
    <col min="1" max="1" width="35.28515625" customWidth="1"/>
    <col min="2" max="9" width="10.5703125" customWidth="1"/>
    <col min="10" max="10" width="15.140625" style="29" customWidth="1"/>
    <col min="11" max="11" width="26.42578125" style="7" customWidth="1"/>
  </cols>
  <sheetData>
    <row r="1" spans="1:11" s="1" customFormat="1" ht="52.5" customHeight="1" x14ac:dyDescent="0.25">
      <c r="J1" s="3"/>
    </row>
    <row r="2" spans="1:11" s="1" customFormat="1" ht="10.5" customHeight="1" x14ac:dyDescent="0.25">
      <c r="A2" s="43" t="s">
        <v>46</v>
      </c>
      <c r="B2" s="43"/>
      <c r="C2" s="43"/>
      <c r="D2" s="43"/>
      <c r="E2" s="43"/>
      <c r="F2" s="43"/>
      <c r="G2" s="43"/>
      <c r="H2" s="43"/>
      <c r="I2" s="43"/>
      <c r="J2" s="43"/>
    </row>
    <row r="3" spans="1:11" s="1" customFormat="1" ht="15.95" customHeight="1" x14ac:dyDescent="0.25">
      <c r="A3" s="43" t="s">
        <v>47</v>
      </c>
      <c r="B3" s="43"/>
      <c r="C3" s="43"/>
      <c r="D3" s="43"/>
      <c r="E3" s="43"/>
      <c r="F3" s="43"/>
      <c r="G3" s="43"/>
      <c r="H3" s="43"/>
      <c r="I3" s="43"/>
      <c r="J3" s="43"/>
    </row>
    <row r="4" spans="1:11" s="1" customFormat="1" ht="15.95" customHeight="1" x14ac:dyDescent="0.25">
      <c r="A4" s="43" t="s">
        <v>155</v>
      </c>
      <c r="B4" s="43"/>
      <c r="C4" s="43"/>
      <c r="D4" s="43"/>
      <c r="E4" s="43"/>
      <c r="F4" s="43"/>
      <c r="G4" s="43"/>
      <c r="H4" s="43"/>
      <c r="I4" s="43"/>
      <c r="J4" s="43"/>
    </row>
    <row r="5" spans="1:11" s="1" customFormat="1" ht="15.95" customHeight="1" x14ac:dyDescent="0.25">
      <c r="A5" s="43" t="s">
        <v>49</v>
      </c>
      <c r="B5" s="43"/>
      <c r="C5" s="43"/>
      <c r="D5" s="43"/>
      <c r="E5" s="43"/>
      <c r="F5" s="43"/>
      <c r="G5" s="43"/>
      <c r="H5" s="43"/>
      <c r="I5" s="43"/>
      <c r="J5" s="43"/>
    </row>
    <row r="6" spans="1:11" s="1" customFormat="1" ht="8.25" customHeight="1" x14ac:dyDescent="0.25">
      <c r="J6" s="3"/>
    </row>
    <row r="7" spans="1:11" s="1" customFormat="1" ht="12" customHeight="1" x14ac:dyDescent="0.25">
      <c r="A7" s="1" t="s">
        <v>50</v>
      </c>
      <c r="B7" s="41" t="s">
        <v>51</v>
      </c>
      <c r="C7" s="41"/>
      <c r="D7" s="41"/>
      <c r="H7" s="2" t="s">
        <v>9</v>
      </c>
      <c r="I7" s="12"/>
      <c r="J7" s="2"/>
    </row>
    <row r="8" spans="1:11" s="1" customFormat="1" ht="12" customHeight="1" x14ac:dyDescent="0.25">
      <c r="B8" s="3"/>
      <c r="C8" s="3"/>
      <c r="H8" s="3"/>
      <c r="I8" s="3"/>
      <c r="J8" s="3"/>
    </row>
    <row r="9" spans="1:11" s="1" customFormat="1" ht="12" customHeight="1" x14ac:dyDescent="0.25">
      <c r="A9" s="1" t="s">
        <v>52</v>
      </c>
      <c r="B9" s="41" t="s">
        <v>53</v>
      </c>
      <c r="C9" s="41"/>
      <c r="D9" s="41"/>
      <c r="H9" s="2" t="s">
        <v>10</v>
      </c>
      <c r="I9" s="6"/>
      <c r="J9" s="2"/>
    </row>
    <row r="10" spans="1:11" ht="16.5" customHeight="1" thickBot="1" x14ac:dyDescent="0.3">
      <c r="A10" s="42" t="s">
        <v>0</v>
      </c>
      <c r="B10" s="42"/>
      <c r="C10" s="42"/>
      <c r="D10" s="42"/>
      <c r="E10" s="42"/>
      <c r="F10" s="42"/>
      <c r="G10" s="42"/>
      <c r="H10" s="42"/>
      <c r="I10" s="42"/>
      <c r="J10" s="42"/>
      <c r="K10"/>
    </row>
    <row r="11" spans="1:11" ht="18.75" customHeight="1" x14ac:dyDescent="0.25">
      <c r="A11" s="50" t="s">
        <v>4</v>
      </c>
      <c r="B11" s="45" t="s">
        <v>5</v>
      </c>
      <c r="C11" s="45"/>
      <c r="D11" s="46" t="s">
        <v>6</v>
      </c>
      <c r="E11" s="47"/>
      <c r="F11" s="47"/>
      <c r="G11" s="48"/>
      <c r="H11" s="49" t="s">
        <v>7</v>
      </c>
      <c r="I11" s="49"/>
      <c r="J11" s="52" t="s">
        <v>8</v>
      </c>
      <c r="K11" s="44" t="s">
        <v>11</v>
      </c>
    </row>
    <row r="12" spans="1:11" ht="18.75" customHeight="1" x14ac:dyDescent="0.25">
      <c r="A12" s="51"/>
      <c r="B12" s="5" t="s">
        <v>1</v>
      </c>
      <c r="C12" s="5" t="s">
        <v>2</v>
      </c>
      <c r="D12" s="5" t="s">
        <v>1</v>
      </c>
      <c r="E12" s="5" t="s">
        <v>2</v>
      </c>
      <c r="F12" s="5" t="s">
        <v>3</v>
      </c>
      <c r="G12" s="5" t="s">
        <v>32</v>
      </c>
      <c r="H12" s="5" t="s">
        <v>1</v>
      </c>
      <c r="I12" s="5" t="s">
        <v>2</v>
      </c>
      <c r="J12" s="53"/>
      <c r="K12" s="44"/>
    </row>
    <row r="13" spans="1:11" ht="18.75" customHeight="1" x14ac:dyDescent="0.25">
      <c r="A13" s="11" t="s">
        <v>54</v>
      </c>
      <c r="B13" s="4">
        <v>1.167</v>
      </c>
      <c r="C13" s="4">
        <v>1.167</v>
      </c>
      <c r="D13" s="4"/>
      <c r="E13" s="4"/>
      <c r="F13" s="4"/>
      <c r="G13" s="4"/>
      <c r="H13" s="4">
        <f>B13</f>
        <v>1.167</v>
      </c>
      <c r="I13" s="4">
        <f>C13</f>
        <v>1.167</v>
      </c>
      <c r="J13" s="27">
        <f>SUM(H13:I13)</f>
        <v>2.3340000000000001</v>
      </c>
    </row>
    <row r="14" spans="1:11" ht="18.75" customHeight="1" x14ac:dyDescent="0.25">
      <c r="A14" s="11" t="s">
        <v>55</v>
      </c>
      <c r="B14" s="4">
        <v>2.5</v>
      </c>
      <c r="C14" s="4">
        <v>2.5</v>
      </c>
      <c r="D14" s="4"/>
      <c r="E14" s="4"/>
      <c r="F14" s="4"/>
      <c r="G14" s="4"/>
      <c r="H14" s="4">
        <f>H13-F14-D14+B14</f>
        <v>3.6669999999999998</v>
      </c>
      <c r="I14" s="4">
        <f>I13-E14+C14</f>
        <v>3.6669999999999998</v>
      </c>
      <c r="J14" s="27">
        <f t="shared" ref="J14" si="0">SUM(H14:I14)</f>
        <v>7.3339999999999996</v>
      </c>
    </row>
    <row r="15" spans="1:11" ht="18.75" customHeight="1" x14ac:dyDescent="0.25">
      <c r="A15" s="11" t="s">
        <v>45</v>
      </c>
      <c r="B15" s="4"/>
      <c r="C15" s="4"/>
      <c r="D15" s="4"/>
      <c r="E15" s="4"/>
      <c r="F15" s="4"/>
      <c r="G15" s="4">
        <v>1</v>
      </c>
      <c r="H15" s="4">
        <f t="shared" ref="H15:H29" si="1">H14-F15-D15+B15</f>
        <v>3.6669999999999998</v>
      </c>
      <c r="I15" s="4">
        <f t="shared" ref="I15:I29" si="2">I14-E15+C15</f>
        <v>3.6669999999999998</v>
      </c>
      <c r="J15" s="27">
        <f t="shared" ref="J15:J29" si="3">SUM(H15:I15)</f>
        <v>7.3339999999999996</v>
      </c>
    </row>
    <row r="16" spans="1:11" ht="18.75" customHeight="1" x14ac:dyDescent="0.25">
      <c r="A16" s="10" t="s">
        <v>12</v>
      </c>
      <c r="B16" s="4">
        <v>2.5</v>
      </c>
      <c r="C16" s="4">
        <v>2.5</v>
      </c>
      <c r="D16" s="4"/>
      <c r="E16" s="4"/>
      <c r="F16" s="4"/>
      <c r="G16" s="4"/>
      <c r="H16" s="4">
        <f t="shared" si="1"/>
        <v>6.1669999999999998</v>
      </c>
      <c r="I16" s="4">
        <f t="shared" si="2"/>
        <v>6.1669999999999998</v>
      </c>
      <c r="J16" s="27">
        <f t="shared" si="3"/>
        <v>12.334</v>
      </c>
    </row>
    <row r="17" spans="1:10" ht="18.75" customHeight="1" x14ac:dyDescent="0.25">
      <c r="A17" s="11" t="s">
        <v>13</v>
      </c>
      <c r="B17" s="4"/>
      <c r="C17" s="4"/>
      <c r="D17" s="4"/>
      <c r="E17" s="4"/>
      <c r="F17" s="4">
        <v>2</v>
      </c>
      <c r="G17" s="4"/>
      <c r="H17" s="4">
        <f t="shared" si="1"/>
        <v>4.1669999999999998</v>
      </c>
      <c r="I17" s="4">
        <f t="shared" si="2"/>
        <v>6.1669999999999998</v>
      </c>
      <c r="J17" s="27">
        <f t="shared" si="3"/>
        <v>10.334</v>
      </c>
    </row>
    <row r="18" spans="1:10" ht="18.75" customHeight="1" x14ac:dyDescent="0.25">
      <c r="A18" s="11" t="s">
        <v>15</v>
      </c>
      <c r="B18" s="4"/>
      <c r="C18" s="4"/>
      <c r="D18" s="4"/>
      <c r="E18" s="4">
        <v>1</v>
      </c>
      <c r="F18" s="4"/>
      <c r="G18" s="4"/>
      <c r="H18" s="4">
        <f t="shared" si="1"/>
        <v>4.1669999999999998</v>
      </c>
      <c r="I18" s="4">
        <f t="shared" si="2"/>
        <v>5.1669999999999998</v>
      </c>
      <c r="J18" s="27">
        <f t="shared" si="3"/>
        <v>9.3339999999999996</v>
      </c>
    </row>
    <row r="19" spans="1:10" ht="18.75" customHeight="1" x14ac:dyDescent="0.25">
      <c r="A19" s="10" t="s">
        <v>14</v>
      </c>
      <c r="B19" s="4">
        <v>2.5</v>
      </c>
      <c r="C19" s="4">
        <v>2.5</v>
      </c>
      <c r="D19" s="4"/>
      <c r="E19" s="4"/>
      <c r="F19" s="4"/>
      <c r="G19" s="4"/>
      <c r="H19" s="4">
        <f t="shared" si="1"/>
        <v>6.6669999999999998</v>
      </c>
      <c r="I19" s="4">
        <f t="shared" si="2"/>
        <v>7.6669999999999998</v>
      </c>
      <c r="J19" s="27">
        <f t="shared" si="3"/>
        <v>14.334</v>
      </c>
    </row>
    <row r="20" spans="1:10" ht="18.75" customHeight="1" x14ac:dyDescent="0.25">
      <c r="A20" s="11" t="s">
        <v>16</v>
      </c>
      <c r="B20" s="15"/>
      <c r="C20" s="4"/>
      <c r="D20" s="4"/>
      <c r="E20" s="4"/>
      <c r="F20" s="4">
        <v>1</v>
      </c>
      <c r="G20" s="4"/>
      <c r="H20" s="4">
        <f t="shared" si="1"/>
        <v>5.6669999999999998</v>
      </c>
      <c r="I20" s="4">
        <f t="shared" si="2"/>
        <v>7.6669999999999998</v>
      </c>
      <c r="J20" s="27">
        <f t="shared" si="3"/>
        <v>13.334</v>
      </c>
    </row>
    <row r="21" spans="1:10" ht="18.75" customHeight="1" x14ac:dyDescent="0.25">
      <c r="A21" s="10" t="s">
        <v>17</v>
      </c>
      <c r="B21" s="4">
        <v>2.5</v>
      </c>
      <c r="C21" s="4">
        <v>2.5</v>
      </c>
      <c r="D21" s="4"/>
      <c r="E21" s="4"/>
      <c r="F21" s="4"/>
      <c r="G21" s="4"/>
      <c r="H21" s="4">
        <f t="shared" si="1"/>
        <v>8.1669999999999998</v>
      </c>
      <c r="I21" s="4">
        <f t="shared" si="2"/>
        <v>10.167</v>
      </c>
      <c r="J21" s="27">
        <f t="shared" si="3"/>
        <v>18.334</v>
      </c>
    </row>
    <row r="22" spans="1:10" ht="18.75" customHeight="1" x14ac:dyDescent="0.25">
      <c r="A22" s="11" t="s">
        <v>18</v>
      </c>
      <c r="B22" s="4"/>
      <c r="C22" s="4"/>
      <c r="D22" s="4"/>
      <c r="E22" s="4"/>
      <c r="F22" s="4">
        <v>1</v>
      </c>
      <c r="G22" s="4"/>
      <c r="H22" s="4">
        <f t="shared" si="1"/>
        <v>7.1669999999999998</v>
      </c>
      <c r="I22" s="4">
        <f t="shared" si="2"/>
        <v>10.167</v>
      </c>
      <c r="J22" s="27">
        <f t="shared" si="3"/>
        <v>17.334</v>
      </c>
    </row>
    <row r="23" spans="1:10" ht="18.75" customHeight="1" x14ac:dyDescent="0.25">
      <c r="A23" s="11" t="s">
        <v>19</v>
      </c>
      <c r="B23" s="4"/>
      <c r="C23" s="4"/>
      <c r="D23" s="4"/>
      <c r="E23" s="4"/>
      <c r="F23" s="4">
        <v>1</v>
      </c>
      <c r="G23" s="4"/>
      <c r="H23" s="4">
        <f t="shared" si="1"/>
        <v>6.1669999999999998</v>
      </c>
      <c r="I23" s="4">
        <f t="shared" si="2"/>
        <v>10.167</v>
      </c>
      <c r="J23" s="27">
        <f t="shared" si="3"/>
        <v>16.334</v>
      </c>
    </row>
    <row r="24" spans="1:10" ht="18.75" customHeight="1" x14ac:dyDescent="0.25">
      <c r="A24" s="11" t="s">
        <v>20</v>
      </c>
      <c r="B24" s="4"/>
      <c r="C24" s="4"/>
      <c r="D24" s="4"/>
      <c r="E24" s="4"/>
      <c r="F24" s="4"/>
      <c r="G24" s="4">
        <v>2</v>
      </c>
      <c r="H24" s="4">
        <f t="shared" si="1"/>
        <v>6.1669999999999998</v>
      </c>
      <c r="I24" s="4">
        <f t="shared" si="2"/>
        <v>10.167</v>
      </c>
      <c r="J24" s="27">
        <f t="shared" si="3"/>
        <v>16.334</v>
      </c>
    </row>
    <row r="25" spans="1:10" ht="18.75" customHeight="1" x14ac:dyDescent="0.25">
      <c r="A25" s="10" t="s">
        <v>21</v>
      </c>
      <c r="B25" s="4">
        <v>1.25</v>
      </c>
      <c r="C25" s="4">
        <v>1.25</v>
      </c>
      <c r="D25" s="4"/>
      <c r="E25" s="4"/>
      <c r="F25" s="4"/>
      <c r="G25" s="4"/>
      <c r="H25" s="4">
        <f t="shared" si="1"/>
        <v>7.4169999999999998</v>
      </c>
      <c r="I25" s="4">
        <f t="shared" si="2"/>
        <v>11.417</v>
      </c>
      <c r="J25" s="27">
        <f t="shared" si="3"/>
        <v>18.834</v>
      </c>
    </row>
    <row r="26" spans="1:10" ht="18.75" customHeight="1" x14ac:dyDescent="0.25">
      <c r="A26" s="11" t="s">
        <v>22</v>
      </c>
      <c r="B26" s="4"/>
      <c r="C26" s="4"/>
      <c r="D26" s="4"/>
      <c r="E26" s="4">
        <v>2.5</v>
      </c>
      <c r="F26" s="4"/>
      <c r="G26" s="4"/>
      <c r="H26" s="4">
        <f t="shared" si="1"/>
        <v>7.4169999999999998</v>
      </c>
      <c r="I26" s="4">
        <f t="shared" si="2"/>
        <v>8.9169999999999998</v>
      </c>
      <c r="J26" s="27">
        <f t="shared" si="3"/>
        <v>16.334</v>
      </c>
    </row>
    <row r="27" spans="1:10" ht="18.75" customHeight="1" x14ac:dyDescent="0.25">
      <c r="A27" s="10" t="s">
        <v>23</v>
      </c>
      <c r="B27" s="4">
        <v>1.25</v>
      </c>
      <c r="C27" s="4">
        <v>1.25</v>
      </c>
      <c r="D27" s="4"/>
      <c r="E27" s="4"/>
      <c r="F27" s="4"/>
      <c r="G27" s="4"/>
      <c r="H27" s="4">
        <f t="shared" si="1"/>
        <v>8.6669999999999998</v>
      </c>
      <c r="I27" s="4">
        <f t="shared" si="2"/>
        <v>10.167</v>
      </c>
      <c r="J27" s="27">
        <f t="shared" si="3"/>
        <v>18.834</v>
      </c>
    </row>
    <row r="28" spans="1:10" ht="18.75" customHeight="1" x14ac:dyDescent="0.25">
      <c r="A28" s="13" t="s">
        <v>24</v>
      </c>
      <c r="B28" s="4"/>
      <c r="C28" s="4"/>
      <c r="D28" s="4"/>
      <c r="E28" s="4">
        <v>1</v>
      </c>
      <c r="F28" s="4"/>
      <c r="G28" s="4"/>
      <c r="H28" s="4">
        <f t="shared" si="1"/>
        <v>8.6669999999999998</v>
      </c>
      <c r="I28" s="4">
        <f t="shared" si="2"/>
        <v>9.1669999999999998</v>
      </c>
      <c r="J28" s="27">
        <f t="shared" si="3"/>
        <v>17.834</v>
      </c>
    </row>
    <row r="29" spans="1:10" ht="18.75" customHeight="1" x14ac:dyDescent="0.25">
      <c r="A29" s="13" t="s">
        <v>25</v>
      </c>
      <c r="B29" s="4"/>
      <c r="C29" s="4"/>
      <c r="D29" s="4">
        <v>1</v>
      </c>
      <c r="E29" s="4"/>
      <c r="F29" s="4"/>
      <c r="G29" s="4"/>
      <c r="H29" s="4">
        <f t="shared" si="1"/>
        <v>7.6669999999999998</v>
      </c>
      <c r="I29" s="4">
        <f t="shared" si="2"/>
        <v>9.1669999999999998</v>
      </c>
      <c r="J29" s="27">
        <f t="shared" si="3"/>
        <v>16.834</v>
      </c>
    </row>
    <row r="30" spans="1:10" ht="18.75" customHeight="1" x14ac:dyDescent="0.25">
      <c r="A30" s="10" t="s">
        <v>26</v>
      </c>
      <c r="B30" s="4">
        <v>2.5</v>
      </c>
      <c r="C30" s="4">
        <v>2.5</v>
      </c>
      <c r="D30" s="4"/>
      <c r="E30" s="4"/>
      <c r="F30" s="4"/>
      <c r="G30" s="4"/>
      <c r="H30" s="4">
        <f t="shared" ref="H30:H93" si="4">H29-F30-D30+B30</f>
        <v>10.167</v>
      </c>
      <c r="I30" s="4">
        <f t="shared" ref="I30:I93" si="5">I29-E30+C30</f>
        <v>11.667</v>
      </c>
      <c r="J30" s="27">
        <f t="shared" ref="J30:J93" si="6">SUM(H30:I30)</f>
        <v>21.834</v>
      </c>
    </row>
    <row r="31" spans="1:10" ht="18.75" customHeight="1" x14ac:dyDescent="0.25">
      <c r="A31" s="13" t="s">
        <v>27</v>
      </c>
      <c r="B31" s="4"/>
      <c r="C31" s="4"/>
      <c r="D31" s="4"/>
      <c r="E31" s="4">
        <v>1</v>
      </c>
      <c r="F31" s="4"/>
      <c r="G31" s="4"/>
      <c r="H31" s="4">
        <f t="shared" si="4"/>
        <v>10.167</v>
      </c>
      <c r="I31" s="4">
        <f t="shared" si="5"/>
        <v>10.667</v>
      </c>
      <c r="J31" s="27">
        <f t="shared" si="6"/>
        <v>20.834</v>
      </c>
    </row>
    <row r="32" spans="1:10" ht="18.75" customHeight="1" x14ac:dyDescent="0.25">
      <c r="A32" s="13" t="s">
        <v>28</v>
      </c>
      <c r="B32" s="4"/>
      <c r="C32" s="4"/>
      <c r="D32" s="4"/>
      <c r="E32" s="4">
        <v>1</v>
      </c>
      <c r="F32" s="4"/>
      <c r="G32" s="4"/>
      <c r="H32" s="4">
        <f t="shared" si="4"/>
        <v>10.167</v>
      </c>
      <c r="I32" s="4">
        <f t="shared" si="5"/>
        <v>9.6669999999999998</v>
      </c>
      <c r="J32" s="27">
        <f t="shared" si="6"/>
        <v>19.834</v>
      </c>
    </row>
    <row r="33" spans="1:10" ht="18.75" customHeight="1" x14ac:dyDescent="0.25">
      <c r="A33" s="9" t="s">
        <v>29</v>
      </c>
      <c r="B33" s="16"/>
      <c r="C33" s="16"/>
      <c r="D33" s="17"/>
      <c r="E33" s="17">
        <v>0.5</v>
      </c>
      <c r="F33" s="16"/>
      <c r="G33" s="16"/>
      <c r="H33" s="4">
        <f t="shared" si="4"/>
        <v>10.167</v>
      </c>
      <c r="I33" s="4">
        <f t="shared" si="5"/>
        <v>9.1669999999999998</v>
      </c>
      <c r="J33" s="27">
        <f t="shared" si="6"/>
        <v>19.334</v>
      </c>
    </row>
    <row r="34" spans="1:10" ht="15.75" x14ac:dyDescent="0.25">
      <c r="A34" s="9" t="s">
        <v>30</v>
      </c>
      <c r="B34" s="18"/>
      <c r="C34" s="18"/>
      <c r="D34" s="18">
        <v>1</v>
      </c>
      <c r="E34" s="18"/>
      <c r="F34" s="18"/>
      <c r="G34" s="18"/>
      <c r="H34" s="4">
        <f t="shared" si="4"/>
        <v>9.1669999999999998</v>
      </c>
      <c r="I34" s="4">
        <f t="shared" si="5"/>
        <v>9.1669999999999998</v>
      </c>
      <c r="J34" s="27">
        <f t="shared" si="6"/>
        <v>18.334</v>
      </c>
    </row>
    <row r="35" spans="1:10" ht="15.75" x14ac:dyDescent="0.25">
      <c r="A35" s="9" t="s">
        <v>31</v>
      </c>
      <c r="B35" s="18"/>
      <c r="C35" s="18"/>
      <c r="D35" s="18"/>
      <c r="E35" s="18"/>
      <c r="F35" s="18"/>
      <c r="G35" s="18">
        <v>1</v>
      </c>
      <c r="H35" s="4">
        <f t="shared" si="4"/>
        <v>9.1669999999999998</v>
      </c>
      <c r="I35" s="4">
        <f t="shared" si="5"/>
        <v>9.1669999999999998</v>
      </c>
      <c r="J35" s="27">
        <f t="shared" si="6"/>
        <v>18.334</v>
      </c>
    </row>
    <row r="36" spans="1:10" ht="15.75" x14ac:dyDescent="0.25">
      <c r="A36" s="10" t="s">
        <v>33</v>
      </c>
      <c r="B36" s="18">
        <v>1.25</v>
      </c>
      <c r="C36" s="18">
        <v>1.25</v>
      </c>
      <c r="D36" s="18"/>
      <c r="E36" s="18"/>
      <c r="F36" s="18"/>
      <c r="G36" s="18"/>
      <c r="H36" s="4">
        <f t="shared" si="4"/>
        <v>10.417</v>
      </c>
      <c r="I36" s="4">
        <f t="shared" si="5"/>
        <v>10.417</v>
      </c>
      <c r="J36" s="27">
        <f t="shared" si="6"/>
        <v>20.834</v>
      </c>
    </row>
    <row r="37" spans="1:10" ht="15.75" x14ac:dyDescent="0.25">
      <c r="A37" s="9" t="s">
        <v>34</v>
      </c>
      <c r="B37" s="18"/>
      <c r="C37" s="18"/>
      <c r="D37" s="18"/>
      <c r="E37" s="18">
        <v>1</v>
      </c>
      <c r="F37" s="18"/>
      <c r="G37" s="18"/>
      <c r="H37" s="4">
        <f t="shared" si="4"/>
        <v>10.417</v>
      </c>
      <c r="I37" s="4">
        <f t="shared" si="5"/>
        <v>9.4169999999999998</v>
      </c>
      <c r="J37" s="27">
        <f t="shared" si="6"/>
        <v>19.834</v>
      </c>
    </row>
    <row r="38" spans="1:10" ht="15.75" x14ac:dyDescent="0.25">
      <c r="A38" s="9" t="s">
        <v>35</v>
      </c>
      <c r="B38" s="18"/>
      <c r="C38" s="18"/>
      <c r="D38" s="18"/>
      <c r="E38" s="18">
        <v>1</v>
      </c>
      <c r="F38" s="18"/>
      <c r="G38" s="18"/>
      <c r="H38" s="4">
        <f t="shared" si="4"/>
        <v>10.417</v>
      </c>
      <c r="I38" s="4">
        <f t="shared" si="5"/>
        <v>8.4169999999999998</v>
      </c>
      <c r="J38" s="27">
        <f t="shared" si="6"/>
        <v>18.834</v>
      </c>
    </row>
    <row r="39" spans="1:10" ht="15.75" x14ac:dyDescent="0.25">
      <c r="A39" s="9" t="s">
        <v>36</v>
      </c>
      <c r="B39" s="18"/>
      <c r="C39" s="18"/>
      <c r="D39" s="18"/>
      <c r="E39" s="18">
        <v>1</v>
      </c>
      <c r="F39" s="18"/>
      <c r="G39" s="18"/>
      <c r="H39" s="4">
        <f t="shared" si="4"/>
        <v>10.417</v>
      </c>
      <c r="I39" s="4">
        <f t="shared" si="5"/>
        <v>7.4169999999999998</v>
      </c>
      <c r="J39" s="27">
        <f t="shared" si="6"/>
        <v>17.834</v>
      </c>
    </row>
    <row r="40" spans="1:10" ht="15.75" x14ac:dyDescent="0.25">
      <c r="A40" s="10" t="s">
        <v>37</v>
      </c>
      <c r="B40" s="18">
        <v>1.25</v>
      </c>
      <c r="C40" s="18">
        <v>1.25</v>
      </c>
      <c r="D40" s="18"/>
      <c r="E40" s="18"/>
      <c r="F40" s="18"/>
      <c r="G40" s="18"/>
      <c r="H40" s="4">
        <f t="shared" si="4"/>
        <v>11.667</v>
      </c>
      <c r="I40" s="4">
        <f t="shared" si="5"/>
        <v>8.6669999999999998</v>
      </c>
      <c r="J40" s="27">
        <f t="shared" si="6"/>
        <v>20.334</v>
      </c>
    </row>
    <row r="41" spans="1:10" ht="15.75" x14ac:dyDescent="0.25">
      <c r="A41" s="9" t="s">
        <v>38</v>
      </c>
      <c r="B41" s="18"/>
      <c r="C41" s="18"/>
      <c r="D41" s="18">
        <v>3</v>
      </c>
      <c r="E41" s="18"/>
      <c r="F41" s="18"/>
      <c r="G41" s="18"/>
      <c r="H41" s="4">
        <f t="shared" si="4"/>
        <v>8.6669999999999998</v>
      </c>
      <c r="I41" s="4">
        <f t="shared" si="5"/>
        <v>8.6669999999999998</v>
      </c>
      <c r="J41" s="27">
        <f t="shared" si="6"/>
        <v>17.334</v>
      </c>
    </row>
    <row r="42" spans="1:10" ht="15.75" x14ac:dyDescent="0.25">
      <c r="A42" s="8" t="s">
        <v>39</v>
      </c>
      <c r="B42" s="18"/>
      <c r="C42" s="18"/>
      <c r="D42" s="18"/>
      <c r="E42" s="18">
        <v>1</v>
      </c>
      <c r="F42" s="18"/>
      <c r="G42" s="18"/>
      <c r="H42" s="4">
        <f t="shared" si="4"/>
        <v>8.6669999999999998</v>
      </c>
      <c r="I42" s="4">
        <f t="shared" si="5"/>
        <v>7.6669999999999998</v>
      </c>
      <c r="J42" s="27">
        <f t="shared" si="6"/>
        <v>16.334</v>
      </c>
    </row>
    <row r="43" spans="1:10" ht="15.75" x14ac:dyDescent="0.25">
      <c r="A43" s="8" t="s">
        <v>40</v>
      </c>
      <c r="B43" s="18"/>
      <c r="C43" s="18"/>
      <c r="D43" s="18"/>
      <c r="E43" s="18"/>
      <c r="F43" s="18">
        <v>1</v>
      </c>
      <c r="G43" s="18"/>
      <c r="H43" s="4">
        <f t="shared" si="4"/>
        <v>7.6669999999999998</v>
      </c>
      <c r="I43" s="4">
        <f t="shared" si="5"/>
        <v>7.6669999999999998</v>
      </c>
      <c r="J43" s="27">
        <f t="shared" si="6"/>
        <v>15.334</v>
      </c>
    </row>
    <row r="44" spans="1:10" ht="15.75" x14ac:dyDescent="0.25">
      <c r="A44" s="8" t="s">
        <v>41</v>
      </c>
      <c r="B44" s="18"/>
      <c r="C44" s="18"/>
      <c r="D44" s="18">
        <v>2</v>
      </c>
      <c r="E44" s="18"/>
      <c r="F44" s="18"/>
      <c r="G44" s="18"/>
      <c r="H44" s="4">
        <f t="shared" si="4"/>
        <v>5.6669999999999998</v>
      </c>
      <c r="I44" s="4">
        <f t="shared" si="5"/>
        <v>7.6669999999999998</v>
      </c>
      <c r="J44" s="27">
        <f t="shared" si="6"/>
        <v>13.334</v>
      </c>
    </row>
    <row r="45" spans="1:10" ht="15.75" x14ac:dyDescent="0.25">
      <c r="A45" s="8" t="s">
        <v>42</v>
      </c>
      <c r="B45" s="18"/>
      <c r="C45" s="18"/>
      <c r="D45" s="18"/>
      <c r="E45" s="18">
        <v>3</v>
      </c>
      <c r="F45" s="18"/>
      <c r="G45" s="18"/>
      <c r="H45" s="4">
        <f t="shared" si="4"/>
        <v>5.6669999999999998</v>
      </c>
      <c r="I45" s="4">
        <f t="shared" si="5"/>
        <v>4.6669999999999998</v>
      </c>
      <c r="J45" s="27">
        <f t="shared" si="6"/>
        <v>10.334</v>
      </c>
    </row>
    <row r="46" spans="1:10" ht="15.75" x14ac:dyDescent="0.25">
      <c r="A46" s="8" t="s">
        <v>43</v>
      </c>
      <c r="B46" s="18"/>
      <c r="C46" s="18"/>
      <c r="D46" s="18"/>
      <c r="E46" s="18"/>
      <c r="F46" s="18"/>
      <c r="G46" s="18">
        <v>1</v>
      </c>
      <c r="H46" s="4">
        <f t="shared" si="4"/>
        <v>5.6669999999999998</v>
      </c>
      <c r="I46" s="4">
        <f t="shared" si="5"/>
        <v>4.6669999999999998</v>
      </c>
      <c r="J46" s="27">
        <f t="shared" si="6"/>
        <v>10.334</v>
      </c>
    </row>
    <row r="47" spans="1:10" ht="15.75" x14ac:dyDescent="0.25">
      <c r="A47" s="10" t="s">
        <v>56</v>
      </c>
      <c r="B47" s="18">
        <v>1.25</v>
      </c>
      <c r="C47" s="18">
        <v>1.25</v>
      </c>
      <c r="D47" s="18"/>
      <c r="E47" s="18"/>
      <c r="F47" s="18"/>
      <c r="G47" s="18"/>
      <c r="H47" s="4">
        <f t="shared" si="4"/>
        <v>6.9169999999999998</v>
      </c>
      <c r="I47" s="4">
        <f t="shared" si="5"/>
        <v>5.9169999999999998</v>
      </c>
      <c r="J47" s="27">
        <f t="shared" si="6"/>
        <v>12.834</v>
      </c>
    </row>
    <row r="48" spans="1:10" ht="15.75" x14ac:dyDescent="0.25">
      <c r="A48" s="8" t="s">
        <v>44</v>
      </c>
      <c r="B48" s="18"/>
      <c r="C48" s="18"/>
      <c r="D48" s="18"/>
      <c r="E48" s="18">
        <v>1</v>
      </c>
      <c r="F48" s="18"/>
      <c r="G48" s="18"/>
      <c r="H48" s="4">
        <f t="shared" si="4"/>
        <v>6.9169999999999998</v>
      </c>
      <c r="I48" s="4">
        <f t="shared" si="5"/>
        <v>4.9169999999999998</v>
      </c>
      <c r="J48" s="27">
        <f t="shared" si="6"/>
        <v>11.834</v>
      </c>
    </row>
    <row r="49" spans="1:10" ht="15.75" x14ac:dyDescent="0.25">
      <c r="A49" s="10" t="s">
        <v>57</v>
      </c>
      <c r="B49" s="18">
        <v>2.5</v>
      </c>
      <c r="C49" s="18">
        <v>2.5</v>
      </c>
      <c r="D49" s="18"/>
      <c r="E49" s="18"/>
      <c r="F49" s="18"/>
      <c r="G49" s="18"/>
      <c r="H49" s="4">
        <f t="shared" si="4"/>
        <v>9.4169999999999998</v>
      </c>
      <c r="I49" s="4">
        <f t="shared" si="5"/>
        <v>7.4169999999999998</v>
      </c>
      <c r="J49" s="27">
        <f t="shared" si="6"/>
        <v>16.834</v>
      </c>
    </row>
    <row r="50" spans="1:10" ht="15.75" x14ac:dyDescent="0.25">
      <c r="A50" s="8" t="s">
        <v>58</v>
      </c>
      <c r="B50" s="18"/>
      <c r="C50" s="18"/>
      <c r="D50" s="18"/>
      <c r="E50" s="18">
        <v>1</v>
      </c>
      <c r="F50" s="18"/>
      <c r="G50" s="18"/>
      <c r="H50" s="4">
        <f t="shared" si="4"/>
        <v>9.4169999999999998</v>
      </c>
      <c r="I50" s="4">
        <f t="shared" si="5"/>
        <v>6.4169999999999998</v>
      </c>
      <c r="J50" s="27">
        <f t="shared" si="6"/>
        <v>15.834</v>
      </c>
    </row>
    <row r="51" spans="1:10" ht="15.75" x14ac:dyDescent="0.25">
      <c r="A51" s="10" t="s">
        <v>59</v>
      </c>
      <c r="B51" s="18">
        <v>1.25</v>
      </c>
      <c r="C51" s="18">
        <v>1.25</v>
      </c>
      <c r="D51" s="18"/>
      <c r="E51" s="18"/>
      <c r="F51" s="18"/>
      <c r="G51" s="18"/>
      <c r="H51" s="4">
        <f t="shared" si="4"/>
        <v>10.667</v>
      </c>
      <c r="I51" s="4">
        <f t="shared" si="5"/>
        <v>7.6669999999999998</v>
      </c>
      <c r="J51" s="27">
        <f t="shared" si="6"/>
        <v>18.334</v>
      </c>
    </row>
    <row r="52" spans="1:10" ht="15.75" x14ac:dyDescent="0.25">
      <c r="A52" s="8" t="s">
        <v>60</v>
      </c>
      <c r="B52" s="18"/>
      <c r="C52" s="18"/>
      <c r="D52" s="18"/>
      <c r="E52" s="18">
        <v>1</v>
      </c>
      <c r="F52" s="18"/>
      <c r="G52" s="18"/>
      <c r="H52" s="4">
        <f t="shared" si="4"/>
        <v>10.667</v>
      </c>
      <c r="I52" s="4">
        <f t="shared" si="5"/>
        <v>6.6669999999999998</v>
      </c>
      <c r="J52" s="27">
        <f t="shared" si="6"/>
        <v>17.334</v>
      </c>
    </row>
    <row r="53" spans="1:10" ht="15.75" x14ac:dyDescent="0.25">
      <c r="A53" s="9" t="s">
        <v>61</v>
      </c>
      <c r="B53" s="18"/>
      <c r="C53" s="18"/>
      <c r="D53" s="18"/>
      <c r="E53" s="18"/>
      <c r="F53" s="18">
        <v>4</v>
      </c>
      <c r="G53" s="18"/>
      <c r="H53" s="4">
        <f t="shared" si="4"/>
        <v>6.6669999999999998</v>
      </c>
      <c r="I53" s="4">
        <f t="shared" si="5"/>
        <v>6.6669999999999998</v>
      </c>
      <c r="J53" s="27">
        <f t="shared" si="6"/>
        <v>13.334</v>
      </c>
    </row>
    <row r="54" spans="1:10" ht="15.75" x14ac:dyDescent="0.25">
      <c r="A54" s="10" t="s">
        <v>62</v>
      </c>
      <c r="B54" s="18">
        <v>1.25</v>
      </c>
      <c r="C54" s="18">
        <v>1.25</v>
      </c>
      <c r="D54" s="18"/>
      <c r="E54" s="18"/>
      <c r="F54" s="18"/>
      <c r="G54" s="18"/>
      <c r="H54" s="4">
        <f t="shared" si="4"/>
        <v>7.9169999999999998</v>
      </c>
      <c r="I54" s="4">
        <f t="shared" si="5"/>
        <v>7.9169999999999998</v>
      </c>
      <c r="J54" s="27">
        <f t="shared" si="6"/>
        <v>15.834</v>
      </c>
    </row>
    <row r="55" spans="1:10" ht="15.75" x14ac:dyDescent="0.25">
      <c r="A55" s="9" t="s">
        <v>63</v>
      </c>
      <c r="B55" s="18"/>
      <c r="C55" s="18"/>
      <c r="D55" s="18"/>
      <c r="E55" s="18">
        <v>2</v>
      </c>
      <c r="F55" s="18"/>
      <c r="G55" s="18"/>
      <c r="H55" s="4">
        <f t="shared" si="4"/>
        <v>7.9169999999999998</v>
      </c>
      <c r="I55" s="4">
        <f t="shared" si="5"/>
        <v>5.9169999999999998</v>
      </c>
      <c r="J55" s="27">
        <f t="shared" si="6"/>
        <v>13.834</v>
      </c>
    </row>
    <row r="56" spans="1:10" ht="15.75" x14ac:dyDescent="0.25">
      <c r="A56" s="10" t="s">
        <v>64</v>
      </c>
      <c r="B56" s="18">
        <v>1.25</v>
      </c>
      <c r="C56" s="18">
        <v>1.25</v>
      </c>
      <c r="D56" s="18"/>
      <c r="E56" s="18"/>
      <c r="F56" s="18"/>
      <c r="G56" s="18"/>
      <c r="H56" s="4">
        <f t="shared" si="4"/>
        <v>9.1669999999999998</v>
      </c>
      <c r="I56" s="4">
        <f t="shared" si="5"/>
        <v>7.1669999999999998</v>
      </c>
      <c r="J56" s="27">
        <f t="shared" si="6"/>
        <v>16.334</v>
      </c>
    </row>
    <row r="57" spans="1:10" ht="15.75" x14ac:dyDescent="0.25">
      <c r="A57" s="9" t="s">
        <v>65</v>
      </c>
      <c r="B57" s="18"/>
      <c r="C57" s="18"/>
      <c r="D57" s="18"/>
      <c r="E57" s="18">
        <v>1</v>
      </c>
      <c r="F57" s="18"/>
      <c r="G57" s="18"/>
      <c r="H57" s="4">
        <f t="shared" si="4"/>
        <v>9.1669999999999998</v>
      </c>
      <c r="I57" s="4">
        <f t="shared" si="5"/>
        <v>6.1669999999999998</v>
      </c>
      <c r="J57" s="27">
        <f t="shared" si="6"/>
        <v>15.334</v>
      </c>
    </row>
    <row r="58" spans="1:10" ht="15.75" x14ac:dyDescent="0.25">
      <c r="A58" s="10" t="s">
        <v>66</v>
      </c>
      <c r="B58" s="18">
        <v>1.25</v>
      </c>
      <c r="C58" s="18">
        <v>1.25</v>
      </c>
      <c r="D58" s="18"/>
      <c r="E58" s="18"/>
      <c r="F58" s="18"/>
      <c r="G58" s="18"/>
      <c r="H58" s="4">
        <f t="shared" si="4"/>
        <v>10.417</v>
      </c>
      <c r="I58" s="4">
        <f t="shared" si="5"/>
        <v>7.4169999999999998</v>
      </c>
      <c r="J58" s="27">
        <f t="shared" si="6"/>
        <v>17.834</v>
      </c>
    </row>
    <row r="59" spans="1:10" ht="15.75" x14ac:dyDescent="0.25">
      <c r="A59" s="9" t="s">
        <v>67</v>
      </c>
      <c r="B59" s="18"/>
      <c r="C59" s="18"/>
      <c r="D59" s="18"/>
      <c r="E59" s="18">
        <v>1</v>
      </c>
      <c r="F59" s="18"/>
      <c r="G59" s="18"/>
      <c r="H59" s="4">
        <f t="shared" si="4"/>
        <v>10.417</v>
      </c>
      <c r="I59" s="4">
        <f t="shared" si="5"/>
        <v>6.4169999999999998</v>
      </c>
      <c r="J59" s="27">
        <f t="shared" si="6"/>
        <v>16.834</v>
      </c>
    </row>
    <row r="60" spans="1:10" ht="15.75" x14ac:dyDescent="0.25">
      <c r="A60" s="9" t="s">
        <v>68</v>
      </c>
      <c r="B60" s="18"/>
      <c r="C60" s="18"/>
      <c r="D60" s="18"/>
      <c r="E60" s="18">
        <v>1</v>
      </c>
      <c r="F60" s="18"/>
      <c r="G60" s="18"/>
      <c r="H60" s="4">
        <f t="shared" si="4"/>
        <v>10.417</v>
      </c>
      <c r="I60" s="4">
        <f t="shared" si="5"/>
        <v>5.4169999999999998</v>
      </c>
      <c r="J60" s="27">
        <f t="shared" si="6"/>
        <v>15.834</v>
      </c>
    </row>
    <row r="61" spans="1:10" ht="15.75" x14ac:dyDescent="0.25">
      <c r="A61" s="10" t="s">
        <v>69</v>
      </c>
      <c r="B61" s="18">
        <v>1.25</v>
      </c>
      <c r="C61" s="18">
        <v>1.25</v>
      </c>
      <c r="D61" s="18"/>
      <c r="E61" s="18"/>
      <c r="F61" s="18"/>
      <c r="G61" s="18"/>
      <c r="H61" s="4">
        <f t="shared" si="4"/>
        <v>11.667</v>
      </c>
      <c r="I61" s="4">
        <f t="shared" si="5"/>
        <v>6.6669999999999998</v>
      </c>
      <c r="J61" s="27">
        <f t="shared" si="6"/>
        <v>18.334</v>
      </c>
    </row>
    <row r="62" spans="1:10" ht="15.75" x14ac:dyDescent="0.25">
      <c r="A62" s="9" t="s">
        <v>70</v>
      </c>
      <c r="B62" s="18"/>
      <c r="C62" s="18"/>
      <c r="D62" s="18">
        <v>3</v>
      </c>
      <c r="E62" s="18"/>
      <c r="F62" s="18"/>
      <c r="G62" s="18"/>
      <c r="H62" s="4">
        <f t="shared" si="4"/>
        <v>8.6669999999999998</v>
      </c>
      <c r="I62" s="4">
        <f t="shared" si="5"/>
        <v>6.6669999999999998</v>
      </c>
      <c r="J62" s="27">
        <f t="shared" si="6"/>
        <v>15.334</v>
      </c>
    </row>
    <row r="63" spans="1:10" ht="15.75" x14ac:dyDescent="0.25">
      <c r="A63" s="9" t="s">
        <v>75</v>
      </c>
      <c r="B63" s="18"/>
      <c r="C63" s="18"/>
      <c r="D63" s="18"/>
      <c r="E63" s="18">
        <v>1</v>
      </c>
      <c r="F63" s="18"/>
      <c r="G63" s="18"/>
      <c r="H63" s="4">
        <f t="shared" si="4"/>
        <v>8.6669999999999998</v>
      </c>
      <c r="I63" s="4">
        <f t="shared" si="5"/>
        <v>5.6669999999999998</v>
      </c>
      <c r="J63" s="27">
        <f t="shared" si="6"/>
        <v>14.334</v>
      </c>
    </row>
    <row r="64" spans="1:10" ht="15.75" x14ac:dyDescent="0.25">
      <c r="A64" s="9" t="s">
        <v>76</v>
      </c>
      <c r="B64" s="18"/>
      <c r="C64" s="18"/>
      <c r="D64" s="18"/>
      <c r="E64" s="18">
        <v>1</v>
      </c>
      <c r="F64" s="18"/>
      <c r="G64" s="18"/>
      <c r="H64" s="4">
        <f t="shared" si="4"/>
        <v>8.6669999999999998</v>
      </c>
      <c r="I64" s="4">
        <f t="shared" si="5"/>
        <v>4.6669999999999998</v>
      </c>
      <c r="J64" s="27">
        <f t="shared" si="6"/>
        <v>13.334</v>
      </c>
    </row>
    <row r="65" spans="1:10" ht="15.75" x14ac:dyDescent="0.25">
      <c r="A65" s="9" t="s">
        <v>77</v>
      </c>
      <c r="B65" s="18"/>
      <c r="C65" s="18"/>
      <c r="D65" s="18"/>
      <c r="E65" s="18"/>
      <c r="F65" s="18"/>
      <c r="G65" s="18">
        <v>2</v>
      </c>
      <c r="H65" s="4">
        <f t="shared" si="4"/>
        <v>8.6669999999999998</v>
      </c>
      <c r="I65" s="4">
        <f t="shared" si="5"/>
        <v>4.6669999999999998</v>
      </c>
      <c r="J65" s="27">
        <f t="shared" si="6"/>
        <v>13.334</v>
      </c>
    </row>
    <row r="66" spans="1:10" ht="15.75" x14ac:dyDescent="0.25">
      <c r="A66" s="9" t="s">
        <v>78</v>
      </c>
      <c r="B66" s="18">
        <v>2.5</v>
      </c>
      <c r="C66" s="18">
        <v>2.5</v>
      </c>
      <c r="D66" s="18"/>
      <c r="E66" s="18"/>
      <c r="F66" s="18"/>
      <c r="G66" s="18"/>
      <c r="H66" s="4">
        <f t="shared" si="4"/>
        <v>11.167</v>
      </c>
      <c r="I66" s="4">
        <f t="shared" si="5"/>
        <v>7.1669999999999998</v>
      </c>
      <c r="J66" s="27">
        <f t="shared" si="6"/>
        <v>18.334</v>
      </c>
    </row>
    <row r="67" spans="1:10" ht="15.75" x14ac:dyDescent="0.25">
      <c r="A67" s="9" t="s">
        <v>79</v>
      </c>
      <c r="B67" s="18"/>
      <c r="C67" s="18"/>
      <c r="D67" s="18"/>
      <c r="E67" s="18">
        <v>1</v>
      </c>
      <c r="F67" s="18"/>
      <c r="G67" s="18"/>
      <c r="H67" s="4">
        <f t="shared" si="4"/>
        <v>11.167</v>
      </c>
      <c r="I67" s="4">
        <f t="shared" si="5"/>
        <v>6.1669999999999998</v>
      </c>
      <c r="J67" s="27">
        <f t="shared" si="6"/>
        <v>17.334</v>
      </c>
    </row>
    <row r="68" spans="1:10" ht="15.75" x14ac:dyDescent="0.25">
      <c r="A68" s="9" t="s">
        <v>80</v>
      </c>
      <c r="B68" s="18"/>
      <c r="C68" s="18"/>
      <c r="D68" s="18"/>
      <c r="E68" s="18">
        <v>3</v>
      </c>
      <c r="F68" s="18"/>
      <c r="G68" s="18"/>
      <c r="H68" s="4">
        <f t="shared" si="4"/>
        <v>11.167</v>
      </c>
      <c r="I68" s="4">
        <f t="shared" si="5"/>
        <v>3.1669999999999998</v>
      </c>
      <c r="J68" s="27">
        <f t="shared" si="6"/>
        <v>14.334</v>
      </c>
    </row>
    <row r="69" spans="1:10" ht="15.75" x14ac:dyDescent="0.25">
      <c r="A69" s="9" t="s">
        <v>81</v>
      </c>
      <c r="B69" s="18">
        <v>1.25</v>
      </c>
      <c r="C69" s="18">
        <v>1.25</v>
      </c>
      <c r="D69" s="18"/>
      <c r="E69" s="18"/>
      <c r="F69" s="18"/>
      <c r="G69" s="18"/>
      <c r="H69" s="4">
        <f t="shared" si="4"/>
        <v>12.417</v>
      </c>
      <c r="I69" s="4">
        <f t="shared" si="5"/>
        <v>4.4169999999999998</v>
      </c>
      <c r="J69" s="27">
        <f t="shared" si="6"/>
        <v>16.834</v>
      </c>
    </row>
    <row r="70" spans="1:10" ht="15.75" x14ac:dyDescent="0.25">
      <c r="A70" s="9" t="s">
        <v>88</v>
      </c>
      <c r="B70" s="18"/>
      <c r="C70" s="18"/>
      <c r="D70" s="18">
        <v>1</v>
      </c>
      <c r="E70" s="18"/>
      <c r="F70" s="18"/>
      <c r="G70" s="18"/>
      <c r="H70" s="4">
        <f t="shared" si="4"/>
        <v>11.417</v>
      </c>
      <c r="I70" s="4">
        <f t="shared" si="5"/>
        <v>4.4169999999999998</v>
      </c>
      <c r="J70" s="27">
        <f t="shared" si="6"/>
        <v>15.834</v>
      </c>
    </row>
    <row r="71" spans="1:10" ht="15.75" x14ac:dyDescent="0.25">
      <c r="A71" s="9" t="s">
        <v>89</v>
      </c>
      <c r="B71" s="18">
        <v>1.25</v>
      </c>
      <c r="C71" s="18">
        <v>1.25</v>
      </c>
      <c r="D71" s="18"/>
      <c r="E71" s="18"/>
      <c r="F71" s="18"/>
      <c r="G71" s="18"/>
      <c r="H71" s="4">
        <f t="shared" si="4"/>
        <v>12.667</v>
      </c>
      <c r="I71" s="4">
        <f t="shared" si="5"/>
        <v>5.6669999999999998</v>
      </c>
      <c r="J71" s="27">
        <f t="shared" si="6"/>
        <v>18.334</v>
      </c>
    </row>
    <row r="72" spans="1:10" ht="15.75" x14ac:dyDescent="0.25">
      <c r="A72" s="9" t="s">
        <v>90</v>
      </c>
      <c r="B72" s="18">
        <v>1.25</v>
      </c>
      <c r="C72" s="18">
        <v>1.25</v>
      </c>
      <c r="D72" s="18"/>
      <c r="E72" s="18"/>
      <c r="F72" s="18"/>
      <c r="G72" s="18"/>
      <c r="H72" s="4">
        <f t="shared" si="4"/>
        <v>13.917</v>
      </c>
      <c r="I72" s="4">
        <f t="shared" si="5"/>
        <v>6.9169999999999998</v>
      </c>
      <c r="J72" s="27">
        <f t="shared" si="6"/>
        <v>20.834</v>
      </c>
    </row>
    <row r="73" spans="1:10" ht="15.75" x14ac:dyDescent="0.25">
      <c r="A73" s="9" t="s">
        <v>91</v>
      </c>
      <c r="B73" s="18"/>
      <c r="C73" s="18"/>
      <c r="D73" s="18"/>
      <c r="E73" s="18">
        <v>1</v>
      </c>
      <c r="F73" s="18"/>
      <c r="G73" s="18"/>
      <c r="H73" s="4">
        <f t="shared" si="4"/>
        <v>13.917</v>
      </c>
      <c r="I73" s="4">
        <f t="shared" si="5"/>
        <v>5.9169999999999998</v>
      </c>
      <c r="J73" s="27">
        <f t="shared" si="6"/>
        <v>19.834</v>
      </c>
    </row>
    <row r="74" spans="1:10" ht="15.75" x14ac:dyDescent="0.25">
      <c r="A74" s="9" t="s">
        <v>92</v>
      </c>
      <c r="B74" s="18">
        <v>1.25</v>
      </c>
      <c r="C74" s="18">
        <v>1.25</v>
      </c>
      <c r="D74" s="18"/>
      <c r="E74" s="18"/>
      <c r="F74" s="18"/>
      <c r="G74" s="18"/>
      <c r="H74" s="4">
        <f t="shared" si="4"/>
        <v>15.167</v>
      </c>
      <c r="I74" s="4">
        <f t="shared" si="5"/>
        <v>7.1669999999999998</v>
      </c>
      <c r="J74" s="27">
        <f t="shared" si="6"/>
        <v>22.334</v>
      </c>
    </row>
    <row r="75" spans="1:10" ht="15.75" x14ac:dyDescent="0.25">
      <c r="A75" s="9" t="s">
        <v>93</v>
      </c>
      <c r="B75" s="18"/>
      <c r="C75" s="18"/>
      <c r="D75" s="18"/>
      <c r="E75" s="18"/>
      <c r="F75" s="18"/>
      <c r="G75" s="18">
        <v>1</v>
      </c>
      <c r="H75" s="4">
        <f t="shared" si="4"/>
        <v>15.167</v>
      </c>
      <c r="I75" s="4">
        <f t="shared" si="5"/>
        <v>7.1669999999999998</v>
      </c>
      <c r="J75" s="27">
        <f t="shared" si="6"/>
        <v>22.334</v>
      </c>
    </row>
    <row r="76" spans="1:10" ht="15.75" x14ac:dyDescent="0.25">
      <c r="A76" s="9" t="s">
        <v>94</v>
      </c>
      <c r="B76" s="18"/>
      <c r="C76" s="18"/>
      <c r="D76" s="18"/>
      <c r="E76" s="18"/>
      <c r="F76" s="18">
        <v>2</v>
      </c>
      <c r="G76" s="18"/>
      <c r="H76" s="4">
        <f t="shared" si="4"/>
        <v>13.167</v>
      </c>
      <c r="I76" s="4">
        <f t="shared" si="5"/>
        <v>7.1669999999999998</v>
      </c>
      <c r="J76" s="27">
        <f t="shared" si="6"/>
        <v>20.334</v>
      </c>
    </row>
    <row r="77" spans="1:10" ht="15.75" x14ac:dyDescent="0.25">
      <c r="A77" s="9" t="s">
        <v>95</v>
      </c>
      <c r="B77" s="18">
        <v>1.25</v>
      </c>
      <c r="C77" s="18">
        <v>1.25</v>
      </c>
      <c r="D77" s="18"/>
      <c r="E77" s="18"/>
      <c r="F77" s="18"/>
      <c r="G77" s="18"/>
      <c r="H77" s="4">
        <f t="shared" si="4"/>
        <v>14.417</v>
      </c>
      <c r="I77" s="4">
        <f t="shared" si="5"/>
        <v>8.4169999999999998</v>
      </c>
      <c r="J77" s="27">
        <f t="shared" si="6"/>
        <v>22.834</v>
      </c>
    </row>
    <row r="78" spans="1:10" ht="15.75" x14ac:dyDescent="0.25">
      <c r="A78" s="9" t="s">
        <v>96</v>
      </c>
      <c r="B78" s="18"/>
      <c r="C78" s="18"/>
      <c r="D78" s="18"/>
      <c r="E78" s="18">
        <v>1</v>
      </c>
      <c r="F78" s="18"/>
      <c r="G78" s="18"/>
      <c r="H78" s="4">
        <f t="shared" si="4"/>
        <v>14.417</v>
      </c>
      <c r="I78" s="4">
        <f t="shared" si="5"/>
        <v>7.4169999999999998</v>
      </c>
      <c r="J78" s="27">
        <f t="shared" si="6"/>
        <v>21.834</v>
      </c>
    </row>
    <row r="79" spans="1:10" ht="15.75" x14ac:dyDescent="0.25">
      <c r="A79" s="9" t="s">
        <v>97</v>
      </c>
      <c r="B79" s="18"/>
      <c r="C79" s="18"/>
      <c r="D79" s="18"/>
      <c r="E79" s="18">
        <v>1</v>
      </c>
      <c r="F79" s="18"/>
      <c r="G79" s="18"/>
      <c r="H79" s="4">
        <f t="shared" si="4"/>
        <v>14.417</v>
      </c>
      <c r="I79" s="4">
        <f t="shared" si="5"/>
        <v>6.4169999999999998</v>
      </c>
      <c r="J79" s="27">
        <f t="shared" si="6"/>
        <v>20.834</v>
      </c>
    </row>
    <row r="80" spans="1:10" ht="15.75" x14ac:dyDescent="0.25">
      <c r="A80" s="9" t="s">
        <v>98</v>
      </c>
      <c r="B80" s="18">
        <v>1.25</v>
      </c>
      <c r="C80" s="18">
        <v>1.25</v>
      </c>
      <c r="D80" s="18"/>
      <c r="E80" s="18"/>
      <c r="F80" s="18"/>
      <c r="G80" s="18"/>
      <c r="H80" s="4">
        <f t="shared" si="4"/>
        <v>15.667</v>
      </c>
      <c r="I80" s="4">
        <f t="shared" si="5"/>
        <v>7.6669999999999998</v>
      </c>
      <c r="J80" s="27">
        <f t="shared" si="6"/>
        <v>23.334</v>
      </c>
    </row>
    <row r="81" spans="1:10" ht="15.75" x14ac:dyDescent="0.25">
      <c r="A81" s="9" t="s">
        <v>99</v>
      </c>
      <c r="B81" s="18"/>
      <c r="C81" s="18"/>
      <c r="D81" s="18"/>
      <c r="E81" s="18">
        <v>1</v>
      </c>
      <c r="F81" s="18"/>
      <c r="G81" s="18"/>
      <c r="H81" s="4">
        <f t="shared" si="4"/>
        <v>15.667</v>
      </c>
      <c r="I81" s="4">
        <f t="shared" si="5"/>
        <v>6.6669999999999998</v>
      </c>
      <c r="J81" s="27">
        <f t="shared" si="6"/>
        <v>22.334</v>
      </c>
    </row>
    <row r="82" spans="1:10" ht="15.75" x14ac:dyDescent="0.25">
      <c r="A82" s="9" t="s">
        <v>100</v>
      </c>
      <c r="B82" s="18"/>
      <c r="C82" s="18"/>
      <c r="D82" s="18"/>
      <c r="E82" s="18">
        <v>1</v>
      </c>
      <c r="F82" s="18"/>
      <c r="G82" s="18"/>
      <c r="H82" s="4">
        <f t="shared" si="4"/>
        <v>15.667</v>
      </c>
      <c r="I82" s="4">
        <f t="shared" si="5"/>
        <v>5.6669999999999998</v>
      </c>
      <c r="J82" s="27">
        <f t="shared" si="6"/>
        <v>21.334</v>
      </c>
    </row>
    <row r="83" spans="1:10" ht="15.75" x14ac:dyDescent="0.25">
      <c r="A83" s="9" t="s">
        <v>101</v>
      </c>
      <c r="B83" s="18">
        <v>1.25</v>
      </c>
      <c r="C83" s="18">
        <v>1.25</v>
      </c>
      <c r="D83" s="18"/>
      <c r="E83" s="18"/>
      <c r="F83" s="18"/>
      <c r="G83" s="18"/>
      <c r="H83" s="4">
        <f t="shared" si="4"/>
        <v>16.917000000000002</v>
      </c>
      <c r="I83" s="4">
        <f t="shared" si="5"/>
        <v>6.9169999999999998</v>
      </c>
      <c r="J83" s="27">
        <f t="shared" si="6"/>
        <v>23.834000000000003</v>
      </c>
    </row>
    <row r="84" spans="1:10" ht="15.75" x14ac:dyDescent="0.25">
      <c r="A84" s="9" t="s">
        <v>102</v>
      </c>
      <c r="B84" s="18"/>
      <c r="C84" s="18"/>
      <c r="D84" s="18"/>
      <c r="E84" s="18">
        <v>1</v>
      </c>
      <c r="F84" s="18"/>
      <c r="G84" s="18"/>
      <c r="H84" s="4">
        <f t="shared" si="4"/>
        <v>16.917000000000002</v>
      </c>
      <c r="I84" s="4">
        <f t="shared" si="5"/>
        <v>5.9169999999999998</v>
      </c>
      <c r="J84" s="27">
        <f t="shared" si="6"/>
        <v>22.834000000000003</v>
      </c>
    </row>
    <row r="85" spans="1:10" ht="15.75" x14ac:dyDescent="0.25">
      <c r="A85" s="9" t="s">
        <v>103</v>
      </c>
      <c r="B85" s="18"/>
      <c r="C85" s="18"/>
      <c r="D85" s="18"/>
      <c r="E85" s="18"/>
      <c r="F85" s="18">
        <v>2</v>
      </c>
      <c r="G85" s="18"/>
      <c r="H85" s="4">
        <f t="shared" si="4"/>
        <v>14.917000000000002</v>
      </c>
      <c r="I85" s="4">
        <f t="shared" si="5"/>
        <v>5.9169999999999998</v>
      </c>
      <c r="J85" s="27">
        <f t="shared" si="6"/>
        <v>20.834000000000003</v>
      </c>
    </row>
    <row r="86" spans="1:10" ht="15.75" x14ac:dyDescent="0.25">
      <c r="A86" s="9" t="s">
        <v>104</v>
      </c>
      <c r="B86" s="18">
        <v>1.25</v>
      </c>
      <c r="C86" s="18">
        <v>1.25</v>
      </c>
      <c r="D86" s="18"/>
      <c r="E86" s="18"/>
      <c r="F86" s="18"/>
      <c r="G86" s="18"/>
      <c r="H86" s="4">
        <f t="shared" si="4"/>
        <v>16.167000000000002</v>
      </c>
      <c r="I86" s="4">
        <f t="shared" si="5"/>
        <v>7.1669999999999998</v>
      </c>
      <c r="J86" s="27">
        <f t="shared" si="6"/>
        <v>23.334000000000003</v>
      </c>
    </row>
    <row r="87" spans="1:10" ht="15.75" x14ac:dyDescent="0.25">
      <c r="A87" s="9" t="s">
        <v>105</v>
      </c>
      <c r="B87" s="18"/>
      <c r="C87" s="18"/>
      <c r="D87" s="18"/>
      <c r="E87" s="18">
        <v>2</v>
      </c>
      <c r="F87" s="18"/>
      <c r="G87" s="18"/>
      <c r="H87" s="4">
        <f t="shared" si="4"/>
        <v>16.167000000000002</v>
      </c>
      <c r="I87" s="4">
        <f t="shared" si="5"/>
        <v>5.1669999999999998</v>
      </c>
      <c r="J87" s="27">
        <f t="shared" si="6"/>
        <v>21.334000000000003</v>
      </c>
    </row>
    <row r="88" spans="1:10" ht="15.75" x14ac:dyDescent="0.25">
      <c r="A88" s="9" t="s">
        <v>106</v>
      </c>
      <c r="B88" s="18"/>
      <c r="C88" s="18"/>
      <c r="D88" s="18"/>
      <c r="E88" s="18"/>
      <c r="F88" s="18">
        <v>1</v>
      </c>
      <c r="G88" s="18"/>
      <c r="H88" s="4">
        <f t="shared" si="4"/>
        <v>15.167000000000002</v>
      </c>
      <c r="I88" s="4">
        <f t="shared" si="5"/>
        <v>5.1669999999999998</v>
      </c>
      <c r="J88" s="27">
        <f t="shared" si="6"/>
        <v>20.334000000000003</v>
      </c>
    </row>
    <row r="89" spans="1:10" ht="15.75" x14ac:dyDescent="0.25">
      <c r="A89" s="9" t="s">
        <v>107</v>
      </c>
      <c r="B89" s="18"/>
      <c r="C89" s="18"/>
      <c r="D89" s="18"/>
      <c r="E89" s="18">
        <v>1</v>
      </c>
      <c r="F89" s="18"/>
      <c r="G89" s="18"/>
      <c r="H89" s="4">
        <f t="shared" si="4"/>
        <v>15.167000000000002</v>
      </c>
      <c r="I89" s="4">
        <f t="shared" si="5"/>
        <v>4.1669999999999998</v>
      </c>
      <c r="J89" s="27">
        <f t="shared" si="6"/>
        <v>19.334000000000003</v>
      </c>
    </row>
    <row r="90" spans="1:10" ht="15.75" x14ac:dyDescent="0.25">
      <c r="A90" s="9" t="s">
        <v>108</v>
      </c>
      <c r="B90" s="18">
        <v>1.25</v>
      </c>
      <c r="C90" s="18">
        <v>1.25</v>
      </c>
      <c r="D90" s="18"/>
      <c r="E90" s="18"/>
      <c r="F90" s="18"/>
      <c r="G90" s="18"/>
      <c r="H90" s="4">
        <f t="shared" si="4"/>
        <v>16.417000000000002</v>
      </c>
      <c r="I90" s="4">
        <f t="shared" si="5"/>
        <v>5.4169999999999998</v>
      </c>
      <c r="J90" s="27">
        <f t="shared" si="6"/>
        <v>21.834000000000003</v>
      </c>
    </row>
    <row r="91" spans="1:10" ht="15.75" x14ac:dyDescent="0.25">
      <c r="A91" s="9" t="s">
        <v>109</v>
      </c>
      <c r="B91" s="18"/>
      <c r="C91" s="18"/>
      <c r="D91" s="18">
        <v>1</v>
      </c>
      <c r="E91" s="18"/>
      <c r="F91" s="18"/>
      <c r="G91" s="18"/>
      <c r="H91" s="4">
        <f t="shared" si="4"/>
        <v>15.417000000000002</v>
      </c>
      <c r="I91" s="4">
        <f t="shared" si="5"/>
        <v>5.4169999999999998</v>
      </c>
      <c r="J91" s="27">
        <f t="shared" si="6"/>
        <v>20.834000000000003</v>
      </c>
    </row>
    <row r="92" spans="1:10" ht="15.75" x14ac:dyDescent="0.25">
      <c r="A92" s="9" t="s">
        <v>110</v>
      </c>
      <c r="B92" s="18"/>
      <c r="C92" s="18"/>
      <c r="D92" s="18">
        <v>3</v>
      </c>
      <c r="E92" s="18"/>
      <c r="F92" s="18"/>
      <c r="G92" s="18"/>
      <c r="H92" s="4">
        <f t="shared" si="4"/>
        <v>12.417000000000002</v>
      </c>
      <c r="I92" s="4">
        <f t="shared" si="5"/>
        <v>5.4169999999999998</v>
      </c>
      <c r="J92" s="27">
        <f t="shared" si="6"/>
        <v>17.834000000000003</v>
      </c>
    </row>
    <row r="93" spans="1:10" ht="15.75" x14ac:dyDescent="0.25">
      <c r="A93" s="9" t="s">
        <v>111</v>
      </c>
      <c r="B93" s="18">
        <v>1.25</v>
      </c>
      <c r="C93" s="18">
        <v>1.25</v>
      </c>
      <c r="D93" s="18"/>
      <c r="E93" s="18"/>
      <c r="F93" s="18"/>
      <c r="G93" s="18"/>
      <c r="H93" s="4">
        <f t="shared" si="4"/>
        <v>13.667000000000002</v>
      </c>
      <c r="I93" s="4">
        <f t="shared" si="5"/>
        <v>6.6669999999999998</v>
      </c>
      <c r="J93" s="27">
        <f t="shared" si="6"/>
        <v>20.334000000000003</v>
      </c>
    </row>
    <row r="94" spans="1:10" ht="15.75" x14ac:dyDescent="0.25">
      <c r="A94" s="9" t="s">
        <v>112</v>
      </c>
      <c r="B94" s="18"/>
      <c r="C94" s="18"/>
      <c r="D94" s="18"/>
      <c r="E94" s="18">
        <v>1</v>
      </c>
      <c r="F94" s="18"/>
      <c r="G94" s="18"/>
      <c r="H94" s="4">
        <f t="shared" ref="H94:H108" si="7">H93-F94-D94+B94</f>
        <v>13.667000000000002</v>
      </c>
      <c r="I94" s="4">
        <f t="shared" ref="I94:I108" si="8">I93-E94+C94</f>
        <v>5.6669999999999998</v>
      </c>
      <c r="J94" s="27">
        <f t="shared" ref="J94:J108" si="9">SUM(H94:I94)</f>
        <v>19.334000000000003</v>
      </c>
    </row>
    <row r="95" spans="1:10" ht="15.75" x14ac:dyDescent="0.25">
      <c r="A95" s="9" t="s">
        <v>113</v>
      </c>
      <c r="B95" s="18"/>
      <c r="C95" s="18"/>
      <c r="D95" s="18"/>
      <c r="E95" s="18">
        <v>2</v>
      </c>
      <c r="F95" s="18"/>
      <c r="G95" s="18"/>
      <c r="H95" s="4">
        <f t="shared" si="7"/>
        <v>13.667000000000002</v>
      </c>
      <c r="I95" s="4">
        <f t="shared" si="8"/>
        <v>3.6669999999999998</v>
      </c>
      <c r="J95" s="27">
        <f t="shared" si="9"/>
        <v>17.334000000000003</v>
      </c>
    </row>
    <row r="96" spans="1:10" ht="15.75" x14ac:dyDescent="0.25">
      <c r="A96" s="9" t="s">
        <v>118</v>
      </c>
      <c r="B96" s="18"/>
      <c r="C96" s="18"/>
      <c r="D96" s="18">
        <v>1</v>
      </c>
      <c r="E96" s="18"/>
      <c r="F96" s="18"/>
      <c r="G96" s="18"/>
      <c r="H96" s="4">
        <f t="shared" si="7"/>
        <v>12.667000000000002</v>
      </c>
      <c r="I96" s="4">
        <f t="shared" si="8"/>
        <v>3.6669999999999998</v>
      </c>
      <c r="J96" s="27">
        <f t="shared" si="9"/>
        <v>16.334000000000003</v>
      </c>
    </row>
    <row r="97" spans="1:10" ht="15.75" x14ac:dyDescent="0.25">
      <c r="A97" s="9" t="s">
        <v>119</v>
      </c>
      <c r="B97" s="18">
        <v>1.25</v>
      </c>
      <c r="C97" s="18">
        <v>1.25</v>
      </c>
      <c r="D97" s="18"/>
      <c r="E97" s="18"/>
      <c r="F97" s="18"/>
      <c r="G97" s="18"/>
      <c r="H97" s="4">
        <f t="shared" si="7"/>
        <v>13.917000000000002</v>
      </c>
      <c r="I97" s="4">
        <f t="shared" si="8"/>
        <v>4.9169999999999998</v>
      </c>
      <c r="J97" s="27">
        <f t="shared" si="9"/>
        <v>18.834000000000003</v>
      </c>
    </row>
    <row r="98" spans="1:10" ht="15.75" x14ac:dyDescent="0.25">
      <c r="A98" s="9" t="s">
        <v>120</v>
      </c>
      <c r="B98" s="18"/>
      <c r="C98" s="18"/>
      <c r="D98" s="18">
        <v>0.25</v>
      </c>
      <c r="E98" s="18"/>
      <c r="F98" s="18"/>
      <c r="G98" s="18"/>
      <c r="H98" s="4">
        <f t="shared" si="7"/>
        <v>13.667000000000002</v>
      </c>
      <c r="I98" s="4">
        <f t="shared" si="8"/>
        <v>4.9169999999999998</v>
      </c>
      <c r="J98" s="27">
        <f t="shared" si="9"/>
        <v>18.584000000000003</v>
      </c>
    </row>
    <row r="99" spans="1:10" ht="15.75" x14ac:dyDescent="0.25">
      <c r="A99" s="9" t="s">
        <v>121</v>
      </c>
      <c r="B99" s="18"/>
      <c r="C99" s="18"/>
      <c r="D99" s="18">
        <v>1</v>
      </c>
      <c r="E99" s="18"/>
      <c r="F99" s="18"/>
      <c r="G99" s="18"/>
      <c r="H99" s="4">
        <f t="shared" si="7"/>
        <v>12.667000000000002</v>
      </c>
      <c r="I99" s="4">
        <f t="shared" si="8"/>
        <v>4.9169999999999998</v>
      </c>
      <c r="J99" s="27">
        <f t="shared" si="9"/>
        <v>17.584000000000003</v>
      </c>
    </row>
    <row r="100" spans="1:10" ht="15.75" x14ac:dyDescent="0.25">
      <c r="A100" s="9" t="s">
        <v>122</v>
      </c>
      <c r="B100" s="18"/>
      <c r="C100" s="18"/>
      <c r="D100" s="18">
        <v>0.5</v>
      </c>
      <c r="E100" s="18"/>
      <c r="F100" s="18"/>
      <c r="G100" s="18"/>
      <c r="H100" s="4">
        <f t="shared" si="7"/>
        <v>12.167000000000002</v>
      </c>
      <c r="I100" s="4">
        <f t="shared" si="8"/>
        <v>4.9169999999999998</v>
      </c>
      <c r="J100" s="27">
        <f t="shared" si="9"/>
        <v>17.084000000000003</v>
      </c>
    </row>
    <row r="101" spans="1:10" ht="15.75" x14ac:dyDescent="0.25">
      <c r="A101" s="9" t="s">
        <v>123</v>
      </c>
      <c r="B101" s="18">
        <v>2.5</v>
      </c>
      <c r="C101" s="18">
        <v>2.5</v>
      </c>
      <c r="D101" s="18"/>
      <c r="E101" s="18"/>
      <c r="F101" s="18"/>
      <c r="G101" s="18"/>
      <c r="H101" s="4">
        <f t="shared" si="7"/>
        <v>14.667000000000002</v>
      </c>
      <c r="I101" s="4">
        <f t="shared" si="8"/>
        <v>7.4169999999999998</v>
      </c>
      <c r="J101" s="27">
        <f t="shared" si="9"/>
        <v>22.084000000000003</v>
      </c>
    </row>
    <row r="102" spans="1:10" ht="15.75" x14ac:dyDescent="0.25">
      <c r="A102" s="9" t="s">
        <v>124</v>
      </c>
      <c r="B102" s="18"/>
      <c r="C102" s="18"/>
      <c r="D102" s="18">
        <v>1</v>
      </c>
      <c r="E102" s="18"/>
      <c r="F102" s="18"/>
      <c r="G102" s="18"/>
      <c r="H102" s="4">
        <f t="shared" si="7"/>
        <v>13.667000000000002</v>
      </c>
      <c r="I102" s="4">
        <f t="shared" si="8"/>
        <v>7.4169999999999998</v>
      </c>
      <c r="J102" s="27">
        <f t="shared" si="9"/>
        <v>21.084000000000003</v>
      </c>
    </row>
    <row r="103" spans="1:10" ht="15.75" x14ac:dyDescent="0.25">
      <c r="A103" s="9" t="s">
        <v>125</v>
      </c>
      <c r="B103" s="18"/>
      <c r="C103" s="18"/>
      <c r="D103" s="18"/>
      <c r="E103" s="18"/>
      <c r="F103" s="18"/>
      <c r="G103" s="18">
        <v>2</v>
      </c>
      <c r="H103" s="4">
        <f t="shared" si="7"/>
        <v>13.667000000000002</v>
      </c>
      <c r="I103" s="4">
        <f t="shared" si="8"/>
        <v>7.4169999999999998</v>
      </c>
      <c r="J103" s="27">
        <f t="shared" si="9"/>
        <v>21.084000000000003</v>
      </c>
    </row>
    <row r="104" spans="1:10" ht="15.75" x14ac:dyDescent="0.25">
      <c r="A104" s="9" t="s">
        <v>126</v>
      </c>
      <c r="B104" s="18">
        <v>1.25</v>
      </c>
      <c r="C104" s="18">
        <v>1.25</v>
      </c>
      <c r="D104" s="18"/>
      <c r="E104" s="18"/>
      <c r="F104" s="18"/>
      <c r="G104" s="18"/>
      <c r="H104" s="4">
        <f t="shared" si="7"/>
        <v>14.917000000000002</v>
      </c>
      <c r="I104" s="4">
        <f t="shared" si="8"/>
        <v>8.6669999999999998</v>
      </c>
      <c r="J104" s="27">
        <f t="shared" si="9"/>
        <v>23.584000000000003</v>
      </c>
    </row>
    <row r="105" spans="1:10" ht="15.75" x14ac:dyDescent="0.25">
      <c r="A105" s="9" t="s">
        <v>127</v>
      </c>
      <c r="B105" s="18"/>
      <c r="C105" s="18"/>
      <c r="D105" s="18"/>
      <c r="E105" s="18">
        <v>1</v>
      </c>
      <c r="F105" s="18"/>
      <c r="G105" s="18"/>
      <c r="H105" s="4">
        <f t="shared" si="7"/>
        <v>14.917000000000002</v>
      </c>
      <c r="I105" s="4">
        <f t="shared" si="8"/>
        <v>7.6669999999999998</v>
      </c>
      <c r="J105" s="27">
        <f t="shared" si="9"/>
        <v>22.584000000000003</v>
      </c>
    </row>
    <row r="106" spans="1:10" ht="15.75" x14ac:dyDescent="0.25">
      <c r="A106" s="9" t="s">
        <v>128</v>
      </c>
      <c r="B106" s="18"/>
      <c r="C106" s="18"/>
      <c r="D106" s="18"/>
      <c r="E106" s="18">
        <v>1</v>
      </c>
      <c r="F106" s="18"/>
      <c r="G106" s="18"/>
      <c r="H106" s="4">
        <f t="shared" si="7"/>
        <v>14.917000000000002</v>
      </c>
      <c r="I106" s="4">
        <f t="shared" si="8"/>
        <v>6.6669999999999998</v>
      </c>
      <c r="J106" s="27">
        <f t="shared" si="9"/>
        <v>21.584000000000003</v>
      </c>
    </row>
    <row r="107" spans="1:10" ht="15.75" x14ac:dyDescent="0.25">
      <c r="A107" s="9" t="s">
        <v>129</v>
      </c>
      <c r="B107" s="18"/>
      <c r="C107" s="18"/>
      <c r="D107" s="18">
        <v>0.5</v>
      </c>
      <c r="E107" s="18"/>
      <c r="F107" s="18"/>
      <c r="G107" s="18"/>
      <c r="H107" s="4">
        <f t="shared" si="7"/>
        <v>14.417000000000002</v>
      </c>
      <c r="I107" s="4">
        <f t="shared" si="8"/>
        <v>6.6669999999999998</v>
      </c>
      <c r="J107" s="27">
        <f t="shared" si="9"/>
        <v>21.084000000000003</v>
      </c>
    </row>
    <row r="108" spans="1:10" ht="15.75" x14ac:dyDescent="0.25">
      <c r="A108" s="9" t="s">
        <v>130</v>
      </c>
      <c r="B108" s="18"/>
      <c r="C108" s="18"/>
      <c r="D108" s="18"/>
      <c r="E108" s="18"/>
      <c r="F108" s="31">
        <v>2</v>
      </c>
      <c r="G108" s="18"/>
      <c r="H108" s="4">
        <f t="shared" si="7"/>
        <v>12.417000000000002</v>
      </c>
      <c r="I108" s="4">
        <f t="shared" si="8"/>
        <v>6.6669999999999998</v>
      </c>
      <c r="J108" s="27">
        <f t="shared" si="9"/>
        <v>19.084000000000003</v>
      </c>
    </row>
    <row r="109" spans="1:10" ht="15.75" x14ac:dyDescent="0.25">
      <c r="A109" s="9" t="s">
        <v>131</v>
      </c>
      <c r="B109" s="18">
        <v>1.25</v>
      </c>
      <c r="C109" s="18">
        <v>1.25</v>
      </c>
      <c r="D109" s="18"/>
      <c r="E109" s="18"/>
      <c r="F109" s="18"/>
      <c r="G109" s="18"/>
      <c r="H109" s="4">
        <f t="shared" ref="H109:H110" si="10">H108-F109-D109+B109</f>
        <v>13.667000000000002</v>
      </c>
      <c r="I109" s="4">
        <f t="shared" ref="I109:I110" si="11">I108-E109+C109</f>
        <v>7.9169999999999998</v>
      </c>
      <c r="J109" s="27">
        <f t="shared" ref="J109:J110" si="12">SUM(H109:I109)</f>
        <v>21.584000000000003</v>
      </c>
    </row>
    <row r="110" spans="1:10" ht="15.75" x14ac:dyDescent="0.25">
      <c r="A110" s="9" t="s">
        <v>132</v>
      </c>
      <c r="B110" s="18"/>
      <c r="C110" s="18"/>
      <c r="D110" s="18"/>
      <c r="E110" s="18">
        <v>5</v>
      </c>
      <c r="F110" s="18"/>
      <c r="G110" s="18"/>
      <c r="H110" s="4">
        <f t="shared" si="10"/>
        <v>13.667000000000002</v>
      </c>
      <c r="I110" s="4">
        <f t="shared" si="11"/>
        <v>2.9169999999999998</v>
      </c>
      <c r="J110" s="27">
        <f t="shared" si="12"/>
        <v>16.584000000000003</v>
      </c>
    </row>
    <row r="111" spans="1:10" ht="15.75" x14ac:dyDescent="0.25">
      <c r="A111" s="9" t="s">
        <v>133</v>
      </c>
      <c r="B111" s="18"/>
      <c r="C111" s="18"/>
      <c r="D111" s="18"/>
      <c r="E111" s="18"/>
      <c r="F111" s="18"/>
      <c r="G111" s="32">
        <v>2</v>
      </c>
      <c r="H111" s="4">
        <f t="shared" ref="H111" si="13">H110-F111-D111+B111</f>
        <v>13.667000000000002</v>
      </c>
      <c r="I111" s="4">
        <f t="shared" ref="I111" si="14">I110-E111+C111</f>
        <v>2.9169999999999998</v>
      </c>
      <c r="J111" s="27">
        <f t="shared" ref="J111" si="15">SUM(H111:I111)</f>
        <v>16.584000000000003</v>
      </c>
    </row>
    <row r="112" spans="1:10" ht="15.75" x14ac:dyDescent="0.25">
      <c r="A112" s="9" t="s">
        <v>134</v>
      </c>
      <c r="B112" s="18">
        <v>2.5</v>
      </c>
      <c r="C112" s="18">
        <v>2.5</v>
      </c>
      <c r="D112" s="18"/>
      <c r="E112" s="18"/>
      <c r="F112" s="18"/>
      <c r="G112" s="18"/>
      <c r="H112" s="4">
        <f t="shared" ref="H112:H113" si="16">H111-F112-D112+B112</f>
        <v>16.167000000000002</v>
      </c>
      <c r="I112" s="4">
        <f t="shared" ref="I112:I113" si="17">I111-E112+C112</f>
        <v>5.4169999999999998</v>
      </c>
      <c r="J112" s="27">
        <f t="shared" ref="J112:J113" si="18">SUM(H112:I112)</f>
        <v>21.584000000000003</v>
      </c>
    </row>
    <row r="113" spans="1:10" ht="15.75" x14ac:dyDescent="0.25">
      <c r="A113" s="9" t="s">
        <v>135</v>
      </c>
      <c r="B113" s="18"/>
      <c r="C113" s="18"/>
      <c r="D113" s="18"/>
      <c r="E113" s="18">
        <v>1</v>
      </c>
      <c r="F113" s="18"/>
      <c r="G113" s="18"/>
      <c r="H113" s="4">
        <f t="shared" si="16"/>
        <v>16.167000000000002</v>
      </c>
      <c r="I113" s="4">
        <f t="shared" si="17"/>
        <v>4.4169999999999998</v>
      </c>
      <c r="J113" s="27">
        <f t="shared" si="18"/>
        <v>20.584000000000003</v>
      </c>
    </row>
    <row r="114" spans="1:10" ht="15.75" x14ac:dyDescent="0.25">
      <c r="A114" s="9" t="s">
        <v>136</v>
      </c>
      <c r="B114" s="18"/>
      <c r="C114" s="18"/>
      <c r="D114" s="18"/>
      <c r="E114" s="18">
        <v>2</v>
      </c>
      <c r="F114" s="18"/>
      <c r="G114" s="18"/>
      <c r="H114" s="4">
        <f t="shared" ref="H114:H116" si="19">H113-F114-D114+B114</f>
        <v>16.167000000000002</v>
      </c>
      <c r="I114" s="4">
        <f t="shared" ref="I114:I116" si="20">I113-E114+C114</f>
        <v>2.4169999999999998</v>
      </c>
      <c r="J114" s="27">
        <f t="shared" ref="J114:J116" si="21">SUM(H114:I114)</f>
        <v>18.584000000000003</v>
      </c>
    </row>
    <row r="115" spans="1:10" ht="15.75" x14ac:dyDescent="0.25">
      <c r="A115" s="9" t="s">
        <v>137</v>
      </c>
      <c r="B115" s="18">
        <v>1.25</v>
      </c>
      <c r="C115" s="18">
        <v>1.25</v>
      </c>
      <c r="D115" s="18"/>
      <c r="E115" s="18"/>
      <c r="F115" s="18"/>
      <c r="G115" s="18"/>
      <c r="H115" s="4">
        <f t="shared" si="19"/>
        <v>17.417000000000002</v>
      </c>
      <c r="I115" s="4">
        <f t="shared" si="20"/>
        <v>3.6669999999999998</v>
      </c>
      <c r="J115" s="27">
        <f t="shared" si="21"/>
        <v>21.084000000000003</v>
      </c>
    </row>
    <row r="116" spans="1:10" ht="15.75" x14ac:dyDescent="0.25">
      <c r="A116" s="9" t="s">
        <v>138</v>
      </c>
      <c r="B116" s="18"/>
      <c r="C116" s="18"/>
      <c r="D116" s="18"/>
      <c r="E116" s="18"/>
      <c r="F116" s="31">
        <v>1</v>
      </c>
      <c r="G116" s="18"/>
      <c r="H116" s="4">
        <f t="shared" si="19"/>
        <v>16.417000000000002</v>
      </c>
      <c r="I116" s="4">
        <f t="shared" si="20"/>
        <v>3.6669999999999998</v>
      </c>
      <c r="J116" s="27">
        <f t="shared" si="21"/>
        <v>20.084000000000003</v>
      </c>
    </row>
    <row r="117" spans="1:10" ht="15.75" x14ac:dyDescent="0.25">
      <c r="A117" s="9" t="s">
        <v>139</v>
      </c>
      <c r="B117" s="18"/>
      <c r="C117" s="18"/>
      <c r="D117" s="18"/>
      <c r="E117" s="18">
        <v>1</v>
      </c>
      <c r="F117" s="18"/>
      <c r="G117" s="18"/>
      <c r="H117" s="4">
        <f t="shared" ref="H117:H118" si="22">H116-F117-D117+B117</f>
        <v>16.417000000000002</v>
      </c>
      <c r="I117" s="4">
        <f t="shared" ref="I117:I118" si="23">I116-E117+C117</f>
        <v>2.6669999999999998</v>
      </c>
      <c r="J117" s="27">
        <f t="shared" ref="J117:J118" si="24">SUM(H117:I117)</f>
        <v>19.084000000000003</v>
      </c>
    </row>
    <row r="118" spans="1:10" ht="15.75" x14ac:dyDescent="0.25">
      <c r="A118" s="9" t="s">
        <v>140</v>
      </c>
      <c r="B118" s="18"/>
      <c r="C118" s="18"/>
      <c r="D118" s="18"/>
      <c r="E118" s="18">
        <v>1</v>
      </c>
      <c r="F118" s="18"/>
      <c r="G118" s="18"/>
      <c r="H118" s="4">
        <f t="shared" si="22"/>
        <v>16.417000000000002</v>
      </c>
      <c r="I118" s="4">
        <f t="shared" si="23"/>
        <v>1.6669999999999998</v>
      </c>
      <c r="J118" s="27">
        <f t="shared" si="24"/>
        <v>18.084000000000003</v>
      </c>
    </row>
    <row r="119" spans="1:10" ht="15.75" x14ac:dyDescent="0.25">
      <c r="A119" s="9" t="s">
        <v>144</v>
      </c>
      <c r="B119" s="18">
        <v>2.5</v>
      </c>
      <c r="C119" s="18">
        <v>2.5</v>
      </c>
      <c r="D119" s="18"/>
      <c r="E119" s="18"/>
      <c r="F119" s="18"/>
      <c r="G119" s="18"/>
      <c r="H119" s="4">
        <f t="shared" ref="H119:H120" si="25">H118-F119-D119+B119</f>
        <v>18.917000000000002</v>
      </c>
      <c r="I119" s="4">
        <f t="shared" ref="I119:I120" si="26">I118-E119+C119</f>
        <v>4.1669999999999998</v>
      </c>
      <c r="J119" s="27">
        <f t="shared" ref="J119:J120" si="27">SUM(H119:I119)</f>
        <v>23.084000000000003</v>
      </c>
    </row>
    <row r="120" spans="1:10" ht="15.75" x14ac:dyDescent="0.25">
      <c r="A120" s="9" t="s">
        <v>145</v>
      </c>
      <c r="B120" s="18"/>
      <c r="C120" s="18"/>
      <c r="D120" s="18">
        <v>10</v>
      </c>
      <c r="E120" s="18"/>
      <c r="F120" s="18"/>
      <c r="G120" s="18"/>
      <c r="H120" s="4">
        <f t="shared" si="25"/>
        <v>8.9170000000000016</v>
      </c>
      <c r="I120" s="4">
        <f t="shared" si="26"/>
        <v>4.1669999999999998</v>
      </c>
      <c r="J120" s="27">
        <f t="shared" si="27"/>
        <v>13.084000000000001</v>
      </c>
    </row>
    <row r="121" spans="1:10" ht="15.75" x14ac:dyDescent="0.25">
      <c r="A121" s="9" t="s">
        <v>146</v>
      </c>
      <c r="B121" s="18"/>
      <c r="C121" s="18"/>
      <c r="D121" s="18"/>
      <c r="E121" s="18"/>
      <c r="F121" s="31">
        <v>1</v>
      </c>
      <c r="G121" s="18"/>
      <c r="H121" s="4">
        <f t="shared" ref="H121" si="28">H120-F121-D121+B121</f>
        <v>7.9170000000000016</v>
      </c>
      <c r="I121" s="4">
        <f t="shared" ref="I121" si="29">I120-E121+C121</f>
        <v>4.1669999999999998</v>
      </c>
      <c r="J121" s="27">
        <f t="shared" ref="J121" si="30">SUM(H121:I121)</f>
        <v>12.084000000000001</v>
      </c>
    </row>
    <row r="122" spans="1:10" ht="15.75" x14ac:dyDescent="0.25">
      <c r="A122" s="9" t="s">
        <v>147</v>
      </c>
      <c r="B122" s="18"/>
      <c r="C122" s="18"/>
      <c r="D122" s="18">
        <v>4</v>
      </c>
      <c r="E122" s="18"/>
      <c r="F122" s="18"/>
      <c r="G122" s="18"/>
      <c r="H122" s="4">
        <f t="shared" ref="H122" si="31">H121-F122-D122+B122</f>
        <v>3.9170000000000016</v>
      </c>
      <c r="I122" s="4">
        <f t="shared" ref="I122" si="32">I121-E122+C122</f>
        <v>4.1669999999999998</v>
      </c>
      <c r="J122" s="15">
        <f t="shared" ref="J122" si="33">SUM(H122:I122)</f>
        <v>8.0840000000000014</v>
      </c>
    </row>
    <row r="123" spans="1:10" ht="15.75" x14ac:dyDescent="0.25">
      <c r="A123" s="9" t="s">
        <v>149</v>
      </c>
      <c r="B123" s="18">
        <v>1.25</v>
      </c>
      <c r="C123" s="18">
        <v>1.25</v>
      </c>
      <c r="D123" s="18"/>
      <c r="E123" s="18"/>
      <c r="F123" s="18"/>
      <c r="G123" s="18"/>
      <c r="H123" s="4">
        <f t="shared" ref="H123:H124" si="34">H122-F123-D123+B123</f>
        <v>5.1670000000000016</v>
      </c>
      <c r="I123" s="4">
        <f t="shared" ref="I123:I124" si="35">I122-E123+C123</f>
        <v>5.4169999999999998</v>
      </c>
      <c r="J123" s="15">
        <f t="shared" ref="J123:J124" si="36">SUM(H123:I123)</f>
        <v>10.584000000000001</v>
      </c>
    </row>
    <row r="124" spans="1:10" ht="15.75" x14ac:dyDescent="0.25">
      <c r="A124" s="9" t="s">
        <v>150</v>
      </c>
      <c r="B124" s="18">
        <v>1.083</v>
      </c>
      <c r="C124" s="18">
        <v>1.083</v>
      </c>
      <c r="D124" s="18"/>
      <c r="E124" s="18"/>
      <c r="F124" s="18"/>
      <c r="G124" s="18"/>
      <c r="H124" s="4">
        <f t="shared" si="34"/>
        <v>6.2500000000000018</v>
      </c>
      <c r="I124" s="4">
        <f t="shared" si="35"/>
        <v>6.5</v>
      </c>
      <c r="J124" s="15">
        <f t="shared" si="36"/>
        <v>12.750000000000002</v>
      </c>
    </row>
    <row r="125" spans="1:10" ht="15.75" customHeight="1" x14ac:dyDescent="0.25">
      <c r="A125" s="67" t="s">
        <v>154</v>
      </c>
      <c r="B125" s="68"/>
      <c r="C125" s="68"/>
      <c r="D125" s="68"/>
      <c r="E125" s="68"/>
      <c r="F125" s="68"/>
      <c r="G125" s="68"/>
      <c r="H125" s="68"/>
      <c r="I125" s="68"/>
      <c r="J125" s="69"/>
    </row>
    <row r="126" spans="1:10" ht="15.75" x14ac:dyDescent="0.25">
      <c r="A126" s="14"/>
      <c r="B126" s="19"/>
      <c r="C126" s="19"/>
      <c r="D126" s="19"/>
      <c r="E126" s="19"/>
      <c r="F126" s="19"/>
      <c r="G126" s="19"/>
      <c r="H126" s="26"/>
      <c r="I126" s="26"/>
      <c r="J126" s="28"/>
    </row>
    <row r="127" spans="1:10" s="1" customFormat="1" ht="15.95" customHeight="1" x14ac:dyDescent="0.25">
      <c r="G127" s="1" t="s">
        <v>71</v>
      </c>
      <c r="J127" s="3"/>
    </row>
    <row r="128" spans="1:10" s="1" customFormat="1" ht="15.95" customHeight="1" x14ac:dyDescent="0.25">
      <c r="J128" s="3"/>
    </row>
    <row r="129" spans="1:10" s="1" customFormat="1" ht="15.95" customHeight="1" x14ac:dyDescent="0.25">
      <c r="G129" s="70" t="s">
        <v>72</v>
      </c>
      <c r="H129" s="70"/>
      <c r="I129" s="70"/>
      <c r="J129" s="3"/>
    </row>
    <row r="130" spans="1:10" s="1" customFormat="1" ht="15.95" customHeight="1" x14ac:dyDescent="0.25">
      <c r="G130" s="40" t="s">
        <v>73</v>
      </c>
      <c r="H130" s="40"/>
      <c r="I130" s="40"/>
      <c r="J130" s="3"/>
    </row>
    <row r="131" spans="1:10" s="1" customFormat="1" ht="15.95" customHeight="1" x14ac:dyDescent="0.25">
      <c r="G131" s="40" t="s">
        <v>74</v>
      </c>
      <c r="H131" s="40"/>
      <c r="I131" s="40"/>
      <c r="J131" s="3"/>
    </row>
    <row r="132" spans="1:10" ht="15.75" x14ac:dyDescent="0.25">
      <c r="A132" s="14"/>
      <c r="B132" s="19"/>
      <c r="C132" s="19"/>
      <c r="D132" s="19"/>
      <c r="E132" s="19"/>
      <c r="F132" s="19"/>
      <c r="G132" s="19"/>
      <c r="H132" s="19"/>
      <c r="I132" s="19"/>
      <c r="J132" s="28"/>
    </row>
    <row r="133" spans="1:10" ht="15.75" x14ac:dyDescent="0.25">
      <c r="A133" s="14"/>
      <c r="B133" s="19"/>
      <c r="C133" s="19"/>
      <c r="D133" s="19"/>
      <c r="E133" s="19"/>
      <c r="F133" s="19"/>
      <c r="G133" s="19"/>
      <c r="H133" s="19"/>
      <c r="I133" s="19"/>
      <c r="J133" s="28"/>
    </row>
    <row r="134" spans="1:10" ht="15.75" x14ac:dyDescent="0.25">
      <c r="A134" s="14"/>
      <c r="B134" s="19"/>
      <c r="C134" s="19"/>
      <c r="D134" s="19"/>
      <c r="E134" s="19"/>
      <c r="F134" s="19"/>
      <c r="G134" s="19"/>
      <c r="H134" s="19"/>
      <c r="I134" s="19"/>
      <c r="J134" s="28"/>
    </row>
    <row r="135" spans="1:10" ht="15.75" x14ac:dyDescent="0.25">
      <c r="A135" s="14"/>
      <c r="B135" s="19"/>
      <c r="C135" s="19"/>
      <c r="D135" s="19"/>
      <c r="E135" s="19"/>
      <c r="F135" s="19"/>
      <c r="G135" s="19"/>
      <c r="H135" s="19"/>
      <c r="I135" s="19"/>
      <c r="J135" s="28"/>
    </row>
    <row r="136" spans="1:10" ht="15.75" x14ac:dyDescent="0.25">
      <c r="A136" s="14"/>
      <c r="B136" s="19"/>
      <c r="C136" s="19"/>
      <c r="D136" s="19"/>
      <c r="E136" s="19"/>
      <c r="F136" s="19"/>
      <c r="G136" s="19"/>
      <c r="H136" s="19"/>
      <c r="I136" s="19"/>
      <c r="J136" s="28"/>
    </row>
    <row r="137" spans="1:10" ht="15.75" x14ac:dyDescent="0.25">
      <c r="A137" s="14"/>
      <c r="B137" s="19"/>
      <c r="C137" s="19"/>
      <c r="D137" s="19"/>
      <c r="E137" s="19"/>
      <c r="F137" s="19"/>
      <c r="G137" s="19"/>
      <c r="H137" s="19"/>
      <c r="I137" s="19"/>
      <c r="J137" s="28"/>
    </row>
    <row r="138" spans="1:10" ht="15.75" x14ac:dyDescent="0.25">
      <c r="A138" s="14"/>
      <c r="B138" s="19"/>
      <c r="C138" s="19"/>
      <c r="D138" s="19"/>
      <c r="E138" s="19"/>
      <c r="F138" s="19"/>
      <c r="G138" s="19"/>
      <c r="H138" s="19"/>
      <c r="I138" s="19"/>
      <c r="J138" s="28"/>
    </row>
    <row r="139" spans="1:10" ht="15.75" x14ac:dyDescent="0.25">
      <c r="B139" s="19"/>
      <c r="C139" s="19"/>
      <c r="D139" s="19"/>
      <c r="E139" s="19"/>
      <c r="F139" s="19"/>
      <c r="G139" s="19"/>
      <c r="H139" s="19"/>
      <c r="I139" s="19"/>
      <c r="J139" s="28"/>
    </row>
    <row r="140" spans="1:10" ht="15.75" x14ac:dyDescent="0.25">
      <c r="B140" s="19"/>
      <c r="C140" s="19"/>
      <c r="D140" s="19"/>
      <c r="E140" s="19"/>
      <c r="F140" s="19"/>
      <c r="G140" s="19"/>
      <c r="H140" s="19"/>
      <c r="I140" s="19"/>
      <c r="J140" s="28"/>
    </row>
    <row r="141" spans="1:10" ht="15.75" x14ac:dyDescent="0.25">
      <c r="B141" s="19"/>
      <c r="C141" s="19"/>
      <c r="D141" s="19"/>
      <c r="E141" s="19"/>
      <c r="F141" s="19"/>
      <c r="G141" s="19"/>
      <c r="H141" s="19"/>
      <c r="I141" s="19"/>
      <c r="J141" s="28"/>
    </row>
    <row r="142" spans="1:10" ht="15.75" x14ac:dyDescent="0.25">
      <c r="B142" s="19"/>
      <c r="C142" s="19"/>
      <c r="D142" s="19"/>
      <c r="E142" s="19"/>
      <c r="F142" s="19"/>
      <c r="G142" s="19"/>
      <c r="H142" s="19"/>
      <c r="I142" s="19"/>
      <c r="J142" s="28"/>
    </row>
    <row r="143" spans="1:10" ht="15.75" x14ac:dyDescent="0.25">
      <c r="B143" s="19"/>
      <c r="C143" s="19"/>
      <c r="D143" s="19"/>
      <c r="E143" s="19"/>
      <c r="F143" s="19"/>
      <c r="G143" s="19"/>
      <c r="H143" s="19"/>
      <c r="I143" s="19"/>
      <c r="J143" s="28"/>
    </row>
    <row r="144" spans="1:10" ht="15.75" x14ac:dyDescent="0.25">
      <c r="B144" s="19"/>
      <c r="C144" s="19"/>
      <c r="D144" s="19"/>
      <c r="E144" s="19"/>
      <c r="F144" s="19"/>
      <c r="G144" s="19"/>
      <c r="H144" s="19"/>
      <c r="I144" s="19"/>
      <c r="J144" s="28"/>
    </row>
    <row r="145" spans="2:10" ht="15.75" x14ac:dyDescent="0.25">
      <c r="B145" s="19"/>
      <c r="C145" s="19"/>
      <c r="D145" s="19"/>
      <c r="E145" s="19"/>
      <c r="F145" s="19"/>
      <c r="G145" s="19"/>
      <c r="H145" s="19"/>
      <c r="I145" s="19"/>
      <c r="J145" s="28"/>
    </row>
    <row r="146" spans="2:10" ht="15.75" x14ac:dyDescent="0.25">
      <c r="B146" s="19"/>
      <c r="C146" s="19"/>
      <c r="D146" s="19"/>
      <c r="E146" s="19"/>
      <c r="F146" s="19"/>
      <c r="G146" s="19"/>
      <c r="H146" s="19"/>
      <c r="I146" s="19"/>
      <c r="J146" s="28"/>
    </row>
    <row r="147" spans="2:10" ht="15.75" x14ac:dyDescent="0.25">
      <c r="B147" s="19"/>
      <c r="C147" s="19"/>
      <c r="D147" s="19"/>
      <c r="E147" s="19"/>
      <c r="F147" s="19"/>
      <c r="G147" s="19"/>
      <c r="H147" s="19"/>
      <c r="I147" s="19"/>
      <c r="J147" s="28"/>
    </row>
    <row r="148" spans="2:10" ht="15.75" x14ac:dyDescent="0.25">
      <c r="B148" s="19"/>
      <c r="C148" s="19"/>
      <c r="D148" s="19"/>
      <c r="E148" s="19"/>
      <c r="F148" s="19"/>
      <c r="G148" s="19"/>
      <c r="H148" s="19"/>
      <c r="I148" s="19"/>
      <c r="J148" s="28"/>
    </row>
    <row r="149" spans="2:10" ht="15.75" x14ac:dyDescent="0.25">
      <c r="B149" s="19"/>
      <c r="C149" s="19"/>
      <c r="D149" s="19"/>
      <c r="E149" s="19"/>
      <c r="F149" s="19"/>
      <c r="G149" s="19"/>
      <c r="H149" s="19"/>
      <c r="I149" s="19"/>
      <c r="J149" s="28"/>
    </row>
    <row r="150" spans="2:10" ht="15.75" x14ac:dyDescent="0.25">
      <c r="B150" s="19"/>
      <c r="C150" s="19"/>
      <c r="D150" s="19"/>
      <c r="E150" s="19"/>
      <c r="F150" s="19"/>
      <c r="G150" s="19"/>
      <c r="H150" s="19"/>
      <c r="I150" s="19"/>
      <c r="J150" s="28"/>
    </row>
    <row r="151" spans="2:10" ht="15.75" x14ac:dyDescent="0.25">
      <c r="B151" s="19"/>
      <c r="C151" s="19"/>
      <c r="D151" s="19"/>
      <c r="E151" s="19"/>
      <c r="F151" s="19"/>
      <c r="G151" s="19"/>
      <c r="H151" s="19"/>
      <c r="I151" s="19"/>
      <c r="J151" s="28"/>
    </row>
    <row r="152" spans="2:10" ht="15.75" x14ac:dyDescent="0.25">
      <c r="B152" s="19"/>
      <c r="C152" s="19"/>
      <c r="D152" s="19"/>
      <c r="E152" s="19"/>
      <c r="F152" s="19"/>
      <c r="G152" s="19"/>
      <c r="H152" s="19"/>
      <c r="I152" s="19"/>
      <c r="J152" s="28"/>
    </row>
  </sheetData>
  <mergeCells count="17">
    <mergeCell ref="K11:K12"/>
    <mergeCell ref="B11:C11"/>
    <mergeCell ref="D11:G11"/>
    <mergeCell ref="H11:I11"/>
    <mergeCell ref="A11:A12"/>
    <mergeCell ref="J11:J12"/>
    <mergeCell ref="B9:D9"/>
    <mergeCell ref="A10:J10"/>
    <mergeCell ref="A2:J2"/>
    <mergeCell ref="A3:J3"/>
    <mergeCell ref="A4:J4"/>
    <mergeCell ref="A5:J5"/>
    <mergeCell ref="B7:D7"/>
    <mergeCell ref="A125:J125"/>
    <mergeCell ref="G129:I129"/>
    <mergeCell ref="G130:I130"/>
    <mergeCell ref="G131:I131"/>
  </mergeCells>
  <phoneticPr fontId="7" type="noConversion"/>
  <printOptions horizontalCentered="1"/>
  <pageMargins left="0.23622047244094491" right="0.23622047244094491" top="0.62992125984251968" bottom="0.55118110236220474" header="0.31496062992125984" footer="0.31496062992125984"/>
  <pageSetup paperSize="9" scale="70" fitToHeight="0" orientation="portrait" horizontalDpi="0" verticalDpi="0" r:id="rId1"/>
  <rowBreaks count="1" manualBreakCount="1">
    <brk id="62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9"/>
  <sheetViews>
    <sheetView topLeftCell="A10" workbookViewId="0">
      <selection activeCell="A16" sqref="A16:L22"/>
    </sheetView>
  </sheetViews>
  <sheetFormatPr defaultRowHeight="15" x14ac:dyDescent="0.25"/>
  <cols>
    <col min="1" max="1" width="27.42578125" customWidth="1"/>
    <col min="2" max="2" width="17.5703125" customWidth="1"/>
    <col min="5" max="5" width="1.85546875" customWidth="1"/>
    <col min="6" max="6" width="8.85546875" customWidth="1"/>
    <col min="7" max="7" width="9.140625" hidden="1" customWidth="1"/>
    <col min="9" max="9" width="2" customWidth="1"/>
    <col min="11" max="11" width="2.285156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43" t="s">
        <v>46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1"/>
      <c r="N5" s="1"/>
      <c r="O5" s="1"/>
      <c r="P5" s="1"/>
      <c r="Q5" s="1"/>
    </row>
    <row r="6" spans="1:17" x14ac:dyDescent="0.25">
      <c r="A6" s="43" t="s">
        <v>47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1"/>
      <c r="N6" s="1"/>
      <c r="O6" s="1"/>
      <c r="P6" s="1"/>
      <c r="Q6" s="1"/>
    </row>
    <row r="7" spans="1:17" x14ac:dyDescent="0.25">
      <c r="A7" s="43" t="s">
        <v>48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1"/>
      <c r="N7" s="1"/>
      <c r="O7" s="1"/>
      <c r="P7" s="1"/>
      <c r="Q7" s="1"/>
    </row>
    <row r="8" spans="1:17" x14ac:dyDescent="0.25">
      <c r="A8" s="43" t="s">
        <v>49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 t="s">
        <v>50</v>
      </c>
      <c r="B10" s="1"/>
      <c r="C10" s="2" t="s">
        <v>51</v>
      </c>
      <c r="D10" s="2"/>
      <c r="E10" s="1"/>
      <c r="F10" s="1"/>
      <c r="G10" s="2" t="s">
        <v>9</v>
      </c>
      <c r="H10" s="12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3"/>
      <c r="D11" s="1"/>
      <c r="E11" s="1"/>
      <c r="F11" s="1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 t="s">
        <v>52</v>
      </c>
      <c r="B12" s="1"/>
      <c r="C12" s="2" t="s">
        <v>53</v>
      </c>
      <c r="D12" s="2"/>
      <c r="E12" s="1"/>
      <c r="F12" s="1"/>
      <c r="G12" s="2" t="s">
        <v>10</v>
      </c>
      <c r="H12" s="6"/>
      <c r="I12" s="1"/>
      <c r="J12" s="1"/>
      <c r="K12" s="1"/>
      <c r="L12" s="1"/>
      <c r="M12" s="1"/>
      <c r="N12" s="1"/>
      <c r="O12" s="1"/>
      <c r="P12" s="1"/>
      <c r="Q12" s="1"/>
    </row>
    <row r="13" spans="1:17" ht="21.75" thickBot="1" x14ac:dyDescent="0.3">
      <c r="A13" s="64" t="s">
        <v>82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</row>
    <row r="14" spans="1:17" x14ac:dyDescent="0.25">
      <c r="A14" s="55" t="s">
        <v>4</v>
      </c>
      <c r="B14" s="57" t="s">
        <v>5</v>
      </c>
      <c r="C14" s="58"/>
      <c r="D14" s="58"/>
      <c r="E14" s="58"/>
      <c r="F14" s="58"/>
      <c r="G14" s="58"/>
      <c r="H14" s="58"/>
      <c r="I14" s="58"/>
      <c r="J14" s="58"/>
      <c r="K14" s="58"/>
      <c r="L14" s="59" t="s">
        <v>8</v>
      </c>
      <c r="M14" s="20"/>
      <c r="N14" s="20"/>
      <c r="O14" s="20"/>
      <c r="P14" s="20"/>
      <c r="Q14" s="20"/>
    </row>
    <row r="15" spans="1:17" ht="32.25" customHeight="1" x14ac:dyDescent="0.25">
      <c r="A15" s="56"/>
      <c r="B15" s="61" t="s">
        <v>83</v>
      </c>
      <c r="C15" s="62"/>
      <c r="D15" s="62"/>
      <c r="E15" s="63"/>
      <c r="F15" s="61" t="s">
        <v>84</v>
      </c>
      <c r="G15" s="63"/>
      <c r="H15" s="61" t="s">
        <v>85</v>
      </c>
      <c r="I15" s="63"/>
      <c r="J15" s="61" t="s">
        <v>86</v>
      </c>
      <c r="K15" s="63"/>
      <c r="L15" s="60"/>
      <c r="M15" s="20"/>
      <c r="N15" s="20"/>
      <c r="O15" s="20"/>
      <c r="P15" s="20"/>
      <c r="Q15" s="20"/>
    </row>
    <row r="16" spans="1:17" ht="54" customHeight="1" x14ac:dyDescent="0.25">
      <c r="A16" s="38" t="s">
        <v>115</v>
      </c>
      <c r="B16" s="66" t="s">
        <v>116</v>
      </c>
      <c r="C16" s="66"/>
      <c r="D16" s="66"/>
      <c r="E16" s="66"/>
      <c r="F16" s="66">
        <v>1</v>
      </c>
      <c r="G16" s="66"/>
      <c r="H16" s="66">
        <v>0</v>
      </c>
      <c r="I16" s="66"/>
      <c r="J16" s="66">
        <v>1</v>
      </c>
      <c r="K16" s="66"/>
      <c r="L16" s="38">
        <v>1</v>
      </c>
      <c r="M16" s="21"/>
      <c r="N16" s="21"/>
      <c r="O16" s="21"/>
      <c r="P16" s="21"/>
      <c r="Q16" s="21"/>
    </row>
    <row r="17" spans="1:17" ht="54" customHeight="1" x14ac:dyDescent="0.25">
      <c r="A17" s="38" t="s">
        <v>114</v>
      </c>
      <c r="B17" s="66" t="s">
        <v>116</v>
      </c>
      <c r="C17" s="66"/>
      <c r="D17" s="66"/>
      <c r="E17" s="66"/>
      <c r="F17" s="66"/>
      <c r="G17" s="66"/>
      <c r="H17" s="66">
        <v>1</v>
      </c>
      <c r="I17" s="66"/>
      <c r="J17" s="66">
        <v>0</v>
      </c>
      <c r="K17" s="66"/>
      <c r="L17" s="39">
        <v>0</v>
      </c>
      <c r="M17" s="21"/>
      <c r="N17" s="21"/>
      <c r="O17" s="21"/>
      <c r="P17" s="21"/>
      <c r="Q17" s="21"/>
    </row>
    <row r="18" spans="1:17" s="35" customFormat="1" ht="30.75" customHeight="1" x14ac:dyDescent="0.2">
      <c r="A18" s="33" t="s">
        <v>141</v>
      </c>
      <c r="B18" s="54" t="s">
        <v>142</v>
      </c>
      <c r="C18" s="54"/>
      <c r="D18" s="54"/>
      <c r="E18" s="54"/>
      <c r="F18" s="54">
        <v>3</v>
      </c>
      <c r="G18" s="54"/>
      <c r="H18" s="54">
        <v>0</v>
      </c>
      <c r="I18" s="54"/>
      <c r="J18" s="54">
        <v>3</v>
      </c>
      <c r="K18" s="54"/>
      <c r="L18" s="34">
        <v>3</v>
      </c>
    </row>
    <row r="19" spans="1:17" s="35" customFormat="1" ht="28.5" customHeight="1" x14ac:dyDescent="0.2">
      <c r="A19" s="36" t="s">
        <v>143</v>
      </c>
      <c r="B19" s="54" t="s">
        <v>142</v>
      </c>
      <c r="C19" s="54"/>
      <c r="D19" s="54"/>
      <c r="E19" s="54"/>
      <c r="F19" s="54"/>
      <c r="G19" s="54"/>
      <c r="H19" s="54">
        <v>1</v>
      </c>
      <c r="I19" s="54"/>
      <c r="J19" s="54">
        <v>2</v>
      </c>
      <c r="K19" s="54"/>
      <c r="L19" s="34">
        <v>2</v>
      </c>
    </row>
    <row r="20" spans="1:17" s="35" customFormat="1" ht="28.5" customHeight="1" x14ac:dyDescent="0.2">
      <c r="A20" s="33" t="s">
        <v>148</v>
      </c>
      <c r="B20" s="54" t="s">
        <v>142</v>
      </c>
      <c r="C20" s="54"/>
      <c r="D20" s="54"/>
      <c r="E20" s="54"/>
      <c r="F20" s="54"/>
      <c r="G20" s="54"/>
      <c r="H20" s="54">
        <v>1.5</v>
      </c>
      <c r="I20" s="54"/>
      <c r="J20" s="54">
        <v>0.5</v>
      </c>
      <c r="K20" s="54"/>
      <c r="L20" s="34">
        <v>0.5</v>
      </c>
    </row>
    <row r="21" spans="1:17" s="35" customFormat="1" ht="30.75" customHeight="1" x14ac:dyDescent="0.2">
      <c r="A21" s="33" t="s">
        <v>151</v>
      </c>
      <c r="B21" s="54" t="s">
        <v>152</v>
      </c>
      <c r="C21" s="54"/>
      <c r="D21" s="54"/>
      <c r="E21" s="54"/>
      <c r="F21" s="54">
        <v>1</v>
      </c>
      <c r="G21" s="54"/>
      <c r="H21" s="54">
        <v>0</v>
      </c>
      <c r="I21" s="54"/>
      <c r="J21" s="54">
        <v>1</v>
      </c>
      <c r="K21" s="54"/>
      <c r="L21" s="34">
        <v>1</v>
      </c>
    </row>
    <row r="22" spans="1:17" s="35" customFormat="1" ht="28.5" customHeight="1" x14ac:dyDescent="0.2">
      <c r="A22" s="33" t="s">
        <v>153</v>
      </c>
      <c r="B22" s="54" t="s">
        <v>152</v>
      </c>
      <c r="C22" s="54"/>
      <c r="D22" s="54"/>
      <c r="E22" s="54"/>
      <c r="F22" s="54"/>
      <c r="G22" s="54"/>
      <c r="H22" s="54">
        <v>1</v>
      </c>
      <c r="I22" s="54"/>
      <c r="J22" s="54">
        <v>0</v>
      </c>
      <c r="K22" s="54"/>
      <c r="L22" s="37">
        <v>0</v>
      </c>
    </row>
    <row r="23" spans="1:17" x14ac:dyDescent="0.25">
      <c r="A23" s="22" t="s">
        <v>87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4"/>
      <c r="M23" s="21"/>
      <c r="N23" s="21"/>
      <c r="O23" s="21"/>
      <c r="P23" s="21"/>
      <c r="Q23" s="21"/>
    </row>
    <row r="24" spans="1:17" x14ac:dyDescent="0.2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</row>
    <row r="25" spans="1:17" x14ac:dyDescent="0.25">
      <c r="C25" s="25"/>
      <c r="D25" s="1"/>
      <c r="E25" s="1"/>
      <c r="F25" s="1"/>
      <c r="G25" s="1"/>
      <c r="H25" s="1"/>
      <c r="I25" s="1" t="s">
        <v>71</v>
      </c>
      <c r="J25" s="1"/>
      <c r="K25" s="1"/>
      <c r="L25" s="1"/>
      <c r="M25" s="1"/>
      <c r="N25" s="1"/>
      <c r="O25" s="1"/>
      <c r="P25" s="1"/>
      <c r="Q25" s="1"/>
    </row>
    <row r="26" spans="1:17" x14ac:dyDescent="0.25">
      <c r="C26" s="2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I27" s="30" t="s">
        <v>72</v>
      </c>
      <c r="J27" s="30"/>
      <c r="K27" s="30"/>
    </row>
    <row r="28" spans="1:17" x14ac:dyDescent="0.25">
      <c r="I28" t="s">
        <v>73</v>
      </c>
    </row>
    <row r="29" spans="1:17" x14ac:dyDescent="0.25">
      <c r="I29" s="22" t="s">
        <v>117</v>
      </c>
      <c r="J29" s="22"/>
      <c r="K29" s="22"/>
      <c r="L29" s="22"/>
    </row>
  </sheetData>
  <mergeCells count="41">
    <mergeCell ref="A24:L24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A5:L5"/>
    <mergeCell ref="A6:L6"/>
    <mergeCell ref="A7:L7"/>
    <mergeCell ref="A8:L8"/>
    <mergeCell ref="A13:L13"/>
    <mergeCell ref="A14:A15"/>
    <mergeCell ref="B14:K14"/>
    <mergeCell ref="L14:L15"/>
    <mergeCell ref="B15:E15"/>
    <mergeCell ref="F15:G15"/>
    <mergeCell ref="H15:I15"/>
    <mergeCell ref="J15:K15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</mergeCells>
  <phoneticPr fontId="7" type="noConversion"/>
  <printOptions horizontalCentered="1"/>
  <pageMargins left="0.43307086614173229" right="0.23622047244094491" top="0.74803149606299213" bottom="0.74803149606299213" header="0.31496062992125984" footer="0.31496062992125984"/>
  <pageSetup paperSize="9" scale="75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CTO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2025-09-25T00:45:04Z</cp:lastPrinted>
  <dcterms:created xsi:type="dcterms:W3CDTF">2021-10-07T06:10:16Z</dcterms:created>
  <dcterms:modified xsi:type="dcterms:W3CDTF">2025-09-25T00:51:36Z</dcterms:modified>
</cp:coreProperties>
</file>