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03DE92EF-FC01-4154-AC0D-C94821293C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7" r:id="rId2"/>
  </sheets>
  <definedNames>
    <definedName name="_xlnm.Print_Area" localSheetId="0">'Leave Card (NE)'!$A$1:$J$40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6" l="1"/>
  <c r="J34" i="6" s="1"/>
  <c r="I34" i="6"/>
  <c r="H32" i="6"/>
  <c r="I32" i="6"/>
  <c r="I33" i="6" s="1"/>
  <c r="J32" i="6"/>
  <c r="H33" i="6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H13" i="6"/>
  <c r="H14" i="6" s="1"/>
  <c r="H15" i="6" s="1"/>
  <c r="J33" i="6" l="1"/>
  <c r="J15" i="6"/>
  <c r="H16" i="6"/>
  <c r="J14" i="6"/>
  <c r="J13" i="6"/>
  <c r="J16" i="6" l="1"/>
  <c r="H17" i="6"/>
  <c r="H18" i="6" l="1"/>
  <c r="J17" i="6"/>
  <c r="J18" i="6" l="1"/>
  <c r="H19" i="6"/>
  <c r="J19" i="6" l="1"/>
  <c r="H20" i="6"/>
  <c r="H21" i="6" l="1"/>
  <c r="J20" i="6"/>
  <c r="J21" i="6" l="1"/>
  <c r="H22" i="6"/>
  <c r="H23" i="6" l="1"/>
  <c r="J22" i="6"/>
  <c r="H24" i="6" l="1"/>
  <c r="J23" i="6"/>
  <c r="J24" i="6" l="1"/>
  <c r="H25" i="6"/>
  <c r="J25" i="6" l="1"/>
  <c r="H26" i="6"/>
  <c r="J26" i="6" l="1"/>
  <c r="H27" i="6"/>
  <c r="J27" i="6" l="1"/>
  <c r="H28" i="6"/>
  <c r="J28" i="6" l="1"/>
  <c r="H29" i="6"/>
  <c r="J29" i="6" l="1"/>
  <c r="H30" i="6"/>
  <c r="J30" i="6" l="1"/>
  <c r="H31" i="6"/>
  <c r="J31" i="6" s="1"/>
</calcChain>
</file>

<file path=xl/sharedStrings.xml><?xml version="1.0" encoding="utf-8"?>
<sst xmlns="http://schemas.openxmlformats.org/spreadsheetml/2006/main" count="83" uniqueCount="61">
  <si>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</si>
  <si>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</si>
  <si>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</si>
  <si>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</si>
  <si>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</si>
  <si>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</si>
  <si>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</si>
  <si>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</si>
  <si>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</si>
  <si>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</si>
  <si>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</si>
  <si>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</si>
  <si>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SPECIAL</t>
  </si>
  <si>
    <t>Republic of the Philippines</t>
  </si>
  <si>
    <t>Department of Education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</si>
  <si>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</si>
  <si>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</si>
  <si>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</si>
  <si>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</si>
  <si>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</si>
  <si>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 xml:space="preserve">  </t>
  </si>
  <si>
    <t>ADD: 07/1/2024-10/31/2024</t>
  </si>
  <si>
    <t>LESS: 12/26-27/2024</t>
  </si>
  <si>
    <t>ADD: 11/1-30/2024</t>
  </si>
  <si>
    <t>LESS: 12/17/2024</t>
  </si>
  <si>
    <t>ADD: 12/1-31/2024</t>
  </si>
  <si>
    <t>ADD: 01/1/2025-02/28/2025</t>
  </si>
  <si>
    <t>LESS: 03/25/2025</t>
  </si>
  <si>
    <t>ADD: 03/1-31/2025</t>
  </si>
  <si>
    <t>LESS: 05/2/2025</t>
  </si>
  <si>
    <t>ADD: 04/1-30/2025</t>
  </si>
  <si>
    <t>LESS: 05/6/2025</t>
  </si>
  <si>
    <t>COMPENSATORY TIME OFF (CTO)</t>
  </si>
  <si>
    <t>Special Order No. and Date Issued</t>
  </si>
  <si>
    <t>No. of Days Granted</t>
  </si>
  <si>
    <t>No. of Days Used</t>
  </si>
  <si>
    <t>Balance</t>
  </si>
  <si>
    <t>Certified Correct:</t>
  </si>
  <si>
    <t>MA. LUISA B. CATIGAN</t>
  </si>
  <si>
    <t>Administrative Officer IV</t>
  </si>
  <si>
    <t>HRMO</t>
  </si>
  <si>
    <t>ADD: 07/1/2025</t>
  </si>
  <si>
    <t>SO # 044, S. 2025 127TH PHIL. IND. DAY</t>
  </si>
  <si>
    <t>LESS: 07/10/2025 PM &amp; 14 (PM)</t>
  </si>
  <si>
    <t>LESS: 08/8/2025</t>
  </si>
  <si>
    <t>ADD: 05/1/2025-07/31/2025</t>
  </si>
  <si>
    <t>NEGROS ISLAND REGION</t>
  </si>
  <si>
    <t>ADD: 08/1-31/2025</t>
  </si>
  <si>
    <t>LESS: MONETIZATION 2025</t>
  </si>
  <si>
    <t>LESS: 12/12, 15 &amp; 16/2025- TRAVEL ABROAD</t>
  </si>
  <si>
    <t>ADD: 05/13/2025</t>
  </si>
  <si>
    <t>SO # 021, S. 2025 , 2025 NEGROS OCCIDENTAL PROVINCIAL ATHLETIC ASSOCIATION MEET (LIQUIDATION)</t>
  </si>
  <si>
    <t>1.5 DAY &amp; 3 HRS</t>
  </si>
  <si>
    <t>LESS: 10/4/2025 PM</t>
  </si>
  <si>
    <t>1 DAY &amp; 3 HRS</t>
  </si>
  <si>
    <t>ADD: 09/1/2025-10/31/2025</t>
  </si>
  <si>
    <t>LESS: 11/7/2025</t>
  </si>
  <si>
    <t>LESS: 11/14/2025</t>
  </si>
  <si>
    <t>ADD: 11/1-30/2025</t>
  </si>
  <si>
    <t>LESS: 12/22/2025</t>
  </si>
  <si>
    <t>LESS: 12/26/2025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</si>
</sst>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6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0" xfId="1" applyFill="1"/>
    <xf numFmtId="0" fontId="1" fillId="2" borderId="0" xfId="1" applyFont="1" applyFill="1" applyAlignment="1">
      <alignment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4" xfId="1" applyFont="1" applyFill="1" applyBorder="1" applyAlignment="1">
      <alignment vertical="center"/>
    </xf>
    <xf numFmtId="0" fontId="8" fillId="2" borderId="1" xfId="1" applyFont="1" applyFill="1" applyBorder="1" applyAlignment="1">
      <alignment horizontal="center" vertical="center" wrapText="1"/>
    </xf>
    <xf numFmtId="0" fontId="9" fillId="0" borderId="0" xfId="1" applyFont="1"/>
    <xf numFmtId="0" fontId="0" fillId="2" borderId="1" xfId="1" applyFont="1" applyFill="1" applyBorder="1" applyAlignment="1">
      <alignment horizontal="center" vertical="center" wrapText="1"/>
    </xf>
    <xf numFmtId="0" fontId="6" fillId="2" borderId="0" xfId="1" applyFill="1" applyAlignment="1">
      <alignment horizontal="center"/>
    </xf>
    <xf numFmtId="0" fontId="6" fillId="0" borderId="0" xfId="1"/>
    <xf numFmtId="0" fontId="10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8" fillId="0" borderId="1" xfId="1" applyFont="1" applyBorder="1" applyAlignment="1">
      <alignment horizontal="center" vertical="center" wrapText="1"/>
    </xf>
    <xf numFmtId="164" fontId="0" fillId="11" borderId="1" xfId="0" applyNumberForma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6" fillId="0" borderId="0" xfId="1" applyAlignment="1">
      <alignment horizontal="center"/>
    </xf>
    <xf numFmtId="0" fontId="6" fillId="0" borderId="0" xfId="1" applyAlignment="1">
      <alignment horizontal="center" vertical="center"/>
    </xf>
    <xf numFmtId="0" fontId="8" fillId="2" borderId="18" xfId="1" applyFont="1" applyFill="1" applyBorder="1" applyAlignment="1">
      <alignment horizontal="center" vertical="center" wrapText="1"/>
    </xf>
    <xf numFmtId="0" fontId="8" fillId="2" borderId="20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8" fillId="10" borderId="18" xfId="1" applyFont="1" applyFill="1" applyBorder="1" applyAlignment="1">
      <alignment horizontal="center" vertical="center" wrapText="1"/>
    </xf>
    <xf numFmtId="0" fontId="8" fillId="10" borderId="20" xfId="1" applyFont="1" applyFill="1" applyBorder="1" applyAlignment="1">
      <alignment horizontal="center" vertical="center" wrapText="1"/>
    </xf>
    <xf numFmtId="0" fontId="6" fillId="2" borderId="0" xfId="1" applyFill="1" applyAlignment="1">
      <alignment horizontal="center" vertical="center"/>
    </xf>
    <xf numFmtId="0" fontId="0" fillId="2" borderId="0" xfId="1" applyFont="1" applyFill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7" fillId="8" borderId="5" xfId="1" applyFont="1" applyFill="1" applyBorder="1" applyAlignment="1">
      <alignment horizontal="center" vertical="center"/>
    </xf>
    <xf numFmtId="0" fontId="7" fillId="8" borderId="6" xfId="1" applyFont="1" applyFill="1" applyBorder="1" applyAlignment="1">
      <alignment horizontal="center" vertical="center"/>
    </xf>
    <xf numFmtId="0" fontId="7" fillId="9" borderId="11" xfId="1" applyFont="1" applyFill="1" applyBorder="1" applyAlignment="1">
      <alignment horizontal="center" vertical="center"/>
    </xf>
    <xf numFmtId="0" fontId="7" fillId="9" borderId="12" xfId="1" applyFont="1" applyFill="1" applyBorder="1" applyAlignment="1">
      <alignment horizontal="center" vertical="center"/>
    </xf>
    <xf numFmtId="0" fontId="7" fillId="8" borderId="8" xfId="1" applyFont="1" applyFill="1" applyBorder="1" applyAlignment="1">
      <alignment horizontal="center" vertical="center"/>
    </xf>
    <xf numFmtId="0" fontId="7" fillId="8" borderId="3" xfId="1" applyFont="1" applyFill="1" applyBorder="1" applyAlignment="1">
      <alignment horizontal="center" vertical="center"/>
    </xf>
    <xf numFmtId="0" fontId="8" fillId="10" borderId="19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71514A1F-18CE-427C-B883-221E3D00E1BF}"/>
    <cellStyle name="Normal 2 2" xfId="2" xr:uid="{86AD24B3-C7B7-4EE7-ACB0-9B35902EAE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404362</xdr:colOff>
      <xdr:row>0</xdr:row>
      <xdr:rowOff>25040</xdr:rowOff>
    </xdr:from>
    <xdr:to>
      <xdr:col>4</xdr:col>
      <xdr:colOff>230290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A70F6-71CB-453F-908E-7D5B936FB35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5093" y="25040"/>
          <a:ext cx="598711" cy="639913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9E754E-1208-48CB-8AC8-C7C3E3CD62F7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NOARBE, DINA JEAN M.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EC5A113-872F-4E31-92C4-52743DCB84E1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ADA VI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3AD699B-2ADB-45A2-996A-AC19E130FA66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OSDS-ADMIN</a:t>
          </a:r>
        </a:p>
        <a:p>
          <a:endParaRPr lang="en-US" sz="1100"/>
        </a:p>
      </xdr:txBody>
    </xdr:sp>
    <xdr:clientData/>
  </xdr:twoCellAnchor>
  <xdr:twoCellAnchor>
    <xdr:from>
      <xdr:col>5</xdr:col>
      <xdr:colOff>347452</xdr:colOff>
      <xdr:row>34</xdr:row>
      <xdr:rowOff>53914</xdr:rowOff>
    </xdr:from>
    <xdr:to>
      <xdr:col>9</xdr:col>
      <xdr:colOff>672043</xdr:colOff>
      <xdr:row>39</xdr:row>
      <xdr:rowOff>170731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79A786-9C0D-44FC-80CB-11868F3F28AB}"/>
            </a:ext>
          </a:extLst>
        </xdr:cNvPr>
        <xdr:cNvSpPr txBox="1"/>
      </xdr:nvSpPr>
      <xdr:spPr>
        <a:xfrm>
          <a:off x="5873749" y="11951178"/>
          <a:ext cx="3415723" cy="10603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533400</xdr:colOff>
      <xdr:row>0</xdr:row>
      <xdr:rowOff>48081</xdr:rowOff>
    </xdr:from>
    <xdr:ext cx="599847" cy="523420"/>
    <xdr:pic>
      <xdr:nvPicPr>
        <xdr:cNvPr id="2" name="Picture 1">
          <a:extLst>
            <a:ext uri="{FF2B5EF4-FFF2-40B4-BE49-F238E27FC236}">
              <a16:creationId xmlns:a16="http://schemas.microsoft.com/office/drawing/2014/main" id="{DB11B8D1-EB3B-415D-BC82-843D2C81A58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48081"/>
          <a:ext cx="599847" cy="523420"/>
        </a:xfrm>
        <a:prstGeom prst="rect">
          <a:avLst/>
        </a:prstGeom>
        <a:noFill/>
      </xdr:spPr>
    </xdr:pic>
    <xdr:clientData/>
  </xdr:oneCellAnchor>
  <xdr:twoCellAnchor>
    <xdr:from>
      <xdr:col>0</xdr:col>
      <xdr:colOff>573942</xdr:colOff>
      <xdr:row>6</xdr:row>
      <xdr:rowOff>170961</xdr:rowOff>
    </xdr:from>
    <xdr:to>
      <xdr:col>1</xdr:col>
      <xdr:colOff>946150</xdr:colOff>
      <xdr:row>8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8F32100-0BE3-4C07-9D29-81D5BEC50D53}"/>
            </a:ext>
          </a:extLst>
        </xdr:cNvPr>
        <xdr:cNvSpPr txBox="1"/>
      </xdr:nvSpPr>
      <xdr:spPr>
        <a:xfrm>
          <a:off x="573942" y="1313961"/>
          <a:ext cx="1772383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NOARBE, DINA JEAN M.</a:t>
          </a:r>
        </a:p>
      </xdr:txBody>
    </xdr:sp>
    <xdr:clientData/>
  </xdr:twoCellAnchor>
  <xdr:twoCellAnchor>
    <xdr:from>
      <xdr:col>0</xdr:col>
      <xdr:colOff>654051</xdr:colOff>
      <xdr:row>9</xdr:row>
      <xdr:rowOff>19051</xdr:rowOff>
    </xdr:from>
    <xdr:to>
      <xdr:col>0</xdr:col>
      <xdr:colOff>1720850</xdr:colOff>
      <xdr:row>10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3CA67B-F123-43D6-8E3D-70CB8CFF33CB}"/>
            </a:ext>
          </a:extLst>
        </xdr:cNvPr>
        <xdr:cNvSpPr txBox="1"/>
      </xdr:nvSpPr>
      <xdr:spPr>
        <a:xfrm>
          <a:off x="654051" y="1733551"/>
          <a:ext cx="92392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 VI</a:t>
          </a:r>
        </a:p>
      </xdr:txBody>
    </xdr:sp>
    <xdr:clientData/>
  </xdr:twoCellAnchor>
  <xdr:twoCellAnchor>
    <xdr:from>
      <xdr:col>3</xdr:col>
      <xdr:colOff>526823</xdr:colOff>
      <xdr:row>9</xdr:row>
      <xdr:rowOff>42410</xdr:rowOff>
    </xdr:from>
    <xdr:to>
      <xdr:col>5</xdr:col>
      <xdr:colOff>463323</xdr:colOff>
      <xdr:row>11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F5366AE-9615-477D-B200-DA8C5ADBB865}"/>
            </a:ext>
          </a:extLst>
        </xdr:cNvPr>
        <xdr:cNvSpPr txBox="1"/>
      </xdr:nvSpPr>
      <xdr:spPr>
        <a:xfrm>
          <a:off x="3479573" y="1756910"/>
          <a:ext cx="1412875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8"/>
  <sheetViews>
    <sheetView tabSelected="1" view="pageBreakPreview" topLeftCell="A12" zoomScale="106" zoomScaleNormal="100" zoomScaleSheetLayoutView="106" workbookViewId="0">
      <selection activeCell="B26" sqref="B26"/>
    </sheetView>
  </sheetViews>
  <sheetFormatPr defaultRowHeight="15" x14ac:dyDescent="0.25"/>
  <cols>
    <col min="1" max="1" width="40.28515625" customWidth="1"/>
    <col min="2" max="5" width="11.5703125" customWidth="1"/>
    <col min="6" max="7" width="11.5703125" style="6" customWidth="1"/>
    <col min="8" max="10" width="11.5703125" customWidth="1"/>
    <col min="11" max="11" width="26.42578125" style="5" customWidth="1"/>
  </cols>
  <sheetData>
    <row r="1" spans="1:11" s="1" customFormat="1" ht="52.5" customHeight="1" x14ac:dyDescent="0.25"/>
    <row r="2" spans="1:11" s="1" customFormat="1" ht="10.5" customHeight="1" x14ac:dyDescent="0.25">
      <c r="A2" s="47" t="s">
        <v>13</v>
      </c>
      <c r="B2" s="47"/>
      <c r="C2" s="47"/>
      <c r="D2" s="47"/>
      <c r="E2" s="47"/>
      <c r="F2" s="47"/>
      <c r="G2" s="47"/>
      <c r="H2" s="47"/>
      <c r="I2" s="47"/>
      <c r="J2" s="47"/>
    </row>
    <row r="3" spans="1:11" s="1" customFormat="1" ht="15.95" customHeight="1" x14ac:dyDescent="0.25">
      <c r="A3" s="47" t="s">
        <v>14</v>
      </c>
      <c r="B3" s="47"/>
      <c r="C3" s="47"/>
      <c r="D3" s="47"/>
      <c r="E3" s="47"/>
      <c r="F3" s="47"/>
      <c r="G3" s="47"/>
      <c r="H3" s="47"/>
      <c r="I3" s="47"/>
      <c r="J3" s="47"/>
    </row>
    <row r="4" spans="1:11" s="1" customFormat="1" ht="15.95" customHeight="1" x14ac:dyDescent="0.25">
      <c r="A4" s="47" t="s">
        <v>46</v>
      </c>
      <c r="B4" s="47"/>
      <c r="C4" s="47"/>
      <c r="D4" s="47"/>
      <c r="E4" s="47"/>
      <c r="F4" s="47"/>
      <c r="G4" s="47"/>
      <c r="H4" s="47"/>
      <c r="I4" s="47"/>
      <c r="J4" s="47"/>
    </row>
    <row r="5" spans="1:11" s="1" customFormat="1" ht="15.95" customHeight="1" x14ac:dyDescent="0.25">
      <c r="A5" s="47" t="s">
        <v>15</v>
      </c>
      <c r="B5" s="47"/>
      <c r="C5" s="47"/>
      <c r="D5" s="47"/>
      <c r="E5" s="47"/>
      <c r="F5" s="47"/>
      <c r="G5" s="47"/>
      <c r="H5" s="47"/>
      <c r="I5" s="47"/>
      <c r="J5" s="47"/>
    </row>
    <row r="6" spans="1:11" s="1" customFormat="1" ht="8.25" customHeight="1" x14ac:dyDescent="0.25"/>
    <row r="7" spans="1:11" s="1" customFormat="1" ht="12" customHeight="1" x14ac:dyDescent="0.25">
      <c r="A7" s="1" t="s">
        <v>16</v>
      </c>
      <c r="B7" s="45" t="s">
        <v>17</v>
      </c>
      <c r="C7" s="45"/>
      <c r="D7" s="45"/>
      <c r="H7" s="3" t="s">
        <v>9</v>
      </c>
      <c r="I7" s="7"/>
      <c r="J7" s="3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18</v>
      </c>
      <c r="B9" s="45" t="s">
        <v>19</v>
      </c>
      <c r="C9" s="45"/>
      <c r="D9" s="45"/>
      <c r="H9" s="3" t="s">
        <v>10</v>
      </c>
      <c r="I9" s="4"/>
      <c r="J9" s="3"/>
    </row>
    <row r="10" spans="1:11" ht="23.25" customHeight="1" thickBot="1" x14ac:dyDescent="0.3">
      <c r="A10" s="46" t="s">
        <v>0</v>
      </c>
      <c r="B10" s="46"/>
      <c r="C10" s="46"/>
      <c r="D10" s="46"/>
      <c r="E10" s="46"/>
      <c r="F10" s="46"/>
      <c r="G10" s="46"/>
      <c r="H10" s="46"/>
      <c r="I10" s="46"/>
      <c r="J10" s="46"/>
      <c r="K10"/>
    </row>
    <row r="11" spans="1:11" ht="18.75" customHeight="1" x14ac:dyDescent="0.25">
      <c r="A11" s="41" t="s">
        <v>4</v>
      </c>
      <c r="B11" s="34" t="s">
        <v>5</v>
      </c>
      <c r="C11" s="35"/>
      <c r="D11" s="36" t="s">
        <v>6</v>
      </c>
      <c r="E11" s="37"/>
      <c r="F11" s="37"/>
      <c r="G11" s="38"/>
      <c r="H11" s="39" t="s">
        <v>7</v>
      </c>
      <c r="I11" s="40"/>
      <c r="J11" s="43" t="s">
        <v>8</v>
      </c>
      <c r="K11" s="33" t="s">
        <v>11</v>
      </c>
    </row>
    <row r="12" spans="1:11" ht="18.75" customHeight="1" thickBot="1" x14ac:dyDescent="0.3">
      <c r="A12" s="42"/>
      <c r="B12" s="13" t="s">
        <v>1</v>
      </c>
      <c r="C12" s="13" t="s">
        <v>2</v>
      </c>
      <c r="D12" s="13" t="s">
        <v>1</v>
      </c>
      <c r="E12" s="13" t="s">
        <v>2</v>
      </c>
      <c r="F12" s="13" t="s">
        <v>3</v>
      </c>
      <c r="G12" s="13" t="s">
        <v>12</v>
      </c>
      <c r="H12" s="13" t="s">
        <v>1</v>
      </c>
      <c r="I12" s="13" t="s">
        <v>2</v>
      </c>
      <c r="J12" s="44"/>
      <c r="K12" s="33"/>
    </row>
    <row r="13" spans="1:11" ht="30.75" customHeight="1" x14ac:dyDescent="0.25">
      <c r="A13" s="14" t="s">
        <v>21</v>
      </c>
      <c r="B13" s="15">
        <v>5</v>
      </c>
      <c r="C13" s="15">
        <v>5</v>
      </c>
      <c r="D13" s="15"/>
      <c r="E13" s="15"/>
      <c r="F13" s="15"/>
      <c r="G13" s="15"/>
      <c r="H13" s="11">
        <f>B13</f>
        <v>5</v>
      </c>
      <c r="I13" s="11">
        <f>C13</f>
        <v>5</v>
      </c>
      <c r="J13" s="12">
        <f>SUM(H13:I13)</f>
        <v>10</v>
      </c>
    </row>
    <row r="14" spans="1:11" ht="13.5" customHeight="1" x14ac:dyDescent="0.25">
      <c r="A14" s="16" t="s">
        <v>22</v>
      </c>
      <c r="B14" s="10"/>
      <c r="C14" s="10"/>
      <c r="D14" s="10"/>
      <c r="E14" s="10"/>
      <c r="F14" s="10"/>
      <c r="G14" s="10">
        <v>2</v>
      </c>
      <c r="H14" s="8">
        <f>H13-F14-D14+B14</f>
        <v>5</v>
      </c>
      <c r="I14" s="8">
        <f>I13-E14+C14</f>
        <v>5</v>
      </c>
      <c r="J14" s="9">
        <f>SUM(H14:I14)</f>
        <v>10</v>
      </c>
    </row>
    <row r="15" spans="1:11" ht="13.5" customHeight="1" x14ac:dyDescent="0.25">
      <c r="A15" s="18" t="s">
        <v>23</v>
      </c>
      <c r="B15" s="10">
        <v>1.25</v>
      </c>
      <c r="C15" s="10">
        <v>1.25</v>
      </c>
      <c r="D15" s="10"/>
      <c r="E15" s="10"/>
      <c r="F15" s="10"/>
      <c r="G15" s="10"/>
      <c r="H15" s="8">
        <f t="shared" ref="H15:H16" si="0">H14-F15-D15+B15</f>
        <v>6.25</v>
      </c>
      <c r="I15" s="8">
        <f t="shared" ref="I15:I16" si="1">I14-E15+C15</f>
        <v>6.25</v>
      </c>
      <c r="J15" s="9">
        <f t="shared" ref="J15:J16" si="2">SUM(H15:I15)</f>
        <v>12.5</v>
      </c>
    </row>
    <row r="16" spans="1:11" ht="13.5" customHeight="1" x14ac:dyDescent="0.25">
      <c r="A16" s="18" t="s">
        <v>24</v>
      </c>
      <c r="B16" s="10"/>
      <c r="C16" s="10"/>
      <c r="D16" s="10"/>
      <c r="E16" s="10"/>
      <c r="F16" s="10"/>
      <c r="G16" s="10">
        <v>1</v>
      </c>
      <c r="H16" s="8">
        <f t="shared" si="0"/>
        <v>6.25</v>
      </c>
      <c r="I16" s="8">
        <f t="shared" si="1"/>
        <v>6.25</v>
      </c>
      <c r="J16" s="9">
        <f t="shared" si="2"/>
        <v>12.5</v>
      </c>
    </row>
    <row r="17" spans="1:10" ht="15" customHeight="1" x14ac:dyDescent="0.25">
      <c r="A17" s="18" t="s">
        <v>25</v>
      </c>
      <c r="B17" s="10">
        <v>1.25</v>
      </c>
      <c r="C17" s="10">
        <v>1.25</v>
      </c>
      <c r="D17" s="10"/>
      <c r="E17" s="10"/>
      <c r="F17" s="10"/>
      <c r="G17" s="10"/>
      <c r="H17" s="8">
        <f t="shared" ref="H17:H19" si="3">H16-F17-D17+B17</f>
        <v>7.5</v>
      </c>
      <c r="I17" s="8">
        <f t="shared" ref="I17:I19" si="4">I16-E17+C17</f>
        <v>7.5</v>
      </c>
      <c r="J17" s="9">
        <f t="shared" ref="J17:J19" si="5">SUM(H17:I17)</f>
        <v>15</v>
      </c>
    </row>
    <row r="18" spans="1:10" ht="13.5" customHeight="1" x14ac:dyDescent="0.25">
      <c r="A18" s="18" t="s">
        <v>26</v>
      </c>
      <c r="B18" s="10">
        <v>2.5</v>
      </c>
      <c r="C18" s="10">
        <v>2.5</v>
      </c>
      <c r="D18" s="10"/>
      <c r="E18" s="10"/>
      <c r="F18" s="10"/>
      <c r="G18" s="10"/>
      <c r="H18" s="8">
        <f t="shared" si="3"/>
        <v>10</v>
      </c>
      <c r="I18" s="8">
        <f t="shared" si="4"/>
        <v>10</v>
      </c>
      <c r="J18" s="9">
        <f t="shared" si="5"/>
        <v>20</v>
      </c>
    </row>
    <row r="19" spans="1:10" ht="13.5" customHeight="1" x14ac:dyDescent="0.25">
      <c r="A19" s="18" t="s">
        <v>27</v>
      </c>
      <c r="B19" s="10"/>
      <c r="C19" s="10"/>
      <c r="D19" s="10"/>
      <c r="E19" s="10"/>
      <c r="F19" s="10"/>
      <c r="G19" s="17">
        <v>1</v>
      </c>
      <c r="H19" s="8">
        <f t="shared" si="3"/>
        <v>10</v>
      </c>
      <c r="I19" s="8">
        <f t="shared" si="4"/>
        <v>10</v>
      </c>
      <c r="J19" s="9">
        <f t="shared" si="5"/>
        <v>20</v>
      </c>
    </row>
    <row r="20" spans="1:10" ht="13.5" customHeight="1" x14ac:dyDescent="0.25">
      <c r="A20" s="18" t="s">
        <v>28</v>
      </c>
      <c r="B20" s="10">
        <v>1.25</v>
      </c>
      <c r="C20" s="10">
        <v>1.25</v>
      </c>
      <c r="D20" s="10"/>
      <c r="E20" s="10"/>
      <c r="F20" s="10"/>
      <c r="G20" s="10"/>
      <c r="H20" s="8">
        <f t="shared" ref="H20:H21" si="6">H19-F20-D20+B20</f>
        <v>11.25</v>
      </c>
      <c r="I20" s="8">
        <f t="shared" ref="I20:I21" si="7">I19-E20+C20</f>
        <v>11.25</v>
      </c>
      <c r="J20" s="9">
        <f t="shared" ref="J20:J21" si="8">SUM(H20:I20)</f>
        <v>22.5</v>
      </c>
    </row>
    <row r="21" spans="1:10" ht="13.5" customHeight="1" x14ac:dyDescent="0.25">
      <c r="A21" s="18" t="s">
        <v>29</v>
      </c>
      <c r="B21" s="10"/>
      <c r="C21" s="10"/>
      <c r="D21" s="10"/>
      <c r="E21" s="10"/>
      <c r="F21" s="10"/>
      <c r="G21" s="17">
        <v>1</v>
      </c>
      <c r="H21" s="8">
        <f t="shared" si="6"/>
        <v>11.25</v>
      </c>
      <c r="I21" s="8">
        <f t="shared" si="7"/>
        <v>11.25</v>
      </c>
      <c r="J21" s="9">
        <f t="shared" si="8"/>
        <v>22.5</v>
      </c>
    </row>
    <row r="22" spans="1:10" ht="13.5" customHeight="1" x14ac:dyDescent="0.25">
      <c r="A22" s="18" t="s">
        <v>30</v>
      </c>
      <c r="B22" s="10">
        <v>1.25</v>
      </c>
      <c r="C22" s="10">
        <v>1.25</v>
      </c>
      <c r="D22" s="10"/>
      <c r="E22" s="10"/>
      <c r="F22" s="10"/>
      <c r="G22" s="10"/>
      <c r="H22" s="8">
        <f t="shared" ref="H22:H23" si="9">H21-F22-D22+B22</f>
        <v>12.5</v>
      </c>
      <c r="I22" s="8">
        <f t="shared" ref="I22:I23" si="10">I21-E22+C22</f>
        <v>12.5</v>
      </c>
      <c r="J22" s="9">
        <f t="shared" ref="J22:J23" si="11">SUM(H22:I22)</f>
        <v>25</v>
      </c>
    </row>
    <row r="23" spans="1:10" ht="13.5" customHeight="1" x14ac:dyDescent="0.25">
      <c r="A23" s="18" t="s">
        <v>31</v>
      </c>
      <c r="B23" s="10"/>
      <c r="C23" s="10"/>
      <c r="D23" s="10"/>
      <c r="E23" s="10">
        <v>1</v>
      </c>
      <c r="F23" s="10"/>
      <c r="G23" s="10"/>
      <c r="H23" s="8">
        <f t="shared" si="9"/>
        <v>12.5</v>
      </c>
      <c r="I23" s="8">
        <f t="shared" si="10"/>
        <v>11.5</v>
      </c>
      <c r="J23" s="9">
        <f t="shared" si="11"/>
        <v>24</v>
      </c>
    </row>
    <row r="24" spans="1:10" ht="13.5" customHeight="1" x14ac:dyDescent="0.25">
      <c r="A24" s="18" t="s">
        <v>45</v>
      </c>
      <c r="B24" s="10">
        <v>3.75</v>
      </c>
      <c r="C24" s="10">
        <v>3.75</v>
      </c>
      <c r="D24" s="10"/>
      <c r="E24" s="10"/>
      <c r="F24" s="10"/>
      <c r="G24" s="10"/>
      <c r="H24" s="8">
        <f t="shared" ref="H24" si="12">H23-F24-D24+B24</f>
        <v>16.25</v>
      </c>
      <c r="I24" s="8">
        <f t="shared" ref="I24" si="13">I23-E24+C24</f>
        <v>15.25</v>
      </c>
      <c r="J24" s="9">
        <f t="shared" ref="J24" si="14">SUM(H24:I24)</f>
        <v>31.5</v>
      </c>
    </row>
    <row r="25" spans="1:10" ht="13.5" customHeight="1" x14ac:dyDescent="0.25">
      <c r="A25" s="18" t="s">
        <v>44</v>
      </c>
      <c r="B25" s="10"/>
      <c r="C25" s="10"/>
      <c r="D25" s="10"/>
      <c r="E25" s="10"/>
      <c r="F25" s="32">
        <v>1</v>
      </c>
      <c r="G25" s="10"/>
      <c r="H25" s="8">
        <f t="shared" ref="H25" si="15">H24-F25-D25+B25</f>
        <v>15.25</v>
      </c>
      <c r="I25" s="8">
        <f t="shared" ref="I25" si="16">I24-E25+C25</f>
        <v>15.25</v>
      </c>
      <c r="J25" s="9">
        <f t="shared" ref="J25" si="17">SUM(H25:I25)</f>
        <v>30.5</v>
      </c>
    </row>
    <row r="26" spans="1:10" ht="13.5" customHeight="1" x14ac:dyDescent="0.25">
      <c r="A26" s="18" t="s">
        <v>47</v>
      </c>
      <c r="B26" s="10">
        <v>1.25</v>
      </c>
      <c r="C26" s="10">
        <v>1.25</v>
      </c>
      <c r="D26" s="10"/>
      <c r="E26" s="10"/>
      <c r="F26" s="10"/>
      <c r="G26" s="10"/>
      <c r="H26" s="8">
        <f t="shared" ref="H26:H27" si="18">H25-F26-D26+B26</f>
        <v>16.5</v>
      </c>
      <c r="I26" s="8">
        <f t="shared" ref="I26:I27" si="19">I25-E26+C26</f>
        <v>16.5</v>
      </c>
      <c r="J26" s="9">
        <f t="shared" ref="J26:J27" si="20">SUM(H26:I26)</f>
        <v>33</v>
      </c>
    </row>
    <row r="27" spans="1:10" ht="13.5" customHeight="1" x14ac:dyDescent="0.25">
      <c r="A27" s="18" t="s">
        <v>48</v>
      </c>
      <c r="B27" s="10"/>
      <c r="C27" s="10"/>
      <c r="D27" s="10">
        <v>10</v>
      </c>
      <c r="E27" s="10"/>
      <c r="F27" s="10"/>
      <c r="G27" s="10"/>
      <c r="H27" s="8">
        <f t="shared" si="18"/>
        <v>6.5</v>
      </c>
      <c r="I27" s="8">
        <f t="shared" si="19"/>
        <v>16.5</v>
      </c>
      <c r="J27" s="9">
        <f t="shared" si="20"/>
        <v>23</v>
      </c>
    </row>
    <row r="28" spans="1:10" ht="13.5" customHeight="1" x14ac:dyDescent="0.25">
      <c r="A28" s="18" t="s">
        <v>49</v>
      </c>
      <c r="B28" s="10"/>
      <c r="C28" s="10"/>
      <c r="D28" s="10"/>
      <c r="E28" s="10"/>
      <c r="F28" s="32">
        <v>3</v>
      </c>
      <c r="G28" s="10"/>
      <c r="H28" s="8">
        <f t="shared" ref="H28" si="21">H27-F28-D28+B28</f>
        <v>3.5</v>
      </c>
      <c r="I28" s="8">
        <f t="shared" ref="I28" si="22">I27-E28+C28</f>
        <v>16.5</v>
      </c>
      <c r="J28" s="9">
        <f t="shared" ref="J28" si="23">SUM(H28:I28)</f>
        <v>20</v>
      </c>
    </row>
    <row r="29" spans="1:10" ht="13.5" customHeight="1" x14ac:dyDescent="0.25">
      <c r="A29" s="18" t="s">
        <v>55</v>
      </c>
      <c r="B29" s="10">
        <v>2.5</v>
      </c>
      <c r="C29" s="10">
        <v>2.5</v>
      </c>
      <c r="D29" s="10"/>
      <c r="E29" s="10"/>
      <c r="F29" s="10"/>
      <c r="G29" s="10"/>
      <c r="H29" s="8">
        <f t="shared" ref="H29" si="24">H28-F29-D29+B29</f>
        <v>6</v>
      </c>
      <c r="I29" s="8">
        <f t="shared" ref="I29" si="25">I28-E29+C29</f>
        <v>19</v>
      </c>
      <c r="J29" s="9">
        <f t="shared" ref="J29" si="26">SUM(H29:I29)</f>
        <v>25</v>
      </c>
    </row>
    <row r="30" spans="1:10" ht="13.5" customHeight="1" x14ac:dyDescent="0.25">
      <c r="A30" s="18" t="s">
        <v>56</v>
      </c>
      <c r="B30" s="10"/>
      <c r="C30" s="10"/>
      <c r="D30" s="10"/>
      <c r="E30" s="10">
        <v>1</v>
      </c>
      <c r="F30" s="10"/>
      <c r="G30" s="10"/>
      <c r="H30" s="8">
        <f t="shared" ref="H30" si="27">H29-F30-D30+B30</f>
        <v>6</v>
      </c>
      <c r="I30" s="8">
        <f t="shared" ref="I30" si="28">I29-E30+C30</f>
        <v>18</v>
      </c>
      <c r="J30" s="9">
        <f t="shared" ref="J30" si="29">SUM(H30:I30)</f>
        <v>24</v>
      </c>
    </row>
    <row r="31" spans="1:10" ht="13.5" customHeight="1" x14ac:dyDescent="0.25">
      <c r="A31" s="18" t="s">
        <v>57</v>
      </c>
      <c r="B31" s="10"/>
      <c r="C31" s="10"/>
      <c r="D31" s="10"/>
      <c r="E31" s="10"/>
      <c r="F31" s="10"/>
      <c r="G31" s="17">
        <v>1</v>
      </c>
      <c r="H31" s="8">
        <f t="shared" ref="H31" si="30">H30-F31-D31+B31</f>
        <v>6</v>
      </c>
      <c r="I31" s="8">
        <f t="shared" ref="I31" si="31">I30-E31+C31</f>
        <v>18</v>
      </c>
      <c r="J31" s="9">
        <f t="shared" ref="J31" si="32">SUM(H31:I31)</f>
        <v>24</v>
      </c>
    </row>
    <row r="32" spans="1:10" ht="13.5" customHeight="1" x14ac:dyDescent="0.25">
      <c r="A32" s="18" t="s">
        <v>58</v>
      </c>
      <c r="B32" s="10">
        <v>1.25</v>
      </c>
      <c r="C32" s="10">
        <v>1.25</v>
      </c>
      <c r="D32" s="10"/>
      <c r="E32" s="10"/>
      <c r="F32" s="10"/>
      <c r="G32" s="10"/>
      <c r="H32" s="8">
        <f t="shared" ref="H32:H33" si="33">H31-F32-D32+B32</f>
        <v>7.25</v>
      </c>
      <c r="I32" s="8">
        <f t="shared" ref="I32:I33" si="34">I31-E32+C32</f>
        <v>19.25</v>
      </c>
      <c r="J32" s="9">
        <f t="shared" ref="J32:J33" si="35">SUM(H32:I32)</f>
        <v>26.5</v>
      </c>
    </row>
    <row r="33" spans="1:10" ht="13.5" customHeight="1" x14ac:dyDescent="0.25">
      <c r="A33" s="18" t="s">
        <v>59</v>
      </c>
      <c r="B33" s="10"/>
      <c r="C33" s="10"/>
      <c r="D33" s="10"/>
      <c r="E33" s="10"/>
      <c r="F33" s="32">
        <v>1</v>
      </c>
      <c r="G33" s="10"/>
      <c r="H33" s="8">
        <f t="shared" si="33"/>
        <v>6.25</v>
      </c>
      <c r="I33" s="8">
        <f t="shared" si="34"/>
        <v>19.25</v>
      </c>
      <c r="J33" s="9">
        <f t="shared" si="35"/>
        <v>25.5</v>
      </c>
    </row>
    <row r="34" spans="1:10" ht="13.5" customHeight="1" x14ac:dyDescent="0.25">
      <c r="A34" s="18" t="s">
        <v>60</v>
      </c>
      <c r="B34" s="10"/>
      <c r="C34" s="10"/>
      <c r="D34" s="10">
        <v>1</v>
      </c>
      <c r="E34" s="10"/>
      <c r="F34" s="10"/>
      <c r="G34" s="10"/>
      <c r="H34" s="8">
        <f t="shared" ref="H34" si="36">H33-F34-D34+B34</f>
        <v>5.25</v>
      </c>
      <c r="I34" s="8">
        <f t="shared" ref="I34" si="37">I33-E34+C34</f>
        <v>19.25</v>
      </c>
      <c r="J34" s="9">
        <f t="shared" ref="J34" si="38">SUM(H34:I34)</f>
        <v>24.5</v>
      </c>
    </row>
    <row r="38" spans="1:10" x14ac:dyDescent="0.25">
      <c r="F38" s="6" t="s">
        <v>20</v>
      </c>
    </row>
  </sheetData>
  <mergeCells count="13">
    <mergeCell ref="B9:D9"/>
    <mergeCell ref="A10:J10"/>
    <mergeCell ref="A2:J2"/>
    <mergeCell ref="A3:J3"/>
    <mergeCell ref="A4:J4"/>
    <mergeCell ref="A5:J5"/>
    <mergeCell ref="B7:D7"/>
    <mergeCell ref="K11:K12"/>
    <mergeCell ref="B11:C11"/>
    <mergeCell ref="D11:G11"/>
    <mergeCell ref="H11:I11"/>
    <mergeCell ref="A11:A12"/>
    <mergeCell ref="J11:J12"/>
  </mergeCells>
  <phoneticPr fontId="5" type="noConversion"/>
  <printOptions horizontalCentered="1"/>
  <pageMargins left="0.23622047244094491" right="0.23622047244094491" top="0.11811023622047245" bottom="0.11811023622047245" header="0.31496062992125984" footer="0.31496062992125984"/>
  <pageSetup paperSize="9" scale="69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9639-67A5-45DE-AF82-9DF4E1B8CB82}">
  <sheetPr>
    <pageSetUpPr fitToPage="1"/>
  </sheetPr>
  <dimension ref="A1:L23"/>
  <sheetViews>
    <sheetView view="pageBreakPreview" zoomScaleNormal="100" zoomScaleSheetLayoutView="100" workbookViewId="0">
      <selection activeCell="A18" sqref="A18"/>
    </sheetView>
  </sheetViews>
  <sheetFormatPr defaultRowHeight="15" x14ac:dyDescent="0.25"/>
  <cols>
    <col min="1" max="1" width="23.7109375" style="28" customWidth="1"/>
    <col min="2" max="2" width="11.42578125" style="28" customWidth="1"/>
    <col min="3" max="4" width="9.140625" style="28"/>
    <col min="5" max="5" width="13" style="28" customWidth="1"/>
    <col min="6" max="11" width="9.140625" style="28"/>
    <col min="12" max="12" width="10.5703125" style="28" customWidth="1"/>
  </cols>
  <sheetData>
    <row r="1" spans="1:12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x14ac:dyDescent="0.25">
      <c r="A4" s="56" t="s">
        <v>13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</row>
    <row r="5" spans="1:12" x14ac:dyDescent="0.25">
      <c r="A5" s="56" t="s">
        <v>14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</row>
    <row r="6" spans="1:12" x14ac:dyDescent="0.25">
      <c r="A6" s="57" t="s">
        <v>46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</row>
    <row r="7" spans="1:12" x14ac:dyDescent="0.25">
      <c r="A7" s="56" t="s">
        <v>15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</row>
    <row r="8" spans="1:12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 x14ac:dyDescent="0.25">
      <c r="A9" s="19" t="s">
        <v>16</v>
      </c>
      <c r="B9" s="19"/>
      <c r="C9" s="20" t="s">
        <v>17</v>
      </c>
      <c r="D9" s="20"/>
      <c r="E9" s="19"/>
      <c r="F9" s="19"/>
      <c r="G9" s="20" t="s">
        <v>9</v>
      </c>
      <c r="H9" s="21"/>
      <c r="I9" s="19"/>
      <c r="J9" s="19"/>
      <c r="K9" s="19"/>
      <c r="L9" s="19"/>
    </row>
    <row r="10" spans="1:12" x14ac:dyDescent="0.25">
      <c r="A10" s="19"/>
      <c r="B10" s="19"/>
      <c r="C10" s="22"/>
      <c r="D10" s="19"/>
      <c r="E10" s="19"/>
      <c r="F10" s="19"/>
      <c r="G10" s="22"/>
      <c r="H10" s="22"/>
      <c r="I10" s="19"/>
      <c r="J10" s="19"/>
      <c r="K10" s="19"/>
      <c r="L10" s="19"/>
    </row>
    <row r="11" spans="1:12" x14ac:dyDescent="0.25">
      <c r="A11" s="19" t="s">
        <v>18</v>
      </c>
      <c r="B11" s="19"/>
      <c r="C11" s="20" t="s">
        <v>19</v>
      </c>
      <c r="D11" s="20"/>
      <c r="E11" s="19"/>
      <c r="F11" s="19"/>
      <c r="G11" s="20" t="s">
        <v>10</v>
      </c>
      <c r="H11" s="23"/>
      <c r="I11" s="19"/>
      <c r="J11" s="19"/>
      <c r="K11" s="19"/>
      <c r="L11" s="19"/>
    </row>
    <row r="12" spans="1:12" ht="21.75" thickBot="1" x14ac:dyDescent="0.3">
      <c r="A12" s="58" t="s">
        <v>32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</row>
    <row r="13" spans="1:12" x14ac:dyDescent="0.25">
      <c r="A13" s="59" t="s">
        <v>4</v>
      </c>
      <c r="B13" s="61" t="s">
        <v>5</v>
      </c>
      <c r="C13" s="62"/>
      <c r="D13" s="62"/>
      <c r="E13" s="62"/>
      <c r="F13" s="62"/>
      <c r="G13" s="62"/>
      <c r="H13" s="62"/>
      <c r="I13" s="62"/>
      <c r="J13" s="62"/>
      <c r="K13" s="62"/>
      <c r="L13" s="63" t="s">
        <v>8</v>
      </c>
    </row>
    <row r="14" spans="1:12" x14ac:dyDescent="0.25">
      <c r="A14" s="60"/>
      <c r="B14" s="54" t="s">
        <v>33</v>
      </c>
      <c r="C14" s="65"/>
      <c r="D14" s="65"/>
      <c r="E14" s="55"/>
      <c r="F14" s="54" t="s">
        <v>34</v>
      </c>
      <c r="G14" s="55"/>
      <c r="H14" s="54" t="s">
        <v>35</v>
      </c>
      <c r="I14" s="55"/>
      <c r="J14" s="54" t="s">
        <v>36</v>
      </c>
      <c r="K14" s="55"/>
      <c r="L14" s="64"/>
    </row>
    <row r="15" spans="1:12" s="25" customFormat="1" ht="25.5" customHeight="1" x14ac:dyDescent="0.2">
      <c r="A15" s="26" t="s">
        <v>41</v>
      </c>
      <c r="B15" s="48" t="s">
        <v>42</v>
      </c>
      <c r="C15" s="48"/>
      <c r="D15" s="48"/>
      <c r="E15" s="48"/>
      <c r="F15" s="48">
        <v>1</v>
      </c>
      <c r="G15" s="48"/>
      <c r="H15" s="48">
        <v>0</v>
      </c>
      <c r="I15" s="48"/>
      <c r="J15" s="48">
        <v>1</v>
      </c>
      <c r="K15" s="48"/>
      <c r="L15" s="24">
        <v>1</v>
      </c>
    </row>
    <row r="16" spans="1:12" s="25" customFormat="1" ht="30.75" customHeight="1" x14ac:dyDescent="0.2">
      <c r="A16" s="26" t="s">
        <v>43</v>
      </c>
      <c r="B16" s="48" t="s">
        <v>42</v>
      </c>
      <c r="C16" s="48"/>
      <c r="D16" s="48"/>
      <c r="E16" s="48"/>
      <c r="F16" s="51"/>
      <c r="G16" s="52"/>
      <c r="H16" s="48">
        <v>1</v>
      </c>
      <c r="I16" s="48"/>
      <c r="J16" s="48">
        <v>0</v>
      </c>
      <c r="K16" s="48"/>
      <c r="L16" s="31">
        <v>0</v>
      </c>
    </row>
    <row r="17" spans="1:12" s="25" customFormat="1" ht="25.5" customHeight="1" x14ac:dyDescent="0.2">
      <c r="A17" s="26" t="s">
        <v>50</v>
      </c>
      <c r="B17" s="48" t="s">
        <v>51</v>
      </c>
      <c r="C17" s="48"/>
      <c r="D17" s="48"/>
      <c r="E17" s="48"/>
      <c r="F17" s="48" t="s">
        <v>52</v>
      </c>
      <c r="G17" s="48"/>
      <c r="H17" s="48">
        <v>0</v>
      </c>
      <c r="I17" s="48"/>
      <c r="J17" s="48" t="s">
        <v>52</v>
      </c>
      <c r="K17" s="48"/>
      <c r="L17" s="24" t="s">
        <v>52</v>
      </c>
    </row>
    <row r="18" spans="1:12" s="25" customFormat="1" ht="30.75" customHeight="1" x14ac:dyDescent="0.2">
      <c r="A18" s="26" t="s">
        <v>53</v>
      </c>
      <c r="B18" s="48" t="s">
        <v>51</v>
      </c>
      <c r="C18" s="48"/>
      <c r="D18" s="48"/>
      <c r="E18" s="48"/>
      <c r="F18" s="51"/>
      <c r="G18" s="52"/>
      <c r="H18" s="48">
        <v>0.5</v>
      </c>
      <c r="I18" s="48"/>
      <c r="J18" s="48" t="s">
        <v>54</v>
      </c>
      <c r="K18" s="48"/>
      <c r="L18" s="31" t="s">
        <v>54</v>
      </c>
    </row>
    <row r="19" spans="1:12" x14ac:dyDescent="0.25">
      <c r="A19" s="19"/>
      <c r="B19" s="19"/>
      <c r="C19" s="27"/>
      <c r="D19" s="19"/>
      <c r="E19" s="19"/>
      <c r="F19" s="19"/>
      <c r="G19" s="19"/>
      <c r="H19" s="19"/>
      <c r="I19" s="19" t="s">
        <v>37</v>
      </c>
      <c r="J19" s="19"/>
      <c r="K19" s="19"/>
      <c r="L19" s="19"/>
    </row>
    <row r="20" spans="1:12" ht="12.75" customHeight="1" x14ac:dyDescent="0.25">
      <c r="A20" s="19"/>
      <c r="B20" s="19"/>
      <c r="C20" s="27"/>
      <c r="D20" s="19"/>
      <c r="E20" s="19"/>
      <c r="F20" s="19"/>
      <c r="G20" s="19"/>
      <c r="H20" s="19"/>
      <c r="I20" s="19"/>
      <c r="J20" s="19"/>
      <c r="K20" s="19"/>
      <c r="L20" s="19"/>
    </row>
    <row r="21" spans="1:12" x14ac:dyDescent="0.25">
      <c r="A21" s="53"/>
      <c r="B21" s="53"/>
      <c r="I21" s="29" t="s">
        <v>38</v>
      </c>
      <c r="J21" s="30"/>
    </row>
    <row r="22" spans="1:12" x14ac:dyDescent="0.25">
      <c r="A22" s="49"/>
      <c r="B22" s="49"/>
      <c r="I22" s="28" t="s">
        <v>39</v>
      </c>
    </row>
    <row r="23" spans="1:12" x14ac:dyDescent="0.25">
      <c r="A23" s="50"/>
      <c r="B23" s="50"/>
      <c r="I23" s="50" t="s">
        <v>40</v>
      </c>
      <c r="J23" s="50"/>
    </row>
  </sheetData>
  <mergeCells count="32">
    <mergeCell ref="A13:A14"/>
    <mergeCell ref="B13:K13"/>
    <mergeCell ref="L13:L14"/>
    <mergeCell ref="B14:E14"/>
    <mergeCell ref="F14:G14"/>
    <mergeCell ref="A4:L4"/>
    <mergeCell ref="A5:L5"/>
    <mergeCell ref="A6:L6"/>
    <mergeCell ref="A7:L7"/>
    <mergeCell ref="A12:L12"/>
    <mergeCell ref="B15:E15"/>
    <mergeCell ref="F15:G15"/>
    <mergeCell ref="H15:I15"/>
    <mergeCell ref="J15:K15"/>
    <mergeCell ref="H14:I14"/>
    <mergeCell ref="J14:K14"/>
    <mergeCell ref="J18:K18"/>
    <mergeCell ref="A22:B22"/>
    <mergeCell ref="A23:B23"/>
    <mergeCell ref="I23:J23"/>
    <mergeCell ref="B16:E16"/>
    <mergeCell ref="F16:G16"/>
    <mergeCell ref="H16:I16"/>
    <mergeCell ref="J16:K16"/>
    <mergeCell ref="A21:B21"/>
    <mergeCell ref="B17:E17"/>
    <mergeCell ref="F17:G17"/>
    <mergeCell ref="H17:I17"/>
    <mergeCell ref="J17:K17"/>
    <mergeCell ref="B18:E18"/>
    <mergeCell ref="F18:G18"/>
    <mergeCell ref="H18:I18"/>
  </mergeCells>
  <pageMargins left="0.7" right="0.7" top="0.75" bottom="0.75" header="0.3" footer="0.3"/>
  <pageSetup paperSize="9" scale="66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CTO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2026-01-14T06:04:57Z</cp:lastPrinted>
  <dcterms:created xsi:type="dcterms:W3CDTF">2021-10-07T06:10:16Z</dcterms:created>
  <dcterms:modified xsi:type="dcterms:W3CDTF">2026-01-14T06:09:38Z</dcterms:modified>
</cp:coreProperties>
</file>