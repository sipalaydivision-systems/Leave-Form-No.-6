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D7E1AFE-FBB6-4273-8FB3-2CCC3BA18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" sheetId="11" r:id="rId1"/>
  </sheets>
  <definedNames>
    <definedName name="_xlnm.Print_Area" localSheetId="0">'Leave Card'!$A$1:$J$24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1" l="1"/>
  <c r="I15" i="11" s="1"/>
  <c r="I16" i="11" s="1"/>
  <c r="I17" i="11" s="1"/>
  <c r="I18" i="11" s="1"/>
  <c r="H14" i="11"/>
  <c r="H15" i="11" s="1"/>
  <c r="H16" i="11" s="1"/>
  <c r="J14" i="11" l="1"/>
  <c r="H17" i="11"/>
  <c r="J16" i="11"/>
  <c r="J15" i="11"/>
  <c r="H18" i="11" l="1"/>
  <c r="J17" i="11"/>
  <c r="J18" i="11" l="1"/>
</calcChain>
</file>

<file path=xl/sharedStrings.xml><?xml version="1.0" encoding="utf-8"?>
<sst xmlns="http://schemas.openxmlformats.org/spreadsheetml/2006/main" count="32" uniqueCount="28">
  <si>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</si>
  <si>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</si>
  <si>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</si>
  <si>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</si>
  <si>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</si>
  <si>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</si>
  <si>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</si>
  <si>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LEAVE SPENT</t>
  </si>
  <si>
    <t>BALANCE</t>
  </si>
  <si>
    <t>VACATION</t>
  </si>
  <si>
    <t>SICK</t>
  </si>
  <si>
    <t>FORCED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</si>
  <si>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</si>
  <si>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</si>
  <si>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</si>
  <si>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</si>
  <si>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</si>
  <si>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</si>
  <si>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</si>
  <si>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</si>
  <si>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</si>
  <si>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</si>
  <si>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>JANUARY 3, 2024 ORIG. APPOINTMENT</t>
  </si>
  <si>
    <t>ADD: 01/03-31/2024</t>
  </si>
  <si>
    <t>ADD: 02/1/2024-12/31/2024</t>
  </si>
  <si>
    <t>ADD: 01/1/2025-06/30/2025</t>
  </si>
  <si>
    <t>LESS: MONETIZATION 2025</t>
  </si>
  <si>
    <t>LESS:  FL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</si>
</sst>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4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395377</xdr:colOff>
      <xdr:row>0</xdr:row>
      <xdr:rowOff>107830</xdr:rowOff>
    </xdr:from>
    <xdr:to>
      <xdr:col>4</xdr:col>
      <xdr:colOff>158403</xdr:colOff>
      <xdr:row>0</xdr:row>
      <xdr:rowOff>637995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6108" y="107830"/>
          <a:ext cx="535809" cy="5301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LYDIA</a:t>
          </a:r>
          <a:r>
            <a:rPr lang="en-US" sz="1100" baseline="0"/>
            <a:t> E. FABELA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MOBILE TEACHER I (ALS)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CALANGCANG ES</a:t>
          </a:r>
        </a:p>
      </xdr:txBody>
    </xdr:sp>
    <xdr:clientData/>
  </xdr:twoCellAnchor>
  <xdr:twoCellAnchor>
    <xdr:from>
      <xdr:col>5</xdr:col>
      <xdr:colOff>347452</xdr:colOff>
      <xdr:row>18</xdr:row>
      <xdr:rowOff>53914</xdr:rowOff>
    </xdr:from>
    <xdr:to>
      <xdr:col>9</xdr:col>
      <xdr:colOff>672043</xdr:colOff>
      <xdr:row>23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5871952" y="74357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view="pageBreakPreview" zoomScale="106" zoomScaleNormal="100" zoomScaleSheetLayoutView="106" workbookViewId="0">
      <selection activeCell="C15" sqref="C15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7" customWidth="1"/>
    <col min="8" max="10" width="11.5703125" customWidth="1"/>
    <col min="11" max="11" width="26.42578125" style="14" customWidth="1"/>
  </cols>
  <sheetData>
    <row r="1" spans="1:11" s="1" customFormat="1" ht="52.5" customHeight="1" x14ac:dyDescent="0.25"/>
    <row r="2" spans="1:11" s="1" customFormat="1" ht="10.5" customHeight="1" x14ac:dyDescent="0.25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41"/>
    </row>
    <row r="3" spans="1:11" s="1" customFormat="1" ht="15.95" customHeight="1" x14ac:dyDescent="0.2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</row>
    <row r="4" spans="1:11" s="1" customFormat="1" ht="15.95" customHeight="1" x14ac:dyDescent="0.25">
      <c r="A4" s="41" t="s">
        <v>5</v>
      </c>
      <c r="B4" s="41"/>
      <c r="C4" s="41"/>
      <c r="D4" s="41"/>
      <c r="E4" s="41"/>
      <c r="F4" s="41"/>
      <c r="G4" s="41"/>
      <c r="H4" s="41"/>
      <c r="I4" s="41"/>
      <c r="J4" s="41"/>
    </row>
    <row r="5" spans="1:11" s="1" customFormat="1" ht="15.95" customHeight="1" x14ac:dyDescent="0.25">
      <c r="A5" s="41" t="s">
        <v>6</v>
      </c>
      <c r="B5" s="41"/>
      <c r="C5" s="41"/>
      <c r="D5" s="41"/>
      <c r="E5" s="41"/>
      <c r="F5" s="41"/>
      <c r="G5" s="41"/>
      <c r="H5" s="41"/>
      <c r="I5" s="41"/>
      <c r="J5" s="41"/>
    </row>
    <row r="6" spans="1:11" s="1" customFormat="1" ht="8.25" customHeight="1" x14ac:dyDescent="0.25"/>
    <row r="7" spans="1:11" s="1" customFormat="1" ht="12" customHeight="1" x14ac:dyDescent="0.25">
      <c r="A7" s="1" t="s">
        <v>12</v>
      </c>
      <c r="B7" s="40" t="s">
        <v>13</v>
      </c>
      <c r="C7" s="40"/>
      <c r="D7" s="40"/>
      <c r="H7" s="3" t="s">
        <v>14</v>
      </c>
      <c r="I7" s="9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15</v>
      </c>
      <c r="B9" s="40" t="s">
        <v>16</v>
      </c>
      <c r="C9" s="40"/>
      <c r="D9" s="40"/>
      <c r="H9" s="3" t="s">
        <v>17</v>
      </c>
      <c r="I9" s="10"/>
      <c r="J9" s="3"/>
    </row>
    <row r="10" spans="1:11" ht="23.25" customHeight="1" thickBot="1" x14ac:dyDescent="0.3">
      <c r="A10" s="29" t="s">
        <v>18</v>
      </c>
      <c r="B10" s="29"/>
      <c r="C10" s="29"/>
      <c r="D10" s="29"/>
      <c r="E10" s="29"/>
      <c r="F10" s="29"/>
      <c r="G10" s="29"/>
      <c r="H10" s="29"/>
      <c r="I10" s="29"/>
      <c r="J10" s="29"/>
      <c r="K10"/>
    </row>
    <row r="11" spans="1:11" ht="18.75" customHeight="1" x14ac:dyDescent="0.25">
      <c r="A11" s="30" t="s">
        <v>0</v>
      </c>
      <c r="B11" s="32" t="s">
        <v>1</v>
      </c>
      <c r="C11" s="32"/>
      <c r="D11" s="33" t="s">
        <v>7</v>
      </c>
      <c r="E11" s="34"/>
      <c r="F11" s="34"/>
      <c r="G11" s="35"/>
      <c r="H11" s="36" t="s">
        <v>8</v>
      </c>
      <c r="I11" s="37"/>
      <c r="J11" s="38" t="s">
        <v>2</v>
      </c>
      <c r="K11" s="28" t="s">
        <v>19</v>
      </c>
    </row>
    <row r="12" spans="1:11" ht="15.75" thickBot="1" x14ac:dyDescent="0.3">
      <c r="A12" s="31"/>
      <c r="B12" s="19" t="s">
        <v>9</v>
      </c>
      <c r="C12" s="11" t="s">
        <v>10</v>
      </c>
      <c r="D12" s="11" t="s">
        <v>9</v>
      </c>
      <c r="E12" s="11" t="s">
        <v>10</v>
      </c>
      <c r="F12" s="11" t="s">
        <v>11</v>
      </c>
      <c r="G12" s="11" t="s">
        <v>20</v>
      </c>
      <c r="H12" s="11" t="s">
        <v>9</v>
      </c>
      <c r="I12" s="11" t="s">
        <v>10</v>
      </c>
      <c r="J12" s="39"/>
      <c r="K12" s="28"/>
    </row>
    <row r="13" spans="1:11" x14ac:dyDescent="0.25">
      <c r="A13" s="5" t="s">
        <v>22</v>
      </c>
      <c r="B13" s="20"/>
      <c r="C13" s="20"/>
      <c r="D13" s="20"/>
      <c r="E13" s="20"/>
      <c r="F13" s="20"/>
      <c r="G13" s="21"/>
      <c r="H13" s="21"/>
      <c r="I13" s="21"/>
      <c r="J13" s="22"/>
      <c r="K13" s="18"/>
    </row>
    <row r="14" spans="1:11" ht="16.5" customHeight="1" x14ac:dyDescent="0.25">
      <c r="A14" s="5" t="s">
        <v>23</v>
      </c>
      <c r="B14" s="4">
        <v>1.208</v>
      </c>
      <c r="C14" s="6">
        <v>1.208</v>
      </c>
      <c r="D14" s="6"/>
      <c r="E14" s="4"/>
      <c r="F14" s="4"/>
      <c r="G14" s="8"/>
      <c r="H14" s="12">
        <f>B14</f>
        <v>1.208</v>
      </c>
      <c r="I14" s="12">
        <f>C14</f>
        <v>1.208</v>
      </c>
      <c r="J14" s="13">
        <f>SUM(H14:I14)</f>
        <v>2.4159999999999999</v>
      </c>
    </row>
    <row r="15" spans="1:11" ht="15" customHeight="1" x14ac:dyDescent="0.25">
      <c r="A15" s="7" t="s">
        <v>24</v>
      </c>
      <c r="B15" s="4">
        <v>13.75</v>
      </c>
      <c r="C15" s="6">
        <v>13.75</v>
      </c>
      <c r="D15" s="6"/>
      <c r="E15" s="4"/>
      <c r="F15" s="4"/>
      <c r="G15" s="4"/>
      <c r="H15" s="15">
        <f>H14-F15-D15+B15</f>
        <v>14.958</v>
      </c>
      <c r="I15" s="15">
        <f>I14-E15+C15</f>
        <v>14.958</v>
      </c>
      <c r="J15" s="16">
        <f>SUM(H15:I15)</f>
        <v>29.916</v>
      </c>
    </row>
    <row r="16" spans="1:11" ht="15.75" customHeight="1" x14ac:dyDescent="0.25">
      <c r="A16" s="23" t="s">
        <v>27</v>
      </c>
      <c r="B16" s="24"/>
      <c r="C16" s="25"/>
      <c r="D16" s="25"/>
      <c r="E16" s="24"/>
      <c r="F16" s="24">
        <v>5</v>
      </c>
      <c r="G16" s="24"/>
      <c r="H16" s="26">
        <f t="shared" ref="H16:H18" si="0">H15-F16-D16+B16</f>
        <v>9.9580000000000002</v>
      </c>
      <c r="I16" s="26">
        <f t="shared" ref="I16:I18" si="1">I15-E16+C16</f>
        <v>14.958</v>
      </c>
      <c r="J16" s="27">
        <f t="shared" ref="J16:J18" si="2">SUM(H16:I16)</f>
        <v>24.916</v>
      </c>
    </row>
    <row r="17" spans="1:10" ht="15.75" customHeight="1" x14ac:dyDescent="0.25">
      <c r="A17" s="23" t="s">
        <v>25</v>
      </c>
      <c r="B17" s="24">
        <v>7.5</v>
      </c>
      <c r="C17" s="25">
        <v>7.5</v>
      </c>
      <c r="D17" s="25"/>
      <c r="E17" s="24"/>
      <c r="F17" s="24"/>
      <c r="G17" s="24"/>
      <c r="H17" s="26">
        <f t="shared" si="0"/>
        <v>17.457999999999998</v>
      </c>
      <c r="I17" s="26">
        <f t="shared" si="1"/>
        <v>22.457999999999998</v>
      </c>
      <c r="J17" s="27">
        <f t="shared" si="2"/>
        <v>39.915999999999997</v>
      </c>
    </row>
    <row r="18" spans="1:10" ht="16.5" customHeight="1" x14ac:dyDescent="0.25">
      <c r="A18" s="23" t="s">
        <v>26</v>
      </c>
      <c r="B18" s="24"/>
      <c r="C18" s="25"/>
      <c r="D18" s="25">
        <v>10</v>
      </c>
      <c r="E18" s="24"/>
      <c r="F18" s="24"/>
      <c r="G18" s="24"/>
      <c r="H18" s="26">
        <f t="shared" si="0"/>
        <v>7.4579999999999984</v>
      </c>
      <c r="I18" s="26">
        <f t="shared" si="1"/>
        <v>22.457999999999998</v>
      </c>
      <c r="J18" s="27">
        <f t="shared" si="2"/>
        <v>29.915999999999997</v>
      </c>
    </row>
    <row r="22" spans="1:10" x14ac:dyDescent="0.25">
      <c r="F22" s="17" t="s">
        <v>21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2025-06-18T01:07:54Z</cp:lastPrinted>
  <dcterms:created xsi:type="dcterms:W3CDTF">2021-10-07T06:10:16Z</dcterms:created>
  <dcterms:modified xsi:type="dcterms:W3CDTF">2025-06-18T01:12:19Z</dcterms:modified>
</cp:coreProperties>
</file>