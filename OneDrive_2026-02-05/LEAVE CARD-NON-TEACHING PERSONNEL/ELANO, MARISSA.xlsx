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2F2C337-8AB3-438A-BA5E-892D38E5D9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7" r:id="rId2"/>
    <sheet name="ELECTION" sheetId="8" r:id="rId3"/>
  </sheets>
  <definedNames>
    <definedName name="_xlnm.Print_Area" localSheetId="0">'Leave Card (NE)'!$A$1:$J$108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8" i="6" l="1"/>
  <c r="H99" i="6" s="1"/>
  <c r="J99" i="6" s="1"/>
  <c r="I98" i="6"/>
  <c r="J98" i="6"/>
  <c r="I99" i="6"/>
  <c r="K14" i="8"/>
  <c r="I13" i="6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H13" i="6"/>
  <c r="H14" i="6" l="1"/>
  <c r="J13" i="6"/>
  <c r="J14" i="6" l="1"/>
  <c r="H15" i="6"/>
  <c r="H16" i="6" l="1"/>
  <c r="J15" i="6"/>
  <c r="J16" i="6" l="1"/>
  <c r="H17" i="6"/>
  <c r="H18" i="6" l="1"/>
  <c r="J17" i="6"/>
  <c r="J18" i="6" l="1"/>
  <c r="H19" i="6"/>
  <c r="H20" i="6" l="1"/>
  <c r="J19" i="6"/>
  <c r="J20" i="6" l="1"/>
  <c r="H21" i="6"/>
  <c r="H22" i="6" l="1"/>
  <c r="J21" i="6"/>
  <c r="J22" i="6" l="1"/>
  <c r="H23" i="6"/>
  <c r="H24" i="6" l="1"/>
  <c r="J23" i="6"/>
  <c r="J24" i="6" l="1"/>
  <c r="H25" i="6"/>
  <c r="H26" i="6" l="1"/>
  <c r="J25" i="6"/>
  <c r="J26" i="6" l="1"/>
  <c r="H27" i="6"/>
  <c r="H28" i="6" l="1"/>
  <c r="J27" i="6"/>
  <c r="J28" i="6" l="1"/>
  <c r="H29" i="6"/>
  <c r="H30" i="6" l="1"/>
  <c r="J29" i="6"/>
  <c r="J30" i="6" l="1"/>
  <c r="H31" i="6"/>
  <c r="H32" i="6" l="1"/>
  <c r="J31" i="6"/>
  <c r="J32" i="6" l="1"/>
  <c r="H33" i="6"/>
  <c r="H34" i="6" l="1"/>
  <c r="J33" i="6"/>
  <c r="J34" i="6" l="1"/>
  <c r="H35" i="6"/>
  <c r="H36" i="6" l="1"/>
  <c r="J35" i="6"/>
  <c r="J36" i="6" l="1"/>
  <c r="H37" i="6"/>
  <c r="H38" i="6" l="1"/>
  <c r="J37" i="6"/>
  <c r="J38" i="6" l="1"/>
  <c r="H39" i="6"/>
  <c r="H40" i="6" l="1"/>
  <c r="J39" i="6"/>
  <c r="J40" i="6" l="1"/>
  <c r="H41" i="6"/>
  <c r="H42" i="6" l="1"/>
  <c r="J41" i="6"/>
  <c r="J42" i="6" l="1"/>
  <c r="H43" i="6"/>
  <c r="H44" i="6" l="1"/>
  <c r="J43" i="6"/>
  <c r="J44" i="6" l="1"/>
  <c r="H45" i="6"/>
  <c r="H46" i="6" l="1"/>
  <c r="J45" i="6"/>
  <c r="J46" i="6" l="1"/>
  <c r="H47" i="6"/>
  <c r="H48" i="6" l="1"/>
  <c r="J47" i="6"/>
  <c r="J48" i="6" l="1"/>
  <c r="H49" i="6"/>
  <c r="H50" i="6" l="1"/>
  <c r="J49" i="6"/>
  <c r="J50" i="6" l="1"/>
  <c r="H51" i="6"/>
  <c r="H52" i="6" l="1"/>
  <c r="J51" i="6"/>
  <c r="J52" i="6" l="1"/>
  <c r="H53" i="6"/>
  <c r="H54" i="6" l="1"/>
  <c r="J53" i="6"/>
  <c r="J54" i="6" l="1"/>
  <c r="H55" i="6"/>
  <c r="H56" i="6" l="1"/>
  <c r="J55" i="6"/>
  <c r="J56" i="6" l="1"/>
  <c r="H57" i="6"/>
  <c r="H58" i="6" l="1"/>
  <c r="J57" i="6"/>
  <c r="J58" i="6" l="1"/>
  <c r="H59" i="6"/>
  <c r="H60" i="6" l="1"/>
  <c r="J59" i="6"/>
  <c r="J60" i="6" l="1"/>
  <c r="H61" i="6"/>
  <c r="H62" i="6" l="1"/>
  <c r="J61" i="6"/>
  <c r="J62" i="6" l="1"/>
  <c r="H63" i="6"/>
  <c r="H64" i="6" l="1"/>
  <c r="J63" i="6"/>
  <c r="J64" i="6" l="1"/>
  <c r="H65" i="6"/>
  <c r="H66" i="6" l="1"/>
  <c r="J65" i="6"/>
  <c r="J66" i="6" l="1"/>
  <c r="H67" i="6"/>
  <c r="H68" i="6" l="1"/>
  <c r="J67" i="6"/>
  <c r="J68" i="6" l="1"/>
  <c r="H69" i="6"/>
  <c r="H70" i="6" l="1"/>
  <c r="J69" i="6"/>
  <c r="J70" i="6" l="1"/>
  <c r="H71" i="6"/>
  <c r="H72" i="6" l="1"/>
  <c r="J71" i="6"/>
  <c r="J72" i="6" l="1"/>
  <c r="H73" i="6"/>
  <c r="H74" i="6" l="1"/>
  <c r="J73" i="6"/>
  <c r="J74" i="6" l="1"/>
  <c r="H75" i="6"/>
  <c r="H76" i="6" l="1"/>
  <c r="J75" i="6"/>
  <c r="J76" i="6" l="1"/>
  <c r="H77" i="6"/>
  <c r="H78" i="6" l="1"/>
  <c r="J77" i="6"/>
  <c r="J78" i="6" l="1"/>
  <c r="H79" i="6"/>
  <c r="H80" i="6" l="1"/>
  <c r="J79" i="6"/>
  <c r="J80" i="6" l="1"/>
  <c r="H81" i="6"/>
  <c r="H82" i="6" l="1"/>
  <c r="J81" i="6"/>
  <c r="J82" i="6" l="1"/>
  <c r="H83" i="6"/>
  <c r="H84" i="6" l="1"/>
  <c r="J83" i="6"/>
  <c r="J84" i="6" l="1"/>
  <c r="H85" i="6"/>
  <c r="H86" i="6" l="1"/>
  <c r="J85" i="6"/>
  <c r="J86" i="6" l="1"/>
  <c r="H87" i="6"/>
  <c r="H88" i="6" l="1"/>
  <c r="J87" i="6"/>
  <c r="J88" i="6" l="1"/>
  <c r="H89" i="6"/>
  <c r="H90" i="6" l="1"/>
  <c r="J89" i="6"/>
  <c r="J90" i="6" l="1"/>
  <c r="H91" i="6"/>
  <c r="H92" i="6" l="1"/>
  <c r="J91" i="6"/>
  <c r="J92" i="6" l="1"/>
  <c r="H93" i="6"/>
  <c r="H94" i="6" l="1"/>
  <c r="J93" i="6"/>
  <c r="J94" i="6" l="1"/>
  <c r="H95" i="6"/>
  <c r="H96" i="6" l="1"/>
  <c r="J95" i="6"/>
  <c r="J96" i="6" l="1"/>
  <c r="H97" i="6"/>
  <c r="J97" i="6" s="1"/>
</calcChain>
</file>

<file path=xl/sharedStrings.xml><?xml version="1.0" encoding="utf-8"?>
<sst xmlns="http://schemas.openxmlformats.org/spreadsheetml/2006/main" count="189" uniqueCount="149">
  <si>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</si>
  <si>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</si>
  <si>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</si>
  <si>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</si>
  <si>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</si>
  <si>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</si>
  <si>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</si>
  <si>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</si>
  <si>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</si>
  <si>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</si>
  <si>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</si>
  <si>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</si>
  <si>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</si>
  <si>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</si>
  <si>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</si>
  <si>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</si>
  <si>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</si>
  <si>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</si>
  <si>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</si>
  <si>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</si>
  <si>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SPECIAL</t>
  </si>
  <si>
    <t>ADD: 03/27/2019 - 3/31/2019</t>
  </si>
  <si>
    <t>ADD: 04/1-30/2019</t>
  </si>
  <si>
    <t>LESS: 03/29/2019</t>
  </si>
  <si>
    <t>ADD: 05/1/2019-10/31/2019</t>
  </si>
  <si>
    <t>LESS: 11/15 &amp; 18/2019</t>
  </si>
  <si>
    <t>ADD: 11/1-30/2019</t>
  </si>
  <si>
    <t>LESS: 12/26 &amp; 27/2019</t>
  </si>
  <si>
    <t>ADD: 12/1-31/2019</t>
  </si>
  <si>
    <t>LESS: FL 2019</t>
  </si>
  <si>
    <t>ADD: 01/01/2020 - 02/29/2020</t>
  </si>
  <si>
    <t>LESS: 03/03/2020</t>
  </si>
  <si>
    <t>LESS: 03/17 &amp; 18/2020</t>
  </si>
  <si>
    <t>ADD: 03/1/2020-11/30/2020</t>
  </si>
  <si>
    <t>LESS: 12/21 &amp; 28/2020</t>
  </si>
  <si>
    <t>LESS: MONETIZATION 2020</t>
  </si>
  <si>
    <t>ADD: 12/1-31/2020</t>
  </si>
  <si>
    <t>ADD: 01/01/2021 - 04/30/2021</t>
  </si>
  <si>
    <t>LESS: 05/17/2021</t>
  </si>
  <si>
    <t>LESS: 05/26,27 &amp; 28/2021</t>
  </si>
  <si>
    <t>ADD: 05/1/2021-08/31/2021</t>
  </si>
  <si>
    <t>LESS: 09/01/2021</t>
  </si>
  <si>
    <t>LESS: 08/09,11 &amp; 13/2021</t>
  </si>
  <si>
    <t>LESS: MONETIZATION 2021</t>
  </si>
  <si>
    <t>ADD: 09/1/2021-10/31/2021</t>
  </si>
  <si>
    <t>LESS: 11/26/2021</t>
  </si>
  <si>
    <t>ADD: 11/1-30/2021</t>
  </si>
  <si>
    <t>LESS: 12/13/2021</t>
  </si>
  <si>
    <t>ADD: 12/1-31/2021</t>
  </si>
  <si>
    <t>LESS: FL 2021</t>
  </si>
  <si>
    <t xml:space="preserve">CALAMITY 12/21&amp; 22/21 &amp; 01/07,11 &amp; 12/22 </t>
  </si>
  <si>
    <t>ADD: 01/01/22 - 01/31/22</t>
  </si>
  <si>
    <t>LESS: Feb. 04, 2022</t>
  </si>
  <si>
    <t>LESS: 02/18/22</t>
  </si>
  <si>
    <t>ADD: 02/01/22 - 03/31/22</t>
  </si>
  <si>
    <t>LESS: 04/01/22</t>
  </si>
  <si>
    <t>LESS: 04/07/22</t>
  </si>
  <si>
    <t>LESS: 04/12/22</t>
  </si>
  <si>
    <t>ADD: 04/01/22 - 04/30/22</t>
  </si>
  <si>
    <t>LESS: 05/17/22</t>
  </si>
  <si>
    <t>ADD: 05/01/22 - 05/31/22</t>
  </si>
  <si>
    <t>LESS: 05/27/22</t>
  </si>
  <si>
    <t>LESS: 06/28/22</t>
  </si>
  <si>
    <t>ADD: 06/01/22 - 7/31/22</t>
  </si>
  <si>
    <t>ADD: 08/01/22 - 08/31/22</t>
  </si>
  <si>
    <t>LESS: 09/30/22</t>
  </si>
  <si>
    <t>ADD: 09/01/22 - 09/30/22</t>
  </si>
  <si>
    <t>LESS: 10/07/22</t>
  </si>
  <si>
    <t>LESS: MONETIZATION 2022</t>
  </si>
  <si>
    <t>ADD: 10/01/22 - 11/30/22</t>
  </si>
  <si>
    <t>LESS: 12/21/22</t>
  </si>
  <si>
    <t>ADD: 12/01/22 - 12/31/22</t>
  </si>
  <si>
    <t>LESS: 02/07/23</t>
  </si>
  <si>
    <t>ADD: 01/01/23 - 02/28/23</t>
  </si>
  <si>
    <t>LESS: 03/06/23</t>
  </si>
  <si>
    <t>LESS: 03/28, 29 &amp; 30/23</t>
  </si>
  <si>
    <t>LESS: 04/04/23</t>
  </si>
  <si>
    <t>ADD: 03/01/23 - 03/31/23</t>
  </si>
  <si>
    <t>LESS: 04/13/23</t>
  </si>
  <si>
    <t>LESS: 04/24/23</t>
  </si>
  <si>
    <t>ADD: 04/01/23 - 08/31/2023</t>
  </si>
  <si>
    <t>LESS: MONETIZATION 2023</t>
  </si>
  <si>
    <t>ADD: 09/01/2023-10/31/2023</t>
  </si>
  <si>
    <t>ADD:11/01/2023-12/31/2023</t>
  </si>
  <si>
    <t>LESS: 02/02/2024</t>
  </si>
  <si>
    <t>LESS: 01/22/2024</t>
  </si>
  <si>
    <t>ADD: 01/01/2024-06/30/2024</t>
  </si>
  <si>
    <t>LESS: 07/02/2024</t>
  </si>
  <si>
    <t>ADD: JULY 1-31, 2024</t>
  </si>
  <si>
    <t>LESS: MONETIZATION 2024</t>
  </si>
  <si>
    <t>ADD: 08/1/2024-10/31/2024</t>
  </si>
  <si>
    <t>LESS: 12/9,16, 19, 23 &amp; 27/2024</t>
  </si>
  <si>
    <t>ADD: 11/1/2024-12/31/2024</t>
  </si>
  <si>
    <t>LESS: 01/03/2025</t>
  </si>
  <si>
    <t>ADD: 01/1/2025-04/30/2025</t>
  </si>
  <si>
    <t>LESS: 05/22/2025</t>
  </si>
  <si>
    <t>ADD: 05/1/2025-06/30/2025</t>
  </si>
  <si>
    <t>LESS: MONETIZATION 2025 (30 DAYS)</t>
  </si>
  <si>
    <t>ADD: 07/1-31/2025</t>
  </si>
  <si>
    <t>LESS: 08/11/2025</t>
  </si>
  <si>
    <t>LESS: 08/13/2025</t>
  </si>
  <si>
    <t>LESS: 08/29/2025</t>
  </si>
  <si>
    <t>LESS: 09/2/2025</t>
  </si>
  <si>
    <t>ADD: 08/1/2025-10/31/2025</t>
  </si>
  <si>
    <t>LESS: 12/1-2/2025</t>
  </si>
  <si>
    <t>Certified Correct:</t>
  </si>
  <si>
    <t>MA. LUISA B. CATIGAN</t>
  </si>
  <si>
    <t>Administrative Officer IV</t>
  </si>
  <si>
    <t xml:space="preserve">                 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</si>
  <si>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</si>
  <si>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</si>
  <si>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</si>
  <si>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</si>
  <si>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</si>
  <si>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</si>
  <si>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JAN 18, 2023</t>
  </si>
  <si>
    <t>S.O. # 001, S. 2023. 126TH ANNIVERSARY OF THE MARTYRDOM OF DR. JOSE P. RIZAL</t>
  </si>
  <si>
    <t>LESS: 04/03/20/23</t>
  </si>
  <si>
    <t>ADD: OCTOBER 17, 2023</t>
  </si>
  <si>
    <t>S.O. # 159, S. 2023. 125TH PHILIPPINE INDEPENDENCE DAY CELEBRATION</t>
  </si>
  <si>
    <t>LESS: 11/03/2023</t>
  </si>
  <si>
    <t>ADD: 02/5/2025</t>
  </si>
  <si>
    <t>S.O. # 002, S. 2025. RIZAL DAY 2025</t>
  </si>
  <si>
    <t>LESS: 06/26/2025</t>
  </si>
  <si>
    <t>ADD: 03/21/2025</t>
  </si>
  <si>
    <t>S.O. # 010, S. 2025.DECEMBER 20, 2024 OVERTIME</t>
  </si>
  <si>
    <t>LESS: 06/27/2025</t>
  </si>
  <si>
    <t>ADD: 07/1/2025</t>
  </si>
  <si>
    <t>S.O. # 044, S. 2025, 127TH PHILIPPINE INDEPENDENCE DAY CELEBRATION</t>
  </si>
  <si>
    <t>LESS: 09/30/2025</t>
  </si>
  <si>
    <t>NOTE:  Valid for one (1) year only</t>
  </si>
  <si>
    <t>HRMO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</si>
  <si>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</si>
  <si>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</si>
  <si>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</si>
  <si>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</si>
  <si>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051, S. 2022</t>
  </si>
  <si>
    <t>ADD: JULY 01, 2022</t>
  </si>
  <si>
    <t xml:space="preserve"> MAY 9, 2022 NATIONAL AND LOCAL ELECTION</t>
  </si>
  <si>
    <t>LESS: JULY 14, 2023</t>
  </si>
  <si>
    <t>LESS: MAR. 22-23, 2024</t>
  </si>
  <si>
    <t>LESS: 05/9/2024</t>
  </si>
  <si>
    <t>SO# 010,S.2024</t>
  </si>
  <si>
    <t>APRIL 30, 2024</t>
  </si>
  <si>
    <t>OCTOBER 30, 2023 (BRGY. &amp; SK ELECTION)</t>
  </si>
  <si>
    <t>LESS: 05/14/2024</t>
  </si>
  <si>
    <t>LESS: 06/7,10,11,14/2024</t>
  </si>
  <si>
    <t>ADD: 11/1/2025-12/31/2025</t>
  </si>
  <si>
    <t>LESS: FL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</si>
</sst>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1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.5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4" fillId="0" borderId="0"/>
  </cellStyleXfs>
  <cellXfs count="13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vertical="center"/>
    </xf>
    <xf numFmtId="0" fontId="0" fillId="2" borderId="20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14" fillId="2" borderId="0" xfId="1" applyFill="1"/>
    <xf numFmtId="0" fontId="1" fillId="0" borderId="0" xfId="1" applyFont="1"/>
    <xf numFmtId="0" fontId="2" fillId="0" borderId="0" xfId="1" applyFont="1"/>
    <xf numFmtId="0" fontId="14" fillId="0" borderId="0" xfId="1"/>
    <xf numFmtId="0" fontId="3" fillId="2" borderId="0" xfId="1" applyFont="1" applyFill="1" applyAlignment="1">
      <alignment vertical="center"/>
    </xf>
    <xf numFmtId="0" fontId="3" fillId="2" borderId="16" xfId="1" applyFont="1" applyFill="1" applyBorder="1" applyAlignment="1">
      <alignment horizontal="center" vertical="center"/>
    </xf>
    <xf numFmtId="0" fontId="3" fillId="2" borderId="0" xfId="1" applyFont="1" applyFill="1"/>
    <xf numFmtId="0" fontId="3" fillId="2" borderId="16" xfId="1" applyFont="1" applyFill="1" applyBorder="1" applyAlignment="1">
      <alignment vertical="center"/>
    </xf>
    <xf numFmtId="0" fontId="14" fillId="2" borderId="8" xfId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14" fillId="2" borderId="15" xfId="1" applyFill="1" applyBorder="1" applyAlignment="1">
      <alignment horizontal="center" vertical="center" wrapText="1"/>
    </xf>
    <xf numFmtId="0" fontId="14" fillId="0" borderId="0" xfId="1" applyAlignment="1">
      <alignment vertical="center"/>
    </xf>
    <xf numFmtId="0" fontId="6" fillId="2" borderId="0" xfId="1" applyFont="1" applyFill="1" applyAlignment="1">
      <alignment horizontal="center" vertical="center" wrapText="1"/>
    </xf>
    <xf numFmtId="0" fontId="14" fillId="2" borderId="0" xfId="1" applyFill="1" applyAlignment="1">
      <alignment horizontal="center"/>
    </xf>
    <xf numFmtId="0" fontId="14" fillId="2" borderId="20" xfId="1" applyFill="1" applyBorder="1" applyAlignment="1">
      <alignment horizontal="center" vertical="center" wrapText="1"/>
    </xf>
    <xf numFmtId="0" fontId="14" fillId="5" borderId="20" xfId="1" applyFill="1" applyBorder="1" applyAlignment="1">
      <alignment horizontal="center" vertical="center" wrapText="1"/>
    </xf>
    <xf numFmtId="0" fontId="14" fillId="5" borderId="15" xfId="1" applyFill="1" applyBorder="1" applyAlignment="1">
      <alignment horizontal="center" vertical="center" wrapText="1"/>
    </xf>
    <xf numFmtId="0" fontId="14" fillId="0" borderId="15" xfId="1" applyBorder="1" applyAlignment="1">
      <alignment horizontal="center" vertical="center" wrapText="1"/>
    </xf>
    <xf numFmtId="0" fontId="14" fillId="2" borderId="0" xfId="1" applyFill="1" applyAlignment="1">
      <alignment horizontal="center" vertical="center" wrapText="1"/>
    </xf>
    <xf numFmtId="0" fontId="9" fillId="0" borderId="0" xfId="0" applyFont="1"/>
    <xf numFmtId="0" fontId="3" fillId="2" borderId="26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10" fillId="2" borderId="11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64" fontId="10" fillId="2" borderId="15" xfId="0" applyNumberFormat="1" applyFont="1" applyFill="1" applyBorder="1" applyAlignment="1">
      <alignment horizontal="center" vertical="center"/>
    </xf>
    <xf numFmtId="164" fontId="10" fillId="2" borderId="14" xfId="0" applyNumberFormat="1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14" fontId="0" fillId="2" borderId="2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/>
    </xf>
    <xf numFmtId="14" fontId="0" fillId="2" borderId="28" xfId="0" applyNumberFormat="1" applyFill="1" applyBorder="1" applyAlignment="1">
      <alignment horizontal="center" vertical="center"/>
    </xf>
    <xf numFmtId="164" fontId="10" fillId="2" borderId="29" xfId="0" applyNumberFormat="1" applyFont="1" applyFill="1" applyBorder="1" applyAlignment="1">
      <alignment horizontal="center" vertical="center"/>
    </xf>
    <xf numFmtId="164" fontId="11" fillId="2" borderId="29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/>
    </xf>
    <xf numFmtId="164" fontId="0" fillId="2" borderId="15" xfId="0" applyNumberFormat="1" applyFill="1" applyBorder="1" applyAlignment="1">
      <alignment horizontal="center"/>
    </xf>
    <xf numFmtId="0" fontId="3" fillId="2" borderId="32" xfId="0" applyFont="1" applyFill="1" applyBorder="1" applyAlignment="1">
      <alignment horizontal="center" vertical="center"/>
    </xf>
    <xf numFmtId="164" fontId="10" fillId="2" borderId="20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11" borderId="15" xfId="0" applyFill="1" applyBorder="1" applyAlignment="1">
      <alignment horizontal="center" vertical="center"/>
    </xf>
    <xf numFmtId="0" fontId="0" fillId="12" borderId="15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2" borderId="0" xfId="0" applyFont="1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10" borderId="23" xfId="0" applyFont="1" applyFill="1" applyBorder="1" applyAlignment="1">
      <alignment horizontal="center" vertical="center"/>
    </xf>
    <xf numFmtId="0" fontId="3" fillId="10" borderId="30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33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4" fillId="2" borderId="0" xfId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6" borderId="21" xfId="1" applyFont="1" applyFill="1" applyBorder="1" applyAlignment="1">
      <alignment horizontal="center" vertical="center"/>
    </xf>
    <xf numFmtId="0" fontId="5" fillId="6" borderId="22" xfId="1" applyFont="1" applyFill="1" applyBorder="1" applyAlignment="1">
      <alignment horizontal="center" vertical="center"/>
    </xf>
    <xf numFmtId="0" fontId="6" fillId="4" borderId="12" xfId="1" applyFont="1" applyFill="1" applyBorder="1" applyAlignment="1">
      <alignment horizontal="center" vertical="center" wrapText="1"/>
    </xf>
    <xf numFmtId="0" fontId="6" fillId="4" borderId="13" xfId="1" applyFont="1" applyFill="1" applyBorder="1" applyAlignment="1">
      <alignment horizontal="center" vertical="center" wrapText="1"/>
    </xf>
    <xf numFmtId="0" fontId="6" fillId="4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4" fillId="0" borderId="0" xfId="1" applyAlignment="1">
      <alignment horizontal="center"/>
    </xf>
    <xf numFmtId="0" fontId="14" fillId="0" borderId="0" xfId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10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164" fontId="10" fillId="0" borderId="0" xfId="0" applyNumberFormat="1" applyFont="1" applyFill="1" applyAlignment="1">
      <alignment horizontal="center" vertical="center"/>
    </xf>
    <xf numFmtId="0" fontId="0" fillId="0" borderId="15" xfId="0" applyFill="1" applyBorder="1" applyAlignment="1">
      <alignment horizontal="center"/>
    </xf>
    <xf numFmtId="0" fontId="0" fillId="0" borderId="15" xfId="0" applyFill="1" applyBorder="1" applyAlignment="1">
      <alignment horizontal="center" vertical="center"/>
    </xf>
    <xf numFmtId="164" fontId="0" fillId="0" borderId="15" xfId="0" applyNumberFormat="1" applyFill="1" applyBorder="1" applyAlignment="1">
      <alignment horizontal="center" vertical="center"/>
    </xf>
    <xf numFmtId="164" fontId="10" fillId="0" borderId="15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0</xdr:row>
      <xdr:rowOff>95250</xdr:rowOff>
    </xdr:from>
    <xdr:to>
      <xdr:col>4</xdr:col>
      <xdr:colOff>149355</xdr:colOff>
      <xdr:row>0</xdr:row>
      <xdr:rowOff>625475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65650" y="95250"/>
          <a:ext cx="60007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73405" y="1376045"/>
          <a:ext cx="2009140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ELANO, MARISSA P.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16585" y="1725930"/>
          <a:ext cx="200850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84365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57345" y="40005"/>
          <a:ext cx="68897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2326640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ELANO,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MARISSA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54050" y="1684020"/>
          <a:ext cx="10668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</a:t>
          </a:r>
          <a:r>
            <a:rPr lang="en-US" sz="1100" baseline="0"/>
            <a:t> III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023995" y="1706880"/>
          <a:ext cx="1131570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20</xdr:row>
      <xdr:rowOff>285750</xdr:rowOff>
    </xdr:from>
    <xdr:to>
      <xdr:col>12</xdr:col>
      <xdr:colOff>381000</xdr:colOff>
      <xdr:row>23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099300" y="6625590"/>
          <a:ext cx="3048000" cy="1051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8325" y="38100"/>
          <a:ext cx="699770" cy="62103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0</xdr:col>
      <xdr:colOff>1954091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54355" y="1426210"/>
          <a:ext cx="1399540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ELANO, MARISSA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9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654685" y="1754505"/>
          <a:ext cx="1358265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9</xdr:row>
      <xdr:rowOff>20928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037205" y="1757680"/>
          <a:ext cx="1987550" cy="2324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0"/>
  <sheetViews>
    <sheetView tabSelected="1" view="pageBreakPreview" topLeftCell="A81" zoomScaleNormal="100" workbookViewId="0">
      <selection activeCell="A98" sqref="A98:XFD98"/>
    </sheetView>
  </sheetViews>
  <sheetFormatPr defaultColWidth="9" defaultRowHeight="15"/>
  <cols>
    <col min="1" max="1" width="38.42578125" customWidth="1"/>
    <col min="2" max="10" width="11.5703125" customWidth="1"/>
    <col min="11" max="11" width="26.42578125" style="38" customWidth="1"/>
  </cols>
  <sheetData>
    <row r="1" spans="1:11" s="1" customFormat="1" ht="52.5" customHeight="1"/>
    <row r="2" spans="1:11" s="1" customFormat="1" ht="10.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</row>
    <row r="3" spans="1:11" s="1" customFormat="1" ht="15.95" customHeight="1">
      <c r="A3" s="64" t="s">
        <v>1</v>
      </c>
      <c r="B3" s="64"/>
      <c r="C3" s="64"/>
      <c r="D3" s="64"/>
      <c r="E3" s="64"/>
      <c r="F3" s="64"/>
      <c r="G3" s="64"/>
      <c r="H3" s="64"/>
      <c r="I3" s="64"/>
      <c r="J3" s="64"/>
    </row>
    <row r="4" spans="1:11" s="1" customFormat="1" ht="15.95" customHeight="1">
      <c r="A4" s="64" t="s">
        <v>2</v>
      </c>
      <c r="B4" s="64"/>
      <c r="C4" s="64"/>
      <c r="D4" s="64"/>
      <c r="E4" s="64"/>
      <c r="F4" s="64"/>
      <c r="G4" s="64"/>
      <c r="H4" s="64"/>
      <c r="I4" s="64"/>
      <c r="J4" s="64"/>
    </row>
    <row r="5" spans="1:11" s="1" customFormat="1" ht="15.95" customHeight="1">
      <c r="A5" s="64" t="s">
        <v>3</v>
      </c>
      <c r="B5" s="64"/>
      <c r="C5" s="64"/>
      <c r="D5" s="64"/>
      <c r="E5" s="64"/>
      <c r="F5" s="64"/>
      <c r="G5" s="64"/>
      <c r="H5" s="64"/>
      <c r="I5" s="64"/>
      <c r="J5" s="64"/>
    </row>
    <row r="6" spans="1:11" s="1" customFormat="1" ht="8.25" customHeight="1"/>
    <row r="7" spans="1:11" s="1" customFormat="1" ht="12" customHeight="1">
      <c r="A7" s="1" t="s">
        <v>4</v>
      </c>
      <c r="B7" s="65" t="s">
        <v>5</v>
      </c>
      <c r="C7" s="65"/>
      <c r="D7" s="65"/>
      <c r="H7" s="4" t="s">
        <v>6</v>
      </c>
      <c r="I7" s="12"/>
      <c r="J7" s="4"/>
    </row>
    <row r="8" spans="1:11" s="1" customFormat="1" ht="12" customHeight="1">
      <c r="B8" s="5"/>
      <c r="C8" s="5"/>
      <c r="H8" s="5"/>
      <c r="I8" s="5"/>
      <c r="J8" s="5"/>
    </row>
    <row r="9" spans="1:11" s="1" customFormat="1" ht="12" customHeight="1">
      <c r="A9" s="1" t="s">
        <v>7</v>
      </c>
      <c r="B9" s="65" t="s">
        <v>8</v>
      </c>
      <c r="C9" s="65"/>
      <c r="D9" s="65"/>
      <c r="H9" s="4" t="s">
        <v>9</v>
      </c>
      <c r="I9" s="13"/>
      <c r="J9" s="4"/>
    </row>
    <row r="10" spans="1:11" ht="16.5" customHeight="1">
      <c r="A10" s="66" t="s">
        <v>10</v>
      </c>
      <c r="B10" s="66"/>
      <c r="C10" s="66"/>
      <c r="D10" s="66"/>
      <c r="E10" s="66"/>
      <c r="F10" s="66"/>
      <c r="G10" s="66"/>
      <c r="H10" s="66"/>
      <c r="I10" s="66"/>
      <c r="J10" s="66"/>
      <c r="K10"/>
    </row>
    <row r="11" spans="1:11" ht="14.1" customHeight="1">
      <c r="A11" s="73" t="s">
        <v>11</v>
      </c>
      <c r="B11" s="67" t="s">
        <v>12</v>
      </c>
      <c r="C11" s="67"/>
      <c r="D11" s="68" t="s">
        <v>13</v>
      </c>
      <c r="E11" s="69"/>
      <c r="F11" s="69"/>
      <c r="G11" s="70"/>
      <c r="H11" s="71" t="s">
        <v>14</v>
      </c>
      <c r="I11" s="72"/>
      <c r="J11" s="75" t="s">
        <v>15</v>
      </c>
      <c r="K11" s="77" t="s">
        <v>16</v>
      </c>
    </row>
    <row r="12" spans="1:11" ht="14.1" customHeight="1">
      <c r="A12" s="74"/>
      <c r="B12" s="39" t="s">
        <v>17</v>
      </c>
      <c r="C12" s="39" t="s">
        <v>18</v>
      </c>
      <c r="D12" s="39" t="s">
        <v>17</v>
      </c>
      <c r="E12" s="39" t="s">
        <v>18</v>
      </c>
      <c r="F12" s="39" t="s">
        <v>19</v>
      </c>
      <c r="G12" s="39" t="s">
        <v>20</v>
      </c>
      <c r="H12" s="39" t="s">
        <v>17</v>
      </c>
      <c r="I12" s="55" t="s">
        <v>18</v>
      </c>
      <c r="J12" s="76"/>
      <c r="K12" s="77"/>
    </row>
    <row r="13" spans="1:11" ht="14.1" customHeight="1">
      <c r="A13" s="40" t="s">
        <v>21</v>
      </c>
      <c r="B13" s="41">
        <v>0.20799999999999999</v>
      </c>
      <c r="C13" s="41">
        <v>0.20799999999999999</v>
      </c>
      <c r="D13" s="41"/>
      <c r="E13" s="41"/>
      <c r="F13" s="41"/>
      <c r="G13" s="41"/>
      <c r="H13" s="41">
        <f>B13</f>
        <v>0.20799999999999999</v>
      </c>
      <c r="I13" s="41">
        <f>C13</f>
        <v>0.20799999999999999</v>
      </c>
      <c r="J13" s="56">
        <f>SUM(H13:I13)</f>
        <v>0.41599999999999998</v>
      </c>
    </row>
    <row r="14" spans="1:11" ht="14.1" customHeight="1">
      <c r="A14" s="42" t="s">
        <v>22</v>
      </c>
      <c r="B14" s="43">
        <v>1.25</v>
      </c>
      <c r="C14" s="43">
        <v>1.25</v>
      </c>
      <c r="D14" s="43"/>
      <c r="E14" s="43"/>
      <c r="F14" s="43"/>
      <c r="G14" s="44"/>
      <c r="H14" s="43">
        <f>H13-F14-D14+B14</f>
        <v>1.458</v>
      </c>
      <c r="I14" s="43">
        <f>I13-E14+C14</f>
        <v>1.458</v>
      </c>
      <c r="J14" s="56">
        <f t="shared" ref="J14" si="0">SUM(H14:I14)</f>
        <v>2.9159999999999999</v>
      </c>
    </row>
    <row r="15" spans="1:11" ht="14.1" customHeight="1">
      <c r="A15" s="42" t="s">
        <v>23</v>
      </c>
      <c r="B15" s="43"/>
      <c r="C15" s="43"/>
      <c r="D15" s="43"/>
      <c r="E15" s="43"/>
      <c r="F15" s="43">
        <v>1</v>
      </c>
      <c r="G15" s="44"/>
      <c r="H15" s="43">
        <f t="shared" ref="H15" si="1">H14-F15-D15+B15</f>
        <v>0.45799999999999996</v>
      </c>
      <c r="I15" s="43">
        <f t="shared" ref="I15" si="2">I14-E15+C15</f>
        <v>1.458</v>
      </c>
      <c r="J15" s="56">
        <f t="shared" ref="J15" si="3">SUM(H15:I15)</f>
        <v>1.9159999999999999</v>
      </c>
    </row>
    <row r="16" spans="1:11" ht="14.1" customHeight="1">
      <c r="A16" s="42" t="s">
        <v>24</v>
      </c>
      <c r="B16" s="43">
        <v>7.5</v>
      </c>
      <c r="C16" s="43">
        <v>7.5</v>
      </c>
      <c r="D16" s="43"/>
      <c r="E16" s="43"/>
      <c r="F16" s="43"/>
      <c r="G16" s="44"/>
      <c r="H16" s="43">
        <f t="shared" ref="H16:H20" si="4">H15-F16-D16+B16</f>
        <v>7.9580000000000002</v>
      </c>
      <c r="I16" s="43">
        <f t="shared" ref="I16:I20" si="5">I15-E16+C16</f>
        <v>8.9580000000000002</v>
      </c>
      <c r="J16" s="56">
        <f t="shared" ref="J16:J20" si="6">SUM(H16:I16)</f>
        <v>16.916</v>
      </c>
    </row>
    <row r="17" spans="1:10" ht="14.1" customHeight="1">
      <c r="A17" s="42" t="s">
        <v>25</v>
      </c>
      <c r="B17" s="43"/>
      <c r="C17" s="43"/>
      <c r="D17" s="43"/>
      <c r="E17" s="43"/>
      <c r="F17" s="43">
        <v>2</v>
      </c>
      <c r="G17" s="44"/>
      <c r="H17" s="43">
        <f t="shared" si="4"/>
        <v>5.9580000000000002</v>
      </c>
      <c r="I17" s="43">
        <f t="shared" si="5"/>
        <v>8.9580000000000002</v>
      </c>
      <c r="J17" s="56">
        <f t="shared" si="6"/>
        <v>14.916</v>
      </c>
    </row>
    <row r="18" spans="1:10" ht="14.1" customHeight="1">
      <c r="A18" s="42" t="s">
        <v>26</v>
      </c>
      <c r="B18" s="43">
        <v>1.25</v>
      </c>
      <c r="C18" s="43">
        <v>1.25</v>
      </c>
      <c r="D18" s="43"/>
      <c r="E18" s="43"/>
      <c r="F18" s="43"/>
      <c r="G18" s="44"/>
      <c r="H18" s="43">
        <f t="shared" si="4"/>
        <v>7.2080000000000002</v>
      </c>
      <c r="I18" s="43">
        <f t="shared" si="5"/>
        <v>10.208</v>
      </c>
      <c r="J18" s="56">
        <f t="shared" si="6"/>
        <v>17.416</v>
      </c>
    </row>
    <row r="19" spans="1:10" ht="14.1" customHeight="1">
      <c r="A19" s="42" t="s">
        <v>27</v>
      </c>
      <c r="B19" s="43"/>
      <c r="C19" s="43"/>
      <c r="D19" s="43"/>
      <c r="E19" s="43"/>
      <c r="F19" s="43"/>
      <c r="G19" s="44">
        <v>2</v>
      </c>
      <c r="H19" s="43">
        <f t="shared" si="4"/>
        <v>7.2080000000000002</v>
      </c>
      <c r="I19" s="43">
        <f t="shared" si="5"/>
        <v>10.208</v>
      </c>
      <c r="J19" s="56">
        <f t="shared" si="6"/>
        <v>17.416</v>
      </c>
    </row>
    <row r="20" spans="1:10" ht="14.1" customHeight="1">
      <c r="A20" s="42" t="s">
        <v>28</v>
      </c>
      <c r="B20" s="43">
        <v>1.25</v>
      </c>
      <c r="C20" s="43">
        <v>1.25</v>
      </c>
      <c r="D20" s="43"/>
      <c r="E20" s="43"/>
      <c r="F20" s="43"/>
      <c r="G20" s="44"/>
      <c r="H20" s="43">
        <f t="shared" si="4"/>
        <v>8.4580000000000002</v>
      </c>
      <c r="I20" s="43">
        <f t="shared" si="5"/>
        <v>11.458</v>
      </c>
      <c r="J20" s="56">
        <f t="shared" si="6"/>
        <v>19.916</v>
      </c>
    </row>
    <row r="21" spans="1:10" ht="14.1" customHeight="1">
      <c r="A21" s="42" t="s">
        <v>29</v>
      </c>
      <c r="B21" s="43"/>
      <c r="C21" s="43"/>
      <c r="D21" s="43"/>
      <c r="E21" s="43"/>
      <c r="F21" s="43">
        <v>2</v>
      </c>
      <c r="G21" s="44"/>
      <c r="H21" s="43">
        <f t="shared" ref="H21:H84" si="7">H20-F21-D21+B21</f>
        <v>6.4580000000000002</v>
      </c>
      <c r="I21" s="43">
        <f t="shared" ref="I21:I84" si="8">I20-E21+C21</f>
        <v>11.458</v>
      </c>
      <c r="J21" s="56">
        <f t="shared" ref="J21:J84" si="9">SUM(H21:I21)</f>
        <v>17.916</v>
      </c>
    </row>
    <row r="22" spans="1:10" ht="14.1" customHeight="1">
      <c r="A22" s="42" t="s">
        <v>30</v>
      </c>
      <c r="B22" s="43">
        <v>2.5</v>
      </c>
      <c r="C22" s="43">
        <v>2.5</v>
      </c>
      <c r="D22" s="43"/>
      <c r="E22" s="43"/>
      <c r="F22" s="43"/>
      <c r="G22" s="44"/>
      <c r="H22" s="43">
        <f t="shared" si="7"/>
        <v>8.9580000000000002</v>
      </c>
      <c r="I22" s="43">
        <f t="shared" si="8"/>
        <v>13.958</v>
      </c>
      <c r="J22" s="56">
        <f t="shared" si="9"/>
        <v>22.916</v>
      </c>
    </row>
    <row r="23" spans="1:10" ht="14.1" customHeight="1">
      <c r="A23" s="42" t="s">
        <v>31</v>
      </c>
      <c r="B23" s="43"/>
      <c r="C23" s="43"/>
      <c r="D23" s="43"/>
      <c r="E23" s="43"/>
      <c r="F23" s="43">
        <v>1</v>
      </c>
      <c r="G23" s="44"/>
      <c r="H23" s="43">
        <f t="shared" si="7"/>
        <v>7.9580000000000002</v>
      </c>
      <c r="I23" s="43">
        <f t="shared" si="8"/>
        <v>13.958</v>
      </c>
      <c r="J23" s="56">
        <f t="shared" si="9"/>
        <v>21.916</v>
      </c>
    </row>
    <row r="24" spans="1:10" ht="14.1" customHeight="1">
      <c r="A24" s="42" t="s">
        <v>32</v>
      </c>
      <c r="B24" s="43"/>
      <c r="C24" s="43"/>
      <c r="D24" s="43"/>
      <c r="E24" s="43"/>
      <c r="F24" s="43">
        <v>2</v>
      </c>
      <c r="G24" s="44"/>
      <c r="H24" s="43">
        <f t="shared" si="7"/>
        <v>5.9580000000000002</v>
      </c>
      <c r="I24" s="43">
        <f t="shared" si="8"/>
        <v>13.958</v>
      </c>
      <c r="J24" s="56">
        <f t="shared" si="9"/>
        <v>19.916</v>
      </c>
    </row>
    <row r="25" spans="1:10" ht="14.1" customHeight="1">
      <c r="A25" s="42" t="s">
        <v>33</v>
      </c>
      <c r="B25" s="43">
        <v>11.25</v>
      </c>
      <c r="C25" s="43">
        <v>11.25</v>
      </c>
      <c r="D25" s="43"/>
      <c r="E25" s="43"/>
      <c r="F25" s="43"/>
      <c r="G25" s="44"/>
      <c r="H25" s="43">
        <f t="shared" si="7"/>
        <v>17.207999999999998</v>
      </c>
      <c r="I25" s="43">
        <f t="shared" si="8"/>
        <v>25.207999999999998</v>
      </c>
      <c r="J25" s="56">
        <f t="shared" si="9"/>
        <v>42.415999999999997</v>
      </c>
    </row>
    <row r="26" spans="1:10" ht="14.1" customHeight="1">
      <c r="A26" s="42" t="s">
        <v>34</v>
      </c>
      <c r="B26" s="43"/>
      <c r="C26" s="43"/>
      <c r="D26" s="43"/>
      <c r="E26" s="43"/>
      <c r="F26" s="43">
        <v>2</v>
      </c>
      <c r="G26" s="44"/>
      <c r="H26" s="43">
        <f t="shared" si="7"/>
        <v>15.207999999999998</v>
      </c>
      <c r="I26" s="43">
        <f t="shared" si="8"/>
        <v>25.207999999999998</v>
      </c>
      <c r="J26" s="56">
        <f t="shared" si="9"/>
        <v>40.415999999999997</v>
      </c>
    </row>
    <row r="27" spans="1:10" ht="14.1" customHeight="1">
      <c r="A27" s="42" t="s">
        <v>35</v>
      </c>
      <c r="B27" s="43"/>
      <c r="C27" s="43"/>
      <c r="D27" s="43">
        <v>10</v>
      </c>
      <c r="E27" s="43"/>
      <c r="F27" s="43"/>
      <c r="G27" s="44"/>
      <c r="H27" s="43">
        <f t="shared" si="7"/>
        <v>5.2079999999999984</v>
      </c>
      <c r="I27" s="43">
        <f t="shared" si="8"/>
        <v>25.207999999999998</v>
      </c>
      <c r="J27" s="56">
        <f t="shared" si="9"/>
        <v>30.415999999999997</v>
      </c>
    </row>
    <row r="28" spans="1:10" ht="14.1" customHeight="1">
      <c r="A28" s="42" t="s">
        <v>36</v>
      </c>
      <c r="B28" s="43">
        <v>1.25</v>
      </c>
      <c r="C28" s="43">
        <v>1.25</v>
      </c>
      <c r="D28" s="43"/>
      <c r="E28" s="43"/>
      <c r="F28" s="43"/>
      <c r="G28" s="44"/>
      <c r="H28" s="43">
        <f t="shared" si="7"/>
        <v>6.4579999999999984</v>
      </c>
      <c r="I28" s="43">
        <f t="shared" si="8"/>
        <v>26.457999999999998</v>
      </c>
      <c r="J28" s="56">
        <f t="shared" si="9"/>
        <v>32.915999999999997</v>
      </c>
    </row>
    <row r="29" spans="1:10" ht="14.1" customHeight="1">
      <c r="A29" s="42" t="s">
        <v>37</v>
      </c>
      <c r="B29" s="43">
        <v>5</v>
      </c>
      <c r="C29" s="43">
        <v>5</v>
      </c>
      <c r="D29" s="43"/>
      <c r="E29" s="43"/>
      <c r="F29" s="43"/>
      <c r="G29" s="44"/>
      <c r="H29" s="43">
        <f t="shared" si="7"/>
        <v>11.457999999999998</v>
      </c>
      <c r="I29" s="43">
        <f t="shared" si="8"/>
        <v>31.457999999999998</v>
      </c>
      <c r="J29" s="56">
        <f t="shared" si="9"/>
        <v>42.915999999999997</v>
      </c>
    </row>
    <row r="30" spans="1:10" ht="14.1" customHeight="1">
      <c r="A30" s="42" t="s">
        <v>38</v>
      </c>
      <c r="B30" s="43"/>
      <c r="C30" s="43"/>
      <c r="D30" s="43"/>
      <c r="E30" s="43"/>
      <c r="F30" s="43">
        <v>1</v>
      </c>
      <c r="G30" s="44"/>
      <c r="H30" s="43">
        <f t="shared" si="7"/>
        <v>10.457999999999998</v>
      </c>
      <c r="I30" s="43">
        <f t="shared" si="8"/>
        <v>31.457999999999998</v>
      </c>
      <c r="J30" s="56">
        <f t="shared" si="9"/>
        <v>41.915999999999997</v>
      </c>
    </row>
    <row r="31" spans="1:10" ht="14.1" customHeight="1">
      <c r="A31" s="42" t="s">
        <v>39</v>
      </c>
      <c r="B31" s="43"/>
      <c r="C31" s="43"/>
      <c r="D31" s="43"/>
      <c r="E31" s="43"/>
      <c r="F31" s="43"/>
      <c r="G31" s="44">
        <v>3</v>
      </c>
      <c r="H31" s="43">
        <f t="shared" si="7"/>
        <v>10.457999999999998</v>
      </c>
      <c r="I31" s="43">
        <f t="shared" si="8"/>
        <v>31.457999999999998</v>
      </c>
      <c r="J31" s="56">
        <f t="shared" si="9"/>
        <v>41.915999999999997</v>
      </c>
    </row>
    <row r="32" spans="1:10" ht="14.1" customHeight="1">
      <c r="A32" s="42" t="s">
        <v>40</v>
      </c>
      <c r="B32" s="43">
        <v>5</v>
      </c>
      <c r="C32" s="43">
        <v>5</v>
      </c>
      <c r="D32" s="43"/>
      <c r="E32" s="43"/>
      <c r="F32" s="43"/>
      <c r="G32" s="44"/>
      <c r="H32" s="43">
        <f t="shared" si="7"/>
        <v>15.457999999999998</v>
      </c>
      <c r="I32" s="43">
        <f t="shared" si="8"/>
        <v>36.457999999999998</v>
      </c>
      <c r="J32" s="56">
        <f t="shared" si="9"/>
        <v>51.915999999999997</v>
      </c>
    </row>
    <row r="33" spans="1:10" ht="14.1" customHeight="1">
      <c r="A33" s="42" t="s">
        <v>41</v>
      </c>
      <c r="B33" s="43"/>
      <c r="C33" s="43"/>
      <c r="D33" s="43"/>
      <c r="E33" s="43">
        <v>1</v>
      </c>
      <c r="F33" s="43"/>
      <c r="G33" s="44"/>
      <c r="H33" s="43">
        <f t="shared" si="7"/>
        <v>15.457999999999998</v>
      </c>
      <c r="I33" s="43">
        <f t="shared" si="8"/>
        <v>35.457999999999998</v>
      </c>
      <c r="J33" s="56">
        <f t="shared" si="9"/>
        <v>50.915999999999997</v>
      </c>
    </row>
    <row r="34" spans="1:10" ht="14.1" customHeight="1">
      <c r="A34" s="42" t="s">
        <v>42</v>
      </c>
      <c r="B34" s="43"/>
      <c r="C34" s="43"/>
      <c r="D34" s="43">
        <v>3</v>
      </c>
      <c r="E34" s="43"/>
      <c r="F34" s="43"/>
      <c r="G34" s="44"/>
      <c r="H34" s="43">
        <f t="shared" si="7"/>
        <v>12.457999999999998</v>
      </c>
      <c r="I34" s="43">
        <f t="shared" si="8"/>
        <v>35.457999999999998</v>
      </c>
      <c r="J34" s="56">
        <f t="shared" si="9"/>
        <v>47.915999999999997</v>
      </c>
    </row>
    <row r="35" spans="1:10" ht="14.1" customHeight="1">
      <c r="A35" s="42" t="s">
        <v>43</v>
      </c>
      <c r="B35" s="43"/>
      <c r="C35" s="43"/>
      <c r="D35" s="43">
        <v>9</v>
      </c>
      <c r="E35" s="43">
        <v>20</v>
      </c>
      <c r="F35" s="43"/>
      <c r="G35" s="44"/>
      <c r="H35" s="43">
        <f t="shared" si="7"/>
        <v>3.4579999999999984</v>
      </c>
      <c r="I35" s="43">
        <f t="shared" si="8"/>
        <v>15.457999999999998</v>
      </c>
      <c r="J35" s="56">
        <f t="shared" si="9"/>
        <v>18.915999999999997</v>
      </c>
    </row>
    <row r="36" spans="1:10" ht="14.1" customHeight="1">
      <c r="A36" s="42" t="s">
        <v>44</v>
      </c>
      <c r="B36" s="43">
        <v>2.5</v>
      </c>
      <c r="C36" s="43">
        <v>2.5</v>
      </c>
      <c r="D36" s="43"/>
      <c r="E36" s="43"/>
      <c r="F36" s="43"/>
      <c r="G36" s="44"/>
      <c r="H36" s="43">
        <f t="shared" si="7"/>
        <v>5.9579999999999984</v>
      </c>
      <c r="I36" s="43">
        <f t="shared" si="8"/>
        <v>17.957999999999998</v>
      </c>
      <c r="J36" s="56">
        <f t="shared" si="9"/>
        <v>23.915999999999997</v>
      </c>
    </row>
    <row r="37" spans="1:10" ht="14.1" customHeight="1">
      <c r="A37" s="42" t="s">
        <v>45</v>
      </c>
      <c r="B37" s="43"/>
      <c r="C37" s="43"/>
      <c r="D37" s="43"/>
      <c r="E37" s="43"/>
      <c r="F37" s="43">
        <v>1</v>
      </c>
      <c r="G37" s="44"/>
      <c r="H37" s="43">
        <f t="shared" si="7"/>
        <v>4.9579999999999984</v>
      </c>
      <c r="I37" s="43">
        <f t="shared" si="8"/>
        <v>17.957999999999998</v>
      </c>
      <c r="J37" s="56">
        <f t="shared" si="9"/>
        <v>22.915999999999997</v>
      </c>
    </row>
    <row r="38" spans="1:10" ht="14.1" customHeight="1">
      <c r="A38" s="42" t="s">
        <v>46</v>
      </c>
      <c r="B38" s="43">
        <v>1.25</v>
      </c>
      <c r="C38" s="43">
        <v>1.25</v>
      </c>
      <c r="D38" s="43"/>
      <c r="E38" s="43"/>
      <c r="F38" s="43"/>
      <c r="G38" s="44"/>
      <c r="H38" s="43">
        <f t="shared" si="7"/>
        <v>6.2079999999999984</v>
      </c>
      <c r="I38" s="43">
        <f t="shared" si="8"/>
        <v>19.207999999999998</v>
      </c>
      <c r="J38" s="56">
        <f t="shared" si="9"/>
        <v>25.415999999999997</v>
      </c>
    </row>
    <row r="39" spans="1:10" ht="14.1" customHeight="1">
      <c r="A39" s="45" t="s">
        <v>47</v>
      </c>
      <c r="B39" s="43"/>
      <c r="C39" s="43"/>
      <c r="D39" s="43">
        <v>1</v>
      </c>
      <c r="E39" s="43"/>
      <c r="F39" s="43"/>
      <c r="G39" s="44"/>
      <c r="H39" s="43">
        <f t="shared" si="7"/>
        <v>5.2079999999999984</v>
      </c>
      <c r="I39" s="43">
        <f t="shared" si="8"/>
        <v>19.207999999999998</v>
      </c>
      <c r="J39" s="56">
        <f t="shared" si="9"/>
        <v>24.415999999999997</v>
      </c>
    </row>
    <row r="40" spans="1:10" ht="14.1" customHeight="1">
      <c r="A40" s="45" t="s">
        <v>48</v>
      </c>
      <c r="B40" s="43">
        <v>1.25</v>
      </c>
      <c r="C40" s="43">
        <v>1.25</v>
      </c>
      <c r="D40" s="43"/>
      <c r="E40" s="43"/>
      <c r="F40" s="43"/>
      <c r="G40" s="44"/>
      <c r="H40" s="43">
        <f t="shared" si="7"/>
        <v>6.4579999999999984</v>
      </c>
      <c r="I40" s="43">
        <f t="shared" si="8"/>
        <v>20.457999999999998</v>
      </c>
      <c r="J40" s="56">
        <f t="shared" si="9"/>
        <v>26.915999999999997</v>
      </c>
    </row>
    <row r="41" spans="1:10" ht="15.75" customHeight="1">
      <c r="A41" s="45" t="s">
        <v>49</v>
      </c>
      <c r="B41" s="43"/>
      <c r="C41" s="43"/>
      <c r="D41" s="43"/>
      <c r="E41" s="43"/>
      <c r="F41" s="43">
        <v>3</v>
      </c>
      <c r="G41" s="44"/>
      <c r="H41" s="43">
        <f t="shared" si="7"/>
        <v>3.4579999999999984</v>
      </c>
      <c r="I41" s="43">
        <f t="shared" si="8"/>
        <v>20.457999999999998</v>
      </c>
      <c r="J41" s="56">
        <f t="shared" si="9"/>
        <v>23.915999999999997</v>
      </c>
    </row>
    <row r="42" spans="1:10" ht="14.1" customHeight="1">
      <c r="A42" s="46" t="s">
        <v>50</v>
      </c>
      <c r="B42" s="43"/>
      <c r="C42" s="43"/>
      <c r="D42" s="43"/>
      <c r="E42" s="43"/>
      <c r="F42" s="43"/>
      <c r="G42" s="44">
        <v>5</v>
      </c>
      <c r="H42" s="43">
        <f t="shared" si="7"/>
        <v>3.4579999999999984</v>
      </c>
      <c r="I42" s="43">
        <f t="shared" si="8"/>
        <v>20.457999999999998</v>
      </c>
      <c r="J42" s="56">
        <f t="shared" si="9"/>
        <v>23.915999999999997</v>
      </c>
    </row>
    <row r="43" spans="1:10" ht="14.1" customHeight="1">
      <c r="A43" s="47" t="s">
        <v>51</v>
      </c>
      <c r="B43" s="43">
        <v>1.25</v>
      </c>
      <c r="C43" s="43">
        <v>1.25</v>
      </c>
      <c r="D43" s="43"/>
      <c r="E43" s="43"/>
      <c r="F43" s="43"/>
      <c r="G43" s="43"/>
      <c r="H43" s="43">
        <f t="shared" si="7"/>
        <v>4.7079999999999984</v>
      </c>
      <c r="I43" s="43">
        <f t="shared" si="8"/>
        <v>21.707999999999998</v>
      </c>
      <c r="J43" s="56">
        <f t="shared" si="9"/>
        <v>26.415999999999997</v>
      </c>
    </row>
    <row r="44" spans="1:10" ht="14.1" customHeight="1">
      <c r="A44" s="45" t="s">
        <v>52</v>
      </c>
      <c r="B44" s="43"/>
      <c r="C44" s="43"/>
      <c r="D44" s="43"/>
      <c r="E44" s="43"/>
      <c r="F44" s="43"/>
      <c r="G44" s="44">
        <v>1</v>
      </c>
      <c r="H44" s="43">
        <f t="shared" si="7"/>
        <v>4.7079999999999984</v>
      </c>
      <c r="I44" s="43">
        <f t="shared" si="8"/>
        <v>21.707999999999998</v>
      </c>
      <c r="J44" s="56">
        <f t="shared" si="9"/>
        <v>26.415999999999997</v>
      </c>
    </row>
    <row r="45" spans="1:10" ht="14.1" customHeight="1">
      <c r="A45" s="45" t="s">
        <v>53</v>
      </c>
      <c r="B45" s="48"/>
      <c r="C45" s="43"/>
      <c r="D45" s="43"/>
      <c r="E45" s="43"/>
      <c r="F45" s="43">
        <v>1</v>
      </c>
      <c r="G45" s="43"/>
      <c r="H45" s="43">
        <f t="shared" si="7"/>
        <v>3.7079999999999984</v>
      </c>
      <c r="I45" s="43">
        <f t="shared" si="8"/>
        <v>21.707999999999998</v>
      </c>
      <c r="J45" s="56">
        <f t="shared" si="9"/>
        <v>25.415999999999997</v>
      </c>
    </row>
    <row r="46" spans="1:10" ht="14.1" customHeight="1">
      <c r="A46" s="47" t="s">
        <v>54</v>
      </c>
      <c r="B46" s="43">
        <v>2.5</v>
      </c>
      <c r="C46" s="43">
        <v>2.5</v>
      </c>
      <c r="D46" s="43"/>
      <c r="E46" s="43"/>
      <c r="F46" s="43"/>
      <c r="G46" s="43"/>
      <c r="H46" s="43">
        <f t="shared" si="7"/>
        <v>6.2079999999999984</v>
      </c>
      <c r="I46" s="43">
        <f t="shared" si="8"/>
        <v>24.207999999999998</v>
      </c>
      <c r="J46" s="56">
        <f t="shared" si="9"/>
        <v>30.415999999999997</v>
      </c>
    </row>
    <row r="47" spans="1:10" ht="14.1" customHeight="1">
      <c r="A47" s="45" t="s">
        <v>55</v>
      </c>
      <c r="B47" s="43"/>
      <c r="C47" s="43"/>
      <c r="D47" s="43"/>
      <c r="E47" s="43"/>
      <c r="F47" s="43">
        <v>1</v>
      </c>
      <c r="G47" s="43"/>
      <c r="H47" s="43">
        <f t="shared" si="7"/>
        <v>5.2079999999999984</v>
      </c>
      <c r="I47" s="43">
        <f t="shared" si="8"/>
        <v>24.207999999999998</v>
      </c>
      <c r="J47" s="56">
        <f t="shared" si="9"/>
        <v>29.415999999999997</v>
      </c>
    </row>
    <row r="48" spans="1:10" ht="14.1" customHeight="1">
      <c r="A48" s="45" t="s">
        <v>56</v>
      </c>
      <c r="B48" s="43"/>
      <c r="C48" s="43"/>
      <c r="D48" s="43"/>
      <c r="E48" s="43">
        <v>1</v>
      </c>
      <c r="F48" s="43"/>
      <c r="G48" s="43"/>
      <c r="H48" s="43">
        <f t="shared" si="7"/>
        <v>5.2079999999999984</v>
      </c>
      <c r="I48" s="43">
        <f t="shared" si="8"/>
        <v>23.207999999999998</v>
      </c>
      <c r="J48" s="56">
        <f t="shared" si="9"/>
        <v>28.415999999999997</v>
      </c>
    </row>
    <row r="49" spans="1:10" ht="14.1" customHeight="1">
      <c r="A49" s="45" t="s">
        <v>57</v>
      </c>
      <c r="B49" s="43"/>
      <c r="C49" s="43"/>
      <c r="D49" s="43"/>
      <c r="E49" s="43">
        <v>1</v>
      </c>
      <c r="F49" s="43"/>
      <c r="G49" s="43"/>
      <c r="H49" s="43">
        <f t="shared" si="7"/>
        <v>5.2079999999999984</v>
      </c>
      <c r="I49" s="43">
        <f t="shared" si="8"/>
        <v>22.207999999999998</v>
      </c>
      <c r="J49" s="56">
        <f t="shared" si="9"/>
        <v>27.415999999999997</v>
      </c>
    </row>
    <row r="50" spans="1:10" ht="14.1" customHeight="1">
      <c r="A50" s="47" t="s">
        <v>58</v>
      </c>
      <c r="B50" s="43">
        <v>1.25</v>
      </c>
      <c r="C50" s="43">
        <v>1.25</v>
      </c>
      <c r="D50" s="43"/>
      <c r="E50" s="43"/>
      <c r="F50" s="43"/>
      <c r="G50" s="43"/>
      <c r="H50" s="43">
        <f t="shared" si="7"/>
        <v>6.4579999999999984</v>
      </c>
      <c r="I50" s="43">
        <f t="shared" si="8"/>
        <v>23.457999999999998</v>
      </c>
      <c r="J50" s="56">
        <f t="shared" si="9"/>
        <v>29.915999999999997</v>
      </c>
    </row>
    <row r="51" spans="1:10" ht="14.1" customHeight="1">
      <c r="A51" s="49" t="s">
        <v>59</v>
      </c>
      <c r="B51" s="43"/>
      <c r="C51" s="43"/>
      <c r="D51" s="43"/>
      <c r="E51" s="43"/>
      <c r="F51" s="43"/>
      <c r="G51" s="44">
        <v>1</v>
      </c>
      <c r="H51" s="43">
        <f t="shared" si="7"/>
        <v>6.4579999999999984</v>
      </c>
      <c r="I51" s="43">
        <f t="shared" si="8"/>
        <v>23.457999999999998</v>
      </c>
      <c r="J51" s="56">
        <f t="shared" si="9"/>
        <v>29.915999999999997</v>
      </c>
    </row>
    <row r="52" spans="1:10" ht="14.1" customHeight="1">
      <c r="A52" s="47" t="s">
        <v>60</v>
      </c>
      <c r="B52" s="43">
        <v>1.25</v>
      </c>
      <c r="C52" s="43">
        <v>1.25</v>
      </c>
      <c r="D52" s="43"/>
      <c r="E52" s="43"/>
      <c r="F52" s="43"/>
      <c r="G52" s="43"/>
      <c r="H52" s="43">
        <f t="shared" si="7"/>
        <v>7.7079999999999984</v>
      </c>
      <c r="I52" s="43">
        <f t="shared" si="8"/>
        <v>24.707999999999998</v>
      </c>
      <c r="J52" s="56">
        <f t="shared" si="9"/>
        <v>32.415999999999997</v>
      </c>
    </row>
    <row r="53" spans="1:10" ht="14.1" customHeight="1">
      <c r="A53" s="49" t="s">
        <v>61</v>
      </c>
      <c r="B53" s="43"/>
      <c r="C53" s="43"/>
      <c r="D53" s="43"/>
      <c r="E53" s="43"/>
      <c r="F53" s="43"/>
      <c r="G53" s="44">
        <v>1</v>
      </c>
      <c r="H53" s="43">
        <f t="shared" si="7"/>
        <v>7.7079999999999984</v>
      </c>
      <c r="I53" s="43">
        <f t="shared" si="8"/>
        <v>24.707999999999998</v>
      </c>
      <c r="J53" s="56">
        <f t="shared" si="9"/>
        <v>32.415999999999997</v>
      </c>
    </row>
    <row r="54" spans="1:10" ht="14.1" customHeight="1">
      <c r="A54" s="49" t="s">
        <v>62</v>
      </c>
      <c r="B54" s="43"/>
      <c r="C54" s="43"/>
      <c r="D54" s="43"/>
      <c r="E54" s="43">
        <v>1</v>
      </c>
      <c r="F54" s="43"/>
      <c r="G54" s="43"/>
      <c r="H54" s="43">
        <f t="shared" si="7"/>
        <v>7.7079999999999984</v>
      </c>
      <c r="I54" s="43">
        <f t="shared" si="8"/>
        <v>23.707999999999998</v>
      </c>
      <c r="J54" s="56">
        <f t="shared" si="9"/>
        <v>31.415999999999997</v>
      </c>
    </row>
    <row r="55" spans="1:10" ht="14.1" customHeight="1">
      <c r="A55" s="47" t="s">
        <v>63</v>
      </c>
      <c r="B55" s="43">
        <v>2.5</v>
      </c>
      <c r="C55" s="43">
        <v>2.5</v>
      </c>
      <c r="D55" s="43"/>
      <c r="E55" s="43"/>
      <c r="F55" s="43"/>
      <c r="G55" s="43"/>
      <c r="H55" s="43">
        <f t="shared" si="7"/>
        <v>10.207999999999998</v>
      </c>
      <c r="I55" s="43">
        <f t="shared" si="8"/>
        <v>26.207999999999998</v>
      </c>
      <c r="J55" s="56">
        <f t="shared" si="9"/>
        <v>36.415999999999997</v>
      </c>
    </row>
    <row r="56" spans="1:10" ht="14.1" customHeight="1">
      <c r="A56" s="47" t="s">
        <v>64</v>
      </c>
      <c r="B56" s="43">
        <v>1.25</v>
      </c>
      <c r="C56" s="43">
        <v>1.25</v>
      </c>
      <c r="D56" s="43"/>
      <c r="E56" s="43"/>
      <c r="F56" s="43"/>
      <c r="G56" s="43"/>
      <c r="H56" s="43">
        <f t="shared" si="7"/>
        <v>11.457999999999998</v>
      </c>
      <c r="I56" s="43">
        <f t="shared" si="8"/>
        <v>27.457999999999998</v>
      </c>
      <c r="J56" s="56">
        <f t="shared" si="9"/>
        <v>38.915999999999997</v>
      </c>
    </row>
    <row r="57" spans="1:10" ht="14.1" customHeight="1">
      <c r="A57" s="49" t="s">
        <v>65</v>
      </c>
      <c r="B57" s="43"/>
      <c r="C57" s="43"/>
      <c r="D57" s="43"/>
      <c r="E57" s="43"/>
      <c r="F57" s="43">
        <v>1</v>
      </c>
      <c r="G57" s="43"/>
      <c r="H57" s="43">
        <f t="shared" si="7"/>
        <v>10.457999999999998</v>
      </c>
      <c r="I57" s="43">
        <f t="shared" si="8"/>
        <v>27.457999999999998</v>
      </c>
      <c r="J57" s="56">
        <f t="shared" si="9"/>
        <v>37.915999999999997</v>
      </c>
    </row>
    <row r="58" spans="1:10" ht="14.1" customHeight="1">
      <c r="A58" s="47" t="s">
        <v>66</v>
      </c>
      <c r="B58" s="43">
        <v>1.25</v>
      </c>
      <c r="C58" s="43">
        <v>1.25</v>
      </c>
      <c r="D58" s="43"/>
      <c r="E58" s="43"/>
      <c r="F58" s="43"/>
      <c r="G58" s="43"/>
      <c r="H58" s="43">
        <f t="shared" si="7"/>
        <v>11.707999999999998</v>
      </c>
      <c r="I58" s="43">
        <f t="shared" si="8"/>
        <v>28.707999999999998</v>
      </c>
      <c r="J58" s="56">
        <f t="shared" si="9"/>
        <v>40.415999999999997</v>
      </c>
    </row>
    <row r="59" spans="1:10" ht="14.1" customHeight="1">
      <c r="A59" s="49" t="s">
        <v>67</v>
      </c>
      <c r="B59" s="43"/>
      <c r="C59" s="43"/>
      <c r="D59" s="43"/>
      <c r="E59" s="43"/>
      <c r="F59" s="43">
        <v>1</v>
      </c>
      <c r="G59" s="43"/>
      <c r="H59" s="43">
        <f t="shared" si="7"/>
        <v>10.707999999999998</v>
      </c>
      <c r="I59" s="43">
        <f t="shared" si="8"/>
        <v>28.707999999999998</v>
      </c>
      <c r="J59" s="56">
        <f t="shared" si="9"/>
        <v>39.415999999999997</v>
      </c>
    </row>
    <row r="60" spans="1:10" ht="14.1" customHeight="1">
      <c r="A60" s="49" t="s">
        <v>68</v>
      </c>
      <c r="B60" s="43"/>
      <c r="C60" s="43"/>
      <c r="D60" s="43">
        <v>9</v>
      </c>
      <c r="E60" s="43">
        <v>20</v>
      </c>
      <c r="F60" s="43"/>
      <c r="G60" s="43"/>
      <c r="H60" s="43">
        <f t="shared" si="7"/>
        <v>1.7079999999999984</v>
      </c>
      <c r="I60" s="43">
        <f t="shared" si="8"/>
        <v>8.7079999999999984</v>
      </c>
      <c r="J60" s="56">
        <f t="shared" si="9"/>
        <v>10.415999999999997</v>
      </c>
    </row>
    <row r="61" spans="1:10" ht="14.1" customHeight="1">
      <c r="A61" s="47" t="s">
        <v>69</v>
      </c>
      <c r="B61" s="43">
        <v>2.5</v>
      </c>
      <c r="C61" s="43">
        <v>2.5</v>
      </c>
      <c r="D61" s="43"/>
      <c r="E61" s="43"/>
      <c r="F61" s="43"/>
      <c r="G61" s="43"/>
      <c r="H61" s="43">
        <f t="shared" si="7"/>
        <v>4.2079999999999984</v>
      </c>
      <c r="I61" s="43">
        <f t="shared" si="8"/>
        <v>11.207999999999998</v>
      </c>
      <c r="J61" s="56">
        <f t="shared" si="9"/>
        <v>15.415999999999997</v>
      </c>
    </row>
    <row r="62" spans="1:10" ht="14.1" customHeight="1">
      <c r="A62" s="49" t="s">
        <v>70</v>
      </c>
      <c r="B62" s="43"/>
      <c r="C62" s="43"/>
      <c r="D62" s="43"/>
      <c r="E62" s="43"/>
      <c r="F62" s="43">
        <v>1</v>
      </c>
      <c r="G62" s="43"/>
      <c r="H62" s="43">
        <f t="shared" si="7"/>
        <v>3.2079999999999984</v>
      </c>
      <c r="I62" s="43">
        <f t="shared" si="8"/>
        <v>11.207999999999998</v>
      </c>
      <c r="J62" s="56">
        <f t="shared" si="9"/>
        <v>14.415999999999997</v>
      </c>
    </row>
    <row r="63" spans="1:10" ht="14.1" customHeight="1">
      <c r="A63" s="50" t="s">
        <v>71</v>
      </c>
      <c r="B63" s="51">
        <v>1.25</v>
      </c>
      <c r="C63" s="51">
        <v>1.25</v>
      </c>
      <c r="D63" s="52"/>
      <c r="E63" s="52"/>
      <c r="F63" s="52"/>
      <c r="G63" s="52"/>
      <c r="H63" s="43">
        <f t="shared" si="7"/>
        <v>4.4579999999999984</v>
      </c>
      <c r="I63" s="43">
        <f t="shared" si="8"/>
        <v>12.457999999999998</v>
      </c>
      <c r="J63" s="56">
        <f t="shared" si="9"/>
        <v>16.915999999999997</v>
      </c>
    </row>
    <row r="64" spans="1:10" ht="14.1" customHeight="1">
      <c r="A64" s="53" t="s">
        <v>72</v>
      </c>
      <c r="B64" s="54"/>
      <c r="C64" s="54"/>
      <c r="D64" s="54"/>
      <c r="E64" s="54"/>
      <c r="F64" s="54"/>
      <c r="G64" s="54">
        <v>1</v>
      </c>
      <c r="H64" s="43">
        <f t="shared" si="7"/>
        <v>4.4579999999999984</v>
      </c>
      <c r="I64" s="43">
        <f t="shared" si="8"/>
        <v>12.457999999999998</v>
      </c>
      <c r="J64" s="56">
        <f t="shared" si="9"/>
        <v>16.915999999999997</v>
      </c>
    </row>
    <row r="65" spans="1:10" ht="14.1" customHeight="1">
      <c r="A65" s="50" t="s">
        <v>73</v>
      </c>
      <c r="B65" s="43">
        <v>2.5</v>
      </c>
      <c r="C65" s="43">
        <v>2.5</v>
      </c>
      <c r="D65" s="54"/>
      <c r="E65" s="54"/>
      <c r="F65" s="54"/>
      <c r="G65" s="54"/>
      <c r="H65" s="43">
        <f t="shared" si="7"/>
        <v>6.9579999999999984</v>
      </c>
      <c r="I65" s="43">
        <f t="shared" si="8"/>
        <v>14.957999999999998</v>
      </c>
      <c r="J65" s="56">
        <f t="shared" si="9"/>
        <v>21.915999999999997</v>
      </c>
    </row>
    <row r="66" spans="1:10" ht="14.1" customHeight="1">
      <c r="A66" s="53" t="s">
        <v>74</v>
      </c>
      <c r="B66" s="54"/>
      <c r="C66" s="54"/>
      <c r="D66" s="54"/>
      <c r="E66" s="54"/>
      <c r="F66" s="54"/>
      <c r="G66" s="54">
        <v>1</v>
      </c>
      <c r="H66" s="43">
        <f t="shared" si="7"/>
        <v>6.9579999999999984</v>
      </c>
      <c r="I66" s="43">
        <f t="shared" si="8"/>
        <v>14.957999999999998</v>
      </c>
      <c r="J66" s="56">
        <f t="shared" si="9"/>
        <v>21.915999999999997</v>
      </c>
    </row>
    <row r="67" spans="1:10" ht="14.1" customHeight="1">
      <c r="A67" s="53" t="s">
        <v>75</v>
      </c>
      <c r="B67" s="54"/>
      <c r="C67" s="54"/>
      <c r="D67" s="54"/>
      <c r="E67" s="54"/>
      <c r="F67" s="48">
        <v>3</v>
      </c>
      <c r="G67" s="48"/>
      <c r="H67" s="43">
        <f t="shared" si="7"/>
        <v>3.9579999999999984</v>
      </c>
      <c r="I67" s="43">
        <f t="shared" si="8"/>
        <v>14.957999999999998</v>
      </c>
      <c r="J67" s="56">
        <f t="shared" si="9"/>
        <v>18.915999999999997</v>
      </c>
    </row>
    <row r="68" spans="1:10" ht="14.1" customHeight="1">
      <c r="A68" s="53" t="s">
        <v>76</v>
      </c>
      <c r="B68" s="54"/>
      <c r="C68" s="54"/>
      <c r="D68" s="54"/>
      <c r="E68" s="54"/>
      <c r="F68" s="54"/>
      <c r="G68" s="54">
        <v>1</v>
      </c>
      <c r="H68" s="43">
        <f t="shared" si="7"/>
        <v>3.9579999999999984</v>
      </c>
      <c r="I68" s="43">
        <f t="shared" si="8"/>
        <v>14.957999999999998</v>
      </c>
      <c r="J68" s="56">
        <f t="shared" si="9"/>
        <v>18.915999999999997</v>
      </c>
    </row>
    <row r="69" spans="1:10" ht="14.1" customHeight="1">
      <c r="A69" s="50" t="s">
        <v>77</v>
      </c>
      <c r="B69" s="51">
        <v>1.25</v>
      </c>
      <c r="C69" s="51">
        <v>1.25</v>
      </c>
      <c r="D69" s="54"/>
      <c r="E69" s="54"/>
      <c r="F69" s="54"/>
      <c r="G69" s="54"/>
      <c r="H69" s="43">
        <f t="shared" si="7"/>
        <v>5.2079999999999984</v>
      </c>
      <c r="I69" s="43">
        <f t="shared" si="8"/>
        <v>16.207999999999998</v>
      </c>
      <c r="J69" s="56">
        <f t="shared" si="9"/>
        <v>21.415999999999997</v>
      </c>
    </row>
    <row r="70" spans="1:10" ht="14.1" customHeight="1">
      <c r="A70" s="53" t="s">
        <v>78</v>
      </c>
      <c r="B70" s="54"/>
      <c r="C70" s="54"/>
      <c r="D70" s="54"/>
      <c r="E70" s="54"/>
      <c r="F70" s="54">
        <v>1</v>
      </c>
      <c r="G70" s="54"/>
      <c r="H70" s="43">
        <f t="shared" si="7"/>
        <v>4.2079999999999984</v>
      </c>
      <c r="I70" s="43">
        <f t="shared" si="8"/>
        <v>16.207999999999998</v>
      </c>
      <c r="J70" s="56">
        <f t="shared" si="9"/>
        <v>20.415999999999997</v>
      </c>
    </row>
    <row r="71" spans="1:10" ht="14.1" customHeight="1">
      <c r="A71" s="53" t="s">
        <v>79</v>
      </c>
      <c r="B71" s="57"/>
      <c r="C71" s="57"/>
      <c r="D71" s="57"/>
      <c r="E71" s="57"/>
      <c r="F71" s="58">
        <v>1</v>
      </c>
      <c r="G71" s="57"/>
      <c r="H71" s="43">
        <f t="shared" si="7"/>
        <v>3.2079999999999984</v>
      </c>
      <c r="I71" s="43">
        <f t="shared" si="8"/>
        <v>16.207999999999998</v>
      </c>
      <c r="J71" s="56">
        <f t="shared" si="9"/>
        <v>19.415999999999997</v>
      </c>
    </row>
    <row r="72" spans="1:10" ht="14.1" customHeight="1">
      <c r="A72" s="50" t="s">
        <v>80</v>
      </c>
      <c r="B72" s="58">
        <v>6.25</v>
      </c>
      <c r="C72" s="58">
        <v>6.25</v>
      </c>
      <c r="D72" s="57"/>
      <c r="E72" s="57"/>
      <c r="F72" s="57"/>
      <c r="G72" s="57"/>
      <c r="H72" s="43">
        <f t="shared" si="7"/>
        <v>9.4579999999999984</v>
      </c>
      <c r="I72" s="43">
        <f t="shared" si="8"/>
        <v>22.457999999999998</v>
      </c>
      <c r="J72" s="56">
        <f t="shared" si="9"/>
        <v>31.915999999999997</v>
      </c>
    </row>
    <row r="73" spans="1:10" ht="14.1" customHeight="1">
      <c r="A73" s="59" t="s">
        <v>81</v>
      </c>
      <c r="B73" s="57"/>
      <c r="C73" s="57"/>
      <c r="D73" s="58">
        <v>7</v>
      </c>
      <c r="E73" s="58">
        <v>13</v>
      </c>
      <c r="F73" s="57"/>
      <c r="G73" s="57"/>
      <c r="H73" s="43">
        <f t="shared" si="7"/>
        <v>2.4579999999999984</v>
      </c>
      <c r="I73" s="43">
        <f t="shared" si="8"/>
        <v>9.4579999999999984</v>
      </c>
      <c r="J73" s="56">
        <f t="shared" si="9"/>
        <v>11.915999999999997</v>
      </c>
    </row>
    <row r="74" spans="1:10" ht="14.1" customHeight="1">
      <c r="A74" s="59" t="s">
        <v>82</v>
      </c>
      <c r="B74" s="57">
        <v>2.5</v>
      </c>
      <c r="C74" s="57">
        <v>2.5</v>
      </c>
      <c r="D74" s="58"/>
      <c r="E74" s="58"/>
      <c r="F74" s="57"/>
      <c r="G74" s="57"/>
      <c r="H74" s="43">
        <f t="shared" si="7"/>
        <v>4.9579999999999984</v>
      </c>
      <c r="I74" s="43">
        <f t="shared" si="8"/>
        <v>11.957999999999998</v>
      </c>
      <c r="J74" s="56">
        <f t="shared" si="9"/>
        <v>16.915999999999997</v>
      </c>
    </row>
    <row r="75" spans="1:10" ht="14.1" customHeight="1">
      <c r="A75" s="59" t="s">
        <v>83</v>
      </c>
      <c r="B75" s="57">
        <v>2.5</v>
      </c>
      <c r="C75" s="57">
        <v>2.5</v>
      </c>
      <c r="D75" s="58"/>
      <c r="E75" s="58"/>
      <c r="F75" s="57"/>
      <c r="G75" s="57"/>
      <c r="H75" s="43">
        <f t="shared" si="7"/>
        <v>7.4579999999999984</v>
      </c>
      <c r="I75" s="43">
        <f t="shared" si="8"/>
        <v>14.457999999999998</v>
      </c>
      <c r="J75" s="56">
        <f t="shared" si="9"/>
        <v>21.915999999999997</v>
      </c>
    </row>
    <row r="76" spans="1:10" ht="14.1" customHeight="1">
      <c r="A76" s="59" t="s">
        <v>84</v>
      </c>
      <c r="B76" s="57"/>
      <c r="C76" s="57"/>
      <c r="D76" s="58"/>
      <c r="E76" s="58"/>
      <c r="F76" s="57"/>
      <c r="G76" s="57">
        <v>1</v>
      </c>
      <c r="H76" s="43">
        <f t="shared" si="7"/>
        <v>7.4579999999999984</v>
      </c>
      <c r="I76" s="43">
        <f t="shared" si="8"/>
        <v>14.457999999999998</v>
      </c>
      <c r="J76" s="56">
        <f t="shared" si="9"/>
        <v>21.915999999999997</v>
      </c>
    </row>
    <row r="77" spans="1:10" ht="14.1" customHeight="1">
      <c r="A77" s="59" t="s">
        <v>85</v>
      </c>
      <c r="B77" s="57"/>
      <c r="C77" s="57"/>
      <c r="D77" s="58"/>
      <c r="E77" s="58"/>
      <c r="F77" s="57"/>
      <c r="G77" s="57">
        <v>1</v>
      </c>
      <c r="H77" s="43">
        <f t="shared" si="7"/>
        <v>7.4579999999999984</v>
      </c>
      <c r="I77" s="43">
        <f t="shared" si="8"/>
        <v>14.457999999999998</v>
      </c>
      <c r="J77" s="56">
        <f t="shared" si="9"/>
        <v>21.915999999999997</v>
      </c>
    </row>
    <row r="78" spans="1:10" ht="14.1" customHeight="1">
      <c r="A78" s="59" t="s">
        <v>86</v>
      </c>
      <c r="B78" s="57">
        <v>7.5</v>
      </c>
      <c r="C78" s="57">
        <v>7.5</v>
      </c>
      <c r="D78" s="58"/>
      <c r="E78" s="58"/>
      <c r="F78" s="57"/>
      <c r="G78" s="57"/>
      <c r="H78" s="43">
        <f t="shared" si="7"/>
        <v>14.957999999999998</v>
      </c>
      <c r="I78" s="43">
        <f t="shared" si="8"/>
        <v>21.957999999999998</v>
      </c>
      <c r="J78" s="56">
        <f t="shared" si="9"/>
        <v>36.915999999999997</v>
      </c>
    </row>
    <row r="79" spans="1:10" ht="15.75" customHeight="1">
      <c r="A79" s="59" t="s">
        <v>87</v>
      </c>
      <c r="B79" s="57"/>
      <c r="C79" s="57"/>
      <c r="D79" s="58"/>
      <c r="E79" s="58"/>
      <c r="F79" s="57"/>
      <c r="G79" s="57">
        <v>1</v>
      </c>
      <c r="H79" s="43">
        <f t="shared" si="7"/>
        <v>14.957999999999998</v>
      </c>
      <c r="I79" s="43">
        <f t="shared" si="8"/>
        <v>21.957999999999998</v>
      </c>
      <c r="J79" s="56">
        <f t="shared" si="9"/>
        <v>36.915999999999997</v>
      </c>
    </row>
    <row r="80" spans="1:10" ht="15.75" customHeight="1">
      <c r="A80" s="59" t="s">
        <v>88</v>
      </c>
      <c r="B80" s="57">
        <v>1.25</v>
      </c>
      <c r="C80" s="57">
        <v>1.25</v>
      </c>
      <c r="D80" s="58"/>
      <c r="E80" s="58"/>
      <c r="F80" s="57"/>
      <c r="G80" s="57"/>
      <c r="H80" s="43">
        <f t="shared" si="7"/>
        <v>16.207999999999998</v>
      </c>
      <c r="I80" s="43">
        <f t="shared" si="8"/>
        <v>23.207999999999998</v>
      </c>
      <c r="J80" s="56">
        <f t="shared" si="9"/>
        <v>39.415999999999997</v>
      </c>
    </row>
    <row r="81" spans="1:10" ht="15.75" customHeight="1">
      <c r="A81" s="59" t="s">
        <v>89</v>
      </c>
      <c r="B81" s="57"/>
      <c r="C81" s="57"/>
      <c r="D81" s="58">
        <v>11</v>
      </c>
      <c r="E81" s="58"/>
      <c r="F81" s="57"/>
      <c r="G81" s="57"/>
      <c r="H81" s="43">
        <f t="shared" si="7"/>
        <v>5.2079999999999984</v>
      </c>
      <c r="I81" s="43">
        <f t="shared" si="8"/>
        <v>23.207999999999998</v>
      </c>
      <c r="J81" s="56">
        <f t="shared" si="9"/>
        <v>28.415999999999997</v>
      </c>
    </row>
    <row r="82" spans="1:10" ht="15.75" customHeight="1">
      <c r="A82" s="59" t="s">
        <v>90</v>
      </c>
      <c r="B82" s="57">
        <v>3.75</v>
      </c>
      <c r="C82" s="57">
        <v>3.75</v>
      </c>
      <c r="D82" s="58"/>
      <c r="E82" s="58"/>
      <c r="F82" s="57"/>
      <c r="G82" s="57"/>
      <c r="H82" s="43">
        <f t="shared" si="7"/>
        <v>8.9579999999999984</v>
      </c>
      <c r="I82" s="43">
        <f t="shared" si="8"/>
        <v>26.957999999999998</v>
      </c>
      <c r="J82" s="56">
        <f t="shared" si="9"/>
        <v>35.915999999999997</v>
      </c>
    </row>
    <row r="83" spans="1:10" ht="15.75" customHeight="1">
      <c r="A83" s="59" t="s">
        <v>91</v>
      </c>
      <c r="B83" s="57"/>
      <c r="C83" s="57"/>
      <c r="D83" s="58"/>
      <c r="E83" s="58"/>
      <c r="F83" s="57">
        <v>5</v>
      </c>
      <c r="G83" s="57"/>
      <c r="H83" s="43">
        <f t="shared" si="7"/>
        <v>3.9579999999999984</v>
      </c>
      <c r="I83" s="43">
        <f t="shared" si="8"/>
        <v>26.957999999999998</v>
      </c>
      <c r="J83" s="56">
        <f t="shared" si="9"/>
        <v>30.915999999999997</v>
      </c>
    </row>
    <row r="84" spans="1:10" ht="15.75" customHeight="1">
      <c r="A84" s="59" t="s">
        <v>92</v>
      </c>
      <c r="B84" s="57">
        <v>2.5</v>
      </c>
      <c r="C84" s="57">
        <v>2.5</v>
      </c>
      <c r="D84" s="58"/>
      <c r="E84" s="58"/>
      <c r="F84" s="57"/>
      <c r="G84" s="57"/>
      <c r="H84" s="43">
        <f t="shared" si="7"/>
        <v>6.4579999999999984</v>
      </c>
      <c r="I84" s="43">
        <f t="shared" si="8"/>
        <v>29.457999999999998</v>
      </c>
      <c r="J84" s="56">
        <f t="shared" si="9"/>
        <v>35.915999999999997</v>
      </c>
    </row>
    <row r="85" spans="1:10" ht="15.75" customHeight="1">
      <c r="A85" s="59" t="s">
        <v>93</v>
      </c>
      <c r="B85" s="57"/>
      <c r="C85" s="57"/>
      <c r="D85" s="58"/>
      <c r="E85" s="58">
        <v>1</v>
      </c>
      <c r="F85" s="57"/>
      <c r="G85" s="57"/>
      <c r="H85" s="43">
        <f t="shared" ref="H85:H87" si="10">H84-F85-D85+B85</f>
        <v>6.4579999999999984</v>
      </c>
      <c r="I85" s="43">
        <f t="shared" ref="I85:I87" si="11">I84-E85+C85</f>
        <v>28.457999999999998</v>
      </c>
      <c r="J85" s="56">
        <f t="shared" ref="J85:J87" si="12">SUM(H85:I85)</f>
        <v>34.915999999999997</v>
      </c>
    </row>
    <row r="86" spans="1:10" ht="15.75" customHeight="1">
      <c r="A86" s="59" t="s">
        <v>94</v>
      </c>
      <c r="B86" s="57">
        <v>5</v>
      </c>
      <c r="C86" s="57">
        <v>5</v>
      </c>
      <c r="D86" s="58"/>
      <c r="E86" s="58"/>
      <c r="F86" s="57"/>
      <c r="G86" s="57"/>
      <c r="H86" s="43">
        <f t="shared" si="10"/>
        <v>11.457999999999998</v>
      </c>
      <c r="I86" s="43">
        <f t="shared" si="11"/>
        <v>33.457999999999998</v>
      </c>
      <c r="J86" s="56">
        <f t="shared" si="12"/>
        <v>44.915999999999997</v>
      </c>
    </row>
    <row r="87" spans="1:10" ht="15.75" customHeight="1">
      <c r="A87" s="59" t="s">
        <v>95</v>
      </c>
      <c r="B87" s="57"/>
      <c r="C87" s="57"/>
      <c r="D87" s="58"/>
      <c r="E87" s="58"/>
      <c r="F87" s="57"/>
      <c r="G87" s="60">
        <v>1</v>
      </c>
      <c r="H87" s="43">
        <f t="shared" si="10"/>
        <v>11.457999999999998</v>
      </c>
      <c r="I87" s="43">
        <f t="shared" si="11"/>
        <v>33.457999999999998</v>
      </c>
      <c r="J87" s="56">
        <f t="shared" si="12"/>
        <v>44.915999999999997</v>
      </c>
    </row>
    <row r="88" spans="1:10" ht="15.75" customHeight="1">
      <c r="A88" s="59" t="s">
        <v>96</v>
      </c>
      <c r="B88" s="57">
        <v>2.5</v>
      </c>
      <c r="C88" s="57">
        <v>2.5</v>
      </c>
      <c r="D88" s="58"/>
      <c r="E88" s="58"/>
      <c r="F88" s="57"/>
      <c r="G88" s="57"/>
      <c r="H88" s="43">
        <f t="shared" ref="H88:H89" si="13">H87-F88-D88+B88</f>
        <v>13.957999999999998</v>
      </c>
      <c r="I88" s="43">
        <f t="shared" ref="I88:I89" si="14">I87-E88+C88</f>
        <v>35.957999999999998</v>
      </c>
      <c r="J88" s="56">
        <f t="shared" ref="J88:J89" si="15">SUM(H88:I88)</f>
        <v>49.915999999999997</v>
      </c>
    </row>
    <row r="89" spans="1:10" ht="15.75" customHeight="1">
      <c r="A89" s="59" t="s">
        <v>97</v>
      </c>
      <c r="B89" s="57"/>
      <c r="C89" s="57"/>
      <c r="D89" s="58">
        <v>8.9580000000000002</v>
      </c>
      <c r="E89" s="58">
        <v>21.042000000000002</v>
      </c>
      <c r="F89" s="57"/>
      <c r="G89" s="57"/>
      <c r="H89" s="43">
        <f t="shared" si="13"/>
        <v>4.9999999999999982</v>
      </c>
      <c r="I89" s="43">
        <f t="shared" si="14"/>
        <v>14.915999999999997</v>
      </c>
      <c r="J89" s="56">
        <f t="shared" si="15"/>
        <v>19.915999999999997</v>
      </c>
    </row>
    <row r="90" spans="1:10" ht="15.75" customHeight="1">
      <c r="A90" s="59" t="s">
        <v>98</v>
      </c>
      <c r="B90" s="57">
        <v>1.25</v>
      </c>
      <c r="C90" s="57">
        <v>1.25</v>
      </c>
      <c r="D90" s="58"/>
      <c r="E90" s="58"/>
      <c r="F90" s="57"/>
      <c r="G90" s="57"/>
      <c r="H90" s="43">
        <f t="shared" ref="H90:H92" si="16">H89-F90-D90+B90</f>
        <v>6.2499999999999982</v>
      </c>
      <c r="I90" s="43">
        <f t="shared" ref="I90:I92" si="17">I89-E90+C90</f>
        <v>16.165999999999997</v>
      </c>
      <c r="J90" s="56">
        <f t="shared" ref="J90:J92" si="18">SUM(H90:I90)</f>
        <v>22.415999999999997</v>
      </c>
    </row>
    <row r="91" spans="1:10" ht="15.75" customHeight="1">
      <c r="A91" s="59" t="s">
        <v>99</v>
      </c>
      <c r="B91" s="57"/>
      <c r="C91" s="57"/>
      <c r="D91" s="58"/>
      <c r="E91" s="58"/>
      <c r="F91" s="57"/>
      <c r="G91" s="60">
        <v>1</v>
      </c>
      <c r="H91" s="43">
        <f t="shared" si="16"/>
        <v>6.2499999999999982</v>
      </c>
      <c r="I91" s="43">
        <f t="shared" si="17"/>
        <v>16.165999999999997</v>
      </c>
      <c r="J91" s="56">
        <f t="shared" si="18"/>
        <v>22.415999999999997</v>
      </c>
    </row>
    <row r="92" spans="1:10" ht="15.75" customHeight="1">
      <c r="A92" s="59" t="s">
        <v>100</v>
      </c>
      <c r="B92" s="57"/>
      <c r="C92" s="57"/>
      <c r="D92" s="58"/>
      <c r="E92" s="58"/>
      <c r="F92" s="61">
        <v>1</v>
      </c>
      <c r="G92" s="57"/>
      <c r="H92" s="43">
        <f t="shared" si="16"/>
        <v>5.2499999999999982</v>
      </c>
      <c r="I92" s="43">
        <f t="shared" si="17"/>
        <v>16.165999999999997</v>
      </c>
      <c r="J92" s="56">
        <f t="shared" si="18"/>
        <v>21.415999999999997</v>
      </c>
    </row>
    <row r="93" spans="1:10" ht="15.75" customHeight="1">
      <c r="A93" s="59" t="s">
        <v>98</v>
      </c>
      <c r="B93" s="57">
        <v>1.25</v>
      </c>
      <c r="C93" s="57">
        <v>1.25</v>
      </c>
      <c r="D93" s="58"/>
      <c r="E93" s="58"/>
      <c r="F93" s="57"/>
      <c r="G93" s="57"/>
      <c r="H93" s="43">
        <f t="shared" ref="H93:H94" si="19">H92-F93-D93+B93</f>
        <v>6.4999999999999982</v>
      </c>
      <c r="I93" s="43">
        <f t="shared" ref="I93:I94" si="20">I92-E93+C93</f>
        <v>17.415999999999997</v>
      </c>
      <c r="J93" s="56">
        <f t="shared" ref="J93:J94" si="21">SUM(H93:I93)</f>
        <v>23.915999999999997</v>
      </c>
    </row>
    <row r="94" spans="1:10" ht="15.75" customHeight="1">
      <c r="A94" s="59" t="s">
        <v>101</v>
      </c>
      <c r="B94" s="57"/>
      <c r="C94" s="57"/>
      <c r="D94" s="58"/>
      <c r="E94" s="58"/>
      <c r="F94" s="57"/>
      <c r="G94" s="60">
        <v>1</v>
      </c>
      <c r="H94" s="43">
        <f t="shared" si="19"/>
        <v>6.4999999999999982</v>
      </c>
      <c r="I94" s="43">
        <f t="shared" si="20"/>
        <v>17.415999999999997</v>
      </c>
      <c r="J94" s="56">
        <f t="shared" si="21"/>
        <v>23.915999999999997</v>
      </c>
    </row>
    <row r="95" spans="1:10" ht="15.75" customHeight="1">
      <c r="A95" s="59" t="s">
        <v>102</v>
      </c>
      <c r="B95" s="57"/>
      <c r="C95" s="57"/>
      <c r="D95" s="58"/>
      <c r="E95" s="58"/>
      <c r="F95" s="61">
        <v>1</v>
      </c>
      <c r="G95" s="57"/>
      <c r="H95" s="43">
        <f t="shared" ref="H95" si="22">H94-F95-D95+B95</f>
        <v>5.4999999999999982</v>
      </c>
      <c r="I95" s="43">
        <f t="shared" ref="I95" si="23">I94-E95+C95</f>
        <v>17.415999999999997</v>
      </c>
      <c r="J95" s="56">
        <f t="shared" ref="J95" si="24">SUM(H95:I95)</f>
        <v>22.915999999999997</v>
      </c>
    </row>
    <row r="96" spans="1:10" ht="15.75" customHeight="1">
      <c r="A96" s="59" t="s">
        <v>103</v>
      </c>
      <c r="B96" s="57">
        <v>3.75</v>
      </c>
      <c r="C96" s="57">
        <v>3.75</v>
      </c>
      <c r="D96" s="58"/>
      <c r="E96" s="58"/>
      <c r="F96" s="57"/>
      <c r="G96" s="57"/>
      <c r="H96" s="43">
        <f t="shared" ref="H96" si="25">H95-F96-D96+B96</f>
        <v>9.2499999999999982</v>
      </c>
      <c r="I96" s="43">
        <f t="shared" ref="I96" si="26">I95-E96+C96</f>
        <v>21.165999999999997</v>
      </c>
      <c r="J96" s="56">
        <f t="shared" ref="J96" si="27">SUM(H96:I96)</f>
        <v>30.415999999999997</v>
      </c>
    </row>
    <row r="97" spans="1:10" ht="15.75" customHeight="1">
      <c r="A97" s="59" t="s">
        <v>104</v>
      </c>
      <c r="B97" s="57"/>
      <c r="C97" s="57"/>
      <c r="D97" s="58"/>
      <c r="E97" s="58"/>
      <c r="F97" s="61">
        <v>2</v>
      </c>
      <c r="G97" s="57"/>
      <c r="H97" s="43">
        <f>H96-F97-D97+B97</f>
        <v>7.2499999999999982</v>
      </c>
      <c r="I97" s="43">
        <f>I96-E97+C97</f>
        <v>21.165999999999997</v>
      </c>
      <c r="J97" s="56">
        <f>SUM(H97:I97)</f>
        <v>28.415999999999997</v>
      </c>
    </row>
    <row r="98" spans="1:10" ht="15.75" customHeight="1">
      <c r="A98" s="128" t="s">
        <v>147</v>
      </c>
      <c r="B98" s="129">
        <v>2.5</v>
      </c>
      <c r="C98" s="129">
        <v>2.5</v>
      </c>
      <c r="D98" s="130"/>
      <c r="E98" s="130"/>
      <c r="F98" s="129"/>
      <c r="G98" s="129"/>
      <c r="H98" s="43">
        <f t="shared" ref="H98:H99" si="28">H97-F98-D98+B98</f>
        <v>9.7499999999999982</v>
      </c>
      <c r="I98" s="43">
        <f t="shared" ref="I98:I99" si="29">I97-E98+C98</f>
        <v>23.665999999999997</v>
      </c>
      <c r="J98" s="56">
        <f t="shared" ref="J98:J99" si="30">SUM(H98:I98)</f>
        <v>33.415999999999997</v>
      </c>
    </row>
    <row r="99" spans="1:10" ht="15.75" customHeight="1">
      <c r="A99" s="128" t="s">
        <v>148</v>
      </c>
      <c r="B99" s="129"/>
      <c r="C99" s="129"/>
      <c r="D99" s="130"/>
      <c r="E99" s="130"/>
      <c r="F99" s="61">
        <v>1</v>
      </c>
      <c r="G99" s="129"/>
      <c r="H99" s="43">
        <f t="shared" si="28"/>
        <v>8.7499999999999982</v>
      </c>
      <c r="I99" s="43">
        <f t="shared" si="29"/>
        <v>23.665999999999997</v>
      </c>
      <c r="J99" s="56">
        <f t="shared" si="30"/>
        <v>32.415999999999997</v>
      </c>
    </row>
    <row r="100" spans="1:10" ht="15.75" customHeight="1">
      <c r="A100" s="128"/>
      <c r="B100" s="129"/>
      <c r="C100" s="129"/>
      <c r="D100" s="130"/>
      <c r="E100" s="130"/>
      <c r="F100" s="129"/>
      <c r="G100" s="129"/>
      <c r="H100" s="131"/>
      <c r="I100" s="131"/>
      <c r="J100" s="131"/>
    </row>
    <row r="101" spans="1:10" ht="15.75" customHeight="1">
      <c r="A101" s="120"/>
      <c r="B101" s="121"/>
      <c r="C101" s="121"/>
      <c r="D101" s="122"/>
      <c r="E101" s="122"/>
      <c r="F101" s="121"/>
      <c r="G101" s="121"/>
      <c r="H101" s="123"/>
      <c r="I101" s="123"/>
      <c r="J101" s="123"/>
    </row>
    <row r="102" spans="1:10" ht="15.75" customHeight="1">
      <c r="A102" s="124"/>
      <c r="B102" s="125"/>
      <c r="C102" s="125"/>
      <c r="D102" s="126"/>
      <c r="E102" s="126"/>
      <c r="F102" s="125"/>
      <c r="G102" s="125"/>
      <c r="H102" s="127"/>
      <c r="I102" s="127"/>
      <c r="J102" s="127"/>
    </row>
    <row r="103" spans="1:10" s="1" customFormat="1" ht="14.1" customHeight="1"/>
    <row r="104" spans="1:10" s="1" customFormat="1" ht="14.1" customHeight="1">
      <c r="G104" s="1" t="s">
        <v>105</v>
      </c>
    </row>
    <row r="105" spans="1:10" s="1" customFormat="1" ht="14.1" customHeight="1"/>
    <row r="106" spans="1:10" s="1" customFormat="1" ht="14.1" customHeight="1">
      <c r="G106" s="63" t="s">
        <v>106</v>
      </c>
    </row>
    <row r="107" spans="1:10" s="1" customFormat="1" ht="14.1" customHeight="1">
      <c r="G107" s="1" t="s">
        <v>107</v>
      </c>
    </row>
    <row r="108" spans="1:10">
      <c r="A108" s="62"/>
      <c r="B108" s="62"/>
      <c r="C108" s="62"/>
      <c r="D108" s="62"/>
      <c r="E108" s="62"/>
      <c r="F108" s="62"/>
      <c r="G108" s="1" t="s">
        <v>108</v>
      </c>
      <c r="H108" s="62"/>
      <c r="I108" s="62"/>
      <c r="J108" s="62"/>
    </row>
    <row r="109" spans="1:10">
      <c r="A109" s="62"/>
      <c r="B109" s="62"/>
      <c r="C109" s="62"/>
      <c r="D109" s="62"/>
      <c r="E109" s="62"/>
      <c r="F109" s="62"/>
      <c r="G109" s="62"/>
      <c r="H109" s="62"/>
      <c r="I109" s="62"/>
      <c r="J109" s="62"/>
    </row>
    <row r="110" spans="1:10">
      <c r="A110" s="62"/>
      <c r="B110" s="62"/>
      <c r="C110" s="62"/>
      <c r="D110" s="62"/>
      <c r="E110" s="62"/>
      <c r="F110" s="62"/>
      <c r="G110" s="62"/>
      <c r="H110" s="62"/>
      <c r="I110" s="62"/>
      <c r="J110" s="62"/>
    </row>
    <row r="111" spans="1:10">
      <c r="A111" s="62"/>
      <c r="B111" s="62"/>
      <c r="C111" s="62"/>
      <c r="D111" s="62"/>
      <c r="E111" s="62"/>
      <c r="F111" s="62"/>
      <c r="G111" s="62"/>
      <c r="H111" s="62"/>
      <c r="I111" s="62"/>
      <c r="J111" s="62"/>
    </row>
    <row r="112" spans="1:10">
      <c r="A112" s="62"/>
      <c r="B112" s="62"/>
      <c r="C112" s="62"/>
      <c r="D112" s="62"/>
      <c r="E112" s="62"/>
      <c r="F112" s="62"/>
      <c r="G112" s="62"/>
      <c r="H112" s="62"/>
      <c r="I112" s="62"/>
      <c r="J112" s="62"/>
    </row>
    <row r="113" spans="1:10">
      <c r="A113" s="62"/>
      <c r="B113" s="62"/>
      <c r="C113" s="62"/>
      <c r="D113" s="62"/>
      <c r="E113" s="62"/>
      <c r="F113" s="62"/>
      <c r="G113" s="62"/>
      <c r="H113" s="62"/>
      <c r="I113" s="62"/>
      <c r="J113" s="62"/>
    </row>
    <row r="114" spans="1:10">
      <c r="A114" s="62"/>
      <c r="B114" s="62"/>
      <c r="C114" s="62"/>
      <c r="D114" s="62"/>
      <c r="E114" s="62"/>
      <c r="F114" s="62"/>
      <c r="G114" s="62"/>
      <c r="H114" s="62"/>
      <c r="I114" s="62"/>
      <c r="J114" s="62"/>
    </row>
    <row r="115" spans="1:10">
      <c r="A115" s="62"/>
      <c r="B115" s="62"/>
      <c r="C115" s="62"/>
      <c r="D115" s="62"/>
      <c r="E115" s="62"/>
      <c r="F115" s="62"/>
      <c r="G115" s="62"/>
      <c r="H115" s="62"/>
      <c r="I115" s="62"/>
      <c r="J115" s="62"/>
    </row>
    <row r="116" spans="1:10">
      <c r="A116" s="62"/>
      <c r="B116" s="62"/>
      <c r="C116" s="62"/>
      <c r="D116" s="62"/>
      <c r="E116" s="62"/>
      <c r="F116" s="62"/>
      <c r="G116" s="62"/>
      <c r="H116" s="62"/>
      <c r="I116" s="62"/>
      <c r="J116" s="62"/>
    </row>
    <row r="117" spans="1:10">
      <c r="A117" s="62"/>
      <c r="B117" s="62"/>
      <c r="C117" s="62"/>
      <c r="D117" s="62"/>
      <c r="E117" s="62"/>
      <c r="F117" s="62"/>
      <c r="G117" s="62"/>
      <c r="H117" s="62"/>
      <c r="I117" s="62"/>
      <c r="J117" s="62"/>
    </row>
    <row r="118" spans="1:10">
      <c r="A118" s="62"/>
      <c r="B118" s="62"/>
      <c r="C118" s="62"/>
      <c r="D118" s="62"/>
      <c r="E118" s="62"/>
      <c r="F118" s="62"/>
      <c r="G118" s="62"/>
      <c r="H118" s="62"/>
      <c r="I118" s="62"/>
      <c r="J118" s="62"/>
    </row>
    <row r="119" spans="1:10">
      <c r="A119" s="62"/>
      <c r="B119" s="62"/>
      <c r="C119" s="62"/>
      <c r="D119" s="62"/>
      <c r="E119" s="62"/>
      <c r="F119" s="62"/>
      <c r="G119" s="62"/>
      <c r="H119" s="62"/>
      <c r="I119" s="62"/>
      <c r="J119" s="62"/>
    </row>
    <row r="120" spans="1:10">
      <c r="A120" s="62"/>
      <c r="B120" s="62"/>
      <c r="C120" s="62"/>
      <c r="D120" s="62"/>
      <c r="E120" s="62"/>
      <c r="F120" s="62"/>
      <c r="G120" s="62"/>
      <c r="H120" s="62"/>
      <c r="I120" s="62"/>
      <c r="J120" s="62"/>
    </row>
    <row r="121" spans="1:10">
      <c r="A121" s="62"/>
      <c r="B121" s="62"/>
      <c r="C121" s="62"/>
      <c r="D121" s="62"/>
      <c r="E121" s="62"/>
      <c r="F121" s="62"/>
      <c r="G121" s="62"/>
      <c r="H121" s="62"/>
      <c r="I121" s="62"/>
      <c r="J121" s="62"/>
    </row>
    <row r="122" spans="1:10">
      <c r="A122" s="62"/>
      <c r="B122" s="62"/>
      <c r="C122" s="62"/>
      <c r="D122" s="62"/>
      <c r="E122" s="62"/>
      <c r="F122" s="62"/>
      <c r="G122" s="62"/>
      <c r="H122" s="62"/>
      <c r="I122" s="62"/>
      <c r="J122" s="62"/>
    </row>
    <row r="123" spans="1:10">
      <c r="A123" s="62"/>
      <c r="B123" s="62"/>
      <c r="C123" s="62"/>
      <c r="D123" s="62"/>
      <c r="E123" s="62"/>
      <c r="F123" s="62"/>
      <c r="G123" s="62"/>
      <c r="H123" s="62"/>
      <c r="I123" s="62"/>
      <c r="J123" s="62"/>
    </row>
    <row r="124" spans="1:10">
      <c r="A124" s="62"/>
      <c r="B124" s="62"/>
      <c r="C124" s="62"/>
      <c r="D124" s="62"/>
      <c r="E124" s="62"/>
      <c r="F124" s="62"/>
      <c r="G124" s="62"/>
      <c r="H124" s="62"/>
      <c r="I124" s="62"/>
      <c r="J124" s="62"/>
    </row>
    <row r="125" spans="1:10">
      <c r="A125" s="62"/>
      <c r="B125" s="62"/>
      <c r="C125" s="62"/>
      <c r="D125" s="62"/>
      <c r="E125" s="62"/>
      <c r="F125" s="62"/>
      <c r="G125" s="62"/>
      <c r="H125" s="62"/>
      <c r="I125" s="62"/>
      <c r="J125" s="62"/>
    </row>
    <row r="126" spans="1:10">
      <c r="A126" s="62"/>
      <c r="B126" s="62"/>
      <c r="C126" s="62"/>
      <c r="D126" s="62"/>
      <c r="E126" s="62"/>
      <c r="F126" s="62"/>
      <c r="G126" s="62"/>
      <c r="H126" s="62"/>
      <c r="I126" s="62"/>
      <c r="J126" s="62"/>
    </row>
    <row r="127" spans="1:10">
      <c r="A127" s="62"/>
      <c r="B127" s="62"/>
      <c r="C127" s="62"/>
      <c r="D127" s="62"/>
      <c r="E127" s="62"/>
      <c r="F127" s="62"/>
      <c r="G127" s="62"/>
      <c r="H127" s="62"/>
      <c r="I127" s="62"/>
      <c r="J127" s="62"/>
    </row>
    <row r="128" spans="1:10">
      <c r="A128" s="62"/>
      <c r="B128" s="62"/>
      <c r="C128" s="62"/>
      <c r="D128" s="62"/>
      <c r="E128" s="62"/>
      <c r="F128" s="62"/>
      <c r="G128" s="62"/>
      <c r="H128" s="62"/>
      <c r="I128" s="62"/>
      <c r="J128" s="62"/>
    </row>
    <row r="129" spans="1:10">
      <c r="A129" s="62"/>
      <c r="B129" s="62"/>
      <c r="C129" s="62"/>
      <c r="D129" s="62"/>
      <c r="E129" s="62"/>
      <c r="F129" s="62"/>
      <c r="G129" s="62"/>
      <c r="H129" s="62"/>
      <c r="I129" s="62"/>
      <c r="J129" s="62"/>
    </row>
    <row r="130" spans="1:10">
      <c r="A130" s="62"/>
      <c r="B130" s="62"/>
      <c r="C130" s="62"/>
      <c r="D130" s="62"/>
      <c r="E130" s="62"/>
      <c r="F130" s="62"/>
      <c r="G130" s="62"/>
      <c r="H130" s="62"/>
      <c r="I130" s="62"/>
      <c r="J130" s="62"/>
    </row>
    <row r="131" spans="1:10">
      <c r="A131" s="62"/>
      <c r="B131" s="62"/>
      <c r="C131" s="62"/>
      <c r="D131" s="62"/>
      <c r="E131" s="62"/>
      <c r="F131" s="62"/>
      <c r="G131" s="62"/>
      <c r="H131" s="62"/>
      <c r="I131" s="62"/>
      <c r="J131" s="62"/>
    </row>
    <row r="132" spans="1:10">
      <c r="A132" s="62"/>
      <c r="B132" s="62"/>
      <c r="C132" s="62"/>
      <c r="D132" s="62"/>
      <c r="E132" s="62"/>
      <c r="F132" s="62"/>
      <c r="G132" s="62"/>
      <c r="H132" s="62"/>
      <c r="I132" s="62"/>
      <c r="J132" s="62"/>
    </row>
    <row r="133" spans="1:10">
      <c r="A133" s="62"/>
      <c r="B133" s="62"/>
      <c r="C133" s="62"/>
      <c r="D133" s="62"/>
      <c r="E133" s="62"/>
      <c r="F133" s="62"/>
      <c r="G133" s="62"/>
      <c r="H133" s="62"/>
      <c r="I133" s="62"/>
      <c r="J133" s="62"/>
    </row>
    <row r="134" spans="1:10">
      <c r="A134" s="62"/>
      <c r="B134" s="62"/>
      <c r="C134" s="62"/>
      <c r="D134" s="62"/>
      <c r="E134" s="62"/>
      <c r="F134" s="62"/>
      <c r="G134" s="62"/>
      <c r="H134" s="62"/>
      <c r="I134" s="62"/>
      <c r="J134" s="62"/>
    </row>
    <row r="135" spans="1:10">
      <c r="A135" s="62"/>
      <c r="B135" s="62"/>
      <c r="C135" s="62"/>
      <c r="D135" s="62"/>
      <c r="E135" s="62"/>
      <c r="F135" s="62"/>
      <c r="G135" s="62"/>
      <c r="H135" s="62"/>
      <c r="I135" s="62"/>
      <c r="J135" s="62"/>
    </row>
    <row r="136" spans="1:10">
      <c r="A136" s="62"/>
      <c r="B136" s="62"/>
      <c r="C136" s="62"/>
      <c r="D136" s="62"/>
      <c r="E136" s="62"/>
      <c r="F136" s="62"/>
      <c r="G136" s="62"/>
      <c r="H136" s="62"/>
      <c r="I136" s="62"/>
      <c r="J136" s="62"/>
    </row>
    <row r="137" spans="1:10">
      <c r="A137" s="62"/>
      <c r="B137" s="62"/>
      <c r="C137" s="62"/>
      <c r="D137" s="62"/>
      <c r="E137" s="62"/>
      <c r="F137" s="62"/>
      <c r="G137" s="62"/>
      <c r="H137" s="62"/>
      <c r="I137" s="62"/>
      <c r="J137" s="62"/>
    </row>
    <row r="138" spans="1:10">
      <c r="A138" s="62"/>
      <c r="B138" s="62"/>
      <c r="C138" s="62"/>
      <c r="D138" s="62"/>
      <c r="E138" s="62"/>
      <c r="F138" s="62"/>
      <c r="G138" s="62"/>
      <c r="H138" s="62"/>
      <c r="I138" s="62"/>
      <c r="J138" s="62"/>
    </row>
    <row r="139" spans="1:10">
      <c r="A139" s="62"/>
      <c r="B139" s="62"/>
      <c r="C139" s="62"/>
      <c r="D139" s="62"/>
      <c r="E139" s="62"/>
      <c r="F139" s="62"/>
      <c r="G139" s="62"/>
      <c r="H139" s="62"/>
      <c r="I139" s="62"/>
      <c r="J139" s="62"/>
    </row>
    <row r="140" spans="1:10">
      <c r="A140" s="62"/>
      <c r="B140" s="62"/>
      <c r="C140" s="62"/>
      <c r="D140" s="62"/>
      <c r="E140" s="62"/>
      <c r="F140" s="62"/>
      <c r="G140" s="62"/>
      <c r="H140" s="62"/>
      <c r="I140" s="62"/>
      <c r="J140" s="62"/>
    </row>
    <row r="141" spans="1:10">
      <c r="A141" s="62"/>
      <c r="B141" s="62"/>
      <c r="C141" s="62"/>
      <c r="D141" s="62"/>
      <c r="E141" s="62"/>
      <c r="F141" s="62"/>
      <c r="G141" s="62"/>
      <c r="H141" s="62"/>
      <c r="I141" s="62"/>
      <c r="J141" s="62"/>
    </row>
    <row r="142" spans="1:10">
      <c r="A142" s="62"/>
      <c r="B142" s="62"/>
      <c r="C142" s="62"/>
      <c r="D142" s="62"/>
      <c r="E142" s="62"/>
      <c r="F142" s="62"/>
      <c r="G142" s="62"/>
      <c r="H142" s="62"/>
      <c r="I142" s="62"/>
      <c r="J142" s="62"/>
    </row>
    <row r="143" spans="1:10">
      <c r="A143" s="62"/>
      <c r="B143" s="62"/>
      <c r="C143" s="62"/>
      <c r="D143" s="62"/>
      <c r="E143" s="62"/>
      <c r="F143" s="62"/>
      <c r="G143" s="62"/>
      <c r="H143" s="62"/>
      <c r="I143" s="62"/>
      <c r="J143" s="62"/>
    </row>
    <row r="144" spans="1:10">
      <c r="A144" s="62"/>
      <c r="B144" s="62"/>
      <c r="C144" s="62"/>
      <c r="D144" s="62"/>
      <c r="E144" s="62"/>
      <c r="F144" s="62"/>
      <c r="G144" s="62"/>
      <c r="H144" s="62"/>
      <c r="I144" s="62"/>
      <c r="J144" s="62"/>
    </row>
    <row r="145" spans="1:10">
      <c r="A145" s="62"/>
      <c r="B145" s="62"/>
      <c r="C145" s="62"/>
      <c r="D145" s="62"/>
      <c r="E145" s="62"/>
      <c r="F145" s="62"/>
      <c r="G145" s="62"/>
      <c r="H145" s="62"/>
      <c r="I145" s="62"/>
      <c r="J145" s="62"/>
    </row>
    <row r="146" spans="1:10">
      <c r="A146" s="62"/>
      <c r="B146" s="62"/>
      <c r="C146" s="62"/>
      <c r="D146" s="62"/>
      <c r="E146" s="62"/>
      <c r="F146" s="62"/>
      <c r="G146" s="62"/>
      <c r="H146" s="62"/>
      <c r="I146" s="62"/>
      <c r="J146" s="62"/>
    </row>
    <row r="147" spans="1:10">
      <c r="A147" s="62"/>
      <c r="B147" s="62"/>
      <c r="C147" s="62"/>
      <c r="D147" s="62"/>
      <c r="E147" s="62"/>
      <c r="F147" s="62"/>
      <c r="G147" s="62"/>
      <c r="H147" s="62"/>
      <c r="I147" s="62"/>
      <c r="J147" s="62"/>
    </row>
    <row r="148" spans="1:10">
      <c r="A148" s="62"/>
      <c r="B148" s="62"/>
      <c r="C148" s="62"/>
      <c r="D148" s="62"/>
      <c r="E148" s="62"/>
      <c r="F148" s="62"/>
      <c r="G148" s="62"/>
      <c r="H148" s="62"/>
      <c r="I148" s="62"/>
      <c r="J148" s="62"/>
    </row>
    <row r="149" spans="1:10">
      <c r="A149" s="62"/>
      <c r="B149" s="62"/>
      <c r="C149" s="62"/>
      <c r="D149" s="62"/>
      <c r="E149" s="62"/>
      <c r="F149" s="62"/>
      <c r="G149" s="62"/>
      <c r="H149" s="62"/>
      <c r="I149" s="62"/>
      <c r="J149" s="62"/>
    </row>
    <row r="150" spans="1:10">
      <c r="A150" s="62"/>
      <c r="B150" s="62"/>
      <c r="C150" s="62"/>
      <c r="D150" s="62"/>
      <c r="E150" s="62"/>
      <c r="F150" s="62"/>
      <c r="G150" s="62"/>
      <c r="H150" s="62"/>
      <c r="I150" s="62"/>
      <c r="J150" s="62"/>
    </row>
    <row r="151" spans="1:10">
      <c r="A151" s="62"/>
      <c r="B151" s="62"/>
      <c r="C151" s="62"/>
      <c r="D151" s="62"/>
      <c r="E151" s="62"/>
      <c r="F151" s="62"/>
      <c r="G151" s="62"/>
      <c r="H151" s="62"/>
      <c r="I151" s="62"/>
      <c r="J151" s="62"/>
    </row>
    <row r="152" spans="1:10">
      <c r="A152" s="62"/>
      <c r="B152" s="62"/>
      <c r="C152" s="62"/>
      <c r="D152" s="62"/>
      <c r="E152" s="62"/>
      <c r="F152" s="62"/>
      <c r="G152" s="62"/>
      <c r="H152" s="62"/>
      <c r="I152" s="62"/>
      <c r="J152" s="62"/>
    </row>
    <row r="153" spans="1:10">
      <c r="A153" s="62"/>
      <c r="B153" s="62"/>
      <c r="C153" s="62"/>
      <c r="D153" s="62"/>
      <c r="E153" s="62"/>
      <c r="F153" s="62"/>
      <c r="G153" s="62"/>
      <c r="H153" s="62"/>
      <c r="I153" s="62"/>
      <c r="J153" s="62"/>
    </row>
    <row r="154" spans="1:10">
      <c r="A154" s="62"/>
      <c r="B154" s="62"/>
      <c r="C154" s="62"/>
      <c r="D154" s="62"/>
      <c r="E154" s="62"/>
      <c r="F154" s="62"/>
      <c r="G154" s="62"/>
      <c r="H154" s="62"/>
      <c r="I154" s="62"/>
      <c r="J154" s="62"/>
    </row>
    <row r="155" spans="1:10">
      <c r="A155" s="62"/>
      <c r="B155" s="62"/>
      <c r="C155" s="62"/>
      <c r="D155" s="62"/>
      <c r="E155" s="62"/>
      <c r="F155" s="62"/>
      <c r="G155" s="62"/>
      <c r="H155" s="62"/>
      <c r="I155" s="62"/>
      <c r="J155" s="62"/>
    </row>
    <row r="156" spans="1:10">
      <c r="A156" s="62"/>
      <c r="B156" s="62"/>
      <c r="C156" s="62"/>
      <c r="D156" s="62"/>
      <c r="E156" s="62"/>
      <c r="F156" s="62"/>
      <c r="G156" s="62"/>
      <c r="H156" s="62"/>
      <c r="I156" s="62"/>
      <c r="J156" s="62"/>
    </row>
    <row r="157" spans="1:10">
      <c r="A157" s="62"/>
      <c r="B157" s="62"/>
      <c r="C157" s="62"/>
      <c r="D157" s="62"/>
      <c r="E157" s="62"/>
      <c r="F157" s="62"/>
      <c r="G157" s="62"/>
      <c r="H157" s="62"/>
      <c r="I157" s="62"/>
      <c r="J157" s="62"/>
    </row>
    <row r="158" spans="1:10">
      <c r="A158" s="62"/>
      <c r="B158" s="62"/>
      <c r="C158" s="62"/>
      <c r="D158" s="62"/>
      <c r="E158" s="62"/>
      <c r="F158" s="62"/>
      <c r="G158" s="62"/>
      <c r="H158" s="62"/>
      <c r="I158" s="62"/>
      <c r="J158" s="62"/>
    </row>
    <row r="159" spans="1:10">
      <c r="A159" s="62"/>
      <c r="B159" s="62"/>
      <c r="C159" s="62"/>
      <c r="D159" s="62"/>
      <c r="E159" s="62"/>
      <c r="F159" s="62"/>
      <c r="G159" s="62"/>
      <c r="H159" s="62"/>
      <c r="I159" s="62"/>
      <c r="J159" s="62"/>
    </row>
    <row r="160" spans="1:10">
      <c r="A160" s="62"/>
      <c r="B160" s="62"/>
      <c r="C160" s="62"/>
      <c r="D160" s="62"/>
      <c r="E160" s="62"/>
      <c r="F160" s="62"/>
      <c r="G160" s="62"/>
      <c r="H160" s="62"/>
      <c r="I160" s="62"/>
      <c r="J160" s="62"/>
    </row>
  </sheetData>
  <mergeCells count="13">
    <mergeCell ref="K11:K12"/>
    <mergeCell ref="B9:D9"/>
    <mergeCell ref="A10:J10"/>
    <mergeCell ref="B11:C11"/>
    <mergeCell ref="D11:G11"/>
    <mergeCell ref="H11:I11"/>
    <mergeCell ref="A11:A12"/>
    <mergeCell ref="J11:J12"/>
    <mergeCell ref="A2:J2"/>
    <mergeCell ref="A3:J3"/>
    <mergeCell ref="A4:J4"/>
    <mergeCell ref="A5:J5"/>
    <mergeCell ref="B7:D7"/>
  </mergeCells>
  <printOptions horizontalCentered="1"/>
  <pageMargins left="0.23622047244094499" right="0.23622047244094499" top="0.70866141732283505" bottom="0.31496062992126" header="0.31496062992126" footer="0.31496062992126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9"/>
  <sheetViews>
    <sheetView view="pageBreakPreview" topLeftCell="A11" zoomScale="112" zoomScaleNormal="100" workbookViewId="0">
      <selection activeCell="A21" sqref="A21:XFD22"/>
    </sheetView>
  </sheetViews>
  <sheetFormatPr defaultColWidth="8.7109375" defaultRowHeight="15"/>
  <cols>
    <col min="1" max="1" width="33.5703125" style="22" customWidth="1"/>
    <col min="2" max="16384" width="8.7109375" style="22"/>
  </cols>
  <sheetData>
    <row r="1" spans="1:12" s="19" customFormat="1" ht="52.5" customHeight="1"/>
    <row r="2" spans="1:12" s="19" customFormat="1" ht="10.5" customHeight="1">
      <c r="A2" s="78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2" s="19" customFormat="1" ht="15.95" customHeight="1">
      <c r="A3" s="78" t="s">
        <v>1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2" s="19" customFormat="1" ht="15.95" customHeight="1">
      <c r="A4" s="78" t="s">
        <v>109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</row>
    <row r="5" spans="1:12" s="19" customFormat="1" ht="15.95" customHeight="1">
      <c r="A5" s="78" t="s">
        <v>3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</row>
    <row r="6" spans="1:12" s="19" customFormat="1" ht="8.25" customHeight="1"/>
    <row r="7" spans="1:12" s="19" customFormat="1" ht="12" customHeight="1">
      <c r="A7" s="19" t="s">
        <v>4</v>
      </c>
      <c r="C7" s="23" t="s">
        <v>5</v>
      </c>
      <c r="D7" s="23"/>
      <c r="G7" s="23" t="s">
        <v>6</v>
      </c>
      <c r="H7" s="24"/>
    </row>
    <row r="8" spans="1:12" s="19" customFormat="1" ht="12" customHeight="1">
      <c r="C8" s="25"/>
      <c r="G8" s="25"/>
      <c r="H8" s="25"/>
    </row>
    <row r="9" spans="1:12" s="19" customFormat="1" ht="12" customHeight="1">
      <c r="A9" s="19" t="s">
        <v>7</v>
      </c>
      <c r="C9" s="23" t="s">
        <v>8</v>
      </c>
      <c r="D9" s="23"/>
      <c r="G9" s="23" t="s">
        <v>9</v>
      </c>
      <c r="H9" s="26"/>
    </row>
    <row r="10" spans="1:12" ht="16.5" customHeight="1">
      <c r="A10" s="79" t="s">
        <v>110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</row>
    <row r="11" spans="1:12" s="20" customFormat="1" ht="18.75" customHeight="1">
      <c r="A11" s="95" t="s">
        <v>11</v>
      </c>
      <c r="B11" s="80" t="s">
        <v>12</v>
      </c>
      <c r="C11" s="81"/>
      <c r="D11" s="81"/>
      <c r="E11" s="81"/>
      <c r="F11" s="81"/>
      <c r="G11" s="81"/>
      <c r="H11" s="81"/>
      <c r="I11" s="81"/>
      <c r="J11" s="81"/>
      <c r="K11" s="81"/>
      <c r="L11" s="97" t="s">
        <v>15</v>
      </c>
    </row>
    <row r="12" spans="1:12" s="20" customFormat="1" ht="24" customHeight="1">
      <c r="A12" s="96"/>
      <c r="B12" s="82" t="s">
        <v>111</v>
      </c>
      <c r="C12" s="83"/>
      <c r="D12" s="83"/>
      <c r="E12" s="84"/>
      <c r="F12" s="82" t="s">
        <v>112</v>
      </c>
      <c r="G12" s="84"/>
      <c r="H12" s="82" t="s">
        <v>113</v>
      </c>
      <c r="I12" s="84"/>
      <c r="J12" s="82" t="s">
        <v>114</v>
      </c>
      <c r="K12" s="84"/>
      <c r="L12" s="98"/>
    </row>
    <row r="13" spans="1:12" s="20" customFormat="1" ht="24.95" hidden="1" customHeight="1">
      <c r="A13" s="27" t="s">
        <v>115</v>
      </c>
      <c r="B13" s="85" t="s">
        <v>116</v>
      </c>
      <c r="C13" s="86"/>
      <c r="D13" s="86"/>
      <c r="E13" s="87"/>
      <c r="F13" s="85">
        <v>1</v>
      </c>
      <c r="G13" s="87"/>
      <c r="H13" s="85">
        <v>0</v>
      </c>
      <c r="I13" s="87"/>
      <c r="J13" s="85">
        <v>1</v>
      </c>
      <c r="K13" s="87"/>
      <c r="L13" s="33">
        <v>1</v>
      </c>
    </row>
    <row r="14" spans="1:12" s="21" customFormat="1" ht="25.5" hidden="1" customHeight="1">
      <c r="A14" s="27" t="s">
        <v>117</v>
      </c>
      <c r="B14" s="85" t="s">
        <v>116</v>
      </c>
      <c r="C14" s="86"/>
      <c r="D14" s="86"/>
      <c r="E14" s="87"/>
      <c r="F14" s="85"/>
      <c r="G14" s="87"/>
      <c r="H14" s="85">
        <v>1</v>
      </c>
      <c r="I14" s="87"/>
      <c r="J14" s="85">
        <v>0</v>
      </c>
      <c r="K14" s="87"/>
      <c r="L14" s="34">
        <v>0</v>
      </c>
    </row>
    <row r="15" spans="1:12" s="21" customFormat="1" ht="25.5" hidden="1" customHeight="1">
      <c r="A15" s="28" t="s">
        <v>118</v>
      </c>
      <c r="B15" s="88" t="s">
        <v>119</v>
      </c>
      <c r="C15" s="89"/>
      <c r="D15" s="89"/>
      <c r="E15" s="90"/>
      <c r="F15" s="88">
        <v>1</v>
      </c>
      <c r="G15" s="90"/>
      <c r="H15" s="88">
        <v>0</v>
      </c>
      <c r="I15" s="90"/>
      <c r="J15" s="88">
        <v>1</v>
      </c>
      <c r="K15" s="90"/>
      <c r="L15" s="14">
        <v>1</v>
      </c>
    </row>
    <row r="16" spans="1:12" s="21" customFormat="1" ht="25.5" hidden="1" customHeight="1">
      <c r="A16" s="29" t="s">
        <v>120</v>
      </c>
      <c r="B16" s="88" t="s">
        <v>119</v>
      </c>
      <c r="C16" s="89"/>
      <c r="D16" s="89"/>
      <c r="E16" s="90"/>
      <c r="F16" s="88"/>
      <c r="G16" s="90"/>
      <c r="H16" s="85">
        <v>1</v>
      </c>
      <c r="I16" s="87"/>
      <c r="J16" s="85">
        <v>0</v>
      </c>
      <c r="K16" s="87"/>
      <c r="L16" s="35">
        <v>0</v>
      </c>
    </row>
    <row r="17" spans="1:12" s="21" customFormat="1" ht="25.5" customHeight="1">
      <c r="A17" s="28" t="s">
        <v>121</v>
      </c>
      <c r="B17" s="88" t="s">
        <v>122</v>
      </c>
      <c r="C17" s="89"/>
      <c r="D17" s="89"/>
      <c r="E17" s="90"/>
      <c r="F17" s="88">
        <v>1</v>
      </c>
      <c r="G17" s="90"/>
      <c r="H17" s="88">
        <v>0</v>
      </c>
      <c r="I17" s="90"/>
      <c r="J17" s="88">
        <v>1</v>
      </c>
      <c r="K17" s="90"/>
      <c r="L17" s="14">
        <v>1</v>
      </c>
    </row>
    <row r="18" spans="1:12" s="21" customFormat="1" ht="25.5" customHeight="1">
      <c r="A18" s="29" t="s">
        <v>123</v>
      </c>
      <c r="B18" s="88" t="s">
        <v>122</v>
      </c>
      <c r="C18" s="89"/>
      <c r="D18" s="89"/>
      <c r="E18" s="90"/>
      <c r="F18" s="88"/>
      <c r="G18" s="90"/>
      <c r="H18" s="85">
        <v>1</v>
      </c>
      <c r="I18" s="87"/>
      <c r="J18" s="85">
        <v>0</v>
      </c>
      <c r="K18" s="87"/>
      <c r="L18" s="35">
        <v>0</v>
      </c>
    </row>
    <row r="19" spans="1:12" s="21" customFormat="1" ht="25.5" customHeight="1">
      <c r="A19" s="28" t="s">
        <v>124</v>
      </c>
      <c r="B19" s="88" t="s">
        <v>125</v>
      </c>
      <c r="C19" s="89"/>
      <c r="D19" s="89"/>
      <c r="E19" s="90"/>
      <c r="F19" s="88">
        <v>1.5</v>
      </c>
      <c r="G19" s="90"/>
      <c r="H19" s="88">
        <v>0</v>
      </c>
      <c r="I19" s="90"/>
      <c r="J19" s="88">
        <v>1.5</v>
      </c>
      <c r="K19" s="90"/>
      <c r="L19" s="14">
        <v>1.5</v>
      </c>
    </row>
    <row r="20" spans="1:12" s="21" customFormat="1" ht="25.5" customHeight="1">
      <c r="A20" s="29" t="s">
        <v>126</v>
      </c>
      <c r="B20" s="88" t="s">
        <v>125</v>
      </c>
      <c r="C20" s="89"/>
      <c r="D20" s="89"/>
      <c r="E20" s="90"/>
      <c r="F20" s="88"/>
      <c r="G20" s="90"/>
      <c r="H20" s="85">
        <v>1</v>
      </c>
      <c r="I20" s="87"/>
      <c r="J20" s="85">
        <v>0.5</v>
      </c>
      <c r="K20" s="87"/>
      <c r="L20" s="36">
        <v>0.5</v>
      </c>
    </row>
    <row r="21" spans="1:12" s="21" customFormat="1" ht="25.5" customHeight="1">
      <c r="A21" s="28" t="s">
        <v>127</v>
      </c>
      <c r="B21" s="88" t="s">
        <v>128</v>
      </c>
      <c r="C21" s="89"/>
      <c r="D21" s="89"/>
      <c r="E21" s="90"/>
      <c r="F21" s="88">
        <v>1</v>
      </c>
      <c r="G21" s="90"/>
      <c r="H21" s="88">
        <v>0</v>
      </c>
      <c r="I21" s="90"/>
      <c r="J21" s="88">
        <v>1</v>
      </c>
      <c r="K21" s="90"/>
      <c r="L21" s="14">
        <v>1</v>
      </c>
    </row>
    <row r="22" spans="1:12" s="21" customFormat="1" ht="25.5" customHeight="1">
      <c r="A22" s="29" t="s">
        <v>129</v>
      </c>
      <c r="B22" s="88" t="s">
        <v>128</v>
      </c>
      <c r="C22" s="89"/>
      <c r="D22" s="89"/>
      <c r="E22" s="90"/>
      <c r="F22" s="88"/>
      <c r="G22" s="90"/>
      <c r="H22" s="85">
        <v>1</v>
      </c>
      <c r="I22" s="87"/>
      <c r="J22" s="85">
        <v>0</v>
      </c>
      <c r="K22" s="87"/>
      <c r="L22" s="35">
        <v>0</v>
      </c>
    </row>
    <row r="23" spans="1:12" s="21" customFormat="1">
      <c r="A23" s="30" t="s">
        <v>130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7"/>
    </row>
    <row r="24" spans="1:12" ht="18.95" customHeight="1">
      <c r="A24" s="91"/>
      <c r="B24" s="91"/>
      <c r="C24" s="91"/>
      <c r="D24" s="91"/>
      <c r="E24" s="91"/>
      <c r="F24" s="91"/>
      <c r="G24" s="91"/>
      <c r="H24" s="91"/>
      <c r="I24" s="91"/>
      <c r="J24" s="91"/>
      <c r="K24" s="91"/>
      <c r="L24" s="91"/>
    </row>
    <row r="25" spans="1:12" s="19" customFormat="1">
      <c r="C25" s="32"/>
      <c r="I25" s="19" t="s">
        <v>105</v>
      </c>
    </row>
    <row r="26" spans="1:12" s="19" customFormat="1">
      <c r="C26" s="32"/>
    </row>
    <row r="27" spans="1:12">
      <c r="I27" s="92" t="s">
        <v>106</v>
      </c>
      <c r="J27" s="92"/>
      <c r="K27" s="92"/>
    </row>
    <row r="28" spans="1:12">
      <c r="I28" s="93" t="s">
        <v>107</v>
      </c>
      <c r="J28" s="93"/>
      <c r="K28" s="93"/>
    </row>
    <row r="29" spans="1:12">
      <c r="I29" s="94" t="s">
        <v>131</v>
      </c>
      <c r="J29" s="94"/>
      <c r="K29" s="94"/>
    </row>
  </sheetData>
  <mergeCells count="56">
    <mergeCell ref="A24:L24"/>
    <mergeCell ref="I27:K27"/>
    <mergeCell ref="I28:K28"/>
    <mergeCell ref="I29:K29"/>
    <mergeCell ref="A11:A12"/>
    <mergeCell ref="L11:L12"/>
    <mergeCell ref="B21:E21"/>
    <mergeCell ref="F21:G21"/>
    <mergeCell ref="H21:I21"/>
    <mergeCell ref="J21:K21"/>
    <mergeCell ref="B22:E22"/>
    <mergeCell ref="F22:G22"/>
    <mergeCell ref="H22:I22"/>
    <mergeCell ref="J22:K22"/>
    <mergeCell ref="B19:E19"/>
    <mergeCell ref="F19:G19"/>
    <mergeCell ref="H19:I19"/>
    <mergeCell ref="J19:K19"/>
    <mergeCell ref="B20:E20"/>
    <mergeCell ref="F20:G20"/>
    <mergeCell ref="H20:I20"/>
    <mergeCell ref="J20:K20"/>
    <mergeCell ref="B17:E17"/>
    <mergeCell ref="F17:G17"/>
    <mergeCell ref="H17:I17"/>
    <mergeCell ref="J17:K17"/>
    <mergeCell ref="B18:E18"/>
    <mergeCell ref="F18:G18"/>
    <mergeCell ref="H18:I18"/>
    <mergeCell ref="J18:K18"/>
    <mergeCell ref="B15:E15"/>
    <mergeCell ref="F15:G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F14:G14"/>
    <mergeCell ref="H14:I14"/>
    <mergeCell ref="J14:K14"/>
    <mergeCell ref="B11:K11"/>
    <mergeCell ref="B12:E12"/>
    <mergeCell ref="F12:G12"/>
    <mergeCell ref="H12:I12"/>
    <mergeCell ref="J12:K12"/>
    <mergeCell ref="A2:L2"/>
    <mergeCell ref="A3:L3"/>
    <mergeCell ref="A4:L4"/>
    <mergeCell ref="A5:L5"/>
    <mergeCell ref="A10:L10"/>
  </mergeCells>
  <pageMargins left="0.7" right="0.7" top="0.75" bottom="0.75" header="0.3" footer="0.3"/>
  <pageSetup paperSize="9" scale="6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3"/>
  <sheetViews>
    <sheetView view="pageBreakPreview" topLeftCell="A11" zoomScaleNormal="100" workbookViewId="0">
      <selection activeCell="C20" sqref="C20:D20"/>
    </sheetView>
  </sheetViews>
  <sheetFormatPr defaultColWidth="9" defaultRowHeight="15"/>
  <cols>
    <col min="1" max="1" width="28.85546875" customWidth="1"/>
    <col min="2" max="2" width="19.5703125" customWidth="1"/>
    <col min="3" max="4" width="18.85546875" customWidth="1"/>
    <col min="5" max="5" width="8.7109375" customWidth="1"/>
    <col min="6" max="6" width="7.28515625" customWidth="1"/>
    <col min="8" max="9" width="7.5703125" customWidth="1"/>
    <col min="10" max="10" width="5.140625" customWidth="1"/>
    <col min="11" max="11" width="7.140625" customWidth="1"/>
    <col min="12" max="12" width="3.85546875" customWidth="1"/>
    <col min="13" max="13" width="8" customWidth="1"/>
  </cols>
  <sheetData>
    <row r="1" spans="1:13" s="1" customFormat="1" ht="52.5" customHeight="1"/>
    <row r="2" spans="1:13" s="1" customFormat="1" ht="10.5" customHeight="1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3" s="1" customFormat="1" ht="15.95" customHeight="1">
      <c r="A3" s="64" t="s">
        <v>1</v>
      </c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3" s="1" customFormat="1" ht="15.95" customHeight="1">
      <c r="A4" s="64" t="s">
        <v>109</v>
      </c>
      <c r="B4" s="64"/>
      <c r="C4" s="64"/>
      <c r="D4" s="64"/>
      <c r="E4" s="64"/>
      <c r="F4" s="64"/>
      <c r="G4" s="64"/>
      <c r="H4" s="64"/>
      <c r="I4" s="64"/>
      <c r="J4" s="64"/>
      <c r="K4" s="64"/>
    </row>
    <row r="5" spans="1:13" s="1" customFormat="1" ht="15.95" customHeight="1">
      <c r="A5" s="64" t="s">
        <v>3</v>
      </c>
      <c r="B5" s="64"/>
      <c r="C5" s="64"/>
      <c r="D5" s="64"/>
      <c r="E5" s="64"/>
      <c r="F5" s="64"/>
      <c r="G5" s="64"/>
      <c r="H5" s="64"/>
      <c r="I5" s="64"/>
      <c r="J5" s="64"/>
      <c r="K5" s="64"/>
    </row>
    <row r="6" spans="1:13" s="1" customFormat="1" ht="8.25" customHeight="1"/>
    <row r="7" spans="1:13" s="1" customFormat="1" ht="12" customHeight="1">
      <c r="A7" s="1" t="s">
        <v>4</v>
      </c>
      <c r="B7" s="65" t="s">
        <v>5</v>
      </c>
      <c r="C7" s="65"/>
      <c r="D7" s="65"/>
      <c r="H7" s="4" t="s">
        <v>6</v>
      </c>
      <c r="I7" s="99"/>
      <c r="J7" s="99"/>
      <c r="K7" s="4"/>
    </row>
    <row r="8" spans="1:13" s="1" customFormat="1" ht="12" customHeight="1">
      <c r="B8" s="5"/>
      <c r="C8" s="5"/>
      <c r="H8" s="5"/>
      <c r="I8" s="5"/>
      <c r="J8" s="5"/>
      <c r="K8" s="5"/>
    </row>
    <row r="9" spans="1:13" s="1" customFormat="1" ht="12" customHeight="1">
      <c r="A9" s="1" t="s">
        <v>7</v>
      </c>
      <c r="B9" s="65" t="s">
        <v>8</v>
      </c>
      <c r="C9" s="65"/>
      <c r="D9" s="65"/>
      <c r="H9" s="4" t="s">
        <v>9</v>
      </c>
      <c r="I9" s="13"/>
      <c r="J9" s="13"/>
      <c r="K9" s="4"/>
    </row>
    <row r="10" spans="1:13" ht="16.5" customHeight="1">
      <c r="A10" s="66" t="s">
        <v>132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</row>
    <row r="11" spans="1:13" s="2" customFormat="1" ht="18.75" customHeight="1">
      <c r="A11" s="105" t="s">
        <v>133</v>
      </c>
      <c r="B11" s="108" t="s">
        <v>11</v>
      </c>
      <c r="C11" s="114" t="s">
        <v>134</v>
      </c>
      <c r="D11" s="115"/>
      <c r="E11" s="114" t="s">
        <v>135</v>
      </c>
      <c r="F11" s="115"/>
      <c r="G11" s="114" t="s">
        <v>112</v>
      </c>
      <c r="H11" s="115"/>
      <c r="I11" s="114" t="s">
        <v>113</v>
      </c>
      <c r="J11" s="115"/>
      <c r="K11" s="114" t="s">
        <v>114</v>
      </c>
      <c r="L11" s="115"/>
      <c r="M11" s="111" t="s">
        <v>15</v>
      </c>
    </row>
    <row r="12" spans="1:13" s="2" customFormat="1" ht="18.75" customHeight="1">
      <c r="A12" s="106"/>
      <c r="B12" s="109"/>
      <c r="C12" s="116"/>
      <c r="D12" s="117"/>
      <c r="E12" s="116"/>
      <c r="F12" s="117"/>
      <c r="G12" s="116"/>
      <c r="H12" s="117"/>
      <c r="I12" s="116"/>
      <c r="J12" s="117"/>
      <c r="K12" s="116"/>
      <c r="L12" s="117"/>
      <c r="M12" s="112"/>
    </row>
    <row r="13" spans="1:13" s="2" customFormat="1" ht="24" customHeight="1">
      <c r="A13" s="107"/>
      <c r="B13" s="110"/>
      <c r="C13" s="118"/>
      <c r="D13" s="119"/>
      <c r="E13" s="118"/>
      <c r="F13" s="119"/>
      <c r="G13" s="118"/>
      <c r="H13" s="119"/>
      <c r="I13" s="118"/>
      <c r="J13" s="119"/>
      <c r="K13" s="118"/>
      <c r="L13" s="119"/>
      <c r="M13" s="113"/>
    </row>
    <row r="14" spans="1:13" s="2" customFormat="1" ht="32.1" customHeight="1">
      <c r="A14" s="6" t="s">
        <v>136</v>
      </c>
      <c r="B14" s="7" t="s">
        <v>137</v>
      </c>
      <c r="C14" s="100" t="s">
        <v>138</v>
      </c>
      <c r="D14" s="101"/>
      <c r="E14" s="88"/>
      <c r="F14" s="89"/>
      <c r="G14" s="102">
        <v>5</v>
      </c>
      <c r="H14" s="103"/>
      <c r="I14" s="102">
        <v>0</v>
      </c>
      <c r="J14" s="103"/>
      <c r="K14" s="102">
        <f>G14-I14</f>
        <v>5</v>
      </c>
      <c r="L14" s="103"/>
      <c r="M14" s="14">
        <v>5</v>
      </c>
    </row>
    <row r="15" spans="1:13" s="3" customFormat="1" ht="39" customHeight="1">
      <c r="A15" s="6"/>
      <c r="B15" s="8" t="s">
        <v>139</v>
      </c>
      <c r="C15" s="100"/>
      <c r="D15" s="101"/>
      <c r="E15" s="88"/>
      <c r="F15" s="89"/>
      <c r="G15" s="102"/>
      <c r="H15" s="103"/>
      <c r="I15" s="102">
        <v>1</v>
      </c>
      <c r="J15" s="103"/>
      <c r="K15" s="102">
        <v>4</v>
      </c>
      <c r="L15" s="103"/>
      <c r="M15" s="15">
        <v>4</v>
      </c>
    </row>
    <row r="16" spans="1:13" s="3" customFormat="1" ht="39" customHeight="1">
      <c r="A16" s="9"/>
      <c r="B16" s="9" t="s">
        <v>140</v>
      </c>
      <c r="C16" s="100"/>
      <c r="D16" s="101"/>
      <c r="E16" s="88"/>
      <c r="F16" s="90"/>
      <c r="G16" s="102"/>
      <c r="H16" s="103"/>
      <c r="I16" s="102">
        <v>2</v>
      </c>
      <c r="J16" s="103"/>
      <c r="K16" s="102">
        <v>2</v>
      </c>
      <c r="L16" s="103"/>
      <c r="M16" s="16">
        <v>2</v>
      </c>
    </row>
    <row r="17" spans="1:13" s="3" customFormat="1" ht="39" customHeight="1">
      <c r="A17" s="9"/>
      <c r="B17" s="9" t="s">
        <v>141</v>
      </c>
      <c r="C17" s="100"/>
      <c r="D17" s="101"/>
      <c r="E17" s="88"/>
      <c r="F17" s="90"/>
      <c r="G17" s="102"/>
      <c r="H17" s="103"/>
      <c r="I17" s="102">
        <v>1</v>
      </c>
      <c r="J17" s="103"/>
      <c r="K17" s="102">
        <v>0</v>
      </c>
      <c r="L17" s="103"/>
      <c r="M17" s="17">
        <v>0</v>
      </c>
    </row>
    <row r="18" spans="1:13" s="3" customFormat="1" ht="39" customHeight="1">
      <c r="A18" s="9" t="s">
        <v>142</v>
      </c>
      <c r="B18" s="9" t="s">
        <v>143</v>
      </c>
      <c r="C18" s="100"/>
      <c r="D18" s="104"/>
      <c r="E18" s="100" t="s">
        <v>144</v>
      </c>
      <c r="F18" s="104"/>
      <c r="G18" s="102">
        <v>5</v>
      </c>
      <c r="H18" s="103"/>
      <c r="I18" s="102">
        <v>0</v>
      </c>
      <c r="J18" s="103"/>
      <c r="K18" s="102">
        <v>5</v>
      </c>
      <c r="L18" s="103"/>
      <c r="M18" s="18">
        <v>5</v>
      </c>
    </row>
    <row r="19" spans="1:13" s="3" customFormat="1" ht="39" customHeight="1">
      <c r="A19" s="9"/>
      <c r="B19" s="9" t="s">
        <v>145</v>
      </c>
      <c r="C19" s="100"/>
      <c r="D19" s="101"/>
      <c r="E19" s="88"/>
      <c r="F19" s="90"/>
      <c r="G19" s="102"/>
      <c r="H19" s="103"/>
      <c r="I19" s="102">
        <v>1</v>
      </c>
      <c r="J19" s="103"/>
      <c r="K19" s="102">
        <v>4</v>
      </c>
      <c r="L19" s="103"/>
      <c r="M19" s="18">
        <v>4</v>
      </c>
    </row>
    <row r="20" spans="1:13" s="3" customFormat="1" ht="39" customHeight="1">
      <c r="A20" s="9"/>
      <c r="B20" s="9" t="s">
        <v>146</v>
      </c>
      <c r="C20" s="100"/>
      <c r="D20" s="101"/>
      <c r="E20" s="88"/>
      <c r="F20" s="90"/>
      <c r="G20" s="102"/>
      <c r="H20" s="103"/>
      <c r="I20" s="102">
        <v>4</v>
      </c>
      <c r="J20" s="103"/>
      <c r="K20" s="102">
        <v>0</v>
      </c>
      <c r="L20" s="103"/>
      <c r="M20" s="17">
        <v>0</v>
      </c>
    </row>
    <row r="21" spans="1:13" s="1" customFormat="1" ht="75.75" customHeight="1">
      <c r="A21" s="10"/>
      <c r="B21" s="10"/>
      <c r="D21" s="11"/>
      <c r="M21" s="10"/>
    </row>
    <row r="22" spans="1:13" s="1" customFormat="1">
      <c r="D22" s="11"/>
    </row>
    <row r="23" spans="1:13" s="1" customFormat="1">
      <c r="D23" s="11"/>
    </row>
  </sheetData>
  <mergeCells count="51"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C15:D15"/>
    <mergeCell ref="E15:F15"/>
    <mergeCell ref="G15:H15"/>
    <mergeCell ref="I15:J15"/>
    <mergeCell ref="K15:L15"/>
    <mergeCell ref="B9:D9"/>
    <mergeCell ref="A10:M10"/>
    <mergeCell ref="C14:D14"/>
    <mergeCell ref="E14:F14"/>
    <mergeCell ref="G14:H14"/>
    <mergeCell ref="I14:J14"/>
    <mergeCell ref="K14:L14"/>
    <mergeCell ref="A11:A13"/>
    <mergeCell ref="B11:B13"/>
    <mergeCell ref="M11:M13"/>
    <mergeCell ref="C11:D13"/>
    <mergeCell ref="E11:F13"/>
    <mergeCell ref="G11:H13"/>
    <mergeCell ref="I11:J13"/>
    <mergeCell ref="K11:L13"/>
    <mergeCell ref="A2:K2"/>
    <mergeCell ref="A3:K3"/>
    <mergeCell ref="A4:K4"/>
    <mergeCell ref="A5:K5"/>
    <mergeCell ref="B7:D7"/>
    <mergeCell ref="I7:J7"/>
  </mergeCells>
  <pageMargins left="0.25" right="0.25" top="0.75" bottom="0.75" header="0.3" footer="0.3"/>
  <pageSetup paperSize="9"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ELECTION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2025-10-17T01:36:00Z</cp:lastPrinted>
  <dcterms:created xsi:type="dcterms:W3CDTF">2021-10-07T06:10:00Z</dcterms:created>
  <dcterms:modified xsi:type="dcterms:W3CDTF">2026-01-15T02:21:49Z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05F1A1D23180425FB2EB5147CE5630E5_12</vt:lpwstr>
  </property>
  <property fmtid="{D5CDD505-2E9C-101B-9397-08002B2CF9AE}" pid="3" name="KSOProductBuildVer">
    <vt:lpwstr>1033-12.2.0.23196</vt:lpwstr>
  </property>
</Properties>
</file>