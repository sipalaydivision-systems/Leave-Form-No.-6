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69E4772671AA93FF760DDBB3A52F49634098633B" xr6:coauthVersionLast="47" xr6:coauthVersionMax="47" xr10:uidLastSave="{00000000-0000-0000-0000-000000000000}"/>
  <bookViews>
    <workbookView xWindow="0" yWindow="0" windowWidth="22188" windowHeight="9000" xr2:uid="{00000000-000D-0000-FFFF-FFFF00000000}"/>
  </bookViews>
  <sheets>
    <sheet name="Leave Card " sheetId="3" r:id="rId1"/>
    <sheet name="Sheet1" sheetId="1" r:id="rId2"/>
  </sheets>
  <definedNames>
    <definedName name="_xlnm.Print_Area" localSheetId="0">'Leave Card 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3" l="1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</calcChain>
</file>

<file path=xl/sharedStrings.xml><?xml version="1.0" encoding="utf-8"?>
<sst xmlns="http://schemas.openxmlformats.org/spreadsheetml/2006/main" count="78" uniqueCount="66">
  <si>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</si>
  <si>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</si>
  <si>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</si>
  <si>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</si>
  <si>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</si>
  <si>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</si>
  <si>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</si>
  <si>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</si>
  <si>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</si>
  <si>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</si>
  <si>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</si>
  <si>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</si>
  <si>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</si>
  <si>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</si>
  <si>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</si>
  <si>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</si>
  <si>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</si>
  <si>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</si>
  <si>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</si>
  <si>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</si>
  <si>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</si>
  <si>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APPOINTMENT DATE: 01/27/2025</t>
  </si>
  <si>
    <r>
      <rPr>
        <sz val="11"/>
        <color theme="1"/>
        <rFont val="Calibri"/>
        <charset val="134"/>
        <scheme val="minor"/>
      </rPr>
      <t xml:space="preserve"> UNUSED VSC                                                                    ADD: SO # 171, S. 2023 (NLC)-</t>
    </r>
    <r>
      <rPr>
        <b/>
        <sz val="11"/>
        <color theme="1"/>
        <rFont val="Calibri"/>
        <charset val="134"/>
        <scheme val="minor"/>
      </rPr>
      <t>15 DAYS</t>
    </r>
    <r>
      <rPr>
        <sz val="11"/>
        <color theme="1"/>
        <rFont val="Calibri"/>
        <charset val="134"/>
        <scheme val="minor"/>
      </rPr>
      <t xml:space="preserve">                  ADD: SO # 058, S. 2024 - </t>
    </r>
    <r>
      <rPr>
        <b/>
        <sz val="11"/>
        <color theme="1"/>
        <rFont val="Calibri"/>
        <charset val="134"/>
        <scheme val="minor"/>
      </rPr>
      <t xml:space="preserve">5 DAYS   </t>
    </r>
    <r>
      <rPr>
        <sz val="11"/>
        <color theme="1"/>
        <rFont val="Calibri"/>
        <charset val="134"/>
        <scheme val="minor"/>
      </rPr>
      <t xml:space="preserve">                                   </t>
    </r>
    <r>
      <rPr>
        <b/>
        <sz val="11"/>
        <color theme="1"/>
        <rFont val="Calibri"/>
        <charset val="134"/>
        <scheme val="minor"/>
      </rPr>
      <t xml:space="preserve">(TOTAL: 20 DAYS) </t>
    </r>
  </si>
  <si>
    <t>ADD: 01/27-31/2025</t>
  </si>
  <si>
    <t>ADD: 02/1/2025-03/31/2025</t>
  </si>
  <si>
    <t>LESS: 05/2/2025</t>
  </si>
  <si>
    <t>ADD: 04/1/2025-05/31/2025</t>
  </si>
  <si>
    <t>LESS: 07/04/2025</t>
  </si>
  <si>
    <r>
      <rPr>
        <sz val="11"/>
        <color theme="1"/>
        <rFont val="Calibri"/>
        <charset val="134"/>
        <scheme val="minor"/>
      </rPr>
      <t xml:space="preserve">ADD: SO # 003, S. 2025  </t>
    </r>
    <r>
      <rPr>
        <b/>
        <sz val="11"/>
        <color theme="1"/>
        <rFont val="Calibri"/>
        <charset val="134"/>
        <scheme val="minor"/>
      </rPr>
      <t xml:space="preserve">  (3 days)  </t>
    </r>
    <r>
      <rPr>
        <sz val="11"/>
        <color theme="1"/>
        <rFont val="Calibri"/>
        <charset val="134"/>
        <scheme val="minor"/>
      </rPr>
      <t xml:space="preserve">                        Division Workshop on Campus Journalism</t>
    </r>
  </si>
  <si>
    <t>ADD: 06/1-30/2025</t>
  </si>
  <si>
    <t>LESS: 07/14/2025</t>
  </si>
  <si>
    <t>LESS: 07/17/2025</t>
  </si>
  <si>
    <t>ADD: 07/1-31/2025</t>
  </si>
  <si>
    <t>LESS: 08/5/2025</t>
  </si>
  <si>
    <t>ADD: 08/1-31/2025</t>
  </si>
  <si>
    <t>LESS: 09/25 &amp; 30/2025</t>
  </si>
  <si>
    <t>DATE FILED-SEPT. 25-26</t>
  </si>
  <si>
    <t>ADD: 09/1-30/2025</t>
  </si>
  <si>
    <t>LESS: 10/8/2025</t>
  </si>
  <si>
    <t>LESS: 10/20/2025</t>
  </si>
  <si>
    <t>ADD: 10/1-31/2025</t>
  </si>
  <si>
    <t>LESS: 11/10/2025</t>
  </si>
  <si>
    <t>LESS: 11/17/2025</t>
  </si>
  <si>
    <t>ADD: 11/1-30/2025</t>
  </si>
  <si>
    <t>LESS: 12/16-17/2025</t>
  </si>
  <si>
    <t>LESS: 12/22,23/2025</t>
  </si>
  <si>
    <t xml:space="preserve">  </t>
  </si>
  <si>
    <t>NAME         :JOSE KARRLO G. BARRO</t>
  </si>
  <si>
    <t>DISTRICT             : _______________________</t>
  </si>
  <si>
    <t>EMPLOYEE NO   : __________</t>
  </si>
  <si>
    <t>SCHOOL/OFFICE : CID</t>
  </si>
  <si>
    <t>STATION CODE   : __________</t>
  </si>
  <si>
    <t>POSITION   : PDO 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</si>
  <si>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</si>
  <si>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</si>
  <si>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</si>
  <si>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</si>
  <si>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</si>
  <si>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</si>
  <si>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05/13/2025</t>
  </si>
  <si>
    <t>S.O. # 019, S. 2025 PROVINCIAL MEET 2025</t>
  </si>
  <si>
    <t>LESS: 06/5 &amp; 9/2025</t>
  </si>
  <si>
    <t>NOTE:  Valid for one (1) year only</t>
  </si>
  <si>
    <t>MA. LUISA B. CATIGAN</t>
  </si>
  <si>
    <t>Administrative Officer IV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</si>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</sst>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4" fillId="0" borderId="0"/>
    <xf numFmtId="0" fontId="14" fillId="0" borderId="0"/>
    <xf numFmtId="0" fontId="14" fillId="0" borderId="0"/>
  </cellStyleXfs>
  <cellXfs count="85">
    <xf numFmtId="0" fontId="0" fillId="0" borderId="0" xfId="0"/>
    <xf numFmtId="0" fontId="1" fillId="0" borderId="0" xfId="2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14" fillId="5" borderId="6" xfId="2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4" fillId="0" borderId="6" xfId="2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/>
    <xf numFmtId="0" fontId="2" fillId="5" borderId="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168" fontId="0" fillId="5" borderId="8" xfId="0" applyNumberFormat="1" applyFill="1" applyBorder="1" applyAlignment="1">
      <alignment horizontal="center" vertical="center"/>
    </xf>
    <xf numFmtId="168" fontId="0" fillId="5" borderId="8" xfId="0" applyNumberForma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68" fontId="0" fillId="5" borderId="6" xfId="0" applyNumberForma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5" borderId="18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168" fontId="0" fillId="5" borderId="22" xfId="0" applyNumberFormat="1" applyFill="1" applyBorder="1" applyAlignment="1">
      <alignment horizontal="center" vertical="center"/>
    </xf>
    <xf numFmtId="168" fontId="0" fillId="5" borderId="23" xfId="0" applyNumberFormat="1" applyFill="1" applyBorder="1" applyAlignment="1">
      <alignment horizontal="center" vertical="center"/>
    </xf>
    <xf numFmtId="0" fontId="13" fillId="0" borderId="0" xfId="0" applyFont="1"/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left" vertical="center"/>
    </xf>
    <xf numFmtId="0" fontId="2" fillId="9" borderId="16" xfId="0" applyFont="1" applyFill="1" applyBorder="1" applyAlignment="1">
      <alignment horizontal="left" vertical="center"/>
    </xf>
    <xf numFmtId="0" fontId="2" fillId="9" borderId="21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BARRO, JOSE KARRLO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PDO II-LR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5</xdr:col>
      <xdr:colOff>347452</xdr:colOff>
      <xdr:row>36</xdr:row>
      <xdr:rowOff>53914</xdr:rowOff>
    </xdr:from>
    <xdr:to>
      <xdr:col>9</xdr:col>
      <xdr:colOff>672043</xdr:colOff>
      <xdr:row>41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30595" y="888492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821410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71500" cy="64389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628650</xdr:colOff>
      <xdr:row>21</xdr:row>
      <xdr:rowOff>95250</xdr:rowOff>
    </xdr:from>
    <xdr:to>
      <xdr:col>10</xdr:col>
      <xdr:colOff>295275</xdr:colOff>
      <xdr:row>22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810885" y="4612005"/>
          <a:ext cx="3173095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"/>
  <sheetViews>
    <sheetView tabSelected="1" view="pageBreakPreview" topLeftCell="A23" zoomScale="106" zoomScaleNormal="100" workbookViewId="0">
      <selection activeCell="E39" sqref="E39"/>
    </sheetView>
  </sheetViews>
  <sheetFormatPr defaultColWidth="9" defaultRowHeight="14.45"/>
  <cols>
    <col min="1" max="1" width="36.625" customWidth="1"/>
    <col min="2" max="5" width="11.625" customWidth="1"/>
    <col min="6" max="7" width="11.625" style="25" customWidth="1"/>
    <col min="8" max="10" width="11.625" customWidth="1"/>
    <col min="11" max="11" width="26.375" style="26" customWidth="1"/>
  </cols>
  <sheetData>
    <row r="1" spans="1:11" s="6" customFormat="1" ht="52.5" customHeight="1"/>
    <row r="2" spans="1:11" s="6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</row>
    <row r="3" spans="1:11" s="6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</row>
    <row r="4" spans="1:11" s="6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</row>
    <row r="5" spans="1:11" s="6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</row>
    <row r="6" spans="1:11" s="6" customFormat="1" ht="8.25" customHeight="1"/>
    <row r="7" spans="1:11" s="6" customFormat="1" ht="12" customHeight="1">
      <c r="A7" s="6" t="s">
        <v>4</v>
      </c>
      <c r="B7" s="47" t="s">
        <v>5</v>
      </c>
      <c r="C7" s="47"/>
      <c r="D7" s="47"/>
      <c r="H7" s="11" t="s">
        <v>6</v>
      </c>
      <c r="I7" s="40"/>
      <c r="J7" s="11"/>
    </row>
    <row r="8" spans="1:11" s="6" customFormat="1" ht="12" customHeight="1">
      <c r="B8" s="12"/>
      <c r="C8" s="12"/>
      <c r="H8" s="12"/>
      <c r="I8" s="12"/>
      <c r="J8" s="12"/>
    </row>
    <row r="9" spans="1:11" s="6" customFormat="1" ht="12" customHeight="1">
      <c r="A9" s="6" t="s">
        <v>7</v>
      </c>
      <c r="B9" s="47" t="s">
        <v>8</v>
      </c>
      <c r="C9" s="47"/>
      <c r="D9" s="47"/>
      <c r="H9" s="11" t="s">
        <v>9</v>
      </c>
      <c r="I9" s="41"/>
      <c r="J9" s="11"/>
    </row>
    <row r="10" spans="1:11" ht="23.25" customHeight="1">
      <c r="A10" s="48" t="s">
        <v>10</v>
      </c>
      <c r="B10" s="48"/>
      <c r="C10" s="48"/>
      <c r="D10" s="48"/>
      <c r="E10" s="48"/>
      <c r="F10" s="48"/>
      <c r="G10" s="48"/>
      <c r="H10" s="48"/>
      <c r="I10" s="48"/>
      <c r="J10" s="48"/>
      <c r="K10"/>
    </row>
    <row r="11" spans="1:11" ht="18.75" customHeight="1">
      <c r="A11" s="52" t="s">
        <v>11</v>
      </c>
      <c r="B11" s="77" t="s">
        <v>12</v>
      </c>
      <c r="C11" s="78"/>
      <c r="D11" s="79" t="s">
        <v>13</v>
      </c>
      <c r="E11" s="80"/>
      <c r="F11" s="80"/>
      <c r="G11" s="81"/>
      <c r="H11" s="82" t="s">
        <v>14</v>
      </c>
      <c r="I11" s="83"/>
      <c r="J11" s="54" t="s">
        <v>15</v>
      </c>
      <c r="K11" s="56" t="s">
        <v>16</v>
      </c>
    </row>
    <row r="12" spans="1:11" ht="15.2">
      <c r="A12" s="53"/>
      <c r="B12" s="27" t="s">
        <v>17</v>
      </c>
      <c r="C12" s="27" t="s">
        <v>18</v>
      </c>
      <c r="D12" s="27" t="s">
        <v>17</v>
      </c>
      <c r="E12" s="27" t="s">
        <v>18</v>
      </c>
      <c r="F12" s="27" t="s">
        <v>19</v>
      </c>
      <c r="G12" s="27" t="s">
        <v>20</v>
      </c>
      <c r="H12" s="27" t="s">
        <v>17</v>
      </c>
      <c r="I12" s="27" t="s">
        <v>18</v>
      </c>
      <c r="J12" s="55"/>
      <c r="K12" s="56"/>
    </row>
    <row r="13" spans="1:11" ht="15.2">
      <c r="A13" s="49" t="s">
        <v>21</v>
      </c>
      <c r="B13" s="50"/>
      <c r="C13" s="50"/>
      <c r="D13" s="50"/>
      <c r="E13" s="50"/>
      <c r="F13" s="50"/>
      <c r="G13" s="50"/>
      <c r="H13" s="50"/>
      <c r="I13" s="50"/>
      <c r="J13" s="51"/>
      <c r="K13" s="42"/>
    </row>
    <row r="14" spans="1:11" ht="60" customHeight="1">
      <c r="A14" s="28" t="s">
        <v>22</v>
      </c>
      <c r="B14" s="29">
        <v>4.3479999999999999</v>
      </c>
      <c r="C14" s="30">
        <v>4.3479999999999999</v>
      </c>
      <c r="D14" s="31"/>
      <c r="E14" s="32"/>
      <c r="F14" s="32"/>
      <c r="G14" s="32"/>
      <c r="H14" s="29">
        <f>B14</f>
        <v>4.3479999999999999</v>
      </c>
      <c r="I14" s="29">
        <f>C14</f>
        <v>4.3479999999999999</v>
      </c>
      <c r="J14" s="43">
        <f>SUM(H14:I14)</f>
        <v>8.6959999999999997</v>
      </c>
    </row>
    <row r="15" spans="1:11" ht="19.5" customHeight="1">
      <c r="A15" s="28" t="s">
        <v>23</v>
      </c>
      <c r="B15" s="32">
        <v>0.20799999999999999</v>
      </c>
      <c r="C15" s="31">
        <v>0.20799999999999999</v>
      </c>
      <c r="D15" s="33"/>
      <c r="E15" s="34"/>
      <c r="F15" s="34"/>
      <c r="G15" s="34"/>
      <c r="H15" s="35">
        <f>H14-F15-D15+B15</f>
        <v>4.556</v>
      </c>
      <c r="I15" s="35">
        <f>I14-E15+C15</f>
        <v>4.556</v>
      </c>
      <c r="J15" s="44">
        <f>SUM(H15:I15)</f>
        <v>9.1120000000000001</v>
      </c>
    </row>
    <row r="16" spans="1:11" ht="17.25" customHeight="1">
      <c r="A16" s="28" t="s">
        <v>24</v>
      </c>
      <c r="B16" s="32">
        <v>2.5</v>
      </c>
      <c r="C16" s="31">
        <v>2.5</v>
      </c>
      <c r="D16" s="33"/>
      <c r="E16" s="34"/>
      <c r="F16" s="34"/>
      <c r="G16" s="34"/>
      <c r="H16" s="35">
        <f t="shared" ref="H16:H19" si="0">H15-F16-D16+B16</f>
        <v>7.056</v>
      </c>
      <c r="I16" s="35">
        <f t="shared" ref="I16:I19" si="1">I15-E16+C16</f>
        <v>7.056</v>
      </c>
      <c r="J16" s="44">
        <f t="shared" ref="J16:J17" si="2">SUM(H16:I16)</f>
        <v>14.112</v>
      </c>
    </row>
    <row r="17" spans="1:11" ht="15.75" customHeight="1">
      <c r="A17" s="28" t="s">
        <v>25</v>
      </c>
      <c r="B17" s="34"/>
      <c r="C17" s="33"/>
      <c r="D17" s="33">
        <v>1</v>
      </c>
      <c r="E17" s="34"/>
      <c r="F17" s="34"/>
      <c r="G17" s="34"/>
      <c r="H17" s="35">
        <f t="shared" si="0"/>
        <v>6.056</v>
      </c>
      <c r="I17" s="35">
        <f t="shared" si="1"/>
        <v>7.056</v>
      </c>
      <c r="J17" s="44">
        <f t="shared" si="2"/>
        <v>13.112</v>
      </c>
    </row>
    <row r="18" spans="1:11" ht="15.75" customHeight="1">
      <c r="A18" s="33" t="s">
        <v>26</v>
      </c>
      <c r="B18" s="34">
        <v>2.5</v>
      </c>
      <c r="C18" s="33">
        <v>2.5</v>
      </c>
      <c r="D18" s="33"/>
      <c r="E18" s="34"/>
      <c r="F18" s="15"/>
      <c r="G18" s="34"/>
      <c r="H18" s="35">
        <f t="shared" si="0"/>
        <v>8.5559999999999992</v>
      </c>
      <c r="I18" s="35">
        <f t="shared" si="1"/>
        <v>9.5559999999999992</v>
      </c>
      <c r="J18" s="44">
        <f t="shared" ref="J18" si="3">SUM(H18:I18)</f>
        <v>18.111999999999998</v>
      </c>
    </row>
    <row r="19" spans="1:11" ht="15" customHeight="1">
      <c r="A19" s="33" t="s">
        <v>27</v>
      </c>
      <c r="B19" s="34"/>
      <c r="C19" s="33"/>
      <c r="D19" s="33"/>
      <c r="E19" s="34"/>
      <c r="F19" s="34"/>
      <c r="G19" s="84">
        <v>1</v>
      </c>
      <c r="H19" s="35">
        <f t="shared" si="0"/>
        <v>8.5559999999999992</v>
      </c>
      <c r="I19" s="35">
        <f t="shared" si="1"/>
        <v>9.5559999999999992</v>
      </c>
      <c r="J19" s="44">
        <f t="shared" ref="J19" si="4">SUM(H19:I19)</f>
        <v>18.111999999999998</v>
      </c>
    </row>
    <row r="20" spans="1:11" ht="29.25" customHeight="1">
      <c r="A20" s="33" t="s">
        <v>28</v>
      </c>
      <c r="B20" s="34">
        <v>0.65200000000000002</v>
      </c>
      <c r="C20" s="33">
        <v>0.65200000000000002</v>
      </c>
      <c r="D20" s="33"/>
      <c r="E20" s="34"/>
      <c r="F20" s="34"/>
      <c r="G20" s="34"/>
      <c r="H20" s="35">
        <f t="shared" ref="H20:H21" si="5">H19-F20-D20+B20</f>
        <v>9.2080000000000002</v>
      </c>
      <c r="I20" s="35">
        <f t="shared" ref="I20:I21" si="6">I19-E20+C20</f>
        <v>10.208</v>
      </c>
      <c r="J20" s="44">
        <f t="shared" ref="J20:J21" si="7">SUM(H20:I20)</f>
        <v>19.416</v>
      </c>
    </row>
    <row r="21" spans="1:11" ht="19.5" customHeight="1">
      <c r="A21" s="33" t="s">
        <v>29</v>
      </c>
      <c r="B21" s="34">
        <v>1.25</v>
      </c>
      <c r="C21" s="33">
        <v>1.25</v>
      </c>
      <c r="D21" s="33"/>
      <c r="E21" s="34"/>
      <c r="F21" s="34"/>
      <c r="G21" s="34"/>
      <c r="H21" s="35">
        <f t="shared" si="5"/>
        <v>10.458</v>
      </c>
      <c r="I21" s="35">
        <f t="shared" si="6"/>
        <v>11.458</v>
      </c>
      <c r="J21" s="44">
        <f t="shared" si="7"/>
        <v>21.916</v>
      </c>
    </row>
    <row r="22" spans="1:11" ht="19.5" customHeight="1">
      <c r="A22" s="33" t="s">
        <v>30</v>
      </c>
      <c r="B22" s="34"/>
      <c r="C22" s="33"/>
      <c r="D22" s="33"/>
      <c r="E22" s="34">
        <v>1</v>
      </c>
      <c r="F22" s="34"/>
      <c r="G22" s="34"/>
      <c r="H22" s="35">
        <f t="shared" ref="H22" si="8">H21-F22-D22+B22</f>
        <v>10.458</v>
      </c>
      <c r="I22" s="35">
        <f t="shared" ref="I22" si="9">I21-E22+C22</f>
        <v>10.458</v>
      </c>
      <c r="J22" s="44">
        <f t="shared" ref="J22" si="10">SUM(H22:I22)</f>
        <v>20.916</v>
      </c>
    </row>
    <row r="23" spans="1:11" ht="19.5" customHeight="1">
      <c r="A23" s="33" t="s">
        <v>31</v>
      </c>
      <c r="B23" s="34"/>
      <c r="C23" s="33"/>
      <c r="D23" s="33"/>
      <c r="E23" s="34">
        <v>1</v>
      </c>
      <c r="F23" s="34"/>
      <c r="G23" s="34"/>
      <c r="H23" s="35">
        <f t="shared" ref="H23" si="11">H22-F23-D23+B23</f>
        <v>10.458</v>
      </c>
      <c r="I23" s="35">
        <f t="shared" ref="I23" si="12">I22-E23+C23</f>
        <v>9.4580000000000002</v>
      </c>
      <c r="J23" s="44">
        <f t="shared" ref="J23" si="13">SUM(H23:I23)</f>
        <v>19.916</v>
      </c>
    </row>
    <row r="24" spans="1:11" ht="19.5" customHeight="1">
      <c r="A24" s="33" t="s">
        <v>32</v>
      </c>
      <c r="B24" s="34">
        <v>1.25</v>
      </c>
      <c r="C24" s="33">
        <v>1.25</v>
      </c>
      <c r="D24" s="33"/>
      <c r="E24" s="34"/>
      <c r="F24" s="34"/>
      <c r="G24" s="34"/>
      <c r="H24" s="35">
        <f t="shared" ref="H24:H25" si="14">H23-F24-D24+B24</f>
        <v>11.708</v>
      </c>
      <c r="I24" s="35">
        <f t="shared" ref="I24:I25" si="15">I23-E24+C24</f>
        <v>10.708</v>
      </c>
      <c r="J24" s="44">
        <f t="shared" ref="J24:J25" si="16">SUM(H24:I24)</f>
        <v>22.416</v>
      </c>
    </row>
    <row r="25" spans="1:11" ht="19.5" customHeight="1">
      <c r="A25" s="33" t="s">
        <v>33</v>
      </c>
      <c r="B25" s="34"/>
      <c r="C25" s="33"/>
      <c r="D25" s="33"/>
      <c r="E25" s="34">
        <v>1</v>
      </c>
      <c r="F25" s="34"/>
      <c r="G25" s="34"/>
      <c r="H25" s="35">
        <f t="shared" si="14"/>
        <v>11.708</v>
      </c>
      <c r="I25" s="35">
        <f t="shared" si="15"/>
        <v>9.7080000000000002</v>
      </c>
      <c r="J25" s="44">
        <f t="shared" si="16"/>
        <v>21.416</v>
      </c>
    </row>
    <row r="26" spans="1:11" ht="19.5" customHeight="1">
      <c r="A26" s="33" t="s">
        <v>34</v>
      </c>
      <c r="B26" s="34">
        <v>1.25</v>
      </c>
      <c r="C26" s="33">
        <v>1.25</v>
      </c>
      <c r="D26" s="33"/>
      <c r="E26" s="34"/>
      <c r="F26" s="34"/>
      <c r="G26" s="34"/>
      <c r="H26" s="35">
        <f t="shared" ref="H26:H27" si="17">H25-F26-D26+B26</f>
        <v>12.958</v>
      </c>
      <c r="I26" s="35">
        <f t="shared" ref="I26:I27" si="18">I25-E26+C26</f>
        <v>10.958</v>
      </c>
      <c r="J26" s="44">
        <f t="shared" ref="J26:J27" si="19">SUM(H26:I26)</f>
        <v>23.916</v>
      </c>
    </row>
    <row r="27" spans="1:11" ht="19.5" customHeight="1">
      <c r="A27" s="33" t="s">
        <v>35</v>
      </c>
      <c r="B27" s="34"/>
      <c r="C27" s="33"/>
      <c r="D27" s="33"/>
      <c r="E27" s="34"/>
      <c r="F27" s="36">
        <v>2</v>
      </c>
      <c r="G27" s="34"/>
      <c r="H27" s="35">
        <f t="shared" si="17"/>
        <v>10.958</v>
      </c>
      <c r="I27" s="35">
        <f t="shared" si="18"/>
        <v>10.958</v>
      </c>
      <c r="J27" s="44">
        <f t="shared" si="19"/>
        <v>21.916</v>
      </c>
      <c r="K27" s="45" t="s">
        <v>36</v>
      </c>
    </row>
    <row r="28" spans="1:11" ht="19.5" customHeight="1">
      <c r="A28" s="37" t="s">
        <v>37</v>
      </c>
      <c r="B28" s="15">
        <v>1.25</v>
      </c>
      <c r="C28" s="37">
        <v>1.25</v>
      </c>
      <c r="D28" s="37"/>
      <c r="E28" s="15"/>
      <c r="F28" s="15"/>
      <c r="G28" s="15"/>
      <c r="H28" s="35">
        <f t="shared" ref="H28:H29" si="20">H27-F28-D28+B28</f>
        <v>12.208</v>
      </c>
      <c r="I28" s="35">
        <f t="shared" ref="I28:I29" si="21">I27-E28+C28</f>
        <v>12.208</v>
      </c>
      <c r="J28" s="44">
        <f t="shared" ref="J28:J29" si="22">SUM(H28:I28)</f>
        <v>24.416</v>
      </c>
      <c r="K28" s="45"/>
    </row>
    <row r="29" spans="1:11" ht="19.5" customHeight="1">
      <c r="A29" s="37" t="s">
        <v>38</v>
      </c>
      <c r="B29" s="15"/>
      <c r="C29" s="37"/>
      <c r="D29" s="37"/>
      <c r="E29" s="15">
        <v>1</v>
      </c>
      <c r="F29" s="15"/>
      <c r="G29" s="15"/>
      <c r="H29" s="35">
        <f t="shared" si="20"/>
        <v>12.208</v>
      </c>
      <c r="I29" s="35">
        <f t="shared" si="21"/>
        <v>11.208</v>
      </c>
      <c r="J29" s="44">
        <f t="shared" si="22"/>
        <v>23.416</v>
      </c>
      <c r="K29" s="45"/>
    </row>
    <row r="30" spans="1:11" ht="19.5" customHeight="1">
      <c r="A30" s="37" t="s">
        <v>39</v>
      </c>
      <c r="B30" s="15"/>
      <c r="C30" s="37"/>
      <c r="D30" s="37"/>
      <c r="E30" s="15">
        <v>1</v>
      </c>
      <c r="F30" s="15"/>
      <c r="G30" s="15"/>
      <c r="H30" s="35">
        <f t="shared" ref="H30" si="23">H29-F30-D30+B30</f>
        <v>12.208</v>
      </c>
      <c r="I30" s="35">
        <f t="shared" ref="I30" si="24">I29-E30+C30</f>
        <v>10.208</v>
      </c>
      <c r="J30" s="44">
        <f t="shared" ref="J30" si="25">SUM(H30:I30)</f>
        <v>22.416</v>
      </c>
      <c r="K30" s="45"/>
    </row>
    <row r="31" spans="1:11" ht="18" customHeight="1">
      <c r="A31" s="33" t="s">
        <v>40</v>
      </c>
      <c r="B31" s="34">
        <v>1.25</v>
      </c>
      <c r="C31" s="33">
        <v>1.25</v>
      </c>
      <c r="D31" s="33"/>
      <c r="E31" s="34"/>
      <c r="F31" s="34"/>
      <c r="G31" s="34"/>
      <c r="H31" s="35">
        <f t="shared" ref="H31:H32" si="26">H30-F31-D31+B31</f>
        <v>13.458</v>
      </c>
      <c r="I31" s="35">
        <f t="shared" ref="I31:I32" si="27">I30-E31+C31</f>
        <v>11.458</v>
      </c>
      <c r="J31" s="44">
        <f t="shared" ref="J31:J32" si="28">SUM(H31:I31)</f>
        <v>24.916</v>
      </c>
    </row>
    <row r="32" spans="1:11" ht="16.5" customHeight="1">
      <c r="A32" s="38" t="s">
        <v>41</v>
      </c>
      <c r="B32" s="39"/>
      <c r="C32" s="39"/>
      <c r="D32" s="39"/>
      <c r="E32" s="38">
        <v>1</v>
      </c>
      <c r="F32" s="15"/>
      <c r="G32" s="15"/>
      <c r="H32" s="35">
        <f t="shared" si="26"/>
        <v>13.458</v>
      </c>
      <c r="I32" s="35">
        <f t="shared" si="27"/>
        <v>10.458</v>
      </c>
      <c r="J32" s="44">
        <f t="shared" si="28"/>
        <v>23.916</v>
      </c>
    </row>
    <row r="33" spans="1:10" ht="16.5" customHeight="1">
      <c r="A33" s="38" t="s">
        <v>42</v>
      </c>
      <c r="B33" s="39"/>
      <c r="C33" s="39"/>
      <c r="D33" s="39"/>
      <c r="E33" s="38">
        <v>1</v>
      </c>
      <c r="F33" s="15"/>
      <c r="G33" s="15"/>
      <c r="H33" s="35">
        <f t="shared" ref="H33" si="29">H32-F33-D33+B33</f>
        <v>13.458</v>
      </c>
      <c r="I33" s="35">
        <f t="shared" ref="I33" si="30">I32-E33+C33</f>
        <v>9.4580000000000002</v>
      </c>
      <c r="J33" s="44">
        <f t="shared" ref="J33" si="31">SUM(H33:I33)</f>
        <v>22.916</v>
      </c>
    </row>
    <row r="34" spans="1:10" ht="16.5" customHeight="1">
      <c r="A34" s="38" t="s">
        <v>43</v>
      </c>
      <c r="B34" s="38">
        <v>1.25</v>
      </c>
      <c r="C34" s="38">
        <v>1.25</v>
      </c>
      <c r="D34" s="38"/>
      <c r="E34" s="38"/>
      <c r="F34" s="15"/>
      <c r="G34" s="15"/>
      <c r="H34" s="35">
        <f>H33-F34-D34+B34</f>
        <v>14.708</v>
      </c>
      <c r="I34" s="35">
        <f>I33-E34+C34</f>
        <v>10.708</v>
      </c>
      <c r="J34" s="44">
        <f>SUM(H34:I34)</f>
        <v>25.416</v>
      </c>
    </row>
    <row r="35" spans="1:10" ht="16.5" customHeight="1">
      <c r="A35" s="38" t="s">
        <v>44</v>
      </c>
      <c r="B35" s="38"/>
      <c r="C35" s="38"/>
      <c r="D35" s="38"/>
      <c r="E35" s="38"/>
      <c r="F35" s="15"/>
      <c r="G35" s="84">
        <v>2</v>
      </c>
      <c r="H35" s="35">
        <f>H34-F35-D35+B35</f>
        <v>14.708</v>
      </c>
      <c r="I35" s="35">
        <f>I34-E35+C35</f>
        <v>10.708</v>
      </c>
      <c r="J35" s="44">
        <f>SUM(H35:I35)</f>
        <v>25.416</v>
      </c>
    </row>
    <row r="36" spans="1:10" ht="16.5" customHeight="1">
      <c r="A36" s="38" t="s">
        <v>45</v>
      </c>
      <c r="B36" s="38"/>
      <c r="C36" s="38"/>
      <c r="D36" s="38"/>
      <c r="E36" s="38"/>
      <c r="F36" s="36">
        <v>2</v>
      </c>
      <c r="G36" s="15"/>
      <c r="H36" s="35">
        <f>H35-F36-D36+B36</f>
        <v>12.708</v>
      </c>
      <c r="I36" s="35">
        <f>I35-E36+C36</f>
        <v>10.708</v>
      </c>
      <c r="J36" s="44">
        <f>SUM(H36:I36)</f>
        <v>23.416</v>
      </c>
    </row>
    <row r="40" spans="1:10">
      <c r="F40" s="25" t="s">
        <v>46</v>
      </c>
    </row>
  </sheetData>
  <mergeCells count="14">
    <mergeCell ref="A13:J13"/>
    <mergeCell ref="A11:A12"/>
    <mergeCell ref="J11:J12"/>
    <mergeCell ref="K11:K12"/>
    <mergeCell ref="B9:D9"/>
    <mergeCell ref="A10:J10"/>
    <mergeCell ref="B11:C11"/>
    <mergeCell ref="D11:G11"/>
    <mergeCell ref="H11:I11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2"/>
  <sheetViews>
    <sheetView workbookViewId="0">
      <selection activeCell="A41" sqref="A41:XFD72"/>
    </sheetView>
  </sheetViews>
  <sheetFormatPr defaultColWidth="9" defaultRowHeight="14.45"/>
  <cols>
    <col min="1" max="1" width="29.875" customWidth="1"/>
    <col min="2" max="2" width="9.375" style="2" customWidth="1"/>
    <col min="3" max="3" width="9.25" style="3" customWidth="1"/>
    <col min="5" max="5" width="18" style="2" customWidth="1"/>
    <col min="6" max="6" width="10.875" style="4" customWidth="1"/>
    <col min="7" max="7" width="9.75" style="5" customWidth="1"/>
    <col min="8" max="8" width="10.875" customWidth="1"/>
    <col min="9" max="9" width="9.75" style="2" customWidth="1"/>
    <col min="10" max="10" width="10" style="4" customWidth="1"/>
    <col min="11" max="11" width="8.75" style="5"/>
    <col min="12" max="12" width="7.625" customWidth="1"/>
  </cols>
  <sheetData>
    <row r="1" spans="1:13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  <c r="M1" s="6"/>
    </row>
    <row r="2" spans="1:13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  <c r="M2" s="6"/>
    </row>
    <row r="3" spans="1:13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  <c r="M3" s="6"/>
    </row>
    <row r="4" spans="1:13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  <c r="M4" s="6"/>
    </row>
    <row r="5" spans="1:13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6"/>
    </row>
    <row r="6" spans="1:13">
      <c r="A6" s="46" t="s">
        <v>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6"/>
    </row>
    <row r="7" spans="1:13">
      <c r="A7" s="46" t="s">
        <v>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6"/>
    </row>
    <row r="8" spans="1:13">
      <c r="A8" s="46" t="s">
        <v>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6"/>
    </row>
    <row r="9" spans="1:13">
      <c r="A9" s="6"/>
      <c r="B9" s="6"/>
      <c r="C9" s="9"/>
      <c r="D9" s="6"/>
      <c r="E9" s="6"/>
      <c r="F9" s="6"/>
      <c r="G9" s="6"/>
      <c r="H9" s="9"/>
      <c r="I9" s="6"/>
      <c r="J9" s="6"/>
      <c r="K9" s="6"/>
      <c r="L9" s="6"/>
      <c r="M9" s="6"/>
    </row>
    <row r="10" spans="1:13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  <c r="M10" s="6"/>
    </row>
    <row r="11" spans="1:13">
      <c r="A11" s="10" t="s">
        <v>47</v>
      </c>
      <c r="B11" s="11"/>
      <c r="C11" s="47" t="s">
        <v>48</v>
      </c>
      <c r="D11" s="47"/>
      <c r="E11" s="47"/>
      <c r="F11" s="47"/>
      <c r="G11" s="47"/>
      <c r="H11" s="6"/>
      <c r="I11" s="47" t="s">
        <v>49</v>
      </c>
      <c r="J11" s="47"/>
      <c r="K11" s="47"/>
      <c r="L11" s="11"/>
      <c r="M11" s="6"/>
    </row>
    <row r="12" spans="1:13">
      <c r="A12" s="6"/>
      <c r="B12" s="12"/>
      <c r="C12" s="47" t="s">
        <v>50</v>
      </c>
      <c r="D12" s="47"/>
      <c r="E12" s="47"/>
      <c r="F12" s="47"/>
      <c r="G12" s="47"/>
      <c r="H12" s="6"/>
      <c r="I12" s="57" t="s">
        <v>51</v>
      </c>
      <c r="J12" s="57"/>
      <c r="K12" s="57"/>
      <c r="L12" s="12"/>
      <c r="M12" s="6"/>
    </row>
    <row r="13" spans="1:13">
      <c r="A13" s="11" t="s">
        <v>52</v>
      </c>
      <c r="B13" s="11"/>
      <c r="C13" s="13"/>
      <c r="D13" s="12"/>
      <c r="E13" s="12"/>
      <c r="F13" s="6"/>
      <c r="G13" s="6"/>
      <c r="H13" s="6"/>
      <c r="I13" s="47" t="s">
        <v>53</v>
      </c>
      <c r="J13" s="47"/>
      <c r="K13" s="47"/>
      <c r="L13" s="11"/>
      <c r="M13" s="6"/>
    </row>
    <row r="14" spans="1:13" ht="21">
      <c r="A14" s="58" t="s">
        <v>54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3">
      <c r="A15" s="73" t="s">
        <v>11</v>
      </c>
      <c r="B15" s="59" t="s">
        <v>12</v>
      </c>
      <c r="C15" s="60"/>
      <c r="D15" s="60"/>
      <c r="E15" s="60"/>
      <c r="F15" s="60"/>
      <c r="G15" s="60"/>
      <c r="H15" s="60"/>
      <c r="I15" s="60"/>
      <c r="J15" s="60"/>
      <c r="K15" s="60"/>
      <c r="L15" s="75" t="s">
        <v>15</v>
      </c>
      <c r="M15" s="20"/>
    </row>
    <row r="16" spans="1:13">
      <c r="A16" s="74"/>
      <c r="B16" s="61" t="s">
        <v>55</v>
      </c>
      <c r="C16" s="62"/>
      <c r="D16" s="62"/>
      <c r="E16" s="63"/>
      <c r="F16" s="61" t="s">
        <v>56</v>
      </c>
      <c r="G16" s="63"/>
      <c r="H16" s="61" t="s">
        <v>57</v>
      </c>
      <c r="I16" s="63"/>
      <c r="J16" s="61" t="s">
        <v>58</v>
      </c>
      <c r="K16" s="63"/>
      <c r="L16" s="76"/>
      <c r="M16" s="20"/>
    </row>
    <row r="17" spans="1:13" s="1" customFormat="1" ht="30.75" customHeight="1">
      <c r="A17" s="14" t="s">
        <v>59</v>
      </c>
      <c r="B17" s="64" t="s">
        <v>60</v>
      </c>
      <c r="C17" s="65"/>
      <c r="D17" s="65"/>
      <c r="E17" s="66"/>
      <c r="F17" s="64">
        <v>3</v>
      </c>
      <c r="G17" s="66"/>
      <c r="H17" s="64">
        <v>0</v>
      </c>
      <c r="I17" s="66"/>
      <c r="J17" s="64">
        <v>3</v>
      </c>
      <c r="K17" s="66"/>
      <c r="L17" s="21">
        <v>3</v>
      </c>
    </row>
    <row r="18" spans="1:13" s="1" customFormat="1" ht="28.5" customHeight="1">
      <c r="A18" s="14" t="s">
        <v>61</v>
      </c>
      <c r="B18" s="64" t="s">
        <v>60</v>
      </c>
      <c r="C18" s="65"/>
      <c r="D18" s="65"/>
      <c r="E18" s="66"/>
      <c r="F18" s="64"/>
      <c r="G18" s="66"/>
      <c r="H18" s="64">
        <v>2</v>
      </c>
      <c r="I18" s="66"/>
      <c r="J18" s="64">
        <v>1</v>
      </c>
      <c r="K18" s="66"/>
      <c r="L18" s="21">
        <v>1</v>
      </c>
    </row>
    <row r="19" spans="1:13" ht="22.5" customHeight="1">
      <c r="A19" s="15"/>
      <c r="B19" s="67"/>
      <c r="C19" s="68"/>
      <c r="D19" s="68"/>
      <c r="E19" s="69"/>
      <c r="F19" s="70"/>
      <c r="G19" s="71"/>
      <c r="H19" s="70"/>
      <c r="I19" s="71"/>
      <c r="J19" s="70"/>
      <c r="K19" s="71"/>
      <c r="L19" s="22"/>
      <c r="M19" s="20"/>
    </row>
    <row r="20" spans="1:13" ht="22.5" customHeight="1">
      <c r="A20" s="15"/>
      <c r="B20" s="67"/>
      <c r="C20" s="68"/>
      <c r="D20" s="68"/>
      <c r="E20" s="69"/>
      <c r="F20" s="70"/>
      <c r="G20" s="71"/>
      <c r="H20" s="70"/>
      <c r="I20" s="71"/>
      <c r="J20" s="70"/>
      <c r="K20" s="71"/>
      <c r="L20" s="22"/>
      <c r="M20" s="20"/>
    </row>
    <row r="21" spans="1:13">
      <c r="A21" s="16" t="s">
        <v>62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3"/>
      <c r="M21" s="24"/>
    </row>
    <row r="22" spans="1:1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3">
      <c r="A23" s="6"/>
      <c r="B23" s="6"/>
      <c r="C23" s="9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A24" s="6"/>
      <c r="B24" s="6"/>
      <c r="C24" s="9"/>
      <c r="D24" s="6"/>
      <c r="E24" s="6"/>
      <c r="F24" s="6"/>
      <c r="G24" s="6"/>
      <c r="H24" s="18" t="s">
        <v>63</v>
      </c>
      <c r="I24" s="6"/>
      <c r="J24" s="6"/>
      <c r="K24" s="6"/>
      <c r="L24" s="6"/>
      <c r="M24" s="6"/>
    </row>
    <row r="25" spans="1:13">
      <c r="B25" s="9"/>
      <c r="C25" s="6"/>
      <c r="D25" s="6"/>
      <c r="E25" s="6"/>
      <c r="F25" s="6"/>
      <c r="G25" s="6"/>
      <c r="H25" s="19" t="s">
        <v>64</v>
      </c>
      <c r="I25" s="6"/>
      <c r="J25" s="6"/>
      <c r="K25" s="6"/>
      <c r="L25" s="6"/>
    </row>
    <row r="26" spans="1:13">
      <c r="B26" s="9"/>
      <c r="C26" s="6"/>
      <c r="D26" s="6"/>
      <c r="E26" s="6"/>
      <c r="F26" s="6"/>
      <c r="G26" s="6"/>
      <c r="H26" s="19" t="s">
        <v>65</v>
      </c>
      <c r="I26" s="6"/>
      <c r="J26" s="6"/>
      <c r="K26" s="6"/>
      <c r="L26" s="6"/>
    </row>
    <row r="27" spans="1:13">
      <c r="B27" s="9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3">
      <c r="A28" s="6"/>
      <c r="B28" s="6"/>
      <c r="C28" s="9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9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9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A31" s="6"/>
      <c r="B31" s="6"/>
      <c r="C31" s="9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>
      <c r="A32" s="6"/>
      <c r="B32" s="6"/>
      <c r="C32" s="9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6"/>
      <c r="B33" s="6"/>
      <c r="C33" s="9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6"/>
      <c r="B34" s="6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>
      <c r="A35" s="6"/>
      <c r="B35" s="6"/>
      <c r="C35" s="9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>
      <c r="A37" s="6"/>
      <c r="B37" s="6"/>
      <c r="C37" s="9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>
      <c r="A38" s="6"/>
      <c r="B38" s="6"/>
      <c r="C38" s="9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>
      <c r="A39" s="6"/>
      <c r="B39" s="6"/>
      <c r="C39" s="9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6"/>
      <c r="B40" s="6"/>
      <c r="C40" s="9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>
      <c r="B41"/>
      <c r="E41"/>
      <c r="F41"/>
      <c r="G41"/>
      <c r="I41"/>
      <c r="J41"/>
      <c r="K41"/>
    </row>
    <row r="42" spans="1:13">
      <c r="B42"/>
      <c r="E42"/>
      <c r="F42"/>
      <c r="G42"/>
      <c r="I42"/>
      <c r="J42"/>
      <c r="K42"/>
    </row>
    <row r="43" spans="1:13">
      <c r="B43"/>
      <c r="E43"/>
      <c r="F43"/>
      <c r="G43"/>
      <c r="I43"/>
      <c r="J43"/>
      <c r="K43"/>
    </row>
    <row r="44" spans="1:13">
      <c r="B44"/>
      <c r="E44"/>
      <c r="F44"/>
      <c r="G44"/>
      <c r="I44"/>
      <c r="J44"/>
      <c r="K44"/>
    </row>
    <row r="45" spans="1:13">
      <c r="B45"/>
      <c r="E45"/>
      <c r="F45"/>
      <c r="G45"/>
      <c r="I45"/>
      <c r="J45"/>
      <c r="K45"/>
    </row>
    <row r="46" spans="1:13">
      <c r="B46"/>
      <c r="E46"/>
      <c r="F46"/>
      <c r="G46"/>
      <c r="I46"/>
      <c r="J46"/>
      <c r="K46"/>
    </row>
    <row r="47" spans="1:13">
      <c r="B47"/>
      <c r="E47"/>
      <c r="F47"/>
      <c r="G47"/>
      <c r="I47"/>
      <c r="J47"/>
      <c r="K47"/>
    </row>
    <row r="48" spans="1:13">
      <c r="B48"/>
      <c r="E48"/>
      <c r="F48"/>
      <c r="G48"/>
      <c r="I48"/>
      <c r="J48"/>
      <c r="K48"/>
    </row>
    <row r="49" spans="3:3" customFormat="1">
      <c r="C49" s="3"/>
    </row>
    <row r="50" spans="3:3" customFormat="1">
      <c r="C50" s="3"/>
    </row>
    <row r="51" spans="3:3" customFormat="1">
      <c r="C51" s="3"/>
    </row>
    <row r="52" spans="3:3" customFormat="1">
      <c r="C52" s="3"/>
    </row>
    <row r="53" spans="3:3" customFormat="1">
      <c r="C53" s="3"/>
    </row>
    <row r="54" spans="3:3" customFormat="1">
      <c r="C54" s="3"/>
    </row>
    <row r="55" spans="3:3" customFormat="1">
      <c r="C55" s="3"/>
    </row>
    <row r="56" spans="3:3" customFormat="1">
      <c r="C56" s="3"/>
    </row>
    <row r="57" spans="3:3" customFormat="1">
      <c r="C57" s="3"/>
    </row>
    <row r="58" spans="3:3" customFormat="1">
      <c r="C58" s="3"/>
    </row>
    <row r="59" spans="3:3" customFormat="1">
      <c r="C59" s="3"/>
    </row>
    <row r="60" spans="3:3" customFormat="1">
      <c r="C60" s="3"/>
    </row>
    <row r="61" spans="3:3" customFormat="1">
      <c r="C61" s="3"/>
    </row>
    <row r="62" spans="3:3" customFormat="1">
      <c r="C62" s="3"/>
    </row>
    <row r="63" spans="3:3" customFormat="1">
      <c r="C63" s="3"/>
    </row>
    <row r="64" spans="3:3" customFormat="1">
      <c r="C64" s="3"/>
    </row>
    <row r="65" spans="3:3" customFormat="1">
      <c r="C65" s="3"/>
    </row>
    <row r="66" spans="3:3" customFormat="1">
      <c r="C66" s="3"/>
    </row>
    <row r="67" spans="3:3" customFormat="1">
      <c r="C67" s="3"/>
    </row>
    <row r="68" spans="3:3" customFormat="1">
      <c r="C68" s="3"/>
    </row>
    <row r="69" spans="3:3" customFormat="1">
      <c r="C69" s="3"/>
    </row>
    <row r="70" spans="3:3" customFormat="1">
      <c r="C70" s="3"/>
    </row>
    <row r="71" spans="3:3" customFormat="1">
      <c r="C71" s="3"/>
    </row>
    <row r="72" spans="3:3" customFormat="1">
      <c r="C72" s="3"/>
    </row>
  </sheetData>
  <mergeCells count="34">
    <mergeCell ref="B20:E20"/>
    <mergeCell ref="F20:G20"/>
    <mergeCell ref="H20:I20"/>
    <mergeCell ref="J20:K20"/>
    <mergeCell ref="A22:L22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C12:G12"/>
    <mergeCell ref="I12:K12"/>
    <mergeCell ref="I13:K13"/>
    <mergeCell ref="A14:L14"/>
    <mergeCell ref="B15:K15"/>
    <mergeCell ref="A15:A16"/>
    <mergeCell ref="L15:L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5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JOCELYN MAMUGAY</cp:lastModifiedBy>
  <cp:revision/>
  <dcterms:created xsi:type="dcterms:W3CDTF">2022-11-24T07:01:00Z</dcterms:created>
  <dcterms:modified xsi:type="dcterms:W3CDTF">2026-02-05T00:50:46Z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D7BF4276054143C59CC4A8A7797D8047_12</vt:lpwstr>
  </property>
  <property fmtid="{D5CDD505-2E9C-101B-9397-08002B2CF9AE}" pid="3" name="KSOProductBuildVer">
    <vt:lpwstr>1033-12.2.0.23196</vt:lpwstr>
  </property>
</Properties>
</file>