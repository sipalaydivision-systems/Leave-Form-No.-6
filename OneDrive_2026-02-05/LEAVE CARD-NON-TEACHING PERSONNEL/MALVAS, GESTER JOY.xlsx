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8239660-A3D8-46F1-AF1D-055A7B34DB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5" i="6" l="1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</calcChain>
</file>

<file path=xl/sharedStrings.xml><?xml version="1.0" encoding="utf-8"?>
<sst xmlns="http://schemas.openxmlformats.org/spreadsheetml/2006/main" count="179" uniqueCount="145">
  <si>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</si>
  <si>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</si>
  <si>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</si>
  <si>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</si>
  <si>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</si>
  <si>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</si>
  <si>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</si>
  <si>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</si>
  <si>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</si>
  <si>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</si>
  <si>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</si>
  <si>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</si>
  <si>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</si>
  <si>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</si>
  <si>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</si>
  <si>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</si>
  <si>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</si>
  <si>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</si>
  <si>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</si>
  <si>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</si>
  <si>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</si>
  <si>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10/01/2019 - 11/30/2019</t>
  </si>
  <si>
    <t>LESS: 10/24/2019</t>
  </si>
  <si>
    <t>ADD: 12/1-31/2019</t>
  </si>
  <si>
    <t>ADD: 01/01-31/2020</t>
  </si>
  <si>
    <t>LESS: 02/21/2020</t>
  </si>
  <si>
    <t>ADD: 02/1-29/2020</t>
  </si>
  <si>
    <t>LESS: 03/02/2020</t>
  </si>
  <si>
    <t>ADD: 03/1/2020-08/31/2020</t>
  </si>
  <si>
    <t>LESS: 09/08 - 09/2020</t>
  </si>
  <si>
    <t>ADD: 09/1/2020-12/31/2020</t>
  </si>
  <si>
    <t>LESS: FL 2020</t>
  </si>
  <si>
    <t>ADD: 01/01/2021 - 08/31/2021</t>
  </si>
  <si>
    <t>LESS: 09/09/2021</t>
  </si>
  <si>
    <t>LESS: MONETIZATION 2021</t>
  </si>
  <si>
    <t>ADD: 09/1/2021-11/30/2021</t>
  </si>
  <si>
    <t>LESS: 12/06/2021</t>
  </si>
  <si>
    <t>LESS: 12/23,24,29 &amp; 31/2021</t>
  </si>
  <si>
    <t>ADD: 12/1-31/2021</t>
  </si>
  <si>
    <t>LESS: 01/31/2022</t>
  </si>
  <si>
    <t>ADD: 01/1-31/2022</t>
  </si>
  <si>
    <t>LESS: 02/21/2022</t>
  </si>
  <si>
    <t>ADD: 02/1-28/2022</t>
  </si>
  <si>
    <t>LESS: 03/21/2022</t>
  </si>
  <si>
    <t>ADD: 03/1-31/22</t>
  </si>
  <si>
    <t>LESS: 04/22/22</t>
  </si>
  <si>
    <t>ADD: 04/01-30/22</t>
  </si>
  <si>
    <t>LESS: 05/25/22</t>
  </si>
  <si>
    <t>ADD: 05/01/22 - 06/30/22</t>
  </si>
  <si>
    <t>LESS: 07/21/22</t>
  </si>
  <si>
    <t>LESS: 07/22/22</t>
  </si>
  <si>
    <t>ADD: 07/01/22 - 08/31/22</t>
  </si>
  <si>
    <t>LESS: MONETIZATION 2022</t>
  </si>
  <si>
    <t>ADD: 09/01/22 - 09/30/22</t>
  </si>
  <si>
    <t>LESS: 10/20 -21/22</t>
  </si>
  <si>
    <t>ADD: 10/01/22 - 11/30/22</t>
  </si>
  <si>
    <t>LESS: 12/21, 22 &amp; 23/22</t>
  </si>
  <si>
    <t>LESS: 12/28-29/2022</t>
  </si>
  <si>
    <t>ADD: 12/01/2022 - 12/31/2022</t>
  </si>
  <si>
    <t>ADD: 01/01/2023 - 01/31/2023</t>
  </si>
  <si>
    <t>LESS: 02/20/2023</t>
  </si>
  <si>
    <t>ADD: 02/01/2023 - 02/28/2023</t>
  </si>
  <si>
    <t>LESS: 03/21/2023</t>
  </si>
  <si>
    <t>LESS: 03/20/2023</t>
  </si>
  <si>
    <t>ADD: 03/01/2023 - 03/31/2023</t>
  </si>
  <si>
    <t>LESS: 04/11/2023</t>
  </si>
  <si>
    <t>ADD: 04/01/2023 - 08/31/2023</t>
  </si>
  <si>
    <t>LESS: MONETIZATION 2023</t>
  </si>
  <si>
    <t>ADD: 09/01/2023-10/31/2023</t>
  </si>
  <si>
    <t>LESS: 11/28/2023</t>
  </si>
  <si>
    <t>ADD: 11/01/2023-12/31/2023</t>
  </si>
  <si>
    <t>LESS:  FL 2023</t>
  </si>
  <si>
    <t>ADD: 01/01-31/2024</t>
  </si>
  <si>
    <t>LESS: 02/23/2024</t>
  </si>
  <si>
    <t>ADD: 02/1-29/2024</t>
  </si>
  <si>
    <t>LESS: 03/21/2024</t>
  </si>
  <si>
    <t>ADD: 03/1/2024-07/31/2024</t>
  </si>
  <si>
    <t>LESS: MONETIZATION 2024</t>
  </si>
  <si>
    <t>LESS: 09/9/2024</t>
  </si>
  <si>
    <t>ADD: 08/1/2024-10/31/2024</t>
  </si>
  <si>
    <t>LESS: 12/3/2024</t>
  </si>
  <si>
    <t>ADD: 11/1/2024-12/31/2024</t>
  </si>
  <si>
    <t>LESS:  FL 2024</t>
  </si>
  <si>
    <t>LESS: 01/2/2025</t>
  </si>
  <si>
    <t>ADD: 01/-31/2025</t>
  </si>
  <si>
    <t>LESS: 02/21/2025</t>
  </si>
  <si>
    <t>LESS: 02/27/2025</t>
  </si>
  <si>
    <t>LESS: 03/21/2025</t>
  </si>
  <si>
    <t>ADD: 02/1-28/2025</t>
  </si>
  <si>
    <t>LESS: 03/6/2025</t>
  </si>
  <si>
    <t>ADD: 03/1-31/2025</t>
  </si>
  <si>
    <t>LESS: 04/28/2025</t>
  </si>
  <si>
    <t>LESS: 05/20-21/2025</t>
  </si>
  <si>
    <t>ADD: 04/1-30/2025</t>
  </si>
  <si>
    <t>LESS: 05/9/2025</t>
  </si>
  <si>
    <t>ADD: 05/1/2025-06/30/2025</t>
  </si>
  <si>
    <t>LESS: 06/30/2025</t>
  </si>
  <si>
    <t>ADD: 07/1/2025-08/31/2025</t>
  </si>
  <si>
    <t>LESS: MONETIZATION 2025</t>
  </si>
  <si>
    <t>LESS: 09/9/2025</t>
  </si>
  <si>
    <t>ADD: 09/1-30/2025</t>
  </si>
  <si>
    <t>LESS: 11/28/2025</t>
  </si>
  <si>
    <t>ADD: 10/1/2025-11/30/2025</t>
  </si>
  <si>
    <t>LESS: 12/19/2025</t>
  </si>
  <si>
    <t>Certified Correct:</t>
  </si>
  <si>
    <t>MA. LUISA B. CATIGAN</t>
  </si>
  <si>
    <t>Administrative Officer IV</t>
  </si>
  <si>
    <t>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</si>
  <si>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</si>
  <si>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</si>
  <si>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</si>
  <si>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</si>
  <si>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</si>
  <si>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</si>
  <si>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</si>
  <si>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SO # 048, S.2023, DISTRICT AND CITY SPORTS MEET 2023</t>
  </si>
  <si>
    <t>LESS: JUNE 26/2023</t>
  </si>
  <si>
    <t>LESS: JULY 10, 2023</t>
  </si>
  <si>
    <t>ADD: 07/18/2023</t>
  </si>
  <si>
    <t>SO # 059, S.2023, BSP DIVISION CAMPOREE</t>
  </si>
  <si>
    <t>LESS: 09/15/2023</t>
  </si>
  <si>
    <t>LESS: 09/29/2023</t>
  </si>
  <si>
    <t>LESS: 02/13/2024</t>
  </si>
  <si>
    <t>ADD: MARCH 12, 2024</t>
  </si>
  <si>
    <t>SO # 004 S. 2024, 2024 DISTRICT MEET (REFRESHER COURSE)</t>
  </si>
  <si>
    <t>LESS: 03/22/2024</t>
  </si>
  <si>
    <t>LESS: 06/3-4/2024</t>
  </si>
  <si>
    <t xml:space="preserve">SO # 006 S. 2024, 2024 DIVISION SPORTS MEET 2024 </t>
  </si>
  <si>
    <t>LESS: 09/23-24/2024</t>
  </si>
  <si>
    <t>less: 11/4/2024</t>
  </si>
  <si>
    <t>ADD: 05/20/2024</t>
  </si>
  <si>
    <t xml:space="preserve">SO # 015, S. 2024, 2024 PALARONG PANLALAWIGAN 2024 </t>
  </si>
  <si>
    <t>LESS: 11/27-28/2024</t>
  </si>
  <si>
    <t xml:space="preserve">SO # 005 S. 2024, 2024 DISTRICT SPORTRS MEET 2024 </t>
  </si>
  <si>
    <t>LESS: 07/22/2024</t>
  </si>
  <si>
    <t>LESS: 08/22/2024</t>
  </si>
  <si>
    <t>LESS: 02/3/2025</t>
  </si>
  <si>
    <t>ADD: MARCH 21, 2025</t>
  </si>
  <si>
    <t>SO # 005 S. 2025, 2024 DIVISION WORKSHOP ON CAMPUS JOURNALISM</t>
  </si>
  <si>
    <t>LESS: 07/14/2025</t>
  </si>
  <si>
    <t>ADD: 05/13/2025</t>
  </si>
  <si>
    <t>S.O. # 019, S. 2025 PROVINCIAL MEET 2025</t>
  </si>
  <si>
    <t>LESS: 08/08/2025</t>
  </si>
  <si>
    <t>NOTE:  Valid for one (1) year only</t>
  </si>
  <si>
    <t xml:space="preserve">   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</si>
</sst>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7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2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2" fillId="2" borderId="11" xfId="2" applyFill="1" applyBorder="1" applyAlignment="1">
      <alignment horizontal="center" vertical="center" wrapText="1"/>
    </xf>
    <xf numFmtId="0" fontId="12" fillId="2" borderId="10" xfId="2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12" fillId="0" borderId="11" xfId="2" applyBorder="1" applyAlignment="1">
      <alignment horizontal="center" vertical="center" wrapText="1"/>
    </xf>
    <xf numFmtId="0" fontId="12" fillId="0" borderId="10" xfId="2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/>
    <xf numFmtId="0" fontId="3" fillId="2" borderId="10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164" fontId="10" fillId="2" borderId="10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4" fontId="10" fillId="2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/>
    <xf numFmtId="164" fontId="9" fillId="0" borderId="10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164" fontId="9" fillId="2" borderId="16" xfId="0" applyNumberFormat="1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/>
    </xf>
    <xf numFmtId="0" fontId="9" fillId="12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13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31000000}"/>
    <cellStyle name="Normal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361949</xdr:colOff>
      <xdr:row>0</xdr:row>
      <xdr:rowOff>123825</xdr:rowOff>
    </xdr:from>
    <xdr:to>
      <xdr:col>4</xdr:col>
      <xdr:colOff>235079</xdr:colOff>
      <xdr:row>0</xdr:row>
      <xdr:rowOff>654050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6275" y="123825"/>
          <a:ext cx="66738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196405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MALVAS,</a:t>
          </a:r>
          <a:r>
            <a:rPr lang="en-US" sz="1100" baseline="0"/>
            <a:t> GESTER JOY G.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19208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DENTIST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4586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188813</xdr:colOff>
      <xdr:row>0</xdr:row>
      <xdr:rowOff>54858</xdr:rowOff>
    </xdr:from>
    <xdr:to>
      <xdr:col>5</xdr:col>
      <xdr:colOff>220487</xdr:colOff>
      <xdr:row>0</xdr:row>
      <xdr:rowOff>643820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7815" y="54610"/>
          <a:ext cx="648970" cy="5886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54050" y="1684020"/>
          <a:ext cx="825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DENTIST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28415" y="1706880"/>
          <a:ext cx="117094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61975" y="1353820"/>
          <a:ext cx="198310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MALVAS, GESTER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6"/>
  <sheetViews>
    <sheetView view="pageBreakPreview" topLeftCell="A76" zoomScaleNormal="100" workbookViewId="0">
      <selection activeCell="D98" sqref="D98"/>
    </sheetView>
  </sheetViews>
  <sheetFormatPr defaultColWidth="9" defaultRowHeight="15"/>
  <cols>
    <col min="1" max="1" width="37" customWidth="1"/>
    <col min="2" max="5" width="11.5703125" customWidth="1"/>
    <col min="6" max="7" width="11.5703125" style="24" customWidth="1"/>
    <col min="8" max="10" width="11.5703125" customWidth="1"/>
    <col min="11" max="11" width="26.42578125" style="25" customWidth="1"/>
  </cols>
  <sheetData>
    <row r="1" spans="1:11" s="1" customFormat="1" ht="52.5" customHeight="1">
      <c r="F1" s="15"/>
      <c r="G1" s="15"/>
    </row>
    <row r="2" spans="1:11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</row>
    <row r="4" spans="1:11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  <c r="J4" s="57"/>
    </row>
    <row r="5" spans="1:11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</row>
    <row r="6" spans="1:11" s="1" customFormat="1" ht="8.25" customHeight="1">
      <c r="F6" s="15"/>
      <c r="G6" s="15"/>
    </row>
    <row r="7" spans="1:11" s="1" customFormat="1" ht="12" customHeight="1">
      <c r="A7" s="1" t="s">
        <v>4</v>
      </c>
      <c r="B7" s="46" t="s">
        <v>5</v>
      </c>
      <c r="C7" s="46"/>
      <c r="D7" s="46"/>
      <c r="F7" s="15"/>
      <c r="G7" s="15"/>
      <c r="H7" s="5" t="s">
        <v>6</v>
      </c>
      <c r="I7" s="6"/>
      <c r="J7" s="5"/>
    </row>
    <row r="8" spans="1:11" s="1" customFormat="1" ht="12" customHeight="1">
      <c r="B8" s="7"/>
      <c r="C8" s="7"/>
      <c r="F8" s="15"/>
      <c r="G8" s="15"/>
      <c r="H8" s="7"/>
      <c r="I8" s="7"/>
      <c r="J8" s="7"/>
    </row>
    <row r="9" spans="1:11" s="1" customFormat="1" ht="12" customHeight="1">
      <c r="A9" s="1" t="s">
        <v>7</v>
      </c>
      <c r="B9" s="46" t="s">
        <v>8</v>
      </c>
      <c r="C9" s="46"/>
      <c r="D9" s="46"/>
      <c r="F9" s="15"/>
      <c r="G9" s="15"/>
      <c r="H9" s="5" t="s">
        <v>9</v>
      </c>
      <c r="I9" s="8"/>
      <c r="J9" s="5"/>
    </row>
    <row r="10" spans="1:11" ht="16.5" customHeight="1">
      <c r="A10" s="47" t="s">
        <v>10</v>
      </c>
      <c r="B10" s="47"/>
      <c r="C10" s="47"/>
      <c r="D10" s="47"/>
      <c r="E10" s="47"/>
      <c r="F10" s="47"/>
      <c r="G10" s="47"/>
      <c r="H10" s="47"/>
      <c r="I10" s="47"/>
      <c r="J10" s="47"/>
      <c r="K10"/>
    </row>
    <row r="11" spans="1:11" ht="15.95" customHeight="1">
      <c r="A11" s="53" t="s">
        <v>11</v>
      </c>
      <c r="B11" s="48" t="s">
        <v>12</v>
      </c>
      <c r="C11" s="48"/>
      <c r="D11" s="49" t="s">
        <v>13</v>
      </c>
      <c r="E11" s="50"/>
      <c r="F11" s="50"/>
      <c r="G11" s="51"/>
      <c r="H11" s="52" t="s">
        <v>14</v>
      </c>
      <c r="I11" s="52"/>
      <c r="J11" s="55" t="s">
        <v>15</v>
      </c>
      <c r="K11" s="45" t="s">
        <v>16</v>
      </c>
    </row>
    <row r="12" spans="1:11" ht="15.95" customHeight="1">
      <c r="A12" s="54"/>
      <c r="B12" s="26" t="s">
        <v>17</v>
      </c>
      <c r="C12" s="26" t="s">
        <v>18</v>
      </c>
      <c r="D12" s="26" t="s">
        <v>17</v>
      </c>
      <c r="E12" s="26" t="s">
        <v>18</v>
      </c>
      <c r="F12" s="26" t="s">
        <v>19</v>
      </c>
      <c r="G12" s="26" t="s">
        <v>20</v>
      </c>
      <c r="H12" s="26" t="s">
        <v>17</v>
      </c>
      <c r="I12" s="26" t="s">
        <v>18</v>
      </c>
      <c r="J12" s="56"/>
      <c r="K12" s="45"/>
    </row>
    <row r="13" spans="1:11" ht="15.95" customHeight="1">
      <c r="A13" s="27" t="s">
        <v>21</v>
      </c>
      <c r="B13" s="28">
        <v>2.5</v>
      </c>
      <c r="C13" s="28">
        <v>2.5</v>
      </c>
      <c r="D13" s="28"/>
      <c r="E13" s="28"/>
      <c r="F13" s="28"/>
      <c r="G13" s="28"/>
      <c r="H13" s="28">
        <v>2.5</v>
      </c>
      <c r="I13" s="28">
        <v>2.5</v>
      </c>
      <c r="J13" s="38">
        <f>H13+I13</f>
        <v>5</v>
      </c>
    </row>
    <row r="14" spans="1:11" ht="15.95" customHeight="1">
      <c r="A14" s="27" t="s">
        <v>22</v>
      </c>
      <c r="B14" s="28"/>
      <c r="C14" s="28"/>
      <c r="D14" s="28">
        <v>1</v>
      </c>
      <c r="E14" s="28"/>
      <c r="F14" s="28"/>
      <c r="G14" s="28"/>
      <c r="H14" s="28">
        <f>H13-F14-D14+B14</f>
        <v>1.5</v>
      </c>
      <c r="I14" s="28">
        <f>I13-E14+C14</f>
        <v>2.5</v>
      </c>
      <c r="J14" s="38">
        <f>H14+I14</f>
        <v>4</v>
      </c>
    </row>
    <row r="15" spans="1:11" ht="15.95" customHeight="1">
      <c r="A15" s="27" t="s">
        <v>23</v>
      </c>
      <c r="B15" s="28">
        <v>1.25</v>
      </c>
      <c r="C15" s="28">
        <v>1.25</v>
      </c>
      <c r="D15" s="28"/>
      <c r="E15" s="28"/>
      <c r="F15" s="28"/>
      <c r="G15" s="28"/>
      <c r="H15" s="28">
        <f t="shared" ref="H15:H17" si="0">H14-F15-D15+B15</f>
        <v>2.75</v>
      </c>
      <c r="I15" s="28">
        <f t="shared" ref="I15:I17" si="1">I14-E15+C15</f>
        <v>3.75</v>
      </c>
      <c r="J15" s="38">
        <f t="shared" ref="J15:J17" si="2">H15+I15</f>
        <v>6.5</v>
      </c>
    </row>
    <row r="16" spans="1:11" ht="15.95" customHeight="1">
      <c r="A16" s="27" t="s">
        <v>24</v>
      </c>
      <c r="B16" s="28">
        <v>1.25</v>
      </c>
      <c r="C16" s="28">
        <v>1.25</v>
      </c>
      <c r="D16" s="28"/>
      <c r="E16" s="28"/>
      <c r="F16" s="28"/>
      <c r="G16" s="28"/>
      <c r="H16" s="28">
        <f t="shared" si="0"/>
        <v>4</v>
      </c>
      <c r="I16" s="28">
        <f t="shared" si="1"/>
        <v>5</v>
      </c>
      <c r="J16" s="38">
        <f t="shared" si="2"/>
        <v>9</v>
      </c>
    </row>
    <row r="17" spans="1:10" ht="15.95" customHeight="1">
      <c r="A17" s="27" t="s">
        <v>25</v>
      </c>
      <c r="B17" s="28"/>
      <c r="C17" s="28"/>
      <c r="D17" s="28"/>
      <c r="E17" s="28"/>
      <c r="F17" s="28">
        <v>1</v>
      </c>
      <c r="G17" s="28"/>
      <c r="H17" s="28">
        <f t="shared" si="0"/>
        <v>3</v>
      </c>
      <c r="I17" s="28">
        <f t="shared" si="1"/>
        <v>5</v>
      </c>
      <c r="J17" s="38">
        <f t="shared" si="2"/>
        <v>8</v>
      </c>
    </row>
    <row r="18" spans="1:10" ht="15.95" customHeight="1">
      <c r="A18" s="27" t="s">
        <v>26</v>
      </c>
      <c r="B18" s="28">
        <v>1.25</v>
      </c>
      <c r="C18" s="28">
        <v>1.25</v>
      </c>
      <c r="D18" s="28"/>
      <c r="E18" s="28"/>
      <c r="F18" s="28"/>
      <c r="G18" s="28"/>
      <c r="H18" s="28">
        <f t="shared" ref="H18:H19" si="3">H17-F18-D18+B18</f>
        <v>4.25</v>
      </c>
      <c r="I18" s="28">
        <f t="shared" ref="I18:I19" si="4">I17-E18+C18</f>
        <v>6.25</v>
      </c>
      <c r="J18" s="38">
        <f t="shared" ref="J18:J19" si="5">H18+I18</f>
        <v>10.5</v>
      </c>
    </row>
    <row r="19" spans="1:10" ht="15.95" customHeight="1">
      <c r="A19" s="27" t="s">
        <v>27</v>
      </c>
      <c r="B19" s="28"/>
      <c r="C19" s="28"/>
      <c r="D19" s="28"/>
      <c r="E19" s="28"/>
      <c r="F19" s="28">
        <v>1</v>
      </c>
      <c r="G19" s="28"/>
      <c r="H19" s="28">
        <f t="shared" si="3"/>
        <v>3.25</v>
      </c>
      <c r="I19" s="28">
        <f t="shared" si="4"/>
        <v>6.25</v>
      </c>
      <c r="J19" s="38">
        <f t="shared" si="5"/>
        <v>9.5</v>
      </c>
    </row>
    <row r="20" spans="1:10" ht="15.95" customHeight="1">
      <c r="A20" s="27" t="s">
        <v>28</v>
      </c>
      <c r="B20" s="28">
        <v>7.5</v>
      </c>
      <c r="C20" s="28">
        <v>7.5</v>
      </c>
      <c r="D20" s="28"/>
      <c r="E20" s="28"/>
      <c r="F20" s="28"/>
      <c r="G20" s="28"/>
      <c r="H20" s="28">
        <f t="shared" ref="H20:H21" si="6">H19-F20-D20+B20</f>
        <v>10.75</v>
      </c>
      <c r="I20" s="28">
        <f t="shared" ref="I20:I21" si="7">I19-E20+C20</f>
        <v>13.75</v>
      </c>
      <c r="J20" s="38">
        <f t="shared" ref="J20:J21" si="8">H20+I20</f>
        <v>24.5</v>
      </c>
    </row>
    <row r="21" spans="1:10" ht="15.95" customHeight="1">
      <c r="A21" s="27" t="s">
        <v>29</v>
      </c>
      <c r="B21" s="28"/>
      <c r="C21" s="28"/>
      <c r="D21" s="28"/>
      <c r="E21" s="28"/>
      <c r="F21" s="28">
        <v>2</v>
      </c>
      <c r="G21" s="28"/>
      <c r="H21" s="28">
        <f t="shared" si="6"/>
        <v>8.75</v>
      </c>
      <c r="I21" s="28">
        <f t="shared" si="7"/>
        <v>13.75</v>
      </c>
      <c r="J21" s="38">
        <f t="shared" si="8"/>
        <v>22.5</v>
      </c>
    </row>
    <row r="22" spans="1:10" ht="15.95" customHeight="1">
      <c r="A22" s="27" t="s">
        <v>30</v>
      </c>
      <c r="B22" s="28">
        <v>5</v>
      </c>
      <c r="C22" s="28">
        <v>5</v>
      </c>
      <c r="D22" s="28"/>
      <c r="E22" s="28"/>
      <c r="F22" s="28"/>
      <c r="G22" s="28"/>
      <c r="H22" s="28">
        <f t="shared" ref="H22:H26" si="9">H21-F22-D22+B22</f>
        <v>13.75</v>
      </c>
      <c r="I22" s="28">
        <f t="shared" ref="I22:I26" si="10">I21-E22+C22</f>
        <v>18.75</v>
      </c>
      <c r="J22" s="38">
        <f t="shared" ref="J22:J26" si="11">H22+I22</f>
        <v>32.5</v>
      </c>
    </row>
    <row r="23" spans="1:10" ht="15.95" customHeight="1">
      <c r="A23" s="27" t="s">
        <v>31</v>
      </c>
      <c r="B23" s="28"/>
      <c r="C23" s="28"/>
      <c r="D23" s="28"/>
      <c r="E23" s="28"/>
      <c r="F23" s="28">
        <v>1</v>
      </c>
      <c r="G23" s="28"/>
      <c r="H23" s="28">
        <f t="shared" si="9"/>
        <v>12.75</v>
      </c>
      <c r="I23" s="28">
        <f t="shared" si="10"/>
        <v>18.75</v>
      </c>
      <c r="J23" s="38">
        <f t="shared" si="11"/>
        <v>31.5</v>
      </c>
    </row>
    <row r="24" spans="1:10" ht="15.95" customHeight="1">
      <c r="A24" s="27" t="s">
        <v>32</v>
      </c>
      <c r="B24" s="28">
        <v>10</v>
      </c>
      <c r="C24" s="28">
        <v>10</v>
      </c>
      <c r="D24" s="28"/>
      <c r="E24" s="28"/>
      <c r="F24" s="28"/>
      <c r="G24" s="28"/>
      <c r="H24" s="28">
        <f t="shared" si="9"/>
        <v>22.75</v>
      </c>
      <c r="I24" s="28">
        <f t="shared" si="10"/>
        <v>28.75</v>
      </c>
      <c r="J24" s="38">
        <f t="shared" si="11"/>
        <v>51.5</v>
      </c>
    </row>
    <row r="25" spans="1:10" ht="15.95" customHeight="1">
      <c r="A25" s="27" t="s">
        <v>33</v>
      </c>
      <c r="B25" s="28"/>
      <c r="C25" s="28"/>
      <c r="D25" s="28"/>
      <c r="E25" s="28"/>
      <c r="F25" s="28"/>
      <c r="G25" s="28">
        <v>1</v>
      </c>
      <c r="H25" s="28">
        <f t="shared" si="9"/>
        <v>22.75</v>
      </c>
      <c r="I25" s="28">
        <f t="shared" si="10"/>
        <v>28.75</v>
      </c>
      <c r="J25" s="38">
        <f t="shared" si="11"/>
        <v>51.5</v>
      </c>
    </row>
    <row r="26" spans="1:10" ht="15.95" customHeight="1">
      <c r="A26" s="27" t="s">
        <v>34</v>
      </c>
      <c r="B26" s="28"/>
      <c r="C26" s="28"/>
      <c r="D26" s="28">
        <v>20</v>
      </c>
      <c r="E26" s="28"/>
      <c r="F26" s="28"/>
      <c r="G26" s="28"/>
      <c r="H26" s="28">
        <f t="shared" si="9"/>
        <v>2.75</v>
      </c>
      <c r="I26" s="28">
        <f t="shared" si="10"/>
        <v>28.75</v>
      </c>
      <c r="J26" s="38">
        <f t="shared" si="11"/>
        <v>31.5</v>
      </c>
    </row>
    <row r="27" spans="1:10" ht="15.95" customHeight="1">
      <c r="A27" s="27" t="s">
        <v>35</v>
      </c>
      <c r="B27" s="28">
        <v>3.75</v>
      </c>
      <c r="C27" s="28">
        <v>3.75</v>
      </c>
      <c r="D27" s="28"/>
      <c r="E27" s="28"/>
      <c r="F27" s="28"/>
      <c r="G27" s="28"/>
      <c r="H27" s="28">
        <f t="shared" ref="H27:H29" si="12">H26-F27-D27+B27</f>
        <v>6.5</v>
      </c>
      <c r="I27" s="28">
        <f t="shared" ref="I27:I29" si="13">I26-E27+C27</f>
        <v>32.5</v>
      </c>
      <c r="J27" s="38">
        <f t="shared" ref="J27:J29" si="14">H27+I27</f>
        <v>39</v>
      </c>
    </row>
    <row r="28" spans="1:10" ht="15.95" customHeight="1">
      <c r="A28" s="27" t="s">
        <v>36</v>
      </c>
      <c r="B28" s="28"/>
      <c r="C28" s="28"/>
      <c r="D28" s="28"/>
      <c r="E28" s="28"/>
      <c r="F28" s="28">
        <v>1</v>
      </c>
      <c r="G28" s="28"/>
      <c r="H28" s="28">
        <f t="shared" si="12"/>
        <v>5.5</v>
      </c>
      <c r="I28" s="28">
        <f t="shared" si="13"/>
        <v>32.5</v>
      </c>
      <c r="J28" s="38">
        <f t="shared" si="14"/>
        <v>38</v>
      </c>
    </row>
    <row r="29" spans="1:10" ht="15.95" customHeight="1">
      <c r="A29" s="27" t="s">
        <v>37</v>
      </c>
      <c r="B29" s="28"/>
      <c r="C29" s="28"/>
      <c r="D29" s="28"/>
      <c r="E29" s="28"/>
      <c r="F29" s="28">
        <v>4</v>
      </c>
      <c r="G29" s="28"/>
      <c r="H29" s="28">
        <f t="shared" si="12"/>
        <v>1.5</v>
      </c>
      <c r="I29" s="28">
        <f t="shared" si="13"/>
        <v>32.5</v>
      </c>
      <c r="J29" s="38">
        <f t="shared" si="14"/>
        <v>34</v>
      </c>
    </row>
    <row r="30" spans="1:10" ht="15.95" customHeight="1">
      <c r="A30" s="27" t="s">
        <v>38</v>
      </c>
      <c r="B30" s="28">
        <v>1.25</v>
      </c>
      <c r="C30" s="28">
        <v>1.25</v>
      </c>
      <c r="D30" s="28"/>
      <c r="E30" s="28"/>
      <c r="F30" s="28"/>
      <c r="G30" s="28"/>
      <c r="H30" s="28">
        <f t="shared" ref="H30:H31" si="15">H29-F30-D30+B30</f>
        <v>2.75</v>
      </c>
      <c r="I30" s="28">
        <f t="shared" ref="I30:I31" si="16">I29-E30+C30</f>
        <v>33.75</v>
      </c>
      <c r="J30" s="38">
        <f t="shared" ref="J30:J31" si="17">H30+I30</f>
        <v>36.5</v>
      </c>
    </row>
    <row r="31" spans="1:10" ht="15.95" customHeight="1">
      <c r="A31" s="27" t="s">
        <v>39</v>
      </c>
      <c r="B31" s="28"/>
      <c r="C31" s="28"/>
      <c r="D31" s="28"/>
      <c r="E31" s="28">
        <v>1</v>
      </c>
      <c r="F31" s="28"/>
      <c r="G31" s="28"/>
      <c r="H31" s="28">
        <f t="shared" si="15"/>
        <v>2.75</v>
      </c>
      <c r="I31" s="28">
        <f t="shared" si="16"/>
        <v>32.75</v>
      </c>
      <c r="J31" s="38">
        <f t="shared" si="17"/>
        <v>35.5</v>
      </c>
    </row>
    <row r="32" spans="1:10" ht="15.95" customHeight="1">
      <c r="A32" s="27" t="s">
        <v>40</v>
      </c>
      <c r="B32" s="28">
        <v>1.25</v>
      </c>
      <c r="C32" s="28">
        <v>1.25</v>
      </c>
      <c r="D32" s="28"/>
      <c r="E32" s="28"/>
      <c r="F32" s="28"/>
      <c r="G32" s="28"/>
      <c r="H32" s="28">
        <f t="shared" ref="H32:H51" si="18">H31-F32-D32+B32</f>
        <v>4</v>
      </c>
      <c r="I32" s="28">
        <f t="shared" ref="I32:I51" si="19">I31-E32+C32</f>
        <v>34</v>
      </c>
      <c r="J32" s="38">
        <f t="shared" ref="J32:J51" si="20">H32+I32</f>
        <v>38</v>
      </c>
    </row>
    <row r="33" spans="1:10" ht="15.95" customHeight="1">
      <c r="A33" s="27" t="s">
        <v>41</v>
      </c>
      <c r="B33" s="28"/>
      <c r="C33" s="28"/>
      <c r="D33" s="28"/>
      <c r="E33" s="28"/>
      <c r="F33" s="28">
        <v>1</v>
      </c>
      <c r="G33" s="28"/>
      <c r="H33" s="28">
        <f t="shared" si="18"/>
        <v>3</v>
      </c>
      <c r="I33" s="28">
        <f t="shared" si="19"/>
        <v>34</v>
      </c>
      <c r="J33" s="38">
        <f t="shared" si="20"/>
        <v>37</v>
      </c>
    </row>
    <row r="34" spans="1:10" ht="15.95" customHeight="1">
      <c r="A34" s="27" t="s">
        <v>42</v>
      </c>
      <c r="B34" s="28">
        <v>1.25</v>
      </c>
      <c r="C34" s="28">
        <v>1.25</v>
      </c>
      <c r="D34" s="28"/>
      <c r="E34" s="28"/>
      <c r="F34" s="28"/>
      <c r="G34" s="28"/>
      <c r="H34" s="28">
        <f t="shared" si="18"/>
        <v>4.25</v>
      </c>
      <c r="I34" s="28">
        <f t="shared" si="19"/>
        <v>35.25</v>
      </c>
      <c r="J34" s="38">
        <f t="shared" si="20"/>
        <v>39.5</v>
      </c>
    </row>
    <row r="35" spans="1:10" ht="15.95" customHeight="1">
      <c r="A35" s="29" t="s">
        <v>43</v>
      </c>
      <c r="B35" s="28"/>
      <c r="C35" s="28"/>
      <c r="D35" s="28"/>
      <c r="E35" s="28"/>
      <c r="F35" s="28"/>
      <c r="G35" s="28">
        <v>1</v>
      </c>
      <c r="H35" s="28">
        <f t="shared" si="18"/>
        <v>4.25</v>
      </c>
      <c r="I35" s="28">
        <f t="shared" si="19"/>
        <v>35.25</v>
      </c>
      <c r="J35" s="38">
        <f t="shared" si="20"/>
        <v>39.5</v>
      </c>
    </row>
    <row r="36" spans="1:10" ht="15.95" customHeight="1">
      <c r="A36" s="27" t="s">
        <v>44</v>
      </c>
      <c r="B36" s="28">
        <v>1.25</v>
      </c>
      <c r="C36" s="28">
        <v>1.25</v>
      </c>
      <c r="D36" s="28"/>
      <c r="E36" s="28"/>
      <c r="F36" s="28"/>
      <c r="G36" s="28"/>
      <c r="H36" s="28">
        <f t="shared" si="18"/>
        <v>5.5</v>
      </c>
      <c r="I36" s="28">
        <f t="shared" si="19"/>
        <v>36.5</v>
      </c>
      <c r="J36" s="38">
        <f t="shared" si="20"/>
        <v>42</v>
      </c>
    </row>
    <row r="37" spans="1:10" ht="15.95" customHeight="1">
      <c r="A37" s="27" t="s">
        <v>45</v>
      </c>
      <c r="B37" s="30"/>
      <c r="C37" s="28"/>
      <c r="D37" s="28"/>
      <c r="E37" s="28">
        <v>1</v>
      </c>
      <c r="F37" s="28"/>
      <c r="G37" s="28"/>
      <c r="H37" s="28">
        <f t="shared" si="18"/>
        <v>5.5</v>
      </c>
      <c r="I37" s="28">
        <f t="shared" si="19"/>
        <v>35.5</v>
      </c>
      <c r="J37" s="38">
        <f t="shared" si="20"/>
        <v>41</v>
      </c>
    </row>
    <row r="38" spans="1:10" ht="15.95" customHeight="1">
      <c r="A38" s="27" t="s">
        <v>46</v>
      </c>
      <c r="B38" s="28">
        <v>1.25</v>
      </c>
      <c r="C38" s="28">
        <v>1.25</v>
      </c>
      <c r="D38" s="28"/>
      <c r="E38" s="28"/>
      <c r="F38" s="28"/>
      <c r="G38" s="28"/>
      <c r="H38" s="28">
        <f t="shared" si="18"/>
        <v>6.75</v>
      </c>
      <c r="I38" s="28">
        <f t="shared" si="19"/>
        <v>36.75</v>
      </c>
      <c r="J38" s="38">
        <f t="shared" si="20"/>
        <v>43.5</v>
      </c>
    </row>
    <row r="39" spans="1:10" ht="15.95" customHeight="1">
      <c r="A39" s="27" t="s">
        <v>47</v>
      </c>
      <c r="B39" s="28"/>
      <c r="C39" s="28"/>
      <c r="D39" s="28"/>
      <c r="E39" s="28">
        <v>1</v>
      </c>
      <c r="F39" s="28"/>
      <c r="G39" s="28"/>
      <c r="H39" s="28">
        <f t="shared" si="18"/>
        <v>6.75</v>
      </c>
      <c r="I39" s="28">
        <f t="shared" si="19"/>
        <v>35.75</v>
      </c>
      <c r="J39" s="38">
        <f t="shared" si="20"/>
        <v>42.5</v>
      </c>
    </row>
    <row r="40" spans="1:10" ht="15.95" customHeight="1">
      <c r="A40" s="27" t="s">
        <v>48</v>
      </c>
      <c r="B40" s="28">
        <v>2.5</v>
      </c>
      <c r="C40" s="28">
        <v>2.5</v>
      </c>
      <c r="D40" s="28"/>
      <c r="E40" s="28"/>
      <c r="F40" s="28"/>
      <c r="G40" s="28"/>
      <c r="H40" s="28">
        <f t="shared" si="18"/>
        <v>9.25</v>
      </c>
      <c r="I40" s="28">
        <f t="shared" si="19"/>
        <v>38.25</v>
      </c>
      <c r="J40" s="38">
        <f t="shared" si="20"/>
        <v>47.5</v>
      </c>
    </row>
    <row r="41" spans="1:10" ht="15.95" customHeight="1">
      <c r="A41" s="27" t="s">
        <v>49</v>
      </c>
      <c r="B41" s="28"/>
      <c r="C41" s="28"/>
      <c r="D41" s="28"/>
      <c r="E41" s="28"/>
      <c r="F41" s="28">
        <v>1</v>
      </c>
      <c r="G41" s="28"/>
      <c r="H41" s="28">
        <f t="shared" si="18"/>
        <v>8.25</v>
      </c>
      <c r="I41" s="28">
        <f t="shared" si="19"/>
        <v>38.25</v>
      </c>
      <c r="J41" s="38">
        <f t="shared" si="20"/>
        <v>46.5</v>
      </c>
    </row>
    <row r="42" spans="1:10" ht="15.95" customHeight="1">
      <c r="A42" s="27" t="s">
        <v>50</v>
      </c>
      <c r="B42" s="28"/>
      <c r="C42" s="28"/>
      <c r="D42" s="28"/>
      <c r="E42" s="28">
        <v>1</v>
      </c>
      <c r="F42" s="28"/>
      <c r="G42" s="28"/>
      <c r="H42" s="28">
        <f t="shared" si="18"/>
        <v>8.25</v>
      </c>
      <c r="I42" s="28">
        <f t="shared" si="19"/>
        <v>37.25</v>
      </c>
      <c r="J42" s="38">
        <f t="shared" si="20"/>
        <v>45.5</v>
      </c>
    </row>
    <row r="43" spans="1:10" ht="15.95" customHeight="1">
      <c r="A43" s="27" t="s">
        <v>51</v>
      </c>
      <c r="B43" s="28">
        <v>2.5</v>
      </c>
      <c r="C43" s="28">
        <v>2.5</v>
      </c>
      <c r="D43" s="28"/>
      <c r="E43" s="28"/>
      <c r="F43" s="28"/>
      <c r="G43" s="28"/>
      <c r="H43" s="28">
        <f t="shared" si="18"/>
        <v>10.75</v>
      </c>
      <c r="I43" s="28">
        <f t="shared" si="19"/>
        <v>39.75</v>
      </c>
      <c r="J43" s="38">
        <f t="shared" si="20"/>
        <v>50.5</v>
      </c>
    </row>
    <row r="44" spans="1:10" ht="15.95" customHeight="1">
      <c r="A44" s="27" t="s">
        <v>52</v>
      </c>
      <c r="B44" s="28"/>
      <c r="C44" s="28"/>
      <c r="D44" s="28">
        <v>5</v>
      </c>
      <c r="E44" s="28">
        <v>20</v>
      </c>
      <c r="F44" s="28"/>
      <c r="G44" s="28"/>
      <c r="H44" s="28">
        <f t="shared" si="18"/>
        <v>5.75</v>
      </c>
      <c r="I44" s="28">
        <f t="shared" si="19"/>
        <v>19.75</v>
      </c>
      <c r="J44" s="38">
        <f t="shared" si="20"/>
        <v>25.5</v>
      </c>
    </row>
    <row r="45" spans="1:10" ht="15.95" customHeight="1">
      <c r="A45" s="27" t="s">
        <v>53</v>
      </c>
      <c r="B45" s="28">
        <v>1.25</v>
      </c>
      <c r="C45" s="28">
        <v>1.25</v>
      </c>
      <c r="D45" s="28"/>
      <c r="E45" s="28"/>
      <c r="F45" s="28"/>
      <c r="G45" s="28"/>
      <c r="H45" s="28">
        <f t="shared" si="18"/>
        <v>7</v>
      </c>
      <c r="I45" s="28">
        <f t="shared" si="19"/>
        <v>21</v>
      </c>
      <c r="J45" s="38">
        <f t="shared" si="20"/>
        <v>28</v>
      </c>
    </row>
    <row r="46" spans="1:10" ht="15.95" customHeight="1">
      <c r="A46" s="27" t="s">
        <v>54</v>
      </c>
      <c r="B46" s="28"/>
      <c r="C46" s="28"/>
      <c r="D46" s="28"/>
      <c r="E46" s="28">
        <v>2</v>
      </c>
      <c r="F46" s="28"/>
      <c r="G46" s="28"/>
      <c r="H46" s="28">
        <f t="shared" si="18"/>
        <v>7</v>
      </c>
      <c r="I46" s="28">
        <f t="shared" si="19"/>
        <v>19</v>
      </c>
      <c r="J46" s="38">
        <f t="shared" si="20"/>
        <v>26</v>
      </c>
    </row>
    <row r="47" spans="1:10" ht="15.95" customHeight="1">
      <c r="A47" s="27" t="s">
        <v>55</v>
      </c>
      <c r="B47" s="28">
        <v>2.5</v>
      </c>
      <c r="C47" s="28">
        <v>2.5</v>
      </c>
      <c r="D47" s="28"/>
      <c r="E47" s="28"/>
      <c r="F47" s="28"/>
      <c r="G47" s="28"/>
      <c r="H47" s="28">
        <f t="shared" si="18"/>
        <v>9.5</v>
      </c>
      <c r="I47" s="28">
        <f t="shared" si="19"/>
        <v>21.5</v>
      </c>
      <c r="J47" s="38">
        <f t="shared" si="20"/>
        <v>31</v>
      </c>
    </row>
    <row r="48" spans="1:10" ht="15.95" customHeight="1">
      <c r="A48" s="27" t="s">
        <v>56</v>
      </c>
      <c r="B48" s="28"/>
      <c r="C48" s="28"/>
      <c r="D48" s="28"/>
      <c r="E48" s="28"/>
      <c r="F48" s="28">
        <v>3</v>
      </c>
      <c r="G48" s="28"/>
      <c r="H48" s="28">
        <f t="shared" si="18"/>
        <v>6.5</v>
      </c>
      <c r="I48" s="28">
        <f t="shared" si="19"/>
        <v>21.5</v>
      </c>
      <c r="J48" s="38">
        <f t="shared" si="20"/>
        <v>28</v>
      </c>
    </row>
    <row r="49" spans="1:10" ht="15.95" customHeight="1">
      <c r="A49" s="27" t="s">
        <v>57</v>
      </c>
      <c r="B49" s="28"/>
      <c r="C49" s="28"/>
      <c r="D49" s="28"/>
      <c r="E49" s="28"/>
      <c r="F49" s="28"/>
      <c r="G49" s="28">
        <v>2</v>
      </c>
      <c r="H49" s="28">
        <f t="shared" si="18"/>
        <v>6.5</v>
      </c>
      <c r="I49" s="28">
        <f t="shared" si="19"/>
        <v>21.5</v>
      </c>
      <c r="J49" s="38">
        <f t="shared" si="20"/>
        <v>28</v>
      </c>
    </row>
    <row r="50" spans="1:10" ht="15.95" customHeight="1">
      <c r="A50" s="27" t="s">
        <v>58</v>
      </c>
      <c r="B50" s="28">
        <v>1.25</v>
      </c>
      <c r="C50" s="28">
        <v>1.25</v>
      </c>
      <c r="D50" s="28"/>
      <c r="E50" s="28"/>
      <c r="F50" s="28"/>
      <c r="G50" s="28"/>
      <c r="H50" s="28">
        <f t="shared" si="18"/>
        <v>7.75</v>
      </c>
      <c r="I50" s="28">
        <f t="shared" si="19"/>
        <v>22.75</v>
      </c>
      <c r="J50" s="38">
        <f t="shared" si="20"/>
        <v>30.5</v>
      </c>
    </row>
    <row r="51" spans="1:10" ht="15.75" customHeight="1">
      <c r="A51" s="31" t="s">
        <v>59</v>
      </c>
      <c r="B51" s="28">
        <v>1.25</v>
      </c>
      <c r="C51" s="28">
        <v>1.25</v>
      </c>
      <c r="D51" s="32"/>
      <c r="E51" s="32"/>
      <c r="F51" s="32"/>
      <c r="G51" s="32"/>
      <c r="H51" s="28">
        <f t="shared" si="18"/>
        <v>9</v>
      </c>
      <c r="I51" s="28">
        <f t="shared" si="19"/>
        <v>24</v>
      </c>
      <c r="J51" s="38">
        <f t="shared" si="20"/>
        <v>33</v>
      </c>
    </row>
    <row r="52" spans="1:10" ht="15.95" customHeight="1">
      <c r="A52" s="27" t="s">
        <v>60</v>
      </c>
      <c r="B52" s="28"/>
      <c r="C52" s="28"/>
      <c r="D52" s="28"/>
      <c r="E52" s="28"/>
      <c r="F52" s="28">
        <v>1</v>
      </c>
      <c r="G52" s="28"/>
      <c r="H52" s="28">
        <f t="shared" ref="H52:H58" si="21">H51-F52-D52+B52</f>
        <v>8</v>
      </c>
      <c r="I52" s="28">
        <f t="shared" ref="I52:I58" si="22">I51-E52+C52</f>
        <v>24</v>
      </c>
      <c r="J52" s="38">
        <f t="shared" ref="J52:J58" si="23">H52+I52</f>
        <v>32</v>
      </c>
    </row>
    <row r="53" spans="1:10" ht="15.95" customHeight="1">
      <c r="A53" s="31" t="s">
        <v>61</v>
      </c>
      <c r="B53" s="28">
        <v>1.25</v>
      </c>
      <c r="C53" s="28">
        <v>1.25</v>
      </c>
      <c r="D53" s="28"/>
      <c r="E53" s="28"/>
      <c r="F53" s="28"/>
      <c r="G53" s="28"/>
      <c r="H53" s="28">
        <f t="shared" si="21"/>
        <v>9.25</v>
      </c>
      <c r="I53" s="28">
        <f t="shared" si="22"/>
        <v>25.25</v>
      </c>
      <c r="J53" s="38">
        <f t="shared" si="23"/>
        <v>34.5</v>
      </c>
    </row>
    <row r="54" spans="1:10" ht="15.95" customHeight="1">
      <c r="A54" s="27" t="s">
        <v>62</v>
      </c>
      <c r="B54" s="28"/>
      <c r="C54" s="28"/>
      <c r="D54" s="28"/>
      <c r="E54" s="28"/>
      <c r="F54" s="28"/>
      <c r="G54" s="28">
        <v>1</v>
      </c>
      <c r="H54" s="28">
        <f t="shared" si="21"/>
        <v>9.25</v>
      </c>
      <c r="I54" s="28">
        <f t="shared" si="22"/>
        <v>25.25</v>
      </c>
      <c r="J54" s="38">
        <f t="shared" si="23"/>
        <v>34.5</v>
      </c>
    </row>
    <row r="55" spans="1:10" ht="15.95" customHeight="1">
      <c r="A55" s="27" t="s">
        <v>63</v>
      </c>
      <c r="B55" s="28"/>
      <c r="C55" s="28"/>
      <c r="D55" s="28"/>
      <c r="E55" s="28">
        <v>1</v>
      </c>
      <c r="F55" s="28"/>
      <c r="G55" s="28"/>
      <c r="H55" s="28">
        <f t="shared" si="21"/>
        <v>9.25</v>
      </c>
      <c r="I55" s="28">
        <f t="shared" si="22"/>
        <v>24.25</v>
      </c>
      <c r="J55" s="38">
        <f t="shared" si="23"/>
        <v>33.5</v>
      </c>
    </row>
    <row r="56" spans="1:10" ht="15.95" customHeight="1">
      <c r="A56" s="31" t="s">
        <v>64</v>
      </c>
      <c r="B56" s="28">
        <v>1.25</v>
      </c>
      <c r="C56" s="28">
        <v>1.25</v>
      </c>
      <c r="D56" s="28"/>
      <c r="E56" s="28"/>
      <c r="F56" s="28"/>
      <c r="G56" s="28"/>
      <c r="H56" s="28">
        <f t="shared" si="21"/>
        <v>10.5</v>
      </c>
      <c r="I56" s="28">
        <f t="shared" si="22"/>
        <v>25.5</v>
      </c>
      <c r="J56" s="38">
        <f t="shared" si="23"/>
        <v>36</v>
      </c>
    </row>
    <row r="57" spans="1:10" ht="15.95" customHeight="1">
      <c r="A57" s="27" t="s">
        <v>65</v>
      </c>
      <c r="B57" s="28"/>
      <c r="C57" s="28"/>
      <c r="D57" s="28"/>
      <c r="E57" s="28"/>
      <c r="F57" s="28">
        <v>1</v>
      </c>
      <c r="G57" s="28"/>
      <c r="H57" s="28">
        <f t="shared" si="21"/>
        <v>9.5</v>
      </c>
      <c r="I57" s="28">
        <f t="shared" si="22"/>
        <v>25.5</v>
      </c>
      <c r="J57" s="38">
        <f t="shared" si="23"/>
        <v>35</v>
      </c>
    </row>
    <row r="58" spans="1:10" ht="15.95" customHeight="1">
      <c r="A58" s="31" t="s">
        <v>66</v>
      </c>
      <c r="B58" s="28">
        <v>6.25</v>
      </c>
      <c r="C58" s="28">
        <v>6.25</v>
      </c>
      <c r="D58" s="28"/>
      <c r="E58" s="28"/>
      <c r="F58" s="28"/>
      <c r="G58" s="28"/>
      <c r="H58" s="28">
        <f t="shared" si="21"/>
        <v>15.75</v>
      </c>
      <c r="I58" s="28">
        <f t="shared" si="22"/>
        <v>31.75</v>
      </c>
      <c r="J58" s="38">
        <f t="shared" si="23"/>
        <v>47.5</v>
      </c>
    </row>
    <row r="59" spans="1:10" ht="15.95" customHeight="1">
      <c r="A59" s="33" t="s">
        <v>67</v>
      </c>
      <c r="B59" s="34"/>
      <c r="C59" s="34"/>
      <c r="D59" s="35">
        <v>7</v>
      </c>
      <c r="E59" s="36">
        <v>18</v>
      </c>
      <c r="F59" s="37"/>
      <c r="G59" s="37"/>
      <c r="H59" s="28">
        <f t="shared" ref="H59:H60" si="24">H58-F59-D59+B59</f>
        <v>8.75</v>
      </c>
      <c r="I59" s="28">
        <f t="shared" ref="I59:I60" si="25">I58-E59+C59</f>
        <v>13.75</v>
      </c>
      <c r="J59" s="38">
        <f t="shared" ref="J59:J60" si="26">H59+I59</f>
        <v>22.5</v>
      </c>
    </row>
    <row r="60" spans="1:10" ht="15.95" customHeight="1">
      <c r="A60" s="37" t="s">
        <v>68</v>
      </c>
      <c r="B60" s="37">
        <v>2.5</v>
      </c>
      <c r="C60" s="37">
        <v>2.5</v>
      </c>
      <c r="D60" s="34"/>
      <c r="E60" s="34"/>
      <c r="F60" s="37"/>
      <c r="G60" s="37"/>
      <c r="H60" s="28">
        <f t="shared" si="24"/>
        <v>11.25</v>
      </c>
      <c r="I60" s="28">
        <f t="shared" si="25"/>
        <v>16.25</v>
      </c>
      <c r="J60" s="38">
        <f t="shared" si="26"/>
        <v>27.5</v>
      </c>
    </row>
    <row r="61" spans="1:10" ht="15.95" customHeight="1">
      <c r="A61" s="37" t="s">
        <v>69</v>
      </c>
      <c r="B61" s="34"/>
      <c r="C61" s="34"/>
      <c r="D61" s="34"/>
      <c r="E61" s="34"/>
      <c r="F61" s="37"/>
      <c r="G61" s="37">
        <v>1</v>
      </c>
      <c r="H61" s="28">
        <f t="shared" ref="H61:H64" si="27">H60-F61-D61+B61</f>
        <v>11.25</v>
      </c>
      <c r="I61" s="28">
        <f t="shared" ref="I61:I64" si="28">I60-E61+C61</f>
        <v>16.25</v>
      </c>
      <c r="J61" s="38">
        <f t="shared" ref="J61:J64" si="29">H61+I61</f>
        <v>27.5</v>
      </c>
    </row>
    <row r="62" spans="1:10" ht="15.95" customHeight="1">
      <c r="A62" s="37" t="s">
        <v>70</v>
      </c>
      <c r="B62" s="28">
        <v>2.5</v>
      </c>
      <c r="C62" s="28">
        <v>2.5</v>
      </c>
      <c r="D62" s="34"/>
      <c r="E62" s="34"/>
      <c r="F62" s="37"/>
      <c r="G62" s="37"/>
      <c r="H62" s="28">
        <f t="shared" si="27"/>
        <v>13.75</v>
      </c>
      <c r="I62" s="28">
        <f t="shared" si="28"/>
        <v>18.75</v>
      </c>
      <c r="J62" s="38">
        <f t="shared" si="29"/>
        <v>32.5</v>
      </c>
    </row>
    <row r="63" spans="1:10" ht="15.95" customHeight="1">
      <c r="A63" s="37" t="s">
        <v>71</v>
      </c>
      <c r="B63" s="35"/>
      <c r="C63" s="35"/>
      <c r="D63" s="34"/>
      <c r="E63" s="34"/>
      <c r="F63" s="37">
        <v>3</v>
      </c>
      <c r="G63" s="37"/>
      <c r="H63" s="28">
        <f t="shared" si="27"/>
        <v>10.75</v>
      </c>
      <c r="I63" s="28">
        <f t="shared" si="28"/>
        <v>18.75</v>
      </c>
      <c r="J63" s="38">
        <f t="shared" si="29"/>
        <v>29.5</v>
      </c>
    </row>
    <row r="64" spans="1:10" ht="15.95" customHeight="1">
      <c r="A64" s="37" t="s">
        <v>72</v>
      </c>
      <c r="B64" s="28">
        <v>1.25</v>
      </c>
      <c r="C64" s="28">
        <v>1.25</v>
      </c>
      <c r="D64" s="34"/>
      <c r="E64" s="34"/>
      <c r="F64" s="37"/>
      <c r="G64" s="37"/>
      <c r="H64" s="28">
        <f t="shared" si="27"/>
        <v>12</v>
      </c>
      <c r="I64" s="28">
        <f t="shared" si="28"/>
        <v>20</v>
      </c>
      <c r="J64" s="38">
        <f t="shared" si="29"/>
        <v>32</v>
      </c>
    </row>
    <row r="65" spans="1:10" ht="15.95" customHeight="1">
      <c r="A65" s="37" t="s">
        <v>73</v>
      </c>
      <c r="B65" s="28"/>
      <c r="C65" s="28"/>
      <c r="D65" s="34"/>
      <c r="E65" s="34"/>
      <c r="F65" s="37">
        <v>1</v>
      </c>
      <c r="G65" s="37"/>
      <c r="H65" s="28">
        <f t="shared" ref="H65:H72" si="30">H64-F65-D65+B65</f>
        <v>11</v>
      </c>
      <c r="I65" s="28">
        <f t="shared" ref="I65:I72" si="31">I64-E65+C65</f>
        <v>20</v>
      </c>
      <c r="J65" s="38">
        <f t="shared" ref="J65:J72" si="32">H65+I65</f>
        <v>31</v>
      </c>
    </row>
    <row r="66" spans="1:10" ht="15.95" customHeight="1">
      <c r="A66" s="37" t="s">
        <v>74</v>
      </c>
      <c r="B66" s="28">
        <v>1.25</v>
      </c>
      <c r="C66" s="28">
        <v>1.25</v>
      </c>
      <c r="D66" s="34"/>
      <c r="E66" s="34"/>
      <c r="F66" s="37"/>
      <c r="G66" s="37"/>
      <c r="H66" s="28">
        <f t="shared" si="30"/>
        <v>12.25</v>
      </c>
      <c r="I66" s="28">
        <f t="shared" si="31"/>
        <v>21.25</v>
      </c>
      <c r="J66" s="38">
        <f t="shared" si="32"/>
        <v>33.5</v>
      </c>
    </row>
    <row r="67" spans="1:10" ht="15.95" customHeight="1">
      <c r="A67" s="37" t="s">
        <v>75</v>
      </c>
      <c r="B67" s="28"/>
      <c r="C67" s="28"/>
      <c r="D67" s="34"/>
      <c r="E67" s="34"/>
      <c r="F67" s="37"/>
      <c r="G67" s="37">
        <v>1</v>
      </c>
      <c r="H67" s="28">
        <f t="shared" si="30"/>
        <v>12.25</v>
      </c>
      <c r="I67" s="28">
        <f t="shared" si="31"/>
        <v>21.25</v>
      </c>
      <c r="J67" s="38">
        <f t="shared" si="32"/>
        <v>33.5</v>
      </c>
    </row>
    <row r="68" spans="1:10" ht="15.95" customHeight="1">
      <c r="A68" s="37" t="s">
        <v>76</v>
      </c>
      <c r="B68" s="28">
        <v>6.25</v>
      </c>
      <c r="C68" s="28">
        <v>6.25</v>
      </c>
      <c r="D68" s="34"/>
      <c r="E68" s="34"/>
      <c r="F68" s="37"/>
      <c r="G68" s="37"/>
      <c r="H68" s="28">
        <f t="shared" si="30"/>
        <v>18.5</v>
      </c>
      <c r="I68" s="28">
        <f t="shared" si="31"/>
        <v>27.5</v>
      </c>
      <c r="J68" s="38">
        <f t="shared" si="32"/>
        <v>46</v>
      </c>
    </row>
    <row r="69" spans="1:10" ht="15.95" customHeight="1">
      <c r="A69" s="37" t="s">
        <v>77</v>
      </c>
      <c r="B69" s="35"/>
      <c r="C69" s="35"/>
      <c r="D69" s="37">
        <v>10</v>
      </c>
      <c r="E69" s="34"/>
      <c r="F69" s="37"/>
      <c r="G69" s="37"/>
      <c r="H69" s="28">
        <f t="shared" si="30"/>
        <v>8.5</v>
      </c>
      <c r="I69" s="28">
        <f t="shared" si="31"/>
        <v>27.5</v>
      </c>
      <c r="J69" s="38">
        <f t="shared" si="32"/>
        <v>36</v>
      </c>
    </row>
    <row r="70" spans="1:10" ht="15.95" customHeight="1">
      <c r="A70" s="37" t="s">
        <v>78</v>
      </c>
      <c r="B70" s="35"/>
      <c r="C70" s="35"/>
      <c r="D70" s="37"/>
      <c r="E70" s="34"/>
      <c r="F70" s="37"/>
      <c r="G70" s="37">
        <v>1</v>
      </c>
      <c r="H70" s="28">
        <f t="shared" si="30"/>
        <v>8.5</v>
      </c>
      <c r="I70" s="28">
        <f t="shared" si="31"/>
        <v>27.5</v>
      </c>
      <c r="J70" s="38">
        <f t="shared" si="32"/>
        <v>36</v>
      </c>
    </row>
    <row r="71" spans="1:10" ht="15.95" customHeight="1">
      <c r="A71" s="37" t="s">
        <v>79</v>
      </c>
      <c r="B71" s="35">
        <v>3.75</v>
      </c>
      <c r="C71" s="35">
        <v>3.75</v>
      </c>
      <c r="D71" s="37"/>
      <c r="E71" s="34"/>
      <c r="F71" s="37"/>
      <c r="G71" s="37"/>
      <c r="H71" s="28">
        <f t="shared" si="30"/>
        <v>12.25</v>
      </c>
      <c r="I71" s="28">
        <f t="shared" si="31"/>
        <v>31.25</v>
      </c>
      <c r="J71" s="38">
        <f t="shared" si="32"/>
        <v>43.5</v>
      </c>
    </row>
    <row r="72" spans="1:10" ht="15.95" customHeight="1">
      <c r="A72" s="37" t="s">
        <v>80</v>
      </c>
      <c r="B72" s="35"/>
      <c r="C72" s="35"/>
      <c r="D72" s="37"/>
      <c r="E72" s="34"/>
      <c r="F72" s="37"/>
      <c r="G72" s="37">
        <v>1</v>
      </c>
      <c r="H72" s="28">
        <f t="shared" si="30"/>
        <v>12.25</v>
      </c>
      <c r="I72" s="28">
        <f t="shared" si="31"/>
        <v>31.25</v>
      </c>
      <c r="J72" s="38">
        <f t="shared" si="32"/>
        <v>43.5</v>
      </c>
    </row>
    <row r="73" spans="1:10" ht="15.95" customHeight="1">
      <c r="A73" s="37" t="s">
        <v>81</v>
      </c>
      <c r="B73" s="35">
        <v>2.5</v>
      </c>
      <c r="C73" s="35">
        <v>2.5</v>
      </c>
      <c r="D73" s="37"/>
      <c r="E73" s="34"/>
      <c r="F73" s="37"/>
      <c r="G73" s="37"/>
      <c r="H73" s="28">
        <f t="shared" ref="H73:H75" si="33">H72-F73-D73+B73</f>
        <v>14.75</v>
      </c>
      <c r="I73" s="28">
        <f t="shared" ref="I73:I75" si="34">I72-E73+C73</f>
        <v>33.75</v>
      </c>
      <c r="J73" s="38">
        <f t="shared" ref="J73:J75" si="35">H73+I73</f>
        <v>48.5</v>
      </c>
    </row>
    <row r="74" spans="1:10" ht="15.95" customHeight="1">
      <c r="A74" s="37" t="s">
        <v>82</v>
      </c>
      <c r="B74" s="35"/>
      <c r="C74" s="35"/>
      <c r="D74" s="37"/>
      <c r="E74" s="34"/>
      <c r="F74" s="37">
        <v>4</v>
      </c>
      <c r="G74" s="37"/>
      <c r="H74" s="28">
        <f t="shared" si="33"/>
        <v>10.75</v>
      </c>
      <c r="I74" s="28">
        <f t="shared" si="34"/>
        <v>33.75</v>
      </c>
      <c r="J74" s="38">
        <f t="shared" si="35"/>
        <v>44.5</v>
      </c>
    </row>
    <row r="75" spans="1:10" ht="15.95" customHeight="1">
      <c r="A75" s="37" t="s">
        <v>83</v>
      </c>
      <c r="B75" s="35"/>
      <c r="C75" s="35"/>
      <c r="D75" s="37"/>
      <c r="E75" s="37">
        <v>1</v>
      </c>
      <c r="F75" s="37"/>
      <c r="G75" s="37"/>
      <c r="H75" s="28">
        <f t="shared" si="33"/>
        <v>10.75</v>
      </c>
      <c r="I75" s="28">
        <f t="shared" si="34"/>
        <v>32.75</v>
      </c>
      <c r="J75" s="38">
        <f t="shared" si="35"/>
        <v>43.5</v>
      </c>
    </row>
    <row r="76" spans="1:10" ht="15.95" customHeight="1">
      <c r="A76" s="37" t="s">
        <v>84</v>
      </c>
      <c r="B76" s="35">
        <v>1.25</v>
      </c>
      <c r="C76" s="35">
        <v>1.25</v>
      </c>
      <c r="D76" s="37"/>
      <c r="E76" s="37"/>
      <c r="F76" s="37"/>
      <c r="G76" s="37"/>
      <c r="H76" s="28">
        <f t="shared" ref="H76" si="36">H75-F76-D76+B76</f>
        <v>12</v>
      </c>
      <c r="I76" s="28">
        <f t="shared" ref="I76" si="37">I75-E76+C76</f>
        <v>34</v>
      </c>
      <c r="J76" s="38">
        <f t="shared" ref="J76" si="38">H76+I76</f>
        <v>46</v>
      </c>
    </row>
    <row r="77" spans="1:10" ht="15.95" customHeight="1">
      <c r="A77" s="37" t="s">
        <v>85</v>
      </c>
      <c r="B77" s="35"/>
      <c r="C77" s="35"/>
      <c r="D77" s="37"/>
      <c r="E77" s="37">
        <v>1</v>
      </c>
      <c r="F77" s="37"/>
      <c r="G77" s="37"/>
      <c r="H77" s="28">
        <f t="shared" ref="H77" si="39">H76-F77-D77+B77</f>
        <v>12</v>
      </c>
      <c r="I77" s="28">
        <f t="shared" ref="I77" si="40">I76-E77+C77</f>
        <v>33</v>
      </c>
      <c r="J77" s="38">
        <f t="shared" ref="J77" si="41">H77+I77</f>
        <v>45</v>
      </c>
    </row>
    <row r="78" spans="1:10" ht="15.95" customHeight="1">
      <c r="A78" s="37" t="s">
        <v>86</v>
      </c>
      <c r="B78" s="35"/>
      <c r="C78" s="35"/>
      <c r="D78" s="37"/>
      <c r="E78" s="37"/>
      <c r="F78" s="39">
        <v>1</v>
      </c>
      <c r="G78" s="37"/>
      <c r="H78" s="28">
        <f t="shared" ref="H78:H81" si="42">H77-F78-D78+B78</f>
        <v>11</v>
      </c>
      <c r="I78" s="28">
        <f t="shared" ref="I78:I81" si="43">I77-E78+C78</f>
        <v>33</v>
      </c>
      <c r="J78" s="38">
        <f t="shared" ref="J78:J81" si="44">H78+I78</f>
        <v>44</v>
      </c>
    </row>
    <row r="79" spans="1:10" ht="15.95" customHeight="1">
      <c r="A79" s="37" t="s">
        <v>87</v>
      </c>
      <c r="B79" s="35"/>
      <c r="C79" s="35"/>
      <c r="D79" s="37"/>
      <c r="E79" s="37"/>
      <c r="F79" s="37"/>
      <c r="G79" s="40">
        <v>1</v>
      </c>
      <c r="H79" s="28">
        <f t="shared" si="42"/>
        <v>11</v>
      </c>
      <c r="I79" s="28">
        <f t="shared" si="43"/>
        <v>33</v>
      </c>
      <c r="J79" s="38">
        <f t="shared" si="44"/>
        <v>44</v>
      </c>
    </row>
    <row r="80" spans="1:10" ht="15.95" customHeight="1">
      <c r="A80" s="37" t="s">
        <v>88</v>
      </c>
      <c r="B80" s="35">
        <v>1.25</v>
      </c>
      <c r="C80" s="35">
        <v>1.25</v>
      </c>
      <c r="D80" s="37"/>
      <c r="E80" s="37"/>
      <c r="F80" s="37"/>
      <c r="G80" s="37"/>
      <c r="H80" s="28">
        <f t="shared" si="42"/>
        <v>12.25</v>
      </c>
      <c r="I80" s="28">
        <f t="shared" si="43"/>
        <v>34.25</v>
      </c>
      <c r="J80" s="38">
        <f t="shared" si="44"/>
        <v>46.5</v>
      </c>
    </row>
    <row r="81" spans="1:10" ht="15.95" customHeight="1">
      <c r="A81" s="37" t="s">
        <v>89</v>
      </c>
      <c r="B81" s="35"/>
      <c r="C81" s="35"/>
      <c r="D81" s="37"/>
      <c r="E81" s="37">
        <v>1</v>
      </c>
      <c r="F81" s="37"/>
      <c r="G81" s="37"/>
      <c r="H81" s="28">
        <f t="shared" si="42"/>
        <v>12.25</v>
      </c>
      <c r="I81" s="28">
        <f t="shared" si="43"/>
        <v>33.25</v>
      </c>
      <c r="J81" s="38">
        <f t="shared" si="44"/>
        <v>45.5</v>
      </c>
    </row>
    <row r="82" spans="1:10" ht="15.95" customHeight="1">
      <c r="A82" s="37" t="s">
        <v>90</v>
      </c>
      <c r="B82" s="35">
        <v>1.25</v>
      </c>
      <c r="C82" s="35">
        <v>1.25</v>
      </c>
      <c r="D82" s="37"/>
      <c r="E82" s="37"/>
      <c r="F82" s="37"/>
      <c r="G82" s="37"/>
      <c r="H82" s="28">
        <f t="shared" ref="H82:H83" si="45">H81-F82-D82+B82</f>
        <v>13.5</v>
      </c>
      <c r="I82" s="28">
        <f t="shared" ref="I82:I83" si="46">I81-E82+C82</f>
        <v>34.5</v>
      </c>
      <c r="J82" s="38">
        <f t="shared" ref="J82:J83" si="47">H82+I82</f>
        <v>48</v>
      </c>
    </row>
    <row r="83" spans="1:10" ht="15.95" customHeight="1">
      <c r="A83" s="37" t="s">
        <v>91</v>
      </c>
      <c r="B83" s="35"/>
      <c r="C83" s="35"/>
      <c r="D83" s="37"/>
      <c r="E83" s="37">
        <v>1</v>
      </c>
      <c r="F83" s="37"/>
      <c r="G83" s="37"/>
      <c r="H83" s="28">
        <f t="shared" si="45"/>
        <v>13.5</v>
      </c>
      <c r="I83" s="28">
        <f t="shared" si="46"/>
        <v>33.5</v>
      </c>
      <c r="J83" s="38">
        <f t="shared" si="47"/>
        <v>47</v>
      </c>
    </row>
    <row r="84" spans="1:10" ht="15.95" customHeight="1">
      <c r="A84" s="37" t="s">
        <v>92</v>
      </c>
      <c r="B84" s="35"/>
      <c r="C84" s="35"/>
      <c r="D84" s="37"/>
      <c r="E84" s="37"/>
      <c r="F84" s="39">
        <v>2</v>
      </c>
      <c r="G84" s="37"/>
      <c r="H84" s="28">
        <f t="shared" ref="H84" si="48">H83-F84-D84+B84</f>
        <v>11.5</v>
      </c>
      <c r="I84" s="28">
        <f t="shared" ref="I84" si="49">I83-E84+C84</f>
        <v>33.5</v>
      </c>
      <c r="J84" s="38">
        <f t="shared" ref="J84" si="50">H84+I84</f>
        <v>45</v>
      </c>
    </row>
    <row r="85" spans="1:10" ht="15.95" customHeight="1">
      <c r="A85" s="37" t="s">
        <v>93</v>
      </c>
      <c r="B85" s="35">
        <v>1.25</v>
      </c>
      <c r="C85" s="35">
        <v>1.25</v>
      </c>
      <c r="D85" s="37"/>
      <c r="E85" s="37"/>
      <c r="F85" s="37"/>
      <c r="G85" s="37"/>
      <c r="H85" s="28">
        <f t="shared" ref="H85:H86" si="51">H84-F85-D85+B85</f>
        <v>12.75</v>
      </c>
      <c r="I85" s="28">
        <f t="shared" ref="I85:I86" si="52">I84-E85+C85</f>
        <v>34.75</v>
      </c>
      <c r="J85" s="38">
        <f t="shared" ref="J85:J86" si="53">H85+I85</f>
        <v>47.5</v>
      </c>
    </row>
    <row r="86" spans="1:10" ht="15.95" customHeight="1">
      <c r="A86" s="37" t="s">
        <v>94</v>
      </c>
      <c r="B86" s="35"/>
      <c r="C86" s="35"/>
      <c r="D86" s="37"/>
      <c r="E86" s="37">
        <v>1</v>
      </c>
      <c r="F86" s="37"/>
      <c r="G86" s="37"/>
      <c r="H86" s="28">
        <f t="shared" si="51"/>
        <v>12.75</v>
      </c>
      <c r="I86" s="28">
        <f t="shared" si="52"/>
        <v>33.75</v>
      </c>
      <c r="J86" s="38">
        <f t="shared" si="53"/>
        <v>46.5</v>
      </c>
    </row>
    <row r="87" spans="1:10" ht="15.95" customHeight="1">
      <c r="A87" s="37" t="s">
        <v>95</v>
      </c>
      <c r="B87" s="35">
        <v>2.5</v>
      </c>
      <c r="C87" s="35">
        <v>2.5</v>
      </c>
      <c r="D87" s="37"/>
      <c r="E87" s="37"/>
      <c r="F87" s="37"/>
      <c r="G87" s="37"/>
      <c r="H87" s="28">
        <f t="shared" ref="H87:H88" si="54">H86-F87-D87+B87</f>
        <v>15.25</v>
      </c>
      <c r="I87" s="28">
        <f t="shared" ref="I87:I88" si="55">I86-E87+C87</f>
        <v>36.25</v>
      </c>
      <c r="J87" s="38">
        <f t="shared" ref="J87:J88" si="56">H87+I87</f>
        <v>51.5</v>
      </c>
    </row>
    <row r="88" spans="1:10" ht="15.95" customHeight="1">
      <c r="A88" s="37" t="s">
        <v>96</v>
      </c>
      <c r="B88" s="35"/>
      <c r="C88" s="35"/>
      <c r="D88" s="37"/>
      <c r="E88" s="37">
        <v>1</v>
      </c>
      <c r="F88" s="37"/>
      <c r="G88" s="37"/>
      <c r="H88" s="28">
        <f t="shared" si="54"/>
        <v>15.25</v>
      </c>
      <c r="I88" s="28">
        <f t="shared" si="55"/>
        <v>35.25</v>
      </c>
      <c r="J88" s="38">
        <f t="shared" si="56"/>
        <v>50.5</v>
      </c>
    </row>
    <row r="89" spans="1:10" ht="15.95" customHeight="1">
      <c r="A89" s="37" t="s">
        <v>97</v>
      </c>
      <c r="B89" s="35">
        <v>2.5</v>
      </c>
      <c r="C89" s="35">
        <v>2.5</v>
      </c>
      <c r="D89" s="37"/>
      <c r="E89" s="37"/>
      <c r="F89" s="37"/>
      <c r="G89" s="37"/>
      <c r="H89" s="28">
        <f t="shared" ref="H89:H90" si="57">H88-F89-D89+B89</f>
        <v>17.75</v>
      </c>
      <c r="I89" s="28">
        <f t="shared" ref="I89:I90" si="58">I88-E89+C89</f>
        <v>37.75</v>
      </c>
      <c r="J89" s="38">
        <f t="shared" ref="J89:J90" si="59">H89+I89</f>
        <v>55.5</v>
      </c>
    </row>
    <row r="90" spans="1:10" ht="15.95" customHeight="1">
      <c r="A90" s="37" t="s">
        <v>98</v>
      </c>
      <c r="B90" s="35"/>
      <c r="C90" s="35"/>
      <c r="D90" s="37">
        <v>10</v>
      </c>
      <c r="E90" s="37"/>
      <c r="F90" s="37"/>
      <c r="G90" s="37"/>
      <c r="H90" s="28">
        <f t="shared" si="57"/>
        <v>7.75</v>
      </c>
      <c r="I90" s="28">
        <f t="shared" si="58"/>
        <v>37.75</v>
      </c>
      <c r="J90" s="38">
        <f t="shared" si="59"/>
        <v>45.5</v>
      </c>
    </row>
    <row r="91" spans="1:10" ht="15.95" customHeight="1">
      <c r="A91" s="37" t="s">
        <v>99</v>
      </c>
      <c r="B91" s="35"/>
      <c r="C91" s="35"/>
      <c r="D91" s="37"/>
      <c r="E91" s="37">
        <v>1</v>
      </c>
      <c r="F91" s="37"/>
      <c r="G91" s="37"/>
      <c r="H91" s="28">
        <f t="shared" ref="H91" si="60">H90-F91-D91+B91</f>
        <v>7.75</v>
      </c>
      <c r="I91" s="28">
        <f t="shared" ref="I91" si="61">I90-E91+C91</f>
        <v>36.75</v>
      </c>
      <c r="J91" s="38">
        <f t="shared" ref="J91" si="62">H91+I91</f>
        <v>44.5</v>
      </c>
    </row>
    <row r="92" spans="1:10" ht="15.95" customHeight="1">
      <c r="A92" s="37" t="s">
        <v>100</v>
      </c>
      <c r="B92" s="35">
        <v>1.25</v>
      </c>
      <c r="C92" s="35">
        <v>1.25</v>
      </c>
      <c r="D92" s="37"/>
      <c r="E92" s="37"/>
      <c r="F92" s="37"/>
      <c r="G92" s="37"/>
      <c r="H92" s="28">
        <f t="shared" ref="H92:H93" si="63">H91-F92-D92+B92</f>
        <v>9</v>
      </c>
      <c r="I92" s="28">
        <f t="shared" ref="I92:I93" si="64">I91-E92+C92</f>
        <v>38</v>
      </c>
      <c r="J92" s="38">
        <f t="shared" ref="J92:J93" si="65">H92+I92</f>
        <v>47</v>
      </c>
    </row>
    <row r="93" spans="1:10" ht="15.95" customHeight="1">
      <c r="A93" s="37" t="s">
        <v>101</v>
      </c>
      <c r="B93" s="35"/>
      <c r="C93" s="35"/>
      <c r="D93" s="37"/>
      <c r="E93" s="37"/>
      <c r="F93" s="37"/>
      <c r="G93" s="40">
        <v>1</v>
      </c>
      <c r="H93" s="28">
        <f t="shared" si="63"/>
        <v>9</v>
      </c>
      <c r="I93" s="28">
        <f t="shared" si="64"/>
        <v>38</v>
      </c>
      <c r="J93" s="38">
        <f t="shared" si="65"/>
        <v>47</v>
      </c>
    </row>
    <row r="94" spans="1:10" ht="15.95" customHeight="1">
      <c r="A94" s="37" t="s">
        <v>102</v>
      </c>
      <c r="B94" s="35">
        <v>2.5</v>
      </c>
      <c r="C94" s="35">
        <v>2.5</v>
      </c>
      <c r="D94" s="37"/>
      <c r="E94" s="37"/>
      <c r="F94" s="37"/>
      <c r="G94" s="37"/>
      <c r="H94" s="28">
        <f>H93-F94-D94+B94</f>
        <v>11.5</v>
      </c>
      <c r="I94" s="28">
        <f>I93-E94+C94</f>
        <v>40.5</v>
      </c>
      <c r="J94" s="38">
        <f>H94+I94</f>
        <v>52</v>
      </c>
    </row>
    <row r="95" spans="1:10" ht="15.95" customHeight="1">
      <c r="A95" s="37" t="s">
        <v>103</v>
      </c>
      <c r="B95" s="35"/>
      <c r="C95" s="35"/>
      <c r="D95" s="37"/>
      <c r="E95" s="37"/>
      <c r="F95" s="39">
        <v>1</v>
      </c>
      <c r="G95" s="37"/>
      <c r="H95" s="28">
        <f>H94-F95-D95+B95</f>
        <v>10.5</v>
      </c>
      <c r="I95" s="28">
        <f>I94-E95+C95</f>
        <v>40.5</v>
      </c>
      <c r="J95" s="38">
        <f>H95+I95</f>
        <v>51</v>
      </c>
    </row>
    <row r="96" spans="1:10" ht="15.95" customHeight="1">
      <c r="A96" s="41"/>
      <c r="B96" s="42"/>
      <c r="C96" s="42"/>
      <c r="D96" s="41"/>
      <c r="E96" s="41"/>
      <c r="F96" s="41"/>
      <c r="G96" s="41"/>
      <c r="H96" s="43"/>
      <c r="I96" s="43"/>
      <c r="J96" s="43"/>
    </row>
    <row r="97" spans="1:10" ht="15.95" customHeight="1">
      <c r="A97" s="24"/>
      <c r="B97" s="43"/>
      <c r="C97" s="43"/>
      <c r="H97" s="43"/>
      <c r="I97" s="43"/>
      <c r="J97" s="42"/>
    </row>
    <row r="98" spans="1:10" s="1" customFormat="1" ht="15" customHeight="1">
      <c r="F98" s="15"/>
      <c r="G98" s="15" t="s">
        <v>104</v>
      </c>
    </row>
    <row r="99" spans="1:10" s="1" customFormat="1" ht="15" customHeight="1">
      <c r="F99" s="15"/>
      <c r="G99" s="15"/>
    </row>
    <row r="100" spans="1:10" s="1" customFormat="1" ht="15" customHeight="1">
      <c r="F100" s="15"/>
      <c r="H100" s="44" t="s">
        <v>105</v>
      </c>
    </row>
    <row r="101" spans="1:10" s="1" customFormat="1" ht="15" customHeight="1">
      <c r="F101" s="15"/>
      <c r="H101" s="15" t="s">
        <v>106</v>
      </c>
    </row>
    <row r="102" spans="1:10" s="1" customFormat="1" ht="15" customHeight="1">
      <c r="F102" s="15"/>
      <c r="H102" s="15" t="s">
        <v>107</v>
      </c>
    </row>
    <row r="103" spans="1:10" ht="15.95" customHeight="1"/>
    <row r="104" spans="1:10" ht="15.95" customHeight="1"/>
    <row r="105" spans="1:10" ht="15.95" customHeight="1"/>
    <row r="106" spans="1:10" ht="15.95" customHeight="1"/>
    <row r="107" spans="1:10" ht="15.95" customHeight="1"/>
    <row r="108" spans="1:10" ht="15.95" customHeight="1"/>
    <row r="109" spans="1:10" ht="15.95" customHeight="1"/>
    <row r="110" spans="1:10" ht="15.95" customHeight="1"/>
    <row r="111" spans="1:10" ht="15.95" customHeight="1"/>
    <row r="112" spans="1:10" ht="15.95" customHeight="1"/>
    <row r="113" ht="15.95" customHeight="1"/>
    <row r="114" ht="15.95" customHeight="1"/>
    <row r="115" ht="15.95" customHeight="1"/>
    <row r="116" ht="15.95" customHeight="1"/>
  </sheetData>
  <mergeCells count="13">
    <mergeCell ref="A2:J2"/>
    <mergeCell ref="A3:J3"/>
    <mergeCell ref="A4:J4"/>
    <mergeCell ref="A5:J5"/>
    <mergeCell ref="B7:D7"/>
    <mergeCell ref="K11:K12"/>
    <mergeCell ref="B9:D9"/>
    <mergeCell ref="A10:J10"/>
    <mergeCell ref="B11:C11"/>
    <mergeCell ref="D11:G11"/>
    <mergeCell ref="H11:I11"/>
    <mergeCell ref="A11:A12"/>
    <mergeCell ref="J11:J12"/>
  </mergeCells>
  <printOptions horizontalCentered="1"/>
  <pageMargins left="0.23622047244094499" right="0.23622047244094499" top="0.62992125984252001" bottom="0.62992125984252001" header="0.31496062992126" footer="0.31496062992126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view="pageBreakPreview" topLeftCell="A12" zoomScale="108" zoomScaleNormal="100" workbookViewId="0">
      <selection activeCell="B34" sqref="B34:E34"/>
    </sheetView>
  </sheetViews>
  <sheetFormatPr defaultColWidth="9" defaultRowHeight="15"/>
  <cols>
    <col min="1" max="1" width="21.5703125" customWidth="1"/>
    <col min="2" max="2" width="17.5703125" customWidth="1"/>
    <col min="7" max="7" width="7.28515625" customWidth="1"/>
    <col min="9" max="9" width="6.140625" customWidth="1"/>
    <col min="11" max="11" width="5.7109375" customWidth="1"/>
  </cols>
  <sheetData>
    <row r="1" spans="1:12" s="1" customFormat="1" ht="52.5" customHeight="1"/>
    <row r="2" spans="1:12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1" customFormat="1" ht="15.95" customHeight="1">
      <c r="A4" s="57" t="s">
        <v>108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s="1" customFormat="1" ht="8.25" customHeight="1"/>
    <row r="7" spans="1:12" s="1" customFormat="1" ht="12" customHeight="1">
      <c r="A7" s="1" t="s">
        <v>4</v>
      </c>
      <c r="C7" s="5" t="s">
        <v>5</v>
      </c>
      <c r="D7" s="5"/>
      <c r="G7" s="5" t="s">
        <v>6</v>
      </c>
      <c r="H7" s="6"/>
    </row>
    <row r="8" spans="1:12" s="1" customFormat="1" ht="12" customHeight="1">
      <c r="C8" s="7"/>
      <c r="G8" s="7"/>
      <c r="H8" s="7"/>
    </row>
    <row r="9" spans="1:12" s="1" customFormat="1" ht="12" customHeight="1">
      <c r="A9" s="1" t="s">
        <v>7</v>
      </c>
      <c r="C9" s="5" t="s">
        <v>8</v>
      </c>
      <c r="D9" s="5"/>
      <c r="G9" s="5" t="s">
        <v>9</v>
      </c>
      <c r="H9" s="8"/>
    </row>
    <row r="10" spans="1:12" ht="16.5" customHeight="1">
      <c r="A10" s="47" t="s">
        <v>109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1:12" s="2" customFormat="1" ht="18.75" customHeight="1">
      <c r="A11" s="60" t="s">
        <v>11</v>
      </c>
      <c r="B11" s="74" t="s">
        <v>12</v>
      </c>
      <c r="C11" s="75"/>
      <c r="D11" s="75"/>
      <c r="E11" s="75"/>
      <c r="F11" s="75"/>
      <c r="G11" s="75"/>
      <c r="H11" s="75"/>
      <c r="I11" s="75"/>
      <c r="J11" s="75"/>
      <c r="K11" s="75"/>
      <c r="L11" s="62" t="s">
        <v>15</v>
      </c>
    </row>
    <row r="12" spans="1:12" s="2" customFormat="1" ht="24" customHeight="1">
      <c r="A12" s="61"/>
      <c r="B12" s="76" t="s">
        <v>110</v>
      </c>
      <c r="C12" s="77"/>
      <c r="D12" s="77"/>
      <c r="E12" s="78"/>
      <c r="F12" s="76" t="s">
        <v>111</v>
      </c>
      <c r="G12" s="78"/>
      <c r="H12" s="76" t="s">
        <v>112</v>
      </c>
      <c r="I12" s="78"/>
      <c r="J12" s="76" t="s">
        <v>113</v>
      </c>
      <c r="K12" s="78"/>
      <c r="L12" s="63"/>
    </row>
    <row r="13" spans="1:12" s="2" customFormat="1" ht="24.95" hidden="1" customHeight="1">
      <c r="A13" s="9" t="s">
        <v>114</v>
      </c>
      <c r="B13" s="71" t="s">
        <v>115</v>
      </c>
      <c r="C13" s="73"/>
      <c r="D13" s="73"/>
      <c r="E13" s="72"/>
      <c r="F13" s="71">
        <v>2</v>
      </c>
      <c r="G13" s="72"/>
      <c r="H13" s="71">
        <v>0</v>
      </c>
      <c r="I13" s="72"/>
      <c r="J13" s="71">
        <v>2</v>
      </c>
      <c r="K13" s="72"/>
      <c r="L13" s="16">
        <v>2</v>
      </c>
    </row>
    <row r="14" spans="1:12" s="2" customFormat="1" ht="24.95" hidden="1" customHeight="1">
      <c r="A14" s="9" t="s">
        <v>116</v>
      </c>
      <c r="B14" s="71"/>
      <c r="C14" s="73"/>
      <c r="D14" s="73"/>
      <c r="E14" s="72"/>
      <c r="F14" s="71"/>
      <c r="G14" s="72"/>
      <c r="H14" s="71">
        <v>1</v>
      </c>
      <c r="I14" s="72"/>
      <c r="J14" s="71">
        <v>1</v>
      </c>
      <c r="K14" s="72"/>
      <c r="L14" s="16">
        <v>1</v>
      </c>
    </row>
    <row r="15" spans="1:12" s="2" customFormat="1" ht="24.95" hidden="1" customHeight="1">
      <c r="A15" s="9" t="s">
        <v>117</v>
      </c>
      <c r="B15" s="71"/>
      <c r="C15" s="73"/>
      <c r="D15" s="73"/>
      <c r="E15" s="72"/>
      <c r="F15" s="71"/>
      <c r="G15" s="72"/>
      <c r="H15" s="71">
        <v>1</v>
      </c>
      <c r="I15" s="72"/>
      <c r="J15" s="71">
        <v>0</v>
      </c>
      <c r="K15" s="72"/>
      <c r="L15" s="17">
        <v>0</v>
      </c>
    </row>
    <row r="16" spans="1:12" s="2" customFormat="1" ht="24.95" hidden="1" customHeight="1">
      <c r="A16" s="10" t="s">
        <v>118</v>
      </c>
      <c r="B16" s="70" t="s">
        <v>119</v>
      </c>
      <c r="C16" s="70"/>
      <c r="D16" s="70"/>
      <c r="E16" s="70"/>
      <c r="F16" s="70">
        <v>3</v>
      </c>
      <c r="G16" s="70"/>
      <c r="H16" s="70">
        <v>0</v>
      </c>
      <c r="I16" s="70"/>
      <c r="J16" s="70">
        <v>3</v>
      </c>
      <c r="K16" s="70"/>
      <c r="L16" s="10">
        <v>3</v>
      </c>
    </row>
    <row r="17" spans="1:12" s="2" customFormat="1" ht="24.95" hidden="1" customHeight="1">
      <c r="A17" s="10" t="s">
        <v>120</v>
      </c>
      <c r="B17" s="70" t="s">
        <v>119</v>
      </c>
      <c r="C17" s="70"/>
      <c r="D17" s="70"/>
      <c r="E17" s="70"/>
      <c r="F17" s="70"/>
      <c r="G17" s="70"/>
      <c r="H17" s="71">
        <v>1</v>
      </c>
      <c r="I17" s="72"/>
      <c r="J17" s="71">
        <v>2</v>
      </c>
      <c r="K17" s="72"/>
      <c r="L17" s="10">
        <v>2</v>
      </c>
    </row>
    <row r="18" spans="1:12" s="2" customFormat="1" ht="24.95" hidden="1" customHeight="1">
      <c r="A18" s="10" t="s">
        <v>121</v>
      </c>
      <c r="B18" s="70" t="s">
        <v>119</v>
      </c>
      <c r="C18" s="70"/>
      <c r="D18" s="70"/>
      <c r="E18" s="70"/>
      <c r="F18" s="71"/>
      <c r="G18" s="72"/>
      <c r="H18" s="71">
        <v>1</v>
      </c>
      <c r="I18" s="72"/>
      <c r="J18" s="71">
        <v>1</v>
      </c>
      <c r="K18" s="72"/>
      <c r="L18" s="18">
        <v>1</v>
      </c>
    </row>
    <row r="19" spans="1:12" s="2" customFormat="1" ht="24.95" hidden="1" customHeight="1">
      <c r="A19" s="10" t="s">
        <v>122</v>
      </c>
      <c r="B19" s="70" t="s">
        <v>119</v>
      </c>
      <c r="C19" s="70"/>
      <c r="D19" s="70"/>
      <c r="E19" s="70"/>
      <c r="F19" s="71"/>
      <c r="G19" s="72"/>
      <c r="H19" s="71">
        <v>1</v>
      </c>
      <c r="I19" s="72"/>
      <c r="J19" s="71">
        <v>0</v>
      </c>
      <c r="K19" s="72"/>
      <c r="L19" s="19">
        <v>0</v>
      </c>
    </row>
    <row r="20" spans="1:12" s="2" customFormat="1" ht="24.95" hidden="1" customHeight="1">
      <c r="A20" s="10" t="s">
        <v>123</v>
      </c>
      <c r="B20" s="70" t="s">
        <v>124</v>
      </c>
      <c r="C20" s="70"/>
      <c r="D20" s="70"/>
      <c r="E20" s="70"/>
      <c r="F20" s="71">
        <v>3</v>
      </c>
      <c r="G20" s="72"/>
      <c r="H20" s="71">
        <v>0</v>
      </c>
      <c r="I20" s="72"/>
      <c r="J20" s="71">
        <v>3</v>
      </c>
      <c r="K20" s="72"/>
      <c r="L20" s="18">
        <v>3</v>
      </c>
    </row>
    <row r="21" spans="1:12" s="2" customFormat="1" ht="24.95" hidden="1" customHeight="1">
      <c r="A21" s="10" t="s">
        <v>125</v>
      </c>
      <c r="B21" s="70" t="s">
        <v>124</v>
      </c>
      <c r="C21" s="70"/>
      <c r="D21" s="70"/>
      <c r="E21" s="70"/>
      <c r="F21" s="71"/>
      <c r="G21" s="72"/>
      <c r="H21" s="71">
        <v>1</v>
      </c>
      <c r="I21" s="72"/>
      <c r="J21" s="71">
        <v>2</v>
      </c>
      <c r="K21" s="72"/>
      <c r="L21" s="18">
        <v>2</v>
      </c>
    </row>
    <row r="22" spans="1:12" s="2" customFormat="1" ht="24.95" hidden="1" customHeight="1">
      <c r="A22" s="10" t="s">
        <v>126</v>
      </c>
      <c r="B22" s="70" t="s">
        <v>124</v>
      </c>
      <c r="C22" s="70"/>
      <c r="D22" s="70"/>
      <c r="E22" s="70"/>
      <c r="F22" s="71"/>
      <c r="G22" s="72"/>
      <c r="H22" s="71">
        <v>2</v>
      </c>
      <c r="I22" s="72"/>
      <c r="J22" s="71">
        <v>0</v>
      </c>
      <c r="K22" s="72"/>
      <c r="L22" s="19">
        <v>0</v>
      </c>
    </row>
    <row r="23" spans="1:12" s="2" customFormat="1" ht="24.95" hidden="1" customHeight="1">
      <c r="A23" s="10" t="s">
        <v>123</v>
      </c>
      <c r="B23" s="70" t="s">
        <v>127</v>
      </c>
      <c r="C23" s="70"/>
      <c r="D23" s="70"/>
      <c r="E23" s="70"/>
      <c r="F23" s="71">
        <v>3</v>
      </c>
      <c r="G23" s="72"/>
      <c r="H23" s="71">
        <v>0</v>
      </c>
      <c r="I23" s="72"/>
      <c r="J23" s="71">
        <v>3</v>
      </c>
      <c r="K23" s="72"/>
      <c r="L23" s="18">
        <v>3</v>
      </c>
    </row>
    <row r="24" spans="1:12" s="2" customFormat="1" ht="24.95" hidden="1" customHeight="1">
      <c r="A24" s="10" t="s">
        <v>128</v>
      </c>
      <c r="B24" s="70" t="s">
        <v>127</v>
      </c>
      <c r="C24" s="70"/>
      <c r="D24" s="70"/>
      <c r="E24" s="70"/>
      <c r="F24" s="71"/>
      <c r="G24" s="72"/>
      <c r="H24" s="71">
        <v>2</v>
      </c>
      <c r="I24" s="72"/>
      <c r="J24" s="71">
        <v>1</v>
      </c>
      <c r="K24" s="72"/>
      <c r="L24" s="18">
        <v>1</v>
      </c>
    </row>
    <row r="25" spans="1:12" s="2" customFormat="1" ht="24.95" hidden="1" customHeight="1">
      <c r="A25" s="10" t="s">
        <v>129</v>
      </c>
      <c r="B25" s="70" t="s">
        <v>127</v>
      </c>
      <c r="C25" s="70"/>
      <c r="D25" s="70"/>
      <c r="E25" s="70"/>
      <c r="F25" s="71"/>
      <c r="G25" s="72"/>
      <c r="H25" s="71">
        <v>1</v>
      </c>
      <c r="I25" s="72"/>
      <c r="J25" s="71">
        <v>0</v>
      </c>
      <c r="K25" s="72"/>
      <c r="L25" s="19">
        <v>0</v>
      </c>
    </row>
    <row r="26" spans="1:12" s="2" customFormat="1" ht="24.95" hidden="1" customHeight="1">
      <c r="A26" s="10" t="s">
        <v>130</v>
      </c>
      <c r="B26" s="70" t="s">
        <v>131</v>
      </c>
      <c r="C26" s="70"/>
      <c r="D26" s="70"/>
      <c r="E26" s="70"/>
      <c r="F26" s="71">
        <v>3</v>
      </c>
      <c r="G26" s="72"/>
      <c r="H26" s="71">
        <v>0</v>
      </c>
      <c r="I26" s="72"/>
      <c r="J26" s="71">
        <v>3</v>
      </c>
      <c r="K26" s="72"/>
      <c r="L26" s="18">
        <v>3</v>
      </c>
    </row>
    <row r="27" spans="1:12" s="2" customFormat="1" ht="24.95" hidden="1" customHeight="1">
      <c r="A27" s="10" t="s">
        <v>132</v>
      </c>
      <c r="B27" s="70" t="s">
        <v>131</v>
      </c>
      <c r="C27" s="70"/>
      <c r="D27" s="70"/>
      <c r="E27" s="70"/>
      <c r="F27" s="71"/>
      <c r="G27" s="72"/>
      <c r="H27" s="71">
        <v>2</v>
      </c>
      <c r="I27" s="72"/>
      <c r="J27" s="71">
        <v>1</v>
      </c>
      <c r="K27" s="72"/>
      <c r="L27" s="18">
        <v>1</v>
      </c>
    </row>
    <row r="28" spans="1:12" s="2" customFormat="1" ht="24.95" customHeight="1">
      <c r="A28" s="10" t="s">
        <v>123</v>
      </c>
      <c r="B28" s="70" t="s">
        <v>133</v>
      </c>
      <c r="C28" s="70"/>
      <c r="D28" s="70"/>
      <c r="E28" s="70"/>
      <c r="F28" s="71">
        <v>3</v>
      </c>
      <c r="G28" s="72"/>
      <c r="H28" s="71">
        <v>0</v>
      </c>
      <c r="I28" s="72"/>
      <c r="J28" s="71">
        <v>3</v>
      </c>
      <c r="K28" s="72"/>
      <c r="L28" s="18">
        <v>3</v>
      </c>
    </row>
    <row r="29" spans="1:12" s="2" customFormat="1" ht="24.95" customHeight="1">
      <c r="A29" s="10" t="s">
        <v>134</v>
      </c>
      <c r="B29" s="70" t="s">
        <v>133</v>
      </c>
      <c r="C29" s="70"/>
      <c r="D29" s="70"/>
      <c r="E29" s="70"/>
      <c r="F29" s="71"/>
      <c r="G29" s="72"/>
      <c r="H29" s="71">
        <v>1</v>
      </c>
      <c r="I29" s="72"/>
      <c r="J29" s="71">
        <v>2</v>
      </c>
      <c r="K29" s="72"/>
      <c r="L29" s="18">
        <v>2</v>
      </c>
    </row>
    <row r="30" spans="1:12" s="2" customFormat="1" ht="24.95" customHeight="1">
      <c r="A30" s="10" t="s">
        <v>135</v>
      </c>
      <c r="B30" s="70" t="s">
        <v>133</v>
      </c>
      <c r="C30" s="70"/>
      <c r="D30" s="70"/>
      <c r="E30" s="70"/>
      <c r="F30" s="71"/>
      <c r="G30" s="72"/>
      <c r="H30" s="71">
        <v>1</v>
      </c>
      <c r="I30" s="72"/>
      <c r="J30" s="71">
        <v>1</v>
      </c>
      <c r="K30" s="72"/>
      <c r="L30" s="18">
        <v>1</v>
      </c>
    </row>
    <row r="31" spans="1:12" s="2" customFormat="1" ht="24.95" customHeight="1">
      <c r="A31" s="10" t="s">
        <v>136</v>
      </c>
      <c r="B31" s="70" t="s">
        <v>133</v>
      </c>
      <c r="C31" s="70"/>
      <c r="D31" s="70"/>
      <c r="E31" s="70"/>
      <c r="F31" s="71"/>
      <c r="G31" s="72"/>
      <c r="H31" s="71">
        <v>1</v>
      </c>
      <c r="I31" s="72"/>
      <c r="J31" s="71">
        <v>0</v>
      </c>
      <c r="K31" s="72"/>
      <c r="L31" s="19">
        <v>0</v>
      </c>
    </row>
    <row r="32" spans="1:12" s="2" customFormat="1" ht="24.95" customHeight="1">
      <c r="A32" s="10" t="s">
        <v>137</v>
      </c>
      <c r="B32" s="70" t="s">
        <v>138</v>
      </c>
      <c r="C32" s="70"/>
      <c r="D32" s="70"/>
      <c r="E32" s="70"/>
      <c r="F32" s="71">
        <v>1.5</v>
      </c>
      <c r="G32" s="72"/>
      <c r="H32" s="71">
        <v>0</v>
      </c>
      <c r="I32" s="72"/>
      <c r="J32" s="71">
        <v>1.5</v>
      </c>
      <c r="K32" s="72"/>
      <c r="L32" s="18">
        <v>1.5</v>
      </c>
    </row>
    <row r="33" spans="1:12" s="2" customFormat="1" ht="24.95" customHeight="1">
      <c r="A33" s="10" t="s">
        <v>139</v>
      </c>
      <c r="B33" s="70" t="s">
        <v>138</v>
      </c>
      <c r="C33" s="70"/>
      <c r="D33" s="70"/>
      <c r="E33" s="70"/>
      <c r="F33" s="71"/>
      <c r="G33" s="72"/>
      <c r="H33" s="71">
        <v>1</v>
      </c>
      <c r="I33" s="72"/>
      <c r="J33" s="71">
        <v>0.5</v>
      </c>
      <c r="K33" s="72"/>
      <c r="L33" s="18">
        <v>0.5</v>
      </c>
    </row>
    <row r="34" spans="1:12" s="3" customFormat="1" ht="30.75" customHeight="1">
      <c r="A34" s="11" t="s">
        <v>140</v>
      </c>
      <c r="B34" s="64" t="s">
        <v>141</v>
      </c>
      <c r="C34" s="65"/>
      <c r="D34" s="65"/>
      <c r="E34" s="66"/>
      <c r="F34" s="64">
        <v>3</v>
      </c>
      <c r="G34" s="66"/>
      <c r="H34" s="64">
        <v>0</v>
      </c>
      <c r="I34" s="66"/>
      <c r="J34" s="64">
        <v>3</v>
      </c>
      <c r="K34" s="66"/>
      <c r="L34" s="20">
        <v>3</v>
      </c>
    </row>
    <row r="35" spans="1:12" s="3" customFormat="1" ht="30.75" customHeight="1">
      <c r="A35" s="12" t="s">
        <v>142</v>
      </c>
      <c r="B35" s="67" t="s">
        <v>141</v>
      </c>
      <c r="C35" s="68"/>
      <c r="D35" s="68"/>
      <c r="E35" s="69"/>
      <c r="F35" s="67"/>
      <c r="G35" s="69"/>
      <c r="H35" s="67">
        <v>1</v>
      </c>
      <c r="I35" s="69"/>
      <c r="J35" s="67">
        <v>2</v>
      </c>
      <c r="K35" s="69"/>
      <c r="L35" s="21">
        <v>2</v>
      </c>
    </row>
    <row r="36" spans="1:12" s="4" customFormat="1">
      <c r="A36" s="13" t="s">
        <v>143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2"/>
    </row>
    <row r="37" spans="1:12" ht="18.9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</row>
    <row r="38" spans="1:12" s="1" customFormat="1">
      <c r="C38" s="15"/>
      <c r="G38" s="1" t="s">
        <v>104</v>
      </c>
    </row>
    <row r="39" spans="1:12" s="1" customFormat="1">
      <c r="C39" s="15"/>
    </row>
    <row r="40" spans="1:12">
      <c r="I40" s="23" t="s">
        <v>105</v>
      </c>
      <c r="J40" s="23"/>
    </row>
    <row r="41" spans="1:12">
      <c r="I41" t="s">
        <v>106</v>
      </c>
    </row>
    <row r="42" spans="1:12">
      <c r="I42" s="59" t="s">
        <v>144</v>
      </c>
      <c r="J42" s="59"/>
    </row>
  </sheetData>
  <mergeCells count="106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A37:L37"/>
    <mergeCell ref="I42:J42"/>
    <mergeCell ref="A11:A12"/>
    <mergeCell ref="L11:L12"/>
    <mergeCell ref="B34:E34"/>
    <mergeCell ref="F34:G34"/>
    <mergeCell ref="H34:I34"/>
    <mergeCell ref="J34:K34"/>
    <mergeCell ref="B35:E35"/>
    <mergeCell ref="F35:G35"/>
    <mergeCell ref="H35:I35"/>
    <mergeCell ref="J35:K35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</mergeCells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2025-12-03T06:53:00Z</cp:lastPrinted>
  <dcterms:created xsi:type="dcterms:W3CDTF">2021-10-07T06:10:00Z</dcterms:created>
  <dcterms:modified xsi:type="dcterms:W3CDTF">2026-01-14T06:09:42Z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EE4B90CB2EDB44FB9B118CA231F3044F_12</vt:lpwstr>
  </property>
  <property fmtid="{D5CDD505-2E9C-101B-9397-08002B2CF9AE}" pid="3" name="KSOProductBuildVer">
    <vt:lpwstr>1033-12.2.0.23196</vt:lpwstr>
  </property>
</Properties>
</file>