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OTHER TYPES OF LEAVE" sheetId="8" r:id="rId2"/>
    <sheet name="ELECTION" sheetId="9" r:id="rId3"/>
  </sheets>
  <definedNames>
    <definedName name="_xlnm.Print_Area" localSheetId="2">ELECTION!$A$1:$M$30</definedName>
    <definedName name="_xlnm.Print_Area" localSheetId="0">'Leave Card (NE)'!$A$1:$J$106</definedName>
    <definedName name="_xlnm.Print_Area" localSheetId="1">'OTHER TYPES OF LEAVE'!$A$1:$L$24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<sst xmlns="http://schemas.openxmlformats.org/spreadsheetml/2006/main" count="157" uniqueCount="138">
  <si>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</si>
  <si>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</si>
  <si>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</si>
  <si>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</si>
  <si>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</si>
  <si>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</si>
  <si>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</si>
  <si>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</si>
  <si>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</si>
  <si>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</si>
  <si>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</si>
  <si>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</si>
  <si>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</si>
  <si>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</si>
  <si>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</si>
  <si>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</si>
  <si>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</si>
  <si>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</si>
  <si>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</si>
  <si>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</si>
  <si>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</si>
  <si>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11/2/2004 - 12/31/2004- SUMMER 2007</t>
  </si>
  <si>
    <t>ADD: 11/16/2007 - 11/30/2007</t>
  </si>
  <si>
    <t>ADD: 12/1-31/2007</t>
  </si>
  <si>
    <t>ADD: 1/01/2008 - 12/31/2008</t>
  </si>
  <si>
    <t>LESS: MONETIZATION CY 2008</t>
  </si>
  <si>
    <t>LESS: ADDT'L MONETIZATION CY 2008</t>
  </si>
  <si>
    <t>LESS: FL 2008</t>
  </si>
  <si>
    <t>ADD: 1/01/2009 - 8/31/2009</t>
  </si>
  <si>
    <t>LESS: MONETIZATION CY 2009</t>
  </si>
  <si>
    <t>ADD: 09/01- 12/31/2009</t>
  </si>
  <si>
    <t>LESS: FL 2009</t>
  </si>
  <si>
    <t>ADD: 01/01/2010-12/31/2010</t>
  </si>
  <si>
    <t>LESS: MONETIZATION CY 2010</t>
  </si>
  <si>
    <t>LESS: FL 2010</t>
  </si>
  <si>
    <t>ADD: 01/01-12/31/2011</t>
  </si>
  <si>
    <t>LESS: FL 2011</t>
  </si>
  <si>
    <t>ADD: 1/01/2012-4/30/2012</t>
  </si>
  <si>
    <t>SPLV: PATERNITY LEAVE: 5/7-5/12/2012 5 DAYS</t>
  </si>
  <si>
    <t>ADD: 05/01-12/31/2012</t>
  </si>
  <si>
    <t>LESS: FL 2012</t>
  </si>
  <si>
    <t>ADD: 01/01/2013 -12/31/2014</t>
  </si>
  <si>
    <t>LESS: FL 2013 &amp; 2014</t>
  </si>
  <si>
    <t>LESS: MONETIZATION CY 2014</t>
  </si>
  <si>
    <t>ADD: 01/01-31/2015</t>
  </si>
  <si>
    <t>LESS: 1/20-23/2015</t>
  </si>
  <si>
    <t>ADD: 2/1/2015-11/30/2015</t>
  </si>
  <si>
    <t>LESS: MONETIZATION CY 2015</t>
  </si>
  <si>
    <t>ADD: 12/01-31/2015</t>
  </si>
  <si>
    <t>LESS: FL 2015</t>
  </si>
  <si>
    <t>ADD: 01/01/2016 - 12/31/2016</t>
  </si>
  <si>
    <t>LESS: FL 2016</t>
  </si>
  <si>
    <t>ADD: 01/1/2017 -11/31/2017</t>
  </si>
  <si>
    <t>LESS: MONETIZATION CY 2017</t>
  </si>
  <si>
    <t>ADD: 12/01-31/2017</t>
  </si>
  <si>
    <t>LESS: FL 2017</t>
  </si>
  <si>
    <t>ADD: 01/1-31/2018</t>
  </si>
  <si>
    <t>LESS: 1/18/2018</t>
  </si>
  <si>
    <t>ADD: 02/1/2018 - 06/30/2018</t>
  </si>
  <si>
    <t>LESS: MONETIZATION FY 2018</t>
  </si>
  <si>
    <t>ADD: 07/01/2018-12/31/2018</t>
  </si>
  <si>
    <t>LESS: FL 2018</t>
  </si>
  <si>
    <t>ADD: 01/1/2019 -12/31/2019</t>
  </si>
  <si>
    <t>LESS: FL 2019</t>
  </si>
  <si>
    <t>ADD: 01/01/2020-12/31/2020</t>
  </si>
  <si>
    <t>LESS: MONETIZATION FY 2020</t>
  </si>
  <si>
    <t>LESS: FL 2020</t>
  </si>
  <si>
    <t>ADD: 01/01/2021-09/31/2021</t>
  </si>
  <si>
    <t>LESS: MONETIZATION FY 2021</t>
  </si>
  <si>
    <t>ADD: 10/01/2021-12/31/2021</t>
  </si>
  <si>
    <t>LESS: FL 2021</t>
  </si>
  <si>
    <t>ADD: 01/01/2022 - 05/31/2022</t>
  </si>
  <si>
    <t>LESS: 06/22-24/2022</t>
  </si>
  <si>
    <t>ADD: 06/01/2022 - 08/31/2022</t>
  </si>
  <si>
    <t>LESS: MONETIZATION FY 2022</t>
  </si>
  <si>
    <t>ADD: 09/01/2022- 11/30/2022</t>
  </si>
  <si>
    <t>LESS: 12/14-15/2022</t>
  </si>
  <si>
    <t>LESS: 12/13/2022</t>
  </si>
  <si>
    <t>ADD: 12/01-31/2022</t>
  </si>
  <si>
    <t>ADD: 01/01/2023 - 04/30/2023</t>
  </si>
  <si>
    <t>LESS: 04/28/2023</t>
  </si>
  <si>
    <t>ADD: 05/01/2023 - 08/31/2023</t>
  </si>
  <si>
    <t>LESS: MONETIZATION FY 2023</t>
  </si>
  <si>
    <t>LESS: 10/10/2023</t>
  </si>
  <si>
    <t>ADD: 09/01/2023-12/31/2023</t>
  </si>
  <si>
    <t>LESS: FL 2023</t>
  </si>
  <si>
    <t>ADD: 01/01/2024-02/29/2024</t>
  </si>
  <si>
    <t>LESS: 03/08/2024</t>
  </si>
  <si>
    <t>ADD: 03/1/2024-07/31/2024</t>
  </si>
  <si>
    <t>LESS: MONETIZATION 2024</t>
  </si>
  <si>
    <t>ADD: 08/1/2024-09/30/2024</t>
  </si>
  <si>
    <t>LESS: 10/15-16/2024</t>
  </si>
  <si>
    <t>ADD: 10/1-31/2024</t>
  </si>
  <si>
    <t>LESS: 11/22/2024</t>
  </si>
  <si>
    <t>ADD: 11/1/2024-12/31/2024</t>
  </si>
  <si>
    <t>LESS: FL 2024</t>
  </si>
  <si>
    <t>LESS: 12/2/2024</t>
  </si>
  <si>
    <t>ADD: 01/1-31/2025</t>
  </si>
  <si>
    <t>LESS: 02/28/2025</t>
  </si>
  <si>
    <t>ADD: 02/1/2025-06/30/2025</t>
  </si>
  <si>
    <t>LESS: MONETIZATION 2025 (30 DAYS)</t>
  </si>
  <si>
    <t>LESS: 06/18-19/2025</t>
  </si>
  <si>
    <t>LESS: 06/27/2025</t>
  </si>
  <si>
    <t>ADD: 07/1/2025-11/30/2025</t>
  </si>
  <si>
    <t>LESS: 12/22/2025</t>
  </si>
  <si>
    <t>LESS: 12/23,26/2025</t>
  </si>
  <si>
    <t>DATE FILED: 12/23, 26, 29/2025</t>
  </si>
  <si>
    <t xml:space="preserve">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</si>
  <si>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</si>
  <si>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</si>
  <si>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</si>
  <si>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</si>
  <si>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</si>
  <si>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</si>
  <si>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</si>
  <si>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</si>
  <si>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</si>
  <si>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</si>
  <si>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</si>
  <si>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</si>
  <si>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</si>
  <si>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</si>
  <si>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</si>
  <si>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</si>
  <si>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</si>
  <si>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</si>
  <si>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12/27, 28 &amp; 29/2021</t>
  </si>
  <si>
    <t>NAME          : CALAMUHAY, NOEL C.</t>
  </si>
  <si>
    <t>EMPLOYEE NO    : __________</t>
  </si>
  <si>
    <t>SCHOOL/OFFICE : NABULAO ES</t>
  </si>
  <si>
    <t>POSITION   : TIII/TIC-HT I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</si>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</sst>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30" applyNumberFormat="0" applyAlignment="0" applyProtection="0">
      <alignment vertical="center"/>
    </xf>
    <xf numFmtId="0" fontId="21" fillId="13" borderId="31" applyNumberFormat="0" applyAlignment="0" applyProtection="0">
      <alignment vertical="center"/>
    </xf>
    <xf numFmtId="0" fontId="22" fillId="13" borderId="30" applyNumberFormat="0" applyAlignment="0" applyProtection="0">
      <alignment vertical="center"/>
    </xf>
    <xf numFmtId="0" fontId="23" fillId="14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176" fontId="0" fillId="2" borderId="15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8" fillId="0" borderId="0" xfId="0" applyFont="1"/>
    <xf numFmtId="0" fontId="3" fillId="5" borderId="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58" fontId="0" fillId="0" borderId="15" xfId="0" applyNumberForma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3" fillId="8" borderId="2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176" fontId="0" fillId="9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176" fontId="0" fillId="0" borderId="15" xfId="0" applyNumberFormat="1" applyFill="1" applyBorder="1" applyAlignment="1">
      <alignment horizontal="center" vertical="center"/>
    </xf>
    <xf numFmtId="176" fontId="0" fillId="0" borderId="15" xfId="0" applyNumberFormat="1" applyFill="1" applyBorder="1" applyAlignment="1">
      <alignment horizontal="center" vertical="center"/>
    </xf>
    <xf numFmtId="176" fontId="0" fillId="10" borderId="15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8" fillId="0" borderId="0" xfId="0" applyFont="1" applyFill="1"/>
    <xf numFmtId="0" fontId="10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CALAMUHAY,</a:t>
          </a:r>
          <a:r>
            <a:rPr lang="en-US" sz="1100" baseline="0"/>
            <a:t> NOEL C. 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 I to PRINCIPAL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</a:t>
          </a:r>
          <a:endParaRPr lang="en-US" sz="1100"/>
        </a:p>
      </xdr:txBody>
    </xdr:sp>
    <xdr:clientData/>
  </xdr:twoCellAnchor>
  <xdr:twoCellAnchor>
    <xdr:from>
      <xdr:col>5</xdr:col>
      <xdr:colOff>329481</xdr:colOff>
      <xdr:row>100</xdr:row>
      <xdr:rowOff>8985</xdr:rowOff>
    </xdr:from>
    <xdr:to>
      <xdr:col>9</xdr:col>
      <xdr:colOff>654072</xdr:colOff>
      <xdr:row>105</xdr:row>
      <xdr:rowOff>125802</xdr:rowOff>
    </xdr:to>
    <xdr:sp>
      <xdr:nvSpPr>
        <xdr:cNvPr id="7" name="TextBox 6"/>
        <xdr:cNvSpPr txBox="1"/>
      </xdr:nvSpPr>
      <xdr:spPr>
        <a:xfrm>
          <a:off x="6012180" y="17670145"/>
          <a:ext cx="3500120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6414</xdr:colOff>
      <xdr:row>0</xdr:row>
      <xdr:rowOff>41597</xdr:rowOff>
    </xdr:from>
    <xdr:ext cx="773490" cy="606231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6730" y="41275"/>
          <a:ext cx="773430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749165"/>
          <a:ext cx="353314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795353</xdr:colOff>
      <xdr:row>5</xdr:row>
      <xdr:rowOff>51314</xdr:rowOff>
    </xdr:from>
    <xdr:to>
      <xdr:col>1</xdr:col>
      <xdr:colOff>296223</xdr:colOff>
      <xdr:row>7</xdr:row>
      <xdr:rowOff>95651</xdr:rowOff>
    </xdr:to>
    <xdr:sp>
      <xdr:nvSpPr>
        <xdr:cNvPr id="4" name="TextBox 3"/>
        <xdr:cNvSpPr txBox="1"/>
      </xdr:nvSpPr>
      <xdr:spPr>
        <a:xfrm>
          <a:off x="795020" y="1458595"/>
          <a:ext cx="195961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CALAMUHAY,</a:t>
          </a:r>
          <a:r>
            <a:rPr lang="en-US" sz="1100" baseline="0"/>
            <a:t> NOEL C.</a:t>
          </a:r>
          <a:endParaRPr lang="en-US" sz="1100"/>
        </a:p>
      </xdr:txBody>
    </xdr:sp>
    <xdr:clientData/>
  </xdr:twoCellAnchor>
  <xdr:twoCellAnchor>
    <xdr:from>
      <xdr:col>0</xdr:col>
      <xdr:colOff>859495</xdr:colOff>
      <xdr:row>8</xdr:row>
      <xdr:rowOff>32071</xdr:rowOff>
    </xdr:from>
    <xdr:to>
      <xdr:col>1</xdr:col>
      <xdr:colOff>360365</xdr:colOff>
      <xdr:row>9</xdr:row>
      <xdr:rowOff>134200</xdr:rowOff>
    </xdr:to>
    <xdr:sp>
      <xdr:nvSpPr>
        <xdr:cNvPr id="5" name="TextBox 4"/>
        <xdr:cNvSpPr txBox="1"/>
      </xdr:nvSpPr>
      <xdr:spPr>
        <a:xfrm>
          <a:off x="859155" y="1801495"/>
          <a:ext cx="1959610" cy="254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TIII/TIC/HT I</a:t>
          </a:r>
          <a:endParaRPr lang="en-US" sz="1100"/>
        </a:p>
      </xdr:txBody>
    </xdr:sp>
    <xdr:clientData/>
  </xdr:twoCellAnchor>
  <xdr:twoCellAnchor>
    <xdr:from>
      <xdr:col>3</xdr:col>
      <xdr:colOff>602929</xdr:colOff>
      <xdr:row>7</xdr:row>
      <xdr:rowOff>102626</xdr:rowOff>
    </xdr:from>
    <xdr:to>
      <xdr:col>6</xdr:col>
      <xdr:colOff>433175</xdr:colOff>
      <xdr:row>9</xdr:row>
      <xdr:rowOff>84211</xdr:rowOff>
    </xdr:to>
    <xdr:sp>
      <xdr:nvSpPr>
        <xdr:cNvPr id="6" name="TextBox 5"/>
        <xdr:cNvSpPr txBox="1"/>
      </xdr:nvSpPr>
      <xdr:spPr>
        <a:xfrm>
          <a:off x="4295775" y="1719580"/>
          <a:ext cx="1682115" cy="286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78804</xdr:colOff>
      <xdr:row>0</xdr:row>
      <xdr:rowOff>21626</xdr:rowOff>
    </xdr:from>
    <xdr:to>
      <xdr:col>5</xdr:col>
      <xdr:colOff>251355</xdr:colOff>
      <xdr:row>0</xdr:row>
      <xdr:rowOff>654844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115" y="21590"/>
          <a:ext cx="789305" cy="6330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769408</xdr:colOff>
      <xdr:row>8</xdr:row>
      <xdr:rowOff>16140</xdr:rowOff>
    </xdr:from>
    <xdr:to>
      <xdr:col>2</xdr:col>
      <xdr:colOff>45508</xdr:colOff>
      <xdr:row>8</xdr:row>
      <xdr:rowOff>16140</xdr:rowOff>
    </xdr:to>
    <xdr:cxnSp>
      <xdr:nvCxnSpPr>
        <xdr:cNvPr id="4" name="Straight Connector 3"/>
        <xdr:cNvCxnSpPr/>
      </xdr:nvCxnSpPr>
      <xdr:spPr>
        <a:xfrm>
          <a:off x="768985" y="17856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6614</xdr:rowOff>
    </xdr:from>
    <xdr:to>
      <xdr:col>3</xdr:col>
      <xdr:colOff>128275</xdr:colOff>
      <xdr:row>29</xdr:row>
      <xdr:rowOff>52916</xdr:rowOff>
    </xdr:to>
    <xdr:sp>
      <xdr:nvSpPr>
        <xdr:cNvPr id="6" name="TextBox 5"/>
        <xdr:cNvSpPr txBox="1"/>
      </xdr:nvSpPr>
      <xdr:spPr>
        <a:xfrm>
          <a:off x="0" y="5707380"/>
          <a:ext cx="3527425" cy="9607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BALTAZAR B. TABIANO</a:t>
          </a:r>
          <a:endParaRPr lang="en-US" sz="1100" b="1" u="sng" baseline="0"/>
        </a:p>
        <a:p>
          <a:r>
            <a:rPr lang="en-US" sz="1100" baseline="0"/>
            <a:t>	Administrative Officer V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view="pageBreakPreview" zoomScale="106" zoomScaleNormal="100" topLeftCell="A77" workbookViewId="0">
      <selection activeCell="A95" sqref="$A95:$XFD95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55" customWidth="1"/>
    <col min="8" max="10" width="11.5740740740741" customWidth="1"/>
    <col min="11" max="11" width="26.4259259259259" style="56" customWidth="1"/>
  </cols>
  <sheetData>
    <row r="1" s="1" customFormat="1" ht="52.5" customHeight="1"/>
    <row r="2" s="1" customFormat="1" ht="10.5" customHeight="1" spans="1:10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ht="15.95" customHeight="1" spans="1:10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5.95" customHeight="1" spans="1:10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="1" customFormat="1" ht="15.95" customHeight="1" spans="1:10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</row>
    <row r="6" s="1" customFormat="1" ht="8.25" customHeight="1"/>
    <row r="7" s="1" customFormat="1" ht="12" customHeight="1" spans="1:10">
      <c r="A7" s="1" t="s">
        <v>4</v>
      </c>
      <c r="B7" s="9" t="s">
        <v>5</v>
      </c>
      <c r="C7" s="9"/>
      <c r="D7" s="9"/>
      <c r="H7" s="8" t="s">
        <v>6</v>
      </c>
      <c r="I7" s="70"/>
      <c r="J7" s="8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9" t="s">
        <v>8</v>
      </c>
      <c r="C9" s="9"/>
      <c r="D9" s="9"/>
      <c r="H9" s="8" t="s">
        <v>9</v>
      </c>
      <c r="I9" s="71"/>
      <c r="J9" s="8"/>
    </row>
    <row r="10" ht="23.25" customHeight="1" spans="1:11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/>
    </row>
    <row r="11" ht="18.75" customHeight="1" spans="1:11">
      <c r="A11" s="57" t="s">
        <v>11</v>
      </c>
      <c r="B11" s="58" t="s">
        <v>12</v>
      </c>
      <c r="C11" s="59"/>
      <c r="D11" s="60" t="s">
        <v>13</v>
      </c>
      <c r="E11" s="61"/>
      <c r="F11" s="61"/>
      <c r="G11" s="62"/>
      <c r="H11" s="63" t="s">
        <v>14</v>
      </c>
      <c r="I11" s="72"/>
      <c r="J11" s="73" t="s">
        <v>15</v>
      </c>
      <c r="K11" s="74" t="s">
        <v>16</v>
      </c>
    </row>
    <row r="12" ht="18.75" customHeight="1" spans="1:11">
      <c r="A12" s="64"/>
      <c r="B12" s="65" t="s">
        <v>17</v>
      </c>
      <c r="C12" s="65" t="s">
        <v>18</v>
      </c>
      <c r="D12" s="65" t="s">
        <v>17</v>
      </c>
      <c r="E12" s="65" t="s">
        <v>18</v>
      </c>
      <c r="F12" s="65" t="s">
        <v>19</v>
      </c>
      <c r="G12" s="65" t="s">
        <v>20</v>
      </c>
      <c r="H12" s="65" t="s">
        <v>17</v>
      </c>
      <c r="I12" s="65" t="s">
        <v>18</v>
      </c>
      <c r="J12" s="75"/>
      <c r="K12" s="74"/>
    </row>
    <row r="13" ht="30.75" customHeight="1" spans="1:10">
      <c r="A13" s="66" t="s">
        <v>21</v>
      </c>
      <c r="B13" s="67">
        <v>9.37</v>
      </c>
      <c r="C13" s="67">
        <v>9.37</v>
      </c>
      <c r="D13" s="67"/>
      <c r="E13" s="67"/>
      <c r="F13" s="67"/>
      <c r="G13" s="67"/>
      <c r="H13" s="52">
        <f>B13</f>
        <v>9.37</v>
      </c>
      <c r="I13" s="52">
        <f>C13</f>
        <v>9.37</v>
      </c>
      <c r="J13" s="52">
        <f>SUM(H13:I13)</f>
        <v>18.74</v>
      </c>
    </row>
    <row r="14" ht="12" customHeight="1" spans="1:10">
      <c r="A14" s="48" t="s">
        <v>22</v>
      </c>
      <c r="B14" s="67">
        <v>0.625</v>
      </c>
      <c r="C14" s="67">
        <v>0.625</v>
      </c>
      <c r="D14" s="67"/>
      <c r="E14" s="67"/>
      <c r="F14" s="67"/>
      <c r="G14" s="67"/>
      <c r="H14" s="52">
        <f>H13-F14-D14+B14</f>
        <v>9.995</v>
      </c>
      <c r="I14" s="52">
        <f>I13-E14+C14</f>
        <v>9.995</v>
      </c>
      <c r="J14" s="52">
        <f>SUM(H14:I14)</f>
        <v>19.99</v>
      </c>
    </row>
    <row r="15" ht="12" customHeight="1" spans="1:10">
      <c r="A15" s="48" t="s">
        <v>23</v>
      </c>
      <c r="B15" s="67">
        <v>1.25</v>
      </c>
      <c r="C15" s="67">
        <v>1.25</v>
      </c>
      <c r="D15" s="67"/>
      <c r="E15" s="67"/>
      <c r="F15" s="67"/>
      <c r="G15" s="67"/>
      <c r="H15" s="52">
        <f t="shared" ref="H15:H26" si="0">H14-F15-D15+B15</f>
        <v>11.245</v>
      </c>
      <c r="I15" s="52">
        <f t="shared" ref="I15:I26" si="1">I14-E15+C15</f>
        <v>11.245</v>
      </c>
      <c r="J15" s="52">
        <f t="shared" ref="J15:J26" si="2">SUM(H15:I15)</f>
        <v>22.49</v>
      </c>
    </row>
    <row r="16" ht="12.75" customHeight="1" spans="1:10">
      <c r="A16" s="48" t="s">
        <v>24</v>
      </c>
      <c r="B16" s="67">
        <v>15</v>
      </c>
      <c r="C16" s="67">
        <v>15</v>
      </c>
      <c r="D16" s="67"/>
      <c r="E16" s="67"/>
      <c r="F16" s="67"/>
      <c r="G16" s="67"/>
      <c r="H16" s="52">
        <f t="shared" si="0"/>
        <v>26.245</v>
      </c>
      <c r="I16" s="52">
        <f t="shared" si="1"/>
        <v>26.245</v>
      </c>
      <c r="J16" s="52">
        <f t="shared" si="2"/>
        <v>52.49</v>
      </c>
    </row>
    <row r="17" ht="12.75" customHeight="1" spans="1:10">
      <c r="A17" s="48" t="s">
        <v>25</v>
      </c>
      <c r="B17" s="67"/>
      <c r="C17" s="67"/>
      <c r="D17" s="67">
        <v>10</v>
      </c>
      <c r="E17" s="67">
        <v>5</v>
      </c>
      <c r="F17" s="67"/>
      <c r="G17" s="67"/>
      <c r="H17" s="52">
        <f t="shared" si="0"/>
        <v>16.245</v>
      </c>
      <c r="I17" s="52">
        <f t="shared" si="1"/>
        <v>21.245</v>
      </c>
      <c r="J17" s="52">
        <f t="shared" si="2"/>
        <v>37.49</v>
      </c>
    </row>
    <row r="18" ht="12" customHeight="1" spans="1:10">
      <c r="A18" s="48" t="s">
        <v>26</v>
      </c>
      <c r="B18" s="67"/>
      <c r="C18" s="67"/>
      <c r="D18" s="67">
        <v>7.5</v>
      </c>
      <c r="E18" s="67">
        <v>7.5</v>
      </c>
      <c r="F18" s="67"/>
      <c r="G18" s="67"/>
      <c r="H18" s="52">
        <f t="shared" si="0"/>
        <v>8.745</v>
      </c>
      <c r="I18" s="52">
        <f t="shared" si="1"/>
        <v>13.745</v>
      </c>
      <c r="J18" s="52">
        <f t="shared" si="2"/>
        <v>22.49</v>
      </c>
    </row>
    <row r="19" ht="12" customHeight="1" spans="1:10">
      <c r="A19" s="48" t="s">
        <v>27</v>
      </c>
      <c r="B19" s="67"/>
      <c r="C19" s="67"/>
      <c r="D19" s="67"/>
      <c r="E19" s="67"/>
      <c r="F19" s="67">
        <v>5</v>
      </c>
      <c r="G19" s="67"/>
      <c r="H19" s="52">
        <f t="shared" si="0"/>
        <v>3.745</v>
      </c>
      <c r="I19" s="52">
        <f t="shared" si="1"/>
        <v>13.745</v>
      </c>
      <c r="J19" s="52">
        <f t="shared" si="2"/>
        <v>17.49</v>
      </c>
    </row>
    <row r="20" ht="12" customHeight="1" spans="1:10">
      <c r="A20" s="48" t="s">
        <v>28</v>
      </c>
      <c r="B20" s="67">
        <v>10</v>
      </c>
      <c r="C20" s="67">
        <v>10</v>
      </c>
      <c r="D20" s="67"/>
      <c r="E20" s="67"/>
      <c r="F20" s="67"/>
      <c r="G20" s="67"/>
      <c r="H20" s="52">
        <f t="shared" si="0"/>
        <v>13.745</v>
      </c>
      <c r="I20" s="52">
        <f t="shared" si="1"/>
        <v>23.745</v>
      </c>
      <c r="J20" s="52">
        <f t="shared" si="2"/>
        <v>37.49</v>
      </c>
    </row>
    <row r="21" ht="12" customHeight="1" spans="1:10">
      <c r="A21" s="48" t="s">
        <v>29</v>
      </c>
      <c r="B21" s="67"/>
      <c r="C21" s="67"/>
      <c r="D21" s="67">
        <v>8</v>
      </c>
      <c r="E21" s="67">
        <v>22</v>
      </c>
      <c r="F21" s="67"/>
      <c r="G21" s="67"/>
      <c r="H21" s="52">
        <f t="shared" si="0"/>
        <v>5.745</v>
      </c>
      <c r="I21" s="52">
        <f t="shared" si="1"/>
        <v>1.745</v>
      </c>
      <c r="J21" s="52">
        <f t="shared" si="2"/>
        <v>7.48999999999999</v>
      </c>
    </row>
    <row r="22" ht="12" customHeight="1" spans="1:10">
      <c r="A22" s="48" t="s">
        <v>30</v>
      </c>
      <c r="B22" s="67">
        <v>5</v>
      </c>
      <c r="C22" s="67">
        <v>5</v>
      </c>
      <c r="D22" s="67"/>
      <c r="E22" s="67"/>
      <c r="F22" s="67"/>
      <c r="G22" s="67"/>
      <c r="H22" s="52">
        <f t="shared" si="0"/>
        <v>10.745</v>
      </c>
      <c r="I22" s="52">
        <f t="shared" si="1"/>
        <v>6.745</v>
      </c>
      <c r="J22" s="52">
        <f t="shared" si="2"/>
        <v>17.49</v>
      </c>
    </row>
    <row r="23" ht="12" customHeight="1" spans="1:10">
      <c r="A23" s="48" t="s">
        <v>31</v>
      </c>
      <c r="B23" s="67"/>
      <c r="C23" s="67"/>
      <c r="D23" s="67"/>
      <c r="E23" s="67"/>
      <c r="F23" s="67">
        <v>5</v>
      </c>
      <c r="G23" s="67"/>
      <c r="H23" s="52">
        <f t="shared" si="0"/>
        <v>5.745</v>
      </c>
      <c r="I23" s="52">
        <f t="shared" si="1"/>
        <v>6.745</v>
      </c>
      <c r="J23" s="52">
        <f t="shared" si="2"/>
        <v>12.49</v>
      </c>
    </row>
    <row r="24" ht="12" customHeight="1" spans="1:10">
      <c r="A24" s="48" t="s">
        <v>32</v>
      </c>
      <c r="B24" s="67">
        <v>15</v>
      </c>
      <c r="C24" s="67">
        <v>15</v>
      </c>
      <c r="D24" s="67"/>
      <c r="E24" s="67"/>
      <c r="F24" s="67"/>
      <c r="G24" s="67"/>
      <c r="H24" s="52">
        <f t="shared" si="0"/>
        <v>20.745</v>
      </c>
      <c r="I24" s="52">
        <f t="shared" si="1"/>
        <v>21.745</v>
      </c>
      <c r="J24" s="52">
        <f t="shared" si="2"/>
        <v>42.49</v>
      </c>
    </row>
    <row r="25" ht="12.75" customHeight="1" spans="1:10">
      <c r="A25" s="48" t="s">
        <v>33</v>
      </c>
      <c r="B25" s="67"/>
      <c r="C25" s="67"/>
      <c r="D25" s="67">
        <v>15</v>
      </c>
      <c r="E25" s="67">
        <v>15</v>
      </c>
      <c r="F25" s="67"/>
      <c r="G25" s="67"/>
      <c r="H25" s="52">
        <f t="shared" si="0"/>
        <v>5.745</v>
      </c>
      <c r="I25" s="52">
        <f t="shared" si="1"/>
        <v>6.745</v>
      </c>
      <c r="J25" s="52">
        <f t="shared" si="2"/>
        <v>12.49</v>
      </c>
    </row>
    <row r="26" ht="12" customHeight="1" spans="1:10">
      <c r="A26" s="48" t="s">
        <v>34</v>
      </c>
      <c r="B26" s="67"/>
      <c r="C26" s="67"/>
      <c r="D26" s="67"/>
      <c r="E26" s="67"/>
      <c r="F26" s="67">
        <v>5</v>
      </c>
      <c r="G26" s="67"/>
      <c r="H26" s="52">
        <f t="shared" si="0"/>
        <v>0.744999999999997</v>
      </c>
      <c r="I26" s="52">
        <f t="shared" si="1"/>
        <v>6.745</v>
      </c>
      <c r="J26" s="52">
        <f t="shared" si="2"/>
        <v>7.48999999999999</v>
      </c>
    </row>
    <row r="27" ht="12" customHeight="1" spans="1:10">
      <c r="A27" s="48" t="s">
        <v>35</v>
      </c>
      <c r="B27" s="67">
        <v>15</v>
      </c>
      <c r="C27" s="67">
        <v>15</v>
      </c>
      <c r="D27" s="67"/>
      <c r="E27" s="67"/>
      <c r="F27" s="67"/>
      <c r="G27" s="67"/>
      <c r="H27" s="52">
        <f t="shared" ref="H27:H44" si="3">H26-F27-D27+B27</f>
        <v>15.745</v>
      </c>
      <c r="I27" s="52">
        <f t="shared" ref="I27:I44" si="4">I26-E27+C27</f>
        <v>21.745</v>
      </c>
      <c r="J27" s="52">
        <f t="shared" ref="J27:J44" si="5">SUM(H27:I27)</f>
        <v>37.49</v>
      </c>
    </row>
    <row r="28" ht="12" customHeight="1" spans="1:10">
      <c r="A28" s="48" t="s">
        <v>36</v>
      </c>
      <c r="B28" s="67"/>
      <c r="C28" s="67"/>
      <c r="D28" s="67"/>
      <c r="E28" s="67"/>
      <c r="F28" s="67">
        <v>5</v>
      </c>
      <c r="G28" s="67"/>
      <c r="H28" s="52">
        <f t="shared" si="3"/>
        <v>10.745</v>
      </c>
      <c r="I28" s="52">
        <f t="shared" si="4"/>
        <v>21.745</v>
      </c>
      <c r="J28" s="52">
        <f t="shared" si="5"/>
        <v>32.49</v>
      </c>
    </row>
    <row r="29" ht="12" customHeight="1" spans="1:10">
      <c r="A29" s="48" t="s">
        <v>37</v>
      </c>
      <c r="B29" s="67">
        <v>5</v>
      </c>
      <c r="C29" s="67">
        <v>5</v>
      </c>
      <c r="D29" s="67"/>
      <c r="E29" s="67"/>
      <c r="F29" s="67"/>
      <c r="G29" s="67"/>
      <c r="H29" s="52">
        <f t="shared" si="3"/>
        <v>15.745</v>
      </c>
      <c r="I29" s="52">
        <f t="shared" si="4"/>
        <v>26.745</v>
      </c>
      <c r="J29" s="52">
        <f t="shared" si="5"/>
        <v>42.49</v>
      </c>
    </row>
    <row r="30" ht="29.25" customHeight="1" spans="1:10">
      <c r="A30" s="66" t="s">
        <v>38</v>
      </c>
      <c r="B30" s="68"/>
      <c r="C30" s="67"/>
      <c r="D30" s="67"/>
      <c r="E30" s="67"/>
      <c r="F30" s="67"/>
      <c r="G30" s="67"/>
      <c r="H30" s="52">
        <f t="shared" si="3"/>
        <v>15.745</v>
      </c>
      <c r="I30" s="52">
        <f t="shared" si="4"/>
        <v>26.745</v>
      </c>
      <c r="J30" s="52">
        <f t="shared" si="5"/>
        <v>42.49</v>
      </c>
    </row>
    <row r="31" ht="12" customHeight="1" spans="1:10">
      <c r="A31" s="69" t="s">
        <v>39</v>
      </c>
      <c r="B31" s="67">
        <v>10</v>
      </c>
      <c r="C31" s="67">
        <v>10</v>
      </c>
      <c r="D31" s="67"/>
      <c r="E31" s="67"/>
      <c r="F31" s="67"/>
      <c r="G31" s="67"/>
      <c r="H31" s="52">
        <f t="shared" si="3"/>
        <v>25.745</v>
      </c>
      <c r="I31" s="52">
        <f t="shared" si="4"/>
        <v>36.745</v>
      </c>
      <c r="J31" s="52">
        <f t="shared" si="5"/>
        <v>62.49</v>
      </c>
    </row>
    <row r="32" ht="13.5" customHeight="1" spans="1:10">
      <c r="A32" s="69" t="s">
        <v>40</v>
      </c>
      <c r="B32" s="67"/>
      <c r="C32" s="67"/>
      <c r="D32" s="67"/>
      <c r="E32" s="67"/>
      <c r="F32" s="67">
        <v>5</v>
      </c>
      <c r="G32" s="67"/>
      <c r="H32" s="52">
        <f t="shared" si="3"/>
        <v>20.745</v>
      </c>
      <c r="I32" s="52">
        <f t="shared" si="4"/>
        <v>36.745</v>
      </c>
      <c r="J32" s="52">
        <f t="shared" si="5"/>
        <v>57.49</v>
      </c>
    </row>
    <row r="33" ht="12" customHeight="1" spans="1:10">
      <c r="A33" s="48" t="s">
        <v>41</v>
      </c>
      <c r="B33" s="67">
        <v>30</v>
      </c>
      <c r="C33" s="67">
        <v>30</v>
      </c>
      <c r="D33" s="67"/>
      <c r="E33" s="67"/>
      <c r="F33" s="67"/>
      <c r="G33" s="67"/>
      <c r="H33" s="52">
        <f t="shared" si="3"/>
        <v>50.745</v>
      </c>
      <c r="I33" s="52">
        <f t="shared" si="4"/>
        <v>66.745</v>
      </c>
      <c r="J33" s="52">
        <f t="shared" si="5"/>
        <v>117.49</v>
      </c>
    </row>
    <row r="34" ht="12" customHeight="1" spans="1:10">
      <c r="A34" s="48" t="s">
        <v>42</v>
      </c>
      <c r="B34" s="67"/>
      <c r="C34" s="67"/>
      <c r="D34" s="67"/>
      <c r="E34" s="67"/>
      <c r="F34" s="67">
        <v>10</v>
      </c>
      <c r="G34" s="67"/>
      <c r="H34" s="52">
        <f t="shared" si="3"/>
        <v>40.745</v>
      </c>
      <c r="I34" s="52">
        <f t="shared" si="4"/>
        <v>66.745</v>
      </c>
      <c r="J34" s="52">
        <f t="shared" si="5"/>
        <v>107.49</v>
      </c>
    </row>
    <row r="35" ht="14.25" customHeight="1" spans="1:10">
      <c r="A35" s="48" t="s">
        <v>43</v>
      </c>
      <c r="B35" s="67"/>
      <c r="C35" s="67"/>
      <c r="D35" s="67">
        <v>10</v>
      </c>
      <c r="E35" s="67"/>
      <c r="F35" s="67"/>
      <c r="G35" s="67"/>
      <c r="H35" s="52">
        <f t="shared" si="3"/>
        <v>30.745</v>
      </c>
      <c r="I35" s="52">
        <f t="shared" si="4"/>
        <v>66.745</v>
      </c>
      <c r="J35" s="52">
        <f t="shared" si="5"/>
        <v>97.49</v>
      </c>
    </row>
    <row r="36" ht="12" customHeight="1" spans="1:10">
      <c r="A36" s="48" t="s">
        <v>44</v>
      </c>
      <c r="B36" s="67">
        <v>1.25</v>
      </c>
      <c r="C36" s="67">
        <v>1.25</v>
      </c>
      <c r="D36" s="67"/>
      <c r="E36" s="67"/>
      <c r="F36" s="67"/>
      <c r="G36" s="67"/>
      <c r="H36" s="52">
        <f t="shared" si="3"/>
        <v>31.995</v>
      </c>
      <c r="I36" s="52">
        <f t="shared" si="4"/>
        <v>67.995</v>
      </c>
      <c r="J36" s="52">
        <f t="shared" si="5"/>
        <v>99.99</v>
      </c>
    </row>
    <row r="37" ht="12" customHeight="1" spans="1:10">
      <c r="A37" s="48" t="s">
        <v>45</v>
      </c>
      <c r="B37" s="67"/>
      <c r="C37" s="67"/>
      <c r="D37" s="67">
        <v>4</v>
      </c>
      <c r="E37" s="67"/>
      <c r="F37" s="67"/>
      <c r="G37" s="67"/>
      <c r="H37" s="52">
        <f t="shared" si="3"/>
        <v>27.995</v>
      </c>
      <c r="I37" s="52">
        <f t="shared" si="4"/>
        <v>67.995</v>
      </c>
      <c r="J37" s="52">
        <f t="shared" si="5"/>
        <v>95.99</v>
      </c>
    </row>
    <row r="38" ht="12" customHeight="1" spans="1:10">
      <c r="A38" s="48" t="s">
        <v>46</v>
      </c>
      <c r="B38" s="67">
        <v>12.5</v>
      </c>
      <c r="C38" s="67">
        <v>12.5</v>
      </c>
      <c r="D38" s="67"/>
      <c r="E38" s="67"/>
      <c r="F38" s="67"/>
      <c r="G38" s="67"/>
      <c r="H38" s="52">
        <f t="shared" si="3"/>
        <v>40.495</v>
      </c>
      <c r="I38" s="52">
        <f t="shared" si="4"/>
        <v>80.495</v>
      </c>
      <c r="J38" s="52">
        <f t="shared" si="5"/>
        <v>120.99</v>
      </c>
    </row>
    <row r="39" s="53" customFormat="1" ht="12" customHeight="1" spans="1:11">
      <c r="A39" s="48" t="s">
        <v>47</v>
      </c>
      <c r="B39" s="67"/>
      <c r="C39" s="67"/>
      <c r="D39" s="67">
        <v>10</v>
      </c>
      <c r="E39" s="67"/>
      <c r="F39" s="67"/>
      <c r="G39" s="67"/>
      <c r="H39" s="52">
        <f t="shared" si="3"/>
        <v>30.495</v>
      </c>
      <c r="I39" s="52">
        <f t="shared" si="4"/>
        <v>80.495</v>
      </c>
      <c r="J39" s="52">
        <f t="shared" si="5"/>
        <v>110.99</v>
      </c>
      <c r="K39" s="76"/>
    </row>
    <row r="40" s="53" customFormat="1" ht="12" customHeight="1" spans="1:11">
      <c r="A40" s="48" t="s">
        <v>48</v>
      </c>
      <c r="B40" s="67">
        <v>1.25</v>
      </c>
      <c r="C40" s="67">
        <v>1.25</v>
      </c>
      <c r="D40" s="67"/>
      <c r="E40" s="67"/>
      <c r="F40" s="67"/>
      <c r="G40" s="67"/>
      <c r="H40" s="52">
        <f t="shared" si="3"/>
        <v>31.745</v>
      </c>
      <c r="I40" s="52">
        <f t="shared" si="4"/>
        <v>81.745</v>
      </c>
      <c r="J40" s="52">
        <f t="shared" si="5"/>
        <v>113.49</v>
      </c>
      <c r="K40" s="76"/>
    </row>
    <row r="41" s="53" customFormat="1" ht="12.75" customHeight="1" spans="1:11">
      <c r="A41" s="48" t="s">
        <v>49</v>
      </c>
      <c r="B41" s="67"/>
      <c r="C41" s="67"/>
      <c r="D41" s="67"/>
      <c r="E41" s="67"/>
      <c r="F41" s="67">
        <v>5</v>
      </c>
      <c r="G41" s="67"/>
      <c r="H41" s="52">
        <f t="shared" si="3"/>
        <v>26.745</v>
      </c>
      <c r="I41" s="52">
        <f t="shared" si="4"/>
        <v>81.745</v>
      </c>
      <c r="J41" s="52">
        <f t="shared" si="5"/>
        <v>108.49</v>
      </c>
      <c r="K41" s="76"/>
    </row>
    <row r="42" ht="12" customHeight="1" spans="1:10">
      <c r="A42" s="48" t="s">
        <v>50</v>
      </c>
      <c r="B42" s="67">
        <v>15</v>
      </c>
      <c r="C42" s="67">
        <v>15</v>
      </c>
      <c r="D42" s="67"/>
      <c r="E42" s="67"/>
      <c r="F42" s="67"/>
      <c r="G42" s="67"/>
      <c r="H42" s="52">
        <f t="shared" si="3"/>
        <v>41.745</v>
      </c>
      <c r="I42" s="52">
        <f t="shared" si="4"/>
        <v>96.745</v>
      </c>
      <c r="J42" s="52">
        <f t="shared" si="5"/>
        <v>138.49</v>
      </c>
    </row>
    <row r="43" ht="15.75" customHeight="1" spans="1:10">
      <c r="A43" s="48" t="s">
        <v>51</v>
      </c>
      <c r="B43" s="67"/>
      <c r="C43" s="67"/>
      <c r="D43" s="67"/>
      <c r="E43" s="67"/>
      <c r="F43" s="67">
        <v>5</v>
      </c>
      <c r="G43" s="67"/>
      <c r="H43" s="52">
        <f t="shared" si="3"/>
        <v>36.745</v>
      </c>
      <c r="I43" s="52">
        <f t="shared" si="4"/>
        <v>96.745</v>
      </c>
      <c r="J43" s="52">
        <f t="shared" si="5"/>
        <v>133.49</v>
      </c>
    </row>
    <row r="44" s="53" customFormat="1" ht="16.5" customHeight="1" spans="1:11">
      <c r="A44" s="48" t="s">
        <v>52</v>
      </c>
      <c r="B44" s="67">
        <v>13.75</v>
      </c>
      <c r="C44" s="67">
        <v>13.75</v>
      </c>
      <c r="D44" s="67"/>
      <c r="E44" s="67"/>
      <c r="F44" s="67"/>
      <c r="G44" s="67"/>
      <c r="H44" s="52">
        <f t="shared" si="3"/>
        <v>50.495</v>
      </c>
      <c r="I44" s="52">
        <f t="shared" si="4"/>
        <v>110.495</v>
      </c>
      <c r="J44" s="52">
        <f t="shared" si="5"/>
        <v>160.99</v>
      </c>
      <c r="K44" s="76"/>
    </row>
    <row r="45" s="53" customFormat="1" ht="12" customHeight="1" spans="1:11">
      <c r="A45" s="48" t="s">
        <v>53</v>
      </c>
      <c r="B45" s="67"/>
      <c r="C45" s="67"/>
      <c r="D45" s="67">
        <v>15</v>
      </c>
      <c r="E45" s="67"/>
      <c r="F45" s="67"/>
      <c r="G45" s="67"/>
      <c r="H45" s="52">
        <f t="shared" ref="H45:H66" si="6">H44-F45-D45+B45</f>
        <v>35.495</v>
      </c>
      <c r="I45" s="52">
        <f t="shared" ref="I45:I66" si="7">I44-E45+C45</f>
        <v>110.495</v>
      </c>
      <c r="J45" s="52">
        <f t="shared" ref="J45:J66" si="8">SUM(H45:I45)</f>
        <v>145.99</v>
      </c>
      <c r="K45" s="76"/>
    </row>
    <row r="46" ht="12" customHeight="1" spans="1:10">
      <c r="A46" s="48" t="s">
        <v>54</v>
      </c>
      <c r="B46" s="67">
        <v>1.25</v>
      </c>
      <c r="C46" s="67">
        <v>1.25</v>
      </c>
      <c r="D46" s="67"/>
      <c r="E46" s="67"/>
      <c r="F46" s="67"/>
      <c r="G46" s="67"/>
      <c r="H46" s="52">
        <f t="shared" si="6"/>
        <v>36.745</v>
      </c>
      <c r="I46" s="52">
        <f t="shared" si="7"/>
        <v>111.745</v>
      </c>
      <c r="J46" s="52">
        <f t="shared" si="8"/>
        <v>148.49</v>
      </c>
    </row>
    <row r="47" ht="16.5" customHeight="1" spans="1:10">
      <c r="A47" s="48" t="s">
        <v>55</v>
      </c>
      <c r="B47" s="67"/>
      <c r="C47" s="67"/>
      <c r="D47" s="67"/>
      <c r="E47" s="67"/>
      <c r="F47" s="67">
        <v>5</v>
      </c>
      <c r="G47" s="67"/>
      <c r="H47" s="52">
        <f t="shared" si="6"/>
        <v>31.745</v>
      </c>
      <c r="I47" s="52">
        <f t="shared" si="7"/>
        <v>111.745</v>
      </c>
      <c r="J47" s="52">
        <f t="shared" si="8"/>
        <v>143.49</v>
      </c>
    </row>
    <row r="48" ht="12" customHeight="1" spans="1:10">
      <c r="A48" s="48" t="s">
        <v>56</v>
      </c>
      <c r="B48" s="67">
        <v>1.25</v>
      </c>
      <c r="C48" s="67">
        <v>1.25</v>
      </c>
      <c r="D48" s="67"/>
      <c r="E48" s="67"/>
      <c r="F48" s="67"/>
      <c r="G48" s="67"/>
      <c r="H48" s="52">
        <f t="shared" si="6"/>
        <v>32.995</v>
      </c>
      <c r="I48" s="52">
        <f t="shared" si="7"/>
        <v>112.995</v>
      </c>
      <c r="J48" s="52">
        <f t="shared" si="8"/>
        <v>145.99</v>
      </c>
    </row>
    <row r="49" ht="12" customHeight="1" spans="1:10">
      <c r="A49" s="48" t="s">
        <v>57</v>
      </c>
      <c r="B49" s="67"/>
      <c r="C49" s="67"/>
      <c r="D49" s="67">
        <v>1</v>
      </c>
      <c r="E49" s="67"/>
      <c r="F49" s="67"/>
      <c r="G49" s="67"/>
      <c r="H49" s="52">
        <f t="shared" si="6"/>
        <v>31.995</v>
      </c>
      <c r="I49" s="52">
        <f t="shared" si="7"/>
        <v>112.995</v>
      </c>
      <c r="J49" s="52">
        <f t="shared" si="8"/>
        <v>144.99</v>
      </c>
    </row>
    <row r="50" ht="12" customHeight="1" spans="1:10">
      <c r="A50" s="48" t="s">
        <v>58</v>
      </c>
      <c r="B50" s="67">
        <v>6.25</v>
      </c>
      <c r="C50" s="67">
        <v>6.25</v>
      </c>
      <c r="D50" s="67"/>
      <c r="E50" s="67"/>
      <c r="F50" s="67"/>
      <c r="G50" s="67"/>
      <c r="H50" s="52">
        <f t="shared" si="6"/>
        <v>38.245</v>
      </c>
      <c r="I50" s="52">
        <f t="shared" si="7"/>
        <v>119.245</v>
      </c>
      <c r="J50" s="52">
        <f t="shared" si="8"/>
        <v>157.49</v>
      </c>
    </row>
    <row r="51" ht="12" customHeight="1" spans="1:10">
      <c r="A51" s="48" t="s">
        <v>59</v>
      </c>
      <c r="B51" s="67"/>
      <c r="C51" s="67"/>
      <c r="D51" s="67">
        <v>29</v>
      </c>
      <c r="E51" s="67"/>
      <c r="F51" s="67"/>
      <c r="G51" s="67"/>
      <c r="H51" s="52">
        <f t="shared" si="6"/>
        <v>9.245</v>
      </c>
      <c r="I51" s="52">
        <f t="shared" si="7"/>
        <v>119.245</v>
      </c>
      <c r="J51" s="52">
        <f t="shared" si="8"/>
        <v>128.49</v>
      </c>
    </row>
    <row r="52" ht="12" customHeight="1" spans="1:10">
      <c r="A52" s="48" t="s">
        <v>60</v>
      </c>
      <c r="B52" s="67">
        <v>7.5</v>
      </c>
      <c r="C52" s="67">
        <v>7.5</v>
      </c>
      <c r="D52" s="67"/>
      <c r="E52" s="67"/>
      <c r="F52" s="67"/>
      <c r="G52" s="67"/>
      <c r="H52" s="52">
        <f t="shared" si="6"/>
        <v>16.745</v>
      </c>
      <c r="I52" s="52">
        <f t="shared" si="7"/>
        <v>126.745</v>
      </c>
      <c r="J52" s="52">
        <f t="shared" si="8"/>
        <v>143.49</v>
      </c>
    </row>
    <row r="53" ht="14.25" customHeight="1" spans="1:10">
      <c r="A53" s="48" t="s">
        <v>61</v>
      </c>
      <c r="B53" s="67"/>
      <c r="C53" s="67"/>
      <c r="D53" s="67"/>
      <c r="E53" s="67"/>
      <c r="F53" s="67">
        <v>5</v>
      </c>
      <c r="G53" s="67"/>
      <c r="H53" s="52">
        <f t="shared" si="6"/>
        <v>11.745</v>
      </c>
      <c r="I53" s="52">
        <f t="shared" si="7"/>
        <v>126.745</v>
      </c>
      <c r="J53" s="52">
        <f t="shared" si="8"/>
        <v>138.49</v>
      </c>
    </row>
    <row r="54" ht="12" customHeight="1" spans="1:10">
      <c r="A54" s="48" t="s">
        <v>62</v>
      </c>
      <c r="B54" s="67">
        <v>15</v>
      </c>
      <c r="C54" s="67">
        <v>15</v>
      </c>
      <c r="D54" s="67"/>
      <c r="E54" s="67"/>
      <c r="F54" s="67"/>
      <c r="G54" s="67"/>
      <c r="H54" s="52">
        <f t="shared" si="6"/>
        <v>26.745</v>
      </c>
      <c r="I54" s="52">
        <f t="shared" si="7"/>
        <v>141.745</v>
      </c>
      <c r="J54" s="52">
        <f t="shared" si="8"/>
        <v>168.49</v>
      </c>
    </row>
    <row r="55" ht="15.75" customHeight="1" spans="1:10">
      <c r="A55" s="48" t="s">
        <v>63</v>
      </c>
      <c r="B55" s="67"/>
      <c r="C55" s="67"/>
      <c r="D55" s="67"/>
      <c r="E55" s="67"/>
      <c r="F55" s="67">
        <v>5</v>
      </c>
      <c r="G55" s="67"/>
      <c r="H55" s="52">
        <f t="shared" si="6"/>
        <v>21.745</v>
      </c>
      <c r="I55" s="52">
        <f t="shared" si="7"/>
        <v>141.745</v>
      </c>
      <c r="J55" s="52">
        <f t="shared" si="8"/>
        <v>163.49</v>
      </c>
    </row>
    <row r="56" ht="12" customHeight="1" spans="1:10">
      <c r="A56" s="48" t="s">
        <v>64</v>
      </c>
      <c r="B56" s="67">
        <v>15</v>
      </c>
      <c r="C56" s="67">
        <v>15</v>
      </c>
      <c r="D56" s="67"/>
      <c r="E56" s="67"/>
      <c r="F56" s="67"/>
      <c r="G56" s="67"/>
      <c r="H56" s="52">
        <f t="shared" si="6"/>
        <v>36.745</v>
      </c>
      <c r="I56" s="52">
        <f t="shared" si="7"/>
        <v>156.745</v>
      </c>
      <c r="J56" s="52">
        <f t="shared" si="8"/>
        <v>193.49</v>
      </c>
    </row>
    <row r="57" ht="14.25" customHeight="1" spans="1:10">
      <c r="A57" s="48" t="s">
        <v>65</v>
      </c>
      <c r="B57" s="67"/>
      <c r="C57" s="67"/>
      <c r="D57" s="67">
        <v>5</v>
      </c>
      <c r="E57" s="67"/>
      <c r="F57" s="67"/>
      <c r="G57" s="67"/>
      <c r="H57" s="52">
        <f t="shared" si="6"/>
        <v>31.745</v>
      </c>
      <c r="I57" s="52">
        <f t="shared" si="7"/>
        <v>156.745</v>
      </c>
      <c r="J57" s="52">
        <f t="shared" si="8"/>
        <v>188.49</v>
      </c>
    </row>
    <row r="58" ht="15" customHeight="1" spans="1:10">
      <c r="A58" s="48" t="s">
        <v>66</v>
      </c>
      <c r="B58" s="67"/>
      <c r="C58" s="67"/>
      <c r="D58" s="67"/>
      <c r="E58" s="67"/>
      <c r="F58" s="67">
        <v>5</v>
      </c>
      <c r="G58" s="67"/>
      <c r="H58" s="52">
        <f t="shared" si="6"/>
        <v>26.745</v>
      </c>
      <c r="I58" s="52">
        <f t="shared" si="7"/>
        <v>156.745</v>
      </c>
      <c r="J58" s="52">
        <f t="shared" si="8"/>
        <v>183.49</v>
      </c>
    </row>
    <row r="59" ht="12" customHeight="1" spans="1:10">
      <c r="A59" s="48" t="s">
        <v>67</v>
      </c>
      <c r="B59" s="67">
        <v>11.25</v>
      </c>
      <c r="C59" s="67">
        <v>11.25</v>
      </c>
      <c r="D59" s="67"/>
      <c r="E59" s="67"/>
      <c r="F59" s="67"/>
      <c r="G59" s="67"/>
      <c r="H59" s="52">
        <f t="shared" si="6"/>
        <v>37.995</v>
      </c>
      <c r="I59" s="52">
        <f t="shared" si="7"/>
        <v>167.995</v>
      </c>
      <c r="J59" s="52">
        <f t="shared" si="8"/>
        <v>205.99</v>
      </c>
    </row>
    <row r="60" ht="12" customHeight="1" spans="1:10">
      <c r="A60" s="48" t="s">
        <v>68</v>
      </c>
      <c r="B60" s="67"/>
      <c r="C60" s="67"/>
      <c r="D60" s="67">
        <v>23</v>
      </c>
      <c r="E60" s="67">
        <v>6</v>
      </c>
      <c r="F60" s="67"/>
      <c r="G60" s="67"/>
      <c r="H60" s="52">
        <f t="shared" si="6"/>
        <v>14.995</v>
      </c>
      <c r="I60" s="52">
        <f t="shared" si="7"/>
        <v>161.995</v>
      </c>
      <c r="J60" s="52">
        <f t="shared" si="8"/>
        <v>176.99</v>
      </c>
    </row>
    <row r="61" ht="12" customHeight="1" spans="1:10">
      <c r="A61" s="48" t="s">
        <v>69</v>
      </c>
      <c r="B61" s="67">
        <v>3.75</v>
      </c>
      <c r="C61" s="67">
        <v>3.75</v>
      </c>
      <c r="D61" s="67"/>
      <c r="E61" s="67"/>
      <c r="F61" s="67"/>
      <c r="G61" s="67"/>
      <c r="H61" s="52">
        <f t="shared" si="6"/>
        <v>18.745</v>
      </c>
      <c r="I61" s="52">
        <f t="shared" si="7"/>
        <v>165.745</v>
      </c>
      <c r="J61" s="52">
        <f t="shared" si="8"/>
        <v>184.49</v>
      </c>
    </row>
    <row r="62" ht="15.75" customHeight="1" spans="1:10">
      <c r="A62" s="48" t="s">
        <v>70</v>
      </c>
      <c r="B62" s="67"/>
      <c r="C62" s="67"/>
      <c r="D62" s="67"/>
      <c r="E62" s="67"/>
      <c r="F62" s="67">
        <v>5</v>
      </c>
      <c r="G62" s="67"/>
      <c r="H62" s="52">
        <f t="shared" si="6"/>
        <v>13.745</v>
      </c>
      <c r="I62" s="52">
        <f t="shared" si="7"/>
        <v>165.745</v>
      </c>
      <c r="J62" s="52">
        <f t="shared" si="8"/>
        <v>179.49</v>
      </c>
    </row>
    <row r="63" ht="13.5" customHeight="1" spans="1:10">
      <c r="A63" s="48" t="s">
        <v>71</v>
      </c>
      <c r="B63" s="67">
        <v>6.25</v>
      </c>
      <c r="C63" s="67">
        <v>6.25</v>
      </c>
      <c r="D63" s="67"/>
      <c r="E63" s="67"/>
      <c r="F63" s="67"/>
      <c r="G63" s="67"/>
      <c r="H63" s="52">
        <f t="shared" si="6"/>
        <v>19.995</v>
      </c>
      <c r="I63" s="52">
        <f t="shared" si="7"/>
        <v>171.995</v>
      </c>
      <c r="J63" s="52">
        <f t="shared" si="8"/>
        <v>191.99</v>
      </c>
    </row>
    <row r="64" ht="12" customHeight="1" spans="1:10">
      <c r="A64" s="48" t="s">
        <v>72</v>
      </c>
      <c r="B64" s="67"/>
      <c r="C64" s="67"/>
      <c r="D64" s="67"/>
      <c r="E64" s="67"/>
      <c r="F64" s="67">
        <v>3</v>
      </c>
      <c r="G64" s="67"/>
      <c r="H64" s="52">
        <f t="shared" si="6"/>
        <v>16.995</v>
      </c>
      <c r="I64" s="52">
        <f t="shared" si="7"/>
        <v>171.995</v>
      </c>
      <c r="J64" s="52">
        <f t="shared" si="8"/>
        <v>188.99</v>
      </c>
    </row>
    <row r="65" ht="12" customHeight="1" spans="1:10">
      <c r="A65" s="48" t="s">
        <v>73</v>
      </c>
      <c r="B65" s="67">
        <v>3.75</v>
      </c>
      <c r="C65" s="67">
        <v>3.75</v>
      </c>
      <c r="D65" s="67"/>
      <c r="E65" s="67"/>
      <c r="F65" s="67"/>
      <c r="G65" s="67"/>
      <c r="H65" s="52">
        <f t="shared" si="6"/>
        <v>20.745</v>
      </c>
      <c r="I65" s="52">
        <f t="shared" si="7"/>
        <v>175.745</v>
      </c>
      <c r="J65" s="52">
        <f t="shared" si="8"/>
        <v>196.49</v>
      </c>
    </row>
    <row r="66" ht="12" customHeight="1" spans="1:10">
      <c r="A66" s="48" t="s">
        <v>74</v>
      </c>
      <c r="B66" s="67"/>
      <c r="C66" s="67"/>
      <c r="D66" s="67">
        <v>5</v>
      </c>
      <c r="E66" s="67">
        <v>24</v>
      </c>
      <c r="F66" s="67"/>
      <c r="G66" s="67"/>
      <c r="H66" s="52">
        <f t="shared" si="6"/>
        <v>15.745</v>
      </c>
      <c r="I66" s="52">
        <f t="shared" si="7"/>
        <v>151.745</v>
      </c>
      <c r="J66" s="52">
        <f t="shared" si="8"/>
        <v>167.49</v>
      </c>
    </row>
    <row r="67" ht="12" customHeight="1" spans="1:10">
      <c r="A67" s="48" t="s">
        <v>75</v>
      </c>
      <c r="B67" s="67">
        <v>3.75</v>
      </c>
      <c r="C67" s="67">
        <v>3.75</v>
      </c>
      <c r="D67" s="67"/>
      <c r="E67" s="67"/>
      <c r="F67" s="67"/>
      <c r="G67" s="67"/>
      <c r="H67" s="52">
        <f t="shared" ref="H67:H70" si="9">H66-F67-D67+B67</f>
        <v>19.495</v>
      </c>
      <c r="I67" s="52">
        <f t="shared" ref="I67:I70" si="10">I66-E67+C67</f>
        <v>155.495</v>
      </c>
      <c r="J67" s="52">
        <f t="shared" ref="J67:J70" si="11">SUM(H67:I67)</f>
        <v>174.99</v>
      </c>
    </row>
    <row r="68" ht="12" customHeight="1" spans="1:10">
      <c r="A68" s="48" t="s">
        <v>76</v>
      </c>
      <c r="B68" s="67"/>
      <c r="C68" s="67"/>
      <c r="D68" s="67"/>
      <c r="E68" s="67"/>
      <c r="F68" s="67">
        <v>2</v>
      </c>
      <c r="G68" s="67"/>
      <c r="H68" s="52">
        <f t="shared" si="9"/>
        <v>17.495</v>
      </c>
      <c r="I68" s="52">
        <f t="shared" si="10"/>
        <v>155.495</v>
      </c>
      <c r="J68" s="52">
        <f t="shared" si="11"/>
        <v>172.99</v>
      </c>
    </row>
    <row r="69" ht="12" customHeight="1" spans="1:10">
      <c r="A69" s="48" t="s">
        <v>77</v>
      </c>
      <c r="B69" s="67"/>
      <c r="C69" s="67"/>
      <c r="D69" s="67"/>
      <c r="E69" s="67"/>
      <c r="F69" s="67"/>
      <c r="G69" s="67">
        <v>1</v>
      </c>
      <c r="H69" s="52">
        <f t="shared" si="9"/>
        <v>17.495</v>
      </c>
      <c r="I69" s="52">
        <f t="shared" si="10"/>
        <v>155.495</v>
      </c>
      <c r="J69" s="52">
        <f t="shared" si="11"/>
        <v>172.99</v>
      </c>
    </row>
    <row r="70" ht="12" customHeight="1" spans="1:10">
      <c r="A70" s="48" t="s">
        <v>78</v>
      </c>
      <c r="B70" s="67">
        <v>1.25</v>
      </c>
      <c r="C70" s="67">
        <v>1.25</v>
      </c>
      <c r="D70" s="67"/>
      <c r="E70" s="67"/>
      <c r="F70" s="67"/>
      <c r="G70" s="67"/>
      <c r="H70" s="52">
        <f t="shared" si="9"/>
        <v>18.745</v>
      </c>
      <c r="I70" s="52">
        <f t="shared" si="10"/>
        <v>156.745</v>
      </c>
      <c r="J70" s="52">
        <f t="shared" si="11"/>
        <v>175.49</v>
      </c>
    </row>
    <row r="71" ht="12" customHeight="1" spans="1:10">
      <c r="A71" s="48" t="s">
        <v>79</v>
      </c>
      <c r="B71" s="67">
        <v>5</v>
      </c>
      <c r="C71" s="67">
        <v>5</v>
      </c>
      <c r="D71" s="67"/>
      <c r="E71" s="67"/>
      <c r="F71" s="67"/>
      <c r="G71" s="67"/>
      <c r="H71" s="52">
        <f t="shared" ref="H71:H81" si="12">H70-F71-D71+B71</f>
        <v>23.745</v>
      </c>
      <c r="I71" s="52">
        <f t="shared" ref="I71:I81" si="13">I70-E71+C71</f>
        <v>161.745</v>
      </c>
      <c r="J71" s="52">
        <f t="shared" ref="J71:J81" si="14">SUM(H71:I71)</f>
        <v>185.49</v>
      </c>
    </row>
    <row r="72" ht="12" customHeight="1" spans="1:10">
      <c r="A72" s="48" t="s">
        <v>80</v>
      </c>
      <c r="B72" s="67"/>
      <c r="C72" s="67"/>
      <c r="D72" s="67"/>
      <c r="E72" s="67"/>
      <c r="F72" s="67">
        <v>1</v>
      </c>
      <c r="G72" s="67"/>
      <c r="H72" s="52">
        <f t="shared" si="12"/>
        <v>22.745</v>
      </c>
      <c r="I72" s="52">
        <f t="shared" si="13"/>
        <v>161.745</v>
      </c>
      <c r="J72" s="52">
        <f t="shared" si="14"/>
        <v>184.49</v>
      </c>
    </row>
    <row r="73" ht="12" customHeight="1" spans="1:10">
      <c r="A73" s="48" t="s">
        <v>81</v>
      </c>
      <c r="B73" s="67">
        <v>5</v>
      </c>
      <c r="C73" s="67">
        <v>5</v>
      </c>
      <c r="D73" s="67"/>
      <c r="E73" s="67"/>
      <c r="F73" s="67"/>
      <c r="G73" s="67"/>
      <c r="H73" s="52">
        <f t="shared" si="12"/>
        <v>27.745</v>
      </c>
      <c r="I73" s="52">
        <f t="shared" si="13"/>
        <v>166.745</v>
      </c>
      <c r="J73" s="52">
        <f t="shared" si="14"/>
        <v>194.49</v>
      </c>
    </row>
    <row r="74" ht="12" customHeight="1" spans="1:10">
      <c r="A74" s="48" t="s">
        <v>82</v>
      </c>
      <c r="B74" s="67"/>
      <c r="C74" s="67"/>
      <c r="D74" s="67">
        <v>17</v>
      </c>
      <c r="E74" s="67">
        <v>12</v>
      </c>
      <c r="F74" s="67"/>
      <c r="G74" s="67"/>
      <c r="H74" s="52">
        <f t="shared" si="12"/>
        <v>10.745</v>
      </c>
      <c r="I74" s="52">
        <f t="shared" si="13"/>
        <v>154.745</v>
      </c>
      <c r="J74" s="52">
        <f t="shared" si="14"/>
        <v>165.49</v>
      </c>
    </row>
    <row r="75" ht="12" customHeight="1" spans="1:10">
      <c r="A75" s="48" t="s">
        <v>83</v>
      </c>
      <c r="B75" s="67"/>
      <c r="C75" s="67"/>
      <c r="D75" s="67"/>
      <c r="E75" s="67"/>
      <c r="F75" s="67"/>
      <c r="G75" s="67">
        <v>1</v>
      </c>
      <c r="H75" s="52">
        <f t="shared" si="12"/>
        <v>10.745</v>
      </c>
      <c r="I75" s="52">
        <f t="shared" si="13"/>
        <v>154.745</v>
      </c>
      <c r="J75" s="52">
        <f t="shared" si="14"/>
        <v>165.49</v>
      </c>
    </row>
    <row r="76" ht="12" customHeight="1" spans="1:10">
      <c r="A76" s="48" t="s">
        <v>84</v>
      </c>
      <c r="B76" s="67">
        <v>5</v>
      </c>
      <c r="C76" s="67">
        <v>5</v>
      </c>
      <c r="D76" s="67"/>
      <c r="E76" s="67"/>
      <c r="F76" s="67"/>
      <c r="G76" s="67"/>
      <c r="H76" s="52">
        <f t="shared" si="12"/>
        <v>15.745</v>
      </c>
      <c r="I76" s="52">
        <f t="shared" si="13"/>
        <v>159.745</v>
      </c>
      <c r="J76" s="52">
        <f t="shared" si="14"/>
        <v>175.49</v>
      </c>
    </row>
    <row r="77" ht="12" customHeight="1" spans="1:10">
      <c r="A77" s="48" t="s">
        <v>85</v>
      </c>
      <c r="B77" s="67"/>
      <c r="C77" s="67"/>
      <c r="D77" s="67"/>
      <c r="E77" s="67"/>
      <c r="F77" s="67">
        <v>4</v>
      </c>
      <c r="G77" s="67"/>
      <c r="H77" s="52">
        <f t="shared" si="12"/>
        <v>11.745</v>
      </c>
      <c r="I77" s="52">
        <f t="shared" si="13"/>
        <v>159.745</v>
      </c>
      <c r="J77" s="52">
        <f t="shared" si="14"/>
        <v>171.49</v>
      </c>
    </row>
    <row r="78" ht="13.5" customHeight="1" spans="1:10">
      <c r="A78" s="48" t="s">
        <v>86</v>
      </c>
      <c r="B78" s="67">
        <v>2.5</v>
      </c>
      <c r="C78" s="67">
        <v>2.5</v>
      </c>
      <c r="D78" s="67"/>
      <c r="E78" s="67"/>
      <c r="F78" s="67"/>
      <c r="G78" s="67"/>
      <c r="H78" s="52">
        <f t="shared" si="12"/>
        <v>14.245</v>
      </c>
      <c r="I78" s="52">
        <f t="shared" si="13"/>
        <v>162.245</v>
      </c>
      <c r="J78" s="52">
        <f t="shared" si="14"/>
        <v>176.49</v>
      </c>
    </row>
    <row r="79" ht="12" customHeight="1" spans="1:10">
      <c r="A79" s="48" t="s">
        <v>87</v>
      </c>
      <c r="B79" s="67"/>
      <c r="C79" s="67"/>
      <c r="D79" s="67"/>
      <c r="E79" s="67"/>
      <c r="F79" s="67">
        <v>1</v>
      </c>
      <c r="G79" s="67"/>
      <c r="H79" s="52">
        <f t="shared" si="12"/>
        <v>13.245</v>
      </c>
      <c r="I79" s="52">
        <f t="shared" si="13"/>
        <v>162.245</v>
      </c>
      <c r="J79" s="52">
        <f t="shared" si="14"/>
        <v>175.49</v>
      </c>
    </row>
    <row r="80" ht="12" customHeight="1" spans="1:10">
      <c r="A80" s="48" t="s">
        <v>88</v>
      </c>
      <c r="B80" s="67">
        <v>6.25</v>
      </c>
      <c r="C80" s="67">
        <v>6.25</v>
      </c>
      <c r="D80" s="67"/>
      <c r="E80" s="67"/>
      <c r="F80" s="67"/>
      <c r="G80" s="67"/>
      <c r="H80" s="52">
        <f t="shared" si="12"/>
        <v>19.495</v>
      </c>
      <c r="I80" s="52">
        <f t="shared" si="13"/>
        <v>168.495</v>
      </c>
      <c r="J80" s="52">
        <f t="shared" si="14"/>
        <v>187.99</v>
      </c>
    </row>
    <row r="81" ht="14.25" customHeight="1" spans="1:10">
      <c r="A81" s="77" t="s">
        <v>89</v>
      </c>
      <c r="B81" s="78"/>
      <c r="C81" s="78"/>
      <c r="D81" s="77">
        <v>14</v>
      </c>
      <c r="E81" s="67"/>
      <c r="F81" s="67"/>
      <c r="G81" s="67"/>
      <c r="H81" s="67">
        <f t="shared" si="12"/>
        <v>5.495</v>
      </c>
      <c r="I81" s="67">
        <f t="shared" si="13"/>
        <v>168.495</v>
      </c>
      <c r="J81" s="67">
        <f t="shared" si="14"/>
        <v>173.99</v>
      </c>
    </row>
    <row r="82" ht="14.25" customHeight="1" spans="1:10">
      <c r="A82" s="77" t="s">
        <v>90</v>
      </c>
      <c r="B82" s="77">
        <v>2.5</v>
      </c>
      <c r="C82" s="77">
        <v>2.5</v>
      </c>
      <c r="D82" s="77"/>
      <c r="E82" s="67"/>
      <c r="F82" s="67"/>
      <c r="G82" s="67"/>
      <c r="H82" s="67">
        <f t="shared" ref="H82:H83" si="15">H81-F82-D82+B82</f>
        <v>7.995</v>
      </c>
      <c r="I82" s="67">
        <f t="shared" ref="I82:I83" si="16">I81-E82+C82</f>
        <v>170.995</v>
      </c>
      <c r="J82" s="67">
        <f t="shared" ref="J82:J83" si="17">SUM(H82:I82)</f>
        <v>178.99</v>
      </c>
    </row>
    <row r="83" ht="14.25" customHeight="1" spans="1:10">
      <c r="A83" s="77" t="s">
        <v>91</v>
      </c>
      <c r="B83" s="77"/>
      <c r="C83" s="77"/>
      <c r="D83" s="77"/>
      <c r="E83" s="67">
        <v>2</v>
      </c>
      <c r="F83" s="67"/>
      <c r="G83" s="67"/>
      <c r="H83" s="67">
        <f t="shared" si="15"/>
        <v>7.995</v>
      </c>
      <c r="I83" s="67">
        <f t="shared" si="16"/>
        <v>168.995</v>
      </c>
      <c r="J83" s="67">
        <f t="shared" si="17"/>
        <v>176.99</v>
      </c>
    </row>
    <row r="84" ht="14.25" customHeight="1" spans="1:10">
      <c r="A84" s="77" t="s">
        <v>92</v>
      </c>
      <c r="B84" s="77">
        <v>1.25</v>
      </c>
      <c r="C84" s="77">
        <v>1.25</v>
      </c>
      <c r="D84" s="77"/>
      <c r="E84" s="67"/>
      <c r="F84" s="67"/>
      <c r="G84" s="67"/>
      <c r="H84" s="67">
        <f t="shared" ref="H84:H85" si="18">H83-F84-D84+B84</f>
        <v>9.245</v>
      </c>
      <c r="I84" s="67">
        <f t="shared" ref="I84:I85" si="19">I83-E84+C84</f>
        <v>170.245</v>
      </c>
      <c r="J84" s="67">
        <f t="shared" ref="J84:J85" si="20">SUM(H84:I84)</f>
        <v>179.49</v>
      </c>
    </row>
    <row r="85" ht="14.25" customHeight="1" spans="1:10">
      <c r="A85" s="77" t="s">
        <v>93</v>
      </c>
      <c r="B85" s="77"/>
      <c r="C85" s="77"/>
      <c r="D85" s="77"/>
      <c r="E85" s="67"/>
      <c r="F85" s="67">
        <v>1</v>
      </c>
      <c r="G85" s="67"/>
      <c r="H85" s="67">
        <f t="shared" si="18"/>
        <v>8.245</v>
      </c>
      <c r="I85" s="67">
        <f t="shared" si="19"/>
        <v>170.245</v>
      </c>
      <c r="J85" s="67">
        <f t="shared" si="20"/>
        <v>178.49</v>
      </c>
    </row>
    <row r="86" ht="14.25" customHeight="1" spans="1:10">
      <c r="A86" s="77" t="s">
        <v>94</v>
      </c>
      <c r="B86" s="77">
        <v>2.5</v>
      </c>
      <c r="C86" s="77">
        <v>2.5</v>
      </c>
      <c r="D86" s="77"/>
      <c r="E86" s="67"/>
      <c r="F86" s="67"/>
      <c r="G86" s="67"/>
      <c r="H86" s="67">
        <f t="shared" ref="H86:H88" si="21">H85-F86-D86+B86</f>
        <v>10.745</v>
      </c>
      <c r="I86" s="67">
        <f t="shared" ref="I86:I88" si="22">I85-E86+C86</f>
        <v>172.745</v>
      </c>
      <c r="J86" s="67">
        <f t="shared" ref="J86:J88" si="23">SUM(H86:I86)</f>
        <v>183.49</v>
      </c>
    </row>
    <row r="87" ht="14.25" customHeight="1" spans="1:10">
      <c r="A87" s="77" t="s">
        <v>95</v>
      </c>
      <c r="B87" s="77"/>
      <c r="C87" s="77"/>
      <c r="D87" s="77"/>
      <c r="E87" s="67"/>
      <c r="F87" s="67">
        <v>3</v>
      </c>
      <c r="G87" s="67"/>
      <c r="H87" s="67">
        <f t="shared" si="21"/>
        <v>7.745</v>
      </c>
      <c r="I87" s="67">
        <f t="shared" si="22"/>
        <v>172.745</v>
      </c>
      <c r="J87" s="67">
        <f t="shared" si="23"/>
        <v>180.49</v>
      </c>
    </row>
    <row r="88" ht="14.25" customHeight="1" spans="1:10">
      <c r="A88" s="77" t="s">
        <v>96</v>
      </c>
      <c r="B88" s="77"/>
      <c r="C88" s="77"/>
      <c r="D88" s="77"/>
      <c r="E88" s="67">
        <v>1</v>
      </c>
      <c r="F88" s="67"/>
      <c r="G88" s="67"/>
      <c r="H88" s="67">
        <f t="shared" si="21"/>
        <v>7.745</v>
      </c>
      <c r="I88" s="67">
        <f t="shared" si="22"/>
        <v>171.745</v>
      </c>
      <c r="J88" s="67">
        <f t="shared" si="23"/>
        <v>179.49</v>
      </c>
    </row>
    <row r="89" ht="14.25" customHeight="1" spans="1:10">
      <c r="A89" s="77" t="s">
        <v>97</v>
      </c>
      <c r="B89" s="77">
        <v>1.25</v>
      </c>
      <c r="C89" s="77">
        <v>1.25</v>
      </c>
      <c r="D89" s="77"/>
      <c r="E89" s="67"/>
      <c r="F89" s="67"/>
      <c r="G89" s="67"/>
      <c r="H89" s="67">
        <f t="shared" ref="H89:H90" si="24">H88-F89-D89+B89</f>
        <v>8.995</v>
      </c>
      <c r="I89" s="67">
        <f t="shared" ref="I89:I90" si="25">I88-E89+C89</f>
        <v>172.995</v>
      </c>
      <c r="J89" s="67">
        <f t="shared" ref="J89:J90" si="26">SUM(H89:I89)</f>
        <v>181.99</v>
      </c>
    </row>
    <row r="90" ht="14.25" customHeight="1" spans="1:10">
      <c r="A90" s="77" t="s">
        <v>98</v>
      </c>
      <c r="B90" s="77"/>
      <c r="C90" s="77"/>
      <c r="D90" s="77"/>
      <c r="E90" s="67"/>
      <c r="F90" s="79">
        <v>1</v>
      </c>
      <c r="G90" s="67"/>
      <c r="H90" s="67">
        <f t="shared" si="24"/>
        <v>7.995</v>
      </c>
      <c r="I90" s="67">
        <f t="shared" si="25"/>
        <v>172.995</v>
      </c>
      <c r="J90" s="67">
        <f t="shared" si="26"/>
        <v>180.99</v>
      </c>
    </row>
    <row r="91" ht="14.25" customHeight="1" spans="1:10">
      <c r="A91" s="77" t="s">
        <v>99</v>
      </c>
      <c r="B91" s="77">
        <v>6.25</v>
      </c>
      <c r="C91" s="77">
        <v>6.25</v>
      </c>
      <c r="D91" s="77"/>
      <c r="E91" s="67"/>
      <c r="F91" s="67"/>
      <c r="G91" s="67"/>
      <c r="H91" s="67">
        <f t="shared" ref="H91:H92" si="27">H90-F91-D91+B91</f>
        <v>14.245</v>
      </c>
      <c r="I91" s="67">
        <f t="shared" ref="I91:I92" si="28">I90-E91+C91</f>
        <v>179.245</v>
      </c>
      <c r="J91" s="67">
        <f t="shared" ref="J91:J92" si="29">SUM(H91:I91)</f>
        <v>193.49</v>
      </c>
    </row>
    <row r="92" ht="14.25" customHeight="1" spans="1:10">
      <c r="A92" s="77" t="s">
        <v>100</v>
      </c>
      <c r="B92" s="77"/>
      <c r="C92" s="77"/>
      <c r="D92" s="77">
        <v>9.245</v>
      </c>
      <c r="E92" s="67">
        <v>20.755</v>
      </c>
      <c r="F92" s="67"/>
      <c r="G92" s="67"/>
      <c r="H92" s="67">
        <f t="shared" si="27"/>
        <v>5</v>
      </c>
      <c r="I92" s="67">
        <f t="shared" si="28"/>
        <v>158.49</v>
      </c>
      <c r="J92" s="67">
        <f t="shared" si="29"/>
        <v>163.49</v>
      </c>
    </row>
    <row r="93" ht="14.25" customHeight="1" spans="1:10">
      <c r="A93" s="77" t="s">
        <v>101</v>
      </c>
      <c r="B93" s="77"/>
      <c r="C93" s="77"/>
      <c r="D93" s="77"/>
      <c r="E93" s="67">
        <v>2</v>
      </c>
      <c r="F93" s="67"/>
      <c r="G93" s="67"/>
      <c r="H93" s="67">
        <f t="shared" ref="H93" si="30">H92-F93-D93+B93</f>
        <v>5</v>
      </c>
      <c r="I93" s="67">
        <f t="shared" ref="I93" si="31">I92-E93+C93</f>
        <v>156.49</v>
      </c>
      <c r="J93" s="67">
        <f t="shared" ref="J93" si="32">SUM(H93:I93)</f>
        <v>161.49</v>
      </c>
    </row>
    <row r="94" ht="14.25" customHeight="1" spans="1:10">
      <c r="A94" s="77" t="s">
        <v>102</v>
      </c>
      <c r="B94" s="77"/>
      <c r="C94" s="77"/>
      <c r="D94" s="77"/>
      <c r="E94" s="67"/>
      <c r="F94" s="79">
        <v>1</v>
      </c>
      <c r="G94" s="67"/>
      <c r="H94" s="67">
        <f t="shared" ref="H94" si="33">H93-F94-D94+B94</f>
        <v>4</v>
      </c>
      <c r="I94" s="67">
        <f t="shared" ref="I94" si="34">I93-E94+C94</f>
        <v>156.49</v>
      </c>
      <c r="J94" s="67">
        <f t="shared" ref="J94" si="35">SUM(H94:I94)</f>
        <v>160.49</v>
      </c>
    </row>
    <row r="95" s="54" customFormat="1" ht="14.25" customHeight="1" spans="1:11">
      <c r="A95" s="80" t="s">
        <v>103</v>
      </c>
      <c r="B95" s="80">
        <v>6.25</v>
      </c>
      <c r="C95" s="80">
        <v>6.25</v>
      </c>
      <c r="D95" s="80"/>
      <c r="E95" s="81"/>
      <c r="F95" s="82"/>
      <c r="G95" s="81"/>
      <c r="H95" s="67">
        <f>H94-F95-D95+B95</f>
        <v>10.25</v>
      </c>
      <c r="I95" s="67">
        <f>I94-E95+C95</f>
        <v>162.74</v>
      </c>
      <c r="J95" s="67">
        <f>SUM(H95:I95)</f>
        <v>172.99</v>
      </c>
      <c r="K95" s="87"/>
    </row>
    <row r="96" s="54" customFormat="1" ht="14.25" customHeight="1" spans="1:11">
      <c r="A96" s="80" t="s">
        <v>104</v>
      </c>
      <c r="B96" s="80"/>
      <c r="C96" s="80"/>
      <c r="D96" s="80"/>
      <c r="E96" s="81"/>
      <c r="F96" s="82"/>
      <c r="G96" s="83">
        <v>1</v>
      </c>
      <c r="H96" s="67">
        <f>H95-F96-D96+B96</f>
        <v>10.25</v>
      </c>
      <c r="I96" s="67">
        <f>I95-E96+C96</f>
        <v>162.74</v>
      </c>
      <c r="J96" s="67">
        <f>SUM(H96:I96)</f>
        <v>172.99</v>
      </c>
      <c r="K96" s="87"/>
    </row>
    <row r="97" s="54" customFormat="1" ht="14.25" customHeight="1" spans="1:11">
      <c r="A97" s="80" t="s">
        <v>105</v>
      </c>
      <c r="B97" s="80"/>
      <c r="C97" s="80"/>
      <c r="D97" s="80"/>
      <c r="E97" s="81"/>
      <c r="F97" s="79">
        <v>2</v>
      </c>
      <c r="G97" s="81"/>
      <c r="H97" s="67">
        <f>H96-F97-D97+B97</f>
        <v>8.25</v>
      </c>
      <c r="I97" s="67">
        <f>I96-E97+C97</f>
        <v>162.74</v>
      </c>
      <c r="J97" s="67">
        <f>SUM(H97:I97)</f>
        <v>170.99</v>
      </c>
      <c r="K97" s="88" t="s">
        <v>106</v>
      </c>
    </row>
    <row r="98" s="54" customFormat="1" ht="14.25" customHeight="1" spans="1:11">
      <c r="A98" s="84"/>
      <c r="B98" s="84"/>
      <c r="C98" s="84"/>
      <c r="D98" s="84"/>
      <c r="E98" s="85"/>
      <c r="F98" s="86"/>
      <c r="G98" s="85"/>
      <c r="H98" s="85"/>
      <c r="I98" s="85"/>
      <c r="J98" s="85"/>
      <c r="K98" s="87"/>
    </row>
    <row r="102" spans="6:6">
      <c r="F102" s="55" t="s">
        <v>107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708661417322835" bottom="0.31496062992126" header="0.31496062992126" footer="0.31496062992126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view="pageBreakPreview" zoomScale="99" zoomScaleNormal="100" workbookViewId="0">
      <selection activeCell="A7" sqref="A7:K10"/>
    </sheetView>
  </sheetViews>
  <sheetFormatPr defaultColWidth="9" defaultRowHeight="14.4"/>
  <cols>
    <col min="1" max="1" width="35.8518518518519" customWidth="1"/>
  </cols>
  <sheetData>
    <row r="1" s="1" customFormat="1" ht="52.5" customHeight="1" spans="3:8">
      <c r="C1" s="4"/>
      <c r="D1" s="5"/>
      <c r="H1" s="7"/>
    </row>
    <row r="2" s="1" customFormat="1" ht="10.5" customHeight="1" spans="1:1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="1" customFormat="1" ht="15.95" customHeight="1" spans="1:12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="1" customFormat="1" ht="15.95" customHeight="1" spans="1:12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="1" customFormat="1" ht="15.95" customHeight="1" spans="1:12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="1" customFormat="1" ht="8.25" customHeight="1" spans="3:8">
      <c r="C6" s="7"/>
      <c r="H6" s="7"/>
    </row>
    <row r="7" s="1" customFormat="1" ht="8.25" customHeight="1" spans="3:8">
      <c r="C7" s="7"/>
      <c r="H7" s="7"/>
    </row>
    <row r="8" s="1" customFormat="1" ht="12" customHeight="1" spans="1:12">
      <c r="A8" s="8" t="s">
        <v>108</v>
      </c>
      <c r="B8" s="8"/>
      <c r="C8" s="9" t="s">
        <v>109</v>
      </c>
      <c r="D8" s="9"/>
      <c r="E8" s="9"/>
      <c r="F8" s="9"/>
      <c r="G8" s="9"/>
      <c r="I8" s="9" t="s">
        <v>110</v>
      </c>
      <c r="J8" s="9"/>
      <c r="K8" s="9"/>
      <c r="L8" s="8"/>
    </row>
    <row r="9" s="1" customFormat="1" ht="12" customHeight="1" spans="2:12">
      <c r="B9" s="10"/>
      <c r="C9" s="9" t="s">
        <v>111</v>
      </c>
      <c r="D9" s="9"/>
      <c r="E9" s="9"/>
      <c r="F9" s="9"/>
      <c r="G9" s="9"/>
      <c r="I9" s="34" t="s">
        <v>112</v>
      </c>
      <c r="J9" s="34"/>
      <c r="K9" s="34"/>
      <c r="L9" s="10"/>
    </row>
    <row r="10" s="1" customFormat="1" ht="12" customHeight="1" spans="1:12">
      <c r="A10" s="8" t="s">
        <v>113</v>
      </c>
      <c r="B10" s="8"/>
      <c r="C10" s="11"/>
      <c r="D10" s="10"/>
      <c r="E10" s="10"/>
      <c r="I10" s="9" t="s">
        <v>114</v>
      </c>
      <c r="J10" s="9"/>
      <c r="K10" s="9"/>
      <c r="L10" s="8"/>
    </row>
    <row r="11" ht="16.5" customHeight="1" spans="1:12">
      <c r="A11" s="12" t="s">
        <v>115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48" spans="1:12">
      <c r="A12" s="42" t="s">
        <v>11</v>
      </c>
      <c r="B12" s="43" t="s">
        <v>116</v>
      </c>
      <c r="C12" s="43" t="s">
        <v>117</v>
      </c>
      <c r="D12" s="43" t="s">
        <v>118</v>
      </c>
      <c r="E12" s="43" t="s">
        <v>119</v>
      </c>
      <c r="F12" s="43" t="s">
        <v>120</v>
      </c>
      <c r="G12" s="43" t="s">
        <v>121</v>
      </c>
      <c r="H12" s="43" t="s">
        <v>122</v>
      </c>
      <c r="I12" s="43" t="s">
        <v>123</v>
      </c>
      <c r="J12" s="43" t="s">
        <v>124</v>
      </c>
      <c r="K12" s="43" t="s">
        <v>125</v>
      </c>
      <c r="L12" s="37" t="s">
        <v>15</v>
      </c>
    </row>
    <row r="13" s="2" customFormat="1" spans="1:12">
      <c r="A13" s="44" t="s">
        <v>126</v>
      </c>
      <c r="B13" s="45"/>
      <c r="C13" s="46"/>
      <c r="D13" s="46"/>
      <c r="E13" s="45"/>
      <c r="F13" s="45"/>
      <c r="G13" s="45"/>
      <c r="H13" s="46"/>
      <c r="I13" s="45"/>
      <c r="J13" s="45">
        <v>3</v>
      </c>
      <c r="K13" s="45"/>
      <c r="L13" s="51">
        <v>3</v>
      </c>
    </row>
    <row r="14" s="2" customFormat="1" spans="1:12">
      <c r="A14" s="44"/>
      <c r="B14" s="45"/>
      <c r="C14" s="46"/>
      <c r="D14" s="46"/>
      <c r="E14" s="45"/>
      <c r="F14" s="45"/>
      <c r="G14" s="45"/>
      <c r="H14" s="46"/>
      <c r="I14" s="45"/>
      <c r="J14" s="45"/>
      <c r="K14" s="45"/>
      <c r="L14" s="51"/>
    </row>
    <row r="15" s="3" customFormat="1" spans="1:12">
      <c r="A15" s="47"/>
      <c r="B15" s="45"/>
      <c r="C15" s="46"/>
      <c r="D15" s="46"/>
      <c r="E15" s="45"/>
      <c r="F15" s="45"/>
      <c r="G15" s="45"/>
      <c r="H15" s="46"/>
      <c r="I15" s="45"/>
      <c r="J15" s="45"/>
      <c r="K15" s="45"/>
      <c r="L15" s="51"/>
    </row>
    <row r="16" s="3" customFormat="1" spans="1:12">
      <c r="A16" s="48"/>
      <c r="B16" s="45"/>
      <c r="C16" s="46"/>
      <c r="D16" s="46"/>
      <c r="E16" s="45"/>
      <c r="F16" s="45"/>
      <c r="G16" s="45"/>
      <c r="H16" s="46"/>
      <c r="I16" s="45"/>
      <c r="J16" s="45"/>
      <c r="K16" s="45"/>
      <c r="L16" s="51"/>
    </row>
    <row r="17" s="3" customFormat="1" spans="1:12">
      <c r="A17" s="46"/>
      <c r="B17" s="45"/>
      <c r="C17" s="46"/>
      <c r="D17" s="46"/>
      <c r="E17" s="45"/>
      <c r="F17" s="45"/>
      <c r="G17" s="45"/>
      <c r="H17" s="46"/>
      <c r="I17" s="45"/>
      <c r="J17" s="45"/>
      <c r="K17" s="45"/>
      <c r="L17" s="51"/>
    </row>
    <row r="18" s="3" customFormat="1" spans="1:12">
      <c r="A18" s="44"/>
      <c r="B18" s="45"/>
      <c r="C18" s="46"/>
      <c r="D18" s="46"/>
      <c r="E18" s="45"/>
      <c r="F18" s="45"/>
      <c r="G18" s="45"/>
      <c r="H18" s="46"/>
      <c r="I18" s="45"/>
      <c r="J18" s="45"/>
      <c r="K18" s="45"/>
      <c r="L18" s="51"/>
    </row>
    <row r="19" s="3" customFormat="1" spans="1:12">
      <c r="A19" s="44"/>
      <c r="B19" s="45"/>
      <c r="C19" s="46"/>
      <c r="D19" s="46"/>
      <c r="E19" s="45"/>
      <c r="F19" s="45"/>
      <c r="G19" s="45"/>
      <c r="H19" s="46"/>
      <c r="I19" s="45"/>
      <c r="J19" s="45"/>
      <c r="K19" s="45"/>
      <c r="L19" s="51"/>
    </row>
    <row r="20" s="3" customFormat="1" spans="1:12">
      <c r="A20" s="44"/>
      <c r="B20" s="45"/>
      <c r="C20" s="46"/>
      <c r="D20" s="46"/>
      <c r="E20" s="45"/>
      <c r="F20" s="45"/>
      <c r="G20" s="45"/>
      <c r="H20" s="46"/>
      <c r="I20" s="45"/>
      <c r="J20" s="45"/>
      <c r="K20" s="45"/>
      <c r="L20" s="51"/>
    </row>
    <row r="21" s="3" customFormat="1" spans="1:12">
      <c r="A21" s="49"/>
      <c r="B21" s="45"/>
      <c r="C21" s="46"/>
      <c r="D21" s="46"/>
      <c r="E21" s="45"/>
      <c r="F21" s="45"/>
      <c r="G21" s="45"/>
      <c r="H21" s="46"/>
      <c r="I21" s="45"/>
      <c r="J21" s="45"/>
      <c r="K21" s="52"/>
      <c r="L21" s="51"/>
    </row>
    <row r="22" ht="75.75" customHeight="1" spans="1:1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</row>
    <row r="23" s="1" customFormat="1" spans="3:3">
      <c r="C23" s="7"/>
    </row>
    <row r="24" s="1" customFormat="1" spans="3:3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ageMargins left="0.7" right="0.7" top="0.75" bottom="0.75" header="0.3" footer="0.3"/>
  <pageSetup paperSize="9" scale="96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view="pageBreakPreview" zoomScale="96" zoomScaleNormal="100" workbookViewId="0">
      <selection activeCell="G17" sqref="G17:H17"/>
    </sheetView>
  </sheetViews>
  <sheetFormatPr defaultColWidth="9" defaultRowHeight="14.4"/>
  <cols>
    <col min="1" max="1" width="21.8518518518519" customWidth="1"/>
    <col min="2" max="2" width="18.712962962963" customWidth="1"/>
    <col min="6" max="6" width="6.85185185185185" customWidth="1"/>
    <col min="8" max="8" width="7.42592592592593" customWidth="1"/>
    <col min="10" max="10" width="7" customWidth="1"/>
  </cols>
  <sheetData>
    <row r="1" s="1" customFormat="1" ht="52.5" customHeight="1" spans="4:9">
      <c r="D1" s="4"/>
      <c r="E1" s="5"/>
      <c r="I1" s="7"/>
    </row>
    <row r="2" s="1" customFormat="1" ht="10.5" customHeight="1" spans="1:1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="1" customFormat="1" ht="15.95" customHeight="1" spans="1:1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="1" customFormat="1" ht="15.95" customHeight="1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="1" customFormat="1" ht="15.95" customHeight="1" spans="1:13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="1" customFormat="1" ht="8.25" customHeight="1" spans="4:9">
      <c r="D6" s="7"/>
      <c r="I6" s="7"/>
    </row>
    <row r="7" s="1" customFormat="1" ht="8.25" customHeight="1" spans="4:9">
      <c r="D7" s="7"/>
      <c r="I7" s="7"/>
    </row>
    <row r="8" s="1" customFormat="1" ht="12" customHeight="1" spans="1:13">
      <c r="A8" s="8" t="s">
        <v>127</v>
      </c>
      <c r="B8" s="8"/>
      <c r="C8" s="8"/>
      <c r="D8" s="9" t="s">
        <v>109</v>
      </c>
      <c r="E8" s="9"/>
      <c r="F8" s="9"/>
      <c r="G8" s="9"/>
      <c r="H8" s="9"/>
      <c r="J8" s="9" t="s">
        <v>128</v>
      </c>
      <c r="K8" s="9"/>
      <c r="L8" s="9"/>
      <c r="M8" s="8"/>
    </row>
    <row r="9" s="1" customFormat="1" ht="12" customHeight="1" spans="3:13">
      <c r="C9" s="10"/>
      <c r="D9" s="9" t="s">
        <v>129</v>
      </c>
      <c r="E9" s="9"/>
      <c r="F9" s="9"/>
      <c r="G9" s="9"/>
      <c r="H9" s="9"/>
      <c r="J9" s="34" t="s">
        <v>112</v>
      </c>
      <c r="K9" s="34"/>
      <c r="L9" s="34"/>
      <c r="M9" s="10"/>
    </row>
    <row r="10" s="1" customFormat="1" ht="12" customHeight="1" spans="1:13">
      <c r="A10" s="8" t="s">
        <v>130</v>
      </c>
      <c r="B10" s="8"/>
      <c r="C10" s="8"/>
      <c r="D10" s="11"/>
      <c r="E10" s="10"/>
      <c r="F10" s="10"/>
      <c r="J10" s="9" t="s">
        <v>114</v>
      </c>
      <c r="K10" s="9"/>
      <c r="L10" s="9"/>
      <c r="M10" s="8"/>
    </row>
    <row r="11" ht="30.75" customHeight="1" spans="1:13">
      <c r="A11" s="12" t="s">
        <v>131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="2" customFormat="1" ht="18.75" customHeight="1" spans="1:13">
      <c r="A12" s="13" t="s">
        <v>132</v>
      </c>
      <c r="B12" s="14" t="s">
        <v>11</v>
      </c>
      <c r="C12" s="15" t="s">
        <v>133</v>
      </c>
      <c r="D12" s="16"/>
      <c r="E12" s="15" t="s">
        <v>134</v>
      </c>
      <c r="F12" s="16"/>
      <c r="G12" s="15" t="s">
        <v>135</v>
      </c>
      <c r="H12" s="16"/>
      <c r="I12" s="15" t="s">
        <v>136</v>
      </c>
      <c r="J12" s="16"/>
      <c r="K12" s="15" t="s">
        <v>137</v>
      </c>
      <c r="L12" s="16"/>
      <c r="M12" s="35" t="s">
        <v>15</v>
      </c>
    </row>
    <row r="13" s="2" customFormat="1" ht="11.1" customHeight="1" spans="1:13">
      <c r="A13" s="17"/>
      <c r="B13" s="18"/>
      <c r="C13" s="19"/>
      <c r="D13" s="20"/>
      <c r="E13" s="19"/>
      <c r="F13" s="20"/>
      <c r="G13" s="19"/>
      <c r="H13" s="20"/>
      <c r="I13" s="19"/>
      <c r="J13" s="20"/>
      <c r="K13" s="19"/>
      <c r="L13" s="20"/>
      <c r="M13" s="36"/>
    </row>
    <row r="14" s="2" customFormat="1" ht="5.45" customHeight="1" spans="1:13">
      <c r="A14" s="21"/>
      <c r="B14" s="22"/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37"/>
    </row>
    <row r="15" s="2" customFormat="1" ht="21.95" customHeight="1" spans="1:13">
      <c r="A15" s="25"/>
      <c r="B15" s="26"/>
      <c r="C15" s="27"/>
      <c r="D15" s="28"/>
      <c r="E15" s="27"/>
      <c r="F15" s="28"/>
      <c r="G15" s="27"/>
      <c r="H15" s="29"/>
      <c r="I15" s="27"/>
      <c r="J15" s="29"/>
      <c r="K15" s="27"/>
      <c r="L15" s="29"/>
      <c r="M15" s="38"/>
    </row>
    <row r="16" s="1" customFormat="1" ht="21.95" customHeight="1" spans="1:13">
      <c r="A16" s="25"/>
      <c r="B16" s="30"/>
      <c r="C16" s="3"/>
      <c r="D16" s="3"/>
      <c r="E16" s="27"/>
      <c r="F16" s="29"/>
      <c r="G16" s="27"/>
      <c r="H16" s="29"/>
      <c r="I16" s="27"/>
      <c r="J16" s="29"/>
      <c r="K16" s="27"/>
      <c r="L16" s="29"/>
      <c r="M16" s="30"/>
    </row>
    <row r="17" s="1" customFormat="1" ht="21.95" customHeight="1" spans="1:13">
      <c r="A17" s="25"/>
      <c r="B17" s="30"/>
      <c r="C17" s="27"/>
      <c r="D17" s="28"/>
      <c r="E17" s="27"/>
      <c r="F17" s="29"/>
      <c r="G17" s="27"/>
      <c r="H17" s="29"/>
      <c r="I17" s="27"/>
      <c r="J17" s="29"/>
      <c r="K17" s="27"/>
      <c r="L17" s="29"/>
      <c r="M17" s="30"/>
    </row>
    <row r="18" s="3" customFormat="1" ht="21.95" customHeight="1" spans="1:13">
      <c r="A18" s="30"/>
      <c r="B18" s="30"/>
      <c r="C18" s="27"/>
      <c r="D18" s="28"/>
      <c r="E18" s="27"/>
      <c r="F18" s="29"/>
      <c r="G18" s="27"/>
      <c r="H18" s="29"/>
      <c r="I18" s="27"/>
      <c r="J18" s="29"/>
      <c r="K18" s="27"/>
      <c r="L18" s="29"/>
      <c r="M18" s="30"/>
    </row>
    <row r="19" s="1" customFormat="1" ht="21.95" customHeight="1" spans="1:13">
      <c r="A19" s="30"/>
      <c r="B19" s="30"/>
      <c r="C19" s="27"/>
      <c r="D19" s="28"/>
      <c r="E19" s="27"/>
      <c r="F19" s="29"/>
      <c r="G19" s="27"/>
      <c r="H19" s="29"/>
      <c r="I19" s="27"/>
      <c r="J19" s="29"/>
      <c r="K19" s="27"/>
      <c r="L19" s="29"/>
      <c r="M19" s="30"/>
    </row>
    <row r="20" s="1" customFormat="1" ht="21.95" customHeight="1" spans="1:13">
      <c r="A20" s="30"/>
      <c r="B20" s="30"/>
      <c r="C20" s="27"/>
      <c r="D20" s="28"/>
      <c r="E20" s="27"/>
      <c r="F20" s="29"/>
      <c r="G20" s="27"/>
      <c r="H20" s="29"/>
      <c r="I20" s="27"/>
      <c r="J20" s="29"/>
      <c r="K20" s="27"/>
      <c r="L20" s="29"/>
      <c r="M20" s="30"/>
    </row>
    <row r="21" s="1" customFormat="1" ht="21.95" customHeight="1" spans="1:13">
      <c r="A21" s="31"/>
      <c r="B21" s="30"/>
      <c r="C21" s="27"/>
      <c r="D21" s="28"/>
      <c r="E21" s="27"/>
      <c r="F21" s="29"/>
      <c r="G21" s="32"/>
      <c r="H21" s="33"/>
      <c r="I21" s="39"/>
      <c r="J21" s="40"/>
      <c r="K21" s="32"/>
      <c r="L21" s="33"/>
      <c r="M21" s="41"/>
    </row>
    <row r="22" s="1" customFormat="1" ht="21.95" customHeight="1" spans="1:13">
      <c r="A22" s="31"/>
      <c r="B22" s="30"/>
      <c r="C22" s="27"/>
      <c r="D22" s="28"/>
      <c r="E22" s="27"/>
      <c r="F22" s="29"/>
      <c r="G22" s="32"/>
      <c r="H22" s="33"/>
      <c r="I22" s="39"/>
      <c r="J22" s="40"/>
      <c r="K22" s="32"/>
      <c r="L22" s="33"/>
      <c r="M22" s="41"/>
    </row>
    <row r="23" s="1" customFormat="1" ht="21.95" customHeight="1" spans="1:13">
      <c r="A23" s="31"/>
      <c r="B23" s="30"/>
      <c r="C23" s="27"/>
      <c r="D23" s="28"/>
      <c r="E23" s="27"/>
      <c r="F23" s="29"/>
      <c r="G23" s="32"/>
      <c r="H23" s="33"/>
      <c r="I23" s="39"/>
      <c r="J23" s="40"/>
      <c r="K23" s="32"/>
      <c r="L23" s="33"/>
      <c r="M23" s="41"/>
    </row>
    <row r="24" s="1" customFormat="1" ht="21.95" customHeight="1" spans="1:13">
      <c r="A24" s="31"/>
      <c r="B24" s="30"/>
      <c r="C24" s="27"/>
      <c r="D24" s="28"/>
      <c r="E24" s="27"/>
      <c r="F24" s="29"/>
      <c r="G24" s="32"/>
      <c r="H24" s="33"/>
      <c r="I24" s="39"/>
      <c r="J24" s="40"/>
      <c r="K24" s="32"/>
      <c r="L24" s="33"/>
      <c r="M24" s="41"/>
    </row>
    <row r="25" s="1" customFormat="1" spans="4:4">
      <c r="D25" s="7"/>
    </row>
  </sheetData>
  <mergeCells count="67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A12:A14"/>
    <mergeCell ref="B12:B14"/>
    <mergeCell ref="M12:M14"/>
    <mergeCell ref="C12:D14"/>
    <mergeCell ref="E12:F14"/>
    <mergeCell ref="G12:H14"/>
    <mergeCell ref="I12:J14"/>
    <mergeCell ref="K12:L14"/>
  </mergeCells>
  <printOptions horizontalCentered="1"/>
  <pageMargins left="0.7" right="0.7" top="0.25" bottom="0.25" header="0.3" footer="0.3"/>
  <pageSetup paperSize="9" scale="9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OTHER TYPES OF LEAVE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2025-06-26T04:44:00Z</cp:lastPrinted>
  <dcterms:modified xsi:type="dcterms:W3CDTF">2026-01-02T08:07:07Z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FF808ACB88C449729B42B2BF98DA19DB_12</vt:lpwstr>
  </property>
  <property fmtid="{D5CDD505-2E9C-101B-9397-08002B2CF9AE}" pid="3" name="KSOProductBuildVer">
    <vt:lpwstr>1033-12.2.0.23196</vt:lpwstr>
  </property>
</Properties>
</file>