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D61CFB22-1C36-4794-B12F-7959504D56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 (2)" sheetId="8" r:id="rId1"/>
    <sheet name="CTO" sheetId="7" r:id="rId2"/>
  </sheets>
  <definedNames>
    <definedName name="_xlnm.Print_Area" localSheetId="0">'Leave Card (NE) (2)'!$A$1:$J$22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8" l="1"/>
  <c r="I14" i="8" s="1"/>
  <c r="I15" i="8" s="1"/>
  <c r="H13" i="8"/>
  <c r="J13" i="8" s="1"/>
  <c r="H14" i="8" l="1"/>
  <c r="H15" i="8" s="1"/>
  <c r="J15" i="8" s="1"/>
  <c r="J14" i="8" l="1"/>
</calcChain>
</file>

<file path=xl/sharedStrings.xml><?xml version="1.0" encoding="utf-8"?>
<sst xmlns="http://schemas.openxmlformats.org/spreadsheetml/2006/main" count="91" uniqueCount="69">
  <si>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</si>
  <si>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</si>
  <si>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</si>
  <si>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</si>
  <si>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</si>
  <si>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</si>
  <si>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</si>
  <si>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</si>
  <si>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</si>
  <si>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</si>
  <si>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</si>
  <si>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DATE FILED/RECEIVED</t>
  </si>
  <si>
    <t>SPECIAL</t>
  </si>
  <si>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</si>
  <si>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</si>
  <si>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</si>
  <si>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</si>
  <si>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</si>
  <si>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</si>
  <si>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POSITION: __________________________</t>
  </si>
  <si>
    <t>SCHOOL/OFFICE:_____________________</t>
  </si>
  <si>
    <t xml:space="preserve">  </t>
  </si>
  <si>
    <t>LESS: 05/2/2025</t>
  </si>
  <si>
    <t>ADD: 11/4-30/2024</t>
  </si>
  <si>
    <t>NAME         :</t>
  </si>
  <si>
    <t>DISTRICT             : _______________________</t>
  </si>
  <si>
    <t>EMPLOYEE NO   : __________</t>
  </si>
  <si>
    <t xml:space="preserve">SCHOOL/OFFICE : </t>
  </si>
  <si>
    <t>STATION CODE   : __________</t>
  </si>
  <si>
    <t xml:space="preserve">POSITION   : </t>
  </si>
  <si>
    <t>DIVISION CODE   : __________</t>
  </si>
  <si>
    <t>COMPENSATORY TIME OFF (CTO)</t>
  </si>
  <si>
    <t>Special Order No. and Date Issued</t>
  </si>
  <si>
    <t>No. of Days Granted</t>
  </si>
  <si>
    <t>No. of Days Used</t>
  </si>
  <si>
    <t>Balance</t>
  </si>
  <si>
    <t>ADD: JULY 13, 2022</t>
  </si>
  <si>
    <t>S.O. #052, s. 2022,124TH PHILIPPINE INDEPENDENCE DAY CELEBRATION</t>
  </si>
  <si>
    <t>LESS: AUGUST 01, 2022</t>
  </si>
  <si>
    <t>ADD: OCTOBER 04, 2022</t>
  </si>
  <si>
    <t>S.O. #017, S. 2022 ADMINISTRATION OF 2021 NQESH</t>
  </si>
  <si>
    <t>LESS: OCTOBER 04, 2022</t>
  </si>
  <si>
    <t>LESS: APRIL 13, 2023</t>
  </si>
  <si>
    <t>LESS: APRIL 19 &amp; 20, 2023</t>
  </si>
  <si>
    <t>LESS: APRIL 28, 2023</t>
  </si>
  <si>
    <t>LESS: AUGUST 7, 8 &amp; 14, 2023</t>
  </si>
  <si>
    <t>ADD:04/17/2023</t>
  </si>
  <si>
    <t>S.O. #048, S. 2023 DISTRICT &amp; CITY SPORTS MEET</t>
  </si>
  <si>
    <t>LESS: 10/19-20/2023</t>
  </si>
  <si>
    <t>ADD: 04/17/2023</t>
  </si>
  <si>
    <t>S.O. #050, S. 2023. 2023 PALARONG PANLALAWIGAN</t>
  </si>
  <si>
    <t>LESS: 10/26-27/2023</t>
  </si>
  <si>
    <t>Certified Correct:</t>
  </si>
  <si>
    <t>MA. LUISA B. CATIGAN</t>
  </si>
  <si>
    <t>Administrative Officer IV</t>
  </si>
  <si>
    <t>HRMO</t>
  </si>
  <si>
    <t>ADD: 12/3/2024</t>
  </si>
  <si>
    <t>2024 SCIMATHLYMPICS FOR SY 2024-2025</t>
  </si>
  <si>
    <t>2 DAYS &amp; 2HOURS</t>
  </si>
  <si>
    <t>2 DAYS &amp; 2 HRS</t>
  </si>
  <si>
    <t>2025 SCIMATHLYMPICS FOR SY 2024-2025</t>
  </si>
  <si>
    <t>1 DAY &amp; 2 HRS</t>
  </si>
  <si>
    <t>ADD: 12/1-31/2024</t>
  </si>
  <si>
    <t>`</t>
  </si>
  <si>
    <t>ADD: 06/5/2025</t>
  </si>
  <si>
    <t>SSES &amp; STE PROGRAMS FOR SY 2025-2026</t>
  </si>
  <si>
    <t>4.5 DAYS</t>
  </si>
  <si>
    <t>LESS: 12/23, 26 &amp; 29/2025</t>
  </si>
  <si>
    <t>ADD: 01/1/2025-09/30/2025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</si>
</sst>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4" fillId="0" borderId="0" xfId="0" applyFont="1"/>
    <xf numFmtId="0" fontId="0" fillId="0" borderId="0" xfId="0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2" borderId="14" xfId="0" applyNumberFormat="1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64" fontId="0" fillId="0" borderId="14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7" fillId="0" borderId="0" xfId="0" applyFont="1"/>
    <xf numFmtId="0" fontId="9" fillId="0" borderId="0" xfId="0" applyFont="1"/>
    <xf numFmtId="0" fontId="0" fillId="2" borderId="1" xfId="0" applyFill="1" applyBorder="1" applyAlignment="1">
      <alignment horizontal="center" vertical="center" wrapText="1"/>
    </xf>
    <xf numFmtId="0" fontId="9" fillId="2" borderId="0" xfId="0" applyFont="1" applyFill="1"/>
    <xf numFmtId="0" fontId="0" fillId="10" borderId="1" xfId="0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18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FCC770-6415-413B-9BCD-89DAAB01997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C1B9FD2-69FC-43D3-8775-34FE9B7F9D72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ARNIBAL, KENT CHARLES</a:t>
          </a:r>
          <a:endParaRPr lang="en-PH">
            <a:effectLst/>
          </a:endParaRP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3BFAFA9-F7BB-45F0-9A72-350C0721844C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EPSVR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30DFBB0-C222-4957-BB32-3E7837C85797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SDO-CID</a:t>
          </a:r>
        </a:p>
      </xdr:txBody>
    </xdr:sp>
    <xdr:clientData/>
  </xdr:twoCellAnchor>
  <xdr:twoCellAnchor>
    <xdr:from>
      <xdr:col>5</xdr:col>
      <xdr:colOff>347452</xdr:colOff>
      <xdr:row>16</xdr:row>
      <xdr:rowOff>53914</xdr:rowOff>
    </xdr:from>
    <xdr:to>
      <xdr:col>9</xdr:col>
      <xdr:colOff>672043</xdr:colOff>
      <xdr:row>21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3BD935A-C83E-47AC-B9C7-4EFF9A88CC20}"/>
            </a:ext>
          </a:extLst>
        </xdr:cNvPr>
        <xdr:cNvSpPr txBox="1"/>
      </xdr:nvSpPr>
      <xdr:spPr>
        <a:xfrm>
          <a:off x="5871952" y="3940114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371475</xdr:colOff>
      <xdr:row>1</xdr:row>
      <xdr:rowOff>28574</xdr:rowOff>
    </xdr:from>
    <xdr:to>
      <xdr:col>3</xdr:col>
      <xdr:colOff>333375</xdr:colOff>
      <xdr:row>4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742A55-6C3E-44A1-B56D-84256C5AFF5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24150" y="276224"/>
          <a:ext cx="571500" cy="590551"/>
        </a:xfrm>
        <a:prstGeom prst="rect">
          <a:avLst/>
        </a:prstGeom>
        <a:noFill/>
      </xdr:spPr>
    </xdr:pic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55806A5-DC3E-4951-8453-51E68100821B}"/>
            </a:ext>
          </a:extLst>
        </xdr:cNvPr>
        <xdr:cNvCxnSpPr/>
      </xdr:nvCxnSpPr>
      <xdr:spPr>
        <a:xfrm>
          <a:off x="752475" y="1638300"/>
          <a:ext cx="8191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755650</xdr:colOff>
      <xdr:row>6</xdr:row>
      <xdr:rowOff>63500</xdr:rowOff>
    </xdr:from>
    <xdr:to>
      <xdr:col>2</xdr:col>
      <xdr:colOff>72049</xdr:colOff>
      <xdr:row>8</xdr:row>
      <xdr:rowOff>59349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8F5926D-178A-4F13-B7B3-C6D5A7B093F0}"/>
            </a:ext>
          </a:extLst>
        </xdr:cNvPr>
        <xdr:cNvSpPr txBox="1"/>
      </xdr:nvSpPr>
      <xdr:spPr>
        <a:xfrm>
          <a:off x="755650" y="1149350"/>
          <a:ext cx="1669074" cy="2530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ARNIBAL, KENT CHARLES</a:t>
          </a:r>
        </a:p>
      </xdr:txBody>
    </xdr:sp>
    <xdr:clientData/>
  </xdr:twoCellAnchor>
  <xdr:twoCellAnchor>
    <xdr:from>
      <xdr:col>0</xdr:col>
      <xdr:colOff>755650</xdr:colOff>
      <xdr:row>8</xdr:row>
      <xdr:rowOff>69850</xdr:rowOff>
    </xdr:from>
    <xdr:to>
      <xdr:col>1</xdr:col>
      <xdr:colOff>425450</xdr:colOff>
      <xdr:row>9</xdr:row>
      <xdr:rowOff>127000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47E32DE-5D37-413A-A1F0-40DB3FE1439C}"/>
            </a:ext>
          </a:extLst>
        </xdr:cNvPr>
        <xdr:cNvSpPr txBox="1"/>
      </xdr:nvSpPr>
      <xdr:spPr>
        <a:xfrm>
          <a:off x="755650" y="1412875"/>
          <a:ext cx="121285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EPSVR</a:t>
          </a:r>
        </a:p>
      </xdr:txBody>
    </xdr:sp>
    <xdr:clientData/>
  </xdr:twoCellAnchor>
  <xdr:twoCellAnchor>
    <xdr:from>
      <xdr:col>3</xdr:col>
      <xdr:colOff>476250</xdr:colOff>
      <xdr:row>7</xdr:row>
      <xdr:rowOff>133350</xdr:rowOff>
    </xdr:from>
    <xdr:to>
      <xdr:col>6</xdr:col>
      <xdr:colOff>184150</xdr:colOff>
      <xdr:row>9</xdr:row>
      <xdr:rowOff>89634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6703A9F-2348-4443-86C3-4C26F16D3E08}"/>
            </a:ext>
          </a:extLst>
        </xdr:cNvPr>
        <xdr:cNvSpPr txBox="1"/>
      </xdr:nvSpPr>
      <xdr:spPr>
        <a:xfrm>
          <a:off x="3438525" y="1323975"/>
          <a:ext cx="1889125" cy="2610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BBE89-0154-49AA-9E75-C611BB91052A}">
  <sheetPr>
    <pageSetUpPr fitToPage="1"/>
  </sheetPr>
  <dimension ref="A1:K20"/>
  <sheetViews>
    <sheetView tabSelected="1" view="pageBreakPreview" topLeftCell="A2" zoomScale="106" zoomScaleNormal="100" zoomScaleSheetLayoutView="106" workbookViewId="0">
      <selection activeCell="A18" sqref="A18"/>
    </sheetView>
  </sheetViews>
  <sheetFormatPr defaultRowHeight="15" x14ac:dyDescent="0.25"/>
  <cols>
    <col min="1" max="1" width="36.5703125" customWidth="1"/>
    <col min="2" max="5" width="11.5703125" customWidth="1"/>
    <col min="6" max="7" width="11.5703125" style="6" customWidth="1"/>
    <col min="8" max="10" width="11.5703125" customWidth="1"/>
    <col min="11" max="11" width="26.42578125" style="5" customWidth="1"/>
  </cols>
  <sheetData>
    <row r="1" spans="1:11" s="1" customFormat="1" ht="52.5" customHeight="1" x14ac:dyDescent="0.25"/>
    <row r="2" spans="1:11" s="1" customFormat="1" ht="10.5" customHeight="1" x14ac:dyDescent="0.25">
      <c r="A2" s="45" t="s">
        <v>13</v>
      </c>
      <c r="B2" s="45"/>
      <c r="C2" s="45"/>
      <c r="D2" s="45"/>
      <c r="E2" s="45"/>
      <c r="F2" s="45"/>
      <c r="G2" s="45"/>
      <c r="H2" s="45"/>
      <c r="I2" s="45"/>
      <c r="J2" s="45"/>
    </row>
    <row r="3" spans="1:11" s="1" customFormat="1" ht="15.95" customHeight="1" x14ac:dyDescent="0.25">
      <c r="A3" s="45" t="s">
        <v>14</v>
      </c>
      <c r="B3" s="45"/>
      <c r="C3" s="45"/>
      <c r="D3" s="45"/>
      <c r="E3" s="45"/>
      <c r="F3" s="45"/>
      <c r="G3" s="45"/>
      <c r="H3" s="45"/>
      <c r="I3" s="45"/>
      <c r="J3" s="45"/>
    </row>
    <row r="4" spans="1:11" s="1" customFormat="1" ht="15.95" customHeight="1" x14ac:dyDescent="0.25">
      <c r="A4" s="45" t="s">
        <v>15</v>
      </c>
      <c r="B4" s="45"/>
      <c r="C4" s="45"/>
      <c r="D4" s="45"/>
      <c r="E4" s="45"/>
      <c r="F4" s="45"/>
      <c r="G4" s="45"/>
      <c r="H4" s="45"/>
      <c r="I4" s="45"/>
      <c r="J4" s="45"/>
    </row>
    <row r="5" spans="1:11" s="1" customFormat="1" ht="15.95" customHeight="1" x14ac:dyDescent="0.25">
      <c r="A5" s="45" t="s">
        <v>16</v>
      </c>
      <c r="B5" s="45"/>
      <c r="C5" s="45"/>
      <c r="D5" s="45"/>
      <c r="E5" s="45"/>
      <c r="F5" s="45"/>
      <c r="G5" s="45"/>
      <c r="H5" s="45"/>
      <c r="I5" s="45"/>
      <c r="J5" s="45"/>
    </row>
    <row r="6" spans="1:11" s="1" customFormat="1" ht="8.25" customHeight="1" x14ac:dyDescent="0.25"/>
    <row r="7" spans="1:11" s="1" customFormat="1" ht="12" customHeight="1" x14ac:dyDescent="0.25">
      <c r="A7" s="1" t="s">
        <v>17</v>
      </c>
      <c r="B7" s="46" t="s">
        <v>18</v>
      </c>
      <c r="C7" s="46"/>
      <c r="D7" s="46"/>
      <c r="H7" s="3" t="s">
        <v>9</v>
      </c>
      <c r="I7" s="7"/>
      <c r="J7" s="3"/>
    </row>
    <row r="8" spans="1:11" s="1" customFormat="1" ht="12" customHeight="1" x14ac:dyDescent="0.25">
      <c r="B8" s="2"/>
      <c r="C8" s="2"/>
      <c r="H8" s="2"/>
      <c r="I8" s="2"/>
      <c r="J8" s="2"/>
    </row>
    <row r="9" spans="1:11" s="1" customFormat="1" ht="12" customHeight="1" x14ac:dyDescent="0.25">
      <c r="A9" s="1" t="s">
        <v>19</v>
      </c>
      <c r="B9" s="46" t="s">
        <v>20</v>
      </c>
      <c r="C9" s="46"/>
      <c r="D9" s="46"/>
      <c r="H9" s="3" t="s">
        <v>10</v>
      </c>
      <c r="I9" s="4"/>
      <c r="J9" s="3"/>
    </row>
    <row r="10" spans="1:11" ht="23.25" customHeight="1" thickBot="1" x14ac:dyDescent="0.3">
      <c r="A10" s="33" t="s">
        <v>0</v>
      </c>
      <c r="B10" s="33"/>
      <c r="C10" s="33"/>
      <c r="D10" s="33"/>
      <c r="E10" s="33"/>
      <c r="F10" s="33"/>
      <c r="G10" s="33"/>
      <c r="H10" s="33"/>
      <c r="I10" s="33"/>
      <c r="J10" s="33"/>
      <c r="K10"/>
    </row>
    <row r="11" spans="1:11" ht="18.75" customHeight="1" x14ac:dyDescent="0.25">
      <c r="A11" s="34" t="s">
        <v>4</v>
      </c>
      <c r="B11" s="36" t="s">
        <v>5</v>
      </c>
      <c r="C11" s="37"/>
      <c r="D11" s="38" t="s">
        <v>6</v>
      </c>
      <c r="E11" s="39"/>
      <c r="F11" s="39"/>
      <c r="G11" s="40"/>
      <c r="H11" s="41" t="s">
        <v>7</v>
      </c>
      <c r="I11" s="42"/>
      <c r="J11" s="43" t="s">
        <v>8</v>
      </c>
      <c r="K11" s="32" t="s">
        <v>11</v>
      </c>
    </row>
    <row r="12" spans="1:11" ht="18.75" customHeight="1" thickBot="1" x14ac:dyDescent="0.3">
      <c r="A12" s="35"/>
      <c r="B12" s="13" t="s">
        <v>1</v>
      </c>
      <c r="C12" s="13" t="s">
        <v>2</v>
      </c>
      <c r="D12" s="13" t="s">
        <v>1</v>
      </c>
      <c r="E12" s="13" t="s">
        <v>2</v>
      </c>
      <c r="F12" s="13" t="s">
        <v>3</v>
      </c>
      <c r="G12" s="13" t="s">
        <v>12</v>
      </c>
      <c r="H12" s="13" t="s">
        <v>1</v>
      </c>
      <c r="I12" s="13" t="s">
        <v>2</v>
      </c>
      <c r="J12" s="44"/>
      <c r="K12" s="32"/>
    </row>
    <row r="13" spans="1:11" ht="30.75" customHeight="1" x14ac:dyDescent="0.25">
      <c r="A13" s="14" t="s">
        <v>23</v>
      </c>
      <c r="B13" s="15">
        <v>1.125</v>
      </c>
      <c r="C13" s="15">
        <v>1.125</v>
      </c>
      <c r="D13" s="15"/>
      <c r="E13" s="15"/>
      <c r="F13" s="15"/>
      <c r="G13" s="15"/>
      <c r="H13" s="11">
        <f>B13</f>
        <v>1.125</v>
      </c>
      <c r="I13" s="11">
        <f>C13</f>
        <v>1.125</v>
      </c>
      <c r="J13" s="12">
        <f>SUM(H13:I13)</f>
        <v>2.25</v>
      </c>
    </row>
    <row r="14" spans="1:11" ht="15.75" customHeight="1" x14ac:dyDescent="0.25">
      <c r="A14" s="16" t="s">
        <v>62</v>
      </c>
      <c r="B14" s="10">
        <v>1.25</v>
      </c>
      <c r="C14" s="10">
        <v>1.25</v>
      </c>
      <c r="D14" s="10"/>
      <c r="E14" s="10"/>
      <c r="F14" s="10"/>
      <c r="G14" s="10"/>
      <c r="H14" s="8">
        <f>H13-F14-D14+B14</f>
        <v>2.375</v>
      </c>
      <c r="I14" s="8">
        <f>I13-E14+C14</f>
        <v>2.375</v>
      </c>
      <c r="J14" s="9">
        <f>SUM(H14:I14)</f>
        <v>4.75</v>
      </c>
    </row>
    <row r="15" spans="1:11" ht="18" customHeight="1" x14ac:dyDescent="0.25">
      <c r="A15" s="31" t="s">
        <v>68</v>
      </c>
      <c r="B15" s="10">
        <v>11.25</v>
      </c>
      <c r="C15" s="10">
        <v>11.25</v>
      </c>
      <c r="D15" s="10"/>
      <c r="E15" s="10"/>
      <c r="F15" s="10"/>
      <c r="G15" s="10"/>
      <c r="H15" s="8">
        <f t="shared" ref="H15" si="0">H14-F15-D15+B15</f>
        <v>13.625</v>
      </c>
      <c r="I15" s="8">
        <f t="shared" ref="I15" si="1">I14-E15+C15</f>
        <v>13.625</v>
      </c>
      <c r="J15" s="9">
        <f t="shared" ref="J15" si="2">SUM(H15:I15)</f>
        <v>27.25</v>
      </c>
    </row>
    <row r="16" spans="1:11" s="5" customFormat="1" ht="12" customHeight="1" x14ac:dyDescent="0.25">
      <c r="A16" s="6"/>
      <c r="B16" s="17"/>
      <c r="C16" s="17"/>
      <c r="D16" s="17"/>
      <c r="E16" s="17"/>
      <c r="F16" s="17"/>
      <c r="G16" s="17"/>
      <c r="H16" s="17"/>
      <c r="I16" s="17"/>
      <c r="J16" s="17"/>
    </row>
    <row r="17" spans="1:10" x14ac:dyDescent="0.25">
      <c r="A17" s="6" t="s">
        <v>63</v>
      </c>
    </row>
    <row r="20" spans="1:10" s="5" customFormat="1" x14ac:dyDescent="0.25">
      <c r="A20"/>
      <c r="B20"/>
      <c r="C20"/>
      <c r="D20"/>
      <c r="E20"/>
      <c r="F20" s="6" t="s">
        <v>21</v>
      </c>
      <c r="G20" s="6"/>
      <c r="H20"/>
      <c r="I20"/>
      <c r="J20"/>
    </row>
  </sheetData>
  <mergeCells count="13">
    <mergeCell ref="B9:D9"/>
    <mergeCell ref="A2:J2"/>
    <mergeCell ref="A3:J3"/>
    <mergeCell ref="A4:J4"/>
    <mergeCell ref="A5:J5"/>
    <mergeCell ref="B7:D7"/>
    <mergeCell ref="K11:K12"/>
    <mergeCell ref="A10:J10"/>
    <mergeCell ref="A11:A12"/>
    <mergeCell ref="B11:C11"/>
    <mergeCell ref="D11:G11"/>
    <mergeCell ref="H11:I11"/>
    <mergeCell ref="J11:J12"/>
  </mergeCells>
  <printOptions horizontalCentered="1"/>
  <pageMargins left="0.23622047244094491" right="0.23622047244094491" top="0.11811023622047245" bottom="0.11811023622047245" header="0.31496062992125984" footer="0.31496062992125984"/>
  <pageSetup paperSize="9" scale="71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A4540-BAD3-466A-88C7-A482F67D9711}">
  <sheetPr>
    <pageSetUpPr fitToPage="1"/>
  </sheetPr>
  <dimension ref="A1:L37"/>
  <sheetViews>
    <sheetView workbookViewId="0">
      <selection activeCell="A29" sqref="A29:XFD29"/>
    </sheetView>
  </sheetViews>
  <sheetFormatPr defaultRowHeight="15" x14ac:dyDescent="0.25"/>
  <cols>
    <col min="1" max="1" width="21" customWidth="1"/>
    <col min="2" max="2" width="12.140625" customWidth="1"/>
    <col min="5" max="5" width="12.140625" customWidth="1"/>
    <col min="9" max="9" width="1.85546875" customWidth="1"/>
    <col min="12" max="12" width="16.140625" customWidth="1"/>
  </cols>
  <sheetData>
    <row r="1" spans="1:12" s="1" customFormat="1" ht="20.100000000000001" customHeight="1" x14ac:dyDescent="0.25">
      <c r="C1" s="19"/>
      <c r="D1" s="20"/>
      <c r="H1" s="21"/>
    </row>
    <row r="2" spans="1:12" s="1" customFormat="1" ht="10.5" customHeight="1" x14ac:dyDescent="0.25">
      <c r="A2" s="45" t="s">
        <v>13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 s="1" customFormat="1" ht="15.95" customHeight="1" x14ac:dyDescent="0.25">
      <c r="A3" s="45" t="s">
        <v>14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</row>
    <row r="4" spans="1:12" s="1" customFormat="1" ht="15.95" customHeight="1" x14ac:dyDescent="0.25">
      <c r="A4" s="45" t="s">
        <v>15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</row>
    <row r="5" spans="1:12" s="1" customFormat="1" ht="15.95" customHeight="1" x14ac:dyDescent="0.25">
      <c r="A5" s="45" t="s">
        <v>16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</row>
    <row r="6" spans="1:12" s="1" customFormat="1" ht="8.25" customHeight="1" x14ac:dyDescent="0.25">
      <c r="C6" s="21"/>
      <c r="H6" s="21"/>
    </row>
    <row r="7" spans="1:12" s="1" customFormat="1" ht="8.25" customHeight="1" x14ac:dyDescent="0.25">
      <c r="C7" s="21"/>
      <c r="H7" s="21"/>
    </row>
    <row r="8" spans="1:12" s="1" customFormat="1" ht="12" customHeight="1" x14ac:dyDescent="0.25">
      <c r="A8" s="3" t="s">
        <v>24</v>
      </c>
      <c r="B8" s="3"/>
      <c r="C8" s="46" t="s">
        <v>25</v>
      </c>
      <c r="D8" s="46"/>
      <c r="E8" s="46"/>
      <c r="F8" s="46"/>
      <c r="G8" s="46"/>
      <c r="I8" s="46" t="s">
        <v>26</v>
      </c>
      <c r="J8" s="46"/>
      <c r="K8" s="46"/>
      <c r="L8" s="3"/>
    </row>
    <row r="9" spans="1:12" s="1" customFormat="1" ht="12" customHeight="1" x14ac:dyDescent="0.25">
      <c r="B9" s="2"/>
      <c r="C9" s="46" t="s">
        <v>27</v>
      </c>
      <c r="D9" s="46"/>
      <c r="E9" s="46"/>
      <c r="F9" s="46"/>
      <c r="G9" s="46"/>
      <c r="I9" s="53" t="s">
        <v>28</v>
      </c>
      <c r="J9" s="53"/>
      <c r="K9" s="53"/>
      <c r="L9" s="2"/>
    </row>
    <row r="10" spans="1:12" s="1" customFormat="1" ht="12" customHeight="1" x14ac:dyDescent="0.25">
      <c r="A10" s="3" t="s">
        <v>29</v>
      </c>
      <c r="B10" s="3"/>
      <c r="C10" s="22"/>
      <c r="D10" s="2"/>
      <c r="E10" s="2"/>
      <c r="I10" s="46" t="s">
        <v>30</v>
      </c>
      <c r="J10" s="46"/>
      <c r="K10" s="46"/>
      <c r="L10" s="3"/>
    </row>
    <row r="11" spans="1:12" s="1" customFormat="1" ht="12" customHeight="1" x14ac:dyDescent="0.25">
      <c r="A11" s="3"/>
      <c r="B11" s="3"/>
      <c r="C11" s="22"/>
      <c r="D11" s="2"/>
      <c r="E11" s="2"/>
      <c r="I11" s="18"/>
      <c r="J11" s="18"/>
      <c r="K11" s="18"/>
      <c r="L11" s="3"/>
    </row>
    <row r="12" spans="1:12" ht="16.5" customHeight="1" x14ac:dyDescent="0.25">
      <c r="A12" s="54" t="s">
        <v>31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</row>
    <row r="13" spans="1:12" s="23" customFormat="1" ht="18.75" customHeight="1" x14ac:dyDescent="0.2">
      <c r="A13" s="55" t="s">
        <v>4</v>
      </c>
      <c r="B13" s="56" t="s">
        <v>5</v>
      </c>
      <c r="C13" s="56"/>
      <c r="D13" s="56"/>
      <c r="E13" s="56"/>
      <c r="F13" s="56"/>
      <c r="G13" s="56"/>
      <c r="H13" s="56"/>
      <c r="I13" s="56"/>
      <c r="J13" s="56"/>
      <c r="K13" s="56"/>
      <c r="L13" s="55" t="s">
        <v>8</v>
      </c>
    </row>
    <row r="14" spans="1:12" s="23" customFormat="1" ht="24" customHeight="1" x14ac:dyDescent="0.2">
      <c r="A14" s="55"/>
      <c r="B14" s="52" t="s">
        <v>32</v>
      </c>
      <c r="C14" s="52"/>
      <c r="D14" s="52"/>
      <c r="E14" s="52"/>
      <c r="F14" s="52" t="s">
        <v>33</v>
      </c>
      <c r="G14" s="52"/>
      <c r="H14" s="52" t="s">
        <v>34</v>
      </c>
      <c r="I14" s="52"/>
      <c r="J14" s="52" t="s">
        <v>35</v>
      </c>
      <c r="K14" s="52"/>
      <c r="L14" s="55"/>
    </row>
    <row r="15" spans="1:12" s="23" customFormat="1" ht="21.6" hidden="1" customHeight="1" x14ac:dyDescent="0.2">
      <c r="A15" s="25" t="s">
        <v>36</v>
      </c>
      <c r="B15" s="50" t="s">
        <v>37</v>
      </c>
      <c r="C15" s="50"/>
      <c r="D15" s="50"/>
      <c r="E15" s="50"/>
      <c r="F15" s="50">
        <v>1</v>
      </c>
      <c r="G15" s="50"/>
      <c r="H15" s="50">
        <v>0</v>
      </c>
      <c r="I15" s="50"/>
      <c r="J15" s="50">
        <v>1</v>
      </c>
      <c r="K15" s="50"/>
      <c r="L15" s="25">
        <v>1</v>
      </c>
    </row>
    <row r="16" spans="1:12" s="24" customFormat="1" ht="23.1" hidden="1" customHeight="1" x14ac:dyDescent="0.2">
      <c r="A16" s="25" t="s">
        <v>38</v>
      </c>
      <c r="B16" s="50" t="s">
        <v>37</v>
      </c>
      <c r="C16" s="50"/>
      <c r="D16" s="50"/>
      <c r="E16" s="50"/>
      <c r="F16" s="50"/>
      <c r="G16" s="50"/>
      <c r="H16" s="50">
        <v>1</v>
      </c>
      <c r="I16" s="50"/>
      <c r="J16" s="50">
        <v>0</v>
      </c>
      <c r="K16" s="50"/>
      <c r="L16" s="25">
        <v>0</v>
      </c>
    </row>
    <row r="17" spans="1:12" s="24" customFormat="1" ht="14.1" hidden="1" customHeight="1" x14ac:dyDescent="0.2">
      <c r="A17" s="25" t="s">
        <v>39</v>
      </c>
      <c r="B17" s="50" t="s">
        <v>40</v>
      </c>
      <c r="C17" s="50"/>
      <c r="D17" s="50"/>
      <c r="E17" s="50"/>
      <c r="F17" s="50">
        <v>9</v>
      </c>
      <c r="G17" s="50"/>
      <c r="H17" s="50">
        <v>0</v>
      </c>
      <c r="I17" s="50"/>
      <c r="J17" s="50">
        <v>9</v>
      </c>
      <c r="K17" s="50"/>
      <c r="L17" s="25">
        <v>9</v>
      </c>
    </row>
    <row r="18" spans="1:12" s="24" customFormat="1" ht="12.6" hidden="1" customHeight="1" x14ac:dyDescent="0.2">
      <c r="A18" s="25" t="s">
        <v>41</v>
      </c>
      <c r="B18" s="50" t="s">
        <v>40</v>
      </c>
      <c r="C18" s="50"/>
      <c r="D18" s="50"/>
      <c r="E18" s="50"/>
      <c r="F18" s="50"/>
      <c r="G18" s="50"/>
      <c r="H18" s="50">
        <v>1</v>
      </c>
      <c r="I18" s="50"/>
      <c r="J18" s="50">
        <v>8</v>
      </c>
      <c r="K18" s="50"/>
      <c r="L18" s="25">
        <v>8</v>
      </c>
    </row>
    <row r="19" spans="1:12" s="24" customFormat="1" hidden="1" x14ac:dyDescent="0.2">
      <c r="A19" s="25" t="s">
        <v>42</v>
      </c>
      <c r="B19" s="50" t="s">
        <v>40</v>
      </c>
      <c r="C19" s="50"/>
      <c r="D19" s="50"/>
      <c r="E19" s="50"/>
      <c r="F19" s="50"/>
      <c r="G19" s="50"/>
      <c r="H19" s="50">
        <v>1</v>
      </c>
      <c r="I19" s="50"/>
      <c r="J19" s="50">
        <v>7</v>
      </c>
      <c r="K19" s="50"/>
      <c r="L19" s="25">
        <v>7</v>
      </c>
    </row>
    <row r="20" spans="1:12" s="24" customFormat="1" ht="12.95" hidden="1" customHeight="1" x14ac:dyDescent="0.2">
      <c r="A20" s="25" t="s">
        <v>43</v>
      </c>
      <c r="B20" s="50" t="s">
        <v>40</v>
      </c>
      <c r="C20" s="50"/>
      <c r="D20" s="50"/>
      <c r="E20" s="50"/>
      <c r="F20" s="50"/>
      <c r="G20" s="50"/>
      <c r="H20" s="50">
        <v>2</v>
      </c>
      <c r="I20" s="50"/>
      <c r="J20" s="50">
        <v>5</v>
      </c>
      <c r="K20" s="50"/>
      <c r="L20" s="25">
        <v>5</v>
      </c>
    </row>
    <row r="21" spans="1:12" s="24" customFormat="1" hidden="1" x14ac:dyDescent="0.2">
      <c r="A21" s="25" t="s">
        <v>44</v>
      </c>
      <c r="B21" s="50" t="s">
        <v>40</v>
      </c>
      <c r="C21" s="50"/>
      <c r="D21" s="50"/>
      <c r="E21" s="50"/>
      <c r="F21" s="50"/>
      <c r="G21" s="50"/>
      <c r="H21" s="50">
        <v>1</v>
      </c>
      <c r="I21" s="50"/>
      <c r="J21" s="50">
        <v>4</v>
      </c>
      <c r="K21" s="50"/>
      <c r="L21" s="25">
        <v>4</v>
      </c>
    </row>
    <row r="22" spans="1:12" s="24" customFormat="1" ht="30" hidden="1" x14ac:dyDescent="0.2">
      <c r="A22" s="27" t="s">
        <v>45</v>
      </c>
      <c r="B22" s="51" t="s">
        <v>40</v>
      </c>
      <c r="C22" s="51"/>
      <c r="D22" s="51"/>
      <c r="E22" s="51"/>
      <c r="F22" s="51"/>
      <c r="G22" s="51"/>
      <c r="H22" s="51">
        <v>3</v>
      </c>
      <c r="I22" s="51"/>
      <c r="J22" s="51">
        <v>1</v>
      </c>
      <c r="K22" s="51"/>
      <c r="L22" s="27">
        <v>1</v>
      </c>
    </row>
    <row r="23" spans="1:12" s="26" customFormat="1" hidden="1" x14ac:dyDescent="0.2">
      <c r="A23" s="25" t="s">
        <v>46</v>
      </c>
      <c r="B23" s="50" t="s">
        <v>47</v>
      </c>
      <c r="C23" s="50"/>
      <c r="D23" s="50"/>
      <c r="E23" s="50"/>
      <c r="F23" s="50">
        <v>2</v>
      </c>
      <c r="G23" s="50"/>
      <c r="H23" s="50">
        <v>0</v>
      </c>
      <c r="I23" s="50"/>
      <c r="J23" s="50">
        <v>2</v>
      </c>
      <c r="K23" s="50"/>
      <c r="L23" s="25">
        <v>2</v>
      </c>
    </row>
    <row r="24" spans="1:12" s="26" customFormat="1" hidden="1" x14ac:dyDescent="0.2">
      <c r="A24" s="25" t="s">
        <v>48</v>
      </c>
      <c r="B24" s="50" t="s">
        <v>47</v>
      </c>
      <c r="C24" s="50"/>
      <c r="D24" s="50"/>
      <c r="E24" s="50"/>
      <c r="F24" s="50"/>
      <c r="G24" s="50"/>
      <c r="H24" s="50">
        <v>2</v>
      </c>
      <c r="I24" s="50"/>
      <c r="J24" s="50">
        <v>0</v>
      </c>
      <c r="K24" s="50"/>
      <c r="L24" s="25">
        <v>0</v>
      </c>
    </row>
    <row r="25" spans="1:12" s="26" customFormat="1" hidden="1" x14ac:dyDescent="0.2">
      <c r="A25" s="25" t="s">
        <v>49</v>
      </c>
      <c r="B25" s="50" t="s">
        <v>50</v>
      </c>
      <c r="C25" s="50"/>
      <c r="D25" s="50"/>
      <c r="E25" s="50"/>
      <c r="F25" s="50">
        <v>2</v>
      </c>
      <c r="G25" s="50"/>
      <c r="H25" s="50">
        <v>0</v>
      </c>
      <c r="I25" s="50"/>
      <c r="J25" s="50">
        <v>2</v>
      </c>
      <c r="K25" s="50"/>
      <c r="L25" s="25">
        <v>2</v>
      </c>
    </row>
    <row r="26" spans="1:12" s="26" customFormat="1" hidden="1" x14ac:dyDescent="0.2">
      <c r="A26" s="27" t="s">
        <v>51</v>
      </c>
      <c r="B26" s="51" t="s">
        <v>50</v>
      </c>
      <c r="C26" s="51"/>
      <c r="D26" s="51"/>
      <c r="E26" s="51"/>
      <c r="F26" s="51"/>
      <c r="G26" s="51"/>
      <c r="H26" s="51">
        <v>2</v>
      </c>
      <c r="I26" s="51"/>
      <c r="J26" s="51">
        <v>0</v>
      </c>
      <c r="K26" s="51"/>
      <c r="L26" s="27">
        <v>0</v>
      </c>
    </row>
    <row r="27" spans="1:12" ht="19.5" customHeight="1" x14ac:dyDescent="0.25">
      <c r="A27" s="28" t="s">
        <v>56</v>
      </c>
      <c r="B27" s="48" t="s">
        <v>57</v>
      </c>
      <c r="C27" s="48"/>
      <c r="D27" s="48"/>
      <c r="E27" s="48"/>
      <c r="F27" s="49" t="s">
        <v>58</v>
      </c>
      <c r="G27" s="49"/>
      <c r="H27" s="49">
        <v>0</v>
      </c>
      <c r="I27" s="49"/>
      <c r="J27" s="49" t="s">
        <v>59</v>
      </c>
      <c r="K27" s="49"/>
      <c r="L27" s="29" t="s">
        <v>59</v>
      </c>
    </row>
    <row r="28" spans="1:12" s="26" customFormat="1" ht="26.25" customHeight="1" x14ac:dyDescent="0.2">
      <c r="A28" s="28" t="s">
        <v>22</v>
      </c>
      <c r="B28" s="48" t="s">
        <v>60</v>
      </c>
      <c r="C28" s="48"/>
      <c r="D28" s="48"/>
      <c r="E28" s="48"/>
      <c r="F28" s="49"/>
      <c r="G28" s="49"/>
      <c r="H28" s="49">
        <v>1</v>
      </c>
      <c r="I28" s="49"/>
      <c r="J28" s="49" t="s">
        <v>61</v>
      </c>
      <c r="K28" s="49"/>
      <c r="L28" s="29" t="s">
        <v>61</v>
      </c>
    </row>
    <row r="29" spans="1:12" ht="19.5" customHeight="1" x14ac:dyDescent="0.25">
      <c r="A29" s="28" t="s">
        <v>64</v>
      </c>
      <c r="B29" s="48" t="s">
        <v>65</v>
      </c>
      <c r="C29" s="48"/>
      <c r="D29" s="48"/>
      <c r="E29" s="48"/>
      <c r="F29" s="49" t="s">
        <v>66</v>
      </c>
      <c r="G29" s="49"/>
      <c r="H29" s="49">
        <v>0</v>
      </c>
      <c r="I29" s="49"/>
      <c r="J29" s="49">
        <v>4.5</v>
      </c>
      <c r="K29" s="49"/>
      <c r="L29" s="29">
        <v>4.5</v>
      </c>
    </row>
    <row r="30" spans="1:12" s="26" customFormat="1" ht="34.5" customHeight="1" x14ac:dyDescent="0.2">
      <c r="A30" s="28" t="s">
        <v>67</v>
      </c>
      <c r="B30" s="48" t="s">
        <v>60</v>
      </c>
      <c r="C30" s="48"/>
      <c r="D30" s="48"/>
      <c r="E30" s="48"/>
      <c r="F30" s="49"/>
      <c r="G30" s="49"/>
      <c r="H30" s="49">
        <v>3</v>
      </c>
      <c r="I30" s="49"/>
      <c r="J30" s="49">
        <v>1.5</v>
      </c>
      <c r="K30" s="49"/>
      <c r="L30" s="29">
        <v>1.5</v>
      </c>
    </row>
    <row r="31" spans="1:12" s="1" customFormat="1" x14ac:dyDescent="0.25">
      <c r="C31" s="21"/>
    </row>
    <row r="32" spans="1:12" s="1" customFormat="1" x14ac:dyDescent="0.25">
      <c r="C32" s="21"/>
    </row>
    <row r="33" spans="9:12" x14ac:dyDescent="0.25">
      <c r="I33" s="1" t="s">
        <v>52</v>
      </c>
      <c r="J33" s="1"/>
      <c r="K33" s="1"/>
    </row>
    <row r="34" spans="9:12" x14ac:dyDescent="0.25">
      <c r="I34" s="1"/>
      <c r="J34" s="1"/>
      <c r="K34" s="1"/>
    </row>
    <row r="35" spans="9:12" x14ac:dyDescent="0.25">
      <c r="I35" s="30" t="s">
        <v>53</v>
      </c>
      <c r="J35" s="30"/>
      <c r="K35" s="30"/>
      <c r="L35" s="30"/>
    </row>
    <row r="36" spans="9:12" x14ac:dyDescent="0.25">
      <c r="I36" t="s">
        <v>54</v>
      </c>
    </row>
    <row r="37" spans="9:12" x14ac:dyDescent="0.25">
      <c r="I37" s="47" t="s">
        <v>55</v>
      </c>
      <c r="J37" s="47"/>
      <c r="K37" s="47"/>
    </row>
  </sheetData>
  <mergeCells count="82">
    <mergeCell ref="J30:K30"/>
    <mergeCell ref="A2:L2"/>
    <mergeCell ref="A3:L3"/>
    <mergeCell ref="A4:L4"/>
    <mergeCell ref="A5:L5"/>
    <mergeCell ref="C8:G8"/>
    <mergeCell ref="I8:K8"/>
    <mergeCell ref="B16:E16"/>
    <mergeCell ref="F16:G16"/>
    <mergeCell ref="H16:I16"/>
    <mergeCell ref="J16:K16"/>
    <mergeCell ref="C9:G9"/>
    <mergeCell ref="I9:K9"/>
    <mergeCell ref="I10:K10"/>
    <mergeCell ref="A12:L12"/>
    <mergeCell ref="A13:A14"/>
    <mergeCell ref="B13:K13"/>
    <mergeCell ref="L13:L14"/>
    <mergeCell ref="B14:E14"/>
    <mergeCell ref="F14:G14"/>
    <mergeCell ref="H14:I14"/>
    <mergeCell ref="J14:K14"/>
    <mergeCell ref="B15:E15"/>
    <mergeCell ref="F15:G15"/>
    <mergeCell ref="H15:I15"/>
    <mergeCell ref="J15:K15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I37:K37"/>
    <mergeCell ref="B27:E27"/>
    <mergeCell ref="F27:G27"/>
    <mergeCell ref="H27:I27"/>
    <mergeCell ref="J27:K27"/>
    <mergeCell ref="B28:E28"/>
    <mergeCell ref="F28:G28"/>
    <mergeCell ref="H28:I28"/>
    <mergeCell ref="J28:K28"/>
    <mergeCell ref="B29:E29"/>
    <mergeCell ref="F29:G29"/>
    <mergeCell ref="H29:I29"/>
    <mergeCell ref="J29:K29"/>
    <mergeCell ref="B30:E30"/>
    <mergeCell ref="F30:G30"/>
    <mergeCell ref="H30:I30"/>
  </mergeCells>
  <phoneticPr fontId="5" type="noConversion"/>
  <pageMargins left="0.7" right="0.7" top="0.75" bottom="0.75" header="0.3" footer="0.3"/>
  <pageSetup paperSize="9" scale="69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Leave Card (NE) (2)</vt:lpstr>
      <vt:lpstr>CTO</vt:lpstr>
      <vt:lpstr>'Leave Card (NE) (2)'!Print_Area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2025-10-29T07:01:35Z</cp:lastPrinted>
  <dcterms:created xsi:type="dcterms:W3CDTF">2021-10-07T06:10:16Z</dcterms:created>
  <dcterms:modified xsi:type="dcterms:W3CDTF">2025-10-29T07:20:42Z</dcterms:modified>
</cp:coreProperties>
</file>