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5942EA9-2862-499A-B95E-80E6AE64A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6" r:id="rId1"/>
    <sheet name="CTO" sheetId="8" r:id="rId2"/>
    <sheet name="ELECTION" sheetId="10" r:id="rId3"/>
    <sheet name="Leave Card (NE) (2)" sheetId="9" r:id="rId4"/>
  </sheets>
  <definedNames>
    <definedName name="_xlnm.Print_Area" localSheetId="0">CORRECTED!$A$1:$J$84</definedName>
    <definedName name="_xlnm.Print_Area" localSheetId="3">'Leave Card (NE) (2)'!$A$1:$J$72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6" l="1"/>
  <c r="I78" i="6"/>
  <c r="J78" i="6"/>
  <c r="H76" i="6"/>
  <c r="J76" i="6" s="1"/>
  <c r="I76" i="6"/>
  <c r="I77" i="6" s="1"/>
  <c r="H74" i="6"/>
  <c r="I74" i="6"/>
  <c r="I75" i="6" s="1"/>
  <c r="J74" i="6"/>
  <c r="H75" i="6"/>
  <c r="I18" i="10"/>
  <c r="H77" i="6" l="1"/>
  <c r="J77" i="6" s="1"/>
  <c r="J75" i="6"/>
  <c r="I13" i="9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H13" i="9"/>
  <c r="J13" i="9" s="1"/>
  <c r="C13" i="9"/>
  <c r="B13" i="9"/>
  <c r="C13" i="6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B13" i="6"/>
  <c r="H13" i="6" s="1"/>
  <c r="H14" i="6" s="1"/>
  <c r="H15" i="6" s="1"/>
  <c r="H14" i="9" l="1"/>
  <c r="J15" i="6"/>
  <c r="H16" i="6"/>
  <c r="J14" i="6"/>
  <c r="J13" i="6"/>
  <c r="J14" i="9" l="1"/>
  <c r="H15" i="9"/>
  <c r="J16" i="6"/>
  <c r="H17" i="6"/>
  <c r="J15" i="9" l="1"/>
  <c r="H16" i="9"/>
  <c r="H18" i="6"/>
  <c r="J17" i="6"/>
  <c r="H17" i="9" l="1"/>
  <c r="J16" i="9"/>
  <c r="J18" i="6"/>
  <c r="H19" i="6"/>
  <c r="J17" i="9" l="1"/>
  <c r="H18" i="9"/>
  <c r="J19" i="6"/>
  <c r="H20" i="6"/>
  <c r="J18" i="9" l="1"/>
  <c r="H19" i="9"/>
  <c r="J20" i="6"/>
  <c r="H21" i="6"/>
  <c r="J19" i="9" l="1"/>
  <c r="H20" i="9"/>
  <c r="J21" i="6"/>
  <c r="H22" i="6"/>
  <c r="H21" i="9" l="1"/>
  <c r="J20" i="9"/>
  <c r="H23" i="6"/>
  <c r="J22" i="6"/>
  <c r="J21" i="9" l="1"/>
  <c r="H22" i="9"/>
  <c r="H24" i="6"/>
  <c r="J23" i="6"/>
  <c r="J22" i="9" l="1"/>
  <c r="H23" i="9"/>
  <c r="H25" i="6"/>
  <c r="J24" i="6"/>
  <c r="J23" i="9" l="1"/>
  <c r="H24" i="9"/>
  <c r="H26" i="6"/>
  <c r="H27" i="6" s="1"/>
  <c r="J25" i="6"/>
  <c r="J27" i="6" l="1"/>
  <c r="H28" i="6"/>
  <c r="H25" i="9"/>
  <c r="J24" i="9"/>
  <c r="J26" i="6"/>
  <c r="H29" i="6" l="1"/>
  <c r="J28" i="6"/>
  <c r="J25" i="9"/>
  <c r="H26" i="9"/>
  <c r="J29" i="6" l="1"/>
  <c r="H30" i="6"/>
  <c r="J26" i="9"/>
  <c r="H27" i="9"/>
  <c r="H31" i="6" l="1"/>
  <c r="J30" i="6"/>
  <c r="J27" i="9"/>
  <c r="H28" i="9"/>
  <c r="J31" i="6" l="1"/>
  <c r="H32" i="6"/>
  <c r="H29" i="9"/>
  <c r="J28" i="9"/>
  <c r="H33" i="6" l="1"/>
  <c r="J32" i="6"/>
  <c r="J29" i="9"/>
  <c r="H30" i="9"/>
  <c r="J33" i="6" l="1"/>
  <c r="H34" i="6"/>
  <c r="J30" i="9"/>
  <c r="H31" i="9"/>
  <c r="H35" i="6" l="1"/>
  <c r="J34" i="6"/>
  <c r="J31" i="9"/>
  <c r="H32" i="9"/>
  <c r="J35" i="6" l="1"/>
  <c r="H36" i="6"/>
  <c r="H37" i="6" s="1"/>
  <c r="H33" i="9"/>
  <c r="J32" i="9"/>
  <c r="H38" i="6" l="1"/>
  <c r="J37" i="6"/>
  <c r="J36" i="6"/>
  <c r="J33" i="9"/>
  <c r="H34" i="9"/>
  <c r="J38" i="6" l="1"/>
  <c r="H39" i="6"/>
  <c r="J34" i="9"/>
  <c r="H35" i="9"/>
  <c r="H40" i="6" l="1"/>
  <c r="J39" i="6"/>
  <c r="J35" i="9"/>
  <c r="H36" i="9"/>
  <c r="J40" i="6" l="1"/>
  <c r="H41" i="6"/>
  <c r="H37" i="9"/>
  <c r="J36" i="9"/>
  <c r="J41" i="6" l="1"/>
  <c r="H42" i="6"/>
  <c r="J37" i="9"/>
  <c r="H38" i="9"/>
  <c r="J42" i="6" l="1"/>
  <c r="H43" i="6"/>
  <c r="J38" i="9"/>
  <c r="H39" i="9"/>
  <c r="J43" i="6" l="1"/>
  <c r="H44" i="6"/>
  <c r="J39" i="9"/>
  <c r="H40" i="9"/>
  <c r="J44" i="6" l="1"/>
  <c r="H45" i="6"/>
  <c r="H41" i="9"/>
  <c r="J40" i="9"/>
  <c r="H46" i="6" l="1"/>
  <c r="J45" i="6"/>
  <c r="J41" i="9"/>
  <c r="H42" i="9"/>
  <c r="J46" i="6" l="1"/>
  <c r="H47" i="6"/>
  <c r="H43" i="9"/>
  <c r="J42" i="9"/>
  <c r="H48" i="6" l="1"/>
  <c r="J47" i="6"/>
  <c r="J43" i="9"/>
  <c r="H44" i="9"/>
  <c r="J48" i="6" l="1"/>
  <c r="H49" i="6"/>
  <c r="J44" i="9"/>
  <c r="H45" i="9"/>
  <c r="H50" i="6" l="1"/>
  <c r="J49" i="6"/>
  <c r="J45" i="9"/>
  <c r="H46" i="9"/>
  <c r="J50" i="6" l="1"/>
  <c r="H51" i="6"/>
  <c r="H47" i="9"/>
  <c r="J46" i="9"/>
  <c r="J51" i="6" l="1"/>
  <c r="H52" i="6"/>
  <c r="J47" i="9"/>
  <c r="H48" i="9"/>
  <c r="J52" i="6" l="1"/>
  <c r="H53" i="6"/>
  <c r="H49" i="9"/>
  <c r="J48" i="9"/>
  <c r="H54" i="6" l="1"/>
  <c r="J53" i="6"/>
  <c r="J49" i="9"/>
  <c r="H50" i="9"/>
  <c r="H55" i="6" l="1"/>
  <c r="J54" i="6"/>
  <c r="H51" i="9"/>
  <c r="J50" i="9"/>
  <c r="H56" i="6" l="1"/>
  <c r="J55" i="6"/>
  <c r="J51" i="9"/>
  <c r="H52" i="9"/>
  <c r="J56" i="6" l="1"/>
  <c r="H57" i="6"/>
  <c r="H53" i="9"/>
  <c r="J52" i="9"/>
  <c r="H58" i="6" l="1"/>
  <c r="J57" i="6"/>
  <c r="J53" i="9"/>
  <c r="H54" i="9"/>
  <c r="J58" i="6" l="1"/>
  <c r="H59" i="6"/>
  <c r="H55" i="9"/>
  <c r="J54" i="9"/>
  <c r="J59" i="6" l="1"/>
  <c r="H60" i="6"/>
  <c r="J55" i="9"/>
  <c r="H56" i="9"/>
  <c r="H61" i="6" l="1"/>
  <c r="J60" i="6"/>
  <c r="H57" i="9"/>
  <c r="J56" i="9"/>
  <c r="H62" i="6" l="1"/>
  <c r="J61" i="6"/>
  <c r="J57" i="9"/>
  <c r="H58" i="9"/>
  <c r="J62" i="6" l="1"/>
  <c r="H63" i="6"/>
  <c r="J58" i="9"/>
  <c r="H59" i="9"/>
  <c r="J63" i="6" l="1"/>
  <c r="H64" i="6"/>
  <c r="J59" i="9"/>
  <c r="H60" i="9"/>
  <c r="H65" i="6" l="1"/>
  <c r="J64" i="6"/>
  <c r="H61" i="9"/>
  <c r="J60" i="9"/>
  <c r="H66" i="6" l="1"/>
  <c r="J65" i="6"/>
  <c r="J61" i="9"/>
  <c r="H62" i="9"/>
  <c r="J66" i="6" l="1"/>
  <c r="H67" i="6"/>
  <c r="H63" i="9"/>
  <c r="J63" i="9" s="1"/>
  <c r="J62" i="9"/>
  <c r="H68" i="6" l="1"/>
  <c r="J67" i="6"/>
  <c r="J68" i="6" l="1"/>
  <c r="H69" i="6"/>
  <c r="J69" i="6" l="1"/>
  <c r="H70" i="6"/>
  <c r="J70" i="6" l="1"/>
  <c r="H71" i="6"/>
  <c r="H72" i="6" l="1"/>
  <c r="J71" i="6"/>
  <c r="J72" i="6" l="1"/>
  <c r="H73" i="6"/>
  <c r="J73" i="6" s="1"/>
</calcChain>
</file>

<file path=xl/sharedStrings.xml><?xml version="1.0" encoding="utf-8"?>
<sst xmlns="http://schemas.openxmlformats.org/spreadsheetml/2006/main" count="235" uniqueCount="121">
  <si>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</si>
  <si>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</si>
  <si>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</si>
  <si>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</si>
  <si>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</si>
  <si>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</si>
  <si>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</si>
  <si>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</si>
  <si>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</si>
  <si>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</si>
  <si>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</si>
  <si>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</si>
  <si>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01/03/22 - 01/31/22</t>
  </si>
  <si>
    <t>ADD: 02/01/22 - 05/31/22</t>
  </si>
  <si>
    <t>LESS: 06/20 &amp; 21/22</t>
  </si>
  <si>
    <t>LESS: 06/29/22</t>
  </si>
  <si>
    <t>ADD: 06/01/22 - 08/31/22</t>
  </si>
  <si>
    <t>ADD: 09/01/22 - 09/30/22</t>
  </si>
  <si>
    <t>LESS: 11/2/22</t>
  </si>
  <si>
    <t>ADD: 10/01/22 - 10/31/22</t>
  </si>
  <si>
    <t>ADD: 11/01/22 - 11/30/22</t>
  </si>
  <si>
    <t>LESS: 12/12/22</t>
  </si>
  <si>
    <t>LESS: 12/16/22</t>
  </si>
  <si>
    <t>LESS: 12/23 &amp; 28/22</t>
  </si>
  <si>
    <t>HRMO</t>
  </si>
  <si>
    <t>Administrative Officer IV</t>
  </si>
  <si>
    <t>MA. LUISA B. CATIGAN</t>
  </si>
  <si>
    <t>Certified Correct:</t>
  </si>
  <si>
    <t>NOTE:  Valid for one (1) year only</t>
  </si>
  <si>
    <t>S.O. # 052, S. 2022. 124TH PHILIPPINE INDEPENDENCE DAY CELEBRATION</t>
  </si>
  <si>
    <t>ADD: JULY 13, 2022</t>
  </si>
  <si>
    <t>Balance</t>
  </si>
  <si>
    <t>No. of Days Used</t>
  </si>
  <si>
    <t>No. of Days Granted</t>
  </si>
  <si>
    <t>Special Order No. and Date Issued</t>
  </si>
  <si>
    <t>COMPENSATORY TIME OFF (CTO)</t>
  </si>
  <si>
    <t>SCHOOL/OFFICE:_____________________</t>
  </si>
  <si>
    <t>POSITION: __________________________</t>
  </si>
  <si>
    <t>DISTRICT: ___________________________</t>
  </si>
  <si>
    <t>Name: _____________________________</t>
  </si>
  <si>
    <t>SCHOOLS DIVISION OF SIPALAY CITY</t>
  </si>
  <si>
    <t>REGION VI-WESTERN VISAYAS</t>
  </si>
  <si>
    <t>Department of Education</t>
  </si>
  <si>
    <t>Republic of the Philippines</t>
  </si>
  <si>
    <t>LESS: 01/25/2023</t>
  </si>
  <si>
    <t>ADD: 12/01/22 - 12/31/22</t>
  </si>
  <si>
    <t>SPECIAL</t>
  </si>
  <si>
    <t>ADD: 01/01/23 - 01/31/23</t>
  </si>
  <si>
    <t>LESS: 02/15/23</t>
  </si>
  <si>
    <t>LESS: 02/28/23</t>
  </si>
  <si>
    <t>ADD: 02/01-28/23</t>
  </si>
  <si>
    <t>LESS: 03/01/23</t>
  </si>
  <si>
    <t>LESS: 04/04/23</t>
  </si>
  <si>
    <t>LESS: 01/18/2023</t>
  </si>
  <si>
    <t>S.O. # 001, S. 2023. 126TH ANNIVERSARY OF THE MARTYRDOM OF DR. JOSE P. RIZAL</t>
  </si>
  <si>
    <t>LESS: 05/26/2023</t>
  </si>
  <si>
    <t>ADD: 03/01/2023 - 05/31/2023</t>
  </si>
  <si>
    <t>LESS: 06/21/23</t>
  </si>
  <si>
    <t>ADD: 06/01/23 - 06/30/23</t>
  </si>
  <si>
    <t>LESS: 06/26 &amp; 27/23</t>
  </si>
  <si>
    <t>LESS: 07/11/23</t>
  </si>
  <si>
    <t>ADD:07/01-31/23</t>
  </si>
  <si>
    <t>ADD: 07/01/23 - 08/31/23</t>
  </si>
  <si>
    <t>LESS: MONETIZATION 2023</t>
  </si>
  <si>
    <t>ADD: 09/01/2023-09/30/2023</t>
  </si>
  <si>
    <t>LESS: 10/17/2023</t>
  </si>
  <si>
    <t>ADD: 10/01/2023-11/30/2023</t>
  </si>
  <si>
    <t>ADD: 12/01/2023-12/31/2023</t>
  </si>
  <si>
    <t>ADD: 01/01/2024-01/31/2024</t>
  </si>
  <si>
    <t>LESS: UNDERTIME (01/05/2024 PM)</t>
  </si>
  <si>
    <t>ADD: 02/01/2024-02/29/2024</t>
  </si>
  <si>
    <t>LESS: 02/15/2024</t>
  </si>
  <si>
    <t>LESS: 04/08/2024 (FORCED LEAVE)</t>
  </si>
  <si>
    <t xml:space="preserve">LESS: 03/04-05/2024 </t>
  </si>
  <si>
    <t>ADD: 03/1/2024-04/30/2024</t>
  </si>
  <si>
    <t>ADD: 10/17/2023</t>
  </si>
  <si>
    <t>S.O. # 159, S. 2023. 125TH PHIL.INDEPENDENCE DAY</t>
  </si>
  <si>
    <t>LESS: 05/10/2024</t>
  </si>
  <si>
    <t>LESS: 05/29/2024</t>
  </si>
  <si>
    <t>ADD: 05/1-31/2024</t>
  </si>
  <si>
    <t>LESS: 06/21/2024</t>
  </si>
  <si>
    <t>ADD: 06/1-30/2024</t>
  </si>
  <si>
    <t>LESS: 07/15-23/2024</t>
  </si>
  <si>
    <t>ADD: 07/1-31/2024</t>
  </si>
  <si>
    <t>LESS: MONETIZATION 2024</t>
  </si>
  <si>
    <t>ADD: 08/1/2024-10/31/2024</t>
  </si>
  <si>
    <t>LESS: 11/27/2024</t>
  </si>
  <si>
    <t>LESS: 12/23, 26, 27/2024</t>
  </si>
  <si>
    <t>ADD: 11/1/2024-12/31/2024</t>
  </si>
  <si>
    <t>ADD: 01/1-31/2025</t>
  </si>
  <si>
    <t>LESS: 04/3&amp;5/2023</t>
  </si>
  <si>
    <t>ADD: 01/1/2025-03/31/2025</t>
  </si>
  <si>
    <t>LESS: 04/14/2025</t>
  </si>
  <si>
    <t>LESS: 03/31/2025</t>
  </si>
  <si>
    <t>LESS: 06/13/2025</t>
  </si>
  <si>
    <t>SPECIAL ORDER FOR ELECTION (NATONAL/BARANGAY AND SK ELECTION)</t>
  </si>
  <si>
    <t>SPECIAL ORDER NO. AND DATE ISSUED</t>
  </si>
  <si>
    <t>RELEASED DATE</t>
  </si>
  <si>
    <t>04/30/2024</t>
  </si>
  <si>
    <t>OCTOBER 30, 2023 BRGY. &amp; SK ELECTION</t>
  </si>
  <si>
    <t>LESS: 06/16-20/2025</t>
  </si>
  <si>
    <t xml:space="preserve"> ELECTION</t>
  </si>
  <si>
    <t>ADD: S.0 # 010, s. 2024</t>
  </si>
  <si>
    <t>ADD: 02/5/2025</t>
  </si>
  <si>
    <t>SO # 002, S. 2025 RIZAL DAY 2024 CELEBRATION</t>
  </si>
  <si>
    <t>LESS: 05/23/2025</t>
  </si>
  <si>
    <t>ADD: 04/1/2025-05/31/2025</t>
  </si>
  <si>
    <t>LESS: 06/2/2025</t>
  </si>
  <si>
    <t>ADD: 06/1-30/2025</t>
  </si>
  <si>
    <t>LESS: 07/11/2025</t>
  </si>
  <si>
    <t>ADD: 07/1-31/2025</t>
  </si>
  <si>
    <t>LESS: 08/22/2025</t>
  </si>
  <si>
    <t>ADD: 08/1-31/2025</t>
  </si>
  <si>
    <t>LESS: MONETIZATION 2025</t>
  </si>
  <si>
    <t>NEGROS ISLAND REGION</t>
  </si>
  <si>
    <t>LESS: 09/25/2025</t>
  </si>
  <si>
    <t>ADD: 09/1-30/2025</t>
  </si>
  <si>
    <t>LESS: 12/22, 23, 26 &amp; 29/2025</t>
  </si>
  <si>
    <t>ADD: 10/1-31/2025</t>
  </si>
  <si>
    <t>LESS: 11/14/2025</t>
  </si>
  <si>
    <t>LESS: 11/18/2025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</si>
</sst>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4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0" borderId="0" xfId="0" applyFont="1"/>
    <xf numFmtId="0" fontId="1" fillId="2" borderId="3" xfId="0" applyFont="1" applyFill="1" applyBorder="1" applyAlignment="1">
      <alignment horizontal="center" vertical="center"/>
    </xf>
    <xf numFmtId="0" fontId="5" fillId="0" borderId="0" xfId="1"/>
    <xf numFmtId="0" fontId="5" fillId="2" borderId="0" xfId="1" applyFill="1"/>
    <xf numFmtId="0" fontId="5" fillId="2" borderId="0" xfId="1" applyFill="1" applyAlignment="1">
      <alignment horizontal="center"/>
    </xf>
    <xf numFmtId="0" fontId="6" fillId="0" borderId="0" xfId="1" applyFont="1"/>
    <xf numFmtId="0" fontId="5" fillId="2" borderId="0" xfId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5" fillId="0" borderId="0" xfId="1" applyAlignment="1">
      <alignment vertical="center"/>
    </xf>
    <xf numFmtId="0" fontId="7" fillId="2" borderId="9" xfId="1" applyFont="1" applyFill="1" applyBorder="1" applyAlignment="1">
      <alignment vertical="center" wrapText="1"/>
    </xf>
    <xf numFmtId="0" fontId="7" fillId="2" borderId="14" xfId="1" applyFont="1" applyFill="1" applyBorder="1" applyAlignment="1">
      <alignment vertical="center" wrapText="1"/>
    </xf>
    <xf numFmtId="0" fontId="5" fillId="2" borderId="16" xfId="1" applyFill="1" applyBorder="1" applyAlignment="1">
      <alignment horizontal="center" vertical="center" wrapText="1"/>
    </xf>
    <xf numFmtId="0" fontId="8" fillId="0" borderId="0" xfId="1" applyFont="1"/>
    <xf numFmtId="0" fontId="5" fillId="2" borderId="2" xfId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5" xfId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center" vertical="center" wrapText="1"/>
    </xf>
    <xf numFmtId="164" fontId="0" fillId="2" borderId="21" xfId="0" applyNumberFormat="1" applyFill="1" applyBorder="1" applyAlignment="1">
      <alignment horizontal="center" vertical="center" wrapText="1"/>
    </xf>
    <xf numFmtId="0" fontId="0" fillId="2" borderId="16" xfId="1" applyFont="1" applyFill="1" applyBorder="1" applyAlignment="1">
      <alignment horizontal="center" vertical="center" wrapText="1"/>
    </xf>
    <xf numFmtId="0" fontId="0" fillId="0" borderId="16" xfId="1" applyFont="1" applyBorder="1" applyAlignment="1">
      <alignment horizontal="center" vertical="center" wrapText="1"/>
    </xf>
    <xf numFmtId="0" fontId="7" fillId="0" borderId="14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5" fillId="0" borderId="2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3" fillId="2" borderId="0" xfId="0" applyFont="1" applyFill="1"/>
    <xf numFmtId="0" fontId="0" fillId="10" borderId="1" xfId="0" applyFill="1" applyBorder="1" applyAlignment="1">
      <alignment horizontal="center"/>
    </xf>
    <xf numFmtId="0" fontId="5" fillId="2" borderId="0" xfId="2" applyFill="1"/>
    <xf numFmtId="0" fontId="1" fillId="2" borderId="0" xfId="2" applyFont="1" applyFill="1" applyAlignment="1">
      <alignment horizontal="left" vertical="center"/>
    </xf>
    <xf numFmtId="0" fontId="1" fillId="2" borderId="5" xfId="2" applyFont="1" applyFill="1" applyBorder="1" applyAlignment="1">
      <alignment horizontal="center" vertical="center"/>
    </xf>
    <xf numFmtId="0" fontId="1" fillId="2" borderId="0" xfId="2" applyFont="1" applyFill="1" applyAlignment="1">
      <alignment vertical="center"/>
    </xf>
    <xf numFmtId="0" fontId="1" fillId="2" borderId="0" xfId="2" applyFont="1" applyFill="1"/>
    <xf numFmtId="0" fontId="1" fillId="2" borderId="5" xfId="2" applyFont="1" applyFill="1" applyBorder="1" applyAlignment="1">
      <alignment vertical="center"/>
    </xf>
    <xf numFmtId="0" fontId="5" fillId="0" borderId="0" xfId="2"/>
    <xf numFmtId="0" fontId="0" fillId="2" borderId="0" xfId="2" applyFont="1" applyFill="1" applyAlignment="1">
      <alignment horizontal="center" vertical="center" wrapText="1"/>
    </xf>
    <xf numFmtId="0" fontId="0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 wrapText="1"/>
    </xf>
    <xf numFmtId="0" fontId="5" fillId="0" borderId="0" xfId="2" applyAlignment="1">
      <alignment horizontal="center" vertical="center" wrapText="1"/>
    </xf>
    <xf numFmtId="0" fontId="6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vertical="center"/>
    </xf>
    <xf numFmtId="0" fontId="5" fillId="2" borderId="0" xfId="2" applyFill="1" applyAlignment="1">
      <alignment horizontal="center"/>
    </xf>
    <xf numFmtId="0" fontId="14" fillId="2" borderId="1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/>
    </xf>
    <xf numFmtId="0" fontId="14" fillId="0" borderId="0" xfId="0" applyFont="1"/>
    <xf numFmtId="0" fontId="16" fillId="2" borderId="1" xfId="2" applyFont="1" applyFill="1" applyBorder="1" applyAlignment="1">
      <alignment horizontal="center" vertical="center" wrapText="1"/>
    </xf>
    <xf numFmtId="0" fontId="17" fillId="11" borderId="1" xfId="2" applyFont="1" applyFill="1" applyBorder="1" applyAlignment="1">
      <alignment horizontal="center" vertical="center" wrapText="1"/>
    </xf>
    <xf numFmtId="0" fontId="14" fillId="2" borderId="30" xfId="2" applyFont="1" applyFill="1" applyBorder="1" applyAlignment="1">
      <alignment horizontal="center" vertical="center" wrapText="1"/>
    </xf>
    <xf numFmtId="0" fontId="14" fillId="2" borderId="30" xfId="2" applyFont="1" applyFill="1" applyBorder="1" applyAlignment="1">
      <alignment horizontal="center" vertical="center"/>
    </xf>
    <xf numFmtId="0" fontId="16" fillId="2" borderId="30" xfId="2" applyFont="1" applyFill="1" applyBorder="1" applyAlignment="1">
      <alignment horizontal="center" vertical="center" wrapText="1"/>
    </xf>
    <xf numFmtId="0" fontId="17" fillId="2" borderId="30" xfId="2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8" fillId="0" borderId="0" xfId="0" applyFont="1"/>
    <xf numFmtId="0" fontId="0" fillId="11" borderId="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0" borderId="1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11" fillId="2" borderId="14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7" fillId="8" borderId="14" xfId="1" applyFont="1" applyFill="1" applyBorder="1" applyAlignment="1">
      <alignment horizontal="center" vertical="center" wrapText="1"/>
    </xf>
    <xf numFmtId="0" fontId="7" fillId="8" borderId="9" xfId="1" applyFont="1" applyFill="1" applyBorder="1" applyAlignment="1">
      <alignment horizontal="center" vertical="center" wrapText="1"/>
    </xf>
    <xf numFmtId="0" fontId="5" fillId="2" borderId="0" xfId="1" applyFill="1" applyAlignment="1">
      <alignment horizontal="center" vertical="center"/>
    </xf>
    <xf numFmtId="0" fontId="10" fillId="2" borderId="19" xfId="1" applyFont="1" applyFill="1" applyBorder="1" applyAlignment="1">
      <alignment horizontal="center" vertical="center"/>
    </xf>
    <xf numFmtId="0" fontId="9" fillId="7" borderId="7" xfId="1" applyFont="1" applyFill="1" applyBorder="1" applyAlignment="1">
      <alignment horizontal="center" vertical="center"/>
    </xf>
    <xf numFmtId="0" fontId="9" fillId="7" borderId="16" xfId="1" applyFont="1" applyFill="1" applyBorder="1" applyAlignment="1">
      <alignment horizontal="center" vertical="center"/>
    </xf>
    <xf numFmtId="0" fontId="9" fillId="9" borderId="18" xfId="1" applyFont="1" applyFill="1" applyBorder="1" applyAlignment="1">
      <alignment horizontal="center" vertical="center"/>
    </xf>
    <xf numFmtId="0" fontId="9" fillId="9" borderId="17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Alignment="1">
      <alignment horizontal="center"/>
    </xf>
    <xf numFmtId="0" fontId="5" fillId="0" borderId="0" xfId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15" fillId="2" borderId="27" xfId="2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15" fillId="2" borderId="28" xfId="2" applyFont="1" applyFill="1" applyBorder="1" applyAlignment="1">
      <alignment horizontal="center" vertical="center" wrapText="1"/>
    </xf>
    <xf numFmtId="0" fontId="15" fillId="2" borderId="14" xfId="2" applyFont="1" applyFill="1" applyBorder="1" applyAlignment="1">
      <alignment horizontal="center" vertical="center" wrapText="1"/>
    </xf>
    <xf numFmtId="0" fontId="15" fillId="2" borderId="15" xfId="2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 wrapText="1"/>
    </xf>
    <xf numFmtId="0" fontId="2" fillId="2" borderId="19" xfId="2" applyFont="1" applyFill="1" applyBorder="1" applyAlignment="1">
      <alignment horizontal="center" vertical="center"/>
    </xf>
    <xf numFmtId="0" fontId="9" fillId="7" borderId="7" xfId="2" applyFont="1" applyFill="1" applyBorder="1" applyAlignment="1">
      <alignment horizontal="center" vertical="center" wrapText="1"/>
    </xf>
    <xf numFmtId="0" fontId="9" fillId="7" borderId="11" xfId="2" applyFont="1" applyFill="1" applyBorder="1" applyAlignment="1">
      <alignment horizontal="center" vertical="center" wrapText="1"/>
    </xf>
    <xf numFmtId="0" fontId="9" fillId="7" borderId="12" xfId="2" applyFont="1" applyFill="1" applyBorder="1" applyAlignment="1">
      <alignment horizontal="center" vertical="center" wrapText="1"/>
    </xf>
    <xf numFmtId="0" fontId="9" fillId="7" borderId="7" xfId="2" applyFont="1" applyFill="1" applyBorder="1" applyAlignment="1">
      <alignment horizontal="center" vertical="center"/>
    </xf>
    <xf numFmtId="0" fontId="9" fillId="7" borderId="11" xfId="2" applyFont="1" applyFill="1" applyBorder="1" applyAlignment="1">
      <alignment horizontal="center" vertical="center"/>
    </xf>
    <xf numFmtId="0" fontId="9" fillId="7" borderId="12" xfId="2" applyFont="1" applyFill="1" applyBorder="1" applyAlignment="1">
      <alignment horizontal="center" vertical="center"/>
    </xf>
    <xf numFmtId="0" fontId="7" fillId="8" borderId="22" xfId="2" applyFont="1" applyFill="1" applyBorder="1" applyAlignment="1">
      <alignment horizontal="center" vertical="center" wrapText="1"/>
    </xf>
    <xf numFmtId="0" fontId="7" fillId="8" borderId="24" xfId="2" applyFont="1" applyFill="1" applyBorder="1" applyAlignment="1">
      <alignment horizontal="center" vertical="center" wrapText="1"/>
    </xf>
    <xf numFmtId="0" fontId="7" fillId="8" borderId="31" xfId="2" applyFont="1" applyFill="1" applyBorder="1" applyAlignment="1">
      <alignment horizontal="center" vertical="center" wrapText="1"/>
    </xf>
    <xf numFmtId="0" fontId="9" fillId="7" borderId="10" xfId="2" applyFont="1" applyFill="1" applyBorder="1" applyAlignment="1">
      <alignment horizontal="center" vertical="center"/>
    </xf>
    <xf numFmtId="0" fontId="9" fillId="7" borderId="26" xfId="2" applyFont="1" applyFill="1" applyBorder="1" applyAlignment="1">
      <alignment horizontal="center" vertical="center"/>
    </xf>
    <xf numFmtId="0" fontId="9" fillId="7" borderId="13" xfId="2" applyFont="1" applyFill="1" applyBorder="1" applyAlignment="1">
      <alignment horizontal="center" vertical="center"/>
    </xf>
    <xf numFmtId="0" fontId="7" fillId="8" borderId="29" xfId="2" applyFont="1" applyFill="1" applyBorder="1" applyAlignment="1">
      <alignment horizontal="center" vertical="center" wrapText="1"/>
    </xf>
    <xf numFmtId="0" fontId="7" fillId="8" borderId="23" xfId="2" applyFont="1" applyFill="1" applyBorder="1" applyAlignment="1">
      <alignment horizontal="center" vertical="center" wrapText="1"/>
    </xf>
    <xf numFmtId="0" fontId="7" fillId="8" borderId="0" xfId="2" applyFont="1" applyFill="1" applyAlignment="1">
      <alignment horizontal="center" vertical="center" wrapText="1"/>
    </xf>
    <xf numFmtId="0" fontId="7" fillId="8" borderId="25" xfId="2" applyFont="1" applyFill="1" applyBorder="1" applyAlignment="1">
      <alignment horizontal="center" vertical="center" wrapText="1"/>
    </xf>
    <xf numFmtId="0" fontId="7" fillId="8" borderId="19" xfId="2" applyFont="1" applyFill="1" applyBorder="1" applyAlignment="1">
      <alignment horizontal="center" vertical="center" wrapText="1"/>
    </xf>
    <xf numFmtId="0" fontId="7" fillId="8" borderId="32" xfId="2" applyFont="1" applyFill="1" applyBorder="1" applyAlignment="1">
      <alignment horizontal="center" vertical="center" wrapText="1"/>
    </xf>
    <xf numFmtId="0" fontId="1" fillId="2" borderId="0" xfId="2" applyFont="1" applyFill="1" applyAlignment="1">
      <alignment horizontal="left" vertical="center"/>
    </xf>
    <xf numFmtId="0" fontId="5" fillId="2" borderId="0" xfId="2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 2" xfId="2" xr:uid="{974A64F6-20BB-4299-A66A-D1065449F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508000</xdr:colOff>
      <xdr:row>0</xdr:row>
      <xdr:rowOff>44449</xdr:rowOff>
    </xdr:from>
    <xdr:to>
      <xdr:col>4</xdr:col>
      <xdr:colOff>375383</xdr:colOff>
      <xdr:row>1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F737EC-3D68-4E94-9EE2-1D62F9B8598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5950" y="44449"/>
          <a:ext cx="680183" cy="6413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24DE630-8180-48E0-B540-9389AD3FD34B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CIPRES, LILIBETH L.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22ADB1-C49E-4E6D-B7FB-7B489CA6825E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228600</xdr:colOff>
      <xdr:row>8</xdr:row>
      <xdr:rowOff>140434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DB23D3A-93D1-41E4-8C94-DB10AACAE16B}"/>
            </a:ext>
          </a:extLst>
        </xdr:cNvPr>
        <xdr:cNvSpPr txBox="1"/>
      </xdr:nvSpPr>
      <xdr:spPr>
        <a:xfrm>
          <a:off x="3377468" y="1700091"/>
          <a:ext cx="2127982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OSDS-ACCOUNTING SECTION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272596</xdr:colOff>
      <xdr:row>0</xdr:row>
      <xdr:rowOff>29030</xdr:rowOff>
    </xdr:from>
    <xdr:ext cx="708251" cy="617309"/>
    <xdr:pic>
      <xdr:nvPicPr>
        <xdr:cNvPr id="2" name="Picture 1">
          <a:extLst>
            <a:ext uri="{FF2B5EF4-FFF2-40B4-BE49-F238E27FC236}">
              <a16:creationId xmlns:a16="http://schemas.microsoft.com/office/drawing/2014/main" id="{A52D3224-7C28-4D27-BB27-AF52F1C97A9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0996" y="29030"/>
          <a:ext cx="708251" cy="617309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EB23F7-DC7D-4975-8CE5-E58A750767C2}"/>
            </a:ext>
          </a:extLst>
        </xdr:cNvPr>
        <xdr:cNvSpPr txBox="1"/>
      </xdr:nvSpPr>
      <xdr:spPr>
        <a:xfrm>
          <a:off x="573942" y="907561"/>
          <a:ext cx="645258" cy="286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CIPRES, LILIBETH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7CA2B69-18C6-41A6-A21C-11BAB146728D}"/>
            </a:ext>
          </a:extLst>
        </xdr:cNvPr>
        <xdr:cNvSpPr txBox="1"/>
      </xdr:nvSpPr>
      <xdr:spPr>
        <a:xfrm>
          <a:off x="609601" y="1308101"/>
          <a:ext cx="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53B442-0318-4FBB-8254-B56250678B27}"/>
            </a:ext>
          </a:extLst>
        </xdr:cNvPr>
        <xdr:cNvSpPr txBox="1"/>
      </xdr:nvSpPr>
      <xdr:spPr>
        <a:xfrm>
          <a:off x="2355623" y="1331460"/>
          <a:ext cx="1155700" cy="336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21</xdr:row>
      <xdr:rowOff>57149</xdr:rowOff>
    </xdr:from>
    <xdr:to>
      <xdr:col>9</xdr:col>
      <xdr:colOff>428624</xdr:colOff>
      <xdr:row>28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FFB594-C693-4B30-97E5-7AD39292599D}"/>
            </a:ext>
          </a:extLst>
        </xdr:cNvPr>
        <xdr:cNvSpPr txBox="1"/>
      </xdr:nvSpPr>
      <xdr:spPr>
        <a:xfrm>
          <a:off x="4714875" y="8172449"/>
          <a:ext cx="2638424" cy="1314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342218</xdr:colOff>
      <xdr:row>0</xdr:row>
      <xdr:rowOff>129696</xdr:rowOff>
    </xdr:from>
    <xdr:to>
      <xdr:col>3</xdr:col>
      <xdr:colOff>444247</xdr:colOff>
      <xdr:row>3</xdr:row>
      <xdr:rowOff>182886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0B8CF1-5965-4C3B-BD0A-2EBE6C6A67B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8818" y="129696"/>
          <a:ext cx="683054" cy="6246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592992</xdr:colOff>
      <xdr:row>8</xdr:row>
      <xdr:rowOff>66186</xdr:rowOff>
    </xdr:from>
    <xdr:to>
      <xdr:col>1</xdr:col>
      <xdr:colOff>20516</xdr:colOff>
      <xdr:row>10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A3E011-14D7-4C09-9261-9B3964E8CB1C}"/>
            </a:ext>
          </a:extLst>
        </xdr:cNvPr>
        <xdr:cNvSpPr txBox="1"/>
      </xdr:nvSpPr>
      <xdr:spPr>
        <a:xfrm>
          <a:off x="592992" y="1590186"/>
          <a:ext cx="1399199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CIPRES,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LILIBETH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645258</xdr:colOff>
      <xdr:row>10</xdr:row>
      <xdr:rowOff>108682</xdr:rowOff>
    </xdr:from>
    <xdr:to>
      <xdr:col>1</xdr:col>
      <xdr:colOff>25157</xdr:colOff>
      <xdr:row>12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6D9597E-5A23-4AA5-9FE5-6680DFF3C0C7}"/>
            </a:ext>
          </a:extLst>
        </xdr:cNvPr>
        <xdr:cNvSpPr txBox="1"/>
      </xdr:nvSpPr>
      <xdr:spPr>
        <a:xfrm>
          <a:off x="645258" y="2013682"/>
          <a:ext cx="1351574" cy="319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2</xdr:col>
      <xdr:colOff>1520</xdr:colOff>
      <xdr:row>10</xdr:row>
      <xdr:rowOff>83709</xdr:rowOff>
    </xdr:from>
    <xdr:to>
      <xdr:col>4</xdr:col>
      <xdr:colOff>323850</xdr:colOff>
      <xdr:row>13</xdr:row>
      <xdr:rowOff>11403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A0159F-DDD8-4641-8E98-0CE1E24A51AC}"/>
            </a:ext>
          </a:extLst>
        </xdr:cNvPr>
        <xdr:cNvSpPr txBox="1"/>
      </xdr:nvSpPr>
      <xdr:spPr>
        <a:xfrm>
          <a:off x="3030470" y="1988709"/>
          <a:ext cx="1541530" cy="4991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508000</xdr:colOff>
      <xdr:row>0</xdr:row>
      <xdr:rowOff>44449</xdr:rowOff>
    </xdr:from>
    <xdr:to>
      <xdr:col>4</xdr:col>
      <xdr:colOff>375383</xdr:colOff>
      <xdr:row>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3C0D44-4C17-4D96-B529-9AFA017F444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1800" y="44449"/>
          <a:ext cx="638908" cy="6413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D18CC5-4FBE-47E5-A3FE-CDE07BF9B6DF}"/>
            </a:ext>
          </a:extLst>
        </xdr:cNvPr>
        <xdr:cNvSpPr txBox="1"/>
      </xdr:nvSpPr>
      <xdr:spPr>
        <a:xfrm>
          <a:off x="573942" y="1371111"/>
          <a:ext cx="161827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CIPRES, LILIBETH L.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6D8F17-78CC-4BF6-A9C1-FA1D351B75BB}"/>
            </a:ext>
          </a:extLst>
        </xdr:cNvPr>
        <xdr:cNvSpPr txBox="1"/>
      </xdr:nvSpPr>
      <xdr:spPr>
        <a:xfrm>
          <a:off x="616683" y="1718407"/>
          <a:ext cx="157064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2DAE16-FCF8-4DED-8216-E1BCE9CBE7E0}"/>
            </a:ext>
          </a:extLst>
        </xdr:cNvPr>
        <xdr:cNvSpPr txBox="1"/>
      </xdr:nvSpPr>
      <xdr:spPr>
        <a:xfrm>
          <a:off x="337746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4"/>
  <sheetViews>
    <sheetView tabSelected="1" view="pageBreakPreview" topLeftCell="A57" zoomScaleNormal="100" zoomScaleSheetLayoutView="100" workbookViewId="0">
      <selection activeCell="D81" sqref="D81"/>
    </sheetView>
  </sheetViews>
  <sheetFormatPr defaultRowHeight="15" x14ac:dyDescent="0.25"/>
  <cols>
    <col min="1" max="1" width="32.85546875" customWidth="1"/>
    <col min="2" max="10" width="11.5703125" customWidth="1"/>
    <col min="11" max="11" width="26.42578125" style="5" customWidth="1"/>
  </cols>
  <sheetData>
    <row r="1" spans="1:11" s="1" customFormat="1" ht="52.5" customHeight="1" x14ac:dyDescent="0.25"/>
    <row r="2" spans="1:11" s="1" customFormat="1" ht="10.5" customHeight="1" x14ac:dyDescent="0.25">
      <c r="A2" s="87" t="s">
        <v>43</v>
      </c>
      <c r="B2" s="87"/>
      <c r="C2" s="87"/>
      <c r="D2" s="87"/>
      <c r="E2" s="87"/>
      <c r="F2" s="87"/>
      <c r="G2" s="87"/>
      <c r="H2" s="87"/>
      <c r="I2" s="87"/>
      <c r="J2" s="87"/>
    </row>
    <row r="3" spans="1:11" s="1" customFormat="1" ht="15.95" customHeight="1" x14ac:dyDescent="0.25">
      <c r="A3" s="87" t="s">
        <v>42</v>
      </c>
      <c r="B3" s="87"/>
      <c r="C3" s="87"/>
      <c r="D3" s="87"/>
      <c r="E3" s="87"/>
      <c r="F3" s="87"/>
      <c r="G3" s="87"/>
      <c r="H3" s="87"/>
      <c r="I3" s="87"/>
      <c r="J3" s="87"/>
    </row>
    <row r="4" spans="1:11" s="1" customFormat="1" ht="15.95" customHeight="1" x14ac:dyDescent="0.25">
      <c r="A4" s="87" t="s">
        <v>114</v>
      </c>
      <c r="B4" s="87"/>
      <c r="C4" s="87"/>
      <c r="D4" s="87"/>
      <c r="E4" s="87"/>
      <c r="F4" s="87"/>
      <c r="G4" s="87"/>
      <c r="H4" s="87"/>
      <c r="I4" s="87"/>
      <c r="J4" s="87"/>
    </row>
    <row r="5" spans="1:11" s="1" customFormat="1" ht="15.95" customHeight="1" x14ac:dyDescent="0.25">
      <c r="A5" s="87" t="s">
        <v>40</v>
      </c>
      <c r="B5" s="87"/>
      <c r="C5" s="87"/>
      <c r="D5" s="87"/>
      <c r="E5" s="87"/>
      <c r="F5" s="87"/>
      <c r="G5" s="87"/>
      <c r="H5" s="87"/>
      <c r="I5" s="87"/>
      <c r="J5" s="87"/>
    </row>
    <row r="6" spans="1:11" s="1" customFormat="1" ht="8.25" customHeight="1" x14ac:dyDescent="0.25"/>
    <row r="7" spans="1:11" s="1" customFormat="1" ht="12" customHeight="1" x14ac:dyDescent="0.25">
      <c r="A7" s="1" t="s">
        <v>39</v>
      </c>
      <c r="B7" s="85" t="s">
        <v>38</v>
      </c>
      <c r="C7" s="85"/>
      <c r="D7" s="85"/>
      <c r="H7" s="3" t="s">
        <v>9</v>
      </c>
      <c r="I7" s="23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37</v>
      </c>
      <c r="B9" s="85" t="s">
        <v>36</v>
      </c>
      <c r="C9" s="85"/>
      <c r="D9" s="85"/>
      <c r="H9" s="3" t="s">
        <v>10</v>
      </c>
      <c r="I9" s="4"/>
      <c r="J9" s="3"/>
    </row>
    <row r="10" spans="1:11" ht="16.5" customHeight="1" thickBot="1" x14ac:dyDescent="0.3">
      <c r="A10" s="86" t="s">
        <v>0</v>
      </c>
      <c r="B10" s="86"/>
      <c r="C10" s="86"/>
      <c r="D10" s="86"/>
      <c r="E10" s="86"/>
      <c r="F10" s="86"/>
      <c r="G10" s="86"/>
      <c r="H10" s="86"/>
      <c r="I10" s="86"/>
      <c r="J10" s="86"/>
      <c r="K10"/>
    </row>
    <row r="11" spans="1:11" ht="18.75" customHeight="1" x14ac:dyDescent="0.25">
      <c r="A11" s="78" t="s">
        <v>4</v>
      </c>
      <c r="B11" s="75" t="s">
        <v>5</v>
      </c>
      <c r="C11" s="75"/>
      <c r="D11" s="82" t="s">
        <v>6</v>
      </c>
      <c r="E11" s="83"/>
      <c r="F11" s="83"/>
      <c r="G11" s="84"/>
      <c r="H11" s="77" t="s">
        <v>7</v>
      </c>
      <c r="I11" s="77"/>
      <c r="J11" s="80" t="s">
        <v>8</v>
      </c>
      <c r="K11" s="76" t="s">
        <v>11</v>
      </c>
    </row>
    <row r="12" spans="1:11" ht="18.75" customHeight="1" thickBot="1" x14ac:dyDescent="0.3">
      <c r="A12" s="79"/>
      <c r="B12" s="6" t="s">
        <v>1</v>
      </c>
      <c r="C12" s="6" t="s">
        <v>2</v>
      </c>
      <c r="D12" s="6" t="s">
        <v>1</v>
      </c>
      <c r="E12" s="6" t="s">
        <v>2</v>
      </c>
      <c r="F12" s="6" t="s">
        <v>3</v>
      </c>
      <c r="G12" s="6" t="s">
        <v>46</v>
      </c>
      <c r="H12" s="6" t="s">
        <v>1</v>
      </c>
      <c r="I12" s="6" t="s">
        <v>2</v>
      </c>
      <c r="J12" s="81"/>
      <c r="K12" s="76"/>
    </row>
    <row r="13" spans="1:11" ht="18.75" customHeight="1" x14ac:dyDescent="0.25">
      <c r="A13" s="28" t="s">
        <v>12</v>
      </c>
      <c r="B13" s="26">
        <f>SUM(1.25/30)*29</f>
        <v>1.2083333333333333</v>
      </c>
      <c r="C13" s="26">
        <f>SUM(1.25/30)*29</f>
        <v>1.2083333333333333</v>
      </c>
      <c r="D13" s="26"/>
      <c r="E13" s="26"/>
      <c r="F13" s="26"/>
      <c r="G13" s="26"/>
      <c r="H13" s="26">
        <f>B13</f>
        <v>1.2083333333333333</v>
      </c>
      <c r="I13" s="26">
        <f>C13</f>
        <v>1.2083333333333333</v>
      </c>
      <c r="J13" s="30">
        <f t="shared" ref="J13:J14" si="0">SUM(H13:I13)</f>
        <v>2.4166666666666665</v>
      </c>
    </row>
    <row r="14" spans="1:11" ht="18.75" customHeight="1" x14ac:dyDescent="0.25">
      <c r="A14" s="28" t="s">
        <v>13</v>
      </c>
      <c r="B14" s="26">
        <v>5</v>
      </c>
      <c r="C14" s="26">
        <v>5</v>
      </c>
      <c r="D14" s="26"/>
      <c r="E14" s="26"/>
      <c r="F14" s="26"/>
      <c r="G14" s="26"/>
      <c r="H14" s="26">
        <f>H13-F14-D14+B14</f>
        <v>6.208333333333333</v>
      </c>
      <c r="I14" s="26">
        <f>I13-E14+C14</f>
        <v>6.208333333333333</v>
      </c>
      <c r="J14" s="30">
        <f t="shared" si="0"/>
        <v>12.416666666666666</v>
      </c>
    </row>
    <row r="15" spans="1:11" ht="18.75" customHeight="1" x14ac:dyDescent="0.25">
      <c r="A15" s="28" t="s">
        <v>14</v>
      </c>
      <c r="B15" s="26"/>
      <c r="C15" s="26"/>
      <c r="D15" s="26"/>
      <c r="E15" s="26"/>
      <c r="F15" s="26"/>
      <c r="G15" s="26">
        <v>2</v>
      </c>
      <c r="H15" s="26">
        <f t="shared" ref="H15:H26" si="1">H14-F15-D15+B15</f>
        <v>6.208333333333333</v>
      </c>
      <c r="I15" s="26">
        <f t="shared" ref="I15:I26" si="2">I14-E15+C15</f>
        <v>6.208333333333333</v>
      </c>
      <c r="J15" s="30">
        <f t="shared" ref="J15:J26" si="3">SUM(H15:I15)</f>
        <v>12.416666666666666</v>
      </c>
    </row>
    <row r="16" spans="1:11" ht="18.75" customHeight="1" x14ac:dyDescent="0.25">
      <c r="A16" s="28" t="s">
        <v>15</v>
      </c>
      <c r="B16" s="26"/>
      <c r="C16" s="26"/>
      <c r="D16" s="26"/>
      <c r="E16" s="26"/>
      <c r="F16" s="26"/>
      <c r="G16" s="26">
        <v>1</v>
      </c>
      <c r="H16" s="26">
        <f t="shared" si="1"/>
        <v>6.208333333333333</v>
      </c>
      <c r="I16" s="26">
        <f t="shared" si="2"/>
        <v>6.208333333333333</v>
      </c>
      <c r="J16" s="30">
        <f t="shared" si="3"/>
        <v>12.416666666666666</v>
      </c>
    </row>
    <row r="17" spans="1:10" ht="18.75" customHeight="1" x14ac:dyDescent="0.25">
      <c r="A17" s="28" t="s">
        <v>16</v>
      </c>
      <c r="B17" s="26">
        <v>3.75</v>
      </c>
      <c r="C17" s="26">
        <v>3.75</v>
      </c>
      <c r="D17" s="26"/>
      <c r="E17" s="26"/>
      <c r="F17" s="26"/>
      <c r="G17" s="26"/>
      <c r="H17" s="26">
        <f t="shared" si="1"/>
        <v>9.9583333333333321</v>
      </c>
      <c r="I17" s="26">
        <f t="shared" si="2"/>
        <v>9.9583333333333321</v>
      </c>
      <c r="J17" s="30">
        <f t="shared" si="3"/>
        <v>19.916666666666664</v>
      </c>
    </row>
    <row r="18" spans="1:10" ht="18.75" customHeight="1" x14ac:dyDescent="0.25">
      <c r="A18" s="28" t="s">
        <v>17</v>
      </c>
      <c r="B18" s="26">
        <v>1.25</v>
      </c>
      <c r="C18" s="26">
        <v>1.25</v>
      </c>
      <c r="D18" s="26"/>
      <c r="E18" s="26"/>
      <c r="F18" s="26"/>
      <c r="G18" s="26"/>
      <c r="H18" s="26">
        <f t="shared" si="1"/>
        <v>11.208333333333332</v>
      </c>
      <c r="I18" s="26">
        <f t="shared" si="2"/>
        <v>11.208333333333332</v>
      </c>
      <c r="J18" s="30">
        <f t="shared" si="3"/>
        <v>22.416666666666664</v>
      </c>
    </row>
    <row r="19" spans="1:10" ht="18.75" customHeight="1" x14ac:dyDescent="0.25">
      <c r="A19" s="28" t="s">
        <v>18</v>
      </c>
      <c r="B19" s="26"/>
      <c r="C19" s="26"/>
      <c r="D19" s="26"/>
      <c r="E19" s="26"/>
      <c r="F19" s="26">
        <v>1</v>
      </c>
      <c r="G19" s="26"/>
      <c r="H19" s="26">
        <f t="shared" si="1"/>
        <v>10.208333333333332</v>
      </c>
      <c r="I19" s="26">
        <f t="shared" si="2"/>
        <v>11.208333333333332</v>
      </c>
      <c r="J19" s="30">
        <f t="shared" si="3"/>
        <v>21.416666666666664</v>
      </c>
    </row>
    <row r="20" spans="1:10" ht="18.75" customHeight="1" x14ac:dyDescent="0.25">
      <c r="A20" s="28" t="s">
        <v>19</v>
      </c>
      <c r="B20" s="26">
        <v>1.25</v>
      </c>
      <c r="C20" s="26">
        <v>1.25</v>
      </c>
      <c r="D20" s="26"/>
      <c r="E20" s="26"/>
      <c r="F20" s="26"/>
      <c r="G20" s="26"/>
      <c r="H20" s="26">
        <f t="shared" si="1"/>
        <v>11.458333333333332</v>
      </c>
      <c r="I20" s="26">
        <f t="shared" si="2"/>
        <v>12.458333333333332</v>
      </c>
      <c r="J20" s="30">
        <f t="shared" si="3"/>
        <v>23.916666666666664</v>
      </c>
    </row>
    <row r="21" spans="1:10" ht="18.75" customHeight="1" x14ac:dyDescent="0.25">
      <c r="A21" s="25" t="s">
        <v>21</v>
      </c>
      <c r="B21" s="26"/>
      <c r="C21" s="26"/>
      <c r="D21" s="26"/>
      <c r="E21" s="26"/>
      <c r="F21" s="26">
        <v>1</v>
      </c>
      <c r="G21" s="26"/>
      <c r="H21" s="26">
        <f t="shared" si="1"/>
        <v>10.458333333333332</v>
      </c>
      <c r="I21" s="26">
        <f t="shared" si="2"/>
        <v>12.458333333333332</v>
      </c>
      <c r="J21" s="30">
        <f t="shared" si="3"/>
        <v>22.916666666666664</v>
      </c>
    </row>
    <row r="22" spans="1:10" ht="18.75" customHeight="1" x14ac:dyDescent="0.25">
      <c r="A22" s="25" t="s">
        <v>20</v>
      </c>
      <c r="B22" s="26">
        <v>1.25</v>
      </c>
      <c r="C22" s="26">
        <v>1.25</v>
      </c>
      <c r="D22" s="26"/>
      <c r="E22" s="26"/>
      <c r="F22" s="26"/>
      <c r="G22" s="26"/>
      <c r="H22" s="26">
        <f t="shared" si="1"/>
        <v>11.708333333333332</v>
      </c>
      <c r="I22" s="26">
        <f t="shared" si="2"/>
        <v>13.708333333333332</v>
      </c>
      <c r="J22" s="30">
        <f t="shared" si="3"/>
        <v>25.416666666666664</v>
      </c>
    </row>
    <row r="23" spans="1:10" ht="18.75" customHeight="1" x14ac:dyDescent="0.25">
      <c r="A23" s="25" t="s">
        <v>22</v>
      </c>
      <c r="B23" s="26"/>
      <c r="C23" s="26"/>
      <c r="D23" s="26"/>
      <c r="E23" s="26"/>
      <c r="F23" s="26">
        <v>1</v>
      </c>
      <c r="G23" s="26"/>
      <c r="H23" s="26">
        <f t="shared" si="1"/>
        <v>10.708333333333332</v>
      </c>
      <c r="I23" s="26">
        <f t="shared" si="2"/>
        <v>13.708333333333332</v>
      </c>
      <c r="J23" s="30">
        <f t="shared" si="3"/>
        <v>24.416666666666664</v>
      </c>
    </row>
    <row r="24" spans="1:10" ht="18.75" customHeight="1" x14ac:dyDescent="0.25">
      <c r="A24" s="25" t="s">
        <v>23</v>
      </c>
      <c r="B24" s="26"/>
      <c r="C24" s="26"/>
      <c r="D24" s="26"/>
      <c r="E24" s="26"/>
      <c r="F24" s="26">
        <v>2</v>
      </c>
      <c r="G24" s="26"/>
      <c r="H24" s="26">
        <f t="shared" si="1"/>
        <v>8.7083333333333321</v>
      </c>
      <c r="I24" s="26">
        <f t="shared" si="2"/>
        <v>13.708333333333332</v>
      </c>
      <c r="J24" s="30">
        <f t="shared" si="3"/>
        <v>22.416666666666664</v>
      </c>
    </row>
    <row r="25" spans="1:10" ht="18.75" customHeight="1" x14ac:dyDescent="0.25">
      <c r="A25" s="25" t="s">
        <v>45</v>
      </c>
      <c r="B25" s="26">
        <v>1.25</v>
      </c>
      <c r="C25" s="26">
        <v>1.25</v>
      </c>
      <c r="D25" s="26"/>
      <c r="E25" s="26"/>
      <c r="F25" s="26"/>
      <c r="G25" s="26"/>
      <c r="H25" s="26">
        <f t="shared" si="1"/>
        <v>9.9583333333333321</v>
      </c>
      <c r="I25" s="26">
        <f t="shared" si="2"/>
        <v>14.958333333333332</v>
      </c>
      <c r="J25" s="30">
        <f t="shared" si="3"/>
        <v>24.916666666666664</v>
      </c>
    </row>
    <row r="26" spans="1:10" ht="18.75" customHeight="1" x14ac:dyDescent="0.25">
      <c r="A26" s="25" t="s">
        <v>47</v>
      </c>
      <c r="B26" s="26">
        <v>1.25</v>
      </c>
      <c r="C26" s="26">
        <v>1.25</v>
      </c>
      <c r="D26" s="26"/>
      <c r="E26" s="26"/>
      <c r="F26" s="26"/>
      <c r="G26" s="26"/>
      <c r="H26" s="26">
        <f t="shared" si="1"/>
        <v>11.208333333333332</v>
      </c>
      <c r="I26" s="26">
        <f t="shared" si="2"/>
        <v>16.208333333333332</v>
      </c>
      <c r="J26" s="30">
        <f t="shared" si="3"/>
        <v>27.416666666666664</v>
      </c>
    </row>
    <row r="27" spans="1:10" ht="18.75" customHeight="1" x14ac:dyDescent="0.25">
      <c r="A27" s="29" t="s">
        <v>49</v>
      </c>
      <c r="B27" s="26"/>
      <c r="C27" s="26"/>
      <c r="D27" s="26"/>
      <c r="E27" s="26"/>
      <c r="F27" s="26"/>
      <c r="G27" s="26">
        <v>1</v>
      </c>
      <c r="H27" s="26">
        <f t="shared" ref="H27:H36" si="4">H26-F27-D27+B27</f>
        <v>11.208333333333332</v>
      </c>
      <c r="I27" s="26">
        <f t="shared" ref="I27:I36" si="5">I26-E27+C27</f>
        <v>16.208333333333332</v>
      </c>
      <c r="J27" s="30">
        <f t="shared" ref="J27:J36" si="6">SUM(H27:I27)</f>
        <v>27.416666666666664</v>
      </c>
    </row>
    <row r="28" spans="1:10" ht="18.75" customHeight="1" x14ac:dyDescent="0.25">
      <c r="A28" s="29" t="s">
        <v>50</v>
      </c>
      <c r="B28" s="26">
        <v>1.25</v>
      </c>
      <c r="C28" s="26">
        <v>1.25</v>
      </c>
      <c r="D28" s="26"/>
      <c r="E28" s="26"/>
      <c r="F28" s="26"/>
      <c r="G28" s="26"/>
      <c r="H28" s="26">
        <f t="shared" si="4"/>
        <v>12.458333333333332</v>
      </c>
      <c r="I28" s="26">
        <f t="shared" si="5"/>
        <v>17.458333333333332</v>
      </c>
      <c r="J28" s="30">
        <f t="shared" si="6"/>
        <v>29.916666666666664</v>
      </c>
    </row>
    <row r="29" spans="1:10" ht="18.75" customHeight="1" x14ac:dyDescent="0.25">
      <c r="A29" s="29" t="s">
        <v>51</v>
      </c>
      <c r="B29" s="31"/>
      <c r="C29" s="31"/>
      <c r="D29" s="31"/>
      <c r="E29" s="31"/>
      <c r="F29" s="31"/>
      <c r="G29" s="31">
        <v>1</v>
      </c>
      <c r="H29" s="26">
        <f t="shared" si="4"/>
        <v>12.458333333333332</v>
      </c>
      <c r="I29" s="26">
        <f t="shared" si="5"/>
        <v>17.458333333333332</v>
      </c>
      <c r="J29" s="30">
        <f t="shared" si="6"/>
        <v>29.916666666666664</v>
      </c>
    </row>
    <row r="30" spans="1:10" ht="18.75" customHeight="1" x14ac:dyDescent="0.25">
      <c r="A30" s="29" t="s">
        <v>90</v>
      </c>
      <c r="B30" s="32"/>
      <c r="C30" s="32"/>
      <c r="D30" s="32"/>
      <c r="E30" s="32"/>
      <c r="F30" s="33">
        <v>2</v>
      </c>
      <c r="G30" s="32"/>
      <c r="H30" s="26">
        <f t="shared" si="4"/>
        <v>10.458333333333332</v>
      </c>
      <c r="I30" s="26">
        <f t="shared" si="5"/>
        <v>17.458333333333332</v>
      </c>
      <c r="J30" s="30">
        <f t="shared" si="6"/>
        <v>27.916666666666664</v>
      </c>
    </row>
    <row r="31" spans="1:10" x14ac:dyDescent="0.25">
      <c r="A31" s="29" t="s">
        <v>52</v>
      </c>
      <c r="B31" s="27"/>
      <c r="C31" s="27"/>
      <c r="D31" s="27"/>
      <c r="E31" s="27"/>
      <c r="F31" s="27"/>
      <c r="G31" s="27">
        <v>1</v>
      </c>
      <c r="H31" s="26">
        <f t="shared" si="4"/>
        <v>10.458333333333332</v>
      </c>
      <c r="I31" s="26">
        <f t="shared" si="5"/>
        <v>17.458333333333332</v>
      </c>
      <c r="J31" s="30">
        <f t="shared" si="6"/>
        <v>27.916666666666664</v>
      </c>
    </row>
    <row r="32" spans="1:10" x14ac:dyDescent="0.25">
      <c r="A32" s="25" t="s">
        <v>56</v>
      </c>
      <c r="B32" s="27">
        <v>3.75</v>
      </c>
      <c r="C32" s="27">
        <v>3.75</v>
      </c>
      <c r="D32" s="27"/>
      <c r="E32" s="27"/>
      <c r="F32" s="27"/>
      <c r="G32" s="27"/>
      <c r="H32" s="26">
        <f t="shared" si="4"/>
        <v>14.208333333333332</v>
      </c>
      <c r="I32" s="26">
        <f t="shared" si="5"/>
        <v>21.208333333333332</v>
      </c>
      <c r="J32" s="30">
        <f t="shared" si="6"/>
        <v>35.416666666666664</v>
      </c>
    </row>
    <row r="33" spans="1:10" x14ac:dyDescent="0.25">
      <c r="A33" s="29" t="s">
        <v>57</v>
      </c>
      <c r="B33" s="24"/>
      <c r="C33" s="24"/>
      <c r="D33" s="24"/>
      <c r="E33" s="24"/>
      <c r="F33" s="27">
        <v>1</v>
      </c>
      <c r="G33" s="27"/>
      <c r="H33" s="26">
        <f t="shared" si="4"/>
        <v>13.208333333333332</v>
      </c>
      <c r="I33" s="26">
        <f t="shared" si="5"/>
        <v>21.208333333333332</v>
      </c>
      <c r="J33" s="30">
        <f t="shared" si="6"/>
        <v>34.416666666666664</v>
      </c>
    </row>
    <row r="34" spans="1:10" x14ac:dyDescent="0.25">
      <c r="A34" s="25" t="s">
        <v>58</v>
      </c>
      <c r="B34" s="26">
        <v>1.25</v>
      </c>
      <c r="C34" s="26">
        <v>1.25</v>
      </c>
      <c r="D34" s="24"/>
      <c r="E34" s="24"/>
      <c r="F34" s="24"/>
      <c r="G34" s="24"/>
      <c r="H34" s="26">
        <f t="shared" si="4"/>
        <v>14.458333333333332</v>
      </c>
      <c r="I34" s="26">
        <f t="shared" si="5"/>
        <v>22.458333333333332</v>
      </c>
      <c r="J34" s="30">
        <f t="shared" si="6"/>
        <v>36.916666666666664</v>
      </c>
    </row>
    <row r="35" spans="1:10" x14ac:dyDescent="0.25">
      <c r="A35" s="29" t="s">
        <v>59</v>
      </c>
      <c r="B35" s="24"/>
      <c r="C35" s="24"/>
      <c r="D35" s="24"/>
      <c r="E35" s="27">
        <v>2</v>
      </c>
      <c r="F35" s="24"/>
      <c r="G35" s="24"/>
      <c r="H35" s="26">
        <f t="shared" si="4"/>
        <v>14.458333333333332</v>
      </c>
      <c r="I35" s="26">
        <f t="shared" si="5"/>
        <v>20.458333333333332</v>
      </c>
      <c r="J35" s="30">
        <f t="shared" si="6"/>
        <v>34.916666666666664</v>
      </c>
    </row>
    <row r="36" spans="1:10" x14ac:dyDescent="0.25">
      <c r="A36" s="25" t="s">
        <v>60</v>
      </c>
      <c r="B36" s="24"/>
      <c r="C36" s="24"/>
      <c r="D36" s="24"/>
      <c r="E36" s="24"/>
      <c r="F36" s="27">
        <v>1</v>
      </c>
      <c r="G36" s="24"/>
      <c r="H36" s="26">
        <f t="shared" si="4"/>
        <v>13.458333333333332</v>
      </c>
      <c r="I36" s="26">
        <f t="shared" si="5"/>
        <v>20.458333333333332</v>
      </c>
      <c r="J36" s="30">
        <f t="shared" si="6"/>
        <v>33.916666666666664</v>
      </c>
    </row>
    <row r="37" spans="1:10" x14ac:dyDescent="0.25">
      <c r="A37" s="25" t="s">
        <v>62</v>
      </c>
      <c r="B37" s="27">
        <v>2.5</v>
      </c>
      <c r="C37" s="27">
        <v>2.5</v>
      </c>
      <c r="D37" s="24"/>
      <c r="E37" s="24"/>
      <c r="F37" s="24"/>
      <c r="G37" s="24"/>
      <c r="H37" s="26">
        <f t="shared" ref="H37:H68" si="7">H36-F37-D37+B37</f>
        <v>15.958333333333332</v>
      </c>
      <c r="I37" s="26">
        <f t="shared" ref="I37:I68" si="8">I36-E37+C37</f>
        <v>22.958333333333332</v>
      </c>
      <c r="J37" s="30">
        <f t="shared" ref="J37:J68" si="9">SUM(H37:I37)</f>
        <v>38.916666666666664</v>
      </c>
    </row>
    <row r="38" spans="1:10" x14ac:dyDescent="0.25">
      <c r="A38" s="25" t="s">
        <v>63</v>
      </c>
      <c r="B38" s="24"/>
      <c r="C38" s="24"/>
      <c r="D38" s="27">
        <v>10</v>
      </c>
      <c r="E38" s="27">
        <v>19</v>
      </c>
      <c r="F38" s="24"/>
      <c r="G38" s="24"/>
      <c r="H38" s="26">
        <f t="shared" si="7"/>
        <v>5.9583333333333321</v>
      </c>
      <c r="I38" s="26">
        <f t="shared" si="8"/>
        <v>3.9583333333333321</v>
      </c>
      <c r="J38" s="30">
        <f t="shared" si="9"/>
        <v>9.9166666666666643</v>
      </c>
    </row>
    <row r="39" spans="1:10" x14ac:dyDescent="0.25">
      <c r="A39" s="25" t="s">
        <v>64</v>
      </c>
      <c r="B39" s="29">
        <v>1.25</v>
      </c>
      <c r="C39" s="29">
        <v>1.25</v>
      </c>
      <c r="D39" s="27"/>
      <c r="E39" s="27"/>
      <c r="F39" s="29"/>
      <c r="G39" s="29"/>
      <c r="H39" s="26">
        <f t="shared" si="7"/>
        <v>7.2083333333333321</v>
      </c>
      <c r="I39" s="26">
        <f t="shared" si="8"/>
        <v>5.2083333333333321</v>
      </c>
      <c r="J39" s="30">
        <f t="shared" si="9"/>
        <v>12.416666666666664</v>
      </c>
    </row>
    <row r="40" spans="1:10" x14ac:dyDescent="0.25">
      <c r="A40" s="25" t="s">
        <v>65</v>
      </c>
      <c r="B40" s="29"/>
      <c r="C40" s="29"/>
      <c r="D40" s="27"/>
      <c r="E40" s="27"/>
      <c r="F40" s="25">
        <v>1</v>
      </c>
      <c r="G40" s="29"/>
      <c r="H40" s="26">
        <f t="shared" si="7"/>
        <v>6.2083333333333321</v>
      </c>
      <c r="I40" s="26">
        <f t="shared" si="8"/>
        <v>5.2083333333333321</v>
      </c>
      <c r="J40" s="30">
        <f t="shared" si="9"/>
        <v>11.416666666666664</v>
      </c>
    </row>
    <row r="41" spans="1:10" x14ac:dyDescent="0.25">
      <c r="A41" s="25" t="s">
        <v>66</v>
      </c>
      <c r="B41" s="29">
        <v>2.5</v>
      </c>
      <c r="C41" s="29">
        <v>2.5</v>
      </c>
      <c r="D41" s="27"/>
      <c r="E41" s="27"/>
      <c r="F41" s="25"/>
      <c r="G41" s="29"/>
      <c r="H41" s="26">
        <f t="shared" si="7"/>
        <v>8.7083333333333321</v>
      </c>
      <c r="I41" s="26">
        <f t="shared" si="8"/>
        <v>7.7083333333333321</v>
      </c>
      <c r="J41" s="30">
        <f t="shared" si="9"/>
        <v>16.416666666666664</v>
      </c>
    </row>
    <row r="42" spans="1:10" x14ac:dyDescent="0.25">
      <c r="A42" s="25" t="s">
        <v>67</v>
      </c>
      <c r="B42" s="29">
        <v>1.25</v>
      </c>
      <c r="C42" s="29">
        <v>1.25</v>
      </c>
      <c r="D42" s="27"/>
      <c r="E42" s="27"/>
      <c r="F42" s="25"/>
      <c r="G42" s="29"/>
      <c r="H42" s="26">
        <f t="shared" si="7"/>
        <v>9.9583333333333321</v>
      </c>
      <c r="I42" s="26">
        <f t="shared" si="8"/>
        <v>8.9583333333333321</v>
      </c>
      <c r="J42" s="30">
        <f t="shared" si="9"/>
        <v>18.916666666666664</v>
      </c>
    </row>
    <row r="43" spans="1:10" x14ac:dyDescent="0.25">
      <c r="A43" s="25" t="s">
        <v>68</v>
      </c>
      <c r="B43" s="29">
        <v>1.25</v>
      </c>
      <c r="C43" s="29">
        <v>1.25</v>
      </c>
      <c r="D43" s="27"/>
      <c r="E43" s="27"/>
      <c r="F43" s="25"/>
      <c r="G43" s="29"/>
      <c r="H43" s="26">
        <f t="shared" si="7"/>
        <v>11.208333333333332</v>
      </c>
      <c r="I43" s="26">
        <f t="shared" si="8"/>
        <v>10.208333333333332</v>
      </c>
      <c r="J43" s="30">
        <f t="shared" si="9"/>
        <v>21.416666666666664</v>
      </c>
    </row>
    <row r="44" spans="1:10" x14ac:dyDescent="0.25">
      <c r="A44" s="25" t="s">
        <v>69</v>
      </c>
      <c r="B44" s="29"/>
      <c r="C44" s="29"/>
      <c r="D44" s="27">
        <v>0.5</v>
      </c>
      <c r="E44" s="27"/>
      <c r="F44" s="25"/>
      <c r="G44" s="29"/>
      <c r="H44" s="26">
        <f t="shared" si="7"/>
        <v>10.708333333333332</v>
      </c>
      <c r="I44" s="26">
        <f t="shared" si="8"/>
        <v>10.208333333333332</v>
      </c>
      <c r="J44" s="30">
        <f t="shared" si="9"/>
        <v>20.916666666666664</v>
      </c>
    </row>
    <row r="45" spans="1:10" x14ac:dyDescent="0.25">
      <c r="A45" s="25" t="s">
        <v>70</v>
      </c>
      <c r="B45" s="29">
        <v>1.25</v>
      </c>
      <c r="C45" s="29">
        <v>1.25</v>
      </c>
      <c r="D45" s="27"/>
      <c r="E45" s="27"/>
      <c r="F45" s="25"/>
      <c r="G45" s="29"/>
      <c r="H45" s="26">
        <f t="shared" si="7"/>
        <v>11.958333333333332</v>
      </c>
      <c r="I45" s="26">
        <f t="shared" si="8"/>
        <v>11.458333333333332</v>
      </c>
      <c r="J45" s="30">
        <f t="shared" si="9"/>
        <v>23.416666666666664</v>
      </c>
    </row>
    <row r="46" spans="1:10" x14ac:dyDescent="0.25">
      <c r="A46" s="25" t="s">
        <v>71</v>
      </c>
      <c r="B46" s="29"/>
      <c r="C46" s="29"/>
      <c r="D46" s="27"/>
      <c r="E46" s="27"/>
      <c r="F46" s="25"/>
      <c r="G46" s="29">
        <v>1</v>
      </c>
      <c r="H46" s="26">
        <f t="shared" si="7"/>
        <v>11.958333333333332</v>
      </c>
      <c r="I46" s="26">
        <f t="shared" si="8"/>
        <v>11.458333333333332</v>
      </c>
      <c r="J46" s="30">
        <f t="shared" si="9"/>
        <v>23.416666666666664</v>
      </c>
    </row>
    <row r="47" spans="1:10" x14ac:dyDescent="0.25">
      <c r="A47" s="25" t="s">
        <v>72</v>
      </c>
      <c r="B47" s="29"/>
      <c r="C47" s="29"/>
      <c r="D47" s="27"/>
      <c r="E47" s="27"/>
      <c r="F47" s="25">
        <v>1</v>
      </c>
      <c r="G47" s="29"/>
      <c r="H47" s="26">
        <f t="shared" si="7"/>
        <v>10.958333333333332</v>
      </c>
      <c r="I47" s="26">
        <f t="shared" si="8"/>
        <v>11.458333333333332</v>
      </c>
      <c r="J47" s="30">
        <f t="shared" si="9"/>
        <v>22.416666666666664</v>
      </c>
    </row>
    <row r="48" spans="1:10" x14ac:dyDescent="0.25">
      <c r="A48" s="25" t="s">
        <v>73</v>
      </c>
      <c r="B48" s="29"/>
      <c r="C48" s="29"/>
      <c r="D48" s="27"/>
      <c r="E48" s="27">
        <v>2</v>
      </c>
      <c r="F48" s="25"/>
      <c r="G48" s="29"/>
      <c r="H48" s="26">
        <f t="shared" si="7"/>
        <v>10.958333333333332</v>
      </c>
      <c r="I48" s="26">
        <f t="shared" si="8"/>
        <v>9.4583333333333321</v>
      </c>
      <c r="J48" s="30">
        <f t="shared" si="9"/>
        <v>20.416666666666664</v>
      </c>
    </row>
    <row r="49" spans="1:10" x14ac:dyDescent="0.25">
      <c r="A49" s="25" t="s">
        <v>74</v>
      </c>
      <c r="B49" s="29">
        <v>2.5</v>
      </c>
      <c r="C49" s="29">
        <v>2.5</v>
      </c>
      <c r="D49" s="27"/>
      <c r="E49" s="27"/>
      <c r="F49" s="25"/>
      <c r="G49" s="29"/>
      <c r="H49" s="26">
        <f t="shared" si="7"/>
        <v>13.458333333333332</v>
      </c>
      <c r="I49" s="26">
        <f t="shared" si="8"/>
        <v>11.958333333333332</v>
      </c>
      <c r="J49" s="30">
        <f t="shared" si="9"/>
        <v>25.416666666666664</v>
      </c>
    </row>
    <row r="50" spans="1:10" x14ac:dyDescent="0.25">
      <c r="A50" s="25" t="s">
        <v>78</v>
      </c>
      <c r="B50" s="29"/>
      <c r="C50" s="29"/>
      <c r="D50" s="27"/>
      <c r="E50" s="27"/>
      <c r="F50" s="25">
        <v>1</v>
      </c>
      <c r="G50" s="29"/>
      <c r="H50" s="26">
        <f t="shared" si="7"/>
        <v>12.458333333333332</v>
      </c>
      <c r="I50" s="26">
        <f t="shared" si="8"/>
        <v>11.958333333333332</v>
      </c>
      <c r="J50" s="30">
        <f t="shared" si="9"/>
        <v>24.416666666666664</v>
      </c>
    </row>
    <row r="51" spans="1:10" x14ac:dyDescent="0.25">
      <c r="A51" s="25" t="s">
        <v>79</v>
      </c>
      <c r="B51" s="29">
        <v>1.25</v>
      </c>
      <c r="C51" s="29">
        <v>1.25</v>
      </c>
      <c r="D51" s="27"/>
      <c r="E51" s="27"/>
      <c r="F51" s="25"/>
      <c r="G51" s="29"/>
      <c r="H51" s="26">
        <f t="shared" si="7"/>
        <v>13.708333333333332</v>
      </c>
      <c r="I51" s="26">
        <f t="shared" si="8"/>
        <v>13.208333333333332</v>
      </c>
      <c r="J51" s="30">
        <f t="shared" si="9"/>
        <v>26.916666666666664</v>
      </c>
    </row>
    <row r="52" spans="1:10" x14ac:dyDescent="0.25">
      <c r="A52" s="25" t="s">
        <v>80</v>
      </c>
      <c r="B52" s="29"/>
      <c r="C52" s="29"/>
      <c r="D52" s="27"/>
      <c r="E52" s="27"/>
      <c r="F52" s="25"/>
      <c r="G52" s="29">
        <v>1</v>
      </c>
      <c r="H52" s="26">
        <f t="shared" si="7"/>
        <v>13.708333333333332</v>
      </c>
      <c r="I52" s="26">
        <f t="shared" si="8"/>
        <v>13.208333333333332</v>
      </c>
      <c r="J52" s="30">
        <f t="shared" si="9"/>
        <v>26.916666666666664</v>
      </c>
    </row>
    <row r="53" spans="1:10" x14ac:dyDescent="0.25">
      <c r="A53" s="25" t="s">
        <v>81</v>
      </c>
      <c r="B53" s="29">
        <v>1.25</v>
      </c>
      <c r="C53" s="29">
        <v>1.25</v>
      </c>
      <c r="D53" s="27"/>
      <c r="E53" s="27"/>
      <c r="F53" s="25"/>
      <c r="G53" s="29"/>
      <c r="H53" s="26">
        <f t="shared" si="7"/>
        <v>14.958333333333332</v>
      </c>
      <c r="I53" s="26">
        <f t="shared" si="8"/>
        <v>14.458333333333332</v>
      </c>
      <c r="J53" s="30">
        <f t="shared" si="9"/>
        <v>29.416666666666664</v>
      </c>
    </row>
    <row r="54" spans="1:10" x14ac:dyDescent="0.25">
      <c r="A54" s="25" t="s">
        <v>82</v>
      </c>
      <c r="B54" s="29"/>
      <c r="C54" s="29"/>
      <c r="D54" s="27"/>
      <c r="E54" s="27">
        <v>7</v>
      </c>
      <c r="F54" s="25"/>
      <c r="G54" s="29"/>
      <c r="H54" s="26">
        <f t="shared" si="7"/>
        <v>14.958333333333332</v>
      </c>
      <c r="I54" s="26">
        <f t="shared" si="8"/>
        <v>7.4583333333333321</v>
      </c>
      <c r="J54" s="30">
        <f t="shared" si="9"/>
        <v>22.416666666666664</v>
      </c>
    </row>
    <row r="55" spans="1:10" x14ac:dyDescent="0.25">
      <c r="A55" s="25" t="s">
        <v>83</v>
      </c>
      <c r="B55" s="29">
        <v>1.25</v>
      </c>
      <c r="C55" s="29">
        <v>1.25</v>
      </c>
      <c r="D55" s="27"/>
      <c r="E55" s="27"/>
      <c r="F55" s="25"/>
      <c r="G55" s="29"/>
      <c r="H55" s="26">
        <f t="shared" si="7"/>
        <v>16.208333333333332</v>
      </c>
      <c r="I55" s="26">
        <f t="shared" si="8"/>
        <v>8.7083333333333321</v>
      </c>
      <c r="J55" s="30">
        <f t="shared" si="9"/>
        <v>24.916666666666664</v>
      </c>
    </row>
    <row r="56" spans="1:10" x14ac:dyDescent="0.25">
      <c r="A56" s="25" t="s">
        <v>84</v>
      </c>
      <c r="B56" s="29"/>
      <c r="C56" s="29"/>
      <c r="D56" s="27">
        <v>12.458</v>
      </c>
      <c r="E56" s="27">
        <v>8.5419999999999998</v>
      </c>
      <c r="F56" s="25"/>
      <c r="G56" s="29"/>
      <c r="H56" s="26">
        <f t="shared" si="7"/>
        <v>3.750333333333332</v>
      </c>
      <c r="I56" s="26">
        <f t="shared" si="8"/>
        <v>0.16633333333333233</v>
      </c>
      <c r="J56" s="30">
        <f t="shared" si="9"/>
        <v>3.9166666666666643</v>
      </c>
    </row>
    <row r="57" spans="1:10" x14ac:dyDescent="0.25">
      <c r="A57" s="25" t="s">
        <v>85</v>
      </c>
      <c r="B57" s="29">
        <v>3.75</v>
      </c>
      <c r="C57" s="29">
        <v>3.75</v>
      </c>
      <c r="D57" s="27"/>
      <c r="E57" s="27"/>
      <c r="F57" s="25"/>
      <c r="G57" s="29"/>
      <c r="H57" s="26">
        <f t="shared" si="7"/>
        <v>7.500333333333332</v>
      </c>
      <c r="I57" s="26">
        <f t="shared" si="8"/>
        <v>3.9163333333333323</v>
      </c>
      <c r="J57" s="30">
        <f t="shared" si="9"/>
        <v>11.416666666666664</v>
      </c>
    </row>
    <row r="58" spans="1:10" x14ac:dyDescent="0.25">
      <c r="A58" s="25" t="s">
        <v>86</v>
      </c>
      <c r="B58" s="24"/>
      <c r="C58" s="24"/>
      <c r="D58" s="27"/>
      <c r="E58" s="27"/>
      <c r="F58" s="25"/>
      <c r="G58" s="29">
        <v>1</v>
      </c>
      <c r="H58" s="26">
        <f t="shared" si="7"/>
        <v>7.500333333333332</v>
      </c>
      <c r="I58" s="26">
        <f t="shared" si="8"/>
        <v>3.9163333333333323</v>
      </c>
      <c r="J58" s="30">
        <f t="shared" si="9"/>
        <v>11.416666666666664</v>
      </c>
    </row>
    <row r="59" spans="1:10" x14ac:dyDescent="0.25">
      <c r="A59" s="25" t="s">
        <v>87</v>
      </c>
      <c r="B59" s="24"/>
      <c r="C59" s="24"/>
      <c r="D59" s="27"/>
      <c r="E59" s="27"/>
      <c r="F59" s="25">
        <v>3</v>
      </c>
      <c r="G59" s="29"/>
      <c r="H59" s="26">
        <f t="shared" si="7"/>
        <v>4.500333333333332</v>
      </c>
      <c r="I59" s="26">
        <f t="shared" si="8"/>
        <v>3.9163333333333323</v>
      </c>
      <c r="J59" s="30">
        <f t="shared" si="9"/>
        <v>8.4166666666666643</v>
      </c>
    </row>
    <row r="60" spans="1:10" x14ac:dyDescent="0.25">
      <c r="A60" s="25" t="s">
        <v>88</v>
      </c>
      <c r="B60" s="29">
        <v>2.5</v>
      </c>
      <c r="C60" s="29">
        <v>2.5</v>
      </c>
      <c r="D60" s="27"/>
      <c r="E60" s="27"/>
      <c r="F60" s="25"/>
      <c r="G60" s="29"/>
      <c r="H60" s="26">
        <f t="shared" si="7"/>
        <v>7.000333333333332</v>
      </c>
      <c r="I60" s="26">
        <f t="shared" si="8"/>
        <v>6.4163333333333323</v>
      </c>
      <c r="J60" s="30">
        <f t="shared" si="9"/>
        <v>13.416666666666664</v>
      </c>
    </row>
    <row r="61" spans="1:10" x14ac:dyDescent="0.25">
      <c r="A61" s="25" t="s">
        <v>91</v>
      </c>
      <c r="B61" s="29">
        <v>3.75</v>
      </c>
      <c r="C61" s="29">
        <v>3.75</v>
      </c>
      <c r="D61" s="27"/>
      <c r="E61" s="27"/>
      <c r="F61" s="25"/>
      <c r="G61" s="29"/>
      <c r="H61" s="26">
        <f t="shared" si="7"/>
        <v>10.750333333333332</v>
      </c>
      <c r="I61" s="26">
        <f t="shared" si="8"/>
        <v>10.166333333333332</v>
      </c>
      <c r="J61" s="30">
        <f t="shared" si="9"/>
        <v>20.916666666666664</v>
      </c>
    </row>
    <row r="62" spans="1:10" x14ac:dyDescent="0.25">
      <c r="A62" s="25" t="s">
        <v>93</v>
      </c>
      <c r="B62" s="29"/>
      <c r="C62" s="29"/>
      <c r="D62" s="27"/>
      <c r="E62" s="27">
        <v>1</v>
      </c>
      <c r="F62" s="25"/>
      <c r="G62" s="29"/>
      <c r="H62" s="26">
        <f t="shared" si="7"/>
        <v>10.750333333333332</v>
      </c>
      <c r="I62" s="26">
        <f t="shared" si="8"/>
        <v>9.1663333333333323</v>
      </c>
      <c r="J62" s="30">
        <f t="shared" si="9"/>
        <v>19.916666666666664</v>
      </c>
    </row>
    <row r="63" spans="1:10" x14ac:dyDescent="0.25">
      <c r="A63" s="25" t="s">
        <v>92</v>
      </c>
      <c r="B63" s="29"/>
      <c r="C63" s="29"/>
      <c r="D63" s="27"/>
      <c r="E63" s="27"/>
      <c r="F63" s="25"/>
      <c r="G63" s="42">
        <v>1</v>
      </c>
      <c r="H63" s="26">
        <f t="shared" si="7"/>
        <v>10.750333333333332</v>
      </c>
      <c r="I63" s="26">
        <f t="shared" si="8"/>
        <v>9.1663333333333323</v>
      </c>
      <c r="J63" s="30">
        <f t="shared" si="9"/>
        <v>19.916666666666664</v>
      </c>
    </row>
    <row r="64" spans="1:10" x14ac:dyDescent="0.25">
      <c r="A64" s="25" t="s">
        <v>94</v>
      </c>
      <c r="B64" s="29"/>
      <c r="C64" s="29"/>
      <c r="D64" s="27"/>
      <c r="E64" s="27"/>
      <c r="F64" s="25"/>
      <c r="G64" s="42">
        <v>1</v>
      </c>
      <c r="H64" s="26">
        <f t="shared" si="7"/>
        <v>10.750333333333332</v>
      </c>
      <c r="I64" s="26">
        <f t="shared" si="8"/>
        <v>9.1663333333333323</v>
      </c>
      <c r="J64" s="30">
        <f t="shared" si="9"/>
        <v>19.916666666666664</v>
      </c>
    </row>
    <row r="65" spans="1:10" x14ac:dyDescent="0.25">
      <c r="A65" s="25" t="s">
        <v>106</v>
      </c>
      <c r="B65" s="29">
        <v>2.5</v>
      </c>
      <c r="C65" s="29">
        <v>2.5</v>
      </c>
      <c r="D65" s="27"/>
      <c r="E65" s="27"/>
      <c r="F65" s="25"/>
      <c r="G65" s="29"/>
      <c r="H65" s="26">
        <f t="shared" si="7"/>
        <v>13.250333333333332</v>
      </c>
      <c r="I65" s="26">
        <f t="shared" si="8"/>
        <v>11.666333333333332</v>
      </c>
      <c r="J65" s="30">
        <f t="shared" si="9"/>
        <v>24.916666666666664</v>
      </c>
    </row>
    <row r="66" spans="1:10" x14ac:dyDescent="0.25">
      <c r="A66" s="25" t="s">
        <v>107</v>
      </c>
      <c r="B66" s="29"/>
      <c r="C66" s="29"/>
      <c r="D66" s="27"/>
      <c r="E66" s="27">
        <v>1</v>
      </c>
      <c r="F66" s="25"/>
      <c r="G66" s="29"/>
      <c r="H66" s="26">
        <f t="shared" si="7"/>
        <v>13.250333333333332</v>
      </c>
      <c r="I66" s="26">
        <f t="shared" si="8"/>
        <v>10.666333333333332</v>
      </c>
      <c r="J66" s="30">
        <f t="shared" si="9"/>
        <v>23.916666666666664</v>
      </c>
    </row>
    <row r="67" spans="1:10" x14ac:dyDescent="0.25">
      <c r="A67" s="25" t="s">
        <v>108</v>
      </c>
      <c r="B67" s="29">
        <v>1.25</v>
      </c>
      <c r="C67" s="29">
        <v>1.25</v>
      </c>
      <c r="D67" s="27"/>
      <c r="E67" s="27"/>
      <c r="F67" s="25"/>
      <c r="G67" s="29"/>
      <c r="H67" s="26">
        <f t="shared" si="7"/>
        <v>14.500333333333332</v>
      </c>
      <c r="I67" s="26">
        <f t="shared" si="8"/>
        <v>11.916333333333332</v>
      </c>
      <c r="J67" s="30">
        <f t="shared" si="9"/>
        <v>26.416666666666664</v>
      </c>
    </row>
    <row r="68" spans="1:10" x14ac:dyDescent="0.25">
      <c r="A68" s="25" t="s">
        <v>109</v>
      </c>
      <c r="B68" s="29"/>
      <c r="C68" s="29"/>
      <c r="D68" s="27"/>
      <c r="E68" s="27">
        <v>1</v>
      </c>
      <c r="F68" s="25"/>
      <c r="G68" s="29"/>
      <c r="H68" s="26">
        <f t="shared" si="7"/>
        <v>14.500333333333332</v>
      </c>
      <c r="I68" s="26">
        <f t="shared" si="8"/>
        <v>10.916333333333332</v>
      </c>
      <c r="J68" s="30">
        <f t="shared" si="9"/>
        <v>25.416666666666664</v>
      </c>
    </row>
    <row r="69" spans="1:10" x14ac:dyDescent="0.25">
      <c r="A69" s="25" t="s">
        <v>110</v>
      </c>
      <c r="B69" s="29">
        <v>1.25</v>
      </c>
      <c r="C69" s="29">
        <v>1.25</v>
      </c>
      <c r="D69" s="27"/>
      <c r="E69" s="27"/>
      <c r="F69" s="25"/>
      <c r="G69" s="29"/>
      <c r="H69" s="26">
        <f t="shared" ref="H69:H70" si="10">H68-F69-D69+B69</f>
        <v>15.750333333333332</v>
      </c>
      <c r="I69" s="26">
        <f t="shared" ref="I69:I70" si="11">I68-E69+C69</f>
        <v>12.166333333333332</v>
      </c>
      <c r="J69" s="30">
        <f t="shared" ref="J69:J70" si="12">SUM(H69:I69)</f>
        <v>27.916666666666664</v>
      </c>
    </row>
    <row r="70" spans="1:10" x14ac:dyDescent="0.25">
      <c r="A70" s="25" t="s">
        <v>111</v>
      </c>
      <c r="B70" s="29"/>
      <c r="C70" s="29"/>
      <c r="D70" s="27"/>
      <c r="E70" s="27"/>
      <c r="F70" s="25"/>
      <c r="G70" s="42">
        <v>1</v>
      </c>
      <c r="H70" s="26">
        <f t="shared" si="10"/>
        <v>15.750333333333332</v>
      </c>
      <c r="I70" s="26">
        <f t="shared" si="11"/>
        <v>12.166333333333332</v>
      </c>
      <c r="J70" s="30">
        <f t="shared" si="12"/>
        <v>27.916666666666664</v>
      </c>
    </row>
    <row r="71" spans="1:10" x14ac:dyDescent="0.25">
      <c r="A71" s="25" t="s">
        <v>112</v>
      </c>
      <c r="B71" s="29">
        <v>1.25</v>
      </c>
      <c r="C71" s="29">
        <v>1.25</v>
      </c>
      <c r="D71" s="27"/>
      <c r="E71" s="27"/>
      <c r="F71" s="25"/>
      <c r="G71" s="29"/>
      <c r="H71" s="26">
        <f t="shared" ref="H71:H72" si="13">H70-F71-D71+B71</f>
        <v>17.00033333333333</v>
      </c>
      <c r="I71" s="26">
        <f t="shared" ref="I71:I72" si="14">I70-E71+C71</f>
        <v>13.416333333333332</v>
      </c>
      <c r="J71" s="30">
        <f t="shared" ref="J71:J72" si="15">SUM(H71:I71)</f>
        <v>30.416666666666664</v>
      </c>
    </row>
    <row r="72" spans="1:10" x14ac:dyDescent="0.25">
      <c r="A72" s="25" t="s">
        <v>113</v>
      </c>
      <c r="B72" s="29"/>
      <c r="C72" s="29"/>
      <c r="D72" s="27">
        <v>10</v>
      </c>
      <c r="E72" s="27"/>
      <c r="F72" s="25"/>
      <c r="G72" s="29"/>
      <c r="H72" s="26">
        <f t="shared" si="13"/>
        <v>7.0003333333333302</v>
      </c>
      <c r="I72" s="26">
        <f t="shared" si="14"/>
        <v>13.416333333333332</v>
      </c>
      <c r="J72" s="30">
        <f t="shared" si="15"/>
        <v>20.416666666666664</v>
      </c>
    </row>
    <row r="73" spans="1:10" x14ac:dyDescent="0.25">
      <c r="A73" s="25" t="s">
        <v>115</v>
      </c>
      <c r="B73" s="29"/>
      <c r="C73" s="29"/>
      <c r="D73" s="27"/>
      <c r="E73" s="27">
        <v>1</v>
      </c>
      <c r="F73" s="25"/>
      <c r="G73" s="29"/>
      <c r="H73" s="26">
        <f t="shared" ref="H73" si="16">H72-F73-D73+B73</f>
        <v>7.0003333333333302</v>
      </c>
      <c r="I73" s="26">
        <f t="shared" ref="I73" si="17">I72-E73+C73</f>
        <v>12.416333333333332</v>
      </c>
      <c r="J73" s="30">
        <f t="shared" ref="J73" si="18">SUM(H73:I73)</f>
        <v>19.416666666666664</v>
      </c>
    </row>
    <row r="74" spans="1:10" x14ac:dyDescent="0.25">
      <c r="A74" s="25" t="s">
        <v>116</v>
      </c>
      <c r="B74" s="29">
        <v>1.25</v>
      </c>
      <c r="C74" s="29">
        <v>1.25</v>
      </c>
      <c r="D74" s="27"/>
      <c r="E74" s="27"/>
      <c r="F74" s="25"/>
      <c r="G74" s="29"/>
      <c r="H74" s="26">
        <f t="shared" ref="H74:H75" si="19">H73-F74-D74+B74</f>
        <v>8.2503333333333302</v>
      </c>
      <c r="I74" s="26">
        <f t="shared" ref="I74:I75" si="20">I73-E74+C74</f>
        <v>13.666333333333332</v>
      </c>
      <c r="J74" s="30">
        <f t="shared" ref="J74:J75" si="21">SUM(H74:I74)</f>
        <v>21.916666666666664</v>
      </c>
    </row>
    <row r="75" spans="1:10" x14ac:dyDescent="0.25">
      <c r="A75" s="25" t="s">
        <v>117</v>
      </c>
      <c r="B75" s="29"/>
      <c r="C75" s="29"/>
      <c r="D75" s="27"/>
      <c r="E75" s="27"/>
      <c r="F75" s="72">
        <v>4</v>
      </c>
      <c r="G75" s="29"/>
      <c r="H75" s="26">
        <f t="shared" si="19"/>
        <v>4.2503333333333302</v>
      </c>
      <c r="I75" s="26">
        <f t="shared" si="20"/>
        <v>13.666333333333332</v>
      </c>
      <c r="J75" s="30">
        <f t="shared" si="21"/>
        <v>17.916666666666664</v>
      </c>
    </row>
    <row r="76" spans="1:10" x14ac:dyDescent="0.25">
      <c r="A76" s="25" t="s">
        <v>118</v>
      </c>
      <c r="B76" s="29">
        <v>1.25</v>
      </c>
      <c r="C76" s="29">
        <v>1.25</v>
      </c>
      <c r="D76" s="27"/>
      <c r="E76" s="27"/>
      <c r="F76" s="25"/>
      <c r="G76" s="29"/>
      <c r="H76" s="26">
        <f t="shared" ref="H76:H77" si="22">H75-F76-D76+B76</f>
        <v>5.5003333333333302</v>
      </c>
      <c r="I76" s="26">
        <f t="shared" ref="I76:I77" si="23">I75-E76+C76</f>
        <v>14.916333333333332</v>
      </c>
      <c r="J76" s="30">
        <f t="shared" ref="J76:J77" si="24">SUM(H76:I76)</f>
        <v>20.416666666666664</v>
      </c>
    </row>
    <row r="77" spans="1:10" x14ac:dyDescent="0.25">
      <c r="A77" s="25" t="s">
        <v>119</v>
      </c>
      <c r="B77" s="29"/>
      <c r="C77" s="29"/>
      <c r="D77" s="27"/>
      <c r="E77" s="27"/>
      <c r="F77" s="72">
        <v>1</v>
      </c>
      <c r="G77" s="29"/>
      <c r="H77" s="26">
        <f t="shared" si="22"/>
        <v>4.5003333333333302</v>
      </c>
      <c r="I77" s="26">
        <f t="shared" si="23"/>
        <v>14.916333333333332</v>
      </c>
      <c r="J77" s="30">
        <f t="shared" si="24"/>
        <v>19.416666666666664</v>
      </c>
    </row>
    <row r="78" spans="1:10" x14ac:dyDescent="0.25">
      <c r="A78" s="25" t="s">
        <v>120</v>
      </c>
      <c r="B78" s="29"/>
      <c r="C78" s="29"/>
      <c r="D78" s="27"/>
      <c r="E78" s="27">
        <v>1</v>
      </c>
      <c r="F78" s="25"/>
      <c r="G78" s="29"/>
      <c r="H78" s="26">
        <f t="shared" ref="H78" si="25">H77-F78-D78+B78</f>
        <v>4.5003333333333302</v>
      </c>
      <c r="I78" s="26">
        <f t="shared" ref="I78" si="26">I77-E78+C78</f>
        <v>13.916333333333332</v>
      </c>
      <c r="J78" s="30">
        <f t="shared" ref="J78" si="27">SUM(H78:I78)</f>
        <v>18.416666666666664</v>
      </c>
    </row>
    <row r="79" spans="1:10" x14ac:dyDescent="0.25">
      <c r="A79" s="39"/>
      <c r="D79" s="40"/>
      <c r="E79" s="40"/>
      <c r="F79" s="39"/>
      <c r="H79" s="40"/>
      <c r="I79" s="40"/>
      <c r="J79" s="40"/>
    </row>
    <row r="80" spans="1:10" s="1" customFormat="1" x14ac:dyDescent="0.25">
      <c r="G80" s="1" t="s">
        <v>27</v>
      </c>
    </row>
    <row r="81" spans="7:9" s="1" customFormat="1" x14ac:dyDescent="0.25"/>
    <row r="82" spans="7:9" s="1" customFormat="1" x14ac:dyDescent="0.25">
      <c r="G82" s="73" t="s">
        <v>26</v>
      </c>
      <c r="H82" s="73"/>
      <c r="I82" s="73"/>
    </row>
    <row r="83" spans="7:9" s="1" customFormat="1" x14ac:dyDescent="0.25">
      <c r="G83" s="74" t="s">
        <v>25</v>
      </c>
      <c r="H83" s="74"/>
      <c r="I83" s="74"/>
    </row>
    <row r="84" spans="7:9" s="1" customFormat="1" x14ac:dyDescent="0.25">
      <c r="G84" s="74" t="s">
        <v>24</v>
      </c>
      <c r="H84" s="74"/>
      <c r="I84" s="74"/>
    </row>
  </sheetData>
  <mergeCells count="16">
    <mergeCell ref="A2:J2"/>
    <mergeCell ref="A3:J3"/>
    <mergeCell ref="A4:J4"/>
    <mergeCell ref="A5:J5"/>
    <mergeCell ref="B7:D7"/>
    <mergeCell ref="A11:A12"/>
    <mergeCell ref="J11:J12"/>
    <mergeCell ref="D11:G11"/>
    <mergeCell ref="B9:D9"/>
    <mergeCell ref="A10:J10"/>
    <mergeCell ref="G82:I82"/>
    <mergeCell ref="G83:I83"/>
    <mergeCell ref="G84:I84"/>
    <mergeCell ref="B11:C11"/>
    <mergeCell ref="K11:K12"/>
    <mergeCell ref="H11:I11"/>
  </mergeCells>
  <printOptions horizontalCentered="1"/>
  <pageMargins left="0.23622047244094491" right="0.23622047244094491" top="0.62992125984251968" bottom="0.62992125984251968" header="0.31496062992125984" footer="0.31496062992125984"/>
  <pageSetup paperSize="9" scale="73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view="pageBreakPreview" topLeftCell="A10" zoomScale="112" zoomScaleNormal="100" zoomScaleSheetLayoutView="112" workbookViewId="0">
      <selection activeCell="I27" sqref="I27:K27"/>
    </sheetView>
  </sheetViews>
  <sheetFormatPr defaultColWidth="8.7109375" defaultRowHeight="15" x14ac:dyDescent="0.25"/>
  <cols>
    <col min="1" max="1" width="26.85546875" style="7" customWidth="1"/>
    <col min="2" max="2" width="11.42578125" style="7" customWidth="1"/>
    <col min="3" max="4" width="8.7109375" style="7"/>
    <col min="5" max="5" width="13" style="7" customWidth="1"/>
    <col min="6" max="6" width="8.7109375" style="7"/>
    <col min="7" max="7" width="3.5703125" style="7" customWidth="1"/>
    <col min="8" max="8" width="8.7109375" style="7"/>
    <col min="9" max="9" width="4.85546875" style="7" customWidth="1"/>
    <col min="10" max="16384" width="8.7109375" style="7"/>
  </cols>
  <sheetData>
    <row r="1" spans="1:12" s="8" customFormat="1" ht="52.5" customHeight="1" x14ac:dyDescent="0.25"/>
    <row r="2" spans="1:12" s="8" customFormat="1" ht="10.5" customHeight="1" x14ac:dyDescent="0.25">
      <c r="A2" s="98" t="s">
        <v>43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2" s="8" customFormat="1" ht="15.95" customHeight="1" x14ac:dyDescent="0.25">
      <c r="A3" s="98" t="s">
        <v>42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 s="8" customFormat="1" ht="15.95" customHeight="1" x14ac:dyDescent="0.25">
      <c r="A4" s="98" t="s">
        <v>41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 s="8" customFormat="1" ht="15.95" customHeight="1" x14ac:dyDescent="0.25">
      <c r="A5" s="98" t="s">
        <v>40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s="8" customFormat="1" ht="8.25" customHeight="1" x14ac:dyDescent="0.25"/>
    <row r="7" spans="1:12" s="8" customFormat="1" ht="12" customHeight="1" x14ac:dyDescent="0.25">
      <c r="A7" s="8" t="s">
        <v>39</v>
      </c>
      <c r="C7" s="20" t="s">
        <v>38</v>
      </c>
      <c r="D7" s="20"/>
      <c r="G7" s="20" t="s">
        <v>9</v>
      </c>
      <c r="H7" s="22"/>
    </row>
    <row r="8" spans="1:12" s="8" customFormat="1" ht="12" customHeight="1" x14ac:dyDescent="0.25">
      <c r="C8" s="21"/>
      <c r="G8" s="21"/>
      <c r="H8" s="21"/>
    </row>
    <row r="9" spans="1:12" s="8" customFormat="1" ht="12" customHeight="1" x14ac:dyDescent="0.25">
      <c r="A9" s="8" t="s">
        <v>37</v>
      </c>
      <c r="C9" s="20" t="s">
        <v>36</v>
      </c>
      <c r="D9" s="20"/>
      <c r="G9" s="20" t="s">
        <v>10</v>
      </c>
      <c r="H9" s="19"/>
    </row>
    <row r="10" spans="1:12" ht="16.5" customHeight="1" thickBot="1" x14ac:dyDescent="0.3">
      <c r="A10" s="99" t="s">
        <v>35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</row>
    <row r="11" spans="1:12" s="17" customFormat="1" ht="18.75" customHeight="1" x14ac:dyDescent="0.2">
      <c r="A11" s="100" t="s">
        <v>4</v>
      </c>
      <c r="B11" s="102" t="s">
        <v>5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4" t="s">
        <v>8</v>
      </c>
    </row>
    <row r="12" spans="1:12" s="17" customFormat="1" ht="24" customHeight="1" x14ac:dyDescent="0.2">
      <c r="A12" s="101"/>
      <c r="B12" s="96" t="s">
        <v>34</v>
      </c>
      <c r="C12" s="106"/>
      <c r="D12" s="106"/>
      <c r="E12" s="97"/>
      <c r="F12" s="96" t="s">
        <v>33</v>
      </c>
      <c r="G12" s="97"/>
      <c r="H12" s="96" t="s">
        <v>32</v>
      </c>
      <c r="I12" s="97"/>
      <c r="J12" s="96" t="s">
        <v>31</v>
      </c>
      <c r="K12" s="97"/>
      <c r="L12" s="105"/>
    </row>
    <row r="13" spans="1:12" s="17" customFormat="1" ht="24.95" hidden="1" customHeight="1" x14ac:dyDescent="0.2">
      <c r="A13" s="16" t="s">
        <v>30</v>
      </c>
      <c r="B13" s="94" t="s">
        <v>29</v>
      </c>
      <c r="C13" s="92"/>
      <c r="D13" s="92"/>
      <c r="E13" s="93"/>
      <c r="F13" s="15">
        <v>1</v>
      </c>
      <c r="G13" s="14"/>
      <c r="H13" s="94">
        <v>0</v>
      </c>
      <c r="I13" s="93"/>
      <c r="J13" s="94">
        <v>1</v>
      </c>
      <c r="K13" s="93"/>
      <c r="L13" s="18">
        <v>1</v>
      </c>
    </row>
    <row r="14" spans="1:12" s="10" customFormat="1" ht="25.5" hidden="1" customHeight="1" x14ac:dyDescent="0.2">
      <c r="A14" s="16" t="s">
        <v>44</v>
      </c>
      <c r="B14" s="94" t="s">
        <v>29</v>
      </c>
      <c r="C14" s="92"/>
      <c r="D14" s="92"/>
      <c r="E14" s="93"/>
      <c r="F14" s="15"/>
      <c r="G14" s="14"/>
      <c r="H14" s="94">
        <v>1</v>
      </c>
      <c r="I14" s="93"/>
      <c r="J14" s="94">
        <v>0</v>
      </c>
      <c r="K14" s="93"/>
      <c r="L14" s="18">
        <v>0</v>
      </c>
    </row>
    <row r="15" spans="1:12" s="10" customFormat="1" ht="25.5" hidden="1" customHeight="1" x14ac:dyDescent="0.2">
      <c r="A15" s="34" t="s">
        <v>53</v>
      </c>
      <c r="B15" s="91" t="s">
        <v>54</v>
      </c>
      <c r="C15" s="92"/>
      <c r="D15" s="92"/>
      <c r="E15" s="93"/>
      <c r="F15" s="15">
        <v>1</v>
      </c>
      <c r="G15" s="14"/>
      <c r="H15" s="94">
        <v>0</v>
      </c>
      <c r="I15" s="93"/>
      <c r="J15" s="94">
        <v>1</v>
      </c>
      <c r="K15" s="93"/>
      <c r="L15" s="18">
        <v>1</v>
      </c>
    </row>
    <row r="16" spans="1:12" s="10" customFormat="1" ht="25.5" hidden="1" customHeight="1" x14ac:dyDescent="0.2">
      <c r="A16" s="35" t="s">
        <v>55</v>
      </c>
      <c r="B16" s="95" t="s">
        <v>54</v>
      </c>
      <c r="C16" s="89"/>
      <c r="D16" s="89"/>
      <c r="E16" s="90"/>
      <c r="F16" s="36"/>
      <c r="G16" s="37"/>
      <c r="H16" s="88">
        <v>1</v>
      </c>
      <c r="I16" s="90"/>
      <c r="J16" s="88">
        <v>0</v>
      </c>
      <c r="K16" s="90"/>
      <c r="L16" s="38">
        <v>0</v>
      </c>
    </row>
    <row r="17" spans="1:12" s="10" customFormat="1" ht="25.5" hidden="1" customHeight="1" x14ac:dyDescent="0.2">
      <c r="A17" s="35" t="s">
        <v>75</v>
      </c>
      <c r="B17" s="88" t="s">
        <v>76</v>
      </c>
      <c r="C17" s="89"/>
      <c r="D17" s="89"/>
      <c r="E17" s="90"/>
      <c r="F17" s="36">
        <v>1</v>
      </c>
      <c r="G17" s="37"/>
      <c r="H17" s="88">
        <v>0</v>
      </c>
      <c r="I17" s="90"/>
      <c r="J17" s="88">
        <v>1</v>
      </c>
      <c r="K17" s="90"/>
      <c r="L17" s="38">
        <v>1</v>
      </c>
    </row>
    <row r="18" spans="1:12" s="10" customFormat="1" ht="25.5" hidden="1" customHeight="1" x14ac:dyDescent="0.2">
      <c r="A18" s="35" t="s">
        <v>77</v>
      </c>
      <c r="B18" s="88" t="s">
        <v>76</v>
      </c>
      <c r="C18" s="89"/>
      <c r="D18" s="89"/>
      <c r="E18" s="90"/>
      <c r="F18" s="36"/>
      <c r="G18" s="37"/>
      <c r="H18" s="88">
        <v>1</v>
      </c>
      <c r="I18" s="90"/>
      <c r="J18" s="88">
        <v>0</v>
      </c>
      <c r="K18" s="90"/>
      <c r="L18" s="38">
        <v>0</v>
      </c>
    </row>
    <row r="19" spans="1:12" s="70" customFormat="1" ht="19.5" customHeight="1" x14ac:dyDescent="0.2">
      <c r="A19" s="66" t="s">
        <v>103</v>
      </c>
      <c r="B19" s="110" t="s">
        <v>104</v>
      </c>
      <c r="C19" s="111"/>
      <c r="D19" s="111"/>
      <c r="E19" s="112"/>
      <c r="F19" s="67">
        <v>1</v>
      </c>
      <c r="G19" s="68"/>
      <c r="H19" s="110">
        <v>0</v>
      </c>
      <c r="I19" s="112"/>
      <c r="J19" s="110">
        <v>1</v>
      </c>
      <c r="K19" s="112"/>
      <c r="L19" s="69">
        <v>1</v>
      </c>
    </row>
    <row r="20" spans="1:12" s="70" customFormat="1" ht="19.5" customHeight="1" x14ac:dyDescent="0.2">
      <c r="A20" s="66" t="s">
        <v>105</v>
      </c>
      <c r="B20" s="110" t="s">
        <v>104</v>
      </c>
      <c r="C20" s="111"/>
      <c r="D20" s="111"/>
      <c r="E20" s="112"/>
      <c r="F20" s="67"/>
      <c r="G20" s="68"/>
      <c r="H20" s="110">
        <v>1</v>
      </c>
      <c r="I20" s="112"/>
      <c r="J20" s="110">
        <v>0</v>
      </c>
      <c r="K20" s="112"/>
      <c r="L20" s="71">
        <v>0</v>
      </c>
    </row>
    <row r="21" spans="1:12" s="10" customFormat="1" x14ac:dyDescent="0.2">
      <c r="A21" s="13" t="s">
        <v>28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1"/>
    </row>
    <row r="22" spans="1:12" ht="18.95" customHeight="1" x14ac:dyDescent="0.25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</row>
    <row r="23" spans="1:12" s="8" customFormat="1" x14ac:dyDescent="0.25">
      <c r="C23" s="9"/>
      <c r="I23" s="8" t="s">
        <v>27</v>
      </c>
    </row>
    <row r="24" spans="1:12" s="8" customFormat="1" x14ac:dyDescent="0.25">
      <c r="C24" s="9"/>
    </row>
    <row r="25" spans="1:12" x14ac:dyDescent="0.25">
      <c r="I25" s="107" t="s">
        <v>26</v>
      </c>
      <c r="J25" s="107"/>
      <c r="K25" s="107"/>
    </row>
    <row r="26" spans="1:12" x14ac:dyDescent="0.25">
      <c r="I26" s="108" t="s">
        <v>25</v>
      </c>
      <c r="J26" s="108"/>
      <c r="K26" s="108"/>
    </row>
    <row r="27" spans="1:12" x14ac:dyDescent="0.25">
      <c r="I27" s="109" t="s">
        <v>24</v>
      </c>
      <c r="J27" s="109"/>
      <c r="K27" s="109"/>
    </row>
  </sheetData>
  <mergeCells count="40">
    <mergeCell ref="I25:K25"/>
    <mergeCell ref="I26:K26"/>
    <mergeCell ref="I27:K27"/>
    <mergeCell ref="B19:E19"/>
    <mergeCell ref="H19:I19"/>
    <mergeCell ref="J19:K19"/>
    <mergeCell ref="B20:E20"/>
    <mergeCell ref="H20:I20"/>
    <mergeCell ref="J20:K20"/>
    <mergeCell ref="A22:L22"/>
    <mergeCell ref="F12:G12"/>
    <mergeCell ref="A2:L2"/>
    <mergeCell ref="A3:L3"/>
    <mergeCell ref="A4:L4"/>
    <mergeCell ref="A5:L5"/>
    <mergeCell ref="A10:L10"/>
    <mergeCell ref="H12:I12"/>
    <mergeCell ref="J12:K12"/>
    <mergeCell ref="A11:A12"/>
    <mergeCell ref="B11:K11"/>
    <mergeCell ref="L11:L12"/>
    <mergeCell ref="B12:E12"/>
    <mergeCell ref="B13:E13"/>
    <mergeCell ref="H13:I13"/>
    <mergeCell ref="J13:K13"/>
    <mergeCell ref="B14:E14"/>
    <mergeCell ref="H14:I14"/>
    <mergeCell ref="J14:K14"/>
    <mergeCell ref="B15:E15"/>
    <mergeCell ref="H15:I15"/>
    <mergeCell ref="J15:K15"/>
    <mergeCell ref="B16:E16"/>
    <mergeCell ref="H16:I16"/>
    <mergeCell ref="J16:K16"/>
    <mergeCell ref="B18:E18"/>
    <mergeCell ref="H18:I18"/>
    <mergeCell ref="J18:K18"/>
    <mergeCell ref="B17:E17"/>
    <mergeCell ref="H17:I17"/>
    <mergeCell ref="J17:K17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70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B431-E26A-4469-B00B-A61AED5BC927}">
  <sheetPr>
    <pageSetUpPr fitToPage="1"/>
  </sheetPr>
  <dimension ref="A1:J24"/>
  <sheetViews>
    <sheetView view="pageBreakPreview" topLeftCell="A4" zoomScaleNormal="100" zoomScaleSheetLayoutView="100" workbookViewId="0">
      <selection activeCell="C23" sqref="C23"/>
    </sheetView>
  </sheetViews>
  <sheetFormatPr defaultRowHeight="15" x14ac:dyDescent="0.25"/>
  <cols>
    <col min="1" max="1" width="29.5703125" style="49" customWidth="1"/>
    <col min="2" max="2" width="15.85546875" style="49" customWidth="1"/>
    <col min="3" max="5" width="9.140625" style="49"/>
    <col min="6" max="6" width="5.140625" style="49" customWidth="1"/>
    <col min="7" max="7" width="9.140625" style="49"/>
    <col min="8" max="8" width="7.5703125" style="49" customWidth="1"/>
    <col min="9" max="9" width="7.140625" style="49" customWidth="1"/>
    <col min="10" max="10" width="8" style="49" customWidth="1"/>
  </cols>
  <sheetData>
    <row r="1" spans="1:10" x14ac:dyDescent="0.25">
      <c r="A1" s="43"/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0" x14ac:dyDescent="0.25">
      <c r="A5" s="140" t="s">
        <v>43</v>
      </c>
      <c r="B5" s="140"/>
      <c r="C5" s="140"/>
      <c r="D5" s="140"/>
      <c r="E5" s="140"/>
      <c r="F5" s="140"/>
      <c r="G5" s="140"/>
      <c r="H5" s="140"/>
      <c r="I5" s="140"/>
      <c r="J5" s="43"/>
    </row>
    <row r="6" spans="1:10" x14ac:dyDescent="0.25">
      <c r="A6" s="140" t="s">
        <v>42</v>
      </c>
      <c r="B6" s="140"/>
      <c r="C6" s="140"/>
      <c r="D6" s="140"/>
      <c r="E6" s="140"/>
      <c r="F6" s="140"/>
      <c r="G6" s="140"/>
      <c r="H6" s="140"/>
      <c r="I6" s="140"/>
      <c r="J6" s="43"/>
    </row>
    <row r="7" spans="1:10" x14ac:dyDescent="0.25">
      <c r="A7" s="140" t="s">
        <v>41</v>
      </c>
      <c r="B7" s="140"/>
      <c r="C7" s="140"/>
      <c r="D7" s="140"/>
      <c r="E7" s="140"/>
      <c r="F7" s="140"/>
      <c r="G7" s="140"/>
      <c r="H7" s="140"/>
      <c r="I7" s="140"/>
      <c r="J7" s="43"/>
    </row>
    <row r="8" spans="1:10" x14ac:dyDescent="0.25">
      <c r="A8" s="140" t="s">
        <v>40</v>
      </c>
      <c r="B8" s="140"/>
      <c r="C8" s="140"/>
      <c r="D8" s="140"/>
      <c r="E8" s="140"/>
      <c r="F8" s="140"/>
      <c r="G8" s="140"/>
      <c r="H8" s="140"/>
      <c r="I8" s="140"/>
      <c r="J8" s="43"/>
    </row>
    <row r="9" spans="1:10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</row>
    <row r="10" spans="1:10" x14ac:dyDescent="0.25">
      <c r="A10" s="43" t="s">
        <v>39</v>
      </c>
      <c r="B10" s="139" t="s">
        <v>38</v>
      </c>
      <c r="C10" s="139"/>
      <c r="D10" s="139"/>
      <c r="E10" s="43"/>
      <c r="F10" s="43"/>
      <c r="G10" s="43"/>
      <c r="H10" s="45"/>
      <c r="I10" s="46"/>
      <c r="J10" s="43"/>
    </row>
    <row r="11" spans="1:10" x14ac:dyDescent="0.25">
      <c r="A11" s="43"/>
      <c r="B11" s="47"/>
      <c r="C11" s="47"/>
      <c r="D11" s="43"/>
      <c r="E11" s="43"/>
      <c r="F11" s="43"/>
      <c r="G11" s="43"/>
      <c r="H11" s="47"/>
      <c r="I11" s="47"/>
      <c r="J11" s="43"/>
    </row>
    <row r="12" spans="1:10" x14ac:dyDescent="0.25">
      <c r="A12" s="43" t="s">
        <v>37</v>
      </c>
      <c r="B12" s="139" t="s">
        <v>36</v>
      </c>
      <c r="C12" s="139"/>
      <c r="D12" s="139"/>
      <c r="E12" s="43"/>
      <c r="F12" s="43"/>
      <c r="G12" s="43"/>
      <c r="H12" s="48"/>
      <c r="I12" s="46"/>
      <c r="J12" s="43"/>
    </row>
    <row r="13" spans="1:10" x14ac:dyDescent="0.25">
      <c r="A13" s="43"/>
      <c r="B13" s="44"/>
      <c r="C13" s="44"/>
      <c r="D13" s="44"/>
      <c r="E13" s="43"/>
      <c r="F13" s="43"/>
      <c r="G13" s="43"/>
      <c r="H13" s="46"/>
      <c r="I13" s="46"/>
      <c r="J13" s="43"/>
    </row>
    <row r="14" spans="1:10" ht="21.75" thickBot="1" x14ac:dyDescent="0.3">
      <c r="A14" s="120" t="s">
        <v>95</v>
      </c>
      <c r="B14" s="120"/>
      <c r="C14" s="120"/>
      <c r="D14" s="120"/>
      <c r="E14" s="120"/>
      <c r="F14" s="120"/>
      <c r="G14" s="120"/>
      <c r="H14" s="120"/>
      <c r="I14" s="120"/>
      <c r="J14" s="120"/>
    </row>
    <row r="15" spans="1:10" ht="15" customHeight="1" x14ac:dyDescent="0.25">
      <c r="A15" s="121" t="s">
        <v>96</v>
      </c>
      <c r="B15" s="124" t="s">
        <v>97</v>
      </c>
      <c r="C15" s="127" t="s">
        <v>101</v>
      </c>
      <c r="D15" s="133"/>
      <c r="E15" s="133"/>
      <c r="F15" s="134"/>
      <c r="G15" s="127" t="s">
        <v>33</v>
      </c>
      <c r="H15" s="127" t="s">
        <v>32</v>
      </c>
      <c r="I15" s="127" t="s">
        <v>31</v>
      </c>
      <c r="J15" s="130" t="s">
        <v>8</v>
      </c>
    </row>
    <row r="16" spans="1:10" x14ac:dyDescent="0.25">
      <c r="A16" s="122"/>
      <c r="B16" s="125"/>
      <c r="C16" s="128"/>
      <c r="D16" s="135"/>
      <c r="E16" s="135"/>
      <c r="F16" s="136"/>
      <c r="G16" s="128"/>
      <c r="H16" s="128"/>
      <c r="I16" s="128"/>
      <c r="J16" s="131"/>
    </row>
    <row r="17" spans="1:10" ht="15.75" thickBot="1" x14ac:dyDescent="0.3">
      <c r="A17" s="123"/>
      <c r="B17" s="126"/>
      <c r="C17" s="129"/>
      <c r="D17" s="137"/>
      <c r="E17" s="137"/>
      <c r="F17" s="138"/>
      <c r="G17" s="129"/>
      <c r="H17" s="129"/>
      <c r="I17" s="129"/>
      <c r="J17" s="132"/>
    </row>
    <row r="18" spans="1:10" s="59" customFormat="1" ht="56.25" customHeight="1" x14ac:dyDescent="0.25">
      <c r="A18" s="62" t="s">
        <v>102</v>
      </c>
      <c r="B18" s="63" t="s">
        <v>98</v>
      </c>
      <c r="C18" s="114" t="s">
        <v>99</v>
      </c>
      <c r="D18" s="115"/>
      <c r="E18" s="115"/>
      <c r="F18" s="116"/>
      <c r="G18" s="64">
        <v>5</v>
      </c>
      <c r="H18" s="64">
        <v>0</v>
      </c>
      <c r="I18" s="64">
        <f>G18-H18</f>
        <v>5</v>
      </c>
      <c r="J18" s="65">
        <v>5</v>
      </c>
    </row>
    <row r="19" spans="1:10" s="59" customFormat="1" ht="56.25" customHeight="1" x14ac:dyDescent="0.25">
      <c r="A19" s="57" t="s">
        <v>100</v>
      </c>
      <c r="B19" s="58"/>
      <c r="C19" s="117" t="s">
        <v>99</v>
      </c>
      <c r="D19" s="118"/>
      <c r="E19" s="118"/>
      <c r="F19" s="119"/>
      <c r="G19" s="60"/>
      <c r="H19" s="60">
        <v>5</v>
      </c>
      <c r="I19" s="60">
        <v>0</v>
      </c>
      <c r="J19" s="61">
        <v>0</v>
      </c>
    </row>
    <row r="20" spans="1:10" ht="24" customHeight="1" x14ac:dyDescent="0.25">
      <c r="A20" s="50"/>
      <c r="B20" s="51"/>
      <c r="C20" s="52"/>
      <c r="D20" s="52"/>
      <c r="E20" s="52"/>
      <c r="F20" s="52"/>
      <c r="G20" s="52"/>
      <c r="H20" s="52"/>
      <c r="I20" s="52"/>
      <c r="J20" s="53"/>
    </row>
    <row r="21" spans="1:10" ht="25.5" customHeight="1" x14ac:dyDescent="0.25">
      <c r="A21" s="54"/>
      <c r="B21" s="51"/>
      <c r="C21" s="51"/>
      <c r="D21" s="51"/>
      <c r="E21" s="51"/>
      <c r="F21" s="51"/>
      <c r="G21" s="43"/>
      <c r="H21" s="43"/>
      <c r="I21" s="43"/>
      <c r="J21" s="55"/>
    </row>
    <row r="22" spans="1:10" ht="8.25" customHeight="1" x14ac:dyDescent="0.25">
      <c r="A22" s="54"/>
      <c r="B22" s="51"/>
      <c r="C22" s="51"/>
      <c r="D22" s="51"/>
      <c r="E22" s="51"/>
      <c r="F22" s="51"/>
      <c r="G22" s="43"/>
      <c r="H22" s="43"/>
      <c r="I22" s="43"/>
      <c r="J22" s="54"/>
    </row>
    <row r="23" spans="1:10" x14ac:dyDescent="0.25">
      <c r="A23" s="43"/>
      <c r="B23" s="43"/>
      <c r="C23" s="43"/>
      <c r="D23" s="56"/>
      <c r="E23" s="43"/>
      <c r="F23" s="43"/>
      <c r="G23" s="43"/>
      <c r="H23" s="43"/>
      <c r="I23" s="43"/>
      <c r="J23" s="43"/>
    </row>
    <row r="24" spans="1:10" x14ac:dyDescent="0.25">
      <c r="A24" s="43"/>
      <c r="B24" s="43"/>
      <c r="C24" s="43"/>
      <c r="D24" s="56"/>
      <c r="E24" s="43"/>
      <c r="F24" s="43"/>
      <c r="G24" s="43"/>
      <c r="H24" s="43"/>
      <c r="I24" s="43"/>
      <c r="J24" s="43"/>
    </row>
  </sheetData>
  <mergeCells count="16">
    <mergeCell ref="B12:D12"/>
    <mergeCell ref="A5:I5"/>
    <mergeCell ref="A6:I6"/>
    <mergeCell ref="A7:I7"/>
    <mergeCell ref="A8:I8"/>
    <mergeCell ref="B10:D10"/>
    <mergeCell ref="C18:F18"/>
    <mergeCell ref="C19:F19"/>
    <mergeCell ref="A14:J14"/>
    <mergeCell ref="A15:A17"/>
    <mergeCell ref="B15:B17"/>
    <mergeCell ref="G15:G17"/>
    <mergeCell ref="H15:H17"/>
    <mergeCell ref="I15:I17"/>
    <mergeCell ref="J15:J17"/>
    <mergeCell ref="C15:F17"/>
  </mergeCells>
  <pageMargins left="0.7" right="0.7" top="0.75" bottom="0.75" header="0.3" footer="0.3"/>
  <pageSetup paperSize="9" scale="8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DA2A-1019-43FD-B073-DB2FD45E0A42}">
  <sheetPr>
    <pageSetUpPr fitToPage="1"/>
  </sheetPr>
  <dimension ref="A1:K72"/>
  <sheetViews>
    <sheetView view="pageBreakPreview" topLeftCell="A14" zoomScaleNormal="100" zoomScaleSheetLayoutView="100" workbookViewId="0">
      <selection activeCell="G39" sqref="G39"/>
    </sheetView>
  </sheetViews>
  <sheetFormatPr defaultRowHeight="15" x14ac:dyDescent="0.25"/>
  <cols>
    <col min="1" max="1" width="32.85546875" customWidth="1"/>
    <col min="2" max="10" width="11.5703125" customWidth="1"/>
    <col min="11" max="11" width="26.42578125" style="5" customWidth="1"/>
  </cols>
  <sheetData>
    <row r="1" spans="1:11" s="1" customFormat="1" ht="52.5" customHeight="1" x14ac:dyDescent="0.25"/>
    <row r="2" spans="1:11" s="1" customFormat="1" ht="10.5" customHeight="1" x14ac:dyDescent="0.25">
      <c r="A2" s="87" t="s">
        <v>43</v>
      </c>
      <c r="B2" s="87"/>
      <c r="C2" s="87"/>
      <c r="D2" s="87"/>
      <c r="E2" s="87"/>
      <c r="F2" s="87"/>
      <c r="G2" s="87"/>
      <c r="H2" s="87"/>
      <c r="I2" s="87"/>
      <c r="J2" s="87"/>
    </row>
    <row r="3" spans="1:11" s="1" customFormat="1" ht="15.95" customHeight="1" x14ac:dyDescent="0.25">
      <c r="A3" s="87" t="s">
        <v>42</v>
      </c>
      <c r="B3" s="87"/>
      <c r="C3" s="87"/>
      <c r="D3" s="87"/>
      <c r="E3" s="87"/>
      <c r="F3" s="87"/>
      <c r="G3" s="87"/>
      <c r="H3" s="87"/>
      <c r="I3" s="87"/>
      <c r="J3" s="87"/>
    </row>
    <row r="4" spans="1:11" s="1" customFormat="1" ht="15.95" customHeight="1" x14ac:dyDescent="0.25">
      <c r="A4" s="87" t="s">
        <v>41</v>
      </c>
      <c r="B4" s="87"/>
      <c r="C4" s="87"/>
      <c r="D4" s="87"/>
      <c r="E4" s="87"/>
      <c r="F4" s="87"/>
      <c r="G4" s="87"/>
      <c r="H4" s="87"/>
      <c r="I4" s="87"/>
      <c r="J4" s="87"/>
    </row>
    <row r="5" spans="1:11" s="1" customFormat="1" ht="15.95" customHeight="1" x14ac:dyDescent="0.25">
      <c r="A5" s="87" t="s">
        <v>40</v>
      </c>
      <c r="B5" s="87"/>
      <c r="C5" s="87"/>
      <c r="D5" s="87"/>
      <c r="E5" s="87"/>
      <c r="F5" s="87"/>
      <c r="G5" s="87"/>
      <c r="H5" s="87"/>
      <c r="I5" s="87"/>
      <c r="J5" s="87"/>
    </row>
    <row r="6" spans="1:11" s="1" customFormat="1" ht="8.25" customHeight="1" x14ac:dyDescent="0.25"/>
    <row r="7" spans="1:11" s="1" customFormat="1" ht="12" customHeight="1" x14ac:dyDescent="0.25">
      <c r="A7" s="1" t="s">
        <v>39</v>
      </c>
      <c r="B7" s="85" t="s">
        <v>38</v>
      </c>
      <c r="C7" s="85"/>
      <c r="D7" s="85"/>
      <c r="H7" s="3" t="s">
        <v>9</v>
      </c>
      <c r="I7" s="23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37</v>
      </c>
      <c r="B9" s="85" t="s">
        <v>36</v>
      </c>
      <c r="C9" s="85"/>
      <c r="D9" s="85"/>
      <c r="H9" s="3" t="s">
        <v>10</v>
      </c>
      <c r="I9" s="4"/>
      <c r="J9" s="3"/>
    </row>
    <row r="10" spans="1:11" ht="16.5" customHeight="1" thickBot="1" x14ac:dyDescent="0.3">
      <c r="A10" s="86" t="s">
        <v>0</v>
      </c>
      <c r="B10" s="86"/>
      <c r="C10" s="86"/>
      <c r="D10" s="86"/>
      <c r="E10" s="86"/>
      <c r="F10" s="86"/>
      <c r="G10" s="86"/>
      <c r="H10" s="86"/>
      <c r="I10" s="86"/>
      <c r="J10" s="86"/>
      <c r="K10"/>
    </row>
    <row r="11" spans="1:11" ht="18.75" customHeight="1" x14ac:dyDescent="0.25">
      <c r="A11" s="78" t="s">
        <v>4</v>
      </c>
      <c r="B11" s="75" t="s">
        <v>5</v>
      </c>
      <c r="C11" s="75"/>
      <c r="D11" s="82" t="s">
        <v>6</v>
      </c>
      <c r="E11" s="83"/>
      <c r="F11" s="83"/>
      <c r="G11" s="84"/>
      <c r="H11" s="77" t="s">
        <v>7</v>
      </c>
      <c r="I11" s="77"/>
      <c r="J11" s="80" t="s">
        <v>8</v>
      </c>
      <c r="K11" s="76" t="s">
        <v>11</v>
      </c>
    </row>
    <row r="12" spans="1:11" ht="18.75" customHeight="1" thickBot="1" x14ac:dyDescent="0.3">
      <c r="A12" s="79"/>
      <c r="B12" s="6" t="s">
        <v>1</v>
      </c>
      <c r="C12" s="6" t="s">
        <v>2</v>
      </c>
      <c r="D12" s="6" t="s">
        <v>1</v>
      </c>
      <c r="E12" s="6" t="s">
        <v>2</v>
      </c>
      <c r="F12" s="6" t="s">
        <v>3</v>
      </c>
      <c r="G12" s="6" t="s">
        <v>46</v>
      </c>
      <c r="H12" s="6" t="s">
        <v>1</v>
      </c>
      <c r="I12" s="6" t="s">
        <v>2</v>
      </c>
      <c r="J12" s="81"/>
      <c r="K12" s="76"/>
    </row>
    <row r="13" spans="1:11" ht="18.75" customHeight="1" x14ac:dyDescent="0.25">
      <c r="A13" s="28" t="s">
        <v>12</v>
      </c>
      <c r="B13" s="26">
        <f>SUM(1.25/30)*29</f>
        <v>1.2083333333333333</v>
      </c>
      <c r="C13" s="26">
        <f>SUM(1.25/30)*29</f>
        <v>1.2083333333333333</v>
      </c>
      <c r="D13" s="26"/>
      <c r="E13" s="26"/>
      <c r="F13" s="26"/>
      <c r="G13" s="26"/>
      <c r="H13" s="26">
        <f>B13</f>
        <v>1.2083333333333333</v>
      </c>
      <c r="I13" s="26">
        <f>C13</f>
        <v>1.2083333333333333</v>
      </c>
      <c r="J13" s="30">
        <f t="shared" ref="J13:J14" si="0">SUM(H13:I13)</f>
        <v>2.4166666666666665</v>
      </c>
    </row>
    <row r="14" spans="1:11" ht="18.75" customHeight="1" x14ac:dyDescent="0.25">
      <c r="A14" s="28" t="s">
        <v>13</v>
      </c>
      <c r="B14" s="26">
        <v>5</v>
      </c>
      <c r="C14" s="26">
        <v>5</v>
      </c>
      <c r="D14" s="26"/>
      <c r="E14" s="26"/>
      <c r="F14" s="26"/>
      <c r="G14" s="26"/>
      <c r="H14" s="26">
        <f>H13-F14-D14+B14</f>
        <v>6.208333333333333</v>
      </c>
      <c r="I14" s="26">
        <f>I13-E14+C14</f>
        <v>6.208333333333333</v>
      </c>
      <c r="J14" s="30">
        <f t="shared" si="0"/>
        <v>12.416666666666666</v>
      </c>
    </row>
    <row r="15" spans="1:11" ht="18.75" customHeight="1" x14ac:dyDescent="0.25">
      <c r="A15" s="28" t="s">
        <v>14</v>
      </c>
      <c r="B15" s="26"/>
      <c r="C15" s="26"/>
      <c r="D15" s="26"/>
      <c r="E15" s="26"/>
      <c r="F15" s="26"/>
      <c r="G15" s="26">
        <v>2</v>
      </c>
      <c r="H15" s="26">
        <f t="shared" ref="H15:H63" si="1">H14-F15-D15+B15</f>
        <v>6.208333333333333</v>
      </c>
      <c r="I15" s="26">
        <f t="shared" ref="I15:I63" si="2">I14-E15+C15</f>
        <v>6.208333333333333</v>
      </c>
      <c r="J15" s="30">
        <f t="shared" ref="J15:J63" si="3">SUM(H15:I15)</f>
        <v>12.416666666666666</v>
      </c>
    </row>
    <row r="16" spans="1:11" ht="18.75" customHeight="1" x14ac:dyDescent="0.25">
      <c r="A16" s="28" t="s">
        <v>15</v>
      </c>
      <c r="B16" s="26"/>
      <c r="C16" s="26"/>
      <c r="D16" s="26"/>
      <c r="E16" s="26"/>
      <c r="F16" s="26"/>
      <c r="G16" s="26">
        <v>1</v>
      </c>
      <c r="H16" s="26">
        <f t="shared" si="1"/>
        <v>6.208333333333333</v>
      </c>
      <c r="I16" s="26">
        <f t="shared" si="2"/>
        <v>6.208333333333333</v>
      </c>
      <c r="J16" s="30">
        <f t="shared" si="3"/>
        <v>12.416666666666666</v>
      </c>
    </row>
    <row r="17" spans="1:10" ht="18.75" customHeight="1" x14ac:dyDescent="0.25">
      <c r="A17" s="28" t="s">
        <v>16</v>
      </c>
      <c r="B17" s="26">
        <v>3.75</v>
      </c>
      <c r="C17" s="26">
        <v>3.75</v>
      </c>
      <c r="D17" s="26"/>
      <c r="E17" s="26"/>
      <c r="F17" s="26"/>
      <c r="G17" s="26"/>
      <c r="H17" s="26">
        <f t="shared" si="1"/>
        <v>9.9583333333333321</v>
      </c>
      <c r="I17" s="26">
        <f t="shared" si="2"/>
        <v>9.9583333333333321</v>
      </c>
      <c r="J17" s="30">
        <f t="shared" si="3"/>
        <v>19.916666666666664</v>
      </c>
    </row>
    <row r="18" spans="1:10" ht="18.75" customHeight="1" x14ac:dyDescent="0.25">
      <c r="A18" s="28" t="s">
        <v>17</v>
      </c>
      <c r="B18" s="26">
        <v>1.25</v>
      </c>
      <c r="C18" s="26">
        <v>1.25</v>
      </c>
      <c r="D18" s="26"/>
      <c r="E18" s="26"/>
      <c r="F18" s="26"/>
      <c r="G18" s="26"/>
      <c r="H18" s="26">
        <f t="shared" si="1"/>
        <v>11.208333333333332</v>
      </c>
      <c r="I18" s="26">
        <f t="shared" si="2"/>
        <v>11.208333333333332</v>
      </c>
      <c r="J18" s="30">
        <f t="shared" si="3"/>
        <v>22.416666666666664</v>
      </c>
    </row>
    <row r="19" spans="1:10" ht="18.75" customHeight="1" x14ac:dyDescent="0.25">
      <c r="A19" s="28" t="s">
        <v>18</v>
      </c>
      <c r="B19" s="26"/>
      <c r="C19" s="26"/>
      <c r="D19" s="26"/>
      <c r="E19" s="26"/>
      <c r="F19" s="26">
        <v>1</v>
      </c>
      <c r="G19" s="26"/>
      <c r="H19" s="26">
        <f t="shared" si="1"/>
        <v>10.208333333333332</v>
      </c>
      <c r="I19" s="26">
        <f t="shared" si="2"/>
        <v>11.208333333333332</v>
      </c>
      <c r="J19" s="30">
        <f t="shared" si="3"/>
        <v>21.416666666666664</v>
      </c>
    </row>
    <row r="20" spans="1:10" ht="18.75" customHeight="1" x14ac:dyDescent="0.25">
      <c r="A20" s="28" t="s">
        <v>19</v>
      </c>
      <c r="B20" s="26">
        <v>1.25</v>
      </c>
      <c r="C20" s="26">
        <v>1.25</v>
      </c>
      <c r="D20" s="26"/>
      <c r="E20" s="26"/>
      <c r="F20" s="26"/>
      <c r="G20" s="26"/>
      <c r="H20" s="26">
        <f t="shared" si="1"/>
        <v>11.458333333333332</v>
      </c>
      <c r="I20" s="26">
        <f t="shared" si="2"/>
        <v>12.458333333333332</v>
      </c>
      <c r="J20" s="30">
        <f t="shared" si="3"/>
        <v>23.916666666666664</v>
      </c>
    </row>
    <row r="21" spans="1:10" ht="18.75" customHeight="1" x14ac:dyDescent="0.25">
      <c r="A21" s="25" t="s">
        <v>21</v>
      </c>
      <c r="B21" s="26"/>
      <c r="C21" s="26"/>
      <c r="D21" s="26"/>
      <c r="E21" s="26"/>
      <c r="F21" s="26">
        <v>1</v>
      </c>
      <c r="G21" s="26"/>
      <c r="H21" s="26">
        <f t="shared" si="1"/>
        <v>10.458333333333332</v>
      </c>
      <c r="I21" s="26">
        <f t="shared" si="2"/>
        <v>12.458333333333332</v>
      </c>
      <c r="J21" s="30">
        <f t="shared" si="3"/>
        <v>22.916666666666664</v>
      </c>
    </row>
    <row r="22" spans="1:10" ht="18.75" customHeight="1" x14ac:dyDescent="0.25">
      <c r="A22" s="25" t="s">
        <v>20</v>
      </c>
      <c r="B22" s="26">
        <v>1.25</v>
      </c>
      <c r="C22" s="26">
        <v>1.25</v>
      </c>
      <c r="D22" s="26"/>
      <c r="E22" s="26"/>
      <c r="F22" s="26"/>
      <c r="G22" s="26"/>
      <c r="H22" s="26">
        <f t="shared" si="1"/>
        <v>11.708333333333332</v>
      </c>
      <c r="I22" s="26">
        <f t="shared" si="2"/>
        <v>13.708333333333332</v>
      </c>
      <c r="J22" s="30">
        <f t="shared" si="3"/>
        <v>25.416666666666664</v>
      </c>
    </row>
    <row r="23" spans="1:10" ht="18.75" customHeight="1" x14ac:dyDescent="0.25">
      <c r="A23" s="25" t="s">
        <v>22</v>
      </c>
      <c r="B23" s="26"/>
      <c r="C23" s="26"/>
      <c r="D23" s="26"/>
      <c r="E23" s="26"/>
      <c r="F23" s="26">
        <v>1</v>
      </c>
      <c r="G23" s="26"/>
      <c r="H23" s="26">
        <f t="shared" si="1"/>
        <v>10.708333333333332</v>
      </c>
      <c r="I23" s="26">
        <f t="shared" si="2"/>
        <v>13.708333333333332</v>
      </c>
      <c r="J23" s="30">
        <f t="shared" si="3"/>
        <v>24.416666666666664</v>
      </c>
    </row>
    <row r="24" spans="1:10" ht="18.75" customHeight="1" x14ac:dyDescent="0.25">
      <c r="A24" s="25" t="s">
        <v>23</v>
      </c>
      <c r="B24" s="26"/>
      <c r="C24" s="26"/>
      <c r="D24" s="26"/>
      <c r="E24" s="26"/>
      <c r="F24" s="26">
        <v>2</v>
      </c>
      <c r="G24" s="26"/>
      <c r="H24" s="26">
        <f t="shared" si="1"/>
        <v>8.7083333333333321</v>
      </c>
      <c r="I24" s="26">
        <f t="shared" si="2"/>
        <v>13.708333333333332</v>
      </c>
      <c r="J24" s="30">
        <f t="shared" si="3"/>
        <v>22.416666666666664</v>
      </c>
    </row>
    <row r="25" spans="1:10" ht="18.75" customHeight="1" x14ac:dyDescent="0.25">
      <c r="A25" s="25" t="s">
        <v>45</v>
      </c>
      <c r="B25" s="26">
        <v>1.25</v>
      </c>
      <c r="C25" s="26">
        <v>1.25</v>
      </c>
      <c r="D25" s="26"/>
      <c r="E25" s="26"/>
      <c r="F25" s="26"/>
      <c r="G25" s="26"/>
      <c r="H25" s="26">
        <f t="shared" si="1"/>
        <v>9.9583333333333321</v>
      </c>
      <c r="I25" s="26">
        <f t="shared" si="2"/>
        <v>14.958333333333332</v>
      </c>
      <c r="J25" s="30">
        <f t="shared" si="3"/>
        <v>24.916666666666664</v>
      </c>
    </row>
    <row r="26" spans="1:10" ht="18.75" customHeight="1" x14ac:dyDescent="0.25">
      <c r="A26" s="25" t="s">
        <v>47</v>
      </c>
      <c r="B26" s="26">
        <v>1.25</v>
      </c>
      <c r="C26" s="26">
        <v>1.25</v>
      </c>
      <c r="D26" s="26"/>
      <c r="E26" s="26"/>
      <c r="F26" s="26"/>
      <c r="G26" s="26"/>
      <c r="H26" s="26">
        <f t="shared" si="1"/>
        <v>11.208333333333332</v>
      </c>
      <c r="I26" s="26">
        <f t="shared" si="2"/>
        <v>16.208333333333332</v>
      </c>
      <c r="J26" s="30">
        <f t="shared" si="3"/>
        <v>27.416666666666664</v>
      </c>
    </row>
    <row r="27" spans="1:10" ht="18.75" customHeight="1" x14ac:dyDescent="0.25">
      <c r="A27" s="29" t="s">
        <v>48</v>
      </c>
      <c r="B27" s="26"/>
      <c r="C27" s="26"/>
      <c r="D27" s="26"/>
      <c r="E27" s="26"/>
      <c r="F27" s="26"/>
      <c r="G27" s="26">
        <v>0.5</v>
      </c>
      <c r="H27" s="26">
        <f t="shared" si="1"/>
        <v>11.208333333333332</v>
      </c>
      <c r="I27" s="26">
        <f t="shared" si="2"/>
        <v>16.208333333333332</v>
      </c>
      <c r="J27" s="30">
        <f t="shared" si="3"/>
        <v>27.416666666666664</v>
      </c>
    </row>
    <row r="28" spans="1:10" ht="18.75" customHeight="1" x14ac:dyDescent="0.25">
      <c r="A28" s="29" t="s">
        <v>49</v>
      </c>
      <c r="B28" s="26"/>
      <c r="C28" s="26"/>
      <c r="D28" s="26"/>
      <c r="E28" s="26"/>
      <c r="F28" s="26"/>
      <c r="G28" s="26">
        <v>0.5</v>
      </c>
      <c r="H28" s="26">
        <f t="shared" si="1"/>
        <v>11.208333333333332</v>
      </c>
      <c r="I28" s="26">
        <f t="shared" si="2"/>
        <v>16.208333333333332</v>
      </c>
      <c r="J28" s="30">
        <f t="shared" si="3"/>
        <v>27.416666666666664</v>
      </c>
    </row>
    <row r="29" spans="1:10" ht="18.75" customHeight="1" x14ac:dyDescent="0.25">
      <c r="A29" s="29" t="s">
        <v>50</v>
      </c>
      <c r="B29" s="26">
        <v>1.25</v>
      </c>
      <c r="C29" s="26">
        <v>1.25</v>
      </c>
      <c r="D29" s="26"/>
      <c r="E29" s="26"/>
      <c r="F29" s="26"/>
      <c r="G29" s="26"/>
      <c r="H29" s="26">
        <f t="shared" si="1"/>
        <v>12.458333333333332</v>
      </c>
      <c r="I29" s="26">
        <f t="shared" si="2"/>
        <v>17.458333333333332</v>
      </c>
      <c r="J29" s="30">
        <f t="shared" si="3"/>
        <v>29.916666666666664</v>
      </c>
    </row>
    <row r="30" spans="1:10" ht="18.75" customHeight="1" x14ac:dyDescent="0.25">
      <c r="A30" s="29" t="s">
        <v>51</v>
      </c>
      <c r="B30" s="31"/>
      <c r="C30" s="31"/>
      <c r="D30" s="31"/>
      <c r="E30" s="31"/>
      <c r="F30" s="31"/>
      <c r="G30" s="31">
        <v>0.5</v>
      </c>
      <c r="H30" s="26">
        <f t="shared" si="1"/>
        <v>12.458333333333332</v>
      </c>
      <c r="I30" s="26">
        <f t="shared" si="2"/>
        <v>17.458333333333332</v>
      </c>
      <c r="J30" s="30">
        <f t="shared" si="3"/>
        <v>29.916666666666664</v>
      </c>
    </row>
    <row r="31" spans="1:10" ht="18.75" customHeight="1" x14ac:dyDescent="0.25">
      <c r="A31" s="29" t="s">
        <v>90</v>
      </c>
      <c r="B31" s="32"/>
      <c r="C31" s="32"/>
      <c r="D31" s="32"/>
      <c r="E31" s="32"/>
      <c r="F31" s="33">
        <v>2</v>
      </c>
      <c r="G31" s="32"/>
      <c r="H31" s="26">
        <f t="shared" si="1"/>
        <v>10.458333333333332</v>
      </c>
      <c r="I31" s="26">
        <f t="shared" si="2"/>
        <v>17.458333333333332</v>
      </c>
      <c r="J31" s="30">
        <f t="shared" si="3"/>
        <v>27.916666666666664</v>
      </c>
    </row>
    <row r="32" spans="1:10" x14ac:dyDescent="0.25">
      <c r="A32" s="29" t="s">
        <v>52</v>
      </c>
      <c r="B32" s="27"/>
      <c r="C32" s="27"/>
      <c r="D32" s="27"/>
      <c r="E32" s="27"/>
      <c r="F32" s="27"/>
      <c r="G32" s="27">
        <v>1</v>
      </c>
      <c r="H32" s="26">
        <f t="shared" si="1"/>
        <v>10.458333333333332</v>
      </c>
      <c r="I32" s="26">
        <f t="shared" si="2"/>
        <v>17.458333333333332</v>
      </c>
      <c r="J32" s="30">
        <f t="shared" si="3"/>
        <v>27.916666666666664</v>
      </c>
    </row>
    <row r="33" spans="1:10" x14ac:dyDescent="0.25">
      <c r="A33" s="25" t="s">
        <v>56</v>
      </c>
      <c r="B33" s="27">
        <v>3.75</v>
      </c>
      <c r="C33" s="27">
        <v>3.75</v>
      </c>
      <c r="D33" s="27"/>
      <c r="E33" s="27"/>
      <c r="F33" s="27"/>
      <c r="G33" s="27"/>
      <c r="H33" s="26">
        <f t="shared" si="1"/>
        <v>14.208333333333332</v>
      </c>
      <c r="I33" s="26">
        <f t="shared" si="2"/>
        <v>21.208333333333332</v>
      </c>
      <c r="J33" s="30">
        <f t="shared" si="3"/>
        <v>35.416666666666664</v>
      </c>
    </row>
    <row r="34" spans="1:10" x14ac:dyDescent="0.25">
      <c r="A34" s="29" t="s">
        <v>57</v>
      </c>
      <c r="B34" s="24"/>
      <c r="C34" s="24"/>
      <c r="D34" s="24"/>
      <c r="E34" s="24"/>
      <c r="F34" s="27">
        <v>1</v>
      </c>
      <c r="G34" s="27"/>
      <c r="H34" s="26">
        <f t="shared" si="1"/>
        <v>13.208333333333332</v>
      </c>
      <c r="I34" s="26">
        <f t="shared" si="2"/>
        <v>21.208333333333332</v>
      </c>
      <c r="J34" s="30">
        <f t="shared" si="3"/>
        <v>34.416666666666664</v>
      </c>
    </row>
    <row r="35" spans="1:10" x14ac:dyDescent="0.25">
      <c r="A35" s="25" t="s">
        <v>58</v>
      </c>
      <c r="B35" s="26">
        <v>1.25</v>
      </c>
      <c r="C35" s="26">
        <v>1.25</v>
      </c>
      <c r="D35" s="24"/>
      <c r="E35" s="24"/>
      <c r="F35" s="24"/>
      <c r="G35" s="24"/>
      <c r="H35" s="26">
        <f t="shared" si="1"/>
        <v>14.458333333333332</v>
      </c>
      <c r="I35" s="26">
        <f t="shared" si="2"/>
        <v>22.458333333333332</v>
      </c>
      <c r="J35" s="30">
        <f t="shared" si="3"/>
        <v>36.916666666666664</v>
      </c>
    </row>
    <row r="36" spans="1:10" x14ac:dyDescent="0.25">
      <c r="A36" s="29" t="s">
        <v>59</v>
      </c>
      <c r="B36" s="24"/>
      <c r="C36" s="24"/>
      <c r="D36" s="24"/>
      <c r="E36" s="27">
        <v>2</v>
      </c>
      <c r="F36" s="24"/>
      <c r="G36" s="24"/>
      <c r="H36" s="26">
        <f t="shared" si="1"/>
        <v>14.458333333333332</v>
      </c>
      <c r="I36" s="26">
        <f t="shared" si="2"/>
        <v>20.458333333333332</v>
      </c>
      <c r="J36" s="30">
        <f t="shared" si="3"/>
        <v>34.916666666666664</v>
      </c>
    </row>
    <row r="37" spans="1:10" x14ac:dyDescent="0.25">
      <c r="A37" s="25" t="s">
        <v>60</v>
      </c>
      <c r="B37" s="24"/>
      <c r="C37" s="24"/>
      <c r="D37" s="24"/>
      <c r="E37" s="24"/>
      <c r="F37" s="27">
        <v>1</v>
      </c>
      <c r="G37" s="24"/>
      <c r="H37" s="26">
        <f t="shared" si="1"/>
        <v>13.458333333333332</v>
      </c>
      <c r="I37" s="26">
        <f t="shared" si="2"/>
        <v>20.458333333333332</v>
      </c>
      <c r="J37" s="30">
        <f t="shared" si="3"/>
        <v>33.916666666666664</v>
      </c>
    </row>
    <row r="38" spans="1:10" x14ac:dyDescent="0.25">
      <c r="A38" s="25" t="s">
        <v>61</v>
      </c>
      <c r="B38" s="25">
        <v>1.25</v>
      </c>
      <c r="C38" s="25">
        <v>1.25</v>
      </c>
      <c r="D38" s="25"/>
      <c r="E38" s="25"/>
      <c r="F38" s="25"/>
      <c r="G38" s="25"/>
      <c r="H38" s="26">
        <f t="shared" si="1"/>
        <v>14.708333333333332</v>
      </c>
      <c r="I38" s="26">
        <f t="shared" si="2"/>
        <v>21.708333333333332</v>
      </c>
      <c r="J38" s="30">
        <f t="shared" si="3"/>
        <v>36.416666666666664</v>
      </c>
    </row>
    <row r="39" spans="1:10" x14ac:dyDescent="0.25">
      <c r="A39" s="25" t="s">
        <v>62</v>
      </c>
      <c r="B39" s="27">
        <v>2.5</v>
      </c>
      <c r="C39" s="27">
        <v>2.5</v>
      </c>
      <c r="D39" s="24"/>
      <c r="E39" s="24"/>
      <c r="F39" s="24"/>
      <c r="G39" s="24"/>
      <c r="H39" s="26">
        <f t="shared" si="1"/>
        <v>17.208333333333332</v>
      </c>
      <c r="I39" s="26">
        <f t="shared" si="2"/>
        <v>24.208333333333332</v>
      </c>
      <c r="J39" s="30">
        <f t="shared" si="3"/>
        <v>41.416666666666664</v>
      </c>
    </row>
    <row r="40" spans="1:10" x14ac:dyDescent="0.25">
      <c r="A40" s="25" t="s">
        <v>63</v>
      </c>
      <c r="B40" s="24"/>
      <c r="C40" s="24"/>
      <c r="D40" s="27">
        <v>10</v>
      </c>
      <c r="E40" s="27">
        <v>19</v>
      </c>
      <c r="F40" s="24"/>
      <c r="G40" s="24"/>
      <c r="H40" s="26">
        <f t="shared" si="1"/>
        <v>7.2083333333333321</v>
      </c>
      <c r="I40" s="26">
        <f t="shared" si="2"/>
        <v>5.2083333333333321</v>
      </c>
      <c r="J40" s="30">
        <f t="shared" si="3"/>
        <v>12.416666666666664</v>
      </c>
    </row>
    <row r="41" spans="1:10" x14ac:dyDescent="0.25">
      <c r="A41" s="25" t="s">
        <v>64</v>
      </c>
      <c r="B41" s="29">
        <v>1.25</v>
      </c>
      <c r="C41" s="29">
        <v>1.25</v>
      </c>
      <c r="D41" s="27"/>
      <c r="E41" s="27"/>
      <c r="F41" s="29"/>
      <c r="G41" s="29"/>
      <c r="H41" s="26">
        <f t="shared" si="1"/>
        <v>8.4583333333333321</v>
      </c>
      <c r="I41" s="26">
        <f t="shared" si="2"/>
        <v>6.4583333333333321</v>
      </c>
      <c r="J41" s="30">
        <f t="shared" si="3"/>
        <v>14.916666666666664</v>
      </c>
    </row>
    <row r="42" spans="1:10" x14ac:dyDescent="0.25">
      <c r="A42" s="25" t="s">
        <v>65</v>
      </c>
      <c r="B42" s="29"/>
      <c r="C42" s="29"/>
      <c r="D42" s="27"/>
      <c r="E42" s="27"/>
      <c r="F42" s="25">
        <v>1</v>
      </c>
      <c r="G42" s="29"/>
      <c r="H42" s="26">
        <f t="shared" si="1"/>
        <v>7.4583333333333321</v>
      </c>
      <c r="I42" s="26">
        <f t="shared" si="2"/>
        <v>6.4583333333333321</v>
      </c>
      <c r="J42" s="30">
        <f t="shared" si="3"/>
        <v>13.916666666666664</v>
      </c>
    </row>
    <row r="43" spans="1:10" x14ac:dyDescent="0.25">
      <c r="A43" s="25" t="s">
        <v>66</v>
      </c>
      <c r="B43" s="29">
        <v>2.5</v>
      </c>
      <c r="C43" s="29">
        <v>2.5</v>
      </c>
      <c r="D43" s="27"/>
      <c r="E43" s="27"/>
      <c r="F43" s="25"/>
      <c r="G43" s="29"/>
      <c r="H43" s="26">
        <f t="shared" si="1"/>
        <v>9.9583333333333321</v>
      </c>
      <c r="I43" s="26">
        <f t="shared" si="2"/>
        <v>8.9583333333333321</v>
      </c>
      <c r="J43" s="30">
        <f t="shared" si="3"/>
        <v>18.916666666666664</v>
      </c>
    </row>
    <row r="44" spans="1:10" x14ac:dyDescent="0.25">
      <c r="A44" s="25" t="s">
        <v>67</v>
      </c>
      <c r="B44" s="29">
        <v>1.25</v>
      </c>
      <c r="C44" s="29">
        <v>1.25</v>
      </c>
      <c r="D44" s="27"/>
      <c r="E44" s="27"/>
      <c r="F44" s="25"/>
      <c r="G44" s="29"/>
      <c r="H44" s="26">
        <f t="shared" si="1"/>
        <v>11.208333333333332</v>
      </c>
      <c r="I44" s="26">
        <f t="shared" si="2"/>
        <v>10.208333333333332</v>
      </c>
      <c r="J44" s="30">
        <f t="shared" si="3"/>
        <v>21.416666666666664</v>
      </c>
    </row>
    <row r="45" spans="1:10" x14ac:dyDescent="0.25">
      <c r="A45" s="25" t="s">
        <v>68</v>
      </c>
      <c r="B45" s="29">
        <v>1.25</v>
      </c>
      <c r="C45" s="29">
        <v>1.25</v>
      </c>
      <c r="D45" s="27"/>
      <c r="E45" s="27"/>
      <c r="F45" s="25"/>
      <c r="G45" s="29"/>
      <c r="H45" s="26">
        <f t="shared" si="1"/>
        <v>12.458333333333332</v>
      </c>
      <c r="I45" s="26">
        <f t="shared" si="2"/>
        <v>11.458333333333332</v>
      </c>
      <c r="J45" s="30">
        <f t="shared" si="3"/>
        <v>23.916666666666664</v>
      </c>
    </row>
    <row r="46" spans="1:10" x14ac:dyDescent="0.25">
      <c r="A46" s="25" t="s">
        <v>69</v>
      </c>
      <c r="B46" s="29"/>
      <c r="C46" s="29"/>
      <c r="D46" s="27">
        <v>0.5</v>
      </c>
      <c r="E46" s="27"/>
      <c r="F46" s="25"/>
      <c r="G46" s="29"/>
      <c r="H46" s="26">
        <f t="shared" si="1"/>
        <v>11.958333333333332</v>
      </c>
      <c r="I46" s="26">
        <f t="shared" si="2"/>
        <v>11.458333333333332</v>
      </c>
      <c r="J46" s="30">
        <f t="shared" si="3"/>
        <v>23.416666666666664</v>
      </c>
    </row>
    <row r="47" spans="1:10" x14ac:dyDescent="0.25">
      <c r="A47" s="25" t="s">
        <v>70</v>
      </c>
      <c r="B47" s="29">
        <v>1.25</v>
      </c>
      <c r="C47" s="29">
        <v>1.25</v>
      </c>
      <c r="D47" s="27"/>
      <c r="E47" s="27"/>
      <c r="F47" s="25"/>
      <c r="G47" s="29"/>
      <c r="H47" s="26">
        <f t="shared" si="1"/>
        <v>13.208333333333332</v>
      </c>
      <c r="I47" s="26">
        <f t="shared" si="2"/>
        <v>12.708333333333332</v>
      </c>
      <c r="J47" s="30">
        <f t="shared" si="3"/>
        <v>25.916666666666664</v>
      </c>
    </row>
    <row r="48" spans="1:10" x14ac:dyDescent="0.25">
      <c r="A48" s="25" t="s">
        <v>71</v>
      </c>
      <c r="B48" s="29"/>
      <c r="C48" s="29"/>
      <c r="D48" s="27"/>
      <c r="E48" s="27"/>
      <c r="F48" s="25"/>
      <c r="G48" s="29">
        <v>1</v>
      </c>
      <c r="H48" s="26">
        <f t="shared" si="1"/>
        <v>13.208333333333332</v>
      </c>
      <c r="I48" s="26">
        <f t="shared" si="2"/>
        <v>12.708333333333332</v>
      </c>
      <c r="J48" s="30">
        <f t="shared" si="3"/>
        <v>25.916666666666664</v>
      </c>
    </row>
    <row r="49" spans="1:10" x14ac:dyDescent="0.25">
      <c r="A49" s="25" t="s">
        <v>72</v>
      </c>
      <c r="B49" s="29"/>
      <c r="C49" s="29"/>
      <c r="D49" s="27"/>
      <c r="E49" s="27"/>
      <c r="F49" s="25">
        <v>1</v>
      </c>
      <c r="G49" s="29"/>
      <c r="H49" s="26">
        <f t="shared" si="1"/>
        <v>12.208333333333332</v>
      </c>
      <c r="I49" s="26">
        <f t="shared" si="2"/>
        <v>12.708333333333332</v>
      </c>
      <c r="J49" s="30">
        <f t="shared" si="3"/>
        <v>24.916666666666664</v>
      </c>
    </row>
    <row r="50" spans="1:10" x14ac:dyDescent="0.25">
      <c r="A50" s="25" t="s">
        <v>73</v>
      </c>
      <c r="B50" s="29"/>
      <c r="C50" s="29"/>
      <c r="D50" s="27"/>
      <c r="E50" s="27">
        <v>2</v>
      </c>
      <c r="F50" s="25"/>
      <c r="G50" s="29"/>
      <c r="H50" s="26">
        <f t="shared" si="1"/>
        <v>12.208333333333332</v>
      </c>
      <c r="I50" s="26">
        <f t="shared" si="2"/>
        <v>10.708333333333332</v>
      </c>
      <c r="J50" s="30">
        <f t="shared" si="3"/>
        <v>22.916666666666664</v>
      </c>
    </row>
    <row r="51" spans="1:10" x14ac:dyDescent="0.25">
      <c r="A51" s="25" t="s">
        <v>74</v>
      </c>
      <c r="B51" s="29">
        <v>2.5</v>
      </c>
      <c r="C51" s="29">
        <v>2.5</v>
      </c>
      <c r="D51" s="27"/>
      <c r="E51" s="27"/>
      <c r="F51" s="25"/>
      <c r="G51" s="29"/>
      <c r="H51" s="26">
        <f t="shared" si="1"/>
        <v>14.708333333333332</v>
      </c>
      <c r="I51" s="26">
        <f t="shared" si="2"/>
        <v>13.208333333333332</v>
      </c>
      <c r="J51" s="30">
        <f t="shared" si="3"/>
        <v>27.916666666666664</v>
      </c>
    </row>
    <row r="52" spans="1:10" x14ac:dyDescent="0.25">
      <c r="A52" s="25" t="s">
        <v>78</v>
      </c>
      <c r="B52" s="29"/>
      <c r="C52" s="29"/>
      <c r="D52" s="27"/>
      <c r="E52" s="27"/>
      <c r="F52" s="25">
        <v>1</v>
      </c>
      <c r="G52" s="29"/>
      <c r="H52" s="26">
        <f t="shared" si="1"/>
        <v>13.708333333333332</v>
      </c>
      <c r="I52" s="26">
        <f t="shared" si="2"/>
        <v>13.208333333333332</v>
      </c>
      <c r="J52" s="30">
        <f t="shared" si="3"/>
        <v>26.916666666666664</v>
      </c>
    </row>
    <row r="53" spans="1:10" x14ac:dyDescent="0.25">
      <c r="A53" s="25" t="s">
        <v>79</v>
      </c>
      <c r="B53" s="29">
        <v>1.25</v>
      </c>
      <c r="C53" s="29">
        <v>1.25</v>
      </c>
      <c r="D53" s="27"/>
      <c r="E53" s="27"/>
      <c r="F53" s="25"/>
      <c r="G53" s="29"/>
      <c r="H53" s="26">
        <f t="shared" si="1"/>
        <v>14.958333333333332</v>
      </c>
      <c r="I53" s="26">
        <f t="shared" si="2"/>
        <v>14.458333333333332</v>
      </c>
      <c r="J53" s="30">
        <f t="shared" si="3"/>
        <v>29.416666666666664</v>
      </c>
    </row>
    <row r="54" spans="1:10" x14ac:dyDescent="0.25">
      <c r="A54" s="25" t="s">
        <v>80</v>
      </c>
      <c r="B54" s="29"/>
      <c r="C54" s="29"/>
      <c r="D54" s="27"/>
      <c r="E54" s="27"/>
      <c r="F54" s="25"/>
      <c r="G54" s="29">
        <v>1</v>
      </c>
      <c r="H54" s="26">
        <f t="shared" si="1"/>
        <v>14.958333333333332</v>
      </c>
      <c r="I54" s="26">
        <f t="shared" si="2"/>
        <v>14.458333333333332</v>
      </c>
      <c r="J54" s="30">
        <f t="shared" si="3"/>
        <v>29.416666666666664</v>
      </c>
    </row>
    <row r="55" spans="1:10" x14ac:dyDescent="0.25">
      <c r="A55" s="25" t="s">
        <v>81</v>
      </c>
      <c r="B55" s="29">
        <v>1.25</v>
      </c>
      <c r="C55" s="29">
        <v>1.25</v>
      </c>
      <c r="D55" s="27"/>
      <c r="E55" s="27"/>
      <c r="F55" s="25"/>
      <c r="G55" s="29"/>
      <c r="H55" s="26">
        <f t="shared" si="1"/>
        <v>16.208333333333332</v>
      </c>
      <c r="I55" s="26">
        <f t="shared" si="2"/>
        <v>15.708333333333332</v>
      </c>
      <c r="J55" s="30">
        <f t="shared" si="3"/>
        <v>31.916666666666664</v>
      </c>
    </row>
    <row r="56" spans="1:10" x14ac:dyDescent="0.25">
      <c r="A56" s="25" t="s">
        <v>82</v>
      </c>
      <c r="B56" s="29"/>
      <c r="C56" s="29"/>
      <c r="D56" s="27"/>
      <c r="E56" s="27">
        <v>7</v>
      </c>
      <c r="F56" s="25"/>
      <c r="G56" s="29"/>
      <c r="H56" s="26">
        <f t="shared" si="1"/>
        <v>16.208333333333332</v>
      </c>
      <c r="I56" s="26">
        <f t="shared" si="2"/>
        <v>8.7083333333333321</v>
      </c>
      <c r="J56" s="30">
        <f t="shared" si="3"/>
        <v>24.916666666666664</v>
      </c>
    </row>
    <row r="57" spans="1:10" x14ac:dyDescent="0.25">
      <c r="A57" s="25" t="s">
        <v>83</v>
      </c>
      <c r="B57" s="29">
        <v>1.25</v>
      </c>
      <c r="C57" s="29">
        <v>1.25</v>
      </c>
      <c r="D57" s="27"/>
      <c r="E57" s="27"/>
      <c r="F57" s="25"/>
      <c r="G57" s="29"/>
      <c r="H57" s="26">
        <f t="shared" si="1"/>
        <v>17.458333333333332</v>
      </c>
      <c r="I57" s="26">
        <f t="shared" si="2"/>
        <v>9.9583333333333321</v>
      </c>
      <c r="J57" s="30">
        <f t="shared" si="3"/>
        <v>27.416666666666664</v>
      </c>
    </row>
    <row r="58" spans="1:10" x14ac:dyDescent="0.25">
      <c r="A58" s="25" t="s">
        <v>84</v>
      </c>
      <c r="B58" s="29"/>
      <c r="C58" s="29"/>
      <c r="D58" s="27">
        <v>12.458</v>
      </c>
      <c r="E58" s="27">
        <v>8.5419999999999998</v>
      </c>
      <c r="F58" s="25"/>
      <c r="G58" s="29"/>
      <c r="H58" s="26">
        <f t="shared" si="1"/>
        <v>5.000333333333332</v>
      </c>
      <c r="I58" s="26">
        <f t="shared" si="2"/>
        <v>1.4163333333333323</v>
      </c>
      <c r="J58" s="30">
        <f t="shared" si="3"/>
        <v>6.4166666666666643</v>
      </c>
    </row>
    <row r="59" spans="1:10" x14ac:dyDescent="0.25">
      <c r="A59" s="25" t="s">
        <v>85</v>
      </c>
      <c r="B59" s="29">
        <v>3.75</v>
      </c>
      <c r="C59" s="29">
        <v>3.75</v>
      </c>
      <c r="D59" s="27"/>
      <c r="E59" s="27"/>
      <c r="F59" s="25"/>
      <c r="G59" s="29"/>
      <c r="H59" s="26">
        <f t="shared" si="1"/>
        <v>8.750333333333332</v>
      </c>
      <c r="I59" s="26">
        <f t="shared" si="2"/>
        <v>5.1663333333333323</v>
      </c>
      <c r="J59" s="30">
        <f t="shared" si="3"/>
        <v>13.916666666666664</v>
      </c>
    </row>
    <row r="60" spans="1:10" x14ac:dyDescent="0.25">
      <c r="A60" s="25" t="s">
        <v>86</v>
      </c>
      <c r="B60" s="24"/>
      <c r="C60" s="24"/>
      <c r="D60" s="27"/>
      <c r="E60" s="27"/>
      <c r="F60" s="25"/>
      <c r="G60" s="29">
        <v>1</v>
      </c>
      <c r="H60" s="26">
        <f t="shared" si="1"/>
        <v>8.750333333333332</v>
      </c>
      <c r="I60" s="26">
        <f t="shared" si="2"/>
        <v>5.1663333333333323</v>
      </c>
      <c r="J60" s="30">
        <f t="shared" si="3"/>
        <v>13.916666666666664</v>
      </c>
    </row>
    <row r="61" spans="1:10" x14ac:dyDescent="0.25">
      <c r="A61" s="25" t="s">
        <v>87</v>
      </c>
      <c r="B61" s="24"/>
      <c r="C61" s="24"/>
      <c r="D61" s="27"/>
      <c r="E61" s="27"/>
      <c r="F61" s="25">
        <v>3</v>
      </c>
      <c r="G61" s="29"/>
      <c r="H61" s="26">
        <f t="shared" si="1"/>
        <v>5.750333333333332</v>
      </c>
      <c r="I61" s="26">
        <f t="shared" si="2"/>
        <v>5.1663333333333323</v>
      </c>
      <c r="J61" s="30">
        <f t="shared" si="3"/>
        <v>10.916666666666664</v>
      </c>
    </row>
    <row r="62" spans="1:10" x14ac:dyDescent="0.25">
      <c r="A62" s="25" t="s">
        <v>88</v>
      </c>
      <c r="B62" s="29">
        <v>2.5</v>
      </c>
      <c r="C62" s="29">
        <v>2.5</v>
      </c>
      <c r="D62" s="27"/>
      <c r="E62" s="27"/>
      <c r="F62" s="25"/>
      <c r="G62" s="29"/>
      <c r="H62" s="26">
        <f t="shared" si="1"/>
        <v>8.250333333333332</v>
      </c>
      <c r="I62" s="26">
        <f t="shared" si="2"/>
        <v>7.6663333333333323</v>
      </c>
      <c r="J62" s="30">
        <f t="shared" si="3"/>
        <v>15.916666666666664</v>
      </c>
    </row>
    <row r="63" spans="1:10" x14ac:dyDescent="0.25">
      <c r="A63" s="25" t="s">
        <v>89</v>
      </c>
      <c r="B63" s="29">
        <v>1.25</v>
      </c>
      <c r="C63" s="29">
        <v>1.25</v>
      </c>
      <c r="D63" s="27"/>
      <c r="E63" s="27"/>
      <c r="F63" s="25"/>
      <c r="G63" s="29"/>
      <c r="H63" s="26">
        <f t="shared" si="1"/>
        <v>9.500333333333332</v>
      </c>
      <c r="I63" s="26">
        <f t="shared" si="2"/>
        <v>8.9163333333333323</v>
      </c>
      <c r="J63" s="30">
        <f t="shared" si="3"/>
        <v>18.416666666666664</v>
      </c>
    </row>
    <row r="64" spans="1:10" x14ac:dyDescent="0.25">
      <c r="A64" s="25"/>
      <c r="B64" s="29"/>
      <c r="C64" s="29"/>
      <c r="D64" s="27"/>
      <c r="E64" s="27"/>
      <c r="F64" s="25"/>
      <c r="G64" s="29"/>
      <c r="H64" s="27"/>
      <c r="I64" s="27"/>
      <c r="J64" s="27"/>
    </row>
    <row r="65" spans="1:10" x14ac:dyDescent="0.25">
      <c r="A65" s="25"/>
      <c r="B65" s="29"/>
      <c r="C65" s="29"/>
      <c r="D65" s="27"/>
      <c r="E65" s="27"/>
      <c r="F65" s="25"/>
      <c r="G65" s="29"/>
      <c r="H65" s="27"/>
      <c r="I65" s="27"/>
      <c r="J65" s="27"/>
    </row>
    <row r="66" spans="1:10" x14ac:dyDescent="0.25">
      <c r="A66" s="25"/>
      <c r="B66" s="29"/>
      <c r="C66" s="29"/>
      <c r="D66" s="27"/>
      <c r="E66" s="27"/>
      <c r="F66" s="25"/>
      <c r="G66" s="29"/>
      <c r="H66" s="27"/>
      <c r="I66" s="27"/>
      <c r="J66" s="27"/>
    </row>
    <row r="67" spans="1:10" x14ac:dyDescent="0.25">
      <c r="A67" s="39"/>
      <c r="D67" s="40"/>
      <c r="E67" s="40"/>
      <c r="F67" s="39"/>
      <c r="H67" s="40"/>
      <c r="I67" s="40"/>
      <c r="J67" s="40"/>
    </row>
    <row r="68" spans="1:10" s="1" customFormat="1" x14ac:dyDescent="0.25">
      <c r="G68" s="1" t="s">
        <v>27</v>
      </c>
    </row>
    <row r="69" spans="1:10" s="1" customFormat="1" x14ac:dyDescent="0.25"/>
    <row r="70" spans="1:10" s="1" customFormat="1" x14ac:dyDescent="0.25">
      <c r="G70" s="41" t="s">
        <v>26</v>
      </c>
    </row>
    <row r="71" spans="1:10" s="1" customFormat="1" x14ac:dyDescent="0.25">
      <c r="G71" s="1" t="s">
        <v>25</v>
      </c>
    </row>
    <row r="72" spans="1:10" s="1" customFormat="1" x14ac:dyDescent="0.25">
      <c r="G72" s="74" t="s">
        <v>24</v>
      </c>
      <c r="H72" s="74"/>
    </row>
  </sheetData>
  <mergeCells count="14">
    <mergeCell ref="B9:D9"/>
    <mergeCell ref="A2:J2"/>
    <mergeCell ref="A3:J3"/>
    <mergeCell ref="A4:J4"/>
    <mergeCell ref="A5:J5"/>
    <mergeCell ref="B7:D7"/>
    <mergeCell ref="K11:K12"/>
    <mergeCell ref="G72:H72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2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CORRECTED</vt:lpstr>
      <vt:lpstr>CTO</vt:lpstr>
      <vt:lpstr>ELECTION</vt:lpstr>
      <vt:lpstr>Leave Card (NE) (2)</vt:lpstr>
      <vt:lpstr>CORRECTED!Print_Area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2025-12-17T06:53:53Z</cp:lastPrinted>
  <dcterms:created xsi:type="dcterms:W3CDTF">2021-10-07T06:10:16Z</dcterms:created>
  <dcterms:modified xsi:type="dcterms:W3CDTF">2025-12-17T06:57:39Z</dcterms:modified>
</cp:coreProperties>
</file>