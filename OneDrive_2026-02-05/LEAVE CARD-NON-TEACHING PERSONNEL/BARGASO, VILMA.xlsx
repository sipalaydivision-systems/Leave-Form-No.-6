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6" documentId="13_ncr:1_{D558F144-C2E2-4D4D-9F02-F857D4289520}" xr6:coauthVersionLast="47" xr6:coauthVersionMax="47" xr10:uidLastSave="{B2FA5C97-C21D-4647-9DFD-256A5EED62CC}"/>
  <bookViews>
    <workbookView xWindow="-120" yWindow="-120" windowWidth="29040" windowHeight="15720" firstSheet="1" activeTab="1" xr2:uid="{00000000-000D-0000-FFFF-FFFF00000000}"/>
  </bookViews>
  <sheets>
    <sheet name="Leave Card CORRECTED" sheetId="11" r:id="rId1"/>
    <sheet name="CTO (2)" sheetId="9" r:id="rId2"/>
    <sheet name="CTO" sheetId="6" r:id="rId3"/>
    <sheet name="ELECTION" sheetId="10" r:id="rId4"/>
    <sheet name="Leave Card (NE) OLD" sheetId="8" r:id="rId5"/>
  </sheets>
  <definedNames>
    <definedName name="_xlnm.Print_Area" localSheetId="2">CTO!$A$1:$G$23</definedName>
    <definedName name="_xlnm.Print_Area" localSheetId="4">'Leave Card (NE) OLD'!$A$1:$J$93</definedName>
    <definedName name="_xlnm.Print_Area" localSheetId="0">'Leave Card CORRECTED'!$A$1:$J$107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1" l="1"/>
  <c r="I98" i="11"/>
  <c r="J98" i="11"/>
  <c r="J85" i="8"/>
  <c r="I85" i="8"/>
  <c r="H85" i="8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J73" i="8"/>
  <c r="I73" i="8"/>
  <c r="H73" i="8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G17" i="6"/>
  <c r="G12" i="6"/>
  <c r="I13" i="1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H13" i="11"/>
  <c r="H14" i="11" l="1"/>
  <c r="J13" i="11"/>
  <c r="H15" i="11" l="1"/>
  <c r="J14" i="11"/>
  <c r="H16" i="11" l="1"/>
  <c r="J15" i="11"/>
  <c r="H17" i="11" l="1"/>
  <c r="J16" i="11"/>
  <c r="H18" i="11" l="1"/>
  <c r="J17" i="11"/>
  <c r="H19" i="11" l="1"/>
  <c r="J18" i="11"/>
  <c r="H20" i="11" l="1"/>
  <c r="J19" i="11"/>
  <c r="H21" i="11" l="1"/>
  <c r="J20" i="11"/>
  <c r="H22" i="11" l="1"/>
  <c r="J21" i="11"/>
  <c r="H23" i="11" l="1"/>
  <c r="J22" i="11"/>
  <c r="H24" i="11" l="1"/>
  <c r="J23" i="11"/>
  <c r="H25" i="11" l="1"/>
  <c r="J24" i="11"/>
  <c r="H26" i="11" l="1"/>
  <c r="J25" i="11"/>
  <c r="H27" i="11" l="1"/>
  <c r="J26" i="11"/>
  <c r="H28" i="11" l="1"/>
  <c r="J27" i="11"/>
  <c r="H29" i="11" l="1"/>
  <c r="J28" i="11"/>
  <c r="H30" i="11" l="1"/>
  <c r="J29" i="11"/>
  <c r="H31" i="11" l="1"/>
  <c r="J30" i="11"/>
  <c r="H32" i="11" l="1"/>
  <c r="J31" i="11"/>
  <c r="H33" i="11" l="1"/>
  <c r="J32" i="11"/>
  <c r="H34" i="11" l="1"/>
  <c r="J33" i="11"/>
  <c r="H35" i="11" l="1"/>
  <c r="J34" i="11"/>
  <c r="H36" i="11" l="1"/>
  <c r="J35" i="11"/>
  <c r="H37" i="11" l="1"/>
  <c r="J36" i="11"/>
  <c r="H38" i="11" l="1"/>
  <c r="J37" i="11"/>
  <c r="H39" i="11" l="1"/>
  <c r="J38" i="11"/>
  <c r="H40" i="11" l="1"/>
  <c r="J39" i="11"/>
  <c r="H41" i="11" l="1"/>
  <c r="J40" i="11"/>
  <c r="H42" i="11" l="1"/>
  <c r="J41" i="11"/>
  <c r="H43" i="11" l="1"/>
  <c r="J42" i="11"/>
  <c r="H44" i="11" l="1"/>
  <c r="J43" i="11"/>
  <c r="H45" i="11" l="1"/>
  <c r="J44" i="11"/>
  <c r="H46" i="11" l="1"/>
  <c r="J45" i="11"/>
  <c r="H47" i="11" l="1"/>
  <c r="J46" i="11"/>
  <c r="H48" i="11" l="1"/>
  <c r="J47" i="11"/>
  <c r="H49" i="11" l="1"/>
  <c r="J48" i="11"/>
  <c r="H50" i="11" l="1"/>
  <c r="J49" i="11"/>
  <c r="H51" i="11" l="1"/>
  <c r="J50" i="11"/>
  <c r="H52" i="11" l="1"/>
  <c r="J51" i="11"/>
  <c r="H53" i="11" l="1"/>
  <c r="J52" i="11"/>
  <c r="H54" i="11" l="1"/>
  <c r="J53" i="11"/>
  <c r="H55" i="11" l="1"/>
  <c r="J54" i="11"/>
  <c r="H56" i="11" l="1"/>
  <c r="J55" i="11"/>
  <c r="H57" i="11" l="1"/>
  <c r="J56" i="11"/>
  <c r="H58" i="11" l="1"/>
  <c r="J57" i="11"/>
  <c r="H59" i="11" l="1"/>
  <c r="J58" i="11"/>
  <c r="H60" i="11" l="1"/>
  <c r="J59" i="11"/>
  <c r="H61" i="11" l="1"/>
  <c r="J60" i="11"/>
  <c r="H62" i="11" l="1"/>
  <c r="J61" i="11"/>
  <c r="H63" i="11" l="1"/>
  <c r="J62" i="11"/>
  <c r="H64" i="11" l="1"/>
  <c r="J63" i="11"/>
  <c r="H65" i="11" l="1"/>
  <c r="J64" i="11"/>
  <c r="H66" i="11" l="1"/>
  <c r="J65" i="11"/>
  <c r="H67" i="11" l="1"/>
  <c r="J66" i="11"/>
  <c r="H68" i="11" l="1"/>
  <c r="J67" i="11"/>
  <c r="H69" i="11" l="1"/>
  <c r="J68" i="11"/>
  <c r="H70" i="11" l="1"/>
  <c r="J69" i="11"/>
  <c r="H71" i="11" l="1"/>
  <c r="J70" i="11"/>
  <c r="H72" i="11" l="1"/>
  <c r="J71" i="11"/>
  <c r="H73" i="11" l="1"/>
  <c r="J72" i="11"/>
  <c r="H74" i="11" l="1"/>
  <c r="J73" i="11"/>
  <c r="H75" i="11" l="1"/>
  <c r="J74" i="11"/>
  <c r="H76" i="11" l="1"/>
  <c r="J75" i="11"/>
  <c r="H77" i="11" l="1"/>
  <c r="J76" i="11"/>
  <c r="H78" i="11" l="1"/>
  <c r="J77" i="11"/>
  <c r="H79" i="11" l="1"/>
  <c r="J78" i="11"/>
  <c r="H80" i="11" l="1"/>
  <c r="J79" i="11"/>
  <c r="H81" i="11" l="1"/>
  <c r="J80" i="11"/>
  <c r="H82" i="11" l="1"/>
  <c r="J81" i="11"/>
  <c r="H83" i="11" l="1"/>
  <c r="J82" i="11"/>
  <c r="H84" i="11" l="1"/>
  <c r="J83" i="11"/>
  <c r="H85" i="11" l="1"/>
  <c r="J84" i="11"/>
  <c r="H86" i="11" l="1"/>
  <c r="J85" i="11"/>
  <c r="H87" i="11" l="1"/>
  <c r="J86" i="11"/>
  <c r="H88" i="11" l="1"/>
  <c r="J87" i="11"/>
  <c r="H89" i="11" l="1"/>
  <c r="J88" i="11"/>
  <c r="H90" i="11" l="1"/>
  <c r="J89" i="11"/>
  <c r="H91" i="11" l="1"/>
  <c r="J90" i="11"/>
  <c r="H92" i="11" l="1"/>
  <c r="J91" i="11"/>
  <c r="H93" i="11" l="1"/>
  <c r="J92" i="11"/>
  <c r="H94" i="11" l="1"/>
  <c r="J93" i="11"/>
  <c r="H95" i="11" l="1"/>
  <c r="J94" i="11"/>
  <c r="H96" i="11" l="1"/>
  <c r="J95" i="11"/>
  <c r="H97" i="11" l="1"/>
  <c r="J97" i="11" s="1"/>
  <c r="J96" i="11"/>
</calcChain>
</file>

<file path=xl/sharedStrings.xml><?xml version="1.0" encoding="utf-8"?>
<sst xmlns="http://schemas.openxmlformats.org/spreadsheetml/2006/main" count="333" uniqueCount="188">
  <si>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</si>
  <si>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</si>
  <si>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</si>
  <si>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</si>
  <si>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</si>
  <si>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</si>
  <si>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</si>
  <si>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</si>
  <si>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</si>
  <si>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</si>
  <si>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</si>
  <si>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</si>
  <si>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</si>
  <si>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</si>
  <si>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</si>
  <si>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</si>
  <si>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</si>
  <si>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</si>
  <si>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</si>
  <si>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</si>
  <si>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</si>
  <si>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JUNE 2007-NOVEMBER 2010 (TIC)</t>
  </si>
  <si>
    <t>ADD: 12/01/2010 - 12/31/2010</t>
  </si>
  <si>
    <t>LESS: FL 2010</t>
  </si>
  <si>
    <t>ADD: 01/01/2011 - 12/31/2011</t>
  </si>
  <si>
    <t>LESS: FL 2011</t>
  </si>
  <si>
    <t>ADD: 01/01/2012 - 12/31/2012</t>
  </si>
  <si>
    <t>LESS: MONETIZATION 2012</t>
  </si>
  <si>
    <t>LESS: FL 2012</t>
  </si>
  <si>
    <t>ADD: 01/01/2013 - 12/31/2013</t>
  </si>
  <si>
    <t>LESS: FL 2013</t>
  </si>
  <si>
    <t>LESS: MONETIZATION 2013</t>
  </si>
  <si>
    <t>ADD: 01/01/2014 - 12/31/2014</t>
  </si>
  <si>
    <t>LESS: FL 2014</t>
  </si>
  <si>
    <t>LESS: MONETIZATION 2014</t>
  </si>
  <si>
    <t>ADD: 01/01/2015 - 12/31/2015</t>
  </si>
  <si>
    <t>LESS: FL 2015</t>
  </si>
  <si>
    <t>LESS: MONETIZATION 2015</t>
  </si>
  <si>
    <t>ADD: 01/01/2016 - 12/31/2016</t>
  </si>
  <si>
    <t>LESS: MONETIZATION 2016</t>
  </si>
  <si>
    <t>LESS: FL 2016</t>
  </si>
  <si>
    <t>ADD: 01/01/2017 - 12/31/2017</t>
  </si>
  <si>
    <t>LESS: MONETIZATION 2017</t>
  </si>
  <si>
    <t>LESS: FL 2017</t>
  </si>
  <si>
    <t>ADD: 01/01/2018 - 12/31/2018</t>
  </si>
  <si>
    <t>LESS: MONETIZATION 2018</t>
  </si>
  <si>
    <t>LESS: FL 2018</t>
  </si>
  <si>
    <t>ADD: 01/01/2019 - 12/31/2019</t>
  </si>
  <si>
    <t>LESS: FL 2019</t>
  </si>
  <si>
    <t>ADD: 01/01/2020 - 12/31/2020</t>
  </si>
  <si>
    <t>LESS: MONETIZATION 2020</t>
  </si>
  <si>
    <t>LESS: FL 2020</t>
  </si>
  <si>
    <t>ADD: 01/01/2021 - 12/31/2021</t>
  </si>
  <si>
    <t>LESS: MONETIZATION 2021</t>
  </si>
  <si>
    <t>LESS: 12/23,24,27,28 &amp; 29/2021</t>
  </si>
  <si>
    <t>ADD: 01/01/2022 - 12/31/2022</t>
  </si>
  <si>
    <t>LESS: 08/10,11 &amp; 12/2022</t>
  </si>
  <si>
    <t>LESS: 08/19/2022</t>
  </si>
  <si>
    <t>LESS: MONETIZATION 2022</t>
  </si>
  <si>
    <t>LESS: 12/27/2022</t>
  </si>
  <si>
    <t>LESS: 12/28 &amp; 29/2022</t>
  </si>
  <si>
    <t>ADD: 01/01/2023 - 08/31/2023</t>
  </si>
  <si>
    <t>LESS: 03/06/2023</t>
  </si>
  <si>
    <t>LESS: 04/11/2023</t>
  </si>
  <si>
    <t>LESS: 04/25/2023</t>
  </si>
  <si>
    <t>LESS: 06/09/2023</t>
  </si>
  <si>
    <t>LESS: 07/17/2023</t>
  </si>
  <si>
    <t>LESS: 08/22/2023</t>
  </si>
  <si>
    <t>LESS: MONETIZATION 2023</t>
  </si>
  <si>
    <t>LESS: 09/06/2023</t>
  </si>
  <si>
    <t>LESS: 09/19/2023</t>
  </si>
  <si>
    <t>ADD: 09/01/2023-10/31/2023</t>
  </si>
  <si>
    <t>LESS: 11/17/2023</t>
  </si>
  <si>
    <t>ADD: 11/01/2023-11/30/2023</t>
  </si>
  <si>
    <t>LESS: 12/27/2023</t>
  </si>
  <si>
    <t>ADD: 12/01/2023-12/31/2023</t>
  </si>
  <si>
    <t>LESS:01/02/2024</t>
  </si>
  <si>
    <t>LESS: 01/22/2024</t>
  </si>
  <si>
    <t>ADD: JANUARY-APRIL 30, 2024</t>
  </si>
  <si>
    <t>LESS: 05/28/2024</t>
  </si>
  <si>
    <t>ADD: MAY 1-31, 2024</t>
  </si>
  <si>
    <t>LESS: 06/6-7/2024</t>
  </si>
  <si>
    <t>ADD: JUNE-JULY 31, 2024</t>
  </si>
  <si>
    <t>ADD: CONVERTED UNUSED LEAVE CREDITS EARNED FROM ELECTION                                           (60 DAYS) FORMULA: 30Y/69/2</t>
  </si>
  <si>
    <t>LESS: MONETIZATION 2024</t>
  </si>
  <si>
    <t>ADD: 08/1/2024-09/30/2024</t>
  </si>
  <si>
    <t>LESS: 11/4/2024</t>
  </si>
  <si>
    <t>ADD: 10/1-31/2024</t>
  </si>
  <si>
    <t>LESS: 11/12/2024</t>
  </si>
  <si>
    <t>ADD: 11/1-30/2024</t>
  </si>
  <si>
    <t>LESS: 12/27/2024</t>
  </si>
  <si>
    <t>ADD: 12/1-31/2024</t>
  </si>
  <si>
    <t>ADD: 01/1/2025-03/31/2025</t>
  </si>
  <si>
    <t>LESS: 04/28/2025</t>
  </si>
  <si>
    <t>ADD: 04/1/2025-06/30/2025</t>
  </si>
  <si>
    <t>LESS: MONETIZATION 2025</t>
  </si>
  <si>
    <t>LESS: 07/16/2025</t>
  </si>
  <si>
    <t>ADD: 07/1-31/2025</t>
  </si>
  <si>
    <t>LESS: 08/19, 20 &amp; 29/2025</t>
  </si>
  <si>
    <t>ADD: 08/1-31/2025</t>
  </si>
  <si>
    <t>ADD: 07/16/2025 Exigency of Service</t>
  </si>
  <si>
    <t>ADD: 08/19, 20, 29/2025 Exigency of Service</t>
  </si>
  <si>
    <t>ADD: 09/1/2025-10/31/2025</t>
  </si>
  <si>
    <t>LESS: 12/2/2025</t>
  </si>
  <si>
    <t>ADD: 11/1-30/2025</t>
  </si>
  <si>
    <t>LESS: 12/16, 22-23/2025</t>
  </si>
  <si>
    <t>ADD: 12/2/2025 EXIGENCY OF SERVICE</t>
  </si>
  <si>
    <t xml:space="preserve">  </t>
  </si>
  <si>
    <t>NAME         : BARGASO, VILMA R.</t>
  </si>
  <si>
    <t>DISTRICT             : _______________________</t>
  </si>
  <si>
    <t>EMPLOYEE NO   : __________</t>
  </si>
  <si>
    <t>SCHOOL/OFFICE : CID</t>
  </si>
  <si>
    <t>STATION CODE   : __________</t>
  </si>
  <si>
    <t>POSITION   : PSDS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</si>
  <si>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</si>
  <si>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</si>
  <si>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</si>
  <si>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</si>
  <si>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</si>
  <si>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</si>
  <si>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MAY 20, 2024</t>
  </si>
  <si>
    <t>S.O. # 015, S. 2024. PALARONG PANLALAWIGAN 2024</t>
  </si>
  <si>
    <t>LESS: 06/20-21/2024</t>
  </si>
  <si>
    <t>ADD: 05/13/2025</t>
  </si>
  <si>
    <t>S.O. # 019, S. 2025 PROVINCIAL MEET 2025</t>
  </si>
  <si>
    <t>LESS: 12/26/2025</t>
  </si>
  <si>
    <t>NOTE:  Valid for one (1) year only</t>
  </si>
  <si>
    <t xml:space="preserve">   </t>
  </si>
  <si>
    <t>Name       :</t>
  </si>
  <si>
    <t xml:space="preserve">BARGASO, VILMA </t>
  </si>
  <si>
    <t>POSITION:</t>
  </si>
  <si>
    <t>PRINCIPAL 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</si>
  <si>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</si>
  <si>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</si>
  <si>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</si>
  <si>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</si>
  <si>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</si>
  <si>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</si>
  <si>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JULY 27, 2022</t>
  </si>
  <si>
    <t>S.O. #052, s. 2022, dated JULY 13, 2022</t>
  </si>
  <si>
    <t>124TH PHILIPPINE INDEPENDENCE DAY CELEBRATION</t>
  </si>
  <si>
    <t>ADD: 10/11/2023</t>
  </si>
  <si>
    <t xml:space="preserve">S.O. #084, s. 2023, </t>
  </si>
  <si>
    <t>CAPACITY BUILDING ON THE IMPLEMENTATION OF THE NATIONAL LEARNING CAMP</t>
  </si>
  <si>
    <t>ADD:10/17/2023</t>
  </si>
  <si>
    <t xml:space="preserve">S.O. #159, s. 2023, </t>
  </si>
  <si>
    <t>125th PHILIPPINE INDEPENDENCE DAY CELEBRATION</t>
  </si>
  <si>
    <t>LESS: 12/28-29/2023</t>
  </si>
  <si>
    <t xml:space="preserve">S.O. #084, s. 2023,S.O. #159, s. 2023 </t>
  </si>
  <si>
    <t>CAPACITY BUILDING ON THE IMPLEMENTATION OF THE NATIONAL LEARNING CAMP AND 125th PHILIPPINE INDEPENDENCE DAY CELEBRATION</t>
  </si>
  <si>
    <t>Note: Validity of S.O. is One (1) from the date it was granted</t>
  </si>
  <si>
    <t>Total Remaining Balance</t>
  </si>
  <si>
    <t>CERTIFIED CORRECT:</t>
  </si>
  <si>
    <t>MA. LUISA B. CATIGAN</t>
  </si>
  <si>
    <t>Administrative Officer IV</t>
  </si>
  <si>
    <t>HRMO</t>
  </si>
  <si>
    <t xml:space="preserve">            DISTRICT: ___________________________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</si>
  <si>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</si>
  <si>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</si>
  <si>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</si>
  <si>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</si>
  <si>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___, S. 1994</t>
  </si>
  <si>
    <t>MAY 9, 1994</t>
  </si>
  <si>
    <t>BRGY. &amp; SK ELECTION</t>
  </si>
  <si>
    <t>NO. 321, S. 1995</t>
  </si>
  <si>
    <t>MAY 9, 1995</t>
  </si>
  <si>
    <t>NATIONAL &amp; LOCAL ELECTION</t>
  </si>
  <si>
    <t>NO. ___, S. 1998</t>
  </si>
  <si>
    <t>MAY 11, 1998</t>
  </si>
  <si>
    <t>NO. 1163, S. 2001</t>
  </si>
  <si>
    <t>MAY 14, 2001</t>
  </si>
  <si>
    <t>NO. ___, S.2002</t>
  </si>
  <si>
    <t>JULY 15, 2002</t>
  </si>
  <si>
    <t>NO. 2135, S. 2004</t>
  </si>
  <si>
    <t>MAY 10, 2004</t>
  </si>
  <si>
    <t>COMELEC CERTIFICATION</t>
  </si>
  <si>
    <t>MAY 10, 2010</t>
  </si>
  <si>
    <t>OCTOBER 28, 2013</t>
  </si>
  <si>
    <t>MAY 09, 2016</t>
  </si>
  <si>
    <t>MAY 14, 2018</t>
  </si>
  <si>
    <t>MAY 13, 2019</t>
  </si>
  <si>
    <t>MAY 09, 2022</t>
  </si>
  <si>
    <r>
      <rPr>
        <b/>
        <sz val="12"/>
        <color rgb="FFFF0000"/>
        <rFont val="Calibri"/>
        <charset val="134"/>
        <scheme val="minor"/>
      </rPr>
      <t>(CONVERTED FOR MONETIZATION 2024/CANNOT BE USED ANYMORE)</t>
    </r>
    <r>
      <rPr>
        <b/>
        <sz val="12"/>
        <color theme="1"/>
        <rFont val="Calibri"/>
        <charset val="134"/>
        <scheme val="minor"/>
      </rPr>
      <t xml:space="preserve"> TOTAL UNUSED  SERVICE LEAVE CREDITS</t>
    </r>
  </si>
  <si>
    <t>SPECIAL PRIVILEGE LEAVE</t>
  </si>
  <si>
    <t>DATE OF ORIGINAL APPOINTMENT: P1 DEC. 1, 2010</t>
  </si>
  <si>
    <t>Certified Correct:</t>
  </si>
  <si>
    <t xml:space="preserve"> </t>
  </si>
  <si>
    <t xml:space="preserve">               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</si>
</sst>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19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5" fillId="8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164" fontId="0" fillId="2" borderId="6" xfId="0" applyNumberForma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0" xfId="0" applyFont="1" applyFill="1"/>
    <xf numFmtId="164" fontId="0" fillId="0" borderId="6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0" fillId="2" borderId="9" xfId="0" applyFill="1" applyBorder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9" xfId="0" applyFont="1" applyFill="1" applyBorder="1"/>
    <xf numFmtId="0" fontId="3" fillId="2" borderId="35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 wrapText="1"/>
    </xf>
    <xf numFmtId="1" fontId="12" fillId="2" borderId="37" xfId="0" applyNumberFormat="1" applyFont="1" applyFill="1" applyBorder="1" applyAlignment="1">
      <alignment horizontal="center" vertical="center"/>
    </xf>
    <xf numFmtId="1" fontId="12" fillId="2" borderId="6" xfId="0" applyNumberFormat="1" applyFont="1" applyFill="1" applyBorder="1" applyAlignment="1">
      <alignment horizontal="center" vertical="center"/>
    </xf>
    <xf numFmtId="1" fontId="12" fillId="2" borderId="38" xfId="0" applyNumberFormat="1" applyFont="1" applyFill="1" applyBorder="1" applyAlignment="1">
      <alignment horizontal="center" vertical="center"/>
    </xf>
    <xf numFmtId="1" fontId="12" fillId="13" borderId="6" xfId="0" applyNumberFormat="1" applyFont="1" applyFill="1" applyBorder="1" applyAlignment="1">
      <alignment horizontal="center" vertical="center"/>
    </xf>
    <xf numFmtId="1" fontId="11" fillId="2" borderId="4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3" fillId="0" borderId="0" xfId="0" applyFont="1"/>
    <xf numFmtId="0" fontId="3" fillId="2" borderId="37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64" fontId="0" fillId="17" borderId="6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15" fillId="2" borderId="25" xfId="1" applyFill="1" applyBorder="1" applyAlignment="1">
      <alignment horizontal="center" vertical="center" wrapText="1"/>
    </xf>
    <xf numFmtId="0" fontId="15" fillId="0" borderId="25" xfId="1" applyBorder="1" applyAlignment="1">
      <alignment horizontal="center" vertical="center" wrapText="1"/>
    </xf>
    <xf numFmtId="0" fontId="2" fillId="0" borderId="0" xfId="1" applyFont="1"/>
    <xf numFmtId="0" fontId="15" fillId="2" borderId="6" xfId="1" applyFill="1" applyBorder="1" applyAlignment="1">
      <alignment horizontal="center" vertical="center" wrapText="1"/>
    </xf>
    <xf numFmtId="0" fontId="15" fillId="0" borderId="6" xfId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29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30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6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27" xfId="1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8" fillId="11" borderId="3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16" borderId="3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1" fillId="0" borderId="39" xfId="0" applyFont="1" applyBorder="1" applyAlignment="1">
      <alignment horizontal="right" vertical="center"/>
    </xf>
    <xf numFmtId="0" fontId="11" fillId="0" borderId="40" xfId="0" applyFont="1" applyBorder="1" applyAlignment="1">
      <alignment horizontal="right" vertical="center"/>
    </xf>
    <xf numFmtId="0" fontId="11" fillId="0" borderId="41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2" borderId="29" xfId="0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horizontal="right" vertical="center" wrapText="1"/>
    </xf>
    <xf numFmtId="0" fontId="6" fillId="2" borderId="30" xfId="0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33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7" xfId="0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1" borderId="19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  <xf numFmtId="0" fontId="8" fillId="11" borderId="24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 vertical="center"/>
    </xf>
    <xf numFmtId="164" fontId="0" fillId="18" borderId="37" xfId="0" applyNumberFormat="1" applyFill="1" applyBorder="1" applyAlignment="1">
      <alignment horizontal="center" vertical="center"/>
    </xf>
    <xf numFmtId="164" fontId="0" fillId="2" borderId="37" xfId="0" applyNumberFormat="1" applyFill="1" applyBorder="1" applyAlignment="1">
      <alignment horizontal="center" vertical="center"/>
    </xf>
    <xf numFmtId="0" fontId="0" fillId="0" borderId="43" xfId="0" applyFill="1" applyBorder="1" applyAlignment="1">
      <alignment horizontal="center"/>
    </xf>
    <xf numFmtId="2" fontId="0" fillId="0" borderId="43" xfId="0" applyNumberFormat="1" applyFill="1" applyBorder="1" applyAlignment="1">
      <alignment horizontal="center"/>
    </xf>
    <xf numFmtId="164" fontId="0" fillId="0" borderId="43" xfId="0" applyNumberFormat="1" applyFill="1" applyBorder="1" applyAlignment="1">
      <alignment horizontal="center" vertical="center"/>
    </xf>
  </cellXfs>
  <cellStyles count="2">
    <cellStyle name="Normal" xfId="0" builtinId="0"/>
    <cellStyle name="Normal 2 2" xfId="1" xr:uid="{C74FE1C7-2F74-4FCE-9D07-AEAF23F31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774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VILMA R. BARGASO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08876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SDO-CID</a:t>
          </a:r>
        </a:p>
      </xdr:txBody>
    </xdr:sp>
    <xdr:clientData/>
  </xdr:twoCellAnchor>
  <xdr:twoCellAnchor>
    <xdr:from>
      <xdr:col>5</xdr:col>
      <xdr:colOff>347452</xdr:colOff>
      <xdr:row>101</xdr:row>
      <xdr:rowOff>53914</xdr:rowOff>
    </xdr:from>
    <xdr:to>
      <xdr:col>9</xdr:col>
      <xdr:colOff>672043</xdr:colOff>
      <xdr:row>106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402705" y="1757743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9725" y="114300"/>
          <a:ext cx="604520" cy="617220"/>
        </a:xfrm>
        <a:prstGeom prst="rect">
          <a:avLst/>
        </a:prstGeom>
        <a:noFill/>
      </xdr:spPr>
    </xdr:pic>
    <xdr:clientData/>
  </xdr:twoCellAnchor>
  <xdr:twoCellAnchor>
    <xdr:from>
      <xdr:col>5</xdr:col>
      <xdr:colOff>571500</xdr:colOff>
      <xdr:row>20</xdr:row>
      <xdr:rowOff>180975</xdr:rowOff>
    </xdr:from>
    <xdr:to>
      <xdr:col>11</xdr:col>
      <xdr:colOff>409575</xdr:colOff>
      <xdr:row>69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097145" y="4419600"/>
          <a:ext cx="3844290" cy="8827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Certified</a:t>
          </a:r>
          <a:r>
            <a:rPr lang="en-US" sz="1100" baseline="0"/>
            <a:t> Correct:</a:t>
          </a:r>
        </a:p>
        <a:p>
          <a:pPr algn="ctr"/>
          <a:endParaRPr lang="en-US" sz="1100" baseline="0"/>
        </a:p>
        <a:p>
          <a:pPr algn="ctr"/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pPr algn="ctr"/>
          <a:r>
            <a:rPr lang="en-US" sz="1100" baseline="0"/>
            <a:t>	Administrative Officer IV</a:t>
          </a:r>
        </a:p>
        <a:p>
          <a:pPr algn="ctr"/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171450</xdr:rowOff>
    </xdr:from>
    <xdr:to>
      <xdr:col>1</xdr:col>
      <xdr:colOff>28575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752475" y="23660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4325" y="66040"/>
          <a:ext cx="955675" cy="70548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28</xdr:row>
      <xdr:rowOff>285750</xdr:rowOff>
    </xdr:from>
    <xdr:to>
      <xdr:col>12</xdr:col>
      <xdr:colOff>381000</xdr:colOff>
      <xdr:row>31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913245" y="10018395"/>
          <a:ext cx="315531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8325" y="38100"/>
          <a:ext cx="699770" cy="6210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54355" y="1426210"/>
          <a:ext cx="16148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BARGASO, VILMA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54685" y="1754505"/>
          <a:ext cx="1358265" cy="577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037205" y="1757680"/>
          <a:ext cx="1987550" cy="56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  <xdr:twoCellAnchor>
    <xdr:from>
      <xdr:col>0</xdr:col>
      <xdr:colOff>171450</xdr:colOff>
      <xdr:row>28</xdr:row>
      <xdr:rowOff>276225</xdr:rowOff>
    </xdr:from>
    <xdr:to>
      <xdr:col>2</xdr:col>
      <xdr:colOff>28575</xdr:colOff>
      <xdr:row>31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71450" y="10008870"/>
          <a:ext cx="317817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 </a:t>
          </a:r>
          <a:r>
            <a:rPr lang="en-US" sz="1200" b="1" u="sng" baseline="0">
              <a:latin typeface="+mn-lt"/>
            </a:rPr>
            <a:t>JOCELYN M. PLOTEÑA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                                           HRMO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375504</xdr:colOff>
      <xdr:row>0</xdr:row>
      <xdr:rowOff>49578</xdr:rowOff>
    </xdr:from>
    <xdr:to>
      <xdr:col>4</xdr:col>
      <xdr:colOff>299182</xdr:colOff>
      <xdr:row>1</xdr:row>
      <xdr:rowOff>24422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9455" y="49530"/>
          <a:ext cx="717550" cy="6413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3405" y="1376045"/>
          <a:ext cx="199326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BARGASO, VILMA R.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16585" y="1725930"/>
          <a:ext cx="195008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377507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view="pageBreakPreview" topLeftCell="A77" zoomScale="106" zoomScaleNormal="100" workbookViewId="0">
      <selection activeCell="K105" sqref="K105"/>
    </sheetView>
  </sheetViews>
  <sheetFormatPr defaultColWidth="9" defaultRowHeight="15"/>
  <cols>
    <col min="1" max="1" width="42" customWidth="1"/>
    <col min="2" max="5" width="11.625" customWidth="1"/>
    <col min="6" max="7" width="11.625" style="26" customWidth="1"/>
    <col min="8" max="10" width="11.625" customWidth="1"/>
    <col min="11" max="11" width="26.375" style="79" customWidth="1"/>
  </cols>
  <sheetData>
    <row r="1" spans="1:11" s="1" customFormat="1" ht="52.5" customHeight="1"/>
    <row r="2" spans="1:11" s="1" customFormat="1" ht="10.5" customHeight="1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1" s="1" customFormat="1" ht="15.95" customHeight="1">
      <c r="A3" s="107" t="s">
        <v>1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1" s="1" customFormat="1" ht="15.95" customHeight="1">
      <c r="A4" s="107" t="s">
        <v>2</v>
      </c>
      <c r="B4" s="107"/>
      <c r="C4" s="107"/>
      <c r="D4" s="107"/>
      <c r="E4" s="107"/>
      <c r="F4" s="107"/>
      <c r="G4" s="107"/>
      <c r="H4" s="107"/>
      <c r="I4" s="107"/>
      <c r="J4" s="107"/>
    </row>
    <row r="5" spans="1:11" s="1" customFormat="1" ht="15.95" customHeight="1">
      <c r="A5" s="107" t="s">
        <v>3</v>
      </c>
      <c r="B5" s="107"/>
      <c r="C5" s="107"/>
      <c r="D5" s="107"/>
      <c r="E5" s="107"/>
      <c r="F5" s="107"/>
      <c r="G5" s="107"/>
      <c r="H5" s="107"/>
      <c r="I5" s="107"/>
      <c r="J5" s="107"/>
    </row>
    <row r="6" spans="1:11" s="1" customFormat="1" ht="8.25" customHeight="1"/>
    <row r="7" spans="1:11" s="1" customFormat="1" ht="12" customHeight="1">
      <c r="A7" s="1" t="s">
        <v>4</v>
      </c>
      <c r="B7" s="94" t="s">
        <v>5</v>
      </c>
      <c r="C7" s="94"/>
      <c r="D7" s="94"/>
      <c r="H7" s="8" t="s">
        <v>6</v>
      </c>
      <c r="I7" s="20"/>
      <c r="J7" s="8"/>
    </row>
    <row r="8" spans="1:11" s="1" customFormat="1" ht="12" customHeight="1">
      <c r="B8" s="9"/>
      <c r="C8" s="9"/>
      <c r="H8" s="9"/>
      <c r="I8" s="9"/>
      <c r="J8" s="9"/>
    </row>
    <row r="9" spans="1:11" s="1" customFormat="1" ht="12" customHeight="1">
      <c r="A9" s="1" t="s">
        <v>7</v>
      </c>
      <c r="B9" s="94" t="s">
        <v>8</v>
      </c>
      <c r="C9" s="94"/>
      <c r="D9" s="94"/>
      <c r="H9" s="8" t="s">
        <v>9</v>
      </c>
      <c r="I9" s="21"/>
      <c r="J9" s="8"/>
    </row>
    <row r="10" spans="1:11" ht="23.25" customHeight="1">
      <c r="A10" s="95" t="s">
        <v>10</v>
      </c>
      <c r="B10" s="95"/>
      <c r="C10" s="95"/>
      <c r="D10" s="95"/>
      <c r="E10" s="95"/>
      <c r="F10" s="95"/>
      <c r="G10" s="95"/>
      <c r="H10" s="95"/>
      <c r="I10" s="95"/>
      <c r="J10" s="95"/>
      <c r="K10"/>
    </row>
    <row r="11" spans="1:11" ht="18.75" customHeight="1">
      <c r="A11" s="103" t="s">
        <v>11</v>
      </c>
      <c r="B11" s="96" t="s">
        <v>12</v>
      </c>
      <c r="C11" s="97"/>
      <c r="D11" s="98" t="s">
        <v>13</v>
      </c>
      <c r="E11" s="99"/>
      <c r="F11" s="99"/>
      <c r="G11" s="100"/>
      <c r="H11" s="101" t="s">
        <v>14</v>
      </c>
      <c r="I11" s="102"/>
      <c r="J11" s="105" t="s">
        <v>15</v>
      </c>
      <c r="K11" s="93" t="s">
        <v>16</v>
      </c>
    </row>
    <row r="12" spans="1:11" ht="18.75" customHeight="1">
      <c r="A12" s="104"/>
      <c r="B12" s="80" t="s">
        <v>17</v>
      </c>
      <c r="C12" s="80" t="s">
        <v>18</v>
      </c>
      <c r="D12" s="80" t="s">
        <v>17</v>
      </c>
      <c r="E12" s="80" t="s">
        <v>18</v>
      </c>
      <c r="F12" s="80" t="s">
        <v>19</v>
      </c>
      <c r="G12" s="80" t="s">
        <v>20</v>
      </c>
      <c r="H12" s="80" t="s">
        <v>17</v>
      </c>
      <c r="I12" s="80" t="s">
        <v>18</v>
      </c>
      <c r="J12" s="106"/>
      <c r="K12" s="93"/>
    </row>
    <row r="13" spans="1:11" ht="30.75" customHeight="1">
      <c r="A13" s="25" t="s">
        <v>21</v>
      </c>
      <c r="B13" s="23">
        <v>9.3800000000000008</v>
      </c>
      <c r="C13" s="23">
        <v>9.3800000000000008</v>
      </c>
      <c r="D13" s="23"/>
      <c r="E13" s="23"/>
      <c r="F13" s="23"/>
      <c r="G13" s="23"/>
      <c r="H13" s="16">
        <f>B13</f>
        <v>9.3800000000000008</v>
      </c>
      <c r="I13" s="16">
        <f>C13</f>
        <v>9.3800000000000008</v>
      </c>
      <c r="J13" s="16">
        <f>SUM(H13:I13)</f>
        <v>18.760000000000002</v>
      </c>
    </row>
    <row r="14" spans="1:11" ht="12" customHeight="1">
      <c r="A14" s="24" t="s">
        <v>22</v>
      </c>
      <c r="B14" s="23">
        <v>1.25</v>
      </c>
      <c r="C14" s="23">
        <v>1.25</v>
      </c>
      <c r="D14" s="23"/>
      <c r="E14" s="23"/>
      <c r="F14" s="23"/>
      <c r="G14" s="23"/>
      <c r="H14" s="16">
        <f>H13-F14-D14+B14</f>
        <v>10.63</v>
      </c>
      <c r="I14" s="16">
        <f>I13-E14+C14</f>
        <v>10.63</v>
      </c>
      <c r="J14" s="16">
        <f>SUM(H14:I14)</f>
        <v>21.26</v>
      </c>
    </row>
    <row r="15" spans="1:11" ht="12" customHeight="1">
      <c r="A15" s="24" t="s">
        <v>23</v>
      </c>
      <c r="B15" s="23"/>
      <c r="C15" s="23"/>
      <c r="D15" s="23"/>
      <c r="E15" s="23"/>
      <c r="F15" s="23">
        <v>5</v>
      </c>
      <c r="G15" s="23"/>
      <c r="H15" s="16">
        <f t="shared" ref="H15:H78" si="0">H14-F15-D15+B15</f>
        <v>5.6300000000000008</v>
      </c>
      <c r="I15" s="16">
        <f t="shared" ref="I15:I78" si="1">I14-E15+C15</f>
        <v>10.63</v>
      </c>
      <c r="J15" s="16">
        <f t="shared" ref="J15:J78" si="2">SUM(H15:I15)</f>
        <v>16.260000000000002</v>
      </c>
    </row>
    <row r="16" spans="1:11" ht="12" customHeight="1">
      <c r="A16" s="24" t="s">
        <v>24</v>
      </c>
      <c r="B16" s="23">
        <v>15</v>
      </c>
      <c r="C16" s="23">
        <v>15</v>
      </c>
      <c r="D16" s="23"/>
      <c r="E16" s="23"/>
      <c r="F16" s="23"/>
      <c r="G16" s="23"/>
      <c r="H16" s="16">
        <f t="shared" si="0"/>
        <v>20.630000000000003</v>
      </c>
      <c r="I16" s="16">
        <f t="shared" si="1"/>
        <v>25.630000000000003</v>
      </c>
      <c r="J16" s="16">
        <f t="shared" si="2"/>
        <v>46.260000000000005</v>
      </c>
    </row>
    <row r="17" spans="1:10" ht="12.75" customHeight="1">
      <c r="A17" s="24" t="s">
        <v>25</v>
      </c>
      <c r="B17" s="23"/>
      <c r="C17" s="23"/>
      <c r="D17" s="23"/>
      <c r="E17" s="23"/>
      <c r="F17" s="23">
        <v>5</v>
      </c>
      <c r="G17" s="23"/>
      <c r="H17" s="16">
        <f t="shared" si="0"/>
        <v>15.630000000000003</v>
      </c>
      <c r="I17" s="16">
        <f t="shared" si="1"/>
        <v>25.630000000000003</v>
      </c>
      <c r="J17" s="16">
        <f t="shared" si="2"/>
        <v>41.260000000000005</v>
      </c>
    </row>
    <row r="18" spans="1:10" s="79" customFormat="1" ht="12.75" customHeight="1">
      <c r="A18" s="24" t="s">
        <v>26</v>
      </c>
      <c r="B18" s="23">
        <v>15</v>
      </c>
      <c r="C18" s="23">
        <v>15</v>
      </c>
      <c r="D18" s="23"/>
      <c r="E18" s="23"/>
      <c r="F18" s="23"/>
      <c r="G18" s="23"/>
      <c r="H18" s="16">
        <f t="shared" si="0"/>
        <v>30.630000000000003</v>
      </c>
      <c r="I18" s="16">
        <f t="shared" si="1"/>
        <v>40.630000000000003</v>
      </c>
      <c r="J18" s="16">
        <f t="shared" si="2"/>
        <v>71.260000000000005</v>
      </c>
    </row>
    <row r="19" spans="1:10" s="79" customFormat="1" ht="12" customHeight="1">
      <c r="A19" s="24" t="s">
        <v>27</v>
      </c>
      <c r="B19" s="23"/>
      <c r="C19" s="23"/>
      <c r="D19" s="23">
        <v>10</v>
      </c>
      <c r="E19" s="23">
        <v>20</v>
      </c>
      <c r="F19" s="23"/>
      <c r="G19" s="23"/>
      <c r="H19" s="16">
        <f t="shared" si="0"/>
        <v>20.630000000000003</v>
      </c>
      <c r="I19" s="16">
        <f t="shared" si="1"/>
        <v>20.630000000000003</v>
      </c>
      <c r="J19" s="16">
        <f t="shared" si="2"/>
        <v>41.260000000000005</v>
      </c>
    </row>
    <row r="20" spans="1:10" s="79" customFormat="1" ht="12" customHeight="1">
      <c r="A20" s="24" t="s">
        <v>28</v>
      </c>
      <c r="B20" s="23"/>
      <c r="C20" s="23"/>
      <c r="D20" s="23"/>
      <c r="E20" s="23"/>
      <c r="F20" s="23">
        <v>5</v>
      </c>
      <c r="G20" s="23"/>
      <c r="H20" s="16">
        <f t="shared" si="0"/>
        <v>15.630000000000003</v>
      </c>
      <c r="I20" s="16">
        <f t="shared" si="1"/>
        <v>20.630000000000003</v>
      </c>
      <c r="J20" s="16">
        <f t="shared" si="2"/>
        <v>36.260000000000005</v>
      </c>
    </row>
    <row r="21" spans="1:10" s="79" customFormat="1" ht="12" customHeight="1">
      <c r="A21" s="24" t="s">
        <v>29</v>
      </c>
      <c r="B21" s="23">
        <v>15</v>
      </c>
      <c r="C21" s="23">
        <v>15</v>
      </c>
      <c r="D21" s="23"/>
      <c r="E21" s="23"/>
      <c r="F21" s="23"/>
      <c r="G21" s="23"/>
      <c r="H21" s="16">
        <f t="shared" si="0"/>
        <v>30.630000000000003</v>
      </c>
      <c r="I21" s="16">
        <f t="shared" si="1"/>
        <v>35.630000000000003</v>
      </c>
      <c r="J21" s="16">
        <f t="shared" si="2"/>
        <v>66.260000000000005</v>
      </c>
    </row>
    <row r="22" spans="1:10" s="79" customFormat="1" ht="12" customHeight="1">
      <c r="A22" s="24" t="s">
        <v>30</v>
      </c>
      <c r="B22" s="23"/>
      <c r="C22" s="23"/>
      <c r="D22" s="23"/>
      <c r="E22" s="23"/>
      <c r="F22" s="23">
        <v>5</v>
      </c>
      <c r="G22" s="23"/>
      <c r="H22" s="16">
        <f t="shared" si="0"/>
        <v>25.630000000000003</v>
      </c>
      <c r="I22" s="16">
        <f t="shared" si="1"/>
        <v>35.630000000000003</v>
      </c>
      <c r="J22" s="16">
        <f t="shared" si="2"/>
        <v>61.260000000000005</v>
      </c>
    </row>
    <row r="23" spans="1:10" s="79" customFormat="1" ht="12" customHeight="1">
      <c r="A23" s="24" t="s">
        <v>31</v>
      </c>
      <c r="B23" s="23"/>
      <c r="C23" s="23"/>
      <c r="D23" s="23">
        <v>15</v>
      </c>
      <c r="E23" s="23"/>
      <c r="F23" s="23"/>
      <c r="G23" s="23"/>
      <c r="H23" s="16">
        <f t="shared" si="0"/>
        <v>10.630000000000003</v>
      </c>
      <c r="I23" s="16">
        <f t="shared" si="1"/>
        <v>35.630000000000003</v>
      </c>
      <c r="J23" s="16">
        <f t="shared" si="2"/>
        <v>46.260000000000005</v>
      </c>
    </row>
    <row r="24" spans="1:10" s="79" customFormat="1" ht="12" customHeight="1">
      <c r="A24" s="24" t="s">
        <v>32</v>
      </c>
      <c r="B24" s="23">
        <v>15</v>
      </c>
      <c r="C24" s="23">
        <v>15</v>
      </c>
      <c r="D24" s="23"/>
      <c r="E24" s="23"/>
      <c r="F24" s="23"/>
      <c r="G24" s="23"/>
      <c r="H24" s="16">
        <f t="shared" si="0"/>
        <v>25.630000000000003</v>
      </c>
      <c r="I24" s="16">
        <f t="shared" si="1"/>
        <v>50.63</v>
      </c>
      <c r="J24" s="16">
        <f t="shared" si="2"/>
        <v>76.260000000000005</v>
      </c>
    </row>
    <row r="25" spans="1:10" s="79" customFormat="1" ht="12" customHeight="1">
      <c r="A25" s="24" t="s">
        <v>33</v>
      </c>
      <c r="B25" s="23"/>
      <c r="C25" s="23"/>
      <c r="D25" s="23"/>
      <c r="E25" s="23"/>
      <c r="F25" s="23">
        <v>5</v>
      </c>
      <c r="G25" s="23"/>
      <c r="H25" s="16">
        <f t="shared" si="0"/>
        <v>20.630000000000003</v>
      </c>
      <c r="I25" s="16">
        <f t="shared" si="1"/>
        <v>50.63</v>
      </c>
      <c r="J25" s="16">
        <f t="shared" si="2"/>
        <v>71.260000000000005</v>
      </c>
    </row>
    <row r="26" spans="1:10" s="79" customFormat="1" ht="12.75" customHeight="1">
      <c r="A26" s="24" t="s">
        <v>34</v>
      </c>
      <c r="B26" s="23"/>
      <c r="C26" s="23"/>
      <c r="D26" s="23">
        <v>10</v>
      </c>
      <c r="E26" s="23"/>
      <c r="F26" s="23"/>
      <c r="G26" s="23"/>
      <c r="H26" s="16">
        <f t="shared" si="0"/>
        <v>10.630000000000003</v>
      </c>
      <c r="I26" s="16">
        <f t="shared" si="1"/>
        <v>50.63</v>
      </c>
      <c r="J26" s="16">
        <f t="shared" si="2"/>
        <v>61.260000000000005</v>
      </c>
    </row>
    <row r="27" spans="1:10" s="79" customFormat="1" ht="12" customHeight="1">
      <c r="A27" s="24" t="s">
        <v>35</v>
      </c>
      <c r="B27" s="23">
        <v>15</v>
      </c>
      <c r="C27" s="23">
        <v>15</v>
      </c>
      <c r="D27" s="23"/>
      <c r="E27" s="23"/>
      <c r="F27" s="23"/>
      <c r="G27" s="23"/>
      <c r="H27" s="16">
        <f t="shared" si="0"/>
        <v>25.630000000000003</v>
      </c>
      <c r="I27" s="16">
        <f t="shared" si="1"/>
        <v>65.63</v>
      </c>
      <c r="J27" s="16">
        <f t="shared" si="2"/>
        <v>91.259999999999991</v>
      </c>
    </row>
    <row r="28" spans="1:10" s="79" customFormat="1" ht="12" customHeight="1">
      <c r="A28" s="24" t="s">
        <v>36</v>
      </c>
      <c r="B28" s="23"/>
      <c r="C28" s="23"/>
      <c r="D28" s="23"/>
      <c r="E28" s="23"/>
      <c r="F28" s="23">
        <v>5</v>
      </c>
      <c r="G28" s="23"/>
      <c r="H28" s="16">
        <f t="shared" si="0"/>
        <v>20.630000000000003</v>
      </c>
      <c r="I28" s="16">
        <f t="shared" si="1"/>
        <v>65.63</v>
      </c>
      <c r="J28" s="16">
        <f t="shared" si="2"/>
        <v>86.259999999999991</v>
      </c>
    </row>
    <row r="29" spans="1:10" s="79" customFormat="1" ht="12" customHeight="1">
      <c r="A29" s="24" t="s">
        <v>37</v>
      </c>
      <c r="B29" s="23"/>
      <c r="C29" s="23"/>
      <c r="D29" s="23">
        <v>10</v>
      </c>
      <c r="E29" s="23"/>
      <c r="F29" s="23"/>
      <c r="G29" s="23"/>
      <c r="H29" s="16">
        <f t="shared" si="0"/>
        <v>10.630000000000003</v>
      </c>
      <c r="I29" s="16">
        <f t="shared" si="1"/>
        <v>65.63</v>
      </c>
      <c r="J29" s="16">
        <f t="shared" si="2"/>
        <v>76.259999999999991</v>
      </c>
    </row>
    <row r="30" spans="1:10" s="79" customFormat="1" ht="12" customHeight="1">
      <c r="A30" s="24" t="s">
        <v>38</v>
      </c>
      <c r="B30" s="23">
        <v>15</v>
      </c>
      <c r="C30" s="23">
        <v>15</v>
      </c>
      <c r="D30" s="23"/>
      <c r="E30" s="23"/>
      <c r="F30" s="23"/>
      <c r="G30" s="23"/>
      <c r="H30" s="16">
        <f t="shared" si="0"/>
        <v>25.630000000000003</v>
      </c>
      <c r="I30" s="16">
        <f t="shared" si="1"/>
        <v>80.63</v>
      </c>
      <c r="J30" s="16">
        <f t="shared" si="2"/>
        <v>106.25999999999999</v>
      </c>
    </row>
    <row r="31" spans="1:10" s="79" customFormat="1" ht="18.75" customHeight="1">
      <c r="A31" s="25" t="s">
        <v>39</v>
      </c>
      <c r="B31" s="81"/>
      <c r="C31" s="23"/>
      <c r="D31" s="23">
        <v>9</v>
      </c>
      <c r="E31" s="23">
        <v>20</v>
      </c>
      <c r="F31" s="23"/>
      <c r="G31" s="23"/>
      <c r="H31" s="16">
        <f t="shared" si="0"/>
        <v>16.630000000000003</v>
      </c>
      <c r="I31" s="16">
        <f t="shared" si="1"/>
        <v>60.629999999999995</v>
      </c>
      <c r="J31" s="16">
        <f t="shared" si="2"/>
        <v>77.259999999999991</v>
      </c>
    </row>
    <row r="32" spans="1:10" s="79" customFormat="1" ht="12" customHeight="1">
      <c r="A32" s="82" t="s">
        <v>40</v>
      </c>
      <c r="B32" s="23"/>
      <c r="C32" s="23"/>
      <c r="D32" s="23"/>
      <c r="E32" s="23"/>
      <c r="F32" s="23">
        <v>5</v>
      </c>
      <c r="G32" s="23"/>
      <c r="H32" s="16">
        <f t="shared" si="0"/>
        <v>11.630000000000003</v>
      </c>
      <c r="I32" s="16">
        <f t="shared" si="1"/>
        <v>60.629999999999995</v>
      </c>
      <c r="J32" s="16">
        <f t="shared" si="2"/>
        <v>72.259999999999991</v>
      </c>
    </row>
    <row r="33" spans="1:11" s="79" customFormat="1" ht="13.5" customHeight="1">
      <c r="A33" s="82" t="s">
        <v>41</v>
      </c>
      <c r="B33" s="23">
        <v>15</v>
      </c>
      <c r="C33" s="23">
        <v>15</v>
      </c>
      <c r="D33" s="23"/>
      <c r="E33" s="23"/>
      <c r="F33" s="23"/>
      <c r="G33" s="23"/>
      <c r="H33" s="16">
        <f t="shared" si="0"/>
        <v>26.630000000000003</v>
      </c>
      <c r="I33" s="16">
        <f t="shared" si="1"/>
        <v>75.63</v>
      </c>
      <c r="J33" s="16">
        <f t="shared" si="2"/>
        <v>102.25999999999999</v>
      </c>
    </row>
    <row r="34" spans="1:11" ht="12" customHeight="1">
      <c r="A34" s="24" t="s">
        <v>42</v>
      </c>
      <c r="B34" s="23"/>
      <c r="C34" s="23"/>
      <c r="D34" s="23">
        <v>15</v>
      </c>
      <c r="E34" s="23">
        <v>14</v>
      </c>
      <c r="F34" s="23"/>
      <c r="G34" s="23"/>
      <c r="H34" s="16">
        <f t="shared" si="0"/>
        <v>11.630000000000003</v>
      </c>
      <c r="I34" s="16">
        <f t="shared" si="1"/>
        <v>61.629999999999995</v>
      </c>
      <c r="J34" s="16">
        <f t="shared" si="2"/>
        <v>73.259999999999991</v>
      </c>
    </row>
    <row r="35" spans="1:11" ht="12" customHeight="1">
      <c r="A35" s="24" t="s">
        <v>43</v>
      </c>
      <c r="B35" s="23"/>
      <c r="C35" s="23"/>
      <c r="D35" s="23"/>
      <c r="E35" s="23"/>
      <c r="F35" s="23">
        <v>5</v>
      </c>
      <c r="G35" s="23"/>
      <c r="H35" s="16">
        <f t="shared" si="0"/>
        <v>6.6300000000000026</v>
      </c>
      <c r="I35" s="16">
        <f t="shared" si="1"/>
        <v>61.629999999999995</v>
      </c>
      <c r="J35" s="16">
        <f t="shared" si="2"/>
        <v>68.259999999999991</v>
      </c>
    </row>
    <row r="36" spans="1:11" ht="14.25" customHeight="1">
      <c r="A36" s="24" t="s">
        <v>44</v>
      </c>
      <c r="B36" s="23">
        <v>15</v>
      </c>
      <c r="C36" s="23">
        <v>15</v>
      </c>
      <c r="D36" s="23"/>
      <c r="E36" s="23"/>
      <c r="F36" s="23"/>
      <c r="G36" s="23"/>
      <c r="H36" s="16">
        <f t="shared" si="0"/>
        <v>21.630000000000003</v>
      </c>
      <c r="I36" s="16">
        <f t="shared" si="1"/>
        <v>76.63</v>
      </c>
      <c r="J36" s="16">
        <f t="shared" si="2"/>
        <v>98.259999999999991</v>
      </c>
    </row>
    <row r="37" spans="1:11" ht="12" customHeight="1">
      <c r="A37" s="24" t="s">
        <v>45</v>
      </c>
      <c r="B37" s="23"/>
      <c r="C37" s="23"/>
      <c r="D37" s="23">
        <v>11</v>
      </c>
      <c r="E37" s="23">
        <v>18</v>
      </c>
      <c r="F37" s="23"/>
      <c r="G37" s="23"/>
      <c r="H37" s="16">
        <f t="shared" si="0"/>
        <v>10.630000000000003</v>
      </c>
      <c r="I37" s="16">
        <f t="shared" si="1"/>
        <v>58.629999999999995</v>
      </c>
      <c r="J37" s="16">
        <f t="shared" si="2"/>
        <v>69.259999999999991</v>
      </c>
    </row>
    <row r="38" spans="1:11" ht="12" customHeight="1">
      <c r="A38" s="24" t="s">
        <v>46</v>
      </c>
      <c r="B38" s="23"/>
      <c r="C38" s="23"/>
      <c r="D38" s="23"/>
      <c r="E38" s="23"/>
      <c r="F38" s="23">
        <v>5</v>
      </c>
      <c r="G38" s="23"/>
      <c r="H38" s="16">
        <f t="shared" si="0"/>
        <v>5.6300000000000026</v>
      </c>
      <c r="I38" s="16">
        <f t="shared" si="1"/>
        <v>58.629999999999995</v>
      </c>
      <c r="J38" s="16">
        <f t="shared" si="2"/>
        <v>64.259999999999991</v>
      </c>
    </row>
    <row r="39" spans="1:11" ht="12" customHeight="1">
      <c r="A39" s="24" t="s">
        <v>47</v>
      </c>
      <c r="B39" s="23">
        <v>15</v>
      </c>
      <c r="C39" s="23">
        <v>15</v>
      </c>
      <c r="D39" s="23"/>
      <c r="E39" s="23"/>
      <c r="F39" s="23"/>
      <c r="G39" s="23"/>
      <c r="H39" s="16">
        <f t="shared" si="0"/>
        <v>20.630000000000003</v>
      </c>
      <c r="I39" s="16">
        <f t="shared" si="1"/>
        <v>73.63</v>
      </c>
      <c r="J39" s="16">
        <f t="shared" si="2"/>
        <v>94.259999999999991</v>
      </c>
    </row>
    <row r="40" spans="1:11" s="75" customFormat="1" ht="12" customHeight="1">
      <c r="A40" s="24" t="s">
        <v>48</v>
      </c>
      <c r="B40" s="23"/>
      <c r="C40" s="23"/>
      <c r="D40" s="23"/>
      <c r="E40" s="23"/>
      <c r="F40" s="23">
        <v>5</v>
      </c>
      <c r="G40" s="23"/>
      <c r="H40" s="16">
        <f t="shared" si="0"/>
        <v>15.630000000000003</v>
      </c>
      <c r="I40" s="16">
        <f t="shared" si="1"/>
        <v>73.63</v>
      </c>
      <c r="J40" s="16">
        <f t="shared" si="2"/>
        <v>89.259999999999991</v>
      </c>
      <c r="K40" s="83"/>
    </row>
    <row r="41" spans="1:11" s="75" customFormat="1" ht="12" customHeight="1">
      <c r="A41" s="24" t="s">
        <v>49</v>
      </c>
      <c r="B41" s="23">
        <v>15</v>
      </c>
      <c r="C41" s="23">
        <v>15</v>
      </c>
      <c r="D41" s="23"/>
      <c r="E41" s="23"/>
      <c r="F41" s="23"/>
      <c r="G41" s="23"/>
      <c r="H41" s="16">
        <f t="shared" si="0"/>
        <v>30.630000000000003</v>
      </c>
      <c r="I41" s="16">
        <f t="shared" si="1"/>
        <v>88.63</v>
      </c>
      <c r="J41" s="16">
        <f t="shared" si="2"/>
        <v>119.25999999999999</v>
      </c>
      <c r="K41" s="83"/>
    </row>
    <row r="42" spans="1:11" s="75" customFormat="1" ht="12.75" customHeight="1">
      <c r="A42" s="24" t="s">
        <v>50</v>
      </c>
      <c r="B42" s="23"/>
      <c r="C42" s="23"/>
      <c r="D42" s="23">
        <v>10</v>
      </c>
      <c r="E42" s="23"/>
      <c r="F42" s="23"/>
      <c r="G42" s="23"/>
      <c r="H42" s="16">
        <f t="shared" si="0"/>
        <v>20.630000000000003</v>
      </c>
      <c r="I42" s="16">
        <f t="shared" si="1"/>
        <v>88.63</v>
      </c>
      <c r="J42" s="16">
        <f t="shared" si="2"/>
        <v>109.25999999999999</v>
      </c>
      <c r="K42" s="83"/>
    </row>
    <row r="43" spans="1:11" ht="12" customHeight="1">
      <c r="A43" s="24" t="s">
        <v>51</v>
      </c>
      <c r="B43" s="23"/>
      <c r="C43" s="23"/>
      <c r="D43" s="23"/>
      <c r="E43" s="23"/>
      <c r="F43" s="23">
        <v>5</v>
      </c>
      <c r="G43" s="23"/>
      <c r="H43" s="16">
        <f t="shared" si="0"/>
        <v>15.630000000000003</v>
      </c>
      <c r="I43" s="16">
        <f t="shared" si="1"/>
        <v>88.63</v>
      </c>
      <c r="J43" s="16">
        <f t="shared" si="2"/>
        <v>104.25999999999999</v>
      </c>
    </row>
    <row r="44" spans="1:11" ht="15.75" customHeight="1">
      <c r="A44" s="24" t="s">
        <v>52</v>
      </c>
      <c r="B44" s="23">
        <v>15</v>
      </c>
      <c r="C44" s="23">
        <v>15</v>
      </c>
      <c r="D44" s="23"/>
      <c r="E44" s="23"/>
      <c r="F44" s="23"/>
      <c r="G44" s="23"/>
      <c r="H44" s="16">
        <f t="shared" si="0"/>
        <v>30.630000000000003</v>
      </c>
      <c r="I44" s="16">
        <f t="shared" si="1"/>
        <v>103.63</v>
      </c>
      <c r="J44" s="16">
        <f t="shared" si="2"/>
        <v>134.26</v>
      </c>
    </row>
    <row r="45" spans="1:11" s="75" customFormat="1" ht="16.5" customHeight="1">
      <c r="A45" s="24" t="s">
        <v>53</v>
      </c>
      <c r="B45" s="23"/>
      <c r="C45" s="23"/>
      <c r="D45" s="23">
        <v>16</v>
      </c>
      <c r="E45" s="23">
        <v>13</v>
      </c>
      <c r="F45" s="23"/>
      <c r="G45" s="23"/>
      <c r="H45" s="16">
        <f t="shared" si="0"/>
        <v>14.630000000000003</v>
      </c>
      <c r="I45" s="16">
        <f t="shared" si="1"/>
        <v>90.63</v>
      </c>
      <c r="J45" s="16">
        <f t="shared" si="2"/>
        <v>105.25999999999999</v>
      </c>
      <c r="K45" s="83"/>
    </row>
    <row r="46" spans="1:11" s="75" customFormat="1" ht="12" customHeight="1">
      <c r="A46" s="24" t="s">
        <v>54</v>
      </c>
      <c r="B46" s="23"/>
      <c r="C46" s="23"/>
      <c r="D46" s="23"/>
      <c r="E46" s="23"/>
      <c r="F46" s="23">
        <v>5</v>
      </c>
      <c r="G46" s="23"/>
      <c r="H46" s="16">
        <f t="shared" si="0"/>
        <v>9.6300000000000026</v>
      </c>
      <c r="I46" s="16">
        <f t="shared" si="1"/>
        <v>90.63</v>
      </c>
      <c r="J46" s="16">
        <f t="shared" si="2"/>
        <v>100.25999999999999</v>
      </c>
      <c r="K46" s="83"/>
    </row>
    <row r="47" spans="1:11" ht="12" customHeight="1">
      <c r="A47" s="24" t="s">
        <v>55</v>
      </c>
      <c r="B47" s="23">
        <v>15</v>
      </c>
      <c r="C47" s="23">
        <v>15</v>
      </c>
      <c r="D47" s="23"/>
      <c r="E47" s="23"/>
      <c r="F47" s="23"/>
      <c r="G47" s="23"/>
      <c r="H47" s="16">
        <f t="shared" si="0"/>
        <v>24.630000000000003</v>
      </c>
      <c r="I47" s="16">
        <f t="shared" si="1"/>
        <v>105.63</v>
      </c>
      <c r="J47" s="16">
        <f t="shared" si="2"/>
        <v>130.26</v>
      </c>
    </row>
    <row r="48" spans="1:11" ht="16.5" customHeight="1">
      <c r="A48" s="24" t="s">
        <v>56</v>
      </c>
      <c r="B48" s="23"/>
      <c r="C48" s="23"/>
      <c r="D48" s="23"/>
      <c r="E48" s="23"/>
      <c r="F48" s="23">
        <v>3</v>
      </c>
      <c r="G48" s="23"/>
      <c r="H48" s="16">
        <f t="shared" si="0"/>
        <v>21.630000000000003</v>
      </c>
      <c r="I48" s="16">
        <f t="shared" si="1"/>
        <v>105.63</v>
      </c>
      <c r="J48" s="16">
        <f t="shared" si="2"/>
        <v>127.25999999999999</v>
      </c>
    </row>
    <row r="49" spans="1:10" ht="12" customHeight="1">
      <c r="A49" s="24" t="s">
        <v>57</v>
      </c>
      <c r="B49" s="23"/>
      <c r="C49" s="23"/>
      <c r="D49" s="23"/>
      <c r="E49" s="23"/>
      <c r="F49" s="23"/>
      <c r="G49" s="23">
        <v>1</v>
      </c>
      <c r="H49" s="16">
        <f t="shared" si="0"/>
        <v>21.630000000000003</v>
      </c>
      <c r="I49" s="16">
        <f t="shared" si="1"/>
        <v>105.63</v>
      </c>
      <c r="J49" s="16">
        <f t="shared" si="2"/>
        <v>127.25999999999999</v>
      </c>
    </row>
    <row r="50" spans="1:10" s="79" customFormat="1" ht="12" customHeight="1">
      <c r="A50" s="24" t="s">
        <v>58</v>
      </c>
      <c r="B50" s="23"/>
      <c r="C50" s="23"/>
      <c r="D50" s="23">
        <v>13</v>
      </c>
      <c r="E50" s="23">
        <v>16</v>
      </c>
      <c r="F50" s="23"/>
      <c r="G50" s="23"/>
      <c r="H50" s="16">
        <f t="shared" si="0"/>
        <v>8.6300000000000026</v>
      </c>
      <c r="I50" s="16">
        <f t="shared" si="1"/>
        <v>89.63</v>
      </c>
      <c r="J50" s="16">
        <f t="shared" si="2"/>
        <v>98.259999999999991</v>
      </c>
    </row>
    <row r="51" spans="1:10" s="79" customFormat="1" ht="12" customHeight="1">
      <c r="A51" s="24" t="s">
        <v>59</v>
      </c>
      <c r="B51" s="23"/>
      <c r="C51" s="23"/>
      <c r="D51" s="23"/>
      <c r="E51" s="23"/>
      <c r="F51" s="23"/>
      <c r="G51" s="23">
        <v>1</v>
      </c>
      <c r="H51" s="16">
        <f t="shared" si="0"/>
        <v>8.6300000000000026</v>
      </c>
      <c r="I51" s="16">
        <f t="shared" si="1"/>
        <v>89.63</v>
      </c>
      <c r="J51" s="16">
        <f t="shared" si="2"/>
        <v>98.259999999999991</v>
      </c>
    </row>
    <row r="52" spans="1:10" s="79" customFormat="1" ht="12" customHeight="1">
      <c r="A52" s="24" t="s">
        <v>60</v>
      </c>
      <c r="B52" s="23"/>
      <c r="C52" s="23"/>
      <c r="D52" s="23"/>
      <c r="E52" s="23"/>
      <c r="F52" s="23">
        <v>2</v>
      </c>
      <c r="G52" s="23"/>
      <c r="H52" s="16">
        <f t="shared" si="0"/>
        <v>6.6300000000000026</v>
      </c>
      <c r="I52" s="16">
        <f t="shared" si="1"/>
        <v>89.63</v>
      </c>
      <c r="J52" s="16">
        <f t="shared" si="2"/>
        <v>96.259999999999991</v>
      </c>
    </row>
    <row r="53" spans="1:10" s="79" customFormat="1" ht="12" customHeight="1">
      <c r="A53" s="24" t="s">
        <v>61</v>
      </c>
      <c r="B53" s="23">
        <v>10</v>
      </c>
      <c r="C53" s="23">
        <v>10</v>
      </c>
      <c r="D53" s="23"/>
      <c r="E53" s="23"/>
      <c r="F53" s="23"/>
      <c r="G53" s="23"/>
      <c r="H53" s="16">
        <f t="shared" si="0"/>
        <v>16.630000000000003</v>
      </c>
      <c r="I53" s="16">
        <f t="shared" si="1"/>
        <v>99.63</v>
      </c>
      <c r="J53" s="16">
        <f t="shared" si="2"/>
        <v>116.25999999999999</v>
      </c>
    </row>
    <row r="54" spans="1:10" s="79" customFormat="1" ht="14.25" customHeight="1">
      <c r="A54" s="24" t="s">
        <v>62</v>
      </c>
      <c r="B54" s="23"/>
      <c r="C54" s="23"/>
      <c r="D54" s="23"/>
      <c r="E54" s="23"/>
      <c r="F54" s="23">
        <v>1</v>
      </c>
      <c r="G54" s="23"/>
      <c r="H54" s="16">
        <f t="shared" si="0"/>
        <v>15.630000000000003</v>
      </c>
      <c r="I54" s="16">
        <f t="shared" si="1"/>
        <v>99.63</v>
      </c>
      <c r="J54" s="16">
        <f t="shared" si="2"/>
        <v>115.25999999999999</v>
      </c>
    </row>
    <row r="55" spans="1:10" s="79" customFormat="1" ht="12" customHeight="1">
      <c r="A55" s="24" t="s">
        <v>63</v>
      </c>
      <c r="B55" s="23"/>
      <c r="C55" s="23"/>
      <c r="D55" s="23"/>
      <c r="E55" s="23"/>
      <c r="F55" s="23"/>
      <c r="G55" s="23">
        <v>1</v>
      </c>
      <c r="H55" s="16">
        <f t="shared" si="0"/>
        <v>15.630000000000003</v>
      </c>
      <c r="I55" s="16">
        <f t="shared" si="1"/>
        <v>99.63</v>
      </c>
      <c r="J55" s="16">
        <f t="shared" si="2"/>
        <v>115.25999999999999</v>
      </c>
    </row>
    <row r="56" spans="1:10" s="79" customFormat="1" ht="15.75" customHeight="1">
      <c r="A56" s="24" t="s">
        <v>64</v>
      </c>
      <c r="B56" s="23"/>
      <c r="C56" s="23"/>
      <c r="D56" s="23"/>
      <c r="E56" s="23"/>
      <c r="F56" s="23">
        <v>1</v>
      </c>
      <c r="G56" s="23"/>
      <c r="H56" s="16">
        <f t="shared" si="0"/>
        <v>14.630000000000003</v>
      </c>
      <c r="I56" s="16">
        <f t="shared" si="1"/>
        <v>99.63</v>
      </c>
      <c r="J56" s="16">
        <f t="shared" si="2"/>
        <v>114.25999999999999</v>
      </c>
    </row>
    <row r="57" spans="1:10" s="79" customFormat="1" ht="12" customHeight="1">
      <c r="A57" s="24" t="s">
        <v>65</v>
      </c>
      <c r="B57" s="23"/>
      <c r="C57" s="23"/>
      <c r="D57" s="23"/>
      <c r="E57" s="23"/>
      <c r="F57" s="23"/>
      <c r="G57" s="23">
        <v>1</v>
      </c>
      <c r="H57" s="16">
        <f t="shared" si="0"/>
        <v>14.630000000000003</v>
      </c>
      <c r="I57" s="16">
        <f t="shared" si="1"/>
        <v>99.63</v>
      </c>
      <c r="J57" s="16">
        <f t="shared" si="2"/>
        <v>114.25999999999999</v>
      </c>
    </row>
    <row r="58" spans="1:10" s="79" customFormat="1" ht="14.25" customHeight="1">
      <c r="A58" s="24" t="s">
        <v>66</v>
      </c>
      <c r="B58" s="23"/>
      <c r="C58" s="23"/>
      <c r="D58" s="23"/>
      <c r="E58" s="23">
        <v>1</v>
      </c>
      <c r="F58" s="23"/>
      <c r="G58" s="23"/>
      <c r="H58" s="16">
        <f t="shared" si="0"/>
        <v>14.630000000000003</v>
      </c>
      <c r="I58" s="16">
        <f t="shared" si="1"/>
        <v>98.63</v>
      </c>
      <c r="J58" s="16">
        <f t="shared" si="2"/>
        <v>113.25999999999999</v>
      </c>
    </row>
    <row r="59" spans="1:10" s="79" customFormat="1" ht="15" customHeight="1">
      <c r="A59" s="24" t="s">
        <v>67</v>
      </c>
      <c r="B59" s="23"/>
      <c r="C59" s="23"/>
      <c r="D59" s="23"/>
      <c r="E59" s="23"/>
      <c r="F59" s="23"/>
      <c r="G59" s="23">
        <v>1</v>
      </c>
      <c r="H59" s="16">
        <f t="shared" si="0"/>
        <v>14.630000000000003</v>
      </c>
      <c r="I59" s="16">
        <f t="shared" si="1"/>
        <v>98.63</v>
      </c>
      <c r="J59" s="16">
        <f t="shared" si="2"/>
        <v>113.25999999999999</v>
      </c>
    </row>
    <row r="60" spans="1:10" s="79" customFormat="1" ht="12" customHeight="1">
      <c r="A60" s="24" t="s">
        <v>68</v>
      </c>
      <c r="B60" s="23"/>
      <c r="C60" s="23"/>
      <c r="D60" s="23">
        <v>2</v>
      </c>
      <c r="E60" s="23">
        <v>27</v>
      </c>
      <c r="F60" s="23"/>
      <c r="G60" s="23"/>
      <c r="H60" s="16">
        <f t="shared" si="0"/>
        <v>12.630000000000003</v>
      </c>
      <c r="I60" s="16">
        <f t="shared" si="1"/>
        <v>71.63</v>
      </c>
      <c r="J60" s="16">
        <f t="shared" si="2"/>
        <v>84.259999999999991</v>
      </c>
    </row>
    <row r="61" spans="1:10" s="79" customFormat="1" ht="12" customHeight="1">
      <c r="A61" s="24" t="s">
        <v>69</v>
      </c>
      <c r="B61" s="23"/>
      <c r="C61" s="23"/>
      <c r="D61" s="23"/>
      <c r="E61" s="23">
        <v>1</v>
      </c>
      <c r="F61" s="23"/>
      <c r="G61" s="23"/>
      <c r="H61" s="16">
        <f t="shared" si="0"/>
        <v>12.630000000000003</v>
      </c>
      <c r="I61" s="16">
        <f t="shared" si="1"/>
        <v>70.63</v>
      </c>
      <c r="J61" s="16">
        <f t="shared" si="2"/>
        <v>83.259999999999991</v>
      </c>
    </row>
    <row r="62" spans="1:10" s="79" customFormat="1" ht="12" customHeight="1">
      <c r="A62" s="24" t="s">
        <v>70</v>
      </c>
      <c r="B62" s="23"/>
      <c r="C62" s="23"/>
      <c r="D62" s="23"/>
      <c r="E62" s="23"/>
      <c r="F62" s="23">
        <v>1</v>
      </c>
      <c r="G62" s="23"/>
      <c r="H62" s="16">
        <f t="shared" si="0"/>
        <v>11.630000000000003</v>
      </c>
      <c r="I62" s="16">
        <f t="shared" si="1"/>
        <v>70.63</v>
      </c>
      <c r="J62" s="16">
        <f t="shared" si="2"/>
        <v>82.259999999999991</v>
      </c>
    </row>
    <row r="63" spans="1:10" s="79" customFormat="1" ht="15.75" customHeight="1">
      <c r="A63" s="24" t="s">
        <v>71</v>
      </c>
      <c r="B63" s="23">
        <v>2.5</v>
      </c>
      <c r="C63" s="23">
        <v>2.5</v>
      </c>
      <c r="D63" s="23"/>
      <c r="E63" s="23"/>
      <c r="F63" s="23"/>
      <c r="G63" s="23"/>
      <c r="H63" s="16">
        <f t="shared" si="0"/>
        <v>14.130000000000003</v>
      </c>
      <c r="I63" s="16">
        <f t="shared" si="1"/>
        <v>73.13</v>
      </c>
      <c r="J63" s="16">
        <f t="shared" si="2"/>
        <v>87.259999999999991</v>
      </c>
    </row>
    <row r="64" spans="1:10" s="79" customFormat="1" ht="13.5" customHeight="1">
      <c r="A64" s="24" t="s">
        <v>72</v>
      </c>
      <c r="B64" s="23"/>
      <c r="C64" s="23"/>
      <c r="D64" s="23"/>
      <c r="E64" s="23"/>
      <c r="F64" s="23">
        <v>1</v>
      </c>
      <c r="G64" s="23"/>
      <c r="H64" s="16">
        <f t="shared" si="0"/>
        <v>13.130000000000003</v>
      </c>
      <c r="I64" s="16">
        <f t="shared" si="1"/>
        <v>73.13</v>
      </c>
      <c r="J64" s="16">
        <f t="shared" si="2"/>
        <v>86.259999999999991</v>
      </c>
    </row>
    <row r="65" spans="1:10" s="79" customFormat="1" ht="12" customHeight="1">
      <c r="A65" s="24" t="s">
        <v>73</v>
      </c>
      <c r="B65" s="23">
        <v>1.25</v>
      </c>
      <c r="C65" s="23">
        <v>1.25</v>
      </c>
      <c r="D65" s="23"/>
      <c r="E65" s="23"/>
      <c r="F65" s="23"/>
      <c r="G65" s="23"/>
      <c r="H65" s="16">
        <f t="shared" si="0"/>
        <v>14.380000000000003</v>
      </c>
      <c r="I65" s="16">
        <f t="shared" si="1"/>
        <v>74.38</v>
      </c>
      <c r="J65" s="16">
        <f t="shared" si="2"/>
        <v>88.759999999999991</v>
      </c>
    </row>
    <row r="66" spans="1:10" s="79" customFormat="1" ht="12" customHeight="1">
      <c r="A66" s="24" t="s">
        <v>74</v>
      </c>
      <c r="B66" s="23"/>
      <c r="C66" s="23"/>
      <c r="D66" s="23"/>
      <c r="E66" s="23"/>
      <c r="F66" s="23">
        <v>1</v>
      </c>
      <c r="G66" s="23"/>
      <c r="H66" s="16">
        <f t="shared" si="0"/>
        <v>13.380000000000003</v>
      </c>
      <c r="I66" s="16">
        <f t="shared" si="1"/>
        <v>74.38</v>
      </c>
      <c r="J66" s="16">
        <f t="shared" si="2"/>
        <v>87.759999999999991</v>
      </c>
    </row>
    <row r="67" spans="1:10" s="79" customFormat="1" ht="12" customHeight="1">
      <c r="A67" s="24" t="s">
        <v>75</v>
      </c>
      <c r="B67" s="23">
        <v>1.25</v>
      </c>
      <c r="C67" s="23">
        <v>1.25</v>
      </c>
      <c r="D67" s="23"/>
      <c r="E67" s="23"/>
      <c r="F67" s="23"/>
      <c r="G67" s="23"/>
      <c r="H67" s="16">
        <f t="shared" si="0"/>
        <v>14.630000000000003</v>
      </c>
      <c r="I67" s="16">
        <f t="shared" si="1"/>
        <v>75.63</v>
      </c>
      <c r="J67" s="16">
        <f t="shared" si="2"/>
        <v>90.259999999999991</v>
      </c>
    </row>
    <row r="68" spans="1:10" s="79" customFormat="1" ht="12" customHeight="1">
      <c r="A68" s="24" t="s">
        <v>76</v>
      </c>
      <c r="B68" s="23"/>
      <c r="C68" s="23"/>
      <c r="D68" s="23"/>
      <c r="E68" s="23">
        <v>1</v>
      </c>
      <c r="F68" s="23"/>
      <c r="G68" s="23"/>
      <c r="H68" s="16">
        <f t="shared" si="0"/>
        <v>14.630000000000003</v>
      </c>
      <c r="I68" s="16">
        <f t="shared" si="1"/>
        <v>74.63</v>
      </c>
      <c r="J68" s="16">
        <f t="shared" si="2"/>
        <v>89.259999999999991</v>
      </c>
    </row>
    <row r="69" spans="1:10" s="79" customFormat="1" ht="12" customHeight="1">
      <c r="A69" s="24" t="s">
        <v>77</v>
      </c>
      <c r="B69" s="23"/>
      <c r="C69" s="23"/>
      <c r="D69" s="23"/>
      <c r="E69" s="23"/>
      <c r="F69" s="23">
        <v>1</v>
      </c>
      <c r="G69" s="23"/>
      <c r="H69" s="16">
        <f t="shared" si="0"/>
        <v>13.630000000000003</v>
      </c>
      <c r="I69" s="16">
        <f t="shared" si="1"/>
        <v>74.63</v>
      </c>
      <c r="J69" s="16">
        <f t="shared" si="2"/>
        <v>88.259999999999991</v>
      </c>
    </row>
    <row r="70" spans="1:10" s="79" customFormat="1" ht="12" customHeight="1">
      <c r="A70" s="24" t="s">
        <v>78</v>
      </c>
      <c r="B70" s="23">
        <v>5</v>
      </c>
      <c r="C70" s="23">
        <v>5</v>
      </c>
      <c r="D70" s="23"/>
      <c r="E70" s="23"/>
      <c r="F70" s="23"/>
      <c r="G70" s="23"/>
      <c r="H70" s="16">
        <f t="shared" si="0"/>
        <v>18.630000000000003</v>
      </c>
      <c r="I70" s="16">
        <f t="shared" si="1"/>
        <v>79.63</v>
      </c>
      <c r="J70" s="16">
        <f t="shared" si="2"/>
        <v>98.259999999999991</v>
      </c>
    </row>
    <row r="71" spans="1:10" s="79" customFormat="1" ht="12" customHeight="1">
      <c r="A71" s="24" t="s">
        <v>79</v>
      </c>
      <c r="B71" s="23"/>
      <c r="C71" s="23"/>
      <c r="D71" s="23"/>
      <c r="E71" s="23"/>
      <c r="F71" s="23"/>
      <c r="G71" s="23">
        <v>1</v>
      </c>
      <c r="H71" s="16">
        <f t="shared" si="0"/>
        <v>18.630000000000003</v>
      </c>
      <c r="I71" s="16">
        <f t="shared" si="1"/>
        <v>79.63</v>
      </c>
      <c r="J71" s="16">
        <f t="shared" si="2"/>
        <v>98.259999999999991</v>
      </c>
    </row>
    <row r="72" spans="1:10" s="79" customFormat="1" ht="12" customHeight="1">
      <c r="A72" s="24" t="s">
        <v>80</v>
      </c>
      <c r="B72" s="23">
        <v>1.25</v>
      </c>
      <c r="C72" s="23">
        <v>1.25</v>
      </c>
      <c r="D72" s="23"/>
      <c r="E72" s="23"/>
      <c r="F72" s="23"/>
      <c r="G72" s="23"/>
      <c r="H72" s="16">
        <f t="shared" si="0"/>
        <v>19.880000000000003</v>
      </c>
      <c r="I72" s="16">
        <f t="shared" si="1"/>
        <v>80.88</v>
      </c>
      <c r="J72" s="16">
        <f t="shared" si="2"/>
        <v>100.75999999999999</v>
      </c>
    </row>
    <row r="73" spans="1:10" s="79" customFormat="1" ht="12" customHeight="1">
      <c r="A73" s="24" t="s">
        <v>81</v>
      </c>
      <c r="B73" s="23"/>
      <c r="C73" s="23"/>
      <c r="D73" s="23"/>
      <c r="E73" s="23"/>
      <c r="F73" s="23">
        <v>2</v>
      </c>
      <c r="G73" s="23"/>
      <c r="H73" s="16">
        <f t="shared" si="0"/>
        <v>17.880000000000003</v>
      </c>
      <c r="I73" s="16">
        <f t="shared" si="1"/>
        <v>80.88</v>
      </c>
      <c r="J73" s="16">
        <f t="shared" si="2"/>
        <v>98.759999999999991</v>
      </c>
    </row>
    <row r="74" spans="1:10" s="79" customFormat="1" ht="12" customHeight="1">
      <c r="A74" s="24" t="s">
        <v>82</v>
      </c>
      <c r="B74" s="23">
        <v>2.5</v>
      </c>
      <c r="C74" s="23">
        <v>2.5</v>
      </c>
      <c r="D74" s="23"/>
      <c r="E74" s="23"/>
      <c r="F74" s="23"/>
      <c r="G74" s="23"/>
      <c r="H74" s="16">
        <f t="shared" si="0"/>
        <v>20.380000000000003</v>
      </c>
      <c r="I74" s="16">
        <f t="shared" si="1"/>
        <v>83.38</v>
      </c>
      <c r="J74" s="16">
        <f t="shared" si="2"/>
        <v>103.75999999999999</v>
      </c>
    </row>
    <row r="75" spans="1:10" s="79" customFormat="1" ht="43.5" customHeight="1">
      <c r="A75" s="25" t="s">
        <v>83</v>
      </c>
      <c r="B75" s="23">
        <v>13.042999999999999</v>
      </c>
      <c r="C75" s="23">
        <v>13.042999999999999</v>
      </c>
      <c r="D75" s="23"/>
      <c r="E75" s="23"/>
      <c r="F75" s="23"/>
      <c r="G75" s="23"/>
      <c r="H75" s="16">
        <f t="shared" si="0"/>
        <v>33.423000000000002</v>
      </c>
      <c r="I75" s="16">
        <f t="shared" si="1"/>
        <v>96.423000000000002</v>
      </c>
      <c r="J75" s="16">
        <f t="shared" si="2"/>
        <v>129.846</v>
      </c>
    </row>
    <row r="76" spans="1:10" s="79" customFormat="1" ht="12" customHeight="1">
      <c r="A76" s="24" t="s">
        <v>84</v>
      </c>
      <c r="B76" s="23"/>
      <c r="C76" s="23"/>
      <c r="D76" s="23">
        <v>24</v>
      </c>
      <c r="E76" s="23"/>
      <c r="F76" s="23"/>
      <c r="G76" s="23"/>
      <c r="H76" s="16">
        <f t="shared" si="0"/>
        <v>9.4230000000000018</v>
      </c>
      <c r="I76" s="16">
        <f t="shared" si="1"/>
        <v>96.423000000000002</v>
      </c>
      <c r="J76" s="16">
        <f t="shared" si="2"/>
        <v>105.846</v>
      </c>
    </row>
    <row r="77" spans="1:10" s="79" customFormat="1" ht="12" customHeight="1">
      <c r="A77" s="24" t="s">
        <v>85</v>
      </c>
      <c r="B77" s="23">
        <v>2.5</v>
      </c>
      <c r="C77" s="23">
        <v>2.5</v>
      </c>
      <c r="D77" s="23"/>
      <c r="E77" s="23"/>
      <c r="F77" s="23"/>
      <c r="G77" s="23"/>
      <c r="H77" s="16">
        <f t="shared" si="0"/>
        <v>11.923000000000002</v>
      </c>
      <c r="I77" s="16">
        <f t="shared" si="1"/>
        <v>98.923000000000002</v>
      </c>
      <c r="J77" s="16">
        <f t="shared" si="2"/>
        <v>110.846</v>
      </c>
    </row>
    <row r="78" spans="1:10" s="79" customFormat="1" ht="12" customHeight="1">
      <c r="A78" s="24" t="s">
        <v>86</v>
      </c>
      <c r="B78" s="23"/>
      <c r="C78" s="23"/>
      <c r="D78" s="23"/>
      <c r="E78" s="23"/>
      <c r="F78" s="23">
        <v>1</v>
      </c>
      <c r="G78" s="23"/>
      <c r="H78" s="16">
        <f t="shared" si="0"/>
        <v>10.923000000000002</v>
      </c>
      <c r="I78" s="16">
        <f t="shared" si="1"/>
        <v>98.923000000000002</v>
      </c>
      <c r="J78" s="16">
        <f t="shared" si="2"/>
        <v>109.846</v>
      </c>
    </row>
    <row r="79" spans="1:10" s="79" customFormat="1" ht="13.5" customHeight="1">
      <c r="A79" s="24" t="s">
        <v>87</v>
      </c>
      <c r="B79" s="23">
        <v>1.25</v>
      </c>
      <c r="C79" s="23">
        <v>1.25</v>
      </c>
      <c r="D79" s="23"/>
      <c r="E79" s="23"/>
      <c r="F79" s="23"/>
      <c r="G79" s="23"/>
      <c r="H79" s="16">
        <f t="shared" ref="H79:H87" si="3">H78-F79-D79+B79</f>
        <v>12.173000000000002</v>
      </c>
      <c r="I79" s="16">
        <f t="shared" ref="I79:I87" si="4">I78-E79+C79</f>
        <v>100.173</v>
      </c>
      <c r="J79" s="16">
        <f t="shared" ref="J79:J87" si="5">SUM(H79:I79)</f>
        <v>112.346</v>
      </c>
    </row>
    <row r="80" spans="1:10" s="79" customFormat="1" ht="12" customHeight="1">
      <c r="A80" s="24" t="s">
        <v>88</v>
      </c>
      <c r="B80" s="23"/>
      <c r="C80" s="23"/>
      <c r="D80" s="23"/>
      <c r="E80" s="23"/>
      <c r="F80" s="23"/>
      <c r="G80" s="23">
        <v>1</v>
      </c>
      <c r="H80" s="16">
        <f t="shared" si="3"/>
        <v>12.173000000000002</v>
      </c>
      <c r="I80" s="16">
        <f t="shared" si="4"/>
        <v>100.173</v>
      </c>
      <c r="J80" s="16">
        <f t="shared" si="5"/>
        <v>112.346</v>
      </c>
    </row>
    <row r="81" spans="1:10" s="79" customFormat="1" ht="12" customHeight="1">
      <c r="A81" s="24" t="s">
        <v>89</v>
      </c>
      <c r="B81" s="23">
        <v>1.25</v>
      </c>
      <c r="C81" s="23">
        <v>1.25</v>
      </c>
      <c r="D81" s="23"/>
      <c r="E81" s="23"/>
      <c r="F81" s="23"/>
      <c r="G81" s="23"/>
      <c r="H81" s="16">
        <f t="shared" si="3"/>
        <v>13.423000000000002</v>
      </c>
      <c r="I81" s="16">
        <f t="shared" si="4"/>
        <v>101.423</v>
      </c>
      <c r="J81" s="16">
        <f t="shared" si="5"/>
        <v>114.846</v>
      </c>
    </row>
    <row r="82" spans="1:10" s="79" customFormat="1" ht="14.25" customHeight="1">
      <c r="A82" s="84" t="s">
        <v>90</v>
      </c>
      <c r="B82" s="85"/>
      <c r="C82" s="85"/>
      <c r="D82" s="84"/>
      <c r="E82" s="23"/>
      <c r="F82" s="23">
        <v>1</v>
      </c>
      <c r="G82" s="23"/>
      <c r="H82" s="16">
        <f t="shared" si="3"/>
        <v>12.423000000000002</v>
      </c>
      <c r="I82" s="16">
        <f t="shared" si="4"/>
        <v>101.423</v>
      </c>
      <c r="J82" s="16">
        <f t="shared" si="5"/>
        <v>113.846</v>
      </c>
    </row>
    <row r="83" spans="1:10" s="79" customFormat="1" ht="14.25" customHeight="1">
      <c r="A83" s="84" t="s">
        <v>91</v>
      </c>
      <c r="B83" s="84">
        <v>1.25</v>
      </c>
      <c r="C83" s="84">
        <v>1.25</v>
      </c>
      <c r="D83" s="84"/>
      <c r="E83" s="23"/>
      <c r="F83" s="23"/>
      <c r="G83" s="23"/>
      <c r="H83" s="16">
        <f t="shared" si="3"/>
        <v>13.673000000000002</v>
      </c>
      <c r="I83" s="16">
        <f t="shared" si="4"/>
        <v>102.673</v>
      </c>
      <c r="J83" s="16">
        <f t="shared" si="5"/>
        <v>116.346</v>
      </c>
    </row>
    <row r="84" spans="1:10" s="79" customFormat="1" ht="14.25" customHeight="1">
      <c r="A84" s="84" t="s">
        <v>92</v>
      </c>
      <c r="B84" s="84">
        <v>3.75</v>
      </c>
      <c r="C84" s="84">
        <v>3.75</v>
      </c>
      <c r="D84" s="84"/>
      <c r="E84" s="23"/>
      <c r="F84" s="23"/>
      <c r="G84" s="23"/>
      <c r="H84" s="16">
        <f t="shared" si="3"/>
        <v>17.423000000000002</v>
      </c>
      <c r="I84" s="16">
        <f t="shared" si="4"/>
        <v>106.423</v>
      </c>
      <c r="J84" s="16">
        <f t="shared" si="5"/>
        <v>123.846</v>
      </c>
    </row>
    <row r="85" spans="1:10" s="79" customFormat="1" ht="14.25" customHeight="1">
      <c r="A85" s="84" t="s">
        <v>93</v>
      </c>
      <c r="B85" s="84"/>
      <c r="C85" s="84"/>
      <c r="D85" s="84"/>
      <c r="E85" s="23">
        <v>1</v>
      </c>
      <c r="F85" s="23"/>
      <c r="G85" s="23"/>
      <c r="H85" s="16">
        <f t="shared" si="3"/>
        <v>17.423000000000002</v>
      </c>
      <c r="I85" s="16">
        <f t="shared" si="4"/>
        <v>105.423</v>
      </c>
      <c r="J85" s="16">
        <f t="shared" si="5"/>
        <v>122.846</v>
      </c>
    </row>
    <row r="86" spans="1:10" s="79" customFormat="1" ht="14.25" customHeight="1">
      <c r="A86" s="84" t="s">
        <v>94</v>
      </c>
      <c r="B86" s="84">
        <v>3.75</v>
      </c>
      <c r="C86" s="84">
        <v>3.75</v>
      </c>
      <c r="D86" s="84"/>
      <c r="E86" s="23"/>
      <c r="F86" s="23"/>
      <c r="G86" s="23"/>
      <c r="H86" s="16">
        <f t="shared" si="3"/>
        <v>21.173000000000002</v>
      </c>
      <c r="I86" s="16">
        <f t="shared" si="4"/>
        <v>109.173</v>
      </c>
      <c r="J86" s="16">
        <f t="shared" si="5"/>
        <v>130.346</v>
      </c>
    </row>
    <row r="87" spans="1:10" s="79" customFormat="1" ht="14.25" customHeight="1">
      <c r="A87" s="84" t="s">
        <v>95</v>
      </c>
      <c r="B87" s="84"/>
      <c r="C87" s="84"/>
      <c r="D87" s="84">
        <v>16</v>
      </c>
      <c r="E87" s="23"/>
      <c r="F87" s="23"/>
      <c r="G87" s="23"/>
      <c r="H87" s="16">
        <f t="shared" si="3"/>
        <v>5.1730000000000018</v>
      </c>
      <c r="I87" s="16">
        <f t="shared" si="4"/>
        <v>109.173</v>
      </c>
      <c r="J87" s="16">
        <f t="shared" si="5"/>
        <v>114.346</v>
      </c>
    </row>
    <row r="88" spans="1:10" s="79" customFormat="1" ht="14.25" customHeight="1">
      <c r="A88" s="84" t="s">
        <v>96</v>
      </c>
      <c r="B88" s="84"/>
      <c r="C88" s="84"/>
      <c r="D88" s="84"/>
      <c r="E88" s="23"/>
      <c r="F88" s="86">
        <v>1</v>
      </c>
      <c r="G88" s="23"/>
      <c r="H88" s="16">
        <f t="shared" ref="H88:H90" si="6">H87-F88-D88+B88</f>
        <v>4.1730000000000018</v>
      </c>
      <c r="I88" s="16">
        <f t="shared" ref="I88:I90" si="7">I87-E88+C88</f>
        <v>109.173</v>
      </c>
      <c r="J88" s="16">
        <f t="shared" ref="J88:J90" si="8">SUM(H88:I88)</f>
        <v>113.346</v>
      </c>
    </row>
    <row r="89" spans="1:10" s="79" customFormat="1" ht="14.25" customHeight="1">
      <c r="A89" s="84" t="s">
        <v>97</v>
      </c>
      <c r="B89" s="84">
        <v>1.25</v>
      </c>
      <c r="C89" s="84">
        <v>1.25</v>
      </c>
      <c r="D89" s="84"/>
      <c r="E89" s="23"/>
      <c r="F89" s="23"/>
      <c r="G89" s="23"/>
      <c r="H89" s="16">
        <f t="shared" si="6"/>
        <v>5.4230000000000018</v>
      </c>
      <c r="I89" s="16">
        <f t="shared" si="7"/>
        <v>110.423</v>
      </c>
      <c r="J89" s="16">
        <f t="shared" si="8"/>
        <v>115.846</v>
      </c>
    </row>
    <row r="90" spans="1:10" s="79" customFormat="1" ht="14.25" customHeight="1">
      <c r="A90" s="84" t="s">
        <v>98</v>
      </c>
      <c r="B90" s="84"/>
      <c r="C90" s="84"/>
      <c r="D90" s="84"/>
      <c r="E90" s="23"/>
      <c r="F90" s="86">
        <v>3</v>
      </c>
      <c r="G90" s="23"/>
      <c r="H90" s="16">
        <f t="shared" si="6"/>
        <v>2.4230000000000018</v>
      </c>
      <c r="I90" s="16">
        <f t="shared" si="7"/>
        <v>110.423</v>
      </c>
      <c r="J90" s="16">
        <f t="shared" si="8"/>
        <v>112.846</v>
      </c>
    </row>
    <row r="91" spans="1:10" s="79" customFormat="1" ht="14.25" customHeight="1">
      <c r="A91" s="84" t="s">
        <v>99</v>
      </c>
      <c r="B91" s="84">
        <v>1.25</v>
      </c>
      <c r="C91" s="84">
        <v>1.25</v>
      </c>
      <c r="D91" s="84"/>
      <c r="E91" s="23"/>
      <c r="F91" s="23"/>
      <c r="G91" s="23"/>
      <c r="H91" s="16">
        <f t="shared" ref="H91" si="9">H90-F91-D91+B91</f>
        <v>3.6730000000000018</v>
      </c>
      <c r="I91" s="16">
        <f t="shared" ref="I91" si="10">I90-E91+C91</f>
        <v>111.673</v>
      </c>
      <c r="J91" s="16">
        <f t="shared" ref="J91" si="11">SUM(H91:I91)</f>
        <v>115.346</v>
      </c>
    </row>
    <row r="92" spans="1:10" s="79" customFormat="1" ht="14.25" customHeight="1">
      <c r="A92" s="84" t="s">
        <v>100</v>
      </c>
      <c r="B92" s="87">
        <v>1</v>
      </c>
      <c r="C92" s="84"/>
      <c r="D92" s="84"/>
      <c r="E92" s="23"/>
      <c r="F92" s="23"/>
      <c r="G92" s="23"/>
      <c r="H92" s="16">
        <f t="shared" ref="H92:H93" si="12">H91-F92-D92+B92</f>
        <v>4.6730000000000018</v>
      </c>
      <c r="I92" s="16">
        <f t="shared" ref="I92:I93" si="13">I91-E92+C92</f>
        <v>111.673</v>
      </c>
      <c r="J92" s="16">
        <f t="shared" ref="J92:J93" si="14">SUM(H92:I92)</f>
        <v>116.346</v>
      </c>
    </row>
    <row r="93" spans="1:10" s="79" customFormat="1" ht="14.25" customHeight="1">
      <c r="A93" s="84" t="s">
        <v>101</v>
      </c>
      <c r="B93" s="87">
        <v>3</v>
      </c>
      <c r="C93" s="84"/>
      <c r="D93" s="84"/>
      <c r="E93" s="23"/>
      <c r="F93" s="23"/>
      <c r="G93" s="23"/>
      <c r="H93" s="16">
        <f t="shared" si="12"/>
        <v>7.6730000000000018</v>
      </c>
      <c r="I93" s="16">
        <f t="shared" si="13"/>
        <v>111.673</v>
      </c>
      <c r="J93" s="16">
        <f t="shared" si="14"/>
        <v>119.346</v>
      </c>
    </row>
    <row r="94" spans="1:10" s="79" customFormat="1" ht="14.25" customHeight="1">
      <c r="A94" s="84" t="s">
        <v>102</v>
      </c>
      <c r="B94" s="87">
        <v>2.5</v>
      </c>
      <c r="C94" s="84">
        <v>2.5</v>
      </c>
      <c r="D94" s="84"/>
      <c r="E94" s="23"/>
      <c r="F94" s="23"/>
      <c r="G94" s="23"/>
      <c r="H94" s="16">
        <f t="shared" ref="H94:H95" si="15">H93-F94-D94+B94</f>
        <v>10.173000000000002</v>
      </c>
      <c r="I94" s="16">
        <f t="shared" ref="I94:I95" si="16">I93-E94+C94</f>
        <v>114.173</v>
      </c>
      <c r="J94" s="16">
        <f t="shared" ref="J94:J95" si="17">SUM(H94:I94)</f>
        <v>124.346</v>
      </c>
    </row>
    <row r="95" spans="1:10" s="79" customFormat="1" ht="14.25" customHeight="1">
      <c r="A95" s="84" t="s">
        <v>103</v>
      </c>
      <c r="B95" s="87"/>
      <c r="C95" s="84"/>
      <c r="D95" s="84"/>
      <c r="E95" s="23"/>
      <c r="F95" s="86">
        <v>1</v>
      </c>
      <c r="G95" s="23"/>
      <c r="H95" s="16">
        <f t="shared" si="15"/>
        <v>9.1730000000000018</v>
      </c>
      <c r="I95" s="16">
        <f t="shared" si="16"/>
        <v>114.173</v>
      </c>
      <c r="J95" s="16">
        <f t="shared" si="17"/>
        <v>123.346</v>
      </c>
    </row>
    <row r="96" spans="1:10" s="79" customFormat="1" ht="14.25" customHeight="1">
      <c r="A96" s="84" t="s">
        <v>104</v>
      </c>
      <c r="B96" s="87">
        <v>1.25</v>
      </c>
      <c r="C96" s="84">
        <v>1.25</v>
      </c>
      <c r="D96" s="84"/>
      <c r="E96" s="23"/>
      <c r="F96" s="23"/>
      <c r="G96" s="23"/>
      <c r="H96" s="16">
        <f>H95-F96-D96+B96</f>
        <v>10.423000000000002</v>
      </c>
      <c r="I96" s="16">
        <f>I95-E96+C96</f>
        <v>115.423</v>
      </c>
      <c r="J96" s="16">
        <f>SUM(H96:I96)</f>
        <v>125.846</v>
      </c>
    </row>
    <row r="97" spans="1:10" s="79" customFormat="1" ht="14.25" customHeight="1">
      <c r="A97" s="191" t="s">
        <v>105</v>
      </c>
      <c r="B97" s="192"/>
      <c r="C97" s="191"/>
      <c r="D97" s="191"/>
      <c r="E97" s="193"/>
      <c r="F97" s="193"/>
      <c r="G97" s="194">
        <v>3</v>
      </c>
      <c r="H97" s="195">
        <f>H96-F97-D97+B97</f>
        <v>10.423000000000002</v>
      </c>
      <c r="I97" s="195">
        <f>I96-E97+C97</f>
        <v>115.423</v>
      </c>
      <c r="J97" s="195">
        <f>SUM(H97:I97)</f>
        <v>125.846</v>
      </c>
    </row>
    <row r="98" spans="1:10" s="79" customFormat="1" ht="14.25" customHeight="1">
      <c r="A98" s="196" t="s">
        <v>106</v>
      </c>
      <c r="B98" s="197">
        <v>1</v>
      </c>
      <c r="C98" s="196"/>
      <c r="D98" s="196"/>
      <c r="E98" s="198"/>
      <c r="F98" s="198"/>
      <c r="G98" s="198"/>
      <c r="H98" s="195">
        <f>H97-F98-D98+B98</f>
        <v>11.423000000000002</v>
      </c>
      <c r="I98" s="195">
        <f>I97-E98+C98</f>
        <v>115.423</v>
      </c>
      <c r="J98" s="195">
        <f>SUM(H98:I98)</f>
        <v>126.846</v>
      </c>
    </row>
    <row r="99" spans="1:10" s="79" customFormat="1" ht="14.25" customHeight="1">
      <c r="A99" s="196"/>
      <c r="B99" s="197"/>
      <c r="C99" s="196"/>
      <c r="D99" s="196"/>
      <c r="E99" s="198"/>
      <c r="F99" s="198"/>
      <c r="G99" s="198"/>
      <c r="H99" s="198"/>
      <c r="I99" s="198"/>
      <c r="J99" s="198"/>
    </row>
    <row r="100" spans="1:10" s="79" customFormat="1" ht="14.25" customHeight="1">
      <c r="A100" s="196"/>
      <c r="B100" s="197"/>
      <c r="C100" s="196"/>
      <c r="D100" s="196"/>
      <c r="E100" s="198"/>
      <c r="F100" s="198"/>
      <c r="G100" s="198"/>
      <c r="H100" s="198"/>
      <c r="I100" s="198"/>
      <c r="J100" s="198"/>
    </row>
    <row r="101" spans="1:10" s="79" customFormat="1" ht="13.5" customHeight="1">
      <c r="A101" s="68"/>
      <c r="B101" s="68"/>
      <c r="C101" s="68"/>
      <c r="D101" s="68"/>
      <c r="E101" s="27"/>
      <c r="F101" s="27"/>
      <c r="G101" s="27"/>
      <c r="H101" s="28"/>
      <c r="I101" s="28"/>
      <c r="J101" s="28"/>
    </row>
    <row r="105" spans="1:10" s="79" customFormat="1">
      <c r="A105"/>
      <c r="B105"/>
      <c r="C105"/>
      <c r="D105"/>
      <c r="E105"/>
      <c r="F105" s="26" t="s">
        <v>107</v>
      </c>
      <c r="G105" s="26"/>
      <c r="H105"/>
      <c r="I105"/>
      <c r="J105"/>
    </row>
  </sheetData>
  <mergeCells count="13">
    <mergeCell ref="A2:J2"/>
    <mergeCell ref="A3:J3"/>
    <mergeCell ref="A4:J4"/>
    <mergeCell ref="A5:J5"/>
    <mergeCell ref="B7:D7"/>
    <mergeCell ref="K11:K12"/>
    <mergeCell ref="B9:D9"/>
    <mergeCell ref="A10:J10"/>
    <mergeCell ref="B11:C11"/>
    <mergeCell ref="D11:G11"/>
    <mergeCell ref="H11:I11"/>
    <mergeCell ref="A11:A12"/>
    <mergeCell ref="J11:J12"/>
  </mergeCells>
  <printOptions horizontalCentered="1"/>
  <pageMargins left="0.196850393700787" right="0.196850393700787" top="0.70866141732283505" bottom="0.511811023622047" header="0.31496062992126" footer="0.31496062992126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7"/>
  <sheetViews>
    <sheetView tabSelected="1" topLeftCell="A7" workbookViewId="0">
      <selection activeCell="F26" sqref="F26"/>
    </sheetView>
  </sheetViews>
  <sheetFormatPr defaultColWidth="9" defaultRowHeight="15"/>
  <cols>
    <col min="1" max="1" width="29.875" customWidth="1"/>
    <col min="2" max="2" width="9.375" style="70" customWidth="1"/>
    <col min="3" max="3" width="9.25" style="68" customWidth="1"/>
    <col min="5" max="5" width="8.375" style="70" customWidth="1"/>
    <col min="6" max="6" width="10.875" style="5" customWidth="1"/>
    <col min="7" max="7" width="9.75" style="71" customWidth="1"/>
    <col min="8" max="8" width="10.875" customWidth="1"/>
    <col min="9" max="9" width="9.75" style="70" customWidth="1"/>
    <col min="10" max="10" width="10" style="5" customWidth="1"/>
    <col min="11" max="11" width="7.25" style="71" customWidth="1"/>
    <col min="12" max="12" width="7.625" customWidth="1"/>
  </cols>
  <sheetData>
    <row r="1" spans="1:13">
      <c r="A1" s="1"/>
      <c r="B1" s="1"/>
      <c r="C1" s="72"/>
      <c r="D1" s="73"/>
      <c r="E1" s="1"/>
      <c r="F1" s="1"/>
      <c r="G1" s="1"/>
      <c r="H1" s="49"/>
      <c r="I1" s="1"/>
      <c r="J1" s="1"/>
      <c r="K1" s="1"/>
      <c r="L1" s="1"/>
      <c r="M1" s="1"/>
    </row>
    <row r="2" spans="1:13">
      <c r="A2" s="1"/>
      <c r="B2" s="1"/>
      <c r="C2" s="72"/>
      <c r="D2" s="73"/>
      <c r="E2" s="1"/>
      <c r="F2" s="1"/>
      <c r="G2" s="1"/>
      <c r="H2" s="49"/>
      <c r="I2" s="1"/>
      <c r="J2" s="1"/>
      <c r="K2" s="1"/>
      <c r="L2" s="1"/>
      <c r="M2" s="1"/>
    </row>
    <row r="3" spans="1:13">
      <c r="A3" s="1"/>
      <c r="B3" s="1"/>
      <c r="C3" s="72"/>
      <c r="D3" s="73"/>
      <c r="E3" s="1"/>
      <c r="F3" s="1"/>
      <c r="G3" s="1"/>
      <c r="H3" s="49"/>
      <c r="I3" s="1"/>
      <c r="J3" s="1"/>
      <c r="K3" s="1"/>
      <c r="L3" s="1"/>
      <c r="M3" s="1"/>
    </row>
    <row r="4" spans="1:13">
      <c r="A4" s="1"/>
      <c r="B4" s="1"/>
      <c r="C4" s="72"/>
      <c r="D4" s="73"/>
      <c r="E4" s="1"/>
      <c r="F4" s="1"/>
      <c r="G4" s="1"/>
      <c r="H4" s="49"/>
      <c r="I4" s="1"/>
      <c r="J4" s="1"/>
      <c r="K4" s="1"/>
      <c r="L4" s="1"/>
      <c r="M4" s="1"/>
    </row>
    <row r="5" spans="1:13">
      <c r="A5" s="107" t="s">
        <v>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"/>
    </row>
    <row r="6" spans="1:13">
      <c r="A6" s="107" t="s">
        <v>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"/>
    </row>
    <row r="7" spans="1:13">
      <c r="A7" s="107" t="s">
        <v>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"/>
    </row>
    <row r="8" spans="1:13">
      <c r="A8" s="107" t="s">
        <v>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"/>
    </row>
    <row r="9" spans="1:13">
      <c r="A9" s="1"/>
      <c r="B9" s="1"/>
      <c r="C9" s="49"/>
      <c r="D9" s="1"/>
      <c r="E9" s="1"/>
      <c r="F9" s="1"/>
      <c r="G9" s="1"/>
      <c r="H9" s="49"/>
      <c r="I9" s="1"/>
      <c r="J9" s="1"/>
      <c r="K9" s="1"/>
      <c r="L9" s="1"/>
      <c r="M9" s="1"/>
    </row>
    <row r="10" spans="1:13">
      <c r="A10" s="1"/>
      <c r="B10" s="1"/>
      <c r="C10" s="49"/>
      <c r="D10" s="1"/>
      <c r="E10" s="1"/>
      <c r="F10" s="1"/>
      <c r="G10" s="1"/>
      <c r="H10" s="49"/>
      <c r="I10" s="1"/>
      <c r="J10" s="1"/>
      <c r="K10" s="1"/>
      <c r="L10" s="1"/>
      <c r="M10" s="1"/>
    </row>
    <row r="11" spans="1:13">
      <c r="A11" s="8" t="s">
        <v>108</v>
      </c>
      <c r="B11" s="8"/>
      <c r="C11" s="94" t="s">
        <v>109</v>
      </c>
      <c r="D11" s="94"/>
      <c r="E11" s="94"/>
      <c r="F11" s="94"/>
      <c r="G11" s="94"/>
      <c r="H11" s="1"/>
      <c r="I11" s="94" t="s">
        <v>110</v>
      </c>
      <c r="J11" s="94"/>
      <c r="K11" s="94"/>
      <c r="L11" s="8"/>
      <c r="M11" s="1"/>
    </row>
    <row r="12" spans="1:13">
      <c r="A12" s="1"/>
      <c r="B12" s="9"/>
      <c r="C12" s="94" t="s">
        <v>111</v>
      </c>
      <c r="D12" s="94"/>
      <c r="E12" s="94"/>
      <c r="F12" s="94"/>
      <c r="G12" s="94"/>
      <c r="H12" s="1"/>
      <c r="I12" s="121" t="s">
        <v>112</v>
      </c>
      <c r="J12" s="121"/>
      <c r="K12" s="121"/>
      <c r="L12" s="9"/>
      <c r="M12" s="1"/>
    </row>
    <row r="13" spans="1:13">
      <c r="A13" s="8" t="s">
        <v>113</v>
      </c>
      <c r="B13" s="8"/>
      <c r="C13" s="74"/>
      <c r="D13" s="9"/>
      <c r="E13" s="9"/>
      <c r="F13" s="1"/>
      <c r="G13" s="1"/>
      <c r="H13" s="1"/>
      <c r="I13" s="94" t="s">
        <v>114</v>
      </c>
      <c r="J13" s="94"/>
      <c r="K13" s="94"/>
      <c r="L13" s="8"/>
      <c r="M13" s="1"/>
    </row>
    <row r="14" spans="1:13" ht="21">
      <c r="A14" s="95" t="s">
        <v>115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</row>
    <row r="15" spans="1:13">
      <c r="A15" s="124" t="s">
        <v>11</v>
      </c>
      <c r="B15" s="122" t="s">
        <v>12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6" t="s">
        <v>15</v>
      </c>
      <c r="M15" s="2"/>
    </row>
    <row r="16" spans="1:13">
      <c r="A16" s="125"/>
      <c r="B16" s="118" t="s">
        <v>116</v>
      </c>
      <c r="C16" s="119"/>
      <c r="D16" s="119"/>
      <c r="E16" s="120"/>
      <c r="F16" s="118" t="s">
        <v>117</v>
      </c>
      <c r="G16" s="120"/>
      <c r="H16" s="118" t="s">
        <v>118</v>
      </c>
      <c r="I16" s="120"/>
      <c r="J16" s="118" t="s">
        <v>119</v>
      </c>
      <c r="K16" s="120"/>
      <c r="L16" s="127"/>
      <c r="M16" s="2"/>
    </row>
    <row r="17" spans="1:13" ht="24" hidden="1" customHeight="1">
      <c r="A17" s="15" t="s">
        <v>120</v>
      </c>
      <c r="B17" s="112" t="s">
        <v>121</v>
      </c>
      <c r="C17" s="113"/>
      <c r="D17" s="113"/>
      <c r="E17" s="114"/>
      <c r="F17" s="112">
        <v>3</v>
      </c>
      <c r="G17" s="114"/>
      <c r="H17" s="112">
        <v>0</v>
      </c>
      <c r="I17" s="114"/>
      <c r="J17" s="112">
        <v>3</v>
      </c>
      <c r="K17" s="114"/>
      <c r="L17" s="77">
        <v>3</v>
      </c>
      <c r="M17" s="2"/>
    </row>
    <row r="18" spans="1:13" ht="24" hidden="1" customHeight="1">
      <c r="A18" s="17" t="s">
        <v>122</v>
      </c>
      <c r="B18" s="112"/>
      <c r="C18" s="113"/>
      <c r="D18" s="113"/>
      <c r="E18" s="114"/>
      <c r="F18" s="112"/>
      <c r="G18" s="114"/>
      <c r="H18" s="112">
        <v>2</v>
      </c>
      <c r="I18" s="114"/>
      <c r="J18" s="112">
        <v>1</v>
      </c>
      <c r="K18" s="114"/>
      <c r="L18" s="77">
        <v>1</v>
      </c>
      <c r="M18" s="3"/>
    </row>
    <row r="19" spans="1:13" s="90" customFormat="1" ht="30.75" customHeight="1">
      <c r="A19" s="88" t="s">
        <v>123</v>
      </c>
      <c r="B19" s="115" t="s">
        <v>124</v>
      </c>
      <c r="C19" s="116"/>
      <c r="D19" s="116"/>
      <c r="E19" s="117"/>
      <c r="F19" s="115">
        <v>3</v>
      </c>
      <c r="G19" s="117"/>
      <c r="H19" s="115">
        <v>0</v>
      </c>
      <c r="I19" s="117"/>
      <c r="J19" s="115">
        <v>3</v>
      </c>
      <c r="K19" s="117"/>
      <c r="L19" s="89">
        <v>3</v>
      </c>
    </row>
    <row r="20" spans="1:13" s="90" customFormat="1" ht="30.75" customHeight="1">
      <c r="A20" s="91" t="s">
        <v>125</v>
      </c>
      <c r="B20" s="108" t="s">
        <v>124</v>
      </c>
      <c r="C20" s="109"/>
      <c r="D20" s="109"/>
      <c r="E20" s="110"/>
      <c r="F20" s="108"/>
      <c r="G20" s="110"/>
      <c r="H20" s="108">
        <v>1</v>
      </c>
      <c r="I20" s="110"/>
      <c r="J20" s="108">
        <v>2</v>
      </c>
      <c r="K20" s="110"/>
      <c r="L20" s="92">
        <v>2</v>
      </c>
    </row>
    <row r="21" spans="1:13">
      <c r="A21" s="75" t="s">
        <v>126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8"/>
      <c r="M21" s="3"/>
    </row>
    <row r="22" spans="1:13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</row>
    <row r="23" spans="1:13">
      <c r="A23" s="1"/>
      <c r="B23" s="1"/>
      <c r="C23" s="49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9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9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9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9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9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9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9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9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9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9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9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9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9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9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9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9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9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9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9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9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9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9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9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9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9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9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49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49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49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49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49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49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49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49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49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49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49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49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49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49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49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49"/>
      <c r="D65" s="1"/>
      <c r="E65" s="1"/>
      <c r="F65" s="1"/>
      <c r="G65" s="1"/>
      <c r="H65" s="1"/>
      <c r="I65" s="1"/>
      <c r="J65" s="1"/>
      <c r="K65" s="1"/>
      <c r="L65" s="1"/>
      <c r="M65" s="1"/>
    </row>
    <row r="67" spans="1:13">
      <c r="G67" s="71" t="s">
        <v>127</v>
      </c>
    </row>
  </sheetData>
  <mergeCells count="34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A15:A16"/>
    <mergeCell ref="L15:L16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22:L22"/>
  </mergeCells>
  <pageMargins left="0.7" right="0.7" top="0.75" bottom="0.75" header="0.3" footer="0.3"/>
  <pageSetup paperSize="9" scale="6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view="pageBreakPreview" topLeftCell="A4" zoomScaleNormal="100" workbookViewId="0">
      <selection activeCell="D15" sqref="D15"/>
    </sheetView>
  </sheetViews>
  <sheetFormatPr defaultColWidth="9" defaultRowHeight="15"/>
  <cols>
    <col min="2" max="2" width="18.125" customWidth="1"/>
    <col min="3" max="3" width="19.625" customWidth="1"/>
    <col min="4" max="4" width="56.375" customWidth="1"/>
    <col min="5" max="5" width="12.375" customWidth="1"/>
    <col min="6" max="6" width="13.375" customWidth="1"/>
    <col min="7" max="7" width="15.125" customWidth="1"/>
  </cols>
  <sheetData>
    <row r="1" spans="1:7" ht="58.5" customHeight="1"/>
    <row r="2" spans="1:7" ht="15.95" customHeight="1">
      <c r="A2" s="142" t="s">
        <v>0</v>
      </c>
      <c r="B2" s="143"/>
      <c r="C2" s="143"/>
      <c r="D2" s="143"/>
      <c r="E2" s="143"/>
      <c r="F2" s="143"/>
      <c r="G2" s="143"/>
    </row>
    <row r="3" spans="1:7" ht="15.95" customHeight="1">
      <c r="A3" s="143" t="s">
        <v>1</v>
      </c>
      <c r="B3" s="143"/>
      <c r="C3" s="143"/>
      <c r="D3" s="143"/>
      <c r="E3" s="143"/>
      <c r="F3" s="143"/>
      <c r="G3" s="143"/>
    </row>
    <row r="4" spans="1:7" ht="15.95" customHeight="1">
      <c r="A4" s="143" t="s">
        <v>2</v>
      </c>
      <c r="B4" s="143"/>
      <c r="C4" s="143"/>
      <c r="D4" s="143"/>
      <c r="E4" s="143"/>
      <c r="F4" s="143"/>
      <c r="G4" s="143"/>
    </row>
    <row r="5" spans="1:7" ht="15.95" customHeight="1">
      <c r="A5" s="143" t="s">
        <v>3</v>
      </c>
      <c r="B5" s="143"/>
      <c r="C5" s="143"/>
      <c r="D5" s="143"/>
      <c r="E5" s="143"/>
      <c r="F5" s="143"/>
      <c r="G5" s="143"/>
    </row>
    <row r="6" spans="1:7" ht="19.5" customHeight="1">
      <c r="A6" s="144"/>
      <c r="B6" s="144"/>
      <c r="C6" s="144"/>
      <c r="D6" s="144"/>
      <c r="E6" s="144"/>
      <c r="F6" s="144"/>
      <c r="G6" s="144"/>
    </row>
    <row r="7" spans="1:7" ht="12" customHeight="1">
      <c r="A7" s="1" t="s">
        <v>128</v>
      </c>
      <c r="B7" s="20" t="s">
        <v>129</v>
      </c>
      <c r="C7" s="8"/>
      <c r="D7" s="8"/>
      <c r="E7" s="54" t="s">
        <v>6</v>
      </c>
      <c r="F7" s="21"/>
      <c r="G7" s="55"/>
    </row>
    <row r="8" spans="1:7" ht="12" customHeight="1">
      <c r="A8" s="1"/>
      <c r="B8" s="56"/>
      <c r="C8" s="9"/>
      <c r="D8" s="9"/>
      <c r="E8" s="57"/>
      <c r="F8" s="1"/>
      <c r="G8" s="1"/>
    </row>
    <row r="9" spans="1:7" ht="12" customHeight="1">
      <c r="A9" s="1" t="s">
        <v>130</v>
      </c>
      <c r="B9" s="20" t="s">
        <v>131</v>
      </c>
      <c r="C9" s="8"/>
      <c r="D9" s="9"/>
      <c r="E9" s="54" t="s">
        <v>9</v>
      </c>
      <c r="F9" s="58"/>
      <c r="G9" s="55"/>
    </row>
    <row r="10" spans="1:7" ht="24.75" customHeight="1">
      <c r="A10" s="95" t="s">
        <v>132</v>
      </c>
      <c r="B10" s="95"/>
      <c r="C10" s="95"/>
      <c r="D10" s="95"/>
      <c r="E10" s="95"/>
      <c r="F10" s="95"/>
      <c r="G10" s="95"/>
    </row>
    <row r="11" spans="1:7" s="26" customFormat="1" ht="29.25" customHeight="1">
      <c r="A11" s="140" t="s">
        <v>133</v>
      </c>
      <c r="B11" s="141"/>
      <c r="C11" s="59" t="s">
        <v>134</v>
      </c>
      <c r="D11" s="60" t="s">
        <v>135</v>
      </c>
      <c r="E11" s="59" t="s">
        <v>136</v>
      </c>
      <c r="F11" s="59" t="s">
        <v>137</v>
      </c>
      <c r="G11" s="61" t="s">
        <v>14</v>
      </c>
    </row>
    <row r="12" spans="1:7" ht="44.25" customHeight="1">
      <c r="A12" s="130" t="s">
        <v>138</v>
      </c>
      <c r="B12" s="131"/>
      <c r="C12" s="62" t="s">
        <v>139</v>
      </c>
      <c r="D12" s="62" t="s">
        <v>140</v>
      </c>
      <c r="E12" s="63">
        <v>1</v>
      </c>
      <c r="F12" s="64">
        <v>1</v>
      </c>
      <c r="G12" s="65">
        <f>E12-F12</f>
        <v>0</v>
      </c>
    </row>
    <row r="13" spans="1:7" ht="44.25" customHeight="1">
      <c r="A13" s="130" t="s">
        <v>141</v>
      </c>
      <c r="B13" s="131"/>
      <c r="C13" s="62" t="s">
        <v>142</v>
      </c>
      <c r="D13" s="62" t="s">
        <v>143</v>
      </c>
      <c r="E13" s="64">
        <v>1</v>
      </c>
      <c r="F13" s="64">
        <v>0</v>
      </c>
      <c r="G13" s="64">
        <v>1</v>
      </c>
    </row>
    <row r="14" spans="1:7" ht="44.25" customHeight="1">
      <c r="A14" s="130" t="s">
        <v>144</v>
      </c>
      <c r="B14" s="131"/>
      <c r="C14" s="62" t="s">
        <v>145</v>
      </c>
      <c r="D14" s="62" t="s">
        <v>146</v>
      </c>
      <c r="E14" s="64">
        <v>1</v>
      </c>
      <c r="F14" s="64">
        <v>0</v>
      </c>
      <c r="G14" s="64">
        <v>2</v>
      </c>
    </row>
    <row r="15" spans="1:7" ht="44.25" customHeight="1">
      <c r="A15" s="130" t="s">
        <v>147</v>
      </c>
      <c r="B15" s="131"/>
      <c r="C15" s="62" t="s">
        <v>148</v>
      </c>
      <c r="D15" s="62" t="s">
        <v>149</v>
      </c>
      <c r="E15" s="64">
        <v>2</v>
      </c>
      <c r="F15" s="64">
        <v>2</v>
      </c>
      <c r="G15" s="66">
        <v>0</v>
      </c>
    </row>
    <row r="16" spans="1:7">
      <c r="A16" s="132" t="s">
        <v>150</v>
      </c>
      <c r="B16" s="133"/>
      <c r="C16" s="133"/>
      <c r="D16" s="133"/>
      <c r="E16" s="133"/>
      <c r="F16" s="133"/>
      <c r="G16" s="134"/>
    </row>
    <row r="17" spans="1:7" s="53" customFormat="1" ht="30" customHeight="1">
      <c r="A17" s="135" t="s">
        <v>151</v>
      </c>
      <c r="B17" s="136"/>
      <c r="C17" s="136"/>
      <c r="D17" s="136"/>
      <c r="E17" s="136"/>
      <c r="F17" s="137"/>
      <c r="G17" s="67">
        <f>G12</f>
        <v>0</v>
      </c>
    </row>
    <row r="18" spans="1:7" ht="10.5" customHeight="1">
      <c r="A18" s="68"/>
      <c r="B18" s="68"/>
      <c r="C18" s="69"/>
      <c r="D18" s="69"/>
      <c r="E18" s="69"/>
      <c r="F18" s="69"/>
      <c r="G18" s="69"/>
    </row>
    <row r="19" spans="1:7" ht="18.75" customHeight="1">
      <c r="A19" s="138" t="s">
        <v>152</v>
      </c>
      <c r="B19" s="138"/>
      <c r="C19" s="69"/>
      <c r="D19" s="69"/>
      <c r="E19" s="69"/>
      <c r="F19" s="69"/>
      <c r="G19" s="69"/>
    </row>
    <row r="20" spans="1:7" ht="18.75" customHeight="1">
      <c r="A20" s="139"/>
      <c r="B20" s="139"/>
      <c r="C20" s="69"/>
      <c r="D20" s="69"/>
      <c r="E20" s="69"/>
      <c r="F20" s="69"/>
      <c r="G20" s="69"/>
    </row>
    <row r="21" spans="1:7" ht="18.75" customHeight="1">
      <c r="A21" s="128" t="s">
        <v>153</v>
      </c>
      <c r="B21" s="128"/>
      <c r="C21" s="128"/>
      <c r="D21" s="69"/>
      <c r="E21" s="69"/>
      <c r="F21" s="69"/>
      <c r="G21" s="69"/>
    </row>
    <row r="22" spans="1:7" ht="18.75" customHeight="1">
      <c r="A22" s="129" t="s">
        <v>154</v>
      </c>
      <c r="B22" s="129"/>
      <c r="C22" s="129"/>
      <c r="D22" s="69"/>
      <c r="E22" s="69"/>
      <c r="F22" s="69"/>
      <c r="G22" s="69"/>
    </row>
    <row r="23" spans="1:7" ht="18.75" customHeight="1">
      <c r="A23" s="129" t="s">
        <v>155</v>
      </c>
      <c r="B23" s="129"/>
      <c r="C23" s="69"/>
      <c r="D23" s="69"/>
      <c r="E23" s="69"/>
      <c r="F23" s="69"/>
      <c r="G23" s="69"/>
    </row>
  </sheetData>
  <mergeCells count="18">
    <mergeCell ref="A2:G2"/>
    <mergeCell ref="A3:G3"/>
    <mergeCell ref="A4:G4"/>
    <mergeCell ref="A5:G5"/>
    <mergeCell ref="A6:G6"/>
    <mergeCell ref="A10:G10"/>
    <mergeCell ref="A11:B11"/>
    <mergeCell ref="A12:B12"/>
    <mergeCell ref="A13:B13"/>
    <mergeCell ref="A14:B14"/>
    <mergeCell ref="A21:C21"/>
    <mergeCell ref="A22:C22"/>
    <mergeCell ref="A23:B23"/>
    <mergeCell ref="A15:B15"/>
    <mergeCell ref="A16:G16"/>
    <mergeCell ref="A17:F17"/>
    <mergeCell ref="A19:B19"/>
    <mergeCell ref="A20:B20"/>
  </mergeCells>
  <printOptions horizontalCentered="1"/>
  <pageMargins left="0.23622047244094499" right="0.23622047244094499" top="0.23622047244094499" bottom="0.23622047244094499" header="0.31496062992126" footer="0.31496062992126"/>
  <pageSetup paperSize="9" scale="9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1"/>
  <sheetViews>
    <sheetView view="pageBreakPreview" topLeftCell="A12" zoomScaleNormal="100" workbookViewId="0">
      <selection activeCell="A28" sqref="A28:L28"/>
    </sheetView>
  </sheetViews>
  <sheetFormatPr defaultColWidth="9" defaultRowHeight="15"/>
  <cols>
    <col min="1" max="1" width="28.875" customWidth="1"/>
    <col min="2" max="2" width="19.625" customWidth="1"/>
    <col min="3" max="3" width="18.875" customWidth="1"/>
    <col min="4" max="4" width="13.125" customWidth="1"/>
    <col min="5" max="5" width="8.75" customWidth="1"/>
    <col min="6" max="6" width="10.25" customWidth="1"/>
    <col min="8" max="8" width="9.125" customWidth="1"/>
    <col min="9" max="9" width="7.625" customWidth="1"/>
    <col min="10" max="10" width="5.125" customWidth="1"/>
    <col min="11" max="11" width="7.125" customWidth="1"/>
    <col min="12" max="12" width="3.875" customWidth="1"/>
    <col min="13" max="13" width="8" customWidth="1"/>
  </cols>
  <sheetData>
    <row r="1" spans="1:13" s="1" customFormat="1" ht="52.5" customHeight="1"/>
    <row r="2" spans="1:13" s="1" customFormat="1" ht="10.5" customHeight="1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3" s="1" customFormat="1" ht="15.95" customHeight="1">
      <c r="A3" s="107" t="s">
        <v>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3" s="1" customFormat="1" ht="15.95" customHeight="1">
      <c r="A4" s="107" t="s">
        <v>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</row>
    <row r="5" spans="1:13" s="1" customFormat="1" ht="15.95" customHeight="1">
      <c r="A5" s="107" t="s">
        <v>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</row>
    <row r="6" spans="1:13" s="1" customFormat="1" ht="8.25" customHeight="1"/>
    <row r="7" spans="1:13" s="1" customFormat="1" ht="12" customHeight="1">
      <c r="A7" s="1" t="s">
        <v>4</v>
      </c>
      <c r="B7" s="94" t="s">
        <v>156</v>
      </c>
      <c r="C7" s="94"/>
      <c r="D7" s="94"/>
      <c r="H7" s="8" t="s">
        <v>6</v>
      </c>
      <c r="I7" s="177"/>
      <c r="J7" s="177"/>
      <c r="K7" s="8"/>
    </row>
    <row r="8" spans="1:13" s="1" customFormat="1" ht="12" customHeight="1">
      <c r="B8" s="9"/>
      <c r="C8" s="9"/>
      <c r="H8" s="9"/>
      <c r="I8" s="9"/>
      <c r="J8" s="9"/>
      <c r="K8" s="9"/>
    </row>
    <row r="9" spans="1:13" s="1" customFormat="1" ht="14.25" customHeight="1">
      <c r="A9" s="1" t="s">
        <v>7</v>
      </c>
      <c r="B9" s="94" t="s">
        <v>8</v>
      </c>
      <c r="C9" s="94"/>
      <c r="D9" s="94"/>
      <c r="H9" s="8" t="s">
        <v>9</v>
      </c>
      <c r="I9" s="21"/>
      <c r="J9" s="21"/>
      <c r="K9" s="8"/>
    </row>
    <row r="10" spans="1:13" s="1" customFormat="1" ht="12" customHeight="1">
      <c r="B10" s="7"/>
      <c r="C10" s="7"/>
      <c r="D10" s="7"/>
      <c r="H10" s="8"/>
      <c r="I10" s="8"/>
      <c r="J10" s="8"/>
      <c r="K10" s="8"/>
    </row>
    <row r="11" spans="1:13" s="1" customFormat="1" ht="12" customHeight="1">
      <c r="B11" s="7"/>
      <c r="C11" s="7"/>
      <c r="D11" s="7"/>
      <c r="H11" s="8"/>
      <c r="I11" s="8"/>
      <c r="J11" s="8"/>
      <c r="K11" s="8"/>
    </row>
    <row r="12" spans="1:13" ht="16.5" customHeight="1">
      <c r="A12" s="95" t="s">
        <v>157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</row>
    <row r="13" spans="1:13" s="2" customFormat="1" ht="18.75" customHeight="1">
      <c r="A13" s="148" t="s">
        <v>158</v>
      </c>
      <c r="B13" s="124" t="s">
        <v>11</v>
      </c>
      <c r="C13" s="155" t="s">
        <v>159</v>
      </c>
      <c r="D13" s="156"/>
      <c r="E13" s="161" t="s">
        <v>160</v>
      </c>
      <c r="F13" s="162"/>
      <c r="G13" s="167" t="s">
        <v>117</v>
      </c>
      <c r="H13" s="162"/>
      <c r="I13" s="167" t="s">
        <v>118</v>
      </c>
      <c r="J13" s="162"/>
      <c r="K13" s="167" t="s">
        <v>119</v>
      </c>
      <c r="L13" s="162"/>
      <c r="M13" s="126" t="s">
        <v>15</v>
      </c>
    </row>
    <row r="14" spans="1:13" s="2" customFormat="1" ht="18.75" customHeight="1">
      <c r="A14" s="149"/>
      <c r="B14" s="151"/>
      <c r="C14" s="157"/>
      <c r="D14" s="158"/>
      <c r="E14" s="163"/>
      <c r="F14" s="164"/>
      <c r="G14" s="168"/>
      <c r="H14" s="164"/>
      <c r="I14" s="168"/>
      <c r="J14" s="164"/>
      <c r="K14" s="168"/>
      <c r="L14" s="164"/>
      <c r="M14" s="153"/>
    </row>
    <row r="15" spans="1:13" s="2" customFormat="1" ht="24" customHeight="1">
      <c r="A15" s="150"/>
      <c r="B15" s="152"/>
      <c r="C15" s="159"/>
      <c r="D15" s="160"/>
      <c r="E15" s="165"/>
      <c r="F15" s="166"/>
      <c r="G15" s="169"/>
      <c r="H15" s="166"/>
      <c r="I15" s="169"/>
      <c r="J15" s="166"/>
      <c r="K15" s="169"/>
      <c r="L15" s="166"/>
      <c r="M15" s="154"/>
    </row>
    <row r="16" spans="1:13" s="3" customFormat="1" ht="39" customHeight="1">
      <c r="A16" s="33" t="s">
        <v>161</v>
      </c>
      <c r="B16" s="34" t="s">
        <v>162</v>
      </c>
      <c r="C16" s="173"/>
      <c r="D16" s="174"/>
      <c r="E16" s="175" t="s">
        <v>163</v>
      </c>
      <c r="F16" s="176"/>
      <c r="G16" s="37">
        <v>5</v>
      </c>
      <c r="H16" s="38"/>
      <c r="I16" s="37">
        <v>0</v>
      </c>
      <c r="J16" s="38"/>
      <c r="K16" s="37">
        <v>5</v>
      </c>
      <c r="L16" s="38"/>
      <c r="M16" s="50">
        <v>5</v>
      </c>
    </row>
    <row r="17" spans="1:13" s="3" customFormat="1" ht="39" customHeight="1">
      <c r="A17" s="33" t="s">
        <v>164</v>
      </c>
      <c r="B17" s="35" t="s">
        <v>165</v>
      </c>
      <c r="C17" s="173" t="s">
        <v>166</v>
      </c>
      <c r="D17" s="174"/>
      <c r="E17" s="35"/>
      <c r="F17" s="36"/>
      <c r="G17" s="37">
        <v>5</v>
      </c>
      <c r="H17" s="38"/>
      <c r="I17" s="37">
        <v>0</v>
      </c>
      <c r="J17" s="38"/>
      <c r="K17" s="37">
        <v>5</v>
      </c>
      <c r="L17" s="38"/>
      <c r="M17" s="50">
        <v>5</v>
      </c>
    </row>
    <row r="18" spans="1:13" s="3" customFormat="1" ht="39" customHeight="1">
      <c r="A18" s="33" t="s">
        <v>167</v>
      </c>
      <c r="B18" s="35" t="s">
        <v>168</v>
      </c>
      <c r="C18" s="173" t="s">
        <v>166</v>
      </c>
      <c r="D18" s="174"/>
      <c r="E18" s="35"/>
      <c r="F18" s="36"/>
      <c r="G18" s="37">
        <v>5</v>
      </c>
      <c r="H18" s="38"/>
      <c r="I18" s="37">
        <v>0</v>
      </c>
      <c r="J18" s="38"/>
      <c r="K18" s="37">
        <v>5</v>
      </c>
      <c r="L18" s="38"/>
      <c r="M18" s="50">
        <v>5</v>
      </c>
    </row>
    <row r="19" spans="1:13" s="3" customFormat="1" ht="39" customHeight="1">
      <c r="A19" s="33" t="s">
        <v>169</v>
      </c>
      <c r="B19" s="35" t="s">
        <v>170</v>
      </c>
      <c r="C19" s="173" t="s">
        <v>166</v>
      </c>
      <c r="D19" s="174"/>
      <c r="E19" s="39"/>
      <c r="F19" s="40"/>
      <c r="G19" s="37">
        <v>5</v>
      </c>
      <c r="H19" s="38"/>
      <c r="I19" s="37">
        <v>0</v>
      </c>
      <c r="J19" s="38"/>
      <c r="K19" s="37">
        <v>5</v>
      </c>
      <c r="L19" s="38"/>
      <c r="M19" s="50">
        <v>5</v>
      </c>
    </row>
    <row r="20" spans="1:13" s="3" customFormat="1" ht="39" customHeight="1">
      <c r="A20" s="33" t="s">
        <v>171</v>
      </c>
      <c r="B20" s="35" t="s">
        <v>172</v>
      </c>
      <c r="C20" s="35"/>
      <c r="D20" s="36"/>
      <c r="E20" s="172" t="s">
        <v>163</v>
      </c>
      <c r="F20" s="172"/>
      <c r="G20" s="37">
        <v>5</v>
      </c>
      <c r="H20" s="38"/>
      <c r="I20" s="37">
        <v>0</v>
      </c>
      <c r="J20" s="38"/>
      <c r="K20" s="37">
        <v>5</v>
      </c>
      <c r="L20" s="38"/>
      <c r="M20" s="50">
        <v>5</v>
      </c>
    </row>
    <row r="21" spans="1:13" s="3" customFormat="1" ht="39" customHeight="1">
      <c r="A21" s="33" t="s">
        <v>173</v>
      </c>
      <c r="B21" s="41" t="s">
        <v>174</v>
      </c>
      <c r="C21" s="173" t="s">
        <v>166</v>
      </c>
      <c r="D21" s="174"/>
      <c r="E21" s="170"/>
      <c r="F21" s="171"/>
      <c r="G21" s="37">
        <v>5</v>
      </c>
      <c r="H21" s="38"/>
      <c r="I21" s="37">
        <v>0</v>
      </c>
      <c r="J21" s="38"/>
      <c r="K21" s="37">
        <v>5</v>
      </c>
      <c r="L21" s="38"/>
      <c r="M21" s="50">
        <v>5</v>
      </c>
    </row>
    <row r="22" spans="1:13" s="3" customFormat="1" ht="39" customHeight="1">
      <c r="A22" s="33" t="s">
        <v>175</v>
      </c>
      <c r="B22" s="35" t="s">
        <v>176</v>
      </c>
      <c r="C22" s="173" t="s">
        <v>166</v>
      </c>
      <c r="D22" s="174"/>
      <c r="E22" s="172"/>
      <c r="F22" s="172"/>
      <c r="G22" s="37">
        <v>5</v>
      </c>
      <c r="H22" s="38"/>
      <c r="I22" s="37">
        <v>0</v>
      </c>
      <c r="J22" s="38"/>
      <c r="K22" s="37">
        <v>5</v>
      </c>
      <c r="L22" s="38"/>
      <c r="M22" s="50">
        <v>5</v>
      </c>
    </row>
    <row r="23" spans="1:13" s="3" customFormat="1" ht="39" customHeight="1">
      <c r="A23" s="17" t="s">
        <v>175</v>
      </c>
      <c r="B23" s="42" t="s">
        <v>177</v>
      </c>
      <c r="C23" s="173"/>
      <c r="D23" s="174"/>
      <c r="E23" s="172" t="s">
        <v>163</v>
      </c>
      <c r="F23" s="172"/>
      <c r="G23" s="44">
        <v>5</v>
      </c>
      <c r="H23" s="45"/>
      <c r="I23" s="44">
        <v>0</v>
      </c>
      <c r="J23" s="45"/>
      <c r="K23" s="44">
        <v>5</v>
      </c>
      <c r="L23" s="45"/>
      <c r="M23" s="51">
        <v>5</v>
      </c>
    </row>
    <row r="24" spans="1:13" s="3" customFormat="1" ht="39" customHeight="1">
      <c r="A24" s="17" t="s">
        <v>175</v>
      </c>
      <c r="B24" s="42" t="s">
        <v>178</v>
      </c>
      <c r="C24" s="173" t="s">
        <v>166</v>
      </c>
      <c r="D24" s="174"/>
      <c r="E24" s="46"/>
      <c r="F24" s="47"/>
      <c r="G24" s="44">
        <v>5</v>
      </c>
      <c r="H24" s="45"/>
      <c r="I24" s="44">
        <v>0</v>
      </c>
      <c r="J24" s="45"/>
      <c r="K24" s="44">
        <v>5</v>
      </c>
      <c r="L24" s="45"/>
      <c r="M24" s="51">
        <v>5</v>
      </c>
    </row>
    <row r="25" spans="1:13" s="3" customFormat="1" ht="39" customHeight="1">
      <c r="A25" s="17" t="s">
        <v>175</v>
      </c>
      <c r="B25" s="41" t="s">
        <v>179</v>
      </c>
      <c r="C25" s="170"/>
      <c r="D25" s="171"/>
      <c r="E25" s="172" t="s">
        <v>163</v>
      </c>
      <c r="F25" s="172"/>
      <c r="G25" s="44">
        <v>5</v>
      </c>
      <c r="H25" s="45"/>
      <c r="I25" s="44">
        <v>0</v>
      </c>
      <c r="J25" s="45"/>
      <c r="K25" s="44">
        <v>5</v>
      </c>
      <c r="L25" s="45"/>
      <c r="M25" s="51">
        <v>5</v>
      </c>
    </row>
    <row r="26" spans="1:13" s="3" customFormat="1" ht="39" customHeight="1">
      <c r="A26" s="17" t="s">
        <v>175</v>
      </c>
      <c r="B26" s="42" t="s">
        <v>180</v>
      </c>
      <c r="C26" s="173" t="s">
        <v>166</v>
      </c>
      <c r="D26" s="174"/>
      <c r="E26" s="42"/>
      <c r="F26" s="43"/>
      <c r="G26" s="44">
        <v>5</v>
      </c>
      <c r="H26" s="45"/>
      <c r="I26" s="44">
        <v>0</v>
      </c>
      <c r="J26" s="45"/>
      <c r="K26" s="44">
        <v>5</v>
      </c>
      <c r="L26" s="45"/>
      <c r="M26" s="51">
        <v>5</v>
      </c>
    </row>
    <row r="27" spans="1:13" s="3" customFormat="1" ht="39" customHeight="1">
      <c r="A27" s="17" t="s">
        <v>175</v>
      </c>
      <c r="B27" s="42" t="s">
        <v>181</v>
      </c>
      <c r="C27" s="173" t="s">
        <v>166</v>
      </c>
      <c r="D27" s="174"/>
      <c r="E27" s="170"/>
      <c r="F27" s="171"/>
      <c r="G27" s="44">
        <v>5</v>
      </c>
      <c r="H27" s="45"/>
      <c r="I27" s="44">
        <v>0</v>
      </c>
      <c r="J27" s="45"/>
      <c r="K27" s="44">
        <v>5</v>
      </c>
      <c r="L27" s="45"/>
      <c r="M27" s="51">
        <v>5</v>
      </c>
    </row>
    <row r="28" spans="1:13" s="3" customFormat="1" ht="39" customHeight="1">
      <c r="A28" s="145" t="s">
        <v>182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7"/>
      <c r="M28" s="52">
        <v>60</v>
      </c>
    </row>
    <row r="29" spans="1:13" s="1" customFormat="1" ht="75.75" customHeight="1">
      <c r="A29" s="48"/>
      <c r="B29" s="48"/>
      <c r="D29" s="49"/>
      <c r="M29" s="48"/>
    </row>
    <row r="30" spans="1:13" s="1" customFormat="1">
      <c r="D30" s="49"/>
    </row>
    <row r="31" spans="1:13" s="1" customFormat="1">
      <c r="D31" s="49"/>
    </row>
  </sheetData>
  <mergeCells count="35">
    <mergeCell ref="A2:K2"/>
    <mergeCell ref="A3:K3"/>
    <mergeCell ref="A4:K4"/>
    <mergeCell ref="A5:K5"/>
    <mergeCell ref="B7:D7"/>
    <mergeCell ref="I7:J7"/>
    <mergeCell ref="B9:D9"/>
    <mergeCell ref="A12:M12"/>
    <mergeCell ref="C16:D16"/>
    <mergeCell ref="E16:F16"/>
    <mergeCell ref="C17:D17"/>
    <mergeCell ref="C23:D23"/>
    <mergeCell ref="E23:F23"/>
    <mergeCell ref="C24:D24"/>
    <mergeCell ref="C18:D18"/>
    <mergeCell ref="C19:D19"/>
    <mergeCell ref="E20:F20"/>
    <mergeCell ref="C21:D21"/>
    <mergeCell ref="E21:F21"/>
    <mergeCell ref="A28:L28"/>
    <mergeCell ref="A13:A15"/>
    <mergeCell ref="B13:B15"/>
    <mergeCell ref="M13:M15"/>
    <mergeCell ref="C13:D15"/>
    <mergeCell ref="E13:F15"/>
    <mergeCell ref="G13:H15"/>
    <mergeCell ref="I13:J15"/>
    <mergeCell ref="K13:L15"/>
    <mergeCell ref="C25:D25"/>
    <mergeCell ref="E25:F25"/>
    <mergeCell ref="C26:D26"/>
    <mergeCell ref="C27:D27"/>
    <mergeCell ref="E27:F27"/>
    <mergeCell ref="C22:D22"/>
    <mergeCell ref="E22:F22"/>
  </mergeCells>
  <printOptions horizontalCentered="1"/>
  <pageMargins left="0.23622047244094499" right="0.23622047244094499" top="0.35433070866141703" bottom="0.35433070866141703" header="0.31496062992126" footer="0.31496062992126"/>
  <pageSetup paperSize="9" scale="63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3"/>
  <sheetViews>
    <sheetView view="pageBreakPreview" topLeftCell="A2" zoomScale="104" zoomScaleNormal="100" workbookViewId="0">
      <selection activeCell="A14" sqref="A14:G85"/>
    </sheetView>
  </sheetViews>
  <sheetFormatPr defaultColWidth="9" defaultRowHeight="15"/>
  <cols>
    <col min="1" max="1" width="37.375" customWidth="1"/>
    <col min="2" max="2" width="11.625" style="4" customWidth="1"/>
    <col min="3" max="3" width="11.625" style="5" customWidth="1"/>
    <col min="4" max="4" width="11.625" style="4" customWidth="1"/>
    <col min="5" max="5" width="11.625" style="5" customWidth="1"/>
    <col min="6" max="7" width="11.625" style="6" customWidth="1"/>
    <col min="8" max="8" width="11.625" style="4" customWidth="1"/>
    <col min="9" max="9" width="11.625" style="5" customWidth="1"/>
    <col min="10" max="10" width="11.625" customWidth="1"/>
  </cols>
  <sheetData>
    <row r="1" spans="1:10" s="1" customFormat="1" ht="52.5" customHeight="1"/>
    <row r="2" spans="1:10" s="1" customFormat="1" ht="10.5" customHeight="1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s="1" customFormat="1" ht="15.95" customHeight="1">
      <c r="A3" s="107" t="s">
        <v>1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s="1" customFormat="1" ht="15.95" customHeight="1">
      <c r="A4" s="107" t="s">
        <v>2</v>
      </c>
      <c r="B4" s="107"/>
      <c r="C4" s="107"/>
      <c r="D4" s="107"/>
      <c r="E4" s="107"/>
      <c r="F4" s="107"/>
      <c r="G4" s="107"/>
      <c r="H4" s="107"/>
      <c r="I4" s="107"/>
      <c r="J4" s="107"/>
    </row>
    <row r="5" spans="1:10" s="1" customFormat="1" ht="15.95" customHeight="1">
      <c r="A5" s="107" t="s">
        <v>3</v>
      </c>
      <c r="B5" s="107"/>
      <c r="C5" s="107"/>
      <c r="D5" s="107"/>
      <c r="E5" s="107"/>
      <c r="F5" s="107"/>
      <c r="G5" s="107"/>
      <c r="H5" s="107"/>
      <c r="I5" s="107"/>
      <c r="J5" s="107"/>
    </row>
    <row r="6" spans="1:10" s="1" customFormat="1" ht="8.25" customHeight="1"/>
    <row r="7" spans="1:10" s="1" customFormat="1" ht="12" customHeight="1">
      <c r="A7" s="1" t="s">
        <v>4</v>
      </c>
      <c r="B7" s="94" t="s">
        <v>5</v>
      </c>
      <c r="C7" s="94"/>
      <c r="D7" s="94"/>
      <c r="H7" s="8" t="s">
        <v>6</v>
      </c>
      <c r="I7" s="20"/>
      <c r="J7" s="8"/>
    </row>
    <row r="8" spans="1:10" s="1" customFormat="1" ht="12" customHeight="1">
      <c r="B8" s="9"/>
      <c r="C8" s="9"/>
      <c r="H8" s="9"/>
      <c r="I8" s="9"/>
      <c r="J8" s="9"/>
    </row>
    <row r="9" spans="1:10" s="1" customFormat="1" ht="12" customHeight="1">
      <c r="A9" s="1" t="s">
        <v>7</v>
      </c>
      <c r="B9" s="94" t="s">
        <v>8</v>
      </c>
      <c r="C9" s="94"/>
      <c r="D9" s="94"/>
      <c r="H9" s="8" t="s">
        <v>9</v>
      </c>
      <c r="I9" s="21"/>
      <c r="J9" s="8"/>
    </row>
    <row r="10" spans="1:10" ht="16.5" customHeight="1">
      <c r="A10" s="95" t="s">
        <v>10</v>
      </c>
      <c r="B10" s="95"/>
      <c r="C10" s="95"/>
      <c r="D10" s="95"/>
      <c r="E10" s="95"/>
      <c r="F10" s="95"/>
      <c r="G10" s="95"/>
      <c r="H10" s="95"/>
      <c r="I10" s="95"/>
      <c r="J10" s="95"/>
    </row>
    <row r="11" spans="1:10" s="2" customFormat="1" ht="18.75" customHeight="1">
      <c r="A11" s="181" t="s">
        <v>11</v>
      </c>
      <c r="B11" s="185" t="s">
        <v>12</v>
      </c>
      <c r="C11" s="186"/>
      <c r="D11" s="187" t="s">
        <v>13</v>
      </c>
      <c r="E11" s="188"/>
      <c r="F11" s="188"/>
      <c r="G11" s="10"/>
      <c r="H11" s="189" t="s">
        <v>14</v>
      </c>
      <c r="I11" s="190"/>
      <c r="J11" s="183" t="s">
        <v>15</v>
      </c>
    </row>
    <row r="12" spans="1:10" s="2" customFormat="1" ht="51" customHeight="1">
      <c r="A12" s="182"/>
      <c r="B12" s="11" t="s">
        <v>17</v>
      </c>
      <c r="C12" s="12" t="s">
        <v>18</v>
      </c>
      <c r="D12" s="11" t="s">
        <v>17</v>
      </c>
      <c r="E12" s="12" t="s">
        <v>18</v>
      </c>
      <c r="F12" s="13" t="s">
        <v>19</v>
      </c>
      <c r="G12" s="14" t="s">
        <v>183</v>
      </c>
      <c r="H12" s="11" t="s">
        <v>17</v>
      </c>
      <c r="I12" s="12" t="s">
        <v>18</v>
      </c>
      <c r="J12" s="184"/>
    </row>
    <row r="13" spans="1:10" s="2" customFormat="1" ht="18.75" customHeight="1">
      <c r="A13" s="178" t="s">
        <v>184</v>
      </c>
      <c r="B13" s="179"/>
      <c r="C13" s="179"/>
      <c r="D13" s="179"/>
      <c r="E13" s="179"/>
      <c r="F13" s="179"/>
      <c r="G13" s="179"/>
      <c r="H13" s="179"/>
      <c r="I13" s="179"/>
      <c r="J13" s="180"/>
    </row>
    <row r="14" spans="1:10" s="2" customFormat="1" ht="15.95" customHeight="1">
      <c r="A14" s="15" t="s">
        <v>22</v>
      </c>
      <c r="B14" s="16">
        <v>1.25</v>
      </c>
      <c r="C14" s="16">
        <v>1.25</v>
      </c>
      <c r="D14" s="16"/>
      <c r="E14" s="16"/>
      <c r="F14" s="16"/>
      <c r="G14" s="16"/>
      <c r="H14" s="16">
        <f>B14</f>
        <v>1.25</v>
      </c>
      <c r="I14" s="16">
        <f>C14</f>
        <v>1.25</v>
      </c>
      <c r="J14" s="22">
        <f t="shared" ref="J14:J15" si="0">H14+I14</f>
        <v>2.5</v>
      </c>
    </row>
    <row r="15" spans="1:10" s="3" customFormat="1" ht="15.95" customHeight="1">
      <c r="A15" s="17" t="s">
        <v>24</v>
      </c>
      <c r="B15" s="16">
        <v>15</v>
      </c>
      <c r="C15" s="16">
        <v>15</v>
      </c>
      <c r="D15" s="16"/>
      <c r="E15" s="16"/>
      <c r="F15" s="16"/>
      <c r="G15" s="16"/>
      <c r="H15" s="16">
        <f>H14-F15-D15+B15</f>
        <v>16.25</v>
      </c>
      <c r="I15" s="16">
        <f>I14-E15+C15</f>
        <v>16.25</v>
      </c>
      <c r="J15" s="22">
        <f t="shared" si="0"/>
        <v>32.5</v>
      </c>
    </row>
    <row r="16" spans="1:10" s="3" customFormat="1" ht="15.95" customHeight="1">
      <c r="A16" s="17" t="s">
        <v>25</v>
      </c>
      <c r="B16" s="16"/>
      <c r="C16" s="16"/>
      <c r="D16" s="16"/>
      <c r="E16" s="16"/>
      <c r="F16" s="16">
        <v>5</v>
      </c>
      <c r="G16" s="16"/>
      <c r="H16" s="16">
        <f t="shared" ref="H16:H63" si="1">H15-F16-D16+B16</f>
        <v>11.25</v>
      </c>
      <c r="I16" s="16">
        <f t="shared" ref="I16:I63" si="2">I15-E16+C16</f>
        <v>16.25</v>
      </c>
      <c r="J16" s="22">
        <f t="shared" ref="J16:J63" si="3">H16+I16</f>
        <v>27.5</v>
      </c>
    </row>
    <row r="17" spans="1:10" s="3" customFormat="1" ht="15.95" customHeight="1">
      <c r="A17" s="17" t="s">
        <v>26</v>
      </c>
      <c r="B17" s="16">
        <v>15</v>
      </c>
      <c r="C17" s="16">
        <v>15</v>
      </c>
      <c r="D17" s="16"/>
      <c r="E17" s="16"/>
      <c r="F17" s="16"/>
      <c r="G17" s="16"/>
      <c r="H17" s="16">
        <f t="shared" si="1"/>
        <v>26.25</v>
      </c>
      <c r="I17" s="16">
        <f t="shared" si="2"/>
        <v>31.25</v>
      </c>
      <c r="J17" s="22">
        <f t="shared" si="3"/>
        <v>57.5</v>
      </c>
    </row>
    <row r="18" spans="1:10" s="3" customFormat="1" ht="15.95" customHeight="1">
      <c r="A18" s="17" t="s">
        <v>27</v>
      </c>
      <c r="B18" s="16"/>
      <c r="C18" s="16"/>
      <c r="D18" s="16">
        <v>10</v>
      </c>
      <c r="E18" s="16">
        <v>20</v>
      </c>
      <c r="F18" s="16"/>
      <c r="G18" s="16"/>
      <c r="H18" s="16">
        <f t="shared" si="1"/>
        <v>16.25</v>
      </c>
      <c r="I18" s="16">
        <f t="shared" si="2"/>
        <v>11.25</v>
      </c>
      <c r="J18" s="22">
        <f t="shared" si="3"/>
        <v>27.5</v>
      </c>
    </row>
    <row r="19" spans="1:10" s="3" customFormat="1" ht="15.95" customHeight="1">
      <c r="A19" s="17" t="s">
        <v>28</v>
      </c>
      <c r="B19" s="16"/>
      <c r="C19" s="16"/>
      <c r="D19" s="16"/>
      <c r="E19" s="16"/>
      <c r="F19" s="16">
        <v>5</v>
      </c>
      <c r="G19" s="16"/>
      <c r="H19" s="16">
        <f t="shared" si="1"/>
        <v>11.25</v>
      </c>
      <c r="I19" s="16">
        <f t="shared" si="2"/>
        <v>11.25</v>
      </c>
      <c r="J19" s="22">
        <f t="shared" si="3"/>
        <v>22.5</v>
      </c>
    </row>
    <row r="20" spans="1:10" s="3" customFormat="1" ht="15.95" customHeight="1">
      <c r="A20" s="17" t="s">
        <v>29</v>
      </c>
      <c r="B20" s="16">
        <v>15</v>
      </c>
      <c r="C20" s="16">
        <v>15</v>
      </c>
      <c r="D20" s="16"/>
      <c r="E20" s="16"/>
      <c r="F20" s="16"/>
      <c r="G20" s="16"/>
      <c r="H20" s="16">
        <f t="shared" si="1"/>
        <v>26.25</v>
      </c>
      <c r="I20" s="16">
        <f t="shared" si="2"/>
        <v>26.25</v>
      </c>
      <c r="J20" s="22">
        <f t="shared" si="3"/>
        <v>52.5</v>
      </c>
    </row>
    <row r="21" spans="1:10" s="3" customFormat="1" ht="15.95" customHeight="1">
      <c r="A21" s="17" t="s">
        <v>30</v>
      </c>
      <c r="B21" s="16"/>
      <c r="C21" s="16"/>
      <c r="D21" s="16"/>
      <c r="E21" s="16"/>
      <c r="F21" s="16">
        <v>5</v>
      </c>
      <c r="G21" s="16"/>
      <c r="H21" s="16">
        <f t="shared" si="1"/>
        <v>21.25</v>
      </c>
      <c r="I21" s="16">
        <f t="shared" si="2"/>
        <v>26.25</v>
      </c>
      <c r="J21" s="22">
        <f t="shared" si="3"/>
        <v>47.5</v>
      </c>
    </row>
    <row r="22" spans="1:10" s="3" customFormat="1" ht="15.95" customHeight="1">
      <c r="A22" s="17" t="s">
        <v>31</v>
      </c>
      <c r="B22" s="18"/>
      <c r="C22" s="16"/>
      <c r="D22" s="16">
        <v>15</v>
      </c>
      <c r="E22" s="16"/>
      <c r="F22" s="16"/>
      <c r="G22" s="16"/>
      <c r="H22" s="16">
        <f t="shared" si="1"/>
        <v>6.25</v>
      </c>
      <c r="I22" s="16">
        <f t="shared" si="2"/>
        <v>26.25</v>
      </c>
      <c r="J22" s="22">
        <f t="shared" si="3"/>
        <v>32.5</v>
      </c>
    </row>
    <row r="23" spans="1:10" s="3" customFormat="1" ht="15.95" customHeight="1">
      <c r="A23" s="17" t="s">
        <v>32</v>
      </c>
      <c r="B23" s="16">
        <v>15</v>
      </c>
      <c r="C23" s="16">
        <v>15</v>
      </c>
      <c r="D23" s="16"/>
      <c r="E23" s="16"/>
      <c r="F23" s="16"/>
      <c r="G23" s="16"/>
      <c r="H23" s="16">
        <f t="shared" si="1"/>
        <v>21.25</v>
      </c>
      <c r="I23" s="16">
        <f t="shared" si="2"/>
        <v>41.25</v>
      </c>
      <c r="J23" s="22">
        <f t="shared" si="3"/>
        <v>62.5</v>
      </c>
    </row>
    <row r="24" spans="1:10" s="3" customFormat="1" ht="15.95" customHeight="1">
      <c r="A24" s="17" t="s">
        <v>33</v>
      </c>
      <c r="B24" s="16"/>
      <c r="C24" s="16"/>
      <c r="D24" s="16"/>
      <c r="E24" s="16"/>
      <c r="F24" s="16">
        <v>5</v>
      </c>
      <c r="G24" s="16"/>
      <c r="H24" s="16">
        <f t="shared" si="1"/>
        <v>16.25</v>
      </c>
      <c r="I24" s="16">
        <f t="shared" si="2"/>
        <v>41.25</v>
      </c>
      <c r="J24" s="22">
        <f t="shared" si="3"/>
        <v>57.5</v>
      </c>
    </row>
    <row r="25" spans="1:10" s="3" customFormat="1" ht="15.95" customHeight="1">
      <c r="A25" s="17" t="s">
        <v>34</v>
      </c>
      <c r="B25" s="16"/>
      <c r="C25" s="16"/>
      <c r="D25" s="16">
        <v>10</v>
      </c>
      <c r="E25" s="16"/>
      <c r="F25" s="16"/>
      <c r="G25" s="16"/>
      <c r="H25" s="16">
        <f t="shared" si="1"/>
        <v>6.25</v>
      </c>
      <c r="I25" s="16">
        <f t="shared" si="2"/>
        <v>41.25</v>
      </c>
      <c r="J25" s="22">
        <f t="shared" si="3"/>
        <v>47.5</v>
      </c>
    </row>
    <row r="26" spans="1:10" s="3" customFormat="1" ht="15.95" customHeight="1">
      <c r="A26" s="17" t="s">
        <v>35</v>
      </c>
      <c r="B26" s="16">
        <v>15</v>
      </c>
      <c r="C26" s="16">
        <v>15</v>
      </c>
      <c r="D26" s="16"/>
      <c r="E26" s="16"/>
      <c r="F26" s="16"/>
      <c r="G26" s="16"/>
      <c r="H26" s="16">
        <f t="shared" si="1"/>
        <v>21.25</v>
      </c>
      <c r="I26" s="16">
        <f t="shared" si="2"/>
        <v>56.25</v>
      </c>
      <c r="J26" s="22">
        <f t="shared" si="3"/>
        <v>77.5</v>
      </c>
    </row>
    <row r="27" spans="1:10" ht="15.95" customHeight="1">
      <c r="A27" s="17" t="s">
        <v>36</v>
      </c>
      <c r="B27" s="16"/>
      <c r="C27" s="16"/>
      <c r="D27" s="16"/>
      <c r="E27" s="16"/>
      <c r="F27" s="16">
        <v>5</v>
      </c>
      <c r="G27" s="16"/>
      <c r="H27" s="16">
        <f t="shared" si="1"/>
        <v>16.25</v>
      </c>
      <c r="I27" s="16">
        <f t="shared" si="2"/>
        <v>56.25</v>
      </c>
      <c r="J27" s="22">
        <f t="shared" si="3"/>
        <v>72.5</v>
      </c>
    </row>
    <row r="28" spans="1:10" ht="15.95" customHeight="1">
      <c r="A28" s="17" t="s">
        <v>37</v>
      </c>
      <c r="B28" s="16"/>
      <c r="C28" s="16"/>
      <c r="D28" s="16">
        <v>10</v>
      </c>
      <c r="E28" s="16"/>
      <c r="F28" s="16"/>
      <c r="G28" s="16"/>
      <c r="H28" s="16">
        <f t="shared" si="1"/>
        <v>6.25</v>
      </c>
      <c r="I28" s="16">
        <f t="shared" si="2"/>
        <v>56.25</v>
      </c>
      <c r="J28" s="22">
        <f t="shared" si="3"/>
        <v>62.5</v>
      </c>
    </row>
    <row r="29" spans="1:10" ht="15.95" customHeight="1">
      <c r="A29" s="17" t="s">
        <v>38</v>
      </c>
      <c r="B29" s="16">
        <v>15</v>
      </c>
      <c r="C29" s="16">
        <v>15</v>
      </c>
      <c r="D29" s="16"/>
      <c r="E29" s="16"/>
      <c r="F29" s="16"/>
      <c r="G29" s="16"/>
      <c r="H29" s="16">
        <f t="shared" si="1"/>
        <v>21.25</v>
      </c>
      <c r="I29" s="16">
        <f t="shared" si="2"/>
        <v>71.25</v>
      </c>
      <c r="J29" s="22">
        <f t="shared" si="3"/>
        <v>92.5</v>
      </c>
    </row>
    <row r="30" spans="1:10" ht="15.95" customHeight="1">
      <c r="A30" s="17" t="s">
        <v>39</v>
      </c>
      <c r="B30" s="16"/>
      <c r="C30" s="16"/>
      <c r="D30" s="16">
        <v>9</v>
      </c>
      <c r="E30" s="16">
        <v>20</v>
      </c>
      <c r="F30" s="16"/>
      <c r="G30" s="16"/>
      <c r="H30" s="16">
        <f t="shared" si="1"/>
        <v>12.25</v>
      </c>
      <c r="I30" s="16">
        <f t="shared" si="2"/>
        <v>51.25</v>
      </c>
      <c r="J30" s="22">
        <f t="shared" si="3"/>
        <v>63.5</v>
      </c>
    </row>
    <row r="31" spans="1:10" ht="15.95" customHeight="1">
      <c r="A31" s="17" t="s">
        <v>40</v>
      </c>
      <c r="B31" s="16"/>
      <c r="C31" s="16"/>
      <c r="D31" s="16"/>
      <c r="E31" s="16"/>
      <c r="F31" s="16">
        <v>5</v>
      </c>
      <c r="G31" s="16"/>
      <c r="H31" s="16">
        <f t="shared" si="1"/>
        <v>7.25</v>
      </c>
      <c r="I31" s="16">
        <f t="shared" si="2"/>
        <v>51.25</v>
      </c>
      <c r="J31" s="22">
        <f t="shared" si="3"/>
        <v>58.5</v>
      </c>
    </row>
    <row r="32" spans="1:10" ht="15.95" customHeight="1">
      <c r="A32" s="17" t="s">
        <v>41</v>
      </c>
      <c r="B32" s="16">
        <v>15</v>
      </c>
      <c r="C32" s="16">
        <v>15</v>
      </c>
      <c r="D32" s="16"/>
      <c r="E32" s="16"/>
      <c r="F32" s="16"/>
      <c r="G32" s="16"/>
      <c r="H32" s="16">
        <f t="shared" si="1"/>
        <v>22.25</v>
      </c>
      <c r="I32" s="16">
        <f t="shared" si="2"/>
        <v>66.25</v>
      </c>
      <c r="J32" s="22">
        <f t="shared" si="3"/>
        <v>88.5</v>
      </c>
    </row>
    <row r="33" spans="1:10" ht="15.95" customHeight="1">
      <c r="A33" s="17" t="s">
        <v>42</v>
      </c>
      <c r="B33" s="16"/>
      <c r="C33" s="16"/>
      <c r="D33" s="16">
        <v>15</v>
      </c>
      <c r="E33" s="16">
        <v>14</v>
      </c>
      <c r="F33" s="16"/>
      <c r="G33" s="16"/>
      <c r="H33" s="16">
        <f t="shared" si="1"/>
        <v>7.25</v>
      </c>
      <c r="I33" s="16">
        <f t="shared" si="2"/>
        <v>52.25</v>
      </c>
      <c r="J33" s="22">
        <f t="shared" si="3"/>
        <v>59.5</v>
      </c>
    </row>
    <row r="34" spans="1:10" ht="15.95" customHeight="1">
      <c r="A34" s="17" t="s">
        <v>43</v>
      </c>
      <c r="B34" s="16"/>
      <c r="C34" s="16"/>
      <c r="D34" s="16"/>
      <c r="E34" s="16"/>
      <c r="F34" s="16">
        <v>5</v>
      </c>
      <c r="G34" s="16"/>
      <c r="H34" s="16">
        <f t="shared" si="1"/>
        <v>2.25</v>
      </c>
      <c r="I34" s="16">
        <f t="shared" si="2"/>
        <v>52.25</v>
      </c>
      <c r="J34" s="22">
        <f t="shared" si="3"/>
        <v>54.5</v>
      </c>
    </row>
    <row r="35" spans="1:10" ht="15.95" customHeight="1">
      <c r="A35" s="17" t="s">
        <v>44</v>
      </c>
      <c r="B35" s="16">
        <v>15</v>
      </c>
      <c r="C35" s="16">
        <v>15</v>
      </c>
      <c r="D35" s="16"/>
      <c r="E35" s="16"/>
      <c r="F35" s="16"/>
      <c r="G35" s="16"/>
      <c r="H35" s="16">
        <f t="shared" si="1"/>
        <v>17.25</v>
      </c>
      <c r="I35" s="16">
        <f t="shared" si="2"/>
        <v>67.25</v>
      </c>
      <c r="J35" s="22">
        <f t="shared" si="3"/>
        <v>84.5</v>
      </c>
    </row>
    <row r="36" spans="1:10" ht="15.95" customHeight="1">
      <c r="A36" s="17" t="s">
        <v>45</v>
      </c>
      <c r="B36" s="16"/>
      <c r="C36" s="16"/>
      <c r="D36" s="16">
        <v>11</v>
      </c>
      <c r="E36" s="16">
        <v>18</v>
      </c>
      <c r="F36" s="16"/>
      <c r="G36" s="16"/>
      <c r="H36" s="16">
        <f t="shared" si="1"/>
        <v>6.25</v>
      </c>
      <c r="I36" s="16">
        <f t="shared" si="2"/>
        <v>49.25</v>
      </c>
      <c r="J36" s="22">
        <f t="shared" si="3"/>
        <v>55.5</v>
      </c>
    </row>
    <row r="37" spans="1:10" ht="15.95" customHeight="1">
      <c r="A37" s="17" t="s">
        <v>46</v>
      </c>
      <c r="B37" s="16"/>
      <c r="C37" s="16"/>
      <c r="D37" s="16"/>
      <c r="E37" s="16"/>
      <c r="F37" s="16">
        <v>5</v>
      </c>
      <c r="G37" s="16"/>
      <c r="H37" s="16">
        <f t="shared" si="1"/>
        <v>1.25</v>
      </c>
      <c r="I37" s="16">
        <f t="shared" si="2"/>
        <v>49.25</v>
      </c>
      <c r="J37" s="22">
        <f t="shared" si="3"/>
        <v>50.5</v>
      </c>
    </row>
    <row r="38" spans="1:10" ht="15.95" customHeight="1">
      <c r="A38" s="17" t="s">
        <v>47</v>
      </c>
      <c r="B38" s="16">
        <v>15</v>
      </c>
      <c r="C38" s="16">
        <v>15</v>
      </c>
      <c r="D38" s="16"/>
      <c r="E38" s="16"/>
      <c r="F38" s="16"/>
      <c r="G38" s="16"/>
      <c r="H38" s="16">
        <f t="shared" si="1"/>
        <v>16.25</v>
      </c>
      <c r="I38" s="16">
        <f t="shared" si="2"/>
        <v>64.25</v>
      </c>
      <c r="J38" s="22">
        <f t="shared" si="3"/>
        <v>80.5</v>
      </c>
    </row>
    <row r="39" spans="1:10" ht="15.95" customHeight="1">
      <c r="A39" s="17" t="s">
        <v>48</v>
      </c>
      <c r="B39" s="16"/>
      <c r="C39" s="16"/>
      <c r="D39" s="16"/>
      <c r="E39" s="16"/>
      <c r="F39" s="16">
        <v>5</v>
      </c>
      <c r="G39" s="16"/>
      <c r="H39" s="16">
        <f t="shared" si="1"/>
        <v>11.25</v>
      </c>
      <c r="I39" s="16">
        <f t="shared" si="2"/>
        <v>64.25</v>
      </c>
      <c r="J39" s="22">
        <f t="shared" si="3"/>
        <v>75.5</v>
      </c>
    </row>
    <row r="40" spans="1:10" ht="15.95" customHeight="1">
      <c r="A40" s="17" t="s">
        <v>49</v>
      </c>
      <c r="B40" s="16">
        <v>15</v>
      </c>
      <c r="C40" s="16">
        <v>15</v>
      </c>
      <c r="D40" s="16"/>
      <c r="E40" s="16"/>
      <c r="F40" s="16"/>
      <c r="G40" s="16"/>
      <c r="H40" s="16">
        <f t="shared" si="1"/>
        <v>26.25</v>
      </c>
      <c r="I40" s="16">
        <f t="shared" si="2"/>
        <v>79.25</v>
      </c>
      <c r="J40" s="22">
        <f t="shared" si="3"/>
        <v>105.5</v>
      </c>
    </row>
    <row r="41" spans="1:10" ht="15.95" customHeight="1">
      <c r="A41" s="17" t="s">
        <v>50</v>
      </c>
      <c r="B41" s="16"/>
      <c r="C41" s="16"/>
      <c r="D41" s="16">
        <v>10</v>
      </c>
      <c r="E41" s="16"/>
      <c r="F41" s="16"/>
      <c r="G41" s="16"/>
      <c r="H41" s="16">
        <f t="shared" si="1"/>
        <v>16.25</v>
      </c>
      <c r="I41" s="16">
        <f t="shared" si="2"/>
        <v>79.25</v>
      </c>
      <c r="J41" s="22">
        <f t="shared" si="3"/>
        <v>95.5</v>
      </c>
    </row>
    <row r="42" spans="1:10" ht="15.95" customHeight="1">
      <c r="A42" s="17" t="s">
        <v>51</v>
      </c>
      <c r="B42" s="16"/>
      <c r="C42" s="16"/>
      <c r="D42" s="16"/>
      <c r="E42" s="16"/>
      <c r="F42" s="16">
        <v>5</v>
      </c>
      <c r="G42" s="16"/>
      <c r="H42" s="16">
        <f t="shared" si="1"/>
        <v>11.25</v>
      </c>
      <c r="I42" s="16">
        <f t="shared" si="2"/>
        <v>79.25</v>
      </c>
      <c r="J42" s="22">
        <f t="shared" si="3"/>
        <v>90.5</v>
      </c>
    </row>
    <row r="43" spans="1:10" ht="15.95" customHeight="1">
      <c r="A43" s="17" t="s">
        <v>52</v>
      </c>
      <c r="B43" s="16">
        <v>15</v>
      </c>
      <c r="C43" s="16">
        <v>15</v>
      </c>
      <c r="D43" s="16"/>
      <c r="E43" s="16"/>
      <c r="F43" s="16"/>
      <c r="G43" s="16"/>
      <c r="H43" s="16">
        <f t="shared" si="1"/>
        <v>26.25</v>
      </c>
      <c r="I43" s="16">
        <f t="shared" si="2"/>
        <v>94.25</v>
      </c>
      <c r="J43" s="22">
        <f t="shared" si="3"/>
        <v>120.5</v>
      </c>
    </row>
    <row r="44" spans="1:10" ht="15.95" customHeight="1">
      <c r="A44" s="17" t="s">
        <v>53</v>
      </c>
      <c r="B44" s="16"/>
      <c r="C44" s="16"/>
      <c r="D44" s="16">
        <v>16</v>
      </c>
      <c r="E44" s="16">
        <v>13</v>
      </c>
      <c r="F44" s="16"/>
      <c r="G44" s="16"/>
      <c r="H44" s="16">
        <f t="shared" si="1"/>
        <v>10.25</v>
      </c>
      <c r="I44" s="16">
        <f t="shared" si="2"/>
        <v>81.25</v>
      </c>
      <c r="J44" s="22">
        <f t="shared" si="3"/>
        <v>91.5</v>
      </c>
    </row>
    <row r="45" spans="1:10" ht="15.95" customHeight="1">
      <c r="A45" s="15" t="s">
        <v>54</v>
      </c>
      <c r="B45" s="16"/>
      <c r="C45" s="16"/>
      <c r="D45" s="16"/>
      <c r="E45" s="16"/>
      <c r="F45" s="16">
        <v>5</v>
      </c>
      <c r="G45" s="16"/>
      <c r="H45" s="16">
        <f t="shared" si="1"/>
        <v>5.25</v>
      </c>
      <c r="I45" s="16">
        <f t="shared" si="2"/>
        <v>81.25</v>
      </c>
      <c r="J45" s="22">
        <f t="shared" si="3"/>
        <v>86.5</v>
      </c>
    </row>
    <row r="46" spans="1:10" ht="15.95" customHeight="1">
      <c r="A46" s="17" t="s">
        <v>55</v>
      </c>
      <c r="B46" s="16">
        <v>15</v>
      </c>
      <c r="C46" s="16">
        <v>15</v>
      </c>
      <c r="D46" s="16"/>
      <c r="E46" s="16"/>
      <c r="F46" s="16"/>
      <c r="G46" s="16"/>
      <c r="H46" s="16">
        <f t="shared" si="1"/>
        <v>20.25</v>
      </c>
      <c r="I46" s="16">
        <f t="shared" si="2"/>
        <v>96.25</v>
      </c>
      <c r="J46" s="22">
        <f t="shared" si="3"/>
        <v>116.5</v>
      </c>
    </row>
    <row r="47" spans="1:10" ht="15.95" customHeight="1">
      <c r="A47" s="15" t="s">
        <v>56</v>
      </c>
      <c r="B47" s="16"/>
      <c r="C47" s="16"/>
      <c r="D47" s="16"/>
      <c r="E47" s="16"/>
      <c r="F47" s="16">
        <v>3</v>
      </c>
      <c r="G47" s="16"/>
      <c r="H47" s="16">
        <f t="shared" si="1"/>
        <v>17.25</v>
      </c>
      <c r="I47" s="16">
        <f t="shared" si="2"/>
        <v>96.25</v>
      </c>
      <c r="J47" s="22">
        <f t="shared" si="3"/>
        <v>113.5</v>
      </c>
    </row>
    <row r="48" spans="1:10" ht="15.95" customHeight="1">
      <c r="A48" s="15" t="s">
        <v>57</v>
      </c>
      <c r="B48" s="16"/>
      <c r="C48" s="16"/>
      <c r="D48" s="16"/>
      <c r="E48" s="16"/>
      <c r="F48" s="16"/>
      <c r="G48" s="16">
        <v>1</v>
      </c>
      <c r="H48" s="16">
        <f t="shared" si="1"/>
        <v>17.25</v>
      </c>
      <c r="I48" s="16">
        <f t="shared" si="2"/>
        <v>96.25</v>
      </c>
      <c r="J48" s="22">
        <f t="shared" si="3"/>
        <v>113.5</v>
      </c>
    </row>
    <row r="49" spans="1:10" ht="15.95" customHeight="1">
      <c r="A49" s="17" t="s">
        <v>58</v>
      </c>
      <c r="B49" s="16"/>
      <c r="C49" s="16"/>
      <c r="D49" s="16">
        <v>13</v>
      </c>
      <c r="E49" s="16">
        <v>16</v>
      </c>
      <c r="F49" s="16"/>
      <c r="G49" s="16"/>
      <c r="H49" s="16">
        <f t="shared" si="1"/>
        <v>4.25</v>
      </c>
      <c r="I49" s="16">
        <f t="shared" si="2"/>
        <v>80.25</v>
      </c>
      <c r="J49" s="22">
        <f t="shared" si="3"/>
        <v>84.5</v>
      </c>
    </row>
    <row r="50" spans="1:10" ht="15.95" customHeight="1">
      <c r="A50" s="15" t="s">
        <v>59</v>
      </c>
      <c r="B50" s="16"/>
      <c r="C50" s="16"/>
      <c r="D50" s="19"/>
      <c r="E50" s="19"/>
      <c r="F50" s="19"/>
      <c r="G50" s="16">
        <v>1</v>
      </c>
      <c r="H50" s="16">
        <f t="shared" si="1"/>
        <v>4.25</v>
      </c>
      <c r="I50" s="16">
        <f t="shared" si="2"/>
        <v>80.25</v>
      </c>
      <c r="J50" s="22">
        <f t="shared" si="3"/>
        <v>84.5</v>
      </c>
    </row>
    <row r="51" spans="1:10" ht="15.95" customHeight="1">
      <c r="A51" s="15" t="s">
        <v>60</v>
      </c>
      <c r="B51" s="16"/>
      <c r="C51" s="16"/>
      <c r="D51" s="19"/>
      <c r="E51" s="19"/>
      <c r="F51" s="16">
        <v>2</v>
      </c>
      <c r="G51" s="19"/>
      <c r="H51" s="16">
        <f t="shared" si="1"/>
        <v>2.25</v>
      </c>
      <c r="I51" s="16">
        <f t="shared" si="2"/>
        <v>80.25</v>
      </c>
      <c r="J51" s="22">
        <f t="shared" si="3"/>
        <v>82.5</v>
      </c>
    </row>
    <row r="52" spans="1:10" ht="15.75" customHeight="1">
      <c r="A52" s="15" t="s">
        <v>61</v>
      </c>
      <c r="B52" s="16">
        <v>10</v>
      </c>
      <c r="C52" s="16">
        <v>10</v>
      </c>
      <c r="D52" s="15"/>
      <c r="E52" s="15"/>
      <c r="F52" s="15"/>
      <c r="G52" s="15"/>
      <c r="H52" s="16">
        <f t="shared" si="1"/>
        <v>12.25</v>
      </c>
      <c r="I52" s="16">
        <f t="shared" si="2"/>
        <v>90.25</v>
      </c>
      <c r="J52" s="22">
        <f t="shared" si="3"/>
        <v>102.5</v>
      </c>
    </row>
    <row r="53" spans="1:10" ht="15.95" customHeight="1">
      <c r="A53" s="15" t="s">
        <v>62</v>
      </c>
      <c r="B53" s="15"/>
      <c r="C53" s="15"/>
      <c r="D53" s="15"/>
      <c r="E53" s="15"/>
      <c r="F53" s="16">
        <v>1</v>
      </c>
      <c r="G53" s="16"/>
      <c r="H53" s="16">
        <f t="shared" si="1"/>
        <v>11.25</v>
      </c>
      <c r="I53" s="16">
        <f t="shared" si="2"/>
        <v>90.25</v>
      </c>
      <c r="J53" s="22">
        <f t="shared" si="3"/>
        <v>101.5</v>
      </c>
    </row>
    <row r="54" spans="1:10" ht="15.95" customHeight="1">
      <c r="A54" s="15" t="s">
        <v>63</v>
      </c>
      <c r="B54" s="16"/>
      <c r="C54" s="16"/>
      <c r="D54" s="15"/>
      <c r="E54" s="15"/>
      <c r="F54" s="15"/>
      <c r="G54" s="16">
        <v>1</v>
      </c>
      <c r="H54" s="16">
        <f t="shared" si="1"/>
        <v>11.25</v>
      </c>
      <c r="I54" s="16">
        <f t="shared" si="2"/>
        <v>90.25</v>
      </c>
      <c r="J54" s="22">
        <f t="shared" si="3"/>
        <v>101.5</v>
      </c>
    </row>
    <row r="55" spans="1:10" ht="15.95" customHeight="1">
      <c r="A55" s="15" t="s">
        <v>64</v>
      </c>
      <c r="B55" s="16"/>
      <c r="C55" s="16"/>
      <c r="D55" s="16"/>
      <c r="E55" s="16"/>
      <c r="F55" s="16">
        <v>1</v>
      </c>
      <c r="G55" s="16"/>
      <c r="H55" s="16">
        <f t="shared" si="1"/>
        <v>10.25</v>
      </c>
      <c r="I55" s="16">
        <f t="shared" si="2"/>
        <v>90.25</v>
      </c>
      <c r="J55" s="22">
        <f t="shared" si="3"/>
        <v>100.5</v>
      </c>
    </row>
    <row r="56" spans="1:10" ht="15.95" customHeight="1">
      <c r="A56" s="15" t="s">
        <v>65</v>
      </c>
      <c r="B56" s="16"/>
      <c r="C56" s="16"/>
      <c r="D56" s="16"/>
      <c r="E56" s="16"/>
      <c r="F56" s="16"/>
      <c r="G56" s="16">
        <v>1</v>
      </c>
      <c r="H56" s="16">
        <f t="shared" si="1"/>
        <v>10.25</v>
      </c>
      <c r="I56" s="16">
        <f t="shared" si="2"/>
        <v>90.25</v>
      </c>
      <c r="J56" s="22">
        <f t="shared" si="3"/>
        <v>100.5</v>
      </c>
    </row>
    <row r="57" spans="1:10" ht="15.95" customHeight="1">
      <c r="A57" s="15" t="s">
        <v>66</v>
      </c>
      <c r="B57" s="16"/>
      <c r="C57" s="16"/>
      <c r="D57" s="16"/>
      <c r="E57" s="16">
        <v>1</v>
      </c>
      <c r="F57" s="16"/>
      <c r="G57" s="16"/>
      <c r="H57" s="16">
        <f t="shared" si="1"/>
        <v>10.25</v>
      </c>
      <c r="I57" s="16">
        <f t="shared" si="2"/>
        <v>89.25</v>
      </c>
      <c r="J57" s="22">
        <f t="shared" si="3"/>
        <v>99.5</v>
      </c>
    </row>
    <row r="58" spans="1:10" ht="15.95" customHeight="1">
      <c r="A58" s="15" t="s">
        <v>67</v>
      </c>
      <c r="B58" s="16"/>
      <c r="C58" s="16"/>
      <c r="D58" s="16"/>
      <c r="E58" s="16"/>
      <c r="F58" s="16"/>
      <c r="G58" s="16">
        <v>1</v>
      </c>
      <c r="H58" s="16">
        <f t="shared" si="1"/>
        <v>10.25</v>
      </c>
      <c r="I58" s="16">
        <f t="shared" si="2"/>
        <v>89.25</v>
      </c>
      <c r="J58" s="22">
        <f t="shared" si="3"/>
        <v>99.5</v>
      </c>
    </row>
    <row r="59" spans="1:10" ht="15.95" customHeight="1">
      <c r="A59" s="15" t="s">
        <v>68</v>
      </c>
      <c r="B59" s="16"/>
      <c r="C59" s="16"/>
      <c r="D59" s="16">
        <v>2</v>
      </c>
      <c r="E59" s="16">
        <v>27</v>
      </c>
      <c r="F59" s="16"/>
      <c r="G59" s="16"/>
      <c r="H59" s="16">
        <f t="shared" si="1"/>
        <v>8.25</v>
      </c>
      <c r="I59" s="16">
        <f t="shared" si="2"/>
        <v>62.25</v>
      </c>
      <c r="J59" s="22">
        <f t="shared" si="3"/>
        <v>70.5</v>
      </c>
    </row>
    <row r="60" spans="1:10" ht="15.95" customHeight="1">
      <c r="A60" s="15" t="s">
        <v>69</v>
      </c>
      <c r="B60" s="16"/>
      <c r="C60" s="16"/>
      <c r="D60" s="16"/>
      <c r="E60" s="16">
        <v>1</v>
      </c>
      <c r="F60" s="16"/>
      <c r="G60" s="16"/>
      <c r="H60" s="16">
        <f t="shared" si="1"/>
        <v>8.25</v>
      </c>
      <c r="I60" s="16">
        <f t="shared" si="2"/>
        <v>61.25</v>
      </c>
      <c r="J60" s="22">
        <f t="shared" si="3"/>
        <v>69.5</v>
      </c>
    </row>
    <row r="61" spans="1:10" ht="15.95" customHeight="1">
      <c r="A61" s="15" t="s">
        <v>70</v>
      </c>
      <c r="B61" s="16"/>
      <c r="C61" s="16"/>
      <c r="D61" s="16"/>
      <c r="E61" s="16"/>
      <c r="F61" s="16">
        <v>1</v>
      </c>
      <c r="G61" s="16"/>
      <c r="H61" s="16">
        <f t="shared" si="1"/>
        <v>7.25</v>
      </c>
      <c r="I61" s="16">
        <f t="shared" si="2"/>
        <v>61.25</v>
      </c>
      <c r="J61" s="22">
        <f t="shared" si="3"/>
        <v>68.5</v>
      </c>
    </row>
    <row r="62" spans="1:10" ht="15.95" customHeight="1">
      <c r="A62" s="15" t="s">
        <v>71</v>
      </c>
      <c r="B62" s="16">
        <v>2.5</v>
      </c>
      <c r="C62" s="16">
        <v>2.5</v>
      </c>
      <c r="D62" s="16"/>
      <c r="E62" s="16"/>
      <c r="F62" s="16"/>
      <c r="G62" s="16"/>
      <c r="H62" s="16">
        <f t="shared" si="1"/>
        <v>9.75</v>
      </c>
      <c r="I62" s="16">
        <f t="shared" si="2"/>
        <v>63.75</v>
      </c>
      <c r="J62" s="22">
        <f t="shared" si="3"/>
        <v>73.5</v>
      </c>
    </row>
    <row r="63" spans="1:10" ht="15.95" customHeight="1">
      <c r="A63" s="15" t="s">
        <v>72</v>
      </c>
      <c r="B63" s="16"/>
      <c r="C63" s="16"/>
      <c r="D63" s="16"/>
      <c r="E63" s="16"/>
      <c r="F63" s="16">
        <v>1</v>
      </c>
      <c r="G63" s="16"/>
      <c r="H63" s="16">
        <f t="shared" si="1"/>
        <v>8.75</v>
      </c>
      <c r="I63" s="16">
        <f t="shared" si="2"/>
        <v>63.75</v>
      </c>
      <c r="J63" s="22">
        <f t="shared" si="3"/>
        <v>72.5</v>
      </c>
    </row>
    <row r="64" spans="1:10" ht="15.95" customHeight="1">
      <c r="A64" s="15" t="s">
        <v>73</v>
      </c>
      <c r="B64" s="16">
        <v>1.25</v>
      </c>
      <c r="C64" s="16">
        <v>1.25</v>
      </c>
      <c r="D64" s="16"/>
      <c r="E64" s="16"/>
      <c r="F64" s="16"/>
      <c r="G64" s="16"/>
      <c r="H64" s="16">
        <f t="shared" ref="H64:H65" si="4">H63-F64-D64+B64</f>
        <v>10</v>
      </c>
      <c r="I64" s="16">
        <f t="shared" ref="I64:I65" si="5">I63-E64+C64</f>
        <v>65</v>
      </c>
      <c r="J64" s="22">
        <f t="shared" ref="J64:J65" si="6">H64+I64</f>
        <v>75</v>
      </c>
    </row>
    <row r="65" spans="1:10" ht="15.95" customHeight="1">
      <c r="A65" s="15" t="s">
        <v>74</v>
      </c>
      <c r="B65" s="16"/>
      <c r="C65" s="16"/>
      <c r="D65" s="16"/>
      <c r="E65" s="16"/>
      <c r="F65" s="16">
        <v>1</v>
      </c>
      <c r="G65" s="16"/>
      <c r="H65" s="16">
        <f t="shared" si="4"/>
        <v>9</v>
      </c>
      <c r="I65" s="16">
        <f t="shared" si="5"/>
        <v>65</v>
      </c>
      <c r="J65" s="22">
        <f t="shared" si="6"/>
        <v>74</v>
      </c>
    </row>
    <row r="66" spans="1:10" ht="15.95" customHeight="1">
      <c r="A66" s="15" t="s">
        <v>75</v>
      </c>
      <c r="B66" s="16">
        <v>1.25</v>
      </c>
      <c r="C66" s="16">
        <v>1.25</v>
      </c>
      <c r="D66" s="16"/>
      <c r="E66" s="16"/>
      <c r="F66" s="16"/>
      <c r="G66" s="16"/>
      <c r="H66" s="16">
        <f t="shared" ref="H66:H67" si="7">H65-F66-D66+B66</f>
        <v>10.25</v>
      </c>
      <c r="I66" s="16">
        <f t="shared" ref="I66:I67" si="8">I65-E66+C66</f>
        <v>66.25</v>
      </c>
      <c r="J66" s="22">
        <f t="shared" ref="J66:J67" si="9">H66+I66</f>
        <v>76.5</v>
      </c>
    </row>
    <row r="67" spans="1:10" ht="15.95" customHeight="1">
      <c r="A67" s="15" t="s">
        <v>76</v>
      </c>
      <c r="B67" s="16"/>
      <c r="C67" s="16"/>
      <c r="D67" s="16"/>
      <c r="E67" s="16">
        <v>1</v>
      </c>
      <c r="F67" s="16"/>
      <c r="G67" s="16"/>
      <c r="H67" s="16">
        <f t="shared" si="7"/>
        <v>10.25</v>
      </c>
      <c r="I67" s="16">
        <f t="shared" si="8"/>
        <v>65.25</v>
      </c>
      <c r="J67" s="22">
        <f t="shared" si="9"/>
        <v>75.5</v>
      </c>
    </row>
    <row r="68" spans="1:10" ht="15.95" customHeight="1">
      <c r="A68" s="15" t="s">
        <v>77</v>
      </c>
      <c r="B68" s="16"/>
      <c r="C68" s="16"/>
      <c r="D68" s="16"/>
      <c r="E68" s="16"/>
      <c r="F68" s="23">
        <v>1</v>
      </c>
      <c r="G68" s="23"/>
      <c r="H68" s="16">
        <f t="shared" ref="H68" si="10">H67-F68-D68+B68</f>
        <v>9.25</v>
      </c>
      <c r="I68" s="16">
        <f t="shared" ref="I68" si="11">I67-E68+C68</f>
        <v>65.25</v>
      </c>
      <c r="J68" s="22">
        <f t="shared" ref="J68" si="12">H68+I68</f>
        <v>74.5</v>
      </c>
    </row>
    <row r="69" spans="1:10" ht="15.95" customHeight="1">
      <c r="A69" s="15" t="s">
        <v>78</v>
      </c>
      <c r="B69" s="16">
        <v>5</v>
      </c>
      <c r="C69" s="16">
        <v>5</v>
      </c>
      <c r="D69" s="16"/>
      <c r="E69" s="16"/>
      <c r="F69" s="23"/>
      <c r="G69" s="23"/>
      <c r="H69" s="16">
        <f t="shared" ref="H69:H70" si="13">H68-F69-D69+B69</f>
        <v>14.25</v>
      </c>
      <c r="I69" s="16">
        <f t="shared" ref="I69:I70" si="14">I68-E69+C69</f>
        <v>70.25</v>
      </c>
      <c r="J69" s="22">
        <f t="shared" ref="J69:J70" si="15">H69+I69</f>
        <v>84.5</v>
      </c>
    </row>
    <row r="70" spans="1:10" ht="15.95" customHeight="1">
      <c r="A70" s="15" t="s">
        <v>79</v>
      </c>
      <c r="B70" s="16"/>
      <c r="C70" s="16"/>
      <c r="D70" s="16"/>
      <c r="E70" s="16"/>
      <c r="F70" s="23"/>
      <c r="G70" s="23">
        <v>1</v>
      </c>
      <c r="H70" s="16">
        <f t="shared" si="13"/>
        <v>14.25</v>
      </c>
      <c r="I70" s="16">
        <f t="shared" si="14"/>
        <v>70.25</v>
      </c>
      <c r="J70" s="22">
        <f t="shared" si="15"/>
        <v>84.5</v>
      </c>
    </row>
    <row r="71" spans="1:10" ht="15.95" customHeight="1">
      <c r="A71" s="15" t="s">
        <v>80</v>
      </c>
      <c r="B71" s="16">
        <v>1.25</v>
      </c>
      <c r="C71" s="16">
        <v>1.25</v>
      </c>
      <c r="D71" s="16"/>
      <c r="E71" s="16"/>
      <c r="F71" s="23"/>
      <c r="G71" s="23"/>
      <c r="H71" s="16">
        <f t="shared" ref="H71:H72" si="16">H70-F71-D71+B71</f>
        <v>15.5</v>
      </c>
      <c r="I71" s="16">
        <f t="shared" ref="I71:I72" si="17">I70-E71+C71</f>
        <v>71.5</v>
      </c>
      <c r="J71" s="22">
        <f t="shared" ref="J71:J72" si="18">H71+I71</f>
        <v>87</v>
      </c>
    </row>
    <row r="72" spans="1:10" ht="15.95" customHeight="1">
      <c r="A72" s="15" t="s">
        <v>81</v>
      </c>
      <c r="B72" s="16"/>
      <c r="C72" s="16"/>
      <c r="D72" s="16"/>
      <c r="E72" s="16"/>
      <c r="F72" s="23">
        <v>2</v>
      </c>
      <c r="G72" s="23"/>
      <c r="H72" s="16">
        <f t="shared" si="16"/>
        <v>13.5</v>
      </c>
      <c r="I72" s="16">
        <f t="shared" si="17"/>
        <v>71.5</v>
      </c>
      <c r="J72" s="22">
        <f t="shared" si="18"/>
        <v>85</v>
      </c>
    </row>
    <row r="73" spans="1:10" ht="15.95" customHeight="1">
      <c r="A73" s="24" t="s">
        <v>82</v>
      </c>
      <c r="B73" s="23">
        <v>2.5</v>
      </c>
      <c r="C73" s="23">
        <v>2.5</v>
      </c>
      <c r="D73" s="23"/>
      <c r="E73" s="23"/>
      <c r="F73" s="23"/>
      <c r="G73" s="23"/>
      <c r="H73" s="16">
        <f t="shared" ref="H73" si="19">H72-F73-D73+B73</f>
        <v>16</v>
      </c>
      <c r="I73" s="16">
        <f t="shared" ref="I73" si="20">I72-E73+C73</f>
        <v>74</v>
      </c>
      <c r="J73" s="22">
        <f t="shared" ref="J73" si="21">H73+I73</f>
        <v>90</v>
      </c>
    </row>
    <row r="74" spans="1:10" ht="55.5" customHeight="1">
      <c r="A74" s="25" t="s">
        <v>83</v>
      </c>
      <c r="B74" s="23">
        <v>13.042999999999999</v>
      </c>
      <c r="C74" s="23">
        <v>13.042999999999999</v>
      </c>
      <c r="D74" s="23"/>
      <c r="E74" s="23"/>
      <c r="F74" s="23"/>
      <c r="G74" s="23"/>
      <c r="H74" s="23">
        <f t="shared" ref="H74:H75" si="22">H73-F74-D74+B74</f>
        <v>29.042999999999999</v>
      </c>
      <c r="I74" s="23">
        <f t="shared" ref="I74:I75" si="23">I73-E74+C74</f>
        <v>87.043000000000006</v>
      </c>
      <c r="J74" s="30">
        <f t="shared" ref="J74:J75" si="24">H74+I74</f>
        <v>116.086</v>
      </c>
    </row>
    <row r="75" spans="1:10" ht="15.95" customHeight="1">
      <c r="A75" s="24" t="s">
        <v>84</v>
      </c>
      <c r="B75" s="23"/>
      <c r="C75" s="23"/>
      <c r="D75" s="23">
        <v>24</v>
      </c>
      <c r="E75" s="23"/>
      <c r="F75" s="23"/>
      <c r="G75" s="23"/>
      <c r="H75" s="23">
        <f t="shared" si="22"/>
        <v>5.0430000000000001</v>
      </c>
      <c r="I75" s="23">
        <f t="shared" si="23"/>
        <v>87.043000000000006</v>
      </c>
      <c r="J75" s="30">
        <f t="shared" si="24"/>
        <v>92.085999999999999</v>
      </c>
    </row>
    <row r="76" spans="1:10" ht="15.95" customHeight="1">
      <c r="A76" s="24" t="s">
        <v>85</v>
      </c>
      <c r="B76" s="23">
        <v>2.5</v>
      </c>
      <c r="C76" s="23">
        <v>2.5</v>
      </c>
      <c r="D76" s="23"/>
      <c r="E76" s="23"/>
      <c r="F76" s="23"/>
      <c r="G76" s="23"/>
      <c r="H76" s="23">
        <f t="shared" ref="H76:H77" si="25">H75-F76-D76+B76</f>
        <v>7.5430000000000001</v>
      </c>
      <c r="I76" s="23">
        <f t="shared" ref="I76:I77" si="26">I75-E76+C76</f>
        <v>89.543000000000006</v>
      </c>
      <c r="J76" s="30">
        <f t="shared" ref="J76:J77" si="27">H76+I76</f>
        <v>97.085999999999999</v>
      </c>
    </row>
    <row r="77" spans="1:10" ht="15.95" customHeight="1">
      <c r="A77" s="24" t="s">
        <v>86</v>
      </c>
      <c r="B77" s="23"/>
      <c r="C77" s="23"/>
      <c r="D77" s="23"/>
      <c r="E77" s="23"/>
      <c r="F77" s="23">
        <v>1</v>
      </c>
      <c r="G77" s="23"/>
      <c r="H77" s="23">
        <f t="shared" si="25"/>
        <v>6.5430000000000001</v>
      </c>
      <c r="I77" s="23">
        <f t="shared" si="26"/>
        <v>89.543000000000006</v>
      </c>
      <c r="J77" s="30">
        <f t="shared" si="27"/>
        <v>96.085999999999999</v>
      </c>
    </row>
    <row r="78" spans="1:10" ht="15.95" customHeight="1">
      <c r="A78" s="24" t="s">
        <v>87</v>
      </c>
      <c r="B78" s="23">
        <v>1.25</v>
      </c>
      <c r="C78" s="23">
        <v>1.25</v>
      </c>
      <c r="D78" s="23"/>
      <c r="E78" s="23"/>
      <c r="F78" s="23"/>
      <c r="G78" s="23"/>
      <c r="H78" s="23">
        <f t="shared" ref="H78:H79" si="28">H77-F78-D78+B78</f>
        <v>7.7930000000000001</v>
      </c>
      <c r="I78" s="23">
        <f t="shared" ref="I78:I79" si="29">I77-E78+C78</f>
        <v>90.793000000000006</v>
      </c>
      <c r="J78" s="30">
        <f t="shared" ref="J78:J79" si="30">H78+I78</f>
        <v>98.585999999999999</v>
      </c>
    </row>
    <row r="79" spans="1:10" ht="15.95" customHeight="1">
      <c r="A79" s="24" t="s">
        <v>88</v>
      </c>
      <c r="B79" s="23"/>
      <c r="C79" s="23"/>
      <c r="D79" s="23"/>
      <c r="E79" s="23"/>
      <c r="F79" s="23"/>
      <c r="G79" s="23">
        <v>1</v>
      </c>
      <c r="H79" s="23">
        <f t="shared" si="28"/>
        <v>7.7930000000000001</v>
      </c>
      <c r="I79" s="23">
        <f t="shared" si="29"/>
        <v>90.793000000000006</v>
      </c>
      <c r="J79" s="30">
        <f t="shared" si="30"/>
        <v>98.585999999999999</v>
      </c>
    </row>
    <row r="80" spans="1:10" ht="15.95" customHeight="1">
      <c r="A80" s="24" t="s">
        <v>89</v>
      </c>
      <c r="B80" s="23">
        <v>1.25</v>
      </c>
      <c r="C80" s="23">
        <v>1.25</v>
      </c>
      <c r="D80" s="23"/>
      <c r="E80" s="23"/>
      <c r="F80" s="23"/>
      <c r="G80" s="23"/>
      <c r="H80" s="23">
        <f t="shared" ref="H80:H81" si="31">H79-F80-D80+B80</f>
        <v>9.0429999999999993</v>
      </c>
      <c r="I80" s="23">
        <f t="shared" ref="I80:I81" si="32">I79-E80+C80</f>
        <v>92.043000000000006</v>
      </c>
      <c r="J80" s="30">
        <f t="shared" ref="J80:J81" si="33">H80+I80</f>
        <v>101.086</v>
      </c>
    </row>
    <row r="81" spans="1:10" ht="15.95" customHeight="1">
      <c r="A81" s="24" t="s">
        <v>90</v>
      </c>
      <c r="B81" s="23"/>
      <c r="C81" s="23"/>
      <c r="D81" s="23"/>
      <c r="E81" s="23"/>
      <c r="F81" s="23">
        <v>1</v>
      </c>
      <c r="G81" s="23"/>
      <c r="H81" s="23">
        <f t="shared" si="31"/>
        <v>8.0429999999999993</v>
      </c>
      <c r="I81" s="23">
        <f t="shared" si="32"/>
        <v>92.043000000000006</v>
      </c>
      <c r="J81" s="30">
        <f t="shared" si="33"/>
        <v>100.086</v>
      </c>
    </row>
    <row r="82" spans="1:10" ht="15.95" customHeight="1">
      <c r="A82" s="24" t="s">
        <v>91</v>
      </c>
      <c r="B82" s="23">
        <v>1.25</v>
      </c>
      <c r="C82" s="23">
        <v>1.25</v>
      </c>
      <c r="D82" s="23"/>
      <c r="E82" s="23"/>
      <c r="F82" s="23"/>
      <c r="G82" s="23"/>
      <c r="H82" s="23">
        <f t="shared" ref="H82:H84" si="34">H81-F82-D82+B82</f>
        <v>9.2929999999999993</v>
      </c>
      <c r="I82" s="23">
        <f t="shared" ref="I82:I84" si="35">I81-E82+C82</f>
        <v>93.293000000000006</v>
      </c>
      <c r="J82" s="30">
        <f t="shared" ref="J82:J84" si="36">H82+I82</f>
        <v>102.586</v>
      </c>
    </row>
    <row r="83" spans="1:10" ht="15.95" customHeight="1">
      <c r="A83" s="24" t="s">
        <v>92</v>
      </c>
      <c r="B83" s="23">
        <v>3.75</v>
      </c>
      <c r="C83" s="23">
        <v>3.75</v>
      </c>
      <c r="D83" s="23"/>
      <c r="E83" s="23"/>
      <c r="F83" s="23"/>
      <c r="G83" s="23"/>
      <c r="H83" s="23">
        <f t="shared" si="34"/>
        <v>13.042999999999999</v>
      </c>
      <c r="I83" s="23">
        <f t="shared" si="35"/>
        <v>97.043000000000006</v>
      </c>
      <c r="J83" s="30">
        <f t="shared" si="36"/>
        <v>110.086</v>
      </c>
    </row>
    <row r="84" spans="1:10" ht="15.95" customHeight="1">
      <c r="A84" s="24" t="s">
        <v>93</v>
      </c>
      <c r="B84" s="23"/>
      <c r="C84" s="23"/>
      <c r="D84" s="23"/>
      <c r="E84" s="23">
        <v>1</v>
      </c>
      <c r="F84" s="23"/>
      <c r="G84" s="23"/>
      <c r="H84" s="23">
        <f t="shared" si="34"/>
        <v>13.042999999999999</v>
      </c>
      <c r="I84" s="23">
        <f t="shared" si="35"/>
        <v>96.043000000000006</v>
      </c>
      <c r="J84" s="30">
        <f t="shared" si="36"/>
        <v>109.086</v>
      </c>
    </row>
    <row r="85" spans="1:10" ht="15.95" customHeight="1">
      <c r="A85" s="24" t="s">
        <v>94</v>
      </c>
      <c r="B85" s="23">
        <v>3.75</v>
      </c>
      <c r="C85" s="23">
        <v>3.75</v>
      </c>
      <c r="D85" s="23"/>
      <c r="E85" s="23"/>
      <c r="F85" s="23"/>
      <c r="G85" s="23"/>
      <c r="H85" s="23">
        <f t="shared" ref="H85" si="37">H84-F85-D85+B85</f>
        <v>16.792999999999999</v>
      </c>
      <c r="I85" s="23">
        <f t="shared" ref="I85" si="38">I84-E85+C85</f>
        <v>99.793000000000006</v>
      </c>
      <c r="J85" s="30">
        <f t="shared" ref="J85" si="39">H85+I85</f>
        <v>116.586</v>
      </c>
    </row>
    <row r="86" spans="1:10" ht="15.95" customHeight="1">
      <c r="A86" s="26"/>
      <c r="B86" s="27"/>
      <c r="C86" s="27"/>
      <c r="D86" s="27"/>
      <c r="E86" s="27"/>
      <c r="F86" s="27"/>
      <c r="G86" s="27"/>
      <c r="H86" s="27"/>
      <c r="I86" s="27"/>
      <c r="J86" s="31"/>
    </row>
    <row r="87" spans="1:10" ht="15.95" customHeight="1">
      <c r="A87" s="26"/>
      <c r="B87" s="27"/>
      <c r="C87" s="27"/>
      <c r="D87" s="27"/>
      <c r="E87" s="27"/>
      <c r="F87" s="27"/>
      <c r="G87" s="27"/>
      <c r="H87" s="27"/>
      <c r="I87" s="27"/>
      <c r="J87" s="31"/>
    </row>
    <row r="88" spans="1:10" ht="15.95" customHeight="1">
      <c r="A88" s="26"/>
      <c r="B88" s="27"/>
      <c r="C88" s="27"/>
      <c r="D88" s="27"/>
      <c r="E88" s="27"/>
      <c r="F88" s="27"/>
      <c r="G88" s="27"/>
      <c r="H88" s="28"/>
      <c r="I88" s="28"/>
      <c r="J88" s="32"/>
    </row>
    <row r="89" spans="1:10" s="1" customFormat="1">
      <c r="G89" s="1" t="s">
        <v>185</v>
      </c>
    </row>
    <row r="90" spans="1:10" s="1" customFormat="1">
      <c r="I90" s="1" t="s">
        <v>186</v>
      </c>
    </row>
    <row r="91" spans="1:10" s="1" customFormat="1">
      <c r="H91" s="29" t="s">
        <v>153</v>
      </c>
    </row>
    <row r="92" spans="1:10" s="1" customFormat="1">
      <c r="H92" s="1" t="s">
        <v>154</v>
      </c>
    </row>
    <row r="93" spans="1:10" s="1" customFormat="1">
      <c r="H93" s="1" t="s">
        <v>187</v>
      </c>
    </row>
  </sheetData>
  <mergeCells count="13">
    <mergeCell ref="A2:J2"/>
    <mergeCell ref="A3:J3"/>
    <mergeCell ref="A4:J4"/>
    <mergeCell ref="A5:J5"/>
    <mergeCell ref="B7:D7"/>
    <mergeCell ref="A13:J13"/>
    <mergeCell ref="A11:A12"/>
    <mergeCell ref="J11:J12"/>
    <mergeCell ref="B9:D9"/>
    <mergeCell ref="A10:J10"/>
    <mergeCell ref="B11:C11"/>
    <mergeCell ref="D11:F11"/>
    <mergeCell ref="H11:I11"/>
  </mergeCells>
  <printOptions horizontalCentered="1"/>
  <pageMargins left="0.118110236220472" right="0.118110236220472" top="0.31496062992126" bottom="0.118110236220472" header="0.31496062992126" footer="0.31496062992126"/>
  <pageSetup paperSize="14" scale="74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B413895B4A0849F78DD8D3912A614935_12</vt:lpwstr>
  </property>
  <property fmtid="{D5CDD505-2E9C-101B-9397-08002B2CF9AE}" pid="3" name="KSOProductBuildVer">
    <vt:lpwstr>1033-12.2.0.23196</vt:lpwstr>
  </property>
</Properties>
</file>