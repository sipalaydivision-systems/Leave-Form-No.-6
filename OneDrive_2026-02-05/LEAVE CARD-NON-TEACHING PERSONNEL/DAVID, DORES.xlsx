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BD8CE167-0218-4A4E-B419-5EAB5143496B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" sheetId="8" r:id="rId1"/>
  </sheets>
  <definedNames>
    <definedName name="_xlnm.Print_Area" localSheetId="0">'Leave Card'!$A$1:$J$71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8" l="1"/>
  <c r="H60" i="8" s="1"/>
  <c r="I59" i="8"/>
  <c r="I60" i="8" s="1"/>
  <c r="J59" i="8"/>
  <c r="B29" i="8"/>
  <c r="J60" i="8" l="1"/>
  <c r="B15" i="8"/>
  <c r="I14" i="8"/>
  <c r="I15" i="8" s="1"/>
  <c r="I16" i="8" s="1"/>
  <c r="I17" i="8" s="1"/>
  <c r="I18" i="8" s="1"/>
  <c r="I19" i="8" s="1"/>
  <c r="I20" i="8" s="1"/>
  <c r="I21" i="8" s="1"/>
  <c r="I22" i="8" s="1"/>
  <c r="I23" i="8" s="1"/>
  <c r="H14" i="8"/>
  <c r="H15" i="8" l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I24" i="8"/>
  <c r="J14" i="8"/>
  <c r="J23" i="8" l="1"/>
  <c r="H27" i="8"/>
  <c r="H28" i="8" s="1"/>
  <c r="H29" i="8" s="1"/>
  <c r="J24" i="8"/>
  <c r="I25" i="8"/>
  <c r="J15" i="8"/>
  <c r="H30" i="8" l="1"/>
  <c r="I26" i="8"/>
  <c r="J25" i="8"/>
  <c r="J16" i="8"/>
  <c r="H31" i="8" l="1"/>
  <c r="I27" i="8"/>
  <c r="J26" i="8"/>
  <c r="J17" i="8"/>
  <c r="H32" i="8" l="1"/>
  <c r="H33" i="8" s="1"/>
  <c r="H34" i="8" s="1"/>
  <c r="J27" i="8"/>
  <c r="I28" i="8"/>
  <c r="J18" i="8"/>
  <c r="H35" i="8" l="1"/>
  <c r="H36" i="8" s="1"/>
  <c r="H37" i="8" s="1"/>
  <c r="H38" i="8" s="1"/>
  <c r="H39" i="8" s="1"/>
  <c r="J28" i="8"/>
  <c r="I29" i="8"/>
  <c r="J19" i="8"/>
  <c r="H40" i="8" l="1"/>
  <c r="I30" i="8"/>
  <c r="J29" i="8"/>
  <c r="J20" i="8"/>
  <c r="H41" i="8" l="1"/>
  <c r="H42" i="8" s="1"/>
  <c r="I31" i="8"/>
  <c r="J30" i="8"/>
  <c r="J22" i="8"/>
  <c r="J21" i="8"/>
  <c r="H43" i="8" l="1"/>
  <c r="H44" i="8" s="1"/>
  <c r="H45" i="8" s="1"/>
  <c r="H46" i="8" s="1"/>
  <c r="I32" i="8"/>
  <c r="J31" i="8"/>
  <c r="H47" i="8" l="1"/>
  <c r="J32" i="8"/>
  <c r="I33" i="8"/>
  <c r="I34" i="8" s="1"/>
  <c r="H48" i="8" l="1"/>
  <c r="I35" i="8"/>
  <c r="J34" i="8"/>
  <c r="J33" i="8"/>
  <c r="H49" i="8" l="1"/>
  <c r="H50" i="8" s="1"/>
  <c r="J35" i="8"/>
  <c r="I36" i="8"/>
  <c r="H51" i="8" l="1"/>
  <c r="H52" i="8" s="1"/>
  <c r="H53" i="8" s="1"/>
  <c r="J36" i="8"/>
  <c r="I37" i="8"/>
  <c r="H54" i="8" l="1"/>
  <c r="H55" i="8" s="1"/>
  <c r="J37" i="8"/>
  <c r="I38" i="8"/>
  <c r="H56" i="8" l="1"/>
  <c r="H57" i="8" s="1"/>
  <c r="J38" i="8"/>
  <c r="I39" i="8"/>
  <c r="H58" i="8" l="1"/>
  <c r="I40" i="8"/>
  <c r="J39" i="8"/>
  <c r="I41" i="8" l="1"/>
  <c r="J40" i="8"/>
  <c r="J41" i="8" l="1"/>
  <c r="I42" i="8"/>
  <c r="I43" i="8" l="1"/>
  <c r="J42" i="8"/>
  <c r="J43" i="8" l="1"/>
  <c r="I44" i="8"/>
  <c r="J44" i="8" l="1"/>
  <c r="I45" i="8"/>
  <c r="J45" i="8" l="1"/>
  <c r="I46" i="8"/>
  <c r="I47" i="8" l="1"/>
  <c r="J46" i="8"/>
  <c r="I48" i="8" l="1"/>
  <c r="J47" i="8"/>
  <c r="I49" i="8" l="1"/>
  <c r="J48" i="8"/>
  <c r="J49" i="8" l="1"/>
  <c r="I50" i="8"/>
  <c r="I51" i="8" l="1"/>
  <c r="J50" i="8"/>
  <c r="J51" i="8" l="1"/>
  <c r="I52" i="8"/>
  <c r="J52" i="8" l="1"/>
  <c r="I53" i="8"/>
  <c r="I54" i="8" l="1"/>
  <c r="J53" i="8"/>
  <c r="J54" i="8" l="1"/>
  <c r="I55" i="8"/>
  <c r="I56" i="8" l="1"/>
  <c r="J55" i="8"/>
  <c r="J56" i="8" l="1"/>
  <c r="I57" i="8"/>
  <c r="I58" i="8" l="1"/>
  <c r="J58" i="8" s="1"/>
  <c r="J57" i="8"/>
</calcChain>
</file>

<file path=xl/sharedStrings.xml><?xml version="1.0" encoding="utf-8"?>
<sst xmlns="http://schemas.openxmlformats.org/spreadsheetml/2006/main" count="72" uniqueCount="68">
  <si>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</si>
  <si>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</si>
  <si>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</si>
  <si>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</si>
  <si>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</si>
  <si>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</si>
  <si>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</si>
  <si>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</si>
  <si>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</si>
  <si>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</si>
  <si>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</si>
  <si>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</si>
  <si>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</si>
  <si>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DATE OF APPOINTMENT: May 3, 2021</t>
  </si>
  <si>
    <t>ADD: 08/01/2022 - 09/30/2022</t>
  </si>
  <si>
    <t>LESS: 10/14 &amp; 17/ 2022</t>
  </si>
  <si>
    <t>LESS: 10/20/ 2022</t>
  </si>
  <si>
    <t>ADD: 10/01/2022 - 11/30/2022</t>
  </si>
  <si>
    <t>LESS: 12/14/ 2022</t>
  </si>
  <si>
    <t>LESS: 12/28 &amp; 29/ 2022</t>
  </si>
  <si>
    <t>Name: _____________________________</t>
  </si>
  <si>
    <t>DISTRICT: ___________________________</t>
  </si>
  <si>
    <t>EMP. NO  :</t>
  </si>
  <si>
    <t>SCHOOL/OFFICE:_____________________</t>
  </si>
  <si>
    <t>STATION   :</t>
  </si>
  <si>
    <t>SERVICE LEAVE CARD</t>
  </si>
  <si>
    <t>ADD: 12/01/2022 - 12/31/2022</t>
  </si>
  <si>
    <t>ADD: 01/01/2023 - 04/30/2023</t>
  </si>
  <si>
    <t>LESS: 05/26 &amp; 06/02/2023</t>
  </si>
  <si>
    <t>ADD: 05/01/2023 - 06/30/2023</t>
  </si>
  <si>
    <t>LESS: 07/10/23</t>
  </si>
  <si>
    <t>POSITION: ADAS II</t>
  </si>
  <si>
    <t>LESS: 09/06/2023</t>
  </si>
  <si>
    <t>ADD: 07/01/2023-9/30/2023</t>
  </si>
  <si>
    <t>LESS: 10/20/2023</t>
  </si>
  <si>
    <t>ADD: 10/01/2023-11/30/2023</t>
  </si>
  <si>
    <t>LESS: 12/27-29/2023</t>
  </si>
  <si>
    <t>ADD: 12/1-31/2023</t>
  </si>
  <si>
    <t>ADD: 01/1/2024-04/30/2024</t>
  </si>
  <si>
    <t>LESS: 05-9/2024</t>
  </si>
  <si>
    <t>ADD: MAY-JULY 31, 2024</t>
  </si>
  <si>
    <t>LESS: MONETIZATION 2024</t>
  </si>
  <si>
    <t>ADD: 01/1/2022-07/31/2022</t>
  </si>
  <si>
    <t>LESS: 08/30/2024</t>
  </si>
  <si>
    <t>ADD: 08/1/2024-09/30/2024</t>
  </si>
  <si>
    <t>LESS: 10/21/2024</t>
  </si>
  <si>
    <t>LESS: 10/14/2024</t>
  </si>
  <si>
    <t>ADD: 10/1/2024-11/30/2024</t>
  </si>
  <si>
    <t>LESS: 12/9-10/2024</t>
  </si>
  <si>
    <t>LESS: 12/19/2024</t>
  </si>
  <si>
    <t>LESS: 12/26-27/2024</t>
  </si>
  <si>
    <t>ADD: 12/1-31/2024</t>
  </si>
  <si>
    <t>LESS: MANDATORY FL 2024</t>
  </si>
  <si>
    <t>ADD: 01/1/2025-02/28/2025</t>
  </si>
  <si>
    <t>LESS: 03/18/2025 (PM) UNDERTIME</t>
  </si>
  <si>
    <t>ADD: 03/1-31/2025</t>
  </si>
  <si>
    <t>LESS: MONETIZATION 2025</t>
  </si>
  <si>
    <t>LESS: 04/28-30/2025</t>
  </si>
  <si>
    <t>ADD: 04/1/2025-06/30/2025</t>
  </si>
  <si>
    <t>LESS: 06/25/2025</t>
  </si>
  <si>
    <t>ADD: 07/1/2025-09/30/2025</t>
  </si>
  <si>
    <t>LESS: 10/20/2025</t>
  </si>
  <si>
    <t>ADD: 05/03/2021 - 05/31/2021</t>
  </si>
  <si>
    <t>ADD: 06/01/2021 - 12/31/2021</t>
  </si>
  <si>
    <t>ADD: 10/1-31/2025</t>
  </si>
  <si>
    <t>LESS: 11/17 &amp; 19/2025</t>
  </si>
  <si>
    <t>ADD: 11/1-30/2025</t>
  </si>
  <si>
    <t>LESS: 12/22/2025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</si>
</sst>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0" xfId="0" applyFill="1"/>
    <xf numFmtId="0" fontId="5" fillId="2" borderId="0" xfId="0" applyFont="1" applyFill="1"/>
    <xf numFmtId="0" fontId="4" fillId="2" borderId="0" xfId="0" applyFont="1" applyFill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</xdr:colOff>
      <xdr:row>0</xdr:row>
      <xdr:rowOff>31750</xdr:rowOff>
    </xdr:from>
    <xdr:to>
      <xdr:col>3</xdr:col>
      <xdr:colOff>727408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32980-A22F-4F37-8F7E-84FE47C479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2100" y="31750"/>
          <a:ext cx="676608" cy="6350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463551</xdr:colOff>
      <xdr:row>64</xdr:row>
      <xdr:rowOff>187325</xdr:rowOff>
    </xdr:from>
    <xdr:to>
      <xdr:col>9</xdr:col>
      <xdr:colOff>285751</xdr:colOff>
      <xdr:row>70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5864226" y="8464550"/>
          <a:ext cx="2908300" cy="1012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E30E14-3449-4763-BA01-9223E4FE07FC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DAVID, DORES</a:t>
          </a:r>
        </a:p>
      </xdr:txBody>
    </xdr:sp>
    <xdr:clientData/>
  </xdr:twoCellAnchor>
  <xdr:twoCellAnchor>
    <xdr:from>
      <xdr:col>3</xdr:col>
      <xdr:colOff>300892</xdr:colOff>
      <xdr:row>7</xdr:row>
      <xdr:rowOff>42741</xdr:rowOff>
    </xdr:from>
    <xdr:to>
      <xdr:col>5</xdr:col>
      <xdr:colOff>476249</xdr:colOff>
      <xdr:row>8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4F42F3-5BAD-437A-82BC-8FDEC915BFC9}"/>
            </a:ext>
          </a:extLst>
        </xdr:cNvPr>
        <xdr:cNvSpPr txBox="1"/>
      </xdr:nvSpPr>
      <xdr:spPr>
        <a:xfrm>
          <a:off x="4352192" y="1706441"/>
          <a:ext cx="1800957" cy="223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 - BINULIG EXT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5E6E-5FD9-4E30-B981-22326D257E22}">
  <sheetPr>
    <pageSetUpPr fitToPage="1"/>
  </sheetPr>
  <dimension ref="A1:J377"/>
  <sheetViews>
    <sheetView tabSelected="1" view="pageBreakPreview" topLeftCell="A43" zoomScaleNormal="114" zoomScaleSheetLayoutView="100" workbookViewId="0">
      <selection activeCell="A59" sqref="A59:XFD59"/>
    </sheetView>
  </sheetViews>
  <sheetFormatPr defaultRowHeight="15" x14ac:dyDescent="0.25"/>
  <cols>
    <col min="1" max="1" width="34.7109375" customWidth="1"/>
    <col min="2" max="2" width="11.5703125" style="8" customWidth="1"/>
    <col min="3" max="3" width="11.5703125" style="9" customWidth="1"/>
    <col min="4" max="4" width="11.5703125" style="8" customWidth="1"/>
    <col min="5" max="5" width="11.5703125" style="9" customWidth="1"/>
    <col min="6" max="6" width="11.5703125" style="12" customWidth="1"/>
    <col min="7" max="7" width="11.5703125" customWidth="1"/>
    <col min="8" max="8" width="11.5703125" style="8" customWidth="1"/>
    <col min="9" max="9" width="11.5703125" style="9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35" t="s">
        <v>9</v>
      </c>
      <c r="B2" s="35"/>
      <c r="C2" s="35"/>
      <c r="D2" s="35"/>
      <c r="E2" s="35"/>
      <c r="F2" s="35"/>
      <c r="G2" s="35"/>
      <c r="H2" s="35"/>
      <c r="I2" s="35"/>
    </row>
    <row r="3" spans="1:10" s="1" customFormat="1" ht="15.95" customHeight="1" x14ac:dyDescent="0.25">
      <c r="A3" s="35" t="s">
        <v>10</v>
      </c>
      <c r="B3" s="35"/>
      <c r="C3" s="35"/>
      <c r="D3" s="35"/>
      <c r="E3" s="35"/>
      <c r="F3" s="35"/>
      <c r="G3" s="35"/>
      <c r="H3" s="35"/>
      <c r="I3" s="35"/>
    </row>
    <row r="4" spans="1:10" s="1" customFormat="1" ht="15.95" customHeight="1" x14ac:dyDescent="0.25">
      <c r="A4" s="35" t="s">
        <v>11</v>
      </c>
      <c r="B4" s="35"/>
      <c r="C4" s="35"/>
      <c r="D4" s="35"/>
      <c r="E4" s="35"/>
      <c r="F4" s="35"/>
      <c r="G4" s="35"/>
      <c r="H4" s="35"/>
      <c r="I4" s="35"/>
    </row>
    <row r="5" spans="1:10" s="1" customFormat="1" ht="15.95" customHeight="1" x14ac:dyDescent="0.25">
      <c r="A5" s="35" t="s">
        <v>12</v>
      </c>
      <c r="B5" s="35"/>
      <c r="C5" s="35"/>
      <c r="D5" s="35"/>
      <c r="E5" s="35"/>
      <c r="F5" s="35"/>
      <c r="G5" s="35"/>
      <c r="H5" s="35"/>
      <c r="I5" s="35"/>
    </row>
    <row r="6" spans="1:10" s="1" customFormat="1" ht="8.25" customHeight="1" x14ac:dyDescent="0.25"/>
    <row r="7" spans="1:10" s="1" customFormat="1" ht="12" customHeight="1" x14ac:dyDescent="0.25">
      <c r="A7" s="1" t="s">
        <v>20</v>
      </c>
      <c r="C7" s="22" t="s">
        <v>21</v>
      </c>
      <c r="G7" s="3" t="s">
        <v>22</v>
      </c>
      <c r="H7" s="20"/>
      <c r="I7" s="3"/>
    </row>
    <row r="8" spans="1:10" s="1" customFormat="1" ht="12" customHeight="1" x14ac:dyDescent="0.25">
      <c r="B8" s="2"/>
      <c r="C8" s="2"/>
      <c r="G8" s="2"/>
      <c r="H8" s="2"/>
      <c r="I8" s="2"/>
    </row>
    <row r="9" spans="1:10" s="1" customFormat="1" ht="12" customHeight="1" x14ac:dyDescent="0.25">
      <c r="A9" s="1" t="s">
        <v>31</v>
      </c>
      <c r="C9" s="22" t="s">
        <v>23</v>
      </c>
      <c r="G9" s="3" t="s">
        <v>24</v>
      </c>
      <c r="H9" s="21"/>
      <c r="I9" s="3"/>
    </row>
    <row r="10" spans="1:10" ht="16.5" customHeight="1" thickBot="1" x14ac:dyDescent="0.3">
      <c r="A10" s="40" t="s">
        <v>25</v>
      </c>
      <c r="B10" s="40"/>
      <c r="C10" s="40"/>
      <c r="D10" s="40"/>
      <c r="E10" s="40"/>
      <c r="F10" s="40"/>
      <c r="G10" s="40"/>
      <c r="H10" s="40"/>
      <c r="I10" s="40"/>
    </row>
    <row r="11" spans="1:10" s="4" customFormat="1" ht="18.75" customHeight="1" x14ac:dyDescent="0.2">
      <c r="A11" s="34" t="s">
        <v>13</v>
      </c>
      <c r="B11" s="34"/>
      <c r="C11" s="34"/>
      <c r="D11" s="34"/>
      <c r="E11" s="34"/>
      <c r="F11" s="34"/>
      <c r="G11" s="34"/>
      <c r="H11" s="34"/>
      <c r="I11" s="34"/>
      <c r="J11" s="34"/>
    </row>
    <row r="12" spans="1:10" s="4" customFormat="1" ht="15.95" customHeight="1" x14ac:dyDescent="0.2">
      <c r="A12" s="36" t="s">
        <v>3</v>
      </c>
      <c r="B12" s="37" t="s">
        <v>4</v>
      </c>
      <c r="C12" s="37"/>
      <c r="D12" s="38" t="s">
        <v>5</v>
      </c>
      <c r="E12" s="38"/>
      <c r="F12" s="38"/>
      <c r="G12" s="38"/>
      <c r="H12" s="39" t="s">
        <v>6</v>
      </c>
      <c r="I12" s="39"/>
      <c r="J12" s="36" t="s">
        <v>7</v>
      </c>
    </row>
    <row r="13" spans="1:10" s="4" customFormat="1" ht="21" customHeight="1" x14ac:dyDescent="0.2">
      <c r="A13" s="36"/>
      <c r="B13" s="7" t="s">
        <v>0</v>
      </c>
      <c r="C13" s="10" t="s">
        <v>1</v>
      </c>
      <c r="D13" s="7" t="s">
        <v>0</v>
      </c>
      <c r="E13" s="10" t="s">
        <v>1</v>
      </c>
      <c r="F13" s="11" t="s">
        <v>2</v>
      </c>
      <c r="G13" s="5" t="s">
        <v>8</v>
      </c>
      <c r="H13" s="7" t="s">
        <v>0</v>
      </c>
      <c r="I13" s="10" t="s">
        <v>1</v>
      </c>
      <c r="J13" s="36"/>
    </row>
    <row r="14" spans="1:10" s="13" customFormat="1" ht="15.95" customHeight="1" x14ac:dyDescent="0.2">
      <c r="A14" s="6" t="s">
        <v>62</v>
      </c>
      <c r="B14" s="24">
        <v>1.208</v>
      </c>
      <c r="C14" s="24">
        <v>1.208</v>
      </c>
      <c r="D14" s="24"/>
      <c r="E14" s="24"/>
      <c r="F14" s="24"/>
      <c r="G14" s="25"/>
      <c r="H14" s="24">
        <f>B14</f>
        <v>1.208</v>
      </c>
      <c r="I14" s="24">
        <f>C14</f>
        <v>1.208</v>
      </c>
      <c r="J14" s="19">
        <f>H14+I14</f>
        <v>2.4159999999999999</v>
      </c>
    </row>
    <row r="15" spans="1:10" s="14" customFormat="1" ht="15.95" customHeight="1" x14ac:dyDescent="0.2">
      <c r="A15" s="6" t="s">
        <v>63</v>
      </c>
      <c r="B15" s="24">
        <f>1.25*7</f>
        <v>8.75</v>
      </c>
      <c r="C15" s="24">
        <v>8.75</v>
      </c>
      <c r="D15" s="24"/>
      <c r="E15" s="24"/>
      <c r="F15" s="24"/>
      <c r="G15" s="25"/>
      <c r="H15" s="24">
        <f>H14-F15-D15+B15</f>
        <v>9.9580000000000002</v>
      </c>
      <c r="I15" s="24">
        <f>I14-E15+C15</f>
        <v>9.9580000000000002</v>
      </c>
      <c r="J15" s="19">
        <f t="shared" ref="J15:J22" si="0">H15+I15</f>
        <v>19.916</v>
      </c>
    </row>
    <row r="16" spans="1:10" s="14" customFormat="1" ht="15.95" customHeight="1" x14ac:dyDescent="0.2">
      <c r="A16" s="6" t="s">
        <v>42</v>
      </c>
      <c r="B16" s="24">
        <v>8.75</v>
      </c>
      <c r="C16" s="24">
        <v>8.75</v>
      </c>
      <c r="D16" s="24"/>
      <c r="E16" s="24"/>
      <c r="F16" s="24"/>
      <c r="G16" s="25"/>
      <c r="H16" s="24">
        <f t="shared" ref="H16:H22" si="1">H15-F16-D16+B16</f>
        <v>18.707999999999998</v>
      </c>
      <c r="I16" s="24">
        <f t="shared" ref="I16:I22" si="2">I15-E16+C16</f>
        <v>18.707999999999998</v>
      </c>
      <c r="J16" s="19">
        <f t="shared" si="0"/>
        <v>37.415999999999997</v>
      </c>
    </row>
    <row r="17" spans="1:10" s="14" customFormat="1" ht="15.95" customHeight="1" x14ac:dyDescent="0.2">
      <c r="A17" s="6" t="s">
        <v>14</v>
      </c>
      <c r="B17" s="24">
        <v>2.5</v>
      </c>
      <c r="C17" s="24">
        <v>2.5</v>
      </c>
      <c r="D17" s="24"/>
      <c r="E17" s="24"/>
      <c r="F17" s="24"/>
      <c r="G17" s="25"/>
      <c r="H17" s="24">
        <f t="shared" si="1"/>
        <v>21.207999999999998</v>
      </c>
      <c r="I17" s="24">
        <f t="shared" si="2"/>
        <v>21.207999999999998</v>
      </c>
      <c r="J17" s="19">
        <f t="shared" si="0"/>
        <v>42.415999999999997</v>
      </c>
    </row>
    <row r="18" spans="1:10" s="14" customFormat="1" ht="15.95" customHeight="1" x14ac:dyDescent="0.2">
      <c r="A18" s="6" t="s">
        <v>15</v>
      </c>
      <c r="B18" s="24"/>
      <c r="C18" s="24"/>
      <c r="D18" s="24"/>
      <c r="E18" s="24"/>
      <c r="F18" s="24">
        <v>2</v>
      </c>
      <c r="G18" s="25"/>
      <c r="H18" s="24">
        <f t="shared" si="1"/>
        <v>19.207999999999998</v>
      </c>
      <c r="I18" s="24">
        <f t="shared" si="2"/>
        <v>21.207999999999998</v>
      </c>
      <c r="J18" s="19">
        <f t="shared" si="0"/>
        <v>40.415999999999997</v>
      </c>
    </row>
    <row r="19" spans="1:10" s="14" customFormat="1" ht="15.95" customHeight="1" x14ac:dyDescent="0.2">
      <c r="A19" s="6" t="s">
        <v>16</v>
      </c>
      <c r="B19" s="24"/>
      <c r="C19" s="24"/>
      <c r="D19" s="24"/>
      <c r="E19" s="24"/>
      <c r="F19" s="24"/>
      <c r="G19" s="25">
        <v>1</v>
      </c>
      <c r="H19" s="24">
        <f t="shared" si="1"/>
        <v>19.207999999999998</v>
      </c>
      <c r="I19" s="24">
        <f t="shared" si="2"/>
        <v>21.207999999999998</v>
      </c>
      <c r="J19" s="19">
        <f t="shared" si="0"/>
        <v>40.415999999999997</v>
      </c>
    </row>
    <row r="20" spans="1:10" s="14" customFormat="1" ht="15.95" customHeight="1" x14ac:dyDescent="0.2">
      <c r="A20" s="6" t="s">
        <v>17</v>
      </c>
      <c r="B20" s="24">
        <v>2.5</v>
      </c>
      <c r="C20" s="24">
        <v>2.5</v>
      </c>
      <c r="D20" s="24"/>
      <c r="E20" s="24"/>
      <c r="F20" s="24"/>
      <c r="G20" s="25"/>
      <c r="H20" s="24">
        <f t="shared" si="1"/>
        <v>21.707999999999998</v>
      </c>
      <c r="I20" s="24">
        <f t="shared" si="2"/>
        <v>23.707999999999998</v>
      </c>
      <c r="J20" s="19">
        <f t="shared" si="0"/>
        <v>45.415999999999997</v>
      </c>
    </row>
    <row r="21" spans="1:10" s="14" customFormat="1" ht="15.95" customHeight="1" x14ac:dyDescent="0.2">
      <c r="A21" s="6" t="s">
        <v>18</v>
      </c>
      <c r="B21" s="24"/>
      <c r="C21" s="24"/>
      <c r="D21" s="24"/>
      <c r="E21" s="24"/>
      <c r="F21" s="24">
        <v>1</v>
      </c>
      <c r="G21" s="25"/>
      <c r="H21" s="24">
        <f t="shared" si="1"/>
        <v>20.707999999999998</v>
      </c>
      <c r="I21" s="24">
        <f t="shared" si="2"/>
        <v>23.707999999999998</v>
      </c>
      <c r="J21" s="19">
        <f t="shared" si="0"/>
        <v>44.415999999999997</v>
      </c>
    </row>
    <row r="22" spans="1:10" s="14" customFormat="1" ht="15.95" customHeight="1" x14ac:dyDescent="0.2">
      <c r="A22" s="6" t="s">
        <v>19</v>
      </c>
      <c r="B22" s="24"/>
      <c r="C22" s="24"/>
      <c r="D22" s="24"/>
      <c r="E22" s="24"/>
      <c r="F22" s="24">
        <v>2</v>
      </c>
      <c r="G22" s="25"/>
      <c r="H22" s="24">
        <f t="shared" si="1"/>
        <v>18.707999999999998</v>
      </c>
      <c r="I22" s="24">
        <f t="shared" si="2"/>
        <v>23.707999999999998</v>
      </c>
      <c r="J22" s="19">
        <f t="shared" si="0"/>
        <v>42.415999999999997</v>
      </c>
    </row>
    <row r="23" spans="1:10" s="14" customFormat="1" ht="15.95" customHeight="1" x14ac:dyDescent="0.2">
      <c r="A23" s="6" t="s">
        <v>26</v>
      </c>
      <c r="B23" s="24">
        <v>1.25</v>
      </c>
      <c r="C23" s="24">
        <v>1.25</v>
      </c>
      <c r="D23" s="24"/>
      <c r="E23" s="24"/>
      <c r="F23" s="24"/>
      <c r="G23" s="25"/>
      <c r="H23" s="24">
        <f t="shared" ref="H23" si="3">H22-F23-D23+B23</f>
        <v>19.957999999999998</v>
      </c>
      <c r="I23" s="24">
        <f t="shared" ref="I23" si="4">I22-E23+C23</f>
        <v>24.957999999999998</v>
      </c>
      <c r="J23" s="19">
        <f t="shared" ref="J23" si="5">H23+I23</f>
        <v>44.915999999999997</v>
      </c>
    </row>
    <row r="24" spans="1:10" s="14" customFormat="1" ht="15.95" customHeight="1" x14ac:dyDescent="0.2">
      <c r="A24" s="6" t="s">
        <v>27</v>
      </c>
      <c r="B24" s="24">
        <v>5</v>
      </c>
      <c r="C24" s="24">
        <v>5</v>
      </c>
      <c r="D24" s="24"/>
      <c r="E24" s="24"/>
      <c r="F24" s="24"/>
      <c r="G24" s="25"/>
      <c r="H24" s="24">
        <f t="shared" ref="H24" si="6">H23-F24-D24+B24</f>
        <v>24.957999999999998</v>
      </c>
      <c r="I24" s="24">
        <f t="shared" ref="I24" si="7">I23-E24+C24</f>
        <v>29.957999999999998</v>
      </c>
      <c r="J24" s="19">
        <f t="shared" ref="J24" si="8">H24+I24</f>
        <v>54.915999999999997</v>
      </c>
    </row>
    <row r="25" spans="1:10" s="14" customFormat="1" ht="15.95" customHeight="1" x14ac:dyDescent="0.2">
      <c r="A25" s="6" t="s">
        <v>28</v>
      </c>
      <c r="B25" s="24"/>
      <c r="C25" s="24"/>
      <c r="D25" s="24"/>
      <c r="E25" s="24"/>
      <c r="F25" s="24">
        <v>2</v>
      </c>
      <c r="G25" s="25"/>
      <c r="H25" s="24">
        <f t="shared" ref="H25" si="9">H24-F25-D25+B25</f>
        <v>22.957999999999998</v>
      </c>
      <c r="I25" s="24">
        <f t="shared" ref="I25" si="10">I24-E25+C25</f>
        <v>29.957999999999998</v>
      </c>
      <c r="J25" s="19">
        <f t="shared" ref="J25" si="11">H25+I25</f>
        <v>52.915999999999997</v>
      </c>
    </row>
    <row r="26" spans="1:10" s="14" customFormat="1" ht="15.95" customHeight="1" x14ac:dyDescent="0.2">
      <c r="A26" s="6" t="s">
        <v>29</v>
      </c>
      <c r="B26" s="24">
        <v>2.5</v>
      </c>
      <c r="C26" s="24">
        <v>2.5</v>
      </c>
      <c r="D26" s="24"/>
      <c r="E26" s="24"/>
      <c r="F26" s="24"/>
      <c r="G26" s="25"/>
      <c r="H26" s="24">
        <f t="shared" ref="H26" si="12">H25-F26-D26+B26</f>
        <v>25.457999999999998</v>
      </c>
      <c r="I26" s="24">
        <f t="shared" ref="I26" si="13">I25-E26+C26</f>
        <v>32.457999999999998</v>
      </c>
      <c r="J26" s="19">
        <f t="shared" ref="J26" si="14">H26+I26</f>
        <v>57.915999999999997</v>
      </c>
    </row>
    <row r="27" spans="1:10" s="14" customFormat="1" ht="15.95" customHeight="1" x14ac:dyDescent="0.2">
      <c r="A27" s="6" t="s">
        <v>30</v>
      </c>
      <c r="B27" s="24"/>
      <c r="C27" s="24"/>
      <c r="D27" s="24"/>
      <c r="E27" s="24"/>
      <c r="F27" s="24"/>
      <c r="G27" s="25">
        <v>1</v>
      </c>
      <c r="H27" s="24">
        <f t="shared" ref="H27:H28" si="15">H26-F27-D27+B27</f>
        <v>25.457999999999998</v>
      </c>
      <c r="I27" s="24">
        <f t="shared" ref="I27:I28" si="16">I26-E27+C27</f>
        <v>32.457999999999998</v>
      </c>
      <c r="J27" s="19">
        <f t="shared" ref="J27:J28" si="17">H27+I27</f>
        <v>57.915999999999997</v>
      </c>
    </row>
    <row r="28" spans="1:10" s="14" customFormat="1" ht="15.95" customHeight="1" x14ac:dyDescent="0.2">
      <c r="A28" s="6" t="s">
        <v>32</v>
      </c>
      <c r="B28" s="24"/>
      <c r="C28" s="24"/>
      <c r="D28" s="24"/>
      <c r="E28" s="24"/>
      <c r="F28" s="24"/>
      <c r="G28" s="25">
        <v>1</v>
      </c>
      <c r="H28" s="24">
        <f t="shared" si="15"/>
        <v>25.457999999999998</v>
      </c>
      <c r="I28" s="24">
        <f t="shared" si="16"/>
        <v>32.457999999999998</v>
      </c>
      <c r="J28" s="19">
        <f t="shared" si="17"/>
        <v>57.915999999999997</v>
      </c>
    </row>
    <row r="29" spans="1:10" s="14" customFormat="1" ht="15.95" customHeight="1" x14ac:dyDescent="0.2">
      <c r="A29" s="23" t="s">
        <v>33</v>
      </c>
      <c r="B29" s="24">
        <f>1.25*3</f>
        <v>3.75</v>
      </c>
      <c r="C29" s="24">
        <v>3.75</v>
      </c>
      <c r="D29" s="24"/>
      <c r="E29" s="24"/>
      <c r="F29" s="24"/>
      <c r="G29" s="25"/>
      <c r="H29" s="24">
        <f t="shared" ref="H29:H30" si="18">H28-F29-D29+B29</f>
        <v>29.207999999999998</v>
      </c>
      <c r="I29" s="24">
        <f t="shared" ref="I29:I30" si="19">I28-E29+C29</f>
        <v>36.207999999999998</v>
      </c>
      <c r="J29" s="19">
        <f t="shared" ref="J29:J30" si="20">H29+I29</f>
        <v>65.415999999999997</v>
      </c>
    </row>
    <row r="30" spans="1:10" s="14" customFormat="1" ht="15.95" customHeight="1" x14ac:dyDescent="0.2">
      <c r="A30" s="23" t="s">
        <v>34</v>
      </c>
      <c r="B30" s="24"/>
      <c r="C30" s="24"/>
      <c r="D30" s="24"/>
      <c r="E30" s="24"/>
      <c r="F30" s="24"/>
      <c r="G30" s="25">
        <v>1</v>
      </c>
      <c r="H30" s="24">
        <f t="shared" si="18"/>
        <v>29.207999999999998</v>
      </c>
      <c r="I30" s="24">
        <f t="shared" si="19"/>
        <v>36.207999999999998</v>
      </c>
      <c r="J30" s="19">
        <f t="shared" si="20"/>
        <v>65.415999999999997</v>
      </c>
    </row>
    <row r="31" spans="1:10" s="14" customFormat="1" ht="15.95" customHeight="1" x14ac:dyDescent="0.2">
      <c r="A31" s="23" t="s">
        <v>35</v>
      </c>
      <c r="B31" s="24">
        <v>2.5</v>
      </c>
      <c r="C31" s="24">
        <v>2.5</v>
      </c>
      <c r="D31" s="24"/>
      <c r="E31" s="24"/>
      <c r="F31" s="24"/>
      <c r="G31" s="25"/>
      <c r="H31" s="24">
        <f>H30-F31-D31+B31</f>
        <v>31.707999999999998</v>
      </c>
      <c r="I31" s="24">
        <f t="shared" ref="I31:I32" si="21">I30-E31+C31</f>
        <v>38.707999999999998</v>
      </c>
      <c r="J31" s="19">
        <f t="shared" ref="J31:J32" si="22">H31+I31</f>
        <v>70.415999999999997</v>
      </c>
    </row>
    <row r="32" spans="1:10" s="14" customFormat="1" ht="15.95" customHeight="1" x14ac:dyDescent="0.2">
      <c r="A32" s="23" t="s">
        <v>36</v>
      </c>
      <c r="B32" s="24"/>
      <c r="C32" s="24"/>
      <c r="D32" s="24"/>
      <c r="E32" s="24"/>
      <c r="F32" s="24">
        <v>3</v>
      </c>
      <c r="G32" s="25"/>
      <c r="H32" s="24">
        <f>H31-F32-D32+B32</f>
        <v>28.707999999999998</v>
      </c>
      <c r="I32" s="24">
        <f t="shared" si="21"/>
        <v>38.707999999999998</v>
      </c>
      <c r="J32" s="19">
        <f t="shared" si="22"/>
        <v>67.415999999999997</v>
      </c>
    </row>
    <row r="33" spans="1:10" s="14" customFormat="1" ht="15.95" customHeight="1" x14ac:dyDescent="0.2">
      <c r="A33" s="23" t="s">
        <v>37</v>
      </c>
      <c r="B33" s="24">
        <v>1.25</v>
      </c>
      <c r="C33" s="24">
        <v>1.25</v>
      </c>
      <c r="D33" s="24"/>
      <c r="E33" s="24"/>
      <c r="F33" s="24"/>
      <c r="G33" s="25"/>
      <c r="H33" s="24">
        <f t="shared" ref="H33" si="23">H32-F33-D33+B33</f>
        <v>29.957999999999998</v>
      </c>
      <c r="I33" s="24">
        <f t="shared" ref="I33" si="24">I32-E33+C33</f>
        <v>39.957999999999998</v>
      </c>
      <c r="J33" s="19">
        <f t="shared" ref="J33" si="25">H33+I33</f>
        <v>69.915999999999997</v>
      </c>
    </row>
    <row r="34" spans="1:10" s="14" customFormat="1" ht="15.95" customHeight="1" x14ac:dyDescent="0.2">
      <c r="A34" s="23" t="s">
        <v>38</v>
      </c>
      <c r="B34" s="24">
        <v>5</v>
      </c>
      <c r="C34" s="24">
        <v>5</v>
      </c>
      <c r="D34" s="24"/>
      <c r="E34" s="24"/>
      <c r="F34" s="24"/>
      <c r="G34" s="25"/>
      <c r="H34" s="24">
        <f t="shared" ref="H34:H35" si="26">H33-F34-D34+B34</f>
        <v>34.957999999999998</v>
      </c>
      <c r="I34" s="24">
        <f t="shared" ref="I34:I35" si="27">I33-E34+C34</f>
        <v>44.957999999999998</v>
      </c>
      <c r="J34" s="19">
        <f t="shared" ref="J34:J35" si="28">H34+I34</f>
        <v>79.915999999999997</v>
      </c>
    </row>
    <row r="35" spans="1:10" s="14" customFormat="1" ht="15.95" customHeight="1" x14ac:dyDescent="0.2">
      <c r="A35" s="23" t="s">
        <v>39</v>
      </c>
      <c r="B35" s="24"/>
      <c r="C35" s="24"/>
      <c r="D35" s="24"/>
      <c r="E35" s="24"/>
      <c r="F35" s="24">
        <v>1</v>
      </c>
      <c r="G35" s="25"/>
      <c r="H35" s="24">
        <f t="shared" si="26"/>
        <v>33.957999999999998</v>
      </c>
      <c r="I35" s="24">
        <f t="shared" si="27"/>
        <v>44.957999999999998</v>
      </c>
      <c r="J35" s="19">
        <f t="shared" si="28"/>
        <v>78.915999999999997</v>
      </c>
    </row>
    <row r="36" spans="1:10" s="14" customFormat="1" ht="15.95" customHeight="1" x14ac:dyDescent="0.2">
      <c r="A36" s="23" t="s">
        <v>40</v>
      </c>
      <c r="B36" s="24">
        <v>3.75</v>
      </c>
      <c r="C36" s="24">
        <v>3.75</v>
      </c>
      <c r="D36" s="24"/>
      <c r="E36" s="24"/>
      <c r="F36" s="24"/>
      <c r="G36" s="25"/>
      <c r="H36" s="24">
        <f t="shared" ref="H36" si="29">H35-F36-D36+B36</f>
        <v>37.707999999999998</v>
      </c>
      <c r="I36" s="24">
        <f t="shared" ref="I36" si="30">I35-E36+C36</f>
        <v>48.707999999999998</v>
      </c>
      <c r="J36" s="19">
        <f t="shared" ref="J36" si="31">H36+I36</f>
        <v>86.415999999999997</v>
      </c>
    </row>
    <row r="37" spans="1:10" s="14" customFormat="1" ht="15.95" customHeight="1" x14ac:dyDescent="0.2">
      <c r="A37" s="26" t="s">
        <v>41</v>
      </c>
      <c r="B37" s="27"/>
      <c r="C37" s="26"/>
      <c r="D37" s="26">
        <v>20</v>
      </c>
      <c r="E37" s="26"/>
      <c r="F37" s="26"/>
      <c r="G37" s="29"/>
      <c r="H37" s="24">
        <f t="shared" ref="H37" si="32">H36-F37-D37+B37</f>
        <v>17.707999999999998</v>
      </c>
      <c r="I37" s="24">
        <f t="shared" ref="I37" si="33">I36-E37+C37</f>
        <v>48.707999999999998</v>
      </c>
      <c r="J37" s="25">
        <f t="shared" ref="J37" si="34">H37+I37</f>
        <v>66.415999999999997</v>
      </c>
    </row>
    <row r="38" spans="1:10" s="14" customFormat="1" ht="15.95" customHeight="1" x14ac:dyDescent="0.2">
      <c r="A38" s="26" t="s">
        <v>43</v>
      </c>
      <c r="B38" s="27"/>
      <c r="C38" s="26"/>
      <c r="D38" s="26"/>
      <c r="E38" s="26"/>
      <c r="F38" s="24">
        <v>1</v>
      </c>
      <c r="G38" s="29"/>
      <c r="H38" s="24">
        <f t="shared" ref="H38" si="35">H37-F38-D38+B38</f>
        <v>16.707999999999998</v>
      </c>
      <c r="I38" s="24">
        <f t="shared" ref="I38" si="36">I37-E38+C38</f>
        <v>48.707999999999998</v>
      </c>
      <c r="J38" s="25">
        <f t="shared" ref="J38" si="37">H38+I38</f>
        <v>65.415999999999997</v>
      </c>
    </row>
    <row r="39" spans="1:10" s="14" customFormat="1" ht="15.95" customHeight="1" x14ac:dyDescent="0.2">
      <c r="A39" s="26" t="s">
        <v>44</v>
      </c>
      <c r="B39" s="26">
        <v>2.5</v>
      </c>
      <c r="C39" s="26">
        <v>2.5</v>
      </c>
      <c r="D39" s="26"/>
      <c r="E39" s="26"/>
      <c r="F39" s="24"/>
      <c r="G39" s="29"/>
      <c r="H39" s="24">
        <f t="shared" ref="H39:H41" si="38">H38-F39-D39+B39</f>
        <v>19.207999999999998</v>
      </c>
      <c r="I39" s="24">
        <f t="shared" ref="I39:I41" si="39">I38-E39+C39</f>
        <v>51.207999999999998</v>
      </c>
      <c r="J39" s="25">
        <f t="shared" ref="J39:J41" si="40">H39+I39</f>
        <v>70.415999999999997</v>
      </c>
    </row>
    <row r="40" spans="1:10" s="14" customFormat="1" x14ac:dyDescent="0.2">
      <c r="A40" s="26" t="s">
        <v>46</v>
      </c>
      <c r="B40" s="26"/>
      <c r="C40" s="26"/>
      <c r="D40" s="26"/>
      <c r="E40" s="26">
        <v>1</v>
      </c>
      <c r="F40" s="24"/>
      <c r="G40" s="29"/>
      <c r="H40" s="24">
        <f t="shared" si="38"/>
        <v>19.207999999999998</v>
      </c>
      <c r="I40" s="24">
        <f t="shared" si="39"/>
        <v>50.207999999999998</v>
      </c>
      <c r="J40" s="25">
        <f t="shared" si="40"/>
        <v>69.415999999999997</v>
      </c>
    </row>
    <row r="41" spans="1:10" s="14" customFormat="1" ht="15.95" customHeight="1" x14ac:dyDescent="0.2">
      <c r="A41" s="26" t="s">
        <v>45</v>
      </c>
      <c r="B41" s="26"/>
      <c r="C41" s="26"/>
      <c r="D41" s="26"/>
      <c r="E41" s="26"/>
      <c r="F41" s="24"/>
      <c r="G41" s="29">
        <v>1</v>
      </c>
      <c r="H41" s="24">
        <f t="shared" si="38"/>
        <v>19.207999999999998</v>
      </c>
      <c r="I41" s="24">
        <f t="shared" si="39"/>
        <v>50.207999999999998</v>
      </c>
      <c r="J41" s="25">
        <f t="shared" si="40"/>
        <v>69.415999999999997</v>
      </c>
    </row>
    <row r="42" spans="1:10" s="14" customFormat="1" ht="15.95" customHeight="1" x14ac:dyDescent="0.2">
      <c r="A42" s="26" t="s">
        <v>47</v>
      </c>
      <c r="B42" s="26">
        <v>2.5</v>
      </c>
      <c r="C42" s="26">
        <v>2.5</v>
      </c>
      <c r="D42" s="26"/>
      <c r="E42" s="26"/>
      <c r="F42" s="24"/>
      <c r="G42" s="29"/>
      <c r="H42" s="24">
        <f t="shared" ref="H42:H43" si="41">H41-F42-D42+B42</f>
        <v>21.707999999999998</v>
      </c>
      <c r="I42" s="24">
        <f t="shared" ref="I42:I43" si="42">I41-E42+C42</f>
        <v>52.707999999999998</v>
      </c>
      <c r="J42" s="25">
        <f t="shared" ref="J42:J43" si="43">H42+I42</f>
        <v>74.415999999999997</v>
      </c>
    </row>
    <row r="43" spans="1:10" s="14" customFormat="1" ht="15.95" customHeight="1" x14ac:dyDescent="0.2">
      <c r="A43" s="26" t="s">
        <v>48</v>
      </c>
      <c r="B43" s="26"/>
      <c r="C43" s="26"/>
      <c r="D43" s="26"/>
      <c r="E43" s="26">
        <v>2</v>
      </c>
      <c r="F43" s="24"/>
      <c r="G43" s="29"/>
      <c r="H43" s="24">
        <f t="shared" si="41"/>
        <v>21.707999999999998</v>
      </c>
      <c r="I43" s="24">
        <f t="shared" si="42"/>
        <v>50.707999999999998</v>
      </c>
      <c r="J43" s="25">
        <f t="shared" si="43"/>
        <v>72.415999999999997</v>
      </c>
    </row>
    <row r="44" spans="1:10" s="14" customFormat="1" ht="15.95" customHeight="1" x14ac:dyDescent="0.2">
      <c r="A44" s="26" t="s">
        <v>49</v>
      </c>
      <c r="B44" s="26"/>
      <c r="C44" s="26"/>
      <c r="D44" s="26"/>
      <c r="E44" s="26">
        <v>1</v>
      </c>
      <c r="F44" s="24"/>
      <c r="G44" s="29"/>
      <c r="H44" s="24">
        <f t="shared" ref="H44:H45" si="44">H43-F44-D44+B44</f>
        <v>21.707999999999998</v>
      </c>
      <c r="I44" s="24">
        <f t="shared" ref="I44:I45" si="45">I43-E44+C44</f>
        <v>49.707999999999998</v>
      </c>
      <c r="J44" s="25">
        <f t="shared" ref="J44:J45" si="46">H44+I44</f>
        <v>71.415999999999997</v>
      </c>
    </row>
    <row r="45" spans="1:10" s="14" customFormat="1" ht="15.95" customHeight="1" x14ac:dyDescent="0.2">
      <c r="A45" s="26" t="s">
        <v>50</v>
      </c>
      <c r="B45" s="26"/>
      <c r="C45" s="26"/>
      <c r="D45" s="26"/>
      <c r="E45" s="26"/>
      <c r="F45" s="24">
        <v>2</v>
      </c>
      <c r="G45" s="29"/>
      <c r="H45" s="24">
        <f t="shared" si="44"/>
        <v>19.707999999999998</v>
      </c>
      <c r="I45" s="24">
        <f t="shared" si="45"/>
        <v>49.707999999999998</v>
      </c>
      <c r="J45" s="25">
        <f t="shared" si="46"/>
        <v>69.415999999999997</v>
      </c>
    </row>
    <row r="46" spans="1:10" s="28" customFormat="1" ht="15.95" customHeight="1" x14ac:dyDescent="0.2">
      <c r="A46" s="26" t="s">
        <v>51</v>
      </c>
      <c r="B46" s="26">
        <v>1.25</v>
      </c>
      <c r="C46" s="26">
        <v>1.25</v>
      </c>
      <c r="D46" s="26"/>
      <c r="E46" s="26"/>
      <c r="F46" s="24"/>
      <c r="G46" s="29"/>
      <c r="H46" s="24">
        <f t="shared" ref="H46:H49" si="47">H45-F46-D46+B46</f>
        <v>20.957999999999998</v>
      </c>
      <c r="I46" s="24">
        <f t="shared" ref="I46:I49" si="48">I45-E46+C46</f>
        <v>50.957999999999998</v>
      </c>
      <c r="J46" s="25">
        <f t="shared" ref="J46:J49" si="49">H46+I46</f>
        <v>71.915999999999997</v>
      </c>
    </row>
    <row r="47" spans="1:10" s="28" customFormat="1" ht="15.95" customHeight="1" x14ac:dyDescent="0.2">
      <c r="A47" s="26" t="s">
        <v>52</v>
      </c>
      <c r="B47" s="26"/>
      <c r="C47" s="26"/>
      <c r="D47" s="26"/>
      <c r="E47" s="26"/>
      <c r="F47" s="24">
        <v>1</v>
      </c>
      <c r="G47" s="29"/>
      <c r="H47" s="24">
        <f t="shared" si="47"/>
        <v>19.957999999999998</v>
      </c>
      <c r="I47" s="24">
        <f t="shared" si="48"/>
        <v>50.957999999999998</v>
      </c>
      <c r="J47" s="25">
        <f t="shared" si="49"/>
        <v>70.915999999999997</v>
      </c>
    </row>
    <row r="48" spans="1:10" s="28" customFormat="1" ht="15.95" customHeight="1" x14ac:dyDescent="0.2">
      <c r="A48" s="26" t="s">
        <v>53</v>
      </c>
      <c r="B48" s="26">
        <v>2.5</v>
      </c>
      <c r="C48" s="26">
        <v>2.5</v>
      </c>
      <c r="D48" s="26"/>
      <c r="E48" s="26"/>
      <c r="F48" s="24"/>
      <c r="G48" s="29"/>
      <c r="H48" s="24">
        <f t="shared" si="47"/>
        <v>22.457999999999998</v>
      </c>
      <c r="I48" s="24">
        <f t="shared" si="48"/>
        <v>53.457999999999998</v>
      </c>
      <c r="J48" s="25">
        <f t="shared" si="49"/>
        <v>75.915999999999997</v>
      </c>
    </row>
    <row r="49" spans="1:10" s="28" customFormat="1" ht="15.95" customHeight="1" x14ac:dyDescent="0.2">
      <c r="A49" s="26" t="s">
        <v>54</v>
      </c>
      <c r="B49" s="26"/>
      <c r="C49" s="26"/>
      <c r="D49" s="26">
        <v>0.5</v>
      </c>
      <c r="E49" s="26"/>
      <c r="F49" s="24"/>
      <c r="G49" s="29"/>
      <c r="H49" s="24">
        <f t="shared" si="47"/>
        <v>21.957999999999998</v>
      </c>
      <c r="I49" s="24">
        <f t="shared" si="48"/>
        <v>53.457999999999998</v>
      </c>
      <c r="J49" s="25">
        <f t="shared" si="49"/>
        <v>75.415999999999997</v>
      </c>
    </row>
    <row r="50" spans="1:10" s="28" customFormat="1" ht="15.95" customHeight="1" x14ac:dyDescent="0.2">
      <c r="A50" s="26" t="s">
        <v>55</v>
      </c>
      <c r="B50" s="26">
        <v>1.25</v>
      </c>
      <c r="C50" s="26">
        <v>1.25</v>
      </c>
      <c r="D50" s="26"/>
      <c r="E50" s="26"/>
      <c r="F50" s="24"/>
      <c r="G50" s="29"/>
      <c r="H50" s="24">
        <f t="shared" ref="H50" si="50">H49-F50-D50+B50</f>
        <v>23.207999999999998</v>
      </c>
      <c r="I50" s="24">
        <f t="shared" ref="I50" si="51">I49-E50+C50</f>
        <v>54.707999999999998</v>
      </c>
      <c r="J50" s="25">
        <f t="shared" ref="J50" si="52">H50+I50</f>
        <v>77.915999999999997</v>
      </c>
    </row>
    <row r="51" spans="1:10" s="28" customFormat="1" ht="15.95" customHeight="1" x14ac:dyDescent="0.2">
      <c r="A51" s="26" t="s">
        <v>56</v>
      </c>
      <c r="B51" s="26"/>
      <c r="C51" s="26"/>
      <c r="D51" s="26">
        <v>18</v>
      </c>
      <c r="E51" s="26"/>
      <c r="F51" s="24"/>
      <c r="G51" s="29"/>
      <c r="H51" s="24">
        <f t="shared" ref="H51" si="53">H50-F51-D51+B51</f>
        <v>5.2079999999999984</v>
      </c>
      <c r="I51" s="24">
        <f t="shared" ref="I51" si="54">I50-E51+C51</f>
        <v>54.707999999999998</v>
      </c>
      <c r="J51" s="25">
        <f t="shared" ref="J51" si="55">H51+I51</f>
        <v>59.915999999999997</v>
      </c>
    </row>
    <row r="52" spans="1:10" s="28" customFormat="1" ht="15.95" customHeight="1" x14ac:dyDescent="0.2">
      <c r="A52" s="26" t="s">
        <v>57</v>
      </c>
      <c r="B52" s="26"/>
      <c r="C52" s="26"/>
      <c r="D52" s="26"/>
      <c r="E52" s="26"/>
      <c r="F52" s="30">
        <v>3</v>
      </c>
      <c r="G52" s="29"/>
      <c r="H52" s="24">
        <f t="shared" ref="H52" si="56">H51-F52-D52+B52</f>
        <v>2.2079999999999984</v>
      </c>
      <c r="I52" s="24">
        <f t="shared" ref="I52" si="57">I51-E52+C52</f>
        <v>54.707999999999998</v>
      </c>
      <c r="J52" s="25">
        <f t="shared" ref="J52" si="58">H52+I52</f>
        <v>56.915999999999997</v>
      </c>
    </row>
    <row r="53" spans="1:10" s="28" customFormat="1" ht="15.95" customHeight="1" x14ac:dyDescent="0.2">
      <c r="A53" s="26" t="s">
        <v>58</v>
      </c>
      <c r="B53" s="26">
        <v>3.75</v>
      </c>
      <c r="C53" s="26">
        <v>3.75</v>
      </c>
      <c r="D53" s="26"/>
      <c r="E53" s="26"/>
      <c r="F53" s="24"/>
      <c r="G53" s="29"/>
      <c r="H53" s="24">
        <f t="shared" ref="H53:H54" si="59">H52-F53-D53+B53</f>
        <v>5.9579999999999984</v>
      </c>
      <c r="I53" s="24">
        <f t="shared" ref="I53:I54" si="60">I52-E53+C53</f>
        <v>58.457999999999998</v>
      </c>
      <c r="J53" s="25">
        <f t="shared" ref="J53:J54" si="61">H53+I53</f>
        <v>64.415999999999997</v>
      </c>
    </row>
    <row r="54" spans="1:10" s="14" customFormat="1" ht="15.95" customHeight="1" x14ac:dyDescent="0.2">
      <c r="A54" s="26" t="s">
        <v>59</v>
      </c>
      <c r="B54" s="26"/>
      <c r="C54" s="26"/>
      <c r="D54" s="26"/>
      <c r="E54" s="26">
        <v>1</v>
      </c>
      <c r="F54" s="24"/>
      <c r="G54" s="29"/>
      <c r="H54" s="24">
        <f t="shared" si="59"/>
        <v>5.9579999999999984</v>
      </c>
      <c r="I54" s="24">
        <f t="shared" si="60"/>
        <v>57.457999999999998</v>
      </c>
      <c r="J54" s="25">
        <f t="shared" si="61"/>
        <v>63.415999999999997</v>
      </c>
    </row>
    <row r="55" spans="1:10" s="14" customFormat="1" ht="15.95" customHeight="1" x14ac:dyDescent="0.2">
      <c r="A55" s="26" t="s">
        <v>60</v>
      </c>
      <c r="B55" s="26">
        <v>3.75</v>
      </c>
      <c r="C55" s="26">
        <v>3.75</v>
      </c>
      <c r="D55" s="26"/>
      <c r="E55" s="26"/>
      <c r="F55" s="24"/>
      <c r="G55" s="29"/>
      <c r="H55" s="24">
        <f t="shared" ref="H55:H56" si="62">H54-F55-D55+B55</f>
        <v>9.7079999999999984</v>
      </c>
      <c r="I55" s="24">
        <f t="shared" ref="I55:I56" si="63">I54-E55+C55</f>
        <v>61.207999999999998</v>
      </c>
      <c r="J55" s="25">
        <f t="shared" ref="J55:J56" si="64">H55+I55</f>
        <v>70.915999999999997</v>
      </c>
    </row>
    <row r="56" spans="1:10" s="14" customFormat="1" ht="15.95" customHeight="1" x14ac:dyDescent="0.2">
      <c r="A56" s="26" t="s">
        <v>61</v>
      </c>
      <c r="B56" s="26"/>
      <c r="C56" s="26"/>
      <c r="D56" s="26"/>
      <c r="E56" s="26"/>
      <c r="F56" s="24"/>
      <c r="G56" s="33">
        <v>1</v>
      </c>
      <c r="H56" s="24">
        <f t="shared" si="62"/>
        <v>9.7079999999999984</v>
      </c>
      <c r="I56" s="24">
        <f t="shared" si="63"/>
        <v>61.207999999999998</v>
      </c>
      <c r="J56" s="25">
        <f t="shared" si="64"/>
        <v>70.915999999999997</v>
      </c>
    </row>
    <row r="57" spans="1:10" s="28" customFormat="1" ht="15.95" customHeight="1" x14ac:dyDescent="0.2">
      <c r="A57" s="26" t="s">
        <v>64</v>
      </c>
      <c r="B57" s="26">
        <v>1.25</v>
      </c>
      <c r="C57" s="26">
        <v>1.25</v>
      </c>
      <c r="D57" s="26"/>
      <c r="E57" s="26"/>
      <c r="F57" s="24"/>
      <c r="G57" s="29"/>
      <c r="H57" s="24">
        <f t="shared" ref="H57:H58" si="65">H56-F57-D57+B57</f>
        <v>10.957999999999998</v>
      </c>
      <c r="I57" s="24">
        <f t="shared" ref="I57:I58" si="66">I56-E57+C57</f>
        <v>62.457999999999998</v>
      </c>
      <c r="J57" s="25">
        <f t="shared" ref="J57:J58" si="67">H57+I57</f>
        <v>73.415999999999997</v>
      </c>
    </row>
    <row r="58" spans="1:10" s="28" customFormat="1" ht="15.95" customHeight="1" x14ac:dyDescent="0.2">
      <c r="A58" s="26" t="s">
        <v>65</v>
      </c>
      <c r="B58" s="26"/>
      <c r="C58" s="26"/>
      <c r="D58" s="26"/>
      <c r="E58" s="26">
        <v>2</v>
      </c>
      <c r="F58" s="24"/>
      <c r="G58" s="29"/>
      <c r="H58" s="24">
        <f t="shared" si="65"/>
        <v>10.957999999999998</v>
      </c>
      <c r="I58" s="24">
        <f t="shared" si="66"/>
        <v>60.457999999999998</v>
      </c>
      <c r="J58" s="25">
        <f t="shared" si="67"/>
        <v>71.415999999999997</v>
      </c>
    </row>
    <row r="59" spans="1:10" s="28" customFormat="1" ht="15.95" customHeight="1" x14ac:dyDescent="0.2">
      <c r="A59" s="26" t="s">
        <v>66</v>
      </c>
      <c r="B59" s="26">
        <v>1.25</v>
      </c>
      <c r="C59" s="26">
        <v>1.25</v>
      </c>
      <c r="D59" s="26"/>
      <c r="E59" s="26"/>
      <c r="F59" s="24"/>
      <c r="G59" s="29"/>
      <c r="H59" s="24">
        <f t="shared" ref="H59:H60" si="68">H58-F59-D59+B59</f>
        <v>12.207999999999998</v>
      </c>
      <c r="I59" s="24">
        <f t="shared" ref="I59:I60" si="69">I58-E59+C59</f>
        <v>61.707999999999998</v>
      </c>
      <c r="J59" s="25">
        <f t="shared" ref="J59:J60" si="70">H59+I59</f>
        <v>73.915999999999997</v>
      </c>
    </row>
    <row r="60" spans="1:10" s="28" customFormat="1" ht="15.95" customHeight="1" x14ac:dyDescent="0.2">
      <c r="A60" s="26" t="s">
        <v>67</v>
      </c>
      <c r="B60" s="26"/>
      <c r="C60" s="26"/>
      <c r="D60" s="26"/>
      <c r="E60" s="26"/>
      <c r="F60" s="30">
        <v>1</v>
      </c>
      <c r="G60" s="29"/>
      <c r="H60" s="24">
        <f t="shared" si="68"/>
        <v>11.207999999999998</v>
      </c>
      <c r="I60" s="24">
        <f t="shared" si="69"/>
        <v>61.707999999999998</v>
      </c>
      <c r="J60" s="25">
        <f t="shared" si="70"/>
        <v>72.915999999999997</v>
      </c>
    </row>
    <row r="61" spans="1:10" s="28" customFormat="1" ht="15.95" customHeight="1" x14ac:dyDescent="0.2">
      <c r="A61" s="41"/>
      <c r="B61" s="41"/>
      <c r="C61" s="41"/>
      <c r="D61" s="41"/>
      <c r="E61" s="41"/>
      <c r="F61" s="42"/>
      <c r="G61" s="43"/>
      <c r="H61" s="42"/>
      <c r="I61" s="42"/>
      <c r="J61" s="44"/>
    </row>
    <row r="62" spans="1:10" s="14" customFormat="1" ht="15.95" customHeight="1" x14ac:dyDescent="0.2">
      <c r="A62" s="17"/>
      <c r="B62" s="17"/>
      <c r="C62" s="17"/>
      <c r="D62" s="17"/>
      <c r="E62" s="17"/>
      <c r="F62" s="31"/>
      <c r="G62" s="18"/>
      <c r="H62" s="31"/>
      <c r="I62" s="31"/>
      <c r="J62" s="32"/>
    </row>
    <row r="63" spans="1:10" s="14" customFormat="1" ht="15.95" customHeight="1" x14ac:dyDescent="0.2">
      <c r="A63" s="17"/>
      <c r="B63" s="17"/>
      <c r="C63" s="17"/>
      <c r="D63" s="17"/>
      <c r="E63" s="17"/>
      <c r="F63" s="31"/>
      <c r="G63" s="18"/>
      <c r="H63" s="31"/>
      <c r="I63" s="31"/>
      <c r="J63" s="32"/>
    </row>
    <row r="64" spans="1:10" s="14" customFormat="1" ht="15.95" customHeight="1" x14ac:dyDescent="0.2">
      <c r="A64" s="16"/>
      <c r="B64" s="16"/>
      <c r="C64" s="17"/>
      <c r="D64" s="16"/>
      <c r="E64" s="17"/>
      <c r="F64" s="17"/>
      <c r="G64" s="18"/>
      <c r="H64" s="16"/>
      <c r="I64" s="17"/>
      <c r="J64" s="15"/>
    </row>
    <row r="65" spans="1:10" s="14" customFormat="1" ht="15.95" customHeight="1" x14ac:dyDescent="0.2">
      <c r="A65" s="16"/>
      <c r="B65" s="16"/>
      <c r="C65" s="17"/>
      <c r="D65" s="16"/>
      <c r="E65" s="17"/>
      <c r="F65" s="17"/>
      <c r="G65" s="18"/>
      <c r="H65" s="16"/>
      <c r="I65" s="17"/>
      <c r="J65" s="15"/>
    </row>
    <row r="66" spans="1:10" s="14" customFormat="1" ht="15.95" customHeight="1" x14ac:dyDescent="0.2">
      <c r="A66" s="16"/>
      <c r="B66" s="16"/>
      <c r="C66" s="17"/>
      <c r="D66" s="16"/>
      <c r="E66" s="17"/>
      <c r="F66" s="17"/>
      <c r="G66" s="18"/>
      <c r="H66" s="16"/>
      <c r="I66" s="17"/>
      <c r="J66" s="15"/>
    </row>
    <row r="67" spans="1:10" s="35" customFormat="1" ht="15.95" customHeight="1" x14ac:dyDescent="0.25"/>
    <row r="68" spans="1:10" s="35" customFormat="1" ht="15.95" customHeight="1" x14ac:dyDescent="0.25"/>
    <row r="69" spans="1:10" s="35" customFormat="1" ht="15.95" customHeight="1" x14ac:dyDescent="0.25"/>
    <row r="70" spans="1:10" s="35" customFormat="1" ht="15.95" customHeight="1" x14ac:dyDescent="0.25"/>
    <row r="71" spans="1:10" s="1" customFormat="1" ht="15.95" customHeight="1" x14ac:dyDescent="0.25"/>
    <row r="72" spans="1:10" s="1" customFormat="1" ht="15.95" customHeight="1" x14ac:dyDescent="0.25"/>
    <row r="73" spans="1:10" s="1" customFormat="1" ht="15.95" customHeight="1" x14ac:dyDescent="0.25"/>
    <row r="74" spans="1:10" s="1" customFormat="1" ht="15.95" customHeight="1" x14ac:dyDescent="0.25"/>
    <row r="75" spans="1:10" s="1" customFormat="1" ht="15.95" customHeight="1" x14ac:dyDescent="0.25"/>
    <row r="76" spans="1:10" s="1" customFormat="1" ht="15.95" customHeight="1" x14ac:dyDescent="0.25"/>
    <row r="77" spans="1:10" s="1" customFormat="1" ht="15.95" customHeight="1" x14ac:dyDescent="0.25"/>
    <row r="78" spans="1:10" s="1" customFormat="1" ht="15.95" customHeight="1" x14ac:dyDescent="0.25"/>
    <row r="79" spans="1:10" s="1" customFormat="1" ht="15.95" customHeight="1" x14ac:dyDescent="0.25"/>
    <row r="80" spans="1:10" s="1" customFormat="1" ht="15.95" customHeight="1" x14ac:dyDescent="0.25"/>
    <row r="81" s="1" customFormat="1" ht="15.95" customHeight="1" x14ac:dyDescent="0.25"/>
    <row r="82" s="1" customFormat="1" ht="15.95" customHeight="1" x14ac:dyDescent="0.25"/>
    <row r="83" s="1" customFormat="1" ht="15.95" customHeight="1" x14ac:dyDescent="0.25"/>
    <row r="84" s="1" customFormat="1" ht="15.95" customHeight="1" x14ac:dyDescent="0.25"/>
    <row r="85" s="1" customFormat="1" ht="15.95" customHeight="1" x14ac:dyDescent="0.25"/>
    <row r="86" s="1" customFormat="1" ht="15.95" customHeight="1" x14ac:dyDescent="0.25"/>
    <row r="87" s="1" customFormat="1" ht="15.95" customHeight="1" x14ac:dyDescent="0.25"/>
    <row r="88" s="1" customFormat="1" ht="15.95" customHeight="1" x14ac:dyDescent="0.25"/>
    <row r="89" s="1" customFormat="1" ht="15.95" customHeight="1" x14ac:dyDescent="0.25"/>
    <row r="90" s="1" customFormat="1" ht="15.95" customHeight="1" x14ac:dyDescent="0.25"/>
    <row r="91" s="1" customFormat="1" ht="15.95" customHeight="1" x14ac:dyDescent="0.25"/>
    <row r="92" s="1" customFormat="1" ht="15.95" customHeight="1" x14ac:dyDescent="0.25"/>
    <row r="93" s="1" customFormat="1" ht="15.95" customHeight="1" x14ac:dyDescent="0.25"/>
    <row r="94" s="1" customFormat="1" ht="15.95" customHeight="1" x14ac:dyDescent="0.25"/>
    <row r="95" s="1" customFormat="1" ht="15.95" customHeight="1" x14ac:dyDescent="0.25"/>
    <row r="96" s="1" customFormat="1" ht="15.95" customHeight="1" x14ac:dyDescent="0.25"/>
    <row r="97" s="1" customFormat="1" ht="15.95" customHeight="1" x14ac:dyDescent="0.25"/>
    <row r="98" s="1" customFormat="1" ht="15.95" customHeight="1" x14ac:dyDescent="0.25"/>
    <row r="99" s="1" customFormat="1" ht="15.95" customHeight="1" x14ac:dyDescent="0.25"/>
    <row r="100" s="1" customFormat="1" ht="15.95" customHeight="1" x14ac:dyDescent="0.25"/>
    <row r="101" s="1" customFormat="1" ht="15.95" customHeight="1" x14ac:dyDescent="0.25"/>
    <row r="102" s="1" customFormat="1" ht="15.95" customHeight="1" x14ac:dyDescent="0.25"/>
    <row r="103" s="1" customFormat="1" ht="15.95" customHeight="1" x14ac:dyDescent="0.25"/>
    <row r="104" s="1" customFormat="1" ht="15.95" customHeight="1" x14ac:dyDescent="0.25"/>
    <row r="105" s="1" customFormat="1" ht="15.95" customHeigh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</sheetData>
  <mergeCells count="12">
    <mergeCell ref="A10:I10"/>
    <mergeCell ref="A2:I2"/>
    <mergeCell ref="A3:I3"/>
    <mergeCell ref="A4:I4"/>
    <mergeCell ref="A5:I5"/>
    <mergeCell ref="A11:J11"/>
    <mergeCell ref="A67:XFD70"/>
    <mergeCell ref="A12:A13"/>
    <mergeCell ref="B12:C12"/>
    <mergeCell ref="D12:G12"/>
    <mergeCell ref="H12:I12"/>
    <mergeCell ref="J12:J13"/>
  </mergeCells>
  <printOptions horizontalCentered="1"/>
  <pageMargins left="0.5" right="0.5" top="0.5" bottom="0.5" header="0.31496062992126" footer="0.31496062992126"/>
  <pageSetup paperSize="9"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2026-01-14T04:10:10Z</cp:lastPrinted>
  <dcterms:created xsi:type="dcterms:W3CDTF">2021-10-07T06:10:16Z</dcterms:created>
  <dcterms:modified xsi:type="dcterms:W3CDTF">2026-01-14T04:11:26Z</dcterms:modified>
</cp:coreProperties>
</file>