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C1486D42-E96D-44EE-A21F-1646B67B6D6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RRECTED" sheetId="8" r:id="rId1"/>
    <sheet name="Leave Card (NE)" sheetId="6" r:id="rId2"/>
    <sheet name="Other types of leave" sheetId="7" r:id="rId3"/>
  </sheets>
  <definedNames>
    <definedName name="_xlnm.Print_Area" localSheetId="0">CORRECTED!$A$1:$J$62</definedName>
    <definedName name="_xlnm.Print_Area" localSheetId="1">'Leave Card (NE)'!$A$1:$J$49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8" l="1"/>
  <c r="J54" i="8" s="1"/>
  <c r="I54" i="8"/>
  <c r="I55" i="8" s="1"/>
  <c r="B15" i="8"/>
  <c r="I14" i="8"/>
  <c r="I15" i="8" s="1"/>
  <c r="I16" i="8" s="1"/>
  <c r="I17" i="8" s="1"/>
  <c r="I18" i="8" s="1"/>
  <c r="I19" i="8" s="1"/>
  <c r="I20" i="8" s="1"/>
  <c r="I21" i="8" s="1"/>
  <c r="I22" i="8" s="1"/>
  <c r="I23" i="8" s="1"/>
  <c r="I24" i="8" s="1"/>
  <c r="I25" i="8" s="1"/>
  <c r="I26" i="8" s="1"/>
  <c r="I27" i="8" s="1"/>
  <c r="I28" i="8" s="1"/>
  <c r="I29" i="8" s="1"/>
  <c r="I30" i="8" s="1"/>
  <c r="I31" i="8" s="1"/>
  <c r="I32" i="8" s="1"/>
  <c r="I33" i="8" s="1"/>
  <c r="I34" i="8" s="1"/>
  <c r="I35" i="8" s="1"/>
  <c r="I36" i="8" s="1"/>
  <c r="I37" i="8" s="1"/>
  <c r="I38" i="8" s="1"/>
  <c r="I39" i="8" s="1"/>
  <c r="I40" i="8" s="1"/>
  <c r="I41" i="8" s="1"/>
  <c r="I42" i="8" s="1"/>
  <c r="I43" i="8" s="1"/>
  <c r="I44" i="8" s="1"/>
  <c r="I45" i="8" s="1"/>
  <c r="I46" i="8" s="1"/>
  <c r="I47" i="8" s="1"/>
  <c r="I48" i="8" s="1"/>
  <c r="I49" i="8" s="1"/>
  <c r="I50" i="8" s="1"/>
  <c r="I51" i="8" s="1"/>
  <c r="I52" i="8" s="1"/>
  <c r="I53" i="8" s="1"/>
  <c r="B14" i="8"/>
  <c r="H14" i="8" s="1"/>
  <c r="B15" i="6"/>
  <c r="B14" i="6"/>
  <c r="H55" i="8" l="1"/>
  <c r="J55" i="8" s="1"/>
  <c r="H15" i="8"/>
  <c r="H16" i="8" s="1"/>
  <c r="J16" i="8" s="1"/>
  <c r="J14" i="8"/>
  <c r="I14" i="6"/>
  <c r="I15" i="6" s="1"/>
  <c r="I16" i="6" s="1"/>
  <c r="I17" i="6" s="1"/>
  <c r="I18" i="6" s="1"/>
  <c r="I19" i="6" s="1"/>
  <c r="I20" i="6" s="1"/>
  <c r="I21" i="6" s="1"/>
  <c r="I22" i="6" s="1"/>
  <c r="I23" i="6" s="1"/>
  <c r="I24" i="6" s="1"/>
  <c r="I25" i="6" s="1"/>
  <c r="I26" i="6" s="1"/>
  <c r="I27" i="6" s="1"/>
  <c r="I28" i="6" s="1"/>
  <c r="I29" i="6" s="1"/>
  <c r="I30" i="6" s="1"/>
  <c r="I31" i="6" s="1"/>
  <c r="I32" i="6" s="1"/>
  <c r="I33" i="6" s="1"/>
  <c r="I34" i="6" s="1"/>
  <c r="I35" i="6" s="1"/>
  <c r="I36" i="6" s="1"/>
  <c r="I37" i="6" s="1"/>
  <c r="I38" i="6" s="1"/>
  <c r="I39" i="6" s="1"/>
  <c r="I40" i="6" s="1"/>
  <c r="I41" i="6" s="1"/>
  <c r="I42" i="6" s="1"/>
  <c r="I43" i="6" s="1"/>
  <c r="H14" i="6"/>
  <c r="H15" i="6" s="1"/>
  <c r="H16" i="6" s="1"/>
  <c r="H17" i="8" l="1"/>
  <c r="H18" i="8" s="1"/>
  <c r="J15" i="8"/>
  <c r="J16" i="6"/>
  <c r="H17" i="6"/>
  <c r="J14" i="6"/>
  <c r="J15" i="6"/>
  <c r="J17" i="8" l="1"/>
  <c r="J18" i="8"/>
  <c r="H19" i="8"/>
  <c r="H18" i="6"/>
  <c r="J17" i="6"/>
  <c r="H20" i="8" l="1"/>
  <c r="J19" i="8"/>
  <c r="J18" i="6"/>
  <c r="H19" i="6"/>
  <c r="J20" i="8" l="1"/>
  <c r="H21" i="8"/>
  <c r="H20" i="6"/>
  <c r="J19" i="6"/>
  <c r="H22" i="8" l="1"/>
  <c r="J21" i="8"/>
  <c r="J20" i="6"/>
  <c r="H21" i="6"/>
  <c r="J22" i="8" l="1"/>
  <c r="H23" i="8"/>
  <c r="H22" i="6"/>
  <c r="J21" i="6"/>
  <c r="H24" i="8" l="1"/>
  <c r="J23" i="8"/>
  <c r="H23" i="6"/>
  <c r="J22" i="6"/>
  <c r="J24" i="8" l="1"/>
  <c r="H25" i="8"/>
  <c r="J23" i="6"/>
  <c r="H24" i="6"/>
  <c r="H26" i="8" l="1"/>
  <c r="J25" i="8"/>
  <c r="H25" i="6"/>
  <c r="J24" i="6"/>
  <c r="J26" i="8" l="1"/>
  <c r="H27" i="8"/>
  <c r="H26" i="6"/>
  <c r="J25" i="6"/>
  <c r="H28" i="8" l="1"/>
  <c r="J27" i="8"/>
  <c r="J26" i="6"/>
  <c r="H27" i="6"/>
  <c r="J28" i="8" l="1"/>
  <c r="H29" i="8"/>
  <c r="H28" i="6"/>
  <c r="J27" i="6"/>
  <c r="H30" i="8" l="1"/>
  <c r="J29" i="8"/>
  <c r="J28" i="6"/>
  <c r="H29" i="6"/>
  <c r="J30" i="8" l="1"/>
  <c r="H31" i="8"/>
  <c r="H30" i="6"/>
  <c r="J29" i="6"/>
  <c r="H32" i="8" l="1"/>
  <c r="J31" i="8"/>
  <c r="J30" i="6"/>
  <c r="H31" i="6"/>
  <c r="J32" i="8" l="1"/>
  <c r="H33" i="8"/>
  <c r="H32" i="6"/>
  <c r="J31" i="6"/>
  <c r="H34" i="8" l="1"/>
  <c r="J33" i="8"/>
  <c r="J32" i="6"/>
  <c r="H33" i="6"/>
  <c r="J34" i="8" l="1"/>
  <c r="H35" i="8"/>
  <c r="J33" i="6"/>
  <c r="H34" i="6"/>
  <c r="H36" i="8" l="1"/>
  <c r="J35" i="8"/>
  <c r="J34" i="6"/>
  <c r="H35" i="6"/>
  <c r="J36" i="8" l="1"/>
  <c r="H37" i="8"/>
  <c r="J35" i="6"/>
  <c r="H36" i="6"/>
  <c r="H38" i="8" l="1"/>
  <c r="J37" i="8"/>
  <c r="J36" i="6"/>
  <c r="H37" i="6"/>
  <c r="J38" i="8" l="1"/>
  <c r="H39" i="8"/>
  <c r="H38" i="6"/>
  <c r="J37" i="6"/>
  <c r="H40" i="8" l="1"/>
  <c r="J39" i="8"/>
  <c r="J38" i="6"/>
  <c r="H39" i="6"/>
  <c r="J40" i="8" l="1"/>
  <c r="H41" i="8"/>
  <c r="H40" i="6"/>
  <c r="J39" i="6"/>
  <c r="H42" i="8" l="1"/>
  <c r="J41" i="8"/>
  <c r="H41" i="6"/>
  <c r="J40" i="6"/>
  <c r="J42" i="8" l="1"/>
  <c r="H43" i="8"/>
  <c r="J41" i="6"/>
  <c r="H42" i="6"/>
  <c r="H44" i="8" l="1"/>
  <c r="J43" i="8"/>
  <c r="J42" i="6"/>
  <c r="H43" i="6"/>
  <c r="J43" i="6" s="1"/>
  <c r="J44" i="8" l="1"/>
  <c r="H45" i="8"/>
  <c r="J45" i="8" l="1"/>
  <c r="H46" i="8"/>
  <c r="J46" i="8" l="1"/>
  <c r="H47" i="8"/>
  <c r="J47" i="8" l="1"/>
  <c r="H48" i="8"/>
  <c r="J48" i="8" l="1"/>
  <c r="H49" i="8"/>
  <c r="J49" i="8" l="1"/>
  <c r="H50" i="8"/>
  <c r="J50" i="8" l="1"/>
  <c r="H51" i="8"/>
  <c r="J51" i="8" l="1"/>
  <c r="H52" i="8"/>
  <c r="J52" i="8" l="1"/>
  <c r="H53" i="8"/>
  <c r="J53" i="8" s="1"/>
</calcChain>
</file>

<file path=xl/sharedStrings.xml><?xml version="1.0" encoding="utf-8"?>
<sst xmlns="http://schemas.openxmlformats.org/spreadsheetml/2006/main" count="150" uniqueCount="84">
  <si>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</si>
  <si>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</si>
  <si>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</si>
  <si>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</si>
  <si>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</si>
  <si>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</si>
  <si>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</si>
  <si>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</si>
  <si>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</si>
  <si>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STATION   :</t>
  </si>
  <si>
    <t>SPECIAL PRIVILEGE</t>
  </si>
  <si>
    <t>Republic of the Philippines</t>
  </si>
  <si>
    <t>Department of Education</t>
  </si>
  <si>
    <t>REGION VI-WESTERN VISAYAS</t>
  </si>
  <si>
    <t>SCHOOLS DIVISION OF SIPALAY CITY</t>
  </si>
  <si>
    <t>DATE OF ORIGINAL APPOINTMENT: APRIL 19, 2020</t>
  </si>
  <si>
    <t>ADD: 5/01/2021 - 12/31/2021</t>
  </si>
  <si>
    <t>ADD: 01/01/22 - 08/31/22</t>
  </si>
  <si>
    <t>LESS: MONETIZATION 2022</t>
  </si>
  <si>
    <t>ADD: 09/01/22 - 12/31/22</t>
  </si>
  <si>
    <t>LESS: 01/19 &amp; 20/2023</t>
  </si>
  <si>
    <t>Name: _____________________________</t>
  </si>
  <si>
    <t>DISTRICT: ___________________________</t>
  </si>
  <si>
    <t>POSITION: __________________________</t>
  </si>
  <si>
    <t>SCHOOL/OFFICE:_____________________</t>
  </si>
  <si>
    <t>EMP. NO  : 6445296</t>
  </si>
  <si>
    <t>ADD: 01/01/2023 - 03/31/2023</t>
  </si>
  <si>
    <t>LESS: 04/13 &amp; 14/2023</t>
  </si>
  <si>
    <t>LESS: 04/26/2023</t>
  </si>
  <si>
    <t>ADD: 04/01/2023 - 04/30/2023</t>
  </si>
  <si>
    <t>LESS: 04/27 &amp; 28/ 2023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</si>
  <si>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</si>
  <si>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</si>
  <si>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</si>
  <si>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</si>
  <si>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</si>
  <si>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</si>
  <si>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</si>
  <si>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</si>
  <si>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</si>
  <si>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</si>
  <si>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</si>
  <si>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</si>
  <si>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</si>
  <si>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</si>
  <si>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</si>
  <si>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</si>
  <si>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</si>
  <si>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</si>
  <si>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LESS: 05/08,09 &amp; 10/2023</t>
  </si>
  <si>
    <t>LESS: 05/23, 24, 25 &amp; 26/2023</t>
  </si>
  <si>
    <t>ADD: 05/01/2023 - 05/31/2023</t>
  </si>
  <si>
    <t>ADD: 06/01/2023 - 08/31/2023</t>
  </si>
  <si>
    <t>LESS: MONETIZATION 2023</t>
  </si>
  <si>
    <t>LESS: 09/12/2023</t>
  </si>
  <si>
    <t>ADD: 09/01/2023-10/31/2023</t>
  </si>
  <si>
    <t>LESS: 11/20/2023</t>
  </si>
  <si>
    <t>ADD: 11/01/2023-11/30/2023</t>
  </si>
  <si>
    <t>LESS: 12/6-7/2023</t>
  </si>
  <si>
    <t>LESS: 03/25/2024</t>
  </si>
  <si>
    <t>ADD: MARCH-JULY 31, 2024</t>
  </si>
  <si>
    <t>LESS: 07/31/2024</t>
  </si>
  <si>
    <t>ADD: 4/19/2021 - 4/30/2021</t>
  </si>
  <si>
    <t>LESS: MANDATORY FL 2022</t>
  </si>
  <si>
    <t>ADD: 12/1-31/2023</t>
  </si>
  <si>
    <t>ADD: 08/1/2024-09/30/2024</t>
  </si>
  <si>
    <t>LESS: 10/14/2024</t>
  </si>
  <si>
    <t>LESS: 10/21/2024</t>
  </si>
  <si>
    <t>ADD: 01/01/2024-02/29/2024</t>
  </si>
  <si>
    <t>ADD: 10/1-31/2024</t>
  </si>
  <si>
    <t>LESS: 11/22/2024</t>
  </si>
  <si>
    <t>LESS: MANDATORY FL 2021</t>
  </si>
  <si>
    <t>ADD: 11/1/2024-12/31/2024</t>
  </si>
  <si>
    <t>ADD: 1/1-31/2025</t>
  </si>
  <si>
    <t>LESS: 02/11/2025</t>
  </si>
  <si>
    <t>ADD: 02/1-28/2025</t>
  </si>
  <si>
    <t>LESS: 03/3-4/2025</t>
  </si>
  <si>
    <t>DATE OF ORIGINAL APPOINTMENT: APRIL 19, 2021</t>
  </si>
  <si>
    <t>ADD: 03/1/2025-06/30/2025</t>
  </si>
  <si>
    <t>LESS: MONETIZATION 2025</t>
  </si>
  <si>
    <t>LESS: 06/23-24/2025</t>
  </si>
  <si>
    <t xml:space="preserve">LESS: FL 2024 </t>
  </si>
  <si>
    <t>ADD: 07/1-31/2025</t>
  </si>
  <si>
    <t>LESS: 08/11-12/2025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</si>
</sst>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1" fillId="2" borderId="2" xfId="0" applyFont="1" applyFill="1" applyBorder="1" applyAlignment="1">
      <alignment vertical="center"/>
    </xf>
    <xf numFmtId="0" fontId="6" fillId="0" borderId="0" xfId="0" applyFont="1"/>
    <xf numFmtId="0" fontId="7" fillId="0" borderId="0" xfId="0" applyFont="1"/>
    <xf numFmtId="0" fontId="0" fillId="2" borderId="1" xfId="0" applyFill="1" applyBorder="1" applyAlignment="1">
      <alignment horizontal="center" vertical="center" wrapText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1" xfId="0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8" fillId="2" borderId="0" xfId="0" applyFont="1" applyFill="1" applyAlignment="1">
      <alignment horizontal="center" wrapText="1"/>
    </xf>
    <xf numFmtId="0" fontId="8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8" fillId="2" borderId="0" xfId="0" applyFont="1" applyFill="1" applyAlignment="1">
      <alignment vertical="center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0" fontId="10" fillId="7" borderId="4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/>
    </xf>
    <xf numFmtId="0" fontId="12" fillId="0" borderId="0" xfId="0" applyFont="1"/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13" fillId="0" borderId="0" xfId="0" applyFont="1"/>
    <xf numFmtId="0" fontId="0" fillId="9" borderId="7" xfId="0" applyFill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/>
    </xf>
    <xf numFmtId="164" fontId="14" fillId="0" borderId="1" xfId="0" applyNumberFormat="1" applyFont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/>
    </xf>
    <xf numFmtId="0" fontId="9" fillId="2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 wrapText="1"/>
    </xf>
    <xf numFmtId="164" fontId="14" fillId="0" borderId="0" xfId="0" applyNumberFormat="1" applyFont="1" applyBorder="1" applyAlignment="1">
      <alignment horizontal="center" vertical="center"/>
    </xf>
    <xf numFmtId="164" fontId="14" fillId="0" borderId="0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733425</xdr:colOff>
      <xdr:row>56</xdr:row>
      <xdr:rowOff>200025</xdr:rowOff>
    </xdr:from>
    <xdr:to>
      <xdr:col>9</xdr:col>
      <xdr:colOff>752475</xdr:colOff>
      <xdr:row>61</xdr:row>
      <xdr:rowOff>161925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EC6DC09-2F3E-46B2-94DA-9BA4193445F9}"/>
            </a:ext>
          </a:extLst>
        </xdr:cNvPr>
        <xdr:cNvSpPr txBox="1"/>
      </xdr:nvSpPr>
      <xdr:spPr>
        <a:xfrm>
          <a:off x="6010275" y="9305925"/>
          <a:ext cx="310515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 editAs="oneCell">
    <xdr:from>
      <xdr:col>3</xdr:col>
      <xdr:colOff>381000</xdr:colOff>
      <xdr:row>0</xdr:row>
      <xdr:rowOff>31749</xdr:rowOff>
    </xdr:from>
    <xdr:to>
      <xdr:col>4</xdr:col>
      <xdr:colOff>318233</xdr:colOff>
      <xdr:row>1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394D613-11C1-4723-8387-9788694381D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14800" y="31749"/>
          <a:ext cx="708758" cy="64135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F5CFD23-695A-4E8E-9CB3-1F013DD42E81}"/>
            </a:ext>
          </a:extLst>
        </xdr:cNvPr>
        <xdr:cNvSpPr txBox="1"/>
      </xdr:nvSpPr>
      <xdr:spPr>
        <a:xfrm>
          <a:off x="573942" y="1371111"/>
          <a:ext cx="1618274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TABOTABO, MARK A.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6DEDA87-39F9-4BB0-B33A-7C71AF76931B}"/>
            </a:ext>
          </a:extLst>
        </xdr:cNvPr>
        <xdr:cNvSpPr txBox="1"/>
      </xdr:nvSpPr>
      <xdr:spPr>
        <a:xfrm>
          <a:off x="616683" y="1718407"/>
          <a:ext cx="157064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EA3F9125-AA6A-4BFB-A40B-D6BEA49EBD63}"/>
            </a:ext>
          </a:extLst>
        </xdr:cNvPr>
        <xdr:cNvSpPr txBox="1"/>
      </xdr:nvSpPr>
      <xdr:spPr>
        <a:xfrm>
          <a:off x="337746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GMNHS-CR.TANDUAY EXT.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733425</xdr:colOff>
      <xdr:row>43</xdr:row>
      <xdr:rowOff>200025</xdr:rowOff>
    </xdr:from>
    <xdr:to>
      <xdr:col>9</xdr:col>
      <xdr:colOff>752475</xdr:colOff>
      <xdr:row>48</xdr:row>
      <xdr:rowOff>161925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34C7E5-6C84-4F93-BEF2-1DDD7DEFBB10}"/>
            </a:ext>
          </a:extLst>
        </xdr:cNvPr>
        <xdr:cNvSpPr txBox="1"/>
      </xdr:nvSpPr>
      <xdr:spPr>
        <a:xfrm>
          <a:off x="6010275" y="8162925"/>
          <a:ext cx="3105150" cy="9906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 editAs="oneCell">
    <xdr:from>
      <xdr:col>3</xdr:col>
      <xdr:colOff>285750</xdr:colOff>
      <xdr:row>0</xdr:row>
      <xdr:rowOff>31749</xdr:rowOff>
    </xdr:from>
    <xdr:to>
      <xdr:col>4</xdr:col>
      <xdr:colOff>318233</xdr:colOff>
      <xdr:row>1</xdr:row>
      <xdr:rowOff>6350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033A158-CC2C-4D60-A633-DB7036310748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0" y="31749"/>
          <a:ext cx="845283" cy="64135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A15A03F-2090-4C3E-A8F8-2DC87D5643A3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TABOTABO, MARK A.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4BB79A2-85F1-49D0-8C84-6175EECB102F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F2BB5A9-8F72-41E8-8AE8-1089B0E1EF7A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GMNHS-CR.TANDUAY EXT.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265662</xdr:colOff>
      <xdr:row>0</xdr:row>
      <xdr:rowOff>28769</xdr:rowOff>
    </xdr:from>
    <xdr:to>
      <xdr:col>5</xdr:col>
      <xdr:colOff>293071</xdr:colOff>
      <xdr:row>0</xdr:row>
      <xdr:rowOff>654439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BDCFB9-3922-49DB-80C6-88C0D91719E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83612" y="28769"/>
          <a:ext cx="700509" cy="62567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16</xdr:row>
      <xdr:rowOff>209550</xdr:rowOff>
    </xdr:from>
    <xdr:to>
      <xdr:col>2</xdr:col>
      <xdr:colOff>533400</xdr:colOff>
      <xdr:row>18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52DE595-0AD1-4889-90EE-57A2F46F5DAE}"/>
            </a:ext>
          </a:extLst>
        </xdr:cNvPr>
        <xdr:cNvSpPr txBox="1"/>
      </xdr:nvSpPr>
      <xdr:spPr>
        <a:xfrm>
          <a:off x="76200" y="4756150"/>
          <a:ext cx="3028950" cy="10572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777551</xdr:colOff>
      <xdr:row>5</xdr:row>
      <xdr:rowOff>77755</xdr:rowOff>
    </xdr:from>
    <xdr:to>
      <xdr:col>1</xdr:col>
      <xdr:colOff>414694</xdr:colOff>
      <xdr:row>7</xdr:row>
      <xdr:rowOff>116633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F97A6739-0EE8-4D14-9F3B-B1E10BB93A99}"/>
            </a:ext>
          </a:extLst>
        </xdr:cNvPr>
        <xdr:cNvSpPr txBox="1"/>
      </xdr:nvSpPr>
      <xdr:spPr>
        <a:xfrm>
          <a:off x="777551" y="1487455"/>
          <a:ext cx="1535793" cy="2420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TABOTABO, MARK A.</a:t>
          </a:r>
          <a:endParaRPr lang="en-US">
            <a:effectLst/>
          </a:endParaRPr>
        </a:p>
      </xdr:txBody>
    </xdr:sp>
    <xdr:clientData/>
  </xdr:twoCellAnchor>
  <xdr:twoCellAnchor>
    <xdr:from>
      <xdr:col>0</xdr:col>
      <xdr:colOff>751632</xdr:colOff>
      <xdr:row>8</xdr:row>
      <xdr:rowOff>38877</xdr:rowOff>
    </xdr:from>
    <xdr:to>
      <xdr:col>1</xdr:col>
      <xdr:colOff>213827</xdr:colOff>
      <xdr:row>9</xdr:row>
      <xdr:rowOff>116632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8BA1E4D-29D6-4E25-A338-4E2F7DE09ED7}"/>
            </a:ext>
          </a:extLst>
        </xdr:cNvPr>
        <xdr:cNvSpPr txBox="1"/>
      </xdr:nvSpPr>
      <xdr:spPr>
        <a:xfrm>
          <a:off x="751632" y="1804177"/>
          <a:ext cx="1360845" cy="2301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ADAS II</a:t>
          </a:r>
        </a:p>
      </xdr:txBody>
    </xdr:sp>
    <xdr:clientData/>
  </xdr:twoCellAnchor>
  <xdr:twoCellAnchor>
    <xdr:from>
      <xdr:col>3</xdr:col>
      <xdr:colOff>498928</xdr:colOff>
      <xdr:row>7</xdr:row>
      <xdr:rowOff>97194</xdr:rowOff>
    </xdr:from>
    <xdr:to>
      <xdr:col>6</xdr:col>
      <xdr:colOff>9843</xdr:colOff>
      <xdr:row>9</xdr:row>
      <xdr:rowOff>36510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DA14A103-F19A-43B6-B0BD-C48F5AB014AA}"/>
            </a:ext>
          </a:extLst>
        </xdr:cNvPr>
        <xdr:cNvSpPr txBox="1"/>
      </xdr:nvSpPr>
      <xdr:spPr>
        <a:xfrm>
          <a:off x="3743778" y="1710094"/>
          <a:ext cx="1530215" cy="24411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CRO</a:t>
          </a:r>
          <a:r>
            <a:rPr lang="en-US" sz="1100" baseline="0"/>
            <a:t> TANDUAY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9CC11-75AC-4532-98EB-1D7EAFB0CC33}">
  <sheetPr>
    <pageSetUpPr fitToPage="1"/>
  </sheetPr>
  <dimension ref="A1:J132"/>
  <sheetViews>
    <sheetView tabSelected="1" view="pageBreakPreview" topLeftCell="A40" zoomScaleNormal="100" zoomScaleSheetLayoutView="100" workbookViewId="0">
      <selection activeCell="A54" sqref="A54:XFD54"/>
    </sheetView>
  </sheetViews>
  <sheetFormatPr defaultRowHeight="15" x14ac:dyDescent="0.25"/>
  <cols>
    <col min="1" max="1" width="32.85546875" customWidth="1"/>
    <col min="2" max="2" width="11.5703125" style="8" customWidth="1"/>
    <col min="3" max="3" width="11.5703125" style="9" customWidth="1"/>
    <col min="4" max="4" width="11.5703125" style="8" customWidth="1"/>
    <col min="5" max="5" width="11.5703125" style="9" customWidth="1"/>
    <col min="6" max="6" width="11.5703125" style="10" customWidth="1"/>
    <col min="7" max="7" width="11.5703125" customWidth="1"/>
    <col min="8" max="8" width="11.5703125" style="8" customWidth="1"/>
    <col min="9" max="9" width="11.5703125" style="9" customWidth="1"/>
    <col min="10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49" t="s">
        <v>11</v>
      </c>
      <c r="B2" s="49"/>
      <c r="C2" s="49"/>
      <c r="D2" s="49"/>
      <c r="E2" s="49"/>
      <c r="F2" s="49"/>
      <c r="G2" s="49"/>
      <c r="H2" s="49"/>
      <c r="I2" s="49"/>
      <c r="J2" s="49"/>
    </row>
    <row r="3" spans="1:10" s="1" customFormat="1" ht="15.95" customHeight="1" x14ac:dyDescent="0.25">
      <c r="A3" s="49" t="s">
        <v>12</v>
      </c>
      <c r="B3" s="49"/>
      <c r="C3" s="49"/>
      <c r="D3" s="49"/>
      <c r="E3" s="49"/>
      <c r="F3" s="49"/>
      <c r="G3" s="49"/>
      <c r="H3" s="49"/>
      <c r="I3" s="49"/>
      <c r="J3" s="49"/>
    </row>
    <row r="4" spans="1:10" s="1" customFormat="1" ht="15.95" customHeight="1" x14ac:dyDescent="0.25">
      <c r="A4" s="49" t="s">
        <v>13</v>
      </c>
      <c r="B4" s="49"/>
      <c r="C4" s="49"/>
      <c r="D4" s="49"/>
      <c r="E4" s="49"/>
      <c r="F4" s="49"/>
      <c r="G4" s="49"/>
      <c r="H4" s="49"/>
      <c r="I4" s="49"/>
      <c r="J4" s="49"/>
    </row>
    <row r="5" spans="1:10" s="1" customFormat="1" ht="15.95" customHeight="1" x14ac:dyDescent="0.25">
      <c r="A5" s="49" t="s">
        <v>14</v>
      </c>
      <c r="B5" s="49"/>
      <c r="C5" s="49"/>
      <c r="D5" s="49"/>
      <c r="E5" s="49"/>
      <c r="F5" s="49"/>
      <c r="G5" s="49"/>
      <c r="H5" s="49"/>
      <c r="I5" s="49"/>
      <c r="J5" s="49"/>
    </row>
    <row r="6" spans="1:10" s="1" customFormat="1" ht="8.25" customHeight="1" x14ac:dyDescent="0.25"/>
    <row r="7" spans="1:10" s="1" customFormat="1" ht="12" customHeight="1" x14ac:dyDescent="0.25">
      <c r="A7" s="1" t="s">
        <v>21</v>
      </c>
      <c r="B7" s="48" t="s">
        <v>22</v>
      </c>
      <c r="C7" s="48"/>
      <c r="D7" s="48"/>
      <c r="H7" s="3" t="s">
        <v>25</v>
      </c>
      <c r="I7" s="12"/>
      <c r="J7" s="3"/>
    </row>
    <row r="8" spans="1:10" s="1" customFormat="1" ht="12" customHeight="1" x14ac:dyDescent="0.25">
      <c r="B8" s="2"/>
      <c r="C8" s="2"/>
      <c r="H8" s="2"/>
      <c r="I8" s="2"/>
      <c r="J8" s="2"/>
    </row>
    <row r="9" spans="1:10" s="1" customFormat="1" ht="12" customHeight="1" x14ac:dyDescent="0.25">
      <c r="A9" s="1" t="s">
        <v>23</v>
      </c>
      <c r="B9" s="48" t="s">
        <v>24</v>
      </c>
      <c r="C9" s="48"/>
      <c r="D9" s="48"/>
      <c r="H9" s="3" t="s">
        <v>9</v>
      </c>
      <c r="I9" s="4"/>
      <c r="J9" s="3"/>
    </row>
    <row r="10" spans="1:10" ht="16.5" customHeight="1" thickBot="1" x14ac:dyDescent="0.3">
      <c r="A10" s="51" t="s">
        <v>0</v>
      </c>
      <c r="B10" s="51"/>
      <c r="C10" s="51"/>
      <c r="D10" s="51"/>
      <c r="E10" s="51"/>
      <c r="F10" s="51"/>
      <c r="G10" s="51"/>
      <c r="H10" s="51"/>
      <c r="I10" s="51"/>
      <c r="J10" s="51"/>
    </row>
    <row r="11" spans="1:10" s="6" customFormat="1" ht="15.95" customHeight="1" x14ac:dyDescent="0.2">
      <c r="A11" s="52" t="s">
        <v>4</v>
      </c>
      <c r="B11" s="52" t="s">
        <v>5</v>
      </c>
      <c r="C11" s="52"/>
      <c r="D11" s="52" t="s">
        <v>6</v>
      </c>
      <c r="E11" s="52"/>
      <c r="F11" s="52"/>
      <c r="G11" s="52"/>
      <c r="H11" s="52" t="s">
        <v>7</v>
      </c>
      <c r="I11" s="52"/>
      <c r="J11" s="52" t="s">
        <v>8</v>
      </c>
    </row>
    <row r="12" spans="1:10" s="6" customFormat="1" ht="24" customHeight="1" x14ac:dyDescent="0.2">
      <c r="A12" s="52"/>
      <c r="B12" s="38" t="s">
        <v>1</v>
      </c>
      <c r="C12" s="41" t="s">
        <v>2</v>
      </c>
      <c r="D12" s="38" t="s">
        <v>1</v>
      </c>
      <c r="E12" s="41" t="s">
        <v>2</v>
      </c>
      <c r="F12" s="39" t="s">
        <v>3</v>
      </c>
      <c r="G12" s="40" t="s">
        <v>10</v>
      </c>
      <c r="H12" s="41" t="s">
        <v>1</v>
      </c>
      <c r="I12" s="41" t="s">
        <v>2</v>
      </c>
      <c r="J12" s="52"/>
    </row>
    <row r="13" spans="1:10" s="6" customFormat="1" ht="15.95" customHeight="1" x14ac:dyDescent="0.2">
      <c r="A13" s="50" t="s">
        <v>77</v>
      </c>
      <c r="B13" s="50"/>
      <c r="C13" s="50"/>
      <c r="D13" s="50"/>
      <c r="E13" s="50"/>
      <c r="F13" s="50"/>
      <c r="G13" s="50"/>
      <c r="H13" s="50"/>
      <c r="I13" s="50"/>
      <c r="J13" s="50"/>
    </row>
    <row r="14" spans="1:10" s="6" customFormat="1" ht="15.95" customHeight="1" x14ac:dyDescent="0.2">
      <c r="A14" s="42" t="s">
        <v>62</v>
      </c>
      <c r="B14" s="43">
        <f>SUM(1.25/30)*12</f>
        <v>0.5</v>
      </c>
      <c r="C14" s="43">
        <v>0.5</v>
      </c>
      <c r="D14" s="43"/>
      <c r="E14" s="43"/>
      <c r="F14" s="43"/>
      <c r="G14" s="44"/>
      <c r="H14" s="43">
        <f>B14</f>
        <v>0.5</v>
      </c>
      <c r="I14" s="43">
        <f>C14</f>
        <v>0.5</v>
      </c>
      <c r="J14" s="44">
        <f>H14+I14</f>
        <v>1</v>
      </c>
    </row>
    <row r="15" spans="1:10" s="5" customFormat="1" ht="15.95" customHeight="1" x14ac:dyDescent="0.2">
      <c r="A15" s="45" t="s">
        <v>16</v>
      </c>
      <c r="B15" s="43">
        <f>1.25*8</f>
        <v>10</v>
      </c>
      <c r="C15" s="43">
        <v>10</v>
      </c>
      <c r="D15" s="43"/>
      <c r="E15" s="43"/>
      <c r="F15" s="43"/>
      <c r="G15" s="44"/>
      <c r="H15" s="43">
        <f>H14-F15-D15+B15</f>
        <v>10.5</v>
      </c>
      <c r="I15" s="43">
        <f>I14-E15+C15</f>
        <v>10.5</v>
      </c>
      <c r="J15" s="44">
        <f>H15+I15</f>
        <v>21</v>
      </c>
    </row>
    <row r="16" spans="1:10" s="5" customFormat="1" ht="15.95" customHeight="1" x14ac:dyDescent="0.2">
      <c r="A16" s="45" t="s">
        <v>71</v>
      </c>
      <c r="B16" s="43"/>
      <c r="C16" s="43"/>
      <c r="D16" s="43"/>
      <c r="E16" s="43"/>
      <c r="F16" s="43">
        <v>5</v>
      </c>
      <c r="G16" s="44"/>
      <c r="H16" s="43">
        <f t="shared" ref="H16:H44" si="0">H15-F16-D16+B16</f>
        <v>5.5</v>
      </c>
      <c r="I16" s="43">
        <f t="shared" ref="I16:I44" si="1">I15-E16+C16</f>
        <v>10.5</v>
      </c>
      <c r="J16" s="44">
        <f t="shared" ref="J16:J44" si="2">H16+I16</f>
        <v>16</v>
      </c>
    </row>
    <row r="17" spans="1:10" s="5" customFormat="1" ht="15.95" customHeight="1" x14ac:dyDescent="0.2">
      <c r="A17" s="46" t="s">
        <v>17</v>
      </c>
      <c r="B17" s="43">
        <v>10</v>
      </c>
      <c r="C17" s="43">
        <v>10</v>
      </c>
      <c r="D17" s="43"/>
      <c r="E17" s="43"/>
      <c r="F17" s="43"/>
      <c r="G17" s="44"/>
      <c r="H17" s="43">
        <f t="shared" si="0"/>
        <v>15.5</v>
      </c>
      <c r="I17" s="43">
        <f t="shared" si="1"/>
        <v>20.5</v>
      </c>
      <c r="J17" s="44">
        <f t="shared" si="2"/>
        <v>36</v>
      </c>
    </row>
    <row r="18" spans="1:10" s="5" customFormat="1" ht="15.95" customHeight="1" x14ac:dyDescent="0.2">
      <c r="A18" s="46" t="s">
        <v>18</v>
      </c>
      <c r="B18" s="43"/>
      <c r="C18" s="43"/>
      <c r="D18" s="43">
        <v>15</v>
      </c>
      <c r="E18" s="43">
        <v>14</v>
      </c>
      <c r="F18" s="43"/>
      <c r="G18" s="44"/>
      <c r="H18" s="43">
        <f t="shared" si="0"/>
        <v>0.5</v>
      </c>
      <c r="I18" s="43">
        <f t="shared" si="1"/>
        <v>6.5</v>
      </c>
      <c r="J18" s="44">
        <f t="shared" si="2"/>
        <v>7</v>
      </c>
    </row>
    <row r="19" spans="1:10" s="5" customFormat="1" ht="15.95" customHeight="1" x14ac:dyDescent="0.2">
      <c r="A19" s="46" t="s">
        <v>19</v>
      </c>
      <c r="B19" s="43">
        <v>5</v>
      </c>
      <c r="C19" s="43">
        <v>5</v>
      </c>
      <c r="D19" s="43"/>
      <c r="E19" s="43"/>
      <c r="F19" s="43"/>
      <c r="G19" s="44"/>
      <c r="H19" s="43">
        <f t="shared" si="0"/>
        <v>5.5</v>
      </c>
      <c r="I19" s="43">
        <f t="shared" si="1"/>
        <v>11.5</v>
      </c>
      <c r="J19" s="44">
        <f t="shared" si="2"/>
        <v>17</v>
      </c>
    </row>
    <row r="20" spans="1:10" s="5" customFormat="1" ht="15.95" customHeight="1" x14ac:dyDescent="0.2">
      <c r="A20" s="46" t="s">
        <v>20</v>
      </c>
      <c r="B20" s="43"/>
      <c r="C20" s="43"/>
      <c r="D20" s="43"/>
      <c r="E20" s="43">
        <v>2</v>
      </c>
      <c r="F20" s="43"/>
      <c r="G20" s="44"/>
      <c r="H20" s="43">
        <f t="shared" si="0"/>
        <v>5.5</v>
      </c>
      <c r="I20" s="43">
        <f t="shared" si="1"/>
        <v>9.5</v>
      </c>
      <c r="J20" s="44">
        <f t="shared" si="2"/>
        <v>15</v>
      </c>
    </row>
    <row r="21" spans="1:10" s="5" customFormat="1" ht="15.95" customHeight="1" x14ac:dyDescent="0.2">
      <c r="A21" s="46" t="s">
        <v>63</v>
      </c>
      <c r="B21" s="43"/>
      <c r="C21" s="43"/>
      <c r="D21" s="43"/>
      <c r="E21" s="43"/>
      <c r="F21" s="43">
        <v>5</v>
      </c>
      <c r="G21" s="44"/>
      <c r="H21" s="43">
        <f t="shared" si="0"/>
        <v>0.5</v>
      </c>
      <c r="I21" s="43">
        <f t="shared" si="1"/>
        <v>9.5</v>
      </c>
      <c r="J21" s="44">
        <f t="shared" si="2"/>
        <v>10</v>
      </c>
    </row>
    <row r="22" spans="1:10" s="5" customFormat="1" ht="15.95" customHeight="1" x14ac:dyDescent="0.2">
      <c r="A22" s="46" t="s">
        <v>26</v>
      </c>
      <c r="B22" s="43">
        <v>3.75</v>
      </c>
      <c r="C22" s="43">
        <v>3.75</v>
      </c>
      <c r="D22" s="43"/>
      <c r="E22" s="43"/>
      <c r="F22" s="43"/>
      <c r="G22" s="44"/>
      <c r="H22" s="43">
        <f t="shared" si="0"/>
        <v>4.25</v>
      </c>
      <c r="I22" s="43">
        <f t="shared" si="1"/>
        <v>13.25</v>
      </c>
      <c r="J22" s="44">
        <f t="shared" si="2"/>
        <v>17.5</v>
      </c>
    </row>
    <row r="23" spans="1:10" s="5" customFormat="1" ht="15.95" customHeight="1" x14ac:dyDescent="0.2">
      <c r="A23" s="46" t="s">
        <v>27</v>
      </c>
      <c r="B23" s="43"/>
      <c r="C23" s="43"/>
      <c r="D23" s="43"/>
      <c r="E23" s="43"/>
      <c r="F23" s="43">
        <v>2</v>
      </c>
      <c r="G23" s="44"/>
      <c r="H23" s="43">
        <f t="shared" si="0"/>
        <v>2.25</v>
      </c>
      <c r="I23" s="43">
        <f t="shared" si="1"/>
        <v>13.25</v>
      </c>
      <c r="J23" s="44">
        <f t="shared" si="2"/>
        <v>15.5</v>
      </c>
    </row>
    <row r="24" spans="1:10" s="5" customFormat="1" ht="15.95" customHeight="1" x14ac:dyDescent="0.2">
      <c r="A24" s="46" t="s">
        <v>28</v>
      </c>
      <c r="B24" s="43"/>
      <c r="C24" s="43"/>
      <c r="D24" s="43"/>
      <c r="E24" s="43"/>
      <c r="F24" s="43">
        <v>1</v>
      </c>
      <c r="G24" s="44"/>
      <c r="H24" s="43">
        <f t="shared" si="0"/>
        <v>1.25</v>
      </c>
      <c r="I24" s="43">
        <f t="shared" si="1"/>
        <v>13.25</v>
      </c>
      <c r="J24" s="44">
        <f t="shared" si="2"/>
        <v>14.5</v>
      </c>
    </row>
    <row r="25" spans="1:10" s="5" customFormat="1" ht="15.95" customHeight="1" x14ac:dyDescent="0.2">
      <c r="A25" s="46" t="s">
        <v>29</v>
      </c>
      <c r="B25" s="46">
        <v>1.25</v>
      </c>
      <c r="C25" s="46">
        <v>1.25</v>
      </c>
      <c r="D25" s="46"/>
      <c r="E25" s="46"/>
      <c r="F25" s="46"/>
      <c r="G25" s="47"/>
      <c r="H25" s="43">
        <f t="shared" si="0"/>
        <v>2.5</v>
      </c>
      <c r="I25" s="43">
        <f t="shared" si="1"/>
        <v>14.5</v>
      </c>
      <c r="J25" s="44">
        <f t="shared" si="2"/>
        <v>17</v>
      </c>
    </row>
    <row r="26" spans="1:10" s="5" customFormat="1" ht="15.95" customHeight="1" x14ac:dyDescent="0.2">
      <c r="A26" s="46" t="s">
        <v>30</v>
      </c>
      <c r="B26" s="46"/>
      <c r="C26" s="46"/>
      <c r="D26" s="46"/>
      <c r="E26" s="46"/>
      <c r="F26" s="43">
        <v>2</v>
      </c>
      <c r="G26" s="47"/>
      <c r="H26" s="43">
        <f t="shared" si="0"/>
        <v>0.5</v>
      </c>
      <c r="I26" s="43">
        <f t="shared" si="1"/>
        <v>14.5</v>
      </c>
      <c r="J26" s="44">
        <f t="shared" si="2"/>
        <v>15</v>
      </c>
    </row>
    <row r="27" spans="1:10" s="5" customFormat="1" ht="15.95" customHeight="1" x14ac:dyDescent="0.2">
      <c r="A27" s="46" t="s">
        <v>51</v>
      </c>
      <c r="B27" s="46">
        <v>1.25</v>
      </c>
      <c r="C27" s="46">
        <v>1.25</v>
      </c>
      <c r="D27" s="46"/>
      <c r="E27" s="46"/>
      <c r="F27" s="46"/>
      <c r="G27" s="47"/>
      <c r="H27" s="43">
        <f t="shared" si="0"/>
        <v>1.75</v>
      </c>
      <c r="I27" s="43">
        <f t="shared" si="1"/>
        <v>15.75</v>
      </c>
      <c r="J27" s="44">
        <f t="shared" si="2"/>
        <v>17.5</v>
      </c>
    </row>
    <row r="28" spans="1:10" s="5" customFormat="1" ht="15.95" customHeight="1" x14ac:dyDescent="0.2">
      <c r="A28" s="46" t="s">
        <v>52</v>
      </c>
      <c r="B28" s="46">
        <v>3.75</v>
      </c>
      <c r="C28" s="46">
        <v>3.75</v>
      </c>
      <c r="D28" s="46"/>
      <c r="E28" s="46"/>
      <c r="F28" s="46"/>
      <c r="G28" s="47"/>
      <c r="H28" s="43">
        <f t="shared" si="0"/>
        <v>5.5</v>
      </c>
      <c r="I28" s="43">
        <f t="shared" si="1"/>
        <v>19.5</v>
      </c>
      <c r="J28" s="44">
        <f t="shared" si="2"/>
        <v>25</v>
      </c>
    </row>
    <row r="29" spans="1:10" s="5" customFormat="1" ht="15.95" customHeight="1" x14ac:dyDescent="0.2">
      <c r="A29" s="46" t="s">
        <v>53</v>
      </c>
      <c r="B29" s="46"/>
      <c r="C29" s="46"/>
      <c r="D29" s="46">
        <v>4.5</v>
      </c>
      <c r="E29" s="46">
        <v>19.5</v>
      </c>
      <c r="F29" s="46"/>
      <c r="G29" s="47"/>
      <c r="H29" s="43">
        <f t="shared" si="0"/>
        <v>1</v>
      </c>
      <c r="I29" s="43">
        <f t="shared" si="1"/>
        <v>0</v>
      </c>
      <c r="J29" s="44">
        <f t="shared" si="2"/>
        <v>1</v>
      </c>
    </row>
    <row r="30" spans="1:10" s="5" customFormat="1" ht="15.95" customHeight="1" x14ac:dyDescent="0.2">
      <c r="A30" s="46" t="s">
        <v>54</v>
      </c>
      <c r="B30" s="46"/>
      <c r="C30" s="46"/>
      <c r="D30" s="46"/>
      <c r="E30" s="46"/>
      <c r="F30" s="46"/>
      <c r="G30" s="47">
        <v>1</v>
      </c>
      <c r="H30" s="43">
        <f t="shared" si="0"/>
        <v>1</v>
      </c>
      <c r="I30" s="43">
        <f t="shared" si="1"/>
        <v>0</v>
      </c>
      <c r="J30" s="44">
        <f t="shared" si="2"/>
        <v>1</v>
      </c>
    </row>
    <row r="31" spans="1:10" s="5" customFormat="1" ht="15.95" customHeight="1" x14ac:dyDescent="0.2">
      <c r="A31" s="46" t="s">
        <v>55</v>
      </c>
      <c r="B31" s="46">
        <v>2.5</v>
      </c>
      <c r="C31" s="46">
        <v>2.5</v>
      </c>
      <c r="D31" s="46"/>
      <c r="E31" s="46"/>
      <c r="F31" s="46"/>
      <c r="G31" s="47"/>
      <c r="H31" s="43">
        <f t="shared" si="0"/>
        <v>3.5</v>
      </c>
      <c r="I31" s="43">
        <f t="shared" si="1"/>
        <v>2.5</v>
      </c>
      <c r="J31" s="44">
        <f t="shared" si="2"/>
        <v>6</v>
      </c>
    </row>
    <row r="32" spans="1:10" s="5" customFormat="1" ht="15.95" customHeight="1" x14ac:dyDescent="0.2">
      <c r="A32" s="46" t="s">
        <v>56</v>
      </c>
      <c r="B32" s="46"/>
      <c r="C32" s="46"/>
      <c r="D32" s="46"/>
      <c r="E32" s="46">
        <v>1</v>
      </c>
      <c r="F32" s="46"/>
      <c r="G32" s="47"/>
      <c r="H32" s="43">
        <f t="shared" si="0"/>
        <v>3.5</v>
      </c>
      <c r="I32" s="43">
        <f t="shared" si="1"/>
        <v>1.5</v>
      </c>
      <c r="J32" s="44">
        <f t="shared" si="2"/>
        <v>5</v>
      </c>
    </row>
    <row r="33" spans="1:10" s="5" customFormat="1" ht="15.95" customHeight="1" x14ac:dyDescent="0.2">
      <c r="A33" s="46" t="s">
        <v>57</v>
      </c>
      <c r="B33" s="46">
        <v>1.25</v>
      </c>
      <c r="C33" s="46">
        <v>1.25</v>
      </c>
      <c r="D33" s="46"/>
      <c r="E33" s="46"/>
      <c r="F33" s="46"/>
      <c r="G33" s="47"/>
      <c r="H33" s="43">
        <f t="shared" si="0"/>
        <v>4.75</v>
      </c>
      <c r="I33" s="43">
        <f t="shared" si="1"/>
        <v>2.75</v>
      </c>
      <c r="J33" s="44">
        <f t="shared" si="2"/>
        <v>7.5</v>
      </c>
    </row>
    <row r="34" spans="1:10" s="5" customFormat="1" ht="15.95" customHeight="1" x14ac:dyDescent="0.2">
      <c r="A34" s="46" t="s">
        <v>58</v>
      </c>
      <c r="B34" s="46"/>
      <c r="C34" s="46"/>
      <c r="D34" s="46">
        <v>2</v>
      </c>
      <c r="E34" s="46"/>
      <c r="F34" s="46"/>
      <c r="G34" s="47"/>
      <c r="H34" s="43">
        <f t="shared" si="0"/>
        <v>2.75</v>
      </c>
      <c r="I34" s="43">
        <f t="shared" si="1"/>
        <v>2.75</v>
      </c>
      <c r="J34" s="44">
        <f t="shared" si="2"/>
        <v>5.5</v>
      </c>
    </row>
    <row r="35" spans="1:10" s="5" customFormat="1" ht="15.95" customHeight="1" x14ac:dyDescent="0.2">
      <c r="A35" s="46" t="s">
        <v>64</v>
      </c>
      <c r="B35" s="46">
        <v>1.25</v>
      </c>
      <c r="C35" s="46">
        <v>1.25</v>
      </c>
      <c r="D35" s="46"/>
      <c r="E35" s="46"/>
      <c r="F35" s="46"/>
      <c r="G35" s="47"/>
      <c r="H35" s="43">
        <f t="shared" si="0"/>
        <v>4</v>
      </c>
      <c r="I35" s="43">
        <f t="shared" si="1"/>
        <v>4</v>
      </c>
      <c r="J35" s="44">
        <f t="shared" si="2"/>
        <v>8</v>
      </c>
    </row>
    <row r="36" spans="1:10" s="5" customFormat="1" ht="15.95" customHeight="1" x14ac:dyDescent="0.2">
      <c r="A36" s="46" t="s">
        <v>68</v>
      </c>
      <c r="B36" s="46">
        <v>2.5</v>
      </c>
      <c r="C36" s="46">
        <v>2.5</v>
      </c>
      <c r="D36" s="46"/>
      <c r="E36" s="46"/>
      <c r="F36" s="46"/>
      <c r="G36" s="47"/>
      <c r="H36" s="43">
        <f t="shared" si="0"/>
        <v>6.5</v>
      </c>
      <c r="I36" s="43">
        <f t="shared" si="1"/>
        <v>6.5</v>
      </c>
      <c r="J36" s="44">
        <f t="shared" si="2"/>
        <v>13</v>
      </c>
    </row>
    <row r="37" spans="1:10" s="5" customFormat="1" ht="18" customHeight="1" x14ac:dyDescent="0.2">
      <c r="A37" s="46" t="s">
        <v>59</v>
      </c>
      <c r="B37" s="46"/>
      <c r="C37" s="46"/>
      <c r="D37" s="46"/>
      <c r="E37" s="46">
        <v>1</v>
      </c>
      <c r="F37" s="46"/>
      <c r="G37" s="47"/>
      <c r="H37" s="43">
        <f t="shared" si="0"/>
        <v>6.5</v>
      </c>
      <c r="I37" s="43">
        <f t="shared" si="1"/>
        <v>5.5</v>
      </c>
      <c r="J37" s="44">
        <f t="shared" si="2"/>
        <v>12</v>
      </c>
    </row>
    <row r="38" spans="1:10" s="5" customFormat="1" ht="18" customHeight="1" x14ac:dyDescent="0.2">
      <c r="A38" s="46" t="s">
        <v>60</v>
      </c>
      <c r="B38" s="46">
        <v>6.25</v>
      </c>
      <c r="C38" s="46">
        <v>6.25</v>
      </c>
      <c r="D38" s="46"/>
      <c r="E38" s="46"/>
      <c r="F38" s="46"/>
      <c r="G38" s="47"/>
      <c r="H38" s="43">
        <f t="shared" si="0"/>
        <v>12.75</v>
      </c>
      <c r="I38" s="43">
        <f t="shared" si="1"/>
        <v>11.75</v>
      </c>
      <c r="J38" s="44">
        <f t="shared" si="2"/>
        <v>24.5</v>
      </c>
    </row>
    <row r="39" spans="1:10" s="5" customFormat="1" ht="18" customHeight="1" x14ac:dyDescent="0.2">
      <c r="A39" s="46" t="s">
        <v>61</v>
      </c>
      <c r="B39" s="46"/>
      <c r="C39" s="46"/>
      <c r="D39" s="46"/>
      <c r="E39" s="46">
        <v>1</v>
      </c>
      <c r="F39" s="46"/>
      <c r="G39" s="47"/>
      <c r="H39" s="43">
        <f t="shared" si="0"/>
        <v>12.75</v>
      </c>
      <c r="I39" s="43">
        <f t="shared" si="1"/>
        <v>10.75</v>
      </c>
      <c r="J39" s="44">
        <f t="shared" si="2"/>
        <v>23.5</v>
      </c>
    </row>
    <row r="40" spans="1:10" s="5" customFormat="1" ht="18" customHeight="1" x14ac:dyDescent="0.2">
      <c r="A40" s="46" t="s">
        <v>65</v>
      </c>
      <c r="B40" s="46">
        <v>2.5</v>
      </c>
      <c r="C40" s="46">
        <v>2.5</v>
      </c>
      <c r="D40" s="46"/>
      <c r="E40" s="46"/>
      <c r="F40" s="46"/>
      <c r="G40" s="47"/>
      <c r="H40" s="43">
        <f t="shared" si="0"/>
        <v>15.25</v>
      </c>
      <c r="I40" s="43">
        <f t="shared" si="1"/>
        <v>13.25</v>
      </c>
      <c r="J40" s="44">
        <f t="shared" si="2"/>
        <v>28.5</v>
      </c>
    </row>
    <row r="41" spans="1:10" s="5" customFormat="1" ht="18" customHeight="1" x14ac:dyDescent="0.2">
      <c r="A41" s="46" t="s">
        <v>66</v>
      </c>
      <c r="B41" s="46"/>
      <c r="C41" s="46"/>
      <c r="D41" s="46"/>
      <c r="E41" s="46">
        <v>1</v>
      </c>
      <c r="F41" s="46"/>
      <c r="G41" s="47"/>
      <c r="H41" s="43">
        <f t="shared" si="0"/>
        <v>15.25</v>
      </c>
      <c r="I41" s="43">
        <f t="shared" si="1"/>
        <v>12.25</v>
      </c>
      <c r="J41" s="44">
        <f t="shared" si="2"/>
        <v>27.5</v>
      </c>
    </row>
    <row r="42" spans="1:10" s="5" customFormat="1" ht="18" customHeight="1" x14ac:dyDescent="0.2">
      <c r="A42" s="46" t="s">
        <v>67</v>
      </c>
      <c r="B42" s="46"/>
      <c r="C42" s="46"/>
      <c r="D42" s="46"/>
      <c r="E42" s="46">
        <v>1</v>
      </c>
      <c r="F42" s="46"/>
      <c r="G42" s="47"/>
      <c r="H42" s="43">
        <f t="shared" si="0"/>
        <v>15.25</v>
      </c>
      <c r="I42" s="43">
        <f t="shared" si="1"/>
        <v>11.25</v>
      </c>
      <c r="J42" s="44">
        <f t="shared" si="2"/>
        <v>26.5</v>
      </c>
    </row>
    <row r="43" spans="1:10" s="5" customFormat="1" ht="18" customHeight="1" x14ac:dyDescent="0.2">
      <c r="A43" s="46" t="s">
        <v>69</v>
      </c>
      <c r="B43" s="46">
        <v>1.25</v>
      </c>
      <c r="C43" s="46">
        <v>1.25</v>
      </c>
      <c r="D43" s="46"/>
      <c r="E43" s="46"/>
      <c r="F43" s="46"/>
      <c r="G43" s="47"/>
      <c r="H43" s="43">
        <f t="shared" si="0"/>
        <v>16.5</v>
      </c>
      <c r="I43" s="43">
        <f t="shared" si="1"/>
        <v>12.5</v>
      </c>
      <c r="J43" s="44">
        <f t="shared" si="2"/>
        <v>29</v>
      </c>
    </row>
    <row r="44" spans="1:10" s="5" customFormat="1" ht="18" customHeight="1" x14ac:dyDescent="0.2">
      <c r="A44" s="46" t="s">
        <v>70</v>
      </c>
      <c r="B44" s="46"/>
      <c r="C44" s="46"/>
      <c r="D44" s="46">
        <v>1</v>
      </c>
      <c r="E44" s="46"/>
      <c r="F44" s="46"/>
      <c r="G44" s="47"/>
      <c r="H44" s="43">
        <f t="shared" si="0"/>
        <v>15.5</v>
      </c>
      <c r="I44" s="43">
        <f t="shared" si="1"/>
        <v>12.5</v>
      </c>
      <c r="J44" s="44">
        <f t="shared" si="2"/>
        <v>28</v>
      </c>
    </row>
    <row r="45" spans="1:10" s="5" customFormat="1" ht="18" customHeight="1" x14ac:dyDescent="0.2">
      <c r="A45" s="46" t="s">
        <v>72</v>
      </c>
      <c r="B45" s="46">
        <v>2.5</v>
      </c>
      <c r="C45" s="46">
        <v>2.5</v>
      </c>
      <c r="D45" s="46"/>
      <c r="E45" s="46"/>
      <c r="F45" s="46"/>
      <c r="G45" s="47"/>
      <c r="H45" s="43">
        <f t="shared" ref="H45:H47" si="3">H44-F45-D45+B45</f>
        <v>18</v>
      </c>
      <c r="I45" s="43">
        <f t="shared" ref="I45:I47" si="4">I44-E45+C45</f>
        <v>15</v>
      </c>
      <c r="J45" s="44">
        <f t="shared" ref="J45:J47" si="5">H45+I45</f>
        <v>33</v>
      </c>
    </row>
    <row r="46" spans="1:10" s="5" customFormat="1" ht="18" customHeight="1" x14ac:dyDescent="0.2">
      <c r="A46" s="46" t="s">
        <v>81</v>
      </c>
      <c r="B46" s="46"/>
      <c r="C46" s="46"/>
      <c r="D46" s="46"/>
      <c r="E46" s="46"/>
      <c r="F46" s="46">
        <v>5</v>
      </c>
      <c r="G46" s="47"/>
      <c r="H46" s="43">
        <f t="shared" si="3"/>
        <v>13</v>
      </c>
      <c r="I46" s="43">
        <f t="shared" si="4"/>
        <v>15</v>
      </c>
      <c r="J46" s="44">
        <f t="shared" si="5"/>
        <v>28</v>
      </c>
    </row>
    <row r="47" spans="1:10" s="5" customFormat="1" ht="18" customHeight="1" x14ac:dyDescent="0.2">
      <c r="A47" s="46" t="s">
        <v>73</v>
      </c>
      <c r="B47" s="46">
        <v>1.25</v>
      </c>
      <c r="C47" s="46">
        <v>1.25</v>
      </c>
      <c r="D47" s="46"/>
      <c r="E47" s="46"/>
      <c r="F47" s="46"/>
      <c r="G47" s="47"/>
      <c r="H47" s="43">
        <f t="shared" si="3"/>
        <v>14.25</v>
      </c>
      <c r="I47" s="43">
        <f t="shared" si="4"/>
        <v>16.25</v>
      </c>
      <c r="J47" s="44">
        <f t="shared" si="5"/>
        <v>30.5</v>
      </c>
    </row>
    <row r="48" spans="1:10" s="5" customFormat="1" ht="18" customHeight="1" x14ac:dyDescent="0.2">
      <c r="A48" s="46" t="s">
        <v>74</v>
      </c>
      <c r="B48" s="46"/>
      <c r="C48" s="46"/>
      <c r="D48" s="46"/>
      <c r="E48" s="46">
        <v>1</v>
      </c>
      <c r="F48" s="46"/>
      <c r="G48" s="47"/>
      <c r="H48" s="43">
        <f t="shared" ref="H48" si="6">H47-F48-D48+B48</f>
        <v>14.25</v>
      </c>
      <c r="I48" s="43">
        <f t="shared" ref="I48" si="7">I47-E48+C48</f>
        <v>15.25</v>
      </c>
      <c r="J48" s="44">
        <f t="shared" ref="J48" si="8">H48+I48</f>
        <v>29.5</v>
      </c>
    </row>
    <row r="49" spans="1:10" s="5" customFormat="1" ht="18" customHeight="1" x14ac:dyDescent="0.2">
      <c r="A49" s="46" t="s">
        <v>75</v>
      </c>
      <c r="B49" s="46">
        <v>1.25</v>
      </c>
      <c r="C49" s="46">
        <v>1.25</v>
      </c>
      <c r="D49" s="46"/>
      <c r="E49" s="46"/>
      <c r="F49" s="46"/>
      <c r="G49" s="47"/>
      <c r="H49" s="43">
        <f t="shared" ref="H49:H50" si="9">H48-F49-D49+B49</f>
        <v>15.5</v>
      </c>
      <c r="I49" s="43">
        <f t="shared" ref="I49:I50" si="10">I48-E49+C49</f>
        <v>16.5</v>
      </c>
      <c r="J49" s="44">
        <f t="shared" ref="J49:J50" si="11">H49+I49</f>
        <v>32</v>
      </c>
    </row>
    <row r="50" spans="1:10" s="5" customFormat="1" ht="18" customHeight="1" x14ac:dyDescent="0.2">
      <c r="A50" s="46" t="s">
        <v>76</v>
      </c>
      <c r="B50" s="46"/>
      <c r="C50" s="46"/>
      <c r="D50" s="46"/>
      <c r="E50" s="46">
        <v>2</v>
      </c>
      <c r="F50" s="46"/>
      <c r="G50" s="47"/>
      <c r="H50" s="43">
        <f t="shared" si="9"/>
        <v>15.5</v>
      </c>
      <c r="I50" s="43">
        <f t="shared" si="10"/>
        <v>14.5</v>
      </c>
      <c r="J50" s="44">
        <f t="shared" si="11"/>
        <v>30</v>
      </c>
    </row>
    <row r="51" spans="1:10" s="5" customFormat="1" ht="18" customHeight="1" x14ac:dyDescent="0.2">
      <c r="A51" s="46" t="s">
        <v>78</v>
      </c>
      <c r="B51" s="46">
        <v>5</v>
      </c>
      <c r="C51" s="46">
        <v>5</v>
      </c>
      <c r="D51" s="46"/>
      <c r="E51" s="46"/>
      <c r="F51" s="46"/>
      <c r="G51" s="47"/>
      <c r="H51" s="43">
        <f t="shared" ref="H51:H52" si="12">H50-F51-D51+B51</f>
        <v>20.5</v>
      </c>
      <c r="I51" s="43">
        <f t="shared" ref="I51:I52" si="13">I50-E51+C51</f>
        <v>19.5</v>
      </c>
      <c r="J51" s="44">
        <f t="shared" ref="J51:J52" si="14">H51+I51</f>
        <v>40</v>
      </c>
    </row>
    <row r="52" spans="1:10" s="5" customFormat="1" ht="18" customHeight="1" x14ac:dyDescent="0.2">
      <c r="A52" s="46" t="s">
        <v>79</v>
      </c>
      <c r="B52" s="46"/>
      <c r="C52" s="46"/>
      <c r="D52" s="46">
        <v>10</v>
      </c>
      <c r="E52" s="46"/>
      <c r="F52" s="46"/>
      <c r="G52" s="47"/>
      <c r="H52" s="43">
        <f t="shared" si="12"/>
        <v>10.5</v>
      </c>
      <c r="I52" s="43">
        <f t="shared" si="13"/>
        <v>19.5</v>
      </c>
      <c r="J52" s="44">
        <f t="shared" si="14"/>
        <v>30</v>
      </c>
    </row>
    <row r="53" spans="1:10" s="5" customFormat="1" ht="18" customHeight="1" x14ac:dyDescent="0.2">
      <c r="A53" s="46" t="s">
        <v>80</v>
      </c>
      <c r="B53" s="46"/>
      <c r="C53" s="46"/>
      <c r="D53" s="46"/>
      <c r="E53" s="46">
        <v>2</v>
      </c>
      <c r="F53" s="46"/>
      <c r="G53" s="47"/>
      <c r="H53" s="43">
        <f t="shared" ref="H53" si="15">H52-F53-D53+B53</f>
        <v>10.5</v>
      </c>
      <c r="I53" s="43">
        <f t="shared" ref="I53" si="16">I52-E53+C53</f>
        <v>17.5</v>
      </c>
      <c r="J53" s="44">
        <f t="shared" ref="J53" si="17">H53+I53</f>
        <v>28</v>
      </c>
    </row>
    <row r="54" spans="1:10" s="5" customFormat="1" ht="18" customHeight="1" x14ac:dyDescent="0.2">
      <c r="A54" s="46" t="s">
        <v>82</v>
      </c>
      <c r="B54" s="46">
        <v>1.25</v>
      </c>
      <c r="C54" s="46">
        <v>1.25</v>
      </c>
      <c r="D54" s="46"/>
      <c r="E54" s="46"/>
      <c r="F54" s="46"/>
      <c r="G54" s="47"/>
      <c r="H54" s="43">
        <f t="shared" ref="H54:H55" si="18">H53-F54-D54+B54</f>
        <v>11.75</v>
      </c>
      <c r="I54" s="43">
        <f t="shared" ref="I54:I55" si="19">I53-E54+C54</f>
        <v>18.75</v>
      </c>
      <c r="J54" s="44">
        <f t="shared" ref="J54:J55" si="20">H54+I54</f>
        <v>30.5</v>
      </c>
    </row>
    <row r="55" spans="1:10" s="5" customFormat="1" ht="18" customHeight="1" x14ac:dyDescent="0.2">
      <c r="A55" s="46" t="s">
        <v>83</v>
      </c>
      <c r="B55" s="46"/>
      <c r="C55" s="46"/>
      <c r="D55" s="46"/>
      <c r="E55" s="46">
        <v>2</v>
      </c>
      <c r="F55" s="46"/>
      <c r="G55" s="47"/>
      <c r="H55" s="43">
        <f t="shared" si="18"/>
        <v>11.75</v>
      </c>
      <c r="I55" s="43">
        <f t="shared" si="19"/>
        <v>16.75</v>
      </c>
      <c r="J55" s="44">
        <f t="shared" si="20"/>
        <v>28.5</v>
      </c>
    </row>
    <row r="56" spans="1:10" s="5" customFormat="1" ht="18" customHeight="1" x14ac:dyDescent="0.2">
      <c r="A56" s="58"/>
      <c r="B56" s="58"/>
      <c r="C56" s="58"/>
      <c r="D56" s="58"/>
      <c r="E56" s="58"/>
      <c r="F56" s="58"/>
      <c r="G56" s="59"/>
      <c r="H56" s="60"/>
      <c r="I56" s="60"/>
      <c r="J56" s="61"/>
    </row>
    <row r="57" spans="1:10" s="5" customFormat="1" ht="18" customHeight="1" x14ac:dyDescent="0.2">
      <c r="A57" s="32"/>
      <c r="B57" s="32"/>
      <c r="C57" s="32"/>
      <c r="D57" s="32"/>
      <c r="E57" s="32"/>
      <c r="F57" s="32"/>
      <c r="G57" s="33"/>
      <c r="H57" s="34"/>
      <c r="I57" s="34"/>
      <c r="J57" s="35"/>
    </row>
    <row r="58" spans="1:10" s="1" customFormat="1" ht="15.95" customHeight="1" x14ac:dyDescent="0.25"/>
    <row r="59" spans="1:10" s="1" customFormat="1" ht="15.95" customHeight="1" x14ac:dyDescent="0.25"/>
    <row r="60" spans="1:10" s="1" customFormat="1" ht="15.95" customHeight="1" x14ac:dyDescent="0.25"/>
    <row r="61" spans="1:10" s="1" customFormat="1" ht="15.95" customHeight="1" x14ac:dyDescent="0.25"/>
    <row r="62" spans="1:10" s="1" customFormat="1" ht="15.95" customHeight="1" x14ac:dyDescent="0.25"/>
    <row r="63" spans="1:10" s="1" customFormat="1" ht="15.95" customHeight="1" x14ac:dyDescent="0.25"/>
    <row r="64" spans="1:10" s="1" customFormat="1" ht="15.95" customHeight="1" x14ac:dyDescent="0.25"/>
    <row r="65" ht="15.95" customHeight="1" x14ac:dyDescent="0.25"/>
    <row r="66" ht="15.95" customHeight="1" x14ac:dyDescent="0.25"/>
    <row r="67" ht="15.95" customHeight="1" x14ac:dyDescent="0.25"/>
    <row r="68" ht="15.95" customHeight="1" x14ac:dyDescent="0.25"/>
    <row r="69" ht="15.95" customHeight="1" x14ac:dyDescent="0.25"/>
    <row r="70" ht="15.95" customHeight="1" x14ac:dyDescent="0.25"/>
    <row r="71" ht="15.95" customHeight="1" x14ac:dyDescent="0.25"/>
    <row r="72" ht="15.95" customHeight="1" x14ac:dyDescent="0.25"/>
    <row r="73" ht="15.95" customHeight="1" x14ac:dyDescent="0.25"/>
    <row r="74" ht="15.95" customHeight="1" x14ac:dyDescent="0.25"/>
    <row r="75" ht="15.95" customHeight="1" x14ac:dyDescent="0.25"/>
    <row r="76" ht="15.95" customHeight="1" x14ac:dyDescent="0.25"/>
    <row r="77" ht="15.95" customHeight="1" x14ac:dyDescent="0.25"/>
    <row r="78" ht="15.95" customHeight="1" x14ac:dyDescent="0.25"/>
    <row r="79" ht="15.95" customHeight="1" x14ac:dyDescent="0.25"/>
    <row r="80" ht="15.95" customHeight="1" x14ac:dyDescent="0.25"/>
    <row r="81" ht="15.95" customHeight="1" x14ac:dyDescent="0.25"/>
    <row r="82" ht="15.95" customHeight="1" x14ac:dyDescent="0.25"/>
    <row r="83" ht="15.95" customHeight="1" x14ac:dyDescent="0.25"/>
    <row r="84" ht="15.95" customHeight="1" x14ac:dyDescent="0.25"/>
    <row r="85" ht="15.95" customHeight="1" x14ac:dyDescent="0.25"/>
    <row r="86" ht="15.95" customHeight="1" x14ac:dyDescent="0.25"/>
    <row r="87" ht="15.95" customHeight="1" x14ac:dyDescent="0.25"/>
    <row r="88" ht="15.95" customHeight="1" x14ac:dyDescent="0.25"/>
    <row r="89" ht="15.95" customHeight="1" x14ac:dyDescent="0.25"/>
    <row r="90" ht="15.95" customHeight="1" x14ac:dyDescent="0.25"/>
    <row r="91" ht="15.95" customHeight="1" x14ac:dyDescent="0.25"/>
    <row r="92" ht="15.95" customHeight="1" x14ac:dyDescent="0.25"/>
    <row r="93" ht="15.95" customHeight="1" x14ac:dyDescent="0.25"/>
    <row r="94" ht="15.95" customHeight="1" x14ac:dyDescent="0.25"/>
    <row r="95" ht="15.95" customHeight="1" x14ac:dyDescent="0.25"/>
    <row r="96" ht="15.95" customHeight="1" x14ac:dyDescent="0.25"/>
    <row r="97" ht="15.95" customHeight="1" x14ac:dyDescent="0.25"/>
    <row r="98" ht="15.95" customHeight="1" x14ac:dyDescent="0.25"/>
    <row r="99" ht="15.95" customHeight="1" x14ac:dyDescent="0.25"/>
    <row r="100" ht="15.95" customHeight="1" x14ac:dyDescent="0.25"/>
    <row r="101" ht="15.95" customHeight="1" x14ac:dyDescent="0.25"/>
    <row r="102" ht="15.95" customHeight="1" x14ac:dyDescent="0.25"/>
    <row r="103" ht="15.95" customHeight="1" x14ac:dyDescent="0.25"/>
    <row r="104" ht="15.95" customHeight="1" x14ac:dyDescent="0.25"/>
    <row r="105" ht="15.95" customHeight="1" x14ac:dyDescent="0.25"/>
    <row r="106" ht="15.95" customHeight="1" x14ac:dyDescent="0.25"/>
    <row r="107" ht="15.95" customHeight="1" x14ac:dyDescent="0.25"/>
    <row r="108" ht="15.95" customHeight="1" x14ac:dyDescent="0.25"/>
    <row r="109" ht="15.95" customHeight="1" x14ac:dyDescent="0.25"/>
    <row r="110" ht="15.95" customHeight="1" x14ac:dyDescent="0.25"/>
    <row r="111" ht="15.95" customHeight="1" x14ac:dyDescent="0.25"/>
    <row r="112" ht="15.95" customHeight="1" x14ac:dyDescent="0.25"/>
    <row r="113" ht="15.95" customHeight="1" x14ac:dyDescent="0.25"/>
    <row r="114" ht="15.95" customHeight="1" x14ac:dyDescent="0.25"/>
    <row r="115" ht="15.95" customHeight="1" x14ac:dyDescent="0.25"/>
    <row r="116" ht="15.95" customHeight="1" x14ac:dyDescent="0.25"/>
    <row r="117" ht="15.95" customHeight="1" x14ac:dyDescent="0.25"/>
    <row r="118" ht="15.95" customHeight="1" x14ac:dyDescent="0.25"/>
    <row r="119" ht="15.95" customHeight="1" x14ac:dyDescent="0.25"/>
    <row r="120" ht="15.95" customHeight="1" x14ac:dyDescent="0.25"/>
    <row r="121" ht="15.95" customHeight="1" x14ac:dyDescent="0.25"/>
    <row r="122" ht="15.95" customHeight="1" x14ac:dyDescent="0.25"/>
    <row r="123" ht="15.95" customHeight="1" x14ac:dyDescent="0.25"/>
    <row r="124" ht="15.95" customHeight="1" x14ac:dyDescent="0.25"/>
    <row r="125" ht="15.95" customHeight="1" x14ac:dyDescent="0.25"/>
    <row r="126" ht="15.95" customHeight="1" x14ac:dyDescent="0.25"/>
    <row r="127" ht="15.95" customHeight="1" x14ac:dyDescent="0.25"/>
    <row r="128" ht="15.95" customHeight="1" x14ac:dyDescent="0.25"/>
    <row r="129" ht="15.95" customHeight="1" x14ac:dyDescent="0.25"/>
    <row r="130" ht="15.95" customHeight="1" x14ac:dyDescent="0.25"/>
    <row r="131" ht="15.95" customHeight="1" x14ac:dyDescent="0.25"/>
    <row r="132" ht="15.95" customHeight="1" x14ac:dyDescent="0.25"/>
  </sheetData>
  <mergeCells count="13">
    <mergeCell ref="A13:J13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5" right="0.5" top="0.5" bottom="0.5" header="0" footer="0.31496062992126"/>
  <pageSetup paperSize="9" scale="68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19"/>
  <sheetViews>
    <sheetView view="pageBreakPreview" topLeftCell="A12" zoomScaleNormal="100" zoomScaleSheetLayoutView="100" workbookViewId="0">
      <selection activeCell="B36" sqref="B36"/>
    </sheetView>
  </sheetViews>
  <sheetFormatPr defaultRowHeight="15" x14ac:dyDescent="0.25"/>
  <cols>
    <col min="1" max="1" width="32.85546875" customWidth="1"/>
    <col min="2" max="2" width="11.5703125" style="8" customWidth="1"/>
    <col min="3" max="3" width="11.5703125" style="9" customWidth="1"/>
    <col min="4" max="4" width="11.5703125" style="8" customWidth="1"/>
    <col min="5" max="5" width="11.5703125" style="9" customWidth="1"/>
    <col min="6" max="6" width="11.5703125" style="10" customWidth="1"/>
    <col min="7" max="7" width="11.5703125" customWidth="1"/>
    <col min="8" max="8" width="11.5703125" style="8" customWidth="1"/>
    <col min="9" max="9" width="11.5703125" style="9" customWidth="1"/>
    <col min="10" max="10" width="11.5703125" customWidth="1"/>
  </cols>
  <sheetData>
    <row r="1" spans="1:10" s="1" customFormat="1" ht="52.5" customHeight="1" x14ac:dyDescent="0.25"/>
    <row r="2" spans="1:10" s="1" customFormat="1" ht="10.5" customHeight="1" x14ac:dyDescent="0.25">
      <c r="A2" s="49" t="s">
        <v>11</v>
      </c>
      <c r="B2" s="49"/>
      <c r="C2" s="49"/>
      <c r="D2" s="49"/>
      <c r="E2" s="49"/>
      <c r="F2" s="49"/>
      <c r="G2" s="49"/>
      <c r="H2" s="49"/>
      <c r="I2" s="49"/>
      <c r="J2" s="49"/>
    </row>
    <row r="3" spans="1:10" s="1" customFormat="1" ht="15.95" customHeight="1" x14ac:dyDescent="0.25">
      <c r="A3" s="49" t="s">
        <v>12</v>
      </c>
      <c r="B3" s="49"/>
      <c r="C3" s="49"/>
      <c r="D3" s="49"/>
      <c r="E3" s="49"/>
      <c r="F3" s="49"/>
      <c r="G3" s="49"/>
      <c r="H3" s="49"/>
      <c r="I3" s="49"/>
      <c r="J3" s="49"/>
    </row>
    <row r="4" spans="1:10" s="1" customFormat="1" ht="15.95" customHeight="1" x14ac:dyDescent="0.25">
      <c r="A4" s="49" t="s">
        <v>13</v>
      </c>
      <c r="B4" s="49"/>
      <c r="C4" s="49"/>
      <c r="D4" s="49"/>
      <c r="E4" s="49"/>
      <c r="F4" s="49"/>
      <c r="G4" s="49"/>
      <c r="H4" s="49"/>
      <c r="I4" s="49"/>
      <c r="J4" s="49"/>
    </row>
    <row r="5" spans="1:10" s="1" customFormat="1" ht="15.95" customHeight="1" x14ac:dyDescent="0.25">
      <c r="A5" s="49" t="s">
        <v>14</v>
      </c>
      <c r="B5" s="49"/>
      <c r="C5" s="49"/>
      <c r="D5" s="49"/>
      <c r="E5" s="49"/>
      <c r="F5" s="49"/>
      <c r="G5" s="49"/>
      <c r="H5" s="49"/>
      <c r="I5" s="49"/>
      <c r="J5" s="49"/>
    </row>
    <row r="6" spans="1:10" s="1" customFormat="1" ht="8.25" customHeight="1" x14ac:dyDescent="0.25"/>
    <row r="7" spans="1:10" s="1" customFormat="1" ht="12" customHeight="1" x14ac:dyDescent="0.25">
      <c r="A7" s="1" t="s">
        <v>21</v>
      </c>
      <c r="B7" s="48" t="s">
        <v>22</v>
      </c>
      <c r="C7" s="48"/>
      <c r="D7" s="48"/>
      <c r="H7" s="3" t="s">
        <v>25</v>
      </c>
      <c r="I7" s="12"/>
      <c r="J7" s="3"/>
    </row>
    <row r="8" spans="1:10" s="1" customFormat="1" ht="12" customHeight="1" x14ac:dyDescent="0.25">
      <c r="B8" s="2"/>
      <c r="C8" s="2"/>
      <c r="H8" s="2"/>
      <c r="I8" s="2"/>
      <c r="J8" s="2"/>
    </row>
    <row r="9" spans="1:10" s="1" customFormat="1" ht="12" customHeight="1" x14ac:dyDescent="0.25">
      <c r="A9" s="1" t="s">
        <v>23</v>
      </c>
      <c r="B9" s="48" t="s">
        <v>24</v>
      </c>
      <c r="C9" s="48"/>
      <c r="D9" s="48"/>
      <c r="H9" s="3" t="s">
        <v>9</v>
      </c>
      <c r="I9" s="4"/>
      <c r="J9" s="3"/>
    </row>
    <row r="10" spans="1:10" ht="16.5" customHeight="1" thickBot="1" x14ac:dyDescent="0.3">
      <c r="A10" s="51" t="s">
        <v>0</v>
      </c>
      <c r="B10" s="51"/>
      <c r="C10" s="51"/>
      <c r="D10" s="51"/>
      <c r="E10" s="51"/>
      <c r="F10" s="51"/>
      <c r="G10" s="51"/>
      <c r="H10" s="51"/>
      <c r="I10" s="51"/>
      <c r="J10" s="51"/>
    </row>
    <row r="11" spans="1:10" s="6" customFormat="1" ht="15.95" customHeight="1" x14ac:dyDescent="0.2">
      <c r="A11" s="53" t="s">
        <v>4</v>
      </c>
      <c r="B11" s="53" t="s">
        <v>5</v>
      </c>
      <c r="C11" s="53"/>
      <c r="D11" s="53" t="s">
        <v>6</v>
      </c>
      <c r="E11" s="53"/>
      <c r="F11" s="53"/>
      <c r="G11" s="53"/>
      <c r="H11" s="53" t="s">
        <v>7</v>
      </c>
      <c r="I11" s="53"/>
      <c r="J11" s="53" t="s">
        <v>8</v>
      </c>
    </row>
    <row r="12" spans="1:10" s="6" customFormat="1" ht="24" customHeight="1" x14ac:dyDescent="0.2">
      <c r="A12" s="53"/>
      <c r="B12" s="36" t="s">
        <v>1</v>
      </c>
      <c r="C12" s="36" t="s">
        <v>2</v>
      </c>
      <c r="D12" s="36" t="s">
        <v>1</v>
      </c>
      <c r="E12" s="36" t="s">
        <v>2</v>
      </c>
      <c r="F12" s="36" t="s">
        <v>3</v>
      </c>
      <c r="G12" s="37" t="s">
        <v>10</v>
      </c>
      <c r="H12" s="36" t="s">
        <v>1</v>
      </c>
      <c r="I12" s="36" t="s">
        <v>2</v>
      </c>
      <c r="J12" s="53"/>
    </row>
    <row r="13" spans="1:10" s="6" customFormat="1" ht="15.95" customHeight="1" x14ac:dyDescent="0.2">
      <c r="A13" s="50" t="s">
        <v>15</v>
      </c>
      <c r="B13" s="50"/>
      <c r="C13" s="50"/>
      <c r="D13" s="50"/>
      <c r="E13" s="50"/>
      <c r="F13" s="50"/>
      <c r="G13" s="50"/>
      <c r="H13" s="50"/>
      <c r="I13" s="50"/>
      <c r="J13" s="50"/>
    </row>
    <row r="14" spans="1:10" s="6" customFormat="1" ht="15.95" customHeight="1" x14ac:dyDescent="0.2">
      <c r="A14" s="11" t="s">
        <v>62</v>
      </c>
      <c r="B14" s="29">
        <f>SUM(1.25/30)*12</f>
        <v>0.5</v>
      </c>
      <c r="C14" s="29">
        <v>0.5</v>
      </c>
      <c r="D14" s="29"/>
      <c r="E14" s="29"/>
      <c r="F14" s="29"/>
      <c r="G14" s="30"/>
      <c r="H14" s="29">
        <f>B14</f>
        <v>0.5</v>
      </c>
      <c r="I14" s="29">
        <f>C14</f>
        <v>0.5</v>
      </c>
      <c r="J14" s="30">
        <f>H14+I14</f>
        <v>1</v>
      </c>
    </row>
    <row r="15" spans="1:10" s="5" customFormat="1" ht="15.95" customHeight="1" x14ac:dyDescent="0.2">
      <c r="A15" s="7" t="s">
        <v>16</v>
      </c>
      <c r="B15" s="29">
        <f>1.25*8</f>
        <v>10</v>
      </c>
      <c r="C15" s="29">
        <v>10</v>
      </c>
      <c r="D15" s="29"/>
      <c r="E15" s="29"/>
      <c r="F15" s="29"/>
      <c r="G15" s="30"/>
      <c r="H15" s="29">
        <f>H14-F15-D15+B15</f>
        <v>10.5</v>
      </c>
      <c r="I15" s="29">
        <f>I14-E15+C15</f>
        <v>10.5</v>
      </c>
      <c r="J15" s="30">
        <f>H15+I15</f>
        <v>21</v>
      </c>
    </row>
    <row r="16" spans="1:10" s="5" customFormat="1" ht="15.95" customHeight="1" x14ac:dyDescent="0.2">
      <c r="A16" s="13" t="s">
        <v>17</v>
      </c>
      <c r="B16" s="29">
        <v>10</v>
      </c>
      <c r="C16" s="29">
        <v>10</v>
      </c>
      <c r="D16" s="29"/>
      <c r="E16" s="29"/>
      <c r="F16" s="29"/>
      <c r="G16" s="30"/>
      <c r="H16" s="29">
        <f>H15-F16-D16+B16</f>
        <v>20.5</v>
      </c>
      <c r="I16" s="29">
        <f>I15-E16+C16</f>
        <v>20.5</v>
      </c>
      <c r="J16" s="30">
        <f t="shared" ref="J16:J19" si="0">H16+I16</f>
        <v>41</v>
      </c>
    </row>
    <row r="17" spans="1:10" s="5" customFormat="1" ht="15.95" customHeight="1" x14ac:dyDescent="0.2">
      <c r="A17" s="13" t="s">
        <v>18</v>
      </c>
      <c r="B17" s="29"/>
      <c r="C17" s="29"/>
      <c r="D17" s="29">
        <v>15</v>
      </c>
      <c r="E17" s="29">
        <v>14</v>
      </c>
      <c r="F17" s="29"/>
      <c r="G17" s="30"/>
      <c r="H17" s="29">
        <f t="shared" ref="H17:H19" si="1">H16-F17-D17+B17</f>
        <v>5.5</v>
      </c>
      <c r="I17" s="29">
        <f t="shared" ref="I17:I19" si="2">I16-E17+C17</f>
        <v>6.5</v>
      </c>
      <c r="J17" s="30">
        <f t="shared" si="0"/>
        <v>12</v>
      </c>
    </row>
    <row r="18" spans="1:10" s="5" customFormat="1" ht="15.95" customHeight="1" x14ac:dyDescent="0.2">
      <c r="A18" s="13" t="s">
        <v>19</v>
      </c>
      <c r="B18" s="29">
        <v>5</v>
      </c>
      <c r="C18" s="29">
        <v>5</v>
      </c>
      <c r="D18" s="29"/>
      <c r="E18" s="29"/>
      <c r="F18" s="29"/>
      <c r="G18" s="30"/>
      <c r="H18" s="29">
        <f t="shared" si="1"/>
        <v>10.5</v>
      </c>
      <c r="I18" s="29">
        <f t="shared" si="2"/>
        <v>11.5</v>
      </c>
      <c r="J18" s="30">
        <f t="shared" si="0"/>
        <v>22</v>
      </c>
    </row>
    <row r="19" spans="1:10" s="5" customFormat="1" ht="15.95" customHeight="1" x14ac:dyDescent="0.2">
      <c r="A19" s="13" t="s">
        <v>20</v>
      </c>
      <c r="B19" s="29"/>
      <c r="C19" s="29"/>
      <c r="D19" s="29"/>
      <c r="E19" s="29">
        <v>2</v>
      </c>
      <c r="F19" s="29"/>
      <c r="G19" s="30"/>
      <c r="H19" s="29">
        <f t="shared" si="1"/>
        <v>10.5</v>
      </c>
      <c r="I19" s="29">
        <f t="shared" si="2"/>
        <v>9.5</v>
      </c>
      <c r="J19" s="30">
        <f t="shared" si="0"/>
        <v>20</v>
      </c>
    </row>
    <row r="20" spans="1:10" s="5" customFormat="1" ht="15.95" customHeight="1" x14ac:dyDescent="0.2">
      <c r="A20" s="13" t="s">
        <v>63</v>
      </c>
      <c r="B20" s="29"/>
      <c r="C20" s="29"/>
      <c r="D20" s="29"/>
      <c r="E20" s="29"/>
      <c r="F20" s="29">
        <v>5</v>
      </c>
      <c r="G20" s="30"/>
      <c r="H20" s="29">
        <f t="shared" ref="H20:H33" si="3">H19-F20-D20+B20</f>
        <v>5.5</v>
      </c>
      <c r="I20" s="29">
        <f t="shared" ref="I20:I33" si="4">I19-E20+C20</f>
        <v>9.5</v>
      </c>
      <c r="J20" s="30">
        <f t="shared" ref="J20:J33" si="5">H20+I20</f>
        <v>15</v>
      </c>
    </row>
    <row r="21" spans="1:10" s="5" customFormat="1" ht="15.95" customHeight="1" x14ac:dyDescent="0.2">
      <c r="A21" s="13" t="s">
        <v>26</v>
      </c>
      <c r="B21" s="29">
        <v>3.75</v>
      </c>
      <c r="C21" s="29">
        <v>3.75</v>
      </c>
      <c r="D21" s="29"/>
      <c r="E21" s="29"/>
      <c r="F21" s="29"/>
      <c r="G21" s="30"/>
      <c r="H21" s="29">
        <f t="shared" si="3"/>
        <v>9.25</v>
      </c>
      <c r="I21" s="29">
        <f t="shared" si="4"/>
        <v>13.25</v>
      </c>
      <c r="J21" s="30">
        <f t="shared" si="5"/>
        <v>22.5</v>
      </c>
    </row>
    <row r="22" spans="1:10" s="5" customFormat="1" ht="15.95" customHeight="1" x14ac:dyDescent="0.2">
      <c r="A22" s="13" t="s">
        <v>27</v>
      </c>
      <c r="B22" s="29"/>
      <c r="C22" s="29"/>
      <c r="D22" s="29"/>
      <c r="E22" s="29"/>
      <c r="F22" s="29">
        <v>2</v>
      </c>
      <c r="G22" s="30"/>
      <c r="H22" s="29">
        <f t="shared" si="3"/>
        <v>7.25</v>
      </c>
      <c r="I22" s="29">
        <f t="shared" si="4"/>
        <v>13.25</v>
      </c>
      <c r="J22" s="30">
        <f t="shared" si="5"/>
        <v>20.5</v>
      </c>
    </row>
    <row r="23" spans="1:10" s="5" customFormat="1" ht="15.95" customHeight="1" x14ac:dyDescent="0.2">
      <c r="A23" s="13" t="s">
        <v>28</v>
      </c>
      <c r="B23" s="29"/>
      <c r="C23" s="29"/>
      <c r="D23" s="29"/>
      <c r="E23" s="29"/>
      <c r="F23" s="29">
        <v>1</v>
      </c>
      <c r="G23" s="30"/>
      <c r="H23" s="29">
        <f t="shared" si="3"/>
        <v>6.25</v>
      </c>
      <c r="I23" s="29">
        <f t="shared" si="4"/>
        <v>13.25</v>
      </c>
      <c r="J23" s="30">
        <f t="shared" si="5"/>
        <v>19.5</v>
      </c>
    </row>
    <row r="24" spans="1:10" s="5" customFormat="1" ht="15.95" customHeight="1" x14ac:dyDescent="0.2">
      <c r="A24" s="13" t="s">
        <v>29</v>
      </c>
      <c r="B24" s="13">
        <v>1.25</v>
      </c>
      <c r="C24" s="13">
        <v>1.25</v>
      </c>
      <c r="D24" s="13"/>
      <c r="E24" s="13"/>
      <c r="F24" s="13"/>
      <c r="G24" s="31"/>
      <c r="H24" s="29">
        <f t="shared" si="3"/>
        <v>7.5</v>
      </c>
      <c r="I24" s="29">
        <f t="shared" si="4"/>
        <v>14.5</v>
      </c>
      <c r="J24" s="30">
        <f t="shared" si="5"/>
        <v>22</v>
      </c>
    </row>
    <row r="25" spans="1:10" s="5" customFormat="1" ht="15.95" customHeight="1" x14ac:dyDescent="0.2">
      <c r="A25" s="13" t="s">
        <v>30</v>
      </c>
      <c r="B25" s="13"/>
      <c r="C25" s="13"/>
      <c r="D25" s="13"/>
      <c r="E25" s="13"/>
      <c r="F25" s="29">
        <v>2</v>
      </c>
      <c r="G25" s="31"/>
      <c r="H25" s="29">
        <f t="shared" si="3"/>
        <v>5.5</v>
      </c>
      <c r="I25" s="29">
        <f t="shared" si="4"/>
        <v>14.5</v>
      </c>
      <c r="J25" s="30">
        <f t="shared" si="5"/>
        <v>20</v>
      </c>
    </row>
    <row r="26" spans="1:10" s="5" customFormat="1" ht="15.95" customHeight="1" x14ac:dyDescent="0.2">
      <c r="A26" s="13" t="s">
        <v>51</v>
      </c>
      <c r="B26" s="13">
        <v>1.25</v>
      </c>
      <c r="C26" s="13">
        <v>1.25</v>
      </c>
      <c r="D26" s="13"/>
      <c r="E26" s="13"/>
      <c r="F26" s="13"/>
      <c r="G26" s="31"/>
      <c r="H26" s="29">
        <f t="shared" si="3"/>
        <v>6.75</v>
      </c>
      <c r="I26" s="29">
        <f t="shared" si="4"/>
        <v>15.75</v>
      </c>
      <c r="J26" s="30">
        <f t="shared" si="5"/>
        <v>22.5</v>
      </c>
    </row>
    <row r="27" spans="1:10" s="5" customFormat="1" ht="15.95" customHeight="1" x14ac:dyDescent="0.2">
      <c r="A27" s="13" t="s">
        <v>52</v>
      </c>
      <c r="B27" s="13">
        <v>3.75</v>
      </c>
      <c r="C27" s="13">
        <v>3.75</v>
      </c>
      <c r="D27" s="13"/>
      <c r="E27" s="13"/>
      <c r="F27" s="13"/>
      <c r="G27" s="31"/>
      <c r="H27" s="29">
        <f t="shared" si="3"/>
        <v>10.5</v>
      </c>
      <c r="I27" s="29">
        <f t="shared" si="4"/>
        <v>19.5</v>
      </c>
      <c r="J27" s="30">
        <f t="shared" si="5"/>
        <v>30</v>
      </c>
    </row>
    <row r="28" spans="1:10" s="5" customFormat="1" ht="15.95" customHeight="1" x14ac:dyDescent="0.2">
      <c r="A28" s="13" t="s">
        <v>53</v>
      </c>
      <c r="B28" s="13"/>
      <c r="C28" s="13"/>
      <c r="D28" s="13">
        <v>10</v>
      </c>
      <c r="E28" s="13">
        <v>14</v>
      </c>
      <c r="F28" s="13"/>
      <c r="G28" s="31"/>
      <c r="H28" s="29">
        <f t="shared" si="3"/>
        <v>0.5</v>
      </c>
      <c r="I28" s="29">
        <f t="shared" si="4"/>
        <v>5.5</v>
      </c>
      <c r="J28" s="30">
        <f t="shared" si="5"/>
        <v>6</v>
      </c>
    </row>
    <row r="29" spans="1:10" s="5" customFormat="1" ht="15.95" customHeight="1" x14ac:dyDescent="0.2">
      <c r="A29" s="13" t="s">
        <v>54</v>
      </c>
      <c r="B29" s="13"/>
      <c r="C29" s="13"/>
      <c r="D29" s="13"/>
      <c r="E29" s="13">
        <v>1</v>
      </c>
      <c r="F29" s="13"/>
      <c r="G29" s="31"/>
      <c r="H29" s="29">
        <f t="shared" si="3"/>
        <v>0.5</v>
      </c>
      <c r="I29" s="29">
        <f t="shared" si="4"/>
        <v>4.5</v>
      </c>
      <c r="J29" s="30">
        <f t="shared" si="5"/>
        <v>5</v>
      </c>
    </row>
    <row r="30" spans="1:10" s="5" customFormat="1" ht="15.95" customHeight="1" x14ac:dyDescent="0.2">
      <c r="A30" s="13" t="s">
        <v>55</v>
      </c>
      <c r="B30" s="13">
        <v>2.5</v>
      </c>
      <c r="C30" s="13">
        <v>2.5</v>
      </c>
      <c r="D30" s="13"/>
      <c r="E30" s="13"/>
      <c r="F30" s="13"/>
      <c r="G30" s="31"/>
      <c r="H30" s="29">
        <f t="shared" si="3"/>
        <v>3</v>
      </c>
      <c r="I30" s="29">
        <f t="shared" si="4"/>
        <v>7</v>
      </c>
      <c r="J30" s="30">
        <f t="shared" si="5"/>
        <v>10</v>
      </c>
    </row>
    <row r="31" spans="1:10" s="5" customFormat="1" ht="15.95" customHeight="1" x14ac:dyDescent="0.2">
      <c r="A31" s="13" t="s">
        <v>56</v>
      </c>
      <c r="B31" s="13"/>
      <c r="C31" s="13"/>
      <c r="D31" s="13"/>
      <c r="E31" s="13">
        <v>1</v>
      </c>
      <c r="F31" s="13"/>
      <c r="G31" s="31"/>
      <c r="H31" s="29">
        <f t="shared" si="3"/>
        <v>3</v>
      </c>
      <c r="I31" s="29">
        <f t="shared" si="4"/>
        <v>6</v>
      </c>
      <c r="J31" s="30">
        <f t="shared" si="5"/>
        <v>9</v>
      </c>
    </row>
    <row r="32" spans="1:10" s="5" customFormat="1" ht="15.95" customHeight="1" x14ac:dyDescent="0.2">
      <c r="A32" s="13" t="s">
        <v>57</v>
      </c>
      <c r="B32" s="13">
        <v>1.25</v>
      </c>
      <c r="C32" s="13">
        <v>1.25</v>
      </c>
      <c r="D32" s="13"/>
      <c r="E32" s="13"/>
      <c r="F32" s="13"/>
      <c r="G32" s="31"/>
      <c r="H32" s="29">
        <f t="shared" si="3"/>
        <v>4.25</v>
      </c>
      <c r="I32" s="29">
        <f t="shared" si="4"/>
        <v>7.25</v>
      </c>
      <c r="J32" s="30">
        <f t="shared" si="5"/>
        <v>11.5</v>
      </c>
    </row>
    <row r="33" spans="1:10" s="5" customFormat="1" ht="15.95" customHeight="1" x14ac:dyDescent="0.2">
      <c r="A33" s="13" t="s">
        <v>58</v>
      </c>
      <c r="B33" s="13"/>
      <c r="C33" s="13"/>
      <c r="D33" s="13">
        <v>2</v>
      </c>
      <c r="E33" s="13"/>
      <c r="F33" s="13"/>
      <c r="G33" s="31"/>
      <c r="H33" s="29">
        <f t="shared" si="3"/>
        <v>2.25</v>
      </c>
      <c r="I33" s="29">
        <f t="shared" si="4"/>
        <v>7.25</v>
      </c>
      <c r="J33" s="30">
        <f t="shared" si="5"/>
        <v>9.5</v>
      </c>
    </row>
    <row r="34" spans="1:10" s="5" customFormat="1" ht="15.95" customHeight="1" x14ac:dyDescent="0.2">
      <c r="A34" s="13" t="s">
        <v>64</v>
      </c>
      <c r="B34" s="13">
        <v>1.25</v>
      </c>
      <c r="C34" s="13">
        <v>1.25</v>
      </c>
      <c r="D34" s="13"/>
      <c r="E34" s="13"/>
      <c r="F34" s="13"/>
      <c r="G34" s="31"/>
      <c r="H34" s="29">
        <f t="shared" ref="H34:H38" si="6">H33-F34-D34+B34</f>
        <v>3.5</v>
      </c>
      <c r="I34" s="29">
        <f t="shared" ref="I34:I38" si="7">I33-E34+C34</f>
        <v>8.5</v>
      </c>
      <c r="J34" s="30">
        <f t="shared" ref="J34:J38" si="8">H34+I34</f>
        <v>12</v>
      </c>
    </row>
    <row r="35" spans="1:10" s="5" customFormat="1" ht="15.95" customHeight="1" x14ac:dyDescent="0.2">
      <c r="A35" s="13" t="s">
        <v>68</v>
      </c>
      <c r="B35" s="13">
        <v>2.5</v>
      </c>
      <c r="C35" s="13">
        <v>2.5</v>
      </c>
      <c r="D35" s="13"/>
      <c r="E35" s="13"/>
      <c r="F35" s="13"/>
      <c r="G35" s="31"/>
      <c r="H35" s="29">
        <f t="shared" si="6"/>
        <v>6</v>
      </c>
      <c r="I35" s="29">
        <f t="shared" si="7"/>
        <v>11</v>
      </c>
      <c r="J35" s="30">
        <f t="shared" si="8"/>
        <v>17</v>
      </c>
    </row>
    <row r="36" spans="1:10" s="5" customFormat="1" ht="18" customHeight="1" x14ac:dyDescent="0.2">
      <c r="A36" s="13" t="s">
        <v>59</v>
      </c>
      <c r="B36" s="13"/>
      <c r="C36" s="13"/>
      <c r="D36" s="13"/>
      <c r="E36" s="13">
        <v>1</v>
      </c>
      <c r="F36" s="13"/>
      <c r="G36" s="31"/>
      <c r="H36" s="29">
        <f t="shared" si="6"/>
        <v>6</v>
      </c>
      <c r="I36" s="29">
        <f t="shared" si="7"/>
        <v>10</v>
      </c>
      <c r="J36" s="30">
        <f t="shared" si="8"/>
        <v>16</v>
      </c>
    </row>
    <row r="37" spans="1:10" s="5" customFormat="1" ht="18" customHeight="1" x14ac:dyDescent="0.2">
      <c r="A37" s="13" t="s">
        <v>60</v>
      </c>
      <c r="B37" s="13">
        <v>6.25</v>
      </c>
      <c r="C37" s="13">
        <v>6.25</v>
      </c>
      <c r="D37" s="13"/>
      <c r="E37" s="13"/>
      <c r="F37" s="13"/>
      <c r="G37" s="31"/>
      <c r="H37" s="29">
        <f t="shared" si="6"/>
        <v>12.25</v>
      </c>
      <c r="I37" s="29">
        <f t="shared" si="7"/>
        <v>16.25</v>
      </c>
      <c r="J37" s="30">
        <f t="shared" si="8"/>
        <v>28.5</v>
      </c>
    </row>
    <row r="38" spans="1:10" s="5" customFormat="1" ht="18" customHeight="1" x14ac:dyDescent="0.2">
      <c r="A38" s="13" t="s">
        <v>61</v>
      </c>
      <c r="B38" s="13"/>
      <c r="C38" s="13"/>
      <c r="D38" s="13"/>
      <c r="E38" s="13">
        <v>1</v>
      </c>
      <c r="F38" s="13"/>
      <c r="G38" s="31"/>
      <c r="H38" s="29">
        <f t="shared" si="6"/>
        <v>12.25</v>
      </c>
      <c r="I38" s="29">
        <f t="shared" si="7"/>
        <v>15.25</v>
      </c>
      <c r="J38" s="30">
        <f t="shared" si="8"/>
        <v>27.5</v>
      </c>
    </row>
    <row r="39" spans="1:10" s="5" customFormat="1" ht="18" customHeight="1" x14ac:dyDescent="0.2">
      <c r="A39" s="13" t="s">
        <v>65</v>
      </c>
      <c r="B39" s="13">
        <v>2.5</v>
      </c>
      <c r="C39" s="13">
        <v>2.5</v>
      </c>
      <c r="D39" s="13"/>
      <c r="E39" s="13"/>
      <c r="F39" s="13"/>
      <c r="G39" s="31"/>
      <c r="H39" s="29">
        <f t="shared" ref="H39:H40" si="9">H38-F39-D39+B39</f>
        <v>14.75</v>
      </c>
      <c r="I39" s="29">
        <f t="shared" ref="I39:I40" si="10">I38-E39+C39</f>
        <v>17.75</v>
      </c>
      <c r="J39" s="30">
        <f t="shared" ref="J39:J40" si="11">H39+I39</f>
        <v>32.5</v>
      </c>
    </row>
    <row r="40" spans="1:10" s="5" customFormat="1" ht="18" customHeight="1" x14ac:dyDescent="0.2">
      <c r="A40" s="13" t="s">
        <v>66</v>
      </c>
      <c r="B40" s="13"/>
      <c r="C40" s="13"/>
      <c r="D40" s="13"/>
      <c r="E40" s="13">
        <v>1</v>
      </c>
      <c r="F40" s="13"/>
      <c r="G40" s="31"/>
      <c r="H40" s="29">
        <f t="shared" si="9"/>
        <v>14.75</v>
      </c>
      <c r="I40" s="29">
        <f t="shared" si="10"/>
        <v>16.75</v>
      </c>
      <c r="J40" s="30">
        <f t="shared" si="11"/>
        <v>31.5</v>
      </c>
    </row>
    <row r="41" spans="1:10" s="5" customFormat="1" ht="18" customHeight="1" x14ac:dyDescent="0.2">
      <c r="A41" s="13" t="s">
        <v>67</v>
      </c>
      <c r="B41" s="13"/>
      <c r="C41" s="13"/>
      <c r="D41" s="13"/>
      <c r="E41" s="13">
        <v>1</v>
      </c>
      <c r="F41" s="13"/>
      <c r="G41" s="31"/>
      <c r="H41" s="29">
        <f t="shared" ref="H41" si="12">H40-F41-D41+B41</f>
        <v>14.75</v>
      </c>
      <c r="I41" s="29">
        <f t="shared" ref="I41" si="13">I40-E41+C41</f>
        <v>15.75</v>
      </c>
      <c r="J41" s="30">
        <f t="shared" ref="J41" si="14">H41+I41</f>
        <v>30.5</v>
      </c>
    </row>
    <row r="42" spans="1:10" s="5" customFormat="1" ht="18" customHeight="1" x14ac:dyDescent="0.2">
      <c r="A42" s="13" t="s">
        <v>69</v>
      </c>
      <c r="B42" s="13">
        <v>1.25</v>
      </c>
      <c r="C42" s="13">
        <v>1.25</v>
      </c>
      <c r="D42" s="13"/>
      <c r="E42" s="13"/>
      <c r="F42" s="13"/>
      <c r="G42" s="31"/>
      <c r="H42" s="29">
        <f t="shared" ref="H42:H43" si="15">H41-F42-D42+B42</f>
        <v>16</v>
      </c>
      <c r="I42" s="29">
        <f t="shared" ref="I42:I43" si="16">I41-E42+C42</f>
        <v>17</v>
      </c>
      <c r="J42" s="30">
        <f t="shared" ref="J42:J43" si="17">H42+I42</f>
        <v>33</v>
      </c>
    </row>
    <row r="43" spans="1:10" s="5" customFormat="1" ht="18" customHeight="1" x14ac:dyDescent="0.2">
      <c r="A43" s="13" t="s">
        <v>70</v>
      </c>
      <c r="B43" s="13"/>
      <c r="C43" s="13"/>
      <c r="D43" s="13">
        <v>1</v>
      </c>
      <c r="E43" s="13"/>
      <c r="F43" s="13"/>
      <c r="G43" s="31"/>
      <c r="H43" s="29">
        <f t="shared" si="15"/>
        <v>15</v>
      </c>
      <c r="I43" s="29">
        <f t="shared" si="16"/>
        <v>17</v>
      </c>
      <c r="J43" s="30">
        <f t="shared" si="17"/>
        <v>32</v>
      </c>
    </row>
    <row r="44" spans="1:10" s="5" customFormat="1" ht="18" customHeight="1" x14ac:dyDescent="0.2">
      <c r="A44" s="32"/>
      <c r="B44" s="32"/>
      <c r="C44" s="32"/>
      <c r="D44" s="32"/>
      <c r="E44" s="32"/>
      <c r="F44" s="32"/>
      <c r="G44" s="33"/>
      <c r="H44" s="34"/>
      <c r="I44" s="34"/>
      <c r="J44" s="35"/>
    </row>
    <row r="45" spans="1:10" s="1" customFormat="1" ht="15.95" customHeight="1" x14ac:dyDescent="0.25"/>
    <row r="46" spans="1:10" s="1" customFormat="1" ht="15.95" customHeight="1" x14ac:dyDescent="0.25"/>
    <row r="47" spans="1:10" s="1" customFormat="1" ht="15.95" customHeight="1" x14ac:dyDescent="0.25"/>
    <row r="48" spans="1:10" s="1" customFormat="1" ht="15.95" customHeight="1" x14ac:dyDescent="0.25"/>
    <row r="49" s="1" customFormat="1" ht="15.95" customHeight="1" x14ac:dyDescent="0.25"/>
    <row r="50" s="1" customFormat="1" ht="15.95" customHeight="1" x14ac:dyDescent="0.25"/>
    <row r="51" s="1" customFormat="1" ht="15.95" customHeight="1" x14ac:dyDescent="0.25"/>
    <row r="52" ht="15.95" customHeight="1" x14ac:dyDescent="0.25"/>
    <row r="53" ht="15.95" customHeight="1" x14ac:dyDescent="0.25"/>
    <row r="54" ht="15.95" customHeight="1" x14ac:dyDescent="0.25"/>
    <row r="55" ht="15.95" customHeight="1" x14ac:dyDescent="0.25"/>
    <row r="56" ht="15.95" customHeight="1" x14ac:dyDescent="0.25"/>
    <row r="57" ht="15.95" customHeight="1" x14ac:dyDescent="0.25"/>
    <row r="58" ht="15.95" customHeight="1" x14ac:dyDescent="0.25"/>
    <row r="59" ht="15.95" customHeight="1" x14ac:dyDescent="0.25"/>
    <row r="60" ht="15.95" customHeight="1" x14ac:dyDescent="0.25"/>
    <row r="61" ht="15.95" customHeight="1" x14ac:dyDescent="0.25"/>
    <row r="62" ht="15.95" customHeight="1" x14ac:dyDescent="0.25"/>
    <row r="63" ht="15.95" customHeight="1" x14ac:dyDescent="0.25"/>
    <row r="64" ht="15.95" customHeight="1" x14ac:dyDescent="0.25"/>
    <row r="65" ht="15.95" customHeight="1" x14ac:dyDescent="0.25"/>
    <row r="66" ht="15.95" customHeight="1" x14ac:dyDescent="0.25"/>
    <row r="67" ht="15.95" customHeight="1" x14ac:dyDescent="0.25"/>
    <row r="68" ht="15.95" customHeight="1" x14ac:dyDescent="0.25"/>
    <row r="69" ht="15.95" customHeight="1" x14ac:dyDescent="0.25"/>
    <row r="70" ht="15.95" customHeight="1" x14ac:dyDescent="0.25"/>
    <row r="71" ht="15.95" customHeight="1" x14ac:dyDescent="0.25"/>
    <row r="72" ht="15.95" customHeight="1" x14ac:dyDescent="0.25"/>
    <row r="73" ht="15.95" customHeight="1" x14ac:dyDescent="0.25"/>
    <row r="74" ht="15.95" customHeight="1" x14ac:dyDescent="0.25"/>
    <row r="75" ht="15.95" customHeight="1" x14ac:dyDescent="0.25"/>
    <row r="76" ht="15.95" customHeight="1" x14ac:dyDescent="0.25"/>
    <row r="77" ht="15.95" customHeight="1" x14ac:dyDescent="0.25"/>
    <row r="78" ht="15.95" customHeight="1" x14ac:dyDescent="0.25"/>
    <row r="79" ht="15.95" customHeight="1" x14ac:dyDescent="0.25"/>
    <row r="80" ht="15.95" customHeight="1" x14ac:dyDescent="0.25"/>
    <row r="81" ht="15.95" customHeight="1" x14ac:dyDescent="0.25"/>
    <row r="82" ht="15.95" customHeight="1" x14ac:dyDescent="0.25"/>
    <row r="83" ht="15.95" customHeight="1" x14ac:dyDescent="0.25"/>
    <row r="84" ht="15.95" customHeight="1" x14ac:dyDescent="0.25"/>
    <row r="85" ht="15.95" customHeight="1" x14ac:dyDescent="0.25"/>
    <row r="86" ht="15.95" customHeight="1" x14ac:dyDescent="0.25"/>
    <row r="87" ht="15.95" customHeight="1" x14ac:dyDescent="0.25"/>
    <row r="88" ht="15.95" customHeight="1" x14ac:dyDescent="0.25"/>
    <row r="89" ht="15.95" customHeight="1" x14ac:dyDescent="0.25"/>
    <row r="90" ht="15.95" customHeight="1" x14ac:dyDescent="0.25"/>
    <row r="91" ht="15.95" customHeight="1" x14ac:dyDescent="0.25"/>
    <row r="92" ht="15.95" customHeight="1" x14ac:dyDescent="0.25"/>
    <row r="93" ht="15.95" customHeight="1" x14ac:dyDescent="0.25"/>
    <row r="94" ht="15.95" customHeight="1" x14ac:dyDescent="0.25"/>
    <row r="95" ht="15.95" customHeight="1" x14ac:dyDescent="0.25"/>
    <row r="96" ht="15.95" customHeight="1" x14ac:dyDescent="0.25"/>
    <row r="97" ht="15.95" customHeight="1" x14ac:dyDescent="0.25"/>
    <row r="98" ht="15.95" customHeight="1" x14ac:dyDescent="0.25"/>
    <row r="99" ht="15.95" customHeight="1" x14ac:dyDescent="0.25"/>
    <row r="100" ht="15.95" customHeight="1" x14ac:dyDescent="0.25"/>
    <row r="101" ht="15.95" customHeight="1" x14ac:dyDescent="0.25"/>
    <row r="102" ht="15.95" customHeight="1" x14ac:dyDescent="0.25"/>
    <row r="103" ht="15.95" customHeight="1" x14ac:dyDescent="0.25"/>
    <row r="104" ht="15.95" customHeight="1" x14ac:dyDescent="0.25"/>
    <row r="105" ht="15.95" customHeight="1" x14ac:dyDescent="0.25"/>
    <row r="106" ht="15.95" customHeight="1" x14ac:dyDescent="0.25"/>
    <row r="107" ht="15.95" customHeight="1" x14ac:dyDescent="0.25"/>
    <row r="108" ht="15.95" customHeight="1" x14ac:dyDescent="0.25"/>
    <row r="109" ht="15.95" customHeight="1" x14ac:dyDescent="0.25"/>
    <row r="110" ht="15.95" customHeight="1" x14ac:dyDescent="0.25"/>
    <row r="111" ht="15.95" customHeight="1" x14ac:dyDescent="0.25"/>
    <row r="112" ht="15.95" customHeight="1" x14ac:dyDescent="0.25"/>
    <row r="113" ht="15.95" customHeight="1" x14ac:dyDescent="0.25"/>
    <row r="114" ht="15.95" customHeight="1" x14ac:dyDescent="0.25"/>
    <row r="115" ht="15.95" customHeight="1" x14ac:dyDescent="0.25"/>
    <row r="116" ht="15.95" customHeight="1" x14ac:dyDescent="0.25"/>
    <row r="117" ht="15.95" customHeight="1" x14ac:dyDescent="0.25"/>
    <row r="118" ht="15.95" customHeight="1" x14ac:dyDescent="0.25"/>
    <row r="119" ht="15.95" customHeight="1" x14ac:dyDescent="0.25"/>
  </sheetData>
  <mergeCells count="13">
    <mergeCell ref="B9:D9"/>
    <mergeCell ref="A10:J10"/>
    <mergeCell ref="A2:J2"/>
    <mergeCell ref="A3:J3"/>
    <mergeCell ref="A4:J4"/>
    <mergeCell ref="A5:J5"/>
    <mergeCell ref="B7:D7"/>
    <mergeCell ref="A13:J13"/>
    <mergeCell ref="A11:A12"/>
    <mergeCell ref="J11:J12"/>
    <mergeCell ref="B11:C11"/>
    <mergeCell ref="D11:G11"/>
    <mergeCell ref="H11:I11"/>
  </mergeCells>
  <phoneticPr fontId="5" type="noConversion"/>
  <printOptions horizontalCentered="1"/>
  <pageMargins left="0.5" right="0.5" top="0.5" bottom="0.5" header="0" footer="0.31496062992126"/>
  <pageSetup paperSize="14" scale="70" fitToHeight="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9"/>
  <sheetViews>
    <sheetView view="pageBreakPreview" topLeftCell="A10" zoomScale="98" zoomScaleNormal="100" zoomScaleSheetLayoutView="98" workbookViewId="0">
      <selection activeCell="Q17" sqref="Q17"/>
    </sheetView>
  </sheetViews>
  <sheetFormatPr defaultRowHeight="15" x14ac:dyDescent="0.25"/>
  <cols>
    <col min="1" max="1" width="27.140625" customWidth="1"/>
    <col min="2" max="11" width="9.5703125" customWidth="1"/>
    <col min="12" max="12" width="7.5703125" customWidth="1"/>
    <col min="13" max="13" width="8.7109375" hidden="1" customWidth="1"/>
  </cols>
  <sheetData>
    <row r="1" spans="1:12" s="1" customFormat="1" ht="52.5" customHeight="1" x14ac:dyDescent="0.25">
      <c r="C1" s="14"/>
      <c r="D1" s="15"/>
      <c r="H1" s="16"/>
    </row>
    <row r="2" spans="1:12" s="1" customFormat="1" ht="10.5" customHeight="1" x14ac:dyDescent="0.25">
      <c r="A2" s="49" t="s">
        <v>11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</row>
    <row r="3" spans="1:12" s="1" customFormat="1" ht="15.95" customHeight="1" x14ac:dyDescent="0.25">
      <c r="A3" s="49" t="s">
        <v>12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</row>
    <row r="4" spans="1:12" s="1" customFormat="1" ht="15.95" customHeight="1" x14ac:dyDescent="0.25">
      <c r="A4" s="49" t="s">
        <v>13</v>
      </c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</row>
    <row r="5" spans="1:12" s="1" customFormat="1" ht="15.95" customHeight="1" x14ac:dyDescent="0.25">
      <c r="A5" s="49" t="s">
        <v>14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</row>
    <row r="6" spans="1:12" s="1" customFormat="1" ht="8.25" customHeight="1" x14ac:dyDescent="0.25">
      <c r="C6" s="16"/>
      <c r="H6" s="16"/>
    </row>
    <row r="7" spans="1:12" s="1" customFormat="1" ht="8.25" customHeight="1" x14ac:dyDescent="0.25">
      <c r="C7" s="16"/>
      <c r="H7" s="16"/>
    </row>
    <row r="8" spans="1:12" s="1" customFormat="1" ht="12" customHeight="1" x14ac:dyDescent="0.25">
      <c r="A8" s="17" t="s">
        <v>31</v>
      </c>
      <c r="B8" s="17"/>
      <c r="C8" s="54" t="s">
        <v>32</v>
      </c>
      <c r="D8" s="54"/>
      <c r="E8" s="54"/>
      <c r="F8" s="54"/>
      <c r="G8" s="54"/>
      <c r="I8" s="54" t="s">
        <v>33</v>
      </c>
      <c r="J8" s="54"/>
      <c r="K8" s="54"/>
      <c r="L8" s="17"/>
    </row>
    <row r="9" spans="1:12" s="1" customFormat="1" ht="12" customHeight="1" x14ac:dyDescent="0.25">
      <c r="B9" s="18"/>
      <c r="C9" s="54" t="s">
        <v>34</v>
      </c>
      <c r="D9" s="54"/>
      <c r="E9" s="54"/>
      <c r="F9" s="54"/>
      <c r="G9" s="54"/>
      <c r="I9" s="55" t="s">
        <v>35</v>
      </c>
      <c r="J9" s="55"/>
      <c r="K9" s="55"/>
      <c r="L9" s="18"/>
    </row>
    <row r="10" spans="1:12" s="1" customFormat="1" ht="12" customHeight="1" x14ac:dyDescent="0.25">
      <c r="A10" s="17" t="s">
        <v>36</v>
      </c>
      <c r="B10" s="17"/>
      <c r="C10" s="19"/>
      <c r="D10" s="18"/>
      <c r="E10" s="18"/>
      <c r="I10" s="54" t="s">
        <v>37</v>
      </c>
      <c r="J10" s="54"/>
      <c r="K10" s="54"/>
      <c r="L10" s="17"/>
    </row>
    <row r="11" spans="1:12" ht="16.5" customHeight="1" thickBot="1" x14ac:dyDescent="0.3">
      <c r="A11" s="56" t="s">
        <v>38</v>
      </c>
      <c r="B11" s="56"/>
      <c r="C11" s="56"/>
      <c r="D11" s="56"/>
      <c r="E11" s="56"/>
      <c r="F11" s="56"/>
      <c r="G11" s="56"/>
      <c r="H11" s="56"/>
      <c r="I11" s="56"/>
      <c r="J11" s="56"/>
      <c r="K11" s="56"/>
      <c r="L11" s="56"/>
    </row>
    <row r="12" spans="1:12" s="23" customFormat="1" ht="48" x14ac:dyDescent="0.2">
      <c r="A12" s="20" t="s">
        <v>4</v>
      </c>
      <c r="B12" s="21" t="s">
        <v>39</v>
      </c>
      <c r="C12" s="21" t="s">
        <v>40</v>
      </c>
      <c r="D12" s="21" t="s">
        <v>41</v>
      </c>
      <c r="E12" s="21" t="s">
        <v>42</v>
      </c>
      <c r="F12" s="21" t="s">
        <v>43</v>
      </c>
      <c r="G12" s="21" t="s">
        <v>44</v>
      </c>
      <c r="H12" s="21" t="s">
        <v>45</v>
      </c>
      <c r="I12" s="21" t="s">
        <v>46</v>
      </c>
      <c r="J12" s="21" t="s">
        <v>47</v>
      </c>
      <c r="K12" s="21" t="s">
        <v>48</v>
      </c>
      <c r="L12" s="22" t="s">
        <v>8</v>
      </c>
    </row>
    <row r="13" spans="1:12" s="23" customFormat="1" x14ac:dyDescent="0.2">
      <c r="A13" s="24" t="s">
        <v>49</v>
      </c>
      <c r="B13" s="11"/>
      <c r="C13" s="7">
        <v>3</v>
      </c>
      <c r="D13" s="7"/>
      <c r="E13" s="11"/>
      <c r="F13" s="11"/>
      <c r="G13" s="11"/>
      <c r="H13" s="7"/>
      <c r="I13" s="11"/>
      <c r="J13" s="11"/>
      <c r="K13" s="11"/>
      <c r="L13" s="25">
        <v>3</v>
      </c>
    </row>
    <row r="14" spans="1:12" s="23" customFormat="1" x14ac:dyDescent="0.2">
      <c r="A14" s="24" t="s">
        <v>50</v>
      </c>
      <c r="B14" s="11"/>
      <c r="C14" s="7">
        <v>4</v>
      </c>
      <c r="D14" s="7"/>
      <c r="E14" s="11"/>
      <c r="F14" s="11"/>
      <c r="G14" s="11"/>
      <c r="H14" s="7"/>
      <c r="I14" s="11"/>
      <c r="J14" s="11"/>
      <c r="K14" s="11"/>
      <c r="L14" s="25">
        <v>4</v>
      </c>
    </row>
    <row r="15" spans="1:12" s="23" customFormat="1" x14ac:dyDescent="0.2">
      <c r="A15" s="24"/>
      <c r="B15" s="11"/>
      <c r="C15" s="7"/>
      <c r="D15" s="7"/>
      <c r="E15" s="11"/>
      <c r="F15" s="11"/>
      <c r="G15" s="11"/>
      <c r="H15" s="7"/>
      <c r="I15" s="11"/>
      <c r="J15" s="11"/>
      <c r="K15" s="11" t="s">
        <v>8</v>
      </c>
      <c r="L15" s="28">
        <v>7</v>
      </c>
    </row>
    <row r="16" spans="1:12" s="27" customFormat="1" x14ac:dyDescent="0.2">
      <c r="A16" s="26"/>
      <c r="B16" s="11"/>
      <c r="C16" s="7"/>
      <c r="D16" s="7"/>
      <c r="E16" s="11"/>
      <c r="F16" s="11"/>
      <c r="G16" s="11"/>
      <c r="H16" s="7"/>
      <c r="I16" s="11"/>
      <c r="J16" s="11"/>
      <c r="K16" s="11" t="s">
        <v>7</v>
      </c>
      <c r="L16" s="28">
        <v>0</v>
      </c>
    </row>
    <row r="17" spans="1:12" ht="75.75" customHeight="1" x14ac:dyDescent="0.25">
      <c r="A17" s="57"/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</row>
    <row r="18" spans="1:12" s="1" customFormat="1" x14ac:dyDescent="0.25">
      <c r="C18" s="16"/>
    </row>
    <row r="19" spans="1:12" s="1" customFormat="1" x14ac:dyDescent="0.25">
      <c r="C19" s="16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17:L17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CORRECTED</vt:lpstr>
      <vt:lpstr>Leave Card (NE)</vt:lpstr>
      <vt:lpstr>Other types of leave</vt:lpstr>
      <vt:lpstr>CORRECTED!Print_Area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2025-09-03T03:46:24Z</cp:lastPrinted>
  <dcterms:created xsi:type="dcterms:W3CDTF">2021-10-07T06:10:16Z</dcterms:created>
  <dcterms:modified xsi:type="dcterms:W3CDTF">2025-09-03T03:47:20Z</dcterms:modified>
</cp:coreProperties>
</file>