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205B535-DA14-4912-8713-CE55893FB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Sheet1!$A$1:$J$106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" l="1"/>
  <c r="H99" i="1" s="1"/>
  <c r="I98" i="1"/>
  <c r="I99" i="1" s="1"/>
  <c r="J98" i="1"/>
  <c r="I14" i="1"/>
  <c r="I15" i="1" s="1"/>
  <c r="I16" i="1" s="1"/>
  <c r="I17" i="1" s="1"/>
  <c r="I18" i="1" s="1"/>
  <c r="I19" i="1" s="1"/>
  <c r="I20" i="1" s="1"/>
  <c r="I21" i="1" s="1"/>
  <c r="I22" i="1" s="1"/>
  <c r="H14" i="1"/>
  <c r="H15" i="1" s="1"/>
  <c r="J99" i="1" l="1"/>
  <c r="H16" i="1"/>
  <c r="J15" i="1"/>
  <c r="I23" i="1"/>
  <c r="J14" i="1"/>
  <c r="I24" i="1" l="1"/>
  <c r="I25" i="1" s="1"/>
  <c r="I26" i="1" s="1"/>
  <c r="J16" i="1"/>
  <c r="H17" i="1"/>
  <c r="H18" i="1" l="1"/>
  <c r="J17" i="1"/>
  <c r="I27" i="1"/>
  <c r="J18" i="1" l="1"/>
  <c r="H19" i="1"/>
  <c r="I28" i="1"/>
  <c r="H20" i="1" l="1"/>
  <c r="J19" i="1"/>
  <c r="I29" i="1"/>
  <c r="J20" i="1" l="1"/>
  <c r="H21" i="1"/>
  <c r="I30" i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H22" i="1" l="1"/>
  <c r="J21" i="1"/>
  <c r="H23" i="1" l="1"/>
  <c r="J22" i="1"/>
  <c r="H24" i="1" l="1"/>
  <c r="J23" i="1"/>
  <c r="H25" i="1" l="1"/>
  <c r="J24" i="1"/>
  <c r="H26" i="1" l="1"/>
  <c r="J25" i="1"/>
  <c r="H27" i="1" l="1"/>
  <c r="J26" i="1"/>
  <c r="H28" i="1" l="1"/>
  <c r="J27" i="1"/>
  <c r="H29" i="1" l="1"/>
  <c r="J28" i="1"/>
  <c r="H30" i="1" l="1"/>
  <c r="H31" i="1" s="1"/>
  <c r="J29" i="1"/>
  <c r="H32" i="1" l="1"/>
  <c r="J31" i="1"/>
  <c r="J30" i="1"/>
  <c r="H33" i="1" l="1"/>
  <c r="J32" i="1"/>
  <c r="J33" i="1" l="1"/>
  <c r="H34" i="1"/>
  <c r="J34" i="1" l="1"/>
  <c r="H35" i="1"/>
  <c r="J35" i="1" l="1"/>
  <c r="H36" i="1"/>
  <c r="J36" i="1" l="1"/>
  <c r="H37" i="1"/>
  <c r="J37" i="1" l="1"/>
  <c r="H38" i="1"/>
  <c r="H39" i="1" l="1"/>
  <c r="J38" i="1"/>
  <c r="J39" i="1" l="1"/>
  <c r="H40" i="1"/>
  <c r="H41" i="1" l="1"/>
  <c r="J40" i="1"/>
  <c r="J41" i="1" l="1"/>
  <c r="H42" i="1"/>
  <c r="J42" i="1" l="1"/>
  <c r="H43" i="1"/>
  <c r="J43" i="1" l="1"/>
  <c r="H44" i="1"/>
  <c r="J44" i="1" l="1"/>
  <c r="H45" i="1"/>
  <c r="J45" i="1" l="1"/>
  <c r="H46" i="1"/>
  <c r="H47" i="1" l="1"/>
  <c r="J46" i="1"/>
  <c r="J47" i="1" l="1"/>
  <c r="H48" i="1"/>
  <c r="H49" i="1" l="1"/>
  <c r="J48" i="1"/>
  <c r="H50" i="1" l="1"/>
  <c r="J49" i="1"/>
  <c r="H51" i="1" l="1"/>
  <c r="J50" i="1"/>
  <c r="J51" i="1" l="1"/>
  <c r="H52" i="1"/>
  <c r="H53" i="1" l="1"/>
  <c r="J52" i="1"/>
  <c r="J53" i="1" l="1"/>
  <c r="H54" i="1"/>
  <c r="H55" i="1" l="1"/>
  <c r="J54" i="1"/>
  <c r="J55" i="1" l="1"/>
  <c r="H56" i="1"/>
  <c r="H57" i="1" l="1"/>
  <c r="J56" i="1"/>
  <c r="H58" i="1" l="1"/>
  <c r="J57" i="1"/>
  <c r="H59" i="1" l="1"/>
  <c r="J58" i="1"/>
  <c r="J59" i="1" l="1"/>
  <c r="H60" i="1"/>
  <c r="H61" i="1" l="1"/>
  <c r="J60" i="1"/>
  <c r="J61" i="1" l="1"/>
  <c r="H62" i="1"/>
  <c r="H63" i="1" l="1"/>
  <c r="J62" i="1"/>
  <c r="J63" i="1" l="1"/>
  <c r="H64" i="1"/>
  <c r="J64" i="1" l="1"/>
  <c r="H65" i="1"/>
  <c r="J65" i="1" l="1"/>
  <c r="H66" i="1"/>
  <c r="H67" i="1" l="1"/>
  <c r="J66" i="1"/>
  <c r="H68" i="1" l="1"/>
  <c r="J67" i="1"/>
  <c r="H69" i="1" l="1"/>
  <c r="J68" i="1"/>
  <c r="J69" i="1" l="1"/>
  <c r="H70" i="1"/>
  <c r="H71" i="1" l="1"/>
  <c r="J70" i="1"/>
  <c r="J71" i="1" l="1"/>
  <c r="H72" i="1"/>
  <c r="H73" i="1" l="1"/>
  <c r="J72" i="1"/>
  <c r="J73" i="1" l="1"/>
  <c r="H74" i="1"/>
  <c r="H75" i="1" l="1"/>
  <c r="J74" i="1"/>
  <c r="H76" i="1" l="1"/>
  <c r="J75" i="1"/>
  <c r="H77" i="1" l="1"/>
  <c r="J76" i="1"/>
  <c r="J77" i="1" l="1"/>
  <c r="H78" i="1"/>
  <c r="H79" i="1" l="1"/>
  <c r="J78" i="1"/>
  <c r="J79" i="1" l="1"/>
  <c r="H80" i="1"/>
  <c r="H81" i="1" l="1"/>
  <c r="J80" i="1"/>
  <c r="J81" i="1" l="1"/>
  <c r="H82" i="1"/>
  <c r="H83" i="1" l="1"/>
  <c r="J82" i="1"/>
  <c r="H84" i="1" l="1"/>
  <c r="J83" i="1"/>
  <c r="J84" i="1" l="1"/>
  <c r="H85" i="1"/>
  <c r="H86" i="1" l="1"/>
  <c r="H87" i="1" s="1"/>
  <c r="J85" i="1"/>
  <c r="J87" i="1" l="1"/>
  <c r="H88" i="1"/>
  <c r="J86" i="1"/>
  <c r="J88" i="1" l="1"/>
  <c r="H89" i="1"/>
  <c r="J89" i="1" l="1"/>
  <c r="H90" i="1"/>
  <c r="J90" i="1" l="1"/>
  <c r="H91" i="1"/>
  <c r="J91" i="1" l="1"/>
  <c r="H92" i="1"/>
  <c r="J92" i="1" l="1"/>
  <c r="H93" i="1"/>
  <c r="J93" i="1" l="1"/>
  <c r="H94" i="1"/>
  <c r="J94" i="1" l="1"/>
  <c r="H95" i="1"/>
  <c r="J95" i="1" l="1"/>
  <c r="H96" i="1"/>
  <c r="J96" i="1" l="1"/>
  <c r="H97" i="1"/>
  <c r="J97" i="1" s="1"/>
</calcChain>
</file>

<file path=xl/sharedStrings.xml><?xml version="1.0" encoding="utf-8"?>
<sst xmlns="http://schemas.openxmlformats.org/spreadsheetml/2006/main" count="115" uniqueCount="111">
  <si>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</si>
  <si>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</si>
  <si>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</si>
  <si>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</si>
  <si>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</si>
  <si>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</si>
  <si>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</si>
  <si>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</si>
  <si>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</si>
  <si>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</si>
  <si>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</si>
  <si>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</si>
  <si>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</si>
  <si>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</si>
  <si>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</si>
  <si>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</si>
  <si>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</si>
  <si>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</si>
  <si>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EMP. NO  :</t>
  </si>
  <si>
    <t>Certified Correct:</t>
  </si>
  <si>
    <t>MA. LUISA B. CATIGAN</t>
  </si>
  <si>
    <t>Administrative Officer IV</t>
  </si>
  <si>
    <t>DATE OF ORIGINAL APPOINTMENT: 11/08/2016</t>
  </si>
  <si>
    <t>ADD: 01/01//2017- 12/31/2017</t>
  </si>
  <si>
    <t>LESS: 5 DAYS FL 2017</t>
  </si>
  <si>
    <t>ADD: 01/01/2018- 06/30/2018</t>
  </si>
  <si>
    <t>LESS: 14 DAYS MONETIZATION</t>
  </si>
  <si>
    <t>ADD: 07/01/2018- 12/31/2018</t>
  </si>
  <si>
    <t>LESS: 5 DAYS FL 2018</t>
  </si>
  <si>
    <t xml:space="preserve">ADD: 01/01/2019- 12/31/2019 </t>
  </si>
  <si>
    <t>LESS: 5 DAYS FL 2019</t>
  </si>
  <si>
    <t>ADD: 01/01/2020- 06/30/2020</t>
  </si>
  <si>
    <t>ADD: 07/01/2020- 12/31/2020</t>
  </si>
  <si>
    <t>LESS: 10 DAYS MONETIZATION 2020</t>
  </si>
  <si>
    <t>ADD: 01/01/2021- 10/31/2021</t>
  </si>
  <si>
    <t>LESS: 20 DAYS MONETIZATION 2021</t>
  </si>
  <si>
    <t>ADD: 11/01/2021- 12/31/2021</t>
  </si>
  <si>
    <t>ADD: 01/01/2022- 03/31/2022</t>
  </si>
  <si>
    <t>LESS: 04/1, 4,5,6,7,8, 11 &amp; 12 / 2022</t>
  </si>
  <si>
    <t>ADD: 04/01/2022- 09/31/2022</t>
  </si>
  <si>
    <t>LESS: 29 DAYS MONETIZATION 2022</t>
  </si>
  <si>
    <t>ADD: 10/01/2022- 12/31/2022</t>
  </si>
  <si>
    <t>LESS: 5 DAYS FL</t>
  </si>
  <si>
    <t>LESS: 5 DAYS FL 2020</t>
  </si>
  <si>
    <t>ADD: 12/01/2016 - 12/31/2016</t>
  </si>
  <si>
    <t>ADD: 11/08/2016- 11/30/2016</t>
  </si>
  <si>
    <t>LESS: 06/27/23</t>
  </si>
  <si>
    <t>ADD: 01/01/2023- 05/31/2023</t>
  </si>
  <si>
    <t>ADD: 06/01/2023- 08/31/2023</t>
  </si>
  <si>
    <t>LESS: MONETIZATION 2023</t>
  </si>
  <si>
    <t>ADD: 09/01/2023-09/30/2023</t>
  </si>
  <si>
    <t>LESS: 10/27/2023</t>
  </si>
  <si>
    <t>ADD: 10/01/2023-11/30/2023</t>
  </si>
  <si>
    <t>LESS: 11/22-24/2023</t>
  </si>
  <si>
    <t>LESS: 12/19&amp;21/2023</t>
  </si>
  <si>
    <t>LESS: 12/22,27,28,29/2023</t>
  </si>
  <si>
    <t>ADD: 12/01/2023-12/31/2023</t>
  </si>
  <si>
    <t>ADD: 01/01/2024-01/31/2024</t>
  </si>
  <si>
    <t>LESS: 02/02/2024</t>
  </si>
  <si>
    <t>ADD: 02/01/2024-02/29/2024</t>
  </si>
  <si>
    <t>LESS: 02/16/2024</t>
  </si>
  <si>
    <t>LESS: 02/27/2024</t>
  </si>
  <si>
    <t>ADD: 03/1-31/2024</t>
  </si>
  <si>
    <t>LESS: 04/26/2024</t>
  </si>
  <si>
    <t>LESS: 03/11/2024</t>
  </si>
  <si>
    <t>ADD: 04/1/2024-06/30/2024</t>
  </si>
  <si>
    <t>LESS: 06/26-27/2024</t>
  </si>
  <si>
    <t>ADD: 07/1-31/2024</t>
  </si>
  <si>
    <t>LESS: MONETIZATION 2024</t>
  </si>
  <si>
    <t xml:space="preserve">                  HRMO</t>
  </si>
  <si>
    <t>LESS: 08/06/2024</t>
  </si>
  <si>
    <t>LESS: 08/14-15/2024</t>
  </si>
  <si>
    <t>LESS: 08/27/2024</t>
  </si>
  <si>
    <t>ADD: 08/1/2024-09/30/2024</t>
  </si>
  <si>
    <t>LESS: 09/30/2024</t>
  </si>
  <si>
    <t>LESS: 10/14-15/2024</t>
  </si>
  <si>
    <t>ADD: 10/1-31/2024</t>
  </si>
  <si>
    <t>LESS: 11/8/2024</t>
  </si>
  <si>
    <t>LESS: 11/15/2024</t>
  </si>
  <si>
    <t>ADD: 11/1-30/2024</t>
  </si>
  <si>
    <t>LESS: 11/22/2024</t>
  </si>
  <si>
    <t>LESS: 12/17/2024</t>
  </si>
  <si>
    <t>LESS: 12/23/2024</t>
  </si>
  <si>
    <t>LESS: 12/26/2024</t>
  </si>
  <si>
    <t>LESS: 12/27/2024</t>
  </si>
  <si>
    <t>ADD: 12/1-31/2024</t>
  </si>
  <si>
    <t>LESS: 01/3/2025</t>
  </si>
  <si>
    <t>ADD: 1/1-31/2025</t>
  </si>
  <si>
    <t>LESS: 02/5, 14, 17/2025</t>
  </si>
  <si>
    <t>ADD: 02/1-28/2025</t>
  </si>
  <si>
    <t>LESS: 03/12/2025</t>
  </si>
  <si>
    <t>ADD: 03/1/2025-04/30/2025</t>
  </si>
  <si>
    <t>LESS: 04/21-22/2025</t>
  </si>
  <si>
    <t>LESS: 05/2/2025</t>
  </si>
  <si>
    <t>LESS: 05/8-9/2025</t>
  </si>
  <si>
    <t>LESS: 05/23/2025 PM</t>
  </si>
  <si>
    <t>LESS: FL 2021</t>
  </si>
  <si>
    <t>ADD: 05/1/2025-06/30/2025</t>
  </si>
  <si>
    <t>LESS: MONETIZATION 2025 (30 DAYS)</t>
  </si>
  <si>
    <t>LESS: 06/2/2025</t>
  </si>
  <si>
    <t>LESS: 07/2/2025</t>
  </si>
  <si>
    <t>LESS: 07/10/2025</t>
  </si>
  <si>
    <t>ADD: 07/1-31/2025</t>
  </si>
  <si>
    <t>LESS: 08/15/2025</t>
  </si>
  <si>
    <t>NEGROS ISLAND REGION</t>
  </si>
  <si>
    <t>LESS: 08/12-13/2025</t>
  </si>
  <si>
    <t>ADD: 08/1-31/2025</t>
  </si>
  <si>
    <t>LESS: 08/28/2025</t>
  </si>
  <si>
    <t>LESS: 09/29/2025 TO 10/3/2025</t>
  </si>
  <si>
    <t>ADD: 09/1/2025-11/30/2025</t>
  </si>
  <si>
    <t>LESS: 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</si>
</sst>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8" xfId="0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2" borderId="8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0" fillId="2" borderId="8" xfId="0" applyNumberFormat="1" applyFill="1" applyBorder="1" applyAlignment="1">
      <alignment vertical="center"/>
    </xf>
    <xf numFmtId="0" fontId="0" fillId="0" borderId="8" xfId="0" applyBorder="1"/>
    <xf numFmtId="0" fontId="7" fillId="2" borderId="0" xfId="0" applyFont="1" applyFill="1"/>
    <xf numFmtId="0" fontId="0" fillId="2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/>
    <xf numFmtId="164" fontId="1" fillId="2" borderId="0" xfId="0" applyNumberFormat="1" applyFont="1" applyFill="1"/>
    <xf numFmtId="164" fontId="3" fillId="7" borderId="8" xfId="0" applyNumberFormat="1" applyFont="1" applyFill="1" applyBorder="1" applyAlignment="1">
      <alignment horizontal="center" vertical="center"/>
    </xf>
    <xf numFmtId="164" fontId="3" fillId="8" borderId="8" xfId="0" applyNumberFormat="1" applyFont="1" applyFill="1" applyBorder="1" applyAlignment="1">
      <alignment horizontal="center" vertical="center"/>
    </xf>
    <xf numFmtId="164" fontId="0" fillId="0" borderId="8" xfId="0" applyNumberFormat="1" applyBorder="1"/>
    <xf numFmtId="164" fontId="0" fillId="0" borderId="8" xfId="0" applyNumberFormat="1" applyBorder="1" applyAlignment="1">
      <alignment horizontal="center"/>
    </xf>
    <xf numFmtId="164" fontId="0" fillId="7" borderId="0" xfId="0" applyNumberFormat="1" applyFill="1"/>
    <xf numFmtId="164" fontId="0" fillId="8" borderId="0" xfId="0" applyNumberFormat="1" applyFill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164" fontId="0" fillId="10" borderId="8" xfId="0" applyNumberForma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474882</xdr:colOff>
      <xdr:row>5</xdr:row>
      <xdr:rowOff>10941</xdr:rowOff>
    </xdr:from>
    <xdr:to>
      <xdr:col>1</xdr:col>
      <xdr:colOff>236220</xdr:colOff>
      <xdr:row>6</xdr:row>
      <xdr:rowOff>144780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68973-F2C1-49B2-BB56-18059060224B}"/>
            </a:ext>
          </a:extLst>
        </xdr:cNvPr>
        <xdr:cNvSpPr txBox="1"/>
      </xdr:nvSpPr>
      <xdr:spPr>
        <a:xfrm>
          <a:off x="474882" y="1411116"/>
          <a:ext cx="2380713" cy="238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MARAÑON, ANTHONY GODWIN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9C07AE-6A8B-47E2-8048-7E59757965ED}"/>
            </a:ext>
          </a:extLst>
        </xdr:cNvPr>
        <xdr:cNvSpPr txBox="1"/>
      </xdr:nvSpPr>
      <xdr:spPr>
        <a:xfrm>
          <a:off x="616683" y="1699357"/>
          <a:ext cx="194021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</a:t>
          </a:r>
          <a:r>
            <a:rPr lang="en-US" sz="1100" baseline="0"/>
            <a:t>EGISTRAR I</a:t>
          </a:r>
        </a:p>
        <a:p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415193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3AC633-79F3-4582-9B97-3E101779A39E}"/>
            </a:ext>
          </a:extLst>
        </xdr:cNvPr>
        <xdr:cNvSpPr txBox="1"/>
      </xdr:nvSpPr>
      <xdr:spPr>
        <a:xfrm>
          <a:off x="3775613" y="1681041"/>
          <a:ext cx="1600200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</a:t>
          </a:r>
          <a:r>
            <a:rPr lang="en-US" sz="1100" baseline="0"/>
            <a:t> - MAIN</a:t>
          </a:r>
          <a:endParaRPr lang="en-US" sz="1100"/>
        </a:p>
      </xdr:txBody>
    </xdr:sp>
    <xdr:clientData/>
  </xdr:twoCellAnchor>
  <xdr:twoCellAnchor editAs="oneCell">
    <xdr:from>
      <xdr:col>3</xdr:col>
      <xdr:colOff>312420</xdr:colOff>
      <xdr:row>0</xdr:row>
      <xdr:rowOff>68580</xdr:rowOff>
    </xdr:from>
    <xdr:to>
      <xdr:col>4</xdr:col>
      <xdr:colOff>304800</xdr:colOff>
      <xdr:row>1</xdr:row>
      <xdr:rowOff>7667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3B3257-37E7-4F25-B02D-7AC0F153F1F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68580"/>
          <a:ext cx="792480" cy="6020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view="pageBreakPreview" topLeftCell="A84" zoomScaleNormal="100" zoomScaleSheetLayoutView="100" workbookViewId="0">
      <selection activeCell="A98" sqref="A98:XFD98"/>
    </sheetView>
  </sheetViews>
  <sheetFormatPr defaultRowHeight="15" x14ac:dyDescent="0.25"/>
  <cols>
    <col min="1" max="1" width="39.28515625" style="29" customWidth="1"/>
    <col min="2" max="2" width="11.5703125" style="36" customWidth="1"/>
    <col min="3" max="3" width="11.5703125" style="37" customWidth="1"/>
    <col min="4" max="4" width="11.5703125" style="16" customWidth="1"/>
    <col min="5" max="5" width="11.5703125" style="17" customWidth="1"/>
    <col min="6" max="7" width="11.5703125" style="18" customWidth="1"/>
    <col min="8" max="8" width="11.5703125" style="16" customWidth="1"/>
    <col min="9" max="9" width="11.5703125" style="17" customWidth="1"/>
    <col min="10" max="10" width="11.5703125" customWidth="1"/>
  </cols>
  <sheetData>
    <row r="1" spans="1:10" s="1" customFormat="1" ht="52.5" customHeight="1" x14ac:dyDescent="0.25">
      <c r="A1" s="27"/>
      <c r="B1" s="30"/>
      <c r="C1" s="30"/>
    </row>
    <row r="2" spans="1:10" s="1" customFormat="1" ht="10.5" customHeight="1" x14ac:dyDescent="0.25">
      <c r="A2" s="44" t="s">
        <v>13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s="1" customFormat="1" ht="15.95" customHeight="1" x14ac:dyDescent="0.25">
      <c r="A3" s="44" t="s">
        <v>14</v>
      </c>
      <c r="B3" s="44"/>
      <c r="C3" s="44"/>
      <c r="D3" s="44"/>
      <c r="E3" s="44"/>
      <c r="F3" s="44"/>
      <c r="G3" s="44"/>
      <c r="H3" s="44"/>
      <c r="I3" s="44"/>
      <c r="J3" s="44"/>
    </row>
    <row r="4" spans="1:10" s="1" customFormat="1" ht="15.95" customHeight="1" x14ac:dyDescent="0.25">
      <c r="A4" s="44" t="s">
        <v>104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s="1" customFormat="1" ht="15.95" customHeight="1" x14ac:dyDescent="0.25">
      <c r="A5" s="44" t="s">
        <v>15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s="1" customFormat="1" ht="8.25" customHeight="1" x14ac:dyDescent="0.25">
      <c r="A6" s="27"/>
      <c r="B6" s="30"/>
      <c r="C6" s="30"/>
    </row>
    <row r="7" spans="1:10" s="1" customFormat="1" ht="12" customHeight="1" x14ac:dyDescent="0.25">
      <c r="A7" s="27" t="s">
        <v>16</v>
      </c>
      <c r="B7" s="45" t="s">
        <v>17</v>
      </c>
      <c r="C7" s="45"/>
      <c r="D7" s="45"/>
      <c r="H7" s="2" t="s">
        <v>18</v>
      </c>
      <c r="I7" s="11"/>
      <c r="J7" s="2"/>
    </row>
    <row r="8" spans="1:10" s="1" customFormat="1" ht="12" customHeight="1" x14ac:dyDescent="0.25">
      <c r="A8" s="27"/>
      <c r="B8" s="31"/>
      <c r="C8" s="31"/>
      <c r="H8" s="12"/>
      <c r="I8" s="12"/>
      <c r="J8" s="12"/>
    </row>
    <row r="9" spans="1:10" s="1" customFormat="1" ht="12" customHeight="1" x14ac:dyDescent="0.25">
      <c r="A9" s="27" t="s">
        <v>0</v>
      </c>
      <c r="B9" s="45" t="s">
        <v>1</v>
      </c>
      <c r="C9" s="45"/>
      <c r="D9" s="45"/>
      <c r="H9" s="2" t="s">
        <v>2</v>
      </c>
      <c r="I9" s="3"/>
      <c r="J9" s="2"/>
    </row>
    <row r="10" spans="1:10" ht="16.5" customHeight="1" thickBot="1" x14ac:dyDescent="0.3">
      <c r="A10" s="43" t="s">
        <v>3</v>
      </c>
      <c r="B10" s="43"/>
      <c r="C10" s="43"/>
      <c r="D10" s="43"/>
      <c r="E10" s="43"/>
      <c r="F10" s="43"/>
      <c r="G10" s="43"/>
      <c r="H10" s="43"/>
      <c r="I10" s="43"/>
      <c r="J10" s="43"/>
    </row>
    <row r="11" spans="1:10" s="13" customFormat="1" ht="18.75" customHeight="1" x14ac:dyDescent="0.2">
      <c r="A11" s="47" t="s">
        <v>4</v>
      </c>
      <c r="B11" s="49" t="s">
        <v>5</v>
      </c>
      <c r="C11" s="50"/>
      <c r="D11" s="51" t="s">
        <v>6</v>
      </c>
      <c r="E11" s="52"/>
      <c r="F11" s="52"/>
      <c r="G11" s="4"/>
      <c r="H11" s="53" t="s">
        <v>7</v>
      </c>
      <c r="I11" s="54"/>
      <c r="J11" s="55" t="s">
        <v>8</v>
      </c>
    </row>
    <row r="12" spans="1:10" s="13" customFormat="1" ht="51" customHeight="1" x14ac:dyDescent="0.2">
      <c r="A12" s="48"/>
      <c r="B12" s="32" t="s">
        <v>9</v>
      </c>
      <c r="C12" s="33" t="s">
        <v>10</v>
      </c>
      <c r="D12" s="5" t="s">
        <v>9</v>
      </c>
      <c r="E12" s="6" t="s">
        <v>10</v>
      </c>
      <c r="F12" s="7" t="s">
        <v>11</v>
      </c>
      <c r="G12" s="8" t="s">
        <v>12</v>
      </c>
      <c r="H12" s="5" t="s">
        <v>9</v>
      </c>
      <c r="I12" s="6" t="s">
        <v>10</v>
      </c>
      <c r="J12" s="56"/>
    </row>
    <row r="13" spans="1:10" s="13" customFormat="1" ht="18.75" customHeight="1" x14ac:dyDescent="0.2">
      <c r="A13" s="57" t="s">
        <v>22</v>
      </c>
      <c r="B13" s="58"/>
      <c r="C13" s="58"/>
      <c r="D13" s="58"/>
      <c r="E13" s="58"/>
      <c r="F13" s="58"/>
      <c r="G13" s="58"/>
      <c r="H13" s="58"/>
      <c r="I13" s="58"/>
      <c r="J13" s="59"/>
    </row>
    <row r="14" spans="1:10" s="13" customFormat="1" ht="15.95" customHeight="1" x14ac:dyDescent="0.2">
      <c r="A14" s="9" t="s">
        <v>45</v>
      </c>
      <c r="B14" s="19">
        <v>0.95799999999999996</v>
      </c>
      <c r="C14" s="19">
        <v>0.95799999999999996</v>
      </c>
      <c r="D14" s="19"/>
      <c r="E14" s="19"/>
      <c r="F14" s="19"/>
      <c r="G14" s="19"/>
      <c r="H14" s="19">
        <f>B14</f>
        <v>0.95799999999999996</v>
      </c>
      <c r="I14" s="19">
        <f>C14</f>
        <v>0.95799999999999996</v>
      </c>
      <c r="J14" s="20">
        <f>H14+I14</f>
        <v>1.9159999999999999</v>
      </c>
    </row>
    <row r="15" spans="1:10" s="13" customFormat="1" ht="15.95" customHeight="1" x14ac:dyDescent="0.2">
      <c r="A15" s="9" t="s">
        <v>44</v>
      </c>
      <c r="B15" s="19">
        <v>1.25</v>
      </c>
      <c r="C15" s="19">
        <v>1.25</v>
      </c>
      <c r="D15" s="19"/>
      <c r="E15" s="19"/>
      <c r="F15" s="19"/>
      <c r="G15" s="19"/>
      <c r="H15" s="19">
        <f>H14-F15-D15+B15</f>
        <v>2.2080000000000002</v>
      </c>
      <c r="I15" s="19">
        <f>I14-E15+C15</f>
        <v>2.2080000000000002</v>
      </c>
      <c r="J15" s="20">
        <f>H15+I15</f>
        <v>4.4160000000000004</v>
      </c>
    </row>
    <row r="16" spans="1:10" s="14" customFormat="1" ht="15.95" customHeight="1" x14ac:dyDescent="0.2">
      <c r="A16" s="9" t="s">
        <v>23</v>
      </c>
      <c r="B16" s="19">
        <v>15</v>
      </c>
      <c r="C16" s="19">
        <v>15</v>
      </c>
      <c r="D16" s="19"/>
      <c r="E16" s="19"/>
      <c r="F16" s="19"/>
      <c r="G16" s="19"/>
      <c r="H16" s="19">
        <f t="shared" ref="H16:H30" si="0">H15-F16-D16+B16</f>
        <v>17.207999999999998</v>
      </c>
      <c r="I16" s="19">
        <f t="shared" ref="I16:I30" si="1">I15-E16+C16</f>
        <v>17.207999999999998</v>
      </c>
      <c r="J16" s="20">
        <f t="shared" ref="J16:J30" si="2">H16+I16</f>
        <v>34.415999999999997</v>
      </c>
    </row>
    <row r="17" spans="1:10" s="14" customFormat="1" ht="15.95" customHeight="1" x14ac:dyDescent="0.2">
      <c r="A17" s="10" t="s">
        <v>24</v>
      </c>
      <c r="B17" s="19"/>
      <c r="C17" s="19"/>
      <c r="D17" s="19"/>
      <c r="E17" s="19"/>
      <c r="F17" s="19">
        <v>5</v>
      </c>
      <c r="G17" s="19"/>
      <c r="H17" s="19">
        <f t="shared" si="0"/>
        <v>12.207999999999998</v>
      </c>
      <c r="I17" s="19">
        <f t="shared" si="1"/>
        <v>17.207999999999998</v>
      </c>
      <c r="J17" s="20">
        <f t="shared" si="2"/>
        <v>29.415999999999997</v>
      </c>
    </row>
    <row r="18" spans="1:10" s="14" customFormat="1" ht="15.95" customHeight="1" x14ac:dyDescent="0.2">
      <c r="A18" s="10" t="s">
        <v>25</v>
      </c>
      <c r="B18" s="19">
        <v>7.5</v>
      </c>
      <c r="C18" s="19">
        <v>7.5</v>
      </c>
      <c r="D18" s="19"/>
      <c r="E18" s="19"/>
      <c r="F18" s="19"/>
      <c r="G18" s="19"/>
      <c r="H18" s="19">
        <f t="shared" si="0"/>
        <v>19.707999999999998</v>
      </c>
      <c r="I18" s="19">
        <f t="shared" si="1"/>
        <v>24.707999999999998</v>
      </c>
      <c r="J18" s="20">
        <f t="shared" si="2"/>
        <v>44.415999999999997</v>
      </c>
    </row>
    <row r="19" spans="1:10" s="14" customFormat="1" ht="15.95" customHeight="1" x14ac:dyDescent="0.2">
      <c r="A19" s="10" t="s">
        <v>26</v>
      </c>
      <c r="B19" s="19"/>
      <c r="C19" s="19"/>
      <c r="D19" s="19">
        <v>14</v>
      </c>
      <c r="E19" s="19"/>
      <c r="F19" s="19"/>
      <c r="G19" s="19"/>
      <c r="H19" s="19">
        <f t="shared" si="0"/>
        <v>5.7079999999999984</v>
      </c>
      <c r="I19" s="19">
        <f t="shared" si="1"/>
        <v>24.707999999999998</v>
      </c>
      <c r="J19" s="20">
        <f t="shared" si="2"/>
        <v>30.415999999999997</v>
      </c>
    </row>
    <row r="20" spans="1:10" s="14" customFormat="1" ht="15.95" customHeight="1" x14ac:dyDescent="0.2">
      <c r="A20" s="10" t="s">
        <v>27</v>
      </c>
      <c r="B20" s="19">
        <v>7.5</v>
      </c>
      <c r="C20" s="19">
        <v>7.5</v>
      </c>
      <c r="D20" s="19"/>
      <c r="E20" s="19"/>
      <c r="F20" s="19"/>
      <c r="G20" s="19"/>
      <c r="H20" s="19">
        <f t="shared" si="0"/>
        <v>13.207999999999998</v>
      </c>
      <c r="I20" s="19">
        <f t="shared" si="1"/>
        <v>32.207999999999998</v>
      </c>
      <c r="J20" s="20">
        <f t="shared" si="2"/>
        <v>45.415999999999997</v>
      </c>
    </row>
    <row r="21" spans="1:10" s="14" customFormat="1" ht="15.95" customHeight="1" x14ac:dyDescent="0.2">
      <c r="A21" s="10" t="s">
        <v>28</v>
      </c>
      <c r="B21" s="19"/>
      <c r="C21" s="19"/>
      <c r="D21" s="19"/>
      <c r="E21" s="19"/>
      <c r="F21" s="19">
        <v>5</v>
      </c>
      <c r="G21" s="19"/>
      <c r="H21" s="19">
        <f t="shared" si="0"/>
        <v>8.2079999999999984</v>
      </c>
      <c r="I21" s="19">
        <f t="shared" si="1"/>
        <v>32.207999999999998</v>
      </c>
      <c r="J21" s="20">
        <f t="shared" si="2"/>
        <v>40.415999999999997</v>
      </c>
    </row>
    <row r="22" spans="1:10" s="14" customFormat="1" ht="15.95" customHeight="1" x14ac:dyDescent="0.2">
      <c r="A22" s="9" t="s">
        <v>29</v>
      </c>
      <c r="B22" s="19">
        <v>15</v>
      </c>
      <c r="C22" s="19">
        <v>15</v>
      </c>
      <c r="D22" s="19"/>
      <c r="E22" s="19"/>
      <c r="F22" s="19"/>
      <c r="G22" s="19"/>
      <c r="H22" s="19">
        <f t="shared" si="0"/>
        <v>23.207999999999998</v>
      </c>
      <c r="I22" s="19">
        <f t="shared" si="1"/>
        <v>47.207999999999998</v>
      </c>
      <c r="J22" s="20">
        <f t="shared" si="2"/>
        <v>70.415999999999997</v>
      </c>
    </row>
    <row r="23" spans="1:10" s="14" customFormat="1" ht="15.95" customHeight="1" x14ac:dyDescent="0.2">
      <c r="A23" s="9" t="s">
        <v>30</v>
      </c>
      <c r="B23" s="24"/>
      <c r="C23" s="19"/>
      <c r="D23" s="19"/>
      <c r="E23" s="19"/>
      <c r="F23" s="19">
        <v>5</v>
      </c>
      <c r="G23" s="19"/>
      <c r="H23" s="19">
        <f t="shared" si="0"/>
        <v>18.207999999999998</v>
      </c>
      <c r="I23" s="19">
        <f t="shared" si="1"/>
        <v>47.207999999999998</v>
      </c>
      <c r="J23" s="20">
        <f t="shared" si="2"/>
        <v>65.415999999999997</v>
      </c>
    </row>
    <row r="24" spans="1:10" s="14" customFormat="1" ht="15.95" customHeight="1" x14ac:dyDescent="0.2">
      <c r="A24" s="9" t="s">
        <v>31</v>
      </c>
      <c r="B24" s="19">
        <v>7.5</v>
      </c>
      <c r="C24" s="19">
        <v>7.5</v>
      </c>
      <c r="D24" s="19"/>
      <c r="E24" s="19"/>
      <c r="F24" s="19"/>
      <c r="G24" s="19"/>
      <c r="H24" s="19">
        <f t="shared" si="0"/>
        <v>25.707999999999998</v>
      </c>
      <c r="I24" s="19">
        <f t="shared" si="1"/>
        <v>54.707999999999998</v>
      </c>
      <c r="J24" s="20">
        <f t="shared" si="2"/>
        <v>80.415999999999997</v>
      </c>
    </row>
    <row r="25" spans="1:10" s="14" customFormat="1" ht="15.95" customHeight="1" x14ac:dyDescent="0.2">
      <c r="A25" s="9" t="s">
        <v>32</v>
      </c>
      <c r="B25" s="19">
        <v>7.5</v>
      </c>
      <c r="C25" s="19">
        <v>7.5</v>
      </c>
      <c r="D25" s="19"/>
      <c r="E25" s="19"/>
      <c r="F25" s="19"/>
      <c r="G25" s="19"/>
      <c r="H25" s="19">
        <f t="shared" si="0"/>
        <v>33.207999999999998</v>
      </c>
      <c r="I25" s="19">
        <f t="shared" si="1"/>
        <v>62.207999999999998</v>
      </c>
      <c r="J25" s="20">
        <f t="shared" si="2"/>
        <v>95.415999999999997</v>
      </c>
    </row>
    <row r="26" spans="1:10" s="14" customFormat="1" ht="15.95" customHeight="1" x14ac:dyDescent="0.2">
      <c r="A26" s="9" t="s">
        <v>33</v>
      </c>
      <c r="B26" s="19"/>
      <c r="C26" s="19"/>
      <c r="D26" s="19">
        <v>10</v>
      </c>
      <c r="E26" s="19"/>
      <c r="F26" s="19"/>
      <c r="G26" s="19"/>
      <c r="H26" s="19">
        <f t="shared" si="0"/>
        <v>23.207999999999998</v>
      </c>
      <c r="I26" s="19">
        <f t="shared" si="1"/>
        <v>62.207999999999998</v>
      </c>
      <c r="J26" s="20">
        <f t="shared" si="2"/>
        <v>85.415999999999997</v>
      </c>
    </row>
    <row r="27" spans="1:10" s="14" customFormat="1" ht="15.95" customHeight="1" x14ac:dyDescent="0.2">
      <c r="A27" s="9" t="s">
        <v>43</v>
      </c>
      <c r="B27" s="19"/>
      <c r="C27" s="19"/>
      <c r="D27" s="19"/>
      <c r="E27" s="19"/>
      <c r="F27" s="19">
        <v>5</v>
      </c>
      <c r="G27" s="19"/>
      <c r="H27" s="19">
        <f t="shared" si="0"/>
        <v>18.207999999999998</v>
      </c>
      <c r="I27" s="19">
        <f t="shared" si="1"/>
        <v>62.207999999999998</v>
      </c>
      <c r="J27" s="20">
        <f t="shared" si="2"/>
        <v>80.415999999999997</v>
      </c>
    </row>
    <row r="28" spans="1:10" ht="15.95" customHeight="1" x14ac:dyDescent="0.25">
      <c r="A28" s="9" t="s">
        <v>34</v>
      </c>
      <c r="B28" s="19">
        <v>12.5</v>
      </c>
      <c r="C28" s="19">
        <v>12.5</v>
      </c>
      <c r="D28" s="24"/>
      <c r="E28" s="24"/>
      <c r="F28" s="24"/>
      <c r="G28" s="24"/>
      <c r="H28" s="19">
        <f t="shared" si="0"/>
        <v>30.707999999999998</v>
      </c>
      <c r="I28" s="19">
        <f t="shared" si="1"/>
        <v>74.707999999999998</v>
      </c>
      <c r="J28" s="20">
        <f t="shared" si="2"/>
        <v>105.416</v>
      </c>
    </row>
    <row r="29" spans="1:10" ht="15.95" customHeight="1" x14ac:dyDescent="0.25">
      <c r="A29" s="9" t="s">
        <v>35</v>
      </c>
      <c r="B29" s="19"/>
      <c r="C29" s="19"/>
      <c r="D29" s="24">
        <v>20</v>
      </c>
      <c r="E29" s="19"/>
      <c r="F29" s="19"/>
      <c r="G29" s="19"/>
      <c r="H29" s="19">
        <f t="shared" si="0"/>
        <v>10.707999999999998</v>
      </c>
      <c r="I29" s="19">
        <f t="shared" si="1"/>
        <v>74.707999999999998</v>
      </c>
      <c r="J29" s="20">
        <f t="shared" si="2"/>
        <v>85.415999999999997</v>
      </c>
    </row>
    <row r="30" spans="1:10" ht="15.95" customHeight="1" x14ac:dyDescent="0.25">
      <c r="A30" s="9" t="s">
        <v>36</v>
      </c>
      <c r="B30" s="19">
        <v>2.5</v>
      </c>
      <c r="C30" s="19">
        <v>2.5</v>
      </c>
      <c r="D30" s="24"/>
      <c r="E30" s="19"/>
      <c r="F30" s="19"/>
      <c r="G30" s="19"/>
      <c r="H30" s="19">
        <f t="shared" si="0"/>
        <v>13.207999999999998</v>
      </c>
      <c r="I30" s="19">
        <f t="shared" si="1"/>
        <v>77.207999999999998</v>
      </c>
      <c r="J30" s="20">
        <f t="shared" si="2"/>
        <v>90.415999999999997</v>
      </c>
    </row>
    <row r="31" spans="1:10" ht="15.95" customHeight="1" x14ac:dyDescent="0.25">
      <c r="A31" s="9" t="s">
        <v>96</v>
      </c>
      <c r="B31" s="19"/>
      <c r="C31" s="19"/>
      <c r="D31" s="24"/>
      <c r="E31" s="19"/>
      <c r="F31" s="19">
        <v>5</v>
      </c>
      <c r="G31" s="19"/>
      <c r="H31" s="19">
        <f t="shared" ref="H31:H86" si="3">H30-F31-D31+B31</f>
        <v>8.2079999999999984</v>
      </c>
      <c r="I31" s="19">
        <f t="shared" ref="I31:I86" si="4">I30-E31+C31</f>
        <v>77.207999999999998</v>
      </c>
      <c r="J31" s="20">
        <f t="shared" ref="J31:J86" si="5">H31+I31</f>
        <v>85.415999999999997</v>
      </c>
    </row>
    <row r="32" spans="1:10" ht="15.95" customHeight="1" x14ac:dyDescent="0.25">
      <c r="A32" s="9" t="s">
        <v>37</v>
      </c>
      <c r="B32" s="19">
        <v>3.75</v>
      </c>
      <c r="C32" s="19">
        <v>3.75</v>
      </c>
      <c r="D32" s="19"/>
      <c r="E32" s="19"/>
      <c r="F32" s="19"/>
      <c r="G32" s="19"/>
      <c r="H32" s="19">
        <f t="shared" si="3"/>
        <v>11.957999999999998</v>
      </c>
      <c r="I32" s="19">
        <f t="shared" si="4"/>
        <v>80.957999999999998</v>
      </c>
      <c r="J32" s="20">
        <f t="shared" si="5"/>
        <v>92.915999999999997</v>
      </c>
    </row>
    <row r="33" spans="1:10" ht="15.95" customHeight="1" x14ac:dyDescent="0.25">
      <c r="A33" s="9" t="s">
        <v>38</v>
      </c>
      <c r="B33" s="19"/>
      <c r="C33" s="19"/>
      <c r="D33" s="19"/>
      <c r="E33" s="19">
        <v>8</v>
      </c>
      <c r="F33" s="19"/>
      <c r="G33" s="19"/>
      <c r="H33" s="19">
        <f t="shared" si="3"/>
        <v>11.957999999999998</v>
      </c>
      <c r="I33" s="19">
        <f t="shared" si="4"/>
        <v>72.957999999999998</v>
      </c>
      <c r="J33" s="20">
        <f t="shared" si="5"/>
        <v>84.915999999999997</v>
      </c>
    </row>
    <row r="34" spans="1:10" ht="15.95" customHeight="1" x14ac:dyDescent="0.25">
      <c r="A34" s="9" t="s">
        <v>39</v>
      </c>
      <c r="B34" s="19">
        <v>7.5</v>
      </c>
      <c r="C34" s="19">
        <v>7.5</v>
      </c>
      <c r="D34" s="19"/>
      <c r="E34" s="19"/>
      <c r="F34" s="19"/>
      <c r="G34" s="19"/>
      <c r="H34" s="19">
        <f t="shared" si="3"/>
        <v>19.457999999999998</v>
      </c>
      <c r="I34" s="19">
        <f t="shared" si="4"/>
        <v>80.457999999999998</v>
      </c>
      <c r="J34" s="20">
        <f t="shared" si="5"/>
        <v>99.915999999999997</v>
      </c>
    </row>
    <row r="35" spans="1:10" ht="15.95" customHeight="1" x14ac:dyDescent="0.25">
      <c r="A35" s="9" t="s">
        <v>40</v>
      </c>
      <c r="B35" s="19"/>
      <c r="C35" s="19"/>
      <c r="D35" s="24">
        <v>18</v>
      </c>
      <c r="E35" s="19">
        <v>11</v>
      </c>
      <c r="F35" s="19"/>
      <c r="G35" s="19"/>
      <c r="H35" s="19">
        <f t="shared" si="3"/>
        <v>1.4579999999999984</v>
      </c>
      <c r="I35" s="19">
        <f t="shared" si="4"/>
        <v>69.457999999999998</v>
      </c>
      <c r="J35" s="20">
        <f t="shared" si="5"/>
        <v>70.915999999999997</v>
      </c>
    </row>
    <row r="36" spans="1:10" ht="15.95" customHeight="1" x14ac:dyDescent="0.25">
      <c r="A36" s="9" t="s">
        <v>41</v>
      </c>
      <c r="B36" s="19">
        <v>3.75</v>
      </c>
      <c r="C36" s="19">
        <v>3.75</v>
      </c>
      <c r="D36" s="19"/>
      <c r="E36" s="19"/>
      <c r="F36" s="19"/>
      <c r="G36" s="19"/>
      <c r="H36" s="19">
        <f t="shared" si="3"/>
        <v>5.2079999999999984</v>
      </c>
      <c r="I36" s="19">
        <f t="shared" si="4"/>
        <v>73.207999999999998</v>
      </c>
      <c r="J36" s="20">
        <f t="shared" si="5"/>
        <v>78.415999999999997</v>
      </c>
    </row>
    <row r="37" spans="1:10" ht="15.95" customHeight="1" x14ac:dyDescent="0.25">
      <c r="A37" s="9" t="s">
        <v>42</v>
      </c>
      <c r="B37" s="19"/>
      <c r="C37" s="19"/>
      <c r="D37" s="19"/>
      <c r="E37" s="19"/>
      <c r="F37" s="19">
        <v>5</v>
      </c>
      <c r="G37" s="19"/>
      <c r="H37" s="19">
        <f t="shared" si="3"/>
        <v>0.20799999999999841</v>
      </c>
      <c r="I37" s="19">
        <f t="shared" si="4"/>
        <v>73.207999999999998</v>
      </c>
      <c r="J37" s="20">
        <f t="shared" si="5"/>
        <v>73.415999999999997</v>
      </c>
    </row>
    <row r="38" spans="1:10" ht="15.95" customHeight="1" x14ac:dyDescent="0.25">
      <c r="A38" s="9" t="s">
        <v>47</v>
      </c>
      <c r="B38" s="19">
        <v>6.25</v>
      </c>
      <c r="C38" s="19">
        <v>6.25</v>
      </c>
      <c r="D38" s="19"/>
      <c r="E38" s="19"/>
      <c r="F38" s="19"/>
      <c r="G38" s="19"/>
      <c r="H38" s="19">
        <f t="shared" si="3"/>
        <v>6.4579999999999984</v>
      </c>
      <c r="I38" s="19">
        <f t="shared" si="4"/>
        <v>79.457999999999998</v>
      </c>
      <c r="J38" s="20">
        <f t="shared" si="5"/>
        <v>85.915999999999997</v>
      </c>
    </row>
    <row r="39" spans="1:10" ht="15.95" customHeight="1" x14ac:dyDescent="0.25">
      <c r="A39" s="9" t="s">
        <v>46</v>
      </c>
      <c r="B39" s="19"/>
      <c r="C39" s="19"/>
      <c r="D39" s="19"/>
      <c r="E39" s="19"/>
      <c r="F39" s="19"/>
      <c r="G39" s="19">
        <v>1</v>
      </c>
      <c r="H39" s="19">
        <f t="shared" si="3"/>
        <v>6.4579999999999984</v>
      </c>
      <c r="I39" s="19">
        <f t="shared" si="4"/>
        <v>79.457999999999998</v>
      </c>
      <c r="J39" s="20">
        <f t="shared" si="5"/>
        <v>85.915999999999997</v>
      </c>
    </row>
    <row r="40" spans="1:10" ht="15.95" customHeight="1" x14ac:dyDescent="0.25">
      <c r="A40" s="9" t="s">
        <v>48</v>
      </c>
      <c r="B40" s="19">
        <v>3.75</v>
      </c>
      <c r="C40" s="19">
        <v>3.75</v>
      </c>
      <c r="D40" s="19"/>
      <c r="E40" s="19"/>
      <c r="F40" s="19"/>
      <c r="G40" s="19"/>
      <c r="H40" s="19">
        <f t="shared" si="3"/>
        <v>10.207999999999998</v>
      </c>
      <c r="I40" s="19">
        <f t="shared" si="4"/>
        <v>83.207999999999998</v>
      </c>
      <c r="J40" s="20">
        <f t="shared" si="5"/>
        <v>93.415999999999997</v>
      </c>
    </row>
    <row r="41" spans="1:10" ht="15.95" customHeight="1" x14ac:dyDescent="0.25">
      <c r="A41" s="9" t="s">
        <v>49</v>
      </c>
      <c r="B41" s="19"/>
      <c r="C41" s="19"/>
      <c r="D41" s="19">
        <v>3</v>
      </c>
      <c r="E41" s="19">
        <v>26</v>
      </c>
      <c r="F41" s="19"/>
      <c r="G41" s="19"/>
      <c r="H41" s="19">
        <f t="shared" si="3"/>
        <v>7.2079999999999984</v>
      </c>
      <c r="I41" s="19">
        <f t="shared" si="4"/>
        <v>57.207999999999998</v>
      </c>
      <c r="J41" s="20">
        <f t="shared" si="5"/>
        <v>64.415999999999997</v>
      </c>
    </row>
    <row r="42" spans="1:10" ht="15.95" customHeight="1" x14ac:dyDescent="0.25">
      <c r="A42" s="9" t="s">
        <v>50</v>
      </c>
      <c r="B42" s="19">
        <v>1.25</v>
      </c>
      <c r="C42" s="19">
        <v>1.25</v>
      </c>
      <c r="D42" s="19"/>
      <c r="E42" s="19"/>
      <c r="F42" s="19"/>
      <c r="G42" s="19"/>
      <c r="H42" s="19">
        <f t="shared" si="3"/>
        <v>8.4579999999999984</v>
      </c>
      <c r="I42" s="19">
        <f t="shared" si="4"/>
        <v>58.457999999999998</v>
      </c>
      <c r="J42" s="20">
        <f t="shared" si="5"/>
        <v>66.915999999999997</v>
      </c>
    </row>
    <row r="43" spans="1:10" ht="15.95" customHeight="1" x14ac:dyDescent="0.25">
      <c r="A43" s="9" t="s">
        <v>51</v>
      </c>
      <c r="B43" s="19"/>
      <c r="C43" s="19"/>
      <c r="D43" s="19"/>
      <c r="E43" s="19"/>
      <c r="F43" s="19">
        <v>1</v>
      </c>
      <c r="G43" s="19"/>
      <c r="H43" s="19">
        <f t="shared" si="3"/>
        <v>7.4579999999999984</v>
      </c>
      <c r="I43" s="19">
        <f t="shared" si="4"/>
        <v>58.457999999999998</v>
      </c>
      <c r="J43" s="20">
        <f t="shared" si="5"/>
        <v>65.915999999999997</v>
      </c>
    </row>
    <row r="44" spans="1:10" ht="15.95" customHeight="1" x14ac:dyDescent="0.25">
      <c r="A44" s="9" t="s">
        <v>52</v>
      </c>
      <c r="B44" s="19">
        <v>2.5</v>
      </c>
      <c r="C44" s="19">
        <v>2.5</v>
      </c>
      <c r="D44" s="19"/>
      <c r="E44" s="19"/>
      <c r="F44" s="19"/>
      <c r="G44" s="19"/>
      <c r="H44" s="19">
        <f t="shared" si="3"/>
        <v>9.9579999999999984</v>
      </c>
      <c r="I44" s="19">
        <f t="shared" si="4"/>
        <v>60.957999999999998</v>
      </c>
      <c r="J44" s="20">
        <f t="shared" si="5"/>
        <v>70.915999999999997</v>
      </c>
    </row>
    <row r="45" spans="1:10" ht="15.95" customHeight="1" x14ac:dyDescent="0.25">
      <c r="A45" s="9" t="s">
        <v>53</v>
      </c>
      <c r="B45" s="19"/>
      <c r="C45" s="19"/>
      <c r="D45" s="19"/>
      <c r="E45" s="19">
        <v>3</v>
      </c>
      <c r="F45" s="19"/>
      <c r="G45" s="19"/>
      <c r="H45" s="19">
        <f t="shared" si="3"/>
        <v>9.9579999999999984</v>
      </c>
      <c r="I45" s="19">
        <f t="shared" si="4"/>
        <v>57.957999999999998</v>
      </c>
      <c r="J45" s="20">
        <f t="shared" si="5"/>
        <v>67.915999999999997</v>
      </c>
    </row>
    <row r="46" spans="1:10" ht="15.95" customHeight="1" x14ac:dyDescent="0.25">
      <c r="A46" s="9" t="s">
        <v>54</v>
      </c>
      <c r="B46" s="19"/>
      <c r="C46" s="19"/>
      <c r="D46" s="19"/>
      <c r="E46" s="19"/>
      <c r="F46" s="19"/>
      <c r="G46" s="19">
        <v>2</v>
      </c>
      <c r="H46" s="19">
        <f t="shared" si="3"/>
        <v>9.9579999999999984</v>
      </c>
      <c r="I46" s="19">
        <f t="shared" si="4"/>
        <v>57.957999999999998</v>
      </c>
      <c r="J46" s="20">
        <f t="shared" si="5"/>
        <v>67.915999999999997</v>
      </c>
    </row>
    <row r="47" spans="1:10" ht="15.95" customHeight="1" x14ac:dyDescent="0.25">
      <c r="A47" s="9" t="s">
        <v>55</v>
      </c>
      <c r="B47" s="19"/>
      <c r="C47" s="19"/>
      <c r="D47" s="19"/>
      <c r="E47" s="19"/>
      <c r="F47" s="19">
        <v>4</v>
      </c>
      <c r="G47" s="19"/>
      <c r="H47" s="19">
        <f t="shared" si="3"/>
        <v>5.9579999999999984</v>
      </c>
      <c r="I47" s="19">
        <f t="shared" si="4"/>
        <v>57.957999999999998</v>
      </c>
      <c r="J47" s="20">
        <f t="shared" si="5"/>
        <v>63.915999999999997</v>
      </c>
    </row>
    <row r="48" spans="1:10" ht="15.95" customHeight="1" x14ac:dyDescent="0.25">
      <c r="A48" s="9" t="s">
        <v>56</v>
      </c>
      <c r="B48" s="19">
        <v>1.25</v>
      </c>
      <c r="C48" s="19">
        <v>1.25</v>
      </c>
      <c r="D48" s="19"/>
      <c r="E48" s="19"/>
      <c r="F48" s="19"/>
      <c r="G48" s="19"/>
      <c r="H48" s="19">
        <f t="shared" si="3"/>
        <v>7.2079999999999984</v>
      </c>
      <c r="I48" s="19">
        <f t="shared" si="4"/>
        <v>59.207999999999998</v>
      </c>
      <c r="J48" s="20">
        <f t="shared" si="5"/>
        <v>66.415999999999997</v>
      </c>
    </row>
    <row r="49" spans="1:10" ht="15.95" customHeight="1" x14ac:dyDescent="0.25">
      <c r="A49" s="9" t="s">
        <v>57</v>
      </c>
      <c r="B49" s="19">
        <v>1.25</v>
      </c>
      <c r="C49" s="19">
        <v>1.25</v>
      </c>
      <c r="D49" s="21"/>
      <c r="E49" s="21"/>
      <c r="F49" s="21"/>
      <c r="G49" s="21"/>
      <c r="H49" s="19">
        <f t="shared" si="3"/>
        <v>8.4579999999999984</v>
      </c>
      <c r="I49" s="19">
        <f t="shared" si="4"/>
        <v>60.457999999999998</v>
      </c>
      <c r="J49" s="20">
        <f t="shared" si="5"/>
        <v>68.915999999999997</v>
      </c>
    </row>
    <row r="50" spans="1:10" ht="15.95" customHeight="1" x14ac:dyDescent="0.25">
      <c r="A50" s="9" t="s">
        <v>58</v>
      </c>
      <c r="B50" s="19"/>
      <c r="C50" s="19"/>
      <c r="D50" s="21"/>
      <c r="E50" s="21">
        <v>1</v>
      </c>
      <c r="F50" s="21"/>
      <c r="G50" s="21"/>
      <c r="H50" s="19">
        <f t="shared" si="3"/>
        <v>8.4579999999999984</v>
      </c>
      <c r="I50" s="19">
        <f t="shared" si="4"/>
        <v>59.457999999999998</v>
      </c>
      <c r="J50" s="20">
        <f t="shared" si="5"/>
        <v>67.915999999999997</v>
      </c>
    </row>
    <row r="51" spans="1:10" ht="15.95" customHeight="1" x14ac:dyDescent="0.25">
      <c r="A51" s="9" t="s">
        <v>59</v>
      </c>
      <c r="B51" s="19">
        <v>1.25</v>
      </c>
      <c r="C51" s="19">
        <v>1.25</v>
      </c>
      <c r="D51" s="21"/>
      <c r="E51" s="21"/>
      <c r="F51" s="21"/>
      <c r="G51" s="21"/>
      <c r="H51" s="19">
        <f t="shared" si="3"/>
        <v>9.7079999999999984</v>
      </c>
      <c r="I51" s="19">
        <f t="shared" si="4"/>
        <v>60.707999999999998</v>
      </c>
      <c r="J51" s="20">
        <f t="shared" si="5"/>
        <v>70.415999999999997</v>
      </c>
    </row>
    <row r="52" spans="1:10" ht="15.95" customHeight="1" x14ac:dyDescent="0.25">
      <c r="A52" s="9" t="s">
        <v>60</v>
      </c>
      <c r="B52" s="19"/>
      <c r="C52" s="19"/>
      <c r="D52" s="21"/>
      <c r="E52" s="19"/>
      <c r="F52" s="22">
        <v>1</v>
      </c>
      <c r="G52" s="23"/>
      <c r="H52" s="19">
        <f t="shared" si="3"/>
        <v>8.7079999999999984</v>
      </c>
      <c r="I52" s="19">
        <f t="shared" si="4"/>
        <v>60.707999999999998</v>
      </c>
      <c r="J52" s="20">
        <f t="shared" si="5"/>
        <v>69.415999999999997</v>
      </c>
    </row>
    <row r="53" spans="1:10" ht="15.95" customHeight="1" x14ac:dyDescent="0.25">
      <c r="A53" s="9" t="s">
        <v>61</v>
      </c>
      <c r="B53" s="19"/>
      <c r="C53" s="19"/>
      <c r="D53" s="21"/>
      <c r="E53" s="19">
        <v>1</v>
      </c>
      <c r="F53" s="22"/>
      <c r="G53" s="23"/>
      <c r="H53" s="19">
        <f t="shared" si="3"/>
        <v>8.7079999999999984</v>
      </c>
      <c r="I53" s="19">
        <f t="shared" si="4"/>
        <v>59.707999999999998</v>
      </c>
      <c r="J53" s="20">
        <f t="shared" si="5"/>
        <v>68.415999999999997</v>
      </c>
    </row>
    <row r="54" spans="1:10" ht="15.95" customHeight="1" x14ac:dyDescent="0.25">
      <c r="A54" s="9" t="s">
        <v>62</v>
      </c>
      <c r="B54" s="19">
        <v>1.25</v>
      </c>
      <c r="C54" s="19">
        <v>1.25</v>
      </c>
      <c r="D54" s="21"/>
      <c r="E54" s="19"/>
      <c r="F54" s="22"/>
      <c r="G54" s="23"/>
      <c r="H54" s="19">
        <f t="shared" si="3"/>
        <v>9.9579999999999984</v>
      </c>
      <c r="I54" s="19">
        <f t="shared" si="4"/>
        <v>60.957999999999998</v>
      </c>
      <c r="J54" s="20">
        <f t="shared" si="5"/>
        <v>70.915999999999997</v>
      </c>
    </row>
    <row r="55" spans="1:10" ht="18.75" customHeight="1" x14ac:dyDescent="0.25">
      <c r="A55" s="15" t="s">
        <v>64</v>
      </c>
      <c r="B55" s="22"/>
      <c r="C55" s="22"/>
      <c r="D55" s="23"/>
      <c r="E55" s="22">
        <v>1</v>
      </c>
      <c r="F55" s="22"/>
      <c r="G55" s="23"/>
      <c r="H55" s="19">
        <f t="shared" si="3"/>
        <v>9.9579999999999984</v>
      </c>
      <c r="I55" s="19">
        <f t="shared" si="4"/>
        <v>59.957999999999998</v>
      </c>
      <c r="J55" s="20">
        <f t="shared" si="5"/>
        <v>69.915999999999997</v>
      </c>
    </row>
    <row r="56" spans="1:10" ht="18.75" customHeight="1" x14ac:dyDescent="0.25">
      <c r="A56" s="15" t="s">
        <v>63</v>
      </c>
      <c r="B56" s="22"/>
      <c r="C56" s="22"/>
      <c r="D56" s="23"/>
      <c r="E56" s="22"/>
      <c r="F56" s="22">
        <v>1</v>
      </c>
      <c r="G56" s="23"/>
      <c r="H56" s="19">
        <f t="shared" si="3"/>
        <v>8.9579999999999984</v>
      </c>
      <c r="I56" s="19">
        <f t="shared" si="4"/>
        <v>59.957999999999998</v>
      </c>
      <c r="J56" s="20">
        <f t="shared" si="5"/>
        <v>68.915999999999997</v>
      </c>
    </row>
    <row r="57" spans="1:10" ht="18.75" customHeight="1" x14ac:dyDescent="0.25">
      <c r="A57" s="15" t="s">
        <v>65</v>
      </c>
      <c r="B57" s="22">
        <v>3.75</v>
      </c>
      <c r="C57" s="22">
        <v>3.75</v>
      </c>
      <c r="D57" s="23"/>
      <c r="E57" s="22"/>
      <c r="F57" s="22"/>
      <c r="G57" s="23"/>
      <c r="H57" s="19">
        <f t="shared" si="3"/>
        <v>12.707999999999998</v>
      </c>
      <c r="I57" s="19">
        <f t="shared" si="4"/>
        <v>63.707999999999998</v>
      </c>
      <c r="J57" s="20">
        <f t="shared" si="5"/>
        <v>76.415999999999997</v>
      </c>
    </row>
    <row r="58" spans="1:10" ht="17.25" customHeight="1" x14ac:dyDescent="0.25">
      <c r="A58" s="28" t="s">
        <v>66</v>
      </c>
      <c r="B58" s="34"/>
      <c r="C58" s="34"/>
      <c r="D58" s="25"/>
      <c r="E58" s="28">
        <v>2</v>
      </c>
      <c r="F58" s="25"/>
      <c r="G58" s="25"/>
      <c r="H58" s="19">
        <f t="shared" si="3"/>
        <v>12.707999999999998</v>
      </c>
      <c r="I58" s="19">
        <f t="shared" si="4"/>
        <v>61.707999999999998</v>
      </c>
      <c r="J58" s="20">
        <f t="shared" si="5"/>
        <v>74.415999999999997</v>
      </c>
    </row>
    <row r="59" spans="1:10" ht="17.25" customHeight="1" x14ac:dyDescent="0.25">
      <c r="A59" s="28" t="s">
        <v>67</v>
      </c>
      <c r="B59" s="35">
        <v>1.25</v>
      </c>
      <c r="C59" s="35">
        <v>1.25</v>
      </c>
      <c r="D59" s="25"/>
      <c r="E59" s="25"/>
      <c r="F59" s="25"/>
      <c r="G59" s="25"/>
      <c r="H59" s="19">
        <f t="shared" si="3"/>
        <v>13.957999999999998</v>
      </c>
      <c r="I59" s="19">
        <f t="shared" si="4"/>
        <v>62.957999999999998</v>
      </c>
      <c r="J59" s="20">
        <f t="shared" si="5"/>
        <v>76.915999999999997</v>
      </c>
    </row>
    <row r="60" spans="1:10" ht="17.25" customHeight="1" x14ac:dyDescent="0.25">
      <c r="A60" s="28" t="s">
        <v>68</v>
      </c>
      <c r="B60" s="34"/>
      <c r="C60" s="34"/>
      <c r="D60" s="28">
        <v>10</v>
      </c>
      <c r="E60" s="25"/>
      <c r="F60" s="25"/>
      <c r="G60" s="25"/>
      <c r="H60" s="19">
        <f t="shared" si="3"/>
        <v>3.9579999999999984</v>
      </c>
      <c r="I60" s="19">
        <f t="shared" si="4"/>
        <v>62.957999999999998</v>
      </c>
      <c r="J60" s="20">
        <f t="shared" si="5"/>
        <v>66.915999999999997</v>
      </c>
    </row>
    <row r="61" spans="1:10" ht="17.25" customHeight="1" x14ac:dyDescent="0.25">
      <c r="A61" s="28" t="s">
        <v>70</v>
      </c>
      <c r="B61" s="34"/>
      <c r="C61" s="34"/>
      <c r="D61" s="28"/>
      <c r="E61" s="28">
        <v>1</v>
      </c>
      <c r="F61" s="25"/>
      <c r="G61" s="25"/>
      <c r="H61" s="19">
        <f t="shared" si="3"/>
        <v>3.9579999999999984</v>
      </c>
      <c r="I61" s="19">
        <f t="shared" si="4"/>
        <v>61.957999999999998</v>
      </c>
      <c r="J61" s="20">
        <f t="shared" si="5"/>
        <v>65.915999999999997</v>
      </c>
    </row>
    <row r="62" spans="1:10" ht="17.25" customHeight="1" x14ac:dyDescent="0.25">
      <c r="A62" s="28" t="s">
        <v>71</v>
      </c>
      <c r="B62" s="34"/>
      <c r="C62" s="34"/>
      <c r="D62" s="28"/>
      <c r="E62" s="28"/>
      <c r="F62" s="22">
        <v>2</v>
      </c>
      <c r="G62" s="25"/>
      <c r="H62" s="19">
        <f t="shared" si="3"/>
        <v>1.9579999999999984</v>
      </c>
      <c r="I62" s="19">
        <f t="shared" si="4"/>
        <v>61.957999999999998</v>
      </c>
      <c r="J62" s="20">
        <f t="shared" si="5"/>
        <v>63.915999999999997</v>
      </c>
    </row>
    <row r="63" spans="1:10" ht="17.25" customHeight="1" x14ac:dyDescent="0.25">
      <c r="A63" s="28" t="s">
        <v>72</v>
      </c>
      <c r="B63" s="34"/>
      <c r="C63" s="34"/>
      <c r="D63" s="28"/>
      <c r="E63" s="28">
        <v>1</v>
      </c>
      <c r="F63" s="22"/>
      <c r="G63" s="25"/>
      <c r="H63" s="19">
        <f t="shared" si="3"/>
        <v>1.9579999999999984</v>
      </c>
      <c r="I63" s="19">
        <f t="shared" si="4"/>
        <v>60.957999999999998</v>
      </c>
      <c r="J63" s="20">
        <f t="shared" si="5"/>
        <v>62.915999999999997</v>
      </c>
    </row>
    <row r="64" spans="1:10" ht="17.25" customHeight="1" x14ac:dyDescent="0.25">
      <c r="A64" s="28" t="s">
        <v>73</v>
      </c>
      <c r="B64" s="35">
        <v>2.5</v>
      </c>
      <c r="C64" s="35">
        <v>2.5</v>
      </c>
      <c r="D64" s="28"/>
      <c r="E64" s="28"/>
      <c r="F64" s="22"/>
      <c r="G64" s="28"/>
      <c r="H64" s="19">
        <f t="shared" si="3"/>
        <v>4.4579999999999984</v>
      </c>
      <c r="I64" s="19">
        <f t="shared" si="4"/>
        <v>63.457999999999998</v>
      </c>
      <c r="J64" s="20">
        <f t="shared" si="5"/>
        <v>67.915999999999997</v>
      </c>
    </row>
    <row r="65" spans="1:10" ht="17.25" customHeight="1" x14ac:dyDescent="0.25">
      <c r="A65" s="28" t="s">
        <v>74</v>
      </c>
      <c r="B65" s="35"/>
      <c r="C65" s="35"/>
      <c r="D65" s="28"/>
      <c r="E65" s="28">
        <v>1</v>
      </c>
      <c r="F65" s="22"/>
      <c r="G65" s="28"/>
      <c r="H65" s="19">
        <f t="shared" si="3"/>
        <v>4.4579999999999984</v>
      </c>
      <c r="I65" s="19">
        <f t="shared" si="4"/>
        <v>62.457999999999998</v>
      </c>
      <c r="J65" s="20">
        <f t="shared" si="5"/>
        <v>66.915999999999997</v>
      </c>
    </row>
    <row r="66" spans="1:10" ht="17.25" customHeight="1" x14ac:dyDescent="0.25">
      <c r="A66" s="28" t="s">
        <v>75</v>
      </c>
      <c r="B66" s="35"/>
      <c r="C66" s="35"/>
      <c r="D66" s="28"/>
      <c r="E66" s="28">
        <v>2</v>
      </c>
      <c r="F66" s="22"/>
      <c r="G66" s="28"/>
      <c r="H66" s="19">
        <f t="shared" si="3"/>
        <v>4.4579999999999984</v>
      </c>
      <c r="I66" s="19">
        <f t="shared" si="4"/>
        <v>60.457999999999998</v>
      </c>
      <c r="J66" s="20">
        <f t="shared" si="5"/>
        <v>64.915999999999997</v>
      </c>
    </row>
    <row r="67" spans="1:10" ht="17.25" customHeight="1" x14ac:dyDescent="0.25">
      <c r="A67" s="28" t="s">
        <v>76</v>
      </c>
      <c r="B67" s="35">
        <v>1.25</v>
      </c>
      <c r="C67" s="35">
        <v>1.25</v>
      </c>
      <c r="D67" s="28"/>
      <c r="E67" s="28"/>
      <c r="F67" s="22"/>
      <c r="G67" s="28"/>
      <c r="H67" s="19">
        <f t="shared" si="3"/>
        <v>5.7079999999999984</v>
      </c>
      <c r="I67" s="19">
        <f t="shared" si="4"/>
        <v>61.707999999999998</v>
      </c>
      <c r="J67" s="20">
        <f t="shared" si="5"/>
        <v>67.415999999999997</v>
      </c>
    </row>
    <row r="68" spans="1:10" ht="17.25" customHeight="1" x14ac:dyDescent="0.25">
      <c r="A68" s="28" t="s">
        <v>77</v>
      </c>
      <c r="B68" s="35"/>
      <c r="C68" s="35"/>
      <c r="D68" s="28"/>
      <c r="E68" s="28"/>
      <c r="F68" s="23"/>
      <c r="G68" s="28">
        <v>1</v>
      </c>
      <c r="H68" s="19">
        <f t="shared" si="3"/>
        <v>5.7079999999999984</v>
      </c>
      <c r="I68" s="19">
        <f t="shared" si="4"/>
        <v>61.707999999999998</v>
      </c>
      <c r="J68" s="20">
        <f t="shared" si="5"/>
        <v>67.415999999999997</v>
      </c>
    </row>
    <row r="69" spans="1:10" ht="17.25" customHeight="1" x14ac:dyDescent="0.25">
      <c r="A69" s="28" t="s">
        <v>78</v>
      </c>
      <c r="B69" s="35"/>
      <c r="C69" s="35"/>
      <c r="D69" s="28"/>
      <c r="E69" s="28">
        <v>1</v>
      </c>
      <c r="F69" s="23"/>
      <c r="G69" s="28"/>
      <c r="H69" s="19">
        <f t="shared" si="3"/>
        <v>5.7079999999999984</v>
      </c>
      <c r="I69" s="19">
        <f t="shared" si="4"/>
        <v>60.707999999999998</v>
      </c>
      <c r="J69" s="20">
        <f t="shared" si="5"/>
        <v>66.415999999999997</v>
      </c>
    </row>
    <row r="70" spans="1:10" ht="17.25" customHeight="1" x14ac:dyDescent="0.25">
      <c r="A70" s="28" t="s">
        <v>79</v>
      </c>
      <c r="B70" s="35">
        <v>1.25</v>
      </c>
      <c r="C70" s="35">
        <v>1.25</v>
      </c>
      <c r="D70" s="28"/>
      <c r="E70" s="28"/>
      <c r="F70" s="23"/>
      <c r="G70" s="28"/>
      <c r="H70" s="19">
        <f t="shared" si="3"/>
        <v>6.9579999999999984</v>
      </c>
      <c r="I70" s="19">
        <f t="shared" si="4"/>
        <v>61.957999999999998</v>
      </c>
      <c r="J70" s="20">
        <f t="shared" si="5"/>
        <v>68.915999999999997</v>
      </c>
    </row>
    <row r="71" spans="1:10" ht="17.25" customHeight="1" x14ac:dyDescent="0.25">
      <c r="A71" s="28" t="s">
        <v>80</v>
      </c>
      <c r="B71" s="35"/>
      <c r="C71" s="35"/>
      <c r="D71" s="28"/>
      <c r="E71" s="28">
        <v>1</v>
      </c>
      <c r="F71" s="23"/>
      <c r="G71" s="28"/>
      <c r="H71" s="19">
        <f t="shared" si="3"/>
        <v>6.9579999999999984</v>
      </c>
      <c r="I71" s="19">
        <f t="shared" si="4"/>
        <v>60.957999999999998</v>
      </c>
      <c r="J71" s="20">
        <f t="shared" si="5"/>
        <v>67.915999999999997</v>
      </c>
    </row>
    <row r="72" spans="1:10" ht="17.25" customHeight="1" x14ac:dyDescent="0.25">
      <c r="A72" s="28" t="s">
        <v>81</v>
      </c>
      <c r="B72" s="35"/>
      <c r="C72" s="35"/>
      <c r="D72" s="28"/>
      <c r="E72" s="28"/>
      <c r="F72" s="23"/>
      <c r="G72" s="28">
        <v>1</v>
      </c>
      <c r="H72" s="19">
        <f t="shared" si="3"/>
        <v>6.9579999999999984</v>
      </c>
      <c r="I72" s="19">
        <f t="shared" si="4"/>
        <v>60.957999999999998</v>
      </c>
      <c r="J72" s="20">
        <f t="shared" si="5"/>
        <v>67.915999999999997</v>
      </c>
    </row>
    <row r="73" spans="1:10" ht="17.25" customHeight="1" x14ac:dyDescent="0.25">
      <c r="A73" s="28" t="s">
        <v>82</v>
      </c>
      <c r="B73" s="35"/>
      <c r="C73" s="35"/>
      <c r="D73" s="28"/>
      <c r="E73" s="28"/>
      <c r="F73" s="23"/>
      <c r="G73" s="28">
        <v>1</v>
      </c>
      <c r="H73" s="19">
        <f t="shared" si="3"/>
        <v>6.9579999999999984</v>
      </c>
      <c r="I73" s="19">
        <f t="shared" si="4"/>
        <v>60.957999999999998</v>
      </c>
      <c r="J73" s="20">
        <f t="shared" si="5"/>
        <v>67.915999999999997</v>
      </c>
    </row>
    <row r="74" spans="1:10" ht="17.25" customHeight="1" x14ac:dyDescent="0.25">
      <c r="A74" s="28" t="s">
        <v>83</v>
      </c>
      <c r="B74" s="35"/>
      <c r="C74" s="35"/>
      <c r="D74" s="28"/>
      <c r="E74" s="28"/>
      <c r="F74" s="22">
        <v>1</v>
      </c>
      <c r="G74" s="28"/>
      <c r="H74" s="19">
        <f t="shared" si="3"/>
        <v>5.9579999999999984</v>
      </c>
      <c r="I74" s="19">
        <f t="shared" si="4"/>
        <v>60.957999999999998</v>
      </c>
      <c r="J74" s="20">
        <f t="shared" si="5"/>
        <v>66.915999999999997</v>
      </c>
    </row>
    <row r="75" spans="1:10" ht="17.25" customHeight="1" x14ac:dyDescent="0.25">
      <c r="A75" s="28" t="s">
        <v>84</v>
      </c>
      <c r="B75" s="35"/>
      <c r="C75" s="35"/>
      <c r="D75" s="28">
        <v>1</v>
      </c>
      <c r="E75" s="28"/>
      <c r="F75" s="22"/>
      <c r="G75" s="28"/>
      <c r="H75" s="19">
        <f t="shared" si="3"/>
        <v>4.9579999999999984</v>
      </c>
      <c r="I75" s="19">
        <f t="shared" si="4"/>
        <v>60.957999999999998</v>
      </c>
      <c r="J75" s="20">
        <f t="shared" si="5"/>
        <v>65.915999999999997</v>
      </c>
    </row>
    <row r="76" spans="1:10" ht="17.25" customHeight="1" x14ac:dyDescent="0.25">
      <c r="A76" s="28" t="s">
        <v>85</v>
      </c>
      <c r="B76" s="35">
        <v>1.25</v>
      </c>
      <c r="C76" s="35">
        <v>1.25</v>
      </c>
      <c r="D76" s="28"/>
      <c r="E76" s="28"/>
      <c r="F76" s="22"/>
      <c r="G76" s="28"/>
      <c r="H76" s="19">
        <f t="shared" si="3"/>
        <v>6.2079999999999984</v>
      </c>
      <c r="I76" s="19">
        <f t="shared" si="4"/>
        <v>62.207999999999998</v>
      </c>
      <c r="J76" s="20">
        <f t="shared" si="5"/>
        <v>68.415999999999997</v>
      </c>
    </row>
    <row r="77" spans="1:10" ht="17.25" customHeight="1" x14ac:dyDescent="0.25">
      <c r="A77" s="28" t="s">
        <v>86</v>
      </c>
      <c r="B77" s="35"/>
      <c r="C77" s="35"/>
      <c r="D77" s="28"/>
      <c r="E77" s="28">
        <v>1</v>
      </c>
      <c r="F77" s="22"/>
      <c r="G77" s="28"/>
      <c r="H77" s="19">
        <f t="shared" si="3"/>
        <v>6.2079999999999984</v>
      </c>
      <c r="I77" s="19">
        <f t="shared" si="4"/>
        <v>61.207999999999998</v>
      </c>
      <c r="J77" s="20">
        <f t="shared" si="5"/>
        <v>67.415999999999997</v>
      </c>
    </row>
    <row r="78" spans="1:10" ht="17.25" customHeight="1" x14ac:dyDescent="0.25">
      <c r="A78" s="28" t="s">
        <v>87</v>
      </c>
      <c r="B78" s="35">
        <v>1.25</v>
      </c>
      <c r="C78" s="35">
        <v>1.25</v>
      </c>
      <c r="D78" s="28"/>
      <c r="E78" s="28"/>
      <c r="F78" s="22"/>
      <c r="G78" s="28"/>
      <c r="H78" s="19">
        <f t="shared" si="3"/>
        <v>7.4579999999999984</v>
      </c>
      <c r="I78" s="19">
        <f t="shared" si="4"/>
        <v>62.457999999999998</v>
      </c>
      <c r="J78" s="20">
        <f t="shared" si="5"/>
        <v>69.915999999999997</v>
      </c>
    </row>
    <row r="79" spans="1:10" ht="17.25" customHeight="1" x14ac:dyDescent="0.25">
      <c r="A79" s="28" t="s">
        <v>88</v>
      </c>
      <c r="B79" s="35"/>
      <c r="C79" s="35"/>
      <c r="D79" s="28"/>
      <c r="E79" s="28">
        <v>3</v>
      </c>
      <c r="F79" s="22"/>
      <c r="G79" s="28"/>
      <c r="H79" s="19">
        <f t="shared" si="3"/>
        <v>7.4579999999999984</v>
      </c>
      <c r="I79" s="19">
        <f t="shared" si="4"/>
        <v>59.457999999999998</v>
      </c>
      <c r="J79" s="20">
        <f t="shared" si="5"/>
        <v>66.915999999999997</v>
      </c>
    </row>
    <row r="80" spans="1:10" ht="17.25" customHeight="1" x14ac:dyDescent="0.25">
      <c r="A80" s="28" t="s">
        <v>89</v>
      </c>
      <c r="B80" s="35">
        <v>1.25</v>
      </c>
      <c r="C80" s="35">
        <v>1.25</v>
      </c>
      <c r="D80" s="28"/>
      <c r="E80" s="28"/>
      <c r="F80" s="22"/>
      <c r="G80" s="28"/>
      <c r="H80" s="19">
        <f t="shared" si="3"/>
        <v>8.7079999999999984</v>
      </c>
      <c r="I80" s="19">
        <f t="shared" si="4"/>
        <v>60.707999999999998</v>
      </c>
      <c r="J80" s="20">
        <f t="shared" si="5"/>
        <v>69.415999999999997</v>
      </c>
    </row>
    <row r="81" spans="1:10" ht="17.25" customHeight="1" x14ac:dyDescent="0.25">
      <c r="A81" s="28" t="s">
        <v>90</v>
      </c>
      <c r="B81" s="35"/>
      <c r="C81" s="35"/>
      <c r="D81" s="28"/>
      <c r="E81" s="28">
        <v>1</v>
      </c>
      <c r="F81" s="22"/>
      <c r="G81" s="28"/>
      <c r="H81" s="19">
        <f t="shared" si="3"/>
        <v>8.7079999999999984</v>
      </c>
      <c r="I81" s="19">
        <f t="shared" si="4"/>
        <v>59.707999999999998</v>
      </c>
      <c r="J81" s="20">
        <f t="shared" si="5"/>
        <v>68.415999999999997</v>
      </c>
    </row>
    <row r="82" spans="1:10" ht="17.25" customHeight="1" x14ac:dyDescent="0.25">
      <c r="A82" s="28" t="s">
        <v>91</v>
      </c>
      <c r="B82" s="35">
        <v>2.5</v>
      </c>
      <c r="C82" s="35">
        <v>2.5</v>
      </c>
      <c r="D82" s="28"/>
      <c r="E82" s="28"/>
      <c r="F82" s="22"/>
      <c r="G82" s="28"/>
      <c r="H82" s="19">
        <f t="shared" si="3"/>
        <v>11.207999999999998</v>
      </c>
      <c r="I82" s="19">
        <f t="shared" si="4"/>
        <v>62.207999999999998</v>
      </c>
      <c r="J82" s="20">
        <f t="shared" si="5"/>
        <v>73.415999999999997</v>
      </c>
    </row>
    <row r="83" spans="1:10" ht="17.25" customHeight="1" x14ac:dyDescent="0.25">
      <c r="A83" s="28" t="s">
        <v>92</v>
      </c>
      <c r="B83" s="35"/>
      <c r="C83" s="35"/>
      <c r="D83" s="28"/>
      <c r="E83" s="28">
        <v>2</v>
      </c>
      <c r="F83" s="22"/>
      <c r="G83" s="28"/>
      <c r="H83" s="19">
        <f t="shared" si="3"/>
        <v>11.207999999999998</v>
      </c>
      <c r="I83" s="19">
        <f t="shared" si="4"/>
        <v>60.207999999999998</v>
      </c>
      <c r="J83" s="20">
        <f t="shared" si="5"/>
        <v>71.415999999999997</v>
      </c>
    </row>
    <row r="84" spans="1:10" ht="17.25" customHeight="1" x14ac:dyDescent="0.25">
      <c r="A84" s="28" t="s">
        <v>93</v>
      </c>
      <c r="B84" s="35"/>
      <c r="C84" s="35"/>
      <c r="D84" s="28"/>
      <c r="E84" s="28">
        <v>1</v>
      </c>
      <c r="F84" s="22"/>
      <c r="G84" s="28"/>
      <c r="H84" s="19">
        <f t="shared" si="3"/>
        <v>11.207999999999998</v>
      </c>
      <c r="I84" s="19">
        <f t="shared" si="4"/>
        <v>59.207999999999998</v>
      </c>
      <c r="J84" s="20">
        <f t="shared" si="5"/>
        <v>70.415999999999997</v>
      </c>
    </row>
    <row r="85" spans="1:10" ht="17.25" customHeight="1" x14ac:dyDescent="0.25">
      <c r="A85" s="28" t="s">
        <v>94</v>
      </c>
      <c r="B85" s="35"/>
      <c r="C85" s="35"/>
      <c r="D85" s="28"/>
      <c r="E85" s="28">
        <v>2</v>
      </c>
      <c r="F85" s="22"/>
      <c r="G85" s="28"/>
      <c r="H85" s="19">
        <f t="shared" si="3"/>
        <v>11.207999999999998</v>
      </c>
      <c r="I85" s="19">
        <f t="shared" si="4"/>
        <v>57.207999999999998</v>
      </c>
      <c r="J85" s="20">
        <f t="shared" si="5"/>
        <v>68.415999999999997</v>
      </c>
    </row>
    <row r="86" spans="1:10" ht="17.25" customHeight="1" x14ac:dyDescent="0.25">
      <c r="A86" s="28" t="s">
        <v>95</v>
      </c>
      <c r="B86" s="35"/>
      <c r="C86" s="35"/>
      <c r="D86" s="28"/>
      <c r="E86" s="28">
        <v>0.5</v>
      </c>
      <c r="F86" s="22"/>
      <c r="G86" s="28"/>
      <c r="H86" s="19">
        <f t="shared" si="3"/>
        <v>11.207999999999998</v>
      </c>
      <c r="I86" s="19">
        <f t="shared" si="4"/>
        <v>56.707999999999998</v>
      </c>
      <c r="J86" s="20">
        <f t="shared" si="5"/>
        <v>67.915999999999997</v>
      </c>
    </row>
    <row r="87" spans="1:10" ht="17.25" customHeight="1" x14ac:dyDescent="0.25">
      <c r="A87" s="28" t="s">
        <v>97</v>
      </c>
      <c r="B87" s="35">
        <v>2.5</v>
      </c>
      <c r="C87" s="35">
        <v>2.5</v>
      </c>
      <c r="D87" s="28"/>
      <c r="E87" s="28"/>
      <c r="F87" s="22"/>
      <c r="G87" s="28"/>
      <c r="H87" s="19">
        <f t="shared" ref="H87:H88" si="6">H86-F87-D87+B87</f>
        <v>13.707999999999998</v>
      </c>
      <c r="I87" s="19">
        <f t="shared" ref="I87:I88" si="7">I86-E87+C87</f>
        <v>59.207999999999998</v>
      </c>
      <c r="J87" s="20">
        <f t="shared" ref="J87:J88" si="8">H87+I87</f>
        <v>72.915999999999997</v>
      </c>
    </row>
    <row r="88" spans="1:10" ht="17.25" customHeight="1" x14ac:dyDescent="0.25">
      <c r="A88" s="28" t="s">
        <v>98</v>
      </c>
      <c r="B88" s="35"/>
      <c r="C88" s="35"/>
      <c r="D88" s="28">
        <v>8.7080000000000002</v>
      </c>
      <c r="E88" s="28">
        <v>21.292000000000002</v>
      </c>
      <c r="F88" s="22"/>
      <c r="G88" s="28"/>
      <c r="H88" s="19">
        <f t="shared" si="6"/>
        <v>4.9999999999999982</v>
      </c>
      <c r="I88" s="19">
        <f t="shared" si="7"/>
        <v>37.915999999999997</v>
      </c>
      <c r="J88" s="20">
        <f t="shared" si="8"/>
        <v>42.915999999999997</v>
      </c>
    </row>
    <row r="89" spans="1:10" ht="17.25" customHeight="1" x14ac:dyDescent="0.25">
      <c r="A89" s="28" t="s">
        <v>99</v>
      </c>
      <c r="B89" s="35"/>
      <c r="C89" s="35"/>
      <c r="D89" s="28"/>
      <c r="E89" s="28">
        <v>1</v>
      </c>
      <c r="F89" s="22"/>
      <c r="G89" s="28"/>
      <c r="H89" s="19">
        <f t="shared" ref="H89" si="9">H88-F89-D89+B89</f>
        <v>4.9999999999999982</v>
      </c>
      <c r="I89" s="19">
        <f t="shared" ref="I89" si="10">I88-E89+C89</f>
        <v>36.915999999999997</v>
      </c>
      <c r="J89" s="20">
        <f t="shared" ref="J89" si="11">H89+I89</f>
        <v>41.915999999999997</v>
      </c>
    </row>
    <row r="90" spans="1:10" ht="17.25" customHeight="1" x14ac:dyDescent="0.25">
      <c r="A90" s="28" t="s">
        <v>100</v>
      </c>
      <c r="B90" s="35"/>
      <c r="C90" s="35"/>
      <c r="D90" s="28"/>
      <c r="E90" s="28">
        <v>1</v>
      </c>
      <c r="F90" s="22"/>
      <c r="G90" s="28"/>
      <c r="H90" s="19">
        <f t="shared" ref="H90" si="12">H89-F90-D90+B90</f>
        <v>4.9999999999999982</v>
      </c>
      <c r="I90" s="19">
        <f t="shared" ref="I90" si="13">I89-E90+C90</f>
        <v>35.915999999999997</v>
      </c>
      <c r="J90" s="20">
        <f t="shared" ref="J90" si="14">H90+I90</f>
        <v>40.915999999999997</v>
      </c>
    </row>
    <row r="91" spans="1:10" ht="17.25" customHeight="1" x14ac:dyDescent="0.25">
      <c r="A91" s="28" t="s">
        <v>101</v>
      </c>
      <c r="B91" s="35"/>
      <c r="C91" s="35"/>
      <c r="D91" s="28"/>
      <c r="E91" s="28">
        <v>1</v>
      </c>
      <c r="F91" s="22"/>
      <c r="G91" s="28"/>
      <c r="H91" s="19">
        <f t="shared" ref="H91" si="15">H90-F91-D91+B91</f>
        <v>4.9999999999999982</v>
      </c>
      <c r="I91" s="19">
        <f t="shared" ref="I91" si="16">I90-E91+C91</f>
        <v>34.915999999999997</v>
      </c>
      <c r="J91" s="20">
        <f t="shared" ref="J91" si="17">H91+I91</f>
        <v>39.915999999999997</v>
      </c>
    </row>
    <row r="92" spans="1:10" ht="17.25" customHeight="1" x14ac:dyDescent="0.25">
      <c r="A92" s="28" t="s">
        <v>102</v>
      </c>
      <c r="B92" s="35">
        <v>1.25</v>
      </c>
      <c r="C92" s="35">
        <v>1.25</v>
      </c>
      <c r="D92" s="28"/>
      <c r="E92" s="28"/>
      <c r="F92" s="22"/>
      <c r="G92" s="28"/>
      <c r="H92" s="19">
        <f t="shared" ref="H92:H93" si="18">H91-F92-D92+B92</f>
        <v>6.2499999999999982</v>
      </c>
      <c r="I92" s="19">
        <f t="shared" ref="I92:I93" si="19">I91-E92+C92</f>
        <v>36.165999999999997</v>
      </c>
      <c r="J92" s="20">
        <f t="shared" ref="J92:J93" si="20">H92+I92</f>
        <v>42.415999999999997</v>
      </c>
    </row>
    <row r="93" spans="1:10" ht="17.25" customHeight="1" x14ac:dyDescent="0.25">
      <c r="A93" s="28" t="s">
        <v>103</v>
      </c>
      <c r="B93" s="35"/>
      <c r="C93" s="35"/>
      <c r="D93" s="28"/>
      <c r="E93" s="28">
        <v>1</v>
      </c>
      <c r="F93" s="22"/>
      <c r="G93" s="28"/>
      <c r="H93" s="19">
        <f t="shared" si="18"/>
        <v>6.2499999999999982</v>
      </c>
      <c r="I93" s="19">
        <f t="shared" si="19"/>
        <v>35.165999999999997</v>
      </c>
      <c r="J93" s="20">
        <f t="shared" si="20"/>
        <v>41.415999999999997</v>
      </c>
    </row>
    <row r="94" spans="1:10" ht="17.25" customHeight="1" x14ac:dyDescent="0.25">
      <c r="A94" s="28" t="s">
        <v>105</v>
      </c>
      <c r="B94" s="35"/>
      <c r="C94" s="35"/>
      <c r="D94" s="28"/>
      <c r="E94" s="28">
        <v>2</v>
      </c>
      <c r="F94" s="22"/>
      <c r="G94" s="28"/>
      <c r="H94" s="19">
        <f t="shared" ref="H94" si="21">H93-F94-D94+B94</f>
        <v>6.2499999999999982</v>
      </c>
      <c r="I94" s="19">
        <f t="shared" ref="I94" si="22">I93-E94+C94</f>
        <v>33.165999999999997</v>
      </c>
      <c r="J94" s="20">
        <f t="shared" ref="J94" si="23">H94+I94</f>
        <v>39.415999999999997</v>
      </c>
    </row>
    <row r="95" spans="1:10" ht="17.25" customHeight="1" x14ac:dyDescent="0.25">
      <c r="A95" s="28" t="s">
        <v>106</v>
      </c>
      <c r="B95" s="35">
        <v>1.25</v>
      </c>
      <c r="C95" s="35">
        <v>1.25</v>
      </c>
      <c r="D95" s="28"/>
      <c r="E95" s="28"/>
      <c r="F95" s="22"/>
      <c r="G95" s="28"/>
      <c r="H95" s="19">
        <f t="shared" ref="H95:H96" si="24">H94-F95-D95+B95</f>
        <v>7.4999999999999982</v>
      </c>
      <c r="I95" s="19">
        <f t="shared" ref="I95:I96" si="25">I94-E95+C95</f>
        <v>34.415999999999997</v>
      </c>
      <c r="J95" s="20">
        <f t="shared" ref="J95:J96" si="26">H95+I95</f>
        <v>41.915999999999997</v>
      </c>
    </row>
    <row r="96" spans="1:10" ht="17.25" customHeight="1" x14ac:dyDescent="0.25">
      <c r="A96" s="28" t="s">
        <v>107</v>
      </c>
      <c r="B96" s="35"/>
      <c r="C96" s="35"/>
      <c r="D96" s="28"/>
      <c r="E96" s="28">
        <v>1</v>
      </c>
      <c r="F96" s="22"/>
      <c r="G96" s="28"/>
      <c r="H96" s="19">
        <f t="shared" si="24"/>
        <v>7.4999999999999982</v>
      </c>
      <c r="I96" s="19">
        <f t="shared" si="25"/>
        <v>33.415999999999997</v>
      </c>
      <c r="J96" s="20">
        <f t="shared" si="26"/>
        <v>40.915999999999997</v>
      </c>
    </row>
    <row r="97" spans="1:10" ht="17.25" customHeight="1" x14ac:dyDescent="0.25">
      <c r="A97" s="28" t="s">
        <v>108</v>
      </c>
      <c r="B97" s="35"/>
      <c r="C97" s="35"/>
      <c r="D97" s="28"/>
      <c r="E97" s="28"/>
      <c r="F97" s="42">
        <v>5</v>
      </c>
      <c r="G97" s="28"/>
      <c r="H97" s="19">
        <f t="shared" ref="H97" si="27">H96-F97-D97+B97</f>
        <v>2.4999999999999982</v>
      </c>
      <c r="I97" s="19">
        <f t="shared" ref="I97" si="28">I96-E97+C97</f>
        <v>33.415999999999997</v>
      </c>
      <c r="J97" s="20">
        <f t="shared" ref="J97" si="29">H97+I97</f>
        <v>35.915999999999997</v>
      </c>
    </row>
    <row r="98" spans="1:10" ht="17.25" customHeight="1" x14ac:dyDescent="0.25">
      <c r="A98" s="60" t="s">
        <v>109</v>
      </c>
      <c r="B98" s="61">
        <v>3.75</v>
      </c>
      <c r="C98" s="61">
        <v>3.75</v>
      </c>
      <c r="D98" s="60"/>
      <c r="E98" s="60"/>
      <c r="F98" s="62"/>
      <c r="G98" s="60"/>
      <c r="H98" s="19">
        <f t="shared" ref="H98:H99" si="30">H97-F98-D98+B98</f>
        <v>6.2499999999999982</v>
      </c>
      <c r="I98" s="19">
        <f t="shared" ref="I98:I99" si="31">I97-E98+C98</f>
        <v>37.165999999999997</v>
      </c>
      <c r="J98" s="20">
        <f t="shared" ref="J98:J99" si="32">H98+I98</f>
        <v>43.415999999999997</v>
      </c>
    </row>
    <row r="99" spans="1:10" ht="17.25" customHeight="1" x14ac:dyDescent="0.25">
      <c r="A99" s="60" t="s">
        <v>110</v>
      </c>
      <c r="B99" s="61"/>
      <c r="C99" s="61"/>
      <c r="D99" s="60"/>
      <c r="E99" s="60">
        <v>1</v>
      </c>
      <c r="F99" s="62"/>
      <c r="G99" s="60"/>
      <c r="H99" s="19">
        <f t="shared" si="30"/>
        <v>6.2499999999999982</v>
      </c>
      <c r="I99" s="19">
        <f t="shared" si="31"/>
        <v>36.165999999999997</v>
      </c>
      <c r="J99" s="20">
        <f t="shared" si="32"/>
        <v>42.415999999999997</v>
      </c>
    </row>
    <row r="100" spans="1:10" ht="17.25" customHeight="1" x14ac:dyDescent="0.25">
      <c r="B100" s="38"/>
      <c r="C100" s="38"/>
      <c r="D100" s="29"/>
      <c r="E100" s="29"/>
      <c r="F100" s="39"/>
      <c r="G100" s="29"/>
      <c r="H100" s="40"/>
      <c r="I100" s="40"/>
      <c r="J100" s="41"/>
    </row>
    <row r="101" spans="1:10" ht="18.95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spans="1:10" s="1" customFormat="1" x14ac:dyDescent="0.25">
      <c r="A102" s="27"/>
      <c r="B102" s="30"/>
      <c r="C102" s="30"/>
      <c r="G102" s="1" t="s">
        <v>19</v>
      </c>
    </row>
    <row r="103" spans="1:10" s="1" customFormat="1" x14ac:dyDescent="0.25">
      <c r="A103" s="27"/>
      <c r="B103" s="30"/>
      <c r="C103" s="30"/>
    </row>
    <row r="104" spans="1:10" s="1" customFormat="1" x14ac:dyDescent="0.25">
      <c r="A104" s="27"/>
      <c r="B104" s="30"/>
      <c r="C104" s="30"/>
      <c r="H104" s="26" t="s">
        <v>20</v>
      </c>
    </row>
    <row r="105" spans="1:10" s="1" customFormat="1" x14ac:dyDescent="0.25">
      <c r="A105" s="27"/>
      <c r="B105" s="30"/>
      <c r="C105" s="30"/>
      <c r="H105" s="1" t="s">
        <v>21</v>
      </c>
    </row>
    <row r="106" spans="1:10" s="1" customFormat="1" x14ac:dyDescent="0.25">
      <c r="A106" s="27"/>
      <c r="B106" s="30"/>
      <c r="C106" s="30"/>
      <c r="H106" s="1" t="s">
        <v>69</v>
      </c>
    </row>
  </sheetData>
  <mergeCells count="14">
    <mergeCell ref="A101:J101"/>
    <mergeCell ref="A11:A12"/>
    <mergeCell ref="B11:C11"/>
    <mergeCell ref="D11:F11"/>
    <mergeCell ref="H11:I11"/>
    <mergeCell ref="J11:J12"/>
    <mergeCell ref="A13:J13"/>
    <mergeCell ref="A10:J10"/>
    <mergeCell ref="A2:J2"/>
    <mergeCell ref="A5:J5"/>
    <mergeCell ref="A3:J3"/>
    <mergeCell ref="A4:J4"/>
    <mergeCell ref="B7:D7"/>
    <mergeCell ref="B9:D9"/>
  </mergeCells>
  <printOptions horizontalCentered="1"/>
  <pageMargins left="0.23622047244094491" right="0.23622047244094491" top="0.51181102362204722" bottom="0.51181102362204722" header="0.31496062992125984" footer="0.31496062992125984"/>
  <pageSetup paperSize="9" scale="6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alumogdang-PC</dc:creator>
  <cp:lastModifiedBy>JOCELYN MAMUGAY</cp:lastModifiedBy>
  <cp:lastPrinted>2026-01-14T05:05:17Z</cp:lastPrinted>
  <dcterms:created xsi:type="dcterms:W3CDTF">2023-05-10T06:17:14Z</dcterms:created>
  <dcterms:modified xsi:type="dcterms:W3CDTF">2026-01-14T05:06:57Z</dcterms:modified>
</cp:coreProperties>
</file>