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3F70162-4CCD-4E79-8988-35C2025586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9" i="1" l="1"/>
  <c r="H100" i="1" s="1"/>
  <c r="I99" i="1"/>
  <c r="I100" i="1" s="1"/>
  <c r="J99" i="1"/>
  <c r="J100" i="1" l="1"/>
  <c r="B59" i="1"/>
  <c r="B57" i="1"/>
  <c r="B55" i="1"/>
  <c r="B44" i="1"/>
  <c r="C19" i="1" l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B19" i="1"/>
  <c r="H19" i="1" s="1"/>
  <c r="H20" i="1" s="1"/>
  <c r="J18" i="1"/>
  <c r="J19" i="1" l="1"/>
  <c r="J20" i="1"/>
  <c r="H21" i="1"/>
  <c r="J21" i="1" l="1"/>
  <c r="H22" i="1"/>
  <c r="J22" i="1" l="1"/>
  <c r="H23" i="1"/>
  <c r="H24" i="1" l="1"/>
  <c r="J23" i="1"/>
  <c r="J24" i="1" l="1"/>
  <c r="H25" i="1"/>
  <c r="J25" i="1" l="1"/>
  <c r="H26" i="1"/>
  <c r="J26" i="1" l="1"/>
  <c r="H27" i="1"/>
  <c r="J27" i="1" l="1"/>
  <c r="H28" i="1"/>
  <c r="J28" i="1" l="1"/>
  <c r="H29" i="1"/>
  <c r="J29" i="1" l="1"/>
  <c r="H30" i="1"/>
  <c r="H31" i="1" l="1"/>
  <c r="J30" i="1"/>
  <c r="J31" i="1" l="1"/>
  <c r="H32" i="1"/>
  <c r="J32" i="1" l="1"/>
  <c r="H33" i="1"/>
  <c r="J33" i="1" l="1"/>
  <c r="H34" i="1"/>
  <c r="H35" i="1" l="1"/>
  <c r="J34" i="1"/>
  <c r="J35" i="1" l="1"/>
  <c r="H36" i="1"/>
  <c r="J36" i="1" l="1"/>
  <c r="H37" i="1"/>
  <c r="J37" i="1" l="1"/>
  <c r="H38" i="1"/>
  <c r="H39" i="1" l="1"/>
  <c r="J38" i="1"/>
  <c r="J39" i="1" l="1"/>
  <c r="H40" i="1"/>
  <c r="H41" i="1" l="1"/>
  <c r="J40" i="1"/>
  <c r="H42" i="1" l="1"/>
  <c r="J41" i="1"/>
  <c r="H43" i="1" l="1"/>
  <c r="J42" i="1"/>
  <c r="H44" i="1" l="1"/>
  <c r="J43" i="1"/>
  <c r="J44" i="1" l="1"/>
  <c r="H45" i="1"/>
  <c r="J45" i="1" l="1"/>
  <c r="H46" i="1"/>
  <c r="H47" i="1" l="1"/>
  <c r="J46" i="1"/>
  <c r="J47" i="1" l="1"/>
  <c r="H48" i="1"/>
  <c r="J48" i="1" l="1"/>
  <c r="H49" i="1"/>
  <c r="H50" i="1" l="1"/>
  <c r="J49" i="1"/>
  <c r="J50" i="1" l="1"/>
  <c r="H51" i="1"/>
  <c r="J51" i="1" l="1"/>
  <c r="H52" i="1"/>
  <c r="J52" i="1" l="1"/>
  <c r="H53" i="1"/>
  <c r="H54" i="1" l="1"/>
  <c r="J53" i="1"/>
  <c r="H55" i="1" l="1"/>
  <c r="J54" i="1"/>
  <c r="H56" i="1" l="1"/>
  <c r="J55" i="1"/>
  <c r="J56" i="1" l="1"/>
  <c r="H57" i="1"/>
  <c r="J57" i="1" l="1"/>
  <c r="H58" i="1"/>
  <c r="J58" i="1" l="1"/>
  <c r="H59" i="1"/>
  <c r="J59" i="1" l="1"/>
  <c r="H60" i="1"/>
  <c r="J60" i="1" l="1"/>
  <c r="H61" i="1"/>
  <c r="H62" i="1" l="1"/>
  <c r="J61" i="1"/>
  <c r="H63" i="1" l="1"/>
  <c r="J62" i="1"/>
  <c r="J63" i="1" l="1"/>
  <c r="H64" i="1"/>
  <c r="J64" i="1" l="1"/>
  <c r="H65" i="1"/>
  <c r="J65" i="1" l="1"/>
  <c r="H66" i="1"/>
  <c r="H67" i="1" l="1"/>
  <c r="J66" i="1"/>
  <c r="J67" i="1" l="1"/>
  <c r="H68" i="1"/>
  <c r="J68" i="1" l="1"/>
  <c r="H69" i="1"/>
  <c r="J69" i="1" l="1"/>
  <c r="H70" i="1"/>
  <c r="H71" i="1" l="1"/>
  <c r="J70" i="1"/>
  <c r="J71" i="1" l="1"/>
  <c r="H72" i="1"/>
  <c r="J72" i="1" l="1"/>
  <c r="H73" i="1"/>
  <c r="J73" i="1" l="1"/>
  <c r="H74" i="1"/>
  <c r="H75" i="1" l="1"/>
  <c r="J74" i="1"/>
  <c r="J75" i="1" l="1"/>
  <c r="H76" i="1"/>
  <c r="H77" i="1" l="1"/>
  <c r="J76" i="1"/>
  <c r="H78" i="1" l="1"/>
  <c r="J77" i="1"/>
  <c r="H79" i="1" l="1"/>
  <c r="J78" i="1"/>
  <c r="J79" i="1" l="1"/>
  <c r="H80" i="1"/>
  <c r="J80" i="1" l="1"/>
  <c r="H81" i="1"/>
  <c r="J81" i="1" l="1"/>
  <c r="H82" i="1"/>
  <c r="J82" i="1" l="1"/>
  <c r="H83" i="1"/>
  <c r="J83" i="1" l="1"/>
  <c r="H84" i="1"/>
  <c r="H85" i="1" s="1"/>
  <c r="H86" i="1" l="1"/>
  <c r="J85" i="1"/>
  <c r="J84" i="1"/>
  <c r="J86" i="1" l="1"/>
  <c r="H87" i="1"/>
  <c r="J87" i="1" l="1"/>
  <c r="H88" i="1"/>
  <c r="H89" i="1" l="1"/>
  <c r="J88" i="1"/>
  <c r="J89" i="1" l="1"/>
  <c r="H90" i="1"/>
  <c r="J90" i="1" l="1"/>
  <c r="H91" i="1"/>
  <c r="H92" i="1" l="1"/>
  <c r="J91" i="1"/>
  <c r="J92" i="1" l="1"/>
  <c r="H93" i="1"/>
  <c r="H94" i="1" l="1"/>
  <c r="J93" i="1"/>
  <c r="J94" i="1" l="1"/>
  <c r="H95" i="1"/>
  <c r="J95" i="1" l="1"/>
  <c r="H96" i="1"/>
  <c r="J96" i="1" l="1"/>
  <c r="H97" i="1"/>
  <c r="J97" i="1" l="1"/>
  <c r="H98" i="1"/>
  <c r="J98" i="1" s="1"/>
</calcChain>
</file>

<file path=xl/sharedStrings.xml><?xml version="1.0" encoding="utf-8"?>
<sst xmlns="http://schemas.openxmlformats.org/spreadsheetml/2006/main" count="114" uniqueCount="110">
  <si>
    <t>Republic of the Philippines</t>
  </si>
  <si>
    <t>Department of Education</t>
  </si>
  <si>
    <t>SCHOOLS DIVISION OF SIPALAY CITY</t>
  </si>
  <si>
    <t>Name: _____________________________</t>
  </si>
  <si>
    <t xml:space="preserve">DISTRICT: 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</si>
  <si>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</si>
  <si>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</si>
  <si>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</si>
  <si>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</si>
  <si>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</si>
  <si>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</si>
  <si>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</si>
  <si>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</si>
  <si>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</si>
  <si>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</si>
  <si>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</si>
  <si>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</si>
  <si>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</si>
  <si>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LEAVE</t>
  </si>
  <si>
    <t>Certified Correct:</t>
  </si>
  <si>
    <t>MA. LUISA B. CATIGAN</t>
  </si>
  <si>
    <t>Administrative Officer IV</t>
  </si>
  <si>
    <t>HRMO</t>
  </si>
  <si>
    <t>DATE FILED/RECEIVED</t>
  </si>
  <si>
    <t>MARCH 16, 2009 DATE OF APPOINMENT AS HEAD TEACHER I</t>
  </si>
  <si>
    <t>LESS: MONETIZATION 2009(11/17/2009)</t>
  </si>
  <si>
    <t>ADD: 01/01/2010-12/31/2010</t>
  </si>
  <si>
    <t>LESS : MONETIZATION 2010</t>
  </si>
  <si>
    <t>ADD: 01/01/2011-12/31/2011</t>
  </si>
  <si>
    <t>ADD:01/01/2012-12/31/2012</t>
  </si>
  <si>
    <t>ADD:01/01/2013-12/31/2013</t>
  </si>
  <si>
    <t>ADD:01/01/2014-12/31/2014</t>
  </si>
  <si>
    <t>LESS: MONETIZATION 2014</t>
  </si>
  <si>
    <t>ADD: 01/01/2015-12/31/2015</t>
  </si>
  <si>
    <t>LESS: MONETIZATION 2015</t>
  </si>
  <si>
    <t>ADD: 01/01/2016-12/31/2016</t>
  </si>
  <si>
    <t>LESS: MONETIZATION 2016</t>
  </si>
  <si>
    <t>ADD: 01/01/2017-11/30/2017</t>
  </si>
  <si>
    <t>LESS: MONETIZATION 2017 (11/30/2017</t>
  </si>
  <si>
    <t>ADD: 12/01-31/2017</t>
  </si>
  <si>
    <t>ADD: 01/01/2018-06/30/2018</t>
  </si>
  <si>
    <t>LESS: MONETIZATION 2018</t>
  </si>
  <si>
    <t>ADD: 07/01/2018-12/31/2018</t>
  </si>
  <si>
    <t>ADD:01/01/2019-12/31/2019</t>
  </si>
  <si>
    <t>ADD:01/01/2020-12/31/2020</t>
  </si>
  <si>
    <t>LESS: MONETIZATION 2020</t>
  </si>
  <si>
    <t>ADD:01/01/2021-9/30/2021</t>
  </si>
  <si>
    <t>LESS: MONETIZATION 2021</t>
  </si>
  <si>
    <t>ADD: 10/01/2021-12/31/2021</t>
  </si>
  <si>
    <t>ADD: 01/01/2022-08/31/2022</t>
  </si>
  <si>
    <t>LESS: MONETIZATION 2022</t>
  </si>
  <si>
    <t>ADD: 09/01/2022-12/31/2022</t>
  </si>
  <si>
    <t>LESS:11/28&amp;29/2022</t>
  </si>
  <si>
    <t>LESS: 12/09/2022</t>
  </si>
  <si>
    <t>LESS: 12/28&amp;29/2022</t>
  </si>
  <si>
    <t xml:space="preserve">LESS: MANDATORY FORCED LEAVE  2022 </t>
  </si>
  <si>
    <t>ADD: 01/01/2023-04/30/2023</t>
  </si>
  <si>
    <t>LESS: 05/2&amp;3/2023</t>
  </si>
  <si>
    <t>ADD: 05/01-31/2023</t>
  </si>
  <si>
    <t>LESS: 06/14/2023</t>
  </si>
  <si>
    <t>ADD: 06/01-30/2023</t>
  </si>
  <si>
    <t>LESS: 07/10/2023</t>
  </si>
  <si>
    <t>ADD:07/01/2023-08/31/2023</t>
  </si>
  <si>
    <t>LESS: MONETIZATION 2023</t>
  </si>
  <si>
    <t>LESS: 08/07/2023</t>
  </si>
  <si>
    <t>LESS: 09/26/23</t>
  </si>
  <si>
    <t>ADD: 09/01/2023-10/31/2023</t>
  </si>
  <si>
    <t>LESS: 11/20/2023</t>
  </si>
  <si>
    <t>.</t>
  </si>
  <si>
    <t>LESS: 11/30/2023</t>
  </si>
  <si>
    <t>ADD: 11/01/2023-12/31/2023</t>
  </si>
  <si>
    <t>ADD: 01/01/2024-03/31/2024</t>
  </si>
  <si>
    <t>LESS: 04/04/2024</t>
  </si>
  <si>
    <t>ADD: 04/1/2024-05/31/2024</t>
  </si>
  <si>
    <t>LESS: 06/21/2024</t>
  </si>
  <si>
    <t>ADD: 06/1-30/2024</t>
  </si>
  <si>
    <t>LESS: 07/15/2024</t>
  </si>
  <si>
    <t>ADD: 07/1-31/2024</t>
  </si>
  <si>
    <t>LESS: MONETIZATION 2024</t>
  </si>
  <si>
    <t>ADD: 08/1/2024-11/30/2024</t>
  </si>
  <si>
    <t>LESS: 11/26-29/2024</t>
  </si>
  <si>
    <t>LESS: 12/4-6/2024</t>
  </si>
  <si>
    <t>LESS: 12/11-13/2024</t>
  </si>
  <si>
    <t>ADD: 12/1-31/2024</t>
  </si>
  <si>
    <t>LESS: 01/6-8/2025</t>
  </si>
  <si>
    <t>LESS: 01/9-10/2025</t>
  </si>
  <si>
    <t>ADD: 01/1/2025-03/31/2025</t>
  </si>
  <si>
    <t>LESS: MONETIZATION 2025</t>
  </si>
  <si>
    <t>ADD: 03/16-31/2009</t>
  </si>
  <si>
    <t>ADD: 04/1-30/2025</t>
  </si>
  <si>
    <t>LESS: 05/5/2025</t>
  </si>
  <si>
    <t>ADD: 05/1/2025-07/31/2025</t>
  </si>
  <si>
    <t>ADD: 04/01/2009-12/31/2009</t>
  </si>
  <si>
    <t xml:space="preserve">LESS: FORCED LEAVE </t>
  </si>
  <si>
    <t>LESS: 07/10/2025</t>
  </si>
  <si>
    <t>LESS:  FORCED LEAVE (5DAYS) 2020</t>
  </si>
  <si>
    <t>LESS:  FORCED LEAVE (5DAYS) 2021</t>
  </si>
  <si>
    <t>LESS: FORCED LEAVE (5DAYS) 2019</t>
  </si>
  <si>
    <t>LESS: FORCED LEAVE (5DAYS) 2018</t>
  </si>
  <si>
    <t>LESS:  FORCED LEAVE (5DAYS) 2017</t>
  </si>
  <si>
    <t>LESS:  FORCED LEAVE (5DAYS) 2016</t>
  </si>
  <si>
    <t>LESS: FORCED LEAVE (5DAYS) 2015</t>
  </si>
  <si>
    <t>LESS:  FORCED LEAVE (5DAYS) 2014</t>
  </si>
  <si>
    <t>LESS:  FORCED LEAVE (5DAYS) 2013</t>
  </si>
  <si>
    <t>LESS: FORCED LEAVE (5DAYS) 2012</t>
  </si>
  <si>
    <t>LESS:  FORCED LEAVE (5DAYS) 2011</t>
  </si>
  <si>
    <t>LESS:  FORCED LEAVE (5DAYS) 2010</t>
  </si>
  <si>
    <t>NEGROS ISLAND REGION</t>
  </si>
  <si>
    <t>ADD: 08/1/2025-11/30/2025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</si>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</sst>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1" xfId="0" quotePrefix="1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2" borderId="10" xfId="0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164" fontId="0" fillId="2" borderId="1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0" fillId="2" borderId="10" xfId="0" applyFill="1" applyBorder="1"/>
    <xf numFmtId="0" fontId="8" fillId="2" borderId="0" xfId="0" applyFont="1" applyFill="1"/>
    <xf numFmtId="0" fontId="0" fillId="0" borderId="10" xfId="0" applyBorder="1"/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10" xfId="0" applyFill="1" applyBorder="1" applyAlignment="1">
      <alignment horizontal="center"/>
    </xf>
    <xf numFmtId="164" fontId="0" fillId="0" borderId="10" xfId="0" applyNumberFormat="1" applyFill="1" applyBorder="1" applyAlignment="1">
      <alignment horizontal="center" vertical="center"/>
    </xf>
    <xf numFmtId="164" fontId="5" fillId="0" borderId="1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406890</xdr:colOff>
      <xdr:row>1</xdr:row>
      <xdr:rowOff>76201</xdr:rowOff>
    </xdr:from>
    <xdr:to>
      <xdr:col>4</xdr:col>
      <xdr:colOff>400050</xdr:colOff>
      <xdr:row>4</xdr:row>
      <xdr:rowOff>184151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8B32B9-0CD4-4E5F-A94D-F37A6942B5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59765" y="266701"/>
          <a:ext cx="764685" cy="6794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583467</xdr:colOff>
      <xdr:row>9</xdr:row>
      <xdr:rowOff>47136</xdr:rowOff>
    </xdr:from>
    <xdr:to>
      <xdr:col>1</xdr:col>
      <xdr:colOff>10991</xdr:colOff>
      <xdr:row>10</xdr:row>
      <xdr:rowOff>182685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F8CC61-1BAA-4488-81A3-216C1011E578}"/>
            </a:ext>
          </a:extLst>
        </xdr:cNvPr>
        <xdr:cNvSpPr txBox="1"/>
      </xdr:nvSpPr>
      <xdr:spPr>
        <a:xfrm>
          <a:off x="583467" y="1761636"/>
          <a:ext cx="1837349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ANDY V. CLARIDAD</a:t>
          </a:r>
        </a:p>
      </xdr:txBody>
    </xdr:sp>
    <xdr:clientData/>
  </xdr:twoCellAnchor>
  <xdr:twoCellAnchor>
    <xdr:from>
      <xdr:col>0</xdr:col>
      <xdr:colOff>721458</xdr:colOff>
      <xdr:row>11</xdr:row>
      <xdr:rowOff>108682</xdr:rowOff>
    </xdr:from>
    <xdr:to>
      <xdr:col>1</xdr:col>
      <xdr:colOff>101357</xdr:colOff>
      <xdr:row>13</xdr:row>
      <xdr:rowOff>53730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AE59BC-188D-4EB2-A51D-EC7A4511E1FA}"/>
            </a:ext>
          </a:extLst>
        </xdr:cNvPr>
        <xdr:cNvSpPr txBox="1"/>
      </xdr:nvSpPr>
      <xdr:spPr>
        <a:xfrm>
          <a:off x="721458" y="2204182"/>
          <a:ext cx="1789724" cy="326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</a:t>
          </a:r>
        </a:p>
      </xdr:txBody>
    </xdr:sp>
    <xdr:clientData/>
  </xdr:twoCellAnchor>
  <xdr:twoCellAnchor>
    <xdr:from>
      <xdr:col>1</xdr:col>
      <xdr:colOff>729518</xdr:colOff>
      <xdr:row>9</xdr:row>
      <xdr:rowOff>137991</xdr:rowOff>
    </xdr:from>
    <xdr:to>
      <xdr:col>4</xdr:col>
      <xdr:colOff>147271</xdr:colOff>
      <xdr:row>11</xdr:row>
      <xdr:rowOff>130909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94A2A7-20F7-4550-B895-FC8B2A7C4286}"/>
            </a:ext>
          </a:extLst>
        </xdr:cNvPr>
        <xdr:cNvSpPr txBox="1"/>
      </xdr:nvSpPr>
      <xdr:spPr>
        <a:xfrm>
          <a:off x="3139343" y="1852491"/>
          <a:ext cx="1732328" cy="373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SIPALAY II</a:t>
          </a:r>
        </a:p>
      </xdr:txBody>
    </xdr:sp>
    <xdr:clientData/>
  </xdr:twoCellAnchor>
  <xdr:twoCellAnchor>
    <xdr:from>
      <xdr:col>2</xdr:col>
      <xdr:colOff>272318</xdr:colOff>
      <xdr:row>11</xdr:row>
      <xdr:rowOff>128466</xdr:rowOff>
    </xdr:from>
    <xdr:to>
      <xdr:col>4</xdr:col>
      <xdr:colOff>461596</xdr:colOff>
      <xdr:row>13</xdr:row>
      <xdr:rowOff>73759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140B94-F3C9-4410-93D2-2E78FB4995A0}"/>
            </a:ext>
          </a:extLst>
        </xdr:cNvPr>
        <xdr:cNvSpPr txBox="1"/>
      </xdr:nvSpPr>
      <xdr:spPr>
        <a:xfrm>
          <a:off x="3453668" y="2223966"/>
          <a:ext cx="1732328" cy="326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CARTAGENA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topLeftCell="A83" workbookViewId="0">
      <selection activeCell="A99" sqref="A99:XFD99"/>
    </sheetView>
  </sheetViews>
  <sheetFormatPr defaultRowHeight="15" x14ac:dyDescent="0.25"/>
  <cols>
    <col min="1" max="1" width="36.140625" customWidth="1"/>
    <col min="2" max="10" width="11.5703125" customWidth="1"/>
    <col min="11" max="11" width="26.42578125" style="1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43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1"/>
    </row>
    <row r="7" spans="1:11" x14ac:dyDescent="0.25">
      <c r="A7" s="43" t="s">
        <v>1</v>
      </c>
      <c r="B7" s="43"/>
      <c r="C7" s="43"/>
      <c r="D7" s="43"/>
      <c r="E7" s="43"/>
      <c r="F7" s="43"/>
      <c r="G7" s="43"/>
      <c r="H7" s="43"/>
      <c r="I7" s="43"/>
      <c r="J7" s="43"/>
      <c r="K7" s="1"/>
    </row>
    <row r="8" spans="1:11" x14ac:dyDescent="0.25">
      <c r="A8" s="43" t="s">
        <v>107</v>
      </c>
      <c r="B8" s="43"/>
      <c r="C8" s="43"/>
      <c r="D8" s="43"/>
      <c r="E8" s="43"/>
      <c r="F8" s="43"/>
      <c r="G8" s="43"/>
      <c r="H8" s="43"/>
      <c r="I8" s="43"/>
      <c r="J8" s="43"/>
      <c r="K8" s="1"/>
    </row>
    <row r="9" spans="1:11" x14ac:dyDescent="0.25">
      <c r="A9" s="43" t="s">
        <v>2</v>
      </c>
      <c r="B9" s="43"/>
      <c r="C9" s="43"/>
      <c r="D9" s="43"/>
      <c r="E9" s="43"/>
      <c r="F9" s="43"/>
      <c r="G9" s="43"/>
      <c r="H9" s="43"/>
      <c r="I9" s="43"/>
      <c r="J9" s="43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3</v>
      </c>
      <c r="B11" s="29" t="s">
        <v>4</v>
      </c>
      <c r="C11" s="29"/>
      <c r="D11" s="29"/>
      <c r="E11" s="1"/>
      <c r="F11" s="1"/>
      <c r="G11" s="1"/>
      <c r="H11" s="2" t="s">
        <v>5</v>
      </c>
      <c r="I11" s="3"/>
      <c r="J11" s="2"/>
      <c r="K11" s="1"/>
    </row>
    <row r="12" spans="1:11" x14ac:dyDescent="0.25">
      <c r="A12" s="1"/>
      <c r="B12" s="4"/>
      <c r="C12" s="4"/>
      <c r="D12" s="1"/>
      <c r="E12" s="1"/>
      <c r="F12" s="1"/>
      <c r="G12" s="1"/>
      <c r="H12" s="4"/>
      <c r="I12" s="4"/>
      <c r="J12" s="4"/>
      <c r="K12" s="1"/>
    </row>
    <row r="13" spans="1:11" x14ac:dyDescent="0.25">
      <c r="A13" s="1" t="s">
        <v>6</v>
      </c>
      <c r="B13" s="29" t="s">
        <v>7</v>
      </c>
      <c r="C13" s="29"/>
      <c r="D13" s="29"/>
      <c r="E13" s="1"/>
      <c r="F13" s="1"/>
      <c r="G13" s="1"/>
      <c r="H13" s="2" t="s">
        <v>8</v>
      </c>
      <c r="I13" s="5"/>
      <c r="J13" s="2"/>
      <c r="K13" s="1"/>
    </row>
    <row r="14" spans="1:11" ht="21.75" thickBot="1" x14ac:dyDescent="0.3">
      <c r="A14" s="30" t="s">
        <v>9</v>
      </c>
      <c r="B14" s="30"/>
      <c r="C14" s="30"/>
      <c r="D14" s="30"/>
      <c r="E14" s="30"/>
      <c r="F14" s="30"/>
      <c r="G14" s="30"/>
      <c r="H14" s="30"/>
      <c r="I14" s="30"/>
      <c r="J14" s="30"/>
      <c r="K14"/>
    </row>
    <row r="15" spans="1:11" x14ac:dyDescent="0.25">
      <c r="A15" s="36" t="s">
        <v>10</v>
      </c>
      <c r="B15" s="31" t="s">
        <v>11</v>
      </c>
      <c r="C15" s="31"/>
      <c r="D15" s="32" t="s">
        <v>12</v>
      </c>
      <c r="E15" s="33"/>
      <c r="F15" s="33"/>
      <c r="G15" s="34"/>
      <c r="H15" s="35" t="s">
        <v>13</v>
      </c>
      <c r="I15" s="35"/>
      <c r="J15" s="38" t="s">
        <v>14</v>
      </c>
      <c r="K15" s="28" t="s">
        <v>23</v>
      </c>
    </row>
    <row r="16" spans="1:11" ht="15.75" thickBot="1" x14ac:dyDescent="0.3">
      <c r="A16" s="37"/>
      <c r="B16" s="6" t="s">
        <v>15</v>
      </c>
      <c r="C16" s="6" t="s">
        <v>16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15</v>
      </c>
      <c r="I16" s="6" t="s">
        <v>16</v>
      </c>
      <c r="J16" s="39"/>
      <c r="K16" s="28"/>
    </row>
    <row r="17" spans="1:10" ht="15.75" customHeight="1" x14ac:dyDescent="0.25">
      <c r="A17" s="40" t="s">
        <v>24</v>
      </c>
      <c r="B17" s="41"/>
      <c r="C17" s="41"/>
      <c r="D17" s="41"/>
      <c r="E17" s="41"/>
      <c r="F17" s="41"/>
      <c r="G17" s="41"/>
      <c r="H17" s="41"/>
      <c r="I17" s="41"/>
      <c r="J17" s="42"/>
    </row>
    <row r="18" spans="1:10" ht="15.75" x14ac:dyDescent="0.25">
      <c r="A18" s="7" t="s">
        <v>88</v>
      </c>
      <c r="B18" s="8">
        <v>0.66700000000000004</v>
      </c>
      <c r="C18" s="8">
        <v>0.66700000000000004</v>
      </c>
      <c r="D18" s="9"/>
      <c r="E18" s="9"/>
      <c r="F18" s="9"/>
      <c r="G18" s="9"/>
      <c r="H18" s="8">
        <v>0.66700000000000004</v>
      </c>
      <c r="I18" s="8">
        <v>0.66700000000000004</v>
      </c>
      <c r="J18" s="10">
        <f>SUM(H18:I18)</f>
        <v>1.3340000000000001</v>
      </c>
    </row>
    <row r="19" spans="1:10" ht="15.75" x14ac:dyDescent="0.25">
      <c r="A19" s="7" t="s">
        <v>92</v>
      </c>
      <c r="B19" s="12">
        <f>1.25*9</f>
        <v>11.25</v>
      </c>
      <c r="C19" s="9">
        <f>9*1.25</f>
        <v>11.25</v>
      </c>
      <c r="D19" s="9"/>
      <c r="E19" s="9"/>
      <c r="F19" s="9"/>
      <c r="G19" s="9"/>
      <c r="H19" s="15">
        <f>H18-F19-D19+B19</f>
        <v>11.917</v>
      </c>
      <c r="I19" s="8">
        <f>I18-E19+C19</f>
        <v>11.917</v>
      </c>
      <c r="J19" s="10">
        <f t="shared" ref="J19" si="0">SUM(H19:I19)</f>
        <v>23.834</v>
      </c>
    </row>
    <row r="20" spans="1:10" ht="15.75" x14ac:dyDescent="0.25">
      <c r="A20" s="7" t="s">
        <v>93</v>
      </c>
      <c r="B20" s="13"/>
      <c r="C20" s="9"/>
      <c r="D20" s="8"/>
      <c r="E20" s="8"/>
      <c r="F20" s="9">
        <v>5</v>
      </c>
      <c r="G20" s="9"/>
      <c r="H20" s="15">
        <f t="shared" ref="H20:H75" si="1">H19-F20-D20+B20</f>
        <v>6.9169999999999998</v>
      </c>
      <c r="I20" s="8">
        <f t="shared" ref="I20:I75" si="2">I19-E20+C20</f>
        <v>11.917</v>
      </c>
      <c r="J20" s="10">
        <f t="shared" ref="J20:J75" si="3">SUM(H20:I20)</f>
        <v>18.834</v>
      </c>
    </row>
    <row r="21" spans="1:10" ht="15.75" x14ac:dyDescent="0.25">
      <c r="A21" s="7" t="s">
        <v>25</v>
      </c>
      <c r="B21" s="9"/>
      <c r="C21" s="9"/>
      <c r="D21" s="9">
        <v>5</v>
      </c>
      <c r="E21" s="9">
        <v>5</v>
      </c>
      <c r="F21" s="9"/>
      <c r="G21" s="9"/>
      <c r="H21" s="15">
        <f t="shared" si="1"/>
        <v>1.9169999999999998</v>
      </c>
      <c r="I21" s="8">
        <f t="shared" si="2"/>
        <v>6.9169999999999998</v>
      </c>
      <c r="J21" s="10">
        <f t="shared" si="3"/>
        <v>8.8339999999999996</v>
      </c>
    </row>
    <row r="22" spans="1:10" ht="15.75" x14ac:dyDescent="0.25">
      <c r="A22" s="7" t="s">
        <v>26</v>
      </c>
      <c r="B22" s="9">
        <v>15</v>
      </c>
      <c r="C22" s="9">
        <v>15</v>
      </c>
      <c r="D22" s="9"/>
      <c r="E22" s="9"/>
      <c r="F22" s="9"/>
      <c r="G22" s="9"/>
      <c r="H22" s="15">
        <f t="shared" si="1"/>
        <v>16.917000000000002</v>
      </c>
      <c r="I22" s="8">
        <f t="shared" si="2"/>
        <v>21.917000000000002</v>
      </c>
      <c r="J22" s="10">
        <f t="shared" si="3"/>
        <v>38.834000000000003</v>
      </c>
    </row>
    <row r="23" spans="1:10" ht="15.75" x14ac:dyDescent="0.25">
      <c r="A23" s="7" t="s">
        <v>106</v>
      </c>
      <c r="B23" s="9"/>
      <c r="C23" s="9"/>
      <c r="D23" s="9"/>
      <c r="E23" s="9"/>
      <c r="F23" s="9">
        <v>5</v>
      </c>
      <c r="G23" s="9"/>
      <c r="H23" s="15">
        <f t="shared" si="1"/>
        <v>11.917000000000002</v>
      </c>
      <c r="I23" s="8">
        <f t="shared" si="2"/>
        <v>21.917000000000002</v>
      </c>
      <c r="J23" s="10">
        <f t="shared" si="3"/>
        <v>33.834000000000003</v>
      </c>
    </row>
    <row r="24" spans="1:10" ht="15.75" x14ac:dyDescent="0.25">
      <c r="A24" s="7" t="s">
        <v>27</v>
      </c>
      <c r="B24" s="9"/>
      <c r="C24" s="9"/>
      <c r="D24" s="9">
        <v>10</v>
      </c>
      <c r="E24" s="9">
        <v>20</v>
      </c>
      <c r="F24" s="9"/>
      <c r="G24" s="9"/>
      <c r="H24" s="15">
        <f t="shared" si="1"/>
        <v>1.9170000000000016</v>
      </c>
      <c r="I24" s="8">
        <f t="shared" si="2"/>
        <v>1.9170000000000016</v>
      </c>
      <c r="J24" s="10">
        <f t="shared" si="3"/>
        <v>3.8340000000000032</v>
      </c>
    </row>
    <row r="25" spans="1:10" ht="15.75" x14ac:dyDescent="0.25">
      <c r="A25" s="14" t="s">
        <v>28</v>
      </c>
      <c r="B25" s="9">
        <v>15</v>
      </c>
      <c r="C25" s="9">
        <v>15</v>
      </c>
      <c r="D25" s="9"/>
      <c r="E25" s="9"/>
      <c r="F25" s="9"/>
      <c r="G25" s="9"/>
      <c r="H25" s="15">
        <f t="shared" si="1"/>
        <v>16.917000000000002</v>
      </c>
      <c r="I25" s="8">
        <f t="shared" si="2"/>
        <v>16.917000000000002</v>
      </c>
      <c r="J25" s="10">
        <f t="shared" si="3"/>
        <v>33.834000000000003</v>
      </c>
    </row>
    <row r="26" spans="1:10" ht="15.75" x14ac:dyDescent="0.25">
      <c r="A26" s="7" t="s">
        <v>105</v>
      </c>
      <c r="B26" s="9"/>
      <c r="C26" s="9"/>
      <c r="D26" s="9"/>
      <c r="E26" s="9"/>
      <c r="F26" s="9">
        <v>5</v>
      </c>
      <c r="G26" s="9"/>
      <c r="H26" s="15">
        <f t="shared" si="1"/>
        <v>11.917000000000002</v>
      </c>
      <c r="I26" s="8">
        <f t="shared" si="2"/>
        <v>16.917000000000002</v>
      </c>
      <c r="J26" s="10">
        <f t="shared" si="3"/>
        <v>28.834000000000003</v>
      </c>
    </row>
    <row r="27" spans="1:10" ht="15.75" x14ac:dyDescent="0.25">
      <c r="A27" s="14" t="s">
        <v>29</v>
      </c>
      <c r="B27" s="9">
        <v>15</v>
      </c>
      <c r="C27" s="9">
        <v>15</v>
      </c>
      <c r="D27" s="9"/>
      <c r="E27" s="9"/>
      <c r="F27" s="9"/>
      <c r="G27" s="9"/>
      <c r="H27" s="15">
        <f t="shared" si="1"/>
        <v>26.917000000000002</v>
      </c>
      <c r="I27" s="8">
        <f t="shared" si="2"/>
        <v>31.917000000000002</v>
      </c>
      <c r="J27" s="10">
        <f t="shared" si="3"/>
        <v>58.834000000000003</v>
      </c>
    </row>
    <row r="28" spans="1:10" ht="15.75" x14ac:dyDescent="0.25">
      <c r="A28" s="7" t="s">
        <v>104</v>
      </c>
      <c r="B28" s="9"/>
      <c r="C28" s="9"/>
      <c r="D28" s="9"/>
      <c r="E28" s="9"/>
      <c r="F28" s="9">
        <v>5</v>
      </c>
      <c r="G28" s="9"/>
      <c r="H28" s="15">
        <f t="shared" si="1"/>
        <v>21.917000000000002</v>
      </c>
      <c r="I28" s="8">
        <f t="shared" si="2"/>
        <v>31.917000000000002</v>
      </c>
      <c r="J28" s="10">
        <f t="shared" si="3"/>
        <v>53.834000000000003</v>
      </c>
    </row>
    <row r="29" spans="1:10" ht="15.75" x14ac:dyDescent="0.25">
      <c r="A29" s="7" t="s">
        <v>30</v>
      </c>
      <c r="B29" s="9">
        <v>15</v>
      </c>
      <c r="C29" s="9">
        <v>15</v>
      </c>
      <c r="D29" s="9"/>
      <c r="E29" s="9"/>
      <c r="F29" s="9"/>
      <c r="G29" s="9"/>
      <c r="H29" s="15">
        <f t="shared" si="1"/>
        <v>36.917000000000002</v>
      </c>
      <c r="I29" s="8">
        <f t="shared" si="2"/>
        <v>46.917000000000002</v>
      </c>
      <c r="J29" s="10">
        <f t="shared" si="3"/>
        <v>83.834000000000003</v>
      </c>
    </row>
    <row r="30" spans="1:10" ht="15.75" x14ac:dyDescent="0.25">
      <c r="A30" s="7" t="s">
        <v>103</v>
      </c>
      <c r="B30" s="9"/>
      <c r="C30" s="9"/>
      <c r="D30" s="9"/>
      <c r="E30" s="9"/>
      <c r="F30" s="9">
        <v>5</v>
      </c>
      <c r="G30" s="9"/>
      <c r="H30" s="15">
        <f t="shared" si="1"/>
        <v>31.917000000000002</v>
      </c>
      <c r="I30" s="8">
        <f t="shared" si="2"/>
        <v>46.917000000000002</v>
      </c>
      <c r="J30" s="10">
        <f t="shared" si="3"/>
        <v>78.834000000000003</v>
      </c>
    </row>
    <row r="31" spans="1:10" ht="15.75" x14ac:dyDescent="0.25">
      <c r="A31" s="7" t="s">
        <v>31</v>
      </c>
      <c r="B31" s="9">
        <v>15</v>
      </c>
      <c r="C31" s="9">
        <v>15</v>
      </c>
      <c r="D31" s="9"/>
      <c r="E31" s="9"/>
      <c r="F31" s="9"/>
      <c r="G31" s="9"/>
      <c r="H31" s="15">
        <f t="shared" si="1"/>
        <v>46.917000000000002</v>
      </c>
      <c r="I31" s="8">
        <f t="shared" si="2"/>
        <v>61.917000000000002</v>
      </c>
      <c r="J31" s="10">
        <f t="shared" si="3"/>
        <v>108.834</v>
      </c>
    </row>
    <row r="32" spans="1:10" ht="15.75" x14ac:dyDescent="0.25">
      <c r="A32" s="7" t="s">
        <v>102</v>
      </c>
      <c r="B32" s="9"/>
      <c r="C32" s="9"/>
      <c r="D32" s="9"/>
      <c r="E32" s="9"/>
      <c r="F32" s="9">
        <v>5</v>
      </c>
      <c r="G32" s="9"/>
      <c r="H32" s="15">
        <f t="shared" si="1"/>
        <v>41.917000000000002</v>
      </c>
      <c r="I32" s="8">
        <f t="shared" si="2"/>
        <v>61.917000000000002</v>
      </c>
      <c r="J32" s="10">
        <f t="shared" si="3"/>
        <v>103.834</v>
      </c>
    </row>
    <row r="33" spans="1:10" ht="15.75" x14ac:dyDescent="0.25">
      <c r="A33" s="7" t="s">
        <v>32</v>
      </c>
      <c r="B33" s="9"/>
      <c r="C33" s="9"/>
      <c r="D33" s="9">
        <v>10</v>
      </c>
      <c r="E33" s="9"/>
      <c r="F33" s="9"/>
      <c r="G33" s="9"/>
      <c r="H33" s="15">
        <f t="shared" si="1"/>
        <v>31.917000000000002</v>
      </c>
      <c r="I33" s="8">
        <f t="shared" si="2"/>
        <v>61.917000000000002</v>
      </c>
      <c r="J33" s="10">
        <f t="shared" si="3"/>
        <v>93.834000000000003</v>
      </c>
    </row>
    <row r="34" spans="1:10" ht="15.75" x14ac:dyDescent="0.25">
      <c r="A34" s="7" t="s">
        <v>33</v>
      </c>
      <c r="B34" s="9">
        <v>15</v>
      </c>
      <c r="C34" s="9">
        <v>15</v>
      </c>
      <c r="D34" s="9"/>
      <c r="E34" s="9"/>
      <c r="F34" s="9"/>
      <c r="G34" s="9"/>
      <c r="H34" s="15">
        <f t="shared" si="1"/>
        <v>46.917000000000002</v>
      </c>
      <c r="I34" s="8">
        <f t="shared" si="2"/>
        <v>76.917000000000002</v>
      </c>
      <c r="J34" s="10">
        <f t="shared" si="3"/>
        <v>123.834</v>
      </c>
    </row>
    <row r="35" spans="1:10" ht="15.75" x14ac:dyDescent="0.25">
      <c r="A35" s="7" t="s">
        <v>101</v>
      </c>
      <c r="B35" s="9"/>
      <c r="C35" s="9"/>
      <c r="D35" s="9"/>
      <c r="E35" s="9"/>
      <c r="F35" s="9">
        <v>5</v>
      </c>
      <c r="G35" s="9"/>
      <c r="H35" s="15">
        <f t="shared" si="1"/>
        <v>41.917000000000002</v>
      </c>
      <c r="I35" s="8">
        <f t="shared" si="2"/>
        <v>76.917000000000002</v>
      </c>
      <c r="J35" s="10">
        <f t="shared" si="3"/>
        <v>118.834</v>
      </c>
    </row>
    <row r="36" spans="1:10" ht="15.75" x14ac:dyDescent="0.25">
      <c r="A36" s="7" t="s">
        <v>34</v>
      </c>
      <c r="B36" s="9"/>
      <c r="C36" s="9"/>
      <c r="D36" s="9">
        <v>10</v>
      </c>
      <c r="E36" s="9"/>
      <c r="F36" s="9"/>
      <c r="G36" s="9"/>
      <c r="H36" s="15">
        <f t="shared" si="1"/>
        <v>31.917000000000002</v>
      </c>
      <c r="I36" s="8">
        <f t="shared" si="2"/>
        <v>76.917000000000002</v>
      </c>
      <c r="J36" s="10">
        <f t="shared" si="3"/>
        <v>108.834</v>
      </c>
    </row>
    <row r="37" spans="1:10" ht="15.75" x14ac:dyDescent="0.25">
      <c r="A37" s="7" t="s">
        <v>35</v>
      </c>
      <c r="B37" s="9">
        <v>15</v>
      </c>
      <c r="C37" s="9">
        <v>15</v>
      </c>
      <c r="D37" s="9"/>
      <c r="E37" s="9"/>
      <c r="F37" s="9"/>
      <c r="G37" s="9"/>
      <c r="H37" s="15">
        <f t="shared" si="1"/>
        <v>46.917000000000002</v>
      </c>
      <c r="I37" s="8">
        <f t="shared" si="2"/>
        <v>91.917000000000002</v>
      </c>
      <c r="J37" s="10">
        <f t="shared" si="3"/>
        <v>138.834</v>
      </c>
    </row>
    <row r="38" spans="1:10" ht="15.75" x14ac:dyDescent="0.25">
      <c r="A38" s="7" t="s">
        <v>100</v>
      </c>
      <c r="B38" s="9"/>
      <c r="C38" s="9"/>
      <c r="D38" s="9"/>
      <c r="E38" s="9"/>
      <c r="F38" s="9">
        <v>5</v>
      </c>
      <c r="G38" s="9"/>
      <c r="H38" s="15">
        <f t="shared" si="1"/>
        <v>41.917000000000002</v>
      </c>
      <c r="I38" s="8">
        <f t="shared" si="2"/>
        <v>91.917000000000002</v>
      </c>
      <c r="J38" s="10">
        <f t="shared" si="3"/>
        <v>133.834</v>
      </c>
    </row>
    <row r="39" spans="1:10" ht="15.75" x14ac:dyDescent="0.25">
      <c r="A39" s="7" t="s">
        <v>36</v>
      </c>
      <c r="B39" s="9"/>
      <c r="C39" s="9"/>
      <c r="D39" s="9">
        <v>10</v>
      </c>
      <c r="E39" s="9"/>
      <c r="F39" s="9"/>
      <c r="G39" s="9"/>
      <c r="H39" s="15">
        <f t="shared" si="1"/>
        <v>31.917000000000002</v>
      </c>
      <c r="I39" s="8">
        <f t="shared" si="2"/>
        <v>91.917000000000002</v>
      </c>
      <c r="J39" s="10">
        <f t="shared" si="3"/>
        <v>123.834</v>
      </c>
    </row>
    <row r="40" spans="1:10" ht="15.75" x14ac:dyDescent="0.25">
      <c r="A40" s="7" t="s">
        <v>37</v>
      </c>
      <c r="B40" s="9">
        <v>13.75</v>
      </c>
      <c r="C40" s="9">
        <v>13.75</v>
      </c>
      <c r="D40" s="9"/>
      <c r="E40" s="9"/>
      <c r="F40" s="9"/>
      <c r="G40" s="9"/>
      <c r="H40" s="15">
        <f t="shared" si="1"/>
        <v>45.667000000000002</v>
      </c>
      <c r="I40" s="8">
        <f t="shared" si="2"/>
        <v>105.667</v>
      </c>
      <c r="J40" s="10">
        <f t="shared" si="3"/>
        <v>151.334</v>
      </c>
    </row>
    <row r="41" spans="1:10" ht="15.75" x14ac:dyDescent="0.25">
      <c r="A41" s="7" t="s">
        <v>38</v>
      </c>
      <c r="B41" s="9"/>
      <c r="C41" s="9"/>
      <c r="D41" s="9">
        <v>15</v>
      </c>
      <c r="E41" s="9"/>
      <c r="F41" s="9"/>
      <c r="G41" s="9"/>
      <c r="H41" s="15">
        <f t="shared" si="1"/>
        <v>30.667000000000002</v>
      </c>
      <c r="I41" s="8">
        <f t="shared" si="2"/>
        <v>105.667</v>
      </c>
      <c r="J41" s="10">
        <f t="shared" si="3"/>
        <v>136.334</v>
      </c>
    </row>
    <row r="42" spans="1:10" ht="15.75" x14ac:dyDescent="0.25">
      <c r="A42" s="7" t="s">
        <v>39</v>
      </c>
      <c r="B42" s="9">
        <v>1.25</v>
      </c>
      <c r="C42" s="9">
        <v>1.25</v>
      </c>
      <c r="D42" s="9"/>
      <c r="E42" s="9"/>
      <c r="F42" s="9"/>
      <c r="G42" s="9"/>
      <c r="H42" s="15">
        <f t="shared" si="1"/>
        <v>31.917000000000002</v>
      </c>
      <c r="I42" s="8">
        <f t="shared" si="2"/>
        <v>106.917</v>
      </c>
      <c r="J42" s="10">
        <f t="shared" si="3"/>
        <v>138.834</v>
      </c>
    </row>
    <row r="43" spans="1:10" ht="15.75" x14ac:dyDescent="0.25">
      <c r="A43" s="7" t="s">
        <v>99</v>
      </c>
      <c r="B43" s="9"/>
      <c r="C43" s="9"/>
      <c r="D43" s="9"/>
      <c r="E43" s="9"/>
      <c r="F43" s="9">
        <v>5</v>
      </c>
      <c r="G43" s="9"/>
      <c r="H43" s="15">
        <f t="shared" si="1"/>
        <v>26.917000000000002</v>
      </c>
      <c r="I43" s="8">
        <f t="shared" si="2"/>
        <v>106.917</v>
      </c>
      <c r="J43" s="10">
        <f t="shared" si="3"/>
        <v>133.834</v>
      </c>
    </row>
    <row r="44" spans="1:10" ht="15.75" x14ac:dyDescent="0.25">
      <c r="A44" s="7" t="s">
        <v>40</v>
      </c>
      <c r="B44" s="9">
        <f>1.25*6</f>
        <v>7.5</v>
      </c>
      <c r="C44" s="9">
        <v>7.5</v>
      </c>
      <c r="D44" s="9"/>
      <c r="E44" s="9"/>
      <c r="F44" s="9"/>
      <c r="G44" s="9"/>
      <c r="H44" s="15">
        <f t="shared" si="1"/>
        <v>34.417000000000002</v>
      </c>
      <c r="I44" s="8">
        <f t="shared" si="2"/>
        <v>114.417</v>
      </c>
      <c r="J44" s="10">
        <f t="shared" si="3"/>
        <v>148.834</v>
      </c>
    </row>
    <row r="45" spans="1:10" ht="15.75" x14ac:dyDescent="0.25">
      <c r="A45" s="7" t="s">
        <v>41</v>
      </c>
      <c r="B45" s="9"/>
      <c r="C45" s="9"/>
      <c r="D45" s="9">
        <v>29</v>
      </c>
      <c r="E45" s="9"/>
      <c r="F45" s="9"/>
      <c r="G45" s="9"/>
      <c r="H45" s="15">
        <f t="shared" si="1"/>
        <v>5.4170000000000016</v>
      </c>
      <c r="I45" s="8">
        <f t="shared" si="2"/>
        <v>114.417</v>
      </c>
      <c r="J45" s="10">
        <f t="shared" si="3"/>
        <v>119.834</v>
      </c>
    </row>
    <row r="46" spans="1:10" ht="15.75" x14ac:dyDescent="0.25">
      <c r="A46" s="7" t="s">
        <v>42</v>
      </c>
      <c r="B46" s="9">
        <v>7.5</v>
      </c>
      <c r="C46" s="9">
        <v>7.5</v>
      </c>
      <c r="D46" s="9"/>
      <c r="E46" s="9"/>
      <c r="F46" s="9"/>
      <c r="G46" s="9"/>
      <c r="H46" s="15">
        <f t="shared" si="1"/>
        <v>12.917000000000002</v>
      </c>
      <c r="I46" s="8">
        <f t="shared" si="2"/>
        <v>121.917</v>
      </c>
      <c r="J46" s="10">
        <f t="shared" si="3"/>
        <v>134.834</v>
      </c>
    </row>
    <row r="47" spans="1:10" ht="15.75" x14ac:dyDescent="0.25">
      <c r="A47" s="7" t="s">
        <v>98</v>
      </c>
      <c r="B47" s="9"/>
      <c r="C47" s="9"/>
      <c r="D47" s="9"/>
      <c r="E47" s="9"/>
      <c r="F47" s="9">
        <v>5</v>
      </c>
      <c r="G47" s="9"/>
      <c r="H47" s="15">
        <f t="shared" si="1"/>
        <v>7.9170000000000016</v>
      </c>
      <c r="I47" s="8">
        <f t="shared" si="2"/>
        <v>121.917</v>
      </c>
      <c r="J47" s="10">
        <f t="shared" si="3"/>
        <v>129.834</v>
      </c>
    </row>
    <row r="48" spans="1:10" ht="15.75" x14ac:dyDescent="0.25">
      <c r="A48" s="7" t="s">
        <v>43</v>
      </c>
      <c r="B48" s="9">
        <v>15</v>
      </c>
      <c r="C48" s="9">
        <v>15</v>
      </c>
      <c r="D48" s="9"/>
      <c r="E48" s="9"/>
      <c r="F48" s="9"/>
      <c r="G48" s="9"/>
      <c r="H48" s="15">
        <f t="shared" si="1"/>
        <v>22.917000000000002</v>
      </c>
      <c r="I48" s="8">
        <f t="shared" si="2"/>
        <v>136.917</v>
      </c>
      <c r="J48" s="10">
        <f t="shared" si="3"/>
        <v>159.834</v>
      </c>
    </row>
    <row r="49" spans="1:10" ht="15.75" x14ac:dyDescent="0.25">
      <c r="A49" s="7" t="s">
        <v>97</v>
      </c>
      <c r="B49" s="9"/>
      <c r="C49" s="9"/>
      <c r="D49" s="9"/>
      <c r="E49" s="9"/>
      <c r="F49" s="9">
        <v>5</v>
      </c>
      <c r="G49" s="9"/>
      <c r="H49" s="15">
        <f t="shared" si="1"/>
        <v>17.917000000000002</v>
      </c>
      <c r="I49" s="8">
        <f t="shared" si="2"/>
        <v>136.917</v>
      </c>
      <c r="J49" s="10">
        <f t="shared" si="3"/>
        <v>154.834</v>
      </c>
    </row>
    <row r="50" spans="1:10" ht="15.75" x14ac:dyDescent="0.25">
      <c r="A50" s="7" t="s">
        <v>44</v>
      </c>
      <c r="B50" s="9">
        <v>15</v>
      </c>
      <c r="C50" s="9">
        <v>15</v>
      </c>
      <c r="D50" s="9"/>
      <c r="E50" s="9"/>
      <c r="F50" s="9"/>
      <c r="G50" s="9"/>
      <c r="H50" s="15">
        <f t="shared" si="1"/>
        <v>32.917000000000002</v>
      </c>
      <c r="I50" s="8">
        <f t="shared" si="2"/>
        <v>151.917</v>
      </c>
      <c r="J50" s="10">
        <f t="shared" si="3"/>
        <v>184.834</v>
      </c>
    </row>
    <row r="51" spans="1:10" ht="15.75" x14ac:dyDescent="0.25">
      <c r="A51" s="7" t="s">
        <v>45</v>
      </c>
      <c r="B51" s="9"/>
      <c r="C51" s="9"/>
      <c r="D51" s="9">
        <v>5</v>
      </c>
      <c r="E51" s="9"/>
      <c r="F51" s="9"/>
      <c r="G51" s="9"/>
      <c r="H51" s="15">
        <f t="shared" si="1"/>
        <v>27.917000000000002</v>
      </c>
      <c r="I51" s="8">
        <f t="shared" si="2"/>
        <v>151.917</v>
      </c>
      <c r="J51" s="10">
        <f t="shared" si="3"/>
        <v>179.834</v>
      </c>
    </row>
    <row r="52" spans="1:10" ht="15.75" x14ac:dyDescent="0.25">
      <c r="A52" s="7" t="s">
        <v>95</v>
      </c>
      <c r="B52" s="9"/>
      <c r="C52" s="9"/>
      <c r="D52" s="9"/>
      <c r="E52" s="9"/>
      <c r="F52" s="9">
        <v>5</v>
      </c>
      <c r="G52" s="9"/>
      <c r="H52" s="15">
        <f t="shared" si="1"/>
        <v>22.917000000000002</v>
      </c>
      <c r="I52" s="8">
        <f t="shared" si="2"/>
        <v>151.917</v>
      </c>
      <c r="J52" s="10">
        <f t="shared" si="3"/>
        <v>174.834</v>
      </c>
    </row>
    <row r="53" spans="1:10" ht="15.75" x14ac:dyDescent="0.25">
      <c r="A53" s="7" t="s">
        <v>46</v>
      </c>
      <c r="B53" s="9">
        <v>11.25</v>
      </c>
      <c r="C53" s="9">
        <v>11.25</v>
      </c>
      <c r="D53" s="9"/>
      <c r="E53" s="9"/>
      <c r="F53" s="9"/>
      <c r="G53" s="9"/>
      <c r="H53" s="15">
        <f t="shared" si="1"/>
        <v>34.167000000000002</v>
      </c>
      <c r="I53" s="8">
        <f t="shared" si="2"/>
        <v>163.167</v>
      </c>
      <c r="J53" s="10">
        <f t="shared" si="3"/>
        <v>197.334</v>
      </c>
    </row>
    <row r="54" spans="1:10" ht="15.75" x14ac:dyDescent="0.25">
      <c r="A54" s="7" t="s">
        <v>47</v>
      </c>
      <c r="B54" s="9"/>
      <c r="C54" s="9"/>
      <c r="D54" s="9">
        <v>29</v>
      </c>
      <c r="E54" s="9"/>
      <c r="F54" s="9"/>
      <c r="G54" s="9"/>
      <c r="H54" s="15">
        <f t="shared" si="1"/>
        <v>5.1670000000000016</v>
      </c>
      <c r="I54" s="8">
        <f t="shared" si="2"/>
        <v>163.167</v>
      </c>
      <c r="J54" s="10">
        <f t="shared" si="3"/>
        <v>168.334</v>
      </c>
    </row>
    <row r="55" spans="1:10" ht="15.75" x14ac:dyDescent="0.25">
      <c r="A55" s="7" t="s">
        <v>48</v>
      </c>
      <c r="B55" s="9">
        <f>1.25*3</f>
        <v>3.75</v>
      </c>
      <c r="C55" s="9">
        <v>3.75</v>
      </c>
      <c r="D55" s="9"/>
      <c r="E55" s="9"/>
      <c r="F55" s="9"/>
      <c r="G55" s="9"/>
      <c r="H55" s="15">
        <f t="shared" si="1"/>
        <v>8.9170000000000016</v>
      </c>
      <c r="I55" s="8">
        <f t="shared" si="2"/>
        <v>166.917</v>
      </c>
      <c r="J55" s="10">
        <f t="shared" si="3"/>
        <v>175.834</v>
      </c>
    </row>
    <row r="56" spans="1:10" ht="15.75" x14ac:dyDescent="0.25">
      <c r="A56" s="7" t="s">
        <v>96</v>
      </c>
      <c r="B56" s="9"/>
      <c r="C56" s="9"/>
      <c r="D56" s="9"/>
      <c r="E56" s="9"/>
      <c r="F56" s="9">
        <v>5</v>
      </c>
      <c r="G56" s="9"/>
      <c r="H56" s="15">
        <f t="shared" si="1"/>
        <v>3.9170000000000016</v>
      </c>
      <c r="I56" s="8">
        <f t="shared" si="2"/>
        <v>166.917</v>
      </c>
      <c r="J56" s="10">
        <f t="shared" si="3"/>
        <v>170.834</v>
      </c>
    </row>
    <row r="57" spans="1:10" ht="15.75" x14ac:dyDescent="0.25">
      <c r="A57" s="7" t="s">
        <v>49</v>
      </c>
      <c r="B57" s="9">
        <f>1.25*8</f>
        <v>10</v>
      </c>
      <c r="C57" s="9">
        <v>10</v>
      </c>
      <c r="D57" s="9"/>
      <c r="E57" s="9"/>
      <c r="F57" s="9"/>
      <c r="G57" s="9"/>
      <c r="H57" s="15">
        <f t="shared" si="1"/>
        <v>13.917000000000002</v>
      </c>
      <c r="I57" s="8">
        <f t="shared" si="2"/>
        <v>176.917</v>
      </c>
      <c r="J57" s="10">
        <f t="shared" si="3"/>
        <v>190.834</v>
      </c>
    </row>
    <row r="58" spans="1:10" ht="15.75" x14ac:dyDescent="0.25">
      <c r="A58" s="7" t="s">
        <v>50</v>
      </c>
      <c r="B58" s="9"/>
      <c r="C58" s="9"/>
      <c r="D58" s="9">
        <v>8</v>
      </c>
      <c r="E58" s="9">
        <v>21</v>
      </c>
      <c r="F58" s="9"/>
      <c r="G58" s="9"/>
      <c r="H58" s="15">
        <f t="shared" si="1"/>
        <v>5.9170000000000016</v>
      </c>
      <c r="I58" s="8">
        <f t="shared" si="2"/>
        <v>155.917</v>
      </c>
      <c r="J58" s="10">
        <f t="shared" si="3"/>
        <v>161.834</v>
      </c>
    </row>
    <row r="59" spans="1:10" ht="15.75" x14ac:dyDescent="0.25">
      <c r="A59" s="7" t="s">
        <v>51</v>
      </c>
      <c r="B59" s="9">
        <f>1.25*4</f>
        <v>5</v>
      </c>
      <c r="C59" s="9">
        <v>5</v>
      </c>
      <c r="D59" s="9"/>
      <c r="E59" s="9"/>
      <c r="F59" s="9"/>
      <c r="G59" s="9"/>
      <c r="H59" s="15">
        <f t="shared" si="1"/>
        <v>10.917000000000002</v>
      </c>
      <c r="I59" s="8">
        <f t="shared" si="2"/>
        <v>160.917</v>
      </c>
      <c r="J59" s="10">
        <f t="shared" si="3"/>
        <v>171.834</v>
      </c>
    </row>
    <row r="60" spans="1:10" ht="15.75" x14ac:dyDescent="0.25">
      <c r="A60" s="7" t="s">
        <v>52</v>
      </c>
      <c r="B60" s="9"/>
      <c r="C60" s="9"/>
      <c r="D60" s="9"/>
      <c r="E60" s="9"/>
      <c r="F60" s="9">
        <v>2</v>
      </c>
      <c r="G60" s="9"/>
      <c r="H60" s="15">
        <f t="shared" si="1"/>
        <v>8.9170000000000016</v>
      </c>
      <c r="I60" s="8">
        <f t="shared" si="2"/>
        <v>160.917</v>
      </c>
      <c r="J60" s="10">
        <f t="shared" si="3"/>
        <v>169.834</v>
      </c>
    </row>
    <row r="61" spans="1:10" ht="15.75" x14ac:dyDescent="0.25">
      <c r="A61" s="7" t="s">
        <v>53</v>
      </c>
      <c r="B61" s="9"/>
      <c r="C61" s="9"/>
      <c r="D61" s="9"/>
      <c r="E61" s="9"/>
      <c r="F61" s="9"/>
      <c r="G61" s="9">
        <v>1</v>
      </c>
      <c r="H61" s="15">
        <f t="shared" si="1"/>
        <v>8.9170000000000016</v>
      </c>
      <c r="I61" s="8">
        <f t="shared" si="2"/>
        <v>160.917</v>
      </c>
      <c r="J61" s="10">
        <f t="shared" si="3"/>
        <v>169.834</v>
      </c>
    </row>
    <row r="62" spans="1:10" ht="15.75" x14ac:dyDescent="0.25">
      <c r="A62" s="7" t="s">
        <v>54</v>
      </c>
      <c r="B62" s="9"/>
      <c r="C62" s="9"/>
      <c r="D62" s="9"/>
      <c r="E62" s="9"/>
      <c r="F62" s="9">
        <v>2</v>
      </c>
      <c r="G62" s="9"/>
      <c r="H62" s="15">
        <f t="shared" si="1"/>
        <v>6.9170000000000016</v>
      </c>
      <c r="I62" s="8">
        <f t="shared" si="2"/>
        <v>160.917</v>
      </c>
      <c r="J62" s="10">
        <f t="shared" si="3"/>
        <v>167.834</v>
      </c>
    </row>
    <row r="63" spans="1:10" ht="15.75" x14ac:dyDescent="0.25">
      <c r="A63" s="7" t="s">
        <v>55</v>
      </c>
      <c r="B63" s="9"/>
      <c r="C63" s="9"/>
      <c r="D63" s="9"/>
      <c r="E63" s="9"/>
      <c r="F63" s="9">
        <v>1</v>
      </c>
      <c r="G63" s="9"/>
      <c r="H63" s="15">
        <f t="shared" si="1"/>
        <v>5.9170000000000016</v>
      </c>
      <c r="I63" s="8">
        <f t="shared" si="2"/>
        <v>160.917</v>
      </c>
      <c r="J63" s="10">
        <f t="shared" si="3"/>
        <v>166.834</v>
      </c>
    </row>
    <row r="64" spans="1:10" ht="15.75" x14ac:dyDescent="0.25">
      <c r="A64" s="7" t="s">
        <v>56</v>
      </c>
      <c r="B64" s="9">
        <v>5</v>
      </c>
      <c r="C64" s="9">
        <v>5</v>
      </c>
      <c r="D64" s="9"/>
      <c r="E64" s="9"/>
      <c r="F64" s="9"/>
      <c r="G64" s="9"/>
      <c r="H64" s="15">
        <f t="shared" si="1"/>
        <v>10.917000000000002</v>
      </c>
      <c r="I64" s="8">
        <f t="shared" si="2"/>
        <v>165.917</v>
      </c>
      <c r="J64" s="10">
        <f t="shared" si="3"/>
        <v>176.834</v>
      </c>
    </row>
    <row r="65" spans="1:10" ht="15.75" x14ac:dyDescent="0.25">
      <c r="A65" s="7" t="s">
        <v>57</v>
      </c>
      <c r="B65" s="9"/>
      <c r="C65" s="9"/>
      <c r="D65" s="9"/>
      <c r="E65" s="9"/>
      <c r="F65" s="9">
        <v>2</v>
      </c>
      <c r="G65" s="9"/>
      <c r="H65" s="15">
        <f t="shared" si="1"/>
        <v>8.9170000000000016</v>
      </c>
      <c r="I65" s="8">
        <f t="shared" si="2"/>
        <v>165.917</v>
      </c>
      <c r="J65" s="10">
        <f t="shared" si="3"/>
        <v>174.834</v>
      </c>
    </row>
    <row r="66" spans="1:10" ht="15.75" x14ac:dyDescent="0.25">
      <c r="A66" s="7" t="s">
        <v>58</v>
      </c>
      <c r="B66" s="9">
        <v>1.25</v>
      </c>
      <c r="C66" s="9">
        <v>1.25</v>
      </c>
      <c r="D66" s="9"/>
      <c r="E66" s="9"/>
      <c r="F66" s="9"/>
      <c r="G66" s="9"/>
      <c r="H66" s="15">
        <f t="shared" si="1"/>
        <v>10.167000000000002</v>
      </c>
      <c r="I66" s="8">
        <f t="shared" si="2"/>
        <v>167.167</v>
      </c>
      <c r="J66" s="10">
        <f t="shared" si="3"/>
        <v>177.334</v>
      </c>
    </row>
    <row r="67" spans="1:10" ht="15.75" x14ac:dyDescent="0.25">
      <c r="A67" s="7" t="s">
        <v>59</v>
      </c>
      <c r="B67" s="9"/>
      <c r="C67" s="9"/>
      <c r="D67" s="9"/>
      <c r="E67" s="9"/>
      <c r="F67" s="9">
        <v>1</v>
      </c>
      <c r="G67" s="9"/>
      <c r="H67" s="15">
        <f t="shared" si="1"/>
        <v>9.1670000000000016</v>
      </c>
      <c r="I67" s="8">
        <f t="shared" si="2"/>
        <v>167.167</v>
      </c>
      <c r="J67" s="10">
        <f t="shared" si="3"/>
        <v>176.334</v>
      </c>
    </row>
    <row r="68" spans="1:10" ht="15.75" x14ac:dyDescent="0.25">
      <c r="A68" s="7" t="s">
        <v>60</v>
      </c>
      <c r="B68" s="9">
        <v>1.25</v>
      </c>
      <c r="C68" s="9">
        <v>1.25</v>
      </c>
      <c r="D68" s="9"/>
      <c r="E68" s="9"/>
      <c r="F68" s="9"/>
      <c r="G68" s="9"/>
      <c r="H68" s="15">
        <f t="shared" si="1"/>
        <v>10.417000000000002</v>
      </c>
      <c r="I68" s="8">
        <f t="shared" si="2"/>
        <v>168.417</v>
      </c>
      <c r="J68" s="10">
        <f t="shared" si="3"/>
        <v>178.834</v>
      </c>
    </row>
    <row r="69" spans="1:10" ht="15.75" x14ac:dyDescent="0.25">
      <c r="A69" s="7" t="s">
        <v>61</v>
      </c>
      <c r="B69" s="9"/>
      <c r="C69" s="9"/>
      <c r="D69" s="9"/>
      <c r="E69" s="9"/>
      <c r="F69" s="9"/>
      <c r="G69" s="9">
        <v>1</v>
      </c>
      <c r="H69" s="15">
        <f t="shared" si="1"/>
        <v>10.417000000000002</v>
      </c>
      <c r="I69" s="8">
        <f t="shared" si="2"/>
        <v>168.417</v>
      </c>
      <c r="J69" s="10">
        <f t="shared" si="3"/>
        <v>178.834</v>
      </c>
    </row>
    <row r="70" spans="1:10" ht="15.75" x14ac:dyDescent="0.25">
      <c r="A70" s="7" t="s">
        <v>62</v>
      </c>
      <c r="B70" s="9">
        <v>2.5</v>
      </c>
      <c r="C70" s="9">
        <v>2.5</v>
      </c>
      <c r="D70" s="9"/>
      <c r="E70" s="9"/>
      <c r="F70" s="9"/>
      <c r="G70" s="9"/>
      <c r="H70" s="15">
        <f t="shared" si="1"/>
        <v>12.917000000000002</v>
      </c>
      <c r="I70" s="8">
        <f t="shared" si="2"/>
        <v>170.917</v>
      </c>
      <c r="J70" s="10">
        <f t="shared" si="3"/>
        <v>183.834</v>
      </c>
    </row>
    <row r="71" spans="1:10" ht="15.75" x14ac:dyDescent="0.25">
      <c r="A71" s="7" t="s">
        <v>63</v>
      </c>
      <c r="B71" s="9"/>
      <c r="C71" s="9"/>
      <c r="D71" s="9">
        <v>5</v>
      </c>
      <c r="E71" s="9">
        <v>24</v>
      </c>
      <c r="F71" s="9"/>
      <c r="G71" s="9"/>
      <c r="H71" s="15">
        <f t="shared" si="1"/>
        <v>7.9170000000000016</v>
      </c>
      <c r="I71" s="8">
        <f t="shared" si="2"/>
        <v>146.917</v>
      </c>
      <c r="J71" s="10">
        <f t="shared" si="3"/>
        <v>154.834</v>
      </c>
    </row>
    <row r="72" spans="1:10" ht="15.75" x14ac:dyDescent="0.25">
      <c r="A72" s="7" t="s">
        <v>64</v>
      </c>
      <c r="B72" s="9"/>
      <c r="C72" s="9"/>
      <c r="D72" s="9"/>
      <c r="E72" s="9"/>
      <c r="F72" s="9"/>
      <c r="G72" s="9">
        <v>1</v>
      </c>
      <c r="H72" s="15">
        <f t="shared" si="1"/>
        <v>7.9170000000000016</v>
      </c>
      <c r="I72" s="8">
        <f t="shared" si="2"/>
        <v>146.917</v>
      </c>
      <c r="J72" s="10">
        <f t="shared" si="3"/>
        <v>154.834</v>
      </c>
    </row>
    <row r="73" spans="1:10" ht="15.75" x14ac:dyDescent="0.25">
      <c r="A73" s="7" t="s">
        <v>65</v>
      </c>
      <c r="B73" s="9"/>
      <c r="C73" s="9"/>
      <c r="D73" s="9"/>
      <c r="E73" s="9"/>
      <c r="F73" s="9"/>
      <c r="G73" s="9">
        <v>1</v>
      </c>
      <c r="H73" s="15">
        <f t="shared" si="1"/>
        <v>7.9170000000000016</v>
      </c>
      <c r="I73" s="8">
        <f t="shared" si="2"/>
        <v>146.917</v>
      </c>
      <c r="J73" s="10">
        <f t="shared" si="3"/>
        <v>154.834</v>
      </c>
    </row>
    <row r="74" spans="1:10" ht="15.75" x14ac:dyDescent="0.25">
      <c r="A74" s="7" t="s">
        <v>66</v>
      </c>
      <c r="B74" s="9">
        <v>2.5</v>
      </c>
      <c r="C74" s="9">
        <v>2.5</v>
      </c>
      <c r="D74" s="9"/>
      <c r="E74" s="9"/>
      <c r="F74" s="9"/>
      <c r="G74" s="9"/>
      <c r="H74" s="15">
        <f t="shared" si="1"/>
        <v>10.417000000000002</v>
      </c>
      <c r="I74" s="8">
        <f t="shared" si="2"/>
        <v>149.417</v>
      </c>
      <c r="J74" s="10">
        <f t="shared" si="3"/>
        <v>159.834</v>
      </c>
    </row>
    <row r="75" spans="1:10" ht="15.75" x14ac:dyDescent="0.25">
      <c r="A75" s="16" t="s">
        <v>67</v>
      </c>
      <c r="B75" s="9"/>
      <c r="C75" s="9"/>
      <c r="D75" s="9"/>
      <c r="E75" s="9"/>
      <c r="F75" s="9">
        <v>1</v>
      </c>
      <c r="G75" s="9"/>
      <c r="H75" s="15">
        <f t="shared" si="1"/>
        <v>9.4170000000000016</v>
      </c>
      <c r="I75" s="8">
        <f t="shared" si="2"/>
        <v>149.417</v>
      </c>
      <c r="J75" s="8">
        <f t="shared" si="3"/>
        <v>158.834</v>
      </c>
    </row>
    <row r="76" spans="1:10" ht="15.75" x14ac:dyDescent="0.25">
      <c r="A76" s="16" t="s">
        <v>69</v>
      </c>
      <c r="B76" s="9"/>
      <c r="C76" s="9"/>
      <c r="D76" s="9"/>
      <c r="E76" s="9"/>
      <c r="F76" s="9">
        <v>1</v>
      </c>
      <c r="G76" s="9"/>
      <c r="H76" s="15">
        <f t="shared" ref="H76" si="4">H75-F76-D76+B76</f>
        <v>8.4170000000000016</v>
      </c>
      <c r="I76" s="8">
        <f t="shared" ref="I76" si="5">I75-E76+C76</f>
        <v>149.417</v>
      </c>
      <c r="J76" s="8">
        <f t="shared" ref="J76" si="6">SUM(H76:I76)</f>
        <v>157.834</v>
      </c>
    </row>
    <row r="77" spans="1:10" ht="15.75" x14ac:dyDescent="0.25">
      <c r="A77" s="16" t="s">
        <v>70</v>
      </c>
      <c r="B77" s="9">
        <v>2.5</v>
      </c>
      <c r="C77" s="9">
        <v>2.5</v>
      </c>
      <c r="D77" s="9"/>
      <c r="E77" s="9"/>
      <c r="F77" s="9"/>
      <c r="G77" s="9"/>
      <c r="H77" s="15">
        <f t="shared" ref="H77:H79" si="7">H76-F77-D77+B77</f>
        <v>10.917000000000002</v>
      </c>
      <c r="I77" s="8">
        <f t="shared" ref="I77:I79" si="8">I76-E77+C77</f>
        <v>151.917</v>
      </c>
      <c r="J77" s="8">
        <f t="shared" ref="J77:J79" si="9">SUM(H77:I77)</f>
        <v>162.834</v>
      </c>
    </row>
    <row r="78" spans="1:10" ht="15.75" x14ac:dyDescent="0.25">
      <c r="A78" s="16" t="s">
        <v>71</v>
      </c>
      <c r="B78" s="9">
        <v>3.75</v>
      </c>
      <c r="C78" s="9">
        <v>3.75</v>
      </c>
      <c r="D78" s="9"/>
      <c r="E78" s="9"/>
      <c r="F78" s="9"/>
      <c r="G78" s="9"/>
      <c r="H78" s="15">
        <f t="shared" si="7"/>
        <v>14.667000000000002</v>
      </c>
      <c r="I78" s="8">
        <f t="shared" si="8"/>
        <v>155.667</v>
      </c>
      <c r="J78" s="8">
        <f t="shared" si="9"/>
        <v>170.334</v>
      </c>
    </row>
    <row r="79" spans="1:10" ht="15.75" x14ac:dyDescent="0.25">
      <c r="A79" s="16" t="s">
        <v>72</v>
      </c>
      <c r="B79" s="9"/>
      <c r="C79" s="9"/>
      <c r="D79" s="9"/>
      <c r="E79" s="17">
        <v>1</v>
      </c>
      <c r="F79" s="9"/>
      <c r="G79" s="9"/>
      <c r="H79" s="15">
        <f t="shared" si="7"/>
        <v>14.667000000000002</v>
      </c>
      <c r="I79" s="8">
        <f t="shared" si="8"/>
        <v>154.667</v>
      </c>
      <c r="J79" s="8">
        <f t="shared" si="9"/>
        <v>169.334</v>
      </c>
    </row>
    <row r="80" spans="1:10" ht="15.75" x14ac:dyDescent="0.25">
      <c r="A80" s="16" t="s">
        <v>73</v>
      </c>
      <c r="B80" s="9">
        <v>2.5</v>
      </c>
      <c r="C80" s="9">
        <v>2.5</v>
      </c>
      <c r="D80" s="9"/>
      <c r="E80" s="9"/>
      <c r="F80" s="9"/>
      <c r="G80" s="9"/>
      <c r="H80" s="15">
        <f t="shared" ref="H80" si="10">H79-F80-D80+B80</f>
        <v>17.167000000000002</v>
      </c>
      <c r="I80" s="8">
        <f t="shared" ref="I80" si="11">I79-E80+C80</f>
        <v>157.167</v>
      </c>
      <c r="J80" s="8">
        <f t="shared" ref="J80" si="12">SUM(H80:I80)</f>
        <v>174.334</v>
      </c>
    </row>
    <row r="81" spans="1:11" ht="15.75" x14ac:dyDescent="0.25">
      <c r="A81" s="16" t="s">
        <v>74</v>
      </c>
      <c r="B81" s="18"/>
      <c r="C81" s="18"/>
      <c r="D81" s="24"/>
      <c r="E81" s="18"/>
      <c r="F81" s="16">
        <v>1</v>
      </c>
      <c r="G81" s="20"/>
      <c r="H81" s="15">
        <f t="shared" ref="H81" si="13">H80-F81-D81+B81</f>
        <v>16.167000000000002</v>
      </c>
      <c r="I81" s="8">
        <f t="shared" ref="I81" si="14">I80-E81+C81</f>
        <v>157.167</v>
      </c>
      <c r="J81" s="8">
        <f t="shared" ref="J81" si="15">SUM(H81:I81)</f>
        <v>173.334</v>
      </c>
      <c r="K81" s="1"/>
    </row>
    <row r="82" spans="1:11" ht="15.75" x14ac:dyDescent="0.25">
      <c r="A82" s="16" t="s">
        <v>75</v>
      </c>
      <c r="B82" s="24">
        <v>1.25</v>
      </c>
      <c r="C82" s="24">
        <v>1.25</v>
      </c>
      <c r="D82" s="24"/>
      <c r="E82" s="18"/>
      <c r="F82" s="16"/>
      <c r="G82" s="20"/>
      <c r="H82" s="15">
        <f t="shared" ref="H82:H83" si="16">H81-F82-D82+B82</f>
        <v>17.417000000000002</v>
      </c>
      <c r="I82" s="8">
        <f t="shared" ref="I82:I83" si="17">I81-E82+C82</f>
        <v>158.417</v>
      </c>
      <c r="J82" s="8">
        <f t="shared" ref="J82:J83" si="18">SUM(H82:I82)</f>
        <v>175.834</v>
      </c>
      <c r="K82" s="1"/>
    </row>
    <row r="83" spans="1:11" ht="15.75" x14ac:dyDescent="0.25">
      <c r="A83" s="16" t="s">
        <v>76</v>
      </c>
      <c r="B83" s="24"/>
      <c r="C83" s="24"/>
      <c r="D83" s="24"/>
      <c r="E83" s="18"/>
      <c r="F83" s="16">
        <v>1</v>
      </c>
      <c r="G83" s="20"/>
      <c r="H83" s="15">
        <f t="shared" si="16"/>
        <v>16.417000000000002</v>
      </c>
      <c r="I83" s="8">
        <f t="shared" si="17"/>
        <v>158.417</v>
      </c>
      <c r="J83" s="8">
        <f t="shared" si="18"/>
        <v>174.834</v>
      </c>
      <c r="K83" s="1"/>
    </row>
    <row r="84" spans="1:11" ht="15.75" x14ac:dyDescent="0.25">
      <c r="A84" s="16" t="s">
        <v>77</v>
      </c>
      <c r="B84" s="16">
        <v>1.25</v>
      </c>
      <c r="C84" s="16">
        <v>1.25</v>
      </c>
      <c r="D84" s="16"/>
      <c r="E84" s="20"/>
      <c r="F84" s="16"/>
      <c r="G84" s="20"/>
      <c r="H84" s="15">
        <f t="shared" ref="H84" si="19">H83-F84-D84+B84</f>
        <v>17.667000000000002</v>
      </c>
      <c r="I84" s="8">
        <f t="shared" ref="I84" si="20">I83-E84+C84</f>
        <v>159.667</v>
      </c>
      <c r="J84" s="8">
        <f t="shared" ref="J84" si="21">SUM(H84:I84)</f>
        <v>177.334</v>
      </c>
      <c r="K84" s="1"/>
    </row>
    <row r="85" spans="1:11" ht="15.75" x14ac:dyDescent="0.25">
      <c r="A85" s="16" t="s">
        <v>79</v>
      </c>
      <c r="B85" s="16">
        <v>5</v>
      </c>
      <c r="C85" s="16">
        <v>5</v>
      </c>
      <c r="D85" s="16"/>
      <c r="E85" s="20"/>
      <c r="F85" s="16"/>
      <c r="G85" s="20"/>
      <c r="H85" s="15">
        <f t="shared" ref="H85:H87" si="22">H84-F85-D85+B85</f>
        <v>22.667000000000002</v>
      </c>
      <c r="I85" s="8">
        <f t="shared" ref="I85:I87" si="23">I84-E85+C85</f>
        <v>164.667</v>
      </c>
      <c r="J85" s="8">
        <f t="shared" ref="J85:J87" si="24">SUM(H85:I85)</f>
        <v>187.334</v>
      </c>
      <c r="K85" s="1"/>
    </row>
    <row r="86" spans="1:11" ht="15.75" x14ac:dyDescent="0.25">
      <c r="A86" s="16" t="s">
        <v>80</v>
      </c>
      <c r="B86" s="16"/>
      <c r="C86" s="16"/>
      <c r="D86" s="16"/>
      <c r="E86" s="16">
        <v>4</v>
      </c>
      <c r="F86" s="16"/>
      <c r="G86" s="20"/>
      <c r="H86" s="15">
        <f t="shared" si="22"/>
        <v>22.667000000000002</v>
      </c>
      <c r="I86" s="8">
        <f t="shared" si="23"/>
        <v>160.667</v>
      </c>
      <c r="J86" s="8">
        <f t="shared" si="24"/>
        <v>183.334</v>
      </c>
      <c r="K86" s="1"/>
    </row>
    <row r="87" spans="1:11" ht="15.75" x14ac:dyDescent="0.25">
      <c r="A87" s="16" t="s">
        <v>78</v>
      </c>
      <c r="B87" s="16"/>
      <c r="C87" s="16"/>
      <c r="D87" s="16">
        <v>17.667000000000002</v>
      </c>
      <c r="E87" s="16">
        <v>12.333</v>
      </c>
      <c r="F87" s="16"/>
      <c r="G87" s="20"/>
      <c r="H87" s="15">
        <f t="shared" si="22"/>
        <v>5</v>
      </c>
      <c r="I87" s="8">
        <f t="shared" si="23"/>
        <v>148.334</v>
      </c>
      <c r="J87" s="8">
        <f t="shared" si="24"/>
        <v>153.334</v>
      </c>
      <c r="K87" s="1"/>
    </row>
    <row r="88" spans="1:11" ht="15.75" x14ac:dyDescent="0.25">
      <c r="A88" s="16" t="s">
        <v>81</v>
      </c>
      <c r="B88" s="16"/>
      <c r="C88" s="16"/>
      <c r="D88" s="16"/>
      <c r="E88" s="16"/>
      <c r="F88" s="16"/>
      <c r="G88" s="16">
        <v>3</v>
      </c>
      <c r="H88" s="15">
        <f t="shared" ref="H88:H89" si="25">H87-F88-D88+B88</f>
        <v>5</v>
      </c>
      <c r="I88" s="8">
        <f t="shared" ref="I88:I89" si="26">I87-E88+C88</f>
        <v>148.334</v>
      </c>
      <c r="J88" s="8">
        <f t="shared" ref="J88:J89" si="27">SUM(H88:I88)</f>
        <v>153.334</v>
      </c>
      <c r="K88" s="1"/>
    </row>
    <row r="89" spans="1:11" ht="15.75" x14ac:dyDescent="0.25">
      <c r="A89" s="16" t="s">
        <v>82</v>
      </c>
      <c r="B89" s="16"/>
      <c r="C89" s="16"/>
      <c r="D89" s="16"/>
      <c r="E89" s="16"/>
      <c r="F89" s="16">
        <v>3</v>
      </c>
      <c r="G89" s="16"/>
      <c r="H89" s="15">
        <f t="shared" si="25"/>
        <v>2</v>
      </c>
      <c r="I89" s="8">
        <f t="shared" si="26"/>
        <v>148.334</v>
      </c>
      <c r="J89" s="8">
        <f t="shared" si="27"/>
        <v>150.334</v>
      </c>
      <c r="K89" s="1"/>
    </row>
    <row r="90" spans="1:11" ht="15.75" x14ac:dyDescent="0.25">
      <c r="A90" s="16" t="s">
        <v>83</v>
      </c>
      <c r="B90" s="16">
        <v>1.25</v>
      </c>
      <c r="C90" s="16">
        <v>1.25</v>
      </c>
      <c r="D90" s="16"/>
      <c r="E90" s="16"/>
      <c r="F90" s="16"/>
      <c r="G90" s="16"/>
      <c r="H90" s="15">
        <f t="shared" ref="H90:H91" si="28">H89-F90-D90+B90</f>
        <v>3.25</v>
      </c>
      <c r="I90" s="8">
        <f t="shared" ref="I90:I91" si="29">I89-E90+C90</f>
        <v>149.584</v>
      </c>
      <c r="J90" s="8">
        <f t="shared" ref="J90:J91" si="30">SUM(H90:I90)</f>
        <v>152.834</v>
      </c>
      <c r="K90"/>
    </row>
    <row r="91" spans="1:11" ht="15.75" x14ac:dyDescent="0.25">
      <c r="A91" s="16" t="s">
        <v>84</v>
      </c>
      <c r="B91" s="16"/>
      <c r="C91" s="16"/>
      <c r="D91" s="16"/>
      <c r="E91" s="16"/>
      <c r="F91" s="16"/>
      <c r="G91" s="25">
        <v>3</v>
      </c>
      <c r="H91" s="15">
        <f t="shared" si="28"/>
        <v>3.25</v>
      </c>
      <c r="I91" s="8">
        <f t="shared" si="29"/>
        <v>149.584</v>
      </c>
      <c r="J91" s="8">
        <f t="shared" si="30"/>
        <v>152.834</v>
      </c>
      <c r="K91"/>
    </row>
    <row r="92" spans="1:11" ht="15.75" x14ac:dyDescent="0.25">
      <c r="A92" s="16" t="s">
        <v>85</v>
      </c>
      <c r="B92" s="16"/>
      <c r="C92" s="16"/>
      <c r="D92" s="16"/>
      <c r="E92" s="16">
        <v>2</v>
      </c>
      <c r="F92" s="16"/>
      <c r="G92" s="16"/>
      <c r="H92" s="15">
        <f t="shared" ref="H92" si="31">H91-F92-D92+B92</f>
        <v>3.25</v>
      </c>
      <c r="I92" s="8">
        <f t="shared" ref="I92" si="32">I91-E92+C92</f>
        <v>147.584</v>
      </c>
      <c r="J92" s="8">
        <f t="shared" ref="J92" si="33">SUM(H92:I92)</f>
        <v>150.834</v>
      </c>
      <c r="K92"/>
    </row>
    <row r="93" spans="1:11" ht="15.75" x14ac:dyDescent="0.25">
      <c r="A93" s="16" t="s">
        <v>86</v>
      </c>
      <c r="B93" s="16">
        <v>3.75</v>
      </c>
      <c r="C93" s="16">
        <v>3.75</v>
      </c>
      <c r="D93" s="16"/>
      <c r="E93" s="16"/>
      <c r="F93" s="16"/>
      <c r="G93" s="16"/>
      <c r="H93" s="15">
        <f t="shared" ref="H93" si="34">H92-F93-D93+B93</f>
        <v>7</v>
      </c>
      <c r="I93" s="8">
        <f t="shared" ref="I93" si="35">I92-E93+C93</f>
        <v>151.334</v>
      </c>
      <c r="J93" s="8">
        <f t="shared" ref="J93" si="36">SUM(H93:I93)</f>
        <v>158.334</v>
      </c>
      <c r="K93"/>
    </row>
    <row r="94" spans="1:11" ht="15.75" x14ac:dyDescent="0.25">
      <c r="A94" s="16" t="s">
        <v>87</v>
      </c>
      <c r="B94" s="16"/>
      <c r="C94" s="16"/>
      <c r="D94" s="16">
        <v>2</v>
      </c>
      <c r="E94" s="16">
        <v>28</v>
      </c>
      <c r="F94" s="16"/>
      <c r="G94" s="16"/>
      <c r="H94" s="15">
        <f t="shared" ref="H94" si="37">H93-F94-D94+B94</f>
        <v>5</v>
      </c>
      <c r="I94" s="8">
        <f t="shared" ref="I94" si="38">I93-E94+C94</f>
        <v>123.334</v>
      </c>
      <c r="J94" s="8">
        <f t="shared" ref="J94" si="39">SUM(H94:I94)</f>
        <v>128.334</v>
      </c>
      <c r="K94"/>
    </row>
    <row r="95" spans="1:11" ht="15.75" x14ac:dyDescent="0.25">
      <c r="A95" s="16" t="s">
        <v>89</v>
      </c>
      <c r="B95" s="16">
        <v>1.25</v>
      </c>
      <c r="C95" s="16">
        <v>1.25</v>
      </c>
      <c r="D95" s="16"/>
      <c r="E95" s="16"/>
      <c r="F95" s="16"/>
      <c r="G95" s="16"/>
      <c r="H95" s="15">
        <f t="shared" ref="H95:H96" si="40">H94-F95-D95+B95</f>
        <v>6.25</v>
      </c>
      <c r="I95" s="8">
        <f t="shared" ref="I95:I96" si="41">I94-E95+C95</f>
        <v>124.584</v>
      </c>
      <c r="J95" s="8">
        <f t="shared" ref="J95:J96" si="42">SUM(H95:I95)</f>
        <v>130.834</v>
      </c>
      <c r="K95"/>
    </row>
    <row r="96" spans="1:11" ht="15.75" x14ac:dyDescent="0.25">
      <c r="A96" s="16" t="s">
        <v>90</v>
      </c>
      <c r="B96" s="16"/>
      <c r="C96" s="16"/>
      <c r="D96" s="16"/>
      <c r="E96" s="16">
        <v>1</v>
      </c>
      <c r="F96" s="16"/>
      <c r="G96" s="16"/>
      <c r="H96" s="15">
        <f t="shared" si="40"/>
        <v>6.25</v>
      </c>
      <c r="I96" s="8">
        <f t="shared" si="41"/>
        <v>123.584</v>
      </c>
      <c r="J96" s="8">
        <f t="shared" si="42"/>
        <v>129.834</v>
      </c>
      <c r="K96"/>
    </row>
    <row r="97" spans="1:11" ht="15.75" x14ac:dyDescent="0.25">
      <c r="A97" s="16" t="s">
        <v>91</v>
      </c>
      <c r="B97" s="16">
        <v>3.75</v>
      </c>
      <c r="C97" s="16">
        <v>3.75</v>
      </c>
      <c r="D97" s="16"/>
      <c r="E97" s="16"/>
      <c r="F97" s="16"/>
      <c r="G97" s="16"/>
      <c r="H97" s="15">
        <f t="shared" ref="H97:H98" si="43">H96-F97-D97+B97</f>
        <v>10</v>
      </c>
      <c r="I97" s="8">
        <f t="shared" ref="I97:I98" si="44">I96-E97+C97</f>
        <v>127.334</v>
      </c>
      <c r="J97" s="8">
        <f t="shared" ref="J97:J98" si="45">SUM(H97:I97)</f>
        <v>137.334</v>
      </c>
      <c r="K97"/>
    </row>
    <row r="98" spans="1:11" ht="15.75" x14ac:dyDescent="0.25">
      <c r="A98" s="16" t="s">
        <v>94</v>
      </c>
      <c r="B98" s="16"/>
      <c r="C98" s="16"/>
      <c r="D98" s="16"/>
      <c r="E98" s="16"/>
      <c r="F98" s="26">
        <v>1</v>
      </c>
      <c r="G98" s="16"/>
      <c r="H98" s="15">
        <f t="shared" si="43"/>
        <v>9</v>
      </c>
      <c r="I98" s="8">
        <f t="shared" si="44"/>
        <v>127.334</v>
      </c>
      <c r="J98" s="8">
        <f t="shared" si="45"/>
        <v>136.334</v>
      </c>
      <c r="K98"/>
    </row>
    <row r="99" spans="1:11" s="44" customFormat="1" ht="15.75" x14ac:dyDescent="0.25">
      <c r="A99" s="45" t="s">
        <v>108</v>
      </c>
      <c r="B99" s="45">
        <v>5</v>
      </c>
      <c r="C99" s="45">
        <v>5</v>
      </c>
      <c r="D99" s="45"/>
      <c r="E99" s="45"/>
      <c r="F99" s="45"/>
      <c r="G99" s="45"/>
      <c r="H99" s="15">
        <f t="shared" ref="H99:H100" si="46">H98-F99-D99+B99</f>
        <v>14</v>
      </c>
      <c r="I99" s="8">
        <f t="shared" ref="I99:I100" si="47">I98-E99+C99</f>
        <v>132.334</v>
      </c>
      <c r="J99" s="8">
        <f t="shared" ref="J99:J100" si="48">SUM(H99:I99)</f>
        <v>146.334</v>
      </c>
    </row>
    <row r="100" spans="1:11" s="44" customFormat="1" ht="15.75" x14ac:dyDescent="0.25">
      <c r="A100" s="45" t="s">
        <v>109</v>
      </c>
      <c r="B100" s="45"/>
      <c r="C100" s="45"/>
      <c r="D100" s="45"/>
      <c r="E100" s="45"/>
      <c r="F100" s="26">
        <v>3</v>
      </c>
      <c r="G100" s="45"/>
      <c r="H100" s="15">
        <f t="shared" si="46"/>
        <v>11</v>
      </c>
      <c r="I100" s="8">
        <f t="shared" si="47"/>
        <v>132.334</v>
      </c>
      <c r="J100" s="8">
        <f t="shared" si="48"/>
        <v>143.334</v>
      </c>
    </row>
    <row r="101" spans="1:11" s="44" customFormat="1" ht="15.75" x14ac:dyDescent="0.25">
      <c r="A101" s="45"/>
      <c r="B101" s="45"/>
      <c r="C101" s="45"/>
      <c r="D101" s="45"/>
      <c r="E101" s="45"/>
      <c r="F101" s="45"/>
      <c r="G101" s="45"/>
      <c r="H101" s="46"/>
      <c r="I101" s="47"/>
      <c r="J101" s="47"/>
    </row>
    <row r="102" spans="1:11" ht="15.75" x14ac:dyDescent="0.25">
      <c r="A102" s="21"/>
      <c r="B102" s="21"/>
      <c r="C102" s="21"/>
      <c r="D102" s="21"/>
      <c r="E102" s="21"/>
      <c r="F102" s="21"/>
      <c r="G102" s="21"/>
      <c r="H102" s="22"/>
      <c r="I102" s="23"/>
      <c r="J102" s="23"/>
      <c r="K102"/>
    </row>
    <row r="103" spans="1:11" ht="15.75" x14ac:dyDescent="0.25">
      <c r="A103" s="21"/>
      <c r="F103" s="21"/>
      <c r="H103" s="22"/>
      <c r="I103" s="23"/>
      <c r="J103" s="23"/>
      <c r="K103" s="1"/>
    </row>
    <row r="104" spans="1:11" x14ac:dyDescent="0.25">
      <c r="B104" s="1"/>
      <c r="C104" s="1"/>
      <c r="D104" s="1"/>
      <c r="E104" s="1"/>
      <c r="F104" s="1" t="s">
        <v>68</v>
      </c>
      <c r="G104" s="1" t="s">
        <v>19</v>
      </c>
      <c r="H104" s="1"/>
      <c r="I104" s="1"/>
      <c r="J104" s="1"/>
      <c r="K104" s="1"/>
    </row>
    <row r="105" spans="1:1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B106" s="1"/>
      <c r="C106" s="1"/>
      <c r="D106" s="1"/>
      <c r="E106" s="1"/>
      <c r="F106" s="1"/>
      <c r="G106" s="19" t="s">
        <v>20</v>
      </c>
      <c r="H106" s="1"/>
      <c r="I106" s="1"/>
      <c r="J106" s="1"/>
      <c r="K106" s="1"/>
    </row>
    <row r="107" spans="1:11" x14ac:dyDescent="0.25">
      <c r="B107" s="1"/>
      <c r="C107" s="1"/>
      <c r="D107" s="1"/>
      <c r="E107" s="1"/>
      <c r="F107" s="1"/>
      <c r="G107" s="1" t="s">
        <v>21</v>
      </c>
      <c r="H107" s="1"/>
      <c r="I107" s="1"/>
      <c r="J107" s="1"/>
      <c r="K107" s="1"/>
    </row>
    <row r="108" spans="1:11" x14ac:dyDescent="0.25">
      <c r="G108" s="27" t="s">
        <v>22</v>
      </c>
      <c r="H108" s="27"/>
    </row>
  </sheetData>
  <mergeCells count="15">
    <mergeCell ref="A6:J6"/>
    <mergeCell ref="A7:J7"/>
    <mergeCell ref="A8:J8"/>
    <mergeCell ref="A9:J9"/>
    <mergeCell ref="B11:D11"/>
    <mergeCell ref="G108:H108"/>
    <mergeCell ref="K15:K16"/>
    <mergeCell ref="B13:D13"/>
    <mergeCell ref="A14:J14"/>
    <mergeCell ref="B15:C15"/>
    <mergeCell ref="D15:G15"/>
    <mergeCell ref="H15:I15"/>
    <mergeCell ref="A15:A16"/>
    <mergeCell ref="J15:J16"/>
    <mergeCell ref="A17:J17"/>
  </mergeCells>
  <printOptions horizontalCentered="1"/>
  <pageMargins left="0.43307086614173229" right="0.23622047244094491" top="0.55118110236220474" bottom="0.55118110236220474" header="0.31496062992125984" footer="0.31496062992125984"/>
  <pageSetup paperSize="9" scale="65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2026-01-14T04:05:38Z</cp:lastPrinted>
  <dcterms:created xsi:type="dcterms:W3CDTF">2023-09-13T03:30:20Z</dcterms:created>
  <dcterms:modified xsi:type="dcterms:W3CDTF">2026-01-14T04:07:40Z</dcterms:modified>
</cp:coreProperties>
</file>