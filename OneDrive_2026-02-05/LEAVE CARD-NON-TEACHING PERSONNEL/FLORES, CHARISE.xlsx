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BA9A31CE-4DD7-447F-B4A4-2E2193848D2A}" xr6:coauthVersionLast="47" xr6:coauthVersionMax="47" xr10:uidLastSave="{00000000-0000-0000-0000-000000000000}"/>
  <bookViews>
    <workbookView xWindow="-120" yWindow="-120" windowWidth="29040" windowHeight="15720" xr2:uid="{C532281A-DA89-4ACA-8363-B39317021647}"/>
  </bookViews>
  <sheets>
    <sheet name="CORRECTED" sheetId="6" r:id="rId1"/>
    <sheet name="CTO" sheetId="7" r:id="rId2"/>
    <sheet name="Leave Card (NE) (2)" sheetId="8" r:id="rId3"/>
  </sheets>
  <definedNames>
    <definedName name="_xlnm.Print_Area" localSheetId="0">CORRECTED!$A$1:$J$122</definedName>
    <definedName name="_xlnm.Print_Area" localSheetId="2">'Leave Card (NE) (2)'!$A$1:$J$100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6" i="6" l="1"/>
  <c r="I116" i="6"/>
  <c r="J116" i="6"/>
  <c r="H114" i="6"/>
  <c r="I114" i="6"/>
  <c r="I115" i="6" s="1"/>
  <c r="J114" i="6"/>
  <c r="H115" i="6"/>
  <c r="B70" i="8"/>
  <c r="I15" i="8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I65" i="8" s="1"/>
  <c r="I66" i="8" s="1"/>
  <c r="I67" i="8" s="1"/>
  <c r="I68" i="8" s="1"/>
  <c r="I69" i="8" s="1"/>
  <c r="I70" i="8" s="1"/>
  <c r="I71" i="8" s="1"/>
  <c r="I72" i="8" s="1"/>
  <c r="I73" i="8" s="1"/>
  <c r="I74" i="8" s="1"/>
  <c r="I75" i="8" s="1"/>
  <c r="I76" i="8" s="1"/>
  <c r="I77" i="8" s="1"/>
  <c r="I78" i="8" s="1"/>
  <c r="I79" i="8" s="1"/>
  <c r="I80" i="8" s="1"/>
  <c r="I81" i="8" s="1"/>
  <c r="I82" i="8" s="1"/>
  <c r="I83" i="8" s="1"/>
  <c r="I84" i="8" s="1"/>
  <c r="I85" i="8" s="1"/>
  <c r="I86" i="8" s="1"/>
  <c r="I87" i="8" s="1"/>
  <c r="I88" i="8" s="1"/>
  <c r="I89" i="8" s="1"/>
  <c r="I90" i="8" s="1"/>
  <c r="B14" i="8"/>
  <c r="I13" i="8"/>
  <c r="I14" i="8" s="1"/>
  <c r="H13" i="8"/>
  <c r="B69" i="6"/>
  <c r="J115" i="6" l="1"/>
  <c r="H14" i="8"/>
  <c r="J13" i="8"/>
  <c r="B14" i="6"/>
  <c r="I13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H13" i="6"/>
  <c r="H15" i="8" l="1"/>
  <c r="J14" i="8"/>
  <c r="I40" i="6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I107" i="6" s="1"/>
  <c r="I108" i="6" s="1"/>
  <c r="I109" i="6" s="1"/>
  <c r="I110" i="6" s="1"/>
  <c r="I111" i="6" s="1"/>
  <c r="I112" i="6" s="1"/>
  <c r="I113" i="6" s="1"/>
  <c r="H14" i="6"/>
  <c r="H15" i="6" s="1"/>
  <c r="H16" i="6" s="1"/>
  <c r="H16" i="8" l="1"/>
  <c r="J15" i="8"/>
  <c r="J15" i="6"/>
  <c r="J14" i="6"/>
  <c r="J16" i="6"/>
  <c r="H17" i="6"/>
  <c r="J13" i="6"/>
  <c r="H17" i="8" l="1"/>
  <c r="J16" i="8"/>
  <c r="J17" i="6"/>
  <c r="H18" i="6"/>
  <c r="H19" i="6" s="1"/>
  <c r="H18" i="8" l="1"/>
  <c r="J17" i="8"/>
  <c r="H20" i="6"/>
  <c r="J19" i="6"/>
  <c r="J18" i="6"/>
  <c r="H19" i="8" l="1"/>
  <c r="J18" i="8"/>
  <c r="H21" i="6"/>
  <c r="J20" i="6"/>
  <c r="H20" i="8" l="1"/>
  <c r="J19" i="8"/>
  <c r="H22" i="6"/>
  <c r="J21" i="6"/>
  <c r="H21" i="8" l="1"/>
  <c r="J20" i="8"/>
  <c r="H23" i="6"/>
  <c r="J22" i="6"/>
  <c r="H22" i="8" l="1"/>
  <c r="J21" i="8"/>
  <c r="H24" i="6"/>
  <c r="J23" i="6"/>
  <c r="H23" i="8" l="1"/>
  <c r="J22" i="8"/>
  <c r="H25" i="6"/>
  <c r="J24" i="6"/>
  <c r="H24" i="8" l="1"/>
  <c r="J23" i="8"/>
  <c r="J25" i="6"/>
  <c r="H26" i="6"/>
  <c r="H25" i="8" l="1"/>
  <c r="J24" i="8"/>
  <c r="H27" i="6"/>
  <c r="J26" i="6"/>
  <c r="H26" i="8" l="1"/>
  <c r="J25" i="8"/>
  <c r="H28" i="6"/>
  <c r="J27" i="6"/>
  <c r="H27" i="8" l="1"/>
  <c r="J26" i="8"/>
  <c r="J28" i="6"/>
  <c r="H29" i="6"/>
  <c r="H28" i="8" l="1"/>
  <c r="J27" i="8"/>
  <c r="J29" i="6"/>
  <c r="H30" i="6"/>
  <c r="H29" i="8" l="1"/>
  <c r="J28" i="8"/>
  <c r="H31" i="6"/>
  <c r="J30" i="6"/>
  <c r="H30" i="8" l="1"/>
  <c r="J29" i="8"/>
  <c r="H32" i="6"/>
  <c r="J31" i="6"/>
  <c r="H31" i="8" l="1"/>
  <c r="J30" i="8"/>
  <c r="H33" i="6"/>
  <c r="J32" i="6"/>
  <c r="H32" i="8" l="1"/>
  <c r="J31" i="8"/>
  <c r="H34" i="6"/>
  <c r="J33" i="6"/>
  <c r="H33" i="8" l="1"/>
  <c r="J32" i="8"/>
  <c r="H35" i="6"/>
  <c r="J34" i="6"/>
  <c r="H34" i="8" l="1"/>
  <c r="J33" i="8"/>
  <c r="H36" i="6"/>
  <c r="J35" i="6"/>
  <c r="H35" i="8" l="1"/>
  <c r="J34" i="8"/>
  <c r="J36" i="6"/>
  <c r="H37" i="6"/>
  <c r="H36" i="8" l="1"/>
  <c r="J35" i="8"/>
  <c r="J37" i="6"/>
  <c r="H38" i="6"/>
  <c r="H37" i="8" l="1"/>
  <c r="J36" i="8"/>
  <c r="H39" i="6"/>
  <c r="J38" i="6"/>
  <c r="H38" i="8" l="1"/>
  <c r="J37" i="8"/>
  <c r="H40" i="6"/>
  <c r="J39" i="6"/>
  <c r="H39" i="8" l="1"/>
  <c r="J38" i="8"/>
  <c r="H41" i="6"/>
  <c r="J40" i="6"/>
  <c r="H40" i="8" l="1"/>
  <c r="J39" i="8"/>
  <c r="J41" i="6"/>
  <c r="H42" i="6"/>
  <c r="H41" i="8" l="1"/>
  <c r="J40" i="8"/>
  <c r="J42" i="6"/>
  <c r="H43" i="6"/>
  <c r="H42" i="8" l="1"/>
  <c r="J41" i="8"/>
  <c r="H44" i="6"/>
  <c r="J43" i="6"/>
  <c r="H43" i="8" l="1"/>
  <c r="J42" i="8"/>
  <c r="H45" i="6"/>
  <c r="J44" i="6"/>
  <c r="H44" i="8" l="1"/>
  <c r="J43" i="8"/>
  <c r="J45" i="6"/>
  <c r="H46" i="6"/>
  <c r="H45" i="8" l="1"/>
  <c r="J44" i="8"/>
  <c r="J46" i="6"/>
  <c r="H47" i="6"/>
  <c r="H46" i="8" l="1"/>
  <c r="J45" i="8"/>
  <c r="J47" i="6"/>
  <c r="H48" i="6"/>
  <c r="H47" i="8" l="1"/>
  <c r="J46" i="8"/>
  <c r="J48" i="6"/>
  <c r="H49" i="6"/>
  <c r="H48" i="8" l="1"/>
  <c r="J47" i="8"/>
  <c r="H50" i="6"/>
  <c r="J49" i="6"/>
  <c r="H49" i="8" l="1"/>
  <c r="J48" i="8"/>
  <c r="H51" i="6"/>
  <c r="J50" i="6"/>
  <c r="H50" i="8" l="1"/>
  <c r="J49" i="8"/>
  <c r="H52" i="6"/>
  <c r="J51" i="6"/>
  <c r="H51" i="8" l="1"/>
  <c r="J50" i="8"/>
  <c r="J52" i="6"/>
  <c r="H53" i="6"/>
  <c r="H52" i="8" l="1"/>
  <c r="J51" i="8"/>
  <c r="J53" i="6"/>
  <c r="H54" i="6"/>
  <c r="H53" i="8" l="1"/>
  <c r="J52" i="8"/>
  <c r="J54" i="6"/>
  <c r="H55" i="6"/>
  <c r="H54" i="8" l="1"/>
  <c r="J53" i="8"/>
  <c r="J55" i="6"/>
  <c r="H56" i="6"/>
  <c r="H55" i="8" l="1"/>
  <c r="J54" i="8"/>
  <c r="J56" i="6"/>
  <c r="H57" i="6"/>
  <c r="H56" i="8" l="1"/>
  <c r="J55" i="8"/>
  <c r="J57" i="6"/>
  <c r="H58" i="6"/>
  <c r="H57" i="8" l="1"/>
  <c r="J56" i="8"/>
  <c r="J58" i="6"/>
  <c r="H59" i="6"/>
  <c r="H58" i="8" l="1"/>
  <c r="J57" i="8"/>
  <c r="H60" i="6"/>
  <c r="H61" i="6" s="1"/>
  <c r="J59" i="6"/>
  <c r="J61" i="6" l="1"/>
  <c r="H62" i="6"/>
  <c r="H59" i="8"/>
  <c r="J58" i="8"/>
  <c r="J60" i="6"/>
  <c r="J62" i="6" l="1"/>
  <c r="H63" i="6"/>
  <c r="H60" i="8"/>
  <c r="J59" i="8"/>
  <c r="J63" i="6" l="1"/>
  <c r="H64" i="6"/>
  <c r="H61" i="8"/>
  <c r="J60" i="8"/>
  <c r="H65" i="6" l="1"/>
  <c r="J64" i="6"/>
  <c r="H62" i="8"/>
  <c r="J61" i="8"/>
  <c r="J65" i="6" l="1"/>
  <c r="H66" i="6"/>
  <c r="H63" i="8"/>
  <c r="J62" i="8"/>
  <c r="J66" i="6" l="1"/>
  <c r="H67" i="6"/>
  <c r="H64" i="8"/>
  <c r="J63" i="8"/>
  <c r="J67" i="6" l="1"/>
  <c r="H68" i="6"/>
  <c r="H65" i="8"/>
  <c r="J64" i="8"/>
  <c r="J68" i="6" l="1"/>
  <c r="H69" i="6"/>
  <c r="H66" i="8"/>
  <c r="J65" i="8"/>
  <c r="J69" i="6" l="1"/>
  <c r="H70" i="6"/>
  <c r="H67" i="8"/>
  <c r="J66" i="8"/>
  <c r="J70" i="6" l="1"/>
  <c r="H71" i="6"/>
  <c r="H68" i="8"/>
  <c r="J67" i="8"/>
  <c r="J71" i="6" l="1"/>
  <c r="H72" i="6"/>
  <c r="H69" i="8"/>
  <c r="J68" i="8"/>
  <c r="J72" i="6" l="1"/>
  <c r="H73" i="6"/>
  <c r="J69" i="8"/>
  <c r="H70" i="8"/>
  <c r="J73" i="6" l="1"/>
  <c r="H74" i="6"/>
  <c r="H71" i="8"/>
  <c r="J70" i="8"/>
  <c r="J74" i="6" l="1"/>
  <c r="H75" i="6"/>
  <c r="J71" i="8"/>
  <c r="H72" i="8"/>
  <c r="J75" i="6" l="1"/>
  <c r="H76" i="6"/>
  <c r="H73" i="8"/>
  <c r="J72" i="8"/>
  <c r="J76" i="6" l="1"/>
  <c r="H77" i="6"/>
  <c r="J73" i="8"/>
  <c r="H74" i="8"/>
  <c r="J77" i="6" l="1"/>
  <c r="H78" i="6"/>
  <c r="H75" i="8"/>
  <c r="J74" i="8"/>
  <c r="J78" i="6" l="1"/>
  <c r="H79" i="6"/>
  <c r="J75" i="8"/>
  <c r="H76" i="8"/>
  <c r="H80" i="6" l="1"/>
  <c r="J79" i="6"/>
  <c r="H77" i="8"/>
  <c r="J76" i="8"/>
  <c r="H81" i="6" l="1"/>
  <c r="J80" i="6"/>
  <c r="J77" i="8"/>
  <c r="H78" i="8"/>
  <c r="J81" i="6" l="1"/>
  <c r="H82" i="6"/>
  <c r="H79" i="8"/>
  <c r="J78" i="8"/>
  <c r="H83" i="6" l="1"/>
  <c r="J82" i="6"/>
  <c r="J79" i="8"/>
  <c r="H80" i="8"/>
  <c r="H84" i="6" l="1"/>
  <c r="J83" i="6"/>
  <c r="H81" i="8"/>
  <c r="J80" i="8"/>
  <c r="H85" i="6" l="1"/>
  <c r="J84" i="6"/>
  <c r="J81" i="8"/>
  <c r="H82" i="8"/>
  <c r="J85" i="6" l="1"/>
  <c r="H86" i="6"/>
  <c r="H83" i="8"/>
  <c r="J82" i="8"/>
  <c r="H87" i="6" l="1"/>
  <c r="J86" i="6"/>
  <c r="J83" i="8"/>
  <c r="H84" i="8"/>
  <c r="J87" i="6" l="1"/>
  <c r="H88" i="6"/>
  <c r="H85" i="8"/>
  <c r="J84" i="8"/>
  <c r="J88" i="6" l="1"/>
  <c r="H89" i="6"/>
  <c r="J85" i="8"/>
  <c r="H86" i="8"/>
  <c r="J89" i="6" l="1"/>
  <c r="H90" i="6"/>
  <c r="H87" i="8"/>
  <c r="J86" i="8"/>
  <c r="J90" i="6" l="1"/>
  <c r="H91" i="6"/>
  <c r="H92" i="6" s="1"/>
  <c r="J87" i="8"/>
  <c r="H88" i="8"/>
  <c r="J92" i="6" l="1"/>
  <c r="H93" i="6"/>
  <c r="J91" i="6"/>
  <c r="H89" i="8"/>
  <c r="J88" i="8"/>
  <c r="J93" i="6" l="1"/>
  <c r="H94" i="6"/>
  <c r="J89" i="8"/>
  <c r="H90" i="8"/>
  <c r="J90" i="8" s="1"/>
  <c r="J94" i="6" l="1"/>
  <c r="H95" i="6"/>
  <c r="J95" i="6" l="1"/>
  <c r="H96" i="6"/>
  <c r="J96" i="6" l="1"/>
  <c r="H97" i="6"/>
  <c r="H98" i="6" l="1"/>
  <c r="J97" i="6"/>
  <c r="H99" i="6" l="1"/>
  <c r="J98" i="6"/>
  <c r="H100" i="6" l="1"/>
  <c r="J99" i="6"/>
  <c r="J100" i="6" l="1"/>
  <c r="H101" i="6"/>
  <c r="H102" i="6" l="1"/>
  <c r="J101" i="6"/>
  <c r="J102" i="6" l="1"/>
  <c r="H103" i="6"/>
  <c r="H104" i="6" l="1"/>
  <c r="J103" i="6"/>
  <c r="J104" i="6" l="1"/>
  <c r="H105" i="6"/>
  <c r="J105" i="6" l="1"/>
  <c r="H106" i="6"/>
  <c r="H107" i="6" s="1"/>
  <c r="J107" i="6" l="1"/>
  <c r="H108" i="6"/>
  <c r="J106" i="6"/>
  <c r="H109" i="6" l="1"/>
  <c r="J108" i="6"/>
  <c r="H110" i="6" l="1"/>
  <c r="J109" i="6"/>
  <c r="J110" i="6" l="1"/>
  <c r="H111" i="6"/>
  <c r="J111" i="6" l="1"/>
  <c r="H112" i="6"/>
  <c r="J112" i="6" l="1"/>
  <c r="H113" i="6"/>
  <c r="J113" i="6" s="1"/>
</calcChain>
</file>

<file path=xl/sharedStrings.xml><?xml version="1.0" encoding="utf-8"?>
<sst xmlns="http://schemas.openxmlformats.org/spreadsheetml/2006/main" count="306" uniqueCount="172">
  <si>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</si>
  <si>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</si>
  <si>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</si>
  <si>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</si>
  <si>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</si>
  <si>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</si>
  <si>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</si>
  <si>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</si>
  <si>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</si>
  <si>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</si>
  <si>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</si>
  <si>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01/19-20/2022</t>
  </si>
  <si>
    <t>ADD: 01/01/22 - 02/28/22</t>
  </si>
  <si>
    <t>LESS: 03/16/22</t>
  </si>
  <si>
    <t>LESS: 03/30/22</t>
  </si>
  <si>
    <t>ADD: 03/01/22 - 03/31/22</t>
  </si>
  <si>
    <t>LESS: 04/07 &amp; 08/ 22</t>
  </si>
  <si>
    <t>LESS: 04/20, 21 &amp; 22/ 22</t>
  </si>
  <si>
    <t>ADD: 04/01/22 - 04/30/22</t>
  </si>
  <si>
    <t>LESS: 05/26/22</t>
  </si>
  <si>
    <t>ADD: 05/01/22 - 06/30/22</t>
  </si>
  <si>
    <t>LESS: 06/27/22</t>
  </si>
  <si>
    <t>LESS: 07/06/22</t>
  </si>
  <si>
    <t>LESS: 07/15/22</t>
  </si>
  <si>
    <t>ADD: 07/01/22 - 08/31/22</t>
  </si>
  <si>
    <t>LESS: MONETIZATION 2022</t>
  </si>
  <si>
    <t>LESS: 09/22/22</t>
  </si>
  <si>
    <t>ADD: 09/01/22 - 10/31/22</t>
  </si>
  <si>
    <t>LESS: 11/18/22</t>
  </si>
  <si>
    <t>SPECIAL</t>
  </si>
  <si>
    <t>ADD: 11/01/22 - 11/30/22</t>
  </si>
  <si>
    <t>LESS: 12/16/22</t>
  </si>
  <si>
    <t>ADD: 12/01/22 - 12/31/22</t>
  </si>
  <si>
    <t>LESS: 01/06/23</t>
  </si>
  <si>
    <t>LESS: 12/29/22</t>
  </si>
  <si>
    <t>ADD: 01/01/23 - 02/28/23</t>
  </si>
  <si>
    <t>LESS: 03/09/23</t>
  </si>
  <si>
    <t>LESS: 03/30/23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</si>
  <si>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</si>
  <si>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</si>
  <si>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</si>
  <si>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</si>
  <si>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</si>
  <si>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</si>
  <si>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</si>
  <si>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</si>
  <si>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03/27/2019 - 03/31/2019</t>
  </si>
  <si>
    <t>ADD: 04/01/2019 - 12/31/2019</t>
  </si>
  <si>
    <t>LESS: 08/30/2019</t>
  </si>
  <si>
    <t>LESS: 11/22/2019</t>
  </si>
  <si>
    <t>LESS: 12/04/2019</t>
  </si>
  <si>
    <t>LESS: 12/23/2019</t>
  </si>
  <si>
    <t>LESS: 01/28 - 31/2020</t>
  </si>
  <si>
    <t>LESS: 02/14/2020</t>
  </si>
  <si>
    <t>ADD: 01/01/2020 - 12/31/2020</t>
  </si>
  <si>
    <t>LESS: MONETIZATION 2020</t>
  </si>
  <si>
    <t>LESS: FL 2020</t>
  </si>
  <si>
    <t>ADD: 01/01/2021 - 08/31/2021</t>
  </si>
  <si>
    <t>LESS: 09/28/2021</t>
  </si>
  <si>
    <t>ADD: 09/01/2021 - 12/31/2021</t>
  </si>
  <si>
    <t>LESS: MONETIZATION 2021</t>
  </si>
  <si>
    <t>LESS: 11/12/2021</t>
  </si>
  <si>
    <t>LESS: FL 2021</t>
  </si>
  <si>
    <t>ADD: 03/01/23 - 04/30/23</t>
  </si>
  <si>
    <t>LESS: 04/24/23</t>
  </si>
  <si>
    <t>LESS: 05/24(PM), 30 &amp; 31/23</t>
  </si>
  <si>
    <t>COMPENSATORY TIME OFF (CTO)</t>
  </si>
  <si>
    <t>Special Order No. and Date Issued</t>
  </si>
  <si>
    <t>No. of Days Granted</t>
  </si>
  <si>
    <t>No. of Days Used</t>
  </si>
  <si>
    <t>Balance</t>
  </si>
  <si>
    <t>ADD: 04/17/2023</t>
  </si>
  <si>
    <t>NOTE:  Valid for one (1) year only</t>
  </si>
  <si>
    <t>Certified Correct:</t>
  </si>
  <si>
    <t>MA. LUISA B. CATIGAN</t>
  </si>
  <si>
    <t>Administrative Officer IV</t>
  </si>
  <si>
    <t>HRMO</t>
  </si>
  <si>
    <t>LESS: 06/20(PM) &amp; 21/2023</t>
  </si>
  <si>
    <t>SO # 048, S.2023, DISTRICT AND CITY SPORTS MEET 2023</t>
  </si>
  <si>
    <t>LESS: 06/26(PM)/2023</t>
  </si>
  <si>
    <t>ADD: 05/01/23 - 06/30/23</t>
  </si>
  <si>
    <t>LESS: 07/04/23 PM</t>
  </si>
  <si>
    <t>LESS: 07/27/23</t>
  </si>
  <si>
    <t>LESS: 07/28/23</t>
  </si>
  <si>
    <t>ADD: 07/01/23 - 08/31/23</t>
  </si>
  <si>
    <t>LESS: 08/09/23</t>
  </si>
  <si>
    <t>LESS: 08/11/23</t>
  </si>
  <si>
    <t>LESS: 08/18/23</t>
  </si>
  <si>
    <t>LESS: MONETIZATION 2023</t>
  </si>
  <si>
    <t>LESS: 09/15/2023</t>
  </si>
  <si>
    <t>ADD: 09/01/2023-12/31/2023</t>
  </si>
  <si>
    <t>LESS: 01/05/2024</t>
  </si>
  <si>
    <t>ADD: 01/01-31/2024</t>
  </si>
  <si>
    <t>ADD: 02-01-29/2024</t>
  </si>
  <si>
    <t>LESS: 02/26/2024</t>
  </si>
  <si>
    <t>ADD: 03/1/2024-04/30/2024</t>
  </si>
  <si>
    <t>LESS: 05/16/2024</t>
  </si>
  <si>
    <t>ADD: 10/17/2023</t>
  </si>
  <si>
    <t>SO # 159, S.2023, DISTRICT AND CITY SPORTS MEET 2024</t>
  </si>
  <si>
    <t>LESS: 05/28/2024</t>
  </si>
  <si>
    <t>ADD: 03/12/2024</t>
  </si>
  <si>
    <t>SO # 004, S.2024, REFRESHER COURSE FOR OFFICIATING OFFICIALS AND COACHES FOR THE 2024 DISTRICT MEET</t>
  </si>
  <si>
    <t>LESS: 05/29/2024</t>
  </si>
  <si>
    <t>LESS: 06/13-14/2024</t>
  </si>
  <si>
    <t>ADD: MARCH 12, 2024</t>
  </si>
  <si>
    <t>SO # 005, S.2024, DISTRICT SPORTS MEET</t>
  </si>
  <si>
    <t>LESS: 06/20/2024</t>
  </si>
  <si>
    <t>ADD: 05/1/2024 -06/30/2024</t>
  </si>
  <si>
    <t>LESS: 07/08/2024</t>
  </si>
  <si>
    <t>LESS: 07/16/2024</t>
  </si>
  <si>
    <t>ADD: JULY 1-31, 2024</t>
  </si>
  <si>
    <t>LESS: 08/08/2024</t>
  </si>
  <si>
    <t>LESS: MONETIZATION 2024</t>
  </si>
  <si>
    <t xml:space="preserve">                  HRMO</t>
  </si>
  <si>
    <t>LESS: FL 2019</t>
  </si>
  <si>
    <t>ADD: 08/1-31/2024</t>
  </si>
  <si>
    <t>LESS: 09/16/2024</t>
  </si>
  <si>
    <t>SO # 006, S.2024, DIVISION SPORTS MEET</t>
  </si>
  <si>
    <t>LESS: 10/16/2024</t>
  </si>
  <si>
    <t>LESS: 10/30/2024</t>
  </si>
  <si>
    <t>ADD: 09/1/2024-10/31/2024</t>
  </si>
  <si>
    <t>LESS: 11/15/2024</t>
  </si>
  <si>
    <t>ADD: 11/1-30/2024</t>
  </si>
  <si>
    <t>LESS: 12/18/2024</t>
  </si>
  <si>
    <t>LESS: 12/23/2024</t>
  </si>
  <si>
    <t>LESS: 12/26/2024</t>
  </si>
  <si>
    <t>CERTIFIED CORRECT:</t>
  </si>
  <si>
    <t>ADD: 12/1-31/2024</t>
  </si>
  <si>
    <t>LESS: 01/30/2025</t>
  </si>
  <si>
    <t>LESS: 05/30 &amp; 31/23</t>
  </si>
  <si>
    <t>ADD: 01/1-31/2025</t>
  </si>
  <si>
    <t>LESS: 02/14/2025</t>
  </si>
  <si>
    <t>ADD: May 23, 2024</t>
  </si>
  <si>
    <t>SO # 018, S.2024, SCREENING AND OCULAR INSPECTION OF ATHLETES, COACHES FOR PROVINCIAL SPORTS MEET 2024</t>
  </si>
  <si>
    <t>6 HOURS</t>
  </si>
  <si>
    <t>6 HRS</t>
  </si>
  <si>
    <t>LESS: 03/06/2025</t>
  </si>
  <si>
    <t>LESS: 02/19-20/2025</t>
  </si>
  <si>
    <t>ADD: May 20, 2024</t>
  </si>
  <si>
    <t>SO # 017, S.2024, WVRAA MEET 2024</t>
  </si>
  <si>
    <t>ADD: 02/1-28/2025</t>
  </si>
  <si>
    <t>LESS: 03/18/2025</t>
  </si>
  <si>
    <t>LESS: 03/28/2025</t>
  </si>
  <si>
    <t>LESS: 02/26/2025</t>
  </si>
  <si>
    <t>ADD: 03/1-31/2025</t>
  </si>
  <si>
    <t>LESS: 05/02/2025</t>
  </si>
  <si>
    <t>LESS: 04/21/2025</t>
  </si>
  <si>
    <t>LESS: 04/29/2025</t>
  </si>
  <si>
    <t>LESS: 04/25/2025</t>
  </si>
  <si>
    <t>ADD: 04/1-30/2025</t>
  </si>
  <si>
    <t>LESS: 05/14/2025</t>
  </si>
  <si>
    <t>ADD: 02/5/2025</t>
  </si>
  <si>
    <t>SO # 002, S. 2025 RIZAL DAY 2024 CELEBRATION</t>
  </si>
  <si>
    <t>LESS: 05/26/2025</t>
  </si>
  <si>
    <t>ADD: 05/1-31/2025</t>
  </si>
  <si>
    <t>LESS: 06/2/2025</t>
  </si>
  <si>
    <t>ADD: 06/1-30/2025</t>
  </si>
  <si>
    <t>LESS: 07/4/2025</t>
  </si>
  <si>
    <t>LESS: 07/24/2025</t>
  </si>
  <si>
    <t>LESS: 01/19-20/2022</t>
  </si>
  <si>
    <t>ADD: 02/01-29/2024</t>
  </si>
  <si>
    <t>ADD: 07/1/2025-08/31/2025</t>
  </si>
  <si>
    <t>LESS: MONETIZATION 2025</t>
  </si>
  <si>
    <t>NEGROS ISLAND REGION</t>
  </si>
  <si>
    <t>LESS: 08/14/2025</t>
  </si>
  <si>
    <t xml:space="preserve">        Personnel Section</t>
  </si>
  <si>
    <t>ADD: 09/1-30/2025</t>
  </si>
  <si>
    <t>LESS: 10/7/2025</t>
  </si>
  <si>
    <t>LESS: 10/24/2025</t>
  </si>
  <si>
    <t>ADD: 10/1-31/2025</t>
  </si>
  <si>
    <t>LESS: 11/10/2025</t>
  </si>
  <si>
    <t>LESS: 12/05/2025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</si>
</sst>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164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3" fillId="2" borderId="14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6" fillId="0" borderId="0" xfId="0" applyFont="1"/>
    <xf numFmtId="0" fontId="0" fillId="2" borderId="8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8" fillId="0" borderId="0" xfId="0" applyFont="1"/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14" xfId="0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11" borderId="22" xfId="0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0" fillId="2" borderId="0" xfId="0" applyFont="1" applyFill="1"/>
    <xf numFmtId="0" fontId="10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0" fontId="7" fillId="0" borderId="15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1" fillId="2" borderId="1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10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 wrapText="1"/>
    </xf>
    <xf numFmtId="0" fontId="7" fillId="9" borderId="20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657225</xdr:colOff>
      <xdr:row>0</xdr:row>
      <xdr:rowOff>31749</xdr:rowOff>
    </xdr:from>
    <xdr:to>
      <xdr:col>4</xdr:col>
      <xdr:colOff>511908</xdr:colOff>
      <xdr:row>1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1DD174-20E4-4E1A-8C09-CB9A0285DE7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31749"/>
          <a:ext cx="626208" cy="64770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F982F26-3593-4BFB-B01A-EA14E4E16078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FLORES, CHARISE B.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A4C54E6-0DAC-443A-AE9F-6FBCFACFDE60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NURSE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E9F1C33-8366-4A49-A337-DC1F434F565D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 - 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74159</xdr:colOff>
      <xdr:row>0</xdr:row>
      <xdr:rowOff>46039</xdr:rowOff>
    </xdr:from>
    <xdr:to>
      <xdr:col>5</xdr:col>
      <xdr:colOff>222250</xdr:colOff>
      <xdr:row>0</xdr:row>
      <xdr:rowOff>635001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176E7-1CF7-44BE-8A4D-C9908B18AC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0209" y="46039"/>
          <a:ext cx="757691" cy="588962"/>
        </a:xfrm>
        <a:prstGeom prst="rect">
          <a:avLst/>
        </a:prstGeom>
        <a:noFill/>
      </xdr:spPr>
    </xdr:pic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4324ABF-EFC8-4A4A-8375-3D2D33AF9106}"/>
            </a:ext>
          </a:extLst>
        </xdr:cNvPr>
        <xdr:cNvSpPr txBox="1"/>
      </xdr:nvSpPr>
      <xdr:spPr>
        <a:xfrm>
          <a:off x="654051" y="1682751"/>
          <a:ext cx="8508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NURSE</a:t>
          </a:r>
          <a:r>
            <a:rPr lang="en-US" sz="1100" baseline="0"/>
            <a:t> 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685C05B-FC55-410F-8817-05FA62E94058}"/>
            </a:ext>
          </a:extLst>
        </xdr:cNvPr>
        <xdr:cNvSpPr txBox="1"/>
      </xdr:nvSpPr>
      <xdr:spPr>
        <a:xfrm>
          <a:off x="38732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</a:p>
      </xdr:txBody>
    </xdr:sp>
    <xdr:clientData/>
  </xdr:twoCellAnchor>
  <xdr:twoCellAnchor>
    <xdr:from>
      <xdr:col>0</xdr:col>
      <xdr:colOff>562183</xdr:colOff>
      <xdr:row>4</xdr:row>
      <xdr:rowOff>148618</xdr:rowOff>
    </xdr:from>
    <xdr:to>
      <xdr:col>1</xdr:col>
      <xdr:colOff>1065797</xdr:colOff>
      <xdr:row>6</xdr:row>
      <xdr:rowOff>93215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98E54E8-8D65-420B-BE0F-034DD7E8E627}"/>
            </a:ext>
          </a:extLst>
        </xdr:cNvPr>
        <xdr:cNvSpPr txBox="1"/>
      </xdr:nvSpPr>
      <xdr:spPr>
        <a:xfrm>
          <a:off x="562183" y="1355118"/>
          <a:ext cx="2008564" cy="2493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FLORES, CHARISE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196850</xdr:colOff>
      <xdr:row>0</xdr:row>
      <xdr:rowOff>31749</xdr:rowOff>
    </xdr:from>
    <xdr:to>
      <xdr:col>4</xdr:col>
      <xdr:colOff>197583</xdr:colOff>
      <xdr:row>1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2362BD-AA56-4F97-8CCB-9F4B6B22220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7375" y="31749"/>
          <a:ext cx="772258" cy="64770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9A60A-EDFD-431A-B629-F037737C04CA}"/>
            </a:ext>
          </a:extLst>
        </xdr:cNvPr>
        <xdr:cNvSpPr txBox="1"/>
      </xdr:nvSpPr>
      <xdr:spPr>
        <a:xfrm>
          <a:off x="573942" y="137111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FLORES, CHARISE B.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C54124-5569-4F47-86D6-1EC49A504FC7}"/>
            </a:ext>
          </a:extLst>
        </xdr:cNvPr>
        <xdr:cNvSpPr txBox="1"/>
      </xdr:nvSpPr>
      <xdr:spPr>
        <a:xfrm>
          <a:off x="616683" y="1718407"/>
          <a:ext cx="20087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NURSE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F732E81-90A6-4FBF-84DA-295C0900A97D}"/>
            </a:ext>
          </a:extLst>
        </xdr:cNvPr>
        <xdr:cNvSpPr txBox="1"/>
      </xdr:nvSpPr>
      <xdr:spPr>
        <a:xfrm>
          <a:off x="3844193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 - 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dimension ref="A1:J122"/>
  <sheetViews>
    <sheetView tabSelected="1" view="pageBreakPreview" topLeftCell="A88" zoomScaleNormal="100" zoomScaleSheetLayoutView="100" workbookViewId="0">
      <selection activeCell="F109" sqref="F109"/>
    </sheetView>
  </sheetViews>
  <sheetFormatPr defaultRowHeight="15" x14ac:dyDescent="0.25"/>
  <cols>
    <col min="1" max="1" width="31.28515625" customWidth="1"/>
    <col min="2" max="10" width="11.5703125" customWidth="1"/>
  </cols>
  <sheetData>
    <row r="1" spans="1:10" s="1" customFormat="1" ht="52.5" customHeight="1" x14ac:dyDescent="0.25"/>
    <row r="2" spans="1:10" s="1" customFormat="1" ht="10.5" customHeight="1" x14ac:dyDescent="0.25">
      <c r="A2" s="60" t="s">
        <v>38</v>
      </c>
      <c r="B2" s="60"/>
      <c r="C2" s="60"/>
      <c r="D2" s="60"/>
      <c r="E2" s="60"/>
      <c r="F2" s="60"/>
      <c r="G2" s="60"/>
      <c r="H2" s="60"/>
      <c r="I2" s="60"/>
      <c r="J2" s="60"/>
    </row>
    <row r="3" spans="1:10" s="1" customFormat="1" ht="15.95" customHeight="1" x14ac:dyDescent="0.25">
      <c r="A3" s="60" t="s">
        <v>39</v>
      </c>
      <c r="B3" s="60"/>
      <c r="C3" s="60"/>
      <c r="D3" s="60"/>
      <c r="E3" s="60"/>
      <c r="F3" s="60"/>
      <c r="G3" s="60"/>
      <c r="H3" s="60"/>
      <c r="I3" s="60"/>
      <c r="J3" s="60"/>
    </row>
    <row r="4" spans="1:10" s="1" customFormat="1" ht="15.95" customHeight="1" x14ac:dyDescent="0.25">
      <c r="A4" s="60" t="s">
        <v>163</v>
      </c>
      <c r="B4" s="60"/>
      <c r="C4" s="60"/>
      <c r="D4" s="60"/>
      <c r="E4" s="60"/>
      <c r="F4" s="60"/>
      <c r="G4" s="60"/>
      <c r="H4" s="60"/>
      <c r="I4" s="60"/>
      <c r="J4" s="60"/>
    </row>
    <row r="5" spans="1:10" s="1" customFormat="1" ht="15.95" customHeight="1" x14ac:dyDescent="0.25">
      <c r="A5" s="60" t="s">
        <v>41</v>
      </c>
      <c r="B5" s="60"/>
      <c r="C5" s="60"/>
      <c r="D5" s="60"/>
      <c r="E5" s="60"/>
      <c r="F5" s="60"/>
      <c r="G5" s="60"/>
      <c r="H5" s="60"/>
      <c r="I5" s="60"/>
      <c r="J5" s="60"/>
    </row>
    <row r="6" spans="1:10" s="1" customFormat="1" ht="8.25" customHeight="1" x14ac:dyDescent="0.25"/>
    <row r="7" spans="1:10" s="1" customFormat="1" ht="12" customHeight="1" x14ac:dyDescent="0.25">
      <c r="A7" s="1" t="s">
        <v>42</v>
      </c>
      <c r="B7" s="61" t="s">
        <v>43</v>
      </c>
      <c r="C7" s="61"/>
      <c r="D7" s="61"/>
      <c r="H7" s="4" t="s">
        <v>9</v>
      </c>
      <c r="I7" s="13"/>
      <c r="J7" s="4"/>
    </row>
    <row r="8" spans="1:10" s="1" customFormat="1" ht="12" customHeight="1" x14ac:dyDescent="0.25">
      <c r="B8" s="3"/>
      <c r="C8" s="3"/>
      <c r="H8" s="3"/>
      <c r="I8" s="3"/>
      <c r="J8" s="3"/>
    </row>
    <row r="9" spans="1:10" s="1" customFormat="1" ht="12" customHeight="1" x14ac:dyDescent="0.25">
      <c r="A9" s="1" t="s">
        <v>44</v>
      </c>
      <c r="B9" s="61" t="s">
        <v>45</v>
      </c>
      <c r="C9" s="61"/>
      <c r="D9" s="61"/>
      <c r="H9" s="4" t="s">
        <v>10</v>
      </c>
      <c r="I9" s="5"/>
      <c r="J9" s="4"/>
    </row>
    <row r="10" spans="1:10" ht="16.5" customHeight="1" thickBot="1" x14ac:dyDescent="0.3">
      <c r="A10" s="70" t="s">
        <v>0</v>
      </c>
      <c r="B10" s="70"/>
      <c r="C10" s="70"/>
      <c r="D10" s="70"/>
      <c r="E10" s="70"/>
      <c r="F10" s="70"/>
      <c r="G10" s="70"/>
      <c r="H10" s="70"/>
      <c r="I10" s="70"/>
      <c r="J10" s="70"/>
    </row>
    <row r="11" spans="1:10" ht="18.75" customHeight="1" x14ac:dyDescent="0.25">
      <c r="A11" s="63" t="s">
        <v>4</v>
      </c>
      <c r="B11" s="71" t="s">
        <v>5</v>
      </c>
      <c r="C11" s="71"/>
      <c r="D11" s="67" t="s">
        <v>6</v>
      </c>
      <c r="E11" s="68"/>
      <c r="F11" s="68"/>
      <c r="G11" s="69"/>
      <c r="H11" s="62" t="s">
        <v>7</v>
      </c>
      <c r="I11" s="62"/>
      <c r="J11" s="65" t="s">
        <v>8</v>
      </c>
    </row>
    <row r="12" spans="1:10" ht="18.75" customHeight="1" x14ac:dyDescent="0.25">
      <c r="A12" s="64"/>
      <c r="B12" s="51" t="s">
        <v>1</v>
      </c>
      <c r="C12" s="51" t="s">
        <v>2</v>
      </c>
      <c r="D12" s="51" t="s">
        <v>1</v>
      </c>
      <c r="E12" s="51" t="s">
        <v>2</v>
      </c>
      <c r="F12" s="51" t="s">
        <v>3</v>
      </c>
      <c r="G12" s="51" t="s">
        <v>29</v>
      </c>
      <c r="H12" s="51" t="s">
        <v>1</v>
      </c>
      <c r="I12" s="51" t="s">
        <v>2</v>
      </c>
      <c r="J12" s="66"/>
    </row>
    <row r="13" spans="1:10" ht="14.1" customHeight="1" x14ac:dyDescent="0.25">
      <c r="A13" s="52" t="s">
        <v>46</v>
      </c>
      <c r="B13" s="2">
        <v>0.20799999999999999</v>
      </c>
      <c r="C13" s="2">
        <v>0.20799999999999999</v>
      </c>
      <c r="D13" s="2"/>
      <c r="E13" s="2"/>
      <c r="F13" s="2"/>
      <c r="G13" s="2"/>
      <c r="H13" s="2">
        <f>B13</f>
        <v>0.20799999999999999</v>
      </c>
      <c r="I13" s="2">
        <f>C13</f>
        <v>0.20799999999999999</v>
      </c>
      <c r="J13" s="2">
        <f>SUM(H13:I13)</f>
        <v>0.41599999999999998</v>
      </c>
    </row>
    <row r="14" spans="1:10" ht="14.1" customHeight="1" x14ac:dyDescent="0.25">
      <c r="A14" s="52" t="s">
        <v>47</v>
      </c>
      <c r="B14" s="2">
        <f>9*1.25</f>
        <v>11.25</v>
      </c>
      <c r="C14" s="2">
        <v>11.25</v>
      </c>
      <c r="D14" s="2"/>
      <c r="E14" s="2"/>
      <c r="F14" s="2"/>
      <c r="G14" s="2"/>
      <c r="H14" s="2">
        <f>H13-F14-D14+B14</f>
        <v>11.458</v>
      </c>
      <c r="I14" s="2">
        <f>I13-E14+C14</f>
        <v>11.458</v>
      </c>
      <c r="J14" s="2">
        <f>SUM(H14:I14)</f>
        <v>22.916</v>
      </c>
    </row>
    <row r="15" spans="1:10" ht="14.1" customHeight="1" x14ac:dyDescent="0.25">
      <c r="A15" s="52" t="s">
        <v>48</v>
      </c>
      <c r="B15" s="2"/>
      <c r="C15" s="2"/>
      <c r="D15" s="2"/>
      <c r="E15" s="2"/>
      <c r="F15" s="2">
        <v>1</v>
      </c>
      <c r="G15" s="2"/>
      <c r="H15" s="2">
        <f t="shared" ref="H15:H18" si="0">H14-F15-D15+B15</f>
        <v>10.458</v>
      </c>
      <c r="I15" s="2">
        <f t="shared" ref="I15:I18" si="1">I14-E15+C15</f>
        <v>11.458</v>
      </c>
      <c r="J15" s="2">
        <f t="shared" ref="J15:J18" si="2">SUM(H15:I15)</f>
        <v>21.916</v>
      </c>
    </row>
    <row r="16" spans="1:10" ht="14.1" customHeight="1" x14ac:dyDescent="0.25">
      <c r="A16" s="52" t="s">
        <v>49</v>
      </c>
      <c r="B16" s="2"/>
      <c r="C16" s="2"/>
      <c r="D16" s="2"/>
      <c r="E16" s="2"/>
      <c r="F16" s="2">
        <v>1</v>
      </c>
      <c r="G16" s="2"/>
      <c r="H16" s="2">
        <f t="shared" si="0"/>
        <v>9.4580000000000002</v>
      </c>
      <c r="I16" s="2">
        <f t="shared" si="1"/>
        <v>11.458</v>
      </c>
      <c r="J16" s="2">
        <f t="shared" si="2"/>
        <v>20.916</v>
      </c>
    </row>
    <row r="17" spans="1:10" ht="14.1" customHeight="1" x14ac:dyDescent="0.25">
      <c r="A17" s="52" t="s">
        <v>50</v>
      </c>
      <c r="B17" s="2"/>
      <c r="C17" s="2"/>
      <c r="D17" s="2"/>
      <c r="E17" s="2"/>
      <c r="F17" s="2">
        <v>1</v>
      </c>
      <c r="G17" s="2"/>
      <c r="H17" s="2">
        <f t="shared" si="0"/>
        <v>8.4580000000000002</v>
      </c>
      <c r="I17" s="2">
        <f t="shared" si="1"/>
        <v>11.458</v>
      </c>
      <c r="J17" s="2">
        <f t="shared" si="2"/>
        <v>19.916</v>
      </c>
    </row>
    <row r="18" spans="1:10" ht="14.1" customHeight="1" x14ac:dyDescent="0.25">
      <c r="A18" s="52" t="s">
        <v>51</v>
      </c>
      <c r="B18" s="2"/>
      <c r="C18" s="2"/>
      <c r="D18" s="2"/>
      <c r="E18" s="2"/>
      <c r="F18" s="2">
        <v>1</v>
      </c>
      <c r="G18" s="2"/>
      <c r="H18" s="2">
        <f t="shared" si="0"/>
        <v>7.4580000000000002</v>
      </c>
      <c r="I18" s="2">
        <f t="shared" si="1"/>
        <v>11.458</v>
      </c>
      <c r="J18" s="2">
        <f t="shared" si="2"/>
        <v>18.916</v>
      </c>
    </row>
    <row r="19" spans="1:10" ht="14.1" customHeight="1" x14ac:dyDescent="0.25">
      <c r="A19" s="52" t="s">
        <v>114</v>
      </c>
      <c r="B19" s="2"/>
      <c r="C19" s="2"/>
      <c r="D19" s="2"/>
      <c r="E19" s="2"/>
      <c r="F19" s="2">
        <v>1</v>
      </c>
      <c r="G19" s="2"/>
      <c r="H19" s="2">
        <f t="shared" ref="H19:H39" si="3">H18-F19-D19+B19</f>
        <v>6.4580000000000002</v>
      </c>
      <c r="I19" s="2">
        <f t="shared" ref="I19:I39" si="4">I18-E19+C19</f>
        <v>11.458</v>
      </c>
      <c r="J19" s="2">
        <f t="shared" ref="J19:J39" si="5">SUM(H19:I19)</f>
        <v>17.916</v>
      </c>
    </row>
    <row r="20" spans="1:10" ht="14.1" customHeight="1" x14ac:dyDescent="0.25">
      <c r="A20" s="52" t="s">
        <v>52</v>
      </c>
      <c r="B20" s="2"/>
      <c r="C20" s="2"/>
      <c r="D20" s="2"/>
      <c r="E20" s="2">
        <v>2</v>
      </c>
      <c r="F20" s="2">
        <v>2</v>
      </c>
      <c r="G20" s="2"/>
      <c r="H20" s="2">
        <f t="shared" si="3"/>
        <v>4.4580000000000002</v>
      </c>
      <c r="I20" s="2">
        <f t="shared" si="4"/>
        <v>9.4580000000000002</v>
      </c>
      <c r="J20" s="2">
        <f t="shared" si="5"/>
        <v>13.916</v>
      </c>
    </row>
    <row r="21" spans="1:10" ht="14.1" customHeight="1" x14ac:dyDescent="0.25">
      <c r="A21" s="52" t="s">
        <v>53</v>
      </c>
      <c r="B21" s="2"/>
      <c r="C21" s="2"/>
      <c r="D21" s="2"/>
      <c r="E21" s="2"/>
      <c r="F21" s="2">
        <v>1</v>
      </c>
      <c r="G21" s="2"/>
      <c r="H21" s="2">
        <f t="shared" si="3"/>
        <v>3.4580000000000002</v>
      </c>
      <c r="I21" s="2">
        <f t="shared" si="4"/>
        <v>9.4580000000000002</v>
      </c>
      <c r="J21" s="2">
        <f t="shared" si="5"/>
        <v>12.916</v>
      </c>
    </row>
    <row r="22" spans="1:10" ht="14.1" customHeight="1" x14ac:dyDescent="0.25">
      <c r="A22" s="52" t="s">
        <v>54</v>
      </c>
      <c r="B22" s="2">
        <v>15</v>
      </c>
      <c r="C22" s="2">
        <v>15</v>
      </c>
      <c r="D22" s="2"/>
      <c r="E22" s="2"/>
      <c r="F22" s="2"/>
      <c r="G22" s="2"/>
      <c r="H22" s="2">
        <f t="shared" si="3"/>
        <v>18.457999999999998</v>
      </c>
      <c r="I22" s="2">
        <f t="shared" si="4"/>
        <v>24.457999999999998</v>
      </c>
      <c r="J22" s="2">
        <f t="shared" si="5"/>
        <v>42.915999999999997</v>
      </c>
    </row>
    <row r="23" spans="1:10" ht="14.1" customHeight="1" x14ac:dyDescent="0.25">
      <c r="A23" s="52" t="s">
        <v>55</v>
      </c>
      <c r="B23" s="2"/>
      <c r="C23" s="2"/>
      <c r="D23" s="2">
        <v>10</v>
      </c>
      <c r="E23" s="2"/>
      <c r="F23" s="2"/>
      <c r="G23" s="2"/>
      <c r="H23" s="2">
        <f t="shared" si="3"/>
        <v>8.4579999999999984</v>
      </c>
      <c r="I23" s="2">
        <f t="shared" si="4"/>
        <v>24.457999999999998</v>
      </c>
      <c r="J23" s="2">
        <f t="shared" si="5"/>
        <v>32.915999999999997</v>
      </c>
    </row>
    <row r="24" spans="1:10" ht="14.1" customHeight="1" x14ac:dyDescent="0.25">
      <c r="A24" s="52" t="s">
        <v>56</v>
      </c>
      <c r="B24" s="2"/>
      <c r="C24" s="2"/>
      <c r="D24" s="2"/>
      <c r="E24" s="2"/>
      <c r="F24" s="2">
        <v>2</v>
      </c>
      <c r="G24" s="2"/>
      <c r="H24" s="2">
        <f t="shared" si="3"/>
        <v>6.4579999999999984</v>
      </c>
      <c r="I24" s="2">
        <f t="shared" si="4"/>
        <v>24.457999999999998</v>
      </c>
      <c r="J24" s="2">
        <f t="shared" si="5"/>
        <v>30.915999999999997</v>
      </c>
    </row>
    <row r="25" spans="1:10" ht="14.1" customHeight="1" x14ac:dyDescent="0.25">
      <c r="A25" s="52" t="s">
        <v>57</v>
      </c>
      <c r="B25" s="2">
        <v>10</v>
      </c>
      <c r="C25" s="2">
        <v>10</v>
      </c>
      <c r="D25" s="2"/>
      <c r="E25" s="2"/>
      <c r="F25" s="2"/>
      <c r="G25" s="2"/>
      <c r="H25" s="2">
        <f t="shared" si="3"/>
        <v>16.457999999999998</v>
      </c>
      <c r="I25" s="2">
        <f t="shared" si="4"/>
        <v>34.457999999999998</v>
      </c>
      <c r="J25" s="2">
        <f t="shared" si="5"/>
        <v>50.915999999999997</v>
      </c>
    </row>
    <row r="26" spans="1:10" ht="14.1" customHeight="1" x14ac:dyDescent="0.25">
      <c r="A26" s="52" t="s">
        <v>58</v>
      </c>
      <c r="B26" s="2"/>
      <c r="C26" s="2"/>
      <c r="D26" s="2"/>
      <c r="E26" s="2"/>
      <c r="F26" s="2">
        <v>1</v>
      </c>
      <c r="G26" s="2"/>
      <c r="H26" s="2">
        <f t="shared" si="3"/>
        <v>15.457999999999998</v>
      </c>
      <c r="I26" s="2">
        <f t="shared" si="4"/>
        <v>34.457999999999998</v>
      </c>
      <c r="J26" s="2">
        <f t="shared" si="5"/>
        <v>49.915999999999997</v>
      </c>
    </row>
    <row r="27" spans="1:10" ht="14.1" customHeight="1" x14ac:dyDescent="0.25">
      <c r="A27" s="52" t="s">
        <v>59</v>
      </c>
      <c r="B27" s="2">
        <v>5</v>
      </c>
      <c r="C27" s="2">
        <v>5</v>
      </c>
      <c r="D27" s="2"/>
      <c r="E27" s="2"/>
      <c r="F27" s="2"/>
      <c r="G27" s="2"/>
      <c r="H27" s="2">
        <f t="shared" si="3"/>
        <v>20.457999999999998</v>
      </c>
      <c r="I27" s="2">
        <f t="shared" si="4"/>
        <v>39.457999999999998</v>
      </c>
      <c r="J27" s="2">
        <f t="shared" si="5"/>
        <v>59.915999999999997</v>
      </c>
    </row>
    <row r="28" spans="1:10" ht="14.1" customHeight="1" x14ac:dyDescent="0.25">
      <c r="A28" s="52" t="s">
        <v>60</v>
      </c>
      <c r="B28" s="2"/>
      <c r="C28" s="2"/>
      <c r="D28" s="2">
        <v>15</v>
      </c>
      <c r="E28" s="2"/>
      <c r="F28" s="2"/>
      <c r="G28" s="2"/>
      <c r="H28" s="2">
        <f t="shared" si="3"/>
        <v>5.4579999999999984</v>
      </c>
      <c r="I28" s="2">
        <f t="shared" si="4"/>
        <v>39.457999999999998</v>
      </c>
      <c r="J28" s="2">
        <f t="shared" si="5"/>
        <v>44.915999999999997</v>
      </c>
    </row>
    <row r="29" spans="1:10" ht="14.1" customHeight="1" x14ac:dyDescent="0.25">
      <c r="A29" s="52" t="s">
        <v>61</v>
      </c>
      <c r="B29" s="2"/>
      <c r="C29" s="2"/>
      <c r="D29" s="2"/>
      <c r="E29" s="2"/>
      <c r="F29" s="2">
        <v>1</v>
      </c>
      <c r="G29" s="2"/>
      <c r="H29" s="2">
        <f t="shared" si="3"/>
        <v>4.4579999999999984</v>
      </c>
      <c r="I29" s="2">
        <f t="shared" si="4"/>
        <v>39.457999999999998</v>
      </c>
      <c r="J29" s="2">
        <f t="shared" si="5"/>
        <v>43.915999999999997</v>
      </c>
    </row>
    <row r="30" spans="1:10" ht="14.1" customHeight="1" x14ac:dyDescent="0.25">
      <c r="A30" s="52" t="s">
        <v>62</v>
      </c>
      <c r="B30" s="2"/>
      <c r="C30" s="2"/>
      <c r="D30" s="2"/>
      <c r="E30" s="2"/>
      <c r="F30" s="2">
        <v>3</v>
      </c>
      <c r="G30" s="2"/>
      <c r="H30" s="2">
        <f t="shared" si="3"/>
        <v>1.4579999999999984</v>
      </c>
      <c r="I30" s="2">
        <f t="shared" si="4"/>
        <v>39.457999999999998</v>
      </c>
      <c r="J30" s="2">
        <f t="shared" si="5"/>
        <v>40.915999999999997</v>
      </c>
    </row>
    <row r="31" spans="1:10" ht="14.1" customHeight="1" x14ac:dyDescent="0.25">
      <c r="A31" s="53" t="s">
        <v>159</v>
      </c>
      <c r="B31" s="2"/>
      <c r="C31" s="2"/>
      <c r="D31" s="2"/>
      <c r="E31" s="2">
        <v>2</v>
      </c>
      <c r="F31" s="2"/>
      <c r="G31" s="2"/>
      <c r="H31" s="2">
        <f t="shared" si="3"/>
        <v>1.4579999999999984</v>
      </c>
      <c r="I31" s="2">
        <f t="shared" si="4"/>
        <v>37.457999999999998</v>
      </c>
      <c r="J31" s="2">
        <f t="shared" si="5"/>
        <v>38.915999999999997</v>
      </c>
    </row>
    <row r="32" spans="1:10" ht="14.1" customHeight="1" x14ac:dyDescent="0.25">
      <c r="A32" s="52" t="s">
        <v>12</v>
      </c>
      <c r="B32" s="2">
        <v>2.5</v>
      </c>
      <c r="C32" s="2">
        <v>2.5</v>
      </c>
      <c r="D32" s="2"/>
      <c r="E32" s="2"/>
      <c r="F32" s="2"/>
      <c r="G32" s="2"/>
      <c r="H32" s="2">
        <f t="shared" si="3"/>
        <v>3.9579999999999984</v>
      </c>
      <c r="I32" s="2">
        <f t="shared" si="4"/>
        <v>39.957999999999998</v>
      </c>
      <c r="J32" s="2">
        <f t="shared" si="5"/>
        <v>43.915999999999997</v>
      </c>
    </row>
    <row r="33" spans="1:10" ht="14.1" customHeight="1" x14ac:dyDescent="0.25">
      <c r="A33" s="52" t="s">
        <v>13</v>
      </c>
      <c r="B33" s="2"/>
      <c r="C33" s="2"/>
      <c r="D33" s="2"/>
      <c r="E33" s="2"/>
      <c r="F33" s="2">
        <v>1</v>
      </c>
      <c r="G33" s="2"/>
      <c r="H33" s="2">
        <f t="shared" si="3"/>
        <v>2.9579999999999984</v>
      </c>
      <c r="I33" s="2">
        <f t="shared" si="4"/>
        <v>39.957999999999998</v>
      </c>
      <c r="J33" s="2">
        <f t="shared" si="5"/>
        <v>42.915999999999997</v>
      </c>
    </row>
    <row r="34" spans="1:10" ht="14.1" customHeight="1" x14ac:dyDescent="0.25">
      <c r="A34" s="53" t="s">
        <v>14</v>
      </c>
      <c r="B34" s="2"/>
      <c r="C34" s="2"/>
      <c r="D34" s="2"/>
      <c r="E34" s="2"/>
      <c r="F34" s="2">
        <v>1</v>
      </c>
      <c r="G34" s="2"/>
      <c r="H34" s="2">
        <f t="shared" si="3"/>
        <v>1.9579999999999984</v>
      </c>
      <c r="I34" s="2">
        <f t="shared" si="4"/>
        <v>39.957999999999998</v>
      </c>
      <c r="J34" s="2">
        <f t="shared" si="5"/>
        <v>41.915999999999997</v>
      </c>
    </row>
    <row r="35" spans="1:10" ht="14.1" customHeight="1" x14ac:dyDescent="0.25">
      <c r="A35" s="52" t="s">
        <v>15</v>
      </c>
      <c r="B35" s="2">
        <v>1.25</v>
      </c>
      <c r="C35" s="2">
        <v>1.25</v>
      </c>
      <c r="D35" s="2"/>
      <c r="E35" s="2"/>
      <c r="F35" s="2"/>
      <c r="G35" s="2"/>
      <c r="H35" s="2">
        <f t="shared" si="3"/>
        <v>3.2079999999999984</v>
      </c>
      <c r="I35" s="2">
        <f t="shared" si="4"/>
        <v>41.207999999999998</v>
      </c>
      <c r="J35" s="2">
        <f t="shared" si="5"/>
        <v>44.415999999999997</v>
      </c>
    </row>
    <row r="36" spans="1:10" ht="14.1" customHeight="1" x14ac:dyDescent="0.25">
      <c r="A36" s="52" t="s">
        <v>16</v>
      </c>
      <c r="B36" s="2"/>
      <c r="C36" s="2"/>
      <c r="D36" s="2"/>
      <c r="E36" s="2">
        <v>2</v>
      </c>
      <c r="F36" s="2"/>
      <c r="G36" s="2"/>
      <c r="H36" s="2">
        <f t="shared" si="3"/>
        <v>3.2079999999999984</v>
      </c>
      <c r="I36" s="2">
        <f t="shared" si="4"/>
        <v>39.207999999999998</v>
      </c>
      <c r="J36" s="2">
        <f t="shared" si="5"/>
        <v>42.415999999999997</v>
      </c>
    </row>
    <row r="37" spans="1:10" ht="14.1" customHeight="1" x14ac:dyDescent="0.25">
      <c r="A37" s="52" t="s">
        <v>17</v>
      </c>
      <c r="B37" s="2"/>
      <c r="C37" s="2"/>
      <c r="D37" s="2"/>
      <c r="E37" s="2">
        <v>3</v>
      </c>
      <c r="F37" s="2"/>
      <c r="G37" s="2"/>
      <c r="H37" s="2">
        <f t="shared" si="3"/>
        <v>3.2079999999999984</v>
      </c>
      <c r="I37" s="2">
        <f t="shared" si="4"/>
        <v>36.207999999999998</v>
      </c>
      <c r="J37" s="2">
        <f t="shared" si="5"/>
        <v>39.415999999999997</v>
      </c>
    </row>
    <row r="38" spans="1:10" ht="14.1" customHeight="1" x14ac:dyDescent="0.25">
      <c r="A38" s="52" t="s">
        <v>18</v>
      </c>
      <c r="B38" s="2">
        <v>1.25</v>
      </c>
      <c r="C38" s="2">
        <v>1.25</v>
      </c>
      <c r="D38" s="2"/>
      <c r="E38" s="2"/>
      <c r="F38" s="2"/>
      <c r="G38" s="2"/>
      <c r="H38" s="2">
        <f t="shared" si="3"/>
        <v>4.4579999999999984</v>
      </c>
      <c r="I38" s="2">
        <f t="shared" si="4"/>
        <v>37.457999999999998</v>
      </c>
      <c r="J38" s="2">
        <f t="shared" si="5"/>
        <v>41.915999999999997</v>
      </c>
    </row>
    <row r="39" spans="1:10" ht="14.1" customHeight="1" x14ac:dyDescent="0.25">
      <c r="A39" s="52" t="s">
        <v>19</v>
      </c>
      <c r="B39" s="2"/>
      <c r="C39" s="2"/>
      <c r="D39" s="2"/>
      <c r="E39" s="2"/>
      <c r="F39" s="2">
        <v>1</v>
      </c>
      <c r="G39" s="2"/>
      <c r="H39" s="2">
        <f t="shared" si="3"/>
        <v>3.4579999999999984</v>
      </c>
      <c r="I39" s="2">
        <f t="shared" si="4"/>
        <v>37.457999999999998</v>
      </c>
      <c r="J39" s="2">
        <f t="shared" si="5"/>
        <v>40.915999999999997</v>
      </c>
    </row>
    <row r="40" spans="1:10" ht="14.1" customHeight="1" x14ac:dyDescent="0.25">
      <c r="A40" s="52" t="s">
        <v>20</v>
      </c>
      <c r="B40" s="2">
        <v>2.5</v>
      </c>
      <c r="C40" s="2">
        <v>2.5</v>
      </c>
      <c r="D40" s="2"/>
      <c r="E40" s="2"/>
      <c r="F40" s="2"/>
      <c r="G40" s="2"/>
      <c r="H40" s="2">
        <f t="shared" ref="H40:H60" si="6">H39-F40-D40+B40</f>
        <v>5.9579999999999984</v>
      </c>
      <c r="I40" s="2">
        <f t="shared" ref="I40:I60" si="7">I39-E40+C40</f>
        <v>39.957999999999998</v>
      </c>
      <c r="J40" s="2">
        <f t="shared" ref="J40:J60" si="8">SUM(H40:I40)</f>
        <v>45.915999999999997</v>
      </c>
    </row>
    <row r="41" spans="1:10" ht="14.1" customHeight="1" x14ac:dyDescent="0.25">
      <c r="A41" s="52" t="s">
        <v>21</v>
      </c>
      <c r="B41" s="2"/>
      <c r="C41" s="2"/>
      <c r="D41" s="2"/>
      <c r="E41" s="2">
        <v>1</v>
      </c>
      <c r="F41" s="2"/>
      <c r="G41" s="2"/>
      <c r="H41" s="2">
        <f t="shared" si="6"/>
        <v>5.9579999999999984</v>
      </c>
      <c r="I41" s="2">
        <f t="shared" si="7"/>
        <v>38.957999999999998</v>
      </c>
      <c r="J41" s="2">
        <f t="shared" si="8"/>
        <v>44.915999999999997</v>
      </c>
    </row>
    <row r="42" spans="1:10" ht="14.1" customHeight="1" x14ac:dyDescent="0.25">
      <c r="A42" s="52" t="s">
        <v>22</v>
      </c>
      <c r="B42" s="2"/>
      <c r="C42" s="2"/>
      <c r="D42" s="2"/>
      <c r="E42" s="2"/>
      <c r="F42" s="2">
        <v>1</v>
      </c>
      <c r="G42" s="2"/>
      <c r="H42" s="2">
        <f t="shared" si="6"/>
        <v>4.9579999999999984</v>
      </c>
      <c r="I42" s="2">
        <f t="shared" si="7"/>
        <v>38.957999999999998</v>
      </c>
      <c r="J42" s="2">
        <f t="shared" si="8"/>
        <v>43.915999999999997</v>
      </c>
    </row>
    <row r="43" spans="1:10" ht="14.1" customHeight="1" x14ac:dyDescent="0.25">
      <c r="A43" s="52" t="s">
        <v>23</v>
      </c>
      <c r="B43" s="2"/>
      <c r="C43" s="2"/>
      <c r="D43" s="2"/>
      <c r="E43" s="2">
        <v>1</v>
      </c>
      <c r="F43" s="2"/>
      <c r="G43" s="2"/>
      <c r="H43" s="2">
        <f t="shared" si="6"/>
        <v>4.9579999999999984</v>
      </c>
      <c r="I43" s="2">
        <f t="shared" si="7"/>
        <v>37.957999999999998</v>
      </c>
      <c r="J43" s="2">
        <f t="shared" si="8"/>
        <v>42.915999999999997</v>
      </c>
    </row>
    <row r="44" spans="1:10" ht="14.1" customHeight="1" x14ac:dyDescent="0.25">
      <c r="A44" s="52" t="s">
        <v>24</v>
      </c>
      <c r="B44" s="2">
        <v>2.5</v>
      </c>
      <c r="C44" s="2">
        <v>2.5</v>
      </c>
      <c r="D44" s="2"/>
      <c r="E44" s="2"/>
      <c r="F44" s="2"/>
      <c r="G44" s="2"/>
      <c r="H44" s="2">
        <f t="shared" si="6"/>
        <v>7.4579999999999984</v>
      </c>
      <c r="I44" s="2">
        <f t="shared" si="7"/>
        <v>40.457999999999998</v>
      </c>
      <c r="J44" s="2">
        <f t="shared" si="8"/>
        <v>47.915999999999997</v>
      </c>
    </row>
    <row r="45" spans="1:10" ht="14.1" customHeight="1" x14ac:dyDescent="0.25">
      <c r="A45" s="52" t="s">
        <v>26</v>
      </c>
      <c r="B45" s="2"/>
      <c r="C45" s="2"/>
      <c r="D45" s="2"/>
      <c r="E45" s="2">
        <v>1</v>
      </c>
      <c r="F45" s="2"/>
      <c r="G45" s="2"/>
      <c r="H45" s="2">
        <f t="shared" si="6"/>
        <v>7.4579999999999984</v>
      </c>
      <c r="I45" s="2">
        <f t="shared" si="7"/>
        <v>39.457999999999998</v>
      </c>
      <c r="J45" s="2">
        <f t="shared" si="8"/>
        <v>46.915999999999997</v>
      </c>
    </row>
    <row r="46" spans="1:10" ht="14.1" customHeight="1" x14ac:dyDescent="0.25">
      <c r="A46" s="52" t="s">
        <v>25</v>
      </c>
      <c r="B46" s="2"/>
      <c r="C46" s="2"/>
      <c r="D46" s="2">
        <v>7</v>
      </c>
      <c r="E46" s="2">
        <v>22</v>
      </c>
      <c r="F46" s="2"/>
      <c r="G46" s="2"/>
      <c r="H46" s="2">
        <f t="shared" si="6"/>
        <v>0.45799999999999841</v>
      </c>
      <c r="I46" s="2">
        <f t="shared" si="7"/>
        <v>17.457999999999998</v>
      </c>
      <c r="J46" s="2">
        <f t="shared" si="8"/>
        <v>17.915999999999997</v>
      </c>
    </row>
    <row r="47" spans="1:10" ht="14.1" customHeight="1" x14ac:dyDescent="0.25">
      <c r="A47" s="52" t="s">
        <v>27</v>
      </c>
      <c r="B47" s="2">
        <v>2.5</v>
      </c>
      <c r="C47" s="2">
        <v>2.5</v>
      </c>
      <c r="D47" s="2"/>
      <c r="E47" s="2"/>
      <c r="F47" s="2"/>
      <c r="G47" s="2"/>
      <c r="H47" s="2">
        <f t="shared" si="6"/>
        <v>2.9579999999999984</v>
      </c>
      <c r="I47" s="2">
        <f t="shared" si="7"/>
        <v>19.957999999999998</v>
      </c>
      <c r="J47" s="2">
        <f t="shared" si="8"/>
        <v>22.915999999999997</v>
      </c>
    </row>
    <row r="48" spans="1:10" ht="14.1" customHeight="1" x14ac:dyDescent="0.25">
      <c r="A48" s="52" t="s">
        <v>28</v>
      </c>
      <c r="B48" s="2"/>
      <c r="C48" s="2"/>
      <c r="D48" s="2"/>
      <c r="E48" s="2"/>
      <c r="F48" s="2"/>
      <c r="G48" s="2">
        <v>1</v>
      </c>
      <c r="H48" s="2">
        <f t="shared" si="6"/>
        <v>2.9579999999999984</v>
      </c>
      <c r="I48" s="2">
        <f t="shared" si="7"/>
        <v>19.957999999999998</v>
      </c>
      <c r="J48" s="2">
        <f t="shared" si="8"/>
        <v>22.915999999999997</v>
      </c>
    </row>
    <row r="49" spans="1:10" ht="14.1" customHeight="1" x14ac:dyDescent="0.25">
      <c r="A49" s="52" t="s">
        <v>30</v>
      </c>
      <c r="B49" s="2">
        <v>1.25</v>
      </c>
      <c r="C49" s="2">
        <v>1.25</v>
      </c>
      <c r="D49" s="2"/>
      <c r="E49" s="2"/>
      <c r="F49" s="2"/>
      <c r="G49" s="2"/>
      <c r="H49" s="2">
        <f t="shared" si="6"/>
        <v>4.2079999999999984</v>
      </c>
      <c r="I49" s="2">
        <f t="shared" si="7"/>
        <v>21.207999999999998</v>
      </c>
      <c r="J49" s="2">
        <f t="shared" si="8"/>
        <v>25.415999999999997</v>
      </c>
    </row>
    <row r="50" spans="1:10" ht="14.1" customHeight="1" x14ac:dyDescent="0.25">
      <c r="A50" s="52" t="s">
        <v>31</v>
      </c>
      <c r="B50" s="17"/>
      <c r="C50" s="17"/>
      <c r="D50" s="17"/>
      <c r="E50" s="17"/>
      <c r="F50" s="17">
        <v>1</v>
      </c>
      <c r="G50" s="17"/>
      <c r="H50" s="2">
        <f t="shared" si="6"/>
        <v>3.2079999999999984</v>
      </c>
      <c r="I50" s="2">
        <f t="shared" si="7"/>
        <v>21.207999999999998</v>
      </c>
      <c r="J50" s="2">
        <f t="shared" si="8"/>
        <v>24.415999999999997</v>
      </c>
    </row>
    <row r="51" spans="1:10" ht="14.1" customHeight="1" x14ac:dyDescent="0.25">
      <c r="A51" s="52" t="s">
        <v>32</v>
      </c>
      <c r="B51" s="17">
        <v>1.25</v>
      </c>
      <c r="C51" s="17">
        <v>1.25</v>
      </c>
      <c r="D51" s="17"/>
      <c r="E51" s="17"/>
      <c r="F51" s="17"/>
      <c r="G51" s="17"/>
      <c r="H51" s="2">
        <f t="shared" si="6"/>
        <v>4.4579999999999984</v>
      </c>
      <c r="I51" s="2">
        <f t="shared" si="7"/>
        <v>22.457999999999998</v>
      </c>
      <c r="J51" s="2">
        <f t="shared" si="8"/>
        <v>26.915999999999997</v>
      </c>
    </row>
    <row r="52" spans="1:10" ht="14.1" customHeight="1" x14ac:dyDescent="0.25">
      <c r="A52" s="52" t="s">
        <v>33</v>
      </c>
      <c r="B52" s="17"/>
      <c r="C52" s="17"/>
      <c r="D52" s="17"/>
      <c r="E52" s="17"/>
      <c r="F52" s="17">
        <v>1</v>
      </c>
      <c r="G52" s="17"/>
      <c r="H52" s="2">
        <f t="shared" si="6"/>
        <v>3.4579999999999984</v>
      </c>
      <c r="I52" s="2">
        <f t="shared" si="7"/>
        <v>22.457999999999998</v>
      </c>
      <c r="J52" s="2">
        <f t="shared" si="8"/>
        <v>25.915999999999997</v>
      </c>
    </row>
    <row r="53" spans="1:10" ht="14.1" customHeight="1" x14ac:dyDescent="0.25">
      <c r="A53" s="54" t="s">
        <v>34</v>
      </c>
      <c r="B53" s="18"/>
      <c r="C53" s="18"/>
      <c r="D53" s="18"/>
      <c r="E53" s="18"/>
      <c r="F53" s="18"/>
      <c r="G53" s="19">
        <v>1</v>
      </c>
      <c r="H53" s="2">
        <f t="shared" si="6"/>
        <v>3.4579999999999984</v>
      </c>
      <c r="I53" s="2">
        <f t="shared" si="7"/>
        <v>22.457999999999998</v>
      </c>
      <c r="J53" s="2">
        <f t="shared" si="8"/>
        <v>25.915999999999997</v>
      </c>
    </row>
    <row r="54" spans="1:10" ht="14.1" customHeight="1" x14ac:dyDescent="0.25">
      <c r="A54" s="52" t="s">
        <v>35</v>
      </c>
      <c r="B54" s="18">
        <v>2.5</v>
      </c>
      <c r="C54" s="18">
        <v>2.5</v>
      </c>
      <c r="D54" s="18"/>
      <c r="E54" s="18"/>
      <c r="F54" s="18"/>
      <c r="G54" s="18"/>
      <c r="H54" s="2">
        <f t="shared" si="6"/>
        <v>5.9579999999999984</v>
      </c>
      <c r="I54" s="2">
        <f t="shared" si="7"/>
        <v>24.957999999999998</v>
      </c>
      <c r="J54" s="2">
        <f t="shared" si="8"/>
        <v>30.915999999999997</v>
      </c>
    </row>
    <row r="55" spans="1:10" ht="14.1" customHeight="1" x14ac:dyDescent="0.25">
      <c r="A55" s="54" t="s">
        <v>36</v>
      </c>
      <c r="B55" s="18"/>
      <c r="C55" s="18"/>
      <c r="D55" s="18"/>
      <c r="E55" s="18"/>
      <c r="F55" s="19">
        <v>1</v>
      </c>
      <c r="G55" s="19"/>
      <c r="H55" s="2">
        <f t="shared" si="6"/>
        <v>4.9579999999999984</v>
      </c>
      <c r="I55" s="2">
        <f t="shared" si="7"/>
        <v>24.957999999999998</v>
      </c>
      <c r="J55" s="2">
        <f t="shared" si="8"/>
        <v>29.915999999999997</v>
      </c>
    </row>
    <row r="56" spans="1:10" ht="14.1" customHeight="1" x14ac:dyDescent="0.25">
      <c r="A56" s="54" t="s">
        <v>37</v>
      </c>
      <c r="B56" s="18"/>
      <c r="C56" s="18"/>
      <c r="D56" s="18"/>
      <c r="E56" s="18"/>
      <c r="F56" s="19">
        <v>1</v>
      </c>
      <c r="G56" s="19"/>
      <c r="H56" s="2">
        <f t="shared" si="6"/>
        <v>3.9579999999999984</v>
      </c>
      <c r="I56" s="2">
        <f t="shared" si="7"/>
        <v>24.957999999999998</v>
      </c>
      <c r="J56" s="2">
        <f t="shared" si="8"/>
        <v>28.915999999999997</v>
      </c>
    </row>
    <row r="57" spans="1:10" ht="14.1" customHeight="1" x14ac:dyDescent="0.25">
      <c r="A57" s="52" t="s">
        <v>63</v>
      </c>
      <c r="B57" s="17">
        <v>2.5</v>
      </c>
      <c r="C57" s="17">
        <v>2.5</v>
      </c>
      <c r="D57" s="18"/>
      <c r="E57" s="18"/>
      <c r="F57" s="18"/>
      <c r="G57" s="18"/>
      <c r="H57" s="2">
        <f t="shared" si="6"/>
        <v>6.4579999999999984</v>
      </c>
      <c r="I57" s="2">
        <f t="shared" si="7"/>
        <v>27.457999999999998</v>
      </c>
      <c r="J57" s="2">
        <f t="shared" si="8"/>
        <v>33.915999999999997</v>
      </c>
    </row>
    <row r="58" spans="1:10" s="21" customFormat="1" ht="14.1" customHeight="1" x14ac:dyDescent="0.25">
      <c r="A58" s="52" t="s">
        <v>64</v>
      </c>
      <c r="B58" s="52"/>
      <c r="C58" s="52"/>
      <c r="D58" s="52"/>
      <c r="E58" s="52"/>
      <c r="F58" s="52"/>
      <c r="G58" s="19">
        <v>1</v>
      </c>
      <c r="H58" s="2">
        <f t="shared" si="6"/>
        <v>6.4579999999999984</v>
      </c>
      <c r="I58" s="2">
        <f t="shared" si="7"/>
        <v>27.457999999999998</v>
      </c>
      <c r="J58" s="2">
        <f t="shared" si="8"/>
        <v>33.915999999999997</v>
      </c>
    </row>
    <row r="59" spans="1:10" s="21" customFormat="1" ht="14.1" customHeight="1" x14ac:dyDescent="0.25">
      <c r="A59" s="52" t="s">
        <v>129</v>
      </c>
      <c r="B59" s="52"/>
      <c r="C59" s="52"/>
      <c r="D59" s="52"/>
      <c r="E59" s="52"/>
      <c r="F59" s="19">
        <v>2</v>
      </c>
      <c r="G59" s="52"/>
      <c r="H59" s="2">
        <f t="shared" si="6"/>
        <v>4.4579999999999984</v>
      </c>
      <c r="I59" s="2">
        <f t="shared" si="7"/>
        <v>27.457999999999998</v>
      </c>
      <c r="J59" s="2">
        <f t="shared" si="8"/>
        <v>31.915999999999997</v>
      </c>
    </row>
    <row r="60" spans="1:10" s="21" customFormat="1" ht="14.1" customHeight="1" x14ac:dyDescent="0.25">
      <c r="A60" s="52" t="s">
        <v>80</v>
      </c>
      <c r="B60" s="17">
        <v>2.5</v>
      </c>
      <c r="C60" s="17">
        <v>2.5</v>
      </c>
      <c r="D60" s="52"/>
      <c r="E60" s="52"/>
      <c r="F60" s="52"/>
      <c r="G60" s="52"/>
      <c r="H60" s="2">
        <f t="shared" si="6"/>
        <v>6.9579999999999984</v>
      </c>
      <c r="I60" s="2">
        <f t="shared" si="7"/>
        <v>29.957999999999998</v>
      </c>
      <c r="J60" s="2">
        <f t="shared" si="8"/>
        <v>36.915999999999997</v>
      </c>
    </row>
    <row r="61" spans="1:10" ht="14.1" customHeight="1" x14ac:dyDescent="0.25">
      <c r="A61" s="52" t="s">
        <v>82</v>
      </c>
      <c r="B61" s="55"/>
      <c r="C61" s="55"/>
      <c r="D61" s="55"/>
      <c r="E61" s="55"/>
      <c r="F61" s="55"/>
      <c r="G61" s="19">
        <v>1</v>
      </c>
      <c r="H61" s="2">
        <f t="shared" ref="H61:H91" si="9">H60-F61-D61+B61</f>
        <v>6.9579999999999984</v>
      </c>
      <c r="I61" s="2">
        <f t="shared" ref="I61:I91" si="10">I60-E61+C61</f>
        <v>29.957999999999998</v>
      </c>
      <c r="J61" s="2">
        <f t="shared" ref="J61:J91" si="11">SUM(H61:I61)</f>
        <v>36.915999999999997</v>
      </c>
    </row>
    <row r="62" spans="1:10" ht="14.1" customHeight="1" x14ac:dyDescent="0.25">
      <c r="A62" s="52" t="s">
        <v>83</v>
      </c>
      <c r="B62" s="55"/>
      <c r="C62" s="55"/>
      <c r="D62" s="55"/>
      <c r="E62" s="19">
        <v>1</v>
      </c>
      <c r="F62" s="55"/>
      <c r="G62" s="55"/>
      <c r="H62" s="2">
        <f t="shared" si="9"/>
        <v>6.9579999999999984</v>
      </c>
      <c r="I62" s="2">
        <f t="shared" si="10"/>
        <v>28.957999999999998</v>
      </c>
      <c r="J62" s="2">
        <f t="shared" si="11"/>
        <v>35.915999999999997</v>
      </c>
    </row>
    <row r="63" spans="1:10" ht="14.1" customHeight="1" x14ac:dyDescent="0.25">
      <c r="A63" s="52" t="s">
        <v>84</v>
      </c>
      <c r="B63" s="17">
        <v>2.5</v>
      </c>
      <c r="C63" s="17">
        <v>2.5</v>
      </c>
      <c r="D63" s="55"/>
      <c r="E63" s="55"/>
      <c r="F63" s="55"/>
      <c r="G63" s="55"/>
      <c r="H63" s="2">
        <f t="shared" si="9"/>
        <v>9.4579999999999984</v>
      </c>
      <c r="I63" s="2">
        <f t="shared" si="10"/>
        <v>31.457999999999998</v>
      </c>
      <c r="J63" s="2">
        <f t="shared" si="11"/>
        <v>40.915999999999997</v>
      </c>
    </row>
    <row r="64" spans="1:10" ht="14.1" customHeight="1" x14ac:dyDescent="0.25">
      <c r="A64" s="52" t="s">
        <v>85</v>
      </c>
      <c r="B64" s="55"/>
      <c r="C64" s="55"/>
      <c r="D64" s="55"/>
      <c r="E64" s="55"/>
      <c r="F64" s="55"/>
      <c r="G64" s="19">
        <v>1</v>
      </c>
      <c r="H64" s="2">
        <f t="shared" si="9"/>
        <v>9.4579999999999984</v>
      </c>
      <c r="I64" s="2">
        <f t="shared" si="10"/>
        <v>31.457999999999998</v>
      </c>
      <c r="J64" s="2">
        <f t="shared" si="11"/>
        <v>40.915999999999997</v>
      </c>
    </row>
    <row r="65" spans="1:10" ht="14.1" customHeight="1" x14ac:dyDescent="0.25">
      <c r="A65" s="52" t="s">
        <v>86</v>
      </c>
      <c r="B65" s="55"/>
      <c r="C65" s="55"/>
      <c r="D65" s="55"/>
      <c r="E65" s="19">
        <v>1</v>
      </c>
      <c r="F65" s="55"/>
      <c r="G65" s="55"/>
      <c r="H65" s="2">
        <f t="shared" si="9"/>
        <v>9.4579999999999984</v>
      </c>
      <c r="I65" s="2">
        <f t="shared" si="10"/>
        <v>30.457999999999998</v>
      </c>
      <c r="J65" s="2">
        <f t="shared" si="11"/>
        <v>39.915999999999997</v>
      </c>
    </row>
    <row r="66" spans="1:10" ht="14.1" customHeight="1" x14ac:dyDescent="0.25">
      <c r="A66" s="52" t="s">
        <v>87</v>
      </c>
      <c r="B66" s="55"/>
      <c r="C66" s="55"/>
      <c r="D66" s="19">
        <v>1</v>
      </c>
      <c r="E66" s="55"/>
      <c r="F66" s="55"/>
      <c r="G66" s="55"/>
      <c r="H66" s="2">
        <f t="shared" si="9"/>
        <v>8.4579999999999984</v>
      </c>
      <c r="I66" s="2">
        <f t="shared" si="10"/>
        <v>30.457999999999998</v>
      </c>
      <c r="J66" s="2">
        <f t="shared" si="11"/>
        <v>38.915999999999997</v>
      </c>
    </row>
    <row r="67" spans="1:10" ht="15" customHeight="1" x14ac:dyDescent="0.25">
      <c r="A67" s="52" t="s">
        <v>88</v>
      </c>
      <c r="B67" s="55"/>
      <c r="C67" s="55"/>
      <c r="D67" s="19">
        <v>3</v>
      </c>
      <c r="E67" s="19">
        <v>17</v>
      </c>
      <c r="F67" s="55"/>
      <c r="G67" s="55"/>
      <c r="H67" s="2">
        <f t="shared" si="9"/>
        <v>5.4579999999999984</v>
      </c>
      <c r="I67" s="2">
        <f t="shared" si="10"/>
        <v>13.457999999999998</v>
      </c>
      <c r="J67" s="2">
        <f t="shared" si="11"/>
        <v>18.915999999999997</v>
      </c>
    </row>
    <row r="68" spans="1:10" s="21" customFormat="1" ht="15" customHeight="1" x14ac:dyDescent="0.25">
      <c r="A68" s="52" t="s">
        <v>89</v>
      </c>
      <c r="B68" s="52"/>
      <c r="C68" s="52"/>
      <c r="D68" s="52">
        <v>1</v>
      </c>
      <c r="E68" s="52"/>
      <c r="F68" s="52"/>
      <c r="G68" s="52"/>
      <c r="H68" s="2">
        <f t="shared" si="9"/>
        <v>4.4579999999999984</v>
      </c>
      <c r="I68" s="2">
        <f t="shared" si="10"/>
        <v>13.457999999999998</v>
      </c>
      <c r="J68" s="2">
        <f t="shared" si="11"/>
        <v>17.915999999999997</v>
      </c>
    </row>
    <row r="69" spans="1:10" s="21" customFormat="1" ht="15" customHeight="1" x14ac:dyDescent="0.25">
      <c r="A69" s="52" t="s">
        <v>90</v>
      </c>
      <c r="B69" s="52">
        <f>4*1.25</f>
        <v>5</v>
      </c>
      <c r="C69" s="52">
        <v>5</v>
      </c>
      <c r="D69" s="52"/>
      <c r="E69" s="52"/>
      <c r="F69" s="52"/>
      <c r="G69" s="52"/>
      <c r="H69" s="2">
        <f t="shared" si="9"/>
        <v>9.4579999999999984</v>
      </c>
      <c r="I69" s="2">
        <f t="shared" si="10"/>
        <v>18.457999999999998</v>
      </c>
      <c r="J69" s="2">
        <f t="shared" si="11"/>
        <v>27.915999999999997</v>
      </c>
    </row>
    <row r="70" spans="1:10" s="21" customFormat="1" ht="15" customHeight="1" x14ac:dyDescent="0.25">
      <c r="A70" s="52" t="s">
        <v>91</v>
      </c>
      <c r="B70" s="52"/>
      <c r="C70" s="52"/>
      <c r="D70" s="52"/>
      <c r="E70" s="52">
        <v>1</v>
      </c>
      <c r="F70" s="52"/>
      <c r="G70" s="52"/>
      <c r="H70" s="2">
        <f t="shared" si="9"/>
        <v>9.4579999999999984</v>
      </c>
      <c r="I70" s="2">
        <f t="shared" si="10"/>
        <v>17.457999999999998</v>
      </c>
      <c r="J70" s="2">
        <f t="shared" si="11"/>
        <v>26.915999999999997</v>
      </c>
    </row>
    <row r="71" spans="1:10" s="21" customFormat="1" ht="15" customHeight="1" x14ac:dyDescent="0.25">
      <c r="A71" s="52" t="s">
        <v>92</v>
      </c>
      <c r="B71" s="52">
        <v>1.25</v>
      </c>
      <c r="C71" s="52">
        <v>1.25</v>
      </c>
      <c r="D71" s="52"/>
      <c r="E71" s="52"/>
      <c r="F71" s="52"/>
      <c r="G71" s="52"/>
      <c r="H71" s="2">
        <f t="shared" si="9"/>
        <v>10.707999999999998</v>
      </c>
      <c r="I71" s="2">
        <f t="shared" si="10"/>
        <v>18.707999999999998</v>
      </c>
      <c r="J71" s="2">
        <f t="shared" si="11"/>
        <v>29.415999999999997</v>
      </c>
    </row>
    <row r="72" spans="1:10" s="21" customFormat="1" ht="15" customHeight="1" x14ac:dyDescent="0.25">
      <c r="A72" s="52" t="s">
        <v>160</v>
      </c>
      <c r="B72" s="52">
        <v>1.25</v>
      </c>
      <c r="C72" s="52">
        <v>1.25</v>
      </c>
      <c r="D72" s="52"/>
      <c r="E72" s="52"/>
      <c r="F72" s="52"/>
      <c r="G72" s="52"/>
      <c r="H72" s="2">
        <f t="shared" si="9"/>
        <v>11.957999999999998</v>
      </c>
      <c r="I72" s="2">
        <f t="shared" si="10"/>
        <v>19.957999999999998</v>
      </c>
      <c r="J72" s="2">
        <f t="shared" si="11"/>
        <v>31.915999999999997</v>
      </c>
    </row>
    <row r="73" spans="1:10" s="21" customFormat="1" ht="15" customHeight="1" x14ac:dyDescent="0.25">
      <c r="A73" s="52" t="s">
        <v>94</v>
      </c>
      <c r="B73" s="52"/>
      <c r="C73" s="52"/>
      <c r="D73" s="52"/>
      <c r="E73" s="52"/>
      <c r="F73" s="52">
        <v>1</v>
      </c>
      <c r="G73" s="52"/>
      <c r="H73" s="2">
        <f t="shared" si="9"/>
        <v>10.957999999999998</v>
      </c>
      <c r="I73" s="2">
        <f t="shared" si="10"/>
        <v>19.957999999999998</v>
      </c>
      <c r="J73" s="2">
        <f t="shared" si="11"/>
        <v>30.915999999999997</v>
      </c>
    </row>
    <row r="74" spans="1:10" s="21" customFormat="1" ht="15" customHeight="1" x14ac:dyDescent="0.25">
      <c r="A74" s="52" t="s">
        <v>95</v>
      </c>
      <c r="B74" s="52">
        <v>2.5</v>
      </c>
      <c r="C74" s="52">
        <v>2.5</v>
      </c>
      <c r="D74" s="52"/>
      <c r="E74" s="52"/>
      <c r="F74" s="52"/>
      <c r="G74" s="52"/>
      <c r="H74" s="2">
        <f t="shared" si="9"/>
        <v>13.457999999999998</v>
      </c>
      <c r="I74" s="2">
        <f t="shared" si="10"/>
        <v>22.457999999999998</v>
      </c>
      <c r="J74" s="2">
        <f t="shared" si="11"/>
        <v>35.915999999999997</v>
      </c>
    </row>
    <row r="75" spans="1:10" s="21" customFormat="1" ht="17.25" customHeight="1" x14ac:dyDescent="0.25">
      <c r="A75" s="52" t="s">
        <v>96</v>
      </c>
      <c r="B75" s="52"/>
      <c r="C75" s="52"/>
      <c r="D75" s="52"/>
      <c r="E75" s="52">
        <v>1</v>
      </c>
      <c r="F75" s="52"/>
      <c r="G75" s="52"/>
      <c r="H75" s="2">
        <f t="shared" si="9"/>
        <v>13.457999999999998</v>
      </c>
      <c r="I75" s="2">
        <f t="shared" si="10"/>
        <v>21.457999999999998</v>
      </c>
      <c r="J75" s="2">
        <f t="shared" si="11"/>
        <v>34.915999999999997</v>
      </c>
    </row>
    <row r="76" spans="1:10" s="21" customFormat="1" ht="17.25" customHeight="1" x14ac:dyDescent="0.25">
      <c r="A76" s="52" t="s">
        <v>107</v>
      </c>
      <c r="B76" s="52">
        <v>2.5</v>
      </c>
      <c r="C76" s="52">
        <v>2.5</v>
      </c>
      <c r="D76" s="52"/>
      <c r="E76" s="52"/>
      <c r="F76" s="52"/>
      <c r="G76" s="52"/>
      <c r="H76" s="2">
        <f t="shared" si="9"/>
        <v>15.957999999999998</v>
      </c>
      <c r="I76" s="2">
        <f t="shared" si="10"/>
        <v>23.957999999999998</v>
      </c>
      <c r="J76" s="2">
        <f t="shared" si="11"/>
        <v>39.915999999999997</v>
      </c>
    </row>
    <row r="77" spans="1:10" s="21" customFormat="1" ht="17.25" customHeight="1" x14ac:dyDescent="0.25">
      <c r="A77" s="52" t="s">
        <v>108</v>
      </c>
      <c r="B77" s="52"/>
      <c r="C77" s="52"/>
      <c r="D77" s="52"/>
      <c r="E77" s="52"/>
      <c r="F77" s="52"/>
      <c r="G77" s="52">
        <v>1</v>
      </c>
      <c r="H77" s="2">
        <f t="shared" si="9"/>
        <v>15.957999999999998</v>
      </c>
      <c r="I77" s="2">
        <f t="shared" si="10"/>
        <v>23.957999999999998</v>
      </c>
      <c r="J77" s="2">
        <f t="shared" si="11"/>
        <v>39.915999999999997</v>
      </c>
    </row>
    <row r="78" spans="1:10" s="21" customFormat="1" ht="17.25" customHeight="1" x14ac:dyDescent="0.25">
      <c r="A78" s="52" t="s">
        <v>110</v>
      </c>
      <c r="B78" s="52">
        <v>1.25</v>
      </c>
      <c r="C78" s="52">
        <v>1.25</v>
      </c>
      <c r="D78" s="52"/>
      <c r="E78" s="52"/>
      <c r="F78" s="52"/>
      <c r="G78" s="52"/>
      <c r="H78" s="2">
        <f t="shared" si="9"/>
        <v>17.207999999999998</v>
      </c>
      <c r="I78" s="2">
        <f t="shared" si="10"/>
        <v>25.207999999999998</v>
      </c>
      <c r="J78" s="2">
        <f t="shared" si="11"/>
        <v>42.415999999999997</v>
      </c>
    </row>
    <row r="79" spans="1:10" s="21" customFormat="1" ht="17.25" customHeight="1" x14ac:dyDescent="0.25">
      <c r="A79" s="52" t="s">
        <v>112</v>
      </c>
      <c r="B79" s="52"/>
      <c r="C79" s="52"/>
      <c r="D79" s="52">
        <v>10</v>
      </c>
      <c r="E79" s="52"/>
      <c r="F79" s="52"/>
      <c r="G79" s="52"/>
      <c r="H79" s="2">
        <f t="shared" si="9"/>
        <v>7.2079999999999984</v>
      </c>
      <c r="I79" s="2">
        <f t="shared" si="10"/>
        <v>25.207999999999998</v>
      </c>
      <c r="J79" s="2">
        <f t="shared" si="11"/>
        <v>32.415999999999997</v>
      </c>
    </row>
    <row r="80" spans="1:10" s="21" customFormat="1" ht="17.25" customHeight="1" x14ac:dyDescent="0.25">
      <c r="A80" s="52" t="s">
        <v>115</v>
      </c>
      <c r="B80" s="52">
        <v>1.25</v>
      </c>
      <c r="C80" s="52">
        <v>1.25</v>
      </c>
      <c r="D80" s="52"/>
      <c r="E80" s="52"/>
      <c r="F80" s="52"/>
      <c r="G80" s="52"/>
      <c r="H80" s="2">
        <f t="shared" si="9"/>
        <v>8.4579999999999984</v>
      </c>
      <c r="I80" s="2">
        <f t="shared" si="10"/>
        <v>26.457999999999998</v>
      </c>
      <c r="J80" s="2">
        <f t="shared" si="11"/>
        <v>34.915999999999997</v>
      </c>
    </row>
    <row r="81" spans="1:10" s="21" customFormat="1" ht="17.25" customHeight="1" x14ac:dyDescent="0.25">
      <c r="A81" s="52" t="s">
        <v>116</v>
      </c>
      <c r="B81" s="52"/>
      <c r="C81" s="52"/>
      <c r="D81" s="52"/>
      <c r="E81" s="52"/>
      <c r="F81" s="52">
        <v>1</v>
      </c>
      <c r="G81" s="52"/>
      <c r="H81" s="2">
        <f t="shared" si="9"/>
        <v>7.4579999999999984</v>
      </c>
      <c r="I81" s="2">
        <f t="shared" si="10"/>
        <v>26.457999999999998</v>
      </c>
      <c r="J81" s="2">
        <f t="shared" si="11"/>
        <v>33.915999999999997</v>
      </c>
    </row>
    <row r="82" spans="1:10" s="21" customFormat="1" ht="17.25" customHeight="1" x14ac:dyDescent="0.25">
      <c r="A82" s="52" t="s">
        <v>120</v>
      </c>
      <c r="B82" s="52">
        <v>2.5</v>
      </c>
      <c r="C82" s="52">
        <v>2.5</v>
      </c>
      <c r="D82" s="52"/>
      <c r="E82" s="52"/>
      <c r="F82" s="52"/>
      <c r="G82" s="52"/>
      <c r="H82" s="2">
        <f t="shared" si="9"/>
        <v>9.9579999999999984</v>
      </c>
      <c r="I82" s="2">
        <f t="shared" si="10"/>
        <v>28.957999999999998</v>
      </c>
      <c r="J82" s="2">
        <f t="shared" si="11"/>
        <v>38.915999999999997</v>
      </c>
    </row>
    <row r="83" spans="1:10" s="21" customFormat="1" ht="17.25" customHeight="1" x14ac:dyDescent="0.25">
      <c r="A83" s="52" t="s">
        <v>121</v>
      </c>
      <c r="B83" s="52"/>
      <c r="C83" s="52"/>
      <c r="D83" s="52"/>
      <c r="E83" s="52"/>
      <c r="F83" s="52">
        <v>1</v>
      </c>
      <c r="G83" s="52"/>
      <c r="H83" s="2">
        <f t="shared" si="9"/>
        <v>8.9579999999999984</v>
      </c>
      <c r="I83" s="2">
        <f t="shared" si="10"/>
        <v>28.957999999999998</v>
      </c>
      <c r="J83" s="2">
        <f t="shared" si="11"/>
        <v>37.915999999999997</v>
      </c>
    </row>
    <row r="84" spans="1:10" s="21" customFormat="1" ht="17.25" customHeight="1" x14ac:dyDescent="0.25">
      <c r="A84" s="52" t="s">
        <v>122</v>
      </c>
      <c r="B84" s="52">
        <v>1.25</v>
      </c>
      <c r="C84" s="52">
        <v>1.25</v>
      </c>
      <c r="D84" s="52"/>
      <c r="E84" s="52"/>
      <c r="F84" s="52"/>
      <c r="G84" s="52"/>
      <c r="H84" s="2">
        <f t="shared" si="9"/>
        <v>10.207999999999998</v>
      </c>
      <c r="I84" s="2">
        <f t="shared" si="10"/>
        <v>30.207999999999998</v>
      </c>
      <c r="J84" s="2">
        <f t="shared" si="11"/>
        <v>40.415999999999997</v>
      </c>
    </row>
    <row r="85" spans="1:10" s="21" customFormat="1" ht="17.25" customHeight="1" x14ac:dyDescent="0.25">
      <c r="A85" s="52" t="s">
        <v>123</v>
      </c>
      <c r="B85" s="52"/>
      <c r="C85" s="52"/>
      <c r="D85" s="52"/>
      <c r="E85" s="52"/>
      <c r="F85" s="52">
        <v>1</v>
      </c>
      <c r="G85" s="52"/>
      <c r="H85" s="2">
        <f t="shared" si="9"/>
        <v>9.2079999999999984</v>
      </c>
      <c r="I85" s="2">
        <f t="shared" si="10"/>
        <v>30.207999999999998</v>
      </c>
      <c r="J85" s="2">
        <f t="shared" si="11"/>
        <v>39.415999999999997</v>
      </c>
    </row>
    <row r="86" spans="1:10" s="21" customFormat="1" ht="17.25" customHeight="1" x14ac:dyDescent="0.25">
      <c r="A86" s="52" t="s">
        <v>124</v>
      </c>
      <c r="B86" s="52"/>
      <c r="C86" s="52"/>
      <c r="D86" s="52"/>
      <c r="E86" s="52"/>
      <c r="F86" s="52">
        <v>1</v>
      </c>
      <c r="G86" s="52"/>
      <c r="H86" s="2">
        <f t="shared" si="9"/>
        <v>8.2079999999999984</v>
      </c>
      <c r="I86" s="2">
        <f t="shared" si="10"/>
        <v>30.207999999999998</v>
      </c>
      <c r="J86" s="2">
        <f t="shared" si="11"/>
        <v>38.415999999999997</v>
      </c>
    </row>
    <row r="87" spans="1:10" s="1" customFormat="1" ht="17.25" customHeight="1" x14ac:dyDescent="0.25">
      <c r="A87" s="56" t="s">
        <v>125</v>
      </c>
      <c r="B87" s="57"/>
      <c r="C87" s="57"/>
      <c r="D87" s="57"/>
      <c r="E87" s="57"/>
      <c r="F87" s="55"/>
      <c r="G87" s="52">
        <v>1</v>
      </c>
      <c r="H87" s="2">
        <f t="shared" si="9"/>
        <v>8.2079999999999984</v>
      </c>
      <c r="I87" s="2">
        <f t="shared" si="10"/>
        <v>30.207999999999998</v>
      </c>
      <c r="J87" s="2">
        <f t="shared" si="11"/>
        <v>38.415999999999997</v>
      </c>
    </row>
    <row r="88" spans="1:10" s="1" customFormat="1" ht="17.25" customHeight="1" x14ac:dyDescent="0.25">
      <c r="A88" s="56" t="s">
        <v>127</v>
      </c>
      <c r="B88" s="56">
        <v>1.25</v>
      </c>
      <c r="C88" s="56">
        <v>1.25</v>
      </c>
      <c r="D88" s="56"/>
      <c r="E88" s="56"/>
      <c r="F88" s="55"/>
      <c r="G88" s="52"/>
      <c r="H88" s="2">
        <f t="shared" si="9"/>
        <v>9.4579999999999984</v>
      </c>
      <c r="I88" s="2">
        <f t="shared" si="10"/>
        <v>31.457999999999998</v>
      </c>
      <c r="J88" s="2">
        <f t="shared" si="11"/>
        <v>40.915999999999997</v>
      </c>
    </row>
    <row r="89" spans="1:10" s="1" customFormat="1" ht="17.25" customHeight="1" x14ac:dyDescent="0.25">
      <c r="A89" s="56" t="s">
        <v>128</v>
      </c>
      <c r="B89" s="56"/>
      <c r="C89" s="56"/>
      <c r="D89" s="56"/>
      <c r="E89" s="56"/>
      <c r="F89" s="58">
        <v>1</v>
      </c>
      <c r="G89" s="52"/>
      <c r="H89" s="2">
        <f t="shared" si="9"/>
        <v>8.4579999999999984</v>
      </c>
      <c r="I89" s="2">
        <f t="shared" si="10"/>
        <v>31.457999999999998</v>
      </c>
      <c r="J89" s="2">
        <f t="shared" si="11"/>
        <v>39.915999999999997</v>
      </c>
    </row>
    <row r="90" spans="1:10" s="1" customFormat="1" ht="17.25" customHeight="1" x14ac:dyDescent="0.25">
      <c r="A90" s="54" t="s">
        <v>130</v>
      </c>
      <c r="B90" s="54">
        <v>1.25</v>
      </c>
      <c r="C90" s="54">
        <v>1.25</v>
      </c>
      <c r="D90" s="54"/>
      <c r="E90" s="54"/>
      <c r="F90" s="54"/>
      <c r="G90" s="52"/>
      <c r="H90" s="2">
        <f t="shared" si="9"/>
        <v>9.7079999999999984</v>
      </c>
      <c r="I90" s="2">
        <f t="shared" si="10"/>
        <v>32.707999999999998</v>
      </c>
      <c r="J90" s="2">
        <f t="shared" si="11"/>
        <v>42.415999999999997</v>
      </c>
    </row>
    <row r="91" spans="1:10" s="1" customFormat="1" ht="17.25" customHeight="1" x14ac:dyDescent="0.25">
      <c r="A91" s="54" t="s">
        <v>131</v>
      </c>
      <c r="B91" s="54"/>
      <c r="C91" s="54"/>
      <c r="D91" s="54"/>
      <c r="E91" s="54"/>
      <c r="F91" s="58">
        <v>1</v>
      </c>
      <c r="G91" s="52"/>
      <c r="H91" s="2">
        <f t="shared" si="9"/>
        <v>8.7079999999999984</v>
      </c>
      <c r="I91" s="2">
        <f t="shared" si="10"/>
        <v>32.707999999999998</v>
      </c>
      <c r="J91" s="2">
        <f t="shared" si="11"/>
        <v>41.415999999999997</v>
      </c>
    </row>
    <row r="92" spans="1:10" s="1" customFormat="1" ht="17.25" customHeight="1" x14ac:dyDescent="0.25">
      <c r="A92" s="54" t="s">
        <v>143</v>
      </c>
      <c r="B92" s="54"/>
      <c r="C92" s="54"/>
      <c r="D92" s="54"/>
      <c r="E92" s="54">
        <v>1</v>
      </c>
      <c r="F92" s="54"/>
      <c r="G92" s="52"/>
      <c r="H92" s="2">
        <f t="shared" ref="H92:H96" si="12">H91-F92-D92+B92</f>
        <v>8.7079999999999984</v>
      </c>
      <c r="I92" s="2">
        <f t="shared" ref="I92:I96" si="13">I91-E92+C92</f>
        <v>31.707999999999998</v>
      </c>
      <c r="J92" s="2">
        <f t="shared" ref="J92:J96" si="14">SUM(H92:I92)</f>
        <v>40.415999999999997</v>
      </c>
    </row>
    <row r="93" spans="1:10" s="1" customFormat="1" ht="17.25" customHeight="1" x14ac:dyDescent="0.25">
      <c r="A93" s="54" t="s">
        <v>136</v>
      </c>
      <c r="B93" s="54"/>
      <c r="C93" s="54"/>
      <c r="D93" s="54"/>
      <c r="E93" s="54"/>
      <c r="F93" s="54"/>
      <c r="G93" s="59">
        <v>1</v>
      </c>
      <c r="H93" s="2">
        <f t="shared" si="12"/>
        <v>8.7079999999999984</v>
      </c>
      <c r="I93" s="2">
        <f t="shared" si="13"/>
        <v>31.707999999999998</v>
      </c>
      <c r="J93" s="2">
        <f t="shared" si="14"/>
        <v>40.415999999999997</v>
      </c>
    </row>
    <row r="94" spans="1:10" ht="17.25" customHeight="1" x14ac:dyDescent="0.25">
      <c r="A94" s="54" t="s">
        <v>140</v>
      </c>
      <c r="B94" s="54">
        <v>1.25</v>
      </c>
      <c r="C94" s="54">
        <v>1.25</v>
      </c>
      <c r="D94" s="54"/>
      <c r="E94" s="54"/>
      <c r="F94" s="54"/>
      <c r="G94" s="52"/>
      <c r="H94" s="2">
        <f t="shared" si="12"/>
        <v>9.9579999999999984</v>
      </c>
      <c r="I94" s="2">
        <f t="shared" si="13"/>
        <v>32.957999999999998</v>
      </c>
      <c r="J94" s="2">
        <f t="shared" si="14"/>
        <v>42.915999999999997</v>
      </c>
    </row>
    <row r="95" spans="1:10" ht="17.25" customHeight="1" x14ac:dyDescent="0.25">
      <c r="A95" s="54" t="s">
        <v>141</v>
      </c>
      <c r="B95" s="54"/>
      <c r="C95" s="54"/>
      <c r="D95" s="54"/>
      <c r="E95" s="54">
        <v>1</v>
      </c>
      <c r="F95" s="54"/>
      <c r="G95" s="52"/>
      <c r="H95" s="2">
        <f t="shared" si="12"/>
        <v>9.9579999999999984</v>
      </c>
      <c r="I95" s="2">
        <f t="shared" si="13"/>
        <v>31.957999999999998</v>
      </c>
      <c r="J95" s="2">
        <f t="shared" si="14"/>
        <v>41.915999999999997</v>
      </c>
    </row>
    <row r="96" spans="1:10" ht="17.25" customHeight="1" x14ac:dyDescent="0.25">
      <c r="A96" s="54" t="s">
        <v>142</v>
      </c>
      <c r="B96" s="54"/>
      <c r="C96" s="54"/>
      <c r="D96" s="54"/>
      <c r="E96" s="54"/>
      <c r="F96" s="54"/>
      <c r="G96" s="59">
        <v>1</v>
      </c>
      <c r="H96" s="2">
        <f t="shared" si="12"/>
        <v>9.9579999999999984</v>
      </c>
      <c r="I96" s="2">
        <f t="shared" si="13"/>
        <v>31.957999999999998</v>
      </c>
      <c r="J96" s="2">
        <f t="shared" si="14"/>
        <v>41.915999999999997</v>
      </c>
    </row>
    <row r="97" spans="1:10" ht="17.25" customHeight="1" x14ac:dyDescent="0.25">
      <c r="A97" s="54" t="s">
        <v>144</v>
      </c>
      <c r="B97" s="54">
        <v>1.25</v>
      </c>
      <c r="C97" s="54">
        <v>1.25</v>
      </c>
      <c r="D97" s="54"/>
      <c r="E97" s="54"/>
      <c r="F97" s="54"/>
      <c r="G97" s="52"/>
      <c r="H97" s="2">
        <f t="shared" ref="H97:H100" si="15">H96-F97-D97+B97</f>
        <v>11.207999999999998</v>
      </c>
      <c r="I97" s="2">
        <f t="shared" ref="I97:I100" si="16">I96-E97+C97</f>
        <v>33.207999999999998</v>
      </c>
      <c r="J97" s="2">
        <f t="shared" ref="J97:J100" si="17">SUM(H97:I97)</f>
        <v>44.415999999999997</v>
      </c>
    </row>
    <row r="98" spans="1:10" ht="17.25" customHeight="1" x14ac:dyDescent="0.25">
      <c r="A98" s="54" t="s">
        <v>145</v>
      </c>
      <c r="B98" s="54"/>
      <c r="C98" s="54"/>
      <c r="D98" s="54"/>
      <c r="E98" s="54"/>
      <c r="F98" s="58">
        <v>1</v>
      </c>
      <c r="G98" s="52"/>
      <c r="H98" s="2">
        <f t="shared" si="15"/>
        <v>10.207999999999998</v>
      </c>
      <c r="I98" s="2">
        <f t="shared" si="16"/>
        <v>33.207999999999998</v>
      </c>
      <c r="J98" s="2">
        <f t="shared" si="17"/>
        <v>43.415999999999997</v>
      </c>
    </row>
    <row r="99" spans="1:10" ht="17.25" customHeight="1" x14ac:dyDescent="0.25">
      <c r="A99" s="54" t="s">
        <v>146</v>
      </c>
      <c r="B99" s="54"/>
      <c r="C99" s="54"/>
      <c r="D99" s="54"/>
      <c r="E99" s="54">
        <v>1</v>
      </c>
      <c r="F99" s="54"/>
      <c r="G99" s="52"/>
      <c r="H99" s="2">
        <f t="shared" si="15"/>
        <v>10.207999999999998</v>
      </c>
      <c r="I99" s="2">
        <f t="shared" si="16"/>
        <v>32.207999999999998</v>
      </c>
      <c r="J99" s="2">
        <f t="shared" si="17"/>
        <v>42.415999999999997</v>
      </c>
    </row>
    <row r="100" spans="1:10" ht="17.25" customHeight="1" x14ac:dyDescent="0.25">
      <c r="A100" s="54" t="s">
        <v>147</v>
      </c>
      <c r="B100" s="54"/>
      <c r="C100" s="54"/>
      <c r="D100" s="54"/>
      <c r="E100" s="54">
        <v>1</v>
      </c>
      <c r="F100" s="54"/>
      <c r="G100" s="52"/>
      <c r="H100" s="2">
        <f t="shared" si="15"/>
        <v>10.207999999999998</v>
      </c>
      <c r="I100" s="2">
        <f t="shared" si="16"/>
        <v>31.207999999999998</v>
      </c>
      <c r="J100" s="2">
        <f t="shared" si="17"/>
        <v>41.415999999999997</v>
      </c>
    </row>
    <row r="101" spans="1:10" ht="17.25" customHeight="1" x14ac:dyDescent="0.25">
      <c r="A101" s="54" t="s">
        <v>149</v>
      </c>
      <c r="B101" s="54">
        <v>1.25</v>
      </c>
      <c r="C101" s="54">
        <v>1.25</v>
      </c>
      <c r="D101" s="54"/>
      <c r="E101" s="54"/>
      <c r="F101" s="54"/>
      <c r="G101" s="52"/>
      <c r="H101" s="2">
        <f t="shared" ref="H101:H102" si="18">H100-F101-D101+B101</f>
        <v>11.457999999999998</v>
      </c>
      <c r="I101" s="2">
        <f t="shared" ref="I101:I102" si="19">I100-E101+C101</f>
        <v>32.457999999999998</v>
      </c>
      <c r="J101" s="2">
        <f t="shared" ref="J101:J102" si="20">SUM(H101:I101)</f>
        <v>43.915999999999997</v>
      </c>
    </row>
    <row r="102" spans="1:10" s="1" customFormat="1" ht="17.25" customHeight="1" x14ac:dyDescent="0.25">
      <c r="A102" s="54" t="s">
        <v>150</v>
      </c>
      <c r="B102" s="54"/>
      <c r="C102" s="54"/>
      <c r="D102" s="54"/>
      <c r="E102" s="54">
        <v>1</v>
      </c>
      <c r="F102" s="55"/>
      <c r="G102" s="52"/>
      <c r="H102" s="2">
        <f t="shared" si="18"/>
        <v>11.457999999999998</v>
      </c>
      <c r="I102" s="2">
        <f t="shared" si="19"/>
        <v>31.457999999999998</v>
      </c>
      <c r="J102" s="2">
        <f t="shared" si="20"/>
        <v>42.915999999999997</v>
      </c>
    </row>
    <row r="103" spans="1:10" s="1" customFormat="1" ht="17.25" customHeight="1" x14ac:dyDescent="0.25">
      <c r="A103" s="54" t="s">
        <v>154</v>
      </c>
      <c r="B103" s="54">
        <v>1.25</v>
      </c>
      <c r="C103" s="54">
        <v>1.25</v>
      </c>
      <c r="D103" s="54"/>
      <c r="E103" s="54"/>
      <c r="F103" s="55"/>
      <c r="G103" s="52"/>
      <c r="H103" s="2">
        <f t="shared" ref="H103:H104" si="21">H102-F103-D103+B103</f>
        <v>12.707999999999998</v>
      </c>
      <c r="I103" s="2">
        <f t="shared" ref="I103:I104" si="22">I102-E103+C103</f>
        <v>32.707999999999998</v>
      </c>
      <c r="J103" s="2">
        <f t="shared" ref="J103:J104" si="23">SUM(H103:I103)</f>
        <v>45.415999999999997</v>
      </c>
    </row>
    <row r="104" spans="1:10" s="1" customFormat="1" ht="17.25" customHeight="1" x14ac:dyDescent="0.25">
      <c r="A104" s="54" t="s">
        <v>155</v>
      </c>
      <c r="B104" s="54"/>
      <c r="C104" s="54"/>
      <c r="D104" s="54"/>
      <c r="E104" s="54">
        <v>1</v>
      </c>
      <c r="F104" s="55"/>
      <c r="G104" s="52"/>
      <c r="H104" s="2">
        <f t="shared" si="21"/>
        <v>12.707999999999998</v>
      </c>
      <c r="I104" s="2">
        <f t="shared" si="22"/>
        <v>31.707999999999998</v>
      </c>
      <c r="J104" s="2">
        <f t="shared" si="23"/>
        <v>44.415999999999997</v>
      </c>
    </row>
    <row r="105" spans="1:10" s="1" customFormat="1" ht="17.25" customHeight="1" x14ac:dyDescent="0.25">
      <c r="A105" s="54" t="s">
        <v>156</v>
      </c>
      <c r="B105" s="54">
        <v>1.25</v>
      </c>
      <c r="C105" s="54">
        <v>1.25</v>
      </c>
      <c r="D105" s="54"/>
      <c r="E105" s="54"/>
      <c r="F105" s="55"/>
      <c r="G105" s="52"/>
      <c r="H105" s="2">
        <f t="shared" ref="H105:H106" si="24">H104-F105-D105+B105</f>
        <v>13.957999999999998</v>
      </c>
      <c r="I105" s="2">
        <f t="shared" ref="I105:I106" si="25">I104-E105+C105</f>
        <v>32.957999999999998</v>
      </c>
      <c r="J105" s="2">
        <f t="shared" ref="J105:J106" si="26">SUM(H105:I105)</f>
        <v>46.915999999999997</v>
      </c>
    </row>
    <row r="106" spans="1:10" s="1" customFormat="1" ht="17.25" customHeight="1" x14ac:dyDescent="0.25">
      <c r="A106" s="54" t="s">
        <v>157</v>
      </c>
      <c r="B106" s="54"/>
      <c r="C106" s="54"/>
      <c r="D106" s="54"/>
      <c r="E106" s="54">
        <v>1</v>
      </c>
      <c r="F106" s="55"/>
      <c r="G106" s="52"/>
      <c r="H106" s="2">
        <f t="shared" si="24"/>
        <v>13.957999999999998</v>
      </c>
      <c r="I106" s="2">
        <f t="shared" si="25"/>
        <v>31.957999999999998</v>
      </c>
      <c r="J106" s="2">
        <f t="shared" si="26"/>
        <v>45.915999999999997</v>
      </c>
    </row>
    <row r="107" spans="1:10" s="1" customFormat="1" ht="17.25" customHeight="1" x14ac:dyDescent="0.25">
      <c r="A107" s="54" t="s">
        <v>158</v>
      </c>
      <c r="B107" s="54"/>
      <c r="C107" s="54"/>
      <c r="D107" s="54"/>
      <c r="E107" s="54">
        <v>1</v>
      </c>
      <c r="F107" s="54"/>
      <c r="G107" s="52"/>
      <c r="H107" s="2">
        <f t="shared" ref="H107" si="27">H106-F107-D107+B107</f>
        <v>13.957999999999998</v>
      </c>
      <c r="I107" s="2">
        <f t="shared" ref="I107" si="28">I106-E107+C107</f>
        <v>30.957999999999998</v>
      </c>
      <c r="J107" s="2">
        <f t="shared" ref="J107" si="29">SUM(H107:I107)</f>
        <v>44.915999999999997</v>
      </c>
    </row>
    <row r="108" spans="1:10" s="1" customFormat="1" ht="17.25" customHeight="1" x14ac:dyDescent="0.25">
      <c r="A108" s="54" t="s">
        <v>161</v>
      </c>
      <c r="B108" s="54">
        <v>2.5</v>
      </c>
      <c r="C108" s="54">
        <v>2.5</v>
      </c>
      <c r="D108" s="54"/>
      <c r="E108" s="54"/>
      <c r="F108" s="54"/>
      <c r="G108" s="52"/>
      <c r="H108" s="2">
        <f t="shared" ref="H108:H109" si="30">H107-F108-D108+B108</f>
        <v>16.457999999999998</v>
      </c>
      <c r="I108" s="2">
        <f t="shared" ref="I108:I109" si="31">I107-E108+C108</f>
        <v>33.457999999999998</v>
      </c>
      <c r="J108" s="2">
        <f t="shared" ref="J108:J109" si="32">SUM(H108:I108)</f>
        <v>49.915999999999997</v>
      </c>
    </row>
    <row r="109" spans="1:10" s="1" customFormat="1" ht="17.25" customHeight="1" x14ac:dyDescent="0.25">
      <c r="A109" s="54" t="s">
        <v>162</v>
      </c>
      <c r="B109" s="54"/>
      <c r="C109" s="54"/>
      <c r="D109" s="54">
        <v>10</v>
      </c>
      <c r="E109" s="54"/>
      <c r="F109" s="54"/>
      <c r="G109" s="52"/>
      <c r="H109" s="2">
        <f t="shared" si="30"/>
        <v>6.4579999999999984</v>
      </c>
      <c r="I109" s="2">
        <f t="shared" si="31"/>
        <v>33.457999999999998</v>
      </c>
      <c r="J109" s="2">
        <f t="shared" si="32"/>
        <v>39.915999999999997</v>
      </c>
    </row>
    <row r="110" spans="1:10" s="1" customFormat="1" ht="17.25" customHeight="1" x14ac:dyDescent="0.25">
      <c r="A110" s="54" t="s">
        <v>164</v>
      </c>
      <c r="B110" s="54"/>
      <c r="C110" s="54"/>
      <c r="D110" s="54"/>
      <c r="E110" s="54">
        <v>1</v>
      </c>
      <c r="F110" s="54"/>
      <c r="G110" s="52"/>
      <c r="H110" s="2">
        <f t="shared" ref="H110" si="33">H109-F110-D110+B110</f>
        <v>6.4579999999999984</v>
      </c>
      <c r="I110" s="2">
        <f t="shared" ref="I110" si="34">I109-E110+C110</f>
        <v>32.457999999999998</v>
      </c>
      <c r="J110" s="2">
        <f t="shared" ref="J110" si="35">SUM(H110:I110)</f>
        <v>38.915999999999997</v>
      </c>
    </row>
    <row r="111" spans="1:10" s="1" customFormat="1" ht="17.25" customHeight="1" x14ac:dyDescent="0.25">
      <c r="A111" s="54" t="s">
        <v>166</v>
      </c>
      <c r="B111" s="54">
        <v>1.25</v>
      </c>
      <c r="C111" s="54">
        <v>1.25</v>
      </c>
      <c r="D111" s="54"/>
      <c r="E111" s="54"/>
      <c r="F111" s="54"/>
      <c r="G111" s="52"/>
      <c r="H111" s="2">
        <f t="shared" ref="H111:H112" si="36">H110-F111-D111+B111</f>
        <v>7.7079999999999984</v>
      </c>
      <c r="I111" s="2">
        <f t="shared" ref="I111:I112" si="37">I110-E111+C111</f>
        <v>33.707999999999998</v>
      </c>
      <c r="J111" s="2">
        <f t="shared" ref="J111:J112" si="38">SUM(H111:I111)</f>
        <v>41.415999999999997</v>
      </c>
    </row>
    <row r="112" spans="1:10" s="1" customFormat="1" ht="17.25" customHeight="1" x14ac:dyDescent="0.25">
      <c r="A112" s="54" t="s">
        <v>167</v>
      </c>
      <c r="B112" s="54"/>
      <c r="C112" s="54"/>
      <c r="D112" s="54"/>
      <c r="E112" s="54">
        <v>1</v>
      </c>
      <c r="F112" s="55"/>
      <c r="G112" s="52"/>
      <c r="H112" s="2">
        <f t="shared" si="36"/>
        <v>7.7079999999999984</v>
      </c>
      <c r="I112" s="2">
        <f t="shared" si="37"/>
        <v>32.707999999999998</v>
      </c>
      <c r="J112" s="2">
        <f t="shared" si="38"/>
        <v>40.415999999999997</v>
      </c>
    </row>
    <row r="113" spans="1:10" s="1" customFormat="1" ht="17.25" customHeight="1" x14ac:dyDescent="0.25">
      <c r="A113" s="54" t="s">
        <v>168</v>
      </c>
      <c r="B113" s="54"/>
      <c r="C113" s="54"/>
      <c r="D113" s="54"/>
      <c r="E113" s="54">
        <v>1</v>
      </c>
      <c r="F113" s="55"/>
      <c r="G113" s="52"/>
      <c r="H113" s="2">
        <f t="shared" ref="H113" si="39">H112-F113-D113+B113</f>
        <v>7.7079999999999984</v>
      </c>
      <c r="I113" s="2">
        <f t="shared" ref="I113" si="40">I112-E113+C113</f>
        <v>31.707999999999998</v>
      </c>
      <c r="J113" s="2">
        <f t="shared" ref="J113" si="41">SUM(H113:I113)</f>
        <v>39.415999999999997</v>
      </c>
    </row>
    <row r="114" spans="1:10" s="1" customFormat="1" ht="17.25" customHeight="1" x14ac:dyDescent="0.25">
      <c r="A114" s="54" t="s">
        <v>169</v>
      </c>
      <c r="B114" s="54">
        <v>1.25</v>
      </c>
      <c r="C114" s="54">
        <v>1.25</v>
      </c>
      <c r="D114" s="54"/>
      <c r="E114" s="54"/>
      <c r="F114" s="55"/>
      <c r="G114" s="52"/>
      <c r="H114" s="2">
        <f t="shared" ref="H114:H115" si="42">H113-F114-D114+B114</f>
        <v>8.9579999999999984</v>
      </c>
      <c r="I114" s="2">
        <f t="shared" ref="I114:I115" si="43">I113-E114+C114</f>
        <v>32.957999999999998</v>
      </c>
      <c r="J114" s="2">
        <f t="shared" ref="J114:J115" si="44">SUM(H114:I114)</f>
        <v>41.915999999999997</v>
      </c>
    </row>
    <row r="115" spans="1:10" s="1" customFormat="1" ht="17.25" customHeight="1" x14ac:dyDescent="0.25">
      <c r="A115" s="54" t="s">
        <v>170</v>
      </c>
      <c r="B115" s="54"/>
      <c r="C115" s="54"/>
      <c r="D115" s="54"/>
      <c r="E115" s="54">
        <v>1</v>
      </c>
      <c r="F115" s="55"/>
      <c r="G115" s="52"/>
      <c r="H115" s="2">
        <f t="shared" si="42"/>
        <v>8.9579999999999984</v>
      </c>
      <c r="I115" s="2">
        <f t="shared" si="43"/>
        <v>31.957999999999998</v>
      </c>
      <c r="J115" s="2">
        <f t="shared" si="44"/>
        <v>40.915999999999997</v>
      </c>
    </row>
    <row r="116" spans="1:10" s="1" customFormat="1" ht="17.25" customHeight="1" x14ac:dyDescent="0.25">
      <c r="A116" s="54" t="s">
        <v>171</v>
      </c>
      <c r="B116" s="54"/>
      <c r="C116" s="54"/>
      <c r="D116" s="54"/>
      <c r="E116" s="54"/>
      <c r="F116" s="58">
        <v>1</v>
      </c>
      <c r="G116" s="52"/>
      <c r="H116" s="2">
        <f t="shared" ref="H116" si="45">H115-F116-D116+B116</f>
        <v>7.9579999999999984</v>
      </c>
      <c r="I116" s="2">
        <f t="shared" ref="I116" si="46">I115-E116+C116</f>
        <v>31.957999999999998</v>
      </c>
      <c r="J116" s="2">
        <f t="shared" ref="J116" si="47">SUM(H116:I116)</f>
        <v>39.915999999999997</v>
      </c>
    </row>
    <row r="117" spans="1:10" s="1" customFormat="1" ht="17.25" customHeight="1" x14ac:dyDescent="0.25">
      <c r="A117" s="30"/>
      <c r="F117"/>
      <c r="G117" s="21"/>
      <c r="H117" s="44"/>
      <c r="I117" s="44"/>
      <c r="J117" s="44"/>
    </row>
    <row r="118" spans="1:10" s="1" customFormat="1" ht="17.25" customHeight="1" x14ac:dyDescent="0.25">
      <c r="A118" s="30"/>
      <c r="F118" t="s">
        <v>126</v>
      </c>
      <c r="G118" s="21"/>
      <c r="H118" s="44"/>
      <c r="I118" s="44"/>
      <c r="J118" s="44"/>
    </row>
    <row r="119" spans="1:10" s="1" customFormat="1" ht="14.1" customHeight="1" x14ac:dyDescent="0.25"/>
    <row r="120" spans="1:10" s="1" customFormat="1" ht="14.1" customHeight="1" x14ac:dyDescent="0.25">
      <c r="G120" s="39" t="s">
        <v>74</v>
      </c>
    </row>
    <row r="121" spans="1:10" s="1" customFormat="1" ht="14.1" customHeight="1" x14ac:dyDescent="0.25">
      <c r="G121" s="1" t="s">
        <v>75</v>
      </c>
    </row>
    <row r="122" spans="1:10" s="1" customFormat="1" ht="14.1" customHeight="1" x14ac:dyDescent="0.25">
      <c r="G122" s="1" t="s">
        <v>165</v>
      </c>
    </row>
  </sheetData>
  <mergeCells count="12">
    <mergeCell ref="H11:I11"/>
    <mergeCell ref="A11:A12"/>
    <mergeCell ref="J11:J12"/>
    <mergeCell ref="D11:G11"/>
    <mergeCell ref="B9:D9"/>
    <mergeCell ref="A10:J10"/>
    <mergeCell ref="B11:C11"/>
    <mergeCell ref="A2:J2"/>
    <mergeCell ref="A3:J3"/>
    <mergeCell ref="A4:J4"/>
    <mergeCell ref="A5:J5"/>
    <mergeCell ref="B7:D7"/>
  </mergeCells>
  <phoneticPr fontId="9" type="noConversion"/>
  <printOptions horizontalCentered="1"/>
  <pageMargins left="0.23622047244094491" right="0.23622047244094491" top="0.59055118110236227" bottom="0.62992125984251968" header="0.31496062992125984" footer="0.31496062992125984"/>
  <pageSetup paperSize="9" scale="65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25D3-51F2-4E4D-8174-5B86BCCF5053}">
  <dimension ref="A1:Y41"/>
  <sheetViews>
    <sheetView view="pageBreakPreview" topLeftCell="A11" zoomScale="108" zoomScaleNormal="100" zoomScaleSheetLayoutView="108" workbookViewId="0">
      <selection activeCell="B33" sqref="B33:E33"/>
    </sheetView>
  </sheetViews>
  <sheetFormatPr defaultRowHeight="15" x14ac:dyDescent="0.25"/>
  <cols>
    <col min="1" max="1" width="21.5703125" customWidth="1"/>
    <col min="2" max="2" width="17.5703125" customWidth="1"/>
  </cols>
  <sheetData>
    <row r="1" spans="1:25" s="1" customFormat="1" ht="52.5" customHeight="1" x14ac:dyDescent="0.25"/>
    <row r="2" spans="1:25" s="1" customFormat="1" ht="10.5" customHeight="1" x14ac:dyDescent="0.25">
      <c r="A2" s="60" t="s">
        <v>38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25" s="1" customFormat="1" ht="15.95" customHeight="1" x14ac:dyDescent="0.25">
      <c r="A3" s="60" t="s">
        <v>39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</row>
    <row r="4" spans="1:25" s="1" customFormat="1" ht="15.95" customHeight="1" x14ac:dyDescent="0.25">
      <c r="A4" s="60" t="s">
        <v>40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</row>
    <row r="5" spans="1:25" s="1" customFormat="1" ht="15.95" customHeight="1" x14ac:dyDescent="0.25">
      <c r="A5" s="60" t="s">
        <v>41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</row>
    <row r="6" spans="1:25" s="1" customFormat="1" ht="8.25" customHeight="1" x14ac:dyDescent="0.25"/>
    <row r="7" spans="1:25" s="1" customFormat="1" ht="12" customHeight="1" x14ac:dyDescent="0.25">
      <c r="A7" s="1" t="s">
        <v>42</v>
      </c>
      <c r="C7" s="4" t="s">
        <v>43</v>
      </c>
      <c r="D7" s="4"/>
      <c r="G7" s="4" t="s">
        <v>9</v>
      </c>
      <c r="H7" s="13"/>
    </row>
    <row r="8" spans="1:25" s="1" customFormat="1" ht="12" customHeight="1" x14ac:dyDescent="0.25">
      <c r="C8" s="3"/>
      <c r="G8" s="3"/>
      <c r="H8" s="3"/>
    </row>
    <row r="9" spans="1:25" s="1" customFormat="1" ht="12" customHeight="1" x14ac:dyDescent="0.25">
      <c r="A9" s="1" t="s">
        <v>44</v>
      </c>
      <c r="C9" s="4" t="s">
        <v>45</v>
      </c>
      <c r="D9" s="4"/>
      <c r="G9" s="4" t="s">
        <v>10</v>
      </c>
      <c r="H9" s="5"/>
    </row>
    <row r="10" spans="1:25" ht="16.5" customHeight="1" thickBot="1" x14ac:dyDescent="0.3">
      <c r="A10" s="77" t="s">
        <v>66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</row>
    <row r="11" spans="1:25" s="23" customFormat="1" ht="18.75" customHeight="1" x14ac:dyDescent="0.2">
      <c r="A11" s="78" t="s">
        <v>4</v>
      </c>
      <c r="B11" s="80" t="s">
        <v>5</v>
      </c>
      <c r="C11" s="81"/>
      <c r="D11" s="81"/>
      <c r="E11" s="81"/>
      <c r="F11" s="81"/>
      <c r="G11" s="81"/>
      <c r="H11" s="81"/>
      <c r="I11" s="81"/>
      <c r="J11" s="81"/>
      <c r="K11" s="81"/>
      <c r="L11" s="82" t="s">
        <v>8</v>
      </c>
    </row>
    <row r="12" spans="1:25" s="23" customFormat="1" ht="24" customHeight="1" x14ac:dyDescent="0.2">
      <c r="A12" s="79"/>
      <c r="B12" s="84" t="s">
        <v>67</v>
      </c>
      <c r="C12" s="85"/>
      <c r="D12" s="85"/>
      <c r="E12" s="86"/>
      <c r="F12" s="84" t="s">
        <v>68</v>
      </c>
      <c r="G12" s="86"/>
      <c r="H12" s="84" t="s">
        <v>69</v>
      </c>
      <c r="I12" s="86"/>
      <c r="J12" s="84" t="s">
        <v>70</v>
      </c>
      <c r="K12" s="86"/>
      <c r="L12" s="83"/>
    </row>
    <row r="13" spans="1:25" s="23" customFormat="1" ht="24.95" hidden="1" customHeight="1" x14ac:dyDescent="0.2">
      <c r="A13" s="24" t="s">
        <v>71</v>
      </c>
      <c r="B13" s="72" t="s">
        <v>78</v>
      </c>
      <c r="C13" s="73"/>
      <c r="D13" s="73"/>
      <c r="E13" s="74"/>
      <c r="F13" s="72">
        <v>2</v>
      </c>
      <c r="G13" s="74"/>
      <c r="H13" s="72">
        <v>0</v>
      </c>
      <c r="I13" s="74"/>
      <c r="J13" s="72">
        <v>2</v>
      </c>
      <c r="K13" s="74"/>
      <c r="L13" s="25">
        <v>2</v>
      </c>
    </row>
    <row r="14" spans="1:25" s="26" customFormat="1" ht="29.25" hidden="1" customHeight="1" x14ac:dyDescent="0.2">
      <c r="A14" s="24" t="s">
        <v>77</v>
      </c>
      <c r="B14" s="72" t="s">
        <v>78</v>
      </c>
      <c r="C14" s="73"/>
      <c r="D14" s="73"/>
      <c r="E14" s="74"/>
      <c r="F14" s="72"/>
      <c r="G14" s="74"/>
      <c r="H14" s="72">
        <v>1.5</v>
      </c>
      <c r="I14" s="74"/>
      <c r="J14" s="72">
        <v>0.5</v>
      </c>
      <c r="K14" s="74"/>
      <c r="L14" s="25">
        <v>0.5</v>
      </c>
    </row>
    <row r="15" spans="1:25" s="26" customFormat="1" ht="25.5" hidden="1" customHeight="1" x14ac:dyDescent="0.2">
      <c r="A15" s="24" t="s">
        <v>79</v>
      </c>
      <c r="B15" s="72" t="s">
        <v>78</v>
      </c>
      <c r="C15" s="73"/>
      <c r="D15" s="73"/>
      <c r="E15" s="74"/>
      <c r="F15" s="72"/>
      <c r="G15" s="74"/>
      <c r="H15" s="72">
        <v>0.5</v>
      </c>
      <c r="I15" s="74"/>
      <c r="J15" s="72">
        <v>0</v>
      </c>
      <c r="K15" s="74"/>
      <c r="L15" s="37">
        <v>0</v>
      </c>
      <c r="X15" s="23"/>
      <c r="Y15" s="23"/>
    </row>
    <row r="16" spans="1:25" s="26" customFormat="1" ht="25.5" hidden="1" customHeight="1" x14ac:dyDescent="0.2">
      <c r="A16" s="35" t="s">
        <v>97</v>
      </c>
      <c r="B16" s="72" t="s">
        <v>98</v>
      </c>
      <c r="C16" s="73"/>
      <c r="D16" s="73"/>
      <c r="E16" s="74"/>
      <c r="F16" s="72">
        <v>1</v>
      </c>
      <c r="G16" s="74"/>
      <c r="H16" s="72">
        <v>0</v>
      </c>
      <c r="I16" s="74"/>
      <c r="J16" s="72">
        <v>1</v>
      </c>
      <c r="K16" s="74"/>
      <c r="L16" s="36">
        <v>1</v>
      </c>
    </row>
    <row r="17" spans="1:12" s="26" customFormat="1" ht="25.5" hidden="1" customHeight="1" x14ac:dyDescent="0.2">
      <c r="A17" s="35" t="s">
        <v>99</v>
      </c>
      <c r="B17" s="72" t="s">
        <v>98</v>
      </c>
      <c r="C17" s="73"/>
      <c r="D17" s="73"/>
      <c r="E17" s="74"/>
      <c r="F17" s="33"/>
      <c r="G17" s="34"/>
      <c r="H17" s="72">
        <v>1</v>
      </c>
      <c r="I17" s="74"/>
      <c r="J17" s="72">
        <v>0</v>
      </c>
      <c r="K17" s="74"/>
      <c r="L17" s="37">
        <v>0</v>
      </c>
    </row>
    <row r="18" spans="1:12" s="26" customFormat="1" ht="25.5" hidden="1" customHeight="1" x14ac:dyDescent="0.2">
      <c r="A18" s="35" t="s">
        <v>100</v>
      </c>
      <c r="B18" s="72" t="s">
        <v>101</v>
      </c>
      <c r="C18" s="73"/>
      <c r="D18" s="73"/>
      <c r="E18" s="74"/>
      <c r="F18" s="72">
        <v>3</v>
      </c>
      <c r="G18" s="74"/>
      <c r="H18" s="72">
        <v>0</v>
      </c>
      <c r="I18" s="74"/>
      <c r="J18" s="72">
        <v>3</v>
      </c>
      <c r="K18" s="74"/>
      <c r="L18" s="36">
        <v>3</v>
      </c>
    </row>
    <row r="19" spans="1:12" s="26" customFormat="1" ht="25.5" hidden="1" customHeight="1" x14ac:dyDescent="0.2">
      <c r="A19" s="35" t="s">
        <v>102</v>
      </c>
      <c r="B19" s="72" t="s">
        <v>101</v>
      </c>
      <c r="C19" s="73"/>
      <c r="D19" s="73"/>
      <c r="E19" s="74"/>
      <c r="F19" s="72"/>
      <c r="G19" s="74"/>
      <c r="H19" s="72">
        <v>1</v>
      </c>
      <c r="I19" s="74"/>
      <c r="J19" s="72">
        <v>2</v>
      </c>
      <c r="K19" s="74"/>
      <c r="L19" s="36">
        <v>2</v>
      </c>
    </row>
    <row r="20" spans="1:12" s="26" customFormat="1" ht="25.5" hidden="1" customHeight="1" x14ac:dyDescent="0.2">
      <c r="A20" s="35" t="s">
        <v>103</v>
      </c>
      <c r="B20" s="72" t="s">
        <v>101</v>
      </c>
      <c r="C20" s="73"/>
      <c r="D20" s="73"/>
      <c r="E20" s="74"/>
      <c r="F20" s="72"/>
      <c r="G20" s="74"/>
      <c r="H20" s="72">
        <v>2</v>
      </c>
      <c r="I20" s="74"/>
      <c r="J20" s="72">
        <v>0</v>
      </c>
      <c r="K20" s="74"/>
      <c r="L20" s="37">
        <v>0</v>
      </c>
    </row>
    <row r="21" spans="1:12" s="26" customFormat="1" ht="25.5" hidden="1" customHeight="1" x14ac:dyDescent="0.2">
      <c r="A21" s="35" t="s">
        <v>111</v>
      </c>
      <c r="B21" s="72" t="s">
        <v>101</v>
      </c>
      <c r="C21" s="73"/>
      <c r="D21" s="73"/>
      <c r="E21" s="74"/>
      <c r="F21" s="72"/>
      <c r="G21" s="74"/>
      <c r="H21" s="72">
        <v>1</v>
      </c>
      <c r="I21" s="74"/>
      <c r="J21" s="72">
        <v>0</v>
      </c>
      <c r="K21" s="74"/>
      <c r="L21" s="37">
        <v>0</v>
      </c>
    </row>
    <row r="22" spans="1:12" s="26" customFormat="1" ht="25.5" hidden="1" customHeight="1" x14ac:dyDescent="0.2">
      <c r="A22" s="35" t="s">
        <v>100</v>
      </c>
      <c r="B22" s="72" t="s">
        <v>117</v>
      </c>
      <c r="C22" s="73"/>
      <c r="D22" s="73"/>
      <c r="E22" s="74"/>
      <c r="F22" s="72">
        <v>1</v>
      </c>
      <c r="G22" s="74"/>
      <c r="H22" s="72">
        <v>0</v>
      </c>
      <c r="I22" s="74"/>
      <c r="J22" s="72">
        <v>1</v>
      </c>
      <c r="K22" s="74"/>
      <c r="L22" s="36">
        <v>1</v>
      </c>
    </row>
    <row r="23" spans="1:12" s="26" customFormat="1" ht="25.5" hidden="1" customHeight="1" x14ac:dyDescent="0.2">
      <c r="A23" s="35" t="s">
        <v>118</v>
      </c>
      <c r="B23" s="72" t="s">
        <v>117</v>
      </c>
      <c r="C23" s="73"/>
      <c r="D23" s="73"/>
      <c r="E23" s="74"/>
      <c r="F23" s="72"/>
      <c r="G23" s="74"/>
      <c r="H23" s="72">
        <v>1</v>
      </c>
      <c r="I23" s="74"/>
      <c r="J23" s="72">
        <v>0</v>
      </c>
      <c r="K23" s="74"/>
      <c r="L23" s="37">
        <v>0</v>
      </c>
    </row>
    <row r="24" spans="1:12" s="26" customFormat="1" ht="25.5" hidden="1" customHeight="1" x14ac:dyDescent="0.2">
      <c r="A24" s="35" t="s">
        <v>104</v>
      </c>
      <c r="B24" s="72" t="s">
        <v>105</v>
      </c>
      <c r="C24" s="73"/>
      <c r="D24" s="73"/>
      <c r="E24" s="74"/>
      <c r="F24" s="72">
        <v>3</v>
      </c>
      <c r="G24" s="74"/>
      <c r="H24" s="72">
        <v>0</v>
      </c>
      <c r="I24" s="74"/>
      <c r="J24" s="72">
        <v>3</v>
      </c>
      <c r="K24" s="74"/>
      <c r="L24" s="36">
        <v>3</v>
      </c>
    </row>
    <row r="25" spans="1:12" s="26" customFormat="1" ht="25.5" hidden="1" customHeight="1" x14ac:dyDescent="0.2">
      <c r="A25" s="35" t="s">
        <v>106</v>
      </c>
      <c r="B25" s="72" t="s">
        <v>105</v>
      </c>
      <c r="C25" s="73"/>
      <c r="D25" s="73"/>
      <c r="E25" s="74"/>
      <c r="F25" s="72"/>
      <c r="G25" s="74"/>
      <c r="H25" s="72">
        <v>1</v>
      </c>
      <c r="I25" s="74"/>
      <c r="J25" s="72">
        <v>2</v>
      </c>
      <c r="K25" s="74"/>
      <c r="L25" s="36">
        <v>2</v>
      </c>
    </row>
    <row r="26" spans="1:12" s="26" customFormat="1" ht="25.5" hidden="1" customHeight="1" x14ac:dyDescent="0.2">
      <c r="A26" s="35" t="s">
        <v>109</v>
      </c>
      <c r="B26" s="72" t="s">
        <v>105</v>
      </c>
      <c r="C26" s="73"/>
      <c r="D26" s="73"/>
      <c r="E26" s="74"/>
      <c r="F26" s="72"/>
      <c r="G26" s="74"/>
      <c r="H26" s="72">
        <v>1</v>
      </c>
      <c r="I26" s="74"/>
      <c r="J26" s="72">
        <v>1</v>
      </c>
      <c r="K26" s="74"/>
      <c r="L26" s="36">
        <v>1</v>
      </c>
    </row>
    <row r="27" spans="1:12" s="26" customFormat="1" ht="25.5" hidden="1" customHeight="1" x14ac:dyDescent="0.2">
      <c r="A27" s="35" t="s">
        <v>119</v>
      </c>
      <c r="B27" s="72" t="s">
        <v>105</v>
      </c>
      <c r="C27" s="73"/>
      <c r="D27" s="73"/>
      <c r="E27" s="74"/>
      <c r="F27" s="72"/>
      <c r="G27" s="74"/>
      <c r="H27" s="72">
        <v>1</v>
      </c>
      <c r="I27" s="74"/>
      <c r="J27" s="72">
        <v>0</v>
      </c>
      <c r="K27" s="74"/>
      <c r="L27" s="37">
        <v>0</v>
      </c>
    </row>
    <row r="28" spans="1:12" s="26" customFormat="1" ht="25.5" customHeight="1" x14ac:dyDescent="0.2">
      <c r="A28" s="35" t="s">
        <v>132</v>
      </c>
      <c r="B28" s="72" t="s">
        <v>133</v>
      </c>
      <c r="C28" s="73"/>
      <c r="D28" s="73"/>
      <c r="E28" s="74"/>
      <c r="F28" s="72" t="s">
        <v>134</v>
      </c>
      <c r="G28" s="74"/>
      <c r="H28" s="72">
        <v>0</v>
      </c>
      <c r="I28" s="74"/>
      <c r="J28" s="72" t="s">
        <v>134</v>
      </c>
      <c r="K28" s="74"/>
      <c r="L28" s="36" t="s">
        <v>135</v>
      </c>
    </row>
    <row r="29" spans="1:12" s="26" customFormat="1" ht="25.5" customHeight="1" x14ac:dyDescent="0.2">
      <c r="A29" s="35" t="s">
        <v>138</v>
      </c>
      <c r="B29" s="72" t="s">
        <v>139</v>
      </c>
      <c r="C29" s="73"/>
      <c r="D29" s="73"/>
      <c r="E29" s="74"/>
      <c r="F29" s="72">
        <v>3</v>
      </c>
      <c r="G29" s="74"/>
      <c r="H29" s="72">
        <v>0</v>
      </c>
      <c r="I29" s="74"/>
      <c r="J29" s="72">
        <v>3</v>
      </c>
      <c r="K29" s="74"/>
      <c r="L29" s="36">
        <v>3</v>
      </c>
    </row>
    <row r="30" spans="1:12" s="26" customFormat="1" ht="25.5" customHeight="1" x14ac:dyDescent="0.2">
      <c r="A30" s="35" t="s">
        <v>137</v>
      </c>
      <c r="B30" s="72" t="s">
        <v>139</v>
      </c>
      <c r="C30" s="73"/>
      <c r="D30" s="73"/>
      <c r="E30" s="74"/>
      <c r="F30" s="72"/>
      <c r="G30" s="74"/>
      <c r="H30" s="72">
        <v>2</v>
      </c>
      <c r="I30" s="74"/>
      <c r="J30" s="72">
        <v>1</v>
      </c>
      <c r="K30" s="74"/>
      <c r="L30" s="36">
        <v>1</v>
      </c>
    </row>
    <row r="31" spans="1:12" s="26" customFormat="1" ht="25.5" customHeight="1" x14ac:dyDescent="0.2">
      <c r="A31" s="35" t="s">
        <v>148</v>
      </c>
      <c r="B31" s="72" t="s">
        <v>139</v>
      </c>
      <c r="C31" s="73"/>
      <c r="D31" s="73"/>
      <c r="E31" s="74"/>
      <c r="F31" s="72"/>
      <c r="G31" s="74"/>
      <c r="H31" s="72">
        <v>1</v>
      </c>
      <c r="I31" s="74"/>
      <c r="J31" s="72">
        <v>0</v>
      </c>
      <c r="K31" s="74"/>
      <c r="L31" s="37">
        <v>0</v>
      </c>
    </row>
    <row r="32" spans="1:12" s="23" customFormat="1" ht="19.5" customHeight="1" x14ac:dyDescent="0.2">
      <c r="A32" s="15" t="s">
        <v>151</v>
      </c>
      <c r="B32" s="87" t="s">
        <v>152</v>
      </c>
      <c r="C32" s="88"/>
      <c r="D32" s="88"/>
      <c r="E32" s="89"/>
      <c r="F32" s="49">
        <v>1</v>
      </c>
      <c r="G32" s="50"/>
      <c r="H32" s="87">
        <v>0</v>
      </c>
      <c r="I32" s="89"/>
      <c r="J32" s="87">
        <v>1</v>
      </c>
      <c r="K32" s="89"/>
      <c r="L32" s="36">
        <v>1</v>
      </c>
    </row>
    <row r="33" spans="1:12" s="23" customFormat="1" ht="19.5" customHeight="1" x14ac:dyDescent="0.2">
      <c r="A33" s="15" t="s">
        <v>153</v>
      </c>
      <c r="B33" s="87" t="s">
        <v>152</v>
      </c>
      <c r="C33" s="88"/>
      <c r="D33" s="88"/>
      <c r="E33" s="89"/>
      <c r="F33" s="49"/>
      <c r="G33" s="50"/>
      <c r="H33" s="87">
        <v>1</v>
      </c>
      <c r="I33" s="89"/>
      <c r="J33" s="87">
        <v>0</v>
      </c>
      <c r="K33" s="89"/>
      <c r="L33" s="37">
        <v>0</v>
      </c>
    </row>
    <row r="34" spans="1:12" s="26" customFormat="1" ht="25.5" customHeight="1" x14ac:dyDescent="0.2">
      <c r="A34" s="29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41"/>
    </row>
    <row r="35" spans="1:12" s="26" customFormat="1" x14ac:dyDescent="0.2">
      <c r="A35" s="27" t="s">
        <v>72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2" ht="18.95" customHeight="1" x14ac:dyDescent="0.25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</row>
    <row r="37" spans="1:12" s="1" customFormat="1" x14ac:dyDescent="0.25">
      <c r="C37" s="30"/>
      <c r="H37" s="1" t="s">
        <v>73</v>
      </c>
    </row>
    <row r="38" spans="1:12" s="1" customFormat="1" x14ac:dyDescent="0.25">
      <c r="C38" s="30"/>
    </row>
    <row r="39" spans="1:12" x14ac:dyDescent="0.25">
      <c r="H39" s="40" t="s">
        <v>74</v>
      </c>
      <c r="I39" s="38"/>
    </row>
    <row r="40" spans="1:12" x14ac:dyDescent="0.25">
      <c r="H40" t="s">
        <v>75</v>
      </c>
    </row>
    <row r="41" spans="1:12" x14ac:dyDescent="0.25">
      <c r="H41" s="75" t="s">
        <v>76</v>
      </c>
      <c r="I41" s="75"/>
    </row>
  </sheetData>
  <mergeCells count="95">
    <mergeCell ref="B32:E32"/>
    <mergeCell ref="H32:I32"/>
    <mergeCell ref="J32:K32"/>
    <mergeCell ref="B33:E33"/>
    <mergeCell ref="H33:I33"/>
    <mergeCell ref="J33:K33"/>
    <mergeCell ref="B24:E24"/>
    <mergeCell ref="F24:G24"/>
    <mergeCell ref="H24:I24"/>
    <mergeCell ref="B22:E22"/>
    <mergeCell ref="F22:G22"/>
    <mergeCell ref="H22:I22"/>
    <mergeCell ref="J22:K22"/>
    <mergeCell ref="B23:E23"/>
    <mergeCell ref="F23:G23"/>
    <mergeCell ref="H23:I23"/>
    <mergeCell ref="J23:K23"/>
    <mergeCell ref="J25:K25"/>
    <mergeCell ref="B27:E27"/>
    <mergeCell ref="F27:G27"/>
    <mergeCell ref="H27:I27"/>
    <mergeCell ref="J27:K27"/>
    <mergeCell ref="J26:K26"/>
    <mergeCell ref="A11:A12"/>
    <mergeCell ref="B11:K11"/>
    <mergeCell ref="L11:L12"/>
    <mergeCell ref="B12:E12"/>
    <mergeCell ref="F12:G12"/>
    <mergeCell ref="H12:I12"/>
    <mergeCell ref="J12:K12"/>
    <mergeCell ref="A2:L2"/>
    <mergeCell ref="A3:L3"/>
    <mergeCell ref="A4:L4"/>
    <mergeCell ref="A5:L5"/>
    <mergeCell ref="A10:L10"/>
    <mergeCell ref="B13:E13"/>
    <mergeCell ref="F13:G13"/>
    <mergeCell ref="H13:I13"/>
    <mergeCell ref="J13:K13"/>
    <mergeCell ref="A36:L36"/>
    <mergeCell ref="H14:I14"/>
    <mergeCell ref="J14:K14"/>
    <mergeCell ref="H15:I15"/>
    <mergeCell ref="J15:K15"/>
    <mergeCell ref="B16:E16"/>
    <mergeCell ref="F16:G16"/>
    <mergeCell ref="H16:I16"/>
    <mergeCell ref="J16:K16"/>
    <mergeCell ref="B19:E19"/>
    <mergeCell ref="F19:G19"/>
    <mergeCell ref="H19:I19"/>
    <mergeCell ref="H41:I41"/>
    <mergeCell ref="B14:E14"/>
    <mergeCell ref="F14:G14"/>
    <mergeCell ref="B15:E15"/>
    <mergeCell ref="F15:G15"/>
    <mergeCell ref="B18:E18"/>
    <mergeCell ref="F18:G18"/>
    <mergeCell ref="B20:E20"/>
    <mergeCell ref="F20:G20"/>
    <mergeCell ref="H17:I17"/>
    <mergeCell ref="H18:I18"/>
    <mergeCell ref="B21:E21"/>
    <mergeCell ref="F21:G21"/>
    <mergeCell ref="H21:I21"/>
    <mergeCell ref="B26:E26"/>
    <mergeCell ref="F26:G26"/>
    <mergeCell ref="B17:E17"/>
    <mergeCell ref="B28:E28"/>
    <mergeCell ref="F28:G28"/>
    <mergeCell ref="H28:I28"/>
    <mergeCell ref="J28:K28"/>
    <mergeCell ref="H20:I20"/>
    <mergeCell ref="J20:K20"/>
    <mergeCell ref="J19:K19"/>
    <mergeCell ref="J17:K17"/>
    <mergeCell ref="J18:K18"/>
    <mergeCell ref="J21:K21"/>
    <mergeCell ref="H26:I26"/>
    <mergeCell ref="J24:K24"/>
    <mergeCell ref="B25:E25"/>
    <mergeCell ref="F25:G25"/>
    <mergeCell ref="H25:I25"/>
    <mergeCell ref="B31:E31"/>
    <mergeCell ref="F31:G31"/>
    <mergeCell ref="H31:I31"/>
    <mergeCell ref="J31:K31"/>
    <mergeCell ref="B29:E29"/>
    <mergeCell ref="F29:G29"/>
    <mergeCell ref="H29:I29"/>
    <mergeCell ref="J29:K29"/>
    <mergeCell ref="B30:E30"/>
    <mergeCell ref="F30:G30"/>
    <mergeCell ref="H30:I30"/>
    <mergeCell ref="J30:K30"/>
  </mergeCells>
  <phoneticPr fontId="9" type="noConversion"/>
  <printOptions horizontalCentered="1"/>
  <pageMargins left="0.43307086614173229" right="0.23622047244094491" top="0.74803149606299213" bottom="0.74803149606299213" header="0.31496062992125984" footer="0.31496062992125984"/>
  <pageSetup paperSize="9" scale="7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6C89-9E95-4011-9BCF-8BA743EC0641}">
  <sheetPr>
    <pageSetUpPr fitToPage="1"/>
  </sheetPr>
  <dimension ref="A1:J100"/>
  <sheetViews>
    <sheetView view="pageBreakPreview" topLeftCell="A56" zoomScaleNormal="100" zoomScaleSheetLayoutView="100" workbookViewId="0">
      <selection activeCell="A61" sqref="A61:F61"/>
    </sheetView>
  </sheetViews>
  <sheetFormatPr defaultRowHeight="15" x14ac:dyDescent="0.25"/>
  <cols>
    <col min="1" max="1" width="39.85546875" customWidth="1"/>
    <col min="2" max="10" width="11.5703125" customWidth="1"/>
  </cols>
  <sheetData>
    <row r="1" spans="1:10" s="1" customFormat="1" ht="52.5" customHeight="1" x14ac:dyDescent="0.25"/>
    <row r="2" spans="1:10" s="1" customFormat="1" ht="10.5" customHeight="1" x14ac:dyDescent="0.25">
      <c r="A2" s="60" t="s">
        <v>38</v>
      </c>
      <c r="B2" s="60"/>
      <c r="C2" s="60"/>
      <c r="D2" s="60"/>
      <c r="E2" s="60"/>
      <c r="F2" s="60"/>
      <c r="G2" s="60"/>
      <c r="H2" s="60"/>
      <c r="I2" s="60"/>
      <c r="J2" s="60"/>
    </row>
    <row r="3" spans="1:10" s="1" customFormat="1" ht="15.95" customHeight="1" x14ac:dyDescent="0.25">
      <c r="A3" s="60" t="s">
        <v>39</v>
      </c>
      <c r="B3" s="60"/>
      <c r="C3" s="60"/>
      <c r="D3" s="60"/>
      <c r="E3" s="60"/>
      <c r="F3" s="60"/>
      <c r="G3" s="60"/>
      <c r="H3" s="60"/>
      <c r="I3" s="60"/>
      <c r="J3" s="60"/>
    </row>
    <row r="4" spans="1:10" s="1" customFormat="1" ht="15.95" customHeight="1" x14ac:dyDescent="0.25">
      <c r="A4" s="60" t="s">
        <v>40</v>
      </c>
      <c r="B4" s="60"/>
      <c r="C4" s="60"/>
      <c r="D4" s="60"/>
      <c r="E4" s="60"/>
      <c r="F4" s="60"/>
      <c r="G4" s="60"/>
      <c r="H4" s="60"/>
      <c r="I4" s="60"/>
      <c r="J4" s="60"/>
    </row>
    <row r="5" spans="1:10" s="1" customFormat="1" ht="15.95" customHeight="1" x14ac:dyDescent="0.25">
      <c r="A5" s="60" t="s">
        <v>41</v>
      </c>
      <c r="B5" s="60"/>
      <c r="C5" s="60"/>
      <c r="D5" s="60"/>
      <c r="E5" s="60"/>
      <c r="F5" s="60"/>
      <c r="G5" s="60"/>
      <c r="H5" s="60"/>
      <c r="I5" s="60"/>
      <c r="J5" s="60"/>
    </row>
    <row r="6" spans="1:10" s="1" customFormat="1" ht="8.25" customHeight="1" x14ac:dyDescent="0.25"/>
    <row r="7" spans="1:10" s="1" customFormat="1" ht="12" customHeight="1" x14ac:dyDescent="0.25">
      <c r="A7" s="1" t="s">
        <v>42</v>
      </c>
      <c r="B7" s="61" t="s">
        <v>43</v>
      </c>
      <c r="C7" s="61"/>
      <c r="D7" s="61"/>
      <c r="H7" s="4" t="s">
        <v>9</v>
      </c>
      <c r="I7" s="13"/>
      <c r="J7" s="4"/>
    </row>
    <row r="8" spans="1:10" s="1" customFormat="1" ht="12" customHeight="1" x14ac:dyDescent="0.25">
      <c r="B8" s="3"/>
      <c r="C8" s="3"/>
      <c r="H8" s="3"/>
      <c r="I8" s="3"/>
      <c r="J8" s="3"/>
    </row>
    <row r="9" spans="1:10" s="1" customFormat="1" ht="12" customHeight="1" x14ac:dyDescent="0.25">
      <c r="A9" s="1" t="s">
        <v>44</v>
      </c>
      <c r="B9" s="61" t="s">
        <v>45</v>
      </c>
      <c r="C9" s="61"/>
      <c r="D9" s="61"/>
      <c r="H9" s="4" t="s">
        <v>10</v>
      </c>
      <c r="I9" s="5"/>
      <c r="J9" s="4"/>
    </row>
    <row r="10" spans="1:10" ht="16.5" customHeight="1" thickBot="1" x14ac:dyDescent="0.3">
      <c r="A10" s="70" t="s">
        <v>0</v>
      </c>
      <c r="B10" s="70"/>
      <c r="C10" s="70"/>
      <c r="D10" s="70"/>
      <c r="E10" s="70"/>
      <c r="F10" s="70"/>
      <c r="G10" s="70"/>
      <c r="H10" s="70"/>
      <c r="I10" s="70"/>
      <c r="J10" s="70"/>
    </row>
    <row r="11" spans="1:10" ht="18.75" customHeight="1" x14ac:dyDescent="0.25">
      <c r="A11" s="63" t="s">
        <v>4</v>
      </c>
      <c r="B11" s="71" t="s">
        <v>5</v>
      </c>
      <c r="C11" s="71"/>
      <c r="D11" s="67" t="s">
        <v>6</v>
      </c>
      <c r="E11" s="68"/>
      <c r="F11" s="68"/>
      <c r="G11" s="69"/>
      <c r="H11" s="62" t="s">
        <v>7</v>
      </c>
      <c r="I11" s="62"/>
      <c r="J11" s="65" t="s">
        <v>8</v>
      </c>
    </row>
    <row r="12" spans="1:10" ht="18.75" customHeight="1" thickBot="1" x14ac:dyDescent="0.3">
      <c r="A12" s="90"/>
      <c r="B12" s="8" t="s">
        <v>1</v>
      </c>
      <c r="C12" s="8" t="s">
        <v>2</v>
      </c>
      <c r="D12" s="8" t="s">
        <v>1</v>
      </c>
      <c r="E12" s="8" t="s">
        <v>2</v>
      </c>
      <c r="F12" s="8" t="s">
        <v>3</v>
      </c>
      <c r="G12" s="8" t="s">
        <v>29</v>
      </c>
      <c r="H12" s="8" t="s">
        <v>1</v>
      </c>
      <c r="I12" s="8" t="s">
        <v>2</v>
      </c>
      <c r="J12" s="91"/>
    </row>
    <row r="13" spans="1:10" ht="14.1" customHeight="1" x14ac:dyDescent="0.25">
      <c r="A13" s="15" t="s">
        <v>46</v>
      </c>
      <c r="B13" s="6">
        <v>0.20799999999999999</v>
      </c>
      <c r="C13" s="6">
        <v>0.20799999999999999</v>
      </c>
      <c r="D13" s="6"/>
      <c r="E13" s="6"/>
      <c r="F13" s="6"/>
      <c r="G13" s="6"/>
      <c r="H13" s="6">
        <f>B13</f>
        <v>0.20799999999999999</v>
      </c>
      <c r="I13" s="6">
        <f>C13</f>
        <v>0.20799999999999999</v>
      </c>
      <c r="J13" s="7">
        <f>SUM(H13:I13)</f>
        <v>0.41599999999999998</v>
      </c>
    </row>
    <row r="14" spans="1:10" ht="14.1" customHeight="1" x14ac:dyDescent="0.25">
      <c r="A14" s="15" t="s">
        <v>47</v>
      </c>
      <c r="B14" s="6">
        <f>9*1.25</f>
        <v>11.25</v>
      </c>
      <c r="C14" s="6">
        <v>11.25</v>
      </c>
      <c r="D14" s="6"/>
      <c r="E14" s="6"/>
      <c r="F14" s="6"/>
      <c r="G14" s="6"/>
      <c r="H14" s="6">
        <f>H13-F14-D14+B14</f>
        <v>11.458</v>
      </c>
      <c r="I14" s="6">
        <f>I13-E14+C14</f>
        <v>11.458</v>
      </c>
      <c r="J14" s="7">
        <f>SUM(H14:I14)</f>
        <v>22.916</v>
      </c>
    </row>
    <row r="15" spans="1:10" ht="14.1" customHeight="1" x14ac:dyDescent="0.25">
      <c r="A15" s="15" t="s">
        <v>48</v>
      </c>
      <c r="B15" s="6"/>
      <c r="C15" s="6"/>
      <c r="D15" s="6"/>
      <c r="E15" s="6"/>
      <c r="F15" s="6">
        <v>1</v>
      </c>
      <c r="G15" s="6"/>
      <c r="H15" s="6">
        <f t="shared" ref="H15:H78" si="0">H14-F15-D15+B15</f>
        <v>10.458</v>
      </c>
      <c r="I15" s="6">
        <f t="shared" ref="I15:I78" si="1">I14-E15+C15</f>
        <v>11.458</v>
      </c>
      <c r="J15" s="7">
        <f t="shared" ref="J15:J78" si="2">SUM(H15:I15)</f>
        <v>21.916</v>
      </c>
    </row>
    <row r="16" spans="1:10" ht="14.1" customHeight="1" x14ac:dyDescent="0.25">
      <c r="A16" s="15" t="s">
        <v>49</v>
      </c>
      <c r="B16" s="6"/>
      <c r="C16" s="6"/>
      <c r="D16" s="6"/>
      <c r="E16" s="6"/>
      <c r="F16" s="6">
        <v>1</v>
      </c>
      <c r="G16" s="6"/>
      <c r="H16" s="6">
        <f t="shared" si="0"/>
        <v>9.4580000000000002</v>
      </c>
      <c r="I16" s="6">
        <f t="shared" si="1"/>
        <v>11.458</v>
      </c>
      <c r="J16" s="7">
        <f t="shared" si="2"/>
        <v>20.916</v>
      </c>
    </row>
    <row r="17" spans="1:10" ht="14.1" customHeight="1" x14ac:dyDescent="0.25">
      <c r="A17" s="15" t="s">
        <v>50</v>
      </c>
      <c r="B17" s="6"/>
      <c r="C17" s="6"/>
      <c r="D17" s="6"/>
      <c r="E17" s="6"/>
      <c r="F17" s="6">
        <v>1</v>
      </c>
      <c r="G17" s="6"/>
      <c r="H17" s="6">
        <f t="shared" si="0"/>
        <v>8.4580000000000002</v>
      </c>
      <c r="I17" s="6">
        <f t="shared" si="1"/>
        <v>11.458</v>
      </c>
      <c r="J17" s="7">
        <f t="shared" si="2"/>
        <v>19.916</v>
      </c>
    </row>
    <row r="18" spans="1:10" ht="14.1" customHeight="1" x14ac:dyDescent="0.25">
      <c r="A18" s="15" t="s">
        <v>51</v>
      </c>
      <c r="B18" s="6"/>
      <c r="C18" s="6"/>
      <c r="D18" s="6"/>
      <c r="E18" s="6"/>
      <c r="F18" s="6">
        <v>1</v>
      </c>
      <c r="G18" s="6"/>
      <c r="H18" s="6">
        <f t="shared" si="0"/>
        <v>7.4580000000000002</v>
      </c>
      <c r="I18" s="6">
        <f t="shared" si="1"/>
        <v>11.458</v>
      </c>
      <c r="J18" s="7">
        <f t="shared" si="2"/>
        <v>18.916</v>
      </c>
    </row>
    <row r="19" spans="1:10" ht="14.1" customHeight="1" x14ac:dyDescent="0.25">
      <c r="A19" s="15" t="s">
        <v>114</v>
      </c>
      <c r="B19" s="6"/>
      <c r="C19" s="6"/>
      <c r="D19" s="6"/>
      <c r="E19" s="6"/>
      <c r="F19" s="6">
        <v>1</v>
      </c>
      <c r="G19" s="6"/>
      <c r="H19" s="6">
        <f t="shared" si="0"/>
        <v>6.4580000000000002</v>
      </c>
      <c r="I19" s="6">
        <f t="shared" si="1"/>
        <v>11.458</v>
      </c>
      <c r="J19" s="7">
        <f t="shared" si="2"/>
        <v>17.916</v>
      </c>
    </row>
    <row r="20" spans="1:10" ht="14.1" customHeight="1" x14ac:dyDescent="0.25">
      <c r="A20" s="15" t="s">
        <v>52</v>
      </c>
      <c r="B20" s="6"/>
      <c r="C20" s="6"/>
      <c r="D20" s="6"/>
      <c r="E20" s="6">
        <v>2</v>
      </c>
      <c r="F20" s="6">
        <v>2</v>
      </c>
      <c r="G20" s="6"/>
      <c r="H20" s="6">
        <f t="shared" si="0"/>
        <v>4.4580000000000002</v>
      </c>
      <c r="I20" s="6">
        <f t="shared" si="1"/>
        <v>9.4580000000000002</v>
      </c>
      <c r="J20" s="7">
        <f t="shared" si="2"/>
        <v>13.916</v>
      </c>
    </row>
    <row r="21" spans="1:10" ht="14.1" customHeight="1" x14ac:dyDescent="0.25">
      <c r="A21" s="15" t="s">
        <v>53</v>
      </c>
      <c r="B21" s="6"/>
      <c r="C21" s="6"/>
      <c r="D21" s="6"/>
      <c r="E21" s="6"/>
      <c r="F21" s="6">
        <v>1</v>
      </c>
      <c r="G21" s="6"/>
      <c r="H21" s="6">
        <f t="shared" si="0"/>
        <v>3.4580000000000002</v>
      </c>
      <c r="I21" s="6">
        <f t="shared" si="1"/>
        <v>9.4580000000000002</v>
      </c>
      <c r="J21" s="7">
        <f t="shared" si="2"/>
        <v>12.916</v>
      </c>
    </row>
    <row r="22" spans="1:10" ht="14.1" customHeight="1" x14ac:dyDescent="0.25">
      <c r="A22" s="15" t="s">
        <v>54</v>
      </c>
      <c r="B22" s="6">
        <v>15</v>
      </c>
      <c r="C22" s="6">
        <v>15</v>
      </c>
      <c r="D22" s="6"/>
      <c r="E22" s="6"/>
      <c r="F22" s="6"/>
      <c r="G22" s="6"/>
      <c r="H22" s="6">
        <f t="shared" si="0"/>
        <v>18.457999999999998</v>
      </c>
      <c r="I22" s="6">
        <f t="shared" si="1"/>
        <v>24.457999999999998</v>
      </c>
      <c r="J22" s="7">
        <f t="shared" si="2"/>
        <v>42.915999999999997</v>
      </c>
    </row>
    <row r="23" spans="1:10" ht="14.1" customHeight="1" x14ac:dyDescent="0.25">
      <c r="A23" s="15" t="s">
        <v>55</v>
      </c>
      <c r="B23" s="6"/>
      <c r="C23" s="6"/>
      <c r="D23" s="6">
        <v>10</v>
      </c>
      <c r="E23" s="6"/>
      <c r="F23" s="6"/>
      <c r="G23" s="6"/>
      <c r="H23" s="6">
        <f t="shared" si="0"/>
        <v>8.4579999999999984</v>
      </c>
      <c r="I23" s="6">
        <f t="shared" si="1"/>
        <v>24.457999999999998</v>
      </c>
      <c r="J23" s="7">
        <f t="shared" si="2"/>
        <v>32.915999999999997</v>
      </c>
    </row>
    <row r="24" spans="1:10" ht="14.1" customHeight="1" x14ac:dyDescent="0.25">
      <c r="A24" s="15" t="s">
        <v>56</v>
      </c>
      <c r="B24" s="6"/>
      <c r="C24" s="6"/>
      <c r="D24" s="6"/>
      <c r="E24" s="6"/>
      <c r="F24" s="6">
        <v>2</v>
      </c>
      <c r="G24" s="6"/>
      <c r="H24" s="6">
        <f t="shared" si="0"/>
        <v>6.4579999999999984</v>
      </c>
      <c r="I24" s="6">
        <f t="shared" si="1"/>
        <v>24.457999999999998</v>
      </c>
      <c r="J24" s="7">
        <f t="shared" si="2"/>
        <v>30.915999999999997</v>
      </c>
    </row>
    <row r="25" spans="1:10" ht="14.1" customHeight="1" x14ac:dyDescent="0.25">
      <c r="A25" s="15" t="s">
        <v>57</v>
      </c>
      <c r="B25" s="6">
        <v>10</v>
      </c>
      <c r="C25" s="6">
        <v>10</v>
      </c>
      <c r="D25" s="6"/>
      <c r="E25" s="6"/>
      <c r="F25" s="6"/>
      <c r="G25" s="6"/>
      <c r="H25" s="6">
        <f t="shared" si="0"/>
        <v>16.457999999999998</v>
      </c>
      <c r="I25" s="6">
        <f t="shared" si="1"/>
        <v>34.457999999999998</v>
      </c>
      <c r="J25" s="7">
        <f t="shared" si="2"/>
        <v>50.915999999999997</v>
      </c>
    </row>
    <row r="26" spans="1:10" ht="14.1" customHeight="1" x14ac:dyDescent="0.25">
      <c r="A26" s="15" t="s">
        <v>58</v>
      </c>
      <c r="B26" s="6"/>
      <c r="C26" s="6"/>
      <c r="D26" s="6"/>
      <c r="E26" s="6"/>
      <c r="F26" s="6">
        <v>1</v>
      </c>
      <c r="G26" s="6"/>
      <c r="H26" s="6">
        <f t="shared" si="0"/>
        <v>15.457999999999998</v>
      </c>
      <c r="I26" s="6">
        <f t="shared" si="1"/>
        <v>34.457999999999998</v>
      </c>
      <c r="J26" s="7">
        <f t="shared" si="2"/>
        <v>49.915999999999997</v>
      </c>
    </row>
    <row r="27" spans="1:10" ht="14.1" customHeight="1" x14ac:dyDescent="0.25">
      <c r="A27" s="15" t="s">
        <v>59</v>
      </c>
      <c r="B27" s="6">
        <v>5</v>
      </c>
      <c r="C27" s="6">
        <v>5</v>
      </c>
      <c r="D27" s="6"/>
      <c r="E27" s="6"/>
      <c r="F27" s="6"/>
      <c r="G27" s="6"/>
      <c r="H27" s="6">
        <f t="shared" si="0"/>
        <v>20.457999999999998</v>
      </c>
      <c r="I27" s="6">
        <f t="shared" si="1"/>
        <v>39.457999999999998</v>
      </c>
      <c r="J27" s="7">
        <f t="shared" si="2"/>
        <v>59.915999999999997</v>
      </c>
    </row>
    <row r="28" spans="1:10" ht="14.1" customHeight="1" x14ac:dyDescent="0.25">
      <c r="A28" s="15" t="s">
        <v>60</v>
      </c>
      <c r="B28" s="6"/>
      <c r="C28" s="6"/>
      <c r="D28" s="6">
        <v>15</v>
      </c>
      <c r="E28" s="6"/>
      <c r="F28" s="6"/>
      <c r="G28" s="6"/>
      <c r="H28" s="6">
        <f t="shared" si="0"/>
        <v>5.4579999999999984</v>
      </c>
      <c r="I28" s="6">
        <f t="shared" si="1"/>
        <v>39.457999999999998</v>
      </c>
      <c r="J28" s="7">
        <f t="shared" si="2"/>
        <v>44.915999999999997</v>
      </c>
    </row>
    <row r="29" spans="1:10" ht="14.1" customHeight="1" x14ac:dyDescent="0.25">
      <c r="A29" s="15" t="s">
        <v>61</v>
      </c>
      <c r="B29" s="6"/>
      <c r="C29" s="6"/>
      <c r="D29" s="6"/>
      <c r="E29" s="6"/>
      <c r="F29" s="6">
        <v>1</v>
      </c>
      <c r="G29" s="6"/>
      <c r="H29" s="6">
        <f t="shared" si="0"/>
        <v>4.4579999999999984</v>
      </c>
      <c r="I29" s="6">
        <f t="shared" si="1"/>
        <v>39.457999999999998</v>
      </c>
      <c r="J29" s="7">
        <f t="shared" si="2"/>
        <v>43.915999999999997</v>
      </c>
    </row>
    <row r="30" spans="1:10" ht="14.1" customHeight="1" x14ac:dyDescent="0.25">
      <c r="A30" s="15" t="s">
        <v>62</v>
      </c>
      <c r="B30" s="6"/>
      <c r="C30" s="6"/>
      <c r="D30" s="6"/>
      <c r="E30" s="6"/>
      <c r="F30" s="6">
        <v>3</v>
      </c>
      <c r="G30" s="6"/>
      <c r="H30" s="6">
        <f t="shared" si="0"/>
        <v>1.4579999999999984</v>
      </c>
      <c r="I30" s="6">
        <f t="shared" si="1"/>
        <v>39.457999999999998</v>
      </c>
      <c r="J30" s="7">
        <f t="shared" si="2"/>
        <v>40.915999999999997</v>
      </c>
    </row>
    <row r="31" spans="1:10" ht="14.1" customHeight="1" x14ac:dyDescent="0.25">
      <c r="A31" s="14" t="s">
        <v>11</v>
      </c>
      <c r="B31" s="2"/>
      <c r="C31" s="2"/>
      <c r="D31" s="2"/>
      <c r="E31" s="2">
        <v>2</v>
      </c>
      <c r="F31" s="2"/>
      <c r="G31" s="6"/>
      <c r="H31" s="6">
        <f t="shared" si="0"/>
        <v>1.4579999999999984</v>
      </c>
      <c r="I31" s="6">
        <f t="shared" si="1"/>
        <v>37.457999999999998</v>
      </c>
      <c r="J31" s="7">
        <f t="shared" si="2"/>
        <v>38.915999999999997</v>
      </c>
    </row>
    <row r="32" spans="1:10" ht="14.1" customHeight="1" x14ac:dyDescent="0.25">
      <c r="A32" s="10" t="s">
        <v>12</v>
      </c>
      <c r="B32" s="2">
        <v>2.5</v>
      </c>
      <c r="C32" s="2">
        <v>2.5</v>
      </c>
      <c r="D32" s="2"/>
      <c r="E32" s="2"/>
      <c r="F32" s="2"/>
      <c r="G32" s="2"/>
      <c r="H32" s="6">
        <f t="shared" si="0"/>
        <v>3.9579999999999984</v>
      </c>
      <c r="I32" s="6">
        <f t="shared" si="1"/>
        <v>39.957999999999998</v>
      </c>
      <c r="J32" s="7">
        <f t="shared" si="2"/>
        <v>43.915999999999997</v>
      </c>
    </row>
    <row r="33" spans="1:10" ht="14.1" customHeight="1" x14ac:dyDescent="0.25">
      <c r="A33" s="10" t="s">
        <v>13</v>
      </c>
      <c r="B33" s="2"/>
      <c r="C33" s="2"/>
      <c r="D33" s="2"/>
      <c r="E33" s="2"/>
      <c r="F33" s="2">
        <v>1</v>
      </c>
      <c r="G33" s="2"/>
      <c r="H33" s="6">
        <f t="shared" si="0"/>
        <v>2.9579999999999984</v>
      </c>
      <c r="I33" s="6">
        <f t="shared" si="1"/>
        <v>39.957999999999998</v>
      </c>
      <c r="J33" s="7">
        <f t="shared" si="2"/>
        <v>42.915999999999997</v>
      </c>
    </row>
    <row r="34" spans="1:10" ht="14.1" customHeight="1" x14ac:dyDescent="0.25">
      <c r="A34" s="14" t="s">
        <v>14</v>
      </c>
      <c r="B34" s="2"/>
      <c r="C34" s="2"/>
      <c r="D34" s="2"/>
      <c r="E34" s="2"/>
      <c r="F34" s="2">
        <v>1</v>
      </c>
      <c r="G34" s="2"/>
      <c r="H34" s="6">
        <f t="shared" si="0"/>
        <v>1.9579999999999984</v>
      </c>
      <c r="I34" s="6">
        <f t="shared" si="1"/>
        <v>39.957999999999998</v>
      </c>
      <c r="J34" s="7">
        <f t="shared" si="2"/>
        <v>41.915999999999997</v>
      </c>
    </row>
    <row r="35" spans="1:10" ht="14.1" customHeight="1" x14ac:dyDescent="0.25">
      <c r="A35" s="10" t="s">
        <v>15</v>
      </c>
      <c r="B35" s="2">
        <v>1.25</v>
      </c>
      <c r="C35" s="2">
        <v>1.25</v>
      </c>
      <c r="D35" s="2"/>
      <c r="E35" s="2"/>
      <c r="F35" s="2"/>
      <c r="G35" s="2"/>
      <c r="H35" s="6">
        <f t="shared" si="0"/>
        <v>3.2079999999999984</v>
      </c>
      <c r="I35" s="6">
        <f t="shared" si="1"/>
        <v>41.207999999999998</v>
      </c>
      <c r="J35" s="7">
        <f t="shared" si="2"/>
        <v>44.415999999999997</v>
      </c>
    </row>
    <row r="36" spans="1:10" ht="14.1" customHeight="1" x14ac:dyDescent="0.25">
      <c r="A36" s="10" t="s">
        <v>16</v>
      </c>
      <c r="B36" s="2"/>
      <c r="C36" s="2"/>
      <c r="D36" s="2"/>
      <c r="E36" s="2">
        <v>2</v>
      </c>
      <c r="F36" s="2"/>
      <c r="G36" s="2"/>
      <c r="H36" s="6">
        <f t="shared" si="0"/>
        <v>3.2079999999999984</v>
      </c>
      <c r="I36" s="6">
        <f t="shared" si="1"/>
        <v>39.207999999999998</v>
      </c>
      <c r="J36" s="7">
        <f t="shared" si="2"/>
        <v>42.415999999999997</v>
      </c>
    </row>
    <row r="37" spans="1:10" ht="14.1" customHeight="1" x14ac:dyDescent="0.25">
      <c r="A37" s="10" t="s">
        <v>17</v>
      </c>
      <c r="B37" s="2"/>
      <c r="C37" s="2"/>
      <c r="D37" s="2"/>
      <c r="E37" s="2">
        <v>3</v>
      </c>
      <c r="F37" s="2"/>
      <c r="G37" s="2"/>
      <c r="H37" s="6">
        <f t="shared" si="0"/>
        <v>3.2079999999999984</v>
      </c>
      <c r="I37" s="6">
        <f t="shared" si="1"/>
        <v>36.207999999999998</v>
      </c>
      <c r="J37" s="7">
        <f t="shared" si="2"/>
        <v>39.415999999999997</v>
      </c>
    </row>
    <row r="38" spans="1:10" ht="14.1" customHeight="1" x14ac:dyDescent="0.25">
      <c r="A38" s="10" t="s">
        <v>18</v>
      </c>
      <c r="B38" s="2">
        <v>1.25</v>
      </c>
      <c r="C38" s="2">
        <v>1.25</v>
      </c>
      <c r="D38" s="2"/>
      <c r="E38" s="2"/>
      <c r="F38" s="2"/>
      <c r="G38" s="2"/>
      <c r="H38" s="6">
        <f t="shared" si="0"/>
        <v>4.4579999999999984</v>
      </c>
      <c r="I38" s="6">
        <f t="shared" si="1"/>
        <v>37.457999999999998</v>
      </c>
      <c r="J38" s="7">
        <f t="shared" si="2"/>
        <v>41.915999999999997</v>
      </c>
    </row>
    <row r="39" spans="1:10" ht="14.1" customHeight="1" x14ac:dyDescent="0.25">
      <c r="A39" s="10" t="s">
        <v>19</v>
      </c>
      <c r="B39" s="2"/>
      <c r="C39" s="2"/>
      <c r="D39" s="2"/>
      <c r="E39" s="2"/>
      <c r="F39" s="2">
        <v>1</v>
      </c>
      <c r="G39" s="2"/>
      <c r="H39" s="6">
        <f t="shared" si="0"/>
        <v>3.4579999999999984</v>
      </c>
      <c r="I39" s="6">
        <f t="shared" si="1"/>
        <v>37.457999999999998</v>
      </c>
      <c r="J39" s="7">
        <f t="shared" si="2"/>
        <v>40.915999999999997</v>
      </c>
    </row>
    <row r="40" spans="1:10" ht="14.1" customHeight="1" x14ac:dyDescent="0.25">
      <c r="A40" s="10" t="s">
        <v>20</v>
      </c>
      <c r="B40" s="2">
        <v>2.5</v>
      </c>
      <c r="C40" s="2">
        <v>2.5</v>
      </c>
      <c r="D40" s="2"/>
      <c r="E40" s="2"/>
      <c r="F40" s="2"/>
      <c r="G40" s="2"/>
      <c r="H40" s="6">
        <f t="shared" si="0"/>
        <v>5.9579999999999984</v>
      </c>
      <c r="I40" s="6">
        <f t="shared" si="1"/>
        <v>39.957999999999998</v>
      </c>
      <c r="J40" s="7">
        <f t="shared" si="2"/>
        <v>45.915999999999997</v>
      </c>
    </row>
    <row r="41" spans="1:10" ht="14.1" customHeight="1" x14ac:dyDescent="0.25">
      <c r="A41" s="10" t="s">
        <v>21</v>
      </c>
      <c r="B41" s="2"/>
      <c r="C41" s="2"/>
      <c r="D41" s="2"/>
      <c r="E41" s="2">
        <v>1</v>
      </c>
      <c r="F41" s="2"/>
      <c r="G41" s="2"/>
      <c r="H41" s="6">
        <f t="shared" si="0"/>
        <v>5.9579999999999984</v>
      </c>
      <c r="I41" s="6">
        <f t="shared" si="1"/>
        <v>38.957999999999998</v>
      </c>
      <c r="J41" s="7">
        <f t="shared" si="2"/>
        <v>44.915999999999997</v>
      </c>
    </row>
    <row r="42" spans="1:10" ht="14.1" customHeight="1" x14ac:dyDescent="0.25">
      <c r="A42" s="10" t="s">
        <v>22</v>
      </c>
      <c r="B42" s="2"/>
      <c r="C42" s="2"/>
      <c r="D42" s="2"/>
      <c r="E42" s="2"/>
      <c r="F42" s="2">
        <v>1</v>
      </c>
      <c r="G42" s="2"/>
      <c r="H42" s="6">
        <f t="shared" si="0"/>
        <v>4.9579999999999984</v>
      </c>
      <c r="I42" s="6">
        <f t="shared" si="1"/>
        <v>38.957999999999998</v>
      </c>
      <c r="J42" s="7">
        <f t="shared" si="2"/>
        <v>43.915999999999997</v>
      </c>
    </row>
    <row r="43" spans="1:10" ht="14.1" customHeight="1" x14ac:dyDescent="0.25">
      <c r="A43" s="10" t="s">
        <v>23</v>
      </c>
      <c r="B43" s="2"/>
      <c r="C43" s="2"/>
      <c r="D43" s="2"/>
      <c r="E43" s="2">
        <v>1</v>
      </c>
      <c r="F43" s="2"/>
      <c r="G43" s="2"/>
      <c r="H43" s="6">
        <f t="shared" si="0"/>
        <v>4.9579999999999984</v>
      </c>
      <c r="I43" s="6">
        <f t="shared" si="1"/>
        <v>37.957999999999998</v>
      </c>
      <c r="J43" s="7">
        <f t="shared" si="2"/>
        <v>42.915999999999997</v>
      </c>
    </row>
    <row r="44" spans="1:10" ht="14.1" customHeight="1" x14ac:dyDescent="0.25">
      <c r="A44" s="10" t="s">
        <v>24</v>
      </c>
      <c r="B44" s="2">
        <v>2.5</v>
      </c>
      <c r="C44" s="2">
        <v>2.5</v>
      </c>
      <c r="D44" s="2"/>
      <c r="E44" s="2"/>
      <c r="F44" s="2"/>
      <c r="G44" s="2"/>
      <c r="H44" s="6">
        <f t="shared" si="0"/>
        <v>7.4579999999999984</v>
      </c>
      <c r="I44" s="6">
        <f t="shared" si="1"/>
        <v>40.457999999999998</v>
      </c>
      <c r="J44" s="7">
        <f t="shared" si="2"/>
        <v>47.915999999999997</v>
      </c>
    </row>
    <row r="45" spans="1:10" ht="14.1" customHeight="1" x14ac:dyDescent="0.25">
      <c r="A45" s="10" t="s">
        <v>26</v>
      </c>
      <c r="B45" s="2"/>
      <c r="C45" s="2"/>
      <c r="D45" s="2"/>
      <c r="E45" s="2">
        <v>1</v>
      </c>
      <c r="F45" s="2"/>
      <c r="G45" s="2"/>
      <c r="H45" s="6">
        <f t="shared" si="0"/>
        <v>7.4579999999999984</v>
      </c>
      <c r="I45" s="6">
        <f t="shared" si="1"/>
        <v>39.457999999999998</v>
      </c>
      <c r="J45" s="7">
        <f t="shared" si="2"/>
        <v>46.915999999999997</v>
      </c>
    </row>
    <row r="46" spans="1:10" ht="14.1" customHeight="1" x14ac:dyDescent="0.25">
      <c r="A46" s="10" t="s">
        <v>25</v>
      </c>
      <c r="B46" s="2"/>
      <c r="C46" s="2"/>
      <c r="D46" s="2">
        <v>7</v>
      </c>
      <c r="E46" s="2">
        <v>22</v>
      </c>
      <c r="F46" s="2"/>
      <c r="G46" s="2"/>
      <c r="H46" s="6">
        <f t="shared" si="0"/>
        <v>0.45799999999999841</v>
      </c>
      <c r="I46" s="6">
        <f t="shared" si="1"/>
        <v>17.457999999999998</v>
      </c>
      <c r="J46" s="7">
        <f t="shared" si="2"/>
        <v>17.915999999999997</v>
      </c>
    </row>
    <row r="47" spans="1:10" ht="14.1" customHeight="1" x14ac:dyDescent="0.25">
      <c r="A47" s="10" t="s">
        <v>27</v>
      </c>
      <c r="B47" s="2">
        <v>2.5</v>
      </c>
      <c r="C47" s="2">
        <v>2.5</v>
      </c>
      <c r="D47" s="2"/>
      <c r="E47" s="2"/>
      <c r="F47" s="2"/>
      <c r="G47" s="2"/>
      <c r="H47" s="6">
        <f t="shared" si="0"/>
        <v>2.9579999999999984</v>
      </c>
      <c r="I47" s="6">
        <f t="shared" si="1"/>
        <v>19.957999999999998</v>
      </c>
      <c r="J47" s="7">
        <f t="shared" si="2"/>
        <v>22.915999999999997</v>
      </c>
    </row>
    <row r="48" spans="1:10" ht="14.1" customHeight="1" x14ac:dyDescent="0.25">
      <c r="A48" s="10" t="s">
        <v>28</v>
      </c>
      <c r="B48" s="2"/>
      <c r="C48" s="2"/>
      <c r="D48" s="2"/>
      <c r="E48" s="2"/>
      <c r="F48" s="2"/>
      <c r="G48" s="2">
        <v>1</v>
      </c>
      <c r="H48" s="6">
        <f t="shared" si="0"/>
        <v>2.9579999999999984</v>
      </c>
      <c r="I48" s="6">
        <f t="shared" si="1"/>
        <v>19.957999999999998</v>
      </c>
      <c r="J48" s="7">
        <f t="shared" si="2"/>
        <v>22.915999999999997</v>
      </c>
    </row>
    <row r="49" spans="1:10" ht="14.1" customHeight="1" x14ac:dyDescent="0.25">
      <c r="A49" s="10" t="s">
        <v>30</v>
      </c>
      <c r="B49" s="2">
        <v>1.25</v>
      </c>
      <c r="C49" s="2">
        <v>1.25</v>
      </c>
      <c r="D49" s="2"/>
      <c r="E49" s="2"/>
      <c r="F49" s="2"/>
      <c r="G49" s="2"/>
      <c r="H49" s="6">
        <f t="shared" si="0"/>
        <v>4.2079999999999984</v>
      </c>
      <c r="I49" s="6">
        <f t="shared" si="1"/>
        <v>21.207999999999998</v>
      </c>
      <c r="J49" s="7">
        <f t="shared" si="2"/>
        <v>25.415999999999997</v>
      </c>
    </row>
    <row r="50" spans="1:10" ht="14.1" customHeight="1" x14ac:dyDescent="0.25">
      <c r="A50" s="12" t="s">
        <v>31</v>
      </c>
      <c r="B50" s="16"/>
      <c r="C50" s="16"/>
      <c r="D50" s="16"/>
      <c r="E50" s="16"/>
      <c r="F50" s="16">
        <v>1</v>
      </c>
      <c r="G50" s="16"/>
      <c r="H50" s="6">
        <f t="shared" si="0"/>
        <v>3.2079999999999984</v>
      </c>
      <c r="I50" s="6">
        <f t="shared" si="1"/>
        <v>21.207999999999998</v>
      </c>
      <c r="J50" s="7">
        <f t="shared" si="2"/>
        <v>24.415999999999997</v>
      </c>
    </row>
    <row r="51" spans="1:10" ht="14.1" customHeight="1" x14ac:dyDescent="0.25">
      <c r="A51" s="10" t="s">
        <v>32</v>
      </c>
      <c r="B51" s="17">
        <v>1.25</v>
      </c>
      <c r="C51" s="17">
        <v>1.25</v>
      </c>
      <c r="D51" s="17"/>
      <c r="E51" s="17"/>
      <c r="F51" s="17"/>
      <c r="G51" s="17"/>
      <c r="H51" s="6">
        <f t="shared" si="0"/>
        <v>4.4579999999999984</v>
      </c>
      <c r="I51" s="6">
        <f t="shared" si="1"/>
        <v>22.457999999999998</v>
      </c>
      <c r="J51" s="7">
        <f t="shared" si="2"/>
        <v>26.915999999999997</v>
      </c>
    </row>
    <row r="52" spans="1:10" ht="14.1" customHeight="1" x14ac:dyDescent="0.25">
      <c r="A52" s="11" t="s">
        <v>33</v>
      </c>
      <c r="B52" s="17"/>
      <c r="C52" s="17"/>
      <c r="D52" s="17"/>
      <c r="E52" s="17"/>
      <c r="F52" s="17">
        <v>1</v>
      </c>
      <c r="G52" s="17"/>
      <c r="H52" s="6">
        <f t="shared" si="0"/>
        <v>3.4579999999999984</v>
      </c>
      <c r="I52" s="6">
        <f t="shared" si="1"/>
        <v>22.457999999999998</v>
      </c>
      <c r="J52" s="7">
        <f t="shared" si="2"/>
        <v>25.915999999999997</v>
      </c>
    </row>
    <row r="53" spans="1:10" ht="14.1" customHeight="1" x14ac:dyDescent="0.25">
      <c r="A53" s="9" t="s">
        <v>34</v>
      </c>
      <c r="B53" s="18"/>
      <c r="C53" s="18"/>
      <c r="D53" s="18"/>
      <c r="E53" s="18"/>
      <c r="F53" s="18"/>
      <c r="G53" s="19">
        <v>1</v>
      </c>
      <c r="H53" s="6">
        <f t="shared" si="0"/>
        <v>3.4579999999999984</v>
      </c>
      <c r="I53" s="6">
        <f t="shared" si="1"/>
        <v>22.457999999999998</v>
      </c>
      <c r="J53" s="7">
        <f t="shared" si="2"/>
        <v>25.915999999999997</v>
      </c>
    </row>
    <row r="54" spans="1:10" ht="14.1" customHeight="1" x14ac:dyDescent="0.25">
      <c r="A54" s="10" t="s">
        <v>35</v>
      </c>
      <c r="B54" s="18">
        <v>2.5</v>
      </c>
      <c r="C54" s="18">
        <v>2.5</v>
      </c>
      <c r="D54" s="18"/>
      <c r="E54" s="18"/>
      <c r="F54" s="18"/>
      <c r="G54" s="18"/>
      <c r="H54" s="6">
        <f t="shared" si="0"/>
        <v>5.9579999999999984</v>
      </c>
      <c r="I54" s="6">
        <f t="shared" si="1"/>
        <v>24.957999999999998</v>
      </c>
      <c r="J54" s="7">
        <f t="shared" si="2"/>
        <v>30.915999999999997</v>
      </c>
    </row>
    <row r="55" spans="1:10" ht="14.1" customHeight="1" x14ac:dyDescent="0.25">
      <c r="A55" s="9" t="s">
        <v>36</v>
      </c>
      <c r="B55" s="18"/>
      <c r="C55" s="18"/>
      <c r="D55" s="18"/>
      <c r="E55" s="18"/>
      <c r="F55" s="19">
        <v>1</v>
      </c>
      <c r="G55" s="19"/>
      <c r="H55" s="6">
        <f t="shared" si="0"/>
        <v>4.9579999999999984</v>
      </c>
      <c r="I55" s="6">
        <f t="shared" si="1"/>
        <v>24.957999999999998</v>
      </c>
      <c r="J55" s="7">
        <f t="shared" si="2"/>
        <v>29.915999999999997</v>
      </c>
    </row>
    <row r="56" spans="1:10" ht="14.1" customHeight="1" x14ac:dyDescent="0.25">
      <c r="A56" s="9" t="s">
        <v>37</v>
      </c>
      <c r="B56" s="18"/>
      <c r="C56" s="18"/>
      <c r="D56" s="18"/>
      <c r="E56" s="18"/>
      <c r="F56" s="19">
        <v>1</v>
      </c>
      <c r="G56" s="19"/>
      <c r="H56" s="6">
        <f t="shared" si="0"/>
        <v>3.9579999999999984</v>
      </c>
      <c r="I56" s="6">
        <f t="shared" si="1"/>
        <v>24.957999999999998</v>
      </c>
      <c r="J56" s="7">
        <f t="shared" si="2"/>
        <v>28.915999999999997</v>
      </c>
    </row>
    <row r="57" spans="1:10" ht="14.1" customHeight="1" x14ac:dyDescent="0.25">
      <c r="A57" s="10" t="s">
        <v>63</v>
      </c>
      <c r="B57" s="17">
        <v>2.5</v>
      </c>
      <c r="C57" s="17">
        <v>2.5</v>
      </c>
      <c r="D57" s="18"/>
      <c r="E57" s="18"/>
      <c r="F57" s="18"/>
      <c r="G57" s="18"/>
      <c r="H57" s="6">
        <f t="shared" si="0"/>
        <v>6.4579999999999984</v>
      </c>
      <c r="I57" s="6">
        <f t="shared" si="1"/>
        <v>27.457999999999998</v>
      </c>
      <c r="J57" s="7">
        <f t="shared" si="2"/>
        <v>33.915999999999997</v>
      </c>
    </row>
    <row r="58" spans="1:10" s="21" customFormat="1" ht="14.1" customHeight="1" x14ac:dyDescent="0.25">
      <c r="A58" s="20" t="s">
        <v>64</v>
      </c>
      <c r="B58" s="20"/>
      <c r="C58" s="20"/>
      <c r="D58" s="20"/>
      <c r="E58" s="20"/>
      <c r="F58" s="20"/>
      <c r="G58" s="22">
        <v>1</v>
      </c>
      <c r="H58" s="6">
        <f t="shared" si="0"/>
        <v>6.4579999999999984</v>
      </c>
      <c r="I58" s="6">
        <f t="shared" si="1"/>
        <v>27.457999999999998</v>
      </c>
      <c r="J58" s="7">
        <f t="shared" si="2"/>
        <v>33.915999999999997</v>
      </c>
    </row>
    <row r="59" spans="1:10" s="21" customFormat="1" ht="14.1" customHeight="1" x14ac:dyDescent="0.25">
      <c r="A59" s="47" t="s">
        <v>65</v>
      </c>
      <c r="B59" s="47"/>
      <c r="C59" s="47"/>
      <c r="D59" s="47"/>
      <c r="E59" s="47"/>
      <c r="F59" s="48">
        <v>1.5</v>
      </c>
      <c r="G59" s="47"/>
      <c r="H59" s="6">
        <f t="shared" si="0"/>
        <v>4.9579999999999984</v>
      </c>
      <c r="I59" s="6">
        <f t="shared" si="1"/>
        <v>27.457999999999998</v>
      </c>
      <c r="J59" s="7">
        <f t="shared" si="2"/>
        <v>32.415999999999997</v>
      </c>
    </row>
    <row r="60" spans="1:10" s="21" customFormat="1" ht="14.1" customHeight="1" x14ac:dyDescent="0.25">
      <c r="A60" s="20" t="s">
        <v>80</v>
      </c>
      <c r="B60" s="17">
        <v>2.5</v>
      </c>
      <c r="C60" s="17">
        <v>2.5</v>
      </c>
      <c r="D60" s="20"/>
      <c r="E60" s="20"/>
      <c r="F60" s="20"/>
      <c r="G60" s="20"/>
      <c r="H60" s="6">
        <f t="shared" si="0"/>
        <v>7.4579999999999984</v>
      </c>
      <c r="I60" s="6">
        <f t="shared" si="1"/>
        <v>29.957999999999998</v>
      </c>
      <c r="J60" s="7">
        <f t="shared" si="2"/>
        <v>37.415999999999997</v>
      </c>
    </row>
    <row r="61" spans="1:10" s="21" customFormat="1" ht="14.1" customHeight="1" x14ac:dyDescent="0.25">
      <c r="A61" s="47" t="s">
        <v>81</v>
      </c>
      <c r="B61" s="47"/>
      <c r="C61" s="47"/>
      <c r="D61" s="47"/>
      <c r="E61" s="47"/>
      <c r="F61" s="48">
        <v>0.5</v>
      </c>
      <c r="G61" s="20"/>
      <c r="H61" s="6">
        <f t="shared" si="0"/>
        <v>6.9579999999999984</v>
      </c>
      <c r="I61" s="6">
        <f t="shared" si="1"/>
        <v>29.957999999999998</v>
      </c>
      <c r="J61" s="7">
        <f t="shared" si="2"/>
        <v>36.915999999999997</v>
      </c>
    </row>
    <row r="62" spans="1:10" ht="14.1" customHeight="1" x14ac:dyDescent="0.25">
      <c r="A62" s="20" t="s">
        <v>82</v>
      </c>
      <c r="B62" s="31"/>
      <c r="C62" s="31"/>
      <c r="D62" s="31"/>
      <c r="E62" s="31"/>
      <c r="F62" s="31"/>
      <c r="G62" s="22">
        <v>1</v>
      </c>
      <c r="H62" s="6">
        <f t="shared" si="0"/>
        <v>6.9579999999999984</v>
      </c>
      <c r="I62" s="6">
        <f t="shared" si="1"/>
        <v>29.957999999999998</v>
      </c>
      <c r="J62" s="7">
        <f t="shared" si="2"/>
        <v>36.915999999999997</v>
      </c>
    </row>
    <row r="63" spans="1:10" ht="14.1" customHeight="1" x14ac:dyDescent="0.25">
      <c r="A63" s="20" t="s">
        <v>83</v>
      </c>
      <c r="B63" s="31"/>
      <c r="C63" s="31"/>
      <c r="D63" s="31"/>
      <c r="E63" s="22">
        <v>1</v>
      </c>
      <c r="F63" s="31"/>
      <c r="G63" s="31"/>
      <c r="H63" s="6">
        <f t="shared" si="0"/>
        <v>6.9579999999999984</v>
      </c>
      <c r="I63" s="6">
        <f t="shared" si="1"/>
        <v>28.957999999999998</v>
      </c>
      <c r="J63" s="7">
        <f t="shared" si="2"/>
        <v>35.915999999999997</v>
      </c>
    </row>
    <row r="64" spans="1:10" ht="14.1" customHeight="1" x14ac:dyDescent="0.25">
      <c r="A64" s="20" t="s">
        <v>84</v>
      </c>
      <c r="B64" s="17">
        <v>2.5</v>
      </c>
      <c r="C64" s="17">
        <v>2.5</v>
      </c>
      <c r="D64" s="31"/>
      <c r="E64" s="31"/>
      <c r="F64" s="31"/>
      <c r="G64" s="31"/>
      <c r="H64" s="6">
        <f t="shared" si="0"/>
        <v>9.4579999999999984</v>
      </c>
      <c r="I64" s="6">
        <f t="shared" si="1"/>
        <v>31.457999999999998</v>
      </c>
      <c r="J64" s="7">
        <f t="shared" si="2"/>
        <v>40.915999999999997</v>
      </c>
    </row>
    <row r="65" spans="1:10" ht="14.1" customHeight="1" x14ac:dyDescent="0.25">
      <c r="A65" s="20" t="s">
        <v>85</v>
      </c>
      <c r="B65" s="31"/>
      <c r="C65" s="31"/>
      <c r="D65" s="31"/>
      <c r="E65" s="31"/>
      <c r="F65" s="31"/>
      <c r="G65" s="22">
        <v>1</v>
      </c>
      <c r="H65" s="6">
        <f t="shared" si="0"/>
        <v>9.4579999999999984</v>
      </c>
      <c r="I65" s="6">
        <f t="shared" si="1"/>
        <v>31.457999999999998</v>
      </c>
      <c r="J65" s="7">
        <f t="shared" si="2"/>
        <v>40.915999999999997</v>
      </c>
    </row>
    <row r="66" spans="1:10" ht="14.1" customHeight="1" x14ac:dyDescent="0.25">
      <c r="A66" s="20" t="s">
        <v>86</v>
      </c>
      <c r="B66" s="31"/>
      <c r="C66" s="31"/>
      <c r="D66" s="31"/>
      <c r="E66" s="22">
        <v>1</v>
      </c>
      <c r="F66" s="31"/>
      <c r="G66" s="31"/>
      <c r="H66" s="6">
        <f t="shared" si="0"/>
        <v>9.4579999999999984</v>
      </c>
      <c r="I66" s="6">
        <f t="shared" si="1"/>
        <v>30.457999999999998</v>
      </c>
      <c r="J66" s="7">
        <f t="shared" si="2"/>
        <v>39.915999999999997</v>
      </c>
    </row>
    <row r="67" spans="1:10" ht="14.1" customHeight="1" x14ac:dyDescent="0.25">
      <c r="A67" s="20" t="s">
        <v>87</v>
      </c>
      <c r="B67" s="31"/>
      <c r="C67" s="31"/>
      <c r="D67" s="22">
        <v>1</v>
      </c>
      <c r="E67" s="31"/>
      <c r="F67" s="31"/>
      <c r="G67" s="31"/>
      <c r="H67" s="6">
        <f t="shared" si="0"/>
        <v>8.4579999999999984</v>
      </c>
      <c r="I67" s="6">
        <f t="shared" si="1"/>
        <v>30.457999999999998</v>
      </c>
      <c r="J67" s="7">
        <f t="shared" si="2"/>
        <v>38.915999999999997</v>
      </c>
    </row>
    <row r="68" spans="1:10" ht="15" customHeight="1" x14ac:dyDescent="0.25">
      <c r="A68" s="20" t="s">
        <v>88</v>
      </c>
      <c r="B68" s="31"/>
      <c r="C68" s="31"/>
      <c r="D68" s="22">
        <v>3</v>
      </c>
      <c r="E68" s="22">
        <v>17</v>
      </c>
      <c r="F68" s="31"/>
      <c r="G68" s="31"/>
      <c r="H68" s="6">
        <f t="shared" si="0"/>
        <v>5.4579999999999984</v>
      </c>
      <c r="I68" s="6">
        <f t="shared" si="1"/>
        <v>13.457999999999998</v>
      </c>
      <c r="J68" s="7">
        <f t="shared" si="2"/>
        <v>18.915999999999997</v>
      </c>
    </row>
    <row r="69" spans="1:10" s="21" customFormat="1" ht="15" customHeight="1" x14ac:dyDescent="0.25">
      <c r="A69" s="32" t="s">
        <v>89</v>
      </c>
      <c r="B69" s="32"/>
      <c r="C69" s="32"/>
      <c r="D69" s="32">
        <v>1</v>
      </c>
      <c r="E69" s="32"/>
      <c r="F69" s="32"/>
      <c r="G69" s="32"/>
      <c r="H69" s="6">
        <f t="shared" si="0"/>
        <v>4.4579999999999984</v>
      </c>
      <c r="I69" s="6">
        <f t="shared" si="1"/>
        <v>13.457999999999998</v>
      </c>
      <c r="J69" s="7">
        <f t="shared" si="2"/>
        <v>17.915999999999997</v>
      </c>
    </row>
    <row r="70" spans="1:10" s="21" customFormat="1" ht="15" customHeight="1" x14ac:dyDescent="0.25">
      <c r="A70" s="20" t="s">
        <v>90</v>
      </c>
      <c r="B70" s="20">
        <f>4*1.25</f>
        <v>5</v>
      </c>
      <c r="C70" s="20">
        <v>5</v>
      </c>
      <c r="D70" s="20"/>
      <c r="E70" s="20"/>
      <c r="F70" s="20"/>
      <c r="G70" s="20"/>
      <c r="H70" s="6">
        <f t="shared" si="0"/>
        <v>9.4579999999999984</v>
      </c>
      <c r="I70" s="6">
        <f t="shared" si="1"/>
        <v>18.457999999999998</v>
      </c>
      <c r="J70" s="7">
        <f t="shared" si="2"/>
        <v>27.915999999999997</v>
      </c>
    </row>
    <row r="71" spans="1:10" s="21" customFormat="1" ht="15" customHeight="1" x14ac:dyDescent="0.25">
      <c r="A71" s="20" t="s">
        <v>91</v>
      </c>
      <c r="B71" s="20"/>
      <c r="C71" s="20"/>
      <c r="D71" s="20"/>
      <c r="E71" s="20">
        <v>1</v>
      </c>
      <c r="F71" s="20"/>
      <c r="G71" s="20"/>
      <c r="H71" s="6">
        <f t="shared" si="0"/>
        <v>9.4579999999999984</v>
      </c>
      <c r="I71" s="6">
        <f t="shared" si="1"/>
        <v>17.457999999999998</v>
      </c>
      <c r="J71" s="7">
        <f t="shared" si="2"/>
        <v>26.915999999999997</v>
      </c>
    </row>
    <row r="72" spans="1:10" s="21" customFormat="1" ht="15" customHeight="1" x14ac:dyDescent="0.25">
      <c r="A72" s="20" t="s">
        <v>92</v>
      </c>
      <c r="B72" s="20">
        <v>1.25</v>
      </c>
      <c r="C72" s="20">
        <v>1.25</v>
      </c>
      <c r="D72" s="20"/>
      <c r="E72" s="20"/>
      <c r="F72" s="20"/>
      <c r="G72" s="20"/>
      <c r="H72" s="6">
        <f t="shared" si="0"/>
        <v>10.707999999999998</v>
      </c>
      <c r="I72" s="6">
        <f t="shared" si="1"/>
        <v>18.707999999999998</v>
      </c>
      <c r="J72" s="7">
        <f t="shared" si="2"/>
        <v>29.415999999999997</v>
      </c>
    </row>
    <row r="73" spans="1:10" s="21" customFormat="1" ht="15" customHeight="1" x14ac:dyDescent="0.25">
      <c r="A73" s="20" t="s">
        <v>93</v>
      </c>
      <c r="B73" s="20">
        <v>1.25</v>
      </c>
      <c r="C73" s="20">
        <v>1.25</v>
      </c>
      <c r="D73" s="20"/>
      <c r="E73" s="20"/>
      <c r="F73" s="20"/>
      <c r="G73" s="20"/>
      <c r="H73" s="6">
        <f t="shared" si="0"/>
        <v>11.957999999999998</v>
      </c>
      <c r="I73" s="6">
        <f t="shared" si="1"/>
        <v>19.957999999999998</v>
      </c>
      <c r="J73" s="7">
        <f t="shared" si="2"/>
        <v>31.915999999999997</v>
      </c>
    </row>
    <row r="74" spans="1:10" s="21" customFormat="1" ht="15" customHeight="1" x14ac:dyDescent="0.25">
      <c r="A74" s="20" t="s">
        <v>94</v>
      </c>
      <c r="B74" s="20"/>
      <c r="C74" s="20"/>
      <c r="D74" s="20"/>
      <c r="E74" s="20"/>
      <c r="F74" s="20">
        <v>1</v>
      </c>
      <c r="G74" s="20"/>
      <c r="H74" s="6">
        <f t="shared" si="0"/>
        <v>10.957999999999998</v>
      </c>
      <c r="I74" s="6">
        <f t="shared" si="1"/>
        <v>19.957999999999998</v>
      </c>
      <c r="J74" s="7">
        <f t="shared" si="2"/>
        <v>30.915999999999997</v>
      </c>
    </row>
    <row r="75" spans="1:10" s="21" customFormat="1" ht="15" customHeight="1" x14ac:dyDescent="0.25">
      <c r="A75" s="20" t="s">
        <v>95</v>
      </c>
      <c r="B75" s="20">
        <v>2.5</v>
      </c>
      <c r="C75" s="20">
        <v>2.5</v>
      </c>
      <c r="D75" s="20"/>
      <c r="E75" s="20"/>
      <c r="F75" s="20"/>
      <c r="G75" s="20"/>
      <c r="H75" s="6">
        <f t="shared" si="0"/>
        <v>13.457999999999998</v>
      </c>
      <c r="I75" s="6">
        <f t="shared" si="1"/>
        <v>22.457999999999998</v>
      </c>
      <c r="J75" s="7">
        <f t="shared" si="2"/>
        <v>35.915999999999997</v>
      </c>
    </row>
    <row r="76" spans="1:10" s="21" customFormat="1" ht="17.25" customHeight="1" x14ac:dyDescent="0.25">
      <c r="A76" s="20" t="s">
        <v>96</v>
      </c>
      <c r="B76" s="20"/>
      <c r="C76" s="20"/>
      <c r="D76" s="20"/>
      <c r="E76" s="20">
        <v>1</v>
      </c>
      <c r="F76" s="20"/>
      <c r="G76" s="20"/>
      <c r="H76" s="6">
        <f t="shared" si="0"/>
        <v>13.457999999999998</v>
      </c>
      <c r="I76" s="6">
        <f t="shared" si="1"/>
        <v>21.457999999999998</v>
      </c>
      <c r="J76" s="7">
        <f t="shared" si="2"/>
        <v>34.915999999999997</v>
      </c>
    </row>
    <row r="77" spans="1:10" s="21" customFormat="1" ht="17.25" customHeight="1" x14ac:dyDescent="0.25">
      <c r="A77" s="20" t="s">
        <v>107</v>
      </c>
      <c r="B77" s="20">
        <v>2.5</v>
      </c>
      <c r="C77" s="20">
        <v>2.5</v>
      </c>
      <c r="D77" s="20"/>
      <c r="E77" s="20"/>
      <c r="F77" s="20"/>
      <c r="G77" s="20"/>
      <c r="H77" s="6">
        <f t="shared" si="0"/>
        <v>15.957999999999998</v>
      </c>
      <c r="I77" s="6">
        <f t="shared" si="1"/>
        <v>23.957999999999998</v>
      </c>
      <c r="J77" s="7">
        <f t="shared" si="2"/>
        <v>39.915999999999997</v>
      </c>
    </row>
    <row r="78" spans="1:10" s="21" customFormat="1" ht="17.25" customHeight="1" x14ac:dyDescent="0.25">
      <c r="A78" s="20" t="s">
        <v>108</v>
      </c>
      <c r="B78" s="20"/>
      <c r="C78" s="20"/>
      <c r="D78" s="20"/>
      <c r="E78" s="20"/>
      <c r="F78" s="20"/>
      <c r="G78" s="20">
        <v>1</v>
      </c>
      <c r="H78" s="6">
        <f t="shared" si="0"/>
        <v>15.957999999999998</v>
      </c>
      <c r="I78" s="6">
        <f t="shared" si="1"/>
        <v>23.957999999999998</v>
      </c>
      <c r="J78" s="7">
        <f t="shared" si="2"/>
        <v>39.915999999999997</v>
      </c>
    </row>
    <row r="79" spans="1:10" s="21" customFormat="1" ht="17.25" customHeight="1" x14ac:dyDescent="0.25">
      <c r="A79" s="20" t="s">
        <v>110</v>
      </c>
      <c r="B79" s="20">
        <v>1.25</v>
      </c>
      <c r="C79" s="20">
        <v>1.25</v>
      </c>
      <c r="D79" s="20"/>
      <c r="E79" s="20"/>
      <c r="F79" s="20"/>
      <c r="G79" s="20"/>
      <c r="H79" s="6">
        <f t="shared" ref="H79:H90" si="3">H78-F79-D79+B79</f>
        <v>17.207999999999998</v>
      </c>
      <c r="I79" s="6">
        <f t="shared" ref="I79:I90" si="4">I78-E79+C79</f>
        <v>25.207999999999998</v>
      </c>
      <c r="J79" s="7">
        <f t="shared" ref="J79:J90" si="5">SUM(H79:I79)</f>
        <v>42.415999999999997</v>
      </c>
    </row>
    <row r="80" spans="1:10" s="21" customFormat="1" ht="17.25" customHeight="1" x14ac:dyDescent="0.25">
      <c r="A80" s="20" t="s">
        <v>112</v>
      </c>
      <c r="B80" s="20"/>
      <c r="C80" s="20"/>
      <c r="D80" s="20">
        <v>10</v>
      </c>
      <c r="E80" s="20"/>
      <c r="F80" s="20"/>
      <c r="G80" s="20"/>
      <c r="H80" s="19">
        <f t="shared" si="3"/>
        <v>7.2079999999999984</v>
      </c>
      <c r="I80" s="19">
        <f t="shared" si="4"/>
        <v>25.207999999999998</v>
      </c>
      <c r="J80" s="19">
        <f t="shared" si="5"/>
        <v>32.415999999999997</v>
      </c>
    </row>
    <row r="81" spans="1:10" s="21" customFormat="1" ht="17.25" customHeight="1" x14ac:dyDescent="0.25">
      <c r="A81" s="20" t="s">
        <v>115</v>
      </c>
      <c r="B81" s="20">
        <v>1.25</v>
      </c>
      <c r="C81" s="20">
        <v>1.25</v>
      </c>
      <c r="D81" s="20"/>
      <c r="E81" s="20"/>
      <c r="F81" s="20"/>
      <c r="G81" s="20"/>
      <c r="H81" s="19">
        <f t="shared" si="3"/>
        <v>8.4579999999999984</v>
      </c>
      <c r="I81" s="19">
        <f t="shared" si="4"/>
        <v>26.457999999999998</v>
      </c>
      <c r="J81" s="19">
        <f t="shared" si="5"/>
        <v>34.915999999999997</v>
      </c>
    </row>
    <row r="82" spans="1:10" s="21" customFormat="1" ht="17.25" customHeight="1" x14ac:dyDescent="0.25">
      <c r="A82" s="20" t="s">
        <v>116</v>
      </c>
      <c r="B82" s="20"/>
      <c r="C82" s="20"/>
      <c r="D82" s="20"/>
      <c r="E82" s="20"/>
      <c r="F82" s="20">
        <v>1</v>
      </c>
      <c r="G82" s="20"/>
      <c r="H82" s="19">
        <f t="shared" si="3"/>
        <v>7.4579999999999984</v>
      </c>
      <c r="I82" s="19">
        <f t="shared" si="4"/>
        <v>26.457999999999998</v>
      </c>
      <c r="J82" s="19">
        <f t="shared" si="5"/>
        <v>33.915999999999997</v>
      </c>
    </row>
    <row r="83" spans="1:10" s="21" customFormat="1" ht="17.25" customHeight="1" x14ac:dyDescent="0.25">
      <c r="A83" s="20" t="s">
        <v>120</v>
      </c>
      <c r="B83" s="20">
        <v>2.5</v>
      </c>
      <c r="C83" s="20">
        <v>2.5</v>
      </c>
      <c r="D83" s="20"/>
      <c r="E83" s="20"/>
      <c r="F83" s="20"/>
      <c r="G83" s="20"/>
      <c r="H83" s="19">
        <f t="shared" si="3"/>
        <v>9.9579999999999984</v>
      </c>
      <c r="I83" s="19">
        <f t="shared" si="4"/>
        <v>28.957999999999998</v>
      </c>
      <c r="J83" s="19">
        <f t="shared" si="5"/>
        <v>38.915999999999997</v>
      </c>
    </row>
    <row r="84" spans="1:10" s="21" customFormat="1" ht="17.25" customHeight="1" x14ac:dyDescent="0.25">
      <c r="A84" s="20" t="s">
        <v>121</v>
      </c>
      <c r="B84" s="20"/>
      <c r="C84" s="20"/>
      <c r="D84" s="20"/>
      <c r="E84" s="20"/>
      <c r="F84" s="20">
        <v>1</v>
      </c>
      <c r="G84" s="20"/>
      <c r="H84" s="19">
        <f t="shared" si="3"/>
        <v>8.9579999999999984</v>
      </c>
      <c r="I84" s="19">
        <f t="shared" si="4"/>
        <v>28.957999999999998</v>
      </c>
      <c r="J84" s="19">
        <f t="shared" si="5"/>
        <v>37.915999999999997</v>
      </c>
    </row>
    <row r="85" spans="1:10" s="21" customFormat="1" ht="17.25" customHeight="1" x14ac:dyDescent="0.25">
      <c r="A85" s="20" t="s">
        <v>122</v>
      </c>
      <c r="B85" s="20">
        <v>1.25</v>
      </c>
      <c r="C85" s="20">
        <v>1.25</v>
      </c>
      <c r="D85" s="20"/>
      <c r="E85" s="20"/>
      <c r="F85" s="20"/>
      <c r="G85" s="20"/>
      <c r="H85" s="19">
        <f t="shared" si="3"/>
        <v>10.207999999999998</v>
      </c>
      <c r="I85" s="19">
        <f t="shared" si="4"/>
        <v>30.207999999999998</v>
      </c>
      <c r="J85" s="19">
        <f t="shared" si="5"/>
        <v>40.415999999999997</v>
      </c>
    </row>
    <row r="86" spans="1:10" s="21" customFormat="1" ht="17.25" customHeight="1" x14ac:dyDescent="0.25">
      <c r="A86" s="20" t="s">
        <v>123</v>
      </c>
      <c r="B86" s="20"/>
      <c r="C86" s="20"/>
      <c r="D86" s="20"/>
      <c r="E86" s="20"/>
      <c r="F86" s="20">
        <v>1</v>
      </c>
      <c r="G86" s="20"/>
      <c r="H86" s="19">
        <f t="shared" si="3"/>
        <v>9.2079999999999984</v>
      </c>
      <c r="I86" s="19">
        <f t="shared" si="4"/>
        <v>30.207999999999998</v>
      </c>
      <c r="J86" s="19">
        <f t="shared" si="5"/>
        <v>39.415999999999997</v>
      </c>
    </row>
    <row r="87" spans="1:10" s="21" customFormat="1" ht="17.25" customHeight="1" x14ac:dyDescent="0.25">
      <c r="A87" s="20" t="s">
        <v>124</v>
      </c>
      <c r="B87" s="20"/>
      <c r="C87" s="20"/>
      <c r="D87" s="20"/>
      <c r="E87" s="20"/>
      <c r="F87" s="20">
        <v>1</v>
      </c>
      <c r="G87" s="20"/>
      <c r="H87" s="19">
        <f t="shared" si="3"/>
        <v>8.2079999999999984</v>
      </c>
      <c r="I87" s="19">
        <f t="shared" si="4"/>
        <v>30.207999999999998</v>
      </c>
      <c r="J87" s="19">
        <f t="shared" si="5"/>
        <v>38.415999999999997</v>
      </c>
    </row>
    <row r="88" spans="1:10" s="1" customFormat="1" ht="17.25" customHeight="1" x14ac:dyDescent="0.25">
      <c r="A88" s="43" t="s">
        <v>125</v>
      </c>
      <c r="B88" s="42"/>
      <c r="C88" s="42"/>
      <c r="D88" s="42"/>
      <c r="E88" s="42"/>
      <c r="F88" s="31"/>
      <c r="G88" s="20">
        <v>1</v>
      </c>
      <c r="H88" s="19">
        <f t="shared" si="3"/>
        <v>8.2079999999999984</v>
      </c>
      <c r="I88" s="19">
        <f t="shared" si="4"/>
        <v>30.207999999999998</v>
      </c>
      <c r="J88" s="19">
        <f t="shared" si="5"/>
        <v>38.415999999999997</v>
      </c>
    </row>
    <row r="89" spans="1:10" s="1" customFormat="1" ht="17.25" customHeight="1" x14ac:dyDescent="0.25">
      <c r="A89" s="43" t="s">
        <v>127</v>
      </c>
      <c r="B89" s="43">
        <v>1.25</v>
      </c>
      <c r="C89" s="43">
        <v>1.25</v>
      </c>
      <c r="D89" s="43"/>
      <c r="E89" s="43"/>
      <c r="F89" s="31"/>
      <c r="G89" s="20"/>
      <c r="H89" s="19">
        <f t="shared" si="3"/>
        <v>9.4579999999999984</v>
      </c>
      <c r="I89" s="19">
        <f t="shared" si="4"/>
        <v>31.457999999999998</v>
      </c>
      <c r="J89" s="19">
        <f t="shared" si="5"/>
        <v>40.915999999999997</v>
      </c>
    </row>
    <row r="90" spans="1:10" s="1" customFormat="1" ht="17.25" customHeight="1" x14ac:dyDescent="0.25">
      <c r="A90" s="43" t="s">
        <v>128</v>
      </c>
      <c r="B90" s="43"/>
      <c r="C90" s="43"/>
      <c r="D90" s="43"/>
      <c r="E90" s="43"/>
      <c r="F90" s="45">
        <v>1</v>
      </c>
      <c r="G90" s="20"/>
      <c r="H90" s="19">
        <f t="shared" si="3"/>
        <v>8.4579999999999984</v>
      </c>
      <c r="I90" s="19">
        <f t="shared" si="4"/>
        <v>31.457999999999998</v>
      </c>
      <c r="J90" s="19">
        <f t="shared" si="5"/>
        <v>39.915999999999997</v>
      </c>
    </row>
    <row r="91" spans="1:10" s="1" customFormat="1" ht="17.25" customHeight="1" x14ac:dyDescent="0.25">
      <c r="A91" s="46"/>
      <c r="B91" s="46"/>
      <c r="C91" s="46"/>
      <c r="D91" s="46"/>
      <c r="E91" s="46"/>
      <c r="F91" s="46"/>
      <c r="G91" s="20"/>
      <c r="H91" s="19"/>
      <c r="I91" s="19"/>
      <c r="J91" s="19"/>
    </row>
    <row r="92" spans="1:10" s="1" customFormat="1" ht="17.25" customHeight="1" x14ac:dyDescent="0.25">
      <c r="A92" s="46"/>
      <c r="B92" s="46"/>
      <c r="C92" s="46"/>
      <c r="D92" s="46"/>
      <c r="E92" s="46"/>
      <c r="F92" s="46"/>
      <c r="G92" s="20"/>
      <c r="H92" s="19"/>
      <c r="I92" s="19"/>
      <c r="J92" s="19"/>
    </row>
    <row r="93" spans="1:10" s="1" customFormat="1" ht="17.25" customHeight="1" x14ac:dyDescent="0.25">
      <c r="A93" s="46"/>
      <c r="B93" s="46"/>
      <c r="C93" s="46"/>
      <c r="D93" s="46"/>
      <c r="E93" s="46"/>
      <c r="F93" s="46"/>
      <c r="G93" s="20"/>
      <c r="H93" s="19"/>
      <c r="I93" s="19"/>
      <c r="J93" s="19"/>
    </row>
    <row r="94" spans="1:10" s="1" customFormat="1" ht="17.25" customHeight="1" x14ac:dyDescent="0.25">
      <c r="A94" s="46"/>
      <c r="B94" s="46"/>
      <c r="C94" s="46"/>
      <c r="D94" s="46"/>
      <c r="E94" s="46"/>
      <c r="F94" s="31"/>
      <c r="G94" s="20"/>
      <c r="H94" s="19"/>
      <c r="I94" s="19"/>
      <c r="J94" s="19"/>
    </row>
    <row r="95" spans="1:10" s="1" customFormat="1" ht="17.25" customHeight="1" x14ac:dyDescent="0.25">
      <c r="A95" s="30"/>
      <c r="F95"/>
      <c r="G95" s="21"/>
      <c r="H95" s="44"/>
      <c r="I95" s="44"/>
      <c r="J95" s="44"/>
    </row>
    <row r="96" spans="1:10" s="1" customFormat="1" ht="17.25" customHeight="1" x14ac:dyDescent="0.25">
      <c r="A96" s="30"/>
      <c r="F96" t="s">
        <v>126</v>
      </c>
      <c r="G96" s="21"/>
      <c r="H96" s="44"/>
      <c r="I96" s="44"/>
      <c r="J96" s="44"/>
    </row>
    <row r="97" spans="7:7" s="1" customFormat="1" ht="14.1" customHeight="1" x14ac:dyDescent="0.25"/>
    <row r="98" spans="7:7" s="1" customFormat="1" ht="14.1" customHeight="1" x14ac:dyDescent="0.25">
      <c r="G98" s="39" t="s">
        <v>74</v>
      </c>
    </row>
    <row r="99" spans="7:7" s="1" customFormat="1" ht="14.1" customHeight="1" x14ac:dyDescent="0.25">
      <c r="G99" s="1" t="s">
        <v>75</v>
      </c>
    </row>
    <row r="100" spans="7:7" s="1" customFormat="1" ht="14.1" customHeight="1" x14ac:dyDescent="0.25">
      <c r="G100" s="1" t="s">
        <v>113</v>
      </c>
    </row>
  </sheetData>
  <mergeCells count="12"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69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CORRECTED</vt:lpstr>
      <vt:lpstr>CTO</vt:lpstr>
      <vt:lpstr>Leave Card (NE) (2)</vt:lpstr>
      <vt:lpstr>CORRECTED!Print_Area</vt:lpstr>
      <vt:lpstr>'Leave Card (NE) (2)'!Print_Area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2025-12-12T01:15:36Z</cp:lastPrinted>
  <dcterms:created xsi:type="dcterms:W3CDTF">2021-10-07T06:10:16Z</dcterms:created>
  <dcterms:modified xsi:type="dcterms:W3CDTF">2025-12-12T01:22:28Z</dcterms:modified>
</cp:coreProperties>
</file>