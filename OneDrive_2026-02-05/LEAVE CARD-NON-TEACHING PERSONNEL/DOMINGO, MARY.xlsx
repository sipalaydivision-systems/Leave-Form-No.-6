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/>
  <xr:revisionPtr revIDLastSave="5" documentId="11_1E6BA7BC8C88758B19A52D3F7BB7F9B2FD9AADCB" xr6:coauthVersionLast="47" xr6:coauthVersionMax="47" xr10:uidLastSave="{AE891BBE-76D2-4775-9115-10E5703B36AF}"/>
  <bookViews>
    <workbookView xWindow="0" yWindow="0" windowWidth="22188" windowHeight="9000" xr2:uid="{00000000-000D-0000-FFFF-FFFF00000000}"/>
  </bookViews>
  <sheets>
    <sheet name="Leave Card (NE)" sheetId="6" r:id="rId1"/>
    <sheet name="CTO" sheetId="7" r:id="rId2"/>
  </sheets>
  <definedNames>
    <definedName name="_xlnm.Print_Area" localSheetId="0">'Leave Card (NE)'!$A$1:$J$83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6" i="6" l="1"/>
  <c r="I76" i="6"/>
  <c r="J76" i="6"/>
  <c r="J75" i="6"/>
  <c r="I75" i="6"/>
  <c r="H75" i="6"/>
  <c r="J74" i="6"/>
  <c r="I74" i="6"/>
  <c r="H74" i="6"/>
  <c r="J73" i="6"/>
  <c r="I73" i="6"/>
  <c r="H73" i="6"/>
  <c r="J72" i="6"/>
  <c r="I72" i="6"/>
  <c r="H72" i="6"/>
  <c r="J71" i="6"/>
  <c r="I71" i="6"/>
  <c r="H71" i="6"/>
  <c r="J70" i="6"/>
  <c r="I70" i="6"/>
  <c r="H70" i="6"/>
  <c r="J69" i="6"/>
  <c r="I69" i="6"/>
  <c r="H69" i="6"/>
  <c r="J68" i="6"/>
  <c r="I68" i="6"/>
  <c r="H68" i="6"/>
  <c r="J67" i="6"/>
  <c r="I67" i="6"/>
  <c r="H67" i="6"/>
  <c r="J66" i="6"/>
  <c r="I66" i="6"/>
  <c r="H66" i="6"/>
  <c r="J65" i="6"/>
  <c r="I65" i="6"/>
  <c r="H65" i="6"/>
  <c r="J64" i="6"/>
  <c r="I64" i="6"/>
  <c r="H64" i="6"/>
  <c r="J63" i="6"/>
  <c r="I63" i="6"/>
  <c r="H63" i="6"/>
  <c r="J62" i="6"/>
  <c r="I62" i="6"/>
  <c r="H62" i="6"/>
  <c r="J61" i="6"/>
  <c r="I61" i="6"/>
  <c r="H61" i="6"/>
  <c r="J60" i="6"/>
  <c r="I60" i="6"/>
  <c r="H60" i="6"/>
  <c r="J59" i="6"/>
  <c r="I59" i="6"/>
  <c r="H59" i="6"/>
  <c r="J58" i="6"/>
  <c r="I58" i="6"/>
  <c r="H58" i="6"/>
  <c r="J57" i="6"/>
  <c r="I57" i="6"/>
  <c r="H57" i="6"/>
  <c r="J56" i="6"/>
  <c r="I56" i="6"/>
  <c r="H56" i="6"/>
  <c r="J55" i="6"/>
  <c r="I55" i="6"/>
  <c r="H55" i="6"/>
  <c r="J54" i="6"/>
  <c r="I54" i="6"/>
  <c r="H54" i="6"/>
  <c r="J53" i="6"/>
  <c r="I53" i="6"/>
  <c r="H53" i="6"/>
  <c r="J52" i="6"/>
  <c r="I52" i="6"/>
  <c r="H52" i="6"/>
  <c r="J51" i="6"/>
  <c r="I51" i="6"/>
  <c r="H51" i="6"/>
  <c r="J50" i="6"/>
  <c r="I50" i="6"/>
  <c r="H50" i="6"/>
  <c r="J49" i="6"/>
  <c r="I49" i="6"/>
  <c r="H49" i="6"/>
  <c r="J48" i="6"/>
  <c r="I48" i="6"/>
  <c r="H48" i="6"/>
  <c r="J47" i="6"/>
  <c r="I47" i="6"/>
  <c r="H47" i="6"/>
  <c r="J46" i="6"/>
  <c r="I46" i="6"/>
  <c r="H46" i="6"/>
  <c r="J45" i="6"/>
  <c r="I45" i="6"/>
  <c r="H45" i="6"/>
  <c r="J44" i="6"/>
  <c r="I44" i="6"/>
  <c r="H44" i="6"/>
  <c r="J43" i="6"/>
  <c r="I43" i="6"/>
  <c r="H43" i="6"/>
  <c r="J42" i="6"/>
  <c r="I42" i="6"/>
  <c r="H42" i="6"/>
  <c r="J41" i="6"/>
  <c r="I41" i="6"/>
  <c r="H41" i="6"/>
  <c r="J40" i="6"/>
  <c r="I40" i="6"/>
  <c r="H40" i="6"/>
  <c r="J39" i="6"/>
  <c r="I39" i="6"/>
  <c r="H39" i="6"/>
  <c r="J38" i="6"/>
  <c r="I38" i="6"/>
  <c r="H38" i="6"/>
  <c r="J37" i="6"/>
  <c r="I37" i="6"/>
  <c r="H37" i="6"/>
  <c r="J36" i="6"/>
  <c r="I36" i="6"/>
  <c r="H36" i="6"/>
  <c r="J35" i="6"/>
  <c r="I35" i="6"/>
  <c r="H35" i="6"/>
  <c r="J34" i="6"/>
  <c r="I34" i="6"/>
  <c r="H34" i="6"/>
  <c r="J33" i="6"/>
  <c r="I33" i="6"/>
  <c r="H33" i="6"/>
  <c r="J32" i="6"/>
  <c r="I32" i="6"/>
  <c r="H32" i="6"/>
  <c r="J31" i="6"/>
  <c r="I31" i="6"/>
  <c r="H31" i="6"/>
  <c r="J30" i="6"/>
  <c r="I30" i="6"/>
  <c r="H30" i="6"/>
  <c r="J29" i="6"/>
  <c r="I29" i="6"/>
  <c r="H29" i="6"/>
  <c r="J28" i="6"/>
  <c r="I28" i="6"/>
  <c r="H28" i="6"/>
  <c r="J27" i="6"/>
  <c r="I27" i="6"/>
  <c r="H27" i="6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J20" i="6"/>
  <c r="I20" i="6"/>
  <c r="H20" i="6"/>
  <c r="J19" i="6"/>
  <c r="I19" i="6"/>
  <c r="H19" i="6"/>
  <c r="J18" i="6"/>
  <c r="I18" i="6"/>
  <c r="H18" i="6"/>
  <c r="J17" i="6"/>
  <c r="I17" i="6"/>
  <c r="H17" i="6"/>
  <c r="J16" i="6"/>
  <c r="I16" i="6"/>
  <c r="H16" i="6"/>
  <c r="J15" i="6"/>
  <c r="I15" i="6"/>
  <c r="H15" i="6"/>
  <c r="J14" i="6"/>
  <c r="I14" i="6"/>
  <c r="H14" i="6"/>
  <c r="B14" i="6"/>
  <c r="J13" i="6"/>
  <c r="I13" i="6"/>
  <c r="H13" i="6"/>
</calcChain>
</file>

<file path=xl/sharedStrings.xml><?xml version="1.0" encoding="utf-8"?>
<sst xmlns="http://schemas.openxmlformats.org/spreadsheetml/2006/main" count="152" uniqueCount="123">
  <si>
    <t>Republic of the Philippines</t>
  </si>
  <si>
    <t>Department of Education</t>
  </si>
  <si>
    <t>NEGROS ISLAND REGION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</si>
  <si>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</si>
  <si>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</si>
  <si>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</si>
  <si>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</si>
  <si>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</si>
  <si>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</si>
  <si>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</si>
  <si>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</si>
  <si>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</si>
  <si>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</si>
  <si>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</si>
  <si>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</si>
  <si>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</si>
  <si>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</si>
  <si>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</si>
  <si>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</si>
  <si>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</si>
  <si>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</si>
  <si>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ADD: 07/15/2019 - 07/31/2019</t>
  </si>
  <si>
    <t>ADD: 08/01/2019 - 12/31/2019</t>
  </si>
  <si>
    <t>LESS: 12/27/2019</t>
  </si>
  <si>
    <t>ADD: 01/01/2020 - 12/31/2020</t>
  </si>
  <si>
    <t>LESS: 01/28/2020</t>
  </si>
  <si>
    <t>LESS: 02/04/2020</t>
  </si>
  <si>
    <t>LESS: 03/11/2020</t>
  </si>
  <si>
    <t>LESS: MONETIZATION 2020</t>
  </si>
  <si>
    <t>LESS: 06/04, 07 &amp; 08/2020</t>
  </si>
  <si>
    <t>ADD: 01/01/2021 - 12/31/2021</t>
  </si>
  <si>
    <t>LESS: 10/04, 05 &amp; 06/2021</t>
  </si>
  <si>
    <t>LESS: MONETIZATION 2021</t>
  </si>
  <si>
    <t>CALAMITY LEAVE 12/17, 20, 21, 22 &amp; 28/2021 (5 DAYS)</t>
  </si>
  <si>
    <t>LESS: FL 2021</t>
  </si>
  <si>
    <t>LESS: 01/18/22</t>
  </si>
  <si>
    <t>ADD: 01/01/22 - 03/31/22</t>
  </si>
  <si>
    <t xml:space="preserve">LESS: 04/07/22 </t>
  </si>
  <si>
    <t>ADD: 04/01/22 - 04/30/22</t>
  </si>
  <si>
    <t>LESS: 04/29/22</t>
  </si>
  <si>
    <t>LESS: 05/26/22</t>
  </si>
  <si>
    <t>LESS: 05/27/22</t>
  </si>
  <si>
    <t>ADD: 05/01/22 - 08/31/22</t>
  </si>
  <si>
    <t>LESS: MONETIZATION 2022</t>
  </si>
  <si>
    <t>ADD: 09/01/22 - 09/30/22</t>
  </si>
  <si>
    <t>LESS: 10/05/22</t>
  </si>
  <si>
    <t>ADD: 10/01/22 - 12/31/22</t>
  </si>
  <si>
    <t>LESS: 12/29/22</t>
  </si>
  <si>
    <t>LESS: FL 2022</t>
  </si>
  <si>
    <t>ADD: 01/01/ 2023 - 03/31/2023</t>
  </si>
  <si>
    <t>LESS: 04/14/23</t>
  </si>
  <si>
    <t>ADD: 04/01/23 - 04/30/23</t>
  </si>
  <si>
    <t>LESS: 5/26/23</t>
  </si>
  <si>
    <t>ADD: 05/01/23 - 05/31/23</t>
  </si>
  <si>
    <t>LESS: 05/31 &amp; 06/1 &amp; 2/23</t>
  </si>
  <si>
    <t>LESS: 06/14, 15 &amp; 16/23</t>
  </si>
  <si>
    <t>ADD: 06/01/23 - 08/31/23</t>
  </si>
  <si>
    <t>LESS: MONETIZATION 2023</t>
  </si>
  <si>
    <t>LESS: 09/15/2023</t>
  </si>
  <si>
    <t>LESS: 09/25/2023</t>
  </si>
  <si>
    <t>LESS: 09/01/2023-09/30/2023</t>
  </si>
  <si>
    <t>LESS: 10/09/2023</t>
  </si>
  <si>
    <t>LESS: 10/26-27/2023</t>
  </si>
  <si>
    <t>ADD:10/01/2023-12/31/2023</t>
  </si>
  <si>
    <t>ADD: 01/01/2024-01/31/2024</t>
  </si>
  <si>
    <t>LESS: 01/04/2024</t>
  </si>
  <si>
    <t>ADD: 02/1/2024-04/30/2024</t>
  </si>
  <si>
    <t>LESS: 05/20/2024</t>
  </si>
  <si>
    <t>ADD: 05/1-31/2024</t>
  </si>
  <si>
    <t>LESS: 06/7/2024</t>
  </si>
  <si>
    <t>ADD: 06/1/2024-08/31/2024</t>
  </si>
  <si>
    <t>LESS: MONETIZATION 2024</t>
  </si>
  <si>
    <t>ADD: 09/1/2024-11/30/2024</t>
  </si>
  <si>
    <t>LESS: 12/10-12/2024</t>
  </si>
  <si>
    <t>LESS: 12/26-27/2024</t>
  </si>
  <si>
    <t>ADD: 12/1-31/2024</t>
  </si>
  <si>
    <t>ADD: 01/1/2025-04/30/2025</t>
  </si>
  <si>
    <t>LESS: 05/30/2025</t>
  </si>
  <si>
    <t>ADD: 05/1/2025-08/31/2025</t>
  </si>
  <si>
    <t>LESS: MONETIZATION 2025</t>
  </si>
  <si>
    <t>ADD: 09/1/2025-10/31/2025</t>
  </si>
  <si>
    <t>LESS: 12/26 &amp; 29/2025</t>
  </si>
  <si>
    <t>LESS: 11/24-28/2025</t>
  </si>
  <si>
    <t>ADD: 11/1-30/2025</t>
  </si>
  <si>
    <t>ADD: 11/26-28/2025 EXIGENCY OF SERVICE</t>
  </si>
  <si>
    <t>Certified Correct:</t>
  </si>
  <si>
    <t>MA. LUISA B. CATIGAN</t>
  </si>
  <si>
    <t>Administrative Officer IV</t>
  </si>
  <si>
    <t xml:space="preserve">             HRMO</t>
  </si>
  <si>
    <t>REGION VI-WESTERN VISAYAS</t>
  </si>
  <si>
    <t>COMPENSATORY TIME OFF (CTO)</t>
  </si>
  <si>
    <t>Special Order No. and Date Issued</t>
  </si>
  <si>
    <t>No. of Days Granted</t>
  </si>
  <si>
    <t>No. of Days Used</t>
  </si>
  <si>
    <t>Balance</t>
  </si>
  <si>
    <t>ADD: JAN 18, 2023</t>
  </si>
  <si>
    <t>S.O. # 001, S. 2023. 126TH ANNIVERSARY OF THE MARTYRDOM OF DR. JOSE P. RIZAL</t>
  </si>
  <si>
    <t>LESS: 05/17/23</t>
  </si>
  <si>
    <t>ADD: 07/13/22</t>
  </si>
  <si>
    <t>S.O. # 052, S. 2022. 124TH PHILIPPINE INDEPENDENCE DAY CELEBRATION</t>
  </si>
  <si>
    <t>ADD: 04/17/23</t>
  </si>
  <si>
    <t>S.O. # 048, S. 2023. DISTRICT AND CITY SPORTS MEET 2023</t>
  </si>
  <si>
    <t>S.O. # 050, S. 2023. PALARONG PANLALAWIGAN 2023</t>
  </si>
  <si>
    <t>ADD: 06/5-9/23</t>
  </si>
  <si>
    <t>S.O. # 052, S. 2022, S.O. # 048, S. 2023, S.O. # 050, S. 2023</t>
  </si>
  <si>
    <t>ADD: 06/26/2024</t>
  </si>
  <si>
    <t>S.O. # 024, S. 2024. 126TH PHIL. IND. DAY</t>
  </si>
  <si>
    <t>LESS: 12/13/2024</t>
  </si>
  <si>
    <t>ADD: 02/5/2025</t>
  </si>
  <si>
    <t>S.O. # 002, S. 2025. RIZAL DAY 2024</t>
  </si>
  <si>
    <t>LESS: 04/25/2025</t>
  </si>
  <si>
    <t>ADD: 09/24/2024</t>
  </si>
  <si>
    <t>S.O. # 031, S. 2024. REVISITING AND REVITALIZING YOUTH FORMATION &amp; PARTNERSHIP &amp; LINKAGES PROGRAMS</t>
  </si>
  <si>
    <t>6 HRS &amp; 45 mins</t>
  </si>
  <si>
    <t>LESS: 05/26/2025</t>
  </si>
  <si>
    <t>4 HOURS (half day)</t>
  </si>
  <si>
    <t>2 HRS &amp; 45 MINS</t>
  </si>
  <si>
    <t>ADD: 05/13/2025</t>
  </si>
  <si>
    <t>S.O. # 019, S. 2025 PROVINCIAL MEET 2025</t>
  </si>
  <si>
    <t>LESS: 07/3-4/2025</t>
  </si>
  <si>
    <t>LESS: 08/6/2025</t>
  </si>
  <si>
    <t>NOTE:  Valid for one (1) year only</t>
  </si>
  <si>
    <t>HRMO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</si>
</sst>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4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0.5"/>
      <color theme="1"/>
      <name val="Calibri"/>
      <charset val="134"/>
      <scheme val="minor"/>
    </font>
    <font>
      <sz val="10.5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3" fillId="0" borderId="0"/>
  </cellStyleXfs>
  <cellXfs count="85">
    <xf numFmtId="0" fontId="0" fillId="0" borderId="0" xfId="0"/>
    <xf numFmtId="0" fontId="13" fillId="2" borderId="0" xfId="1" applyFill="1"/>
    <xf numFmtId="0" fontId="1" fillId="0" borderId="0" xfId="1" applyFont="1"/>
    <xf numFmtId="0" fontId="2" fillId="0" borderId="0" xfId="1" applyFont="1"/>
    <xf numFmtId="0" fontId="13" fillId="0" borderId="0" xfId="1"/>
    <xf numFmtId="0" fontId="3" fillId="2" borderId="0" xfId="1" applyFont="1" applyFill="1" applyAlignment="1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0" xfId="1" applyFont="1" applyFill="1"/>
    <xf numFmtId="0" fontId="3" fillId="2" borderId="1" xfId="1" applyFont="1" applyFill="1" applyBorder="1" applyAlignment="1">
      <alignment vertical="center"/>
    </xf>
    <xf numFmtId="0" fontId="13" fillId="2" borderId="6" xfId="1" applyFill="1" applyBorder="1" applyAlignment="1">
      <alignment horizontal="center" vertical="center" wrapText="1"/>
    </xf>
    <xf numFmtId="0" fontId="13" fillId="2" borderId="10" xfId="1" applyFill="1" applyBorder="1" applyAlignment="1">
      <alignment horizontal="center" vertical="center" wrapText="1"/>
    </xf>
    <xf numFmtId="0" fontId="13" fillId="2" borderId="11" xfId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13" fillId="2" borderId="12" xfId="1" applyFill="1" applyBorder="1" applyAlignment="1">
      <alignment horizontal="center" vertical="center" wrapText="1"/>
    </xf>
    <xf numFmtId="0" fontId="13" fillId="0" borderId="0" xfId="1" applyAlignment="1">
      <alignment vertical="center"/>
    </xf>
    <xf numFmtId="0" fontId="6" fillId="2" borderId="0" xfId="1" applyFont="1" applyFill="1" applyAlignment="1">
      <alignment horizontal="center" vertical="center" wrapText="1"/>
    </xf>
    <xf numFmtId="0" fontId="13" fillId="2" borderId="0" xfId="1" applyFill="1" applyAlignment="1">
      <alignment horizontal="center"/>
    </xf>
    <xf numFmtId="0" fontId="13" fillId="2" borderId="17" xfId="1" applyFill="1" applyBorder="1" applyAlignment="1">
      <alignment horizontal="center" vertical="center" wrapText="1"/>
    </xf>
    <xf numFmtId="0" fontId="13" fillId="6" borderId="17" xfId="1" applyFill="1" applyBorder="1" applyAlignment="1">
      <alignment horizontal="center" vertical="center" wrapText="1"/>
    </xf>
    <xf numFmtId="0" fontId="13" fillId="7" borderId="17" xfId="1" applyFill="1" applyBorder="1" applyAlignment="1">
      <alignment horizontal="center" vertical="center" wrapText="1"/>
    </xf>
    <xf numFmtId="0" fontId="13" fillId="0" borderId="17" xfId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13" fillId="0" borderId="12" xfId="1" applyBorder="1" applyAlignment="1">
      <alignment horizontal="center" vertical="center" wrapText="1"/>
    </xf>
    <xf numFmtId="0" fontId="13" fillId="0" borderId="11" xfId="1" applyBorder="1" applyAlignment="1">
      <alignment horizontal="center" vertical="center" wrapText="1"/>
    </xf>
    <xf numFmtId="0" fontId="13" fillId="2" borderId="0" xfId="1" applyFill="1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 vertical="center"/>
    </xf>
    <xf numFmtId="0" fontId="7" fillId="0" borderId="0" xfId="0" applyFont="1"/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2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8" fontId="8" fillId="2" borderId="12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8" fontId="8" fillId="2" borderId="1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14" fontId="0" fillId="0" borderId="11" xfId="0" applyNumberFormat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 wrapText="1"/>
    </xf>
    <xf numFmtId="168" fontId="8" fillId="2" borderId="11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168" fontId="8" fillId="0" borderId="1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68" fontId="8" fillId="2" borderId="16" xfId="0" applyNumberFormat="1" applyFont="1" applyFill="1" applyBorder="1" applyAlignment="1">
      <alignment horizontal="center" vertical="center"/>
    </xf>
    <xf numFmtId="168" fontId="8" fillId="9" borderId="11" xfId="0" applyNumberFormat="1" applyFont="1" applyFill="1" applyBorder="1" applyAlignment="1">
      <alignment horizontal="center" vertical="center"/>
    </xf>
    <xf numFmtId="168" fontId="8" fillId="0" borderId="0" xfId="0" applyNumberFormat="1" applyFont="1" applyAlignment="1">
      <alignment horizontal="center" vertical="center"/>
    </xf>
    <xf numFmtId="168" fontId="8" fillId="2" borderId="0" xfId="0" applyNumberFormat="1" applyFont="1" applyFill="1" applyAlignment="1">
      <alignment horizontal="center" vertical="center"/>
    </xf>
    <xf numFmtId="0" fontId="12" fillId="2" borderId="0" xfId="0" applyFont="1" applyFill="1"/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0" fontId="3" fillId="8" borderId="23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3" fillId="2" borderId="0" xfId="1" applyFill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 wrapText="1"/>
    </xf>
    <xf numFmtId="0" fontId="6" fillId="5" borderId="9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3" fillId="0" borderId="0" xfId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15" xfId="1" applyFont="1" applyFill="1" applyBorder="1" applyAlignment="1">
      <alignment horizontal="center" vertical="center"/>
    </xf>
    <xf numFmtId="0" fontId="5" fillId="3" borderId="16" xfId="1" applyFont="1" applyFill="1" applyBorder="1" applyAlignment="1">
      <alignment horizontal="center" vertical="center"/>
    </xf>
    <xf numFmtId="0" fontId="3" fillId="14" borderId="18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168" fontId="8" fillId="13" borderId="11" xfId="0" applyNumberFormat="1" applyFont="1" applyFill="1" applyBorder="1" applyAlignment="1">
      <alignment horizontal="center" vertical="center"/>
    </xf>
    <xf numFmtId="0" fontId="13" fillId="10" borderId="17" xfId="1" applyFill="1" applyBorder="1" applyAlignment="1">
      <alignment horizontal="center" vertical="center" wrapText="1"/>
    </xf>
  </cellXfs>
  <cellStyles count="2">
    <cellStyle name="Normal" xfId="0" builtinId="0"/>
    <cellStyle name="Normal 2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338479</xdr:colOff>
      <xdr:row>0</xdr:row>
      <xdr:rowOff>93549</xdr:rowOff>
    </xdr:from>
    <xdr:to>
      <xdr:col>4</xdr:col>
      <xdr:colOff>187098</xdr:colOff>
      <xdr:row>1</xdr:row>
      <xdr:rowOff>13154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69155" y="93345"/>
          <a:ext cx="641985" cy="586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73405" y="1376045"/>
          <a:ext cx="2009140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DOMINGO, MARY L.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16585" y="1725930"/>
          <a:ext cx="200850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SEPS-SOCMOB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95160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5</xdr:col>
      <xdr:colOff>154213</xdr:colOff>
      <xdr:row>0</xdr:row>
      <xdr:rowOff>657678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57345" y="40005"/>
          <a:ext cx="688975" cy="6172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73405" y="1376045"/>
          <a:ext cx="232664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DOMINGO, MARY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654050" y="1684020"/>
          <a:ext cx="10668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EPS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10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023995" y="1706880"/>
          <a:ext cx="113157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"/>
  <sheetViews>
    <sheetView tabSelected="1" view="pageBreakPreview" topLeftCell="A64" zoomScale="112" zoomScaleNormal="100" workbookViewId="0">
      <selection activeCell="C81" sqref="C81"/>
    </sheetView>
  </sheetViews>
  <sheetFormatPr defaultColWidth="9" defaultRowHeight="14.45"/>
  <cols>
    <col min="1" max="1" width="40" style="26" customWidth="1"/>
    <col min="2" max="10" width="11.625" customWidth="1"/>
    <col min="11" max="11" width="26.375" style="27" customWidth="1"/>
  </cols>
  <sheetData>
    <row r="1" spans="1:11" s="25" customFormat="1" ht="52.5" customHeight="1"/>
    <row r="2" spans="1:11" s="25" customFormat="1" ht="10.5" customHeight="1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</row>
    <row r="3" spans="1:11" s="25" customFormat="1" ht="15.95" customHeight="1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</row>
    <row r="4" spans="1:11" s="25" customFormat="1" ht="15.95" customHeight="1">
      <c r="A4" s="49" t="s">
        <v>2</v>
      </c>
      <c r="B4" s="49"/>
      <c r="C4" s="49"/>
      <c r="D4" s="49"/>
      <c r="E4" s="49"/>
      <c r="F4" s="49"/>
      <c r="G4" s="49"/>
      <c r="H4" s="49"/>
      <c r="I4" s="49"/>
      <c r="J4" s="49"/>
    </row>
    <row r="5" spans="1:11" s="25" customFormat="1" ht="15.95" customHeight="1">
      <c r="A5" s="49" t="s">
        <v>3</v>
      </c>
      <c r="B5" s="49"/>
      <c r="C5" s="49"/>
      <c r="D5" s="49"/>
      <c r="E5" s="49"/>
      <c r="F5" s="49"/>
      <c r="G5" s="49"/>
      <c r="H5" s="49"/>
      <c r="I5" s="49"/>
      <c r="J5" s="49"/>
    </row>
    <row r="6" spans="1:11" s="25" customFormat="1" ht="8.25" customHeight="1"/>
    <row r="7" spans="1:11" s="25" customFormat="1" ht="12" customHeight="1">
      <c r="A7" s="25" t="s">
        <v>4</v>
      </c>
      <c r="B7" s="50" t="s">
        <v>5</v>
      </c>
      <c r="C7" s="50"/>
      <c r="D7" s="50"/>
      <c r="H7" s="28" t="s">
        <v>6</v>
      </c>
      <c r="I7" s="42"/>
      <c r="J7" s="28"/>
    </row>
    <row r="8" spans="1:11" s="25" customFormat="1" ht="12" customHeight="1">
      <c r="B8" s="29"/>
      <c r="C8" s="29"/>
      <c r="H8" s="29"/>
      <c r="I8" s="29"/>
      <c r="J8" s="29"/>
    </row>
    <row r="9" spans="1:11" s="25" customFormat="1" ht="12" customHeight="1">
      <c r="A9" s="25" t="s">
        <v>7</v>
      </c>
      <c r="B9" s="50" t="s">
        <v>8</v>
      </c>
      <c r="C9" s="50"/>
      <c r="D9" s="50"/>
      <c r="H9" s="28" t="s">
        <v>9</v>
      </c>
      <c r="I9" s="43"/>
      <c r="J9" s="28"/>
    </row>
    <row r="10" spans="1:11" ht="16.5" customHeight="1">
      <c r="A10" s="51" t="s">
        <v>10</v>
      </c>
      <c r="B10" s="51"/>
      <c r="C10" s="51"/>
      <c r="D10" s="51"/>
      <c r="E10" s="51"/>
      <c r="F10" s="51"/>
      <c r="G10" s="51"/>
      <c r="H10" s="51"/>
      <c r="I10" s="51"/>
      <c r="J10" s="51"/>
      <c r="K10"/>
    </row>
    <row r="11" spans="1:11" ht="18.75" customHeight="1">
      <c r="A11" s="52" t="s">
        <v>11</v>
      </c>
      <c r="B11" s="78" t="s">
        <v>12</v>
      </c>
      <c r="C11" s="78"/>
      <c r="D11" s="79" t="s">
        <v>13</v>
      </c>
      <c r="E11" s="80"/>
      <c r="F11" s="80"/>
      <c r="G11" s="81"/>
      <c r="H11" s="82" t="s">
        <v>14</v>
      </c>
      <c r="I11" s="82"/>
      <c r="J11" s="54" t="s">
        <v>15</v>
      </c>
      <c r="K11" s="56" t="s">
        <v>16</v>
      </c>
    </row>
    <row r="12" spans="1:11" ht="18.75" customHeight="1">
      <c r="A12" s="53"/>
      <c r="B12" s="30" t="s">
        <v>17</v>
      </c>
      <c r="C12" s="30" t="s">
        <v>18</v>
      </c>
      <c r="D12" s="30" t="s">
        <v>17</v>
      </c>
      <c r="E12" s="30" t="s">
        <v>18</v>
      </c>
      <c r="F12" s="30" t="s">
        <v>19</v>
      </c>
      <c r="G12" s="30" t="s">
        <v>20</v>
      </c>
      <c r="H12" s="30" t="s">
        <v>17</v>
      </c>
      <c r="I12" s="30" t="s">
        <v>18</v>
      </c>
      <c r="J12" s="55"/>
      <c r="K12" s="56"/>
    </row>
    <row r="13" spans="1:11" ht="18.75" customHeight="1">
      <c r="A13" s="31" t="s">
        <v>21</v>
      </c>
      <c r="B13" s="32">
        <v>0.70799999999999996</v>
      </c>
      <c r="C13" s="32">
        <v>0.70799999999999996</v>
      </c>
      <c r="D13" s="32"/>
      <c r="E13" s="32"/>
      <c r="F13" s="32"/>
      <c r="G13" s="32"/>
      <c r="H13" s="32">
        <f>B13</f>
        <v>0.70799999999999996</v>
      </c>
      <c r="I13" s="32">
        <f>C13</f>
        <v>0.70799999999999996</v>
      </c>
      <c r="J13" s="44">
        <f>SUM(H13:I13)</f>
        <v>1.4159999999999999</v>
      </c>
    </row>
    <row r="14" spans="1:11" ht="18.75" customHeight="1">
      <c r="A14" s="33" t="s">
        <v>22</v>
      </c>
      <c r="B14" s="34">
        <f>5*1.25</f>
        <v>6.25</v>
      </c>
      <c r="C14" s="34">
        <v>6.26</v>
      </c>
      <c r="D14" s="34"/>
      <c r="E14" s="34"/>
      <c r="F14" s="34"/>
      <c r="G14" s="34"/>
      <c r="H14" s="34">
        <f>H13-F14-D14+B14</f>
        <v>6.9580000000000002</v>
      </c>
      <c r="I14" s="34">
        <f>I13-E14+C14</f>
        <v>6.968</v>
      </c>
      <c r="J14" s="34">
        <f>SUM(H14:I14)</f>
        <v>13.926</v>
      </c>
    </row>
    <row r="15" spans="1:11" ht="18.75" customHeight="1">
      <c r="A15" s="33" t="s">
        <v>23</v>
      </c>
      <c r="B15" s="34"/>
      <c r="C15" s="34"/>
      <c r="D15" s="34"/>
      <c r="E15" s="34"/>
      <c r="F15" s="34">
        <v>1</v>
      </c>
      <c r="G15" s="34"/>
      <c r="H15" s="34">
        <f t="shared" ref="H15:H23" si="0">H14-F15-D15+B15</f>
        <v>5.9580000000000002</v>
      </c>
      <c r="I15" s="34">
        <f t="shared" ref="I15:I23" si="1">I14-E15+C15</f>
        <v>6.968</v>
      </c>
      <c r="J15" s="34">
        <f t="shared" ref="J15:J21" si="2">SUM(H15:I15)</f>
        <v>12.926</v>
      </c>
    </row>
    <row r="16" spans="1:11" ht="18.75" customHeight="1">
      <c r="A16" s="33" t="s">
        <v>24</v>
      </c>
      <c r="B16" s="34">
        <v>15</v>
      </c>
      <c r="C16" s="34">
        <v>15</v>
      </c>
      <c r="D16" s="34"/>
      <c r="E16" s="34"/>
      <c r="F16" s="34"/>
      <c r="G16" s="34"/>
      <c r="H16" s="34">
        <f t="shared" si="0"/>
        <v>20.957999999999998</v>
      </c>
      <c r="I16" s="34">
        <f t="shared" si="1"/>
        <v>21.968</v>
      </c>
      <c r="J16" s="34">
        <f t="shared" si="2"/>
        <v>42.926000000000002</v>
      </c>
    </row>
    <row r="17" spans="1:10" ht="18.75" customHeight="1">
      <c r="A17" s="33" t="s">
        <v>25</v>
      </c>
      <c r="B17" s="34"/>
      <c r="C17" s="34"/>
      <c r="D17" s="34"/>
      <c r="E17" s="34"/>
      <c r="F17" s="34">
        <v>1</v>
      </c>
      <c r="G17" s="34"/>
      <c r="H17" s="34">
        <f t="shared" si="0"/>
        <v>19.957999999999998</v>
      </c>
      <c r="I17" s="34">
        <f t="shared" si="1"/>
        <v>21.968</v>
      </c>
      <c r="J17" s="34">
        <f t="shared" si="2"/>
        <v>41.926000000000002</v>
      </c>
    </row>
    <row r="18" spans="1:10" ht="18.75" customHeight="1">
      <c r="A18" s="33" t="s">
        <v>26</v>
      </c>
      <c r="B18" s="34"/>
      <c r="C18" s="34"/>
      <c r="D18" s="34"/>
      <c r="E18" s="34"/>
      <c r="F18" s="34">
        <v>1</v>
      </c>
      <c r="G18" s="34"/>
      <c r="H18" s="34">
        <f t="shared" si="0"/>
        <v>18.957999999999998</v>
      </c>
      <c r="I18" s="34">
        <f t="shared" si="1"/>
        <v>21.968</v>
      </c>
      <c r="J18" s="34">
        <f t="shared" si="2"/>
        <v>40.926000000000002</v>
      </c>
    </row>
    <row r="19" spans="1:10" ht="18.75" customHeight="1">
      <c r="A19" s="33" t="s">
        <v>27</v>
      </c>
      <c r="B19" s="34"/>
      <c r="C19" s="34"/>
      <c r="D19" s="34">
        <v>1</v>
      </c>
      <c r="E19" s="34"/>
      <c r="F19" s="34"/>
      <c r="G19" s="34"/>
      <c r="H19" s="34">
        <f t="shared" si="0"/>
        <v>17.957999999999998</v>
      </c>
      <c r="I19" s="34">
        <f t="shared" si="1"/>
        <v>21.968</v>
      </c>
      <c r="J19" s="34">
        <f t="shared" si="2"/>
        <v>39.926000000000002</v>
      </c>
    </row>
    <row r="20" spans="1:10" ht="18.75" customHeight="1">
      <c r="A20" s="33" t="s">
        <v>28</v>
      </c>
      <c r="B20" s="34"/>
      <c r="C20" s="34"/>
      <c r="D20" s="34">
        <v>5</v>
      </c>
      <c r="E20" s="34"/>
      <c r="F20" s="34"/>
      <c r="G20" s="34"/>
      <c r="H20" s="34">
        <f t="shared" si="0"/>
        <v>12.958</v>
      </c>
      <c r="I20" s="34">
        <f t="shared" si="1"/>
        <v>21.968</v>
      </c>
      <c r="J20" s="34">
        <f t="shared" si="2"/>
        <v>34.926000000000002</v>
      </c>
    </row>
    <row r="21" spans="1:10" ht="18.75" customHeight="1">
      <c r="A21" s="33" t="s">
        <v>29</v>
      </c>
      <c r="B21" s="34"/>
      <c r="C21" s="34"/>
      <c r="D21" s="34"/>
      <c r="E21" s="34"/>
      <c r="F21" s="34">
        <v>3</v>
      </c>
      <c r="G21" s="34"/>
      <c r="H21" s="34">
        <f t="shared" si="0"/>
        <v>9.9580000000000002</v>
      </c>
      <c r="I21" s="34">
        <f t="shared" si="1"/>
        <v>21.968</v>
      </c>
      <c r="J21" s="34">
        <f t="shared" si="2"/>
        <v>31.925999999999998</v>
      </c>
    </row>
    <row r="22" spans="1:10" ht="18.75" customHeight="1">
      <c r="A22" s="33" t="s">
        <v>30</v>
      </c>
      <c r="B22" s="34">
        <v>15</v>
      </c>
      <c r="C22" s="34">
        <v>15</v>
      </c>
      <c r="D22" s="34"/>
      <c r="E22" s="34"/>
      <c r="F22" s="34"/>
      <c r="G22" s="34"/>
      <c r="H22" s="34">
        <f t="shared" si="0"/>
        <v>24.957999999999998</v>
      </c>
      <c r="I22" s="34">
        <f t="shared" si="1"/>
        <v>36.968000000000004</v>
      </c>
      <c r="J22" s="34">
        <f t="shared" ref="J22:J23" si="3">SUM(H22:I22)</f>
        <v>61.926000000000002</v>
      </c>
    </row>
    <row r="23" spans="1:10" ht="18.75" customHeight="1">
      <c r="A23" s="33" t="s">
        <v>31</v>
      </c>
      <c r="B23" s="34"/>
      <c r="C23" s="34"/>
      <c r="D23" s="34"/>
      <c r="E23" s="34"/>
      <c r="F23" s="34">
        <v>3</v>
      </c>
      <c r="G23" s="34"/>
      <c r="H23" s="34">
        <f t="shared" si="0"/>
        <v>21.957999999999998</v>
      </c>
      <c r="I23" s="34">
        <f t="shared" si="1"/>
        <v>36.968000000000004</v>
      </c>
      <c r="J23" s="34">
        <f t="shared" si="3"/>
        <v>58.926000000000002</v>
      </c>
    </row>
    <row r="24" spans="1:10" ht="18.75" customHeight="1">
      <c r="A24" s="33" t="s">
        <v>32</v>
      </c>
      <c r="B24" s="34"/>
      <c r="C24" s="34"/>
      <c r="D24" s="34">
        <v>16</v>
      </c>
      <c r="E24" s="34">
        <v>13</v>
      </c>
      <c r="F24" s="34"/>
      <c r="G24" s="34"/>
      <c r="H24" s="34">
        <f t="shared" ref="H24:H26" si="4">H23-F24-D24+B24</f>
        <v>5.9580000000000002</v>
      </c>
      <c r="I24" s="34">
        <f t="shared" ref="I24:I26" si="5">I23-E24+C24</f>
        <v>23.968</v>
      </c>
      <c r="J24" s="34">
        <f t="shared" ref="J24:J26" si="6">SUM(H24:I24)</f>
        <v>29.925999999999998</v>
      </c>
    </row>
    <row r="25" spans="1:10" ht="30.75" customHeight="1">
      <c r="A25" s="35" t="s">
        <v>33</v>
      </c>
      <c r="B25" s="34"/>
      <c r="C25" s="34"/>
      <c r="D25" s="34"/>
      <c r="E25" s="34"/>
      <c r="F25" s="34"/>
      <c r="G25" s="34"/>
      <c r="H25" s="34">
        <f t="shared" si="4"/>
        <v>5.9580000000000002</v>
      </c>
      <c r="I25" s="34">
        <f t="shared" si="5"/>
        <v>23.968</v>
      </c>
      <c r="J25" s="34">
        <f t="shared" si="6"/>
        <v>29.925999999999998</v>
      </c>
    </row>
    <row r="26" spans="1:10" ht="18.75" customHeight="1">
      <c r="A26" s="33" t="s">
        <v>34</v>
      </c>
      <c r="B26" s="34"/>
      <c r="C26" s="34"/>
      <c r="D26" s="34"/>
      <c r="E26" s="34"/>
      <c r="F26" s="34">
        <v>2</v>
      </c>
      <c r="G26" s="34"/>
      <c r="H26" s="34">
        <f t="shared" si="4"/>
        <v>3.9580000000000002</v>
      </c>
      <c r="I26" s="34">
        <f t="shared" si="5"/>
        <v>23.968</v>
      </c>
      <c r="J26" s="34">
        <f t="shared" si="6"/>
        <v>27.925999999999998</v>
      </c>
    </row>
    <row r="27" spans="1:10" ht="18.75" customHeight="1">
      <c r="A27" s="33" t="s">
        <v>35</v>
      </c>
      <c r="B27" s="34"/>
      <c r="C27" s="34"/>
      <c r="D27" s="34"/>
      <c r="E27" s="34"/>
      <c r="F27" s="34">
        <v>1</v>
      </c>
      <c r="G27" s="34"/>
      <c r="H27" s="34">
        <f t="shared" ref="H27:H39" si="7">H26-F27-D27+B27</f>
        <v>2.9580000000000002</v>
      </c>
      <c r="I27" s="34">
        <f t="shared" ref="I27:I39" si="8">I26-E27+C27</f>
        <v>23.968</v>
      </c>
      <c r="J27" s="34">
        <f t="shared" ref="J27:J39" si="9">SUM(H27:I27)</f>
        <v>26.925999999999998</v>
      </c>
    </row>
    <row r="28" spans="1:10" ht="18.75" customHeight="1">
      <c r="A28" s="36" t="s">
        <v>36</v>
      </c>
      <c r="B28" s="34">
        <v>3.75</v>
      </c>
      <c r="C28" s="34">
        <v>3.75</v>
      </c>
      <c r="D28" s="34"/>
      <c r="E28" s="34"/>
      <c r="F28" s="34"/>
      <c r="G28" s="34"/>
      <c r="H28" s="34">
        <f t="shared" si="7"/>
        <v>6.7080000000000002</v>
      </c>
      <c r="I28" s="34">
        <f t="shared" si="8"/>
        <v>27.718</v>
      </c>
      <c r="J28" s="34">
        <f t="shared" si="9"/>
        <v>34.426000000000002</v>
      </c>
    </row>
    <row r="29" spans="1:10" ht="18.75" customHeight="1">
      <c r="A29" s="33" t="s">
        <v>37</v>
      </c>
      <c r="B29" s="34"/>
      <c r="C29" s="34"/>
      <c r="D29" s="34"/>
      <c r="E29" s="34"/>
      <c r="F29" s="34">
        <v>1</v>
      </c>
      <c r="G29" s="34"/>
      <c r="H29" s="34">
        <f t="shared" si="7"/>
        <v>5.7080000000000002</v>
      </c>
      <c r="I29" s="34">
        <f t="shared" si="8"/>
        <v>27.718</v>
      </c>
      <c r="J29" s="34">
        <f t="shared" si="9"/>
        <v>33.426000000000002</v>
      </c>
    </row>
    <row r="30" spans="1:10" ht="18.75" customHeight="1">
      <c r="A30" s="36" t="s">
        <v>38</v>
      </c>
      <c r="B30" s="34">
        <v>1.25</v>
      </c>
      <c r="C30" s="34">
        <v>1.25</v>
      </c>
      <c r="D30" s="34"/>
      <c r="E30" s="34"/>
      <c r="F30" s="34"/>
      <c r="G30" s="34"/>
      <c r="H30" s="34">
        <f t="shared" si="7"/>
        <v>6.9580000000000002</v>
      </c>
      <c r="I30" s="34">
        <f t="shared" si="8"/>
        <v>28.968</v>
      </c>
      <c r="J30" s="34">
        <f t="shared" si="9"/>
        <v>35.926000000000002</v>
      </c>
    </row>
    <row r="31" spans="1:10" ht="18.75" customHeight="1">
      <c r="A31" s="33" t="s">
        <v>39</v>
      </c>
      <c r="B31" s="34"/>
      <c r="C31" s="34"/>
      <c r="D31" s="34"/>
      <c r="E31" s="34"/>
      <c r="F31" s="34"/>
      <c r="G31" s="34">
        <v>1</v>
      </c>
      <c r="H31" s="34">
        <f t="shared" si="7"/>
        <v>6.9580000000000002</v>
      </c>
      <c r="I31" s="34">
        <f t="shared" si="8"/>
        <v>28.968</v>
      </c>
      <c r="J31" s="34">
        <f t="shared" si="9"/>
        <v>35.926000000000002</v>
      </c>
    </row>
    <row r="32" spans="1:10" ht="18.75" customHeight="1">
      <c r="A32" s="33" t="s">
        <v>40</v>
      </c>
      <c r="B32" s="34"/>
      <c r="C32" s="34"/>
      <c r="D32" s="34">
        <v>0.5</v>
      </c>
      <c r="E32" s="34"/>
      <c r="F32" s="34"/>
      <c r="G32" s="34"/>
      <c r="H32" s="34">
        <f t="shared" si="7"/>
        <v>6.4580000000000002</v>
      </c>
      <c r="I32" s="34">
        <f t="shared" si="8"/>
        <v>28.968</v>
      </c>
      <c r="J32" s="34">
        <f t="shared" si="9"/>
        <v>35.426000000000002</v>
      </c>
    </row>
    <row r="33" spans="1:10" ht="18.75" customHeight="1">
      <c r="A33" s="33" t="s">
        <v>41</v>
      </c>
      <c r="B33" s="34"/>
      <c r="C33" s="34"/>
      <c r="D33" s="34"/>
      <c r="E33" s="34">
        <v>0.5</v>
      </c>
      <c r="F33" s="34"/>
      <c r="G33" s="34"/>
      <c r="H33" s="34">
        <f t="shared" si="7"/>
        <v>6.4580000000000002</v>
      </c>
      <c r="I33" s="34">
        <f t="shared" si="8"/>
        <v>28.468</v>
      </c>
      <c r="J33" s="34">
        <f t="shared" si="9"/>
        <v>34.926000000000002</v>
      </c>
    </row>
    <row r="34" spans="1:10" ht="18.75" customHeight="1">
      <c r="A34" s="36" t="s">
        <v>42</v>
      </c>
      <c r="B34" s="34">
        <v>5</v>
      </c>
      <c r="C34" s="34">
        <v>5</v>
      </c>
      <c r="D34" s="34"/>
      <c r="E34" s="34"/>
      <c r="F34" s="34"/>
      <c r="G34" s="34"/>
      <c r="H34" s="34">
        <f t="shared" si="7"/>
        <v>11.458</v>
      </c>
      <c r="I34" s="34">
        <f t="shared" si="8"/>
        <v>33.468000000000004</v>
      </c>
      <c r="J34" s="34">
        <f t="shared" si="9"/>
        <v>44.926000000000002</v>
      </c>
    </row>
    <row r="35" spans="1:10" ht="18.75" customHeight="1">
      <c r="A35" s="33" t="s">
        <v>43</v>
      </c>
      <c r="B35" s="34"/>
      <c r="C35" s="34"/>
      <c r="D35" s="34">
        <v>8</v>
      </c>
      <c r="E35" s="34">
        <v>21</v>
      </c>
      <c r="F35" s="34"/>
      <c r="G35" s="34"/>
      <c r="H35" s="34">
        <f t="shared" si="7"/>
        <v>3.4580000000000002</v>
      </c>
      <c r="I35" s="34">
        <f t="shared" si="8"/>
        <v>12.468</v>
      </c>
      <c r="J35" s="34">
        <f t="shared" si="9"/>
        <v>15.926</v>
      </c>
    </row>
    <row r="36" spans="1:10" ht="18.75" customHeight="1">
      <c r="A36" s="36" t="s">
        <v>44</v>
      </c>
      <c r="B36" s="34">
        <v>1.25</v>
      </c>
      <c r="C36" s="34">
        <v>1.25</v>
      </c>
      <c r="D36" s="34"/>
      <c r="E36" s="34"/>
      <c r="F36" s="34"/>
      <c r="G36" s="34"/>
      <c r="H36" s="34">
        <f t="shared" si="7"/>
        <v>4.7080000000000002</v>
      </c>
      <c r="I36" s="34">
        <f t="shared" si="8"/>
        <v>13.718</v>
      </c>
      <c r="J36" s="34">
        <f t="shared" si="9"/>
        <v>18.425999999999998</v>
      </c>
    </row>
    <row r="37" spans="1:10" ht="18.75" customHeight="1">
      <c r="A37" s="33" t="s">
        <v>45</v>
      </c>
      <c r="B37" s="34"/>
      <c r="C37" s="34"/>
      <c r="D37" s="34"/>
      <c r="E37" s="34"/>
      <c r="F37" s="34"/>
      <c r="G37" s="34">
        <v>1</v>
      </c>
      <c r="H37" s="34">
        <f t="shared" si="7"/>
        <v>4.7080000000000002</v>
      </c>
      <c r="I37" s="34">
        <f t="shared" si="8"/>
        <v>13.718</v>
      </c>
      <c r="J37" s="34">
        <f t="shared" si="9"/>
        <v>18.425999999999998</v>
      </c>
    </row>
    <row r="38" spans="1:10" ht="18.75" customHeight="1">
      <c r="A38" s="36" t="s">
        <v>46</v>
      </c>
      <c r="B38" s="34">
        <v>3.75</v>
      </c>
      <c r="C38" s="34">
        <v>3.75</v>
      </c>
      <c r="D38" s="34"/>
      <c r="E38" s="34"/>
      <c r="F38" s="34"/>
      <c r="G38" s="34"/>
      <c r="H38" s="34">
        <f t="shared" si="7"/>
        <v>8.4580000000000002</v>
      </c>
      <c r="I38" s="34">
        <f t="shared" si="8"/>
        <v>17.468</v>
      </c>
      <c r="J38" s="34">
        <f t="shared" si="9"/>
        <v>25.925999999999998</v>
      </c>
    </row>
    <row r="39" spans="1:10" ht="18.75" customHeight="1">
      <c r="A39" s="33" t="s">
        <v>47</v>
      </c>
      <c r="B39" s="34"/>
      <c r="C39" s="34"/>
      <c r="D39" s="34"/>
      <c r="E39" s="34"/>
      <c r="F39" s="34"/>
      <c r="G39" s="34">
        <v>1</v>
      </c>
      <c r="H39" s="34">
        <f t="shared" si="7"/>
        <v>8.4580000000000002</v>
      </c>
      <c r="I39" s="34">
        <f t="shared" si="8"/>
        <v>17.468</v>
      </c>
      <c r="J39" s="34">
        <f t="shared" si="9"/>
        <v>25.925999999999998</v>
      </c>
    </row>
    <row r="40" spans="1:10" ht="18.75" customHeight="1">
      <c r="A40" s="33" t="s">
        <v>48</v>
      </c>
      <c r="B40" s="34"/>
      <c r="C40" s="34"/>
      <c r="D40" s="34"/>
      <c r="E40" s="34"/>
      <c r="F40" s="34">
        <v>3</v>
      </c>
      <c r="G40" s="34"/>
      <c r="H40" s="34">
        <f t="shared" ref="H40:H49" si="10">H39-F40-D40+B40</f>
        <v>5.4580000000000002</v>
      </c>
      <c r="I40" s="34">
        <f t="shared" ref="I40:I49" si="11">I39-E40+C40</f>
        <v>17.468</v>
      </c>
      <c r="J40" s="34">
        <f t="shared" ref="J40:J49" si="12">SUM(H40:I40)</f>
        <v>22.925999999999998</v>
      </c>
    </row>
    <row r="41" spans="1:10" ht="18.75" customHeight="1">
      <c r="A41" s="33" t="s">
        <v>49</v>
      </c>
      <c r="B41" s="34">
        <v>3.75</v>
      </c>
      <c r="C41" s="34">
        <v>3.75</v>
      </c>
      <c r="D41" s="34"/>
      <c r="E41" s="34"/>
      <c r="F41" s="34"/>
      <c r="G41" s="34"/>
      <c r="H41" s="34">
        <f t="shared" si="10"/>
        <v>9.2080000000000002</v>
      </c>
      <c r="I41" s="34">
        <f t="shared" si="11"/>
        <v>21.218</v>
      </c>
      <c r="J41" s="34">
        <f t="shared" si="12"/>
        <v>30.425999999999998</v>
      </c>
    </row>
    <row r="42" spans="1:10" ht="18.75" customHeight="1">
      <c r="A42" s="33" t="s">
        <v>50</v>
      </c>
      <c r="B42" s="34"/>
      <c r="C42" s="34"/>
      <c r="D42" s="34"/>
      <c r="E42" s="34"/>
      <c r="F42" s="34"/>
      <c r="G42" s="34">
        <v>1</v>
      </c>
      <c r="H42" s="34">
        <f t="shared" si="10"/>
        <v>9.2080000000000002</v>
      </c>
      <c r="I42" s="34">
        <f t="shared" si="11"/>
        <v>21.218</v>
      </c>
      <c r="J42" s="34">
        <f t="shared" si="12"/>
        <v>30.425999999999998</v>
      </c>
    </row>
    <row r="43" spans="1:10" ht="18.75" customHeight="1">
      <c r="A43" s="33" t="s">
        <v>51</v>
      </c>
      <c r="B43" s="34">
        <v>1.25</v>
      </c>
      <c r="C43" s="34">
        <v>1.25</v>
      </c>
      <c r="D43" s="34"/>
      <c r="E43" s="34"/>
      <c r="F43" s="34"/>
      <c r="G43" s="34"/>
      <c r="H43" s="34">
        <f t="shared" si="10"/>
        <v>10.458</v>
      </c>
      <c r="I43" s="34">
        <f t="shared" si="11"/>
        <v>22.468</v>
      </c>
      <c r="J43" s="34">
        <f t="shared" si="12"/>
        <v>32.926000000000002</v>
      </c>
    </row>
    <row r="44" spans="1:10" ht="18.75" customHeight="1">
      <c r="A44" s="33" t="s">
        <v>52</v>
      </c>
      <c r="B44" s="34"/>
      <c r="C44" s="34"/>
      <c r="D44" s="34"/>
      <c r="E44" s="34"/>
      <c r="F44" s="34">
        <v>1</v>
      </c>
      <c r="G44" s="34"/>
      <c r="H44" s="34">
        <f t="shared" si="10"/>
        <v>9.4580000000000002</v>
      </c>
      <c r="I44" s="34">
        <f t="shared" si="11"/>
        <v>22.468</v>
      </c>
      <c r="J44" s="34">
        <f t="shared" si="12"/>
        <v>31.925999999999998</v>
      </c>
    </row>
    <row r="45" spans="1:10" ht="18.75" customHeight="1">
      <c r="A45" s="33" t="s">
        <v>53</v>
      </c>
      <c r="B45" s="34">
        <v>1.25</v>
      </c>
      <c r="C45" s="34">
        <v>1.25</v>
      </c>
      <c r="D45" s="34"/>
      <c r="E45" s="34"/>
      <c r="F45" s="34"/>
      <c r="G45" s="34"/>
      <c r="H45" s="34">
        <f t="shared" si="10"/>
        <v>10.708</v>
      </c>
      <c r="I45" s="34">
        <f t="shared" si="11"/>
        <v>23.718</v>
      </c>
      <c r="J45" s="34">
        <f t="shared" si="12"/>
        <v>34.426000000000002</v>
      </c>
    </row>
    <row r="46" spans="1:10" ht="18.75" customHeight="1">
      <c r="A46" s="33" t="s">
        <v>54</v>
      </c>
      <c r="B46" s="34"/>
      <c r="C46" s="34"/>
      <c r="D46" s="34"/>
      <c r="E46" s="34"/>
      <c r="F46" s="34">
        <v>3</v>
      </c>
      <c r="G46" s="34"/>
      <c r="H46" s="34">
        <f t="shared" si="10"/>
        <v>7.7080000000000002</v>
      </c>
      <c r="I46" s="34">
        <f t="shared" si="11"/>
        <v>23.718</v>
      </c>
      <c r="J46" s="34">
        <f t="shared" si="12"/>
        <v>31.425999999999998</v>
      </c>
    </row>
    <row r="47" spans="1:10" ht="18.75" customHeight="1">
      <c r="A47" s="33" t="s">
        <v>55</v>
      </c>
      <c r="B47" s="37"/>
      <c r="C47" s="37"/>
      <c r="D47" s="37"/>
      <c r="E47" s="34"/>
      <c r="F47" s="34">
        <v>1</v>
      </c>
      <c r="G47" s="34">
        <v>2</v>
      </c>
      <c r="H47" s="34">
        <f t="shared" si="10"/>
        <v>6.7080000000000002</v>
      </c>
      <c r="I47" s="34">
        <f t="shared" si="11"/>
        <v>23.718</v>
      </c>
      <c r="J47" s="34">
        <f t="shared" si="12"/>
        <v>30.425999999999998</v>
      </c>
    </row>
    <row r="48" spans="1:10" ht="18.75" customHeight="1">
      <c r="A48" s="33" t="s">
        <v>56</v>
      </c>
      <c r="B48" s="37">
        <v>3.75</v>
      </c>
      <c r="C48" s="37">
        <v>3.75</v>
      </c>
      <c r="D48" s="37"/>
      <c r="E48" s="37"/>
      <c r="F48" s="37"/>
      <c r="G48" s="37"/>
      <c r="H48" s="34">
        <f t="shared" si="10"/>
        <v>10.458</v>
      </c>
      <c r="I48" s="34">
        <f t="shared" si="11"/>
        <v>27.468</v>
      </c>
      <c r="J48" s="34">
        <f t="shared" si="12"/>
        <v>37.926000000000002</v>
      </c>
    </row>
    <row r="49" spans="1:10" ht="18.75" customHeight="1">
      <c r="A49" s="33" t="s">
        <v>57</v>
      </c>
      <c r="B49" s="38"/>
      <c r="C49" s="38"/>
      <c r="D49" s="39">
        <v>7</v>
      </c>
      <c r="E49" s="39">
        <v>22</v>
      </c>
      <c r="F49" s="38"/>
      <c r="G49" s="38"/>
      <c r="H49" s="34">
        <f t="shared" si="10"/>
        <v>3.4580000000000002</v>
      </c>
      <c r="I49" s="34">
        <f t="shared" si="11"/>
        <v>5.468</v>
      </c>
      <c r="J49" s="34">
        <f t="shared" si="12"/>
        <v>8.9260000000000002</v>
      </c>
    </row>
    <row r="50" spans="1:10" ht="18.75" customHeight="1">
      <c r="A50" s="33" t="s">
        <v>58</v>
      </c>
      <c r="B50" s="38"/>
      <c r="C50" s="38"/>
      <c r="D50" s="39">
        <v>1</v>
      </c>
      <c r="E50" s="39"/>
      <c r="F50" s="38"/>
      <c r="G50" s="38"/>
      <c r="H50" s="34">
        <f t="shared" ref="H50:H63" si="13">H49-F50-D50+B50</f>
        <v>2.4580000000000002</v>
      </c>
      <c r="I50" s="34">
        <f t="shared" ref="I50:I63" si="14">I49-E50+C50</f>
        <v>5.468</v>
      </c>
      <c r="J50" s="34">
        <f t="shared" ref="J50:J63" si="15">SUM(H50:I50)</f>
        <v>7.9260000000000002</v>
      </c>
    </row>
    <row r="51" spans="1:10" ht="18.75" customHeight="1">
      <c r="A51" s="33" t="s">
        <v>59</v>
      </c>
      <c r="B51" s="38"/>
      <c r="C51" s="38"/>
      <c r="D51" s="39">
        <v>1</v>
      </c>
      <c r="E51" s="39"/>
      <c r="F51" s="38"/>
      <c r="G51" s="38"/>
      <c r="H51" s="34">
        <f t="shared" si="13"/>
        <v>1.458</v>
      </c>
      <c r="I51" s="34">
        <f t="shared" si="14"/>
        <v>5.468</v>
      </c>
      <c r="J51" s="34">
        <f t="shared" si="15"/>
        <v>6.9260000000000002</v>
      </c>
    </row>
    <row r="52" spans="1:10" ht="18.75" customHeight="1">
      <c r="A52" s="33" t="s">
        <v>60</v>
      </c>
      <c r="B52" s="40">
        <v>1.25</v>
      </c>
      <c r="C52" s="40">
        <v>1.25</v>
      </c>
      <c r="D52" s="39"/>
      <c r="E52" s="39"/>
      <c r="F52" s="38"/>
      <c r="G52" s="38"/>
      <c r="H52" s="34">
        <f t="shared" si="13"/>
        <v>2.7080000000000002</v>
      </c>
      <c r="I52" s="34">
        <f t="shared" si="14"/>
        <v>6.718</v>
      </c>
      <c r="J52" s="34">
        <f t="shared" si="15"/>
        <v>9.4260000000000002</v>
      </c>
    </row>
    <row r="53" spans="1:10" ht="18.75" customHeight="1">
      <c r="A53" s="33" t="s">
        <v>61</v>
      </c>
      <c r="B53" s="38"/>
      <c r="C53" s="38"/>
      <c r="D53" s="39">
        <v>1</v>
      </c>
      <c r="E53" s="39"/>
      <c r="F53" s="38"/>
      <c r="G53" s="38"/>
      <c r="H53" s="34">
        <f t="shared" si="13"/>
        <v>1.708</v>
      </c>
      <c r="I53" s="34">
        <f t="shared" si="14"/>
        <v>6.718</v>
      </c>
      <c r="J53" s="34">
        <f t="shared" si="15"/>
        <v>8.4260000000000002</v>
      </c>
    </row>
    <row r="54" spans="1:10" ht="18.75" customHeight="1">
      <c r="A54" s="33" t="s">
        <v>62</v>
      </c>
      <c r="B54" s="38"/>
      <c r="C54" s="38"/>
      <c r="D54" s="39"/>
      <c r="E54" s="39">
        <v>2</v>
      </c>
      <c r="F54" s="38"/>
      <c r="G54" s="38"/>
      <c r="H54" s="34">
        <f t="shared" si="13"/>
        <v>1.708</v>
      </c>
      <c r="I54" s="34">
        <f t="shared" si="14"/>
        <v>4.718</v>
      </c>
      <c r="J54" s="34">
        <f t="shared" si="15"/>
        <v>6.4260000000000002</v>
      </c>
    </row>
    <row r="55" spans="1:10" ht="18.75" customHeight="1">
      <c r="A55" s="33" t="s">
        <v>63</v>
      </c>
      <c r="B55" s="34">
        <v>3.75</v>
      </c>
      <c r="C55" s="34">
        <v>3.75</v>
      </c>
      <c r="D55" s="34"/>
      <c r="E55" s="34"/>
      <c r="F55" s="34"/>
      <c r="G55" s="38"/>
      <c r="H55" s="34">
        <f t="shared" si="13"/>
        <v>5.4580000000000002</v>
      </c>
      <c r="I55" s="34">
        <f t="shared" si="14"/>
        <v>8.468</v>
      </c>
      <c r="J55" s="34">
        <f t="shared" si="15"/>
        <v>13.926</v>
      </c>
    </row>
    <row r="56" spans="1:10" ht="18.75" customHeight="1">
      <c r="A56" s="33" t="s">
        <v>64</v>
      </c>
      <c r="B56" s="34">
        <v>1.25</v>
      </c>
      <c r="C56" s="34">
        <v>1.25</v>
      </c>
      <c r="D56" s="34"/>
      <c r="E56" s="34"/>
      <c r="F56" s="34"/>
      <c r="G56" s="38"/>
      <c r="H56" s="34">
        <f t="shared" si="13"/>
        <v>6.7080000000000002</v>
      </c>
      <c r="I56" s="34">
        <f t="shared" si="14"/>
        <v>9.718</v>
      </c>
      <c r="J56" s="34">
        <f t="shared" si="15"/>
        <v>16.425999999999998</v>
      </c>
    </row>
    <row r="57" spans="1:10" ht="18.75" customHeight="1">
      <c r="A57" s="33" t="s">
        <v>65</v>
      </c>
      <c r="B57" s="34"/>
      <c r="C57" s="34"/>
      <c r="D57" s="34"/>
      <c r="E57" s="34"/>
      <c r="F57" s="41"/>
      <c r="G57" s="41">
        <v>1</v>
      </c>
      <c r="H57" s="34">
        <f t="shared" si="13"/>
        <v>6.7080000000000002</v>
      </c>
      <c r="I57" s="34">
        <f t="shared" si="14"/>
        <v>9.718</v>
      </c>
      <c r="J57" s="34">
        <f t="shared" si="15"/>
        <v>16.425999999999998</v>
      </c>
    </row>
    <row r="58" spans="1:10" ht="18.75" customHeight="1">
      <c r="A58" s="33" t="s">
        <v>66</v>
      </c>
      <c r="B58" s="34">
        <v>3.75</v>
      </c>
      <c r="C58" s="34">
        <v>3.75</v>
      </c>
      <c r="D58" s="34"/>
      <c r="E58" s="34"/>
      <c r="F58" s="41"/>
      <c r="G58" s="41"/>
      <c r="H58" s="34">
        <f t="shared" si="13"/>
        <v>10.458</v>
      </c>
      <c r="I58" s="34">
        <f t="shared" si="14"/>
        <v>13.468</v>
      </c>
      <c r="J58" s="34">
        <f t="shared" si="15"/>
        <v>23.925999999999998</v>
      </c>
    </row>
    <row r="59" spans="1:10" ht="18.75" customHeight="1">
      <c r="A59" s="33" t="s">
        <v>67</v>
      </c>
      <c r="B59" s="34"/>
      <c r="C59" s="34"/>
      <c r="D59" s="34"/>
      <c r="E59" s="34"/>
      <c r="F59" s="41">
        <v>1</v>
      </c>
      <c r="G59" s="41"/>
      <c r="H59" s="34">
        <f t="shared" si="13"/>
        <v>9.4580000000000002</v>
      </c>
      <c r="I59" s="34">
        <f t="shared" si="14"/>
        <v>13.468</v>
      </c>
      <c r="J59" s="34">
        <f t="shared" si="15"/>
        <v>22.925999999999998</v>
      </c>
    </row>
    <row r="60" spans="1:10" ht="18.75" customHeight="1">
      <c r="A60" s="33" t="s">
        <v>68</v>
      </c>
      <c r="B60" s="34">
        <v>1.25</v>
      </c>
      <c r="C60" s="34">
        <v>1.25</v>
      </c>
      <c r="D60" s="34"/>
      <c r="E60" s="34"/>
      <c r="F60" s="41"/>
      <c r="G60" s="41"/>
      <c r="H60" s="34">
        <f t="shared" si="13"/>
        <v>10.708</v>
      </c>
      <c r="I60" s="34">
        <f t="shared" si="14"/>
        <v>14.718</v>
      </c>
      <c r="J60" s="34">
        <f t="shared" si="15"/>
        <v>25.425999999999998</v>
      </c>
    </row>
    <row r="61" spans="1:10" ht="18.75" customHeight="1">
      <c r="A61" s="33" t="s">
        <v>69</v>
      </c>
      <c r="B61" s="34"/>
      <c r="C61" s="34"/>
      <c r="D61" s="34"/>
      <c r="E61" s="34"/>
      <c r="F61" s="41">
        <v>1</v>
      </c>
      <c r="G61" s="41"/>
      <c r="H61" s="34">
        <f t="shared" si="13"/>
        <v>9.7080000000000002</v>
      </c>
      <c r="I61" s="34">
        <f t="shared" si="14"/>
        <v>14.718</v>
      </c>
      <c r="J61" s="34">
        <f t="shared" si="15"/>
        <v>24.425999999999998</v>
      </c>
    </row>
    <row r="62" spans="1:10" ht="18.75" customHeight="1">
      <c r="A62" s="33" t="s">
        <v>70</v>
      </c>
      <c r="B62" s="41">
        <v>3.75</v>
      </c>
      <c r="C62" s="41">
        <v>3.75</v>
      </c>
      <c r="D62" s="41"/>
      <c r="E62" s="41"/>
      <c r="F62" s="41"/>
      <c r="G62" s="41"/>
      <c r="H62" s="34">
        <f t="shared" si="13"/>
        <v>13.458</v>
      </c>
      <c r="I62" s="34">
        <f t="shared" si="14"/>
        <v>18.468</v>
      </c>
      <c r="J62" s="34">
        <f t="shared" si="15"/>
        <v>31.925999999999998</v>
      </c>
    </row>
    <row r="63" spans="1:10" ht="18.75" customHeight="1">
      <c r="A63" s="33" t="s">
        <v>71</v>
      </c>
      <c r="B63" s="41"/>
      <c r="C63" s="41"/>
      <c r="D63" s="41">
        <v>10</v>
      </c>
      <c r="E63" s="41"/>
      <c r="F63" s="41"/>
      <c r="G63" s="41"/>
      <c r="H63" s="41">
        <f t="shared" si="13"/>
        <v>3.4580000000000002</v>
      </c>
      <c r="I63" s="41">
        <f t="shared" si="14"/>
        <v>18.468</v>
      </c>
      <c r="J63" s="41">
        <f t="shared" si="15"/>
        <v>21.925999999999998</v>
      </c>
    </row>
    <row r="64" spans="1:10" ht="18.75" customHeight="1">
      <c r="A64" s="33" t="s">
        <v>72</v>
      </c>
      <c r="B64" s="41">
        <v>3.75</v>
      </c>
      <c r="C64" s="41">
        <v>3.75</v>
      </c>
      <c r="D64" s="41"/>
      <c r="E64" s="41"/>
      <c r="F64" s="41"/>
      <c r="G64" s="41"/>
      <c r="H64" s="41">
        <f t="shared" ref="H64" si="16">H63-F64-D64+B64</f>
        <v>7.2080000000000002</v>
      </c>
      <c r="I64" s="41">
        <f t="shared" ref="I64" si="17">I63-E64+C64</f>
        <v>22.218</v>
      </c>
      <c r="J64" s="41">
        <f t="shared" ref="J64" si="18">SUM(H64:I64)</f>
        <v>29.425999999999998</v>
      </c>
    </row>
    <row r="65" spans="1:10" ht="18.75" customHeight="1">
      <c r="A65" s="33" t="s">
        <v>73</v>
      </c>
      <c r="B65" s="41"/>
      <c r="C65" s="41"/>
      <c r="D65" s="41"/>
      <c r="E65" s="41"/>
      <c r="F65" s="41">
        <v>3</v>
      </c>
      <c r="G65" s="41"/>
      <c r="H65" s="41">
        <f t="shared" ref="H65:H66" si="19">H64-F65-D65+B65</f>
        <v>4.2080000000000002</v>
      </c>
      <c r="I65" s="41">
        <f t="shared" ref="I65:I66" si="20">I64-E65+C65</f>
        <v>22.218</v>
      </c>
      <c r="J65" s="41">
        <f t="shared" ref="J65:J66" si="21">SUM(H65:I65)</f>
        <v>26.425999999999998</v>
      </c>
    </row>
    <row r="66" spans="1:10" ht="18.75" customHeight="1">
      <c r="A66" s="33" t="s">
        <v>74</v>
      </c>
      <c r="B66" s="41"/>
      <c r="C66" s="41"/>
      <c r="D66" s="41"/>
      <c r="E66" s="41"/>
      <c r="F66" s="41"/>
      <c r="G66" s="41">
        <v>2</v>
      </c>
      <c r="H66" s="41">
        <f t="shared" si="19"/>
        <v>4.2080000000000002</v>
      </c>
      <c r="I66" s="41">
        <f t="shared" si="20"/>
        <v>22.218</v>
      </c>
      <c r="J66" s="41">
        <f t="shared" si="21"/>
        <v>26.425999999999998</v>
      </c>
    </row>
    <row r="67" spans="1:10" ht="18.75" customHeight="1">
      <c r="A67" s="33" t="s">
        <v>75</v>
      </c>
      <c r="B67" s="41">
        <v>1.25</v>
      </c>
      <c r="C67" s="41">
        <v>1.25</v>
      </c>
      <c r="D67" s="41"/>
      <c r="E67" s="41"/>
      <c r="F67" s="41"/>
      <c r="G67" s="41"/>
      <c r="H67" s="41">
        <f t="shared" ref="H67:H68" si="22">H66-F67-D67+B67</f>
        <v>5.4580000000000002</v>
      </c>
      <c r="I67" s="41">
        <f t="shared" ref="I67:I68" si="23">I66-E67+C67</f>
        <v>23.468</v>
      </c>
      <c r="J67" s="41">
        <f t="shared" ref="J67:J68" si="24">SUM(H67:I67)</f>
        <v>28.925999999999998</v>
      </c>
    </row>
    <row r="68" spans="1:10" ht="18.75" customHeight="1">
      <c r="A68" s="33" t="s">
        <v>76</v>
      </c>
      <c r="B68" s="41">
        <v>5</v>
      </c>
      <c r="C68" s="41">
        <v>5</v>
      </c>
      <c r="D68" s="41"/>
      <c r="E68" s="41"/>
      <c r="F68" s="41"/>
      <c r="G68" s="41"/>
      <c r="H68" s="41">
        <f t="shared" si="22"/>
        <v>10.458</v>
      </c>
      <c r="I68" s="41">
        <f t="shared" si="23"/>
        <v>28.468</v>
      </c>
      <c r="J68" s="41">
        <f t="shared" si="24"/>
        <v>38.926000000000002</v>
      </c>
    </row>
    <row r="69" spans="1:10" ht="18.75" customHeight="1">
      <c r="A69" s="33" t="s">
        <v>77</v>
      </c>
      <c r="B69" s="41"/>
      <c r="C69" s="41"/>
      <c r="D69" s="41"/>
      <c r="E69" s="41"/>
      <c r="F69" s="41"/>
      <c r="G69" s="83">
        <v>1</v>
      </c>
      <c r="H69" s="41">
        <f t="shared" ref="H69" si="25">H68-F69-D69+B69</f>
        <v>10.458</v>
      </c>
      <c r="I69" s="41">
        <f t="shared" ref="I69" si="26">I68-E69+C69</f>
        <v>28.468</v>
      </c>
      <c r="J69" s="41">
        <f t="shared" ref="J69" si="27">SUM(H69:I69)</f>
        <v>38.926000000000002</v>
      </c>
    </row>
    <row r="70" spans="1:10" ht="18.75" customHeight="1">
      <c r="A70" s="33" t="s">
        <v>78</v>
      </c>
      <c r="B70" s="41">
        <v>5</v>
      </c>
      <c r="C70" s="41">
        <v>5</v>
      </c>
      <c r="D70" s="41"/>
      <c r="E70" s="41"/>
      <c r="F70" s="41"/>
      <c r="G70" s="41"/>
      <c r="H70" s="41">
        <f t="shared" ref="H70" si="28">H69-F70-D70+B70</f>
        <v>15.458</v>
      </c>
      <c r="I70" s="41">
        <f t="shared" ref="I70" si="29">I69-E70+C70</f>
        <v>33.468000000000004</v>
      </c>
      <c r="J70" s="41">
        <f t="shared" ref="J70" si="30">SUM(H70:I70)</f>
        <v>48.926000000000002</v>
      </c>
    </row>
    <row r="71" spans="1:10" ht="18.75" customHeight="1">
      <c r="A71" s="33" t="s">
        <v>79</v>
      </c>
      <c r="B71" s="41"/>
      <c r="C71" s="41"/>
      <c r="D71" s="41">
        <v>10</v>
      </c>
      <c r="E71" s="41"/>
      <c r="F71" s="41"/>
      <c r="G71" s="41"/>
      <c r="H71" s="41">
        <f t="shared" ref="H71" si="31">H70-F71-D71+B71</f>
        <v>5.4580000000000002</v>
      </c>
      <c r="I71" s="41">
        <f t="shared" ref="I71" si="32">I70-E71+C71</f>
        <v>33.468000000000004</v>
      </c>
      <c r="J71" s="41">
        <f t="shared" ref="J71" si="33">SUM(H71:I71)</f>
        <v>38.926000000000002</v>
      </c>
    </row>
    <row r="72" spans="1:10" ht="18.75" customHeight="1">
      <c r="A72" s="33" t="s">
        <v>80</v>
      </c>
      <c r="B72" s="41">
        <v>2.5</v>
      </c>
      <c r="C72" s="41">
        <v>2.5</v>
      </c>
      <c r="D72" s="41"/>
      <c r="E72" s="41"/>
      <c r="F72" s="41"/>
      <c r="G72" s="41"/>
      <c r="H72" s="41">
        <f t="shared" ref="H72:H73" si="34">H71-F72-D72+B72</f>
        <v>7.9580000000000002</v>
      </c>
      <c r="I72" s="41">
        <f t="shared" ref="I72:I73" si="35">I71-E72+C72</f>
        <v>35.968000000000004</v>
      </c>
      <c r="J72" s="41">
        <f t="shared" ref="J72:J73" si="36">SUM(H72:I72)</f>
        <v>43.926000000000002</v>
      </c>
    </row>
    <row r="73" spans="1:10" ht="18.75" customHeight="1">
      <c r="A73" s="33" t="s">
        <v>81</v>
      </c>
      <c r="B73" s="41"/>
      <c r="C73" s="41"/>
      <c r="D73" s="41"/>
      <c r="E73" s="41"/>
      <c r="F73" s="41"/>
      <c r="G73" s="83">
        <v>2</v>
      </c>
      <c r="H73" s="41">
        <f t="shared" si="34"/>
        <v>7.9580000000000002</v>
      </c>
      <c r="I73" s="41">
        <f t="shared" si="35"/>
        <v>35.968000000000004</v>
      </c>
      <c r="J73" s="41">
        <f t="shared" si="36"/>
        <v>43.926000000000002</v>
      </c>
    </row>
    <row r="74" spans="1:10" ht="18.75" customHeight="1">
      <c r="A74" s="33" t="s">
        <v>82</v>
      </c>
      <c r="B74" s="41"/>
      <c r="C74" s="41"/>
      <c r="D74" s="41"/>
      <c r="E74" s="41"/>
      <c r="F74" s="45">
        <v>5</v>
      </c>
      <c r="G74" s="41"/>
      <c r="H74" s="41">
        <f t="shared" ref="H74" si="37">H73-F74-D74+B74</f>
        <v>2.9580000000000002</v>
      </c>
      <c r="I74" s="41">
        <f t="shared" ref="I74" si="38">I73-E74+C74</f>
        <v>35.968000000000004</v>
      </c>
      <c r="J74" s="41">
        <f t="shared" ref="J74" si="39">SUM(H74:I74)</f>
        <v>38.926000000000002</v>
      </c>
    </row>
    <row r="75" spans="1:10" ht="18.75" customHeight="1">
      <c r="A75" s="33" t="s">
        <v>83</v>
      </c>
      <c r="B75" s="41">
        <v>1.25</v>
      </c>
      <c r="C75" s="41">
        <v>1.25</v>
      </c>
      <c r="D75" s="41"/>
      <c r="E75" s="41"/>
      <c r="F75" s="41"/>
      <c r="G75" s="41"/>
      <c r="H75" s="41">
        <f>H74-F75-D75+B75</f>
        <v>4.2080000000000002</v>
      </c>
      <c r="I75" s="41">
        <f>I74-E75+C75</f>
        <v>37.218000000000004</v>
      </c>
      <c r="J75" s="41">
        <f>SUM(H75:I75)</f>
        <v>41.426000000000002</v>
      </c>
    </row>
    <row r="76" spans="1:10" ht="18.75" customHeight="1">
      <c r="A76" s="33" t="s">
        <v>84</v>
      </c>
      <c r="B76" s="41">
        <v>3</v>
      </c>
      <c r="C76" s="41"/>
      <c r="D76" s="41"/>
      <c r="E76" s="41"/>
      <c r="F76" s="41"/>
      <c r="G76" s="41"/>
      <c r="H76" s="41">
        <f>H75-F76-D76+B76</f>
        <v>7.2080000000000002</v>
      </c>
      <c r="I76" s="41">
        <f>I75-E76+C76</f>
        <v>37.218000000000004</v>
      </c>
      <c r="J76" s="41">
        <f>SUM(H76:I76)</f>
        <v>44.426000000000002</v>
      </c>
    </row>
    <row r="77" spans="1:10" ht="18.75" customHeight="1">
      <c r="B77" s="46"/>
      <c r="C77" s="46"/>
      <c r="D77" s="46"/>
      <c r="E77" s="46"/>
      <c r="F77" s="46"/>
      <c r="G77" s="46"/>
      <c r="H77" s="46"/>
      <c r="I77" s="46"/>
      <c r="J77" s="46"/>
    </row>
    <row r="78" spans="1:10" ht="18.75" customHeight="1">
      <c r="B78" s="46"/>
      <c r="C78" s="46"/>
      <c r="D78" s="46"/>
      <c r="E78" s="46"/>
      <c r="F78" s="46"/>
      <c r="G78" s="46"/>
      <c r="H78" s="47"/>
      <c r="I78" s="47"/>
      <c r="J78" s="46"/>
    </row>
    <row r="79" spans="1:10" s="25" customFormat="1">
      <c r="G79" s="25" t="s">
        <v>85</v>
      </c>
    </row>
    <row r="80" spans="1:10" s="25" customFormat="1"/>
    <row r="81" spans="7:7" s="25" customFormat="1">
      <c r="G81" s="48" t="s">
        <v>86</v>
      </c>
    </row>
    <row r="82" spans="7:7" s="25" customFormat="1">
      <c r="G82" s="25" t="s">
        <v>87</v>
      </c>
    </row>
    <row r="83" spans="7:7" s="25" customFormat="1">
      <c r="G83" s="25" t="s">
        <v>88</v>
      </c>
    </row>
  </sheetData>
  <mergeCells count="13">
    <mergeCell ref="K11:K12"/>
    <mergeCell ref="B9:D9"/>
    <mergeCell ref="A10:J10"/>
    <mergeCell ref="B11:C11"/>
    <mergeCell ref="D11:G11"/>
    <mergeCell ref="H11:I11"/>
    <mergeCell ref="A11:A12"/>
    <mergeCell ref="J11:J12"/>
    <mergeCell ref="A2:J2"/>
    <mergeCell ref="A3:J3"/>
    <mergeCell ref="A4:J4"/>
    <mergeCell ref="A5:J5"/>
    <mergeCell ref="B7:D7"/>
  </mergeCells>
  <printOptions horizontalCentered="1"/>
  <pageMargins left="0.23622047244094499" right="0.23622047244094499" top="0.55118110236220497" bottom="0.74803149606299202" header="0.31496062992126" footer="0.31496062992126"/>
  <pageSetup paperSize="9" scale="65" fitToHeight="0" orientation="portrait" horizontalDpi="360" verticalDpi="3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5"/>
  <sheetViews>
    <sheetView view="pageBreakPreview" topLeftCell="A8" zoomScale="112" zoomScaleNormal="100" workbookViewId="0">
      <selection activeCell="L28" sqref="L28"/>
    </sheetView>
  </sheetViews>
  <sheetFormatPr defaultColWidth="8.75" defaultRowHeight="14.45"/>
  <cols>
    <col min="1" max="1" width="33.625" style="4" customWidth="1"/>
    <col min="2" max="16384" width="8.75" style="4"/>
  </cols>
  <sheetData>
    <row r="1" spans="1:12" s="1" customFormat="1" ht="52.5" customHeight="1"/>
    <row r="2" spans="1:12" s="1" customFormat="1" ht="10.5" customHeight="1">
      <c r="A2" s="57" t="s">
        <v>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2" s="1" customFormat="1" ht="15.95" customHeight="1">
      <c r="A3" s="57" t="s">
        <v>1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spans="1:12" s="1" customFormat="1" ht="15.95" customHeight="1">
      <c r="A4" s="57" t="s">
        <v>89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</row>
    <row r="5" spans="1:12" s="1" customFormat="1" ht="15.95" customHeight="1">
      <c r="A5" s="57" t="s">
        <v>3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</row>
    <row r="6" spans="1:12" s="1" customFormat="1" ht="8.25" customHeight="1"/>
    <row r="7" spans="1:12" s="1" customFormat="1" ht="12" customHeight="1">
      <c r="A7" s="1" t="s">
        <v>4</v>
      </c>
      <c r="C7" s="5" t="s">
        <v>5</v>
      </c>
      <c r="D7" s="5"/>
      <c r="G7" s="5" t="s">
        <v>6</v>
      </c>
      <c r="H7" s="6"/>
    </row>
    <row r="8" spans="1:12" s="1" customFormat="1" ht="12" customHeight="1">
      <c r="C8" s="7"/>
      <c r="G8" s="7"/>
      <c r="H8" s="7"/>
    </row>
    <row r="9" spans="1:12" s="1" customFormat="1" ht="12" customHeight="1">
      <c r="A9" s="1" t="s">
        <v>7</v>
      </c>
      <c r="C9" s="5" t="s">
        <v>8</v>
      </c>
      <c r="D9" s="5"/>
      <c r="G9" s="5" t="s">
        <v>9</v>
      </c>
      <c r="H9" s="8"/>
    </row>
    <row r="10" spans="1:12" s="1" customFormat="1" ht="12" customHeight="1">
      <c r="C10" s="5"/>
      <c r="D10" s="5"/>
      <c r="G10" s="5"/>
      <c r="H10" s="5"/>
    </row>
    <row r="11" spans="1:12" ht="16.5" customHeight="1">
      <c r="A11" s="58" t="s">
        <v>90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</row>
    <row r="12" spans="1:12" s="2" customFormat="1" ht="18.75" customHeight="1">
      <c r="A12" s="74" t="s">
        <v>11</v>
      </c>
      <c r="B12" s="59" t="s">
        <v>12</v>
      </c>
      <c r="C12" s="60"/>
      <c r="D12" s="60"/>
      <c r="E12" s="60"/>
      <c r="F12" s="60"/>
      <c r="G12" s="60"/>
      <c r="H12" s="60"/>
      <c r="I12" s="60"/>
      <c r="J12" s="60"/>
      <c r="K12" s="60"/>
      <c r="L12" s="76" t="s">
        <v>15</v>
      </c>
    </row>
    <row r="13" spans="1:12" s="2" customFormat="1" ht="24" customHeight="1">
      <c r="A13" s="75"/>
      <c r="B13" s="61" t="s">
        <v>91</v>
      </c>
      <c r="C13" s="62"/>
      <c r="D13" s="62"/>
      <c r="E13" s="63"/>
      <c r="F13" s="61" t="s">
        <v>92</v>
      </c>
      <c r="G13" s="63"/>
      <c r="H13" s="61" t="s">
        <v>93</v>
      </c>
      <c r="I13" s="63"/>
      <c r="J13" s="61" t="s">
        <v>94</v>
      </c>
      <c r="K13" s="63"/>
      <c r="L13" s="77"/>
    </row>
    <row r="14" spans="1:12" s="2" customFormat="1" ht="24.95" hidden="1" customHeight="1">
      <c r="A14" s="9" t="s">
        <v>95</v>
      </c>
      <c r="B14" s="64" t="s">
        <v>96</v>
      </c>
      <c r="C14" s="65"/>
      <c r="D14" s="65"/>
      <c r="E14" s="66"/>
      <c r="F14" s="64">
        <v>1</v>
      </c>
      <c r="G14" s="66"/>
      <c r="H14" s="64">
        <v>0</v>
      </c>
      <c r="I14" s="66"/>
      <c r="J14" s="64">
        <v>1</v>
      </c>
      <c r="K14" s="66"/>
      <c r="L14" s="17">
        <v>1</v>
      </c>
    </row>
    <row r="15" spans="1:12" s="3" customFormat="1" ht="25.5" hidden="1" customHeight="1">
      <c r="A15" s="9" t="s">
        <v>97</v>
      </c>
      <c r="B15" s="64" t="s">
        <v>96</v>
      </c>
      <c r="C15" s="65"/>
      <c r="D15" s="65"/>
      <c r="E15" s="66"/>
      <c r="F15" s="64"/>
      <c r="G15" s="66"/>
      <c r="H15" s="64">
        <v>1</v>
      </c>
      <c r="I15" s="66"/>
      <c r="J15" s="64">
        <v>0</v>
      </c>
      <c r="K15" s="66"/>
      <c r="L15" s="18">
        <v>0</v>
      </c>
    </row>
    <row r="16" spans="1:12" s="3" customFormat="1" ht="25.5" hidden="1" customHeight="1">
      <c r="A16" s="9" t="s">
        <v>98</v>
      </c>
      <c r="B16" s="64" t="s">
        <v>99</v>
      </c>
      <c r="C16" s="65"/>
      <c r="D16" s="65"/>
      <c r="E16" s="66"/>
      <c r="F16" s="64">
        <v>1</v>
      </c>
      <c r="G16" s="66"/>
      <c r="H16" s="64">
        <v>0</v>
      </c>
      <c r="I16" s="66"/>
      <c r="J16" s="64">
        <v>1</v>
      </c>
      <c r="K16" s="66"/>
      <c r="L16" s="17">
        <v>1</v>
      </c>
    </row>
    <row r="17" spans="1:12" s="3" customFormat="1" ht="25.5" hidden="1" customHeight="1">
      <c r="A17" s="9" t="s">
        <v>100</v>
      </c>
      <c r="B17" s="64" t="s">
        <v>101</v>
      </c>
      <c r="C17" s="65"/>
      <c r="D17" s="65"/>
      <c r="E17" s="66"/>
      <c r="F17" s="64">
        <v>2</v>
      </c>
      <c r="G17" s="66"/>
      <c r="H17" s="64">
        <v>0</v>
      </c>
      <c r="I17" s="66"/>
      <c r="J17" s="64">
        <v>2</v>
      </c>
      <c r="K17" s="66"/>
      <c r="L17" s="17">
        <v>3</v>
      </c>
    </row>
    <row r="18" spans="1:12" s="3" customFormat="1" ht="25.5" hidden="1" customHeight="1">
      <c r="A18" s="9" t="s">
        <v>100</v>
      </c>
      <c r="B18" s="64" t="s">
        <v>102</v>
      </c>
      <c r="C18" s="65"/>
      <c r="D18" s="65"/>
      <c r="E18" s="66"/>
      <c r="F18" s="64">
        <v>2</v>
      </c>
      <c r="G18" s="66"/>
      <c r="H18" s="64">
        <v>0</v>
      </c>
      <c r="I18" s="66"/>
      <c r="J18" s="64">
        <v>2</v>
      </c>
      <c r="K18" s="66"/>
      <c r="L18" s="17">
        <v>5</v>
      </c>
    </row>
    <row r="19" spans="1:12" s="3" customFormat="1" ht="25.5" hidden="1" customHeight="1">
      <c r="A19" s="9" t="s">
        <v>103</v>
      </c>
      <c r="B19" s="64" t="s">
        <v>104</v>
      </c>
      <c r="C19" s="65"/>
      <c r="D19" s="65"/>
      <c r="E19" s="66"/>
      <c r="F19" s="64">
        <v>5</v>
      </c>
      <c r="G19" s="66"/>
      <c r="H19" s="64">
        <v>5</v>
      </c>
      <c r="I19" s="66"/>
      <c r="J19" s="64">
        <v>0</v>
      </c>
      <c r="K19" s="66"/>
      <c r="L19" s="84">
        <v>0</v>
      </c>
    </row>
    <row r="20" spans="1:12" s="2" customFormat="1" ht="24.95" hidden="1" customHeight="1">
      <c r="A20" s="9" t="s">
        <v>105</v>
      </c>
      <c r="B20" s="64" t="s">
        <v>106</v>
      </c>
      <c r="C20" s="65"/>
      <c r="D20" s="65"/>
      <c r="E20" s="66"/>
      <c r="F20" s="64">
        <v>1</v>
      </c>
      <c r="G20" s="66"/>
      <c r="H20" s="64">
        <v>0</v>
      </c>
      <c r="I20" s="66"/>
      <c r="J20" s="64">
        <v>1</v>
      </c>
      <c r="K20" s="66"/>
      <c r="L20" s="17">
        <v>1</v>
      </c>
    </row>
    <row r="21" spans="1:12" s="3" customFormat="1" ht="25.5" hidden="1" customHeight="1">
      <c r="A21" s="9" t="s">
        <v>107</v>
      </c>
      <c r="B21" s="64" t="s">
        <v>106</v>
      </c>
      <c r="C21" s="65"/>
      <c r="D21" s="65"/>
      <c r="E21" s="66"/>
      <c r="F21" s="64"/>
      <c r="G21" s="66"/>
      <c r="H21" s="64">
        <v>1</v>
      </c>
      <c r="I21" s="66"/>
      <c r="J21" s="64">
        <v>0</v>
      </c>
      <c r="K21" s="66"/>
      <c r="L21" s="19">
        <v>0</v>
      </c>
    </row>
    <row r="22" spans="1:12" s="3" customFormat="1">
      <c r="A22" s="10" t="s">
        <v>108</v>
      </c>
      <c r="B22" s="64" t="s">
        <v>109</v>
      </c>
      <c r="C22" s="65"/>
      <c r="D22" s="65"/>
      <c r="E22" s="66"/>
      <c r="F22" s="64">
        <v>1</v>
      </c>
      <c r="G22" s="66"/>
      <c r="H22" s="64">
        <v>1</v>
      </c>
      <c r="I22" s="66"/>
      <c r="J22" s="64">
        <v>0</v>
      </c>
      <c r="K22" s="66"/>
      <c r="L22" s="20">
        <v>0</v>
      </c>
    </row>
    <row r="23" spans="1:12" ht="18.95" customHeight="1">
      <c r="A23" s="10" t="s">
        <v>110</v>
      </c>
      <c r="B23" s="64" t="s">
        <v>109</v>
      </c>
      <c r="C23" s="65"/>
      <c r="D23" s="65"/>
      <c r="E23" s="66"/>
      <c r="F23" s="64"/>
      <c r="G23" s="66"/>
      <c r="H23" s="64">
        <v>1</v>
      </c>
      <c r="I23" s="66"/>
      <c r="J23" s="64">
        <v>0</v>
      </c>
      <c r="K23" s="66"/>
      <c r="L23" s="19">
        <v>0</v>
      </c>
    </row>
    <row r="24" spans="1:12" s="3" customFormat="1" ht="39" customHeight="1">
      <c r="A24" s="10" t="s">
        <v>111</v>
      </c>
      <c r="B24" s="64" t="s">
        <v>112</v>
      </c>
      <c r="C24" s="65"/>
      <c r="D24" s="65"/>
      <c r="E24" s="66"/>
      <c r="F24" s="64" t="s">
        <v>113</v>
      </c>
      <c r="G24" s="66"/>
      <c r="H24" s="64">
        <v>0</v>
      </c>
      <c r="I24" s="66"/>
      <c r="J24" s="64" t="s">
        <v>113</v>
      </c>
      <c r="K24" s="66"/>
      <c r="L24" s="21" t="s">
        <v>113</v>
      </c>
    </row>
    <row r="25" spans="1:12" ht="41.25" customHeight="1">
      <c r="A25" s="11" t="s">
        <v>114</v>
      </c>
      <c r="B25" s="67" t="s">
        <v>112</v>
      </c>
      <c r="C25" s="67"/>
      <c r="D25" s="67"/>
      <c r="E25" s="67"/>
      <c r="F25" s="67"/>
      <c r="G25" s="67"/>
      <c r="H25" s="67" t="s">
        <v>115</v>
      </c>
      <c r="I25" s="67"/>
      <c r="J25" s="67" t="s">
        <v>116</v>
      </c>
      <c r="K25" s="67"/>
      <c r="L25" s="12" t="s">
        <v>116</v>
      </c>
    </row>
    <row r="26" spans="1:12" s="3" customFormat="1" ht="30.75" customHeight="1">
      <c r="A26" s="13" t="s">
        <v>117</v>
      </c>
      <c r="B26" s="68" t="s">
        <v>118</v>
      </c>
      <c r="C26" s="69"/>
      <c r="D26" s="69"/>
      <c r="E26" s="70"/>
      <c r="F26" s="68">
        <v>3</v>
      </c>
      <c r="G26" s="70"/>
      <c r="H26" s="68">
        <v>0</v>
      </c>
      <c r="I26" s="70"/>
      <c r="J26" s="68">
        <v>3</v>
      </c>
      <c r="K26" s="70"/>
      <c r="L26" s="22">
        <v>3</v>
      </c>
    </row>
    <row r="27" spans="1:12" s="3" customFormat="1" ht="30.75" customHeight="1">
      <c r="A27" s="11" t="s">
        <v>119</v>
      </c>
      <c r="B27" s="64" t="s">
        <v>118</v>
      </c>
      <c r="C27" s="65"/>
      <c r="D27" s="65"/>
      <c r="E27" s="66"/>
      <c r="F27" s="64"/>
      <c r="G27" s="66"/>
      <c r="H27" s="64">
        <v>2</v>
      </c>
      <c r="I27" s="66"/>
      <c r="J27" s="64">
        <v>1</v>
      </c>
      <c r="K27" s="66"/>
      <c r="L27" s="23">
        <v>1</v>
      </c>
    </row>
    <row r="28" spans="1:12" s="3" customFormat="1" ht="28.5" customHeight="1">
      <c r="A28" s="11" t="s">
        <v>120</v>
      </c>
      <c r="B28" s="64" t="s">
        <v>118</v>
      </c>
      <c r="C28" s="65"/>
      <c r="D28" s="65"/>
      <c r="E28" s="66"/>
      <c r="F28" s="64"/>
      <c r="G28" s="66"/>
      <c r="H28" s="64">
        <v>1</v>
      </c>
      <c r="I28" s="66"/>
      <c r="J28" s="64">
        <v>0</v>
      </c>
      <c r="K28" s="66"/>
      <c r="L28" s="23">
        <v>0</v>
      </c>
    </row>
    <row r="29" spans="1:12" s="1" customFormat="1">
      <c r="A29" s="14" t="s">
        <v>121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24"/>
    </row>
    <row r="30" spans="1:12" s="1" customFormat="1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</row>
    <row r="31" spans="1:12">
      <c r="A31" s="1"/>
      <c r="B31" s="1"/>
      <c r="C31" s="16"/>
      <c r="D31" s="1"/>
      <c r="E31" s="1"/>
      <c r="F31" s="1"/>
      <c r="G31" s="1"/>
      <c r="H31" s="1" t="s">
        <v>85</v>
      </c>
      <c r="I31" s="1"/>
      <c r="J31" s="1"/>
      <c r="K31" s="1"/>
      <c r="L31" s="1"/>
    </row>
    <row r="32" spans="1:12">
      <c r="A32" s="1"/>
      <c r="B32" s="1"/>
      <c r="C32" s="16"/>
      <c r="D32" s="1"/>
      <c r="E32" s="1"/>
      <c r="F32" s="1"/>
      <c r="G32" s="1"/>
      <c r="H32" s="1"/>
      <c r="I32" s="1"/>
      <c r="J32" s="1"/>
      <c r="K32" s="1"/>
      <c r="L32" s="1"/>
    </row>
    <row r="33" spans="8:10">
      <c r="H33" s="72" t="s">
        <v>86</v>
      </c>
      <c r="I33" s="72"/>
      <c r="J33" s="72"/>
    </row>
    <row r="34" spans="8:10">
      <c r="H34" s="4" t="s">
        <v>87</v>
      </c>
    </row>
    <row r="35" spans="8:10">
      <c r="H35" s="73" t="s">
        <v>122</v>
      </c>
      <c r="I35" s="73"/>
    </row>
  </sheetData>
  <mergeCells count="75">
    <mergeCell ref="H33:J33"/>
    <mergeCell ref="H35:I35"/>
    <mergeCell ref="A12:A13"/>
    <mergeCell ref="L12:L13"/>
    <mergeCell ref="B28:E28"/>
    <mergeCell ref="F28:G28"/>
    <mergeCell ref="H28:I28"/>
    <mergeCell ref="J28:K28"/>
    <mergeCell ref="A30:L30"/>
    <mergeCell ref="B26:E26"/>
    <mergeCell ref="F26:G26"/>
    <mergeCell ref="H26:I26"/>
    <mergeCell ref="J26:K26"/>
    <mergeCell ref="B27:E27"/>
    <mergeCell ref="F27:G27"/>
    <mergeCell ref="H27:I27"/>
    <mergeCell ref="J27:K27"/>
    <mergeCell ref="B24:E24"/>
    <mergeCell ref="F24:G24"/>
    <mergeCell ref="H24:I24"/>
    <mergeCell ref="J24:K24"/>
    <mergeCell ref="B25:E25"/>
    <mergeCell ref="F25:G25"/>
    <mergeCell ref="H25:I25"/>
    <mergeCell ref="J25:K25"/>
    <mergeCell ref="B22:E22"/>
    <mergeCell ref="F22:G22"/>
    <mergeCell ref="H22:I22"/>
    <mergeCell ref="J22:K22"/>
    <mergeCell ref="B23:E23"/>
    <mergeCell ref="F23:G23"/>
    <mergeCell ref="H23:I23"/>
    <mergeCell ref="J23:K23"/>
    <mergeCell ref="B20:E20"/>
    <mergeCell ref="F20:G20"/>
    <mergeCell ref="H20:I20"/>
    <mergeCell ref="J20:K20"/>
    <mergeCell ref="B21:E21"/>
    <mergeCell ref="F21:G21"/>
    <mergeCell ref="H21:I21"/>
    <mergeCell ref="J21:K21"/>
    <mergeCell ref="B18:E18"/>
    <mergeCell ref="F18:G18"/>
    <mergeCell ref="H18:I18"/>
    <mergeCell ref="J18:K18"/>
    <mergeCell ref="B19:E19"/>
    <mergeCell ref="F19:G19"/>
    <mergeCell ref="H19:I19"/>
    <mergeCell ref="J19:K19"/>
    <mergeCell ref="B16:E16"/>
    <mergeCell ref="F16:G16"/>
    <mergeCell ref="H16:I16"/>
    <mergeCell ref="J16:K16"/>
    <mergeCell ref="B17:E17"/>
    <mergeCell ref="F17:G17"/>
    <mergeCell ref="H17:I17"/>
    <mergeCell ref="J17:K17"/>
    <mergeCell ref="B14:E14"/>
    <mergeCell ref="F14:G14"/>
    <mergeCell ref="H14:I14"/>
    <mergeCell ref="J14:K14"/>
    <mergeCell ref="B15:E15"/>
    <mergeCell ref="F15:G15"/>
    <mergeCell ref="H15:I15"/>
    <mergeCell ref="J15:K15"/>
    <mergeCell ref="B12:K12"/>
    <mergeCell ref="B13:E13"/>
    <mergeCell ref="F13:G13"/>
    <mergeCell ref="H13:I13"/>
    <mergeCell ref="J13:K13"/>
    <mergeCell ref="A2:L2"/>
    <mergeCell ref="A3:L3"/>
    <mergeCell ref="A4:L4"/>
    <mergeCell ref="A5:L5"/>
    <mergeCell ref="A11:L11"/>
  </mergeCells>
  <pageMargins left="0.25" right="0.25" top="0.75" bottom="0.75" header="0.3" footer="0.3"/>
  <pageSetup paperSize="9" scale="76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Education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JOCELYN MAMUGAY</cp:lastModifiedBy>
  <cp:revision/>
  <dcterms:created xsi:type="dcterms:W3CDTF">2021-10-07T06:10:00Z</dcterms:created>
  <dcterms:modified xsi:type="dcterms:W3CDTF">2026-01-23T05:26:44Z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49295B36FABE4063949414AF0F0F936F_12</vt:lpwstr>
  </property>
  <property fmtid="{D5CDD505-2E9C-101B-9397-08002B2CF9AE}" pid="3" name="KSOProductBuildVer">
    <vt:lpwstr>1033-12.2.0.23196</vt:lpwstr>
  </property>
</Properties>
</file>