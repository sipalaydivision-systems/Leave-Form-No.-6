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3065BDB3-9CAF-4EFB-BDA7-ADA0F42A7CDB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Leave Card (NE)" sheetId="6" r:id="rId1"/>
    <sheet name="Sheet1" sheetId="11" r:id="rId2"/>
    <sheet name="CTO" sheetId="10" r:id="rId3"/>
    <sheet name="Other types of leave" sheetId="9" r:id="rId4"/>
  </sheets>
  <definedNames>
    <definedName name="_xlnm.Print_Area" localSheetId="0">'Leave Card (NE)'!$A$1:$J$51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6" l="1"/>
  <c r="H45" i="6" s="1"/>
  <c r="I44" i="6"/>
  <c r="I45" i="6" s="1"/>
  <c r="J44" i="6"/>
  <c r="G15" i="11"/>
  <c r="G16" i="11" s="1"/>
  <c r="J14" i="10"/>
  <c r="J45" i="6" l="1"/>
  <c r="I14" i="6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H14" i="6"/>
  <c r="H15" i="6" s="1"/>
  <c r="H16" i="6" s="1"/>
  <c r="J16" i="6" l="1"/>
  <c r="H17" i="6"/>
  <c r="J14" i="6"/>
  <c r="J15" i="6"/>
  <c r="J17" i="6" l="1"/>
  <c r="H18" i="6"/>
  <c r="J18" i="6" l="1"/>
  <c r="H19" i="6"/>
  <c r="J19" i="6" l="1"/>
  <c r="H20" i="6"/>
  <c r="J20" i="6" l="1"/>
  <c r="H21" i="6"/>
  <c r="H22" i="6" l="1"/>
  <c r="J21" i="6"/>
  <c r="H23" i="6" l="1"/>
  <c r="J22" i="6"/>
  <c r="J23" i="6" l="1"/>
  <c r="H24" i="6"/>
  <c r="H25" i="6" l="1"/>
  <c r="J24" i="6"/>
  <c r="J25" i="6" l="1"/>
  <c r="H26" i="6"/>
  <c r="J26" i="6" l="1"/>
  <c r="H27" i="6"/>
  <c r="J27" i="6" l="1"/>
  <c r="H28" i="6"/>
  <c r="J28" i="6" l="1"/>
  <c r="H29" i="6"/>
  <c r="J29" i="6" l="1"/>
  <c r="H30" i="6"/>
  <c r="J30" i="6" l="1"/>
  <c r="H31" i="6"/>
  <c r="J31" i="6" l="1"/>
  <c r="H32" i="6"/>
  <c r="H33" i="6" l="1"/>
  <c r="J32" i="6"/>
  <c r="J33" i="6" l="1"/>
  <c r="H34" i="6"/>
  <c r="H35" i="6" l="1"/>
  <c r="J34" i="6"/>
  <c r="J35" i="6" l="1"/>
  <c r="H36" i="6"/>
  <c r="J36" i="6" l="1"/>
  <c r="H37" i="6"/>
  <c r="J37" i="6" l="1"/>
  <c r="H38" i="6"/>
  <c r="J38" i="6" l="1"/>
  <c r="H39" i="6"/>
  <c r="J39" i="6" l="1"/>
  <c r="H40" i="6"/>
  <c r="J40" i="6" l="1"/>
  <c r="H41" i="6"/>
  <c r="J41" i="6" l="1"/>
  <c r="H42" i="6"/>
  <c r="J42" i="6" l="1"/>
  <c r="H43" i="6"/>
  <c r="J43" i="6" s="1"/>
</calcChain>
</file>

<file path=xl/sharedStrings.xml><?xml version="1.0" encoding="utf-8"?>
<sst xmlns="http://schemas.openxmlformats.org/spreadsheetml/2006/main" count="141" uniqueCount="105">
  <si>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</si>
  <si>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</si>
  <si>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</si>
  <si>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</si>
  <si>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</si>
  <si>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</si>
  <si>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</si>
  <si>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</si>
  <si>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</si>
  <si>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</si>
  <si>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</si>
  <si>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Republic of the Philippines</t>
  </si>
  <si>
    <t>Department of Education</t>
  </si>
  <si>
    <t>REGION VI-WESTERN VISAYAS</t>
  </si>
  <si>
    <t>SCHOOLS DIVISION OF SIPALAY CITY</t>
  </si>
  <si>
    <t>LESS: 12/16/2021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</si>
  <si>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</si>
  <si>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</si>
  <si>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</si>
  <si>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</si>
  <si>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</si>
  <si>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</si>
  <si>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</si>
  <si>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</si>
  <si>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</si>
  <si>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</si>
  <si>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</si>
  <si>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</si>
  <si>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</si>
  <si>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</si>
  <si>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</si>
  <si>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</si>
  <si>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</si>
  <si>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</si>
  <si>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05/27/2022</t>
  </si>
  <si>
    <t>LESS: 09/14/2022</t>
  </si>
  <si>
    <t>LESS: 01/05-06/22</t>
  </si>
  <si>
    <t>Name: _____________________________</t>
  </si>
  <si>
    <t>POSITION: __________________________</t>
  </si>
  <si>
    <t>DISTRICT: ___________________________</t>
  </si>
  <si>
    <t>SCHOOL/OFFICE:_____________________</t>
  </si>
  <si>
    <t>Certified Correct:</t>
  </si>
  <si>
    <t>MA. LUISA B. CATIGAN</t>
  </si>
  <si>
    <t>Administrative Officer IV</t>
  </si>
  <si>
    <t>HRMO</t>
  </si>
  <si>
    <t>SPECIAL PRIVILEGE LEAVE</t>
  </si>
  <si>
    <t>LESS: 12/23/2022</t>
  </si>
  <si>
    <t>COMPENSATORY TIME OFF (CTO)</t>
  </si>
  <si>
    <t>Special Order No. and Date Issued</t>
  </si>
  <si>
    <t>No. of Days Granted</t>
  </si>
  <si>
    <t>No. of Days Used</t>
  </si>
  <si>
    <t>Balance</t>
  </si>
  <si>
    <t>NOTE:  Valid for one (1) year only</t>
  </si>
  <si>
    <t>ADD: JJULY 13, 2022</t>
  </si>
  <si>
    <t>S.O. # 052, S. 2022. 124TH PHILIPPINE INDEPENDENCE DAY CELEBRATION</t>
  </si>
  <si>
    <t>ADD: 7/18/2022 - 7/31/2022</t>
  </si>
  <si>
    <t>ADD: 8/01/2022 - 12/31/2022</t>
  </si>
  <si>
    <t>LESS: 11/09/2022</t>
  </si>
  <si>
    <t>ADD: 1/01/2022 - 8/31/2023</t>
  </si>
  <si>
    <t>LESS: MONETIZATION 2023</t>
  </si>
  <si>
    <t>DATE OF APPOINTMENT AS HT: JULY 18, 2022</t>
  </si>
  <si>
    <t>ADD: 09/01/2023-09/30/2023</t>
  </si>
  <si>
    <t>LESS: 10/26/2023</t>
  </si>
  <si>
    <t>ADD: 10/01/2023-11/30/2023</t>
  </si>
  <si>
    <t>LESS: 12/22,27,28,29/2023</t>
  </si>
  <si>
    <t>LESS: 12/19-21/2023</t>
  </si>
  <si>
    <t>ADD: 12/1-31/2023</t>
  </si>
  <si>
    <t>ADD: 01/1/2024-05/31/2024</t>
  </si>
  <si>
    <t>LESS: 06/7/2024</t>
  </si>
  <si>
    <t>LESS: 06/24/2024</t>
  </si>
  <si>
    <t>ADD: JUNE-JULY 31, 2024</t>
  </si>
  <si>
    <t>LESS: MONETIZATION 2024</t>
  </si>
  <si>
    <t xml:space="preserve">               HRMO</t>
  </si>
  <si>
    <t>ADD: 08/1/2024-09/30/2024</t>
  </si>
  <si>
    <t>LESS: 10/15/2024</t>
  </si>
  <si>
    <t>ADD: 10/1-31/2024</t>
  </si>
  <si>
    <t>LESS: 11/20/2024</t>
  </si>
  <si>
    <t>Name       :</t>
  </si>
  <si>
    <t>GARY E. CABALLES</t>
  </si>
  <si>
    <t>POSITION:</t>
  </si>
  <si>
    <t>HEAD TEACHER 1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</si>
  <si>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</si>
  <si>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</si>
  <si>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</si>
  <si>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</si>
  <si>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</si>
  <si>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</si>
  <si>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LESS: NOVEMBER 25, 2022</t>
  </si>
  <si>
    <t>S.O. #051, s. 2022, dated May 09, 2022</t>
  </si>
  <si>
    <t>MAY 09, 2022 NATIONAL AND LOCAL ELECTION</t>
  </si>
  <si>
    <t>Total Remaining Balance</t>
  </si>
  <si>
    <t>CERTIFIED CORRECT:</t>
  </si>
  <si>
    <t>ADD: 11/1-30/2024</t>
  </si>
  <si>
    <t>LESS: 12/18/2024</t>
  </si>
  <si>
    <t>LESS: 12/23, 26, 27/2024</t>
  </si>
  <si>
    <t>ADD: 12/1-31/2024</t>
  </si>
  <si>
    <t>ADD: 01/1/2025-04/30/2025</t>
  </si>
  <si>
    <t>LESS: 05/30/2025</t>
  </si>
  <si>
    <t>ADD: 05/1/2025-06/30/2025</t>
  </si>
  <si>
    <t>LESS: MONETIZATION 2025</t>
  </si>
  <si>
    <t>ADD: 07/1/2025-10/31/2025</t>
  </si>
  <si>
    <t>LESS: 12/1-2, 22-23/2025</t>
  </si>
  <si>
    <t>NEGROS ISLAND REGION</t>
  </si>
  <si>
    <t>ADD: 11/1-30/2025</t>
  </si>
  <si>
    <t>LESS: 12/26/2025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</si>
</sst>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0" fillId="8" borderId="14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vertical="center" wrapText="1"/>
    </xf>
    <xf numFmtId="0" fontId="11" fillId="2" borderId="16" xfId="0" applyFont="1" applyFill="1" applyBorder="1" applyAlignment="1">
      <alignment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14" fillId="2" borderId="0" xfId="0" applyFont="1" applyFill="1"/>
    <xf numFmtId="164" fontId="0" fillId="0" borderId="1" xfId="0" applyNumberForma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2" borderId="4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1" fillId="2" borderId="4" xfId="0" applyFont="1" applyFill="1" applyBorder="1"/>
    <xf numFmtId="0" fontId="1" fillId="2" borderId="18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4" fontId="15" fillId="2" borderId="1" xfId="0" applyNumberFormat="1" applyFont="1" applyFill="1" applyBorder="1" applyAlignment="1">
      <alignment horizontal="center" vertical="center" wrapText="1"/>
    </xf>
    <xf numFmtId="1" fontId="15" fillId="2" borderId="20" xfId="0" applyNumberFormat="1" applyFont="1" applyFill="1" applyBorder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2" xfId="0" applyNumberFormat="1" applyFont="1" applyFill="1" applyBorder="1" applyAlignment="1">
      <alignment horizontal="center" vertical="center"/>
    </xf>
    <xf numFmtId="1" fontId="16" fillId="2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5" fillId="2" borderId="0" xfId="0" applyFont="1" applyFill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6" fillId="0" borderId="21" xfId="0" applyFont="1" applyBorder="1" applyAlignment="1">
      <alignment horizontal="right" vertical="center"/>
    </xf>
    <xf numFmtId="0" fontId="16" fillId="0" borderId="22" xfId="0" applyFont="1" applyBorder="1" applyAlignment="1">
      <alignment horizontal="right" vertical="center"/>
    </xf>
    <xf numFmtId="0" fontId="16" fillId="0" borderId="23" xfId="0" applyFont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11" fillId="7" borderId="15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225914</xdr:colOff>
      <xdr:row>0</xdr:row>
      <xdr:rowOff>19049</xdr:rowOff>
    </xdr:from>
    <xdr:to>
      <xdr:col>4</xdr:col>
      <xdr:colOff>299183</xdr:colOff>
      <xdr:row>0</xdr:row>
      <xdr:rowOff>659422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212" y="19049"/>
          <a:ext cx="885336" cy="64037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D164D0-8D7D-4CCD-AD41-8A4D617563EE}"/>
            </a:ext>
          </a:extLst>
        </xdr:cNvPr>
        <xdr:cNvSpPr txBox="1"/>
      </xdr:nvSpPr>
      <xdr:spPr>
        <a:xfrm>
          <a:off x="573942" y="1373798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CABALLES, GARY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01795DB-4861-48A2-B4B7-D3A3C38DC620}"/>
            </a:ext>
          </a:extLst>
        </xdr:cNvPr>
        <xdr:cNvSpPr txBox="1"/>
      </xdr:nvSpPr>
      <xdr:spPr>
        <a:xfrm>
          <a:off x="616683" y="1721826"/>
          <a:ext cx="2008799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2901F2D-D8D6-4A1B-AEB7-8CA9472FA25B}"/>
            </a:ext>
          </a:extLst>
        </xdr:cNvPr>
        <xdr:cNvSpPr txBox="1"/>
      </xdr:nvSpPr>
      <xdr:spPr>
        <a:xfrm>
          <a:off x="3693991" y="1703510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SDO-CID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1181102</xdr:colOff>
      <xdr:row>1</xdr:row>
      <xdr:rowOff>15875</xdr:rowOff>
    </xdr:from>
    <xdr:to>
      <xdr:col>3</xdr:col>
      <xdr:colOff>2292350</xdr:colOff>
      <xdr:row>3</xdr:row>
      <xdr:rowOff>114301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92D3DB-45C2-484F-A315-2C1731B1D96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2" y="206375"/>
          <a:ext cx="1111248" cy="479426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74159</xdr:colOff>
      <xdr:row>0</xdr:row>
      <xdr:rowOff>46039</xdr:rowOff>
    </xdr:from>
    <xdr:to>
      <xdr:col>5</xdr:col>
      <xdr:colOff>222250</xdr:colOff>
      <xdr:row>0</xdr:row>
      <xdr:rowOff>635001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B6D44-7A2C-46B6-A959-6A3F4F840D9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209" y="46039"/>
          <a:ext cx="757691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122A1C-B82B-49E0-B01D-FA89FC87FEC8}"/>
            </a:ext>
          </a:extLst>
        </xdr:cNvPr>
        <xdr:cNvSpPr txBox="1"/>
      </xdr:nvSpPr>
      <xdr:spPr>
        <a:xfrm>
          <a:off x="573942" y="1377461"/>
          <a:ext cx="187715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ACUHIDO, ELIZA</a:t>
          </a: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362FEBA-0B05-46E3-8AC1-612C0DC4D245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74E457-228D-4AC5-905C-1428DC2A77C3}"/>
            </a:ext>
          </a:extLst>
        </xdr:cNvPr>
        <xdr:cNvSpPr txBox="1"/>
      </xdr:nvSpPr>
      <xdr:spPr>
        <a:xfrm>
          <a:off x="3517673" y="1706110"/>
          <a:ext cx="17208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18324-BFF7-40F7-A2A6-A3C57F9EBAF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5815" y="28769"/>
          <a:ext cx="701287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60ACA0-01C7-4F83-8414-400905B9AA46}"/>
            </a:ext>
          </a:extLst>
        </xdr:cNvPr>
        <xdr:cNvSpPr txBox="1"/>
      </xdr:nvSpPr>
      <xdr:spPr>
        <a:xfrm>
          <a:off x="76200" y="4572000"/>
          <a:ext cx="32004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590F94-5A67-4EF1-9799-27AD06F93477}"/>
            </a:ext>
          </a:extLst>
        </xdr:cNvPr>
        <xdr:cNvSpPr txBox="1"/>
      </xdr:nvSpPr>
      <xdr:spPr>
        <a:xfrm>
          <a:off x="777551" y="1483826"/>
          <a:ext cx="1535663" cy="24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ACUHIDO, ELIZA B.</a:t>
          </a:r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E1833C-B7ED-4F2A-89E4-F9B86B46FCDC}"/>
            </a:ext>
          </a:extLst>
        </xdr:cNvPr>
        <xdr:cNvSpPr txBox="1"/>
      </xdr:nvSpPr>
      <xdr:spPr>
        <a:xfrm>
          <a:off x="751632" y="1807806"/>
          <a:ext cx="1360715" cy="233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C8F4098-C390-4FBD-9886-1524C985E894}"/>
            </a:ext>
          </a:extLst>
        </xdr:cNvPr>
        <xdr:cNvSpPr txBox="1"/>
      </xdr:nvSpPr>
      <xdr:spPr>
        <a:xfrm>
          <a:off x="3745204" y="1710612"/>
          <a:ext cx="1532547" cy="2503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sheetPr>
    <pageSetUpPr fitToPage="1"/>
  </sheetPr>
  <dimension ref="A1:J51"/>
  <sheetViews>
    <sheetView tabSelected="1" view="pageBreakPreview" topLeftCell="A21" zoomScale="104" zoomScaleNormal="100" zoomScaleSheetLayoutView="104" workbookViewId="0">
      <selection activeCell="A44" sqref="A44:XFD44"/>
    </sheetView>
  </sheetViews>
  <sheetFormatPr defaultRowHeight="15" x14ac:dyDescent="0.25"/>
  <cols>
    <col min="1" max="1" width="37.42578125" customWidth="1"/>
    <col min="2" max="2" width="11.5703125" style="14" customWidth="1"/>
    <col min="3" max="3" width="11.5703125" style="15" customWidth="1"/>
    <col min="4" max="4" width="11.5703125" style="14" customWidth="1"/>
    <col min="5" max="5" width="11.5703125" style="15" customWidth="1"/>
    <col min="6" max="7" width="11.5703125" style="16" customWidth="1"/>
    <col min="8" max="8" width="11.5703125" style="14" customWidth="1"/>
    <col min="9" max="9" width="11.5703125" style="15" customWidth="1"/>
    <col min="10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64" t="s">
        <v>11</v>
      </c>
      <c r="B2" s="64"/>
      <c r="C2" s="64"/>
      <c r="D2" s="64"/>
      <c r="E2" s="64"/>
      <c r="F2" s="64"/>
      <c r="G2" s="64"/>
      <c r="H2" s="64"/>
      <c r="I2" s="64"/>
      <c r="J2" s="64"/>
    </row>
    <row r="3" spans="1:10" s="1" customFormat="1" ht="15.95" customHeight="1" x14ac:dyDescent="0.25">
      <c r="A3" s="64" t="s">
        <v>12</v>
      </c>
      <c r="B3" s="64"/>
      <c r="C3" s="64"/>
      <c r="D3" s="64"/>
      <c r="E3" s="64"/>
      <c r="F3" s="64"/>
      <c r="G3" s="64"/>
      <c r="H3" s="64"/>
      <c r="I3" s="64"/>
      <c r="J3" s="64"/>
    </row>
    <row r="4" spans="1:10" s="1" customFormat="1" ht="15.95" customHeight="1" x14ac:dyDescent="0.25">
      <c r="A4" s="64" t="s">
        <v>102</v>
      </c>
      <c r="B4" s="64"/>
      <c r="C4" s="64"/>
      <c r="D4" s="64"/>
      <c r="E4" s="64"/>
      <c r="F4" s="64"/>
      <c r="G4" s="64"/>
      <c r="H4" s="64"/>
      <c r="I4" s="64"/>
      <c r="J4" s="64"/>
    </row>
    <row r="5" spans="1:10" s="1" customFormat="1" ht="15.95" customHeight="1" x14ac:dyDescent="0.25">
      <c r="A5" s="64" t="s">
        <v>14</v>
      </c>
      <c r="B5" s="64"/>
      <c r="C5" s="64"/>
      <c r="D5" s="64"/>
      <c r="E5" s="64"/>
      <c r="F5" s="64"/>
      <c r="G5" s="64"/>
      <c r="H5" s="64"/>
      <c r="I5" s="64"/>
      <c r="J5" s="64"/>
    </row>
    <row r="6" spans="1:10" s="1" customFormat="1" ht="8.25" customHeight="1" x14ac:dyDescent="0.25"/>
    <row r="7" spans="1:10" s="1" customFormat="1" ht="12" customHeight="1" x14ac:dyDescent="0.25">
      <c r="A7" s="1" t="s">
        <v>37</v>
      </c>
      <c r="B7" s="62" t="s">
        <v>39</v>
      </c>
      <c r="C7" s="62"/>
      <c r="D7" s="62"/>
      <c r="H7" s="3" t="s">
        <v>9</v>
      </c>
      <c r="I7" s="30"/>
      <c r="J7" s="3"/>
    </row>
    <row r="8" spans="1:10" s="1" customFormat="1" ht="12" customHeight="1" x14ac:dyDescent="0.25">
      <c r="B8" s="2"/>
      <c r="C8" s="2"/>
      <c r="H8" s="2"/>
      <c r="I8" s="2"/>
      <c r="J8" s="2"/>
    </row>
    <row r="9" spans="1:10" s="1" customFormat="1" ht="12" customHeight="1" x14ac:dyDescent="0.25">
      <c r="A9" s="1" t="s">
        <v>38</v>
      </c>
      <c r="B9" s="62" t="s">
        <v>40</v>
      </c>
      <c r="C9" s="62"/>
      <c r="D9" s="62"/>
      <c r="H9" s="3" t="s">
        <v>10</v>
      </c>
      <c r="I9" s="4"/>
      <c r="J9" s="3"/>
    </row>
    <row r="10" spans="1:10" ht="16.5" customHeight="1" thickBot="1" x14ac:dyDescent="0.3">
      <c r="A10" s="71" t="s">
        <v>0</v>
      </c>
      <c r="B10" s="71"/>
      <c r="C10" s="71"/>
      <c r="D10" s="71"/>
      <c r="E10" s="71"/>
      <c r="F10" s="71"/>
      <c r="G10" s="71"/>
      <c r="H10" s="71"/>
      <c r="I10" s="71"/>
      <c r="J10" s="71"/>
    </row>
    <row r="11" spans="1:10" s="6" customFormat="1" ht="18.75" customHeight="1" x14ac:dyDescent="0.2">
      <c r="A11" s="65" t="s">
        <v>4</v>
      </c>
      <c r="B11" s="69" t="s">
        <v>5</v>
      </c>
      <c r="C11" s="70"/>
      <c r="D11" s="69" t="s">
        <v>6</v>
      </c>
      <c r="E11" s="70"/>
      <c r="F11" s="70"/>
      <c r="G11" s="41"/>
      <c r="H11" s="69" t="s">
        <v>7</v>
      </c>
      <c r="I11" s="70"/>
      <c r="J11" s="67" t="s">
        <v>8</v>
      </c>
    </row>
    <row r="12" spans="1:10" s="6" customFormat="1" ht="51" customHeight="1" x14ac:dyDescent="0.2">
      <c r="A12" s="66"/>
      <c r="B12" s="42" t="s">
        <v>1</v>
      </c>
      <c r="C12" s="42" t="s">
        <v>2</v>
      </c>
      <c r="D12" s="42" t="s">
        <v>1</v>
      </c>
      <c r="E12" s="42" t="s">
        <v>2</v>
      </c>
      <c r="F12" s="42" t="s">
        <v>3</v>
      </c>
      <c r="G12" s="43" t="s">
        <v>45</v>
      </c>
      <c r="H12" s="42" t="s">
        <v>1</v>
      </c>
      <c r="I12" s="42" t="s">
        <v>2</v>
      </c>
      <c r="J12" s="68"/>
    </row>
    <row r="13" spans="1:10" s="6" customFormat="1" ht="18.75" customHeight="1" x14ac:dyDescent="0.2">
      <c r="A13" s="72" t="s">
        <v>60</v>
      </c>
      <c r="B13" s="73"/>
      <c r="C13" s="73"/>
      <c r="D13" s="73"/>
      <c r="E13" s="73"/>
      <c r="F13" s="73"/>
      <c r="G13" s="73"/>
      <c r="H13" s="73"/>
      <c r="I13" s="73"/>
      <c r="J13" s="74"/>
    </row>
    <row r="14" spans="1:10" s="6" customFormat="1" ht="15.95" customHeight="1" x14ac:dyDescent="0.2">
      <c r="A14" s="8" t="s">
        <v>55</v>
      </c>
      <c r="B14" s="13">
        <v>0.58299999999999996</v>
      </c>
      <c r="C14" s="13">
        <v>0.58299999999999996</v>
      </c>
      <c r="D14" s="13"/>
      <c r="E14" s="13"/>
      <c r="F14" s="13"/>
      <c r="G14" s="13"/>
      <c r="H14" s="13">
        <f>B14</f>
        <v>0.58299999999999996</v>
      </c>
      <c r="I14" s="13">
        <f>C14</f>
        <v>0.58299999999999996</v>
      </c>
      <c r="J14" s="37">
        <f t="shared" ref="J14:J15" si="0">H14+I14</f>
        <v>1.1659999999999999</v>
      </c>
    </row>
    <row r="15" spans="1:10" s="5" customFormat="1" ht="15.95" customHeight="1" x14ac:dyDescent="0.2">
      <c r="A15" s="10" t="s">
        <v>56</v>
      </c>
      <c r="B15" s="13">
        <v>6.25</v>
      </c>
      <c r="C15" s="13">
        <v>6.25</v>
      </c>
      <c r="D15" s="13"/>
      <c r="E15" s="13"/>
      <c r="F15" s="13"/>
      <c r="G15" s="13"/>
      <c r="H15" s="13">
        <f>H14-F15-D15+B15</f>
        <v>6.8330000000000002</v>
      </c>
      <c r="I15" s="13">
        <f>I14-E15+C15</f>
        <v>6.8330000000000002</v>
      </c>
      <c r="J15" s="37">
        <f t="shared" si="0"/>
        <v>13.666</v>
      </c>
    </row>
    <row r="16" spans="1:10" s="5" customFormat="1" ht="15.95" customHeight="1" x14ac:dyDescent="0.2">
      <c r="A16" s="10" t="s">
        <v>57</v>
      </c>
      <c r="B16" s="13"/>
      <c r="C16" s="13"/>
      <c r="D16" s="13"/>
      <c r="E16" s="13"/>
      <c r="F16" s="13">
        <v>1</v>
      </c>
      <c r="G16" s="13"/>
      <c r="H16" s="13">
        <f t="shared" ref="H16:H20" si="1">H15-F16-D16+B16</f>
        <v>5.8330000000000002</v>
      </c>
      <c r="I16" s="13">
        <f t="shared" ref="I16:I20" si="2">I15-E16+C16</f>
        <v>6.8330000000000002</v>
      </c>
      <c r="J16" s="37">
        <f t="shared" ref="J16:J20" si="3">H16+I16</f>
        <v>12.666</v>
      </c>
    </row>
    <row r="17" spans="1:10" s="5" customFormat="1" ht="15.95" customHeight="1" x14ac:dyDescent="0.2">
      <c r="A17" s="10" t="s">
        <v>58</v>
      </c>
      <c r="B17" s="13">
        <v>10</v>
      </c>
      <c r="C17" s="13">
        <v>10</v>
      </c>
      <c r="D17" s="13"/>
      <c r="E17" s="13"/>
      <c r="F17" s="13"/>
      <c r="G17" s="13"/>
      <c r="H17" s="13">
        <f t="shared" si="1"/>
        <v>15.833</v>
      </c>
      <c r="I17" s="13">
        <f t="shared" si="2"/>
        <v>16.832999999999998</v>
      </c>
      <c r="J17" s="37">
        <f t="shared" si="3"/>
        <v>32.665999999999997</v>
      </c>
    </row>
    <row r="18" spans="1:10" s="5" customFormat="1" ht="15.95" customHeight="1" x14ac:dyDescent="0.2">
      <c r="A18" s="10" t="s">
        <v>59</v>
      </c>
      <c r="B18" s="13"/>
      <c r="C18" s="13"/>
      <c r="D18" s="13">
        <v>7</v>
      </c>
      <c r="E18" s="13">
        <v>11</v>
      </c>
      <c r="F18" s="13"/>
      <c r="G18" s="13"/>
      <c r="H18" s="13">
        <f t="shared" si="1"/>
        <v>8.8330000000000002</v>
      </c>
      <c r="I18" s="13">
        <f t="shared" si="2"/>
        <v>5.8329999999999984</v>
      </c>
      <c r="J18" s="37">
        <f t="shared" si="3"/>
        <v>14.665999999999999</v>
      </c>
    </row>
    <row r="19" spans="1:10" s="5" customFormat="1" ht="15.95" customHeight="1" x14ac:dyDescent="0.2">
      <c r="A19" s="10" t="s">
        <v>61</v>
      </c>
      <c r="B19" s="13">
        <v>1.25</v>
      </c>
      <c r="C19" s="13">
        <v>1.25</v>
      </c>
      <c r="D19" s="13"/>
      <c r="E19" s="13"/>
      <c r="F19" s="13"/>
      <c r="G19" s="13"/>
      <c r="H19" s="13">
        <f t="shared" si="1"/>
        <v>10.083</v>
      </c>
      <c r="I19" s="13">
        <f t="shared" si="2"/>
        <v>7.0829999999999984</v>
      </c>
      <c r="J19" s="37">
        <f t="shared" si="3"/>
        <v>17.165999999999997</v>
      </c>
    </row>
    <row r="20" spans="1:10" s="5" customFormat="1" ht="15.95" customHeight="1" x14ac:dyDescent="0.2">
      <c r="A20" s="10" t="s">
        <v>62</v>
      </c>
      <c r="B20" s="13"/>
      <c r="C20" s="13"/>
      <c r="D20" s="13"/>
      <c r="E20" s="13"/>
      <c r="F20" s="13">
        <v>1</v>
      </c>
      <c r="G20" s="13"/>
      <c r="H20" s="13">
        <f t="shared" si="1"/>
        <v>9.0830000000000002</v>
      </c>
      <c r="I20" s="13">
        <f t="shared" si="2"/>
        <v>7.0829999999999984</v>
      </c>
      <c r="J20" s="37">
        <f t="shared" si="3"/>
        <v>16.165999999999997</v>
      </c>
    </row>
    <row r="21" spans="1:10" s="5" customFormat="1" ht="15.95" customHeight="1" x14ac:dyDescent="0.2">
      <c r="A21" s="8" t="s">
        <v>63</v>
      </c>
      <c r="B21" s="13">
        <v>2.5</v>
      </c>
      <c r="C21" s="13">
        <v>2.5</v>
      </c>
      <c r="D21" s="13"/>
      <c r="E21" s="13"/>
      <c r="F21" s="13"/>
      <c r="G21" s="13"/>
      <c r="H21" s="13">
        <f t="shared" ref="H21" si="4">H20-F21-D21+B21</f>
        <v>11.583</v>
      </c>
      <c r="I21" s="13">
        <f t="shared" ref="I21" si="5">I20-E21+C21</f>
        <v>9.5829999999999984</v>
      </c>
      <c r="J21" s="37">
        <f t="shared" ref="J21" si="6">H21+I21</f>
        <v>21.165999999999997</v>
      </c>
    </row>
    <row r="22" spans="1:10" s="5" customFormat="1" ht="15.95" customHeight="1" x14ac:dyDescent="0.2">
      <c r="A22" s="8" t="s">
        <v>64</v>
      </c>
      <c r="B22" s="29"/>
      <c r="C22" s="13"/>
      <c r="D22" s="13"/>
      <c r="E22" s="13"/>
      <c r="F22" s="13">
        <v>4</v>
      </c>
      <c r="G22" s="13"/>
      <c r="H22" s="13">
        <f t="shared" ref="H22" si="7">H21-F22-D22+B22</f>
        <v>7.5830000000000002</v>
      </c>
      <c r="I22" s="13">
        <f t="shared" ref="I22" si="8">I21-E22+C22</f>
        <v>9.5829999999999984</v>
      </c>
      <c r="J22" s="37">
        <f t="shared" ref="J22" si="9">H22+I22</f>
        <v>17.165999999999997</v>
      </c>
    </row>
    <row r="23" spans="1:10" ht="15.95" customHeight="1" x14ac:dyDescent="0.25">
      <c r="A23" s="8" t="s">
        <v>65</v>
      </c>
      <c r="B23" s="13"/>
      <c r="C23" s="13"/>
      <c r="D23" s="13"/>
      <c r="E23" s="13"/>
      <c r="F23" s="13"/>
      <c r="G23" s="13">
        <v>3</v>
      </c>
      <c r="H23" s="13">
        <f t="shared" ref="H23" si="10">H22-F23-D23+B23</f>
        <v>7.5830000000000002</v>
      </c>
      <c r="I23" s="13">
        <f t="shared" ref="I23" si="11">I22-E23+C23</f>
        <v>9.5829999999999984</v>
      </c>
      <c r="J23" s="37">
        <f t="shared" ref="J23" si="12">H23+I23</f>
        <v>17.165999999999997</v>
      </c>
    </row>
    <row r="24" spans="1:10" ht="15.95" customHeight="1" x14ac:dyDescent="0.25">
      <c r="A24" s="8" t="s">
        <v>66</v>
      </c>
      <c r="B24" s="13">
        <v>1.25</v>
      </c>
      <c r="C24" s="13">
        <v>1.25</v>
      </c>
      <c r="D24" s="13"/>
      <c r="E24" s="13"/>
      <c r="F24" s="13"/>
      <c r="G24" s="13"/>
      <c r="H24" s="13">
        <f t="shared" ref="H24:H26" si="13">H23-F24-D24+B24</f>
        <v>8.8330000000000002</v>
      </c>
      <c r="I24" s="13">
        <f t="shared" ref="I24:I26" si="14">I23-E24+C24</f>
        <v>10.832999999999998</v>
      </c>
      <c r="J24" s="37">
        <f t="shared" ref="J24:J26" si="15">H24+I24</f>
        <v>19.665999999999997</v>
      </c>
    </row>
    <row r="25" spans="1:10" ht="15.95" customHeight="1" x14ac:dyDescent="0.25">
      <c r="A25" s="8" t="s">
        <v>67</v>
      </c>
      <c r="B25" s="13">
        <v>6.25</v>
      </c>
      <c r="C25" s="13">
        <v>6.25</v>
      </c>
      <c r="D25" s="13"/>
      <c r="E25" s="13"/>
      <c r="F25" s="13"/>
      <c r="G25" s="13"/>
      <c r="H25" s="13">
        <f t="shared" si="13"/>
        <v>15.083</v>
      </c>
      <c r="I25" s="13">
        <f t="shared" si="14"/>
        <v>17.082999999999998</v>
      </c>
      <c r="J25" s="37">
        <f t="shared" si="15"/>
        <v>32.165999999999997</v>
      </c>
    </row>
    <row r="26" spans="1:10" ht="15.95" customHeight="1" x14ac:dyDescent="0.25">
      <c r="A26" s="8" t="s">
        <v>68</v>
      </c>
      <c r="B26" s="13"/>
      <c r="C26" s="13"/>
      <c r="D26" s="13"/>
      <c r="E26" s="13"/>
      <c r="F26" s="38">
        <v>1</v>
      </c>
      <c r="G26" s="38"/>
      <c r="H26" s="13">
        <f t="shared" si="13"/>
        <v>14.083</v>
      </c>
      <c r="I26" s="13">
        <f t="shared" si="14"/>
        <v>17.082999999999998</v>
      </c>
      <c r="J26" s="37">
        <f t="shared" si="15"/>
        <v>31.165999999999997</v>
      </c>
    </row>
    <row r="27" spans="1:10" ht="15.95" customHeight="1" x14ac:dyDescent="0.25">
      <c r="A27" s="8" t="s">
        <v>69</v>
      </c>
      <c r="B27" s="13"/>
      <c r="C27" s="13"/>
      <c r="D27" s="13"/>
      <c r="E27" s="13"/>
      <c r="F27" s="38">
        <v>1</v>
      </c>
      <c r="G27" s="38"/>
      <c r="H27" s="13">
        <f t="shared" ref="H27" si="16">H26-F27-D27+B27</f>
        <v>13.083</v>
      </c>
      <c r="I27" s="13">
        <f t="shared" ref="I27" si="17">I26-E27+C27</f>
        <v>17.082999999999998</v>
      </c>
      <c r="J27" s="37">
        <f t="shared" ref="J27" si="18">H27+I27</f>
        <v>30.165999999999997</v>
      </c>
    </row>
    <row r="28" spans="1:10" ht="15.95" customHeight="1" x14ac:dyDescent="0.25">
      <c r="A28" s="28" t="s">
        <v>70</v>
      </c>
      <c r="B28" s="38">
        <v>2.5</v>
      </c>
      <c r="C28" s="38">
        <v>2.5</v>
      </c>
      <c r="D28" s="38"/>
      <c r="E28" s="38"/>
      <c r="F28" s="38"/>
      <c r="G28" s="38"/>
      <c r="H28" s="13">
        <f t="shared" ref="H28" si="19">H27-F28-D28+B28</f>
        <v>15.583</v>
      </c>
      <c r="I28" s="13">
        <f t="shared" ref="I28" si="20">I27-E28+C28</f>
        <v>19.582999999999998</v>
      </c>
      <c r="J28" s="37">
        <f t="shared" ref="J28" si="21">H28+I28</f>
        <v>35.165999999999997</v>
      </c>
    </row>
    <row r="29" spans="1:10" ht="15.95" customHeight="1" x14ac:dyDescent="0.25">
      <c r="A29" s="28" t="s">
        <v>71</v>
      </c>
      <c r="B29" s="38"/>
      <c r="C29" s="38"/>
      <c r="D29" s="38">
        <v>10</v>
      </c>
      <c r="E29" s="38"/>
      <c r="F29" s="38"/>
      <c r="G29" s="38"/>
      <c r="H29" s="38">
        <f t="shared" ref="H29" si="22">H28-F29-D29+B29</f>
        <v>5.5830000000000002</v>
      </c>
      <c r="I29" s="38">
        <f t="shared" ref="I29" si="23">I28-E29+C29</f>
        <v>19.582999999999998</v>
      </c>
      <c r="J29" s="40">
        <f t="shared" ref="J29" si="24">H29+I29</f>
        <v>25.165999999999997</v>
      </c>
    </row>
    <row r="30" spans="1:10" ht="15.95" customHeight="1" x14ac:dyDescent="0.25">
      <c r="A30" s="28" t="s">
        <v>73</v>
      </c>
      <c r="B30" s="38">
        <v>2.5</v>
      </c>
      <c r="C30" s="38">
        <v>2.5</v>
      </c>
      <c r="D30" s="38"/>
      <c r="E30" s="38"/>
      <c r="F30" s="38"/>
      <c r="G30" s="38"/>
      <c r="H30" s="38">
        <f t="shared" ref="H30:H31" si="25">H29-F30-D30+B30</f>
        <v>8.0830000000000002</v>
      </c>
      <c r="I30" s="38">
        <f t="shared" ref="I30:I31" si="26">I29-E30+C30</f>
        <v>22.082999999999998</v>
      </c>
      <c r="J30" s="40">
        <f t="shared" ref="J30:J31" si="27">H30+I30</f>
        <v>30.165999999999997</v>
      </c>
    </row>
    <row r="31" spans="1:10" ht="15.95" customHeight="1" x14ac:dyDescent="0.25">
      <c r="A31" s="28" t="s">
        <v>74</v>
      </c>
      <c r="B31" s="38"/>
      <c r="C31" s="38"/>
      <c r="D31" s="38"/>
      <c r="E31" s="38"/>
      <c r="F31" s="38">
        <v>1</v>
      </c>
      <c r="G31" s="38"/>
      <c r="H31" s="38">
        <f t="shared" si="25"/>
        <v>7.0830000000000002</v>
      </c>
      <c r="I31" s="38">
        <f t="shared" si="26"/>
        <v>22.082999999999998</v>
      </c>
      <c r="J31" s="40">
        <f t="shared" si="27"/>
        <v>29.165999999999997</v>
      </c>
    </row>
    <row r="32" spans="1:10" ht="15.95" customHeight="1" x14ac:dyDescent="0.25">
      <c r="A32" s="28" t="s">
        <v>75</v>
      </c>
      <c r="B32" s="38">
        <v>1.25</v>
      </c>
      <c r="C32" s="38">
        <v>1.25</v>
      </c>
      <c r="D32" s="38"/>
      <c r="E32" s="38"/>
      <c r="F32" s="38"/>
      <c r="G32" s="38"/>
      <c r="H32" s="38">
        <f t="shared" ref="H32:H33" si="28">H31-F32-D32+B32</f>
        <v>8.3330000000000002</v>
      </c>
      <c r="I32" s="38">
        <f t="shared" ref="I32:I33" si="29">I31-E32+C32</f>
        <v>23.332999999999998</v>
      </c>
      <c r="J32" s="40">
        <f t="shared" ref="J32:J33" si="30">H32+I32</f>
        <v>31.665999999999997</v>
      </c>
    </row>
    <row r="33" spans="1:10" ht="15.95" customHeight="1" x14ac:dyDescent="0.25">
      <c r="A33" s="28" t="s">
        <v>76</v>
      </c>
      <c r="B33" s="38"/>
      <c r="C33" s="38"/>
      <c r="D33" s="38"/>
      <c r="E33" s="38"/>
      <c r="F33" s="38">
        <v>1</v>
      </c>
      <c r="G33" s="38"/>
      <c r="H33" s="38">
        <f t="shared" si="28"/>
        <v>7.3330000000000002</v>
      </c>
      <c r="I33" s="38">
        <f t="shared" si="29"/>
        <v>23.332999999999998</v>
      </c>
      <c r="J33" s="40">
        <f t="shared" si="30"/>
        <v>30.665999999999997</v>
      </c>
    </row>
    <row r="34" spans="1:10" ht="15.95" customHeight="1" x14ac:dyDescent="0.25">
      <c r="A34" s="28" t="s">
        <v>92</v>
      </c>
      <c r="B34" s="38">
        <v>1.25</v>
      </c>
      <c r="C34" s="38">
        <v>1.25</v>
      </c>
      <c r="D34" s="38"/>
      <c r="E34" s="38"/>
      <c r="F34" s="38"/>
      <c r="G34" s="38"/>
      <c r="H34" s="38">
        <f t="shared" ref="H34:H36" si="31">H33-F34-D34+B34</f>
        <v>8.5830000000000002</v>
      </c>
      <c r="I34" s="38">
        <f t="shared" ref="I34:I36" si="32">I33-E34+C34</f>
        <v>24.582999999999998</v>
      </c>
      <c r="J34" s="40">
        <f t="shared" ref="J34:J36" si="33">H34+I34</f>
        <v>33.165999999999997</v>
      </c>
    </row>
    <row r="35" spans="1:10" ht="15.95" customHeight="1" x14ac:dyDescent="0.25">
      <c r="A35" s="28" t="s">
        <v>93</v>
      </c>
      <c r="B35" s="38"/>
      <c r="C35" s="38"/>
      <c r="D35" s="38"/>
      <c r="E35" s="38"/>
      <c r="F35" s="38">
        <v>1</v>
      </c>
      <c r="G35" s="38"/>
      <c r="H35" s="38">
        <f t="shared" si="31"/>
        <v>7.5830000000000002</v>
      </c>
      <c r="I35" s="38">
        <f t="shared" si="32"/>
        <v>24.582999999999998</v>
      </c>
      <c r="J35" s="40">
        <f t="shared" si="33"/>
        <v>32.165999999999997</v>
      </c>
    </row>
    <row r="36" spans="1:10" ht="15.95" customHeight="1" x14ac:dyDescent="0.25">
      <c r="A36" s="28" t="s">
        <v>94</v>
      </c>
      <c r="B36" s="38"/>
      <c r="C36" s="38"/>
      <c r="D36" s="38"/>
      <c r="E36" s="38"/>
      <c r="F36" s="38"/>
      <c r="G36" s="38">
        <v>3</v>
      </c>
      <c r="H36" s="38">
        <f t="shared" si="31"/>
        <v>7.5830000000000002</v>
      </c>
      <c r="I36" s="38">
        <f t="shared" si="32"/>
        <v>24.582999999999998</v>
      </c>
      <c r="J36" s="40">
        <f t="shared" si="33"/>
        <v>32.165999999999997</v>
      </c>
    </row>
    <row r="37" spans="1:10" ht="15.95" customHeight="1" x14ac:dyDescent="0.25">
      <c r="A37" s="28" t="s">
        <v>95</v>
      </c>
      <c r="B37" s="38">
        <v>1.25</v>
      </c>
      <c r="C37" s="38">
        <v>1.25</v>
      </c>
      <c r="D37" s="38"/>
      <c r="E37" s="38"/>
      <c r="F37" s="38"/>
      <c r="G37" s="38"/>
      <c r="H37" s="38">
        <f t="shared" ref="H37:H39" si="34">H36-F37-D37+B37</f>
        <v>8.8330000000000002</v>
      </c>
      <c r="I37" s="38">
        <f t="shared" ref="I37:I39" si="35">I36-E37+C37</f>
        <v>25.832999999999998</v>
      </c>
      <c r="J37" s="40">
        <f t="shared" ref="J37:J39" si="36">H37+I37</f>
        <v>34.665999999999997</v>
      </c>
    </row>
    <row r="38" spans="1:10" ht="15.95" customHeight="1" x14ac:dyDescent="0.25">
      <c r="A38" s="28" t="s">
        <v>96</v>
      </c>
      <c r="B38" s="38">
        <v>5</v>
      </c>
      <c r="C38" s="38">
        <v>5</v>
      </c>
      <c r="D38" s="38"/>
      <c r="E38" s="38"/>
      <c r="F38" s="38"/>
      <c r="G38" s="38"/>
      <c r="H38" s="38">
        <f t="shared" si="34"/>
        <v>13.833</v>
      </c>
      <c r="I38" s="38">
        <f t="shared" si="35"/>
        <v>30.832999999999998</v>
      </c>
      <c r="J38" s="40">
        <f t="shared" si="36"/>
        <v>44.665999999999997</v>
      </c>
    </row>
    <row r="39" spans="1:10" ht="15.95" customHeight="1" x14ac:dyDescent="0.25">
      <c r="A39" s="28" t="s">
        <v>97</v>
      </c>
      <c r="B39" s="38"/>
      <c r="C39" s="38"/>
      <c r="D39" s="38"/>
      <c r="E39" s="38"/>
      <c r="F39" s="61">
        <v>1</v>
      </c>
      <c r="G39" s="38"/>
      <c r="H39" s="38">
        <f t="shared" si="34"/>
        <v>12.833</v>
      </c>
      <c r="I39" s="38">
        <f t="shared" si="35"/>
        <v>30.832999999999998</v>
      </c>
      <c r="J39" s="40">
        <f t="shared" si="36"/>
        <v>43.665999999999997</v>
      </c>
    </row>
    <row r="40" spans="1:10" ht="15.95" customHeight="1" x14ac:dyDescent="0.25">
      <c r="A40" s="28" t="s">
        <v>98</v>
      </c>
      <c r="B40" s="38">
        <v>2.5</v>
      </c>
      <c r="C40" s="38">
        <v>2.5</v>
      </c>
      <c r="D40" s="38"/>
      <c r="E40" s="38"/>
      <c r="F40" s="38"/>
      <c r="G40" s="38"/>
      <c r="H40" s="38">
        <f t="shared" ref="H40:H41" si="37">H39-F40-D40+B40</f>
        <v>15.333</v>
      </c>
      <c r="I40" s="38">
        <f t="shared" ref="I40:I41" si="38">I39-E40+C40</f>
        <v>33.332999999999998</v>
      </c>
      <c r="J40" s="40">
        <f t="shared" ref="J40:J41" si="39">H40+I40</f>
        <v>48.665999999999997</v>
      </c>
    </row>
    <row r="41" spans="1:10" ht="15.95" customHeight="1" x14ac:dyDescent="0.25">
      <c r="A41" s="28" t="s">
        <v>99</v>
      </c>
      <c r="B41" s="38"/>
      <c r="C41" s="38"/>
      <c r="D41" s="38">
        <v>10</v>
      </c>
      <c r="E41" s="38"/>
      <c r="F41" s="38"/>
      <c r="G41" s="38"/>
      <c r="H41" s="38">
        <f t="shared" si="37"/>
        <v>5.3330000000000002</v>
      </c>
      <c r="I41" s="38">
        <f t="shared" si="38"/>
        <v>33.332999999999998</v>
      </c>
      <c r="J41" s="40">
        <f t="shared" si="39"/>
        <v>38.665999999999997</v>
      </c>
    </row>
    <row r="42" spans="1:10" ht="15.95" customHeight="1" x14ac:dyDescent="0.25">
      <c r="A42" s="28" t="s">
        <v>100</v>
      </c>
      <c r="B42" s="38">
        <v>5</v>
      </c>
      <c r="C42" s="38">
        <v>5</v>
      </c>
      <c r="D42" s="38"/>
      <c r="E42" s="38"/>
      <c r="F42" s="38"/>
      <c r="G42" s="38"/>
      <c r="H42" s="38">
        <f t="shared" ref="H42:H43" si="40">H41-F42-D42+B42</f>
        <v>10.333</v>
      </c>
      <c r="I42" s="38">
        <f t="shared" ref="I42:I43" si="41">I41-E42+C42</f>
        <v>38.332999999999998</v>
      </c>
      <c r="J42" s="40">
        <f t="shared" ref="J42:J43" si="42">H42+I42</f>
        <v>48.665999999999997</v>
      </c>
    </row>
    <row r="43" spans="1:10" ht="15.95" customHeight="1" x14ac:dyDescent="0.25">
      <c r="A43" s="28" t="s">
        <v>101</v>
      </c>
      <c r="B43" s="38"/>
      <c r="C43" s="38"/>
      <c r="D43" s="38"/>
      <c r="E43" s="38"/>
      <c r="F43" s="61">
        <v>4</v>
      </c>
      <c r="G43" s="38"/>
      <c r="H43" s="38">
        <f t="shared" si="40"/>
        <v>6.3330000000000002</v>
      </c>
      <c r="I43" s="38">
        <f t="shared" si="41"/>
        <v>38.332999999999998</v>
      </c>
      <c r="J43" s="40">
        <f t="shared" si="42"/>
        <v>44.665999999999997</v>
      </c>
    </row>
    <row r="44" spans="1:10" s="105" customFormat="1" ht="15.95" customHeight="1" x14ac:dyDescent="0.25">
      <c r="A44" s="106" t="s">
        <v>103</v>
      </c>
      <c r="B44" s="107">
        <v>1.25</v>
      </c>
      <c r="C44" s="107">
        <v>1.25</v>
      </c>
      <c r="D44" s="107"/>
      <c r="E44" s="107"/>
      <c r="F44" s="107"/>
      <c r="G44" s="107"/>
      <c r="H44" s="38">
        <f t="shared" ref="H44:H45" si="43">H43-F44-D44+B44</f>
        <v>7.5830000000000002</v>
      </c>
      <c r="I44" s="38">
        <f t="shared" ref="I44:I45" si="44">I43-E44+C44</f>
        <v>39.582999999999998</v>
      </c>
      <c r="J44" s="40">
        <f t="shared" ref="J44:J45" si="45">H44+I44</f>
        <v>47.165999999999997</v>
      </c>
    </row>
    <row r="45" spans="1:10" s="105" customFormat="1" ht="15.95" customHeight="1" x14ac:dyDescent="0.25">
      <c r="A45" s="106" t="s">
        <v>104</v>
      </c>
      <c r="B45" s="107"/>
      <c r="C45" s="107"/>
      <c r="D45" s="107"/>
      <c r="E45" s="107"/>
      <c r="F45" s="107"/>
      <c r="G45" s="108">
        <v>1</v>
      </c>
      <c r="H45" s="38">
        <f t="shared" si="43"/>
        <v>7.5830000000000002</v>
      </c>
      <c r="I45" s="38">
        <f t="shared" si="44"/>
        <v>39.582999999999998</v>
      </c>
      <c r="J45" s="40">
        <f t="shared" si="45"/>
        <v>47.165999999999997</v>
      </c>
    </row>
    <row r="46" spans="1:10" ht="18.95" customHeight="1" x14ac:dyDescent="0.25">
      <c r="A46" s="63"/>
      <c r="B46" s="63"/>
      <c r="C46" s="63"/>
      <c r="D46" s="63"/>
      <c r="E46" s="63"/>
      <c r="F46" s="63"/>
      <c r="G46" s="63"/>
      <c r="H46" s="63"/>
      <c r="I46" s="63"/>
      <c r="J46" s="63"/>
    </row>
    <row r="47" spans="1:10" s="1" customFormat="1" x14ac:dyDescent="0.25">
      <c r="G47" s="1" t="s">
        <v>41</v>
      </c>
    </row>
    <row r="48" spans="1:10" s="1" customFormat="1" x14ac:dyDescent="0.25"/>
    <row r="49" spans="7:7" s="1" customFormat="1" x14ac:dyDescent="0.25">
      <c r="G49" s="39" t="s">
        <v>42</v>
      </c>
    </row>
    <row r="50" spans="7:7" s="1" customFormat="1" x14ac:dyDescent="0.25">
      <c r="G50" s="1" t="s">
        <v>43</v>
      </c>
    </row>
    <row r="51" spans="7:7" s="1" customFormat="1" x14ac:dyDescent="0.25">
      <c r="G51" s="1" t="s">
        <v>72</v>
      </c>
    </row>
  </sheetData>
  <mergeCells count="14">
    <mergeCell ref="B7:D7"/>
    <mergeCell ref="B9:D9"/>
    <mergeCell ref="A46:J46"/>
    <mergeCell ref="A2:J2"/>
    <mergeCell ref="A3:J3"/>
    <mergeCell ref="A4:J4"/>
    <mergeCell ref="A5:J5"/>
    <mergeCell ref="A11:A12"/>
    <mergeCell ref="J11:J12"/>
    <mergeCell ref="B11:C11"/>
    <mergeCell ref="D11:F11"/>
    <mergeCell ref="H11:I11"/>
    <mergeCell ref="A10:J10"/>
    <mergeCell ref="A13:J13"/>
  </mergeCells>
  <phoneticPr fontId="5" type="noConversion"/>
  <printOptions horizontalCentered="1"/>
  <pageMargins left="0.5" right="0.5" top="0.5" bottom="0.5" header="0.31496062992126" footer="0.31496062992126"/>
  <pageSetup paperSize="9" scale="65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8ABA-7545-4443-83EC-737DC944FE63}">
  <dimension ref="A5:AC22"/>
  <sheetViews>
    <sheetView topLeftCell="A4" workbookViewId="0">
      <selection activeCell="D26" sqref="D26"/>
    </sheetView>
  </sheetViews>
  <sheetFormatPr defaultRowHeight="15" x14ac:dyDescent="0.25"/>
  <cols>
    <col min="2" max="2" width="18.140625" customWidth="1"/>
    <col min="3" max="3" width="19.5703125" customWidth="1"/>
    <col min="4" max="4" width="56.42578125" customWidth="1"/>
    <col min="5" max="5" width="12.42578125" customWidth="1"/>
    <col min="6" max="6" width="13.42578125" customWidth="1"/>
    <col min="7" max="7" width="15.140625" customWidth="1"/>
  </cols>
  <sheetData>
    <row r="5" spans="1:29" x14ac:dyDescent="0.25">
      <c r="A5" s="75" t="s">
        <v>11</v>
      </c>
      <c r="B5" s="76"/>
      <c r="C5" s="76"/>
      <c r="D5" s="76"/>
      <c r="E5" s="76"/>
      <c r="F5" s="76"/>
      <c r="G5" s="76"/>
    </row>
    <row r="6" spans="1:29" x14ac:dyDescent="0.25">
      <c r="A6" s="76" t="s">
        <v>12</v>
      </c>
      <c r="B6" s="76"/>
      <c r="C6" s="76"/>
      <c r="D6" s="76"/>
      <c r="E6" s="76"/>
      <c r="F6" s="76"/>
      <c r="G6" s="76"/>
    </row>
    <row r="7" spans="1:29" x14ac:dyDescent="0.25">
      <c r="A7" s="76" t="s">
        <v>13</v>
      </c>
      <c r="B7" s="76"/>
      <c r="C7" s="76"/>
      <c r="D7" s="76"/>
      <c r="E7" s="76"/>
      <c r="F7" s="76"/>
      <c r="G7" s="76"/>
    </row>
    <row r="8" spans="1:29" x14ac:dyDescent="0.25">
      <c r="A8" s="76" t="s">
        <v>14</v>
      </c>
      <c r="B8" s="76"/>
      <c r="C8" s="76"/>
      <c r="D8" s="76"/>
      <c r="E8" s="76"/>
      <c r="F8" s="76"/>
      <c r="G8" s="76"/>
    </row>
    <row r="9" spans="1:29" x14ac:dyDescent="0.25">
      <c r="A9" s="77"/>
      <c r="B9" s="77"/>
      <c r="C9" s="77"/>
      <c r="D9" s="77"/>
      <c r="E9" s="77"/>
      <c r="F9" s="77"/>
      <c r="G9" s="77"/>
    </row>
    <row r="10" spans="1:29" x14ac:dyDescent="0.25">
      <c r="A10" s="1" t="s">
        <v>77</v>
      </c>
      <c r="B10" s="30" t="s">
        <v>78</v>
      </c>
      <c r="C10" s="3"/>
      <c r="D10" s="3"/>
      <c r="E10" s="46" t="s">
        <v>9</v>
      </c>
      <c r="F10" s="4"/>
      <c r="G10" s="47"/>
    </row>
    <row r="11" spans="1:29" x14ac:dyDescent="0.25">
      <c r="A11" s="1"/>
      <c r="B11" s="48"/>
      <c r="C11" s="2"/>
      <c r="D11" s="2"/>
      <c r="E11" s="49"/>
      <c r="F11" s="1"/>
      <c r="G11" s="1"/>
    </row>
    <row r="12" spans="1:29" x14ac:dyDescent="0.25">
      <c r="A12" s="1" t="s">
        <v>79</v>
      </c>
      <c r="B12" s="30" t="s">
        <v>80</v>
      </c>
      <c r="C12" s="3"/>
      <c r="D12" s="2"/>
      <c r="E12" s="46" t="s">
        <v>10</v>
      </c>
      <c r="F12" s="50"/>
      <c r="G12" s="47"/>
    </row>
    <row r="13" spans="1:29" ht="21.75" thickBot="1" x14ac:dyDescent="0.3">
      <c r="A13" s="71" t="s">
        <v>81</v>
      </c>
      <c r="B13" s="71"/>
      <c r="C13" s="71"/>
      <c r="D13" s="71"/>
      <c r="E13" s="71"/>
      <c r="F13" s="71"/>
      <c r="G13" s="71"/>
    </row>
    <row r="14" spans="1:29" ht="30" x14ac:dyDescent="0.25">
      <c r="A14" s="79" t="s">
        <v>82</v>
      </c>
      <c r="B14" s="80"/>
      <c r="C14" s="51" t="s">
        <v>83</v>
      </c>
      <c r="D14" s="52" t="s">
        <v>84</v>
      </c>
      <c r="E14" s="51" t="s">
        <v>85</v>
      </c>
      <c r="F14" s="51" t="s">
        <v>86</v>
      </c>
      <c r="G14" s="53" t="s">
        <v>7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 spans="1:29" ht="47.25" x14ac:dyDescent="0.25">
      <c r="A15" s="81" t="s">
        <v>87</v>
      </c>
      <c r="B15" s="82"/>
      <c r="C15" s="54" t="s">
        <v>88</v>
      </c>
      <c r="D15" s="54" t="s">
        <v>89</v>
      </c>
      <c r="E15" s="55">
        <v>5</v>
      </c>
      <c r="F15" s="56">
        <v>1</v>
      </c>
      <c r="G15" s="57">
        <f>E15-F15</f>
        <v>4</v>
      </c>
    </row>
    <row r="16" spans="1:29" ht="19.5" thickBot="1" x14ac:dyDescent="0.3">
      <c r="A16" s="83" t="s">
        <v>90</v>
      </c>
      <c r="B16" s="84"/>
      <c r="C16" s="84"/>
      <c r="D16" s="84"/>
      <c r="E16" s="84"/>
      <c r="F16" s="85"/>
      <c r="G16" s="58">
        <f>G15</f>
        <v>4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</row>
    <row r="17" spans="1:7" ht="15.75" x14ac:dyDescent="0.25">
      <c r="A17" s="44"/>
      <c r="B17" s="44"/>
      <c r="C17" s="60"/>
      <c r="D17" s="60"/>
      <c r="E17" s="60"/>
      <c r="F17" s="60"/>
      <c r="G17" s="60"/>
    </row>
    <row r="18" spans="1:7" ht="15.75" x14ac:dyDescent="0.25">
      <c r="A18" s="86" t="s">
        <v>91</v>
      </c>
      <c r="B18" s="86"/>
      <c r="C18" s="60"/>
      <c r="D18" s="60"/>
      <c r="E18" s="60"/>
      <c r="F18" s="60"/>
      <c r="G18" s="60"/>
    </row>
    <row r="19" spans="1:7" ht="15.75" x14ac:dyDescent="0.25">
      <c r="A19" s="87"/>
      <c r="B19" s="87"/>
      <c r="C19" s="60"/>
      <c r="D19" s="60"/>
      <c r="E19" s="60"/>
      <c r="F19" s="60"/>
      <c r="G19" s="60"/>
    </row>
    <row r="20" spans="1:7" ht="15.75" x14ac:dyDescent="0.25">
      <c r="A20" s="88" t="s">
        <v>42</v>
      </c>
      <c r="B20" s="88"/>
      <c r="C20" s="88"/>
      <c r="D20" s="60"/>
      <c r="E20" s="60"/>
      <c r="F20" s="60"/>
      <c r="G20" s="60"/>
    </row>
    <row r="21" spans="1:7" ht="15.75" x14ac:dyDescent="0.25">
      <c r="A21" s="78" t="s">
        <v>43</v>
      </c>
      <c r="B21" s="78"/>
      <c r="C21" s="78"/>
      <c r="D21" s="60"/>
      <c r="E21" s="60"/>
      <c r="F21" s="60"/>
      <c r="G21" s="60"/>
    </row>
    <row r="22" spans="1:7" ht="15.75" x14ac:dyDescent="0.25">
      <c r="A22" s="78" t="s">
        <v>44</v>
      </c>
      <c r="B22" s="78"/>
      <c r="C22" s="60"/>
      <c r="D22" s="60"/>
      <c r="E22" s="60"/>
      <c r="F22" s="60"/>
      <c r="G22" s="60"/>
    </row>
  </sheetData>
  <mergeCells count="14">
    <mergeCell ref="A21:C21"/>
    <mergeCell ref="A22:B22"/>
    <mergeCell ref="A14:B14"/>
    <mergeCell ref="A15:B15"/>
    <mergeCell ref="A16:F16"/>
    <mergeCell ref="A18:B18"/>
    <mergeCell ref="A19:B19"/>
    <mergeCell ref="A20:C20"/>
    <mergeCell ref="A13:G13"/>
    <mergeCell ref="A5:G5"/>
    <mergeCell ref="A6:G6"/>
    <mergeCell ref="A7:G7"/>
    <mergeCell ref="A8:G8"/>
    <mergeCell ref="A9:G9"/>
  </mergeCells>
  <pageMargins left="0.7" right="0.7" top="0.75" bottom="0.75" header="0.3" footer="0.3"/>
  <pageSetup paperSize="9" scale="90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5B4A-1038-4625-8D76-55CCCA40507D}">
  <dimension ref="A1:L21"/>
  <sheetViews>
    <sheetView topLeftCell="A4" workbookViewId="0">
      <selection activeCell="H28" sqref="H28"/>
    </sheetView>
  </sheetViews>
  <sheetFormatPr defaultRowHeight="15" x14ac:dyDescent="0.25"/>
  <cols>
    <col min="1" max="1" width="21.5703125" customWidth="1"/>
    <col min="2" max="2" width="17.5703125" customWidth="1"/>
  </cols>
  <sheetData>
    <row r="1" spans="1:12" s="1" customFormat="1" ht="52.5" customHeight="1" x14ac:dyDescent="0.25"/>
    <row r="2" spans="1:12" s="1" customFormat="1" ht="10.5" customHeight="1" x14ac:dyDescent="0.25">
      <c r="A2" s="64" t="s">
        <v>11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s="1" customFormat="1" ht="15.95" customHeight="1" x14ac:dyDescent="0.25">
      <c r="A3" s="64" t="s">
        <v>12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 s="1" customFormat="1" ht="15.95" customHeight="1" x14ac:dyDescent="0.25">
      <c r="A4" s="64" t="s">
        <v>13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 s="1" customFormat="1" ht="15.95" customHeight="1" x14ac:dyDescent="0.25">
      <c r="A5" s="64" t="s">
        <v>14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12" s="1" customFormat="1" ht="8.25" customHeight="1" x14ac:dyDescent="0.25"/>
    <row r="7" spans="1:12" s="1" customFormat="1" ht="12" customHeight="1" x14ac:dyDescent="0.25">
      <c r="A7" s="1" t="s">
        <v>37</v>
      </c>
      <c r="C7" s="3" t="s">
        <v>39</v>
      </c>
      <c r="D7" s="3"/>
      <c r="G7" s="3" t="s">
        <v>9</v>
      </c>
      <c r="H7" s="30"/>
    </row>
    <row r="8" spans="1:12" s="1" customFormat="1" ht="12" customHeight="1" x14ac:dyDescent="0.25">
      <c r="C8" s="2"/>
      <c r="G8" s="2"/>
      <c r="H8" s="2"/>
    </row>
    <row r="9" spans="1:12" s="1" customFormat="1" ht="12" customHeight="1" x14ac:dyDescent="0.25">
      <c r="A9" s="1" t="s">
        <v>38</v>
      </c>
      <c r="C9" s="3" t="s">
        <v>40</v>
      </c>
      <c r="D9" s="3"/>
      <c r="G9" s="3" t="s">
        <v>10</v>
      </c>
      <c r="H9" s="4"/>
    </row>
    <row r="10" spans="1:12" ht="16.5" customHeight="1" thickBot="1" x14ac:dyDescent="0.3">
      <c r="A10" s="91" t="s">
        <v>47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</row>
    <row r="11" spans="1:12" s="25" customFormat="1" ht="18.75" customHeight="1" x14ac:dyDescent="0.2">
      <c r="A11" s="96" t="s">
        <v>4</v>
      </c>
      <c r="B11" s="98" t="s">
        <v>5</v>
      </c>
      <c r="C11" s="99"/>
      <c r="D11" s="99"/>
      <c r="E11" s="99"/>
      <c r="F11" s="99"/>
      <c r="G11" s="99"/>
      <c r="H11" s="99"/>
      <c r="I11" s="99"/>
      <c r="J11" s="99"/>
      <c r="K11" s="99"/>
      <c r="L11" s="100" t="s">
        <v>8</v>
      </c>
    </row>
    <row r="12" spans="1:12" s="25" customFormat="1" ht="24" customHeight="1" x14ac:dyDescent="0.2">
      <c r="A12" s="97"/>
      <c r="B12" s="89" t="s">
        <v>48</v>
      </c>
      <c r="C12" s="102"/>
      <c r="D12" s="102"/>
      <c r="E12" s="90"/>
      <c r="F12" s="89" t="s">
        <v>49</v>
      </c>
      <c r="G12" s="90"/>
      <c r="H12" s="89" t="s">
        <v>50</v>
      </c>
      <c r="I12" s="90"/>
      <c r="J12" s="89" t="s">
        <v>51</v>
      </c>
      <c r="K12" s="90"/>
      <c r="L12" s="101"/>
    </row>
    <row r="13" spans="1:12" s="25" customFormat="1" ht="24.95" customHeight="1" x14ac:dyDescent="0.2">
      <c r="A13" s="12" t="s">
        <v>53</v>
      </c>
      <c r="B13" s="93" t="s">
        <v>54</v>
      </c>
      <c r="C13" s="94"/>
      <c r="D13" s="94"/>
      <c r="E13" s="95"/>
      <c r="F13" s="31">
        <v>1</v>
      </c>
      <c r="G13" s="32"/>
      <c r="H13" s="93">
        <v>0</v>
      </c>
      <c r="I13" s="95"/>
      <c r="J13" s="93">
        <v>1</v>
      </c>
      <c r="K13" s="95"/>
      <c r="L13" s="11">
        <v>1</v>
      </c>
    </row>
    <row r="14" spans="1:12" s="26" customFormat="1" ht="25.5" customHeight="1" x14ac:dyDescent="0.2">
      <c r="A14" s="12"/>
      <c r="B14" s="93" t="s">
        <v>54</v>
      </c>
      <c r="C14" s="94"/>
      <c r="D14" s="94"/>
      <c r="E14" s="95"/>
      <c r="F14" s="31">
        <v>1</v>
      </c>
      <c r="G14" s="32"/>
      <c r="H14" s="93"/>
      <c r="I14" s="95"/>
      <c r="J14" s="93">
        <f>F14-H14</f>
        <v>1</v>
      </c>
      <c r="K14" s="95"/>
      <c r="L14" s="33">
        <v>0</v>
      </c>
    </row>
    <row r="15" spans="1:12" s="26" customFormat="1" x14ac:dyDescent="0.2">
      <c r="A15" s="34" t="s">
        <v>52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ht="18.95" customHeight="1" x14ac:dyDescent="0.25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</row>
    <row r="17" spans="1:3" s="1" customFormat="1" x14ac:dyDescent="0.25">
      <c r="A17" s="1" t="s">
        <v>41</v>
      </c>
      <c r="C17" s="7"/>
    </row>
    <row r="18" spans="1:3" s="1" customFormat="1" x14ac:dyDescent="0.25">
      <c r="C18" s="7"/>
    </row>
    <row r="19" spans="1:3" x14ac:dyDescent="0.25">
      <c r="A19" s="75" t="s">
        <v>42</v>
      </c>
      <c r="B19" s="75"/>
    </row>
    <row r="20" spans="1:3" x14ac:dyDescent="0.25">
      <c r="A20" s="87" t="s">
        <v>43</v>
      </c>
      <c r="B20" s="87"/>
    </row>
    <row r="21" spans="1:3" x14ac:dyDescent="0.25">
      <c r="A21" s="76" t="s">
        <v>44</v>
      </c>
      <c r="B21" s="76"/>
    </row>
  </sheetData>
  <mergeCells count="22">
    <mergeCell ref="A20:B20"/>
    <mergeCell ref="A21:B21"/>
    <mergeCell ref="A16:L16"/>
    <mergeCell ref="A19:B19"/>
    <mergeCell ref="H12:I12"/>
    <mergeCell ref="J12:K12"/>
    <mergeCell ref="B13:E13"/>
    <mergeCell ref="H13:I13"/>
    <mergeCell ref="J13:K13"/>
    <mergeCell ref="B14:E14"/>
    <mergeCell ref="H14:I14"/>
    <mergeCell ref="J14:K14"/>
    <mergeCell ref="A11:A12"/>
    <mergeCell ref="B11:K11"/>
    <mergeCell ref="L11:L12"/>
    <mergeCell ref="B12:E12"/>
    <mergeCell ref="F12:G12"/>
    <mergeCell ref="A2:L2"/>
    <mergeCell ref="A3:L3"/>
    <mergeCell ref="A4:L4"/>
    <mergeCell ref="A5:L5"/>
    <mergeCell ref="A10:L10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C9D5-FE19-4F9F-8A7D-51AFBA751079}">
  <dimension ref="A1:M24"/>
  <sheetViews>
    <sheetView view="pageBreakPreview" topLeftCell="A10" zoomScale="98" zoomScaleNormal="100" zoomScaleSheetLayoutView="98" workbookViewId="0">
      <selection activeCell="J20" sqref="J20"/>
    </sheetView>
  </sheetViews>
  <sheetFormatPr defaultRowHeight="15" x14ac:dyDescent="0.2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12" s="1" customFormat="1" ht="52.5" customHeight="1" x14ac:dyDescent="0.25">
      <c r="C1" s="17"/>
      <c r="D1" s="18"/>
      <c r="H1" s="7"/>
    </row>
    <row r="2" spans="1:12" s="1" customFormat="1" ht="10.5" customHeight="1" x14ac:dyDescent="0.25">
      <c r="A2" s="64" t="s">
        <v>11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1:12" s="1" customFormat="1" ht="15.95" customHeight="1" x14ac:dyDescent="0.25">
      <c r="A3" s="64" t="s">
        <v>12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1:12" s="1" customFormat="1" ht="15.95" customHeight="1" x14ac:dyDescent="0.25">
      <c r="A4" s="64" t="s">
        <v>13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2" s="1" customFormat="1" ht="15.95" customHeight="1" x14ac:dyDescent="0.25">
      <c r="A5" s="64" t="s">
        <v>14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</row>
    <row r="6" spans="1:12" s="1" customFormat="1" ht="8.25" customHeight="1" x14ac:dyDescent="0.25">
      <c r="C6" s="7"/>
      <c r="H6" s="7"/>
    </row>
    <row r="7" spans="1:12" s="1" customFormat="1" ht="8.25" customHeight="1" x14ac:dyDescent="0.25">
      <c r="C7" s="7"/>
      <c r="H7" s="7"/>
    </row>
    <row r="8" spans="1:12" s="1" customFormat="1" ht="12" customHeight="1" x14ac:dyDescent="0.25">
      <c r="A8" s="19" t="s">
        <v>16</v>
      </c>
      <c r="B8" s="19"/>
      <c r="C8" s="103" t="s">
        <v>17</v>
      </c>
      <c r="D8" s="103"/>
      <c r="E8" s="103"/>
      <c r="F8" s="103"/>
      <c r="G8" s="103"/>
      <c r="I8" s="103" t="s">
        <v>18</v>
      </c>
      <c r="J8" s="103"/>
      <c r="K8" s="103"/>
      <c r="L8" s="19"/>
    </row>
    <row r="9" spans="1:12" s="1" customFormat="1" ht="12" customHeight="1" x14ac:dyDescent="0.25">
      <c r="B9" s="20"/>
      <c r="C9" s="103" t="s">
        <v>19</v>
      </c>
      <c r="D9" s="103"/>
      <c r="E9" s="103"/>
      <c r="F9" s="103"/>
      <c r="G9" s="103"/>
      <c r="I9" s="104" t="s">
        <v>20</v>
      </c>
      <c r="J9" s="104"/>
      <c r="K9" s="104"/>
      <c r="L9" s="20"/>
    </row>
    <row r="10" spans="1:12" s="1" customFormat="1" ht="12" customHeight="1" x14ac:dyDescent="0.25">
      <c r="A10" s="19" t="s">
        <v>21</v>
      </c>
      <c r="B10" s="19"/>
      <c r="C10" s="21"/>
      <c r="D10" s="20"/>
      <c r="E10" s="20"/>
      <c r="I10" s="103" t="s">
        <v>22</v>
      </c>
      <c r="J10" s="103"/>
      <c r="K10" s="103"/>
      <c r="L10" s="19"/>
    </row>
    <row r="11" spans="1:12" ht="16.5" customHeight="1" thickBot="1" x14ac:dyDescent="0.3">
      <c r="A11" s="91" t="s">
        <v>23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</row>
    <row r="12" spans="1:12" s="25" customFormat="1" ht="48" x14ac:dyDescent="0.2">
      <c r="A12" s="22" t="s">
        <v>4</v>
      </c>
      <c r="B12" s="23" t="s">
        <v>24</v>
      </c>
      <c r="C12" s="23" t="s">
        <v>25</v>
      </c>
      <c r="D12" s="23" t="s">
        <v>26</v>
      </c>
      <c r="E12" s="23" t="s">
        <v>27</v>
      </c>
      <c r="F12" s="23" t="s">
        <v>28</v>
      </c>
      <c r="G12" s="23" t="s">
        <v>29</v>
      </c>
      <c r="H12" s="23" t="s">
        <v>30</v>
      </c>
      <c r="I12" s="23" t="s">
        <v>31</v>
      </c>
      <c r="J12" s="23" t="s">
        <v>32</v>
      </c>
      <c r="K12" s="23" t="s">
        <v>33</v>
      </c>
      <c r="L12" s="24" t="s">
        <v>8</v>
      </c>
    </row>
    <row r="13" spans="1:12" s="25" customFormat="1" x14ac:dyDescent="0.2">
      <c r="A13" s="12" t="s">
        <v>15</v>
      </c>
      <c r="B13" s="8"/>
      <c r="C13" s="10"/>
      <c r="D13" s="10">
        <v>1</v>
      </c>
      <c r="E13" s="8"/>
      <c r="F13" s="8"/>
      <c r="G13" s="8"/>
      <c r="H13" s="10"/>
      <c r="I13" s="8"/>
      <c r="J13" s="8"/>
      <c r="K13" s="8"/>
      <c r="L13" s="11">
        <v>1</v>
      </c>
    </row>
    <row r="14" spans="1:12" s="25" customFormat="1" x14ac:dyDescent="0.2">
      <c r="A14" s="12" t="s">
        <v>36</v>
      </c>
      <c r="B14" s="8"/>
      <c r="C14" s="10"/>
      <c r="D14" s="10"/>
      <c r="E14" s="8"/>
      <c r="F14" s="8"/>
      <c r="G14" s="8"/>
      <c r="H14" s="10"/>
      <c r="I14" s="8"/>
      <c r="J14" s="8">
        <v>2</v>
      </c>
      <c r="K14" s="8"/>
      <c r="L14" s="11">
        <v>2</v>
      </c>
    </row>
    <row r="15" spans="1:12" s="26" customFormat="1" x14ac:dyDescent="0.2">
      <c r="A15" s="27" t="s">
        <v>34</v>
      </c>
      <c r="B15" s="8"/>
      <c r="C15" s="10"/>
      <c r="D15" s="10">
        <v>1</v>
      </c>
      <c r="E15" s="8"/>
      <c r="F15" s="8"/>
      <c r="G15" s="8"/>
      <c r="H15" s="10"/>
      <c r="I15" s="8"/>
      <c r="J15" s="8"/>
      <c r="K15" s="8"/>
      <c r="L15" s="11">
        <v>1</v>
      </c>
    </row>
    <row r="16" spans="1:12" s="26" customFormat="1" x14ac:dyDescent="0.2">
      <c r="A16" s="28" t="s">
        <v>35</v>
      </c>
      <c r="B16" s="8"/>
      <c r="C16" s="10"/>
      <c r="D16" s="10">
        <v>1</v>
      </c>
      <c r="E16" s="8"/>
      <c r="F16" s="8"/>
      <c r="G16" s="8"/>
      <c r="H16" s="10"/>
      <c r="I16" s="8"/>
      <c r="J16" s="8"/>
      <c r="K16" s="8"/>
      <c r="L16" s="11">
        <v>1</v>
      </c>
    </row>
    <row r="17" spans="1:12" s="26" customFormat="1" x14ac:dyDescent="0.2">
      <c r="A17" s="10" t="s">
        <v>46</v>
      </c>
      <c r="B17" s="8"/>
      <c r="C17" s="10"/>
      <c r="D17" s="10">
        <v>1</v>
      </c>
      <c r="E17" s="8"/>
      <c r="F17" s="8"/>
      <c r="G17" s="8"/>
      <c r="H17" s="10"/>
      <c r="I17" s="8"/>
      <c r="J17" s="8"/>
      <c r="K17" s="8"/>
      <c r="L17" s="11">
        <v>1</v>
      </c>
    </row>
    <row r="18" spans="1:12" s="26" customFormat="1" x14ac:dyDescent="0.2">
      <c r="A18" s="12"/>
      <c r="B18" s="8"/>
      <c r="C18" s="10"/>
      <c r="D18" s="10"/>
      <c r="E18" s="8"/>
      <c r="F18" s="8"/>
      <c r="G18" s="8"/>
      <c r="H18" s="10"/>
      <c r="I18" s="8"/>
      <c r="J18" s="8"/>
      <c r="K18" s="8"/>
      <c r="L18" s="11"/>
    </row>
    <row r="19" spans="1:12" s="26" customFormat="1" x14ac:dyDescent="0.2">
      <c r="A19" s="12"/>
      <c r="B19" s="8"/>
      <c r="C19" s="10"/>
      <c r="D19" s="10"/>
      <c r="E19" s="8"/>
      <c r="F19" s="8"/>
      <c r="G19" s="8"/>
      <c r="H19" s="10"/>
      <c r="I19" s="8"/>
      <c r="J19" s="8"/>
      <c r="K19" s="8"/>
      <c r="L19" s="11"/>
    </row>
    <row r="20" spans="1:12" s="26" customFormat="1" x14ac:dyDescent="0.2">
      <c r="A20" s="12"/>
      <c r="B20" s="8"/>
      <c r="C20" s="10"/>
      <c r="D20" s="10"/>
      <c r="E20" s="8"/>
      <c r="F20" s="8"/>
      <c r="G20" s="8"/>
      <c r="H20" s="10"/>
      <c r="I20" s="8"/>
      <c r="J20" s="8"/>
      <c r="K20" s="8"/>
      <c r="L20" s="11"/>
    </row>
    <row r="21" spans="1:12" s="26" customFormat="1" x14ac:dyDescent="0.2">
      <c r="A21" s="9"/>
      <c r="B21" s="8"/>
      <c r="C21" s="10"/>
      <c r="D21" s="10"/>
      <c r="E21" s="8"/>
      <c r="F21" s="8"/>
      <c r="G21" s="8"/>
      <c r="H21" s="10"/>
      <c r="I21" s="8"/>
      <c r="J21" s="8"/>
      <c r="K21" s="13"/>
      <c r="L21" s="11"/>
    </row>
    <row r="22" spans="1:12" ht="75.75" customHeight="1" x14ac:dyDescent="0.2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</row>
    <row r="23" spans="1:12" s="1" customFormat="1" x14ac:dyDescent="0.25">
      <c r="C23" s="7"/>
    </row>
    <row r="24" spans="1:12" s="1" customFormat="1" x14ac:dyDescent="0.25">
      <c r="C24" s="7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</mergeCells>
  <printOptions horizontalCentered="1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Leave Card (NE)</vt:lpstr>
      <vt:lpstr>Sheet1</vt:lpstr>
      <vt:lpstr>CTO</vt:lpstr>
      <vt:lpstr>Other types of leave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2026-01-14T04:15:04Z</cp:lastPrinted>
  <dcterms:created xsi:type="dcterms:W3CDTF">2021-10-07T06:10:16Z</dcterms:created>
  <dcterms:modified xsi:type="dcterms:W3CDTF">2026-01-14T04:16:44Z</dcterms:modified>
</cp:coreProperties>
</file>