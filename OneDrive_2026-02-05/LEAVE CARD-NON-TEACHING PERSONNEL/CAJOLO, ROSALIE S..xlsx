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8C5BC379-4F17-4072-BE24-4E7852384036}" xr6:coauthVersionLast="47" xr6:coauthVersionMax="47" xr10:uidLastSave="{00000000-0000-0000-0000-000000000000}"/>
  <bookViews>
    <workbookView xWindow="-120" yWindow="-120" windowWidth="29040" windowHeight="15720" xr2:uid="{4C59B18C-C5D8-4D2B-B53E-A850D558B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7" i="1" l="1"/>
  <c r="H78" i="1" s="1"/>
  <c r="J78" i="1" s="1"/>
  <c r="I77" i="1"/>
  <c r="I78" i="1" s="1"/>
  <c r="B60" i="1"/>
  <c r="J77" i="1" l="1"/>
  <c r="B58" i="1"/>
  <c r="B56" i="1"/>
  <c r="B47" i="1"/>
  <c r="B45" i="1"/>
  <c r="B43" i="1"/>
  <c r="B41" i="1"/>
  <c r="B30" i="1"/>
  <c r="B26" i="1"/>
  <c r="B22" i="1"/>
  <c r="B17" i="1"/>
  <c r="I16" i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H16" i="1"/>
  <c r="H17" i="1" l="1"/>
  <c r="H18" i="1" s="1"/>
  <c r="J16" i="1"/>
  <c r="H19" i="1" l="1"/>
  <c r="J18" i="1"/>
  <c r="J17" i="1"/>
  <c r="J19" i="1" l="1"/>
  <c r="H20" i="1"/>
  <c r="H21" i="1" l="1"/>
  <c r="J20" i="1"/>
  <c r="J21" i="1" l="1"/>
  <c r="H22" i="1"/>
  <c r="H23" i="1" l="1"/>
  <c r="J22" i="1"/>
  <c r="J23" i="1" l="1"/>
  <c r="H24" i="1"/>
  <c r="H25" i="1" l="1"/>
  <c r="J24" i="1"/>
  <c r="H26" i="1" l="1"/>
  <c r="J25" i="1"/>
  <c r="H27" i="1" l="1"/>
  <c r="J26" i="1"/>
  <c r="J27" i="1" l="1"/>
  <c r="H28" i="1"/>
  <c r="H29" i="1" l="1"/>
  <c r="J28" i="1"/>
  <c r="J29" i="1" l="1"/>
  <c r="H30" i="1"/>
  <c r="H31" i="1" l="1"/>
  <c r="J30" i="1"/>
  <c r="J31" i="1" l="1"/>
  <c r="H32" i="1"/>
  <c r="H33" i="1" l="1"/>
  <c r="J32" i="1"/>
  <c r="H34" i="1" l="1"/>
  <c r="J33" i="1"/>
  <c r="H35" i="1" l="1"/>
  <c r="J34" i="1"/>
  <c r="H36" i="1" l="1"/>
  <c r="J35" i="1"/>
  <c r="H37" i="1" l="1"/>
  <c r="J36" i="1"/>
  <c r="H38" i="1" l="1"/>
  <c r="J37" i="1"/>
  <c r="J38" i="1" l="1"/>
  <c r="H39" i="1"/>
  <c r="J39" i="1" l="1"/>
  <c r="H40" i="1"/>
  <c r="H41" i="1" l="1"/>
  <c r="J40" i="1"/>
  <c r="J41" i="1" l="1"/>
  <c r="H42" i="1"/>
  <c r="H43" i="1" l="1"/>
  <c r="J42" i="1"/>
  <c r="H44" i="1" l="1"/>
  <c r="J43" i="1"/>
  <c r="H45" i="1" l="1"/>
  <c r="J44" i="1"/>
  <c r="H46" i="1" l="1"/>
  <c r="J45" i="1"/>
  <c r="H47" i="1" l="1"/>
  <c r="J46" i="1"/>
  <c r="H48" i="1" l="1"/>
  <c r="J47" i="1"/>
  <c r="H49" i="1" l="1"/>
  <c r="J48" i="1"/>
  <c r="J49" i="1" l="1"/>
  <c r="H50" i="1"/>
  <c r="H51" i="1" l="1"/>
  <c r="J50" i="1"/>
  <c r="J51" i="1" l="1"/>
  <c r="H52" i="1"/>
  <c r="J52" i="1" l="1"/>
  <c r="H53" i="1"/>
  <c r="J53" i="1" l="1"/>
  <c r="H54" i="1"/>
  <c r="J54" i="1" l="1"/>
  <c r="H55" i="1"/>
  <c r="H56" i="1" l="1"/>
  <c r="J55" i="1"/>
  <c r="J56" i="1" l="1"/>
  <c r="H57" i="1"/>
  <c r="H58" i="1" l="1"/>
  <c r="J57" i="1"/>
  <c r="J58" i="1" l="1"/>
  <c r="H59" i="1"/>
  <c r="H60" i="1" l="1"/>
  <c r="J59" i="1"/>
  <c r="J60" i="1" l="1"/>
  <c r="H61" i="1"/>
  <c r="J61" i="1" l="1"/>
  <c r="H62" i="1"/>
  <c r="H63" i="1" l="1"/>
  <c r="J62" i="1"/>
  <c r="H64" i="1" l="1"/>
  <c r="J63" i="1"/>
  <c r="J64" i="1" l="1"/>
  <c r="H65" i="1"/>
  <c r="H66" i="1" l="1"/>
  <c r="J65" i="1"/>
  <c r="J66" i="1" l="1"/>
  <c r="H67" i="1"/>
  <c r="H68" i="1" l="1"/>
  <c r="J67" i="1"/>
  <c r="H69" i="1" l="1"/>
  <c r="J68" i="1"/>
  <c r="J69" i="1" l="1"/>
  <c r="H70" i="1"/>
  <c r="J70" i="1" l="1"/>
  <c r="H71" i="1"/>
  <c r="H72" i="1" l="1"/>
  <c r="J71" i="1"/>
  <c r="H73" i="1" l="1"/>
  <c r="J72" i="1"/>
  <c r="H74" i="1" l="1"/>
  <c r="J73" i="1"/>
  <c r="J74" i="1" l="1"/>
  <c r="H75" i="1"/>
  <c r="J75" i="1" l="1"/>
  <c r="H76" i="1"/>
  <c r="J76" i="1" s="1"/>
</calcChain>
</file>

<file path=xl/sharedStrings.xml><?xml version="1.0" encoding="utf-8"?>
<sst xmlns="http://schemas.openxmlformats.org/spreadsheetml/2006/main" count="93" uniqueCount="89">
  <si>
    <t>Republic of the Philippines</t>
  </si>
  <si>
    <t>Department of Education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</si>
  <si>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</si>
  <si>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</si>
  <si>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</si>
  <si>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</si>
  <si>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</si>
  <si>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</si>
  <si>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</si>
  <si>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</si>
  <si>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</si>
  <si>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</si>
  <si>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</si>
  <si>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</si>
  <si>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</si>
  <si>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</si>
  <si>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</si>
  <si>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</si>
  <si>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</si>
  <si>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 PRIVILEGE LEAVE</t>
  </si>
  <si>
    <t>LESS: FL 2020</t>
  </si>
  <si>
    <t>LESS: MONETIZATION 2021</t>
  </si>
  <si>
    <t>LESS: FL 2021</t>
  </si>
  <si>
    <t>LESS: MONETIZATION 2022</t>
  </si>
  <si>
    <t>LESS: MONETIZATION 2023</t>
  </si>
  <si>
    <t>MA. LUISA B. CATIGAN</t>
  </si>
  <si>
    <t>Administrative Officer IV</t>
  </si>
  <si>
    <t>HRMO</t>
  </si>
  <si>
    <t>DATE OF APPOINTMENT: MAY 15, 2014</t>
  </si>
  <si>
    <t>ADD:05/15/2014-05/31/2014</t>
  </si>
  <si>
    <t>ADD: 06/01/2014-12/31/2014</t>
  </si>
  <si>
    <t>ADD: 01/01/2015-11/30/2015</t>
  </si>
  <si>
    <t>LESS: MONETIZATION 2015</t>
  </si>
  <si>
    <t>ADD:12/01/2015-12/31/2015</t>
  </si>
  <si>
    <t>LESS: FL 2015</t>
  </si>
  <si>
    <t>ADD: 01/01/2016-10/31/2016</t>
  </si>
  <si>
    <t>LESS: MONETIZATION 2016</t>
  </si>
  <si>
    <t>ADD: 11/01/2016-12/31/2016</t>
  </si>
  <si>
    <t>LESS: FL 2016</t>
  </si>
  <si>
    <t>ADD: 01/01/2017-11/30/2017</t>
  </si>
  <si>
    <t>LESS: MONETIZATION 2017</t>
  </si>
  <si>
    <t>ADD: 12/01/2017-12/31/2017</t>
  </si>
  <si>
    <t>LESS: FL 2017</t>
  </si>
  <si>
    <t>ADD: 01/01/2018-06/30/2018</t>
  </si>
  <si>
    <t>LESS: MONETIZATION 2018</t>
  </si>
  <si>
    <t>ADD: 07/01/2018-12/31/2018</t>
  </si>
  <si>
    <t>LESS: FL 2018</t>
  </si>
  <si>
    <t>ADD:01/01/2019-12/31/2019</t>
  </si>
  <si>
    <t>LESS: FL 2019</t>
  </si>
  <si>
    <t>ADD: 01/01/2020-12/31/2020</t>
  </si>
  <si>
    <t>LESS: MONETIZATION 2020</t>
  </si>
  <si>
    <t>ADD: 01/01/2021-9/30/2021</t>
  </si>
  <si>
    <t>ADD: 10/01/2021-12/31/2021</t>
  </si>
  <si>
    <t>ADD: 01/01/2022-05/31/2022</t>
  </si>
  <si>
    <t>LESS: 06/1-2/2022</t>
  </si>
  <si>
    <t>ADD:06/01/2022-08/31/2022</t>
  </si>
  <si>
    <t>ADD: 09/01/2022-12/31/2022</t>
  </si>
  <si>
    <t>LESS:12/26-27/2022</t>
  </si>
  <si>
    <t>LESS:12/28-29/2022</t>
  </si>
  <si>
    <t>LESS: FL 2022</t>
  </si>
  <si>
    <t>LESS:01/6,9/2023</t>
  </si>
  <si>
    <t>LESS: 01/26-27/2023</t>
  </si>
  <si>
    <t>ADD: 01/01/2023-01/31/2023</t>
  </si>
  <si>
    <t>LESS:02/13/2023</t>
  </si>
  <si>
    <t>LESS: 02/14-15/2023</t>
  </si>
  <si>
    <t>ADD: 02/01/2023-05/31/2023</t>
  </si>
  <si>
    <t>LESS:06/22/2023</t>
  </si>
  <si>
    <t>ADD: 06/01/2023-08/31/2023</t>
  </si>
  <si>
    <t>ADD: 09/01/2023-11/30/2023</t>
  </si>
  <si>
    <t>ADD: 12/01/2023-12/31/2023</t>
  </si>
  <si>
    <t>LESS: 01/19/2024,01/22/2024</t>
  </si>
  <si>
    <t>LESS: 01/3/2024</t>
  </si>
  <si>
    <t>ADD: 01/01/2024-02/29/2024</t>
  </si>
  <si>
    <t>LESS: 02/23/2024 &amp; 02/26/2024</t>
  </si>
  <si>
    <t>CERTIFIED CORRECT:</t>
  </si>
  <si>
    <t>ADD: 03/1/2024-06/30/2024</t>
  </si>
  <si>
    <t>LESS: 07/08/2024</t>
  </si>
  <si>
    <t>LESS: 06/25/2024</t>
  </si>
  <si>
    <t>ADD: 07/01-31/2024</t>
  </si>
  <si>
    <t>LESS: MONETIZATION 2024</t>
  </si>
  <si>
    <t>ADD: 08/1/2024-12/31/2024</t>
  </si>
  <si>
    <t>LESS: 05/7-9/2025 (TRAVEL ABROAD)</t>
  </si>
  <si>
    <t>ADD: 01/1-31/2025</t>
  </si>
  <si>
    <t>LESS: FL 2024</t>
  </si>
  <si>
    <t>ADD: 02/1/2025-06/30/2025</t>
  </si>
  <si>
    <t>LESS: MONETIZATION 2025</t>
  </si>
  <si>
    <t>NEGROS ISLAND REGION</t>
  </si>
  <si>
    <t>ADD: 07/1/2025-09/30/2025</t>
  </si>
  <si>
    <t>LESS: 10/29-30/2025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</si>
</sst>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1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/>
    </xf>
    <xf numFmtId="0" fontId="7" fillId="0" borderId="0" xfId="0" applyFont="1"/>
    <xf numFmtId="164" fontId="2" fillId="2" borderId="10" xfId="0" applyNumberFormat="1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1" fillId="7" borderId="10" xfId="0" applyNumberFormat="1" applyFont="1" applyFill="1" applyBorder="1" applyAlignment="1">
      <alignment horizontal="center" vertical="center"/>
    </xf>
    <xf numFmtId="164" fontId="0" fillId="2" borderId="10" xfId="0" applyNumberFormat="1" applyFill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323850</xdr:colOff>
      <xdr:row>0</xdr:row>
      <xdr:rowOff>104775</xdr:rowOff>
    </xdr:from>
    <xdr:to>
      <xdr:col>4</xdr:col>
      <xdr:colOff>295275</xdr:colOff>
      <xdr:row>3</xdr:row>
      <xdr:rowOff>41275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D49E24-CE62-4A7F-8112-10CC9FF9E8C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71925" y="104775"/>
          <a:ext cx="638175" cy="5080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526317</xdr:colOff>
      <xdr:row>7</xdr:row>
      <xdr:rowOff>113811</xdr:rowOff>
    </xdr:from>
    <xdr:to>
      <xdr:col>0</xdr:col>
      <xdr:colOff>2192216</xdr:colOff>
      <xdr:row>9</xdr:row>
      <xdr:rowOff>58860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1C306CB-F4BF-4B7F-852C-A625E9C46EFC}"/>
            </a:ext>
          </a:extLst>
        </xdr:cNvPr>
        <xdr:cNvSpPr txBox="1"/>
      </xdr:nvSpPr>
      <xdr:spPr>
        <a:xfrm>
          <a:off x="526317" y="1447311"/>
          <a:ext cx="1665899" cy="326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CAJOLO, ROSALIE S.</a:t>
          </a:r>
        </a:p>
      </xdr:txBody>
    </xdr:sp>
    <xdr:clientData/>
  </xdr:twoCellAnchor>
  <xdr:twoCellAnchor>
    <xdr:from>
      <xdr:col>0</xdr:col>
      <xdr:colOff>654783</xdr:colOff>
      <xdr:row>9</xdr:row>
      <xdr:rowOff>108682</xdr:rowOff>
    </xdr:from>
    <xdr:to>
      <xdr:col>1</xdr:col>
      <xdr:colOff>34682</xdr:colOff>
      <xdr:row>11</xdr:row>
      <xdr:rowOff>53730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8CFA19-F62F-45BE-9169-E6B7F1D90DB8}"/>
            </a:ext>
          </a:extLst>
        </xdr:cNvPr>
        <xdr:cNvSpPr txBox="1"/>
      </xdr:nvSpPr>
      <xdr:spPr>
        <a:xfrm>
          <a:off x="654783" y="1823182"/>
          <a:ext cx="1618274" cy="3260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PRINCIPAL I</a:t>
          </a:r>
        </a:p>
      </xdr:txBody>
    </xdr:sp>
    <xdr:clientData/>
  </xdr:twoCellAnchor>
  <xdr:twoCellAnchor>
    <xdr:from>
      <xdr:col>2</xdr:col>
      <xdr:colOff>367568</xdr:colOff>
      <xdr:row>9</xdr:row>
      <xdr:rowOff>128466</xdr:rowOff>
    </xdr:from>
    <xdr:to>
      <xdr:col>4</xdr:col>
      <xdr:colOff>556846</xdr:colOff>
      <xdr:row>11</xdr:row>
      <xdr:rowOff>35659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29B2C16-0C88-4747-B751-8C0C6A3856BC}"/>
            </a:ext>
          </a:extLst>
        </xdr:cNvPr>
        <xdr:cNvSpPr txBox="1"/>
      </xdr:nvSpPr>
      <xdr:spPr>
        <a:xfrm>
          <a:off x="3310793" y="1842966"/>
          <a:ext cx="1560878" cy="2881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CALANGCANG ES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BB8C4-B2E2-41C5-A3A3-4C01D95D4404}">
  <sheetPr>
    <pageSetUpPr fitToPage="1"/>
  </sheetPr>
  <dimension ref="A1:K86"/>
  <sheetViews>
    <sheetView tabSelected="1" topLeftCell="A59" workbookViewId="0">
      <selection activeCell="A77" sqref="A77:XFD77"/>
    </sheetView>
  </sheetViews>
  <sheetFormatPr defaultRowHeight="15" x14ac:dyDescent="0.25"/>
  <cols>
    <col min="1" max="1" width="33.5703125" customWidth="1"/>
    <col min="2" max="3" width="10.5703125" customWidth="1"/>
    <col min="4" max="4" width="10" customWidth="1"/>
    <col min="5" max="6" width="10.140625" customWidth="1"/>
    <col min="7" max="7" width="10.28515625" customWidth="1"/>
    <col min="8" max="9" width="11.5703125" customWidth="1"/>
    <col min="10" max="10" width="11" customWidth="1"/>
    <col min="11" max="11" width="26.42578125" style="9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37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1"/>
    </row>
    <row r="5" spans="1:11" x14ac:dyDescent="0.25">
      <c r="A5" s="37" t="s">
        <v>1</v>
      </c>
      <c r="B5" s="37"/>
      <c r="C5" s="37"/>
      <c r="D5" s="37"/>
      <c r="E5" s="37"/>
      <c r="F5" s="37"/>
      <c r="G5" s="37"/>
      <c r="H5" s="37"/>
      <c r="I5" s="37"/>
      <c r="J5" s="37"/>
      <c r="K5" s="1"/>
    </row>
    <row r="6" spans="1:11" x14ac:dyDescent="0.25">
      <c r="A6" s="37" t="s">
        <v>86</v>
      </c>
      <c r="B6" s="37"/>
      <c r="C6" s="37"/>
      <c r="D6" s="37"/>
      <c r="E6" s="37"/>
      <c r="F6" s="37"/>
      <c r="G6" s="37"/>
      <c r="H6" s="37"/>
      <c r="I6" s="37"/>
      <c r="J6" s="37"/>
      <c r="K6" s="1"/>
    </row>
    <row r="7" spans="1:11" x14ac:dyDescent="0.25">
      <c r="A7" s="37" t="s">
        <v>2</v>
      </c>
      <c r="B7" s="37"/>
      <c r="C7" s="37"/>
      <c r="D7" s="37"/>
      <c r="E7" s="37"/>
      <c r="F7" s="37"/>
      <c r="G7" s="37"/>
      <c r="H7" s="37"/>
      <c r="I7" s="37"/>
      <c r="J7" s="37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 t="s">
        <v>3</v>
      </c>
      <c r="B9" s="36" t="s">
        <v>4</v>
      </c>
      <c r="C9" s="36"/>
      <c r="D9" s="36"/>
      <c r="E9" s="1"/>
      <c r="F9" s="1"/>
      <c r="G9" s="1"/>
      <c r="H9" s="2" t="s">
        <v>5</v>
      </c>
      <c r="I9" s="3"/>
      <c r="J9" s="2"/>
      <c r="K9" s="1"/>
    </row>
    <row r="10" spans="1:11" x14ac:dyDescent="0.25">
      <c r="A10" s="1"/>
      <c r="B10" s="4"/>
      <c r="C10" s="4"/>
      <c r="D10" s="1"/>
      <c r="E10" s="1"/>
      <c r="F10" s="1"/>
      <c r="G10" s="1"/>
      <c r="H10" s="4"/>
      <c r="I10" s="4"/>
      <c r="J10" s="4"/>
      <c r="K10" s="1"/>
    </row>
    <row r="11" spans="1:11" x14ac:dyDescent="0.25">
      <c r="A11" s="1" t="s">
        <v>6</v>
      </c>
      <c r="B11" s="36" t="s">
        <v>7</v>
      </c>
      <c r="C11" s="36"/>
      <c r="D11" s="36"/>
      <c r="E11" s="1"/>
      <c r="F11" s="1"/>
      <c r="G11" s="1"/>
      <c r="H11" s="2" t="s">
        <v>8</v>
      </c>
      <c r="I11" s="5"/>
      <c r="J11" s="2"/>
      <c r="K11" s="1"/>
    </row>
    <row r="12" spans="1:11" ht="21.75" thickBot="1" x14ac:dyDescent="0.3">
      <c r="A12" s="26" t="s">
        <v>9</v>
      </c>
      <c r="B12" s="26"/>
      <c r="C12" s="26"/>
      <c r="D12" s="26"/>
      <c r="E12" s="26"/>
      <c r="F12" s="26"/>
      <c r="G12" s="26"/>
      <c r="H12" s="26"/>
      <c r="I12" s="26"/>
      <c r="J12" s="26"/>
      <c r="K12"/>
    </row>
    <row r="13" spans="1:11" x14ac:dyDescent="0.25">
      <c r="A13" s="27" t="s">
        <v>10</v>
      </c>
      <c r="B13" s="29" t="s">
        <v>11</v>
      </c>
      <c r="C13" s="29"/>
      <c r="D13" s="30" t="s">
        <v>12</v>
      </c>
      <c r="E13" s="31"/>
      <c r="F13" s="31"/>
      <c r="G13" s="32"/>
      <c r="H13" s="33" t="s">
        <v>13</v>
      </c>
      <c r="I13" s="33"/>
      <c r="J13" s="34" t="s">
        <v>14</v>
      </c>
      <c r="K13" s="22" t="s">
        <v>15</v>
      </c>
    </row>
    <row r="14" spans="1:11" ht="33.75" x14ac:dyDescent="0.25">
      <c r="A14" s="28"/>
      <c r="B14" s="6" t="s">
        <v>16</v>
      </c>
      <c r="C14" s="6" t="s">
        <v>17</v>
      </c>
      <c r="D14" s="6" t="s">
        <v>16</v>
      </c>
      <c r="E14" s="6" t="s">
        <v>17</v>
      </c>
      <c r="F14" s="6" t="s">
        <v>18</v>
      </c>
      <c r="G14" s="7" t="s">
        <v>19</v>
      </c>
      <c r="H14" s="6" t="s">
        <v>16</v>
      </c>
      <c r="I14" s="6" t="s">
        <v>17</v>
      </c>
      <c r="J14" s="35"/>
      <c r="K14" s="22"/>
    </row>
    <row r="15" spans="1:11" x14ac:dyDescent="0.25">
      <c r="A15" s="23" t="s">
        <v>28</v>
      </c>
      <c r="B15" s="24"/>
      <c r="C15" s="24"/>
      <c r="D15" s="24"/>
      <c r="E15" s="24"/>
      <c r="F15" s="24"/>
      <c r="G15" s="24"/>
      <c r="H15" s="24"/>
      <c r="I15" s="24"/>
      <c r="J15" s="25"/>
    </row>
    <row r="16" spans="1:11" x14ac:dyDescent="0.25">
      <c r="A16" s="17" t="s">
        <v>29</v>
      </c>
      <c r="B16" s="8">
        <v>0.66700000000000004</v>
      </c>
      <c r="C16" s="8">
        <v>0.66700000000000004</v>
      </c>
      <c r="D16" s="8"/>
      <c r="E16" s="8"/>
      <c r="F16" s="8"/>
      <c r="G16" s="8"/>
      <c r="H16" s="8">
        <f>B16</f>
        <v>0.66700000000000004</v>
      </c>
      <c r="I16" s="8">
        <f>C16</f>
        <v>0.66700000000000004</v>
      </c>
      <c r="J16" s="8">
        <f>SUM(H16:I16)</f>
        <v>1.3340000000000001</v>
      </c>
    </row>
    <row r="17" spans="1:10" x14ac:dyDescent="0.25">
      <c r="A17" s="17" t="s">
        <v>30</v>
      </c>
      <c r="B17" s="8">
        <f>7*1.25</f>
        <v>8.75</v>
      </c>
      <c r="C17" s="8">
        <v>8.75</v>
      </c>
      <c r="D17" s="8"/>
      <c r="E17" s="8"/>
      <c r="F17" s="8"/>
      <c r="G17" s="8"/>
      <c r="H17" s="8">
        <f>H16-F17-D17+B17</f>
        <v>9.4169999999999998</v>
      </c>
      <c r="I17" s="8">
        <f>I16-E17+C17</f>
        <v>9.4169999999999998</v>
      </c>
      <c r="J17" s="8">
        <f t="shared" ref="J17" si="0">SUM(H17:I17)</f>
        <v>18.834</v>
      </c>
    </row>
    <row r="18" spans="1:10" x14ac:dyDescent="0.25">
      <c r="A18" s="17" t="s">
        <v>31</v>
      </c>
      <c r="B18" s="8">
        <v>13.75</v>
      </c>
      <c r="C18" s="8">
        <v>13.75</v>
      </c>
      <c r="D18" s="8"/>
      <c r="E18" s="8"/>
      <c r="F18" s="8"/>
      <c r="G18" s="8"/>
      <c r="H18" s="8">
        <f t="shared" ref="H18:H33" si="1">H17-F18-D18+B18</f>
        <v>23.167000000000002</v>
      </c>
      <c r="I18" s="8">
        <f t="shared" ref="I18:I33" si="2">I17-E18+C18</f>
        <v>23.167000000000002</v>
      </c>
      <c r="J18" s="8">
        <f t="shared" ref="J18:J33" si="3">SUM(H18:I18)</f>
        <v>46.334000000000003</v>
      </c>
    </row>
    <row r="19" spans="1:10" x14ac:dyDescent="0.25">
      <c r="A19" s="17" t="s">
        <v>32</v>
      </c>
      <c r="B19" s="8"/>
      <c r="C19" s="8"/>
      <c r="D19" s="8">
        <v>10</v>
      </c>
      <c r="E19" s="8"/>
      <c r="F19" s="8"/>
      <c r="G19" s="8"/>
      <c r="H19" s="8">
        <f t="shared" si="1"/>
        <v>13.167000000000002</v>
      </c>
      <c r="I19" s="8">
        <f t="shared" si="2"/>
        <v>23.167000000000002</v>
      </c>
      <c r="J19" s="8">
        <f t="shared" si="3"/>
        <v>36.334000000000003</v>
      </c>
    </row>
    <row r="20" spans="1:10" x14ac:dyDescent="0.25">
      <c r="A20" s="17" t="s">
        <v>33</v>
      </c>
      <c r="B20" s="8">
        <v>1.25</v>
      </c>
      <c r="C20" s="8">
        <v>1.25</v>
      </c>
      <c r="D20" s="8"/>
      <c r="E20" s="8"/>
      <c r="F20" s="8"/>
      <c r="G20" s="8"/>
      <c r="H20" s="8">
        <f t="shared" si="1"/>
        <v>14.417000000000002</v>
      </c>
      <c r="I20" s="8">
        <f t="shared" si="2"/>
        <v>24.417000000000002</v>
      </c>
      <c r="J20" s="8">
        <f t="shared" si="3"/>
        <v>38.834000000000003</v>
      </c>
    </row>
    <row r="21" spans="1:10" x14ac:dyDescent="0.25">
      <c r="A21" s="17" t="s">
        <v>34</v>
      </c>
      <c r="B21" s="8"/>
      <c r="C21" s="8"/>
      <c r="D21" s="8"/>
      <c r="E21" s="8"/>
      <c r="F21" s="8">
        <v>5</v>
      </c>
      <c r="G21" s="8"/>
      <c r="H21" s="8">
        <f t="shared" si="1"/>
        <v>9.4170000000000016</v>
      </c>
      <c r="I21" s="8">
        <f t="shared" si="2"/>
        <v>24.417000000000002</v>
      </c>
      <c r="J21" s="8">
        <f t="shared" si="3"/>
        <v>33.834000000000003</v>
      </c>
    </row>
    <row r="22" spans="1:10" x14ac:dyDescent="0.25">
      <c r="A22" s="17" t="s">
        <v>35</v>
      </c>
      <c r="B22" s="8">
        <f>10*1.25</f>
        <v>12.5</v>
      </c>
      <c r="C22" s="8">
        <v>12.5</v>
      </c>
      <c r="D22" s="8"/>
      <c r="E22" s="8"/>
      <c r="F22" s="8"/>
      <c r="G22" s="8"/>
      <c r="H22" s="8">
        <f t="shared" si="1"/>
        <v>21.917000000000002</v>
      </c>
      <c r="I22" s="8">
        <f t="shared" si="2"/>
        <v>36.917000000000002</v>
      </c>
      <c r="J22" s="8">
        <f t="shared" si="3"/>
        <v>58.834000000000003</v>
      </c>
    </row>
    <row r="23" spans="1:10" x14ac:dyDescent="0.25">
      <c r="A23" s="17" t="s">
        <v>36</v>
      </c>
      <c r="B23" s="8"/>
      <c r="C23" s="8"/>
      <c r="D23" s="8">
        <v>10</v>
      </c>
      <c r="E23" s="8"/>
      <c r="F23" s="8"/>
      <c r="G23" s="8"/>
      <c r="H23" s="8">
        <f t="shared" si="1"/>
        <v>11.917000000000002</v>
      </c>
      <c r="I23" s="8">
        <f t="shared" si="2"/>
        <v>36.917000000000002</v>
      </c>
      <c r="J23" s="8">
        <f t="shared" si="3"/>
        <v>48.834000000000003</v>
      </c>
    </row>
    <row r="24" spans="1:10" x14ac:dyDescent="0.25">
      <c r="A24" s="17" t="s">
        <v>37</v>
      </c>
      <c r="B24" s="8">
        <v>2.5</v>
      </c>
      <c r="C24" s="8">
        <v>2.5</v>
      </c>
      <c r="D24" s="8"/>
      <c r="E24" s="8"/>
      <c r="F24" s="8"/>
      <c r="G24" s="8"/>
      <c r="H24" s="8">
        <f t="shared" si="1"/>
        <v>14.417000000000002</v>
      </c>
      <c r="I24" s="8">
        <f t="shared" si="2"/>
        <v>39.417000000000002</v>
      </c>
      <c r="J24" s="8">
        <f t="shared" si="3"/>
        <v>53.834000000000003</v>
      </c>
    </row>
    <row r="25" spans="1:10" x14ac:dyDescent="0.25">
      <c r="A25" s="17" t="s">
        <v>38</v>
      </c>
      <c r="B25" s="8"/>
      <c r="C25" s="8"/>
      <c r="D25" s="8"/>
      <c r="E25" s="8"/>
      <c r="F25" s="8">
        <v>5</v>
      </c>
      <c r="G25" s="8"/>
      <c r="H25" s="8">
        <f t="shared" si="1"/>
        <v>9.4170000000000016</v>
      </c>
      <c r="I25" s="8">
        <f t="shared" si="2"/>
        <v>39.417000000000002</v>
      </c>
      <c r="J25" s="8">
        <f t="shared" si="3"/>
        <v>48.834000000000003</v>
      </c>
    </row>
    <row r="26" spans="1:10" x14ac:dyDescent="0.25">
      <c r="A26" s="17" t="s">
        <v>39</v>
      </c>
      <c r="B26" s="8">
        <f>11*1.25</f>
        <v>13.75</v>
      </c>
      <c r="C26" s="8">
        <v>13.75</v>
      </c>
      <c r="D26" s="8"/>
      <c r="E26" s="8"/>
      <c r="F26" s="8"/>
      <c r="G26" s="8"/>
      <c r="H26" s="8">
        <f t="shared" si="1"/>
        <v>23.167000000000002</v>
      </c>
      <c r="I26" s="8">
        <f t="shared" si="2"/>
        <v>53.167000000000002</v>
      </c>
      <c r="J26" s="8">
        <f t="shared" si="3"/>
        <v>76.334000000000003</v>
      </c>
    </row>
    <row r="27" spans="1:10" x14ac:dyDescent="0.25">
      <c r="A27" s="21" t="s">
        <v>40</v>
      </c>
      <c r="B27" s="8"/>
      <c r="C27" s="8"/>
      <c r="D27" s="8">
        <v>15</v>
      </c>
      <c r="E27" s="8"/>
      <c r="F27" s="8"/>
      <c r="G27" s="8"/>
      <c r="H27" s="8">
        <f t="shared" si="1"/>
        <v>8.1670000000000016</v>
      </c>
      <c r="I27" s="8">
        <f t="shared" si="2"/>
        <v>53.167000000000002</v>
      </c>
      <c r="J27" s="8">
        <f t="shared" si="3"/>
        <v>61.334000000000003</v>
      </c>
    </row>
    <row r="28" spans="1:10" x14ac:dyDescent="0.25">
      <c r="A28" s="17" t="s">
        <v>41</v>
      </c>
      <c r="B28" s="8">
        <v>1.25</v>
      </c>
      <c r="C28" s="8">
        <v>1.25</v>
      </c>
      <c r="D28" s="8"/>
      <c r="E28" s="8"/>
      <c r="F28" s="8"/>
      <c r="G28" s="8"/>
      <c r="H28" s="8">
        <f t="shared" si="1"/>
        <v>9.4170000000000016</v>
      </c>
      <c r="I28" s="8">
        <f t="shared" si="2"/>
        <v>54.417000000000002</v>
      </c>
      <c r="J28" s="8">
        <f t="shared" si="3"/>
        <v>63.834000000000003</v>
      </c>
    </row>
    <row r="29" spans="1:10" x14ac:dyDescent="0.25">
      <c r="A29" s="21" t="s">
        <v>42</v>
      </c>
      <c r="B29" s="8"/>
      <c r="C29" s="8"/>
      <c r="D29" s="8"/>
      <c r="E29" s="8"/>
      <c r="F29" s="8">
        <v>5</v>
      </c>
      <c r="G29" s="8"/>
      <c r="H29" s="8">
        <f t="shared" si="1"/>
        <v>4.4170000000000016</v>
      </c>
      <c r="I29" s="8">
        <f t="shared" si="2"/>
        <v>54.417000000000002</v>
      </c>
      <c r="J29" s="8">
        <f t="shared" si="3"/>
        <v>58.834000000000003</v>
      </c>
    </row>
    <row r="30" spans="1:10" x14ac:dyDescent="0.25">
      <c r="A30" s="17" t="s">
        <v>43</v>
      </c>
      <c r="B30" s="8">
        <f>1.25*6</f>
        <v>7.5</v>
      </c>
      <c r="C30" s="8">
        <v>7.5</v>
      </c>
      <c r="D30" s="8"/>
      <c r="E30" s="8"/>
      <c r="F30" s="8"/>
      <c r="G30" s="8"/>
      <c r="H30" s="8">
        <f t="shared" si="1"/>
        <v>11.917000000000002</v>
      </c>
      <c r="I30" s="8">
        <f t="shared" si="2"/>
        <v>61.917000000000002</v>
      </c>
      <c r="J30" s="8">
        <f t="shared" si="3"/>
        <v>73.834000000000003</v>
      </c>
    </row>
    <row r="31" spans="1:10" x14ac:dyDescent="0.25">
      <c r="A31" s="17" t="s">
        <v>44</v>
      </c>
      <c r="B31" s="8"/>
      <c r="C31" s="8"/>
      <c r="D31" s="8"/>
      <c r="E31" s="8">
        <v>29</v>
      </c>
      <c r="F31" s="8"/>
      <c r="G31" s="8"/>
      <c r="H31" s="8">
        <f t="shared" si="1"/>
        <v>11.917000000000002</v>
      </c>
      <c r="I31" s="8">
        <f t="shared" si="2"/>
        <v>32.917000000000002</v>
      </c>
      <c r="J31" s="8">
        <f t="shared" si="3"/>
        <v>44.834000000000003</v>
      </c>
    </row>
    <row r="32" spans="1:10" x14ac:dyDescent="0.25">
      <c r="A32" s="21" t="s">
        <v>45</v>
      </c>
      <c r="B32" s="8">
        <v>7.5</v>
      </c>
      <c r="C32" s="8">
        <v>7.5</v>
      </c>
      <c r="D32" s="8"/>
      <c r="E32" s="8"/>
      <c r="F32" s="8"/>
      <c r="G32" s="8"/>
      <c r="H32" s="8">
        <f t="shared" si="1"/>
        <v>19.417000000000002</v>
      </c>
      <c r="I32" s="8">
        <f t="shared" si="2"/>
        <v>40.417000000000002</v>
      </c>
      <c r="J32" s="8">
        <f t="shared" si="3"/>
        <v>59.834000000000003</v>
      </c>
    </row>
    <row r="33" spans="1:10" x14ac:dyDescent="0.25">
      <c r="A33" s="21" t="s">
        <v>46</v>
      </c>
      <c r="B33" s="8"/>
      <c r="C33" s="8"/>
      <c r="D33" s="8"/>
      <c r="E33" s="8"/>
      <c r="F33" s="8">
        <v>5</v>
      </c>
      <c r="G33" s="8"/>
      <c r="H33" s="8">
        <f t="shared" si="1"/>
        <v>14.417000000000002</v>
      </c>
      <c r="I33" s="8">
        <f t="shared" si="2"/>
        <v>40.417000000000002</v>
      </c>
      <c r="J33" s="8">
        <f t="shared" si="3"/>
        <v>54.834000000000003</v>
      </c>
    </row>
    <row r="34" spans="1:10" x14ac:dyDescent="0.25">
      <c r="A34" s="17" t="s">
        <v>47</v>
      </c>
      <c r="B34" s="8">
        <v>15</v>
      </c>
      <c r="C34" s="8">
        <v>15</v>
      </c>
      <c r="D34" s="8"/>
      <c r="E34" s="8"/>
      <c r="F34" s="8"/>
      <c r="G34" s="8"/>
      <c r="H34" s="8">
        <f t="shared" ref="H34:H53" si="4">H33-F34-D34+B34</f>
        <v>29.417000000000002</v>
      </c>
      <c r="I34" s="8">
        <f t="shared" ref="I34:I53" si="5">I33-E34+C34</f>
        <v>55.417000000000002</v>
      </c>
      <c r="J34" s="8">
        <f t="shared" ref="J34:J70" si="6">SUM(H34:I34)</f>
        <v>84.834000000000003</v>
      </c>
    </row>
    <row r="35" spans="1:10" x14ac:dyDescent="0.25">
      <c r="A35" s="21" t="s">
        <v>48</v>
      </c>
      <c r="B35" s="8"/>
      <c r="C35" s="8"/>
      <c r="D35" s="8"/>
      <c r="E35" s="8"/>
      <c r="F35" s="8">
        <v>5</v>
      </c>
      <c r="G35" s="8"/>
      <c r="H35" s="8">
        <f t="shared" si="4"/>
        <v>24.417000000000002</v>
      </c>
      <c r="I35" s="8">
        <f t="shared" si="5"/>
        <v>55.417000000000002</v>
      </c>
      <c r="J35" s="8">
        <f t="shared" si="6"/>
        <v>79.834000000000003</v>
      </c>
    </row>
    <row r="36" spans="1:10" x14ac:dyDescent="0.25">
      <c r="A36" s="17" t="s">
        <v>49</v>
      </c>
      <c r="B36" s="8">
        <v>15</v>
      </c>
      <c r="C36" s="8">
        <v>15</v>
      </c>
      <c r="D36" s="8"/>
      <c r="E36" s="8"/>
      <c r="F36" s="8"/>
      <c r="G36" s="8"/>
      <c r="H36" s="8">
        <f t="shared" si="4"/>
        <v>39.417000000000002</v>
      </c>
      <c r="I36" s="8">
        <f t="shared" si="5"/>
        <v>70.417000000000002</v>
      </c>
      <c r="J36" s="8">
        <f t="shared" si="6"/>
        <v>109.834</v>
      </c>
    </row>
    <row r="37" spans="1:10" x14ac:dyDescent="0.25">
      <c r="A37" s="17" t="s">
        <v>50</v>
      </c>
      <c r="B37" s="8"/>
      <c r="C37" s="8"/>
      <c r="D37" s="8">
        <v>5</v>
      </c>
      <c r="E37" s="8"/>
      <c r="F37" s="8"/>
      <c r="G37" s="8"/>
      <c r="H37" s="8">
        <f t="shared" si="4"/>
        <v>34.417000000000002</v>
      </c>
      <c r="I37" s="8">
        <f t="shared" si="5"/>
        <v>70.417000000000002</v>
      </c>
      <c r="J37" s="8">
        <f t="shared" si="6"/>
        <v>104.834</v>
      </c>
    </row>
    <row r="38" spans="1:10" x14ac:dyDescent="0.25">
      <c r="A38" s="17" t="s">
        <v>20</v>
      </c>
      <c r="B38" s="8"/>
      <c r="C38" s="8"/>
      <c r="D38" s="8"/>
      <c r="E38" s="8"/>
      <c r="F38" s="8">
        <v>5</v>
      </c>
      <c r="G38" s="8"/>
      <c r="H38" s="8">
        <f t="shared" si="4"/>
        <v>29.417000000000002</v>
      </c>
      <c r="I38" s="8">
        <f t="shared" si="5"/>
        <v>70.417000000000002</v>
      </c>
      <c r="J38" s="8">
        <f t="shared" si="6"/>
        <v>99.834000000000003</v>
      </c>
    </row>
    <row r="39" spans="1:10" x14ac:dyDescent="0.25">
      <c r="A39" s="21" t="s">
        <v>51</v>
      </c>
      <c r="B39" s="8">
        <v>11.25</v>
      </c>
      <c r="C39" s="8">
        <v>11.25</v>
      </c>
      <c r="D39" s="8"/>
      <c r="E39" s="8"/>
      <c r="F39" s="8"/>
      <c r="G39" s="8"/>
      <c r="H39" s="8">
        <f t="shared" si="4"/>
        <v>40.667000000000002</v>
      </c>
      <c r="I39" s="8">
        <f t="shared" si="5"/>
        <v>81.667000000000002</v>
      </c>
      <c r="J39" s="8">
        <f t="shared" si="6"/>
        <v>122.334</v>
      </c>
    </row>
    <row r="40" spans="1:10" x14ac:dyDescent="0.25">
      <c r="A40" s="17" t="s">
        <v>21</v>
      </c>
      <c r="B40" s="8"/>
      <c r="C40" s="8"/>
      <c r="D40" s="8">
        <v>29</v>
      </c>
      <c r="E40" s="8"/>
      <c r="F40" s="8"/>
      <c r="G40" s="8"/>
      <c r="H40" s="8">
        <f t="shared" si="4"/>
        <v>11.667000000000002</v>
      </c>
      <c r="I40" s="8">
        <f t="shared" si="5"/>
        <v>81.667000000000002</v>
      </c>
      <c r="J40" s="8">
        <f t="shared" si="6"/>
        <v>93.334000000000003</v>
      </c>
    </row>
    <row r="41" spans="1:10" x14ac:dyDescent="0.25">
      <c r="A41" s="17" t="s">
        <v>52</v>
      </c>
      <c r="B41" s="8">
        <f>3*1.25</f>
        <v>3.75</v>
      </c>
      <c r="C41" s="8">
        <v>3.75</v>
      </c>
      <c r="D41" s="8"/>
      <c r="E41" s="8"/>
      <c r="F41" s="8"/>
      <c r="G41" s="8"/>
      <c r="H41" s="8">
        <f t="shared" si="4"/>
        <v>15.417000000000002</v>
      </c>
      <c r="I41" s="8">
        <f t="shared" si="5"/>
        <v>85.417000000000002</v>
      </c>
      <c r="J41" s="8">
        <f t="shared" si="6"/>
        <v>100.834</v>
      </c>
    </row>
    <row r="42" spans="1:10" x14ac:dyDescent="0.25">
      <c r="A42" s="17" t="s">
        <v>22</v>
      </c>
      <c r="B42" s="8"/>
      <c r="C42" s="8"/>
      <c r="D42" s="8"/>
      <c r="E42" s="8"/>
      <c r="F42" s="8">
        <v>5</v>
      </c>
      <c r="G42" s="8"/>
      <c r="H42" s="8">
        <f t="shared" si="4"/>
        <v>10.417000000000002</v>
      </c>
      <c r="I42" s="8">
        <f t="shared" si="5"/>
        <v>85.417000000000002</v>
      </c>
      <c r="J42" s="8">
        <f t="shared" si="6"/>
        <v>95.834000000000003</v>
      </c>
    </row>
    <row r="43" spans="1:10" x14ac:dyDescent="0.25">
      <c r="A43" s="17" t="s">
        <v>53</v>
      </c>
      <c r="B43" s="19">
        <f>1.25*5</f>
        <v>6.25</v>
      </c>
      <c r="C43" s="19">
        <v>6.25</v>
      </c>
      <c r="D43" s="10"/>
      <c r="E43" s="10"/>
      <c r="F43" s="10"/>
      <c r="G43" s="11"/>
      <c r="H43" s="8">
        <f t="shared" si="4"/>
        <v>16.667000000000002</v>
      </c>
      <c r="I43" s="8">
        <f t="shared" si="5"/>
        <v>91.667000000000002</v>
      </c>
      <c r="J43" s="8">
        <f t="shared" si="6"/>
        <v>108.334</v>
      </c>
    </row>
    <row r="44" spans="1:10" x14ac:dyDescent="0.25">
      <c r="A44" s="17" t="s">
        <v>54</v>
      </c>
      <c r="B44" s="8"/>
      <c r="C44" s="8"/>
      <c r="D44" s="8"/>
      <c r="E44" s="8"/>
      <c r="F44" s="8">
        <v>2</v>
      </c>
      <c r="G44" s="8"/>
      <c r="H44" s="8">
        <f t="shared" si="4"/>
        <v>14.667000000000002</v>
      </c>
      <c r="I44" s="8">
        <f t="shared" si="5"/>
        <v>91.667000000000002</v>
      </c>
      <c r="J44" s="8">
        <f t="shared" si="6"/>
        <v>106.334</v>
      </c>
    </row>
    <row r="45" spans="1:10" x14ac:dyDescent="0.25">
      <c r="A45" s="17" t="s">
        <v>55</v>
      </c>
      <c r="B45" s="8">
        <f>3*1.25</f>
        <v>3.75</v>
      </c>
      <c r="C45" s="8">
        <v>3.75</v>
      </c>
      <c r="D45" s="8"/>
      <c r="E45" s="8"/>
      <c r="F45" s="8"/>
      <c r="G45" s="8"/>
      <c r="H45" s="8">
        <f t="shared" si="4"/>
        <v>18.417000000000002</v>
      </c>
      <c r="I45" s="8">
        <f t="shared" si="5"/>
        <v>95.417000000000002</v>
      </c>
      <c r="J45" s="8">
        <f t="shared" si="6"/>
        <v>113.834</v>
      </c>
    </row>
    <row r="46" spans="1:10" x14ac:dyDescent="0.25">
      <c r="A46" s="17" t="s">
        <v>23</v>
      </c>
      <c r="B46" s="8"/>
      <c r="C46" s="8"/>
      <c r="D46" s="8">
        <v>10</v>
      </c>
      <c r="E46" s="8">
        <v>19</v>
      </c>
      <c r="F46" s="8"/>
      <c r="G46" s="8"/>
      <c r="H46" s="8">
        <f t="shared" si="4"/>
        <v>8.4170000000000016</v>
      </c>
      <c r="I46" s="8">
        <f t="shared" si="5"/>
        <v>76.417000000000002</v>
      </c>
      <c r="J46" s="8">
        <f t="shared" si="6"/>
        <v>84.834000000000003</v>
      </c>
    </row>
    <row r="47" spans="1:10" x14ac:dyDescent="0.25">
      <c r="A47" s="17" t="s">
        <v>56</v>
      </c>
      <c r="B47" s="8">
        <f>1.25*4</f>
        <v>5</v>
      </c>
      <c r="C47" s="8">
        <v>5</v>
      </c>
      <c r="D47" s="8"/>
      <c r="E47" s="8"/>
      <c r="F47" s="8"/>
      <c r="G47" s="8"/>
      <c r="H47" s="8">
        <f t="shared" si="4"/>
        <v>13.417000000000002</v>
      </c>
      <c r="I47" s="8">
        <f t="shared" si="5"/>
        <v>81.417000000000002</v>
      </c>
      <c r="J47" s="8">
        <f t="shared" si="6"/>
        <v>94.834000000000003</v>
      </c>
    </row>
    <row r="48" spans="1:10" x14ac:dyDescent="0.25">
      <c r="A48" s="17" t="s">
        <v>57</v>
      </c>
      <c r="B48" s="8"/>
      <c r="C48" s="8"/>
      <c r="D48" s="8"/>
      <c r="E48" s="8"/>
      <c r="F48" s="8"/>
      <c r="G48" s="8">
        <v>2</v>
      </c>
      <c r="H48" s="8">
        <f t="shared" si="4"/>
        <v>13.417000000000002</v>
      </c>
      <c r="I48" s="8">
        <f t="shared" si="5"/>
        <v>81.417000000000002</v>
      </c>
      <c r="J48" s="8">
        <f t="shared" si="6"/>
        <v>94.834000000000003</v>
      </c>
    </row>
    <row r="49" spans="1:10" x14ac:dyDescent="0.25">
      <c r="A49" s="17" t="s">
        <v>58</v>
      </c>
      <c r="B49" s="8"/>
      <c r="C49" s="8"/>
      <c r="D49" s="8"/>
      <c r="E49" s="8"/>
      <c r="F49" s="8">
        <v>2</v>
      </c>
      <c r="G49" s="8"/>
      <c r="H49" s="8">
        <f t="shared" si="4"/>
        <v>11.417000000000002</v>
      </c>
      <c r="I49" s="8">
        <f t="shared" si="5"/>
        <v>81.417000000000002</v>
      </c>
      <c r="J49" s="8">
        <f t="shared" si="6"/>
        <v>92.834000000000003</v>
      </c>
    </row>
    <row r="50" spans="1:10" x14ac:dyDescent="0.25">
      <c r="A50" s="17" t="s">
        <v>59</v>
      </c>
      <c r="B50" s="8"/>
      <c r="C50" s="8"/>
      <c r="D50" s="8"/>
      <c r="E50" s="8"/>
      <c r="F50" s="8">
        <v>1</v>
      </c>
      <c r="G50" s="8"/>
      <c r="H50" s="8">
        <f t="shared" si="4"/>
        <v>10.417000000000002</v>
      </c>
      <c r="I50" s="8">
        <f t="shared" si="5"/>
        <v>81.417000000000002</v>
      </c>
      <c r="J50" s="8">
        <f t="shared" si="6"/>
        <v>91.834000000000003</v>
      </c>
    </row>
    <row r="51" spans="1:10" x14ac:dyDescent="0.25">
      <c r="A51" s="17" t="s">
        <v>60</v>
      </c>
      <c r="B51" s="8"/>
      <c r="C51" s="8"/>
      <c r="D51" s="8"/>
      <c r="E51" s="8"/>
      <c r="F51" s="8">
        <v>2</v>
      </c>
      <c r="G51" s="8"/>
      <c r="H51" s="8">
        <f t="shared" si="4"/>
        <v>8.4170000000000016</v>
      </c>
      <c r="I51" s="8">
        <f t="shared" si="5"/>
        <v>81.417000000000002</v>
      </c>
      <c r="J51" s="8">
        <f t="shared" si="6"/>
        <v>89.834000000000003</v>
      </c>
    </row>
    <row r="52" spans="1:10" x14ac:dyDescent="0.25">
      <c r="A52" s="17" t="s">
        <v>61</v>
      </c>
      <c r="B52" s="8"/>
      <c r="C52" s="8"/>
      <c r="D52" s="8"/>
      <c r="E52" s="8"/>
      <c r="F52" s="8">
        <v>2</v>
      </c>
      <c r="G52" s="8"/>
      <c r="H52" s="8">
        <f t="shared" si="4"/>
        <v>6.4170000000000016</v>
      </c>
      <c r="I52" s="8">
        <f t="shared" si="5"/>
        <v>81.417000000000002</v>
      </c>
      <c r="J52" s="8">
        <f t="shared" si="6"/>
        <v>87.834000000000003</v>
      </c>
    </row>
    <row r="53" spans="1:10" x14ac:dyDescent="0.25">
      <c r="A53" s="17" t="s">
        <v>62</v>
      </c>
      <c r="B53" s="8">
        <v>1.25</v>
      </c>
      <c r="C53" s="8">
        <v>1.25</v>
      </c>
      <c r="D53" s="8"/>
      <c r="E53" s="8"/>
      <c r="F53" s="8"/>
      <c r="G53" s="8"/>
      <c r="H53" s="8">
        <f t="shared" si="4"/>
        <v>7.6670000000000016</v>
      </c>
      <c r="I53" s="8">
        <f t="shared" si="5"/>
        <v>82.667000000000002</v>
      </c>
      <c r="J53" s="8">
        <f t="shared" si="6"/>
        <v>90.334000000000003</v>
      </c>
    </row>
    <row r="54" spans="1:10" x14ac:dyDescent="0.25">
      <c r="A54" s="17" t="s">
        <v>63</v>
      </c>
      <c r="B54" s="8"/>
      <c r="C54" s="8"/>
      <c r="D54" s="8"/>
      <c r="E54" s="8"/>
      <c r="F54" s="8">
        <v>1</v>
      </c>
      <c r="G54" s="8"/>
      <c r="H54" s="8">
        <f>H53-F54-D54+B54</f>
        <v>6.6670000000000016</v>
      </c>
      <c r="I54" s="8">
        <f>I53-E54+C54</f>
        <v>82.667000000000002</v>
      </c>
      <c r="J54" s="8">
        <f t="shared" si="6"/>
        <v>89.334000000000003</v>
      </c>
    </row>
    <row r="55" spans="1:10" x14ac:dyDescent="0.25">
      <c r="A55" s="17" t="s">
        <v>64</v>
      </c>
      <c r="B55" s="8"/>
      <c r="C55" s="8"/>
      <c r="D55" s="8"/>
      <c r="E55" s="8"/>
      <c r="F55" s="8"/>
      <c r="G55" s="8">
        <v>2</v>
      </c>
      <c r="H55" s="8">
        <f t="shared" ref="H55:H70" si="7">H54-F55-D55+B55</f>
        <v>6.6670000000000016</v>
      </c>
      <c r="I55" s="8">
        <f t="shared" ref="I55:I70" si="8">I54-E55+C55</f>
        <v>82.667000000000002</v>
      </c>
      <c r="J55" s="8">
        <f t="shared" si="6"/>
        <v>89.334000000000003</v>
      </c>
    </row>
    <row r="56" spans="1:10" x14ac:dyDescent="0.25">
      <c r="A56" s="17" t="s">
        <v>65</v>
      </c>
      <c r="B56" s="8">
        <f>4*1.25</f>
        <v>5</v>
      </c>
      <c r="C56" s="8">
        <v>5</v>
      </c>
      <c r="D56" s="8"/>
      <c r="E56" s="8"/>
      <c r="F56" s="8"/>
      <c r="G56" s="8"/>
      <c r="H56" s="8">
        <f t="shared" si="7"/>
        <v>11.667000000000002</v>
      </c>
      <c r="I56" s="8">
        <f t="shared" si="8"/>
        <v>87.667000000000002</v>
      </c>
      <c r="J56" s="8">
        <f t="shared" si="6"/>
        <v>99.334000000000003</v>
      </c>
    </row>
    <row r="57" spans="1:10" x14ac:dyDescent="0.25">
      <c r="A57" s="17" t="s">
        <v>66</v>
      </c>
      <c r="B57" s="8"/>
      <c r="C57" s="8"/>
      <c r="D57" s="8"/>
      <c r="E57" s="8"/>
      <c r="F57" s="8"/>
      <c r="G57" s="8">
        <v>1</v>
      </c>
      <c r="H57" s="8">
        <f t="shared" si="7"/>
        <v>11.667000000000002</v>
      </c>
      <c r="I57" s="8">
        <f t="shared" si="8"/>
        <v>87.667000000000002</v>
      </c>
      <c r="J57" s="8">
        <f t="shared" si="6"/>
        <v>99.334000000000003</v>
      </c>
    </row>
    <row r="58" spans="1:10" x14ac:dyDescent="0.25">
      <c r="A58" s="17" t="s">
        <v>67</v>
      </c>
      <c r="B58" s="8">
        <f>1.25*3</f>
        <v>3.75</v>
      </c>
      <c r="C58" s="8">
        <v>3.75</v>
      </c>
      <c r="D58" s="8"/>
      <c r="E58" s="8"/>
      <c r="F58" s="8"/>
      <c r="G58" s="8"/>
      <c r="H58" s="8">
        <f t="shared" si="7"/>
        <v>15.417000000000002</v>
      </c>
      <c r="I58" s="8">
        <f t="shared" si="8"/>
        <v>91.417000000000002</v>
      </c>
      <c r="J58" s="8">
        <f t="shared" si="6"/>
        <v>106.834</v>
      </c>
    </row>
    <row r="59" spans="1:10" x14ac:dyDescent="0.25">
      <c r="A59" s="17" t="s">
        <v>24</v>
      </c>
      <c r="B59" s="8"/>
      <c r="C59" s="8"/>
      <c r="D59" s="8">
        <v>5</v>
      </c>
      <c r="E59" s="8">
        <v>24</v>
      </c>
      <c r="F59" s="8"/>
      <c r="G59" s="8"/>
      <c r="H59" s="8">
        <f t="shared" si="7"/>
        <v>10.417000000000002</v>
      </c>
      <c r="I59" s="8">
        <f t="shared" si="8"/>
        <v>67.417000000000002</v>
      </c>
      <c r="J59" s="8">
        <f t="shared" si="6"/>
        <v>77.834000000000003</v>
      </c>
    </row>
    <row r="60" spans="1:10" x14ac:dyDescent="0.25">
      <c r="A60" s="17" t="s">
        <v>68</v>
      </c>
      <c r="B60" s="8">
        <f>3*1.25</f>
        <v>3.75</v>
      </c>
      <c r="C60" s="8">
        <v>3.75</v>
      </c>
      <c r="D60" s="8"/>
      <c r="E60" s="8"/>
      <c r="F60" s="8"/>
      <c r="G60" s="8"/>
      <c r="H60" s="8">
        <f t="shared" si="7"/>
        <v>14.167000000000002</v>
      </c>
      <c r="I60" s="8">
        <f t="shared" si="8"/>
        <v>71.167000000000002</v>
      </c>
      <c r="J60" s="8">
        <f t="shared" si="6"/>
        <v>85.334000000000003</v>
      </c>
    </row>
    <row r="61" spans="1:10" x14ac:dyDescent="0.25">
      <c r="A61" s="17" t="s">
        <v>71</v>
      </c>
      <c r="B61" s="8"/>
      <c r="C61" s="8"/>
      <c r="D61" s="8">
        <v>1</v>
      </c>
      <c r="E61" s="8"/>
      <c r="F61" s="8"/>
      <c r="G61" s="8"/>
      <c r="H61" s="8">
        <f t="shared" si="7"/>
        <v>13.167000000000002</v>
      </c>
      <c r="I61" s="8">
        <f t="shared" si="8"/>
        <v>71.167000000000002</v>
      </c>
      <c r="J61" s="8">
        <f t="shared" si="6"/>
        <v>84.334000000000003</v>
      </c>
    </row>
    <row r="62" spans="1:10" x14ac:dyDescent="0.25">
      <c r="A62" s="17" t="s">
        <v>69</v>
      </c>
      <c r="B62" s="8">
        <v>1.25</v>
      </c>
      <c r="C62" s="8">
        <v>1.25</v>
      </c>
      <c r="D62" s="8"/>
      <c r="E62" s="8"/>
      <c r="F62" s="8"/>
      <c r="G62" s="8"/>
      <c r="H62" s="8">
        <f t="shared" si="7"/>
        <v>14.417000000000002</v>
      </c>
      <c r="I62" s="8">
        <f t="shared" si="8"/>
        <v>72.417000000000002</v>
      </c>
      <c r="J62" s="8">
        <f t="shared" si="6"/>
        <v>86.834000000000003</v>
      </c>
    </row>
    <row r="63" spans="1:10" x14ac:dyDescent="0.25">
      <c r="A63" s="17" t="s">
        <v>70</v>
      </c>
      <c r="B63" s="8"/>
      <c r="C63" s="8"/>
      <c r="D63" s="8"/>
      <c r="E63" s="8"/>
      <c r="F63" s="20">
        <v>2</v>
      </c>
      <c r="G63" s="8"/>
      <c r="H63" s="8">
        <f t="shared" si="7"/>
        <v>12.417000000000002</v>
      </c>
      <c r="I63" s="8">
        <f t="shared" si="8"/>
        <v>72.417000000000002</v>
      </c>
      <c r="J63" s="8">
        <f t="shared" si="6"/>
        <v>84.834000000000003</v>
      </c>
    </row>
    <row r="64" spans="1:10" x14ac:dyDescent="0.25">
      <c r="A64" s="17" t="s">
        <v>72</v>
      </c>
      <c r="B64" s="8">
        <v>2.5</v>
      </c>
      <c r="C64" s="8">
        <v>2.5</v>
      </c>
      <c r="D64" s="8"/>
      <c r="E64" s="8"/>
      <c r="F64" s="20"/>
      <c r="G64" s="8"/>
      <c r="H64" s="8">
        <f t="shared" si="7"/>
        <v>14.917000000000002</v>
      </c>
      <c r="I64" s="8">
        <f t="shared" si="8"/>
        <v>74.917000000000002</v>
      </c>
      <c r="J64" s="8">
        <f t="shared" si="6"/>
        <v>89.834000000000003</v>
      </c>
    </row>
    <row r="65" spans="1:10" x14ac:dyDescent="0.25">
      <c r="A65" s="17" t="s">
        <v>73</v>
      </c>
      <c r="B65" s="8"/>
      <c r="C65" s="8"/>
      <c r="D65" s="8"/>
      <c r="E65" s="8"/>
      <c r="F65" s="20">
        <v>2</v>
      </c>
      <c r="G65" s="8"/>
      <c r="H65" s="8">
        <f t="shared" si="7"/>
        <v>12.917000000000002</v>
      </c>
      <c r="I65" s="8">
        <f t="shared" si="8"/>
        <v>74.917000000000002</v>
      </c>
      <c r="J65" s="8">
        <f t="shared" si="6"/>
        <v>87.834000000000003</v>
      </c>
    </row>
    <row r="66" spans="1:10" x14ac:dyDescent="0.25">
      <c r="A66" s="17" t="s">
        <v>75</v>
      </c>
      <c r="B66" s="8">
        <v>5</v>
      </c>
      <c r="C66" s="8">
        <v>5</v>
      </c>
      <c r="D66" s="8"/>
      <c r="E66" s="8"/>
      <c r="F66" s="8"/>
      <c r="G66" s="8"/>
      <c r="H66" s="8">
        <f t="shared" si="7"/>
        <v>17.917000000000002</v>
      </c>
      <c r="I66" s="8">
        <f t="shared" si="8"/>
        <v>79.917000000000002</v>
      </c>
      <c r="J66" s="8">
        <f t="shared" si="6"/>
        <v>97.834000000000003</v>
      </c>
    </row>
    <row r="67" spans="1:10" x14ac:dyDescent="0.25">
      <c r="A67" s="17" t="s">
        <v>77</v>
      </c>
      <c r="B67" s="8"/>
      <c r="C67" s="8"/>
      <c r="D67" s="8"/>
      <c r="E67" s="8">
        <v>1</v>
      </c>
      <c r="F67" s="8"/>
      <c r="G67" s="8"/>
      <c r="H67" s="8">
        <f t="shared" si="7"/>
        <v>17.917000000000002</v>
      </c>
      <c r="I67" s="8">
        <f t="shared" si="8"/>
        <v>78.917000000000002</v>
      </c>
      <c r="J67" s="8">
        <f t="shared" si="6"/>
        <v>96.834000000000003</v>
      </c>
    </row>
    <row r="68" spans="1:10" x14ac:dyDescent="0.25">
      <c r="A68" s="17" t="s">
        <v>76</v>
      </c>
      <c r="B68" s="8"/>
      <c r="C68" s="8"/>
      <c r="D68" s="8"/>
      <c r="E68" s="8">
        <v>1</v>
      </c>
      <c r="F68" s="8"/>
      <c r="G68" s="8"/>
      <c r="H68" s="8">
        <f t="shared" si="7"/>
        <v>17.917000000000002</v>
      </c>
      <c r="I68" s="8">
        <f t="shared" si="8"/>
        <v>77.917000000000002</v>
      </c>
      <c r="J68" s="8">
        <f t="shared" si="6"/>
        <v>95.834000000000003</v>
      </c>
    </row>
    <row r="69" spans="1:10" x14ac:dyDescent="0.25">
      <c r="A69" s="17" t="s">
        <v>78</v>
      </c>
      <c r="B69" s="8">
        <v>1.25</v>
      </c>
      <c r="C69" s="8">
        <v>1.25</v>
      </c>
      <c r="D69" s="8"/>
      <c r="E69" s="8"/>
      <c r="F69" s="8"/>
      <c r="G69" s="8"/>
      <c r="H69" s="8">
        <f t="shared" si="7"/>
        <v>19.167000000000002</v>
      </c>
      <c r="I69" s="8">
        <f t="shared" si="8"/>
        <v>79.167000000000002</v>
      </c>
      <c r="J69" s="8">
        <f t="shared" si="6"/>
        <v>98.334000000000003</v>
      </c>
    </row>
    <row r="70" spans="1:10" x14ac:dyDescent="0.25">
      <c r="A70" s="17" t="s">
        <v>79</v>
      </c>
      <c r="B70" s="20"/>
      <c r="C70" s="20"/>
      <c r="D70" s="20">
        <v>13</v>
      </c>
      <c r="E70" s="20"/>
      <c r="F70" s="20"/>
      <c r="G70" s="20"/>
      <c r="H70" s="20">
        <f t="shared" si="7"/>
        <v>6.1670000000000016</v>
      </c>
      <c r="I70" s="20">
        <f t="shared" si="8"/>
        <v>79.167000000000002</v>
      </c>
      <c r="J70" s="20">
        <f t="shared" si="6"/>
        <v>85.334000000000003</v>
      </c>
    </row>
    <row r="71" spans="1:10" x14ac:dyDescent="0.25">
      <c r="A71" s="17" t="s">
        <v>80</v>
      </c>
      <c r="B71" s="20">
        <v>6.25</v>
      </c>
      <c r="C71" s="20">
        <v>6.25</v>
      </c>
      <c r="D71" s="20"/>
      <c r="E71" s="20"/>
      <c r="F71" s="20"/>
      <c r="G71" s="20"/>
      <c r="H71" s="20">
        <f t="shared" ref="H71:H74" si="9">H70-F71-D71+B71</f>
        <v>12.417000000000002</v>
      </c>
      <c r="I71" s="20">
        <f t="shared" ref="I71:I74" si="10">I70-E71+C71</f>
        <v>85.417000000000002</v>
      </c>
      <c r="J71" s="20">
        <f t="shared" ref="J71:J74" si="11">SUM(H71:I71)</f>
        <v>97.834000000000003</v>
      </c>
    </row>
    <row r="72" spans="1:10" x14ac:dyDescent="0.25">
      <c r="A72" s="17" t="s">
        <v>83</v>
      </c>
      <c r="B72" s="20"/>
      <c r="C72" s="20"/>
      <c r="D72" s="20"/>
      <c r="E72" s="20"/>
      <c r="F72" s="20">
        <v>1</v>
      </c>
      <c r="G72" s="20"/>
      <c r="H72" s="20">
        <f t="shared" si="9"/>
        <v>11.417000000000002</v>
      </c>
      <c r="I72" s="20">
        <f t="shared" si="10"/>
        <v>85.417000000000002</v>
      </c>
      <c r="J72" s="20">
        <f t="shared" si="11"/>
        <v>96.834000000000003</v>
      </c>
    </row>
    <row r="73" spans="1:10" x14ac:dyDescent="0.25">
      <c r="A73" s="17" t="s">
        <v>82</v>
      </c>
      <c r="B73" s="20">
        <v>1.25</v>
      </c>
      <c r="C73" s="20">
        <v>1.25</v>
      </c>
      <c r="D73" s="20"/>
      <c r="E73" s="20"/>
      <c r="F73" s="20"/>
      <c r="G73" s="20"/>
      <c r="H73" s="20">
        <f t="shared" si="9"/>
        <v>12.667000000000002</v>
      </c>
      <c r="I73" s="20">
        <f t="shared" si="10"/>
        <v>86.667000000000002</v>
      </c>
      <c r="J73" s="20">
        <f t="shared" si="11"/>
        <v>99.334000000000003</v>
      </c>
    </row>
    <row r="74" spans="1:10" x14ac:dyDescent="0.25">
      <c r="A74" s="17" t="s">
        <v>81</v>
      </c>
      <c r="B74" s="20"/>
      <c r="C74" s="20"/>
      <c r="D74" s="20"/>
      <c r="E74" s="20"/>
      <c r="F74" s="18">
        <v>3</v>
      </c>
      <c r="G74" s="20"/>
      <c r="H74" s="20">
        <f t="shared" si="9"/>
        <v>9.6670000000000016</v>
      </c>
      <c r="I74" s="20">
        <f t="shared" si="10"/>
        <v>86.667000000000002</v>
      </c>
      <c r="J74" s="20">
        <f t="shared" si="11"/>
        <v>96.334000000000003</v>
      </c>
    </row>
    <row r="75" spans="1:10" x14ac:dyDescent="0.25">
      <c r="A75" s="17" t="s">
        <v>84</v>
      </c>
      <c r="B75" s="20">
        <v>6.25</v>
      </c>
      <c r="C75" s="20">
        <v>6.25</v>
      </c>
      <c r="D75" s="20"/>
      <c r="E75" s="20"/>
      <c r="F75" s="20"/>
      <c r="G75" s="20"/>
      <c r="H75" s="20">
        <f t="shared" ref="H75:H76" si="12">H74-F75-D75+B75</f>
        <v>15.917000000000002</v>
      </c>
      <c r="I75" s="20">
        <f t="shared" ref="I75:I76" si="13">I74-E75+C75</f>
        <v>92.917000000000002</v>
      </c>
      <c r="J75" s="20">
        <f t="shared" ref="J75:J76" si="14">SUM(H75:I75)</f>
        <v>108.834</v>
      </c>
    </row>
    <row r="76" spans="1:10" x14ac:dyDescent="0.25">
      <c r="A76" s="17" t="s">
        <v>85</v>
      </c>
      <c r="B76" s="20"/>
      <c r="C76" s="20"/>
      <c r="D76" s="20">
        <v>10</v>
      </c>
      <c r="E76" s="20"/>
      <c r="F76" s="20"/>
      <c r="G76" s="20"/>
      <c r="H76" s="20">
        <f t="shared" si="12"/>
        <v>5.9170000000000016</v>
      </c>
      <c r="I76" s="20">
        <f t="shared" si="13"/>
        <v>92.917000000000002</v>
      </c>
      <c r="J76" s="20">
        <f t="shared" si="14"/>
        <v>98.834000000000003</v>
      </c>
    </row>
    <row r="77" spans="1:10" x14ac:dyDescent="0.25">
      <c r="A77" s="17" t="s">
        <v>87</v>
      </c>
      <c r="B77" s="20">
        <v>3.75</v>
      </c>
      <c r="C77" s="20">
        <v>3.75</v>
      </c>
      <c r="D77" s="20"/>
      <c r="E77" s="20"/>
      <c r="F77" s="20"/>
      <c r="G77" s="20"/>
      <c r="H77" s="20">
        <f t="shared" ref="H77:H78" si="15">H76-F77-D77+B77</f>
        <v>9.6670000000000016</v>
      </c>
      <c r="I77" s="20">
        <f t="shared" ref="I77:I78" si="16">I76-E77+C77</f>
        <v>96.667000000000002</v>
      </c>
      <c r="J77" s="20">
        <f t="shared" ref="J77:J78" si="17">SUM(H77:I77)</f>
        <v>106.334</v>
      </c>
    </row>
    <row r="78" spans="1:10" x14ac:dyDescent="0.25">
      <c r="A78" s="17" t="s">
        <v>88</v>
      </c>
      <c r="B78" s="20"/>
      <c r="C78" s="20"/>
      <c r="D78" s="20"/>
      <c r="E78" s="20"/>
      <c r="F78" s="18">
        <v>2</v>
      </c>
      <c r="G78" s="20"/>
      <c r="H78" s="20">
        <f t="shared" si="15"/>
        <v>7.6670000000000016</v>
      </c>
      <c r="I78" s="20">
        <f t="shared" si="16"/>
        <v>96.667000000000002</v>
      </c>
      <c r="J78" s="20">
        <f t="shared" si="17"/>
        <v>104.334</v>
      </c>
    </row>
    <row r="79" spans="1:10" x14ac:dyDescent="0.25">
      <c r="A79" s="38"/>
      <c r="B79" s="39"/>
      <c r="C79" s="39"/>
      <c r="D79" s="39"/>
      <c r="E79" s="39"/>
      <c r="F79" s="39"/>
      <c r="G79" s="39"/>
      <c r="H79" s="39"/>
      <c r="I79" s="39"/>
      <c r="J79" s="39"/>
    </row>
    <row r="80" spans="1:10" x14ac:dyDescent="0.25">
      <c r="A80" s="38"/>
      <c r="B80" s="39"/>
      <c r="C80" s="39"/>
      <c r="D80" s="39"/>
      <c r="E80" s="39"/>
      <c r="F80" s="39"/>
      <c r="G80" s="39"/>
      <c r="H80" s="39"/>
      <c r="I80" s="39"/>
      <c r="J80" s="39"/>
    </row>
    <row r="81" spans="1:11" x14ac:dyDescent="0.25">
      <c r="A81" s="15"/>
      <c r="B81" s="14"/>
      <c r="C81" s="14"/>
      <c r="D81" s="14"/>
      <c r="E81" s="14"/>
      <c r="F81" s="14"/>
      <c r="G81" s="14"/>
      <c r="H81" s="14"/>
      <c r="I81" s="14"/>
      <c r="J81" s="14"/>
    </row>
    <row r="82" spans="1:11" x14ac:dyDescent="0.25">
      <c r="A82" s="15"/>
      <c r="B82" s="14"/>
      <c r="C82" s="14"/>
      <c r="D82" s="14"/>
      <c r="E82" s="14"/>
      <c r="F82" s="14"/>
      <c r="G82" s="14" t="s">
        <v>74</v>
      </c>
      <c r="H82" s="14"/>
      <c r="I82" s="14"/>
      <c r="J82" s="14"/>
    </row>
    <row r="83" spans="1:11" x14ac:dyDescent="0.25">
      <c r="B83" s="12"/>
      <c r="C83" s="12"/>
      <c r="D83" s="12"/>
      <c r="E83" s="12"/>
      <c r="F83" s="12"/>
      <c r="G83" s="12"/>
      <c r="H83" s="12"/>
      <c r="I83" s="12"/>
      <c r="J83" s="12"/>
      <c r="K83" s="12"/>
    </row>
    <row r="84" spans="1:11" x14ac:dyDescent="0.25">
      <c r="B84" s="12"/>
      <c r="C84" s="12"/>
      <c r="D84" s="12"/>
      <c r="E84" s="12"/>
      <c r="F84" s="12"/>
      <c r="G84" s="12"/>
      <c r="H84" s="16" t="s">
        <v>25</v>
      </c>
      <c r="I84" s="12"/>
      <c r="J84" s="12"/>
      <c r="K84" s="12"/>
    </row>
    <row r="85" spans="1:11" x14ac:dyDescent="0.25">
      <c r="B85" s="1"/>
      <c r="C85" s="1"/>
      <c r="D85" s="1"/>
      <c r="E85" s="1"/>
      <c r="F85" s="1"/>
      <c r="G85" s="1"/>
      <c r="H85" s="13" t="s">
        <v>26</v>
      </c>
      <c r="I85" s="1"/>
      <c r="J85" s="1"/>
      <c r="K85" s="1"/>
    </row>
    <row r="86" spans="1:11" x14ac:dyDescent="0.25">
      <c r="H86" s="13" t="s">
        <v>27</v>
      </c>
    </row>
  </sheetData>
  <mergeCells count="14">
    <mergeCell ref="B11:D11"/>
    <mergeCell ref="A4:J4"/>
    <mergeCell ref="A5:J5"/>
    <mergeCell ref="A6:J6"/>
    <mergeCell ref="A7:J7"/>
    <mergeCell ref="B9:D9"/>
    <mergeCell ref="K13:K14"/>
    <mergeCell ref="A15:J15"/>
    <mergeCell ref="A12:J12"/>
    <mergeCell ref="A13:A14"/>
    <mergeCell ref="B13:C13"/>
    <mergeCell ref="D13:G13"/>
    <mergeCell ref="H13:I13"/>
    <mergeCell ref="J13:J14"/>
  </mergeCells>
  <printOptions horizontalCentered="1"/>
  <pageMargins left="0.70866141732283472" right="0.70866141732283472" top="0.15748031496062992" bottom="0.15748031496062992" header="0.31496062992125984" footer="0.31496062992125984"/>
  <pageSetup paperSize="9" scale="56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2025-10-29T07:22:08Z</cp:lastPrinted>
  <dcterms:created xsi:type="dcterms:W3CDTF">2023-10-03T07:25:16Z</dcterms:created>
  <dcterms:modified xsi:type="dcterms:W3CDTF">2025-10-29T07:23:00Z</dcterms:modified>
</cp:coreProperties>
</file>