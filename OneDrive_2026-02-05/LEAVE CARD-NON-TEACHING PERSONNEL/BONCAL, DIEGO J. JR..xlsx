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5C64A68-9EF9-4C22-8114-73573877A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CTO (2)" sheetId="14" r:id="rId3"/>
    <sheet name="Leave Card (NE) (2)" sheetId="16" r:id="rId4"/>
    <sheet name="CTO" sheetId="15" r:id="rId5"/>
  </sheets>
  <definedNames>
    <definedName name="_xlnm.Print_Area" localSheetId="4">CTO!$A$1:$L$24</definedName>
    <definedName name="_xlnm.Print_Area" localSheetId="2">'CTO (2)'!$A$1:$L$21</definedName>
    <definedName name="_xlnm.Print_Area" localSheetId="1">'Election &amp; NLC'!$A$1:$G$23</definedName>
    <definedName name="_xlnm.Print_Area" localSheetId="3">'Leave Card (NE) (2)'!$A$1:$G$20</definedName>
    <definedName name="_xlnm.Print_Area" localSheetId="0">'Leave Card as TIC'!$A$1:$J$45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2" l="1"/>
  <c r="J32" i="12" s="1"/>
  <c r="I32" i="12"/>
  <c r="I33" i="12" s="1"/>
  <c r="G12" i="16"/>
  <c r="G14" i="16"/>
  <c r="J15" i="15"/>
  <c r="I14" i="12"/>
  <c r="I15" i="12" s="1"/>
  <c r="I16" i="12" s="1"/>
  <c r="I17" i="12" s="1"/>
  <c r="H14" i="12"/>
  <c r="H33" i="12" l="1"/>
  <c r="J33" i="12" s="1"/>
  <c r="I18" i="12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J14" i="12"/>
  <c r="H15" i="12"/>
  <c r="H16" i="12" s="1"/>
  <c r="J16" i="12" l="1"/>
  <c r="H17" i="12"/>
  <c r="J15" i="12"/>
  <c r="H18" i="12" l="1"/>
  <c r="J17" i="12"/>
  <c r="H19" i="12" l="1"/>
  <c r="H20" i="12" s="1"/>
  <c r="J18" i="12"/>
  <c r="J20" i="12" l="1"/>
  <c r="H21" i="12"/>
  <c r="J19" i="12"/>
  <c r="J21" i="12" l="1"/>
  <c r="H22" i="12"/>
  <c r="H23" i="12" l="1"/>
  <c r="J22" i="12"/>
  <c r="J23" i="12" l="1"/>
  <c r="H24" i="12"/>
  <c r="H25" i="12" s="1"/>
  <c r="H26" i="12" l="1"/>
  <c r="J25" i="12"/>
  <c r="J24" i="12"/>
  <c r="J26" i="12" l="1"/>
  <c r="H27" i="12"/>
  <c r="H28" i="12" l="1"/>
  <c r="J27" i="12"/>
  <c r="J28" i="12" l="1"/>
  <c r="H29" i="12"/>
  <c r="J29" i="12" l="1"/>
  <c r="H30" i="12"/>
  <c r="H31" i="12" l="1"/>
  <c r="J31" i="12" s="1"/>
  <c r="J30" i="12"/>
</calcChain>
</file>

<file path=xl/sharedStrings.xml><?xml version="1.0" encoding="utf-8"?>
<sst xmlns="http://schemas.openxmlformats.org/spreadsheetml/2006/main" count="162" uniqueCount="112">
  <si>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</si>
  <si>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</si>
  <si>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</si>
  <si>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</si>
  <si>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</si>
  <si>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</si>
  <si>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</si>
  <si>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</si>
  <si>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</si>
  <si>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</si>
  <si>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</si>
  <si>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</si>
  <si>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</si>
  <si>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</si>
  <si>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</si>
  <si>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</si>
  <si>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</si>
  <si>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POSITION   : TEACHER III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</si>
  <si>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</si>
  <si>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</si>
  <si>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</si>
  <si>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</si>
  <si>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</si>
  <si>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</si>
  <si>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</si>
  <si>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</si>
  <si>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</si>
  <si>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</si>
  <si>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</si>
  <si>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</si>
  <si>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</si>
  <si>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</si>
  <si>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</si>
  <si>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</si>
  <si>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</si>
  <si>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>ADD: 08/1-31/2024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</si>
  <si>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</si>
  <si>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</si>
  <si>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</si>
  <si>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</si>
  <si>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</si>
  <si>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</si>
  <si>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NO.</t>
  </si>
  <si>
    <t>DATE RELEASED:</t>
  </si>
  <si>
    <t>NATIONAL LEARNING CAMP/NATIONAL &amp; LOCAL ELECTION</t>
  </si>
  <si>
    <t>DEPED ACTIVITIES 2024-2025</t>
  </si>
  <si>
    <t>SO # 029, S. 2024</t>
  </si>
  <si>
    <t>SEPT. 24, 2024</t>
  </si>
  <si>
    <t>NLC 2024</t>
  </si>
  <si>
    <t>NAME         : BONCAL, DIEGO</t>
  </si>
  <si>
    <t>SCHOOL/OFFICE : BINOTUSAN ES</t>
  </si>
  <si>
    <t>ADD: 10/11/2023</t>
  </si>
  <si>
    <t>SO# 110,S.2023 BRIGADA ESKWELA &amp; OBE 2023</t>
  </si>
  <si>
    <t>LESS: 06/5-7/2024</t>
  </si>
  <si>
    <t>LESS: 09/20/2024</t>
  </si>
  <si>
    <t>SO# 110,S.2023</t>
  </si>
  <si>
    <t>OCT. 11, 2023</t>
  </si>
  <si>
    <t>BRIGADA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</si>
  <si>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BONCAL, DIEGO</t>
    </r>
  </si>
  <si>
    <t>S.O. # 054, S. 2022. MAPPING OF SCHOOL AGE POPULATION FOR THREE YEAR PLANNING</t>
  </si>
  <si>
    <t>LESS: FEBRUARY 27, 2023</t>
  </si>
  <si>
    <t>LESS: DECEMBER 07, 2022</t>
  </si>
  <si>
    <t>LESS: NOVEMBER 29, 2022</t>
  </si>
  <si>
    <t>LESS: NOVEMBER 18, 2022</t>
  </si>
  <si>
    <t>ADD: JULY 25, 2022</t>
  </si>
  <si>
    <t>SCHOOL/OFFICE : CAYHAGAN ES</t>
  </si>
  <si>
    <t>HRMO</t>
  </si>
  <si>
    <t>Administrative Officer IV</t>
  </si>
  <si>
    <t>MA. LUISA B. CATIGAN</t>
  </si>
  <si>
    <t>CERTIFIED CORRECT:</t>
  </si>
  <si>
    <t>Total Remaining Balance</t>
  </si>
  <si>
    <t>NOTE: VALIDITY OF S.O. IS ONE (1) YEAR FROM THE DATE IT WAS GRANTED (SEPTEMBER 30, 2022)</t>
  </si>
  <si>
    <t>2021 BRIGADA ESKWELA</t>
  </si>
  <si>
    <t>100 S. 2021 DATED August 3 - September 30, 2021</t>
  </si>
  <si>
    <t>JUNE 23 &amp; 24, 2022</t>
  </si>
  <si>
    <t># OF DAYS UTILIZED</t>
  </si>
  <si>
    <t># OF DAYS GRANTED</t>
  </si>
  <si>
    <t>DETAILS</t>
  </si>
  <si>
    <t>SPECIAL ORDER NUMBER</t>
  </si>
  <si>
    <t>DATE</t>
  </si>
  <si>
    <t>SPECIAL ORDER LEAVE CREDITS</t>
  </si>
  <si>
    <t>CAYHAGAN</t>
  </si>
  <si>
    <t>TEACHER 1</t>
  </si>
  <si>
    <t>POSITION:</t>
  </si>
  <si>
    <t xml:space="preserve">BONCAL, DIEGO </t>
  </si>
  <si>
    <t>Name       :</t>
  </si>
  <si>
    <t>SO # 051, S. 2022</t>
  </si>
  <si>
    <t>MAY 9, 2022 ELECTION</t>
  </si>
  <si>
    <t>SO # 010, S. 2024</t>
  </si>
  <si>
    <t>04/30/2024</t>
  </si>
  <si>
    <t>OCT. 30, 2023, ELECTION</t>
  </si>
  <si>
    <t>SO # 076, S. 2024</t>
  </si>
  <si>
    <t>NOV. 11, 2024</t>
  </si>
  <si>
    <t>38 DAYS-CONVERTED</t>
  </si>
  <si>
    <r>
      <t xml:space="preserve">ADD: UNUSED VSC </t>
    </r>
    <r>
      <rPr>
        <b/>
        <sz val="11"/>
        <color rgb="FF0070C0"/>
        <rFont val="Calibri"/>
        <family val="2"/>
        <scheme val="minor"/>
      </rPr>
      <t>38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DAYS: </t>
    </r>
    <r>
      <rPr>
        <b/>
        <sz val="11"/>
        <color theme="1"/>
        <rFont val="Calibri"/>
        <family val="2"/>
        <scheme val="minor"/>
      </rPr>
      <t xml:space="preserve">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</si>
  <si>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ADD: 09/1/2024-10/31/2024</t>
  </si>
  <si>
    <t>UNUSED VSC EARNED (TEACHING)</t>
  </si>
  <si>
    <t>LESS: 11/14/2024</t>
  </si>
  <si>
    <t>LESS: 11/22/2024</t>
  </si>
  <si>
    <t>ADD: 11/1-30/2024</t>
  </si>
  <si>
    <t>LESS: 12/2-4/2024</t>
  </si>
  <si>
    <t>LESS: 12/5-6/2024</t>
  </si>
  <si>
    <t>ADD: 12/1-31/2024</t>
  </si>
  <si>
    <t>LESS: 01/6/2025</t>
  </si>
  <si>
    <t>ADD: 01/1-31/2025</t>
  </si>
  <si>
    <t>LESS: 02/14/2025</t>
  </si>
  <si>
    <t>LESS: 03/24/2025</t>
  </si>
  <si>
    <t>ADD: 02/1-28/2025</t>
  </si>
  <si>
    <t>ADD: 03/1/2025-06/30/2025</t>
  </si>
  <si>
    <t>LESS: MONETIZATION 2025</t>
  </si>
  <si>
    <t>ADD: 07/1/2025-11/30/2025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</si>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</sst>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0" fillId="0" borderId="0"/>
  </cellStyleXfs>
  <cellXfs count="204">
    <xf numFmtId="0" fontId="0" fillId="0" borderId="0" xfId="0"/>
    <xf numFmtId="0" fontId="12" fillId="2" borderId="0" xfId="2" applyFill="1"/>
    <xf numFmtId="0" fontId="16" fillId="2" borderId="0" xfId="2" applyFont="1" applyFill="1" applyAlignment="1">
      <alignment vertical="center"/>
    </xf>
    <xf numFmtId="0" fontId="16" fillId="2" borderId="16" xfId="2" applyFont="1" applyFill="1" applyBorder="1" applyAlignment="1">
      <alignment horizontal="center" vertical="center"/>
    </xf>
    <xf numFmtId="0" fontId="16" fillId="2" borderId="0" xfId="2" applyFont="1" applyFill="1"/>
    <xf numFmtId="0" fontId="16" fillId="2" borderId="16" xfId="2" applyFont="1" applyFill="1" applyBorder="1" applyAlignment="1">
      <alignment vertical="center"/>
    </xf>
    <xf numFmtId="0" fontId="12" fillId="0" borderId="0" xfId="2"/>
    <xf numFmtId="0" fontId="16" fillId="2" borderId="18" xfId="2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2" fillId="2" borderId="4" xfId="2" applyFill="1" applyBorder="1" applyAlignment="1">
      <alignment horizontal="center" vertical="center" wrapText="1"/>
    </xf>
    <xf numFmtId="0" fontId="12" fillId="2" borderId="5" xfId="2" applyFill="1" applyBorder="1" applyAlignment="1">
      <alignment horizontal="center" vertical="center"/>
    </xf>
    <xf numFmtId="0" fontId="12" fillId="2" borderId="5" xfId="2" applyFill="1" applyBorder="1" applyAlignment="1">
      <alignment horizontal="center" vertical="center" wrapText="1"/>
    </xf>
    <xf numFmtId="164" fontId="12" fillId="2" borderId="5" xfId="2" applyNumberFormat="1" applyFill="1" applyBorder="1" applyAlignment="1">
      <alignment horizontal="center" vertical="center"/>
    </xf>
    <xf numFmtId="164" fontId="12" fillId="2" borderId="11" xfId="2" applyNumberFormat="1" applyFill="1" applyBorder="1" applyAlignment="1">
      <alignment horizontal="center" vertical="center"/>
    </xf>
    <xf numFmtId="0" fontId="22" fillId="0" borderId="0" xfId="2" applyFont="1"/>
    <xf numFmtId="0" fontId="12" fillId="2" borderId="15" xfId="2" applyFill="1" applyBorder="1" applyAlignment="1">
      <alignment horizontal="center" vertical="center" wrapText="1"/>
    </xf>
    <xf numFmtId="0" fontId="12" fillId="2" borderId="15" xfId="2" applyFill="1" applyBorder="1" applyAlignment="1">
      <alignment horizontal="center" vertical="center"/>
    </xf>
    <xf numFmtId="164" fontId="12" fillId="2" borderId="15" xfId="2" applyNumberFormat="1" applyFill="1" applyBorder="1" applyAlignment="1">
      <alignment horizontal="center" vertical="center"/>
    </xf>
    <xf numFmtId="164" fontId="12" fillId="2" borderId="12" xfId="2" applyNumberFormat="1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164" fontId="12" fillId="2" borderId="0" xfId="2" applyNumberFormat="1" applyFill="1" applyAlignment="1">
      <alignment horizontal="center" vertical="center"/>
    </xf>
    <xf numFmtId="0" fontId="11" fillId="2" borderId="0" xfId="3" applyFill="1"/>
    <xf numFmtId="0" fontId="11" fillId="2" borderId="0" xfId="3" applyFill="1" applyAlignment="1">
      <alignment horizontal="center"/>
    </xf>
    <xf numFmtId="0" fontId="23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16" fillId="2" borderId="0" xfId="3" applyFont="1" applyFill="1" applyAlignment="1">
      <alignment vertical="center"/>
    </xf>
    <xf numFmtId="0" fontId="25" fillId="2" borderId="0" xfId="3" applyFont="1" applyFill="1"/>
    <xf numFmtId="0" fontId="16" fillId="2" borderId="0" xfId="3" applyFont="1" applyFill="1"/>
    <xf numFmtId="0" fontId="16" fillId="2" borderId="0" xfId="3" applyFont="1" applyFill="1" applyAlignment="1">
      <alignment horizontal="left"/>
    </xf>
    <xf numFmtId="0" fontId="11" fillId="0" borderId="0" xfId="3"/>
    <xf numFmtId="0" fontId="18" fillId="5" borderId="19" xfId="3" applyFont="1" applyFill="1" applyBorder="1" applyAlignment="1">
      <alignment horizontal="center" vertical="center" wrapText="1"/>
    </xf>
    <xf numFmtId="0" fontId="18" fillId="5" borderId="19" xfId="3" applyFont="1" applyFill="1" applyBorder="1" applyAlignment="1">
      <alignment horizontal="center" vertical="center"/>
    </xf>
    <xf numFmtId="0" fontId="19" fillId="6" borderId="22" xfId="3" applyFont="1" applyFill="1" applyBorder="1" applyAlignment="1">
      <alignment horizontal="center" vertical="center" wrapText="1"/>
    </xf>
    <xf numFmtId="0" fontId="18" fillId="5" borderId="23" xfId="3" applyFont="1" applyFill="1" applyBorder="1" applyAlignment="1">
      <alignment horizontal="center" vertical="center"/>
    </xf>
    <xf numFmtId="0" fontId="14" fillId="0" borderId="0" xfId="3" applyFont="1"/>
    <xf numFmtId="0" fontId="11" fillId="2" borderId="4" xfId="4" applyFill="1" applyBorder="1" applyAlignment="1">
      <alignment horizontal="center" vertical="center" wrapText="1"/>
    </xf>
    <xf numFmtId="0" fontId="11" fillId="2" borderId="5" xfId="4" applyFill="1" applyBorder="1" applyAlignment="1">
      <alignment horizontal="center" vertical="center"/>
    </xf>
    <xf numFmtId="0" fontId="19" fillId="2" borderId="15" xfId="4" applyFont="1" applyFill="1" applyBorder="1" applyAlignment="1">
      <alignment vertical="center" wrapText="1"/>
    </xf>
    <xf numFmtId="0" fontId="26" fillId="2" borderId="24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6" fillId="2" borderId="6" xfId="3" applyFont="1" applyFill="1" applyBorder="1" applyAlignment="1">
      <alignment horizontal="center" vertical="center" wrapText="1"/>
    </xf>
    <xf numFmtId="0" fontId="15" fillId="0" borderId="0" xfId="3" applyFont="1"/>
    <xf numFmtId="0" fontId="23" fillId="2" borderId="12" xfId="3" applyFont="1" applyFill="1" applyBorder="1" applyAlignment="1">
      <alignment horizontal="center" vertical="center" wrapText="1"/>
    </xf>
    <xf numFmtId="0" fontId="27" fillId="2" borderId="12" xfId="3" applyFont="1" applyFill="1" applyBorder="1" applyAlignment="1">
      <alignment horizontal="center" vertical="center" wrapText="1"/>
    </xf>
    <xf numFmtId="0" fontId="15" fillId="2" borderId="0" xfId="3" applyFont="1" applyFill="1" applyAlignment="1">
      <alignment horizontal="center" vertical="center"/>
    </xf>
    <xf numFmtId="0" fontId="11" fillId="3" borderId="0" xfId="3" applyFill="1"/>
    <xf numFmtId="0" fontId="11" fillId="4" borderId="0" xfId="3" applyFill="1"/>
    <xf numFmtId="0" fontId="11" fillId="2" borderId="4" xfId="2" applyFont="1" applyFill="1" applyBorder="1" applyAlignment="1">
      <alignment horizontal="center" vertical="center" wrapText="1"/>
    </xf>
    <xf numFmtId="0" fontId="11" fillId="2" borderId="15" xfId="4" applyFill="1" applyBorder="1" applyAlignment="1">
      <alignment horizontal="center" vertical="center" wrapText="1"/>
    </xf>
    <xf numFmtId="0" fontId="16" fillId="2" borderId="0" xfId="3" applyFont="1" applyFill="1" applyAlignment="1">
      <alignment horizontal="center" wrapText="1"/>
    </xf>
    <xf numFmtId="0" fontId="16" fillId="2" borderId="0" xfId="3" applyFont="1" applyFill="1" applyAlignment="1">
      <alignment wrapText="1"/>
    </xf>
    <xf numFmtId="0" fontId="16" fillId="2" borderId="0" xfId="3" applyFont="1" applyFill="1" applyAlignment="1">
      <alignment horizontal="center"/>
    </xf>
    <xf numFmtId="0" fontId="11" fillId="0" borderId="4" xfId="3" applyBorder="1" applyAlignment="1">
      <alignment horizontal="center" vertical="center"/>
    </xf>
    <xf numFmtId="0" fontId="11" fillId="0" borderId="12" xfId="3" applyBorder="1" applyAlignment="1">
      <alignment horizontal="center" vertical="center" wrapText="1"/>
    </xf>
    <xf numFmtId="0" fontId="11" fillId="0" borderId="4" xfId="3" applyBorder="1" applyAlignment="1">
      <alignment horizontal="center" vertical="center" wrapText="1"/>
    </xf>
    <xf numFmtId="0" fontId="11" fillId="0" borderId="15" xfId="3" applyBorder="1" applyAlignment="1">
      <alignment horizontal="center" vertical="center" wrapText="1"/>
    </xf>
    <xf numFmtId="0" fontId="11" fillId="0" borderId="0" xfId="3" applyAlignment="1">
      <alignment vertical="center"/>
    </xf>
    <xf numFmtId="0" fontId="19" fillId="2" borderId="0" xfId="3" applyFont="1" applyFill="1" applyAlignment="1">
      <alignment horizontal="center" vertical="center" wrapText="1"/>
    </xf>
    <xf numFmtId="0" fontId="11" fillId="2" borderId="0" xfId="3" applyFill="1" applyAlignment="1">
      <alignment horizontal="center" vertical="center" wrapText="1"/>
    </xf>
    <xf numFmtId="0" fontId="11" fillId="12" borderId="0" xfId="3" applyFill="1"/>
    <xf numFmtId="0" fontId="11" fillId="0" borderId="0" xfId="3" applyAlignment="1">
      <alignment horizontal="center"/>
    </xf>
    <xf numFmtId="0" fontId="11" fillId="13" borderId="0" xfId="3" applyFill="1"/>
    <xf numFmtId="0" fontId="19" fillId="2" borderId="5" xfId="4" applyFont="1" applyFill="1" applyBorder="1" applyAlignment="1">
      <alignment vertical="center" wrapText="1"/>
    </xf>
    <xf numFmtId="0" fontId="19" fillId="2" borderId="5" xfId="4" applyFont="1" applyFill="1" applyBorder="1" applyAlignment="1">
      <alignment horizontal="center" vertical="center" wrapText="1"/>
    </xf>
    <xf numFmtId="0" fontId="10" fillId="0" borderId="0" xfId="5"/>
    <xf numFmtId="0" fontId="10" fillId="13" borderId="0" xfId="5" applyFill="1"/>
    <xf numFmtId="0" fontId="10" fillId="4" borderId="0" xfId="5" applyFill="1"/>
    <xf numFmtId="0" fontId="10" fillId="12" borderId="0" xfId="5" applyFill="1"/>
    <xf numFmtId="0" fontId="10" fillId="0" borderId="0" xfId="5" applyAlignment="1">
      <alignment horizontal="center"/>
    </xf>
    <xf numFmtId="0" fontId="10" fillId="2" borderId="0" xfId="5" applyFill="1"/>
    <xf numFmtId="0" fontId="10" fillId="2" borderId="0" xfId="5" applyFill="1" applyAlignment="1">
      <alignment horizontal="center"/>
    </xf>
    <xf numFmtId="0" fontId="15" fillId="0" borderId="0" xfId="5" applyFont="1"/>
    <xf numFmtId="0" fontId="10" fillId="2" borderId="0" xfId="5" applyFill="1" applyAlignment="1">
      <alignment horizontal="center" vertical="center" wrapText="1"/>
    </xf>
    <xf numFmtId="0" fontId="19" fillId="2" borderId="0" xfId="5" applyFont="1" applyFill="1" applyAlignment="1">
      <alignment horizontal="center" vertical="center" wrapText="1"/>
    </xf>
    <xf numFmtId="0" fontId="10" fillId="0" borderId="0" xfId="5" applyAlignment="1">
      <alignment vertical="center"/>
    </xf>
    <xf numFmtId="0" fontId="10" fillId="14" borderId="0" xfId="5" applyFill="1" applyAlignment="1">
      <alignment horizontal="center" vertical="center" wrapText="1"/>
    </xf>
    <xf numFmtId="0" fontId="10" fillId="14" borderId="15" xfId="5" applyFill="1" applyBorder="1" applyAlignment="1">
      <alignment horizontal="center" vertical="center" wrapText="1"/>
    </xf>
    <xf numFmtId="0" fontId="10" fillId="2" borderId="15" xfId="5" applyFill="1" applyBorder="1" applyAlignment="1">
      <alignment horizontal="center" vertical="center" wrapText="1"/>
    </xf>
    <xf numFmtId="0" fontId="10" fillId="2" borderId="12" xfId="5" applyFill="1" applyBorder="1" applyAlignment="1">
      <alignment horizontal="center" vertical="center" wrapText="1"/>
    </xf>
    <xf numFmtId="0" fontId="10" fillId="2" borderId="4" xfId="5" applyFill="1" applyBorder="1" applyAlignment="1">
      <alignment horizontal="center" vertical="center" wrapText="1"/>
    </xf>
    <xf numFmtId="0" fontId="19" fillId="2" borderId="8" xfId="5" applyFont="1" applyFill="1" applyBorder="1" applyAlignment="1">
      <alignment vertical="center" wrapText="1"/>
    </xf>
    <xf numFmtId="0" fontId="19" fillId="2" borderId="6" xfId="5" applyFont="1" applyFill="1" applyBorder="1" applyAlignment="1">
      <alignment vertical="center" wrapText="1"/>
    </xf>
    <xf numFmtId="0" fontId="14" fillId="0" borderId="0" xfId="5" applyFont="1"/>
    <xf numFmtId="0" fontId="10" fillId="2" borderId="4" xfId="5" applyFill="1" applyBorder="1" applyAlignment="1">
      <alignment horizontal="center" vertical="center"/>
    </xf>
    <xf numFmtId="0" fontId="16" fillId="2" borderId="0" xfId="5" applyFont="1" applyFill="1" applyAlignment="1">
      <alignment vertical="center"/>
    </xf>
    <xf numFmtId="0" fontId="16" fillId="2" borderId="0" xfId="5" applyFont="1" applyFill="1"/>
    <xf numFmtId="0" fontId="16" fillId="2" borderId="0" xfId="5" applyFont="1" applyFill="1" applyAlignment="1">
      <alignment horizontal="center"/>
    </xf>
    <xf numFmtId="0" fontId="16" fillId="2" borderId="0" xfId="5" applyFont="1" applyFill="1" applyAlignment="1">
      <alignment wrapText="1"/>
    </xf>
    <xf numFmtId="0" fontId="16" fillId="2" borderId="0" xfId="5" applyFont="1" applyFill="1" applyAlignment="1">
      <alignment horizontal="center" wrapText="1"/>
    </xf>
    <xf numFmtId="0" fontId="25" fillId="2" borderId="0" xfId="5" applyFont="1" applyFill="1" applyAlignment="1">
      <alignment horizontal="center" vertical="center"/>
    </xf>
    <xf numFmtId="0" fontId="28" fillId="0" borderId="0" xfId="5" applyFont="1" applyAlignment="1">
      <alignment vertical="center"/>
    </xf>
    <xf numFmtId="1" fontId="28" fillId="2" borderId="26" xfId="5" applyNumberFormat="1" applyFont="1" applyFill="1" applyBorder="1" applyAlignment="1">
      <alignment horizontal="center" vertical="center"/>
    </xf>
    <xf numFmtId="1" fontId="25" fillId="2" borderId="30" xfId="5" applyNumberFormat="1" applyFont="1" applyFill="1" applyBorder="1" applyAlignment="1">
      <alignment horizontal="center" vertical="center"/>
    </xf>
    <xf numFmtId="1" fontId="25" fillId="2" borderId="12" xfId="5" applyNumberFormat="1" applyFont="1" applyFill="1" applyBorder="1" applyAlignment="1">
      <alignment horizontal="center" vertical="center"/>
    </xf>
    <xf numFmtId="1" fontId="25" fillId="2" borderId="15" xfId="5" applyNumberFormat="1" applyFont="1" applyFill="1" applyBorder="1" applyAlignment="1">
      <alignment horizontal="center" vertical="center"/>
    </xf>
    <xf numFmtId="1" fontId="25" fillId="2" borderId="18" xfId="5" applyNumberFormat="1" applyFont="1" applyFill="1" applyBorder="1" applyAlignment="1">
      <alignment horizontal="center" vertical="center"/>
    </xf>
    <xf numFmtId="164" fontId="25" fillId="2" borderId="15" xfId="5" applyNumberFormat="1" applyFont="1" applyFill="1" applyBorder="1" applyAlignment="1">
      <alignment horizontal="center" vertical="center" wrapText="1"/>
    </xf>
    <xf numFmtId="0" fontId="10" fillId="0" borderId="0" xfId="5" applyAlignment="1">
      <alignment horizontal="center" vertical="center"/>
    </xf>
    <xf numFmtId="0" fontId="16" fillId="2" borderId="31" xfId="5" applyFont="1" applyFill="1" applyBorder="1" applyAlignment="1">
      <alignment horizontal="center" vertical="center"/>
    </xf>
    <xf numFmtId="0" fontId="16" fillId="2" borderId="32" xfId="5" applyFont="1" applyFill="1" applyBorder="1" applyAlignment="1">
      <alignment horizontal="center" vertical="center" wrapText="1"/>
    </xf>
    <xf numFmtId="0" fontId="16" fillId="2" borderId="32" xfId="5" applyFont="1" applyFill="1" applyBorder="1" applyAlignment="1">
      <alignment horizontal="center" vertical="center"/>
    </xf>
    <xf numFmtId="0" fontId="10" fillId="2" borderId="16" xfId="5" applyFill="1" applyBorder="1"/>
    <xf numFmtId="0" fontId="16" fillId="2" borderId="16" xfId="5" applyFont="1" applyFill="1" applyBorder="1"/>
    <xf numFmtId="0" fontId="16" fillId="2" borderId="0" xfId="5" applyFont="1" applyFill="1" applyAlignment="1">
      <alignment horizontal="right" vertical="center"/>
    </xf>
    <xf numFmtId="0" fontId="16" fillId="2" borderId="16" xfId="5" applyFont="1" applyFill="1" applyBorder="1" applyAlignment="1">
      <alignment horizontal="center" vertical="center"/>
    </xf>
    <xf numFmtId="0" fontId="10" fillId="2" borderId="0" xfId="5" applyFill="1" applyAlignment="1">
      <alignment horizontal="right"/>
    </xf>
    <xf numFmtId="0" fontId="16" fillId="2" borderId="0" xfId="5" applyFont="1" applyFill="1" applyAlignment="1">
      <alignment horizontal="center" vertical="center"/>
    </xf>
    <xf numFmtId="0" fontId="16" fillId="2" borderId="16" xfId="5" applyFont="1" applyFill="1" applyBorder="1" applyAlignment="1">
      <alignment vertical="center"/>
    </xf>
    <xf numFmtId="0" fontId="9" fillId="2" borderId="4" xfId="4" applyFont="1" applyFill="1" applyBorder="1" applyAlignment="1">
      <alignment horizontal="center" vertical="center" wrapText="1"/>
    </xf>
    <xf numFmtId="14" fontId="11" fillId="2" borderId="5" xfId="4" applyNumberFormat="1" applyFill="1" applyBorder="1" applyAlignment="1">
      <alignment horizontal="center" vertical="center"/>
    </xf>
    <xf numFmtId="0" fontId="9" fillId="2" borderId="16" xfId="4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12" fillId="0" borderId="15" xfId="2" applyBorder="1" applyAlignment="1">
      <alignment horizontal="center" vertical="center"/>
    </xf>
    <xf numFmtId="0" fontId="12" fillId="0" borderId="15" xfId="2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0" fontId="16" fillId="2" borderId="0" xfId="2" applyFont="1" applyFill="1" applyAlignment="1">
      <alignment horizontal="left" vertical="center"/>
    </xf>
    <xf numFmtId="0" fontId="12" fillId="2" borderId="0" xfId="2" applyFill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16" fillId="8" borderId="19" xfId="2" applyFont="1" applyFill="1" applyBorder="1" applyAlignment="1">
      <alignment horizontal="left" vertical="center"/>
    </xf>
    <xf numFmtId="0" fontId="16" fillId="8" borderId="20" xfId="2" applyFont="1" applyFill="1" applyBorder="1" applyAlignment="1">
      <alignment horizontal="left" vertical="center"/>
    </xf>
    <xf numFmtId="0" fontId="16" fillId="8" borderId="21" xfId="2" applyFont="1" applyFill="1" applyBorder="1" applyAlignment="1">
      <alignment horizontal="left" vertical="center"/>
    </xf>
    <xf numFmtId="0" fontId="17" fillId="2" borderId="1" xfId="2" applyFont="1" applyFill="1" applyBorder="1" applyAlignment="1">
      <alignment horizontal="center" vertical="center"/>
    </xf>
    <xf numFmtId="0" fontId="16" fillId="8" borderId="2" xfId="2" applyFont="1" applyFill="1" applyBorder="1" applyAlignment="1">
      <alignment horizontal="center" vertical="center"/>
    </xf>
    <xf numFmtId="0" fontId="16" fillId="8" borderId="3" xfId="2" applyFont="1" applyFill="1" applyBorder="1" applyAlignment="1">
      <alignment horizontal="center" vertical="center"/>
    </xf>
    <xf numFmtId="0" fontId="16" fillId="9" borderId="13" xfId="2" applyFont="1" applyFill="1" applyBorder="1" applyAlignment="1">
      <alignment horizontal="center" vertical="center"/>
    </xf>
    <xf numFmtId="0" fontId="16" fillId="9" borderId="14" xfId="2" applyFont="1" applyFill="1" applyBorder="1" applyAlignment="1">
      <alignment horizontal="center" vertical="center"/>
    </xf>
    <xf numFmtId="0" fontId="16" fillId="10" borderId="13" xfId="2" applyFont="1" applyFill="1" applyBorder="1" applyAlignment="1">
      <alignment horizontal="center" vertical="center"/>
    </xf>
    <xf numFmtId="0" fontId="16" fillId="10" borderId="14" xfId="2" applyFont="1" applyFill="1" applyBorder="1" applyAlignment="1">
      <alignment horizontal="center" vertical="center"/>
    </xf>
    <xf numFmtId="0" fontId="16" fillId="10" borderId="17" xfId="2" applyFont="1" applyFill="1" applyBorder="1" applyAlignment="1">
      <alignment horizontal="center" vertical="center"/>
    </xf>
    <xf numFmtId="0" fontId="16" fillId="11" borderId="13" xfId="2" applyFont="1" applyFill="1" applyBorder="1" applyAlignment="1">
      <alignment horizontal="center" vertical="center"/>
    </xf>
    <xf numFmtId="0" fontId="16" fillId="11" borderId="14" xfId="2" applyFont="1" applyFill="1" applyBorder="1" applyAlignment="1">
      <alignment horizontal="center" vertical="center"/>
    </xf>
    <xf numFmtId="0" fontId="16" fillId="8" borderId="9" xfId="2" applyFont="1" applyFill="1" applyBorder="1" applyAlignment="1">
      <alignment horizontal="center" vertical="center"/>
    </xf>
    <xf numFmtId="0" fontId="16" fillId="8" borderId="10" xfId="2" applyFont="1" applyFill="1" applyBorder="1" applyAlignment="1">
      <alignment horizontal="center" vertical="center"/>
    </xf>
    <xf numFmtId="0" fontId="23" fillId="2" borderId="25" xfId="3" applyFont="1" applyFill="1" applyBorder="1" applyAlignment="1">
      <alignment horizontal="right" vertical="center" wrapText="1"/>
    </xf>
    <xf numFmtId="0" fontId="23" fillId="2" borderId="7" xfId="3" applyFont="1" applyFill="1" applyBorder="1" applyAlignment="1">
      <alignment horizontal="right" vertical="center" wrapText="1"/>
    </xf>
    <xf numFmtId="0" fontId="23" fillId="2" borderId="8" xfId="3" applyFont="1" applyFill="1" applyBorder="1" applyAlignment="1">
      <alignment horizontal="right" vertical="center" wrapText="1"/>
    </xf>
    <xf numFmtId="0" fontId="16" fillId="2" borderId="0" xfId="3" applyFont="1" applyFill="1" applyAlignment="1">
      <alignment horizontal="center" vertical="center"/>
    </xf>
    <xf numFmtId="0" fontId="17" fillId="2" borderId="19" xfId="3" applyFont="1" applyFill="1" applyBorder="1" applyAlignment="1">
      <alignment horizontal="center" vertical="center"/>
    </xf>
    <xf numFmtId="0" fontId="17" fillId="2" borderId="20" xfId="3" applyFont="1" applyFill="1" applyBorder="1" applyAlignment="1">
      <alignment horizontal="center" vertical="center"/>
    </xf>
    <xf numFmtId="0" fontId="17" fillId="2" borderId="21" xfId="3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0" fontId="15" fillId="2" borderId="0" xfId="3" applyFont="1" applyFill="1" applyAlignment="1">
      <alignment horizontal="center" vertical="center"/>
    </xf>
    <xf numFmtId="0" fontId="19" fillId="6" borderId="6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center"/>
    </xf>
    <xf numFmtId="0" fontId="16" fillId="2" borderId="0" xfId="3" applyFont="1" applyFill="1" applyAlignment="1">
      <alignment horizontal="left"/>
    </xf>
    <xf numFmtId="0" fontId="17" fillId="2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center" vertical="center"/>
    </xf>
    <xf numFmtId="0" fontId="18" fillId="8" borderId="4" xfId="3" applyFont="1" applyFill="1" applyBorder="1" applyAlignment="1">
      <alignment horizontal="center" vertical="center"/>
    </xf>
    <xf numFmtId="0" fontId="18" fillId="7" borderId="13" xfId="3" applyFont="1" applyFill="1" applyBorder="1" applyAlignment="1">
      <alignment horizontal="center" vertical="center"/>
    </xf>
    <xf numFmtId="0" fontId="18" fillId="7" borderId="14" xfId="3" applyFont="1" applyFill="1" applyBorder="1" applyAlignment="1">
      <alignment horizontal="center" vertical="center"/>
    </xf>
    <xf numFmtId="0" fontId="18" fillId="8" borderId="9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9" fillId="6" borderId="7" xfId="3" applyFont="1" applyFill="1" applyBorder="1" applyAlignment="1">
      <alignment horizontal="center" vertical="center" wrapText="1"/>
    </xf>
    <xf numFmtId="0" fontId="11" fillId="2" borderId="0" xfId="3" applyFill="1" applyAlignment="1">
      <alignment horizontal="center" vertical="center"/>
    </xf>
    <xf numFmtId="0" fontId="16" fillId="0" borderId="0" xfId="5" applyFont="1" applyAlignment="1">
      <alignment horizontal="left" vertical="center"/>
    </xf>
    <xf numFmtId="0" fontId="10" fillId="0" borderId="0" xfId="5" applyAlignment="1">
      <alignment horizontal="left" vertical="center"/>
    </xf>
    <xf numFmtId="0" fontId="16" fillId="2" borderId="2" xfId="5" applyFont="1" applyFill="1" applyBorder="1" applyAlignment="1">
      <alignment horizontal="center" vertical="center"/>
    </xf>
    <xf numFmtId="0" fontId="16" fillId="2" borderId="33" xfId="5" applyFont="1" applyFill="1" applyBorder="1" applyAlignment="1">
      <alignment horizontal="center" vertical="center"/>
    </xf>
    <xf numFmtId="0" fontId="10" fillId="0" borderId="25" xfId="5" applyBorder="1" applyAlignment="1">
      <alignment horizontal="center" vertical="center"/>
    </xf>
    <xf numFmtId="0" fontId="10" fillId="0" borderId="8" xfId="5" applyBorder="1" applyAlignment="1">
      <alignment horizontal="center" vertical="center"/>
    </xf>
    <xf numFmtId="0" fontId="23" fillId="0" borderId="25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8" fillId="0" borderId="29" xfId="5" applyFont="1" applyBorder="1" applyAlignment="1">
      <alignment horizontal="right" vertical="center"/>
    </xf>
    <xf numFmtId="0" fontId="28" fillId="0" borderId="28" xfId="5" applyFont="1" applyBorder="1" applyAlignment="1">
      <alignment horizontal="right" vertical="center"/>
    </xf>
    <xf numFmtId="0" fontId="28" fillId="0" borderId="27" xfId="5" applyFont="1" applyBorder="1" applyAlignment="1">
      <alignment horizontal="right" vertical="center"/>
    </xf>
    <xf numFmtId="0" fontId="10" fillId="0" borderId="0" xfId="5" applyAlignment="1">
      <alignment horizontal="left"/>
    </xf>
    <xf numFmtId="0" fontId="10" fillId="0" borderId="0" xfId="5" applyAlignment="1">
      <alignment horizontal="center"/>
    </xf>
    <xf numFmtId="0" fontId="17" fillId="2" borderId="1" xfId="5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0" fillId="0" borderId="0" xfId="5" applyAlignment="1">
      <alignment horizontal="center" vertical="center"/>
    </xf>
    <xf numFmtId="0" fontId="16" fillId="2" borderId="0" xfId="5" applyFont="1" applyFill="1" applyAlignment="1">
      <alignment horizontal="center" vertical="center" wrapText="1"/>
    </xf>
    <xf numFmtId="0" fontId="19" fillId="2" borderId="6" xfId="5" applyFont="1" applyFill="1" applyBorder="1" applyAlignment="1">
      <alignment horizontal="center" vertical="center" wrapText="1"/>
    </xf>
    <xf numFmtId="0" fontId="19" fillId="2" borderId="8" xfId="5" applyFont="1" applyFill="1" applyBorder="1" applyAlignment="1">
      <alignment horizontal="center" vertical="center" wrapText="1"/>
    </xf>
    <xf numFmtId="0" fontId="19" fillId="2" borderId="7" xfId="5" applyFont="1" applyFill="1" applyBorder="1" applyAlignment="1">
      <alignment horizontal="center" vertical="center" wrapText="1"/>
    </xf>
    <xf numFmtId="0" fontId="19" fillId="6" borderId="6" xfId="5" applyFont="1" applyFill="1" applyBorder="1" applyAlignment="1">
      <alignment horizontal="center" vertical="center" wrapText="1"/>
    </xf>
    <xf numFmtId="0" fontId="19" fillId="6" borderId="7" xfId="5" applyFont="1" applyFill="1" applyBorder="1" applyAlignment="1">
      <alignment horizontal="center" vertical="center" wrapText="1"/>
    </xf>
    <xf numFmtId="0" fontId="19" fillId="6" borderId="8" xfId="5" applyFont="1" applyFill="1" applyBorder="1" applyAlignment="1">
      <alignment horizontal="center" vertical="center" wrapText="1"/>
    </xf>
    <xf numFmtId="0" fontId="15" fillId="2" borderId="0" xfId="5" applyFont="1" applyFill="1" applyAlignment="1">
      <alignment horizontal="center" vertical="center"/>
    </xf>
    <xf numFmtId="0" fontId="10" fillId="2" borderId="0" xfId="5" applyFill="1" applyAlignment="1">
      <alignment horizontal="center" vertical="center"/>
    </xf>
    <xf numFmtId="0" fontId="16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/>
    </xf>
    <xf numFmtId="0" fontId="18" fillId="8" borderId="2" xfId="5" applyFont="1" applyFill="1" applyBorder="1" applyAlignment="1">
      <alignment horizontal="center" vertical="center"/>
    </xf>
    <xf numFmtId="0" fontId="18" fillId="8" borderId="4" xfId="5" applyFont="1" applyFill="1" applyBorder="1" applyAlignment="1">
      <alignment horizontal="center" vertical="center"/>
    </xf>
    <xf numFmtId="0" fontId="18" fillId="7" borderId="13" xfId="5" applyFont="1" applyFill="1" applyBorder="1" applyAlignment="1">
      <alignment horizontal="center" vertical="center"/>
    </xf>
    <xf numFmtId="0" fontId="18" fillId="7" borderId="14" xfId="5" applyFont="1" applyFill="1" applyBorder="1" applyAlignment="1">
      <alignment horizontal="center" vertical="center"/>
    </xf>
    <xf numFmtId="0" fontId="18" fillId="8" borderId="9" xfId="5" applyFont="1" applyFill="1" applyBorder="1" applyAlignment="1">
      <alignment horizontal="center" vertical="center"/>
    </xf>
    <xf numFmtId="0" fontId="18" fillId="8" borderId="11" xfId="5" applyFont="1" applyFill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12" fillId="0" borderId="0" xfId="2" applyBorder="1" applyAlignment="1">
      <alignment horizontal="center" vertical="center"/>
    </xf>
    <xf numFmtId="0" fontId="12" fillId="0" borderId="0" xfId="2" applyBorder="1" applyAlignment="1">
      <alignment horizontal="center" vertical="center" wrapText="1"/>
    </xf>
    <xf numFmtId="164" fontId="12" fillId="2" borderId="0" xfId="2" applyNumberForma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0" fontId="12" fillId="15" borderId="15" xfId="2" applyFill="1" applyBorder="1" applyAlignment="1">
      <alignment horizontal="center" vertical="center"/>
    </xf>
  </cellXfs>
  <cellStyles count="6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9B4AC22E-A00F-4970-9527-98014662D5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BONCAL, DIEGO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BINOTUSAN ES</a:t>
          </a:r>
        </a:p>
      </xdr:txBody>
    </xdr:sp>
    <xdr:clientData/>
  </xdr:twoCellAnchor>
  <xdr:twoCellAnchor>
    <xdr:from>
      <xdr:col>5</xdr:col>
      <xdr:colOff>347452</xdr:colOff>
      <xdr:row>39</xdr:row>
      <xdr:rowOff>53914</xdr:rowOff>
    </xdr:from>
    <xdr:to>
      <xdr:col>9</xdr:col>
      <xdr:colOff>672043</xdr:colOff>
      <xdr:row>44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9E235-AAC0-4252-9E4E-3887FB24946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246D5F-F42B-4B21-8378-151A62741952}"/>
            </a:ext>
          </a:extLst>
        </xdr:cNvPr>
        <xdr:cNvSpPr txBox="1"/>
      </xdr:nvSpPr>
      <xdr:spPr>
        <a:xfrm>
          <a:off x="76200" y="5000625"/>
          <a:ext cx="3076575" cy="1019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E001A21-299B-4038-B17D-69D78722DD5B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920752</xdr:colOff>
      <xdr:row>0</xdr:row>
      <xdr:rowOff>66674</xdr:rowOff>
    </xdr:from>
    <xdr:ext cx="955674" cy="704851"/>
    <xdr:pic>
      <xdr:nvPicPr>
        <xdr:cNvPr id="2" name="Picture 1">
          <a:extLst>
            <a:ext uri="{FF2B5EF4-FFF2-40B4-BE49-F238E27FC236}">
              <a16:creationId xmlns:a16="http://schemas.microsoft.com/office/drawing/2014/main" id="{D6A3AA5D-9E0E-4F66-BA19-EB2DC52F20C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227" y="66674"/>
          <a:ext cx="955674" cy="704851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249725</xdr:colOff>
      <xdr:row>0</xdr:row>
      <xdr:rowOff>28770</xdr:rowOff>
    </xdr:from>
    <xdr:ext cx="590055" cy="644103"/>
    <xdr:pic>
      <xdr:nvPicPr>
        <xdr:cNvPr id="2" name="Picture 1">
          <a:extLst>
            <a:ext uri="{FF2B5EF4-FFF2-40B4-BE49-F238E27FC236}">
              <a16:creationId xmlns:a16="http://schemas.microsoft.com/office/drawing/2014/main" id="{9C7AAA64-6357-4374-8D9B-32B677D9D24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125" y="28770"/>
          <a:ext cx="590055" cy="644103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82B85C-3791-4DEC-BA04-61B0D58235C4}"/>
            </a:ext>
          </a:extLst>
        </xdr:cNvPr>
        <xdr:cNvSpPr txBox="1"/>
      </xdr:nvSpPr>
      <xdr:spPr>
        <a:xfrm>
          <a:off x="76200" y="4191000"/>
          <a:ext cx="167640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41D6AB3-F564-4F64-81BA-7812E6679830}"/>
            </a:ext>
          </a:extLst>
        </xdr:cNvPr>
        <xdr:cNvCxnSpPr/>
      </xdr:nvCxnSpPr>
      <xdr:spPr>
        <a:xfrm>
          <a:off x="609600" y="1857375"/>
          <a:ext cx="28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43"/>
  <sheetViews>
    <sheetView tabSelected="1" view="pageBreakPreview" topLeftCell="A11" zoomScale="106" zoomScaleNormal="100" zoomScaleSheetLayoutView="106" workbookViewId="0">
      <selection activeCell="A38" sqref="A38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19" customWidth="1"/>
    <col min="8" max="10" width="11.5703125" style="6" customWidth="1"/>
    <col min="11" max="11" width="26.42578125" style="14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123" t="s">
        <v>0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1" s="1" customFormat="1" ht="15.95" customHeight="1">
      <c r="A3" s="123" t="s">
        <v>1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1" s="1" customFormat="1" ht="15.95" customHeight="1">
      <c r="A4" s="123" t="s">
        <v>2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1" s="1" customFormat="1" ht="15.95" customHeight="1">
      <c r="A5" s="123" t="s">
        <v>3</v>
      </c>
      <c r="B5" s="123"/>
      <c r="C5" s="123"/>
      <c r="D5" s="123"/>
      <c r="E5" s="123"/>
      <c r="F5" s="123"/>
      <c r="G5" s="123"/>
      <c r="H5" s="123"/>
      <c r="I5" s="123"/>
      <c r="J5" s="123"/>
    </row>
    <row r="6" spans="1:11" s="1" customFormat="1" ht="8.25" customHeight="1"/>
    <row r="7" spans="1:11" s="1" customFormat="1" ht="12" customHeight="1">
      <c r="A7" s="1" t="s">
        <v>18</v>
      </c>
      <c r="B7" s="122" t="s">
        <v>19</v>
      </c>
      <c r="C7" s="122"/>
      <c r="D7" s="122"/>
      <c r="H7" s="2" t="s">
        <v>20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21</v>
      </c>
      <c r="B9" s="122" t="s">
        <v>22</v>
      </c>
      <c r="C9" s="122"/>
      <c r="D9" s="122"/>
      <c r="H9" s="2" t="s">
        <v>23</v>
      </c>
      <c r="I9" s="5"/>
      <c r="J9" s="2"/>
    </row>
    <row r="10" spans="1:11" ht="23.25" customHeight="1" thickBot="1">
      <c r="A10" s="128" t="s">
        <v>24</v>
      </c>
      <c r="B10" s="128"/>
      <c r="C10" s="128"/>
      <c r="D10" s="128"/>
      <c r="E10" s="128"/>
      <c r="F10" s="128"/>
      <c r="G10" s="128"/>
      <c r="H10" s="128"/>
      <c r="I10" s="128"/>
      <c r="J10" s="128"/>
      <c r="K10" s="6"/>
    </row>
    <row r="11" spans="1:11" ht="18.75" customHeight="1">
      <c r="A11" s="129" t="s">
        <v>5</v>
      </c>
      <c r="B11" s="131" t="s">
        <v>11</v>
      </c>
      <c r="C11" s="132"/>
      <c r="D11" s="133" t="s">
        <v>25</v>
      </c>
      <c r="E11" s="134"/>
      <c r="F11" s="134"/>
      <c r="G11" s="135"/>
      <c r="H11" s="136" t="s">
        <v>26</v>
      </c>
      <c r="I11" s="137"/>
      <c r="J11" s="138" t="s">
        <v>6</v>
      </c>
      <c r="K11" s="124" t="s">
        <v>27</v>
      </c>
    </row>
    <row r="12" spans="1:11" ht="15.75" thickBot="1">
      <c r="A12" s="130"/>
      <c r="B12" s="7" t="s">
        <v>28</v>
      </c>
      <c r="C12" s="7" t="s">
        <v>29</v>
      </c>
      <c r="D12" s="7" t="s">
        <v>28</v>
      </c>
      <c r="E12" s="7" t="s">
        <v>29</v>
      </c>
      <c r="F12" s="7" t="s">
        <v>30</v>
      </c>
      <c r="G12" s="7" t="s">
        <v>31</v>
      </c>
      <c r="H12" s="7" t="s">
        <v>28</v>
      </c>
      <c r="I12" s="7" t="s">
        <v>29</v>
      </c>
      <c r="J12" s="139"/>
      <c r="K12" s="124"/>
    </row>
    <row r="13" spans="1:11" ht="15.75" thickBot="1">
      <c r="A13" s="125" t="s">
        <v>34</v>
      </c>
      <c r="B13" s="126"/>
      <c r="C13" s="126"/>
      <c r="D13" s="126"/>
      <c r="E13" s="126"/>
      <c r="F13" s="126"/>
      <c r="G13" s="126"/>
      <c r="H13" s="126"/>
      <c r="I13" s="126"/>
      <c r="J13" s="127"/>
      <c r="K13" s="8"/>
    </row>
    <row r="14" spans="1:11" ht="27.75" customHeight="1">
      <c r="A14" s="113" t="s">
        <v>94</v>
      </c>
      <c r="B14" s="10">
        <v>8.26</v>
      </c>
      <c r="C14" s="11">
        <v>8.26</v>
      </c>
      <c r="D14" s="11"/>
      <c r="E14" s="10"/>
      <c r="F14" s="10"/>
      <c r="G14" s="10"/>
      <c r="H14" s="12">
        <f>B14</f>
        <v>8.26</v>
      </c>
      <c r="I14" s="12">
        <f>C14</f>
        <v>8.26</v>
      </c>
      <c r="J14" s="13">
        <f>SUM(H14:I14)</f>
        <v>16.52</v>
      </c>
    </row>
    <row r="15" spans="1:11" ht="17.25" customHeight="1">
      <c r="A15" s="9" t="s">
        <v>33</v>
      </c>
      <c r="B15" s="10">
        <v>0.125</v>
      </c>
      <c r="C15" s="11">
        <v>0.125</v>
      </c>
      <c r="D15" s="15"/>
      <c r="E15" s="16"/>
      <c r="F15" s="16"/>
      <c r="G15" s="16"/>
      <c r="H15" s="17">
        <f>H14-F15-D15+B15</f>
        <v>8.3849999999999998</v>
      </c>
      <c r="I15" s="17">
        <f>I14-E15+C15</f>
        <v>8.3849999999999998</v>
      </c>
      <c r="J15" s="18">
        <f>SUM(H15:I15)</f>
        <v>16.77</v>
      </c>
    </row>
    <row r="16" spans="1:11" ht="15.75" customHeight="1">
      <c r="A16" s="47" t="s">
        <v>35</v>
      </c>
      <c r="B16" s="16">
        <v>1.25</v>
      </c>
      <c r="C16" s="15">
        <v>1.25</v>
      </c>
      <c r="D16" s="15"/>
      <c r="E16" s="16"/>
      <c r="F16" s="16"/>
      <c r="G16" s="16"/>
      <c r="H16" s="17">
        <f t="shared" ref="H16" si="0">H15-F16-D16+B16</f>
        <v>9.6349999999999998</v>
      </c>
      <c r="I16" s="17">
        <f t="shared" ref="I16" si="1">I15-E16+C16</f>
        <v>9.6349999999999998</v>
      </c>
      <c r="J16" s="18">
        <f t="shared" ref="J16" si="2">SUM(H16:I16)</f>
        <v>19.27</v>
      </c>
    </row>
    <row r="17" spans="1:10" ht="17.25" customHeight="1">
      <c r="A17" s="47" t="s">
        <v>54</v>
      </c>
      <c r="B17" s="16"/>
      <c r="C17" s="15"/>
      <c r="D17" s="15"/>
      <c r="E17" s="16">
        <v>1</v>
      </c>
      <c r="F17" s="16"/>
      <c r="G17" s="16"/>
      <c r="H17" s="17">
        <f t="shared" ref="H17:H19" si="3">H16-F17-D17+B17</f>
        <v>9.6349999999999998</v>
      </c>
      <c r="I17" s="17">
        <f t="shared" ref="I17:I19" si="4">I16-E17+C17</f>
        <v>8.6349999999999998</v>
      </c>
      <c r="J17" s="18">
        <f t="shared" ref="J17:J19" si="5">SUM(H17:I17)</f>
        <v>18.27</v>
      </c>
    </row>
    <row r="18" spans="1:10" ht="13.5" customHeight="1">
      <c r="A18" s="113" t="s">
        <v>95</v>
      </c>
      <c r="B18" s="16">
        <v>2.5</v>
      </c>
      <c r="C18" s="15">
        <v>2.5</v>
      </c>
      <c r="D18" s="15"/>
      <c r="E18" s="16"/>
      <c r="F18" s="16"/>
      <c r="G18" s="16"/>
      <c r="H18" s="17">
        <f t="shared" si="3"/>
        <v>12.135</v>
      </c>
      <c r="I18" s="17">
        <f t="shared" si="4"/>
        <v>11.135</v>
      </c>
      <c r="J18" s="18">
        <f t="shared" si="5"/>
        <v>23.27</v>
      </c>
    </row>
    <row r="19" spans="1:10" ht="15" customHeight="1">
      <c r="A19" s="113" t="s">
        <v>97</v>
      </c>
      <c r="B19" s="16"/>
      <c r="C19" s="15"/>
      <c r="D19" s="15"/>
      <c r="E19" s="16"/>
      <c r="F19" s="114">
        <v>1</v>
      </c>
      <c r="G19" s="114"/>
      <c r="H19" s="17">
        <f t="shared" si="3"/>
        <v>11.135</v>
      </c>
      <c r="I19" s="17">
        <f t="shared" si="4"/>
        <v>11.135</v>
      </c>
      <c r="J19" s="18">
        <f t="shared" si="5"/>
        <v>22.27</v>
      </c>
    </row>
    <row r="20" spans="1:10" ht="15" customHeight="1">
      <c r="A20" s="116" t="s">
        <v>98</v>
      </c>
      <c r="B20" s="114"/>
      <c r="C20" s="115"/>
      <c r="D20" s="115"/>
      <c r="E20" s="114"/>
      <c r="F20" s="114">
        <v>1</v>
      </c>
      <c r="G20" s="114"/>
      <c r="H20" s="17">
        <f t="shared" ref="H20" si="6">H19-F20-D20+B20</f>
        <v>10.135</v>
      </c>
      <c r="I20" s="17">
        <f t="shared" ref="I20" si="7">I19-E20+C20</f>
        <v>11.135</v>
      </c>
      <c r="J20" s="18">
        <f t="shared" ref="J20" si="8">SUM(H20:I20)</f>
        <v>21.27</v>
      </c>
    </row>
    <row r="21" spans="1:10" ht="15" customHeight="1">
      <c r="A21" s="117" t="s">
        <v>99</v>
      </c>
      <c r="B21" s="114">
        <v>1.25</v>
      </c>
      <c r="C21" s="115">
        <v>1.25</v>
      </c>
      <c r="D21" s="115"/>
      <c r="E21" s="114"/>
      <c r="F21" s="114"/>
      <c r="G21" s="114"/>
      <c r="H21" s="17">
        <f t="shared" ref="H21:H23" si="9">H20-F21-D21+B21</f>
        <v>11.385</v>
      </c>
      <c r="I21" s="17">
        <f t="shared" ref="I21:I23" si="10">I20-E21+C21</f>
        <v>12.385</v>
      </c>
      <c r="J21" s="18">
        <f t="shared" ref="J21:J23" si="11">SUM(H21:I21)</f>
        <v>23.77</v>
      </c>
    </row>
    <row r="22" spans="1:10" ht="15" customHeight="1">
      <c r="A22" s="117" t="s">
        <v>100</v>
      </c>
      <c r="B22" s="114"/>
      <c r="C22" s="115"/>
      <c r="D22" s="115"/>
      <c r="E22" s="114"/>
      <c r="F22" s="114"/>
      <c r="G22" s="114">
        <v>3</v>
      </c>
      <c r="H22" s="17">
        <f t="shared" si="9"/>
        <v>11.385</v>
      </c>
      <c r="I22" s="17">
        <f t="shared" si="10"/>
        <v>12.385</v>
      </c>
      <c r="J22" s="18">
        <f t="shared" si="11"/>
        <v>23.77</v>
      </c>
    </row>
    <row r="23" spans="1:10" ht="15" customHeight="1">
      <c r="A23" s="117" t="s">
        <v>101</v>
      </c>
      <c r="B23" s="114"/>
      <c r="C23" s="115"/>
      <c r="D23" s="115"/>
      <c r="E23" s="114"/>
      <c r="F23" s="114">
        <v>2</v>
      </c>
      <c r="G23" s="114"/>
      <c r="H23" s="17">
        <f t="shared" si="9"/>
        <v>9.3849999999999998</v>
      </c>
      <c r="I23" s="17">
        <f t="shared" si="10"/>
        <v>12.385</v>
      </c>
      <c r="J23" s="18">
        <f t="shared" si="11"/>
        <v>21.77</v>
      </c>
    </row>
    <row r="24" spans="1:10" ht="15" customHeight="1">
      <c r="A24" s="118" t="s">
        <v>102</v>
      </c>
      <c r="B24" s="114">
        <v>1.25</v>
      </c>
      <c r="C24" s="115">
        <v>1.25</v>
      </c>
      <c r="D24" s="115"/>
      <c r="E24" s="114"/>
      <c r="F24" s="114"/>
      <c r="G24" s="114"/>
      <c r="H24" s="17">
        <f t="shared" ref="H24" si="12">H23-F24-D24+B24</f>
        <v>10.635</v>
      </c>
      <c r="I24" s="17">
        <f t="shared" ref="I24" si="13">I23-E24+C24</f>
        <v>13.635</v>
      </c>
      <c r="J24" s="18">
        <f t="shared" ref="J24" si="14">SUM(H24:I24)</f>
        <v>24.27</v>
      </c>
    </row>
    <row r="25" spans="1:10" ht="15" customHeight="1">
      <c r="A25" s="118" t="s">
        <v>103</v>
      </c>
      <c r="B25" s="114"/>
      <c r="C25" s="115"/>
      <c r="D25" s="115"/>
      <c r="E25" s="114">
        <v>1</v>
      </c>
      <c r="F25" s="114"/>
      <c r="G25" s="114"/>
      <c r="H25" s="17">
        <f t="shared" ref="H25:H29" si="15">H24-F25-D25+B25</f>
        <v>10.635</v>
      </c>
      <c r="I25" s="17">
        <f t="shared" ref="I25:I29" si="16">I24-E25+C25</f>
        <v>12.635</v>
      </c>
      <c r="J25" s="18">
        <f t="shared" ref="J25:J29" si="17">SUM(H25:I25)</f>
        <v>23.27</v>
      </c>
    </row>
    <row r="26" spans="1:10" ht="15" customHeight="1">
      <c r="A26" s="119" t="s">
        <v>104</v>
      </c>
      <c r="B26" s="114">
        <v>1.25</v>
      </c>
      <c r="C26" s="115">
        <v>1.25</v>
      </c>
      <c r="D26" s="115"/>
      <c r="E26" s="114"/>
      <c r="F26" s="114"/>
      <c r="G26" s="114"/>
      <c r="H26" s="17">
        <f t="shared" si="15"/>
        <v>11.885</v>
      </c>
      <c r="I26" s="17">
        <f t="shared" si="16"/>
        <v>13.885</v>
      </c>
      <c r="J26" s="18">
        <f t="shared" si="17"/>
        <v>25.77</v>
      </c>
    </row>
    <row r="27" spans="1:10" ht="15" customHeight="1">
      <c r="A27" s="119" t="s">
        <v>105</v>
      </c>
      <c r="B27" s="114"/>
      <c r="C27" s="115"/>
      <c r="D27" s="115"/>
      <c r="E27" s="114">
        <v>1</v>
      </c>
      <c r="F27" s="114"/>
      <c r="G27" s="114"/>
      <c r="H27" s="17">
        <f t="shared" si="15"/>
        <v>11.885</v>
      </c>
      <c r="I27" s="17">
        <f t="shared" si="16"/>
        <v>12.885</v>
      </c>
      <c r="J27" s="18">
        <f t="shared" si="17"/>
        <v>24.77</v>
      </c>
    </row>
    <row r="28" spans="1:10" ht="15" customHeight="1">
      <c r="A28" s="120" t="s">
        <v>107</v>
      </c>
      <c r="B28" s="114">
        <v>1.25</v>
      </c>
      <c r="C28" s="115">
        <v>1.25</v>
      </c>
      <c r="D28" s="115"/>
      <c r="E28" s="114"/>
      <c r="F28" s="114"/>
      <c r="G28" s="114"/>
      <c r="H28" s="17">
        <f t="shared" si="15"/>
        <v>13.135</v>
      </c>
      <c r="I28" s="17">
        <f t="shared" si="16"/>
        <v>14.135</v>
      </c>
      <c r="J28" s="18">
        <f t="shared" si="17"/>
        <v>27.27</v>
      </c>
    </row>
    <row r="29" spans="1:10" ht="15" customHeight="1">
      <c r="A29" s="120" t="s">
        <v>106</v>
      </c>
      <c r="B29" s="114"/>
      <c r="C29" s="115"/>
      <c r="D29" s="115"/>
      <c r="E29" s="114">
        <v>1</v>
      </c>
      <c r="F29" s="114"/>
      <c r="G29" s="114"/>
      <c r="H29" s="17">
        <f t="shared" si="15"/>
        <v>13.135</v>
      </c>
      <c r="I29" s="17">
        <f t="shared" si="16"/>
        <v>13.135</v>
      </c>
      <c r="J29" s="18">
        <f t="shared" si="17"/>
        <v>26.27</v>
      </c>
    </row>
    <row r="30" spans="1:10" ht="15" customHeight="1">
      <c r="A30" s="121" t="s">
        <v>108</v>
      </c>
      <c r="B30" s="114">
        <v>5</v>
      </c>
      <c r="C30" s="115">
        <v>5</v>
      </c>
      <c r="D30" s="115"/>
      <c r="E30" s="114"/>
      <c r="F30" s="114"/>
      <c r="G30" s="114"/>
      <c r="H30" s="17">
        <f t="shared" ref="H30:H31" si="18">H29-F30-D30+B30</f>
        <v>18.134999999999998</v>
      </c>
      <c r="I30" s="17">
        <f t="shared" ref="I30:I31" si="19">I29-E30+C30</f>
        <v>18.134999999999998</v>
      </c>
      <c r="J30" s="18">
        <f t="shared" ref="J30:J31" si="20">SUM(H30:I30)</f>
        <v>36.269999999999996</v>
      </c>
    </row>
    <row r="31" spans="1:10" ht="15" customHeight="1">
      <c r="A31" s="121" t="s">
        <v>109</v>
      </c>
      <c r="B31" s="114"/>
      <c r="C31" s="115"/>
      <c r="D31" s="115">
        <v>13</v>
      </c>
      <c r="E31" s="114"/>
      <c r="F31" s="114"/>
      <c r="G31" s="114"/>
      <c r="H31" s="17">
        <f t="shared" si="18"/>
        <v>5.134999999999998</v>
      </c>
      <c r="I31" s="17">
        <f t="shared" si="19"/>
        <v>18.134999999999998</v>
      </c>
      <c r="J31" s="18">
        <f t="shared" si="20"/>
        <v>23.269999999999996</v>
      </c>
    </row>
    <row r="32" spans="1:10" ht="15" customHeight="1">
      <c r="A32" s="202" t="s">
        <v>110</v>
      </c>
      <c r="B32" s="114">
        <v>6.25</v>
      </c>
      <c r="C32" s="115">
        <v>6.25</v>
      </c>
      <c r="D32" s="115"/>
      <c r="E32" s="114"/>
      <c r="F32" s="114"/>
      <c r="G32" s="114"/>
      <c r="H32" s="17">
        <f t="shared" ref="H32:H33" si="21">H31-F32-D32+B32</f>
        <v>11.384999999999998</v>
      </c>
      <c r="I32" s="17">
        <f t="shared" ref="I32:I33" si="22">I31-E32+C32</f>
        <v>24.384999999999998</v>
      </c>
      <c r="J32" s="18">
        <f t="shared" ref="J32:J33" si="23">SUM(H32:I32)</f>
        <v>35.769999999999996</v>
      </c>
    </row>
    <row r="33" spans="1:10" ht="15" customHeight="1">
      <c r="A33" s="202" t="s">
        <v>111</v>
      </c>
      <c r="B33" s="114"/>
      <c r="C33" s="115"/>
      <c r="D33" s="115"/>
      <c r="E33" s="114"/>
      <c r="F33" s="203">
        <v>3</v>
      </c>
      <c r="G33" s="114"/>
      <c r="H33" s="17">
        <f t="shared" si="21"/>
        <v>8.384999999999998</v>
      </c>
      <c r="I33" s="17">
        <f t="shared" si="22"/>
        <v>24.384999999999998</v>
      </c>
      <c r="J33" s="18">
        <f t="shared" si="23"/>
        <v>32.769999999999996</v>
      </c>
    </row>
    <row r="34" spans="1:10" ht="15" customHeight="1">
      <c r="A34" s="121"/>
      <c r="B34" s="114"/>
      <c r="C34" s="115"/>
      <c r="D34" s="115"/>
      <c r="E34" s="114"/>
      <c r="F34" s="114"/>
      <c r="G34" s="114"/>
      <c r="H34" s="17"/>
      <c r="I34" s="17"/>
      <c r="J34" s="17"/>
    </row>
    <row r="35" spans="1:10" ht="15" customHeight="1">
      <c r="A35" s="198"/>
      <c r="B35" s="199"/>
      <c r="C35" s="200"/>
      <c r="D35" s="200"/>
      <c r="E35" s="199"/>
      <c r="F35" s="199"/>
      <c r="G35" s="199"/>
      <c r="H35" s="201"/>
      <c r="I35" s="201"/>
      <c r="J35" s="201"/>
    </row>
    <row r="36" spans="1:10" ht="15" customHeight="1">
      <c r="A36" s="198"/>
      <c r="B36" s="199"/>
      <c r="C36" s="200"/>
      <c r="D36" s="200"/>
      <c r="E36" s="199"/>
      <c r="F36" s="199"/>
      <c r="G36" s="199"/>
      <c r="H36" s="201"/>
      <c r="I36" s="201"/>
      <c r="J36" s="201"/>
    </row>
    <row r="37" spans="1:10" ht="15" customHeight="1">
      <c r="A37" s="198"/>
      <c r="B37" s="199"/>
      <c r="C37" s="200"/>
      <c r="D37" s="200"/>
      <c r="E37" s="199"/>
      <c r="F37" s="199"/>
      <c r="G37" s="199"/>
      <c r="H37" s="201"/>
      <c r="I37" s="201"/>
      <c r="J37" s="201"/>
    </row>
    <row r="38" spans="1:10">
      <c r="H38" s="20"/>
      <c r="I38" s="20"/>
      <c r="J38" s="20"/>
    </row>
    <row r="39" spans="1:10">
      <c r="H39" s="20"/>
      <c r="I39" s="20"/>
      <c r="J39" s="20"/>
    </row>
    <row r="43" spans="1:10">
      <c r="F43" s="19" t="s">
        <v>32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sheetPr>
    <pageSetUpPr fitToPage="1"/>
  </sheetPr>
  <dimension ref="A1:G23"/>
  <sheetViews>
    <sheetView view="pageBreakPreview" zoomScaleNormal="100" workbookViewId="0">
      <selection activeCell="G18" sqref="G18"/>
    </sheetView>
  </sheetViews>
  <sheetFormatPr defaultColWidth="9" defaultRowHeight="15"/>
  <cols>
    <col min="1" max="1" width="23.5703125" style="29" customWidth="1"/>
    <col min="2" max="2" width="18.85546875" style="29" customWidth="1"/>
    <col min="3" max="3" width="35" style="45" customWidth="1"/>
    <col min="4" max="4" width="11.7109375" style="46" customWidth="1"/>
    <col min="5" max="5" width="11" style="29" customWidth="1"/>
    <col min="6" max="6" width="11.85546875" style="46" customWidth="1"/>
    <col min="7" max="7" width="22" style="29" customWidth="1"/>
    <col min="8" max="16384" width="9" style="29"/>
  </cols>
  <sheetData>
    <row r="1" spans="1:7" s="21" customFormat="1" ht="52.5" customHeight="1">
      <c r="E1" s="22"/>
    </row>
    <row r="2" spans="1:7" s="21" customFormat="1" ht="10.5" customHeight="1">
      <c r="A2" s="143" t="s">
        <v>0</v>
      </c>
      <c r="B2" s="143"/>
      <c r="C2" s="143"/>
      <c r="D2" s="143"/>
      <c r="E2" s="143"/>
      <c r="F2" s="143"/>
      <c r="G2" s="143"/>
    </row>
    <row r="3" spans="1:7" s="21" customFormat="1" ht="15.95" customHeight="1">
      <c r="A3" s="143" t="s">
        <v>1</v>
      </c>
      <c r="B3" s="143"/>
      <c r="C3" s="143"/>
      <c r="D3" s="143"/>
      <c r="E3" s="143"/>
      <c r="F3" s="143"/>
      <c r="G3" s="143"/>
    </row>
    <row r="4" spans="1:7" s="21" customFormat="1" ht="15.95" customHeight="1">
      <c r="A4" s="143" t="s">
        <v>2</v>
      </c>
      <c r="B4" s="143"/>
      <c r="C4" s="143"/>
      <c r="D4" s="143"/>
      <c r="E4" s="143"/>
      <c r="F4" s="143"/>
      <c r="G4" s="143"/>
    </row>
    <row r="5" spans="1:7" s="21" customFormat="1" ht="15.95" customHeight="1">
      <c r="A5" s="143" t="s">
        <v>3</v>
      </c>
      <c r="B5" s="143"/>
      <c r="C5" s="143"/>
      <c r="D5" s="143"/>
      <c r="E5" s="143"/>
      <c r="F5" s="143"/>
      <c r="G5" s="143"/>
    </row>
    <row r="6" spans="1:7" s="21" customFormat="1" ht="8.25" customHeight="1">
      <c r="E6" s="22"/>
    </row>
    <row r="7" spans="1:7" s="21" customFormat="1" ht="8.25" customHeight="1">
      <c r="E7" s="22"/>
    </row>
    <row r="8" spans="1:7" s="21" customFormat="1" ht="17.25" customHeight="1">
      <c r="A8" s="23" t="s">
        <v>58</v>
      </c>
      <c r="B8" s="23"/>
      <c r="C8" s="23" t="s">
        <v>36</v>
      </c>
      <c r="D8" s="24"/>
      <c r="E8" s="23" t="s">
        <v>37</v>
      </c>
      <c r="F8" s="24"/>
      <c r="G8" s="25"/>
    </row>
    <row r="9" spans="1:7" s="21" customFormat="1" ht="12" customHeight="1">
      <c r="A9" s="26"/>
      <c r="B9" s="26"/>
      <c r="C9" s="27"/>
      <c r="E9" s="23" t="s">
        <v>38</v>
      </c>
      <c r="F9" s="28"/>
      <c r="G9" s="27"/>
    </row>
    <row r="10" spans="1:7" s="21" customFormat="1" ht="14.25" customHeight="1">
      <c r="A10" s="23" t="s">
        <v>39</v>
      </c>
      <c r="B10" s="23"/>
      <c r="C10" s="23" t="s">
        <v>40</v>
      </c>
      <c r="D10" s="24"/>
      <c r="E10" s="23" t="s">
        <v>41</v>
      </c>
      <c r="F10" s="24"/>
      <c r="G10" s="25"/>
    </row>
    <row r="11" spans="1:7" s="21" customFormat="1" ht="12" customHeight="1" thickBot="1">
      <c r="A11" s="25"/>
      <c r="B11" s="25"/>
      <c r="C11" s="25"/>
      <c r="F11" s="24"/>
      <c r="G11" s="25"/>
    </row>
    <row r="12" spans="1:7" ht="23.25" customHeight="1" thickBot="1">
      <c r="A12" s="144" t="s">
        <v>96</v>
      </c>
      <c r="B12" s="145"/>
      <c r="C12" s="145"/>
      <c r="D12" s="145"/>
      <c r="E12" s="145"/>
      <c r="F12" s="145"/>
      <c r="G12" s="146"/>
    </row>
    <row r="13" spans="1:7" s="34" customFormat="1" ht="37.5" customHeight="1" thickBot="1">
      <c r="A13" s="30" t="s">
        <v>42</v>
      </c>
      <c r="B13" s="31" t="s">
        <v>43</v>
      </c>
      <c r="C13" s="32" t="s">
        <v>44</v>
      </c>
      <c r="D13" s="32" t="s">
        <v>13</v>
      </c>
      <c r="E13" s="32" t="s">
        <v>14</v>
      </c>
      <c r="F13" s="32" t="s">
        <v>15</v>
      </c>
      <c r="G13" s="33" t="s">
        <v>6</v>
      </c>
    </row>
    <row r="14" spans="1:7" s="34" customFormat="1" ht="15.75" customHeight="1">
      <c r="A14" s="108" t="s">
        <v>86</v>
      </c>
      <c r="B14" s="109">
        <v>44568</v>
      </c>
      <c r="C14" s="62" t="s">
        <v>87</v>
      </c>
      <c r="D14" s="63">
        <v>5</v>
      </c>
      <c r="E14" s="38">
        <v>0</v>
      </c>
      <c r="F14" s="38">
        <v>5</v>
      </c>
      <c r="G14" s="39">
        <v>5</v>
      </c>
    </row>
    <row r="15" spans="1:7" s="34" customFormat="1" ht="15.75" customHeight="1">
      <c r="A15" s="35" t="s">
        <v>55</v>
      </c>
      <c r="B15" s="36" t="s">
        <v>56</v>
      </c>
      <c r="C15" s="62" t="s">
        <v>57</v>
      </c>
      <c r="D15" s="63">
        <v>11</v>
      </c>
      <c r="E15" s="38">
        <v>3</v>
      </c>
      <c r="F15" s="38">
        <v>8</v>
      </c>
      <c r="G15" s="39">
        <v>8</v>
      </c>
    </row>
    <row r="16" spans="1:7" s="34" customFormat="1" ht="15.75" customHeight="1">
      <c r="A16" s="110" t="s">
        <v>88</v>
      </c>
      <c r="B16" s="111" t="s">
        <v>89</v>
      </c>
      <c r="C16" s="62" t="s">
        <v>90</v>
      </c>
      <c r="D16" s="63">
        <v>5</v>
      </c>
      <c r="E16" s="38">
        <v>0</v>
      </c>
      <c r="F16" s="38">
        <v>5</v>
      </c>
      <c r="G16" s="39">
        <v>5</v>
      </c>
    </row>
    <row r="17" spans="1:7" s="41" customFormat="1" ht="15.75">
      <c r="A17" s="48" t="s">
        <v>46</v>
      </c>
      <c r="B17" s="48" t="s">
        <v>47</v>
      </c>
      <c r="C17" s="37" t="s">
        <v>48</v>
      </c>
      <c r="D17" s="40">
        <v>15</v>
      </c>
      <c r="E17" s="40">
        <v>0</v>
      </c>
      <c r="F17" s="40">
        <v>15</v>
      </c>
      <c r="G17" s="42">
        <v>15</v>
      </c>
    </row>
    <row r="18" spans="1:7" s="41" customFormat="1" ht="15.75">
      <c r="A18" s="112" t="s">
        <v>91</v>
      </c>
      <c r="B18" s="112" t="s">
        <v>92</v>
      </c>
      <c r="C18" s="37" t="s">
        <v>45</v>
      </c>
      <c r="D18" s="40">
        <v>5</v>
      </c>
      <c r="E18" s="40">
        <v>0</v>
      </c>
      <c r="F18" s="40">
        <v>5</v>
      </c>
      <c r="G18" s="39">
        <v>5</v>
      </c>
    </row>
    <row r="19" spans="1:7" s="41" customFormat="1" ht="15.75">
      <c r="A19" s="48"/>
      <c r="B19" s="48"/>
      <c r="C19" s="37"/>
      <c r="D19" s="40"/>
      <c r="E19" s="40"/>
      <c r="F19" s="40"/>
      <c r="G19" s="42"/>
    </row>
    <row r="20" spans="1:7" s="41" customFormat="1" ht="15.75">
      <c r="A20" s="140" t="s">
        <v>6</v>
      </c>
      <c r="B20" s="141"/>
      <c r="C20" s="141"/>
      <c r="D20" s="141"/>
      <c r="E20" s="141"/>
      <c r="F20" s="142"/>
      <c r="G20" s="43" t="s">
        <v>93</v>
      </c>
    </row>
    <row r="21" spans="1:7" s="21" customFormat="1" ht="75.75" customHeight="1">
      <c r="A21" s="44"/>
      <c r="B21" s="44"/>
      <c r="G21" s="44"/>
    </row>
    <row r="22" spans="1:7" s="21" customFormat="1"/>
    <row r="23" spans="1:7" s="21" customFormat="1"/>
  </sheetData>
  <mergeCells count="6">
    <mergeCell ref="A20:F20"/>
    <mergeCell ref="A2:G2"/>
    <mergeCell ref="A3:G3"/>
    <mergeCell ref="A4:G4"/>
    <mergeCell ref="A5:G5"/>
    <mergeCell ref="A12:G12"/>
  </mergeCells>
  <phoneticPr fontId="20" type="noConversion"/>
  <pageMargins left="0.25" right="0.25" top="0.75" bottom="0.75" header="0.3" footer="0.3"/>
  <pageSetup paperSize="9" scale="7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ED3-09F8-471F-93F9-2AAEFCA2DB46}">
  <dimension ref="A1:L21"/>
  <sheetViews>
    <sheetView view="pageBreakPreview" zoomScale="112" zoomScaleNormal="100" zoomScaleSheetLayoutView="112" workbookViewId="0">
      <selection activeCell="B14" sqref="B14:E14"/>
    </sheetView>
  </sheetViews>
  <sheetFormatPr defaultRowHeight="15"/>
  <cols>
    <col min="1" max="1" width="29.85546875" style="29" customWidth="1"/>
    <col min="2" max="2" width="9.42578125" style="59" customWidth="1"/>
    <col min="3" max="3" width="9.28515625" style="60" customWidth="1"/>
    <col min="4" max="4" width="9.140625" style="29"/>
    <col min="5" max="5" width="8.42578125" style="59" customWidth="1"/>
    <col min="6" max="6" width="10.85546875" style="46" customWidth="1"/>
    <col min="7" max="7" width="9.7109375" style="61" customWidth="1"/>
    <col min="8" max="8" width="10.85546875" style="29" customWidth="1"/>
    <col min="9" max="9" width="9.7109375" style="59" customWidth="1"/>
    <col min="10" max="10" width="10" style="46" customWidth="1"/>
    <col min="11" max="11" width="8.7109375" style="61" customWidth="1"/>
    <col min="12" max="12" width="7.5703125" style="29" customWidth="1"/>
    <col min="13" max="16384" width="9.140625" style="29"/>
  </cols>
  <sheetData>
    <row r="1" spans="1:12" s="21" customFormat="1" ht="52.5" customHeight="1">
      <c r="C1" s="49"/>
      <c r="D1" s="50"/>
      <c r="H1" s="22"/>
    </row>
    <row r="2" spans="1:12" s="21" customFormat="1" ht="10.5" customHeight="1">
      <c r="A2" s="163" t="s">
        <v>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s="21" customFormat="1" ht="15.95" customHeight="1">
      <c r="A3" s="163" t="s">
        <v>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</row>
    <row r="4" spans="1:12" s="21" customFormat="1" ht="15.95" customHeight="1">
      <c r="A4" s="163" t="s">
        <v>2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1:12" s="21" customFormat="1" ht="15.95" customHeight="1">
      <c r="A5" s="163" t="s">
        <v>3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s="21" customFormat="1" ht="8.25" customHeight="1">
      <c r="C6" s="22"/>
      <c r="H6" s="22"/>
    </row>
    <row r="7" spans="1:12" s="21" customFormat="1" ht="8.25" customHeight="1">
      <c r="C7" s="22"/>
      <c r="H7" s="22"/>
    </row>
    <row r="8" spans="1:12" s="21" customFormat="1" ht="12" customHeight="1">
      <c r="A8" s="25" t="s">
        <v>49</v>
      </c>
      <c r="B8" s="25"/>
      <c r="C8" s="153" t="s">
        <v>7</v>
      </c>
      <c r="D8" s="153"/>
      <c r="E8" s="153"/>
      <c r="F8" s="153"/>
      <c r="G8" s="153"/>
      <c r="I8" s="153" t="s">
        <v>8</v>
      </c>
      <c r="J8" s="153"/>
      <c r="K8" s="153"/>
      <c r="L8" s="25"/>
    </row>
    <row r="9" spans="1:12" s="21" customFormat="1" ht="12" customHeight="1">
      <c r="B9" s="27"/>
      <c r="C9" s="153" t="s">
        <v>50</v>
      </c>
      <c r="D9" s="153"/>
      <c r="E9" s="153"/>
      <c r="F9" s="153"/>
      <c r="G9" s="153"/>
      <c r="I9" s="154" t="s">
        <v>9</v>
      </c>
      <c r="J9" s="154"/>
      <c r="K9" s="154"/>
      <c r="L9" s="27"/>
    </row>
    <row r="10" spans="1:12" s="21" customFormat="1" ht="12" customHeight="1">
      <c r="A10" s="25" t="s">
        <v>17</v>
      </c>
      <c r="B10" s="25"/>
      <c r="C10" s="51"/>
      <c r="D10" s="27"/>
      <c r="E10" s="27"/>
      <c r="I10" s="153" t="s">
        <v>4</v>
      </c>
      <c r="J10" s="153"/>
      <c r="K10" s="153"/>
      <c r="L10" s="25"/>
    </row>
    <row r="11" spans="1:12" ht="16.5" customHeight="1" thickBot="1">
      <c r="A11" s="155" t="s">
        <v>10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</row>
    <row r="12" spans="1:12" s="34" customFormat="1" ht="18.75" customHeight="1">
      <c r="A12" s="156" t="s">
        <v>5</v>
      </c>
      <c r="B12" s="158" t="s">
        <v>11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60" t="s">
        <v>6</v>
      </c>
    </row>
    <row r="13" spans="1:12" s="34" customFormat="1" ht="24" customHeight="1">
      <c r="A13" s="157"/>
      <c r="B13" s="151" t="s">
        <v>12</v>
      </c>
      <c r="C13" s="162"/>
      <c r="D13" s="162"/>
      <c r="E13" s="152"/>
      <c r="F13" s="151" t="s">
        <v>13</v>
      </c>
      <c r="G13" s="152"/>
      <c r="H13" s="151" t="s">
        <v>14</v>
      </c>
      <c r="I13" s="152"/>
      <c r="J13" s="151" t="s">
        <v>15</v>
      </c>
      <c r="K13" s="152"/>
      <c r="L13" s="161"/>
    </row>
    <row r="14" spans="1:12" s="34" customFormat="1" ht="29.45" customHeight="1">
      <c r="A14" s="52" t="s">
        <v>51</v>
      </c>
      <c r="B14" s="147" t="s">
        <v>52</v>
      </c>
      <c r="C14" s="148"/>
      <c r="D14" s="148"/>
      <c r="E14" s="149"/>
      <c r="F14" s="147">
        <v>11</v>
      </c>
      <c r="G14" s="149"/>
      <c r="H14" s="147">
        <v>0</v>
      </c>
      <c r="I14" s="149"/>
      <c r="J14" s="147">
        <v>11</v>
      </c>
      <c r="K14" s="149"/>
      <c r="L14" s="53">
        <v>11</v>
      </c>
    </row>
    <row r="15" spans="1:12" s="41" customFormat="1" ht="27.95" customHeight="1">
      <c r="A15" s="54" t="s">
        <v>53</v>
      </c>
      <c r="B15" s="147"/>
      <c r="C15" s="148"/>
      <c r="D15" s="148"/>
      <c r="E15" s="149"/>
      <c r="F15" s="147"/>
      <c r="G15" s="149"/>
      <c r="H15" s="147">
        <v>3</v>
      </c>
      <c r="I15" s="149"/>
      <c r="J15" s="147">
        <v>8</v>
      </c>
      <c r="K15" s="149"/>
      <c r="L15" s="53">
        <v>8</v>
      </c>
    </row>
    <row r="16" spans="1:12" s="41" customFormat="1" ht="27.95" customHeight="1">
      <c r="A16" s="54"/>
      <c r="B16" s="147"/>
      <c r="C16" s="148"/>
      <c r="D16" s="148"/>
      <c r="E16" s="149"/>
      <c r="F16" s="147"/>
      <c r="G16" s="149"/>
      <c r="H16" s="147"/>
      <c r="I16" s="149"/>
      <c r="J16" s="147"/>
      <c r="K16" s="149"/>
      <c r="L16" s="53"/>
    </row>
    <row r="17" spans="1:12" s="41" customFormat="1" ht="27.95" customHeight="1">
      <c r="A17" s="55"/>
      <c r="B17" s="147"/>
      <c r="C17" s="148"/>
      <c r="D17" s="148"/>
      <c r="E17" s="149"/>
      <c r="F17" s="147"/>
      <c r="G17" s="149"/>
      <c r="H17" s="147"/>
      <c r="I17" s="149"/>
      <c r="J17" s="147"/>
      <c r="K17" s="149"/>
      <c r="L17" s="55"/>
    </row>
    <row r="18" spans="1:12" s="41" customFormat="1">
      <c r="A18" s="56" t="s">
        <v>16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ht="72" customHeight="1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</row>
    <row r="20" spans="1:12" s="21" customFormat="1">
      <c r="C20" s="22"/>
    </row>
    <row r="21" spans="1:12" s="21" customFormat="1">
      <c r="C21" s="22"/>
    </row>
  </sheetData>
  <mergeCells count="3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B16:E16"/>
    <mergeCell ref="F16:G16"/>
    <mergeCell ref="H16:I16"/>
    <mergeCell ref="J16:K16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7:E17"/>
    <mergeCell ref="F17:G17"/>
    <mergeCell ref="H17:I17"/>
    <mergeCell ref="J17:K17"/>
    <mergeCell ref="A19:L19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35FB-FAE5-401A-AEBC-133EE0EC7A5D}">
  <dimension ref="A1:G20"/>
  <sheetViews>
    <sheetView view="pageBreakPreview" zoomScaleNormal="100" zoomScaleSheetLayoutView="100" workbookViewId="0">
      <selection activeCell="D16" sqref="D16"/>
    </sheetView>
  </sheetViews>
  <sheetFormatPr defaultRowHeight="15"/>
  <cols>
    <col min="1" max="1" width="9.140625" style="64"/>
    <col min="2" max="2" width="18.140625" style="64" customWidth="1"/>
    <col min="3" max="3" width="19.5703125" style="64" customWidth="1"/>
    <col min="4" max="4" width="56.42578125" style="64" customWidth="1"/>
    <col min="5" max="5" width="12.42578125" style="64" customWidth="1"/>
    <col min="6" max="6" width="13.42578125" style="64" customWidth="1"/>
    <col min="7" max="7" width="15.140625" style="64" customWidth="1"/>
    <col min="8" max="16384" width="9.140625" style="64"/>
  </cols>
  <sheetData>
    <row r="1" spans="1:7" ht="58.5" customHeight="1"/>
    <row r="2" spans="1:7" ht="15.95" customHeight="1">
      <c r="A2" s="179" t="s">
        <v>0</v>
      </c>
      <c r="B2" s="180"/>
      <c r="C2" s="180"/>
      <c r="D2" s="180"/>
      <c r="E2" s="180"/>
      <c r="F2" s="180"/>
      <c r="G2" s="180"/>
    </row>
    <row r="3" spans="1:7" ht="15.95" customHeight="1">
      <c r="A3" s="180" t="s">
        <v>1</v>
      </c>
      <c r="B3" s="180"/>
      <c r="C3" s="180"/>
      <c r="D3" s="180"/>
      <c r="E3" s="180"/>
      <c r="F3" s="180"/>
      <c r="G3" s="180"/>
    </row>
    <row r="4" spans="1:7" ht="15.95" customHeight="1">
      <c r="A4" s="180" t="s">
        <v>2</v>
      </c>
      <c r="B4" s="180"/>
      <c r="C4" s="180"/>
      <c r="D4" s="180"/>
      <c r="E4" s="180"/>
      <c r="F4" s="180"/>
      <c r="G4" s="180"/>
    </row>
    <row r="5" spans="1:7" ht="15.95" customHeight="1">
      <c r="A5" s="180" t="s">
        <v>3</v>
      </c>
      <c r="B5" s="180"/>
      <c r="C5" s="180"/>
      <c r="D5" s="180"/>
      <c r="E5" s="180"/>
      <c r="F5" s="180"/>
      <c r="G5" s="180"/>
    </row>
    <row r="6" spans="1:7" ht="19.5" customHeight="1">
      <c r="A6" s="181"/>
      <c r="B6" s="181"/>
      <c r="C6" s="181"/>
      <c r="D6" s="181"/>
      <c r="E6" s="181"/>
      <c r="F6" s="181"/>
      <c r="G6" s="181"/>
    </row>
    <row r="7" spans="1:7" ht="12" customHeight="1">
      <c r="A7" s="69" t="s">
        <v>85</v>
      </c>
      <c r="B7" s="104" t="s">
        <v>84</v>
      </c>
      <c r="C7" s="84"/>
      <c r="D7" s="84"/>
      <c r="E7" s="103" t="s">
        <v>20</v>
      </c>
      <c r="F7" s="107"/>
      <c r="G7" s="101"/>
    </row>
    <row r="8" spans="1:7" ht="12" customHeight="1">
      <c r="A8" s="69"/>
      <c r="B8" s="106"/>
      <c r="C8" s="85"/>
      <c r="D8" s="85"/>
      <c r="E8" s="105"/>
      <c r="F8" s="69"/>
      <c r="G8" s="69"/>
    </row>
    <row r="9" spans="1:7" ht="12" customHeight="1">
      <c r="A9" s="69" t="s">
        <v>83</v>
      </c>
      <c r="B9" s="104" t="s">
        <v>82</v>
      </c>
      <c r="C9" s="84"/>
      <c r="D9" s="85"/>
      <c r="E9" s="103" t="s">
        <v>23</v>
      </c>
      <c r="F9" s="102" t="s">
        <v>81</v>
      </c>
      <c r="G9" s="101"/>
    </row>
    <row r="10" spans="1:7" ht="24.75" customHeight="1" thickBot="1">
      <c r="A10" s="178" t="s">
        <v>80</v>
      </c>
      <c r="B10" s="178"/>
      <c r="C10" s="178"/>
      <c r="D10" s="178"/>
      <c r="E10" s="178"/>
      <c r="F10" s="178"/>
      <c r="G10" s="178"/>
    </row>
    <row r="11" spans="1:7" s="97" customFormat="1" ht="29.25" customHeight="1">
      <c r="A11" s="166" t="s">
        <v>79</v>
      </c>
      <c r="B11" s="167"/>
      <c r="C11" s="99" t="s">
        <v>78</v>
      </c>
      <c r="D11" s="100" t="s">
        <v>77</v>
      </c>
      <c r="E11" s="99" t="s">
        <v>76</v>
      </c>
      <c r="F11" s="99" t="s">
        <v>75</v>
      </c>
      <c r="G11" s="98" t="s">
        <v>26</v>
      </c>
    </row>
    <row r="12" spans="1:7" ht="54" customHeight="1">
      <c r="A12" s="168" t="s">
        <v>74</v>
      </c>
      <c r="B12" s="169"/>
      <c r="C12" s="96" t="s">
        <v>73</v>
      </c>
      <c r="D12" s="96" t="s">
        <v>72</v>
      </c>
      <c r="E12" s="95">
        <v>5</v>
      </c>
      <c r="F12" s="94">
        <v>2</v>
      </c>
      <c r="G12" s="93">
        <f>E12-F12</f>
        <v>3</v>
      </c>
    </row>
    <row r="13" spans="1:7" ht="33" customHeight="1">
      <c r="A13" s="170" t="s">
        <v>71</v>
      </c>
      <c r="B13" s="171"/>
      <c r="C13" s="171"/>
      <c r="D13" s="171"/>
      <c r="E13" s="171"/>
      <c r="F13" s="172"/>
      <c r="G13" s="92"/>
    </row>
    <row r="14" spans="1:7" s="90" customFormat="1" ht="18.75" customHeight="1" thickBot="1">
      <c r="A14" s="173" t="s">
        <v>70</v>
      </c>
      <c r="B14" s="174"/>
      <c r="C14" s="174"/>
      <c r="D14" s="174"/>
      <c r="E14" s="174"/>
      <c r="F14" s="175"/>
      <c r="G14" s="91">
        <f>G12</f>
        <v>3</v>
      </c>
    </row>
    <row r="15" spans="1:7" ht="10.5" customHeight="1">
      <c r="A15" s="68"/>
      <c r="B15" s="68"/>
      <c r="C15" s="89"/>
      <c r="D15" s="89"/>
      <c r="E15" s="89"/>
      <c r="F15" s="89"/>
      <c r="G15" s="89"/>
    </row>
    <row r="16" spans="1:7" ht="18.75" customHeight="1">
      <c r="A16" s="176" t="s">
        <v>69</v>
      </c>
      <c r="B16" s="176"/>
      <c r="C16" s="89"/>
      <c r="D16" s="89"/>
      <c r="E16" s="89"/>
      <c r="F16" s="89"/>
      <c r="G16" s="89"/>
    </row>
    <row r="17" spans="1:7" ht="18.75" customHeight="1">
      <c r="A17" s="177"/>
      <c r="B17" s="177"/>
      <c r="C17" s="89"/>
      <c r="D17" s="89"/>
      <c r="E17" s="89"/>
      <c r="F17" s="89"/>
      <c r="G17" s="89"/>
    </row>
    <row r="18" spans="1:7" ht="18.75" customHeight="1">
      <c r="A18" s="164" t="s">
        <v>68</v>
      </c>
      <c r="B18" s="164"/>
      <c r="C18" s="164"/>
      <c r="D18" s="89"/>
      <c r="E18" s="89"/>
      <c r="F18" s="89"/>
      <c r="G18" s="89"/>
    </row>
    <row r="19" spans="1:7" ht="18.75" customHeight="1">
      <c r="A19" s="165" t="s">
        <v>67</v>
      </c>
      <c r="B19" s="165"/>
      <c r="C19" s="165"/>
      <c r="D19" s="89"/>
      <c r="E19" s="89"/>
      <c r="F19" s="89"/>
      <c r="G19" s="89"/>
    </row>
    <row r="20" spans="1:7" ht="18.75" customHeight="1">
      <c r="A20" s="165" t="s">
        <v>66</v>
      </c>
      <c r="B20" s="165"/>
      <c r="C20" s="89"/>
      <c r="D20" s="89"/>
      <c r="E20" s="89"/>
      <c r="F20" s="89"/>
      <c r="G20" s="89"/>
    </row>
  </sheetData>
  <mergeCells count="15">
    <mergeCell ref="A10:G10"/>
    <mergeCell ref="A2:G2"/>
    <mergeCell ref="A3:G3"/>
    <mergeCell ref="A4:G4"/>
    <mergeCell ref="A5:G5"/>
    <mergeCell ref="A6:G6"/>
    <mergeCell ref="A18:C18"/>
    <mergeCell ref="A19:C19"/>
    <mergeCell ref="A20:B20"/>
    <mergeCell ref="A11:B11"/>
    <mergeCell ref="A12:B12"/>
    <mergeCell ref="A13:F13"/>
    <mergeCell ref="A14:F14"/>
    <mergeCell ref="A16:B16"/>
    <mergeCell ref="A17:B17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B145-91FC-46D8-B24F-ADEB7DC30398}">
  <dimension ref="A1:L24"/>
  <sheetViews>
    <sheetView view="pageBreakPreview" zoomScale="112" zoomScaleNormal="100" zoomScaleSheetLayoutView="112" workbookViewId="0">
      <selection activeCell="A18" sqref="A18:L18"/>
    </sheetView>
  </sheetViews>
  <sheetFormatPr defaultRowHeight="15"/>
  <cols>
    <col min="1" max="1" width="29.85546875" style="64" customWidth="1"/>
    <col min="2" max="2" width="9.42578125" style="67" customWidth="1"/>
    <col min="3" max="3" width="9.28515625" style="68" customWidth="1"/>
    <col min="4" max="4" width="9.140625" style="64"/>
    <col min="5" max="5" width="8.42578125" style="67" customWidth="1"/>
    <col min="6" max="6" width="10.85546875" style="66" customWidth="1"/>
    <col min="7" max="7" width="9.7109375" style="65" customWidth="1"/>
    <col min="8" max="8" width="10.85546875" style="64" customWidth="1"/>
    <col min="9" max="9" width="9.7109375" style="67" customWidth="1"/>
    <col min="10" max="10" width="10" style="66" customWidth="1"/>
    <col min="11" max="11" width="8.7109375" style="65" customWidth="1"/>
    <col min="12" max="12" width="7.5703125" style="64" customWidth="1"/>
    <col min="13" max="16384" width="9.140625" style="64"/>
  </cols>
  <sheetData>
    <row r="1" spans="1:12" s="69" customFormat="1" ht="52.5" customHeight="1">
      <c r="C1" s="88"/>
      <c r="D1" s="87"/>
      <c r="H1" s="70"/>
    </row>
    <row r="2" spans="1:12" s="69" customFormat="1" ht="10.5" customHeight="1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</row>
    <row r="3" spans="1:12" s="69" customFormat="1" ht="15.95" customHeight="1">
      <c r="A3" s="189" t="s">
        <v>1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</row>
    <row r="4" spans="1:12" s="69" customFormat="1" ht="15.95" customHeight="1">
      <c r="A4" s="189" t="s">
        <v>2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</row>
    <row r="5" spans="1:12" s="69" customFormat="1" ht="15.95" customHeight="1">
      <c r="A5" s="189" t="s">
        <v>3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</row>
    <row r="6" spans="1:12" s="69" customFormat="1" ht="8.25" customHeight="1">
      <c r="C6" s="70"/>
      <c r="H6" s="70"/>
    </row>
    <row r="7" spans="1:12" s="69" customFormat="1" ht="8.25" customHeight="1">
      <c r="C7" s="70"/>
      <c r="H7" s="70"/>
    </row>
    <row r="8" spans="1:12" s="69" customFormat="1" ht="12" customHeight="1">
      <c r="A8" s="84" t="s">
        <v>49</v>
      </c>
      <c r="B8" s="84"/>
      <c r="C8" s="190" t="s">
        <v>7</v>
      </c>
      <c r="D8" s="190"/>
      <c r="E8" s="190"/>
      <c r="F8" s="190"/>
      <c r="G8" s="190"/>
      <c r="I8" s="190" t="s">
        <v>8</v>
      </c>
      <c r="J8" s="190"/>
      <c r="K8" s="190"/>
      <c r="L8" s="84"/>
    </row>
    <row r="9" spans="1:12" s="69" customFormat="1" ht="12" customHeight="1">
      <c r="B9" s="85"/>
      <c r="C9" s="190" t="s">
        <v>65</v>
      </c>
      <c r="D9" s="190"/>
      <c r="E9" s="190"/>
      <c r="F9" s="190"/>
      <c r="G9" s="190"/>
      <c r="I9" s="191" t="s">
        <v>9</v>
      </c>
      <c r="J9" s="191"/>
      <c r="K9" s="191"/>
      <c r="L9" s="85"/>
    </row>
    <row r="10" spans="1:12" s="69" customFormat="1" ht="12" customHeight="1">
      <c r="A10" s="84" t="s">
        <v>17</v>
      </c>
      <c r="B10" s="84"/>
      <c r="C10" s="86"/>
      <c r="D10" s="85"/>
      <c r="E10" s="85"/>
      <c r="I10" s="190" t="s">
        <v>4</v>
      </c>
      <c r="J10" s="190"/>
      <c r="K10" s="190"/>
      <c r="L10" s="84"/>
    </row>
    <row r="11" spans="1:12" ht="16.5" customHeight="1" thickBot="1">
      <c r="A11" s="178" t="s">
        <v>10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</row>
    <row r="12" spans="1:12" s="82" customFormat="1" ht="18.75" customHeight="1">
      <c r="A12" s="192" t="s">
        <v>5</v>
      </c>
      <c r="B12" s="194" t="s">
        <v>11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6" t="s">
        <v>6</v>
      </c>
    </row>
    <row r="13" spans="1:12" s="82" customFormat="1" ht="24" customHeight="1">
      <c r="A13" s="193"/>
      <c r="B13" s="185" t="s">
        <v>12</v>
      </c>
      <c r="C13" s="186"/>
      <c r="D13" s="186"/>
      <c r="E13" s="187"/>
      <c r="F13" s="185" t="s">
        <v>13</v>
      </c>
      <c r="G13" s="187"/>
      <c r="H13" s="185" t="s">
        <v>14</v>
      </c>
      <c r="I13" s="187"/>
      <c r="J13" s="185" t="s">
        <v>15</v>
      </c>
      <c r="K13" s="187"/>
      <c r="L13" s="197"/>
    </row>
    <row r="14" spans="1:12" s="82" customFormat="1" ht="29.45" customHeight="1">
      <c r="A14" s="83" t="s">
        <v>64</v>
      </c>
      <c r="B14" s="182" t="s">
        <v>59</v>
      </c>
      <c r="C14" s="184"/>
      <c r="D14" s="184"/>
      <c r="E14" s="183"/>
      <c r="F14" s="81">
        <v>5</v>
      </c>
      <c r="G14" s="80"/>
      <c r="H14" s="182">
        <v>0</v>
      </c>
      <c r="I14" s="183"/>
      <c r="J14" s="182">
        <v>5</v>
      </c>
      <c r="K14" s="183"/>
      <c r="L14" s="78">
        <v>5</v>
      </c>
    </row>
    <row r="15" spans="1:12" s="71" customFormat="1" ht="27.95" customHeight="1">
      <c r="A15" s="79" t="s">
        <v>63</v>
      </c>
      <c r="B15" s="182" t="s">
        <v>59</v>
      </c>
      <c r="C15" s="184"/>
      <c r="D15" s="184"/>
      <c r="E15" s="183"/>
      <c r="F15" s="81">
        <v>5</v>
      </c>
      <c r="G15" s="80"/>
      <c r="H15" s="182">
        <v>1</v>
      </c>
      <c r="I15" s="183"/>
      <c r="J15" s="182">
        <f>F15-H15</f>
        <v>4</v>
      </c>
      <c r="K15" s="183"/>
      <c r="L15" s="78">
        <v>4</v>
      </c>
    </row>
    <row r="16" spans="1:12" s="71" customFormat="1" ht="27.95" customHeight="1">
      <c r="A16" s="79" t="s">
        <v>62</v>
      </c>
      <c r="B16" s="182" t="s">
        <v>59</v>
      </c>
      <c r="C16" s="184"/>
      <c r="D16" s="184"/>
      <c r="E16" s="183"/>
      <c r="F16" s="182">
        <v>4</v>
      </c>
      <c r="G16" s="183"/>
      <c r="H16" s="182">
        <v>1</v>
      </c>
      <c r="I16" s="183"/>
      <c r="J16" s="182">
        <v>3</v>
      </c>
      <c r="K16" s="183"/>
      <c r="L16" s="78">
        <v>3</v>
      </c>
    </row>
    <row r="17" spans="1:12" s="71" customFormat="1" ht="27.95" customHeight="1">
      <c r="A17" s="79" t="s">
        <v>61</v>
      </c>
      <c r="B17" s="182" t="s">
        <v>59</v>
      </c>
      <c r="C17" s="184"/>
      <c r="D17" s="184"/>
      <c r="E17" s="183"/>
      <c r="F17" s="182">
        <v>3</v>
      </c>
      <c r="G17" s="183"/>
      <c r="H17" s="182">
        <v>1</v>
      </c>
      <c r="I17" s="183"/>
      <c r="J17" s="182">
        <v>2</v>
      </c>
      <c r="K17" s="183"/>
      <c r="L17" s="78">
        <v>2</v>
      </c>
    </row>
    <row r="18" spans="1:12" s="71" customFormat="1" ht="27.95" customHeight="1">
      <c r="A18" s="77" t="s">
        <v>60</v>
      </c>
      <c r="B18" s="182" t="s">
        <v>59</v>
      </c>
      <c r="C18" s="184"/>
      <c r="D18" s="184"/>
      <c r="E18" s="183"/>
      <c r="F18" s="182">
        <v>2</v>
      </c>
      <c r="G18" s="183"/>
      <c r="H18" s="182">
        <v>1</v>
      </c>
      <c r="I18" s="183"/>
      <c r="J18" s="182">
        <v>1</v>
      </c>
      <c r="K18" s="183"/>
      <c r="L18" s="76">
        <v>1</v>
      </c>
    </row>
    <row r="19" spans="1:12" s="71" customFormat="1" ht="27.95" customHeight="1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5"/>
    </row>
    <row r="20" spans="1:12" s="71" customFormat="1" ht="27.95" customHeight="1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5"/>
    </row>
    <row r="21" spans="1:12" s="71" customFormat="1">
      <c r="A21" s="74" t="s">
        <v>16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2"/>
    </row>
    <row r="22" spans="1:12" ht="72" customHeight="1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</row>
    <row r="23" spans="1:12" s="69" customFormat="1">
      <c r="C23" s="70"/>
    </row>
    <row r="24" spans="1:12" s="69" customFormat="1">
      <c r="C24" s="70"/>
    </row>
  </sheetData>
  <mergeCells count="36">
    <mergeCell ref="C9:G9"/>
    <mergeCell ref="I9:K9"/>
    <mergeCell ref="I10:K10"/>
    <mergeCell ref="A11:L11"/>
    <mergeCell ref="A12:A13"/>
    <mergeCell ref="B12:K12"/>
    <mergeCell ref="L12:L13"/>
    <mergeCell ref="A2:L2"/>
    <mergeCell ref="A3:L3"/>
    <mergeCell ref="A4:L4"/>
    <mergeCell ref="A5:L5"/>
    <mergeCell ref="C8:G8"/>
    <mergeCell ref="I8:K8"/>
    <mergeCell ref="A22:L22"/>
    <mergeCell ref="H14:I14"/>
    <mergeCell ref="J14:K14"/>
    <mergeCell ref="B15:E15"/>
    <mergeCell ref="H15:I15"/>
    <mergeCell ref="J15:K15"/>
    <mergeCell ref="B14:E14"/>
    <mergeCell ref="B18:E18"/>
    <mergeCell ref="F18:G18"/>
    <mergeCell ref="H18:I18"/>
    <mergeCell ref="J18:K18"/>
    <mergeCell ref="B16:E16"/>
    <mergeCell ref="F17:G17"/>
    <mergeCell ref="H17:I17"/>
    <mergeCell ref="J17:K17"/>
    <mergeCell ref="F16:G16"/>
    <mergeCell ref="H16:I16"/>
    <mergeCell ref="J16:K16"/>
    <mergeCell ref="B17:E17"/>
    <mergeCell ref="B13:E13"/>
    <mergeCell ref="F13:G13"/>
    <mergeCell ref="H13:I13"/>
    <mergeCell ref="J13:K13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Leave Card as TIC</vt:lpstr>
      <vt:lpstr>Election &amp; NLC</vt:lpstr>
      <vt:lpstr>CTO (2)</vt:lpstr>
      <vt:lpstr>Leave Card (NE) (2)</vt:lpstr>
      <vt:lpstr>CTO</vt:lpstr>
      <vt:lpstr>CTO!Print_Area</vt:lpstr>
      <vt:lpstr>'CTO (2)'!Print_Area</vt:lpstr>
      <vt:lpstr>'Election &amp; NLC'!Print_Area</vt:lpstr>
      <vt:lpstr>'Leave Card (NE) (2)'!Print_Area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2026-01-14T04:22:38Z</cp:lastPrinted>
  <dcterms:created xsi:type="dcterms:W3CDTF">2021-10-07T06:10:00Z</dcterms:created>
  <dcterms:modified xsi:type="dcterms:W3CDTF">2026-01-14T04:24:23Z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