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NON-TEACHING PERSONNEL\"/>
    </mc:Choice>
  </mc:AlternateContent>
  <xr:revisionPtr revIDLastSave="0" documentId="13_ncr:1_{7EE75E14-F056-4195-A0FC-A88C5F680C2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eave Card (NE)" sheetId="6" r:id="rId1"/>
    <sheet name="CTO" sheetId="8" r:id="rId2"/>
    <sheet name="ELECTION" sheetId="9" r:id="rId3"/>
    <sheet name="Leave Card (NE) (2)" sheetId="10" r:id="rId4"/>
  </sheets>
  <definedNames>
    <definedName name="_xlnm.Print_Area" localSheetId="2">ELECTION!$A$1:$M$22</definedName>
    <definedName name="_xlnm.Print_Area" localSheetId="0">'Leave Card (NE)'!$A$1:$J$101</definedName>
    <definedName name="_xlnm.Print_Area" localSheetId="3">'Leave Card (NE) (2)'!$A$1:$G$21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94" i="6" l="1"/>
  <c r="I94" i="6"/>
  <c r="J94" i="6"/>
  <c r="G12" i="10" l="1"/>
  <c r="G15" i="10" s="1"/>
  <c r="B48" i="6" l="1"/>
  <c r="I13" i="6" l="1"/>
  <c r="I14" i="6" s="1"/>
  <c r="H13" i="6"/>
  <c r="H14" i="6" s="1"/>
  <c r="H15" i="6" l="1"/>
  <c r="H16" i="6" s="1"/>
  <c r="H17" i="6" s="1"/>
  <c r="H18" i="6" s="1"/>
  <c r="H19" i="6" s="1"/>
  <c r="H20" i="6" s="1"/>
  <c r="H21" i="6" s="1"/>
  <c r="H22" i="6" s="1"/>
  <c r="H23" i="6" s="1"/>
  <c r="H24" i="6" s="1"/>
  <c r="H25" i="6" s="1"/>
  <c r="H26" i="6" s="1"/>
  <c r="H27" i="6" s="1"/>
  <c r="H28" i="6" s="1"/>
  <c r="H29" i="6" s="1"/>
  <c r="H30" i="6" s="1"/>
  <c r="H31" i="6" s="1"/>
  <c r="H32" i="6" s="1"/>
  <c r="H33" i="6" s="1"/>
  <c r="H34" i="6" s="1"/>
  <c r="H35" i="6" s="1"/>
  <c r="H36" i="6" s="1"/>
  <c r="H37" i="6" s="1"/>
  <c r="H38" i="6" s="1"/>
  <c r="H39" i="6" s="1"/>
  <c r="H40" i="6" s="1"/>
  <c r="I15" i="6"/>
  <c r="I16" i="6" s="1"/>
  <c r="I17" i="6" s="1"/>
  <c r="I18" i="6" s="1"/>
  <c r="I19" i="6" s="1"/>
  <c r="I20" i="6" s="1"/>
  <c r="I21" i="6" s="1"/>
  <c r="I22" i="6" s="1"/>
  <c r="I23" i="6" s="1"/>
  <c r="I24" i="6" s="1"/>
  <c r="I25" i="6" s="1"/>
  <c r="I26" i="6" s="1"/>
  <c r="I27" i="6" s="1"/>
  <c r="I28" i="6" s="1"/>
  <c r="I29" i="6" s="1"/>
  <c r="I30" i="6" s="1"/>
  <c r="I31" i="6" s="1"/>
  <c r="I32" i="6" s="1"/>
  <c r="I33" i="6" s="1"/>
  <c r="I34" i="6" s="1"/>
  <c r="I35" i="6" s="1"/>
  <c r="I36" i="6" s="1"/>
  <c r="I37" i="6" s="1"/>
  <c r="I38" i="6" s="1"/>
  <c r="I39" i="6" s="1"/>
  <c r="I40" i="6" s="1"/>
  <c r="I41" i="6" s="1"/>
  <c r="I42" i="6" s="1"/>
  <c r="J13" i="6"/>
  <c r="J40" i="6" l="1"/>
  <c r="H41" i="6"/>
  <c r="H42" i="6" s="1"/>
  <c r="H43" i="6" s="1"/>
  <c r="H44" i="6" s="1"/>
  <c r="H45" i="6" s="1"/>
  <c r="H46" i="6" s="1"/>
  <c r="H47" i="6" s="1"/>
  <c r="H48" i="6" s="1"/>
  <c r="H49" i="6" s="1"/>
  <c r="J20" i="6"/>
  <c r="I43" i="6"/>
  <c r="I44" i="6" s="1"/>
  <c r="I45" i="6" s="1"/>
  <c r="J21" i="6"/>
  <c r="J23" i="6"/>
  <c r="J14" i="6"/>
  <c r="J22" i="6"/>
  <c r="H50" i="6" l="1"/>
  <c r="J41" i="6"/>
  <c r="J43" i="6"/>
  <c r="J42" i="6"/>
  <c r="J45" i="6"/>
  <c r="I46" i="6"/>
  <c r="J44" i="6"/>
  <c r="J24" i="6"/>
  <c r="J15" i="6"/>
  <c r="H51" i="6" l="1"/>
  <c r="J46" i="6"/>
  <c r="I47" i="6"/>
  <c r="J25" i="6"/>
  <c r="J16" i="6"/>
  <c r="H52" i="6" l="1"/>
  <c r="J47" i="6"/>
  <c r="I48" i="6"/>
  <c r="I49" i="6" s="1"/>
  <c r="J26" i="6"/>
  <c r="J17" i="6"/>
  <c r="I50" i="6" l="1"/>
  <c r="J49" i="6"/>
  <c r="H53" i="6"/>
  <c r="J48" i="6"/>
  <c r="J27" i="6"/>
  <c r="J19" i="6"/>
  <c r="J18" i="6"/>
  <c r="I51" i="6" l="1"/>
  <c r="J50" i="6"/>
  <c r="H54" i="6"/>
  <c r="J28" i="6"/>
  <c r="H55" i="6" l="1"/>
  <c r="I52" i="6"/>
  <c r="J51" i="6"/>
  <c r="J29" i="6"/>
  <c r="I53" i="6" l="1"/>
  <c r="J52" i="6"/>
  <c r="H56" i="6"/>
  <c r="J30" i="6"/>
  <c r="I54" i="6" l="1"/>
  <c r="J53" i="6"/>
  <c r="H57" i="6"/>
  <c r="J31" i="6"/>
  <c r="I55" i="6" l="1"/>
  <c r="J54" i="6"/>
  <c r="H58" i="6"/>
  <c r="J32" i="6"/>
  <c r="H59" i="6" l="1"/>
  <c r="H60" i="6" s="1"/>
  <c r="I56" i="6"/>
  <c r="J55" i="6"/>
  <c r="J33" i="6"/>
  <c r="H61" i="6" l="1"/>
  <c r="H62" i="6" s="1"/>
  <c r="H63" i="6" s="1"/>
  <c r="H64" i="6" s="1"/>
  <c r="H65" i="6" s="1"/>
  <c r="H66" i="6" s="1"/>
  <c r="H67" i="6" s="1"/>
  <c r="I57" i="6"/>
  <c r="J56" i="6"/>
  <c r="J34" i="6"/>
  <c r="H68" i="6" l="1"/>
  <c r="H69" i="6" s="1"/>
  <c r="I58" i="6"/>
  <c r="J57" i="6"/>
  <c r="J35" i="6"/>
  <c r="H70" i="6" l="1"/>
  <c r="I59" i="6"/>
  <c r="J58" i="6"/>
  <c r="J36" i="6"/>
  <c r="H71" i="6" l="1"/>
  <c r="H72" i="6" s="1"/>
  <c r="J59" i="6"/>
  <c r="I60" i="6"/>
  <c r="J37" i="6"/>
  <c r="H73" i="6" l="1"/>
  <c r="H74" i="6" s="1"/>
  <c r="I61" i="6"/>
  <c r="J60" i="6"/>
  <c r="J38" i="6"/>
  <c r="J39" i="6"/>
  <c r="H75" i="6" l="1"/>
  <c r="H76" i="6" s="1"/>
  <c r="J61" i="6"/>
  <c r="I62" i="6"/>
  <c r="H77" i="6" l="1"/>
  <c r="J62" i="6"/>
  <c r="I63" i="6"/>
  <c r="H78" i="6" l="1"/>
  <c r="H79" i="6" s="1"/>
  <c r="H80" i="6" s="1"/>
  <c r="H81" i="6" s="1"/>
  <c r="H82" i="6" s="1"/>
  <c r="J63" i="6"/>
  <c r="I64" i="6"/>
  <c r="H83" i="6" l="1"/>
  <c r="J64" i="6"/>
  <c r="I65" i="6"/>
  <c r="H84" i="6" l="1"/>
  <c r="H85" i="6" s="1"/>
  <c r="H86" i="6" s="1"/>
  <c r="H87" i="6" s="1"/>
  <c r="H88" i="6" s="1"/>
  <c r="J65" i="6"/>
  <c r="I66" i="6"/>
  <c r="H89" i="6" l="1"/>
  <c r="H90" i="6" s="1"/>
  <c r="J66" i="6"/>
  <c r="I67" i="6"/>
  <c r="H91" i="6" l="1"/>
  <c r="H92" i="6" s="1"/>
  <c r="H93" i="6" s="1"/>
  <c r="I68" i="6"/>
  <c r="J67" i="6"/>
  <c r="J68" i="6" l="1"/>
  <c r="I69" i="6"/>
  <c r="I70" i="6" l="1"/>
  <c r="J69" i="6"/>
  <c r="I71" i="6" l="1"/>
  <c r="J70" i="6"/>
  <c r="J71" i="6" l="1"/>
  <c r="I72" i="6"/>
  <c r="I73" i="6" l="1"/>
  <c r="J72" i="6"/>
  <c r="J73" i="6" l="1"/>
  <c r="I74" i="6"/>
  <c r="I75" i="6" l="1"/>
  <c r="J74" i="6"/>
  <c r="J75" i="6" l="1"/>
  <c r="I76" i="6"/>
  <c r="I77" i="6" l="1"/>
  <c r="J76" i="6"/>
  <c r="I78" i="6" l="1"/>
  <c r="J77" i="6"/>
  <c r="J78" i="6" l="1"/>
  <c r="I79" i="6"/>
  <c r="J79" i="6" l="1"/>
  <c r="I80" i="6"/>
  <c r="J80" i="6" l="1"/>
  <c r="I81" i="6"/>
  <c r="J81" i="6" l="1"/>
  <c r="I82" i="6"/>
  <c r="I83" i="6" l="1"/>
  <c r="J82" i="6"/>
  <c r="I84" i="6" l="1"/>
  <c r="J83" i="6"/>
  <c r="J84" i="6" l="1"/>
  <c r="I85" i="6"/>
  <c r="J85" i="6" l="1"/>
  <c r="I86" i="6"/>
  <c r="J86" i="6" l="1"/>
  <c r="I87" i="6"/>
  <c r="J87" i="6" l="1"/>
  <c r="I88" i="6"/>
  <c r="I89" i="6" l="1"/>
  <c r="J88" i="6"/>
  <c r="J89" i="6" l="1"/>
  <c r="I90" i="6"/>
  <c r="I91" i="6" l="1"/>
  <c r="J90" i="6"/>
  <c r="J91" i="6" l="1"/>
  <c r="I92" i="6"/>
  <c r="J92" i="6" l="1"/>
  <c r="I93" i="6"/>
  <c r="J93" i="6" s="1"/>
</calcChain>
</file>

<file path=xl/sharedStrings.xml><?xml version="1.0" encoding="utf-8"?>
<sst xmlns="http://schemas.openxmlformats.org/spreadsheetml/2006/main" count="204" uniqueCount="162">
  <si>
    <t>EMP. NO  :</t>
  </si>
  <si>
    <t>STATION   :</t>
  </si>
  <si>
    <t>SERVICE LEAVE CARD</t>
  </si>
  <si>
    <t>PERIOD COVERED</t>
  </si>
  <si>
    <t>LEAVE EARNED</t>
  </si>
  <si>
    <t>LEAVE SPENT</t>
  </si>
  <si>
    <t>BALANCE</t>
  </si>
  <si>
    <t>TOTAL</t>
  </si>
  <si>
    <t>VACATION</t>
  </si>
  <si>
    <t>SICK</t>
  </si>
  <si>
    <t>FORCED</t>
  </si>
  <si>
    <t>ADD: 12/15/2021 - 12/31/2021</t>
  </si>
  <si>
    <t>ADD: 01/01/22 - 04/30/22</t>
  </si>
  <si>
    <t>LESS: 05/20/22</t>
  </si>
  <si>
    <t>LESS: 06/24/22</t>
  </si>
  <si>
    <t>ADD: 06/01/22 - 06/30/22</t>
  </si>
  <si>
    <t>ADD: 07/01/22 - 07/31/22</t>
  </si>
  <si>
    <t>LESS: 08/05/22</t>
  </si>
  <si>
    <t>ADD: 08/01/22 - 08/31/22</t>
  </si>
  <si>
    <t>LESS: 09/23/22</t>
  </si>
  <si>
    <t>ADD: 09/01/22 - 09/30/22</t>
  </si>
  <si>
    <t>LESS: 10/14/22</t>
  </si>
  <si>
    <t>LESS: 11/02/22</t>
  </si>
  <si>
    <t>ADD: 10/01/22 - 10/31/22</t>
  </si>
  <si>
    <t>ADD: 11/01/22 - 11/30/22</t>
  </si>
  <si>
    <t>LESS: 12/19/22</t>
  </si>
  <si>
    <t>LESS: 12/14/22</t>
  </si>
  <si>
    <t>LESS: 12/29/22</t>
  </si>
  <si>
    <t>ADD: 12/01/22 - 12/31/22</t>
  </si>
  <si>
    <t>LESS: 01/20/2023</t>
  </si>
  <si>
    <t>HRMO</t>
  </si>
  <si>
    <t>Administrative Officer IV</t>
  </si>
  <si>
    <t>MA. LUISA B. CATIGAN</t>
  </si>
  <si>
    <t>Certified Correct:</t>
  </si>
  <si>
    <t>Balance</t>
  </si>
  <si>
    <t>No. of Days Used</t>
  </si>
  <si>
    <t>No. of Days Granted</t>
  </si>
  <si>
    <t>Special Order No. and Date Issued</t>
  </si>
  <si>
    <t>COMPENSATORY TIME OFF (CTO)</t>
  </si>
  <si>
    <t>SCHOOL/OFFICE:_____________________</t>
  </si>
  <si>
    <t>POSITION: __________________________</t>
  </si>
  <si>
    <t>DISTRICT: ___________________________</t>
  </si>
  <si>
    <t>Name: _____________________________</t>
  </si>
  <si>
    <t>SCHOOLS DIVISION OF SIPALAY CITY</t>
  </si>
  <si>
    <t>REGION VI-WESTERN VISAYAS</t>
  </si>
  <si>
    <t>Department of Education</t>
  </si>
  <si>
    <t>Republic of the Philippines</t>
  </si>
  <si>
    <t>ADD: JANUARY 18, 2023</t>
  </si>
  <si>
    <t>ADD: JANUARY 20, 2023</t>
  </si>
  <si>
    <t>S.O. # 001, S. 2023. 126TH ANNIVERSARY OF THE MARTYRDOM OF DR. JOSE P. RIZAL</t>
  </si>
  <si>
    <t>LESS: 01/30/2023</t>
  </si>
  <si>
    <t>LESS: 02/01/2023 (PM)</t>
  </si>
  <si>
    <t>LESS: 02/09/2023 (PM)</t>
  </si>
  <si>
    <t>SPECIAL</t>
  </si>
  <si>
    <t>LESS: 02/14 &amp; 15/2023</t>
  </si>
  <si>
    <t>ADD: 01/01/23 - 01/31/23</t>
  </si>
  <si>
    <t>ADD: 02/01/23 - 02/28/23</t>
  </si>
  <si>
    <t>LESS: 03/10/2023 (Pm)</t>
  </si>
  <si>
    <t>ADD: 03/01/23 - 03/31/23</t>
  </si>
  <si>
    <t>LESS: 04/05/2023 (AM)</t>
  </si>
  <si>
    <t>LESS: 04/18/2023 (PM)</t>
  </si>
  <si>
    <t>LESS: 04/26 &amp; 05/11/23</t>
  </si>
  <si>
    <t xml:space="preserve"> MAY 9, 2022 NATIONAL AND LOCAL ELECTION</t>
  </si>
  <si>
    <t>ADD: JULY 01, 2022</t>
  </si>
  <si>
    <t>S.0 # 051, S. 2022, JULY 1, 2022</t>
  </si>
  <si>
    <t>BARANGAY ELECTION/SK ELECTION</t>
  </si>
  <si>
    <t>NATIONAL ELECTION</t>
  </si>
  <si>
    <t>SPECIAL ORDER NO. AND DATE ISSUED</t>
  </si>
  <si>
    <t>SPECIAL ORDER FOR ELECTION (NATONAL/BARANGAY AND SK ELECTION)</t>
  </si>
  <si>
    <t>DIVISION CODE   : __________</t>
  </si>
  <si>
    <t>STATION CODE    : __________</t>
  </si>
  <si>
    <t>SCHOOL/OFFICE : OSDS</t>
  </si>
  <si>
    <t>EMPLOYEE NO    : __________</t>
  </si>
  <si>
    <t>DISTRICT                : _______________________</t>
  </si>
  <si>
    <t>NAME          : ESTRELLA, MICAH MAE</t>
  </si>
  <si>
    <t>POSITION   : ADA VI</t>
  </si>
  <si>
    <t>LESS: 06/19 - 23/2023</t>
  </si>
  <si>
    <t>ADD: 04/01/23 - 06/30/23</t>
  </si>
  <si>
    <t>ADD: 07/01/23 - 08/31/23</t>
  </si>
  <si>
    <t>LESS: 08/04/23</t>
  </si>
  <si>
    <t>LESS: MONETIZATION 2023</t>
  </si>
  <si>
    <t>ADD: 09/01/2023-12/31/2023</t>
  </si>
  <si>
    <t>LESS: 01/9-10/2024</t>
  </si>
  <si>
    <t>ADD: October 17, 2021</t>
  </si>
  <si>
    <t>S.O # 159, S. 2023, DepEd Memorandum No. 130 S. 2023-125th Philippine Independence Day Celebration</t>
  </si>
  <si>
    <t>LESS: January 24, 2024</t>
  </si>
  <si>
    <t>ADD: 01/01-31/2024</t>
  </si>
  <si>
    <t>LESS: 02/21/2024</t>
  </si>
  <si>
    <t>LESS: 03/08/2024</t>
  </si>
  <si>
    <t>ADD: 03/1/2024-04/30/2024</t>
  </si>
  <si>
    <t>LESS: 05/6/2024</t>
  </si>
  <si>
    <t>ADD: 05/1-31/2024</t>
  </si>
  <si>
    <t>LESS: 06/7/2024</t>
  </si>
  <si>
    <t>LESS: 06/20/2024</t>
  </si>
  <si>
    <t>LESS: MANDATORY FL 2023</t>
  </si>
  <si>
    <t>ADD: 06/1-30/2024</t>
  </si>
  <si>
    <t>LESS: 09/11-13/2024</t>
  </si>
  <si>
    <t>LESS: 07/10-12, 15-19/2024</t>
  </si>
  <si>
    <t>LESS: 08/1,2 &amp; 5/2024</t>
  </si>
  <si>
    <t xml:space="preserve">              HRMO</t>
  </si>
  <si>
    <t>ADD: 07/1-31/2024</t>
  </si>
  <si>
    <t>LESS: 08/12/2024</t>
  </si>
  <si>
    <t>ADD: 05/01/22 - 05/31/22</t>
  </si>
  <si>
    <t>ADD: 02/01-29/2024</t>
  </si>
  <si>
    <t>LESS: 08/16/2024</t>
  </si>
  <si>
    <t>ADD: 06/26/2024</t>
  </si>
  <si>
    <t>S.O # 024, S. 2024 -126th Philippine Independence Day Celebration</t>
  </si>
  <si>
    <t>LESS: 09/24/2024</t>
  </si>
  <si>
    <t>ADD: 08/1-31/2024</t>
  </si>
  <si>
    <t>LESS: 09/26/2024</t>
  </si>
  <si>
    <t>ADD: 09/1/2024-10/31/2024</t>
  </si>
  <si>
    <t>LESS: 12/26-27/2024</t>
  </si>
  <si>
    <t>ADD: 11/1-30/2024</t>
  </si>
  <si>
    <t>LESS: 11/29/2024</t>
  </si>
  <si>
    <t>ADD: 12/1-31/2024</t>
  </si>
  <si>
    <t>LESS: 01/08/2025</t>
  </si>
  <si>
    <t>ADD: 01/1-31/2025</t>
  </si>
  <si>
    <t>LESS: 02/03/2025</t>
  </si>
  <si>
    <t>Name       :</t>
  </si>
  <si>
    <t xml:space="preserve">ESTRELLA, MICAH MAE </t>
  </si>
  <si>
    <t>POSITION:</t>
  </si>
  <si>
    <t>ADA VI</t>
  </si>
  <si>
    <t>SPECIAL ORDER LEAVE CREDITS</t>
  </si>
  <si>
    <t>DATE</t>
  </si>
  <si>
    <t>SPECIAL ORDER NUMBER</t>
  </si>
  <si>
    <t>DETAILS</t>
  </si>
  <si>
    <t># OF DAYS GRANTED</t>
  </si>
  <si>
    <t># OF DAYS UTILIZED</t>
  </si>
  <si>
    <t>AUGUST 12, 2022</t>
  </si>
  <si>
    <t>S.O. #052, s. 2022, dated JULY 13, 2022</t>
  </si>
  <si>
    <t>124TH PHILIPPINE INDEPENDENCE DAY CELEBRATION</t>
  </si>
  <si>
    <t>Date Granted: July 13, 2022</t>
  </si>
  <si>
    <t>Note: Validity of S.O. is One (1) from the date it was granted</t>
  </si>
  <si>
    <t>Total Remaining Balance</t>
  </si>
  <si>
    <t>CERTIFIED CORRECT:</t>
  </si>
  <si>
    <t>LESS: 02/28/2025</t>
  </si>
  <si>
    <t>ADD: 02/05/2025</t>
  </si>
  <si>
    <t>S.O # 002, S. 2025 -RIZAL DAY2024</t>
  </si>
  <si>
    <t>LESS: 02/21/2025</t>
  </si>
  <si>
    <t>LESS: 12/23/2024</t>
  </si>
  <si>
    <t>LESS: 03/31/2025</t>
  </si>
  <si>
    <t>ADD: 02/1/2025-04/30/2025</t>
  </si>
  <si>
    <t>LESS: 05/9/2025 (PM) UNDERTIME</t>
  </si>
  <si>
    <t>ADD: 05/1/2025-06/30/2025</t>
  </si>
  <si>
    <t>LESS: MONETIZATION 2025</t>
  </si>
  <si>
    <t>LESS: 08/27-28/2025</t>
  </si>
  <si>
    <t>LESS: 07/17/2025</t>
  </si>
  <si>
    <t>ADD: 07/1-31/2025</t>
  </si>
  <si>
    <t>LESS: 08/13/2025</t>
  </si>
  <si>
    <t>ADD: 08/1-31/2025</t>
  </si>
  <si>
    <t>LESS: 09/19/2025</t>
  </si>
  <si>
    <t>LESS: 09/22 (AM) &amp; 23/2025</t>
  </si>
  <si>
    <t>09/01/2025 - DATE FILED/ CHANGE AGAIN FROM SEPT 24</t>
  </si>
  <si>
    <t>LESS: 10/07/2025</t>
  </si>
  <si>
    <t>09/11, 12 &amp; 15 - DATE FILED/CHANGE AGAIN FROM SEPT. 12, 25, 26</t>
  </si>
  <si>
    <t>LESS: 09/12, 10/8-9/2025</t>
  </si>
  <si>
    <t>ADD: 07/1/2025</t>
  </si>
  <si>
    <t>S.O. # 044, S. 2025, 127TH PHILIPPINE INDEPENDENCE DAY CELEBRATION</t>
  </si>
  <si>
    <t>LESS: 10/10/2025</t>
  </si>
  <si>
    <t>NIR</t>
  </si>
  <si>
    <t>ADD: 09/1-30/2025</t>
  </si>
  <si>
    <t>LESS: 10/3/2025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</si>
</sst>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/>
        <bgColor indexed="64"/>
      </patternFill>
    </fill>
  </fills>
  <borders count="36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36" fillId="0" borderId="0"/>
    <xf numFmtId="0" fontId="35" fillId="0" borderId="0"/>
    <xf numFmtId="0" fontId="15" fillId="0" borderId="0"/>
    <xf numFmtId="0" fontId="2" fillId="0" borderId="0"/>
  </cellStyleXfs>
  <cellXfs count="194">
    <xf numFmtId="0" fontId="0" fillId="0" borderId="0" xfId="0"/>
    <xf numFmtId="0" fontId="0" fillId="2" borderId="0" xfId="0" applyFill="1"/>
    <xf numFmtId="0" fontId="37" fillId="2" borderId="3" xfId="0" applyFont="1" applyFill="1" applyBorder="1" applyAlignment="1">
      <alignment horizontal="center" vertical="center"/>
    </xf>
    <xf numFmtId="0" fontId="36" fillId="0" borderId="0" xfId="1"/>
    <xf numFmtId="0" fontId="36" fillId="2" borderId="0" xfId="1" applyFill="1"/>
    <xf numFmtId="0" fontId="36" fillId="2" borderId="0" xfId="1" applyFill="1" applyAlignment="1">
      <alignment horizontal="center"/>
    </xf>
    <xf numFmtId="0" fontId="41" fillId="0" borderId="0" xfId="1" applyFont="1"/>
    <xf numFmtId="0" fontId="36" fillId="2" borderId="10" xfId="1" applyFill="1" applyBorder="1" applyAlignment="1">
      <alignment horizontal="center" vertical="center" wrapText="1"/>
    </xf>
    <xf numFmtId="0" fontId="43" fillId="0" borderId="0" xfId="1" applyFont="1"/>
    <xf numFmtId="0" fontId="36" fillId="2" borderId="5" xfId="1" applyFill="1" applyBorder="1" applyAlignment="1">
      <alignment horizontal="center" vertical="center" wrapText="1"/>
    </xf>
    <xf numFmtId="0" fontId="40" fillId="2" borderId="6" xfId="1" applyFont="1" applyFill="1" applyBorder="1" applyAlignment="1">
      <alignment vertical="center"/>
    </xf>
    <xf numFmtId="0" fontId="40" fillId="2" borderId="0" xfId="1" applyFont="1" applyFill="1" applyAlignment="1">
      <alignment vertical="center"/>
    </xf>
    <xf numFmtId="0" fontId="40" fillId="2" borderId="0" xfId="1" applyFont="1" applyFill="1"/>
    <xf numFmtId="0" fontId="40" fillId="2" borderId="6" xfId="1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40" fillId="2" borderId="0" xfId="0" applyFont="1" applyFill="1" applyAlignment="1">
      <alignment vertical="center"/>
    </xf>
    <xf numFmtId="0" fontId="40" fillId="2" borderId="6" xfId="0" applyFont="1" applyFill="1" applyBorder="1" applyAlignment="1">
      <alignment horizontal="center" vertical="center"/>
    </xf>
    <xf numFmtId="0" fontId="40" fillId="2" borderId="0" xfId="0" applyFont="1" applyFill="1"/>
    <xf numFmtId="0" fontId="40" fillId="2" borderId="6" xfId="0" applyFont="1" applyFill="1" applyBorder="1" applyAlignment="1">
      <alignment vertical="center"/>
    </xf>
    <xf numFmtId="0" fontId="0" fillId="0" borderId="0" xfId="0" applyAlignment="1">
      <alignment horizontal="center"/>
    </xf>
    <xf numFmtId="164" fontId="45" fillId="2" borderId="1" xfId="0" applyNumberFormat="1" applyFont="1" applyFill="1" applyBorder="1" applyAlignment="1">
      <alignment horizontal="center" vertical="center"/>
    </xf>
    <xf numFmtId="164" fontId="45" fillId="2" borderId="2" xfId="0" applyNumberFormat="1" applyFont="1" applyFill="1" applyBorder="1" applyAlignment="1">
      <alignment horizontal="center" vertical="center"/>
    </xf>
    <xf numFmtId="164" fontId="45" fillId="0" borderId="2" xfId="0" applyNumberFormat="1" applyFont="1" applyBorder="1" applyAlignment="1">
      <alignment horizontal="center"/>
    </xf>
    <xf numFmtId="164" fontId="45" fillId="0" borderId="2" xfId="0" applyNumberFormat="1" applyFont="1" applyBorder="1" applyAlignment="1">
      <alignment horizontal="center" vertical="center"/>
    </xf>
    <xf numFmtId="0" fontId="0" fillId="0" borderId="2" xfId="0" applyBorder="1"/>
    <xf numFmtId="164" fontId="0" fillId="0" borderId="2" xfId="0" applyNumberFormat="1" applyBorder="1" applyAlignment="1">
      <alignment horizontal="center"/>
    </xf>
    <xf numFmtId="164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5" fillId="0" borderId="0" xfId="2"/>
    <xf numFmtId="0" fontId="35" fillId="2" borderId="0" xfId="2" applyFill="1"/>
    <xf numFmtId="0" fontId="35" fillId="2" borderId="0" xfId="2" applyFill="1" applyAlignment="1">
      <alignment horizontal="center"/>
    </xf>
    <xf numFmtId="0" fontId="35" fillId="6" borderId="2" xfId="2" applyFill="1" applyBorder="1" applyAlignment="1">
      <alignment horizontal="center" vertical="center" wrapText="1"/>
    </xf>
    <xf numFmtId="0" fontId="35" fillId="2" borderId="2" xfId="2" applyFill="1" applyBorder="1" applyAlignment="1">
      <alignment horizontal="center" vertical="center" wrapText="1"/>
    </xf>
    <xf numFmtId="0" fontId="35" fillId="2" borderId="5" xfId="2" applyFill="1" applyBorder="1" applyAlignment="1">
      <alignment horizontal="center" vertical="center" wrapText="1"/>
    </xf>
    <xf numFmtId="0" fontId="35" fillId="2" borderId="10" xfId="2" applyFill="1" applyBorder="1" applyAlignment="1">
      <alignment horizontal="center" vertical="center" wrapText="1"/>
    </xf>
    <xf numFmtId="0" fontId="47" fillId="0" borderId="0" xfId="2" applyFont="1"/>
    <xf numFmtId="0" fontId="35" fillId="2" borderId="1" xfId="2" applyFill="1" applyBorder="1" applyAlignment="1">
      <alignment horizontal="center" vertical="center"/>
    </xf>
    <xf numFmtId="0" fontId="40" fillId="2" borderId="0" xfId="2" applyFont="1" applyFill="1" applyAlignment="1">
      <alignment vertical="center"/>
    </xf>
    <xf numFmtId="0" fontId="40" fillId="2" borderId="0" xfId="2" applyFont="1" applyFill="1"/>
    <xf numFmtId="0" fontId="40" fillId="2" borderId="0" xfId="2" applyFont="1" applyFill="1" applyAlignment="1">
      <alignment horizontal="center"/>
    </xf>
    <xf numFmtId="0" fontId="40" fillId="2" borderId="0" xfId="2" applyFont="1" applyFill="1" applyAlignment="1">
      <alignment wrapText="1"/>
    </xf>
    <xf numFmtId="0" fontId="40" fillId="2" borderId="0" xfId="2" applyFont="1" applyFill="1" applyAlignment="1">
      <alignment horizontal="center" wrapText="1"/>
    </xf>
    <xf numFmtId="164" fontId="0" fillId="0" borderId="2" xfId="0" applyNumberFormat="1" applyBorder="1"/>
    <xf numFmtId="0" fontId="34" fillId="2" borderId="10" xfId="1" applyFont="1" applyFill="1" applyBorder="1" applyAlignment="1">
      <alignment horizontal="center" vertical="center" wrapText="1"/>
    </xf>
    <xf numFmtId="0" fontId="49" fillId="0" borderId="5" xfId="1" applyFont="1" applyBorder="1" applyAlignment="1">
      <alignment horizontal="center" vertical="center" wrapText="1"/>
    </xf>
    <xf numFmtId="0" fontId="33" fillId="0" borderId="2" xfId="0" applyFont="1" applyBorder="1" applyAlignment="1">
      <alignment horizontal="center"/>
    </xf>
    <xf numFmtId="0" fontId="32" fillId="0" borderId="2" xfId="0" applyFont="1" applyBorder="1" applyAlignment="1">
      <alignment horizontal="center"/>
    </xf>
    <xf numFmtId="0" fontId="31" fillId="0" borderId="2" xfId="0" applyFont="1" applyBorder="1" applyAlignment="1">
      <alignment horizontal="center"/>
    </xf>
    <xf numFmtId="0" fontId="30" fillId="0" borderId="2" xfId="0" applyFont="1" applyBorder="1" applyAlignment="1">
      <alignment horizontal="center"/>
    </xf>
    <xf numFmtId="0" fontId="29" fillId="0" borderId="2" xfId="0" applyFont="1" applyBorder="1" applyAlignment="1">
      <alignment horizontal="center"/>
    </xf>
    <xf numFmtId="0" fontId="27" fillId="0" borderId="2" xfId="0" applyFont="1" applyBorder="1" applyAlignment="1">
      <alignment horizontal="center"/>
    </xf>
    <xf numFmtId="0" fontId="50" fillId="2" borderId="0" xfId="0" applyFont="1" applyFill="1"/>
    <xf numFmtId="0" fontId="26" fillId="0" borderId="2" xfId="0" applyFont="1" applyBorder="1" applyAlignment="1">
      <alignment horizontal="center"/>
    </xf>
    <xf numFmtId="0" fontId="28" fillId="0" borderId="2" xfId="0" applyFont="1" applyBorder="1" applyAlignment="1">
      <alignment horizontal="center"/>
    </xf>
    <xf numFmtId="0" fontId="25" fillId="0" borderId="0" xfId="0" applyFont="1" applyAlignment="1">
      <alignment horizontal="center"/>
    </xf>
    <xf numFmtId="164" fontId="45" fillId="2" borderId="0" xfId="0" applyNumberFormat="1" applyFont="1" applyFill="1" applyAlignment="1">
      <alignment horizontal="center" vertical="center"/>
    </xf>
    <xf numFmtId="0" fontId="24" fillId="0" borderId="2" xfId="0" applyFont="1" applyBorder="1" applyAlignment="1">
      <alignment horizontal="center"/>
    </xf>
    <xf numFmtId="0" fontId="23" fillId="0" borderId="2" xfId="0" applyFont="1" applyBorder="1" applyAlignment="1">
      <alignment horizontal="center"/>
    </xf>
    <xf numFmtId="0" fontId="42" fillId="2" borderId="13" xfId="1" applyFont="1" applyFill="1" applyBorder="1" applyAlignment="1">
      <alignment horizontal="center" vertical="center" wrapText="1"/>
    </xf>
    <xf numFmtId="0" fontId="42" fillId="8" borderId="13" xfId="1" applyFont="1" applyFill="1" applyBorder="1" applyAlignment="1">
      <alignment horizontal="center" vertical="center" wrapText="1"/>
    </xf>
    <xf numFmtId="0" fontId="22" fillId="0" borderId="2" xfId="0" applyFont="1" applyBorder="1" applyAlignment="1">
      <alignment horizontal="center"/>
    </xf>
    <xf numFmtId="0" fontId="36" fillId="10" borderId="5" xfId="1" applyFill="1" applyBorder="1" applyAlignment="1">
      <alignment horizontal="center" vertical="center" wrapText="1"/>
    </xf>
    <xf numFmtId="0" fontId="21" fillId="2" borderId="10" xfId="1" applyFont="1" applyFill="1" applyBorder="1" applyAlignment="1">
      <alignment horizontal="center" vertical="center" wrapText="1"/>
    </xf>
    <xf numFmtId="0" fontId="36" fillId="0" borderId="5" xfId="1" applyBorder="1" applyAlignment="1">
      <alignment horizontal="center" vertical="center" wrapText="1"/>
    </xf>
    <xf numFmtId="0" fontId="40" fillId="0" borderId="0" xfId="1" applyFont="1" applyAlignment="1">
      <alignment vertical="center"/>
    </xf>
    <xf numFmtId="0" fontId="50" fillId="0" borderId="0" xfId="1" applyFont="1" applyAlignment="1">
      <alignment vertical="center"/>
    </xf>
    <xf numFmtId="0" fontId="21" fillId="0" borderId="2" xfId="0" applyFont="1" applyBorder="1" applyAlignment="1">
      <alignment horizontal="center"/>
    </xf>
    <xf numFmtId="0" fontId="20" fillId="2" borderId="10" xfId="1" applyFont="1" applyFill="1" applyBorder="1" applyAlignment="1">
      <alignment horizontal="center" vertical="center" wrapText="1"/>
    </xf>
    <xf numFmtId="0" fontId="19" fillId="0" borderId="2" xfId="0" applyFont="1" applyBorder="1" applyAlignment="1">
      <alignment horizontal="center"/>
    </xf>
    <xf numFmtId="0" fontId="18" fillId="0" borderId="2" xfId="0" applyFont="1" applyBorder="1" applyAlignment="1">
      <alignment horizontal="center"/>
    </xf>
    <xf numFmtId="0" fontId="17" fillId="0" borderId="2" xfId="0" applyFont="1" applyBorder="1" applyAlignment="1">
      <alignment horizontal="center"/>
    </xf>
    <xf numFmtId="0" fontId="16" fillId="0" borderId="2" xfId="0" applyFont="1" applyBorder="1" applyAlignment="1">
      <alignment horizontal="center"/>
    </xf>
    <xf numFmtId="0" fontId="15" fillId="0" borderId="0" xfId="3"/>
    <xf numFmtId="0" fontId="15" fillId="0" borderId="0" xfId="3" applyAlignment="1">
      <alignment horizontal="center" vertical="center"/>
    </xf>
    <xf numFmtId="0" fontId="15" fillId="2" borderId="0" xfId="3" applyFill="1"/>
    <xf numFmtId="0" fontId="37" fillId="2" borderId="6" xfId="3" applyFont="1" applyFill="1" applyBorder="1" applyAlignment="1">
      <alignment horizontal="center" vertical="center"/>
    </xf>
    <xf numFmtId="0" fontId="37" fillId="2" borderId="0" xfId="3" applyFont="1" applyFill="1" applyAlignment="1">
      <alignment vertical="center"/>
    </xf>
    <xf numFmtId="0" fontId="37" fillId="2" borderId="0" xfId="3" applyFont="1" applyFill="1" applyAlignment="1">
      <alignment horizontal="right" vertical="center"/>
    </xf>
    <xf numFmtId="0" fontId="37" fillId="2" borderId="6" xfId="3" applyFont="1" applyFill="1" applyBorder="1" applyAlignment="1">
      <alignment vertical="center"/>
    </xf>
    <xf numFmtId="0" fontId="15" fillId="2" borderId="6" xfId="3" applyFill="1" applyBorder="1"/>
    <xf numFmtId="0" fontId="37" fillId="2" borderId="0" xfId="3" applyFont="1" applyFill="1" applyAlignment="1">
      <alignment horizontal="center" vertical="center"/>
    </xf>
    <xf numFmtId="0" fontId="37" fillId="2" borderId="0" xfId="3" applyFont="1" applyFill="1"/>
    <xf numFmtId="0" fontId="15" fillId="2" borderId="0" xfId="3" applyFill="1" applyAlignment="1">
      <alignment horizontal="right"/>
    </xf>
    <xf numFmtId="0" fontId="37" fillId="2" borderId="6" xfId="3" applyFont="1" applyFill="1" applyBorder="1"/>
    <xf numFmtId="0" fontId="37" fillId="2" borderId="8" xfId="3" applyFont="1" applyFill="1" applyBorder="1" applyAlignment="1">
      <alignment horizontal="center" vertical="center" wrapText="1"/>
    </xf>
    <xf numFmtId="0" fontId="37" fillId="2" borderId="8" xfId="3" applyFont="1" applyFill="1" applyBorder="1" applyAlignment="1">
      <alignment horizontal="center" vertical="center"/>
    </xf>
    <xf numFmtId="0" fontId="37" fillId="2" borderId="30" xfId="3" applyFont="1" applyFill="1" applyBorder="1" applyAlignment="1">
      <alignment horizontal="center" vertical="center"/>
    </xf>
    <xf numFmtId="164" fontId="45" fillId="2" borderId="2" xfId="3" applyNumberFormat="1" applyFont="1" applyFill="1" applyBorder="1" applyAlignment="1">
      <alignment horizontal="center" vertical="center" wrapText="1"/>
    </xf>
    <xf numFmtId="1" fontId="45" fillId="2" borderId="20" xfId="3" applyNumberFormat="1" applyFont="1" applyFill="1" applyBorder="1" applyAlignment="1">
      <alignment horizontal="center" vertical="center"/>
    </xf>
    <xf numFmtId="1" fontId="45" fillId="2" borderId="2" xfId="3" applyNumberFormat="1" applyFont="1" applyFill="1" applyBorder="1" applyAlignment="1">
      <alignment horizontal="center" vertical="center"/>
    </xf>
    <xf numFmtId="1" fontId="45" fillId="2" borderId="5" xfId="3" applyNumberFormat="1" applyFont="1" applyFill="1" applyBorder="1" applyAlignment="1">
      <alignment horizontal="center" vertical="center"/>
    </xf>
    <xf numFmtId="1" fontId="51" fillId="2" borderId="35" xfId="3" applyNumberFormat="1" applyFont="1" applyFill="1" applyBorder="1" applyAlignment="1">
      <alignment horizontal="center" vertical="center"/>
    </xf>
    <xf numFmtId="0" fontId="51" fillId="0" borderId="0" xfId="3" applyFont="1" applyAlignment="1">
      <alignment vertical="center"/>
    </xf>
    <xf numFmtId="0" fontId="15" fillId="0" borderId="0" xfId="3" applyAlignment="1">
      <alignment horizontal="center"/>
    </xf>
    <xf numFmtId="0" fontId="45" fillId="2" borderId="0" xfId="3" applyFont="1" applyFill="1" applyAlignment="1">
      <alignment horizontal="center" vertical="center"/>
    </xf>
    <xf numFmtId="0" fontId="14" fillId="0" borderId="2" xfId="0" applyFont="1" applyBorder="1" applyAlignment="1">
      <alignment horizontal="center"/>
    </xf>
    <xf numFmtId="0" fontId="0" fillId="11" borderId="2" xfId="0" applyFill="1" applyBorder="1" applyAlignment="1">
      <alignment horizontal="center"/>
    </xf>
    <xf numFmtId="0" fontId="14" fillId="2" borderId="10" xfId="1" applyFont="1" applyFill="1" applyBorder="1" applyAlignment="1">
      <alignment horizontal="center" vertical="center" wrapText="1"/>
    </xf>
    <xf numFmtId="0" fontId="14" fillId="2" borderId="0" xfId="1" applyFont="1" applyFill="1" applyAlignment="1">
      <alignment horizontal="center" vertical="center" wrapText="1"/>
    </xf>
    <xf numFmtId="0" fontId="42" fillId="2" borderId="0" xfId="1" applyFont="1" applyFill="1" applyAlignment="1">
      <alignment horizontal="center" vertical="center" wrapText="1"/>
    </xf>
    <xf numFmtId="0" fontId="36" fillId="0" borderId="0" xfId="1" applyAlignment="1">
      <alignment horizontal="center" vertical="center" wrapText="1"/>
    </xf>
    <xf numFmtId="0" fontId="13" fillId="0" borderId="2" xfId="0" applyFont="1" applyBorder="1" applyAlignment="1">
      <alignment horizontal="center"/>
    </xf>
    <xf numFmtId="0" fontId="12" fillId="2" borderId="10" xfId="1" applyFont="1" applyFill="1" applyBorder="1" applyAlignment="1">
      <alignment horizontal="center" vertical="center" wrapText="1"/>
    </xf>
    <xf numFmtId="0" fontId="11" fillId="0" borderId="2" xfId="0" applyFont="1" applyBorder="1" applyAlignment="1">
      <alignment horizontal="center"/>
    </xf>
    <xf numFmtId="0" fontId="10" fillId="0" borderId="2" xfId="0" applyFont="1" applyBorder="1" applyAlignment="1">
      <alignment horizontal="center"/>
    </xf>
    <xf numFmtId="14" fontId="0" fillId="0" borderId="2" xfId="0" applyNumberFormat="1" applyBorder="1" applyAlignment="1">
      <alignment horizontal="center" vertical="center"/>
    </xf>
    <xf numFmtId="164" fontId="45" fillId="2" borderId="2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12" borderId="2" xfId="0" applyFill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0" fillId="2" borderId="10" xfId="0" applyFill="1" applyBorder="1" applyAlignment="1">
      <alignment horizontal="center" vertical="center"/>
    </xf>
    <xf numFmtId="0" fontId="0" fillId="2" borderId="2" xfId="4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/>
    </xf>
    <xf numFmtId="0" fontId="0" fillId="2" borderId="0" xfId="0" applyFill="1" applyAlignment="1">
      <alignment horizontal="center" vertical="center"/>
    </xf>
    <xf numFmtId="0" fontId="40" fillId="2" borderId="0" xfId="0" applyFont="1" applyFill="1" applyAlignment="1">
      <alignment horizontal="left" vertical="center"/>
    </xf>
    <xf numFmtId="0" fontId="44" fillId="2" borderId="19" xfId="0" applyFont="1" applyFill="1" applyBorder="1" applyAlignment="1">
      <alignment horizontal="center" vertical="center"/>
    </xf>
    <xf numFmtId="0" fontId="37" fillId="4" borderId="8" xfId="0" applyFont="1" applyFill="1" applyBorder="1" applyAlignment="1">
      <alignment horizontal="center" vertical="center"/>
    </xf>
    <xf numFmtId="0" fontId="37" fillId="7" borderId="8" xfId="0" applyFont="1" applyFill="1" applyBorder="1" applyAlignment="1">
      <alignment horizontal="center" vertical="center"/>
    </xf>
    <xf numFmtId="0" fontId="37" fillId="3" borderId="15" xfId="0" applyFont="1" applyFill="1" applyBorder="1" applyAlignment="1">
      <alignment horizontal="center" vertical="center"/>
    </xf>
    <xf numFmtId="0" fontId="37" fillId="3" borderId="16" xfId="0" applyFont="1" applyFill="1" applyBorder="1" applyAlignment="1">
      <alignment horizontal="center" vertical="center"/>
    </xf>
    <xf numFmtId="0" fontId="37" fillId="3" borderId="7" xfId="0" applyFont="1" applyFill="1" applyBorder="1" applyAlignment="1">
      <alignment horizontal="center" vertical="center"/>
    </xf>
    <xf numFmtId="0" fontId="37" fillId="3" borderId="9" xfId="0" applyFont="1" applyFill="1" applyBorder="1" applyAlignment="1">
      <alignment horizontal="center" vertical="center"/>
    </xf>
    <xf numFmtId="0" fontId="37" fillId="5" borderId="18" xfId="0" applyFont="1" applyFill="1" applyBorder="1" applyAlignment="1">
      <alignment horizontal="center" vertical="center"/>
    </xf>
    <xf numFmtId="0" fontId="37" fillId="5" borderId="17" xfId="0" applyFont="1" applyFill="1" applyBorder="1" applyAlignment="1">
      <alignment horizontal="center" vertical="center"/>
    </xf>
    <xf numFmtId="0" fontId="37" fillId="5" borderId="21" xfId="0" applyFont="1" applyFill="1" applyBorder="1" applyAlignment="1">
      <alignment horizontal="center" vertical="center"/>
    </xf>
    <xf numFmtId="0" fontId="42" fillId="2" borderId="13" xfId="0" applyFont="1" applyFill="1" applyBorder="1" applyAlignment="1">
      <alignment horizontal="center" vertical="center" wrapText="1"/>
    </xf>
    <xf numFmtId="0" fontId="42" fillId="2" borderId="14" xfId="0" applyFont="1" applyFill="1" applyBorder="1" applyAlignment="1">
      <alignment horizontal="center" vertical="center" wrapText="1"/>
    </xf>
    <xf numFmtId="0" fontId="42" fillId="2" borderId="12" xfId="0" applyFont="1" applyFill="1" applyBorder="1" applyAlignment="1">
      <alignment horizontal="center" vertical="center" wrapText="1"/>
    </xf>
    <xf numFmtId="0" fontId="42" fillId="2" borderId="13" xfId="1" applyFont="1" applyFill="1" applyBorder="1" applyAlignment="1">
      <alignment horizontal="center" vertical="center" wrapText="1"/>
    </xf>
    <xf numFmtId="0" fontId="42" fillId="2" borderId="14" xfId="1" applyFont="1" applyFill="1" applyBorder="1" applyAlignment="1">
      <alignment horizontal="center" vertical="center" wrapText="1"/>
    </xf>
    <xf numFmtId="0" fontId="42" fillId="2" borderId="12" xfId="1" applyFont="1" applyFill="1" applyBorder="1" applyAlignment="1">
      <alignment horizontal="center" vertical="center" wrapText="1"/>
    </xf>
    <xf numFmtId="0" fontId="36" fillId="0" borderId="0" xfId="1" applyAlignment="1">
      <alignment horizontal="center" vertical="center"/>
    </xf>
    <xf numFmtId="0" fontId="36" fillId="2" borderId="0" xfId="1" applyFill="1" applyAlignment="1">
      <alignment horizontal="center" vertical="center"/>
    </xf>
    <xf numFmtId="0" fontId="2" fillId="2" borderId="0" xfId="1" applyFont="1" applyFill="1" applyAlignment="1">
      <alignment horizontal="center" vertical="center"/>
    </xf>
    <xf numFmtId="0" fontId="38" fillId="2" borderId="19" xfId="1" applyFont="1" applyFill="1" applyBorder="1" applyAlignment="1">
      <alignment horizontal="center" vertical="center"/>
    </xf>
    <xf numFmtId="0" fontId="39" fillId="3" borderId="15" xfId="1" applyFont="1" applyFill="1" applyBorder="1" applyAlignment="1">
      <alignment horizontal="center" vertical="center"/>
    </xf>
    <xf numFmtId="0" fontId="39" fillId="3" borderId="4" xfId="1" applyFont="1" applyFill="1" applyBorder="1" applyAlignment="1">
      <alignment horizontal="center" vertical="center"/>
    </xf>
    <xf numFmtId="0" fontId="42" fillId="8" borderId="13" xfId="1" applyFont="1" applyFill="1" applyBorder="1" applyAlignment="1">
      <alignment horizontal="center" vertical="center" wrapText="1"/>
    </xf>
    <xf numFmtId="0" fontId="42" fillId="8" borderId="14" xfId="1" applyFont="1" applyFill="1" applyBorder="1" applyAlignment="1">
      <alignment horizontal="center" vertical="center" wrapText="1"/>
    </xf>
    <xf numFmtId="0" fontId="42" fillId="8" borderId="12" xfId="1" applyFont="1" applyFill="1" applyBorder="1" applyAlignment="1">
      <alignment horizontal="center" vertical="center" wrapText="1"/>
    </xf>
    <xf numFmtId="0" fontId="39" fillId="3" borderId="7" xfId="1" applyFont="1" applyFill="1" applyBorder="1" applyAlignment="1">
      <alignment horizontal="center" vertical="center"/>
    </xf>
    <xf numFmtId="0" fontId="39" fillId="3" borderId="10" xfId="1" applyFont="1" applyFill="1" applyBorder="1" applyAlignment="1">
      <alignment horizontal="center" vertical="center"/>
    </xf>
    <xf numFmtId="0" fontId="39" fillId="9" borderId="18" xfId="1" applyFont="1" applyFill="1" applyBorder="1" applyAlignment="1">
      <alignment horizontal="center" vertical="center"/>
    </xf>
    <xf numFmtId="0" fontId="39" fillId="9" borderId="17" xfId="1" applyFont="1" applyFill="1" applyBorder="1" applyAlignment="1">
      <alignment horizontal="center" vertical="center"/>
    </xf>
    <xf numFmtId="0" fontId="46" fillId="2" borderId="13" xfId="2" applyFont="1" applyFill="1" applyBorder="1" applyAlignment="1">
      <alignment horizontal="center" vertical="center" wrapText="1"/>
    </xf>
    <xf numFmtId="0" fontId="46" fillId="2" borderId="14" xfId="2" applyFont="1" applyFill="1" applyBorder="1" applyAlignment="1">
      <alignment horizontal="center" vertical="center" wrapText="1"/>
    </xf>
    <xf numFmtId="0" fontId="46" fillId="2" borderId="12" xfId="2" applyFont="1" applyFill="1" applyBorder="1" applyAlignment="1">
      <alignment horizontal="center" vertical="center" wrapText="1"/>
    </xf>
    <xf numFmtId="0" fontId="40" fillId="2" borderId="0" xfId="2" applyFont="1" applyFill="1" applyAlignment="1">
      <alignment horizontal="left" vertical="center"/>
    </xf>
    <xf numFmtId="0" fontId="40" fillId="2" borderId="0" xfId="2" applyFont="1" applyFill="1" applyAlignment="1">
      <alignment horizontal="left"/>
    </xf>
    <xf numFmtId="0" fontId="44" fillId="2" borderId="19" xfId="2" applyFont="1" applyFill="1" applyBorder="1" applyAlignment="1">
      <alignment horizontal="center" vertical="center"/>
    </xf>
    <xf numFmtId="0" fontId="46" fillId="8" borderId="29" xfId="2" applyFont="1" applyFill="1" applyBorder="1" applyAlignment="1">
      <alignment horizontal="center" vertical="center" wrapText="1"/>
    </xf>
    <xf numFmtId="0" fontId="46" fillId="8" borderId="28" xfId="2" applyFont="1" applyFill="1" applyBorder="1" applyAlignment="1">
      <alignment horizontal="center" vertical="center" wrapText="1"/>
    </xf>
    <xf numFmtId="0" fontId="46" fillId="8" borderId="26" xfId="2" applyFont="1" applyFill="1" applyBorder="1" applyAlignment="1">
      <alignment horizontal="center" vertical="center" wrapText="1"/>
    </xf>
    <xf numFmtId="0" fontId="46" fillId="8" borderId="25" xfId="2" applyFont="1" applyFill="1" applyBorder="1" applyAlignment="1">
      <alignment horizontal="center" vertical="center" wrapText="1"/>
    </xf>
    <xf numFmtId="0" fontId="46" fillId="8" borderId="23" xfId="2" applyFont="1" applyFill="1" applyBorder="1" applyAlignment="1">
      <alignment horizontal="center" vertical="center" wrapText="1"/>
    </xf>
    <xf numFmtId="0" fontId="46" fillId="8" borderId="22" xfId="2" applyFont="1" applyFill="1" applyBorder="1" applyAlignment="1">
      <alignment horizontal="center" vertical="center" wrapText="1"/>
    </xf>
    <xf numFmtId="0" fontId="48" fillId="3" borderId="15" xfId="2" applyFont="1" applyFill="1" applyBorder="1" applyAlignment="1">
      <alignment horizontal="center" vertical="center"/>
    </xf>
    <xf numFmtId="0" fontId="48" fillId="3" borderId="24" xfId="2" applyFont="1" applyFill="1" applyBorder="1" applyAlignment="1">
      <alignment horizontal="center" vertical="center"/>
    </xf>
    <xf numFmtId="0" fontId="48" fillId="3" borderId="4" xfId="2" applyFont="1" applyFill="1" applyBorder="1" applyAlignment="1">
      <alignment horizontal="center" vertical="center"/>
    </xf>
    <xf numFmtId="0" fontId="48" fillId="3" borderId="7" xfId="2" applyFont="1" applyFill="1" applyBorder="1" applyAlignment="1">
      <alignment horizontal="center" vertical="center" wrapText="1"/>
    </xf>
    <xf numFmtId="0" fontId="48" fillId="3" borderId="27" xfId="2" applyFont="1" applyFill="1" applyBorder="1" applyAlignment="1">
      <alignment horizontal="center" vertical="center" wrapText="1"/>
    </xf>
    <xf numFmtId="0" fontId="48" fillId="3" borderId="10" xfId="2" applyFont="1" applyFill="1" applyBorder="1" applyAlignment="1">
      <alignment horizontal="center" vertical="center" wrapText="1"/>
    </xf>
    <xf numFmtId="0" fontId="48" fillId="3" borderId="7" xfId="2" applyFont="1" applyFill="1" applyBorder="1" applyAlignment="1">
      <alignment horizontal="center" vertical="center"/>
    </xf>
    <xf numFmtId="0" fontId="48" fillId="3" borderId="27" xfId="2" applyFont="1" applyFill="1" applyBorder="1" applyAlignment="1">
      <alignment horizontal="center" vertical="center"/>
    </xf>
    <xf numFmtId="0" fontId="48" fillId="3" borderId="10" xfId="2" applyFont="1" applyFill="1" applyBorder="1" applyAlignment="1">
      <alignment horizontal="center" vertical="center"/>
    </xf>
    <xf numFmtId="0" fontId="35" fillId="2" borderId="0" xfId="2" applyFill="1" applyAlignment="1">
      <alignment horizontal="center" vertical="center"/>
    </xf>
    <xf numFmtId="0" fontId="15" fillId="0" borderId="0" xfId="3" applyAlignment="1">
      <alignment horizontal="center"/>
    </xf>
    <xf numFmtId="0" fontId="37" fillId="0" borderId="0" xfId="3" applyFont="1" applyAlignment="1">
      <alignment horizontal="left" vertical="center"/>
    </xf>
    <xf numFmtId="0" fontId="15" fillId="0" borderId="0" xfId="3" applyAlignment="1">
      <alignment horizontal="left" vertical="center"/>
    </xf>
    <xf numFmtId="0" fontId="37" fillId="2" borderId="7" xfId="3" applyFont="1" applyFill="1" applyBorder="1" applyAlignment="1">
      <alignment horizontal="center" vertical="center"/>
    </xf>
    <xf numFmtId="0" fontId="37" fillId="2" borderId="28" xfId="3" applyFont="1" applyFill="1" applyBorder="1" applyAlignment="1">
      <alignment horizontal="center" vertical="center"/>
    </xf>
    <xf numFmtId="0" fontId="15" fillId="0" borderId="11" xfId="3" applyBorder="1" applyAlignment="1">
      <alignment horizontal="center" vertical="center" wrapText="1"/>
    </xf>
    <xf numFmtId="0" fontId="15" fillId="0" borderId="12" xfId="3" applyBorder="1" applyAlignment="1">
      <alignment horizontal="center" vertical="center" wrapText="1"/>
    </xf>
    <xf numFmtId="0" fontId="15" fillId="0" borderId="11" xfId="3" applyBorder="1" applyAlignment="1">
      <alignment horizontal="left" vertical="center" wrapText="1"/>
    </xf>
    <xf numFmtId="0" fontId="15" fillId="0" borderId="14" xfId="3" applyBorder="1" applyAlignment="1">
      <alignment horizontal="left" vertical="center" wrapText="1"/>
    </xf>
    <xf numFmtId="0" fontId="15" fillId="0" borderId="31" xfId="3" applyBorder="1" applyAlignment="1">
      <alignment horizontal="left" vertical="center" wrapText="1"/>
    </xf>
    <xf numFmtId="0" fontId="51" fillId="0" borderId="32" xfId="3" applyFont="1" applyBorder="1" applyAlignment="1">
      <alignment horizontal="right" vertical="center"/>
    </xf>
    <xf numFmtId="0" fontId="51" fillId="0" borderId="33" xfId="3" applyFont="1" applyBorder="1" applyAlignment="1">
      <alignment horizontal="right" vertical="center"/>
    </xf>
    <xf numFmtId="0" fontId="51" fillId="0" borderId="34" xfId="3" applyFont="1" applyBorder="1" applyAlignment="1">
      <alignment horizontal="right" vertical="center"/>
    </xf>
    <xf numFmtId="0" fontId="15" fillId="0" borderId="0" xfId="3" applyAlignment="1">
      <alignment horizontal="left"/>
    </xf>
    <xf numFmtId="0" fontId="38" fillId="2" borderId="19" xfId="3" applyFont="1" applyFill="1" applyBorder="1" applyAlignment="1">
      <alignment horizontal="center" vertical="center"/>
    </xf>
    <xf numFmtId="0" fontId="37" fillId="0" borderId="0" xfId="3" applyFont="1" applyAlignment="1">
      <alignment horizontal="center" vertical="center"/>
    </xf>
    <xf numFmtId="0" fontId="15" fillId="0" borderId="0" xfId="3" applyAlignment="1">
      <alignment horizontal="center" vertical="center"/>
    </xf>
    <xf numFmtId="0" fontId="37" fillId="2" borderId="0" xfId="3" applyFont="1" applyFill="1" applyAlignment="1">
      <alignment horizontal="center" vertical="center" wrapText="1"/>
    </xf>
    <xf numFmtId="0" fontId="2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164" fontId="45" fillId="2" borderId="0" xfId="0" applyNumberFormat="1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</cellXfs>
  <cellStyles count="5">
    <cellStyle name="Normal" xfId="0" builtinId="0"/>
    <cellStyle name="Normal 2" xfId="1" xr:uid="{00000000-0005-0000-0000-000001000000}"/>
    <cellStyle name="Normal 2 2" xfId="4" xr:uid="{B3A90674-261C-480E-8AB1-B988B275E658}"/>
    <cellStyle name="Normal 3" xfId="2" xr:uid="{00000000-0005-0000-0000-000002000000}"/>
    <cellStyle name="Normal 4" xfId="3" xr:uid="{98DD9F82-CDB6-4211-BB69-A7A9C9467D6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466725</xdr:colOff>
      <xdr:row>0</xdr:row>
      <xdr:rowOff>111125</xdr:rowOff>
    </xdr:from>
    <xdr:to>
      <xdr:col>4</xdr:col>
      <xdr:colOff>428625</xdr:colOff>
      <xdr:row>0</xdr:row>
      <xdr:rowOff>641350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924300" y="111125"/>
          <a:ext cx="666750" cy="530225"/>
        </a:xfrm>
        <a:prstGeom prst="rect">
          <a:avLst/>
        </a:prstGeom>
        <a:noFill/>
      </xdr:spPr>
    </xdr:pic>
    <xdr:clientData/>
  </xdr:twoCellAnchor>
  <xdr:twoCellAnchor>
    <xdr:from>
      <xdr:col>0</xdr:col>
      <xdr:colOff>573942</xdr:colOff>
      <xdr:row>4</xdr:row>
      <xdr:rowOff>170961</xdr:rowOff>
    </xdr:from>
    <xdr:to>
      <xdr:col>0</xdr:col>
      <xdr:colOff>2582741</xdr:colOff>
      <xdr:row>6</xdr:row>
      <xdr:rowOff>116010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621B33AA-E3C5-42FE-BA7F-DADA7C463A75}"/>
            </a:ext>
          </a:extLst>
        </xdr:cNvPr>
        <xdr:cNvSpPr txBox="1"/>
      </xdr:nvSpPr>
      <xdr:spPr>
        <a:xfrm>
          <a:off x="573942" y="1377461"/>
          <a:ext cx="2008799" cy="2498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ESTRELLA,</a:t>
          </a:r>
          <a:r>
            <a:rPr lang="en-US" sz="1100" baseline="0"/>
            <a:t> MICAH T. MAE</a:t>
          </a:r>
          <a:endParaRPr lang="en-US" sz="1100"/>
        </a:p>
      </xdr:txBody>
    </xdr:sp>
    <xdr:clientData/>
  </xdr:twoCellAnchor>
  <xdr:twoCellAnchor>
    <xdr:from>
      <xdr:col>0</xdr:col>
      <xdr:colOff>616683</xdr:colOff>
      <xdr:row>7</xdr:row>
      <xdr:rowOff>61057</xdr:rowOff>
    </xdr:from>
    <xdr:to>
      <xdr:col>0</xdr:col>
      <xdr:colOff>2625482</xdr:colOff>
      <xdr:row>9</xdr:row>
      <xdr:rowOff>6105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92665DA1-FC71-499B-8C11-4CFCD25A7EB5}"/>
            </a:ext>
          </a:extLst>
        </xdr:cNvPr>
        <xdr:cNvSpPr txBox="1"/>
      </xdr:nvSpPr>
      <xdr:spPr>
        <a:xfrm>
          <a:off x="616683" y="1724757"/>
          <a:ext cx="1996099" cy="24984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ADA</a:t>
          </a:r>
          <a:r>
            <a:rPr lang="en-US" sz="1100" baseline="0"/>
            <a:t> VI-RECORDS</a:t>
          </a:r>
          <a:endParaRPr lang="en-US" sz="1100"/>
        </a:p>
      </xdr:txBody>
    </xdr:sp>
    <xdr:clientData/>
  </xdr:twoCellAnchor>
  <xdr:twoCellAnchor>
    <xdr:from>
      <xdr:col>2</xdr:col>
      <xdr:colOff>415193</xdr:colOff>
      <xdr:row>7</xdr:row>
      <xdr:rowOff>42741</xdr:rowOff>
    </xdr:from>
    <xdr:to>
      <xdr:col>4</xdr:col>
      <xdr:colOff>604471</xdr:colOff>
      <xdr:row>8</xdr:row>
      <xdr:rowOff>140434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D99A2FFF-4381-4F05-9596-2ED97AC3AEE5}"/>
            </a:ext>
          </a:extLst>
        </xdr:cNvPr>
        <xdr:cNvSpPr txBox="1"/>
      </xdr:nvSpPr>
      <xdr:spPr>
        <a:xfrm>
          <a:off x="3837843" y="1706441"/>
          <a:ext cx="1814878" cy="25009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SDO SIPALAY CITY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426584</xdr:colOff>
      <xdr:row>0</xdr:row>
      <xdr:rowOff>0</xdr:rowOff>
    </xdr:from>
    <xdr:ext cx="668791" cy="588962"/>
    <xdr:pic>
      <xdr:nvPicPr>
        <xdr:cNvPr id="2" name="Picture 1">
          <a:extLst>
            <a:ext uri="{FF2B5EF4-FFF2-40B4-BE49-F238E27FC236}">
              <a16:creationId xmlns:a16="http://schemas.microsoft.com/office/drawing/2014/main" id="{270E619C-DB7D-4E16-95D9-6EFBD08DB24C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36434" y="0"/>
          <a:ext cx="668791" cy="588962"/>
        </a:xfrm>
        <a:prstGeom prst="rect">
          <a:avLst/>
        </a:prstGeom>
        <a:noFill/>
      </xdr:spPr>
    </xdr:pic>
    <xdr:clientData/>
  </xdr:oneCellAnchor>
  <xdr:twoCellAnchor>
    <xdr:from>
      <xdr:col>0</xdr:col>
      <xdr:colOff>573942</xdr:colOff>
      <xdr:row>4</xdr:row>
      <xdr:rowOff>170961</xdr:rowOff>
    </xdr:from>
    <xdr:to>
      <xdr:col>1</xdr:col>
      <xdr:colOff>946150</xdr:colOff>
      <xdr:row>6</xdr:row>
      <xdr:rowOff>88900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F9E94A1-0F2B-4CE6-8B20-897F4C9BCA39}"/>
            </a:ext>
          </a:extLst>
        </xdr:cNvPr>
        <xdr:cNvSpPr txBox="1"/>
      </xdr:nvSpPr>
      <xdr:spPr>
        <a:xfrm>
          <a:off x="573942" y="907561"/>
          <a:ext cx="645258" cy="28623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ESTRELLA,</a:t>
          </a:r>
          <a:r>
            <a:rPr lang="en-US" sz="1100" baseline="0"/>
            <a:t> MICAH MAE</a:t>
          </a:r>
          <a:endParaRPr lang="en-US" sz="1100"/>
        </a:p>
      </xdr:txBody>
    </xdr:sp>
    <xdr:clientData/>
  </xdr:twoCellAnchor>
  <xdr:twoCellAnchor>
    <xdr:from>
      <xdr:col>0</xdr:col>
      <xdr:colOff>654051</xdr:colOff>
      <xdr:row>7</xdr:row>
      <xdr:rowOff>19051</xdr:rowOff>
    </xdr:from>
    <xdr:to>
      <xdr:col>0</xdr:col>
      <xdr:colOff>1720850</xdr:colOff>
      <xdr:row>8</xdr:row>
      <xdr:rowOff>114301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4F10CED-2F66-4E57-BDD3-C76AC6FB1E69}"/>
            </a:ext>
          </a:extLst>
        </xdr:cNvPr>
        <xdr:cNvSpPr txBox="1"/>
      </xdr:nvSpPr>
      <xdr:spPr>
        <a:xfrm>
          <a:off x="609601" y="1308101"/>
          <a:ext cx="0" cy="2794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AO II</a:t>
          </a:r>
        </a:p>
      </xdr:txBody>
    </xdr:sp>
    <xdr:clientData/>
  </xdr:twoCellAnchor>
  <xdr:twoCellAnchor>
    <xdr:from>
      <xdr:col>3</xdr:col>
      <xdr:colOff>526823</xdr:colOff>
      <xdr:row>7</xdr:row>
      <xdr:rowOff>42410</xdr:rowOff>
    </xdr:from>
    <xdr:to>
      <xdr:col>5</xdr:col>
      <xdr:colOff>463323</xdr:colOff>
      <xdr:row>9</xdr:row>
      <xdr:rowOff>10714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48D4610C-F923-4608-A723-9F930E5F732D}"/>
            </a:ext>
          </a:extLst>
        </xdr:cNvPr>
        <xdr:cNvSpPr txBox="1"/>
      </xdr:nvSpPr>
      <xdr:spPr>
        <a:xfrm>
          <a:off x="2355623" y="1331460"/>
          <a:ext cx="1155700" cy="33660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OSDS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78804</xdr:colOff>
      <xdr:row>0</xdr:row>
      <xdr:rowOff>21626</xdr:rowOff>
    </xdr:from>
    <xdr:ext cx="781092" cy="633218"/>
    <xdr:pic>
      <xdr:nvPicPr>
        <xdr:cNvPr id="2" name="Picture 1">
          <a:extLst>
            <a:ext uri="{FF2B5EF4-FFF2-40B4-BE49-F238E27FC236}">
              <a16:creationId xmlns:a16="http://schemas.microsoft.com/office/drawing/2014/main" id="{237F61D0-E966-4979-9F86-08673D72BEEE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517204" y="21626"/>
          <a:ext cx="781092" cy="633218"/>
        </a:xfrm>
        <a:prstGeom prst="rect">
          <a:avLst/>
        </a:prstGeom>
        <a:noFill/>
      </xdr:spPr>
    </xdr:pic>
    <xdr:clientData/>
  </xdr:oneCellAnchor>
  <xdr:twoCellAnchor>
    <xdr:from>
      <xdr:col>0</xdr:col>
      <xdr:colOff>43127</xdr:colOff>
      <xdr:row>16</xdr:row>
      <xdr:rowOff>66145</xdr:rowOff>
    </xdr:from>
    <xdr:to>
      <xdr:col>3</xdr:col>
      <xdr:colOff>500327</xdr:colOff>
      <xdr:row>21</xdr:row>
      <xdr:rowOff>132291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F77370E-6EEC-47CA-B090-63C4067E68E0}"/>
            </a:ext>
          </a:extLst>
        </xdr:cNvPr>
        <xdr:cNvSpPr txBox="1"/>
      </xdr:nvSpPr>
      <xdr:spPr>
        <a:xfrm>
          <a:off x="43127" y="3749145"/>
          <a:ext cx="2286000" cy="98689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769408</xdr:colOff>
      <xdr:row>8</xdr:row>
      <xdr:rowOff>16140</xdr:rowOff>
    </xdr:from>
    <xdr:to>
      <xdr:col>2</xdr:col>
      <xdr:colOff>45508</xdr:colOff>
      <xdr:row>8</xdr:row>
      <xdr:rowOff>16140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B11BA6B7-A8DA-460F-B9C9-72D86783E98A}"/>
            </a:ext>
          </a:extLst>
        </xdr:cNvPr>
        <xdr:cNvCxnSpPr/>
      </xdr:nvCxnSpPr>
      <xdr:spPr>
        <a:xfrm>
          <a:off x="610658" y="1489340"/>
          <a:ext cx="65405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752475</xdr:colOff>
      <xdr:row>9</xdr:row>
      <xdr:rowOff>142875</xdr:rowOff>
    </xdr:from>
    <xdr:to>
      <xdr:col>2</xdr:col>
      <xdr:colOff>28575</xdr:colOff>
      <xdr:row>9</xdr:row>
      <xdr:rowOff>142875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58BFD6F4-9E2E-4482-A6AB-08A876F95386}"/>
            </a:ext>
          </a:extLst>
        </xdr:cNvPr>
        <xdr:cNvCxnSpPr/>
      </xdr:nvCxnSpPr>
      <xdr:spPr>
        <a:xfrm>
          <a:off x="606425" y="1800225"/>
          <a:ext cx="64135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920752</xdr:colOff>
      <xdr:row>0</xdr:row>
      <xdr:rowOff>66674</xdr:rowOff>
    </xdr:from>
    <xdr:to>
      <xdr:col>3</xdr:col>
      <xdr:colOff>1876426</xdr:colOff>
      <xdr:row>1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2325A34-5A7C-42C5-B9AB-B59081B1A8E5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4027" y="66674"/>
          <a:ext cx="955674" cy="704851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01"/>
  <sheetViews>
    <sheetView tabSelected="1" view="pageBreakPreview" topLeftCell="A71" zoomScaleNormal="100" workbookViewId="0">
      <selection activeCell="A93" sqref="A93:XFD93"/>
    </sheetView>
  </sheetViews>
  <sheetFormatPr defaultColWidth="9" defaultRowHeight="15"/>
  <cols>
    <col min="1" max="1" width="30.7109375" customWidth="1"/>
    <col min="2" max="9" width="10.5703125" customWidth="1"/>
    <col min="10" max="10" width="12.85546875" customWidth="1"/>
  </cols>
  <sheetData>
    <row r="1" spans="1:11" s="1" customFormat="1" ht="52.5" customHeight="1"/>
    <row r="2" spans="1:11" s="1" customFormat="1" ht="10.5" customHeight="1">
      <c r="A2" s="119" t="s">
        <v>46</v>
      </c>
      <c r="B2" s="119"/>
      <c r="C2" s="119"/>
      <c r="D2" s="119"/>
      <c r="E2" s="119"/>
      <c r="F2" s="119"/>
      <c r="G2" s="119"/>
      <c r="H2" s="119"/>
      <c r="I2" s="119"/>
      <c r="J2" s="119"/>
    </row>
    <row r="3" spans="1:11" s="1" customFormat="1" ht="15.95" customHeight="1">
      <c r="A3" s="119" t="s">
        <v>45</v>
      </c>
      <c r="B3" s="119"/>
      <c r="C3" s="119"/>
      <c r="D3" s="119"/>
      <c r="E3" s="119"/>
      <c r="F3" s="119"/>
      <c r="G3" s="119"/>
      <c r="H3" s="119"/>
      <c r="I3" s="119"/>
      <c r="J3" s="119"/>
    </row>
    <row r="4" spans="1:11" s="1" customFormat="1" ht="15.95" customHeight="1">
      <c r="A4" s="119" t="s">
        <v>44</v>
      </c>
      <c r="B4" s="119"/>
      <c r="C4" s="119"/>
      <c r="D4" s="119"/>
      <c r="E4" s="119"/>
      <c r="F4" s="119"/>
      <c r="G4" s="119"/>
      <c r="H4" s="119"/>
      <c r="I4" s="119"/>
      <c r="J4" s="119"/>
    </row>
    <row r="5" spans="1:11" s="1" customFormat="1" ht="15.95" customHeight="1">
      <c r="A5" s="119" t="s">
        <v>43</v>
      </c>
      <c r="B5" s="119"/>
      <c r="C5" s="119"/>
      <c r="D5" s="119"/>
      <c r="E5" s="119"/>
      <c r="F5" s="119"/>
      <c r="G5" s="119"/>
      <c r="H5" s="119"/>
      <c r="I5" s="119"/>
      <c r="J5" s="119"/>
    </row>
    <row r="6" spans="1:11" s="1" customFormat="1" ht="8.25" customHeight="1"/>
    <row r="7" spans="1:11" s="1" customFormat="1" ht="12" customHeight="1">
      <c r="A7" s="1" t="s">
        <v>42</v>
      </c>
      <c r="B7" s="120" t="s">
        <v>41</v>
      </c>
      <c r="C7" s="120"/>
      <c r="D7" s="120"/>
      <c r="H7" s="15" t="s">
        <v>0</v>
      </c>
      <c r="I7" s="16"/>
      <c r="J7" s="15"/>
    </row>
    <row r="8" spans="1:11" s="1" customFormat="1" ht="12" customHeight="1">
      <c r="B8" s="17"/>
      <c r="C8" s="17"/>
      <c r="H8" s="17"/>
      <c r="I8" s="17"/>
      <c r="J8" s="17"/>
    </row>
    <row r="9" spans="1:11" s="1" customFormat="1" ht="12" customHeight="1">
      <c r="A9" s="1" t="s">
        <v>40</v>
      </c>
      <c r="B9" s="120" t="s">
        <v>39</v>
      </c>
      <c r="C9" s="120"/>
      <c r="D9" s="120"/>
      <c r="H9" s="15" t="s">
        <v>1</v>
      </c>
      <c r="I9" s="18"/>
      <c r="J9" s="15"/>
    </row>
    <row r="10" spans="1:11" ht="16.5" customHeight="1" thickBot="1">
      <c r="A10" s="121" t="s">
        <v>2</v>
      </c>
      <c r="B10" s="121"/>
      <c r="C10" s="121"/>
      <c r="D10" s="121"/>
      <c r="E10" s="121"/>
      <c r="F10" s="121"/>
      <c r="G10" s="121"/>
      <c r="H10" s="121"/>
      <c r="I10" s="121"/>
      <c r="J10" s="121"/>
    </row>
    <row r="11" spans="1:11" ht="18.75" customHeight="1">
      <c r="A11" s="126" t="s">
        <v>3</v>
      </c>
      <c r="B11" s="122" t="s">
        <v>4</v>
      </c>
      <c r="C11" s="122"/>
      <c r="D11" s="128" t="s">
        <v>5</v>
      </c>
      <c r="E11" s="129"/>
      <c r="F11" s="129"/>
      <c r="G11" s="130"/>
      <c r="H11" s="123" t="s">
        <v>6</v>
      </c>
      <c r="I11" s="123"/>
      <c r="J11" s="124" t="s">
        <v>7</v>
      </c>
    </row>
    <row r="12" spans="1:11" ht="18.75" customHeight="1" thickBot="1">
      <c r="A12" s="127"/>
      <c r="B12" s="2" t="s">
        <v>8</v>
      </c>
      <c r="C12" s="2" t="s">
        <v>9</v>
      </c>
      <c r="D12" s="2" t="s">
        <v>8</v>
      </c>
      <c r="E12" s="2" t="s">
        <v>9</v>
      </c>
      <c r="F12" s="2" t="s">
        <v>10</v>
      </c>
      <c r="G12" s="2" t="s">
        <v>53</v>
      </c>
      <c r="H12" s="2" t="s">
        <v>8</v>
      </c>
      <c r="I12" s="2" t="s">
        <v>9</v>
      </c>
      <c r="J12" s="125"/>
    </row>
    <row r="13" spans="1:11" ht="15.95" customHeight="1">
      <c r="A13" s="107" t="s">
        <v>11</v>
      </c>
      <c r="B13" s="20">
        <v>0.70799999999999996</v>
      </c>
      <c r="C13" s="20">
        <v>0.70799999999999996</v>
      </c>
      <c r="D13" s="20"/>
      <c r="E13" s="20"/>
      <c r="F13" s="20"/>
      <c r="G13" s="20"/>
      <c r="H13" s="20">
        <f>B13</f>
        <v>0.70799999999999996</v>
      </c>
      <c r="I13" s="20">
        <f>C13</f>
        <v>0.70799999999999996</v>
      </c>
      <c r="J13" s="20">
        <f t="shared" ref="J13:J22" si="0">SUM(H13:I13)</f>
        <v>1.4159999999999999</v>
      </c>
      <c r="K13" s="19"/>
    </row>
    <row r="14" spans="1:11" ht="15.95" customHeight="1">
      <c r="A14" s="27" t="s">
        <v>12</v>
      </c>
      <c r="B14" s="21">
        <v>5</v>
      </c>
      <c r="C14" s="21">
        <v>5</v>
      </c>
      <c r="D14" s="21"/>
      <c r="E14" s="21"/>
      <c r="F14" s="21"/>
      <c r="G14" s="21"/>
      <c r="H14" s="21">
        <f>H13-F14-D14+B14</f>
        <v>5.7080000000000002</v>
      </c>
      <c r="I14" s="21">
        <f>I13-E14+C14</f>
        <v>5.7080000000000002</v>
      </c>
      <c r="J14" s="21">
        <f t="shared" si="0"/>
        <v>11.416</v>
      </c>
      <c r="K14" s="19"/>
    </row>
    <row r="15" spans="1:11" ht="15.95" customHeight="1">
      <c r="A15" s="27" t="s">
        <v>102</v>
      </c>
      <c r="B15" s="21">
        <v>1.25</v>
      </c>
      <c r="C15" s="21">
        <v>1.25</v>
      </c>
      <c r="D15" s="21"/>
      <c r="E15" s="21"/>
      <c r="F15" s="21"/>
      <c r="G15" s="21"/>
      <c r="H15" s="21">
        <f t="shared" ref="H15:H39" si="1">H14-F15-D15+B15</f>
        <v>6.9580000000000002</v>
      </c>
      <c r="I15" s="21">
        <f t="shared" ref="I15:I39" si="2">I14-E15+C15</f>
        <v>6.9580000000000002</v>
      </c>
      <c r="J15" s="21">
        <f t="shared" si="0"/>
        <v>13.916</v>
      </c>
      <c r="K15" s="19"/>
    </row>
    <row r="16" spans="1:11" ht="15.95" customHeight="1">
      <c r="A16" s="27" t="s">
        <v>13</v>
      </c>
      <c r="B16" s="21"/>
      <c r="C16" s="21"/>
      <c r="D16" s="21"/>
      <c r="E16" s="21"/>
      <c r="F16" s="21">
        <v>1</v>
      </c>
      <c r="G16" s="21"/>
      <c r="H16" s="21">
        <f t="shared" si="1"/>
        <v>5.9580000000000002</v>
      </c>
      <c r="I16" s="21">
        <f t="shared" si="2"/>
        <v>6.9580000000000002</v>
      </c>
      <c r="J16" s="21">
        <f t="shared" si="0"/>
        <v>12.916</v>
      </c>
      <c r="K16" s="19"/>
    </row>
    <row r="17" spans="1:11" ht="15.95" customHeight="1">
      <c r="A17" s="105" t="s">
        <v>14</v>
      </c>
      <c r="B17" s="21"/>
      <c r="C17" s="21"/>
      <c r="D17" s="21"/>
      <c r="E17" s="21"/>
      <c r="F17" s="21"/>
      <c r="G17" s="21">
        <v>1</v>
      </c>
      <c r="H17" s="21">
        <f t="shared" si="1"/>
        <v>5.9580000000000002</v>
      </c>
      <c r="I17" s="21">
        <f t="shared" si="2"/>
        <v>6.9580000000000002</v>
      </c>
      <c r="J17" s="21">
        <f t="shared" si="0"/>
        <v>12.916</v>
      </c>
      <c r="K17" s="19"/>
    </row>
    <row r="18" spans="1:11" ht="15.95" customHeight="1">
      <c r="A18" s="27" t="s">
        <v>15</v>
      </c>
      <c r="B18" s="21">
        <v>1.25</v>
      </c>
      <c r="C18" s="21">
        <v>1.25</v>
      </c>
      <c r="D18" s="21"/>
      <c r="E18" s="21"/>
      <c r="F18" s="21"/>
      <c r="G18" s="21"/>
      <c r="H18" s="21">
        <f t="shared" si="1"/>
        <v>7.2080000000000002</v>
      </c>
      <c r="I18" s="21">
        <f t="shared" si="2"/>
        <v>8.2080000000000002</v>
      </c>
      <c r="J18" s="21">
        <f t="shared" si="0"/>
        <v>15.416</v>
      </c>
      <c r="K18" s="19"/>
    </row>
    <row r="19" spans="1:11" ht="15.95" customHeight="1">
      <c r="A19" s="27" t="s">
        <v>16</v>
      </c>
      <c r="B19" s="21">
        <v>1.25</v>
      </c>
      <c r="C19" s="21">
        <v>1.25</v>
      </c>
      <c r="D19" s="21"/>
      <c r="E19" s="21"/>
      <c r="F19" s="21"/>
      <c r="G19" s="21"/>
      <c r="H19" s="21">
        <f t="shared" si="1"/>
        <v>8.4580000000000002</v>
      </c>
      <c r="I19" s="21">
        <f t="shared" si="2"/>
        <v>9.4580000000000002</v>
      </c>
      <c r="J19" s="21">
        <f t="shared" si="0"/>
        <v>17.916</v>
      </c>
      <c r="K19" s="19"/>
    </row>
    <row r="20" spans="1:11" ht="15.95" customHeight="1">
      <c r="A20" s="105" t="s">
        <v>17</v>
      </c>
      <c r="B20" s="21"/>
      <c r="C20" s="21"/>
      <c r="D20" s="21"/>
      <c r="E20" s="21"/>
      <c r="F20" s="21"/>
      <c r="G20" s="21">
        <v>1</v>
      </c>
      <c r="H20" s="21">
        <f t="shared" si="1"/>
        <v>8.4580000000000002</v>
      </c>
      <c r="I20" s="21">
        <f t="shared" si="2"/>
        <v>9.4580000000000002</v>
      </c>
      <c r="J20" s="21">
        <f t="shared" si="0"/>
        <v>17.916</v>
      </c>
      <c r="K20" s="19"/>
    </row>
    <row r="21" spans="1:11" ht="15.95" customHeight="1">
      <c r="A21" s="27" t="s">
        <v>18</v>
      </c>
      <c r="B21" s="21">
        <v>1.25</v>
      </c>
      <c r="C21" s="21">
        <v>1.25</v>
      </c>
      <c r="D21" s="21"/>
      <c r="E21" s="21"/>
      <c r="F21" s="21"/>
      <c r="G21" s="21"/>
      <c r="H21" s="21">
        <f t="shared" si="1"/>
        <v>9.7080000000000002</v>
      </c>
      <c r="I21" s="21">
        <f t="shared" si="2"/>
        <v>10.708</v>
      </c>
      <c r="J21" s="21">
        <f t="shared" si="0"/>
        <v>20.416</v>
      </c>
      <c r="K21" s="19"/>
    </row>
    <row r="22" spans="1:11" ht="15.95" customHeight="1">
      <c r="A22" s="105" t="s">
        <v>19</v>
      </c>
      <c r="B22" s="21"/>
      <c r="C22" s="21"/>
      <c r="D22" s="21"/>
      <c r="E22" s="21"/>
      <c r="F22" s="21">
        <v>1</v>
      </c>
      <c r="G22" s="21"/>
      <c r="H22" s="21">
        <f t="shared" si="1"/>
        <v>8.7080000000000002</v>
      </c>
      <c r="I22" s="21">
        <f t="shared" si="2"/>
        <v>10.708</v>
      </c>
      <c r="J22" s="21">
        <f t="shared" si="0"/>
        <v>19.416</v>
      </c>
      <c r="K22" s="19"/>
    </row>
    <row r="23" spans="1:11" ht="15.95" customHeight="1">
      <c r="A23" s="27" t="s">
        <v>20</v>
      </c>
      <c r="B23" s="21">
        <v>1.25</v>
      </c>
      <c r="C23" s="21">
        <v>1.25</v>
      </c>
      <c r="D23" s="21"/>
      <c r="E23" s="21"/>
      <c r="F23" s="21"/>
      <c r="G23" s="21"/>
      <c r="H23" s="21">
        <f t="shared" si="1"/>
        <v>9.9580000000000002</v>
      </c>
      <c r="I23" s="21">
        <f t="shared" si="2"/>
        <v>11.958</v>
      </c>
      <c r="J23" s="21">
        <f t="shared" ref="J23:J28" si="3">SUM(H23:I23)</f>
        <v>21.916</v>
      </c>
      <c r="K23" s="19"/>
    </row>
    <row r="24" spans="1:11" ht="15.95" customHeight="1">
      <c r="A24" s="105" t="s">
        <v>21</v>
      </c>
      <c r="B24" s="21"/>
      <c r="C24" s="21"/>
      <c r="D24" s="21"/>
      <c r="E24" s="21"/>
      <c r="F24" s="21">
        <v>1</v>
      </c>
      <c r="G24" s="21"/>
      <c r="H24" s="21">
        <f t="shared" si="1"/>
        <v>8.9580000000000002</v>
      </c>
      <c r="I24" s="21">
        <f t="shared" si="2"/>
        <v>11.958</v>
      </c>
      <c r="J24" s="21">
        <f t="shared" si="3"/>
        <v>20.916</v>
      </c>
      <c r="K24" s="19"/>
    </row>
    <row r="25" spans="1:11" ht="15.95" customHeight="1">
      <c r="A25" s="105" t="s">
        <v>22</v>
      </c>
      <c r="B25" s="21"/>
      <c r="C25" s="21"/>
      <c r="D25" s="21"/>
      <c r="E25" s="21"/>
      <c r="F25" s="21"/>
      <c r="G25" s="21">
        <v>1</v>
      </c>
      <c r="H25" s="21">
        <f t="shared" si="1"/>
        <v>8.9580000000000002</v>
      </c>
      <c r="I25" s="21">
        <f t="shared" si="2"/>
        <v>11.958</v>
      </c>
      <c r="J25" s="21">
        <f t="shared" si="3"/>
        <v>20.916</v>
      </c>
      <c r="K25" s="19"/>
    </row>
    <row r="26" spans="1:11" ht="15.95" customHeight="1">
      <c r="A26" s="27" t="s">
        <v>23</v>
      </c>
      <c r="B26" s="21">
        <v>1.25</v>
      </c>
      <c r="C26" s="21">
        <v>1.25</v>
      </c>
      <c r="D26" s="21"/>
      <c r="E26" s="21"/>
      <c r="F26" s="21"/>
      <c r="G26" s="21"/>
      <c r="H26" s="21">
        <f t="shared" si="1"/>
        <v>10.208</v>
      </c>
      <c r="I26" s="21">
        <f t="shared" si="2"/>
        <v>13.208</v>
      </c>
      <c r="J26" s="21">
        <f t="shared" si="3"/>
        <v>23.416</v>
      </c>
      <c r="K26" s="19"/>
    </row>
    <row r="27" spans="1:11" ht="15.95" customHeight="1">
      <c r="A27" s="27" t="s">
        <v>24</v>
      </c>
      <c r="B27" s="21">
        <v>1.25</v>
      </c>
      <c r="C27" s="21">
        <v>1.25</v>
      </c>
      <c r="D27" s="21"/>
      <c r="E27" s="21"/>
      <c r="F27" s="21"/>
      <c r="G27" s="21"/>
      <c r="H27" s="21">
        <f t="shared" si="1"/>
        <v>11.458</v>
      </c>
      <c r="I27" s="21">
        <f t="shared" si="2"/>
        <v>14.458</v>
      </c>
      <c r="J27" s="21">
        <f t="shared" si="3"/>
        <v>25.916</v>
      </c>
      <c r="K27" s="19"/>
    </row>
    <row r="28" spans="1:11" ht="15.95" customHeight="1">
      <c r="A28" s="105" t="s">
        <v>25</v>
      </c>
      <c r="B28" s="21"/>
      <c r="C28" s="21"/>
      <c r="D28" s="21"/>
      <c r="E28" s="21"/>
      <c r="F28" s="21">
        <v>1</v>
      </c>
      <c r="G28" s="21"/>
      <c r="H28" s="21">
        <f t="shared" si="1"/>
        <v>10.458</v>
      </c>
      <c r="I28" s="21">
        <f t="shared" si="2"/>
        <v>14.458</v>
      </c>
      <c r="J28" s="21">
        <f t="shared" si="3"/>
        <v>24.916</v>
      </c>
      <c r="K28" s="19"/>
    </row>
    <row r="29" spans="1:11" ht="15.95" customHeight="1">
      <c r="A29" s="105" t="s">
        <v>26</v>
      </c>
      <c r="B29" s="21"/>
      <c r="C29" s="21"/>
      <c r="D29" s="21"/>
      <c r="E29" s="21">
        <v>1</v>
      </c>
      <c r="F29" s="21"/>
      <c r="G29" s="21"/>
      <c r="H29" s="21">
        <f t="shared" si="1"/>
        <v>10.458</v>
      </c>
      <c r="I29" s="21">
        <f t="shared" si="2"/>
        <v>13.458</v>
      </c>
      <c r="J29" s="21">
        <f t="shared" ref="J29:J30" si="4">SUM(H29:I29)</f>
        <v>23.916</v>
      </c>
      <c r="K29" s="19"/>
    </row>
    <row r="30" spans="1:11" ht="15.95" customHeight="1">
      <c r="A30" s="105" t="s">
        <v>27</v>
      </c>
      <c r="B30" s="21"/>
      <c r="C30" s="21"/>
      <c r="D30" s="21"/>
      <c r="E30" s="21"/>
      <c r="F30" s="21">
        <v>1</v>
      </c>
      <c r="G30" s="21"/>
      <c r="H30" s="21">
        <f t="shared" si="1"/>
        <v>9.4580000000000002</v>
      </c>
      <c r="I30" s="21">
        <f t="shared" si="2"/>
        <v>13.458</v>
      </c>
      <c r="J30" s="21">
        <f t="shared" si="4"/>
        <v>22.916</v>
      </c>
      <c r="K30" s="19"/>
    </row>
    <row r="31" spans="1:11" ht="15.95" customHeight="1">
      <c r="A31" s="27" t="s">
        <v>28</v>
      </c>
      <c r="B31" s="21">
        <v>1.25</v>
      </c>
      <c r="C31" s="21">
        <v>1.25</v>
      </c>
      <c r="D31" s="21"/>
      <c r="E31" s="21"/>
      <c r="F31" s="21"/>
      <c r="G31" s="21"/>
      <c r="H31" s="21">
        <f t="shared" si="1"/>
        <v>10.708</v>
      </c>
      <c r="I31" s="21">
        <f t="shared" si="2"/>
        <v>14.708</v>
      </c>
      <c r="J31" s="21">
        <f t="shared" ref="J31" si="5">SUM(H31:I31)</f>
        <v>25.416</v>
      </c>
      <c r="K31" s="19"/>
    </row>
    <row r="32" spans="1:11" ht="15.95" customHeight="1">
      <c r="A32" s="14" t="s">
        <v>29</v>
      </c>
      <c r="B32" s="106"/>
      <c r="C32" s="106"/>
      <c r="D32" s="106"/>
      <c r="E32" s="106"/>
      <c r="F32" s="106"/>
      <c r="G32" s="106"/>
      <c r="H32" s="21">
        <f t="shared" si="1"/>
        <v>10.708</v>
      </c>
      <c r="I32" s="21">
        <f t="shared" si="2"/>
        <v>14.708</v>
      </c>
      <c r="J32" s="21">
        <f t="shared" ref="J32" si="6">SUM(H32:I32)</f>
        <v>25.416</v>
      </c>
      <c r="K32" s="19"/>
    </row>
    <row r="33" spans="1:11" ht="15.95" customHeight="1">
      <c r="A33" s="14" t="s">
        <v>50</v>
      </c>
      <c r="B33" s="22"/>
      <c r="C33" s="22"/>
      <c r="D33" s="22"/>
      <c r="E33" s="22"/>
      <c r="F33" s="23">
        <v>1</v>
      </c>
      <c r="G33" s="23"/>
      <c r="H33" s="21">
        <f t="shared" si="1"/>
        <v>9.7080000000000002</v>
      </c>
      <c r="I33" s="21">
        <f t="shared" si="2"/>
        <v>14.708</v>
      </c>
      <c r="J33" s="21">
        <f t="shared" ref="J33" si="7">SUM(H33:I33)</f>
        <v>24.416</v>
      </c>
      <c r="K33" s="19"/>
    </row>
    <row r="34" spans="1:11" ht="15.95" customHeight="1">
      <c r="A34" s="27" t="s">
        <v>55</v>
      </c>
      <c r="B34" s="21">
        <v>1.25</v>
      </c>
      <c r="C34" s="21">
        <v>1.25</v>
      </c>
      <c r="D34" s="22"/>
      <c r="E34" s="22"/>
      <c r="F34" s="23"/>
      <c r="G34" s="23"/>
      <c r="H34" s="21">
        <f t="shared" si="1"/>
        <v>10.958</v>
      </c>
      <c r="I34" s="21">
        <f t="shared" si="2"/>
        <v>15.958</v>
      </c>
      <c r="J34" s="21">
        <f t="shared" ref="J34:J35" si="8">SUM(H34:I34)</f>
        <v>26.916</v>
      </c>
      <c r="K34" s="19"/>
    </row>
    <row r="35" spans="1:11" ht="15.95" customHeight="1">
      <c r="A35" s="14" t="s">
        <v>51</v>
      </c>
      <c r="B35" s="22"/>
      <c r="C35" s="22"/>
      <c r="D35" s="22">
        <v>0.5</v>
      </c>
      <c r="E35" s="22"/>
      <c r="F35" s="23"/>
      <c r="G35" s="23"/>
      <c r="H35" s="21">
        <f t="shared" si="1"/>
        <v>10.458</v>
      </c>
      <c r="I35" s="21">
        <f t="shared" si="2"/>
        <v>15.958</v>
      </c>
      <c r="J35" s="21">
        <f t="shared" si="8"/>
        <v>26.416</v>
      </c>
      <c r="K35" s="19"/>
    </row>
    <row r="36" spans="1:11" ht="15.95" customHeight="1">
      <c r="A36" s="14" t="s">
        <v>52</v>
      </c>
      <c r="B36" s="22"/>
      <c r="C36" s="22"/>
      <c r="D36" s="22">
        <v>0.5</v>
      </c>
      <c r="E36" s="22"/>
      <c r="F36" s="23"/>
      <c r="G36" s="23"/>
      <c r="H36" s="21">
        <f t="shared" si="1"/>
        <v>9.9580000000000002</v>
      </c>
      <c r="I36" s="21">
        <f t="shared" si="2"/>
        <v>15.958</v>
      </c>
      <c r="J36" s="21">
        <f t="shared" ref="J36:J37" si="9">SUM(H36:I36)</f>
        <v>25.916</v>
      </c>
      <c r="K36" s="19"/>
    </row>
    <row r="37" spans="1:11" ht="15.95" customHeight="1">
      <c r="A37" s="14" t="s">
        <v>54</v>
      </c>
      <c r="B37" s="22"/>
      <c r="C37" s="22"/>
      <c r="D37" s="22"/>
      <c r="E37" s="22"/>
      <c r="F37" s="22"/>
      <c r="G37" s="22">
        <v>2</v>
      </c>
      <c r="H37" s="21">
        <f t="shared" si="1"/>
        <v>9.9580000000000002</v>
      </c>
      <c r="I37" s="21">
        <f t="shared" si="2"/>
        <v>15.958</v>
      </c>
      <c r="J37" s="21">
        <f t="shared" si="9"/>
        <v>25.916</v>
      </c>
      <c r="K37" s="19"/>
    </row>
    <row r="38" spans="1:11" ht="15.95" customHeight="1">
      <c r="A38" s="27" t="s">
        <v>56</v>
      </c>
      <c r="B38" s="21">
        <v>1.25</v>
      </c>
      <c r="C38" s="21">
        <v>1.25</v>
      </c>
      <c r="D38" s="22"/>
      <c r="E38" s="22"/>
      <c r="F38" s="22"/>
      <c r="G38" s="22"/>
      <c r="H38" s="21">
        <f t="shared" si="1"/>
        <v>11.208</v>
      </c>
      <c r="I38" s="21">
        <f t="shared" si="2"/>
        <v>17.207999999999998</v>
      </c>
      <c r="J38" s="21">
        <f t="shared" ref="J38" si="10">SUM(H38:I38)</f>
        <v>28.415999999999997</v>
      </c>
      <c r="K38" s="19"/>
    </row>
    <row r="39" spans="1:11" ht="15.95" customHeight="1">
      <c r="A39" s="14" t="s">
        <v>57</v>
      </c>
      <c r="B39" s="22"/>
      <c r="C39" s="22"/>
      <c r="D39" s="22">
        <v>0.5</v>
      </c>
      <c r="E39" s="22"/>
      <c r="F39" s="22"/>
      <c r="G39" s="22"/>
      <c r="H39" s="21">
        <f t="shared" si="1"/>
        <v>10.708</v>
      </c>
      <c r="I39" s="21">
        <f t="shared" si="2"/>
        <v>17.207999999999998</v>
      </c>
      <c r="J39" s="21">
        <f t="shared" ref="J39" si="11">SUM(H39:I39)</f>
        <v>27.915999999999997</v>
      </c>
      <c r="K39" s="19"/>
    </row>
    <row r="40" spans="1:11" ht="15.75">
      <c r="A40" s="27" t="s">
        <v>58</v>
      </c>
      <c r="B40" s="21">
        <v>1.25</v>
      </c>
      <c r="C40" s="21">
        <v>1.25</v>
      </c>
      <c r="D40" s="25"/>
      <c r="E40" s="25"/>
      <c r="F40" s="25"/>
      <c r="G40" s="25"/>
      <c r="H40" s="21">
        <f t="shared" ref="H40:H41" si="12">H39-F40-D40+B40</f>
        <v>11.958</v>
      </c>
      <c r="I40" s="21">
        <f t="shared" ref="I40:I41" si="13">I39-E40+C40</f>
        <v>18.457999999999998</v>
      </c>
      <c r="J40" s="21">
        <f t="shared" ref="J40:J41" si="14">SUM(H40:I40)</f>
        <v>30.415999999999997</v>
      </c>
      <c r="K40" s="19"/>
    </row>
    <row r="41" spans="1:11" ht="15.75">
      <c r="A41" s="14" t="s">
        <v>59</v>
      </c>
      <c r="B41" s="25"/>
      <c r="C41" s="25"/>
      <c r="D41" s="25">
        <v>0.5</v>
      </c>
      <c r="E41" s="25"/>
      <c r="F41" s="25"/>
      <c r="G41" s="25"/>
      <c r="H41" s="21">
        <f t="shared" si="12"/>
        <v>11.458</v>
      </c>
      <c r="I41" s="21">
        <f t="shared" si="13"/>
        <v>18.457999999999998</v>
      </c>
      <c r="J41" s="21">
        <f t="shared" si="14"/>
        <v>29.915999999999997</v>
      </c>
      <c r="K41" s="19"/>
    </row>
    <row r="42" spans="1:11" ht="15.75">
      <c r="A42" s="14" t="s">
        <v>60</v>
      </c>
      <c r="B42" s="42"/>
      <c r="C42" s="42"/>
      <c r="D42" s="25">
        <v>0.5</v>
      </c>
      <c r="E42" s="42"/>
      <c r="F42" s="26"/>
      <c r="G42" s="42"/>
      <c r="H42" s="21">
        <f t="shared" ref="H42" si="15">H41-F42-D42+B42</f>
        <v>10.958</v>
      </c>
      <c r="I42" s="21">
        <f t="shared" ref="I42" si="16">I41-E42+C42</f>
        <v>18.457999999999998</v>
      </c>
      <c r="J42" s="21">
        <f t="shared" ref="J42" si="17">SUM(H42:I42)</f>
        <v>29.415999999999997</v>
      </c>
    </row>
    <row r="43" spans="1:11" ht="15.75">
      <c r="A43" s="27" t="s">
        <v>61</v>
      </c>
      <c r="B43" s="42"/>
      <c r="C43" s="42"/>
      <c r="D43" s="42"/>
      <c r="E43" s="42"/>
      <c r="F43" s="26">
        <v>2</v>
      </c>
      <c r="G43" s="42"/>
      <c r="H43" s="21">
        <f t="shared" ref="H43" si="18">H42-F43-D43+B43</f>
        <v>8.9580000000000002</v>
      </c>
      <c r="I43" s="21">
        <f t="shared" ref="I43" si="19">I42-E43+C43</f>
        <v>18.457999999999998</v>
      </c>
      <c r="J43" s="21">
        <f t="shared" ref="J43" si="20">SUM(H43:I43)</f>
        <v>27.415999999999997</v>
      </c>
    </row>
    <row r="44" spans="1:11" ht="15.75">
      <c r="A44" s="27" t="s">
        <v>77</v>
      </c>
      <c r="B44" s="26">
        <v>3.75</v>
      </c>
      <c r="C44" s="26">
        <v>3.75</v>
      </c>
      <c r="D44" s="42"/>
      <c r="E44" s="42"/>
      <c r="F44" s="42"/>
      <c r="G44" s="42"/>
      <c r="H44" s="21">
        <f t="shared" ref="H44" si="21">H43-F44-D44+B44</f>
        <v>12.708</v>
      </c>
      <c r="I44" s="21">
        <f t="shared" ref="I44" si="22">I43-E44+C44</f>
        <v>22.207999999999998</v>
      </c>
      <c r="J44" s="21">
        <f t="shared" ref="J44" si="23">SUM(H44:I44)</f>
        <v>34.915999999999997</v>
      </c>
    </row>
    <row r="45" spans="1:11" ht="15.75">
      <c r="A45" s="27" t="s">
        <v>78</v>
      </c>
      <c r="B45" s="26">
        <v>2.5</v>
      </c>
      <c r="C45" s="26">
        <v>2.5</v>
      </c>
      <c r="D45" s="42"/>
      <c r="E45" s="42"/>
      <c r="F45" s="42"/>
      <c r="G45" s="42"/>
      <c r="H45" s="21">
        <f t="shared" ref="H45:H46" si="24">H44-F45-D45+B45</f>
        <v>15.208</v>
      </c>
      <c r="I45" s="21">
        <f t="shared" ref="I45:I46" si="25">I44-E45+C45</f>
        <v>24.707999999999998</v>
      </c>
      <c r="J45" s="21">
        <f t="shared" ref="J45:J46" si="26">SUM(H45:I45)</f>
        <v>39.915999999999997</v>
      </c>
    </row>
    <row r="46" spans="1:11" ht="15.75">
      <c r="A46" s="27" t="s">
        <v>79</v>
      </c>
      <c r="B46" s="42"/>
      <c r="C46" s="42"/>
      <c r="D46" s="42"/>
      <c r="E46" s="26"/>
      <c r="F46" s="42"/>
      <c r="G46" s="25">
        <v>1</v>
      </c>
      <c r="H46" s="21">
        <f t="shared" si="24"/>
        <v>15.208</v>
      </c>
      <c r="I46" s="21">
        <f t="shared" si="25"/>
        <v>24.707999999999998</v>
      </c>
      <c r="J46" s="21">
        <f t="shared" si="26"/>
        <v>39.915999999999997</v>
      </c>
    </row>
    <row r="47" spans="1:11" ht="15.75">
      <c r="A47" s="27" t="s">
        <v>80</v>
      </c>
      <c r="B47" s="42"/>
      <c r="C47" s="42"/>
      <c r="D47" s="26">
        <v>10</v>
      </c>
      <c r="E47" s="26">
        <v>15</v>
      </c>
      <c r="F47" s="26"/>
      <c r="G47" s="26"/>
      <c r="H47" s="21">
        <f t="shared" ref="H47" si="27">H46-F47-D47+B47</f>
        <v>5.2080000000000002</v>
      </c>
      <c r="I47" s="21">
        <f t="shared" ref="I47" si="28">I46-E47+C47</f>
        <v>9.7079999999999984</v>
      </c>
      <c r="J47" s="21">
        <f t="shared" ref="J47" si="29">SUM(H47:I47)</f>
        <v>14.915999999999999</v>
      </c>
    </row>
    <row r="48" spans="1:11" ht="15.75">
      <c r="A48" s="14" t="s">
        <v>81</v>
      </c>
      <c r="B48" s="14">
        <f>4*1.25</f>
        <v>5</v>
      </c>
      <c r="C48" s="14">
        <v>5</v>
      </c>
      <c r="D48" s="14"/>
      <c r="E48" s="24"/>
      <c r="F48" s="24"/>
      <c r="G48" s="24"/>
      <c r="H48" s="21">
        <f t="shared" ref="H48" si="30">H47-F48-D48+B48</f>
        <v>10.208</v>
      </c>
      <c r="I48" s="21">
        <f t="shared" ref="I48" si="31">I47-E48+C48</f>
        <v>14.707999999999998</v>
      </c>
      <c r="J48" s="21">
        <f t="shared" ref="J48" si="32">SUM(H48:I48)</f>
        <v>24.915999999999997</v>
      </c>
    </row>
    <row r="49" spans="1:10" ht="15.75">
      <c r="A49" s="53" t="s">
        <v>94</v>
      </c>
      <c r="B49" s="14"/>
      <c r="C49" s="14"/>
      <c r="D49" s="14"/>
      <c r="E49" s="24"/>
      <c r="F49" s="14">
        <v>2</v>
      </c>
      <c r="G49" s="24"/>
      <c r="H49" s="21">
        <f t="shared" ref="H49:H59" si="33">H48-F49-D49+B49</f>
        <v>8.2080000000000002</v>
      </c>
      <c r="I49" s="21">
        <f t="shared" ref="I49:I59" si="34">I48-E49+C49</f>
        <v>14.707999999999998</v>
      </c>
      <c r="J49" s="21">
        <f t="shared" ref="J49:J59" si="35">SUM(H49:I49)</f>
        <v>22.915999999999997</v>
      </c>
    </row>
    <row r="50" spans="1:10" ht="15.75">
      <c r="A50" s="14" t="s">
        <v>82</v>
      </c>
      <c r="B50" s="14"/>
      <c r="C50" s="14"/>
      <c r="D50" s="14"/>
      <c r="E50" s="24"/>
      <c r="F50" s="14">
        <v>2</v>
      </c>
      <c r="G50" s="24"/>
      <c r="H50" s="21">
        <f t="shared" si="33"/>
        <v>6.2080000000000002</v>
      </c>
      <c r="I50" s="21">
        <f t="shared" si="34"/>
        <v>14.707999999999998</v>
      </c>
      <c r="J50" s="21">
        <f t="shared" si="35"/>
        <v>20.915999999999997</v>
      </c>
    </row>
    <row r="51" spans="1:10" ht="15.75">
      <c r="A51" s="45" t="s">
        <v>86</v>
      </c>
      <c r="B51" s="14">
        <v>1.25</v>
      </c>
      <c r="C51" s="14">
        <v>1.25</v>
      </c>
      <c r="D51" s="14"/>
      <c r="E51" s="24"/>
      <c r="F51" s="24"/>
      <c r="G51" s="24"/>
      <c r="H51" s="21">
        <f t="shared" si="33"/>
        <v>7.4580000000000002</v>
      </c>
      <c r="I51" s="21">
        <f t="shared" si="34"/>
        <v>15.957999999999998</v>
      </c>
      <c r="J51" s="21">
        <f t="shared" si="35"/>
        <v>23.415999999999997</v>
      </c>
    </row>
    <row r="52" spans="1:10" ht="15.75">
      <c r="A52" s="57" t="s">
        <v>103</v>
      </c>
      <c r="B52" s="14">
        <v>1.25</v>
      </c>
      <c r="C52" s="14">
        <v>1.25</v>
      </c>
      <c r="D52" s="14"/>
      <c r="E52" s="24"/>
      <c r="F52" s="24"/>
      <c r="G52" s="24"/>
      <c r="H52" s="21">
        <f t="shared" si="33"/>
        <v>8.7080000000000002</v>
      </c>
      <c r="I52" s="21">
        <f t="shared" si="34"/>
        <v>17.207999999999998</v>
      </c>
      <c r="J52" s="21">
        <f t="shared" si="35"/>
        <v>25.915999999999997</v>
      </c>
    </row>
    <row r="53" spans="1:10" ht="15.75">
      <c r="A53" s="46" t="s">
        <v>87</v>
      </c>
      <c r="B53" s="14"/>
      <c r="C53" s="14"/>
      <c r="D53" s="14"/>
      <c r="E53" s="14">
        <v>1</v>
      </c>
      <c r="F53" s="24"/>
      <c r="G53" s="24"/>
      <c r="H53" s="21">
        <f t="shared" si="33"/>
        <v>8.7080000000000002</v>
      </c>
      <c r="I53" s="21">
        <f t="shared" si="34"/>
        <v>16.207999999999998</v>
      </c>
      <c r="J53" s="21">
        <f t="shared" si="35"/>
        <v>24.915999999999997</v>
      </c>
    </row>
    <row r="54" spans="1:10" ht="15.75">
      <c r="A54" s="47" t="s">
        <v>88</v>
      </c>
      <c r="B54" s="14"/>
      <c r="C54" s="14"/>
      <c r="D54" s="14"/>
      <c r="E54" s="14">
        <v>1</v>
      </c>
      <c r="F54" s="24"/>
      <c r="G54" s="24"/>
      <c r="H54" s="21">
        <f t="shared" si="33"/>
        <v>8.7080000000000002</v>
      </c>
      <c r="I54" s="21">
        <f t="shared" si="34"/>
        <v>15.207999999999998</v>
      </c>
      <c r="J54" s="21">
        <f t="shared" si="35"/>
        <v>23.915999999999997</v>
      </c>
    </row>
    <row r="55" spans="1:10" ht="15.75">
      <c r="A55" s="48" t="s">
        <v>89</v>
      </c>
      <c r="B55" s="14">
        <v>2.5</v>
      </c>
      <c r="C55" s="14">
        <v>2.5</v>
      </c>
      <c r="D55" s="14"/>
      <c r="E55" s="14"/>
      <c r="F55" s="24"/>
      <c r="G55" s="24"/>
      <c r="H55" s="21">
        <f t="shared" si="33"/>
        <v>11.208</v>
      </c>
      <c r="I55" s="21">
        <f t="shared" si="34"/>
        <v>17.707999999999998</v>
      </c>
      <c r="J55" s="21">
        <f t="shared" si="35"/>
        <v>28.915999999999997</v>
      </c>
    </row>
    <row r="56" spans="1:10" ht="15.75">
      <c r="A56" s="48" t="s">
        <v>90</v>
      </c>
      <c r="B56" s="14"/>
      <c r="C56" s="14"/>
      <c r="D56" s="14"/>
      <c r="E56" s="14">
        <v>1</v>
      </c>
      <c r="F56" s="24"/>
      <c r="G56" s="24"/>
      <c r="H56" s="21">
        <f t="shared" si="33"/>
        <v>11.208</v>
      </c>
      <c r="I56" s="21">
        <f t="shared" si="34"/>
        <v>16.707999999999998</v>
      </c>
      <c r="J56" s="21">
        <f t="shared" si="35"/>
        <v>27.915999999999997</v>
      </c>
    </row>
    <row r="57" spans="1:10" ht="15.75">
      <c r="A57" s="49" t="s">
        <v>91</v>
      </c>
      <c r="B57" s="14">
        <v>1.25</v>
      </c>
      <c r="C57" s="14">
        <v>1.25</v>
      </c>
      <c r="D57" s="14"/>
      <c r="E57" s="14"/>
      <c r="F57" s="24"/>
      <c r="G57" s="24"/>
      <c r="H57" s="21">
        <f t="shared" si="33"/>
        <v>12.458</v>
      </c>
      <c r="I57" s="21">
        <f t="shared" si="34"/>
        <v>17.957999999999998</v>
      </c>
      <c r="J57" s="21">
        <f t="shared" si="35"/>
        <v>30.415999999999997</v>
      </c>
    </row>
    <row r="58" spans="1:10" ht="15.75">
      <c r="A58" s="14" t="s">
        <v>92</v>
      </c>
      <c r="B58" s="14"/>
      <c r="C58" s="14"/>
      <c r="D58" s="14"/>
      <c r="E58" s="14">
        <v>1</v>
      </c>
      <c r="F58" s="24"/>
      <c r="G58" s="24"/>
      <c r="H58" s="21">
        <f t="shared" si="33"/>
        <v>12.458</v>
      </c>
      <c r="I58" s="21">
        <f t="shared" si="34"/>
        <v>16.957999999999998</v>
      </c>
      <c r="J58" s="21">
        <f t="shared" si="35"/>
        <v>29.415999999999997</v>
      </c>
    </row>
    <row r="59" spans="1:10" ht="15.75">
      <c r="A59" s="14" t="s">
        <v>93</v>
      </c>
      <c r="B59" s="14"/>
      <c r="C59" s="14"/>
      <c r="D59" s="14"/>
      <c r="E59" s="14">
        <v>1</v>
      </c>
      <c r="F59" s="24"/>
      <c r="G59" s="24"/>
      <c r="H59" s="21">
        <f t="shared" si="33"/>
        <v>12.458</v>
      </c>
      <c r="I59" s="21">
        <f t="shared" si="34"/>
        <v>15.957999999999998</v>
      </c>
      <c r="J59" s="21">
        <f t="shared" si="35"/>
        <v>28.415999999999997</v>
      </c>
    </row>
    <row r="60" spans="1:10" ht="15.75">
      <c r="A60" s="50" t="s">
        <v>95</v>
      </c>
      <c r="B60" s="14">
        <v>1.25</v>
      </c>
      <c r="C60" s="14">
        <v>1.25</v>
      </c>
      <c r="D60" s="14"/>
      <c r="E60" s="14"/>
      <c r="F60" s="24"/>
      <c r="G60" s="24"/>
      <c r="H60" s="21">
        <f t="shared" ref="H60:H61" si="36">H59-F60-D60+B60</f>
        <v>13.708</v>
      </c>
      <c r="I60" s="21">
        <f t="shared" ref="I60:I61" si="37">I59-E60+C60</f>
        <v>17.207999999999998</v>
      </c>
      <c r="J60" s="21">
        <f t="shared" ref="J60:J61" si="38">SUM(H60:I60)</f>
        <v>30.915999999999997</v>
      </c>
    </row>
    <row r="61" spans="1:10" ht="15.75">
      <c r="A61" s="50" t="s">
        <v>96</v>
      </c>
      <c r="B61" s="14"/>
      <c r="C61" s="14"/>
      <c r="D61" s="14"/>
      <c r="E61" s="14"/>
      <c r="F61" s="24"/>
      <c r="G61" s="14">
        <v>3</v>
      </c>
      <c r="H61" s="21">
        <f t="shared" si="36"/>
        <v>13.708</v>
      </c>
      <c r="I61" s="21">
        <f t="shared" si="37"/>
        <v>17.207999999999998</v>
      </c>
      <c r="J61" s="21">
        <f t="shared" si="38"/>
        <v>30.915999999999997</v>
      </c>
    </row>
    <row r="62" spans="1:10" ht="15.75">
      <c r="A62" s="52" t="s">
        <v>97</v>
      </c>
      <c r="B62" s="14"/>
      <c r="C62" s="14"/>
      <c r="D62" s="14"/>
      <c r="E62" s="14">
        <v>8</v>
      </c>
      <c r="F62" s="24"/>
      <c r="G62" s="14"/>
      <c r="H62" s="21">
        <f t="shared" ref="H62" si="39">H61-F62-D62+B62</f>
        <v>13.708</v>
      </c>
      <c r="I62" s="21">
        <f t="shared" ref="I62" si="40">I61-E62+C62</f>
        <v>9.2079999999999984</v>
      </c>
      <c r="J62" s="21">
        <f t="shared" ref="J62" si="41">SUM(H62:I62)</f>
        <v>22.915999999999997</v>
      </c>
    </row>
    <row r="63" spans="1:10" ht="15.75">
      <c r="A63" s="57" t="s">
        <v>100</v>
      </c>
      <c r="B63" s="14">
        <v>1.25</v>
      </c>
      <c r="C63" s="14">
        <v>1.25</v>
      </c>
      <c r="D63" s="14"/>
      <c r="E63" s="14"/>
      <c r="F63" s="24"/>
      <c r="G63" s="14"/>
      <c r="H63" s="21">
        <f t="shared" ref="H63" si="42">H62-F63-D63+B63</f>
        <v>14.958</v>
      </c>
      <c r="I63" s="21">
        <f t="shared" ref="I63" si="43">I62-E63+C63</f>
        <v>10.457999999999998</v>
      </c>
      <c r="J63" s="21">
        <f t="shared" ref="J63" si="44">SUM(H63:I63)</f>
        <v>25.415999999999997</v>
      </c>
    </row>
    <row r="64" spans="1:10" ht="15.75">
      <c r="A64" s="56" t="s">
        <v>98</v>
      </c>
      <c r="B64" s="14"/>
      <c r="C64" s="14"/>
      <c r="D64" s="14"/>
      <c r="E64" s="14">
        <v>3</v>
      </c>
      <c r="F64" s="24"/>
      <c r="G64" s="14"/>
      <c r="H64" s="21">
        <f t="shared" ref="H64" si="45">H63-F64-D64+B64</f>
        <v>14.958</v>
      </c>
      <c r="I64" s="21">
        <f t="shared" ref="I64" si="46">I63-E64+C64</f>
        <v>7.4579999999999984</v>
      </c>
      <c r="J64" s="21">
        <f t="shared" ref="J64" si="47">SUM(H64:I64)</f>
        <v>22.415999999999997</v>
      </c>
    </row>
    <row r="65" spans="1:10" ht="15.75">
      <c r="A65" s="57" t="s">
        <v>101</v>
      </c>
      <c r="B65" s="24"/>
      <c r="C65" s="24"/>
      <c r="D65" s="24"/>
      <c r="E65" s="14">
        <v>1</v>
      </c>
      <c r="F65" s="24"/>
      <c r="G65" s="14"/>
      <c r="H65" s="21">
        <f t="shared" ref="H65" si="48">H64-F65-D65+B65</f>
        <v>14.958</v>
      </c>
      <c r="I65" s="21">
        <f t="shared" ref="I65" si="49">I64-E65+C65</f>
        <v>6.4579999999999984</v>
      </c>
      <c r="J65" s="21">
        <f t="shared" ref="J65" si="50">SUM(H65:I65)</f>
        <v>21.415999999999997</v>
      </c>
    </row>
    <row r="66" spans="1:10" ht="15.75">
      <c r="A66" s="60" t="s">
        <v>104</v>
      </c>
      <c r="B66" s="24"/>
      <c r="C66" s="24"/>
      <c r="D66" s="24"/>
      <c r="E66" s="14">
        <v>1</v>
      </c>
      <c r="F66" s="24"/>
      <c r="G66" s="14"/>
      <c r="H66" s="21">
        <f t="shared" ref="H66" si="51">H65-F66-D66+B66</f>
        <v>14.958</v>
      </c>
      <c r="I66" s="21">
        <f t="shared" ref="I66" si="52">I65-E66+C66</f>
        <v>5.4579999999999984</v>
      </c>
      <c r="J66" s="21">
        <f t="shared" ref="J66" si="53">SUM(H66:I66)</f>
        <v>20.415999999999997</v>
      </c>
    </row>
    <row r="67" spans="1:10" ht="15.75">
      <c r="A67" s="66" t="s">
        <v>108</v>
      </c>
      <c r="B67" s="14">
        <v>1.25</v>
      </c>
      <c r="C67" s="14">
        <v>1.25</v>
      </c>
      <c r="D67" s="24"/>
      <c r="E67" s="14"/>
      <c r="F67" s="24"/>
      <c r="G67" s="14"/>
      <c r="H67" s="21">
        <f t="shared" ref="H67" si="54">H66-F67-D67+B67</f>
        <v>16.207999999999998</v>
      </c>
      <c r="I67" s="21">
        <f t="shared" ref="I67" si="55">I66-E67+C67</f>
        <v>6.7079999999999984</v>
      </c>
      <c r="J67" s="21">
        <f t="shared" ref="J67" si="56">SUM(H67:I67)</f>
        <v>22.915999999999997</v>
      </c>
    </row>
    <row r="68" spans="1:10" ht="15.75">
      <c r="A68" s="66" t="s">
        <v>107</v>
      </c>
      <c r="B68" s="24"/>
      <c r="C68" s="24"/>
      <c r="D68" s="24"/>
      <c r="E68" s="14"/>
      <c r="F68" s="14">
        <v>1</v>
      </c>
      <c r="G68" s="14"/>
      <c r="H68" s="21">
        <f t="shared" ref="H68" si="57">H67-F68-D68+B68</f>
        <v>15.207999999999998</v>
      </c>
      <c r="I68" s="21">
        <f t="shared" ref="I68" si="58">I67-E68+C68</f>
        <v>6.7079999999999984</v>
      </c>
      <c r="J68" s="21">
        <f t="shared" ref="J68" si="59">SUM(H68:I68)</f>
        <v>21.915999999999997</v>
      </c>
    </row>
    <row r="69" spans="1:10" ht="15.75">
      <c r="A69" s="68" t="s">
        <v>110</v>
      </c>
      <c r="B69" s="14">
        <v>2.5</v>
      </c>
      <c r="C69" s="14">
        <v>2.5</v>
      </c>
      <c r="D69" s="24"/>
      <c r="E69" s="14"/>
      <c r="F69" s="14"/>
      <c r="G69" s="14"/>
      <c r="H69" s="21">
        <f t="shared" ref="H69:H71" si="60">H68-F69-D69+B69</f>
        <v>17.707999999999998</v>
      </c>
      <c r="I69" s="21">
        <f t="shared" ref="I69:I71" si="61">I68-E69+C69</f>
        <v>9.2079999999999984</v>
      </c>
      <c r="J69" s="21">
        <f t="shared" ref="J69:J71" si="62">SUM(H69:I69)</f>
        <v>26.915999999999997</v>
      </c>
    </row>
    <row r="70" spans="1:10" ht="15.75">
      <c r="A70" s="101" t="s">
        <v>139</v>
      </c>
      <c r="B70" s="14"/>
      <c r="C70" s="14"/>
      <c r="D70" s="14">
        <v>1</v>
      </c>
      <c r="E70" s="14"/>
      <c r="F70" s="14"/>
      <c r="G70" s="14"/>
      <c r="H70" s="21">
        <f t="shared" si="60"/>
        <v>16.707999999999998</v>
      </c>
      <c r="I70" s="21">
        <f t="shared" si="61"/>
        <v>9.2079999999999984</v>
      </c>
      <c r="J70" s="21">
        <f t="shared" si="62"/>
        <v>25.915999999999997</v>
      </c>
    </row>
    <row r="71" spans="1:10" ht="15.75">
      <c r="A71" s="68" t="s">
        <v>111</v>
      </c>
      <c r="B71" s="14"/>
      <c r="C71" s="14"/>
      <c r="D71" s="14"/>
      <c r="E71" s="14"/>
      <c r="F71" s="14">
        <v>2</v>
      </c>
      <c r="G71" s="14"/>
      <c r="H71" s="21">
        <f t="shared" si="60"/>
        <v>14.707999999999998</v>
      </c>
      <c r="I71" s="21">
        <f t="shared" si="61"/>
        <v>9.2079999999999984</v>
      </c>
      <c r="J71" s="21">
        <f t="shared" si="62"/>
        <v>23.915999999999997</v>
      </c>
    </row>
    <row r="72" spans="1:10" ht="15.75">
      <c r="A72" s="69" t="s">
        <v>112</v>
      </c>
      <c r="B72" s="14">
        <v>1.25</v>
      </c>
      <c r="C72" s="14">
        <v>1.25</v>
      </c>
      <c r="D72" s="14"/>
      <c r="E72" s="14"/>
      <c r="F72" s="14"/>
      <c r="G72" s="14"/>
      <c r="H72" s="21">
        <f t="shared" ref="H72:H73" si="63">H71-F72-D72+B72</f>
        <v>15.957999999999998</v>
      </c>
      <c r="I72" s="21">
        <f t="shared" ref="I72:I73" si="64">I71-E72+C72</f>
        <v>10.457999999999998</v>
      </c>
      <c r="J72" s="21">
        <f t="shared" ref="J72:J73" si="65">SUM(H72:I72)</f>
        <v>26.415999999999997</v>
      </c>
    </row>
    <row r="73" spans="1:10" ht="15.75">
      <c r="A73" s="69" t="s">
        <v>113</v>
      </c>
      <c r="B73" s="14"/>
      <c r="C73" s="14"/>
      <c r="D73" s="14"/>
      <c r="E73" s="14">
        <v>1</v>
      </c>
      <c r="F73" s="14"/>
      <c r="G73" s="14"/>
      <c r="H73" s="21">
        <f t="shared" si="63"/>
        <v>15.957999999999998</v>
      </c>
      <c r="I73" s="21">
        <f t="shared" si="64"/>
        <v>9.4579999999999984</v>
      </c>
      <c r="J73" s="21">
        <f t="shared" si="65"/>
        <v>25.415999999999997</v>
      </c>
    </row>
    <row r="74" spans="1:10" ht="15.75">
      <c r="A74" s="70" t="s">
        <v>114</v>
      </c>
      <c r="B74" s="14">
        <v>1.25</v>
      </c>
      <c r="C74" s="14">
        <v>1.25</v>
      </c>
      <c r="D74" s="14"/>
      <c r="E74" s="14"/>
      <c r="F74" s="14"/>
      <c r="G74" s="14"/>
      <c r="H74" s="21">
        <f t="shared" ref="H74:H75" si="66">H73-F74-D74+B74</f>
        <v>17.207999999999998</v>
      </c>
      <c r="I74" s="21">
        <f t="shared" ref="I74:I75" si="67">I73-E74+C74</f>
        <v>10.707999999999998</v>
      </c>
      <c r="J74" s="21">
        <f t="shared" ref="J74:J75" si="68">SUM(H74:I74)</f>
        <v>27.915999999999997</v>
      </c>
    </row>
    <row r="75" spans="1:10" ht="15.75">
      <c r="A75" s="70" t="s">
        <v>115</v>
      </c>
      <c r="B75" s="14"/>
      <c r="C75" s="14"/>
      <c r="D75" s="14"/>
      <c r="E75" s="14">
        <v>1</v>
      </c>
      <c r="F75" s="14"/>
      <c r="G75" s="14"/>
      <c r="H75" s="21">
        <f t="shared" si="66"/>
        <v>17.207999999999998</v>
      </c>
      <c r="I75" s="21">
        <f t="shared" si="67"/>
        <v>9.7079999999999984</v>
      </c>
      <c r="J75" s="21">
        <f t="shared" si="68"/>
        <v>26.915999999999997</v>
      </c>
    </row>
    <row r="76" spans="1:10" ht="15.75">
      <c r="A76" s="71" t="s">
        <v>116</v>
      </c>
      <c r="B76" s="14">
        <v>1.25</v>
      </c>
      <c r="C76" s="14">
        <v>1.25</v>
      </c>
      <c r="D76" s="14"/>
      <c r="E76" s="14"/>
      <c r="F76" s="14"/>
      <c r="G76" s="14"/>
      <c r="H76" s="21">
        <f t="shared" ref="H76:H77" si="69">H75-F76-D76+B76</f>
        <v>18.457999999999998</v>
      </c>
      <c r="I76" s="21">
        <f t="shared" ref="I76:I77" si="70">I75-E76+C76</f>
        <v>10.957999999999998</v>
      </c>
      <c r="J76" s="21">
        <f t="shared" ref="J76:J77" si="71">SUM(H76:I76)</f>
        <v>29.415999999999997</v>
      </c>
    </row>
    <row r="77" spans="1:10" ht="15.75">
      <c r="A77" s="71" t="s">
        <v>117</v>
      </c>
      <c r="B77" s="14"/>
      <c r="C77" s="14"/>
      <c r="D77" s="14"/>
      <c r="E77" s="14">
        <v>1</v>
      </c>
      <c r="F77" s="14"/>
      <c r="G77" s="14"/>
      <c r="H77" s="21">
        <f t="shared" si="69"/>
        <v>18.457999999999998</v>
      </c>
      <c r="I77" s="21">
        <f t="shared" si="70"/>
        <v>9.9579999999999984</v>
      </c>
      <c r="J77" s="21">
        <f t="shared" si="71"/>
        <v>28.415999999999997</v>
      </c>
    </row>
    <row r="78" spans="1:10" ht="15.75">
      <c r="A78" s="95" t="s">
        <v>135</v>
      </c>
      <c r="B78" s="14"/>
      <c r="C78" s="14"/>
      <c r="D78" s="14"/>
      <c r="E78" s="14"/>
      <c r="F78" s="96">
        <v>1</v>
      </c>
      <c r="G78" s="14"/>
      <c r="H78" s="21">
        <f t="shared" ref="H78" si="72">H77-F78-D78+B78</f>
        <v>17.457999999999998</v>
      </c>
      <c r="I78" s="21">
        <f t="shared" ref="I78" si="73">I77-E78+C78</f>
        <v>9.9579999999999984</v>
      </c>
      <c r="J78" s="21">
        <f t="shared" ref="J78" si="74">SUM(H78:I78)</f>
        <v>27.415999999999997</v>
      </c>
    </row>
    <row r="79" spans="1:10" ht="15.75">
      <c r="A79" s="101" t="s">
        <v>138</v>
      </c>
      <c r="B79" s="14"/>
      <c r="C79" s="14"/>
      <c r="D79" s="14"/>
      <c r="E79" s="14">
        <v>1</v>
      </c>
      <c r="F79" s="14"/>
      <c r="G79" s="14"/>
      <c r="H79" s="21">
        <f t="shared" ref="H79" si="75">H78-F79-D79+B79</f>
        <v>17.457999999999998</v>
      </c>
      <c r="I79" s="21">
        <f t="shared" ref="I79" si="76">I78-E79+C79</f>
        <v>8.9579999999999984</v>
      </c>
      <c r="J79" s="21">
        <f t="shared" ref="J79" si="77">SUM(H79:I79)</f>
        <v>26.415999999999997</v>
      </c>
    </row>
    <row r="80" spans="1:10" ht="15.75">
      <c r="A80" s="103" t="s">
        <v>141</v>
      </c>
      <c r="B80" s="14">
        <v>3.75</v>
      </c>
      <c r="C80" s="14">
        <v>3.75</v>
      </c>
      <c r="D80" s="14"/>
      <c r="E80" s="14"/>
      <c r="F80" s="14"/>
      <c r="G80" s="14"/>
      <c r="H80" s="21">
        <f t="shared" ref="H80" si="78">H79-F80-D80+B80</f>
        <v>21.207999999999998</v>
      </c>
      <c r="I80" s="21">
        <f t="shared" ref="I80" si="79">I79-E80+C80</f>
        <v>12.707999999999998</v>
      </c>
      <c r="J80" s="21">
        <f t="shared" ref="J80" si="80">SUM(H80:I80)</f>
        <v>33.915999999999997</v>
      </c>
    </row>
    <row r="81" spans="1:11" ht="15.75">
      <c r="A81" s="103" t="s">
        <v>142</v>
      </c>
      <c r="B81" s="14"/>
      <c r="C81" s="14"/>
      <c r="D81" s="14">
        <v>0.5</v>
      </c>
      <c r="E81" s="14"/>
      <c r="F81" s="14"/>
      <c r="G81" s="14"/>
      <c r="H81" s="21">
        <f t="shared" ref="H81" si="81">H80-F81-D81+B81</f>
        <v>20.707999999999998</v>
      </c>
      <c r="I81" s="21">
        <f t="shared" ref="I81" si="82">I80-E81+C81</f>
        <v>12.707999999999998</v>
      </c>
      <c r="J81" s="21">
        <f t="shared" ref="J81" si="83">SUM(H81:I81)</f>
        <v>33.415999999999997</v>
      </c>
    </row>
    <row r="82" spans="1:11" ht="15.75">
      <c r="A82" s="104" t="s">
        <v>143</v>
      </c>
      <c r="B82" s="14">
        <v>2.5</v>
      </c>
      <c r="C82" s="14">
        <v>2.5</v>
      </c>
      <c r="D82" s="14"/>
      <c r="E82" s="14"/>
      <c r="F82" s="14"/>
      <c r="G82" s="14"/>
      <c r="H82" s="21">
        <f t="shared" ref="H82:H83" si="84">H81-F82-D82+B82</f>
        <v>23.207999999999998</v>
      </c>
      <c r="I82" s="21">
        <f t="shared" ref="I82:I83" si="85">I81-E82+C82</f>
        <v>15.207999999999998</v>
      </c>
      <c r="J82" s="21">
        <f t="shared" ref="J82:J83" si="86">SUM(H82:I82)</f>
        <v>38.415999999999997</v>
      </c>
    </row>
    <row r="83" spans="1:11" ht="15.75">
      <c r="A83" s="104" t="s">
        <v>144</v>
      </c>
      <c r="B83" s="14"/>
      <c r="C83" s="14"/>
      <c r="D83" s="14">
        <v>10</v>
      </c>
      <c r="E83" s="14"/>
      <c r="F83" s="14"/>
      <c r="G83" s="14"/>
      <c r="H83" s="21">
        <f t="shared" si="84"/>
        <v>13.207999999999998</v>
      </c>
      <c r="I83" s="21">
        <f t="shared" si="85"/>
        <v>15.207999999999998</v>
      </c>
      <c r="J83" s="21">
        <f t="shared" si="86"/>
        <v>28.415999999999997</v>
      </c>
    </row>
    <row r="84" spans="1:11" ht="15.75">
      <c r="A84" s="115" t="s">
        <v>155</v>
      </c>
      <c r="B84" s="14"/>
      <c r="C84" s="14"/>
      <c r="D84" s="14"/>
      <c r="E84" s="14"/>
      <c r="F84" s="14"/>
      <c r="G84" s="108">
        <v>3</v>
      </c>
      <c r="H84" s="21">
        <f t="shared" ref="H84" si="87">H83-F84-D84+B84</f>
        <v>13.207999999999998</v>
      </c>
      <c r="I84" s="21">
        <f t="shared" ref="I84" si="88">I83-E84+C84</f>
        <v>15.207999999999998</v>
      </c>
      <c r="J84" s="21">
        <f t="shared" ref="J84" si="89">SUM(H84:I84)</f>
        <v>28.415999999999997</v>
      </c>
      <c r="K84" t="s">
        <v>154</v>
      </c>
    </row>
    <row r="85" spans="1:11" ht="15.75">
      <c r="A85" s="114" t="s">
        <v>153</v>
      </c>
      <c r="B85" s="14"/>
      <c r="C85" s="14"/>
      <c r="D85" s="14"/>
      <c r="E85" s="14"/>
      <c r="F85" s="96">
        <v>1</v>
      </c>
      <c r="G85" s="14"/>
      <c r="H85" s="21">
        <f t="shared" ref="H85" si="90">H84-F85-D85+B85</f>
        <v>12.207999999999998</v>
      </c>
      <c r="I85" s="21">
        <f t="shared" ref="I85" si="91">I84-E85+C85</f>
        <v>15.207999999999998</v>
      </c>
      <c r="J85" s="21">
        <f t="shared" ref="J85" si="92">SUM(H85:I85)</f>
        <v>27.415999999999997</v>
      </c>
      <c r="K85" t="s">
        <v>152</v>
      </c>
    </row>
    <row r="86" spans="1:11" ht="15.75">
      <c r="A86" s="109" t="s">
        <v>145</v>
      </c>
      <c r="B86" s="14"/>
      <c r="C86" s="14"/>
      <c r="D86" s="14"/>
      <c r="E86" s="14"/>
      <c r="F86" s="96">
        <v>2</v>
      </c>
      <c r="G86" s="14"/>
      <c r="H86" s="21">
        <f t="shared" ref="H86" si="93">H85-F86-D86+B86</f>
        <v>10.207999999999998</v>
      </c>
      <c r="I86" s="21">
        <f t="shared" ref="I86" si="94">I85-E86+C86</f>
        <v>15.207999999999998</v>
      </c>
      <c r="J86" s="21">
        <f t="shared" ref="J86" si="95">SUM(H86:I86)</f>
        <v>25.415999999999997</v>
      </c>
    </row>
    <row r="87" spans="1:11" ht="15.75">
      <c r="A87" s="110" t="s">
        <v>146</v>
      </c>
      <c r="B87" s="14"/>
      <c r="C87" s="14"/>
      <c r="D87" s="14"/>
      <c r="E87" s="14">
        <v>1</v>
      </c>
      <c r="F87" s="14"/>
      <c r="G87" s="14"/>
      <c r="H87" s="21">
        <f t="shared" ref="H87" si="96">H86-F87-D87+B87</f>
        <v>10.207999999999998</v>
      </c>
      <c r="I87" s="21">
        <f t="shared" ref="I87" si="97">I86-E87+C87</f>
        <v>14.207999999999998</v>
      </c>
      <c r="J87" s="21">
        <f t="shared" ref="J87" si="98">SUM(H87:I87)</f>
        <v>24.415999999999997</v>
      </c>
    </row>
    <row r="88" spans="1:11" ht="15.75">
      <c r="A88" s="111" t="s">
        <v>147</v>
      </c>
      <c r="B88" s="14">
        <v>1.25</v>
      </c>
      <c r="C88" s="14">
        <v>1.25</v>
      </c>
      <c r="D88" s="14"/>
      <c r="E88" s="14"/>
      <c r="F88" s="14"/>
      <c r="G88" s="14"/>
      <c r="H88" s="21">
        <f t="shared" ref="H88:H89" si="99">H87-F88-D88+B88</f>
        <v>11.457999999999998</v>
      </c>
      <c r="I88" s="21">
        <f t="shared" ref="I88:I89" si="100">I87-E88+C88</f>
        <v>15.457999999999998</v>
      </c>
      <c r="J88" s="21">
        <f t="shared" ref="J88:J89" si="101">SUM(H88:I88)</f>
        <v>26.915999999999997</v>
      </c>
    </row>
    <row r="89" spans="1:11" ht="15.75">
      <c r="A89" s="111" t="s">
        <v>148</v>
      </c>
      <c r="B89" s="14"/>
      <c r="C89" s="14"/>
      <c r="D89" s="14"/>
      <c r="E89" s="14"/>
      <c r="F89" s="96">
        <v>1</v>
      </c>
      <c r="G89" s="14"/>
      <c r="H89" s="21">
        <f t="shared" si="99"/>
        <v>10.457999999999998</v>
      </c>
      <c r="I89" s="21">
        <f t="shared" si="100"/>
        <v>15.457999999999998</v>
      </c>
      <c r="J89" s="21">
        <f t="shared" si="101"/>
        <v>25.915999999999997</v>
      </c>
    </row>
    <row r="90" spans="1:11" ht="15.75">
      <c r="A90" s="112" t="s">
        <v>149</v>
      </c>
      <c r="B90" s="14">
        <v>1.25</v>
      </c>
      <c r="C90" s="14">
        <v>1.25</v>
      </c>
      <c r="D90" s="14"/>
      <c r="E90" s="14"/>
      <c r="F90" s="14"/>
      <c r="G90" s="14"/>
      <c r="H90" s="21">
        <f t="shared" ref="H90:H91" si="102">H89-F90-D90+B90</f>
        <v>11.707999999999998</v>
      </c>
      <c r="I90" s="21">
        <f t="shared" ref="I90:I91" si="103">I89-E90+C90</f>
        <v>16.707999999999998</v>
      </c>
      <c r="J90" s="21">
        <f t="shared" ref="J90:J91" si="104">SUM(H90:I90)</f>
        <v>28.415999999999997</v>
      </c>
    </row>
    <row r="91" spans="1:11" ht="15.75">
      <c r="A91" s="112" t="s">
        <v>150</v>
      </c>
      <c r="B91" s="14"/>
      <c r="C91" s="14"/>
      <c r="D91" s="14">
        <v>1</v>
      </c>
      <c r="E91" s="14"/>
      <c r="F91" s="14"/>
      <c r="G91" s="14"/>
      <c r="H91" s="21">
        <f t="shared" si="102"/>
        <v>10.707999999999998</v>
      </c>
      <c r="I91" s="21">
        <f t="shared" si="103"/>
        <v>16.707999999999998</v>
      </c>
      <c r="J91" s="21">
        <f t="shared" si="104"/>
        <v>27.415999999999997</v>
      </c>
    </row>
    <row r="92" spans="1:11" ht="15.75">
      <c r="A92" s="113" t="s">
        <v>151</v>
      </c>
      <c r="B92" s="14"/>
      <c r="C92" s="14"/>
      <c r="D92" s="14"/>
      <c r="E92" s="14">
        <v>1.5</v>
      </c>
      <c r="F92" s="14"/>
      <c r="G92" s="14"/>
      <c r="H92" s="21">
        <f t="shared" ref="H92" si="105">H91-F92-D92+B92</f>
        <v>10.707999999999998</v>
      </c>
      <c r="I92" s="21">
        <f t="shared" ref="I92" si="106">I91-E92+C92</f>
        <v>15.207999999999998</v>
      </c>
      <c r="J92" s="21">
        <f t="shared" ref="J92" si="107">SUM(H92:I92)</f>
        <v>25.915999999999997</v>
      </c>
    </row>
    <row r="93" spans="1:11" ht="15.75">
      <c r="A93" s="118" t="s">
        <v>160</v>
      </c>
      <c r="B93" s="14">
        <v>1.25</v>
      </c>
      <c r="C93" s="14">
        <v>1.25</v>
      </c>
      <c r="D93" s="14"/>
      <c r="E93" s="14"/>
      <c r="F93" s="14"/>
      <c r="G93" s="14"/>
      <c r="H93" s="21">
        <f t="shared" ref="H93" si="108">H92-F93-D93+B93</f>
        <v>11.957999999999998</v>
      </c>
      <c r="I93" s="21">
        <f t="shared" ref="I93" si="109">I92-E93+C93</f>
        <v>16.457999999999998</v>
      </c>
      <c r="J93" s="21">
        <f t="shared" ref="J93" si="110">SUM(H93:I93)</f>
        <v>28.415999999999997</v>
      </c>
    </row>
    <row r="94" spans="1:11" ht="15.75">
      <c r="A94" s="193" t="s">
        <v>161</v>
      </c>
      <c r="B94" s="14"/>
      <c r="C94" s="14"/>
      <c r="D94" s="14"/>
      <c r="E94" s="14">
        <v>1</v>
      </c>
      <c r="F94" s="14"/>
      <c r="G94" s="14"/>
      <c r="H94" s="21">
        <f t="shared" ref="H94" si="111">H93-F94-D94+B94</f>
        <v>11.957999999999998</v>
      </c>
      <c r="I94" s="21">
        <f t="shared" ref="I94" si="112">I93-E94+C94</f>
        <v>15.457999999999998</v>
      </c>
      <c r="J94" s="21">
        <f t="shared" ref="J94" si="113">SUM(H94:I94)</f>
        <v>27.415999999999997</v>
      </c>
    </row>
    <row r="95" spans="1:11" ht="15.75">
      <c r="A95" s="190"/>
      <c r="B95" s="191"/>
      <c r="C95" s="191"/>
      <c r="D95" s="191"/>
      <c r="E95" s="191"/>
      <c r="F95" s="191"/>
      <c r="G95" s="191"/>
      <c r="H95" s="192"/>
      <c r="I95" s="192"/>
      <c r="J95" s="192"/>
    </row>
    <row r="96" spans="1:11" ht="15.75">
      <c r="A96" s="54"/>
      <c r="G96" s="19"/>
      <c r="H96" s="55"/>
      <c r="I96" s="55"/>
      <c r="J96" s="55"/>
    </row>
    <row r="97" spans="7:8" s="1" customFormat="1" ht="15.95" customHeight="1">
      <c r="G97" s="1" t="s">
        <v>33</v>
      </c>
    </row>
    <row r="98" spans="7:8" s="1" customFormat="1" ht="15.95" customHeight="1"/>
    <row r="99" spans="7:8" s="1" customFormat="1" ht="15.95" customHeight="1">
      <c r="H99" s="51" t="s">
        <v>32</v>
      </c>
    </row>
    <row r="100" spans="7:8" s="1" customFormat="1" ht="15.95" customHeight="1">
      <c r="H100" s="1" t="s">
        <v>31</v>
      </c>
    </row>
    <row r="101" spans="7:8" s="1" customFormat="1" ht="15.95" customHeight="1">
      <c r="H101" s="1" t="s">
        <v>99</v>
      </c>
    </row>
  </sheetData>
  <mergeCells count="12">
    <mergeCell ref="B9:D9"/>
    <mergeCell ref="A10:J10"/>
    <mergeCell ref="B11:C11"/>
    <mergeCell ref="H11:I11"/>
    <mergeCell ref="J11:J12"/>
    <mergeCell ref="A11:A12"/>
    <mergeCell ref="D11:G11"/>
    <mergeCell ref="A2:J2"/>
    <mergeCell ref="A3:J3"/>
    <mergeCell ref="A4:J4"/>
    <mergeCell ref="A5:J5"/>
    <mergeCell ref="B7:D7"/>
  </mergeCells>
  <printOptions horizontalCentered="1"/>
  <pageMargins left="0.23622047244094491" right="0.23622047244094491" top="0.70866141732283472" bottom="0.11811023622047245" header="0.31496062992125984" footer="0.31496062992125984"/>
  <pageSetup paperSize="9" scale="78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8"/>
  <sheetViews>
    <sheetView workbookViewId="0">
      <selection activeCell="C25" sqref="C25"/>
    </sheetView>
  </sheetViews>
  <sheetFormatPr defaultColWidth="8.7109375" defaultRowHeight="15"/>
  <cols>
    <col min="1" max="1" width="21.5703125" style="3" customWidth="1"/>
    <col min="2" max="2" width="17.5703125" style="3" customWidth="1"/>
    <col min="3" max="16384" width="8.7109375" style="3"/>
  </cols>
  <sheetData>
    <row r="1" spans="1:9" s="4" customFormat="1" ht="52.5" customHeight="1"/>
    <row r="2" spans="1:9" s="4" customFormat="1" ht="10.5" customHeight="1">
      <c r="A2" s="138" t="s">
        <v>46</v>
      </c>
      <c r="B2" s="138"/>
      <c r="C2" s="138"/>
      <c r="D2" s="138"/>
      <c r="E2" s="138"/>
      <c r="F2" s="138"/>
      <c r="G2" s="138"/>
      <c r="H2" s="138"/>
      <c r="I2" s="138"/>
    </row>
    <row r="3" spans="1:9" s="4" customFormat="1" ht="15.95" customHeight="1">
      <c r="A3" s="138" t="s">
        <v>45</v>
      </c>
      <c r="B3" s="138"/>
      <c r="C3" s="138"/>
      <c r="D3" s="138"/>
      <c r="E3" s="138"/>
      <c r="F3" s="138"/>
      <c r="G3" s="138"/>
      <c r="H3" s="138"/>
      <c r="I3" s="138"/>
    </row>
    <row r="4" spans="1:9" s="4" customFormat="1" ht="15.95" customHeight="1">
      <c r="A4" s="139" t="s">
        <v>159</v>
      </c>
      <c r="B4" s="138"/>
      <c r="C4" s="138"/>
      <c r="D4" s="138"/>
      <c r="E4" s="138"/>
      <c r="F4" s="138"/>
      <c r="G4" s="138"/>
      <c r="H4" s="138"/>
      <c r="I4" s="138"/>
    </row>
    <row r="5" spans="1:9" s="4" customFormat="1" ht="15.95" customHeight="1">
      <c r="A5" s="138" t="s">
        <v>43</v>
      </c>
      <c r="B5" s="138"/>
      <c r="C5" s="138"/>
      <c r="D5" s="138"/>
      <c r="E5" s="138"/>
      <c r="F5" s="138"/>
      <c r="G5" s="138"/>
      <c r="H5" s="138"/>
      <c r="I5" s="138"/>
    </row>
    <row r="6" spans="1:9" s="4" customFormat="1" ht="8.25" customHeight="1"/>
    <row r="7" spans="1:9" s="4" customFormat="1" ht="12" customHeight="1">
      <c r="A7" s="4" t="s">
        <v>42</v>
      </c>
      <c r="C7" s="11" t="s">
        <v>41</v>
      </c>
      <c r="D7" s="11"/>
      <c r="G7" s="13"/>
    </row>
    <row r="8" spans="1:9" s="4" customFormat="1" ht="12" customHeight="1">
      <c r="C8" s="12"/>
      <c r="G8" s="12"/>
    </row>
    <row r="9" spans="1:9" s="4" customFormat="1" ht="12" customHeight="1">
      <c r="A9" s="4" t="s">
        <v>40</v>
      </c>
      <c r="C9" s="11" t="s">
        <v>39</v>
      </c>
      <c r="D9" s="11"/>
      <c r="G9" s="10"/>
    </row>
    <row r="10" spans="1:9" ht="16.5" customHeight="1" thickBot="1">
      <c r="A10" s="140" t="s">
        <v>38</v>
      </c>
      <c r="B10" s="140"/>
      <c r="C10" s="140"/>
      <c r="D10" s="140"/>
      <c r="E10" s="140"/>
      <c r="F10" s="140"/>
      <c r="G10" s="140"/>
      <c r="H10" s="140"/>
      <c r="I10" s="140"/>
    </row>
    <row r="11" spans="1:9" s="8" customFormat="1" ht="18.75" customHeight="1">
      <c r="A11" s="146" t="s">
        <v>3</v>
      </c>
      <c r="B11" s="148" t="s">
        <v>4</v>
      </c>
      <c r="C11" s="149"/>
      <c r="D11" s="149"/>
      <c r="E11" s="149"/>
      <c r="F11" s="149"/>
      <c r="G11" s="149"/>
      <c r="H11" s="149"/>
      <c r="I11" s="141" t="s">
        <v>7</v>
      </c>
    </row>
    <row r="12" spans="1:9" s="8" customFormat="1" ht="24" customHeight="1">
      <c r="A12" s="147"/>
      <c r="B12" s="143" t="s">
        <v>37</v>
      </c>
      <c r="C12" s="144"/>
      <c r="D12" s="144"/>
      <c r="E12" s="145"/>
      <c r="F12" s="59" t="s">
        <v>36</v>
      </c>
      <c r="G12" s="59" t="s">
        <v>35</v>
      </c>
      <c r="H12" s="59" t="s">
        <v>34</v>
      </c>
      <c r="I12" s="142"/>
    </row>
    <row r="13" spans="1:9" s="8" customFormat="1" ht="24.95" hidden="1" customHeight="1">
      <c r="A13" s="7" t="s">
        <v>47</v>
      </c>
      <c r="B13" s="134" t="s">
        <v>49</v>
      </c>
      <c r="C13" s="135"/>
      <c r="D13" s="135"/>
      <c r="E13" s="136"/>
      <c r="F13" s="58">
        <v>1</v>
      </c>
      <c r="G13" s="58">
        <v>0</v>
      </c>
      <c r="H13" s="58">
        <v>1</v>
      </c>
      <c r="I13" s="9">
        <v>1</v>
      </c>
    </row>
    <row r="14" spans="1:9" s="8" customFormat="1" ht="24.95" hidden="1" customHeight="1">
      <c r="A14" s="7" t="s">
        <v>48</v>
      </c>
      <c r="B14" s="134" t="s">
        <v>49</v>
      </c>
      <c r="C14" s="135"/>
      <c r="D14" s="135"/>
      <c r="E14" s="136"/>
      <c r="F14" s="58"/>
      <c r="G14" s="58">
        <v>1</v>
      </c>
      <c r="H14" s="58">
        <v>0</v>
      </c>
      <c r="I14" s="61">
        <v>0</v>
      </c>
    </row>
    <row r="15" spans="1:9" s="8" customFormat="1" ht="24.95" hidden="1" customHeight="1">
      <c r="A15" s="43" t="s">
        <v>83</v>
      </c>
      <c r="B15" s="134" t="s">
        <v>84</v>
      </c>
      <c r="C15" s="135"/>
      <c r="D15" s="135"/>
      <c r="E15" s="136"/>
      <c r="F15" s="58">
        <v>1</v>
      </c>
      <c r="G15" s="58">
        <v>0</v>
      </c>
      <c r="H15" s="58">
        <v>1</v>
      </c>
      <c r="I15" s="44">
        <v>1</v>
      </c>
    </row>
    <row r="16" spans="1:9" s="8" customFormat="1" ht="24.95" hidden="1" customHeight="1">
      <c r="A16" s="43" t="s">
        <v>85</v>
      </c>
      <c r="B16" s="134" t="s">
        <v>84</v>
      </c>
      <c r="C16" s="135"/>
      <c r="D16" s="135"/>
      <c r="E16" s="136"/>
      <c r="F16" s="58"/>
      <c r="G16" s="58">
        <v>1</v>
      </c>
      <c r="H16" s="58">
        <v>0</v>
      </c>
      <c r="I16" s="61">
        <v>0</v>
      </c>
    </row>
    <row r="17" spans="1:9" s="8" customFormat="1" ht="24.95" hidden="1" customHeight="1">
      <c r="A17" s="62" t="s">
        <v>105</v>
      </c>
      <c r="B17" s="134" t="s">
        <v>106</v>
      </c>
      <c r="C17" s="135"/>
      <c r="D17" s="135"/>
      <c r="E17" s="136"/>
      <c r="F17" s="58">
        <v>1</v>
      </c>
      <c r="G17" s="58">
        <v>0</v>
      </c>
      <c r="H17" s="58">
        <v>1</v>
      </c>
      <c r="I17" s="63">
        <v>1</v>
      </c>
    </row>
    <row r="18" spans="1:9" s="6" customFormat="1" ht="25.5" hidden="1" customHeight="1">
      <c r="A18" s="67" t="s">
        <v>109</v>
      </c>
      <c r="B18" s="134" t="s">
        <v>106</v>
      </c>
      <c r="C18" s="135"/>
      <c r="D18" s="135"/>
      <c r="E18" s="136"/>
      <c r="F18" s="58"/>
      <c r="G18" s="58">
        <v>1</v>
      </c>
      <c r="H18" s="58">
        <v>0</v>
      </c>
      <c r="I18" s="61">
        <v>0</v>
      </c>
    </row>
    <row r="19" spans="1:9" s="8" customFormat="1" ht="24.95" customHeight="1">
      <c r="A19" s="97" t="s">
        <v>136</v>
      </c>
      <c r="B19" s="134" t="s">
        <v>137</v>
      </c>
      <c r="C19" s="135"/>
      <c r="D19" s="135"/>
      <c r="E19" s="136"/>
      <c r="F19" s="58">
        <v>1</v>
      </c>
      <c r="G19" s="58">
        <v>0</v>
      </c>
      <c r="H19" s="58">
        <v>1</v>
      </c>
      <c r="I19" s="63">
        <v>1</v>
      </c>
    </row>
    <row r="20" spans="1:9" s="6" customFormat="1" ht="25.5" customHeight="1">
      <c r="A20" s="102" t="s">
        <v>140</v>
      </c>
      <c r="B20" s="134" t="s">
        <v>137</v>
      </c>
      <c r="C20" s="135"/>
      <c r="D20" s="135"/>
      <c r="E20" s="136"/>
      <c r="F20" s="58"/>
      <c r="G20" s="58">
        <v>1</v>
      </c>
      <c r="H20" s="58">
        <v>0</v>
      </c>
      <c r="I20" s="61">
        <v>0</v>
      </c>
    </row>
    <row r="21" spans="1:9" s="6" customFormat="1" ht="25.5" customHeight="1">
      <c r="A21" s="116" t="s">
        <v>156</v>
      </c>
      <c r="B21" s="131" t="s">
        <v>157</v>
      </c>
      <c r="C21" s="132"/>
      <c r="D21" s="132"/>
      <c r="E21" s="133"/>
      <c r="F21" s="58">
        <v>1</v>
      </c>
      <c r="G21" s="58">
        <v>0</v>
      </c>
      <c r="H21" s="58">
        <v>1</v>
      </c>
      <c r="I21" s="63">
        <v>1</v>
      </c>
    </row>
    <row r="22" spans="1:9" s="4" customFormat="1" ht="36" customHeight="1">
      <c r="A22" s="117" t="s">
        <v>158</v>
      </c>
      <c r="B22" s="131" t="s">
        <v>157</v>
      </c>
      <c r="C22" s="132"/>
      <c r="D22" s="132"/>
      <c r="E22" s="133"/>
      <c r="F22" s="58"/>
      <c r="G22" s="58">
        <v>1</v>
      </c>
      <c r="H22" s="58">
        <v>0</v>
      </c>
      <c r="I22" s="61">
        <v>0</v>
      </c>
    </row>
    <row r="23" spans="1:9" s="4" customFormat="1">
      <c r="A23" s="98"/>
      <c r="B23" s="99"/>
      <c r="C23" s="99"/>
      <c r="D23" s="99"/>
      <c r="E23" s="99"/>
      <c r="F23" s="99"/>
      <c r="G23" s="99"/>
      <c r="H23" s="99"/>
      <c r="I23" s="100"/>
    </row>
    <row r="24" spans="1:9">
      <c r="A24" s="4"/>
      <c r="B24" s="4"/>
      <c r="C24" s="5"/>
      <c r="D24" s="4"/>
      <c r="E24" s="4"/>
      <c r="F24" s="4" t="s">
        <v>33</v>
      </c>
      <c r="G24" s="4"/>
      <c r="H24" s="4"/>
      <c r="I24" s="4"/>
    </row>
    <row r="25" spans="1:9">
      <c r="A25" s="4"/>
      <c r="B25" s="4"/>
      <c r="C25" s="5"/>
      <c r="D25" s="4"/>
      <c r="E25" s="4"/>
      <c r="F25" s="4"/>
      <c r="G25" s="4"/>
      <c r="H25" s="4"/>
      <c r="I25" s="4"/>
    </row>
    <row r="26" spans="1:9">
      <c r="F26" s="65" t="s">
        <v>32</v>
      </c>
      <c r="G26" s="64"/>
    </row>
    <row r="27" spans="1:9">
      <c r="F27" s="3" t="s">
        <v>31</v>
      </c>
    </row>
    <row r="28" spans="1:9">
      <c r="F28" s="137" t="s">
        <v>30</v>
      </c>
      <c r="G28" s="137"/>
      <c r="H28" s="137"/>
    </row>
  </sheetData>
  <mergeCells count="20">
    <mergeCell ref="B13:E13"/>
    <mergeCell ref="B16:E16"/>
    <mergeCell ref="A2:I2"/>
    <mergeCell ref="A3:I3"/>
    <mergeCell ref="A4:I4"/>
    <mergeCell ref="A5:I5"/>
    <mergeCell ref="A10:I10"/>
    <mergeCell ref="I11:I12"/>
    <mergeCell ref="B12:E12"/>
    <mergeCell ref="A11:A12"/>
    <mergeCell ref="B11:H11"/>
    <mergeCell ref="B22:E22"/>
    <mergeCell ref="B18:E18"/>
    <mergeCell ref="B17:E17"/>
    <mergeCell ref="F28:H28"/>
    <mergeCell ref="B14:E14"/>
    <mergeCell ref="B15:E15"/>
    <mergeCell ref="B19:E19"/>
    <mergeCell ref="B20:E20"/>
    <mergeCell ref="B21:E21"/>
  </mergeCells>
  <phoneticPr fontId="52" type="noConversion"/>
  <pageMargins left="0.70866141732283472" right="0.70866141732283472" top="0.74803149606299213" bottom="0.74803149606299213" header="0.31496062992125984" footer="0.31496062992125984"/>
  <pageSetup paperSize="9" scale="75" fitToHeight="0"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8"/>
  <sheetViews>
    <sheetView view="pageBreakPreview" topLeftCell="A7" zoomScale="96" zoomScaleNormal="100" zoomScaleSheetLayoutView="96" workbookViewId="0">
      <selection activeCell="I21" sqref="I21"/>
    </sheetView>
  </sheetViews>
  <sheetFormatPr defaultColWidth="8.7109375" defaultRowHeight="15"/>
  <cols>
    <col min="1" max="1" width="21.85546875" style="28" customWidth="1"/>
    <col min="2" max="2" width="18.7109375" style="28" customWidth="1"/>
    <col min="3" max="5" width="8.7109375" style="28"/>
    <col min="6" max="6" width="6.85546875" style="28" customWidth="1"/>
    <col min="7" max="7" width="8.7109375" style="28"/>
    <col min="8" max="8" width="7.42578125" style="28" customWidth="1"/>
    <col min="9" max="9" width="8.7109375" style="28"/>
    <col min="10" max="10" width="7" style="28" customWidth="1"/>
    <col min="11" max="16384" width="8.7109375" style="28"/>
  </cols>
  <sheetData>
    <row r="1" spans="1:13" s="29" customFormat="1" ht="52.5" customHeight="1">
      <c r="D1" s="41"/>
      <c r="E1" s="40"/>
      <c r="I1" s="30"/>
    </row>
    <row r="2" spans="1:13" s="29" customFormat="1" ht="10.5" customHeight="1">
      <c r="A2" s="171" t="s">
        <v>46</v>
      </c>
      <c r="B2" s="171"/>
      <c r="C2" s="171"/>
      <c r="D2" s="171"/>
      <c r="E2" s="171"/>
      <c r="F2" s="171"/>
      <c r="G2" s="171"/>
      <c r="H2" s="171"/>
      <c r="I2" s="171"/>
      <c r="J2" s="171"/>
      <c r="K2" s="171"/>
      <c r="L2" s="171"/>
      <c r="M2" s="171"/>
    </row>
    <row r="3" spans="1:13" s="29" customFormat="1" ht="15.95" customHeight="1">
      <c r="A3" s="171" t="s">
        <v>45</v>
      </c>
      <c r="B3" s="171"/>
      <c r="C3" s="171"/>
      <c r="D3" s="171"/>
      <c r="E3" s="171"/>
      <c r="F3" s="171"/>
      <c r="G3" s="171"/>
      <c r="H3" s="171"/>
      <c r="I3" s="171"/>
      <c r="J3" s="171"/>
      <c r="K3" s="171"/>
      <c r="L3" s="171"/>
      <c r="M3" s="171"/>
    </row>
    <row r="4" spans="1:13" s="29" customFormat="1" ht="15.95" customHeight="1">
      <c r="A4" s="171" t="s">
        <v>44</v>
      </c>
      <c r="B4" s="171"/>
      <c r="C4" s="171"/>
      <c r="D4" s="171"/>
      <c r="E4" s="171"/>
      <c r="F4" s="171"/>
      <c r="G4" s="171"/>
      <c r="H4" s="171"/>
      <c r="I4" s="171"/>
      <c r="J4" s="171"/>
      <c r="K4" s="171"/>
      <c r="L4" s="171"/>
      <c r="M4" s="171"/>
    </row>
    <row r="5" spans="1:13" s="29" customFormat="1" ht="15.95" customHeight="1">
      <c r="A5" s="171" t="s">
        <v>43</v>
      </c>
      <c r="B5" s="171"/>
      <c r="C5" s="171"/>
      <c r="D5" s="171"/>
      <c r="E5" s="171"/>
      <c r="F5" s="171"/>
      <c r="G5" s="171"/>
      <c r="H5" s="171"/>
      <c r="I5" s="171"/>
      <c r="J5" s="171"/>
      <c r="K5" s="171"/>
      <c r="L5" s="171"/>
      <c r="M5" s="171"/>
    </row>
    <row r="6" spans="1:13" s="29" customFormat="1" ht="8.25" customHeight="1">
      <c r="D6" s="30"/>
      <c r="I6" s="30"/>
    </row>
    <row r="7" spans="1:13" s="29" customFormat="1" ht="8.25" customHeight="1">
      <c r="D7" s="30"/>
      <c r="I7" s="30"/>
    </row>
    <row r="8" spans="1:13" s="29" customFormat="1" ht="12" customHeight="1">
      <c r="A8" s="37" t="s">
        <v>74</v>
      </c>
      <c r="B8" s="37"/>
      <c r="C8" s="37"/>
      <c r="D8" s="153" t="s">
        <v>73</v>
      </c>
      <c r="E8" s="153"/>
      <c r="F8" s="153"/>
      <c r="G8" s="153"/>
      <c r="H8" s="153"/>
      <c r="J8" s="153" t="s">
        <v>72</v>
      </c>
      <c r="K8" s="153"/>
      <c r="L8" s="153"/>
      <c r="M8" s="37"/>
    </row>
    <row r="9" spans="1:13" s="29" customFormat="1" ht="12" customHeight="1">
      <c r="C9" s="38"/>
      <c r="D9" s="153" t="s">
        <v>71</v>
      </c>
      <c r="E9" s="153"/>
      <c r="F9" s="153"/>
      <c r="G9" s="153"/>
      <c r="H9" s="153"/>
      <c r="J9" s="154" t="s">
        <v>70</v>
      </c>
      <c r="K9" s="154"/>
      <c r="L9" s="154"/>
      <c r="M9" s="38"/>
    </row>
    <row r="10" spans="1:13" s="29" customFormat="1" ht="12" customHeight="1">
      <c r="A10" s="37" t="s">
        <v>75</v>
      </c>
      <c r="B10" s="37"/>
      <c r="C10" s="37"/>
      <c r="D10" s="39"/>
      <c r="E10" s="38"/>
      <c r="F10" s="38"/>
      <c r="J10" s="153" t="s">
        <v>69</v>
      </c>
      <c r="K10" s="153"/>
      <c r="L10" s="153"/>
      <c r="M10" s="37"/>
    </row>
    <row r="11" spans="1:13" ht="16.5" customHeight="1" thickBot="1">
      <c r="A11" s="155" t="s">
        <v>68</v>
      </c>
      <c r="B11" s="155"/>
      <c r="C11" s="155"/>
      <c r="D11" s="155"/>
      <c r="E11" s="155"/>
      <c r="F11" s="155"/>
      <c r="G11" s="155"/>
      <c r="H11" s="155"/>
      <c r="I11" s="155"/>
      <c r="J11" s="155"/>
      <c r="K11" s="155"/>
      <c r="L11" s="155"/>
      <c r="M11" s="155"/>
    </row>
    <row r="12" spans="1:13" s="35" customFormat="1" ht="18.75" customHeight="1">
      <c r="A12" s="165" t="s">
        <v>67</v>
      </c>
      <c r="B12" s="168" t="s">
        <v>3</v>
      </c>
      <c r="C12" s="156" t="s">
        <v>66</v>
      </c>
      <c r="D12" s="157"/>
      <c r="E12" s="156" t="s">
        <v>65</v>
      </c>
      <c r="F12" s="157"/>
      <c r="G12" s="156" t="s">
        <v>36</v>
      </c>
      <c r="H12" s="157"/>
      <c r="I12" s="156" t="s">
        <v>35</v>
      </c>
      <c r="J12" s="157"/>
      <c r="K12" s="156" t="s">
        <v>34</v>
      </c>
      <c r="L12" s="157"/>
      <c r="M12" s="162" t="s">
        <v>7</v>
      </c>
    </row>
    <row r="13" spans="1:13" s="35" customFormat="1" ht="18.75" customHeight="1">
      <c r="A13" s="166"/>
      <c r="B13" s="169"/>
      <c r="C13" s="158"/>
      <c r="D13" s="159"/>
      <c r="E13" s="158"/>
      <c r="F13" s="159"/>
      <c r="G13" s="158"/>
      <c r="H13" s="159"/>
      <c r="I13" s="158"/>
      <c r="J13" s="159"/>
      <c r="K13" s="158"/>
      <c r="L13" s="159"/>
      <c r="M13" s="163"/>
    </row>
    <row r="14" spans="1:13" s="35" customFormat="1" ht="24" customHeight="1">
      <c r="A14" s="167"/>
      <c r="B14" s="170"/>
      <c r="C14" s="160"/>
      <c r="D14" s="161"/>
      <c r="E14" s="160"/>
      <c r="F14" s="161"/>
      <c r="G14" s="160"/>
      <c r="H14" s="161"/>
      <c r="I14" s="160"/>
      <c r="J14" s="161"/>
      <c r="K14" s="160"/>
      <c r="L14" s="161"/>
      <c r="M14" s="164"/>
    </row>
    <row r="15" spans="1:13" s="35" customFormat="1" ht="24.95" customHeight="1">
      <c r="A15" s="34" t="s">
        <v>64</v>
      </c>
      <c r="B15" s="36" t="s">
        <v>63</v>
      </c>
      <c r="C15" s="150" t="s">
        <v>62</v>
      </c>
      <c r="D15" s="151"/>
      <c r="E15" s="150"/>
      <c r="F15" s="151"/>
      <c r="G15" s="150">
        <v>5</v>
      </c>
      <c r="H15" s="152"/>
      <c r="I15" s="150">
        <v>0</v>
      </c>
      <c r="J15" s="152"/>
      <c r="K15" s="150">
        <v>5</v>
      </c>
      <c r="L15" s="152"/>
      <c r="M15" s="33">
        <v>5</v>
      </c>
    </row>
    <row r="16" spans="1:13" s="29" customFormat="1" ht="24.95" customHeight="1">
      <c r="A16" s="32"/>
      <c r="B16" s="32" t="s">
        <v>76</v>
      </c>
      <c r="C16" s="150" t="s">
        <v>62</v>
      </c>
      <c r="D16" s="152"/>
      <c r="E16" s="150"/>
      <c r="F16" s="152"/>
      <c r="G16" s="150">
        <v>5</v>
      </c>
      <c r="H16" s="152"/>
      <c r="I16" s="150">
        <v>5</v>
      </c>
      <c r="J16" s="152"/>
      <c r="K16" s="150">
        <v>0</v>
      </c>
      <c r="L16" s="152"/>
      <c r="M16" s="31">
        <v>0</v>
      </c>
    </row>
    <row r="17" spans="4:4" s="29" customFormat="1">
      <c r="D17" s="30"/>
    </row>
    <row r="18" spans="4:4" s="29" customFormat="1">
      <c r="D18" s="30"/>
    </row>
  </sheetData>
  <mergeCells count="28">
    <mergeCell ref="A2:M2"/>
    <mergeCell ref="A3:M3"/>
    <mergeCell ref="A4:M4"/>
    <mergeCell ref="A5:M5"/>
    <mergeCell ref="D8:H8"/>
    <mergeCell ref="J8:L8"/>
    <mergeCell ref="C16:D16"/>
    <mergeCell ref="E16:F16"/>
    <mergeCell ref="G16:H16"/>
    <mergeCell ref="I16:J16"/>
    <mergeCell ref="K16:L16"/>
    <mergeCell ref="D9:H9"/>
    <mergeCell ref="J9:L9"/>
    <mergeCell ref="J10:L10"/>
    <mergeCell ref="A11:M11"/>
    <mergeCell ref="I12:J14"/>
    <mergeCell ref="K12:L14"/>
    <mergeCell ref="M12:M14"/>
    <mergeCell ref="A12:A14"/>
    <mergeCell ref="B12:B14"/>
    <mergeCell ref="C12:D14"/>
    <mergeCell ref="E12:F14"/>
    <mergeCell ref="G12:H14"/>
    <mergeCell ref="C15:D15"/>
    <mergeCell ref="E15:F15"/>
    <mergeCell ref="G15:H15"/>
    <mergeCell ref="I15:J15"/>
    <mergeCell ref="K15:L15"/>
  </mergeCells>
  <printOptions horizontalCentered="1"/>
  <pageMargins left="0.7" right="0.7" top="0.75" bottom="0.75" header="0.3" footer="0.3"/>
  <pageSetup paperSize="9" orientation="landscape" horizontalDpi="0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E1F55-B691-4CD7-866C-B0E52A44BDE9}">
  <dimension ref="A1:G21"/>
  <sheetViews>
    <sheetView view="pageBreakPreview" zoomScaleNormal="100" zoomScaleSheetLayoutView="100" workbookViewId="0">
      <selection activeCell="D17" sqref="D17"/>
    </sheetView>
  </sheetViews>
  <sheetFormatPr defaultRowHeight="15"/>
  <cols>
    <col min="1" max="1" width="9.5703125" style="72" customWidth="1"/>
    <col min="2" max="2" width="21" style="72" customWidth="1"/>
    <col min="3" max="3" width="19.5703125" style="72" customWidth="1"/>
    <col min="4" max="4" width="56.42578125" style="72" customWidth="1"/>
    <col min="5" max="5" width="12.42578125" style="72" customWidth="1"/>
    <col min="6" max="6" width="13.42578125" style="72" customWidth="1"/>
    <col min="7" max="7" width="11.28515625" style="72" customWidth="1"/>
    <col min="8" max="16384" width="9.140625" style="72"/>
  </cols>
  <sheetData>
    <row r="1" spans="1:7" ht="58.5" customHeight="1"/>
    <row r="2" spans="1:7" ht="15.95" customHeight="1">
      <c r="A2" s="187" t="s">
        <v>46</v>
      </c>
      <c r="B2" s="188"/>
      <c r="C2" s="188"/>
      <c r="D2" s="188"/>
      <c r="E2" s="188"/>
      <c r="F2" s="188"/>
      <c r="G2" s="188"/>
    </row>
    <row r="3" spans="1:7" ht="15.95" customHeight="1">
      <c r="A3" s="188" t="s">
        <v>45</v>
      </c>
      <c r="B3" s="188"/>
      <c r="C3" s="188"/>
      <c r="D3" s="188"/>
      <c r="E3" s="188"/>
      <c r="F3" s="188"/>
      <c r="G3" s="188"/>
    </row>
    <row r="4" spans="1:7" ht="15.95" customHeight="1">
      <c r="A4" s="188" t="s">
        <v>44</v>
      </c>
      <c r="B4" s="188"/>
      <c r="C4" s="188"/>
      <c r="D4" s="188"/>
      <c r="E4" s="188"/>
      <c r="F4" s="188"/>
      <c r="G4" s="188"/>
    </row>
    <row r="5" spans="1:7" ht="15.95" customHeight="1">
      <c r="A5" s="188" t="s">
        <v>43</v>
      </c>
      <c r="B5" s="188"/>
      <c r="C5" s="188"/>
      <c r="D5" s="188"/>
      <c r="E5" s="188"/>
      <c r="F5" s="188"/>
      <c r="G5" s="188"/>
    </row>
    <row r="6" spans="1:7" ht="19.5" customHeight="1">
      <c r="A6" s="189"/>
      <c r="B6" s="189"/>
      <c r="C6" s="189"/>
      <c r="D6" s="189"/>
      <c r="E6" s="189"/>
      <c r="F6" s="189"/>
      <c r="G6" s="189"/>
    </row>
    <row r="7" spans="1:7" ht="12" customHeight="1">
      <c r="A7" s="74" t="s">
        <v>118</v>
      </c>
      <c r="B7" s="75" t="s">
        <v>119</v>
      </c>
      <c r="C7" s="76"/>
      <c r="D7" s="76"/>
      <c r="E7" s="77" t="s">
        <v>0</v>
      </c>
      <c r="F7" s="78"/>
      <c r="G7" s="79"/>
    </row>
    <row r="8" spans="1:7" ht="12" customHeight="1">
      <c r="A8" s="74"/>
      <c r="B8" s="80"/>
      <c r="C8" s="81"/>
      <c r="D8" s="81"/>
      <c r="E8" s="82"/>
      <c r="F8" s="74"/>
      <c r="G8" s="74"/>
    </row>
    <row r="9" spans="1:7" ht="12" customHeight="1">
      <c r="A9" s="74" t="s">
        <v>120</v>
      </c>
      <c r="B9" s="75" t="s">
        <v>121</v>
      </c>
      <c r="C9" s="76"/>
      <c r="D9" s="81"/>
      <c r="E9" s="77" t="s">
        <v>1</v>
      </c>
      <c r="F9" s="83"/>
      <c r="G9" s="79"/>
    </row>
    <row r="10" spans="1:7" ht="24.75" customHeight="1" thickBot="1">
      <c r="A10" s="186" t="s">
        <v>122</v>
      </c>
      <c r="B10" s="186"/>
      <c r="C10" s="186"/>
      <c r="D10" s="186"/>
      <c r="E10" s="186"/>
      <c r="F10" s="186"/>
      <c r="G10" s="186"/>
    </row>
    <row r="11" spans="1:7" s="73" customFormat="1" ht="29.25" customHeight="1">
      <c r="A11" s="175" t="s">
        <v>123</v>
      </c>
      <c r="B11" s="176"/>
      <c r="C11" s="84" t="s">
        <v>124</v>
      </c>
      <c r="D11" s="85" t="s">
        <v>125</v>
      </c>
      <c r="E11" s="84" t="s">
        <v>126</v>
      </c>
      <c r="F11" s="84" t="s">
        <v>127</v>
      </c>
      <c r="G11" s="86" t="s">
        <v>6</v>
      </c>
    </row>
    <row r="12" spans="1:7" ht="44.25" customHeight="1">
      <c r="A12" s="177" t="s">
        <v>128</v>
      </c>
      <c r="B12" s="178"/>
      <c r="C12" s="87" t="s">
        <v>129</v>
      </c>
      <c r="D12" s="87" t="s">
        <v>130</v>
      </c>
      <c r="E12" s="88">
        <v>1</v>
      </c>
      <c r="F12" s="89">
        <v>1</v>
      </c>
      <c r="G12" s="90">
        <f>E12-F12</f>
        <v>0</v>
      </c>
    </row>
    <row r="13" spans="1:7">
      <c r="A13" s="179" t="s">
        <v>131</v>
      </c>
      <c r="B13" s="180"/>
      <c r="C13" s="180"/>
      <c r="D13" s="180"/>
      <c r="E13" s="180"/>
      <c r="F13" s="180"/>
      <c r="G13" s="181"/>
    </row>
    <row r="14" spans="1:7">
      <c r="A14" s="179" t="s">
        <v>132</v>
      </c>
      <c r="B14" s="180"/>
      <c r="C14" s="180"/>
      <c r="D14" s="180"/>
      <c r="E14" s="180"/>
      <c r="F14" s="180"/>
      <c r="G14" s="181"/>
    </row>
    <row r="15" spans="1:7" s="92" customFormat="1" ht="30" customHeight="1" thickBot="1">
      <c r="A15" s="182" t="s">
        <v>133</v>
      </c>
      <c r="B15" s="183"/>
      <c r="C15" s="183"/>
      <c r="D15" s="183"/>
      <c r="E15" s="183"/>
      <c r="F15" s="184"/>
      <c r="G15" s="91">
        <f>G12</f>
        <v>0</v>
      </c>
    </row>
    <row r="16" spans="1:7" ht="10.5" customHeight="1">
      <c r="A16" s="93"/>
      <c r="B16" s="93"/>
      <c r="C16" s="94"/>
      <c r="D16" s="94"/>
      <c r="E16" s="94"/>
      <c r="F16" s="94"/>
      <c r="G16" s="94"/>
    </row>
    <row r="17" spans="1:7" ht="18.75" customHeight="1">
      <c r="A17" s="185" t="s">
        <v>134</v>
      </c>
      <c r="B17" s="185"/>
      <c r="C17" s="94"/>
      <c r="D17" s="94"/>
      <c r="E17" s="94"/>
      <c r="F17" s="94"/>
      <c r="G17" s="94"/>
    </row>
    <row r="18" spans="1:7" ht="18.75" customHeight="1">
      <c r="A18" s="172"/>
      <c r="B18" s="172"/>
      <c r="C18" s="94"/>
      <c r="D18" s="94"/>
      <c r="E18" s="94"/>
      <c r="F18" s="94"/>
      <c r="G18" s="94"/>
    </row>
    <row r="19" spans="1:7" ht="18.75" customHeight="1">
      <c r="A19" s="173" t="s">
        <v>32</v>
      </c>
      <c r="B19" s="173"/>
      <c r="C19" s="173"/>
      <c r="D19" s="94"/>
      <c r="E19" s="94"/>
      <c r="F19" s="94"/>
      <c r="G19" s="94"/>
    </row>
    <row r="20" spans="1:7" ht="18.75" customHeight="1">
      <c r="A20" s="174" t="s">
        <v>31</v>
      </c>
      <c r="B20" s="174"/>
      <c r="C20" s="174"/>
      <c r="D20" s="94"/>
      <c r="E20" s="94"/>
      <c r="F20" s="94"/>
      <c r="G20" s="94"/>
    </row>
    <row r="21" spans="1:7" ht="18.75" customHeight="1">
      <c r="A21" s="174" t="s">
        <v>30</v>
      </c>
      <c r="B21" s="174"/>
      <c r="C21" s="94"/>
      <c r="D21" s="94"/>
      <c r="E21" s="94"/>
      <c r="F21" s="94"/>
      <c r="G21" s="94"/>
    </row>
  </sheetData>
  <mergeCells count="16">
    <mergeCell ref="A10:G10"/>
    <mergeCell ref="A2:G2"/>
    <mergeCell ref="A3:G3"/>
    <mergeCell ref="A4:G4"/>
    <mergeCell ref="A5:G5"/>
    <mergeCell ref="A6:G6"/>
    <mergeCell ref="A18:B18"/>
    <mergeCell ref="A19:C19"/>
    <mergeCell ref="A20:C20"/>
    <mergeCell ref="A21:B21"/>
    <mergeCell ref="A11:B11"/>
    <mergeCell ref="A12:B12"/>
    <mergeCell ref="A13:G13"/>
    <mergeCell ref="A14:G14"/>
    <mergeCell ref="A15:F15"/>
    <mergeCell ref="A17:B17"/>
  </mergeCells>
  <printOptions horizontalCentered="1"/>
  <pageMargins left="0.23622047244094491" right="0.23622047244094491" top="0.23622047244094491" bottom="0.23622047244094491" header="0.31496062992125984" footer="0.31496062992125984"/>
  <pageSetup paperSize="9" scale="99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Leave Card (NE)</vt:lpstr>
      <vt:lpstr>CTO</vt:lpstr>
      <vt:lpstr>ELECTION</vt:lpstr>
      <vt:lpstr>Leave Card (NE) (2)</vt:lpstr>
      <vt:lpstr>ELECTION!Print_Area</vt:lpstr>
      <vt:lpstr>'Leave Card (NE)'!Print_Area</vt:lpstr>
      <vt:lpstr>'Leave Card (NE) (2)'!Print_Area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2025-10-17T02:34:23Z</cp:lastPrinted>
  <dcterms:created xsi:type="dcterms:W3CDTF">2021-10-07T06:10:00Z</dcterms:created>
  <dcterms:modified xsi:type="dcterms:W3CDTF">2025-10-17T02:35:21Z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9DE0ED4AF9994603A42BF5C9D1EF3FC5</vt:lpwstr>
  </property>
  <property fmtid="{D5CDD505-2E9C-101B-9397-08002B2CF9AE}" pid="3" name="KSOProductBuildVer">
    <vt:lpwstr>1033-11.2.0.11341</vt:lpwstr>
  </property>
</Properties>
</file>