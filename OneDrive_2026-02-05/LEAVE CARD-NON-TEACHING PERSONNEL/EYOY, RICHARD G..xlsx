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1A61B9A6-C3DF-440F-8829-5E064A9605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as TIC" sheetId="3" r:id="rId1"/>
    <sheet name="Election &amp; NLC" sheetId="4" r:id="rId2"/>
  </sheets>
  <definedNames>
    <definedName name="_xlnm.Print_Area" localSheetId="1">'Election &amp; NLC'!$A$1:$G$25</definedName>
    <definedName name="_xlnm.Print_Area" localSheetId="0">'Leave Card as TIC'!$A$1:$J$37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3" l="1"/>
  <c r="I27" i="3"/>
  <c r="I28" i="3" s="1"/>
  <c r="J27" i="3"/>
  <c r="H28" i="3"/>
  <c r="G22" i="4"/>
  <c r="J28" i="3" l="1"/>
  <c r="I15" i="3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H15" i="3"/>
  <c r="H16" i="3" l="1"/>
  <c r="H17" i="3" s="1"/>
  <c r="J17" i="3" s="1"/>
  <c r="J15" i="3"/>
  <c r="H18" i="3" l="1"/>
  <c r="H19" i="3" s="1"/>
  <c r="H20" i="3" s="1"/>
  <c r="J16" i="3"/>
  <c r="J20" i="3" l="1"/>
  <c r="H21" i="3"/>
  <c r="J18" i="3"/>
  <c r="J19" i="3"/>
  <c r="J21" i="3" l="1"/>
  <c r="H22" i="3"/>
  <c r="J22" i="3" l="1"/>
  <c r="H23" i="3"/>
  <c r="J23" i="3" l="1"/>
  <c r="H24" i="3"/>
  <c r="J24" i="3" l="1"/>
  <c r="H25" i="3"/>
  <c r="H26" i="3" l="1"/>
  <c r="J26" i="3" s="1"/>
  <c r="J25" i="3"/>
</calcChain>
</file>

<file path=xl/sharedStrings.xml><?xml version="1.0" encoding="utf-8"?>
<sst xmlns="http://schemas.openxmlformats.org/spreadsheetml/2006/main" count="78" uniqueCount="69">
  <si>
    <t>Republic of the Philippines</t>
  </si>
  <si>
    <t>Department of Education</t>
  </si>
  <si>
    <t>REGION VI-WESTERN VISAYAS</t>
  </si>
  <si>
    <t>SCHOOLS DIVISION OF SIPALAY CITY</t>
  </si>
  <si>
    <t>PERIOD COVERED</t>
  </si>
  <si>
    <t>LEAVE EARNED</t>
  </si>
  <si>
    <t>TOTAL</t>
  </si>
  <si>
    <t>No. of Days Granted</t>
  </si>
  <si>
    <t>No. of Days Used</t>
  </si>
  <si>
    <t>Balance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</si>
  <si>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</si>
  <si>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</si>
  <si>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</si>
  <si>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</si>
  <si>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</si>
  <si>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</si>
  <si>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</si>
  <si>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LEAVE SPENT</t>
  </si>
  <si>
    <t>BALANCE</t>
  </si>
  <si>
    <t>DATE FILED/RECEIVED</t>
  </si>
  <si>
    <t>VACATION</t>
  </si>
  <si>
    <t>SICK</t>
  </si>
  <si>
    <t>FORCED</t>
  </si>
  <si>
    <t>SPECIAL</t>
  </si>
  <si>
    <t xml:space="preserve">  </t>
  </si>
  <si>
    <t>ADD: 07/29-31/2024</t>
  </si>
  <si>
    <t xml:space="preserve">DISTRICT : </t>
  </si>
  <si>
    <t xml:space="preserve">EMPLOYEE NO.: </t>
  </si>
  <si>
    <t xml:space="preserve">STATION CODE: </t>
  </si>
  <si>
    <t xml:space="preserve">SCHOOL/OFFICE : </t>
  </si>
  <si>
    <t xml:space="preserve">DIVISION CODE: </t>
  </si>
  <si>
    <t>SPECIAL ORDER FOR ELECTION (NATIONAL/BRGY. &amp; SK ELECTION)&amp; NATIONAL LEARNING CAMP</t>
  </si>
  <si>
    <t>SPECIAL ORDER NO.</t>
  </si>
  <si>
    <t>DATE RELEASED:</t>
  </si>
  <si>
    <t>NATIONAL LEARNING CAMP/NATIONAL &amp; LOCAL ELECTION</t>
  </si>
  <si>
    <t>DESIGNATED AS TIC (NON-TEACHING): EFFECTIVE JULY 29, 2024</t>
  </si>
  <si>
    <t>SO # 051, S. 2022</t>
  </si>
  <si>
    <t>JULY 01, 2022</t>
  </si>
  <si>
    <t>MAY 9, 2022 NATIONAL &amp; LOCAL ELECTION</t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</si>
  <si>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T-I</t>
    </r>
    <r>
      <rPr>
        <b/>
        <sz val="12"/>
        <color theme="1"/>
        <rFont val="Calibri"/>
        <family val="2"/>
        <scheme val="minor"/>
      </rPr>
      <t>II</t>
    </r>
  </si>
  <si>
    <t>SO # 1163, S. 2001</t>
  </si>
  <si>
    <t>MAY 14, 2001 NATIONAL &amp; LOCAL ELECTION</t>
  </si>
  <si>
    <t>JULY 15, 2002 BRGY. &amp; SK ELECTION</t>
  </si>
  <si>
    <r>
      <t>NAME          :</t>
    </r>
    <r>
      <rPr>
        <b/>
        <u/>
        <sz val="12"/>
        <color theme="1"/>
        <rFont val="Calibri"/>
        <family val="2"/>
        <scheme val="minor"/>
      </rPr>
      <t xml:space="preserve"> EYOY, RICHARD G.</t>
    </r>
  </si>
  <si>
    <t>SO # 010, S. 2024</t>
  </si>
  <si>
    <t>04/30/2024</t>
  </si>
  <si>
    <t>OCT. 30, 2023 ELECTION</t>
  </si>
  <si>
    <t>ADD: 08/1/2024-12/31/2024</t>
  </si>
  <si>
    <t>ADD: 01/1/2025-03/31/2025</t>
  </si>
  <si>
    <t>LESS: 04/28/2025</t>
  </si>
  <si>
    <t>ADD: 04/1-30/2025</t>
  </si>
  <si>
    <t>LESS: 05/21-22/2025</t>
  </si>
  <si>
    <t>ADD: 05/1/2025-06/30/2025</t>
  </si>
  <si>
    <t>SO # 174, S. 1994</t>
  </si>
  <si>
    <t>MAY 9, 1994 BRGY. ELECTION</t>
  </si>
  <si>
    <t>SO # 175, S. 1995</t>
  </si>
  <si>
    <t>MAY 8, 1995 NATIONAL ELECTION</t>
  </si>
  <si>
    <t>Unnumbered SO</t>
  </si>
  <si>
    <t>SO #  2135, S. 2004</t>
  </si>
  <si>
    <t>MAY 10, 2004 NATIONAL &amp; LOCAL ELECTION</t>
  </si>
  <si>
    <t>TOTAL UNUSED VSC TO BE CONVERTED</t>
  </si>
  <si>
    <r>
      <t xml:space="preserve">ADD: CONVERTED VSC </t>
    </r>
    <r>
      <rPr>
        <b/>
        <sz val="11"/>
        <color rgb="FF002060"/>
        <rFont val="Calibri"/>
        <family val="2"/>
        <scheme val="minor"/>
      </rPr>
      <t>35 DAYS EARNED FROM ELECTION</t>
    </r>
    <r>
      <rPr>
        <sz val="11"/>
        <color theme="1"/>
        <rFont val="Calibri"/>
        <family val="2"/>
        <scheme val="minor"/>
      </rPr>
      <t xml:space="preserve">:                                      FORMULA: 30Y/69/2 </t>
    </r>
  </si>
  <si>
    <t>HEAD TEACHER-I: EFFECTIVE OCTOBER 1, 2024</t>
  </si>
  <si>
    <t>LESS: MONETIZATION 2025</t>
  </si>
  <si>
    <t>LESS: 06/25/2025</t>
  </si>
  <si>
    <t>ADD: 07/1/2025-10/31/2025</t>
  </si>
  <si>
    <t>LESS: 11/11/2025</t>
  </si>
  <si>
    <t>ADD: 11/1-30/2025</t>
  </si>
  <si>
    <t>LESS: 12/23, 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</si>
</sst>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</borders>
  <cellStyleXfs count="4">
    <xf numFmtId="0" fontId="0" fillId="0" borderId="0"/>
    <xf numFmtId="0" fontId="9" fillId="0" borderId="0"/>
    <xf numFmtId="0" fontId="12" fillId="0" borderId="0"/>
    <xf numFmtId="0" fontId="9" fillId="0" borderId="0"/>
  </cellStyleXfs>
  <cellXfs count="8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0" fillId="2" borderId="4" xfId="0" applyFill="1" applyBorder="1" applyAlignment="1">
      <alignment horizontal="center" vertical="center"/>
    </xf>
    <xf numFmtId="0" fontId="0" fillId="2" borderId="4" xfId="1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64" fontId="0" fillId="2" borderId="7" xfId="0" applyNumberFormat="1" applyFill="1" applyBorder="1" applyAlignment="1">
      <alignment horizontal="center" vertical="center"/>
    </xf>
    <xf numFmtId="164" fontId="0" fillId="2" borderId="15" xfId="0" applyNumberFormat="1" applyFill="1" applyBorder="1" applyAlignment="1">
      <alignment horizontal="center" vertical="center"/>
    </xf>
    <xf numFmtId="0" fontId="11" fillId="0" borderId="0" xfId="0" applyFont="1"/>
    <xf numFmtId="164" fontId="0" fillId="2" borderId="4" xfId="0" applyNumberForma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12" fillId="2" borderId="0" xfId="2" applyFill="1"/>
    <xf numFmtId="0" fontId="12" fillId="2" borderId="0" xfId="2" applyFill="1" applyAlignment="1">
      <alignment horizontal="center"/>
    </xf>
    <xf numFmtId="0" fontId="13" fillId="2" borderId="0" xfId="2" applyFont="1" applyFill="1" applyAlignment="1">
      <alignment vertical="center"/>
    </xf>
    <xf numFmtId="0" fontId="1" fillId="2" borderId="0" xfId="2" applyFont="1" applyFill="1" applyAlignment="1">
      <alignment horizontal="left" vertical="center"/>
    </xf>
    <xf numFmtId="0" fontId="1" fillId="2" borderId="0" xfId="2" applyFont="1" applyFill="1" applyAlignment="1">
      <alignment vertical="center"/>
    </xf>
    <xf numFmtId="0" fontId="15" fillId="2" borderId="0" xfId="2" applyFont="1" applyFill="1"/>
    <xf numFmtId="0" fontId="1" fillId="2" borderId="0" xfId="2" applyFont="1" applyFill="1"/>
    <xf numFmtId="0" fontId="1" fillId="2" borderId="0" xfId="2" applyFont="1" applyFill="1" applyAlignment="1">
      <alignment horizontal="left"/>
    </xf>
    <xf numFmtId="0" fontId="12" fillId="0" borderId="0" xfId="2"/>
    <xf numFmtId="0" fontId="3" fillId="3" borderId="21" xfId="2" applyFont="1" applyFill="1" applyBorder="1" applyAlignment="1">
      <alignment horizontal="center" vertical="center" wrapText="1"/>
    </xf>
    <xf numFmtId="0" fontId="3" fillId="3" borderId="21" xfId="2" applyFont="1" applyFill="1" applyBorder="1" applyAlignment="1">
      <alignment horizontal="center" vertical="center"/>
    </xf>
    <xf numFmtId="0" fontId="5" fillId="4" borderId="24" xfId="2" applyFont="1" applyFill="1" applyBorder="1" applyAlignment="1">
      <alignment horizontal="center" vertical="center" wrapText="1"/>
    </xf>
    <xf numFmtId="0" fontId="3" fillId="3" borderId="25" xfId="2" applyFont="1" applyFill="1" applyBorder="1" applyAlignment="1">
      <alignment horizontal="center" vertical="center"/>
    </xf>
    <xf numFmtId="0" fontId="4" fillId="0" borderId="0" xfId="2" applyFont="1"/>
    <xf numFmtId="0" fontId="16" fillId="2" borderId="6" xfId="2" applyFont="1" applyFill="1" applyBorder="1" applyAlignment="1">
      <alignment horizontal="center" vertical="center" wrapText="1"/>
    </xf>
    <xf numFmtId="0" fontId="13" fillId="2" borderId="15" xfId="2" applyFont="1" applyFill="1" applyBorder="1" applyAlignment="1">
      <alignment horizontal="center" vertical="center" wrapText="1"/>
    </xf>
    <xf numFmtId="0" fontId="16" fillId="2" borderId="1" xfId="2" applyFont="1" applyFill="1" applyBorder="1" applyAlignment="1">
      <alignment horizontal="center" vertical="center" wrapText="1"/>
    </xf>
    <xf numFmtId="0" fontId="13" fillId="2" borderId="16" xfId="2" applyFont="1" applyFill="1" applyBorder="1" applyAlignment="1">
      <alignment horizontal="center" vertical="center" wrapText="1"/>
    </xf>
    <xf numFmtId="0" fontId="6" fillId="0" borderId="0" xfId="2" applyFont="1"/>
    <xf numFmtId="0" fontId="6" fillId="2" borderId="0" xfId="2" applyFont="1" applyFill="1" applyAlignment="1">
      <alignment horizontal="center" vertical="center"/>
    </xf>
    <xf numFmtId="0" fontId="12" fillId="5" borderId="0" xfId="2" applyFill="1"/>
    <xf numFmtId="0" fontId="12" fillId="6" borderId="0" xfId="2" applyFill="1"/>
    <xf numFmtId="0" fontId="5" fillId="4" borderId="10" xfId="2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vertical="center" wrapText="1"/>
    </xf>
    <xf numFmtId="0" fontId="18" fillId="2" borderId="16" xfId="2" applyFont="1" applyFill="1" applyBorder="1" applyAlignment="1">
      <alignment horizontal="center" vertical="center" wrapText="1"/>
    </xf>
    <xf numFmtId="0" fontId="0" fillId="2" borderId="17" xfId="1" applyFont="1" applyFill="1" applyBorder="1" applyAlignment="1">
      <alignment horizontal="center" vertical="center" wrapText="1"/>
    </xf>
    <xf numFmtId="0" fontId="0" fillId="2" borderId="7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0" fontId="5" fillId="2" borderId="1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11" borderId="4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1" fillId="7" borderId="21" xfId="0" applyFont="1" applyFill="1" applyBorder="1" applyAlignment="1">
      <alignment horizontal="left" vertical="center"/>
    </xf>
    <xf numFmtId="0" fontId="1" fillId="7" borderId="23" xfId="0" applyFont="1" applyFill="1" applyBorder="1" applyAlignment="1">
      <alignment horizontal="left" vertical="center"/>
    </xf>
    <xf numFmtId="0" fontId="1" fillId="7" borderId="2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8" borderId="18" xfId="0" applyFont="1" applyFill="1" applyBorder="1" applyAlignment="1">
      <alignment horizontal="center" vertical="center"/>
    </xf>
    <xf numFmtId="0" fontId="1" fillId="8" borderId="19" xfId="0" applyFont="1" applyFill="1" applyBorder="1" applyAlignment="1">
      <alignment horizontal="center" vertical="center"/>
    </xf>
    <xf numFmtId="0" fontId="1" fillId="9" borderId="18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 vertical="center"/>
    </xf>
    <xf numFmtId="0" fontId="1" fillId="10" borderId="19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3" fillId="2" borderId="26" xfId="2" applyFont="1" applyFill="1" applyBorder="1" applyAlignment="1">
      <alignment horizontal="right" vertical="center" wrapText="1"/>
    </xf>
    <xf numFmtId="0" fontId="13" fillId="2" borderId="2" xfId="2" applyFont="1" applyFill="1" applyBorder="1" applyAlignment="1">
      <alignment horizontal="right" vertical="center" wrapText="1"/>
    </xf>
    <xf numFmtId="0" fontId="13" fillId="2" borderId="3" xfId="2" applyFont="1" applyFill="1" applyBorder="1" applyAlignment="1">
      <alignment horizontal="right" vertical="center" wrapText="1"/>
    </xf>
    <xf numFmtId="0" fontId="1" fillId="2" borderId="0" xfId="2" applyFont="1" applyFill="1" applyAlignment="1">
      <alignment horizontal="center" vertical="center"/>
    </xf>
    <xf numFmtId="0" fontId="2" fillId="2" borderId="21" xfId="2" applyFont="1" applyFill="1" applyBorder="1" applyAlignment="1">
      <alignment horizontal="center" vertical="center"/>
    </xf>
    <xf numFmtId="0" fontId="2" fillId="2" borderId="23" xfId="2" applyFont="1" applyFill="1" applyBorder="1" applyAlignment="1">
      <alignment horizontal="center" vertical="center"/>
    </xf>
    <xf numFmtId="0" fontId="2" fillId="2" borderId="22" xfId="2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164" fontId="0" fillId="0" borderId="4" xfId="0" applyNumberFormat="1" applyFill="1" applyBorder="1" applyAlignment="1">
      <alignment horizontal="center" vertical="center"/>
    </xf>
  </cellXfs>
  <cellStyles count="4">
    <cellStyle name="Normal" xfId="0" builtinId="0"/>
    <cellStyle name="Normal 2" xfId="2" xr:uid="{29DC33C2-ED34-47D9-B6FD-D61DD017D699}"/>
    <cellStyle name="Normal 2 2" xfId="3" xr:uid="{21219274-95D8-49BC-93E5-5A5DFD6A046E}"/>
    <cellStyle name="Normal 3" xfId="1" xr:uid="{1BC03AAB-385B-4A2B-A74B-2C4461F977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1D51D5-5F90-4E61-8723-931824F466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713ACA-BBA1-4D5A-AB0C-5ED0D9565B46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EYOY, RICHARD G.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D1CB5B-2AC2-45D4-B3DF-F6A2E865464A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T-III (TIC) to HT-I 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5</xdr:col>
      <xdr:colOff>0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1A225BB-43BF-424D-ADCE-12698C02A034}"/>
            </a:ext>
          </a:extLst>
        </xdr:cNvPr>
        <xdr:cNvSpPr txBox="1"/>
      </xdr:nvSpPr>
      <xdr:spPr>
        <a:xfrm>
          <a:off x="3623141" y="1696137"/>
          <a:ext cx="1903156" cy="2504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GMNHS-MANLUCAHOC EXT.</a:t>
          </a:r>
        </a:p>
      </xdr:txBody>
    </xdr:sp>
    <xdr:clientData/>
  </xdr:twoCellAnchor>
  <xdr:twoCellAnchor>
    <xdr:from>
      <xdr:col>5</xdr:col>
      <xdr:colOff>347452</xdr:colOff>
      <xdr:row>31</xdr:row>
      <xdr:rowOff>53914</xdr:rowOff>
    </xdr:from>
    <xdr:to>
      <xdr:col>9</xdr:col>
      <xdr:colOff>672043</xdr:colOff>
      <xdr:row>36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EBE3077-D463-4A68-BFBD-76ABF04E2E09}"/>
            </a:ext>
          </a:extLst>
        </xdr:cNvPr>
        <xdr:cNvSpPr txBox="1"/>
      </xdr:nvSpPr>
      <xdr:spPr>
        <a:xfrm>
          <a:off x="5871952" y="8435914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1362075</xdr:colOff>
      <xdr:row>0</xdr:row>
      <xdr:rowOff>28770</xdr:rowOff>
    </xdr:from>
    <xdr:to>
      <xdr:col>2</xdr:col>
      <xdr:colOff>1952810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4B3F06-6C96-4963-A080-0170E25AEBF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1000" y="2877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22</xdr:row>
      <xdr:rowOff>209550</xdr:rowOff>
    </xdr:from>
    <xdr:to>
      <xdr:col>2</xdr:col>
      <xdr:colOff>962025</xdr:colOff>
      <xdr:row>24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EDF812C-4D8A-418B-AA27-85FB8B231868}"/>
            </a:ext>
          </a:extLst>
        </xdr:cNvPr>
        <xdr:cNvSpPr txBox="1"/>
      </xdr:nvSpPr>
      <xdr:spPr>
        <a:xfrm>
          <a:off x="76200" y="4953000"/>
          <a:ext cx="37147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22</xdr:row>
      <xdr:rowOff>236220</xdr:rowOff>
    </xdr:from>
    <xdr:to>
      <xdr:col>6</xdr:col>
      <xdr:colOff>476250</xdr:colOff>
      <xdr:row>24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BEB84D3-E752-4B55-8588-2A947603ED5D}"/>
            </a:ext>
          </a:extLst>
        </xdr:cNvPr>
        <xdr:cNvSpPr txBox="1"/>
      </xdr:nvSpPr>
      <xdr:spPr>
        <a:xfrm>
          <a:off x="5238750" y="4979670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9B98-E462-49CF-93A3-891E3961A3BD}">
  <sheetPr>
    <pageSetUpPr fitToPage="1"/>
  </sheetPr>
  <dimension ref="A1:K35"/>
  <sheetViews>
    <sheetView tabSelected="1" view="pageBreakPreview" topLeftCell="A8" zoomScale="106" zoomScaleNormal="100" zoomScaleSheetLayoutView="106" workbookViewId="0">
      <selection activeCell="A27" sqref="A27:XFD27"/>
    </sheetView>
  </sheetViews>
  <sheetFormatPr defaultRowHeight="15" x14ac:dyDescent="0.25"/>
  <cols>
    <col min="1" max="1" width="36.5703125" customWidth="1"/>
    <col min="2" max="5" width="11.5703125" customWidth="1"/>
    <col min="6" max="7" width="11.5703125" style="17" customWidth="1"/>
    <col min="8" max="10" width="11.5703125" customWidth="1"/>
    <col min="11" max="11" width="26.42578125" style="14" customWidth="1"/>
  </cols>
  <sheetData>
    <row r="1" spans="1:11" s="1" customFormat="1" ht="52.5" customHeight="1" x14ac:dyDescent="0.25"/>
    <row r="2" spans="1:11" s="1" customFormat="1" ht="10.5" customHeight="1" x14ac:dyDescent="0.25">
      <c r="A2" s="63" t="s">
        <v>0</v>
      </c>
      <c r="B2" s="63"/>
      <c r="C2" s="63"/>
      <c r="D2" s="63"/>
      <c r="E2" s="63"/>
      <c r="F2" s="63"/>
      <c r="G2" s="63"/>
      <c r="H2" s="63"/>
      <c r="I2" s="63"/>
      <c r="J2" s="63"/>
    </row>
    <row r="3" spans="1:11" s="1" customFormat="1" ht="15.95" customHeight="1" x14ac:dyDescent="0.25">
      <c r="A3" s="63" t="s">
        <v>1</v>
      </c>
      <c r="B3" s="63"/>
      <c r="C3" s="63"/>
      <c r="D3" s="63"/>
      <c r="E3" s="63"/>
      <c r="F3" s="63"/>
      <c r="G3" s="63"/>
      <c r="H3" s="63"/>
      <c r="I3" s="63"/>
      <c r="J3" s="63"/>
    </row>
    <row r="4" spans="1:11" s="1" customFormat="1" ht="15.95" customHeight="1" x14ac:dyDescent="0.25">
      <c r="A4" s="63" t="s">
        <v>2</v>
      </c>
      <c r="B4" s="63"/>
      <c r="C4" s="63"/>
      <c r="D4" s="63"/>
      <c r="E4" s="63"/>
      <c r="F4" s="63"/>
      <c r="G4" s="63"/>
      <c r="H4" s="63"/>
      <c r="I4" s="63"/>
      <c r="J4" s="63"/>
    </row>
    <row r="5" spans="1:11" s="1" customFormat="1" ht="15.95" customHeight="1" x14ac:dyDescent="0.25">
      <c r="A5" s="63" t="s">
        <v>3</v>
      </c>
      <c r="B5" s="63"/>
      <c r="C5" s="63"/>
      <c r="D5" s="63"/>
      <c r="E5" s="63"/>
      <c r="F5" s="63"/>
      <c r="G5" s="63"/>
      <c r="H5" s="63"/>
      <c r="I5" s="63"/>
      <c r="J5" s="63"/>
    </row>
    <row r="6" spans="1:11" s="1" customFormat="1" ht="8.25" customHeight="1" x14ac:dyDescent="0.25"/>
    <row r="7" spans="1:11" s="1" customFormat="1" ht="12" customHeight="1" x14ac:dyDescent="0.25">
      <c r="A7" s="1" t="s">
        <v>10</v>
      </c>
      <c r="B7" s="62" t="s">
        <v>11</v>
      </c>
      <c r="C7" s="62"/>
      <c r="D7" s="62"/>
      <c r="H7" s="2" t="s">
        <v>12</v>
      </c>
      <c r="I7" s="6"/>
      <c r="J7" s="2"/>
    </row>
    <row r="8" spans="1:11" s="1" customFormat="1" ht="12" customHeight="1" x14ac:dyDescent="0.25">
      <c r="B8" s="3"/>
      <c r="C8" s="3"/>
      <c r="H8" s="3"/>
      <c r="I8" s="3"/>
      <c r="J8" s="3"/>
    </row>
    <row r="9" spans="1:11" s="1" customFormat="1" ht="12" customHeight="1" x14ac:dyDescent="0.25">
      <c r="A9" s="1" t="s">
        <v>13</v>
      </c>
      <c r="B9" s="62" t="s">
        <v>14</v>
      </c>
      <c r="C9" s="62"/>
      <c r="D9" s="62"/>
      <c r="H9" s="2" t="s">
        <v>15</v>
      </c>
      <c r="I9" s="7"/>
      <c r="J9" s="2"/>
    </row>
    <row r="10" spans="1:11" ht="23.25" customHeight="1" thickBot="1" x14ac:dyDescent="0.3">
      <c r="A10" s="65" t="s">
        <v>16</v>
      </c>
      <c r="B10" s="65"/>
      <c r="C10" s="65"/>
      <c r="D10" s="65"/>
      <c r="E10" s="65"/>
      <c r="F10" s="65"/>
      <c r="G10" s="65"/>
      <c r="H10" s="65"/>
      <c r="I10" s="65"/>
      <c r="J10" s="65"/>
      <c r="K10"/>
    </row>
    <row r="11" spans="1:11" ht="18.75" customHeight="1" x14ac:dyDescent="0.25">
      <c r="A11" s="66" t="s">
        <v>4</v>
      </c>
      <c r="B11" s="68" t="s">
        <v>5</v>
      </c>
      <c r="C11" s="69"/>
      <c r="D11" s="70" t="s">
        <v>17</v>
      </c>
      <c r="E11" s="71"/>
      <c r="F11" s="71"/>
      <c r="G11" s="72"/>
      <c r="H11" s="73" t="s">
        <v>18</v>
      </c>
      <c r="I11" s="74"/>
      <c r="J11" s="75" t="s">
        <v>6</v>
      </c>
      <c r="K11" s="64" t="s">
        <v>19</v>
      </c>
    </row>
    <row r="12" spans="1:11" ht="15.75" thickBot="1" x14ac:dyDescent="0.3">
      <c r="A12" s="67"/>
      <c r="B12" s="8" t="s">
        <v>20</v>
      </c>
      <c r="C12" s="8" t="s">
        <v>21</v>
      </c>
      <c r="D12" s="8" t="s">
        <v>20</v>
      </c>
      <c r="E12" s="8" t="s">
        <v>21</v>
      </c>
      <c r="F12" s="8" t="s">
        <v>22</v>
      </c>
      <c r="G12" s="8" t="s">
        <v>23</v>
      </c>
      <c r="H12" s="8" t="s">
        <v>20</v>
      </c>
      <c r="I12" s="8" t="s">
        <v>21</v>
      </c>
      <c r="J12" s="76"/>
      <c r="K12" s="64"/>
    </row>
    <row r="13" spans="1:11" ht="15.75" thickBot="1" x14ac:dyDescent="0.3">
      <c r="A13" s="59" t="s">
        <v>35</v>
      </c>
      <c r="B13" s="60"/>
      <c r="C13" s="60"/>
      <c r="D13" s="60"/>
      <c r="E13" s="60"/>
      <c r="F13" s="60"/>
      <c r="G13" s="60"/>
      <c r="H13" s="60"/>
      <c r="I13" s="60"/>
      <c r="J13" s="61"/>
      <c r="K13" s="9"/>
    </row>
    <row r="14" spans="1:11" ht="15.75" thickBot="1" x14ac:dyDescent="0.3">
      <c r="A14" s="59" t="s">
        <v>62</v>
      </c>
      <c r="B14" s="60"/>
      <c r="C14" s="60"/>
      <c r="D14" s="60"/>
      <c r="E14" s="60"/>
      <c r="F14" s="60"/>
      <c r="G14" s="60"/>
      <c r="H14" s="60"/>
      <c r="I14" s="60"/>
      <c r="J14" s="61"/>
      <c r="K14" s="9"/>
    </row>
    <row r="15" spans="1:11" ht="42.75" customHeight="1" x14ac:dyDescent="0.25">
      <c r="A15" s="10" t="s">
        <v>61</v>
      </c>
      <c r="B15" s="19">
        <v>7.6079999999999997</v>
      </c>
      <c r="C15" s="20">
        <v>7.6079999999999997</v>
      </c>
      <c r="D15" s="20"/>
      <c r="E15" s="19"/>
      <c r="F15" s="19"/>
      <c r="G15" s="19"/>
      <c r="H15" s="12">
        <f>B15</f>
        <v>7.6079999999999997</v>
      </c>
      <c r="I15" s="12">
        <f>C15</f>
        <v>7.6079999999999997</v>
      </c>
      <c r="J15" s="13">
        <f>SUM(H15:I15)</f>
        <v>15.215999999999999</v>
      </c>
    </row>
    <row r="16" spans="1:11" ht="17.25" customHeight="1" x14ac:dyDescent="0.25">
      <c r="A16" s="10" t="s">
        <v>25</v>
      </c>
      <c r="B16" s="19">
        <v>0.125</v>
      </c>
      <c r="C16" s="20">
        <v>0.125</v>
      </c>
      <c r="D16" s="11"/>
      <c r="E16" s="4"/>
      <c r="F16" s="4"/>
      <c r="G16" s="4"/>
      <c r="H16" s="15">
        <f>H15-F16-D16+B16</f>
        <v>7.7329999999999997</v>
      </c>
      <c r="I16" s="15">
        <f>I15-E16+C16</f>
        <v>7.7329999999999997</v>
      </c>
      <c r="J16" s="16">
        <f>SUM(H16:I16)</f>
        <v>15.465999999999999</v>
      </c>
    </row>
    <row r="17" spans="1:10" ht="17.25" customHeight="1" x14ac:dyDescent="0.25">
      <c r="A17" s="10" t="s">
        <v>47</v>
      </c>
      <c r="B17" s="19">
        <v>6.25</v>
      </c>
      <c r="C17" s="20">
        <v>6.25</v>
      </c>
      <c r="D17" s="11"/>
      <c r="E17" s="4"/>
      <c r="F17" s="4"/>
      <c r="G17" s="4"/>
      <c r="H17" s="15">
        <f t="shared" ref="H17:H19" si="0">H16-F17-D17+B17</f>
        <v>13.983000000000001</v>
      </c>
      <c r="I17" s="15">
        <f t="shared" ref="I17:I19" si="1">I16-E17+C17</f>
        <v>13.983000000000001</v>
      </c>
      <c r="J17" s="16">
        <f t="shared" ref="J17:J19" si="2">SUM(H17:I17)</f>
        <v>27.966000000000001</v>
      </c>
    </row>
    <row r="18" spans="1:10" ht="15.75" customHeight="1" x14ac:dyDescent="0.25">
      <c r="A18" s="10" t="s">
        <v>48</v>
      </c>
      <c r="B18" s="4">
        <v>3.75</v>
      </c>
      <c r="C18" s="11">
        <v>3.75</v>
      </c>
      <c r="D18" s="11"/>
      <c r="E18" s="4"/>
      <c r="F18" s="4"/>
      <c r="G18" s="4"/>
      <c r="H18" s="15">
        <f t="shared" si="0"/>
        <v>17.733000000000001</v>
      </c>
      <c r="I18" s="15">
        <f t="shared" si="1"/>
        <v>17.733000000000001</v>
      </c>
      <c r="J18" s="16">
        <f t="shared" si="2"/>
        <v>35.466000000000001</v>
      </c>
    </row>
    <row r="19" spans="1:10" ht="15.75" customHeight="1" x14ac:dyDescent="0.25">
      <c r="A19" s="10" t="s">
        <v>49</v>
      </c>
      <c r="B19" s="4"/>
      <c r="C19" s="11"/>
      <c r="D19" s="11"/>
      <c r="E19" s="4">
        <v>1</v>
      </c>
      <c r="F19" s="52"/>
      <c r="G19" s="4"/>
      <c r="H19" s="15">
        <f t="shared" si="0"/>
        <v>17.733000000000001</v>
      </c>
      <c r="I19" s="15">
        <f t="shared" si="1"/>
        <v>16.733000000000001</v>
      </c>
      <c r="J19" s="16">
        <f t="shared" si="2"/>
        <v>34.466000000000001</v>
      </c>
    </row>
    <row r="20" spans="1:10" ht="15.75" customHeight="1" x14ac:dyDescent="0.25">
      <c r="A20" s="11" t="s">
        <v>50</v>
      </c>
      <c r="B20" s="4">
        <v>1.25</v>
      </c>
      <c r="C20" s="11">
        <v>1.25</v>
      </c>
      <c r="D20" s="11"/>
      <c r="E20" s="4"/>
      <c r="F20" s="52"/>
      <c r="G20" s="4"/>
      <c r="H20" s="15">
        <f t="shared" ref="H20:H21" si="3">H19-F20-D20+B20</f>
        <v>18.983000000000001</v>
      </c>
      <c r="I20" s="15">
        <f t="shared" ref="I20:I21" si="4">I19-E20+C20</f>
        <v>17.983000000000001</v>
      </c>
      <c r="J20" s="16">
        <f t="shared" ref="J20:J21" si="5">SUM(H20:I20)</f>
        <v>36.966000000000001</v>
      </c>
    </row>
    <row r="21" spans="1:10" ht="15.75" customHeight="1" x14ac:dyDescent="0.25">
      <c r="A21" s="11" t="s">
        <v>51</v>
      </c>
      <c r="B21" s="4"/>
      <c r="C21" s="11"/>
      <c r="D21" s="11"/>
      <c r="E21" s="4"/>
      <c r="F21" s="52"/>
      <c r="G21" s="54">
        <v>2</v>
      </c>
      <c r="H21" s="15">
        <f t="shared" si="3"/>
        <v>18.983000000000001</v>
      </c>
      <c r="I21" s="15">
        <f t="shared" si="4"/>
        <v>17.983000000000001</v>
      </c>
      <c r="J21" s="16">
        <f t="shared" si="5"/>
        <v>36.966000000000001</v>
      </c>
    </row>
    <row r="22" spans="1:10" ht="15.75" customHeight="1" x14ac:dyDescent="0.25">
      <c r="A22" s="11" t="s">
        <v>52</v>
      </c>
      <c r="B22" s="4">
        <v>2.5</v>
      </c>
      <c r="C22" s="11">
        <v>2.5</v>
      </c>
      <c r="D22" s="11"/>
      <c r="E22" s="4"/>
      <c r="F22" s="52"/>
      <c r="G22" s="4"/>
      <c r="H22" s="15">
        <f t="shared" ref="H22" si="6">H21-F22-D22+B22</f>
        <v>21.483000000000001</v>
      </c>
      <c r="I22" s="15">
        <f t="shared" ref="I22" si="7">I21-E22+C22</f>
        <v>20.483000000000001</v>
      </c>
      <c r="J22" s="16">
        <f t="shared" ref="J22" si="8">SUM(H22:I22)</f>
        <v>41.966000000000001</v>
      </c>
    </row>
    <row r="23" spans="1:10" x14ac:dyDescent="0.25">
      <c r="A23" s="55" t="s">
        <v>63</v>
      </c>
      <c r="B23" s="53"/>
      <c r="C23" s="53"/>
      <c r="D23" s="55">
        <v>15</v>
      </c>
      <c r="E23" s="55"/>
      <c r="F23" s="52"/>
      <c r="G23" s="52"/>
      <c r="H23" s="15">
        <f t="shared" ref="H23" si="9">H22-F23-D23+B23</f>
        <v>6.4830000000000005</v>
      </c>
      <c r="I23" s="15">
        <f t="shared" ref="I23" si="10">I22-E23+C23</f>
        <v>20.483000000000001</v>
      </c>
      <c r="J23" s="16">
        <f t="shared" ref="J23" si="11">SUM(H23:I23)</f>
        <v>26.966000000000001</v>
      </c>
    </row>
    <row r="24" spans="1:10" x14ac:dyDescent="0.25">
      <c r="A24" s="55" t="s">
        <v>64</v>
      </c>
      <c r="B24" s="53"/>
      <c r="C24" s="53"/>
      <c r="D24" s="55"/>
      <c r="E24" s="55"/>
      <c r="F24" s="52"/>
      <c r="G24" s="54">
        <v>1</v>
      </c>
      <c r="H24" s="15">
        <f t="shared" ref="H24" si="12">H23-F24-D24+B24</f>
        <v>6.4830000000000005</v>
      </c>
      <c r="I24" s="15">
        <f t="shared" ref="I24" si="13">I23-E24+C24</f>
        <v>20.483000000000001</v>
      </c>
      <c r="J24" s="16">
        <f t="shared" ref="J24" si="14">SUM(H24:I24)</f>
        <v>26.966000000000001</v>
      </c>
    </row>
    <row r="25" spans="1:10" x14ac:dyDescent="0.25">
      <c r="A25" s="55" t="s">
        <v>65</v>
      </c>
      <c r="B25" s="55">
        <v>5</v>
      </c>
      <c r="C25" s="55">
        <v>5</v>
      </c>
      <c r="D25" s="55"/>
      <c r="E25" s="55"/>
      <c r="F25" s="52"/>
      <c r="G25" s="52"/>
      <c r="H25" s="15">
        <f t="shared" ref="H25:H26" si="15">H24-F25-D25+B25</f>
        <v>11.483000000000001</v>
      </c>
      <c r="I25" s="15">
        <f t="shared" ref="I25:I26" si="16">I24-E25+C25</f>
        <v>25.483000000000001</v>
      </c>
      <c r="J25" s="16">
        <f t="shared" ref="J25:J26" si="17">SUM(H25:I25)</f>
        <v>36.966000000000001</v>
      </c>
    </row>
    <row r="26" spans="1:10" x14ac:dyDescent="0.25">
      <c r="A26" s="55" t="s">
        <v>66</v>
      </c>
      <c r="B26" s="55"/>
      <c r="C26" s="55"/>
      <c r="D26" s="55"/>
      <c r="E26" s="55"/>
      <c r="F26" s="58">
        <v>1</v>
      </c>
      <c r="G26" s="52"/>
      <c r="H26" s="15">
        <f t="shared" si="15"/>
        <v>10.483000000000001</v>
      </c>
      <c r="I26" s="15">
        <f t="shared" si="16"/>
        <v>25.483000000000001</v>
      </c>
      <c r="J26" s="16">
        <f t="shared" si="17"/>
        <v>35.966000000000001</v>
      </c>
    </row>
    <row r="27" spans="1:10" x14ac:dyDescent="0.25">
      <c r="A27" s="84" t="s">
        <v>67</v>
      </c>
      <c r="B27" s="84">
        <v>1.25</v>
      </c>
      <c r="C27" s="84">
        <v>1.25</v>
      </c>
      <c r="D27" s="84"/>
      <c r="E27" s="84"/>
      <c r="F27" s="85"/>
      <c r="G27" s="85"/>
      <c r="H27" s="15">
        <f t="shared" ref="H27:H28" si="18">H26-F27-D27+B27</f>
        <v>11.733000000000001</v>
      </c>
      <c r="I27" s="15">
        <f t="shared" ref="I27:I28" si="19">I26-E27+C27</f>
        <v>26.733000000000001</v>
      </c>
      <c r="J27" s="16">
        <f t="shared" ref="J27:J28" si="20">SUM(H27:I27)</f>
        <v>38.466000000000001</v>
      </c>
    </row>
    <row r="28" spans="1:10" x14ac:dyDescent="0.25">
      <c r="A28" s="84" t="s">
        <v>68</v>
      </c>
      <c r="B28" s="84"/>
      <c r="C28" s="84"/>
      <c r="D28" s="84"/>
      <c r="E28" s="84"/>
      <c r="F28" s="58">
        <v>2</v>
      </c>
      <c r="G28" s="85"/>
      <c r="H28" s="15">
        <f t="shared" si="18"/>
        <v>9.7330000000000005</v>
      </c>
      <c r="I28" s="15">
        <f t="shared" si="19"/>
        <v>26.733000000000001</v>
      </c>
      <c r="J28" s="16">
        <f t="shared" si="20"/>
        <v>36.466000000000001</v>
      </c>
    </row>
    <row r="29" spans="1:10" x14ac:dyDescent="0.25">
      <c r="A29" s="84"/>
      <c r="B29" s="84"/>
      <c r="C29" s="84"/>
      <c r="D29" s="84"/>
      <c r="E29" s="84"/>
      <c r="F29" s="85"/>
      <c r="G29" s="85"/>
      <c r="H29" s="86"/>
      <c r="I29" s="86"/>
      <c r="J29" s="86"/>
    </row>
    <row r="30" spans="1:10" x14ac:dyDescent="0.25">
      <c r="A30" s="56"/>
      <c r="D30" s="56"/>
      <c r="E30" s="56"/>
      <c r="H30" s="57"/>
      <c r="I30" s="57"/>
      <c r="J30" s="57"/>
    </row>
    <row r="31" spans="1:10" x14ac:dyDescent="0.25">
      <c r="H31" s="18"/>
      <c r="I31" s="18"/>
      <c r="J31" s="18"/>
    </row>
    <row r="35" spans="6:6" x14ac:dyDescent="0.25">
      <c r="F35" s="17" t="s">
        <v>24</v>
      </c>
    </row>
  </sheetData>
  <mergeCells count="15">
    <mergeCell ref="K11:K12"/>
    <mergeCell ref="A13:J13"/>
    <mergeCell ref="A10:J10"/>
    <mergeCell ref="A11:A12"/>
    <mergeCell ref="B11:C11"/>
    <mergeCell ref="D11:G11"/>
    <mergeCell ref="H11:I11"/>
    <mergeCell ref="J11:J12"/>
    <mergeCell ref="A14:J14"/>
    <mergeCell ref="B9:D9"/>
    <mergeCell ref="A2:J2"/>
    <mergeCell ref="A3:J3"/>
    <mergeCell ref="A4:J4"/>
    <mergeCell ref="A5:J5"/>
    <mergeCell ref="B7:D7"/>
  </mergeCells>
  <printOptions horizontalCentered="1"/>
  <pageMargins left="0.25" right="0.25" top="0.25" bottom="0.25" header="0.3" footer="0.3"/>
  <pageSetup paperSize="9" scale="7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62F5-4C72-4DAF-8CB6-2930EE428E71}">
  <dimension ref="A1:G25"/>
  <sheetViews>
    <sheetView view="pageBreakPreview" topLeftCell="A2" zoomScaleNormal="100" workbookViewId="0">
      <selection activeCell="A22" sqref="A22:F22"/>
    </sheetView>
  </sheetViews>
  <sheetFormatPr defaultColWidth="9" defaultRowHeight="15" x14ac:dyDescent="0.25"/>
  <cols>
    <col min="1" max="1" width="23.5703125" style="30" customWidth="1"/>
    <col min="2" max="2" width="18.85546875" style="30" customWidth="1"/>
    <col min="3" max="3" width="35" style="42" customWidth="1"/>
    <col min="4" max="4" width="11.7109375" style="43" customWidth="1"/>
    <col min="5" max="5" width="11" style="30" customWidth="1"/>
    <col min="6" max="6" width="11.85546875" style="43" customWidth="1"/>
    <col min="7" max="7" width="22" style="30" customWidth="1"/>
    <col min="8" max="16384" width="9" style="30"/>
  </cols>
  <sheetData>
    <row r="1" spans="1:7" s="22" customFormat="1" ht="52.5" customHeight="1" x14ac:dyDescent="0.25">
      <c r="E1" s="23"/>
    </row>
    <row r="2" spans="1:7" s="22" customFormat="1" ht="10.5" customHeight="1" x14ac:dyDescent="0.25">
      <c r="A2" s="80" t="s">
        <v>0</v>
      </c>
      <c r="B2" s="80"/>
      <c r="C2" s="80"/>
      <c r="D2" s="80"/>
      <c r="E2" s="80"/>
      <c r="F2" s="80"/>
      <c r="G2" s="80"/>
    </row>
    <row r="3" spans="1:7" s="22" customFormat="1" ht="15.95" customHeight="1" x14ac:dyDescent="0.25">
      <c r="A3" s="80" t="s">
        <v>1</v>
      </c>
      <c r="B3" s="80"/>
      <c r="C3" s="80"/>
      <c r="D3" s="80"/>
      <c r="E3" s="80"/>
      <c r="F3" s="80"/>
      <c r="G3" s="80"/>
    </row>
    <row r="4" spans="1:7" s="22" customFormat="1" ht="15.95" customHeight="1" x14ac:dyDescent="0.25">
      <c r="A4" s="80" t="s">
        <v>2</v>
      </c>
      <c r="B4" s="80"/>
      <c r="C4" s="80"/>
      <c r="D4" s="80"/>
      <c r="E4" s="80"/>
      <c r="F4" s="80"/>
      <c r="G4" s="80"/>
    </row>
    <row r="5" spans="1:7" s="22" customFormat="1" ht="15.95" customHeight="1" x14ac:dyDescent="0.25">
      <c r="A5" s="80" t="s">
        <v>3</v>
      </c>
      <c r="B5" s="80"/>
      <c r="C5" s="80"/>
      <c r="D5" s="80"/>
      <c r="E5" s="80"/>
      <c r="F5" s="80"/>
      <c r="G5" s="80"/>
    </row>
    <row r="6" spans="1:7" s="22" customFormat="1" ht="8.25" customHeight="1" x14ac:dyDescent="0.25">
      <c r="E6" s="23"/>
    </row>
    <row r="7" spans="1:7" s="22" customFormat="1" ht="8.25" customHeight="1" x14ac:dyDescent="0.25">
      <c r="E7" s="23"/>
    </row>
    <row r="8" spans="1:7" s="22" customFormat="1" ht="17.25" customHeight="1" x14ac:dyDescent="0.25">
      <c r="A8" s="24" t="s">
        <v>43</v>
      </c>
      <c r="B8" s="24"/>
      <c r="C8" s="24" t="s">
        <v>26</v>
      </c>
      <c r="D8" s="25"/>
      <c r="E8" s="24" t="s">
        <v>27</v>
      </c>
      <c r="F8" s="25"/>
      <c r="G8" s="26"/>
    </row>
    <row r="9" spans="1:7" s="22" customFormat="1" ht="12" customHeight="1" x14ac:dyDescent="0.25">
      <c r="A9" s="27"/>
      <c r="B9" s="27"/>
      <c r="C9" s="28"/>
      <c r="E9" s="24" t="s">
        <v>28</v>
      </c>
      <c r="F9" s="29"/>
      <c r="G9" s="28"/>
    </row>
    <row r="10" spans="1:7" s="22" customFormat="1" ht="14.25" customHeight="1" x14ac:dyDescent="0.25">
      <c r="A10" s="24" t="s">
        <v>39</v>
      </c>
      <c r="B10" s="24"/>
      <c r="C10" s="24" t="s">
        <v>29</v>
      </c>
      <c r="D10" s="25"/>
      <c r="E10" s="24" t="s">
        <v>30</v>
      </c>
      <c r="F10" s="25"/>
      <c r="G10" s="26"/>
    </row>
    <row r="11" spans="1:7" s="22" customFormat="1" ht="12" customHeight="1" thickBot="1" x14ac:dyDescent="0.3">
      <c r="A11" s="26"/>
      <c r="B11" s="26"/>
      <c r="C11" s="26"/>
      <c r="F11" s="25"/>
      <c r="G11" s="26"/>
    </row>
    <row r="12" spans="1:7" ht="23.25" customHeight="1" thickBot="1" x14ac:dyDescent="0.3">
      <c r="A12" s="81" t="s">
        <v>31</v>
      </c>
      <c r="B12" s="82"/>
      <c r="C12" s="82"/>
      <c r="D12" s="82"/>
      <c r="E12" s="82"/>
      <c r="F12" s="82"/>
      <c r="G12" s="83"/>
    </row>
    <row r="13" spans="1:7" s="35" customFormat="1" ht="37.5" customHeight="1" thickBot="1" x14ac:dyDescent="0.25">
      <c r="A13" s="31" t="s">
        <v>32</v>
      </c>
      <c r="B13" s="32" t="s">
        <v>33</v>
      </c>
      <c r="C13" s="44" t="s">
        <v>34</v>
      </c>
      <c r="D13" s="44" t="s">
        <v>7</v>
      </c>
      <c r="E13" s="33" t="s">
        <v>8</v>
      </c>
      <c r="F13" s="33" t="s">
        <v>9</v>
      </c>
      <c r="G13" s="34" t="s">
        <v>6</v>
      </c>
    </row>
    <row r="14" spans="1:7" s="35" customFormat="1" ht="15.75" customHeight="1" x14ac:dyDescent="0.2">
      <c r="A14" s="47" t="s">
        <v>53</v>
      </c>
      <c r="B14" s="48"/>
      <c r="C14" s="45" t="s">
        <v>54</v>
      </c>
      <c r="D14" s="21">
        <v>5</v>
      </c>
      <c r="E14" s="36">
        <v>0</v>
      </c>
      <c r="F14" s="36">
        <v>5</v>
      </c>
      <c r="G14" s="37">
        <v>5</v>
      </c>
    </row>
    <row r="15" spans="1:7" s="35" customFormat="1" ht="15.75" customHeight="1" x14ac:dyDescent="0.2">
      <c r="A15" s="47" t="s">
        <v>55</v>
      </c>
      <c r="B15" s="48"/>
      <c r="C15" s="45" t="s">
        <v>56</v>
      </c>
      <c r="D15" s="21">
        <v>5</v>
      </c>
      <c r="E15" s="36">
        <v>0</v>
      </c>
      <c r="F15" s="36">
        <v>5</v>
      </c>
      <c r="G15" s="37">
        <v>5</v>
      </c>
    </row>
    <row r="16" spans="1:7" s="35" customFormat="1" ht="15.75" customHeight="1" x14ac:dyDescent="0.2">
      <c r="A16" s="47" t="s">
        <v>40</v>
      </c>
      <c r="B16" s="48"/>
      <c r="C16" s="50" t="s">
        <v>41</v>
      </c>
      <c r="D16" s="51">
        <v>5</v>
      </c>
      <c r="E16" s="36">
        <v>0</v>
      </c>
      <c r="F16" s="36">
        <v>5</v>
      </c>
      <c r="G16" s="37">
        <v>5</v>
      </c>
    </row>
    <row r="17" spans="1:7" s="35" customFormat="1" ht="15.75" customHeight="1" x14ac:dyDescent="0.2">
      <c r="A17" s="47" t="s">
        <v>57</v>
      </c>
      <c r="B17" s="48"/>
      <c r="C17" s="50" t="s">
        <v>42</v>
      </c>
      <c r="D17" s="51">
        <v>5</v>
      </c>
      <c r="E17" s="36">
        <v>0</v>
      </c>
      <c r="F17" s="36">
        <v>5</v>
      </c>
      <c r="G17" s="37">
        <v>5</v>
      </c>
    </row>
    <row r="18" spans="1:7" s="35" customFormat="1" ht="15.75" customHeight="1" x14ac:dyDescent="0.2">
      <c r="A18" s="47" t="s">
        <v>58</v>
      </c>
      <c r="B18" s="48"/>
      <c r="C18" s="45" t="s">
        <v>59</v>
      </c>
      <c r="D18" s="21">
        <v>5</v>
      </c>
      <c r="E18" s="36">
        <v>0</v>
      </c>
      <c r="F18" s="36">
        <v>5</v>
      </c>
      <c r="G18" s="37">
        <v>5</v>
      </c>
    </row>
    <row r="19" spans="1:7" s="35" customFormat="1" ht="15.75" customHeight="1" x14ac:dyDescent="0.2">
      <c r="A19" s="47" t="s">
        <v>36</v>
      </c>
      <c r="B19" s="48" t="s">
        <v>37</v>
      </c>
      <c r="C19" s="45" t="s">
        <v>38</v>
      </c>
      <c r="D19" s="21">
        <v>5</v>
      </c>
      <c r="E19" s="36">
        <v>0</v>
      </c>
      <c r="F19" s="36">
        <v>5</v>
      </c>
      <c r="G19" s="37">
        <v>5</v>
      </c>
    </row>
    <row r="20" spans="1:7" s="40" customFormat="1" ht="27" customHeight="1" x14ac:dyDescent="0.2">
      <c r="A20" s="5" t="s">
        <v>44</v>
      </c>
      <c r="B20" s="5" t="s">
        <v>45</v>
      </c>
      <c r="C20" s="49" t="s">
        <v>46</v>
      </c>
      <c r="D20" s="38">
        <v>5</v>
      </c>
      <c r="E20" s="38">
        <v>0</v>
      </c>
      <c r="F20" s="38">
        <v>5</v>
      </c>
      <c r="G20" s="37">
        <v>5</v>
      </c>
    </row>
    <row r="21" spans="1:7" s="40" customFormat="1" ht="15.75" x14ac:dyDescent="0.2">
      <c r="A21" s="5"/>
      <c r="B21" s="5"/>
      <c r="C21" s="45"/>
      <c r="D21" s="38"/>
      <c r="E21" s="38"/>
      <c r="F21" s="38"/>
      <c r="G21" s="39"/>
    </row>
    <row r="22" spans="1:7" s="40" customFormat="1" ht="15.75" x14ac:dyDescent="0.2">
      <c r="A22" s="77" t="s">
        <v>60</v>
      </c>
      <c r="B22" s="78"/>
      <c r="C22" s="78"/>
      <c r="D22" s="78"/>
      <c r="E22" s="78"/>
      <c r="F22" s="79"/>
      <c r="G22" s="46">
        <f>SUM(G14:G21)</f>
        <v>35</v>
      </c>
    </row>
    <row r="23" spans="1:7" s="22" customFormat="1" ht="75.75" customHeight="1" x14ac:dyDescent="0.25">
      <c r="A23" s="41"/>
      <c r="B23" s="41"/>
      <c r="G23" s="41"/>
    </row>
    <row r="24" spans="1:7" s="22" customFormat="1" x14ac:dyDescent="0.25"/>
    <row r="25" spans="1:7" s="22" customFormat="1" x14ac:dyDescent="0.25"/>
  </sheetData>
  <mergeCells count="6">
    <mergeCell ref="A22:F22"/>
    <mergeCell ref="A2:G2"/>
    <mergeCell ref="A3:G3"/>
    <mergeCell ref="A4:G4"/>
    <mergeCell ref="A5:G5"/>
    <mergeCell ref="A12:G12"/>
  </mergeCells>
  <phoneticPr fontId="8" type="noConversion"/>
  <pageMargins left="0.25" right="0.25" top="0.75" bottom="0.75" header="0.3" footer="0.3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as TIC</vt:lpstr>
      <vt:lpstr>Election &amp; NLC</vt:lpstr>
      <vt:lpstr>'Election &amp; NLC'!Print_Area</vt:lpstr>
      <vt:lpstr>'Leave Card as TIC'!Print_Area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2026-01-14T04:49:54Z</cp:lastPrinted>
  <dcterms:created xsi:type="dcterms:W3CDTF">2022-11-24T07:01:13Z</dcterms:created>
  <dcterms:modified xsi:type="dcterms:W3CDTF">2026-01-14T04:59:01Z</dcterms:modified>
</cp:coreProperties>
</file>