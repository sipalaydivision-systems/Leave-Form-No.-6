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7EA99868-FB09-4B70-97A5-9A2CC2494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6" l="1"/>
  <c r="J64" i="6" s="1"/>
  <c r="I64" i="6"/>
  <c r="I65" i="6" s="1"/>
  <c r="B42" i="6"/>
  <c r="H65" i="6" l="1"/>
  <c r="J65" i="6" s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H14" i="6"/>
  <c r="H15" i="6" s="1"/>
  <c r="H16" i="6" s="1"/>
  <c r="J16" i="6" s="1"/>
  <c r="H17" i="6" l="1"/>
  <c r="H18" i="6"/>
  <c r="J17" i="6"/>
  <c r="J14" i="6"/>
  <c r="J15" i="6"/>
  <c r="J18" i="6" l="1"/>
  <c r="H19" i="6"/>
  <c r="H20" i="6" l="1"/>
  <c r="J19" i="6"/>
  <c r="J20" i="6" l="1"/>
  <c r="H21" i="6"/>
  <c r="H22" i="6" l="1"/>
  <c r="J21" i="6"/>
  <c r="J22" i="6" l="1"/>
  <c r="H23" i="6"/>
  <c r="H24" i="6" l="1"/>
  <c r="J23" i="6"/>
  <c r="J24" i="6" l="1"/>
  <c r="H25" i="6"/>
  <c r="H26" i="6" l="1"/>
  <c r="J25" i="6"/>
  <c r="J26" i="6" l="1"/>
  <c r="H27" i="6"/>
  <c r="H28" i="6" l="1"/>
  <c r="J27" i="6"/>
  <c r="J28" i="6" l="1"/>
  <c r="H29" i="6"/>
  <c r="H30" i="6" l="1"/>
  <c r="J29" i="6"/>
  <c r="J30" i="6" l="1"/>
  <c r="H31" i="6"/>
  <c r="H32" i="6" l="1"/>
  <c r="J31" i="6"/>
  <c r="J32" i="6" l="1"/>
  <c r="H33" i="6"/>
  <c r="H34" i="6" l="1"/>
  <c r="J33" i="6"/>
  <c r="J34" i="6" l="1"/>
  <c r="H35" i="6"/>
  <c r="H36" i="6" l="1"/>
  <c r="J35" i="6"/>
  <c r="J36" i="6" l="1"/>
  <c r="H37" i="6"/>
  <c r="H38" i="6" l="1"/>
  <c r="J37" i="6"/>
  <c r="J38" i="6" l="1"/>
  <c r="H39" i="6"/>
  <c r="H40" i="6" l="1"/>
  <c r="J39" i="6"/>
  <c r="J40" i="6" l="1"/>
  <c r="H41" i="6"/>
  <c r="H42" i="6" l="1"/>
  <c r="J41" i="6"/>
  <c r="J42" i="6" l="1"/>
  <c r="H43" i="6"/>
  <c r="H44" i="6" l="1"/>
  <c r="J43" i="6"/>
  <c r="J44" i="6" l="1"/>
  <c r="H45" i="6"/>
  <c r="H46" i="6" l="1"/>
  <c r="J45" i="6"/>
  <c r="J46" i="6" l="1"/>
  <c r="H47" i="6"/>
  <c r="H48" i="6" l="1"/>
  <c r="J47" i="6"/>
  <c r="J48" i="6" l="1"/>
  <c r="H49" i="6"/>
  <c r="H50" i="6" l="1"/>
  <c r="J49" i="6"/>
  <c r="J50" i="6" l="1"/>
  <c r="H51" i="6"/>
  <c r="H52" i="6" l="1"/>
  <c r="J51" i="6"/>
  <c r="J52" i="6" l="1"/>
  <c r="H53" i="6"/>
  <c r="H54" i="6" l="1"/>
  <c r="J53" i="6"/>
  <c r="J54" i="6" l="1"/>
  <c r="H55" i="6"/>
  <c r="H56" i="6" l="1"/>
  <c r="J55" i="6"/>
  <c r="J56" i="6" l="1"/>
  <c r="H57" i="6"/>
  <c r="H58" i="6" l="1"/>
  <c r="J57" i="6"/>
  <c r="J58" i="6" l="1"/>
  <c r="H59" i="6"/>
  <c r="H60" i="6" l="1"/>
  <c r="J59" i="6"/>
  <c r="J60" i="6" l="1"/>
  <c r="H61" i="6"/>
  <c r="H62" i="6" l="1"/>
  <c r="J61" i="6"/>
  <c r="J62" i="6" l="1"/>
  <c r="H63" i="6"/>
  <c r="J63" i="6" s="1"/>
</calcChain>
</file>

<file path=xl/sharedStrings.xml><?xml version="1.0" encoding="utf-8"?>
<sst xmlns="http://schemas.openxmlformats.org/spreadsheetml/2006/main" count="142" uniqueCount="113">
  <si>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</si>
  <si>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</si>
  <si>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</si>
  <si>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</si>
  <si>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</si>
  <si>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</si>
  <si>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</si>
  <si>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</si>
  <si>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</si>
  <si>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</si>
  <si>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</si>
  <si>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</si>
  <si>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</si>
  <si>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</si>
  <si>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</si>
  <si>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LESS: 12/16/2021</t>
  </si>
  <si>
    <t>LESS: MONETIZATION 2022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</si>
  <si>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</si>
  <si>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</si>
  <si>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</si>
  <si>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</si>
  <si>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</si>
  <si>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</si>
  <si>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</si>
  <si>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</si>
  <si>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</si>
  <si>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</si>
  <si>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</si>
  <si>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</si>
  <si>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</si>
  <si>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</si>
  <si>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</si>
  <si>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</si>
  <si>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</si>
  <si>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</si>
  <si>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05/27/2022</t>
  </si>
  <si>
    <t>LESS: 09/14/2022</t>
  </si>
  <si>
    <t>LESS: 01/05-06/22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</si>
  <si>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</si>
  <si>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</si>
  <si>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</si>
  <si>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</si>
  <si>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</si>
  <si>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</si>
  <si>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</si>
  <si>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</si>
  <si>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</si>
  <si>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LESS: 12/23/2022</t>
  </si>
  <si>
    <t>COMPENSATORY TIME OFF (CTO)</t>
  </si>
  <si>
    <t>Special Order No. and Date Issued</t>
  </si>
  <si>
    <t>No. of Days Granted</t>
  </si>
  <si>
    <t>No. of Days Used</t>
  </si>
  <si>
    <t>Balance</t>
  </si>
  <si>
    <t>ADD: JULY 13, 2022</t>
  </si>
  <si>
    <t>S.O. # 052, S. 2022. 124TH PHILIPPINE INDEPENDENCE DAY CELEBRATION</t>
  </si>
  <si>
    <t>NOTE:  Valid for one (1) year only</t>
  </si>
  <si>
    <t>LESS: 01/20/23</t>
  </si>
  <si>
    <t xml:space="preserve">DATE OF APPOINTMENT: </t>
  </si>
  <si>
    <t>ADD: 01/01/2020 - 12/31/2020</t>
  </si>
  <si>
    <t>LESS: MONETIZATION 2020</t>
  </si>
  <si>
    <t>LESS: FL 2020</t>
  </si>
  <si>
    <t>ADD: 01/01/2021 - 05/31/2021</t>
  </si>
  <si>
    <t>LESS: 07/21/2021 - 07/27/2021</t>
  </si>
  <si>
    <t>ADD: 06/01/2021 - 09/30/2021</t>
  </si>
  <si>
    <t>LESS: 11/19, 22,23,24,25,26 &amp; 29/2021</t>
  </si>
  <si>
    <t>ADD: 10/01/2021 - 12/31/2021</t>
  </si>
  <si>
    <t>ADD: 01/01/2022 - 01/31/2022</t>
  </si>
  <si>
    <t>LESS: 02/09/2022</t>
  </si>
  <si>
    <t>ADD: 02/01/2022 - 08/31/2022</t>
  </si>
  <si>
    <t>ADD: 09/01/2022 - 09/30/2022</t>
  </si>
  <si>
    <t>LESS: 10/28/2022</t>
  </si>
  <si>
    <t>ADD: 10/01/2022 - 11/30/2022</t>
  </si>
  <si>
    <t>LESS: 12/12 &amp; 13/2022</t>
  </si>
  <si>
    <t>LESS: FL 2022</t>
  </si>
  <si>
    <t>ADD: 01/01/2023 -02/28/2023</t>
  </si>
  <si>
    <t>ADD: 03/01/2023 -06/30/2023</t>
  </si>
  <si>
    <t>LESS: 07/05 -07/23</t>
  </si>
  <si>
    <t>ADD: 07/01/2023 -07/31/2023</t>
  </si>
  <si>
    <t>LESS: 08/04/2023</t>
  </si>
  <si>
    <t>ADD: 08/01/2023 -08/31/2023</t>
  </si>
  <si>
    <t>LESS: MONETIZATION 2023</t>
  </si>
  <si>
    <t>ADD: 09/01/2023-11/30/2023</t>
  </si>
  <si>
    <t>LESS: 12/26-29/2023</t>
  </si>
  <si>
    <t>ADD: 07/25/2023</t>
  </si>
  <si>
    <t>S.O. # 060, S. 2023. DIVISION SELECTIOIN GUIDELINES FOR INCOMING LEARNERS OF GRADE 1 SPECIAL SCIENCE ES</t>
  </si>
  <si>
    <t>LESS: 01/3-4/2023</t>
  </si>
  <si>
    <t>ADD: 12/01-31/2023</t>
  </si>
  <si>
    <t>ADD: 01/01/2024-02/29/2024</t>
  </si>
  <si>
    <t>LESS: 01/05/2024</t>
  </si>
  <si>
    <t>LESS: 03/18/2024</t>
  </si>
  <si>
    <t>ADD: 03/1/2024-05/31/2024</t>
  </si>
  <si>
    <t>LESS: 06/24/2024 &amp; 07/01/2024</t>
  </si>
  <si>
    <t>LESS: MONETIZATION 2024</t>
  </si>
  <si>
    <t xml:space="preserve">              HRMO</t>
  </si>
  <si>
    <t>ADD: 01/14/2019 - 01/31/2019</t>
  </si>
  <si>
    <t>ADD: 02/01/2019 - 12/31/2019</t>
  </si>
  <si>
    <t>ADD:  12/1-31/2022</t>
  </si>
  <si>
    <t>ADD: 06/01/2024-07/31/2024</t>
  </si>
  <si>
    <t>LESS: 08/29/2024</t>
  </si>
  <si>
    <t>ADD: 08/1/2024-10/31/2024</t>
  </si>
  <si>
    <t>LESS: 12/18,19, 26, 27/2024</t>
  </si>
  <si>
    <t>ADD: 11/1/2024-12/31/2024</t>
  </si>
  <si>
    <t>LESS: 01/30-31/2025</t>
  </si>
  <si>
    <t>ADD: 01/1/2025-03/31/2025</t>
  </si>
  <si>
    <t>LESS: 04/29/2025</t>
  </si>
  <si>
    <t>ADD: 06/26/2024</t>
  </si>
  <si>
    <t>S.O. # 024, S. 2024. 126TH PHILIPPINE INDEPENDENCE DAY CELEBRATION</t>
  </si>
  <si>
    <t>LESS: 05/29/2025</t>
  </si>
  <si>
    <t>ADD: 04/1/2025-06/30/2025</t>
  </si>
  <si>
    <t>LESS: FL 2019</t>
  </si>
  <si>
    <t>LESS: MONETIZATION 2025 (30 DAYS)</t>
  </si>
  <si>
    <t>ADD: 07/1/2025-08/31/2025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</si>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</sst>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0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11" borderId="14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5" fillId="2" borderId="0" xfId="2" applyFill="1"/>
    <xf numFmtId="0" fontId="1" fillId="2" borderId="0" xfId="2" applyFont="1" applyFill="1" applyAlignment="1">
      <alignment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0" xfId="2" applyFont="1" applyFill="1"/>
    <xf numFmtId="0" fontId="1" fillId="2" borderId="4" xfId="2" applyFont="1" applyFill="1" applyBorder="1" applyAlignment="1">
      <alignment vertical="center"/>
    </xf>
    <xf numFmtId="0" fontId="15" fillId="0" borderId="0" xfId="2"/>
    <xf numFmtId="0" fontId="12" fillId="0" borderId="0" xfId="2" applyFont="1"/>
    <xf numFmtId="0" fontId="15" fillId="2" borderId="6" xfId="2" applyFill="1" applyBorder="1" applyAlignment="1">
      <alignment horizontal="center" vertical="center" wrapText="1"/>
    </xf>
    <xf numFmtId="0" fontId="15" fillId="2" borderId="2" xfId="2" applyFill="1" applyBorder="1" applyAlignment="1">
      <alignment horizontal="center" vertical="center" wrapText="1"/>
    </xf>
    <xf numFmtId="0" fontId="13" fillId="0" borderId="0" xfId="2" applyFont="1"/>
    <xf numFmtId="0" fontId="15" fillId="0" borderId="0" xfId="2" applyAlignment="1">
      <alignment vertical="center"/>
    </xf>
    <xf numFmtId="0" fontId="11" fillId="2" borderId="0" xfId="2" applyFont="1" applyFill="1" applyAlignment="1">
      <alignment horizontal="center" vertical="center" wrapText="1"/>
    </xf>
    <xf numFmtId="0" fontId="15" fillId="2" borderId="0" xfId="2" applyFill="1" applyAlignment="1">
      <alignment horizontal="center" vertical="center" wrapText="1"/>
    </xf>
    <xf numFmtId="0" fontId="15" fillId="2" borderId="0" xfId="2" applyFill="1" applyAlignment="1">
      <alignment horizontal="center"/>
    </xf>
    <xf numFmtId="0" fontId="0" fillId="2" borderId="6" xfId="2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15" fillId="2" borderId="1" xfId="2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16" fillId="2" borderId="0" xfId="0" applyFont="1" applyFill="1"/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5" fillId="0" borderId="1" xfId="2" applyBorder="1" applyAlignment="1">
      <alignment horizontal="center" vertical="center" wrapText="1"/>
    </xf>
    <xf numFmtId="0" fontId="6" fillId="0" borderId="0" xfId="2" applyFont="1"/>
    <xf numFmtId="0" fontId="15" fillId="14" borderId="1" xfId="2" applyFill="1" applyBorder="1" applyAlignment="1">
      <alignment horizontal="center" vertical="center" wrapText="1"/>
    </xf>
    <xf numFmtId="0" fontId="15" fillId="14" borderId="2" xfId="2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1" fillId="2" borderId="15" xfId="2" applyFont="1" applyFill="1" applyBorder="1" applyAlignment="1">
      <alignment horizontal="center" vertical="center" wrapText="1"/>
    </xf>
    <xf numFmtId="0" fontId="11" fillId="2" borderId="16" xfId="2" applyFont="1" applyFill="1" applyBorder="1" applyAlignment="1">
      <alignment horizontal="center" vertical="center" wrapText="1"/>
    </xf>
    <xf numFmtId="0" fontId="11" fillId="2" borderId="12" xfId="2" applyFont="1" applyFill="1" applyBorder="1" applyAlignment="1">
      <alignment horizontal="center" vertical="center" wrapText="1"/>
    </xf>
    <xf numFmtId="0" fontId="15" fillId="0" borderId="0" xfId="2" applyAlignment="1">
      <alignment horizontal="center"/>
    </xf>
    <xf numFmtId="0" fontId="15" fillId="0" borderId="0" xfId="2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1" fillId="10" borderId="15" xfId="2" applyFont="1" applyFill="1" applyBorder="1" applyAlignment="1">
      <alignment horizontal="center" vertical="center" wrapText="1"/>
    </xf>
    <xf numFmtId="0" fontId="11" fillId="10" borderId="16" xfId="2" applyFont="1" applyFill="1" applyBorder="1" applyAlignment="1">
      <alignment horizontal="center" vertical="center" wrapText="1"/>
    </xf>
    <xf numFmtId="0" fontId="10" fillId="11" borderId="5" xfId="2" applyFont="1" applyFill="1" applyBorder="1" applyAlignment="1">
      <alignment horizontal="center" vertical="center"/>
    </xf>
    <xf numFmtId="0" fontId="10" fillId="11" borderId="6" xfId="2" applyFont="1" applyFill="1" applyBorder="1" applyAlignment="1">
      <alignment horizontal="center" vertical="center"/>
    </xf>
    <xf numFmtId="0" fontId="10" fillId="12" borderId="9" xfId="2" applyFont="1" applyFill="1" applyBorder="1" applyAlignment="1">
      <alignment horizontal="center" vertical="center"/>
    </xf>
    <xf numFmtId="0" fontId="10" fillId="12" borderId="10" xfId="2" applyFont="1" applyFill="1" applyBorder="1" applyAlignment="1">
      <alignment horizontal="center" vertical="center"/>
    </xf>
    <xf numFmtId="0" fontId="10" fillId="11" borderId="8" xfId="2" applyFont="1" applyFill="1" applyBorder="1" applyAlignment="1">
      <alignment horizontal="center" vertical="center"/>
    </xf>
    <xf numFmtId="0" fontId="10" fillId="11" borderId="3" xfId="2" applyFont="1" applyFill="1" applyBorder="1" applyAlignment="1">
      <alignment horizontal="center" vertical="center"/>
    </xf>
    <xf numFmtId="0" fontId="11" fillId="10" borderId="12" xfId="2" applyFont="1" applyFill="1" applyBorder="1" applyAlignment="1">
      <alignment horizontal="center" vertical="center" wrapText="1"/>
    </xf>
    <xf numFmtId="0" fontId="15" fillId="2" borderId="0" xfId="2" applyFill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311394</xdr:colOff>
      <xdr:row>0</xdr:row>
      <xdr:rowOff>19049</xdr:rowOff>
    </xdr:from>
    <xdr:to>
      <xdr:col>4</xdr:col>
      <xdr:colOff>299183</xdr:colOff>
      <xdr:row>0</xdr:row>
      <xdr:rowOff>659423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2692" y="19049"/>
          <a:ext cx="799856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BAUTISTA, RHODORA L.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P1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5561F-51AF-446C-820D-8A445AE931F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38FC17-1BC8-4FDC-AA37-DF3D52AC959F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BAUTISTA, RHODORA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E2C725-C07B-42AF-A638-53A355D8B64B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P-I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537473-47E9-4448-8039-E7FCA550A933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tabSelected="1" view="pageBreakPreview" topLeftCell="A48" zoomScale="106" zoomScaleNormal="100" zoomScaleSheetLayoutView="106" workbookViewId="0">
      <selection activeCell="A64" sqref="A64:XFD64"/>
    </sheetView>
  </sheetViews>
  <sheetFormatPr defaultRowHeight="15" x14ac:dyDescent="0.25"/>
  <cols>
    <col min="1" max="1" width="37.42578125" customWidth="1"/>
    <col min="2" max="2" width="11.5703125" style="15" customWidth="1"/>
    <col min="3" max="3" width="11.5703125" style="16" customWidth="1"/>
    <col min="4" max="4" width="11.5703125" style="15" customWidth="1"/>
    <col min="5" max="5" width="11.5703125" style="16" customWidth="1"/>
    <col min="6" max="7" width="11.5703125" style="19" customWidth="1"/>
    <col min="8" max="8" width="11.5703125" style="15" customWidth="1"/>
    <col min="9" max="9" width="11.5703125" style="16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83" t="s">
        <v>11</v>
      </c>
      <c r="B2" s="83"/>
      <c r="C2" s="83"/>
      <c r="D2" s="83"/>
      <c r="E2" s="83"/>
      <c r="F2" s="83"/>
      <c r="G2" s="83"/>
      <c r="H2" s="83"/>
      <c r="I2" s="83"/>
      <c r="J2" s="83"/>
    </row>
    <row r="3" spans="1:10" s="1" customFormat="1" ht="15.95" customHeight="1" x14ac:dyDescent="0.25">
      <c r="A3" s="83" t="s">
        <v>12</v>
      </c>
      <c r="B3" s="83"/>
      <c r="C3" s="83"/>
      <c r="D3" s="83"/>
      <c r="E3" s="83"/>
      <c r="F3" s="83"/>
      <c r="G3" s="83"/>
      <c r="H3" s="83"/>
      <c r="I3" s="83"/>
      <c r="J3" s="83"/>
    </row>
    <row r="4" spans="1:10" s="1" customFormat="1" ht="15.95" customHeight="1" x14ac:dyDescent="0.25">
      <c r="A4" s="83" t="s">
        <v>13</v>
      </c>
      <c r="B4" s="83"/>
      <c r="C4" s="83"/>
      <c r="D4" s="83"/>
      <c r="E4" s="83"/>
      <c r="F4" s="83"/>
      <c r="G4" s="83"/>
      <c r="H4" s="83"/>
      <c r="I4" s="83"/>
      <c r="J4" s="83"/>
    </row>
    <row r="5" spans="1:10" s="1" customFormat="1" ht="15.95" customHeight="1" x14ac:dyDescent="0.25">
      <c r="A5" s="83" t="s">
        <v>14</v>
      </c>
      <c r="B5" s="83"/>
      <c r="C5" s="83"/>
      <c r="D5" s="83"/>
      <c r="E5" s="83"/>
      <c r="F5" s="83"/>
      <c r="G5" s="83"/>
      <c r="H5" s="83"/>
      <c r="I5" s="83"/>
      <c r="J5" s="83"/>
    </row>
    <row r="6" spans="1:10" s="1" customFormat="1" ht="8.25" customHeight="1" x14ac:dyDescent="0.25"/>
    <row r="7" spans="1:10" s="1" customFormat="1" ht="12" customHeight="1" x14ac:dyDescent="0.25">
      <c r="A7" s="1" t="s">
        <v>38</v>
      </c>
      <c r="B7" s="82" t="s">
        <v>40</v>
      </c>
      <c r="C7" s="82"/>
      <c r="D7" s="82"/>
      <c r="H7" s="3" t="s">
        <v>9</v>
      </c>
      <c r="I7" s="35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39</v>
      </c>
      <c r="B9" s="82" t="s">
        <v>41</v>
      </c>
      <c r="C9" s="82"/>
      <c r="D9" s="82"/>
      <c r="H9" s="3" t="s">
        <v>10</v>
      </c>
      <c r="I9" s="4"/>
      <c r="J9" s="3"/>
    </row>
    <row r="10" spans="1:10" ht="16.5" customHeight="1" thickBot="1" x14ac:dyDescent="0.3">
      <c r="A10" s="68" t="s">
        <v>0</v>
      </c>
      <c r="B10" s="68"/>
      <c r="C10" s="68"/>
      <c r="D10" s="68"/>
      <c r="E10" s="68"/>
      <c r="F10" s="68"/>
      <c r="G10" s="68"/>
      <c r="H10" s="68"/>
      <c r="I10" s="68"/>
      <c r="J10" s="68"/>
    </row>
    <row r="11" spans="1:10" s="6" customFormat="1" ht="18.75" customHeight="1" x14ac:dyDescent="0.2">
      <c r="A11" s="72" t="s">
        <v>4</v>
      </c>
      <c r="B11" s="76" t="s">
        <v>5</v>
      </c>
      <c r="C11" s="77"/>
      <c r="D11" s="78" t="s">
        <v>6</v>
      </c>
      <c r="E11" s="79"/>
      <c r="F11" s="79"/>
      <c r="G11" s="33"/>
      <c r="H11" s="80" t="s">
        <v>7</v>
      </c>
      <c r="I11" s="81"/>
      <c r="J11" s="74" t="s">
        <v>8</v>
      </c>
    </row>
    <row r="12" spans="1:10" s="6" customFormat="1" ht="51" customHeight="1" x14ac:dyDescent="0.2">
      <c r="A12" s="73"/>
      <c r="B12" s="14" t="s">
        <v>1</v>
      </c>
      <c r="C12" s="17" t="s">
        <v>2</v>
      </c>
      <c r="D12" s="14" t="s">
        <v>1</v>
      </c>
      <c r="E12" s="17" t="s">
        <v>2</v>
      </c>
      <c r="F12" s="18" t="s">
        <v>3</v>
      </c>
      <c r="G12" s="34" t="s">
        <v>46</v>
      </c>
      <c r="H12" s="14" t="s">
        <v>1</v>
      </c>
      <c r="I12" s="17" t="s">
        <v>2</v>
      </c>
      <c r="J12" s="75"/>
    </row>
    <row r="13" spans="1:10" s="6" customFormat="1" ht="18.75" customHeight="1" x14ac:dyDescent="0.2">
      <c r="A13" s="69" t="s">
        <v>57</v>
      </c>
      <c r="B13" s="70"/>
      <c r="C13" s="70"/>
      <c r="D13" s="70"/>
      <c r="E13" s="70"/>
      <c r="F13" s="70"/>
      <c r="G13" s="70"/>
      <c r="H13" s="70"/>
      <c r="I13" s="70"/>
      <c r="J13" s="71"/>
    </row>
    <row r="14" spans="1:10" s="6" customFormat="1" ht="15.95" customHeight="1" x14ac:dyDescent="0.2">
      <c r="A14" s="8" t="s">
        <v>94</v>
      </c>
      <c r="B14" s="13">
        <v>0.75</v>
      </c>
      <c r="C14" s="13">
        <v>0.75</v>
      </c>
      <c r="D14" s="13"/>
      <c r="E14" s="13"/>
      <c r="F14" s="13"/>
      <c r="G14" s="13"/>
      <c r="H14" s="13">
        <f>B14</f>
        <v>0.75</v>
      </c>
      <c r="I14" s="13">
        <f>C14</f>
        <v>0.75</v>
      </c>
      <c r="J14" s="51">
        <f t="shared" ref="J14:J15" si="0">H14+I14</f>
        <v>1.5</v>
      </c>
    </row>
    <row r="15" spans="1:10" s="5" customFormat="1" ht="15.95" customHeight="1" x14ac:dyDescent="0.2">
      <c r="A15" s="10" t="s">
        <v>95</v>
      </c>
      <c r="B15" s="13">
        <v>13.75</v>
      </c>
      <c r="C15" s="13">
        <v>13.75</v>
      </c>
      <c r="D15" s="13"/>
      <c r="E15" s="13"/>
      <c r="F15" s="13"/>
      <c r="G15" s="13"/>
      <c r="H15" s="13">
        <f>H14-F15-D15+B15</f>
        <v>14.5</v>
      </c>
      <c r="I15" s="13">
        <f>I14-E15+C15</f>
        <v>14.5</v>
      </c>
      <c r="J15" s="51">
        <f t="shared" si="0"/>
        <v>29</v>
      </c>
    </row>
    <row r="16" spans="1:10" s="5" customFormat="1" ht="15.95" customHeight="1" x14ac:dyDescent="0.2">
      <c r="A16" s="10" t="s">
        <v>109</v>
      </c>
      <c r="B16" s="13"/>
      <c r="C16" s="13"/>
      <c r="D16" s="13"/>
      <c r="E16" s="13"/>
      <c r="F16" s="13">
        <v>5</v>
      </c>
      <c r="G16" s="13"/>
      <c r="H16" s="13">
        <f t="shared" ref="H16:H63" si="1">H15-F16-D16+B16</f>
        <v>9.5</v>
      </c>
      <c r="I16" s="13">
        <f t="shared" ref="I16:I63" si="2">I15-E16+C16</f>
        <v>14.5</v>
      </c>
      <c r="J16" s="51">
        <f t="shared" ref="J16:J63" si="3">H16+I16</f>
        <v>24</v>
      </c>
    </row>
    <row r="17" spans="1:10" s="5" customFormat="1" ht="15.95" customHeight="1" x14ac:dyDescent="0.2">
      <c r="A17" s="10" t="s">
        <v>58</v>
      </c>
      <c r="B17" s="13">
        <v>15</v>
      </c>
      <c r="C17" s="13">
        <v>15</v>
      </c>
      <c r="D17" s="13"/>
      <c r="E17" s="13"/>
      <c r="F17" s="13"/>
      <c r="G17" s="13"/>
      <c r="H17" s="13">
        <f t="shared" si="1"/>
        <v>24.5</v>
      </c>
      <c r="I17" s="13">
        <f t="shared" si="2"/>
        <v>29.5</v>
      </c>
      <c r="J17" s="51">
        <f t="shared" si="3"/>
        <v>54</v>
      </c>
    </row>
    <row r="18" spans="1:10" s="5" customFormat="1" ht="15.95" customHeight="1" x14ac:dyDescent="0.2">
      <c r="A18" s="10" t="s">
        <v>59</v>
      </c>
      <c r="B18" s="13"/>
      <c r="C18" s="13"/>
      <c r="D18" s="13">
        <v>5</v>
      </c>
      <c r="E18" s="13"/>
      <c r="F18" s="13"/>
      <c r="G18" s="13"/>
      <c r="H18" s="13">
        <f t="shared" si="1"/>
        <v>19.5</v>
      </c>
      <c r="I18" s="13">
        <f t="shared" si="2"/>
        <v>29.5</v>
      </c>
      <c r="J18" s="51">
        <f t="shared" si="3"/>
        <v>49</v>
      </c>
    </row>
    <row r="19" spans="1:10" s="5" customFormat="1" ht="15.95" customHeight="1" x14ac:dyDescent="0.2">
      <c r="A19" s="10" t="s">
        <v>60</v>
      </c>
      <c r="B19" s="13"/>
      <c r="C19" s="13"/>
      <c r="D19" s="13"/>
      <c r="E19" s="13"/>
      <c r="F19" s="13">
        <v>5</v>
      </c>
      <c r="G19" s="13"/>
      <c r="H19" s="13">
        <f t="shared" si="1"/>
        <v>14.5</v>
      </c>
      <c r="I19" s="13">
        <f t="shared" si="2"/>
        <v>29.5</v>
      </c>
      <c r="J19" s="51">
        <f t="shared" si="3"/>
        <v>44</v>
      </c>
    </row>
    <row r="20" spans="1:10" s="5" customFormat="1" ht="15.95" customHeight="1" x14ac:dyDescent="0.2">
      <c r="A20" s="10" t="s">
        <v>61</v>
      </c>
      <c r="B20" s="13">
        <v>6.25</v>
      </c>
      <c r="C20" s="13">
        <v>6.25</v>
      </c>
      <c r="D20" s="13"/>
      <c r="E20" s="13"/>
      <c r="F20" s="13"/>
      <c r="G20" s="13"/>
      <c r="H20" s="13">
        <f t="shared" si="1"/>
        <v>20.75</v>
      </c>
      <c r="I20" s="13">
        <f t="shared" si="2"/>
        <v>35.75</v>
      </c>
      <c r="J20" s="51">
        <f t="shared" si="3"/>
        <v>56.5</v>
      </c>
    </row>
    <row r="21" spans="1:10" s="5" customFormat="1" ht="15.95" customHeight="1" x14ac:dyDescent="0.2">
      <c r="A21" s="8" t="s">
        <v>62</v>
      </c>
      <c r="B21" s="13"/>
      <c r="C21" s="13"/>
      <c r="D21" s="13"/>
      <c r="E21" s="13">
        <v>5</v>
      </c>
      <c r="F21" s="13"/>
      <c r="G21" s="13"/>
      <c r="H21" s="13">
        <f t="shared" si="1"/>
        <v>20.75</v>
      </c>
      <c r="I21" s="13">
        <f t="shared" si="2"/>
        <v>30.75</v>
      </c>
      <c r="J21" s="51">
        <f t="shared" si="3"/>
        <v>51.5</v>
      </c>
    </row>
    <row r="22" spans="1:10" s="5" customFormat="1" ht="15.95" customHeight="1" x14ac:dyDescent="0.2">
      <c r="A22" s="8" t="s">
        <v>63</v>
      </c>
      <c r="B22" s="13">
        <v>5</v>
      </c>
      <c r="C22" s="13">
        <v>5</v>
      </c>
      <c r="D22" s="13"/>
      <c r="E22" s="13"/>
      <c r="F22" s="13"/>
      <c r="G22" s="13"/>
      <c r="H22" s="13">
        <f t="shared" si="1"/>
        <v>25.75</v>
      </c>
      <c r="I22" s="13">
        <f t="shared" si="2"/>
        <v>35.75</v>
      </c>
      <c r="J22" s="51">
        <f t="shared" si="3"/>
        <v>61.5</v>
      </c>
    </row>
    <row r="23" spans="1:10" s="5" customFormat="1" ht="15.95" customHeight="1" x14ac:dyDescent="0.2">
      <c r="A23" s="8" t="s">
        <v>64</v>
      </c>
      <c r="B23" s="13"/>
      <c r="C23" s="13"/>
      <c r="D23" s="13">
        <v>2</v>
      </c>
      <c r="E23" s="13"/>
      <c r="F23" s="13">
        <v>5</v>
      </c>
      <c r="G23" s="13"/>
      <c r="H23" s="13">
        <f t="shared" si="1"/>
        <v>18.75</v>
      </c>
      <c r="I23" s="13">
        <f t="shared" si="2"/>
        <v>35.75</v>
      </c>
      <c r="J23" s="51">
        <f t="shared" si="3"/>
        <v>54.5</v>
      </c>
    </row>
    <row r="24" spans="1:10" s="5" customFormat="1" ht="15.95" customHeight="1" x14ac:dyDescent="0.2">
      <c r="A24" s="8" t="s">
        <v>65</v>
      </c>
      <c r="B24" s="13">
        <v>3.75</v>
      </c>
      <c r="C24" s="13">
        <v>3.75</v>
      </c>
      <c r="D24" s="13"/>
      <c r="E24" s="13"/>
      <c r="F24" s="13"/>
      <c r="G24" s="13"/>
      <c r="H24" s="13">
        <f t="shared" si="1"/>
        <v>22.5</v>
      </c>
      <c r="I24" s="13">
        <f t="shared" si="2"/>
        <v>39.5</v>
      </c>
      <c r="J24" s="51">
        <f t="shared" si="3"/>
        <v>62</v>
      </c>
    </row>
    <row r="25" spans="1:10" ht="15.95" customHeight="1" x14ac:dyDescent="0.25">
      <c r="A25" s="8" t="s">
        <v>66</v>
      </c>
      <c r="B25" s="13">
        <v>1.25</v>
      </c>
      <c r="C25" s="13">
        <v>1.25</v>
      </c>
      <c r="D25" s="32"/>
      <c r="E25" s="32"/>
      <c r="F25" s="32"/>
      <c r="G25" s="32"/>
      <c r="H25" s="13">
        <f t="shared" si="1"/>
        <v>23.75</v>
      </c>
      <c r="I25" s="13">
        <f t="shared" si="2"/>
        <v>40.75</v>
      </c>
      <c r="J25" s="51">
        <f t="shared" si="3"/>
        <v>64.5</v>
      </c>
    </row>
    <row r="26" spans="1:10" ht="15.95" customHeight="1" x14ac:dyDescent="0.25">
      <c r="A26" s="8" t="s">
        <v>67</v>
      </c>
      <c r="B26" s="13"/>
      <c r="C26" s="13"/>
      <c r="D26" s="32"/>
      <c r="E26" s="13"/>
      <c r="F26" s="13">
        <v>1</v>
      </c>
      <c r="G26" s="13"/>
      <c r="H26" s="13">
        <f t="shared" si="1"/>
        <v>22.75</v>
      </c>
      <c r="I26" s="13">
        <f t="shared" si="2"/>
        <v>40.75</v>
      </c>
      <c r="J26" s="51">
        <f t="shared" si="3"/>
        <v>63.5</v>
      </c>
    </row>
    <row r="27" spans="1:10" ht="15.95" customHeight="1" x14ac:dyDescent="0.25">
      <c r="A27" s="8" t="s">
        <v>68</v>
      </c>
      <c r="B27" s="13">
        <v>8.75</v>
      </c>
      <c r="C27" s="13">
        <v>8.75</v>
      </c>
      <c r="D27" s="32"/>
      <c r="E27" s="13"/>
      <c r="F27" s="13"/>
      <c r="G27" s="13"/>
      <c r="H27" s="13">
        <f t="shared" si="1"/>
        <v>31.5</v>
      </c>
      <c r="I27" s="13">
        <f t="shared" si="2"/>
        <v>49.5</v>
      </c>
      <c r="J27" s="51">
        <f t="shared" si="3"/>
        <v>81</v>
      </c>
    </row>
    <row r="28" spans="1:10" ht="15.95" customHeight="1" x14ac:dyDescent="0.25">
      <c r="A28" s="8" t="s">
        <v>16</v>
      </c>
      <c r="B28" s="13"/>
      <c r="C28" s="13"/>
      <c r="D28" s="13">
        <v>9</v>
      </c>
      <c r="E28" s="13">
        <v>20</v>
      </c>
      <c r="F28" s="13"/>
      <c r="G28" s="13"/>
      <c r="H28" s="13">
        <f t="shared" si="1"/>
        <v>22.5</v>
      </c>
      <c r="I28" s="13">
        <f t="shared" si="2"/>
        <v>29.5</v>
      </c>
      <c r="J28" s="51">
        <f t="shared" si="3"/>
        <v>52</v>
      </c>
    </row>
    <row r="29" spans="1:10" ht="15.95" customHeight="1" x14ac:dyDescent="0.25">
      <c r="A29" s="8" t="s">
        <v>69</v>
      </c>
      <c r="B29" s="13">
        <v>1.25</v>
      </c>
      <c r="C29" s="13">
        <v>1.25</v>
      </c>
      <c r="D29" s="13"/>
      <c r="E29" s="13"/>
      <c r="F29" s="13"/>
      <c r="G29" s="13"/>
      <c r="H29" s="13">
        <f t="shared" si="1"/>
        <v>23.75</v>
      </c>
      <c r="I29" s="13">
        <f t="shared" si="2"/>
        <v>30.75</v>
      </c>
      <c r="J29" s="51">
        <f t="shared" si="3"/>
        <v>54.5</v>
      </c>
    </row>
    <row r="30" spans="1:10" ht="15.95" customHeight="1" x14ac:dyDescent="0.25">
      <c r="A30" s="8" t="s">
        <v>70</v>
      </c>
      <c r="B30" s="13"/>
      <c r="C30" s="13"/>
      <c r="D30" s="13"/>
      <c r="E30" s="13"/>
      <c r="F30" s="13">
        <v>1</v>
      </c>
      <c r="G30" s="13"/>
      <c r="H30" s="13">
        <f t="shared" si="1"/>
        <v>22.75</v>
      </c>
      <c r="I30" s="13">
        <f t="shared" si="2"/>
        <v>30.75</v>
      </c>
      <c r="J30" s="51">
        <f t="shared" si="3"/>
        <v>53.5</v>
      </c>
    </row>
    <row r="31" spans="1:10" ht="15.95" customHeight="1" x14ac:dyDescent="0.25">
      <c r="A31" s="8" t="s">
        <v>71</v>
      </c>
      <c r="B31" s="13">
        <v>2.5</v>
      </c>
      <c r="C31" s="13">
        <v>2.5</v>
      </c>
      <c r="D31" s="32"/>
      <c r="E31" s="13"/>
      <c r="F31" s="13"/>
      <c r="G31" s="13"/>
      <c r="H31" s="13">
        <f t="shared" si="1"/>
        <v>25.25</v>
      </c>
      <c r="I31" s="13">
        <f t="shared" si="2"/>
        <v>33.25</v>
      </c>
      <c r="J31" s="51">
        <f t="shared" si="3"/>
        <v>58.5</v>
      </c>
    </row>
    <row r="32" spans="1:10" ht="15.95" customHeight="1" x14ac:dyDescent="0.25">
      <c r="A32" s="8" t="s">
        <v>72</v>
      </c>
      <c r="B32" s="13"/>
      <c r="C32" s="13"/>
      <c r="D32" s="13"/>
      <c r="E32" s="13"/>
      <c r="F32" s="13">
        <v>2</v>
      </c>
      <c r="G32" s="13"/>
      <c r="H32" s="13">
        <f t="shared" si="1"/>
        <v>23.25</v>
      </c>
      <c r="I32" s="13">
        <f t="shared" si="2"/>
        <v>33.25</v>
      </c>
      <c r="J32" s="51">
        <f t="shared" si="3"/>
        <v>56.5</v>
      </c>
    </row>
    <row r="33" spans="1:10" ht="15.95" customHeight="1" x14ac:dyDescent="0.25">
      <c r="A33" s="8" t="s">
        <v>96</v>
      </c>
      <c r="B33" s="13">
        <v>1.25</v>
      </c>
      <c r="C33" s="13">
        <v>1.25</v>
      </c>
      <c r="D33" s="13"/>
      <c r="E33" s="13"/>
      <c r="F33" s="13"/>
      <c r="G33" s="13"/>
      <c r="H33" s="13">
        <f t="shared" si="1"/>
        <v>24.5</v>
      </c>
      <c r="I33" s="13">
        <f t="shared" si="2"/>
        <v>34.5</v>
      </c>
      <c r="J33" s="51">
        <f t="shared" si="3"/>
        <v>59</v>
      </c>
    </row>
    <row r="34" spans="1:10" ht="15.95" customHeight="1" x14ac:dyDescent="0.25">
      <c r="A34" s="8" t="s">
        <v>73</v>
      </c>
      <c r="B34" s="13"/>
      <c r="C34" s="13"/>
      <c r="D34" s="13"/>
      <c r="E34" s="13"/>
      <c r="F34" s="13">
        <v>1</v>
      </c>
      <c r="G34" s="13"/>
      <c r="H34" s="13">
        <f t="shared" si="1"/>
        <v>23.5</v>
      </c>
      <c r="I34" s="13">
        <f t="shared" si="2"/>
        <v>34.5</v>
      </c>
      <c r="J34" s="51">
        <f t="shared" si="3"/>
        <v>58</v>
      </c>
    </row>
    <row r="35" spans="1:10" ht="15.95" customHeight="1" x14ac:dyDescent="0.25">
      <c r="A35" s="8" t="s">
        <v>74</v>
      </c>
      <c r="B35" s="13">
        <v>2.5</v>
      </c>
      <c r="C35" s="13">
        <v>2.5</v>
      </c>
      <c r="D35" s="13"/>
      <c r="E35" s="13"/>
      <c r="F35" s="13"/>
      <c r="G35" s="13"/>
      <c r="H35" s="13">
        <f t="shared" si="1"/>
        <v>26</v>
      </c>
      <c r="I35" s="13">
        <f t="shared" si="2"/>
        <v>37</v>
      </c>
      <c r="J35" s="51">
        <f t="shared" si="3"/>
        <v>63</v>
      </c>
    </row>
    <row r="36" spans="1:10" ht="15.95" customHeight="1" x14ac:dyDescent="0.25">
      <c r="A36" s="8" t="s">
        <v>75</v>
      </c>
      <c r="B36" s="13">
        <v>5</v>
      </c>
      <c r="C36" s="13">
        <v>5</v>
      </c>
      <c r="D36" s="13"/>
      <c r="E36" s="13"/>
      <c r="F36" s="13"/>
      <c r="G36" s="13"/>
      <c r="H36" s="13">
        <f t="shared" si="1"/>
        <v>31</v>
      </c>
      <c r="I36" s="13">
        <f t="shared" si="2"/>
        <v>42</v>
      </c>
      <c r="J36" s="51">
        <f t="shared" si="3"/>
        <v>73</v>
      </c>
    </row>
    <row r="37" spans="1:10" ht="15.95" customHeight="1" x14ac:dyDescent="0.25">
      <c r="A37" s="8" t="s">
        <v>76</v>
      </c>
      <c r="B37" s="13"/>
      <c r="C37" s="13"/>
      <c r="D37" s="13"/>
      <c r="E37" s="13"/>
      <c r="F37" s="13"/>
      <c r="G37" s="13">
        <v>3</v>
      </c>
      <c r="H37" s="13">
        <f t="shared" si="1"/>
        <v>31</v>
      </c>
      <c r="I37" s="13">
        <f t="shared" si="2"/>
        <v>42</v>
      </c>
      <c r="J37" s="51">
        <f t="shared" si="3"/>
        <v>73</v>
      </c>
    </row>
    <row r="38" spans="1:10" ht="15.95" customHeight="1" x14ac:dyDescent="0.25">
      <c r="A38" s="8" t="s">
        <v>77</v>
      </c>
      <c r="B38" s="13">
        <v>1.25</v>
      </c>
      <c r="C38" s="13">
        <v>1.25</v>
      </c>
      <c r="D38" s="8"/>
      <c r="E38" s="8"/>
      <c r="F38" s="8"/>
      <c r="G38" s="8"/>
      <c r="H38" s="13">
        <f t="shared" si="1"/>
        <v>32.25</v>
      </c>
      <c r="I38" s="13">
        <f t="shared" si="2"/>
        <v>43.25</v>
      </c>
      <c r="J38" s="51">
        <f t="shared" si="3"/>
        <v>75.5</v>
      </c>
    </row>
    <row r="39" spans="1:10" ht="15.95" customHeight="1" x14ac:dyDescent="0.25">
      <c r="A39" s="8" t="s">
        <v>78</v>
      </c>
      <c r="B39" s="13"/>
      <c r="C39" s="13"/>
      <c r="D39" s="8"/>
      <c r="E39" s="8"/>
      <c r="F39" s="13">
        <v>1</v>
      </c>
      <c r="G39" s="8"/>
      <c r="H39" s="13">
        <f t="shared" si="1"/>
        <v>31.25</v>
      </c>
      <c r="I39" s="13">
        <f t="shared" si="2"/>
        <v>43.25</v>
      </c>
      <c r="J39" s="51">
        <f t="shared" si="3"/>
        <v>74.5</v>
      </c>
    </row>
    <row r="40" spans="1:10" ht="15.95" customHeight="1" x14ac:dyDescent="0.25">
      <c r="A40" s="8" t="s">
        <v>79</v>
      </c>
      <c r="B40" s="13">
        <v>1.25</v>
      </c>
      <c r="C40" s="13">
        <v>1.25</v>
      </c>
      <c r="D40" s="8"/>
      <c r="E40" s="8"/>
      <c r="F40" s="13"/>
      <c r="G40" s="8"/>
      <c r="H40" s="13">
        <f t="shared" si="1"/>
        <v>32.5</v>
      </c>
      <c r="I40" s="13">
        <f t="shared" si="2"/>
        <v>44.5</v>
      </c>
      <c r="J40" s="51">
        <f t="shared" si="3"/>
        <v>77</v>
      </c>
    </row>
    <row r="41" spans="1:10" ht="15.95" customHeight="1" x14ac:dyDescent="0.25">
      <c r="A41" s="8" t="s">
        <v>80</v>
      </c>
      <c r="B41" s="13"/>
      <c r="C41" s="13"/>
      <c r="D41" s="13">
        <v>24</v>
      </c>
      <c r="E41" s="13">
        <v>5</v>
      </c>
      <c r="F41" s="13"/>
      <c r="G41" s="8"/>
      <c r="H41" s="13">
        <f t="shared" si="1"/>
        <v>8.5</v>
      </c>
      <c r="I41" s="13">
        <f t="shared" si="2"/>
        <v>39.5</v>
      </c>
      <c r="J41" s="51">
        <f t="shared" si="3"/>
        <v>48</v>
      </c>
    </row>
    <row r="42" spans="1:10" ht="15.95" customHeight="1" x14ac:dyDescent="0.25">
      <c r="A42" s="8" t="s">
        <v>81</v>
      </c>
      <c r="B42" s="13">
        <f>3*1.25</f>
        <v>3.75</v>
      </c>
      <c r="C42" s="13">
        <v>3.75</v>
      </c>
      <c r="D42" s="13"/>
      <c r="E42" s="13"/>
      <c r="F42" s="13"/>
      <c r="G42" s="8"/>
      <c r="H42" s="13">
        <f t="shared" si="1"/>
        <v>12.25</v>
      </c>
      <c r="I42" s="13">
        <f t="shared" si="2"/>
        <v>43.25</v>
      </c>
      <c r="J42" s="51">
        <f t="shared" si="3"/>
        <v>55.5</v>
      </c>
    </row>
    <row r="43" spans="1:10" ht="15.95" customHeight="1" x14ac:dyDescent="0.25">
      <c r="A43" s="8" t="s">
        <v>82</v>
      </c>
      <c r="B43" s="13"/>
      <c r="C43" s="13"/>
      <c r="D43" s="13"/>
      <c r="E43" s="13"/>
      <c r="F43" s="13">
        <v>4</v>
      </c>
      <c r="G43" s="8"/>
      <c r="H43" s="13">
        <f t="shared" si="1"/>
        <v>8.25</v>
      </c>
      <c r="I43" s="13">
        <f t="shared" si="2"/>
        <v>43.25</v>
      </c>
      <c r="J43" s="51">
        <f t="shared" si="3"/>
        <v>51.5</v>
      </c>
    </row>
    <row r="44" spans="1:10" ht="15.95" customHeight="1" x14ac:dyDescent="0.25">
      <c r="A44" s="8" t="s">
        <v>88</v>
      </c>
      <c r="B44" s="13"/>
      <c r="C44" s="13"/>
      <c r="D44" s="13">
        <v>1</v>
      </c>
      <c r="E44" s="13"/>
      <c r="F44" s="13"/>
      <c r="G44" s="8"/>
      <c r="H44" s="13">
        <f t="shared" si="1"/>
        <v>7.25</v>
      </c>
      <c r="I44" s="13">
        <f t="shared" si="2"/>
        <v>43.25</v>
      </c>
      <c r="J44" s="51">
        <f t="shared" si="3"/>
        <v>50.5</v>
      </c>
    </row>
    <row r="45" spans="1:10" ht="15.95" customHeight="1" x14ac:dyDescent="0.25">
      <c r="A45" s="8" t="s">
        <v>86</v>
      </c>
      <c r="B45" s="13">
        <v>1.25</v>
      </c>
      <c r="C45" s="13">
        <v>1.25</v>
      </c>
      <c r="D45" s="13"/>
      <c r="E45" s="13"/>
      <c r="F45" s="13"/>
      <c r="G45" s="8"/>
      <c r="H45" s="13">
        <f t="shared" si="1"/>
        <v>8.5</v>
      </c>
      <c r="I45" s="13">
        <f t="shared" si="2"/>
        <v>44.5</v>
      </c>
      <c r="J45" s="51">
        <f t="shared" si="3"/>
        <v>53</v>
      </c>
    </row>
    <row r="46" spans="1:10" ht="15.95" customHeight="1" x14ac:dyDescent="0.25">
      <c r="A46" s="8" t="s">
        <v>87</v>
      </c>
      <c r="B46" s="13">
        <v>2.5</v>
      </c>
      <c r="C46" s="13">
        <v>2.5</v>
      </c>
      <c r="D46" s="13"/>
      <c r="E46" s="13"/>
      <c r="F46" s="13"/>
      <c r="G46" s="8"/>
      <c r="H46" s="13">
        <f t="shared" si="1"/>
        <v>11</v>
      </c>
      <c r="I46" s="13">
        <f t="shared" si="2"/>
        <v>47</v>
      </c>
      <c r="J46" s="51">
        <f t="shared" si="3"/>
        <v>58</v>
      </c>
    </row>
    <row r="47" spans="1:10" ht="15.95" customHeight="1" x14ac:dyDescent="0.25">
      <c r="A47" s="8" t="s">
        <v>89</v>
      </c>
      <c r="B47" s="13"/>
      <c r="C47" s="13"/>
      <c r="D47" s="13"/>
      <c r="E47" s="13"/>
      <c r="F47" s="60"/>
      <c r="G47" s="31">
        <v>1</v>
      </c>
      <c r="H47" s="13">
        <f t="shared" si="1"/>
        <v>11</v>
      </c>
      <c r="I47" s="13">
        <f t="shared" si="2"/>
        <v>47</v>
      </c>
      <c r="J47" s="51">
        <f t="shared" si="3"/>
        <v>58</v>
      </c>
    </row>
    <row r="48" spans="1:10" ht="15.95" customHeight="1" x14ac:dyDescent="0.25">
      <c r="A48" s="8" t="s">
        <v>90</v>
      </c>
      <c r="B48" s="13">
        <v>3.75</v>
      </c>
      <c r="C48" s="13">
        <v>3.75</v>
      </c>
      <c r="D48" s="13"/>
      <c r="E48" s="13"/>
      <c r="F48" s="60"/>
      <c r="G48" s="31"/>
      <c r="H48" s="13">
        <f t="shared" si="1"/>
        <v>14.75</v>
      </c>
      <c r="I48" s="13">
        <f t="shared" si="2"/>
        <v>50.75</v>
      </c>
      <c r="J48" s="51">
        <f t="shared" si="3"/>
        <v>65.5</v>
      </c>
    </row>
    <row r="49" spans="1:10" ht="15.95" hidden="1" customHeight="1" x14ac:dyDescent="0.25">
      <c r="A49" s="8"/>
      <c r="B49" s="13"/>
      <c r="C49" s="13"/>
      <c r="D49" s="13"/>
      <c r="E49" s="13"/>
      <c r="F49" s="60"/>
      <c r="G49" s="31"/>
      <c r="H49" s="13">
        <f t="shared" si="1"/>
        <v>14.75</v>
      </c>
      <c r="I49" s="13">
        <f t="shared" si="2"/>
        <v>50.75</v>
      </c>
      <c r="J49" s="51">
        <f t="shared" si="3"/>
        <v>65.5</v>
      </c>
    </row>
    <row r="50" spans="1:10" ht="15.95" hidden="1" customHeight="1" x14ac:dyDescent="0.25">
      <c r="A50" s="8"/>
      <c r="B50" s="13"/>
      <c r="C50" s="13"/>
      <c r="D50" s="13"/>
      <c r="E50" s="13"/>
      <c r="F50" s="60"/>
      <c r="G50" s="31"/>
      <c r="H50" s="13">
        <f t="shared" si="1"/>
        <v>14.75</v>
      </c>
      <c r="I50" s="13">
        <f t="shared" si="2"/>
        <v>50.75</v>
      </c>
      <c r="J50" s="51">
        <f t="shared" si="3"/>
        <v>65.5</v>
      </c>
    </row>
    <row r="51" spans="1:10" ht="15.95" hidden="1" customHeight="1" x14ac:dyDescent="0.25">
      <c r="A51" s="8"/>
      <c r="B51" s="13"/>
      <c r="C51" s="13"/>
      <c r="D51" s="13"/>
      <c r="E51" s="13"/>
      <c r="F51" s="60"/>
      <c r="G51" s="31"/>
      <c r="H51" s="13">
        <f t="shared" si="1"/>
        <v>14.75</v>
      </c>
      <c r="I51" s="13">
        <f t="shared" si="2"/>
        <v>50.75</v>
      </c>
      <c r="J51" s="51">
        <f t="shared" si="3"/>
        <v>65.5</v>
      </c>
    </row>
    <row r="52" spans="1:10" ht="18.95" customHeight="1" x14ac:dyDescent="0.25">
      <c r="A52" s="8" t="s">
        <v>91</v>
      </c>
      <c r="B52" s="61"/>
      <c r="C52" s="61"/>
      <c r="D52" s="61"/>
      <c r="E52" s="61"/>
      <c r="F52" s="62"/>
      <c r="G52" s="31">
        <v>2</v>
      </c>
      <c r="H52" s="13">
        <f t="shared" si="1"/>
        <v>14.75</v>
      </c>
      <c r="I52" s="13">
        <f t="shared" si="2"/>
        <v>50.75</v>
      </c>
      <c r="J52" s="51">
        <f t="shared" si="3"/>
        <v>65.5</v>
      </c>
    </row>
    <row r="53" spans="1:10" ht="18.95" customHeight="1" x14ac:dyDescent="0.25">
      <c r="A53" s="8" t="s">
        <v>97</v>
      </c>
      <c r="B53" s="8">
        <v>2.5</v>
      </c>
      <c r="C53" s="8">
        <v>2.5</v>
      </c>
      <c r="D53" s="61"/>
      <c r="E53" s="61"/>
      <c r="F53" s="62"/>
      <c r="G53" s="31"/>
      <c r="H53" s="13">
        <f t="shared" si="1"/>
        <v>17.25</v>
      </c>
      <c r="I53" s="13">
        <f t="shared" si="2"/>
        <v>53.25</v>
      </c>
      <c r="J53" s="51">
        <f t="shared" si="3"/>
        <v>70.5</v>
      </c>
    </row>
    <row r="54" spans="1:10" ht="18.95" customHeight="1" x14ac:dyDescent="0.25">
      <c r="A54" s="31" t="s">
        <v>92</v>
      </c>
      <c r="B54" s="31"/>
      <c r="C54" s="31"/>
      <c r="D54" s="31">
        <v>12</v>
      </c>
      <c r="E54" s="62"/>
      <c r="F54" s="62"/>
      <c r="G54" s="31"/>
      <c r="H54" s="13">
        <f t="shared" si="1"/>
        <v>5.25</v>
      </c>
      <c r="I54" s="13">
        <f t="shared" si="2"/>
        <v>53.25</v>
      </c>
      <c r="J54" s="51">
        <f t="shared" si="3"/>
        <v>58.5</v>
      </c>
    </row>
    <row r="55" spans="1:10" ht="18.95" customHeight="1" x14ac:dyDescent="0.25">
      <c r="A55" s="31" t="s">
        <v>98</v>
      </c>
      <c r="B55" s="31"/>
      <c r="C55" s="31"/>
      <c r="D55" s="31"/>
      <c r="E55" s="62"/>
      <c r="F55" s="31">
        <v>1</v>
      </c>
      <c r="G55" s="31"/>
      <c r="H55" s="13">
        <f t="shared" si="1"/>
        <v>4.25</v>
      </c>
      <c r="I55" s="13">
        <f t="shared" si="2"/>
        <v>53.25</v>
      </c>
      <c r="J55" s="51">
        <f t="shared" si="3"/>
        <v>57.5</v>
      </c>
    </row>
    <row r="56" spans="1:10" ht="18.95" customHeight="1" x14ac:dyDescent="0.25">
      <c r="A56" s="31" t="s">
        <v>99</v>
      </c>
      <c r="B56" s="31">
        <v>3.75</v>
      </c>
      <c r="C56" s="31">
        <v>3.75</v>
      </c>
      <c r="D56" s="31"/>
      <c r="E56" s="62"/>
      <c r="F56" s="31"/>
      <c r="G56" s="31"/>
      <c r="H56" s="13">
        <f t="shared" si="1"/>
        <v>8</v>
      </c>
      <c r="I56" s="13">
        <f t="shared" si="2"/>
        <v>57</v>
      </c>
      <c r="J56" s="51">
        <f t="shared" si="3"/>
        <v>65</v>
      </c>
    </row>
    <row r="57" spans="1:10" ht="18.95" customHeight="1" x14ac:dyDescent="0.25">
      <c r="A57" s="31" t="s">
        <v>100</v>
      </c>
      <c r="B57" s="31"/>
      <c r="C57" s="31"/>
      <c r="D57" s="31"/>
      <c r="E57" s="62"/>
      <c r="F57" s="31">
        <v>4</v>
      </c>
      <c r="G57" s="31"/>
      <c r="H57" s="13">
        <f t="shared" si="1"/>
        <v>4</v>
      </c>
      <c r="I57" s="13">
        <f t="shared" si="2"/>
        <v>57</v>
      </c>
      <c r="J57" s="51">
        <f t="shared" si="3"/>
        <v>61</v>
      </c>
    </row>
    <row r="58" spans="1:10" ht="18.95" customHeight="1" x14ac:dyDescent="0.25">
      <c r="A58" s="31" t="s">
        <v>101</v>
      </c>
      <c r="B58" s="31">
        <v>2.5</v>
      </c>
      <c r="C58" s="31">
        <v>2.5</v>
      </c>
      <c r="D58" s="31"/>
      <c r="E58" s="62"/>
      <c r="F58" s="31"/>
      <c r="G58" s="31"/>
      <c r="H58" s="13">
        <f t="shared" si="1"/>
        <v>6.5</v>
      </c>
      <c r="I58" s="13">
        <f t="shared" si="2"/>
        <v>59.5</v>
      </c>
      <c r="J58" s="51">
        <f t="shared" si="3"/>
        <v>66</v>
      </c>
    </row>
    <row r="59" spans="1:10" ht="18.95" customHeight="1" x14ac:dyDescent="0.25">
      <c r="A59" s="31" t="s">
        <v>102</v>
      </c>
      <c r="B59" s="31"/>
      <c r="C59" s="31"/>
      <c r="D59" s="31"/>
      <c r="E59" s="62"/>
      <c r="F59" s="63">
        <v>2</v>
      </c>
      <c r="G59" s="31"/>
      <c r="H59" s="13">
        <f t="shared" si="1"/>
        <v>4.5</v>
      </c>
      <c r="I59" s="13">
        <f t="shared" si="2"/>
        <v>59.5</v>
      </c>
      <c r="J59" s="51">
        <f t="shared" si="3"/>
        <v>64</v>
      </c>
    </row>
    <row r="60" spans="1:10" ht="18.95" customHeight="1" x14ac:dyDescent="0.25">
      <c r="A60" s="31" t="s">
        <v>103</v>
      </c>
      <c r="B60" s="31">
        <v>3.75</v>
      </c>
      <c r="C60" s="31">
        <v>3.75</v>
      </c>
      <c r="D60" s="31"/>
      <c r="E60" s="62"/>
      <c r="F60" s="31"/>
      <c r="G60" s="31"/>
      <c r="H60" s="13">
        <f t="shared" si="1"/>
        <v>8.25</v>
      </c>
      <c r="I60" s="13">
        <f t="shared" si="2"/>
        <v>63.25</v>
      </c>
      <c r="J60" s="51">
        <f t="shared" si="3"/>
        <v>71.5</v>
      </c>
    </row>
    <row r="61" spans="1:10" ht="18.95" customHeight="1" x14ac:dyDescent="0.25">
      <c r="A61" s="31" t="s">
        <v>104</v>
      </c>
      <c r="B61" s="31"/>
      <c r="C61" s="31"/>
      <c r="D61" s="31"/>
      <c r="E61" s="62"/>
      <c r="F61" s="63">
        <v>1</v>
      </c>
      <c r="G61" s="31"/>
      <c r="H61" s="13">
        <f t="shared" si="1"/>
        <v>7.25</v>
      </c>
      <c r="I61" s="13">
        <f t="shared" si="2"/>
        <v>63.25</v>
      </c>
      <c r="J61" s="51">
        <f t="shared" si="3"/>
        <v>70.5</v>
      </c>
    </row>
    <row r="62" spans="1:10" ht="18.95" customHeight="1" x14ac:dyDescent="0.25">
      <c r="A62" s="31" t="s">
        <v>108</v>
      </c>
      <c r="B62" s="31">
        <v>3.75</v>
      </c>
      <c r="C62" s="31">
        <v>3.75</v>
      </c>
      <c r="D62" s="31"/>
      <c r="E62" s="62"/>
      <c r="F62" s="31"/>
      <c r="G62" s="31"/>
      <c r="H62" s="13">
        <f t="shared" si="1"/>
        <v>11</v>
      </c>
      <c r="I62" s="13">
        <f t="shared" si="2"/>
        <v>67</v>
      </c>
      <c r="J62" s="51">
        <f t="shared" si="3"/>
        <v>78</v>
      </c>
    </row>
    <row r="63" spans="1:10" ht="18.95" customHeight="1" x14ac:dyDescent="0.25">
      <c r="A63" s="31" t="s">
        <v>110</v>
      </c>
      <c r="B63" s="31"/>
      <c r="C63" s="31"/>
      <c r="D63" s="31">
        <v>6</v>
      </c>
      <c r="E63" s="31">
        <v>24</v>
      </c>
      <c r="F63" s="31"/>
      <c r="G63" s="31"/>
      <c r="H63" s="13">
        <f t="shared" si="1"/>
        <v>5</v>
      </c>
      <c r="I63" s="13">
        <f t="shared" si="2"/>
        <v>43</v>
      </c>
      <c r="J63" s="51">
        <f t="shared" si="3"/>
        <v>48</v>
      </c>
    </row>
    <row r="64" spans="1:10" ht="18.95" customHeight="1" x14ac:dyDescent="0.25">
      <c r="A64" s="31" t="s">
        <v>111</v>
      </c>
      <c r="B64" s="31">
        <v>2.5</v>
      </c>
      <c r="C64" s="31">
        <v>2.5</v>
      </c>
      <c r="D64" s="31"/>
      <c r="E64" s="31"/>
      <c r="F64" s="31"/>
      <c r="G64" s="31"/>
      <c r="H64" s="13">
        <f t="shared" ref="H64:H65" si="4">H63-F64-D64+B64</f>
        <v>7.5</v>
      </c>
      <c r="I64" s="13">
        <f t="shared" ref="I64:I65" si="5">I63-E64+C64</f>
        <v>45.5</v>
      </c>
      <c r="J64" s="51">
        <f t="shared" ref="J64:J65" si="6">H64+I64</f>
        <v>53</v>
      </c>
    </row>
    <row r="65" spans="1:10" ht="18.95" customHeight="1" x14ac:dyDescent="0.25">
      <c r="A65" s="31" t="s">
        <v>112</v>
      </c>
      <c r="B65" s="31"/>
      <c r="C65" s="31"/>
      <c r="D65" s="31"/>
      <c r="E65" s="31">
        <v>1</v>
      </c>
      <c r="F65" s="31"/>
      <c r="G65" s="31"/>
      <c r="H65" s="13">
        <f t="shared" si="4"/>
        <v>7.5</v>
      </c>
      <c r="I65" s="13">
        <f t="shared" si="5"/>
        <v>44.5</v>
      </c>
      <c r="J65" s="51">
        <f t="shared" si="6"/>
        <v>52</v>
      </c>
    </row>
    <row r="66" spans="1:10" ht="18.95" customHeight="1" x14ac:dyDescent="0.25">
      <c r="A66" s="54"/>
      <c r="B66" s="54"/>
      <c r="C66" s="54"/>
      <c r="D66" s="55"/>
      <c r="E66" s="55"/>
      <c r="F66" s="55"/>
      <c r="G66" s="56"/>
      <c r="H66" s="57"/>
      <c r="I66" s="57"/>
      <c r="J66" s="58"/>
    </row>
    <row r="67" spans="1:10" s="1" customFormat="1" x14ac:dyDescent="0.25">
      <c r="G67" s="1" t="s">
        <v>42</v>
      </c>
    </row>
    <row r="68" spans="1:10" s="1" customFormat="1" x14ac:dyDescent="0.25"/>
    <row r="69" spans="1:10" s="1" customFormat="1" x14ac:dyDescent="0.25">
      <c r="G69" s="59" t="s">
        <v>43</v>
      </c>
    </row>
    <row r="70" spans="1:10" s="1" customFormat="1" x14ac:dyDescent="0.25">
      <c r="G70" s="1" t="s">
        <v>44</v>
      </c>
    </row>
    <row r="71" spans="1:10" s="1" customFormat="1" x14ac:dyDescent="0.25">
      <c r="G71" s="1" t="s">
        <v>93</v>
      </c>
    </row>
  </sheetData>
  <mergeCells count="13">
    <mergeCell ref="B7:D7"/>
    <mergeCell ref="B9:D9"/>
    <mergeCell ref="A2:J2"/>
    <mergeCell ref="A3:J3"/>
    <mergeCell ref="A4:J4"/>
    <mergeCell ref="A5:J5"/>
    <mergeCell ref="A10:J10"/>
    <mergeCell ref="A13:J13"/>
    <mergeCell ref="A11:A12"/>
    <mergeCell ref="J11:J12"/>
    <mergeCell ref="B11:C11"/>
    <mergeCell ref="D11:F11"/>
    <mergeCell ref="H11:I11"/>
  </mergeCells>
  <phoneticPr fontId="5" type="noConversion"/>
  <printOptions horizontalCentered="1"/>
  <pageMargins left="0.43307086614173229" right="0.43307086614173229" top="0.51181102362204722" bottom="0.51181102362204722" header="0.31496062992125984" footer="0.31496062992125984"/>
  <pageSetup paperSize="9" scale="67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view="pageBreakPreview" zoomScale="112" zoomScaleNormal="100" zoomScaleSheetLayoutView="112" workbookViewId="0">
      <selection activeCell="F14" sqref="F14:G14"/>
    </sheetView>
  </sheetViews>
  <sheetFormatPr defaultColWidth="8.7109375" defaultRowHeight="15" x14ac:dyDescent="0.25"/>
  <cols>
    <col min="1" max="1" width="33.5703125" style="41" customWidth="1"/>
    <col min="2" max="16384" width="8.7109375" style="41"/>
  </cols>
  <sheetData>
    <row r="1" spans="1:12" s="36" customFormat="1" ht="52.5" customHeight="1" x14ac:dyDescent="0.25"/>
    <row r="2" spans="1:12" s="36" customFormat="1" ht="10.5" customHeight="1" x14ac:dyDescent="0.25">
      <c r="A2" s="100" t="s">
        <v>11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2" s="36" customFormat="1" ht="15.95" customHeight="1" x14ac:dyDescent="0.25">
      <c r="A3" s="100" t="s">
        <v>12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1:12" s="36" customFormat="1" ht="15.95" customHeight="1" x14ac:dyDescent="0.25">
      <c r="A4" s="100" t="s">
        <v>13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2" s="36" customFormat="1" ht="15.95" customHeight="1" x14ac:dyDescent="0.25">
      <c r="A5" s="100" t="s">
        <v>14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</row>
    <row r="6" spans="1:12" s="36" customFormat="1" ht="8.25" customHeight="1" x14ac:dyDescent="0.25"/>
    <row r="7" spans="1:12" s="36" customFormat="1" ht="12" customHeight="1" x14ac:dyDescent="0.25">
      <c r="A7" s="36" t="s">
        <v>38</v>
      </c>
      <c r="C7" s="37" t="s">
        <v>40</v>
      </c>
      <c r="D7" s="37"/>
      <c r="G7" s="37" t="s">
        <v>9</v>
      </c>
      <c r="H7" s="38"/>
    </row>
    <row r="8" spans="1:12" s="36" customFormat="1" ht="12" customHeight="1" x14ac:dyDescent="0.25">
      <c r="C8" s="39"/>
      <c r="G8" s="39"/>
      <c r="H8" s="39"/>
    </row>
    <row r="9" spans="1:12" s="36" customFormat="1" ht="12" customHeight="1" x14ac:dyDescent="0.25">
      <c r="A9" s="36" t="s">
        <v>39</v>
      </c>
      <c r="C9" s="37" t="s">
        <v>41</v>
      </c>
      <c r="D9" s="37"/>
      <c r="G9" s="37" t="s">
        <v>10</v>
      </c>
      <c r="H9" s="40"/>
    </row>
    <row r="10" spans="1:12" ht="16.5" customHeight="1" thickBot="1" x14ac:dyDescent="0.3">
      <c r="A10" s="101" t="s">
        <v>48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2" s="42" customFormat="1" ht="18.75" customHeight="1" x14ac:dyDescent="0.2">
      <c r="A11" s="93" t="s">
        <v>4</v>
      </c>
      <c r="B11" s="95" t="s">
        <v>5</v>
      </c>
      <c r="C11" s="96"/>
      <c r="D11" s="96"/>
      <c r="E11" s="96"/>
      <c r="F11" s="96"/>
      <c r="G11" s="96"/>
      <c r="H11" s="96"/>
      <c r="I11" s="96"/>
      <c r="J11" s="96"/>
      <c r="K11" s="96"/>
      <c r="L11" s="97" t="s">
        <v>8</v>
      </c>
    </row>
    <row r="12" spans="1:12" s="42" customFormat="1" ht="24" customHeight="1" x14ac:dyDescent="0.2">
      <c r="A12" s="94"/>
      <c r="B12" s="91" t="s">
        <v>49</v>
      </c>
      <c r="C12" s="99"/>
      <c r="D12" s="99"/>
      <c r="E12" s="92"/>
      <c r="F12" s="91" t="s">
        <v>50</v>
      </c>
      <c r="G12" s="92"/>
      <c r="H12" s="91" t="s">
        <v>51</v>
      </c>
      <c r="I12" s="92"/>
      <c r="J12" s="91" t="s">
        <v>52</v>
      </c>
      <c r="K12" s="92"/>
      <c r="L12" s="98"/>
    </row>
    <row r="13" spans="1:12" s="42" customFormat="1" ht="24.95" customHeight="1" x14ac:dyDescent="0.2">
      <c r="A13" s="43" t="s">
        <v>53</v>
      </c>
      <c r="B13" s="84" t="s">
        <v>54</v>
      </c>
      <c r="C13" s="86"/>
      <c r="D13" s="86"/>
      <c r="E13" s="85"/>
      <c r="F13" s="84">
        <v>1</v>
      </c>
      <c r="G13" s="85"/>
      <c r="H13" s="84">
        <v>0</v>
      </c>
      <c r="I13" s="85"/>
      <c r="J13" s="84">
        <v>1</v>
      </c>
      <c r="K13" s="85"/>
      <c r="L13" s="44">
        <v>1</v>
      </c>
    </row>
    <row r="14" spans="1:12" s="45" customFormat="1" ht="25.5" customHeight="1" x14ac:dyDescent="0.2">
      <c r="A14" s="50" t="s">
        <v>56</v>
      </c>
      <c r="B14" s="84" t="s">
        <v>54</v>
      </c>
      <c r="C14" s="86"/>
      <c r="D14" s="86"/>
      <c r="E14" s="85"/>
      <c r="F14" s="84"/>
      <c r="G14" s="85"/>
      <c r="H14" s="84">
        <v>1</v>
      </c>
      <c r="I14" s="85"/>
      <c r="J14" s="84">
        <v>0</v>
      </c>
      <c r="K14" s="85"/>
      <c r="L14" s="67">
        <v>0</v>
      </c>
    </row>
    <row r="15" spans="1:12" s="45" customFormat="1" ht="32.25" customHeight="1" x14ac:dyDescent="0.2">
      <c r="A15" s="52" t="s">
        <v>83</v>
      </c>
      <c r="B15" s="84" t="s">
        <v>84</v>
      </c>
      <c r="C15" s="86"/>
      <c r="D15" s="86"/>
      <c r="E15" s="85"/>
      <c r="F15" s="84">
        <v>2</v>
      </c>
      <c r="G15" s="85"/>
      <c r="H15" s="84">
        <v>0</v>
      </c>
      <c r="I15" s="85"/>
      <c r="J15" s="84">
        <v>2</v>
      </c>
      <c r="K15" s="85"/>
      <c r="L15" s="53">
        <v>2</v>
      </c>
    </row>
    <row r="16" spans="1:12" s="45" customFormat="1" ht="41.25" customHeight="1" x14ac:dyDescent="0.2">
      <c r="A16" s="52" t="s">
        <v>85</v>
      </c>
      <c r="B16" s="84" t="s">
        <v>84</v>
      </c>
      <c r="C16" s="86"/>
      <c r="D16" s="86"/>
      <c r="E16" s="85"/>
      <c r="F16" s="84"/>
      <c r="G16" s="85"/>
      <c r="H16" s="84">
        <v>2</v>
      </c>
      <c r="I16" s="85"/>
      <c r="J16" s="84">
        <v>0</v>
      </c>
      <c r="K16" s="85"/>
      <c r="L16" s="66">
        <v>0</v>
      </c>
    </row>
    <row r="17" spans="1:12" s="65" customFormat="1" ht="25.5" customHeight="1" x14ac:dyDescent="0.2">
      <c r="A17" s="52" t="s">
        <v>105</v>
      </c>
      <c r="B17" s="84" t="s">
        <v>106</v>
      </c>
      <c r="C17" s="86"/>
      <c r="D17" s="86"/>
      <c r="E17" s="85"/>
      <c r="F17" s="84">
        <v>1</v>
      </c>
      <c r="G17" s="85"/>
      <c r="H17" s="84">
        <v>1</v>
      </c>
      <c r="I17" s="85"/>
      <c r="J17" s="84">
        <v>0</v>
      </c>
      <c r="K17" s="85"/>
      <c r="L17" s="64">
        <v>0</v>
      </c>
    </row>
    <row r="18" spans="1:12" s="65" customFormat="1" ht="25.5" customHeight="1" x14ac:dyDescent="0.2">
      <c r="A18" s="52" t="s">
        <v>107</v>
      </c>
      <c r="B18" s="84" t="s">
        <v>106</v>
      </c>
      <c r="C18" s="86"/>
      <c r="D18" s="86"/>
      <c r="E18" s="85"/>
      <c r="F18" s="84"/>
      <c r="G18" s="85"/>
      <c r="H18" s="84">
        <v>1</v>
      </c>
      <c r="I18" s="85"/>
      <c r="J18" s="84">
        <v>0</v>
      </c>
      <c r="K18" s="85"/>
      <c r="L18" s="66">
        <v>0</v>
      </c>
    </row>
    <row r="19" spans="1:12" s="45" customFormat="1" x14ac:dyDescent="0.2">
      <c r="A19" s="46" t="s">
        <v>55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ht="18.95" customHeight="1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</row>
    <row r="21" spans="1:12" s="36" customFormat="1" x14ac:dyDescent="0.25">
      <c r="A21" s="36" t="s">
        <v>42</v>
      </c>
      <c r="C21" s="49"/>
    </row>
    <row r="22" spans="1:12" s="36" customFormat="1" x14ac:dyDescent="0.25">
      <c r="C22" s="49"/>
    </row>
    <row r="23" spans="1:12" x14ac:dyDescent="0.25">
      <c r="A23" s="90" t="s">
        <v>43</v>
      </c>
      <c r="B23" s="90"/>
    </row>
    <row r="24" spans="1:12" x14ac:dyDescent="0.25">
      <c r="A24" s="87" t="s">
        <v>44</v>
      </c>
      <c r="B24" s="87"/>
    </row>
    <row r="25" spans="1:12" x14ac:dyDescent="0.25">
      <c r="A25" s="88" t="s">
        <v>45</v>
      </c>
      <c r="B25" s="88"/>
    </row>
  </sheetData>
  <mergeCells count="40">
    <mergeCell ref="A2:L2"/>
    <mergeCell ref="A3:L3"/>
    <mergeCell ref="A4:L4"/>
    <mergeCell ref="A5:L5"/>
    <mergeCell ref="A10:L10"/>
    <mergeCell ref="J14:K14"/>
    <mergeCell ref="A20:L20"/>
    <mergeCell ref="A23:B23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J15:K15"/>
    <mergeCell ref="J16:K16"/>
    <mergeCell ref="A24:B24"/>
    <mergeCell ref="A25:B25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view="pageBreakPreview" topLeftCell="A7" zoomScale="98" zoomScaleNormal="100" zoomScaleSheetLayoutView="98" workbookViewId="0">
      <selection activeCell="D13" sqref="D13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0"/>
      <c r="D1" s="21"/>
      <c r="H1" s="7"/>
    </row>
    <row r="2" spans="1:12" s="1" customFormat="1" ht="10.5" customHeight="1" x14ac:dyDescent="0.25">
      <c r="A2" s="83" t="s">
        <v>11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s="1" customFormat="1" ht="15.95" customHeight="1" x14ac:dyDescent="0.25">
      <c r="A3" s="83" t="s">
        <v>12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2" s="1" customFormat="1" ht="15.95" customHeight="1" x14ac:dyDescent="0.25">
      <c r="A4" s="83" t="s">
        <v>13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2" s="1" customFormat="1" ht="15.95" customHeight="1" x14ac:dyDescent="0.25">
      <c r="A5" s="83" t="s">
        <v>14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22" t="s">
        <v>17</v>
      </c>
      <c r="B8" s="22"/>
      <c r="C8" s="102" t="s">
        <v>18</v>
      </c>
      <c r="D8" s="102"/>
      <c r="E8" s="102"/>
      <c r="F8" s="102"/>
      <c r="G8" s="102"/>
      <c r="I8" s="102" t="s">
        <v>19</v>
      </c>
      <c r="J8" s="102"/>
      <c r="K8" s="102"/>
      <c r="L8" s="22"/>
    </row>
    <row r="9" spans="1:12" s="1" customFormat="1" ht="12" customHeight="1" x14ac:dyDescent="0.25">
      <c r="B9" s="23"/>
      <c r="C9" s="102" t="s">
        <v>20</v>
      </c>
      <c r="D9" s="102"/>
      <c r="E9" s="102"/>
      <c r="F9" s="102"/>
      <c r="G9" s="102"/>
      <c r="I9" s="103" t="s">
        <v>21</v>
      </c>
      <c r="J9" s="103"/>
      <c r="K9" s="103"/>
      <c r="L9" s="23"/>
    </row>
    <row r="10" spans="1:12" s="1" customFormat="1" ht="12" customHeight="1" x14ac:dyDescent="0.25">
      <c r="A10" s="22" t="s">
        <v>22</v>
      </c>
      <c r="B10" s="22"/>
      <c r="C10" s="24"/>
      <c r="D10" s="23"/>
      <c r="E10" s="23"/>
      <c r="I10" s="102" t="s">
        <v>23</v>
      </c>
      <c r="J10" s="102"/>
      <c r="K10" s="102"/>
      <c r="L10" s="22"/>
    </row>
    <row r="11" spans="1:12" ht="16.5" customHeight="1" thickBot="1" x14ac:dyDescent="0.3">
      <c r="A11" s="104" t="s">
        <v>24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</row>
    <row r="12" spans="1:12" s="28" customFormat="1" ht="48" x14ac:dyDescent="0.2">
      <c r="A12" s="25" t="s">
        <v>4</v>
      </c>
      <c r="B12" s="26" t="s">
        <v>25</v>
      </c>
      <c r="C12" s="26" t="s">
        <v>26</v>
      </c>
      <c r="D12" s="26" t="s">
        <v>27</v>
      </c>
      <c r="E12" s="26" t="s">
        <v>28</v>
      </c>
      <c r="F12" s="26" t="s">
        <v>29</v>
      </c>
      <c r="G12" s="26" t="s">
        <v>30</v>
      </c>
      <c r="H12" s="26" t="s">
        <v>31</v>
      </c>
      <c r="I12" s="26" t="s">
        <v>32</v>
      </c>
      <c r="J12" s="26" t="s">
        <v>33</v>
      </c>
      <c r="K12" s="26" t="s">
        <v>34</v>
      </c>
      <c r="L12" s="27" t="s">
        <v>8</v>
      </c>
    </row>
    <row r="13" spans="1:12" s="28" customFormat="1" x14ac:dyDescent="0.2">
      <c r="A13" s="12" t="s">
        <v>15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8" customFormat="1" x14ac:dyDescent="0.2">
      <c r="A14" s="12" t="s">
        <v>37</v>
      </c>
      <c r="B14" s="8"/>
      <c r="C14" s="10"/>
      <c r="D14" s="10"/>
      <c r="E14" s="8"/>
      <c r="F14" s="8"/>
      <c r="G14" s="8"/>
      <c r="H14" s="10"/>
      <c r="I14" s="8"/>
      <c r="J14" s="8">
        <v>2</v>
      </c>
      <c r="K14" s="8"/>
      <c r="L14" s="11">
        <v>2</v>
      </c>
    </row>
    <row r="15" spans="1:12" s="29" customFormat="1" x14ac:dyDescent="0.2">
      <c r="A15" s="30" t="s">
        <v>35</v>
      </c>
      <c r="B15" s="8"/>
      <c r="C15" s="10"/>
      <c r="D15" s="10">
        <v>1</v>
      </c>
      <c r="E15" s="8"/>
      <c r="F15" s="8"/>
      <c r="G15" s="8"/>
      <c r="H15" s="10"/>
      <c r="I15" s="8"/>
      <c r="J15" s="8"/>
      <c r="K15" s="8"/>
      <c r="L15" s="11">
        <v>1</v>
      </c>
    </row>
    <row r="16" spans="1:12" s="29" customFormat="1" x14ac:dyDescent="0.2">
      <c r="A16" s="31" t="s">
        <v>36</v>
      </c>
      <c r="B16" s="8"/>
      <c r="C16" s="10"/>
      <c r="D16" s="10">
        <v>1</v>
      </c>
      <c r="E16" s="8"/>
      <c r="F16" s="8"/>
      <c r="G16" s="8"/>
      <c r="H16" s="10"/>
      <c r="I16" s="8"/>
      <c r="J16" s="8"/>
      <c r="K16" s="8"/>
      <c r="L16" s="11">
        <v>1</v>
      </c>
    </row>
    <row r="17" spans="1:12" s="29" customFormat="1" x14ac:dyDescent="0.2">
      <c r="A17" s="10" t="s">
        <v>47</v>
      </c>
      <c r="B17" s="8"/>
      <c r="C17" s="10"/>
      <c r="D17" s="10">
        <v>1</v>
      </c>
      <c r="E17" s="8"/>
      <c r="F17" s="8"/>
      <c r="G17" s="8"/>
      <c r="H17" s="10"/>
      <c r="I17" s="8"/>
      <c r="J17" s="8"/>
      <c r="K17" s="8"/>
      <c r="L17" s="11">
        <v>1</v>
      </c>
    </row>
    <row r="18" spans="1:12" s="29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9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9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9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2025-10-08T07:29:38Z</cp:lastPrinted>
  <dcterms:created xsi:type="dcterms:W3CDTF">2021-10-07T06:10:16Z</dcterms:created>
  <dcterms:modified xsi:type="dcterms:W3CDTF">2025-10-08T07:30:34Z</dcterms:modified>
</cp:coreProperties>
</file>