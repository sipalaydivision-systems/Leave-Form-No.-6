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967CF665-3B47-4722-AF8E-4739191165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CTO" sheetId="8" r:id="rId2"/>
    <sheet name="ELECTION" sheetId="9" r:id="rId3"/>
  </sheets>
  <definedNames>
    <definedName name="_xlnm.Print_Area" localSheetId="0">'Leave Card (NE)'!$A$1:$J$117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1" i="6" l="1"/>
  <c r="I111" i="6"/>
  <c r="J111" i="6"/>
  <c r="J17" i="8"/>
  <c r="J15" i="8"/>
  <c r="I17" i="9" l="1"/>
  <c r="J14" i="8" l="1"/>
  <c r="I14" i="6" l="1"/>
  <c r="I15" i="6" s="1"/>
  <c r="I16" i="6" s="1"/>
  <c r="I17" i="6" s="1"/>
  <c r="I18" i="6" s="1"/>
  <c r="H14" i="6"/>
  <c r="H15" i="6" s="1"/>
  <c r="H16" i="6" s="1"/>
  <c r="H17" i="6" s="1"/>
  <c r="H18" i="6" s="1"/>
  <c r="H19" i="6" s="1"/>
  <c r="H20" i="6" s="1"/>
  <c r="H21" i="6" s="1"/>
  <c r="H22" i="6" s="1"/>
  <c r="I19" i="6" l="1"/>
  <c r="J18" i="6"/>
  <c r="H23" i="6"/>
  <c r="J14" i="6"/>
  <c r="I20" i="6" l="1"/>
  <c r="J19" i="6"/>
  <c r="H24" i="6"/>
  <c r="J15" i="6"/>
  <c r="I21" i="6" l="1"/>
  <c r="J20" i="6"/>
  <c r="H25" i="6"/>
  <c r="J16" i="6"/>
  <c r="I22" i="6" l="1"/>
  <c r="J21" i="6"/>
  <c r="H26" i="6"/>
  <c r="J17" i="6"/>
  <c r="I23" i="6" l="1"/>
  <c r="J22" i="6"/>
  <c r="H27" i="6"/>
  <c r="I24" i="6" l="1"/>
  <c r="J23" i="6"/>
  <c r="H28" i="6"/>
  <c r="I25" i="6" l="1"/>
  <c r="J24" i="6"/>
  <c r="H29" i="6"/>
  <c r="I26" i="6" l="1"/>
  <c r="J25" i="6"/>
  <c r="H30" i="6"/>
  <c r="I27" i="6" l="1"/>
  <c r="J26" i="6"/>
  <c r="H31" i="6"/>
  <c r="I28" i="6" l="1"/>
  <c r="J27" i="6"/>
  <c r="H32" i="6"/>
  <c r="I29" i="6" l="1"/>
  <c r="J28" i="6"/>
  <c r="H33" i="6"/>
  <c r="I30" i="6" l="1"/>
  <c r="J29" i="6"/>
  <c r="H34" i="6"/>
  <c r="I31" i="6" l="1"/>
  <c r="J30" i="6"/>
  <c r="H35" i="6"/>
  <c r="I32" i="6" l="1"/>
  <c r="J31" i="6"/>
  <c r="H36" i="6"/>
  <c r="I33" i="6" l="1"/>
  <c r="J32" i="6"/>
  <c r="H37" i="6"/>
  <c r="I34" i="6" l="1"/>
  <c r="J33" i="6"/>
  <c r="H38" i="6"/>
  <c r="I35" i="6" l="1"/>
  <c r="J34" i="6"/>
  <c r="H39" i="6"/>
  <c r="I36" i="6" l="1"/>
  <c r="J35" i="6"/>
  <c r="H40" i="6"/>
  <c r="H41" i="6" s="1"/>
  <c r="I37" i="6" l="1"/>
  <c r="J36" i="6"/>
  <c r="H42" i="6"/>
  <c r="I38" i="6" l="1"/>
  <c r="J37" i="6"/>
  <c r="H43" i="6"/>
  <c r="I39" i="6" l="1"/>
  <c r="J38" i="6"/>
  <c r="H44" i="6"/>
  <c r="I40" i="6" l="1"/>
  <c r="J39" i="6"/>
  <c r="H45" i="6"/>
  <c r="I41" i="6" l="1"/>
  <c r="J40" i="6"/>
  <c r="H46" i="6"/>
  <c r="I42" i="6" l="1"/>
  <c r="J41" i="6"/>
  <c r="H47" i="6"/>
  <c r="I43" i="6" l="1"/>
  <c r="J42" i="6"/>
  <c r="H48" i="6"/>
  <c r="I44" i="6" l="1"/>
  <c r="J43" i="6"/>
  <c r="H49" i="6"/>
  <c r="I45" i="6" l="1"/>
  <c r="J44" i="6"/>
  <c r="H50" i="6"/>
  <c r="I46" i="6" l="1"/>
  <c r="J45" i="6"/>
  <c r="H51" i="6"/>
  <c r="I47" i="6" l="1"/>
  <c r="J46" i="6"/>
  <c r="H52" i="6"/>
  <c r="I48" i="6" l="1"/>
  <c r="J47" i="6"/>
  <c r="H53" i="6"/>
  <c r="I49" i="6" l="1"/>
  <c r="J48" i="6"/>
  <c r="H54" i="6"/>
  <c r="I50" i="6" l="1"/>
  <c r="J49" i="6"/>
  <c r="H55" i="6"/>
  <c r="I51" i="6" l="1"/>
  <c r="J50" i="6"/>
  <c r="H56" i="6"/>
  <c r="I52" i="6" l="1"/>
  <c r="J51" i="6"/>
  <c r="H57" i="6"/>
  <c r="I53" i="6" l="1"/>
  <c r="J52" i="6"/>
  <c r="H58" i="6"/>
  <c r="I54" i="6" l="1"/>
  <c r="J53" i="6"/>
  <c r="H59" i="6"/>
  <c r="I55" i="6" l="1"/>
  <c r="J54" i="6"/>
  <c r="H60" i="6"/>
  <c r="I56" i="6" l="1"/>
  <c r="J55" i="6"/>
  <c r="H61" i="6"/>
  <c r="I57" i="6" l="1"/>
  <c r="J56" i="6"/>
  <c r="H62" i="6"/>
  <c r="I58" i="6" l="1"/>
  <c r="J57" i="6"/>
  <c r="H63" i="6"/>
  <c r="I59" i="6" l="1"/>
  <c r="J58" i="6"/>
  <c r="H64" i="6"/>
  <c r="I60" i="6" l="1"/>
  <c r="J59" i="6"/>
  <c r="H65" i="6"/>
  <c r="I61" i="6" l="1"/>
  <c r="J60" i="6"/>
  <c r="H66" i="6"/>
  <c r="I62" i="6" l="1"/>
  <c r="J61" i="6"/>
  <c r="H67" i="6"/>
  <c r="I63" i="6" l="1"/>
  <c r="J62" i="6"/>
  <c r="H68" i="6"/>
  <c r="I64" i="6" l="1"/>
  <c r="J63" i="6"/>
  <c r="H69" i="6"/>
  <c r="I65" i="6" l="1"/>
  <c r="J64" i="6"/>
  <c r="H70" i="6"/>
  <c r="I66" i="6" l="1"/>
  <c r="J65" i="6"/>
  <c r="H71" i="6"/>
  <c r="I67" i="6" l="1"/>
  <c r="J66" i="6"/>
  <c r="H72" i="6"/>
  <c r="I68" i="6" l="1"/>
  <c r="J67" i="6"/>
  <c r="H73" i="6"/>
  <c r="I69" i="6" l="1"/>
  <c r="J68" i="6"/>
  <c r="H74" i="6"/>
  <c r="I70" i="6" l="1"/>
  <c r="J69" i="6"/>
  <c r="H75" i="6"/>
  <c r="I71" i="6" l="1"/>
  <c r="J70" i="6"/>
  <c r="H76" i="6"/>
  <c r="I72" i="6" l="1"/>
  <c r="J71" i="6"/>
  <c r="H77" i="6"/>
  <c r="I73" i="6" l="1"/>
  <c r="J72" i="6"/>
  <c r="H78" i="6"/>
  <c r="I74" i="6" l="1"/>
  <c r="J73" i="6"/>
  <c r="H79" i="6"/>
  <c r="I75" i="6" l="1"/>
  <c r="J74" i="6"/>
  <c r="H80" i="6"/>
  <c r="H81" i="6" s="1"/>
  <c r="H82" i="6" s="1"/>
  <c r="H83" i="6" s="1"/>
  <c r="H84" i="6" s="1"/>
  <c r="H85" i="6" s="1"/>
  <c r="H86" i="6" l="1"/>
  <c r="I76" i="6"/>
  <c r="J75" i="6"/>
  <c r="H87" i="6" l="1"/>
  <c r="I77" i="6"/>
  <c r="J76" i="6"/>
  <c r="H88" i="6" l="1"/>
  <c r="H89" i="6" s="1"/>
  <c r="I78" i="6"/>
  <c r="J77" i="6"/>
  <c r="H90" i="6" l="1"/>
  <c r="I79" i="6"/>
  <c r="J78" i="6"/>
  <c r="H91" i="6" l="1"/>
  <c r="H92" i="6" s="1"/>
  <c r="I80" i="6"/>
  <c r="J79" i="6"/>
  <c r="H93" i="6" l="1"/>
  <c r="J80" i="6"/>
  <c r="I81" i="6"/>
  <c r="H94" i="6" l="1"/>
  <c r="H95" i="6" s="1"/>
  <c r="H96" i="6" s="1"/>
  <c r="H97" i="6" s="1"/>
  <c r="H98" i="6" s="1"/>
  <c r="J81" i="6"/>
  <c r="I82" i="6"/>
  <c r="H99" i="6" l="1"/>
  <c r="H100" i="6" s="1"/>
  <c r="J82" i="6"/>
  <c r="I83" i="6"/>
  <c r="H101" i="6" l="1"/>
  <c r="H102" i="6" s="1"/>
  <c r="J83" i="6"/>
  <c r="I84" i="6"/>
  <c r="I85" i="6" s="1"/>
  <c r="H103" i="6" l="1"/>
  <c r="I86" i="6"/>
  <c r="J85" i="6"/>
  <c r="J84" i="6"/>
  <c r="H104" i="6" l="1"/>
  <c r="I87" i="6"/>
  <c r="J86" i="6"/>
  <c r="H105" i="6" l="1"/>
  <c r="H106" i="6" s="1"/>
  <c r="I88" i="6"/>
  <c r="J87" i="6"/>
  <c r="H107" i="6" l="1"/>
  <c r="J88" i="6"/>
  <c r="I89" i="6"/>
  <c r="H108" i="6" l="1"/>
  <c r="H109" i="6" s="1"/>
  <c r="I90" i="6"/>
  <c r="J89" i="6"/>
  <c r="H110" i="6" l="1"/>
  <c r="I91" i="6"/>
  <c r="J90" i="6"/>
  <c r="J91" i="6" l="1"/>
  <c r="I92" i="6"/>
  <c r="I93" i="6" l="1"/>
  <c r="J92" i="6"/>
  <c r="I94" i="6" l="1"/>
  <c r="J93" i="6"/>
  <c r="J94" i="6" l="1"/>
  <c r="I95" i="6"/>
  <c r="J95" i="6" l="1"/>
  <c r="I96" i="6"/>
  <c r="J96" i="6" l="1"/>
  <c r="I97" i="6"/>
  <c r="J97" i="6" l="1"/>
  <c r="I98" i="6"/>
  <c r="I99" i="6" l="1"/>
  <c r="J98" i="6"/>
  <c r="J99" i="6" l="1"/>
  <c r="I100" i="6"/>
  <c r="I101" i="6" l="1"/>
  <c r="J100" i="6"/>
  <c r="J101" i="6" l="1"/>
  <c r="I102" i="6"/>
  <c r="I103" i="6" l="1"/>
  <c r="J102" i="6"/>
  <c r="I104" i="6" l="1"/>
  <c r="J103" i="6"/>
  <c r="I105" i="6" l="1"/>
  <c r="J104" i="6"/>
  <c r="J105" i="6" l="1"/>
  <c r="I106" i="6"/>
  <c r="I107" i="6" l="1"/>
  <c r="J106" i="6"/>
  <c r="I108" i="6" l="1"/>
  <c r="J107" i="6"/>
  <c r="J108" i="6" l="1"/>
  <c r="I109" i="6"/>
  <c r="I110" i="6" l="1"/>
  <c r="J110" i="6" s="1"/>
  <c r="J109" i="6"/>
</calcChain>
</file>

<file path=xl/sharedStrings.xml><?xml version="1.0" encoding="utf-8"?>
<sst xmlns="http://schemas.openxmlformats.org/spreadsheetml/2006/main" count="215" uniqueCount="164">
  <si>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</si>
  <si>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</si>
  <si>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</si>
  <si>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</si>
  <si>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</si>
  <si>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</si>
  <si>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</si>
  <si>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</si>
  <si>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</si>
  <si>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</si>
  <si>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</si>
  <si>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DATE FILED/RECEIVED</t>
  </si>
  <si>
    <t>ADD: 01/01/22 - 01/31/22</t>
  </si>
  <si>
    <t>LESS: 01/17 &amp; 18/22</t>
  </si>
  <si>
    <t>ADD: 02/01/22 - 02/28/22</t>
  </si>
  <si>
    <t>LESS: 03/03/22</t>
  </si>
  <si>
    <t>ADD: 03/01/22 - 03/31/22</t>
  </si>
  <si>
    <t>LESS: 04/29/22</t>
  </si>
  <si>
    <t>ADD: 04/01/22 - 06/30/22</t>
  </si>
  <si>
    <t>LESS: 07/01/22</t>
  </si>
  <si>
    <t>LESS: 06/21/22</t>
  </si>
  <si>
    <t>ADD: 0 7/01/22 - 07/31/22</t>
  </si>
  <si>
    <t>LESS: 07/22(.5), 25 &amp; 26/22</t>
  </si>
  <si>
    <t>ADD: 08/01/22 - 08/31/22</t>
  </si>
  <si>
    <t>LESS: MONETIZATION 2022</t>
  </si>
  <si>
    <t>ADD: 09/01/22 - 09/30/22</t>
  </si>
  <si>
    <t>ADD: 10/01/22 - 11/30/22</t>
  </si>
  <si>
    <t>LESS: 12/1 /22</t>
  </si>
  <si>
    <t xml:space="preserve">SPECIAL LEAVE 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</si>
  <si>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</si>
  <si>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</si>
  <si>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</si>
  <si>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</si>
  <si>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</si>
  <si>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</si>
  <si>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</si>
  <si>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</si>
  <si>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DATE OF APPOINTMENT: AO IV 7/15/2019</t>
  </si>
  <si>
    <t>ADD: 7/15/2019 - 7/31/2019</t>
  </si>
  <si>
    <t>ADD: 8/01/2019 - 12/31/2019</t>
  </si>
  <si>
    <t>LESS: 08/22 &amp; 23/2019</t>
  </si>
  <si>
    <t>LESS: 12/16 - 20/2019</t>
  </si>
  <si>
    <t>ADD:1/1/2020 - 12/31/2020</t>
  </si>
  <si>
    <t>LESS: FL 2020</t>
  </si>
  <si>
    <t>LESS: MONETIZATION 2020</t>
  </si>
  <si>
    <t>ADD:1/1/2021 - 12/31/2021</t>
  </si>
  <si>
    <t>LESS: 05/19/2021</t>
  </si>
  <si>
    <t>LESS: 6/9/2021</t>
  </si>
  <si>
    <t>LESS: MONETIZATION 2021</t>
  </si>
  <si>
    <t>LESS: 11/10-11/2021</t>
  </si>
  <si>
    <t>ADD: 12/01/22 - 12/31/22</t>
  </si>
  <si>
    <t>COMPENSATORY TIME OFF (CTO)</t>
  </si>
  <si>
    <t>Special Order No. and Date Issued</t>
  </si>
  <si>
    <t>No. of Days Granted</t>
  </si>
  <si>
    <t>No. of Days Used</t>
  </si>
  <si>
    <t>Balance</t>
  </si>
  <si>
    <t>NOTE:  Valid for one (1) year only</t>
  </si>
  <si>
    <t>Certified Correct:</t>
  </si>
  <si>
    <t>MA. LUISA B. CATIGAN</t>
  </si>
  <si>
    <t>Administrative Officer IV</t>
  </si>
  <si>
    <t>HRMO</t>
  </si>
  <si>
    <t>ADD: JULY 13, 2022</t>
  </si>
  <si>
    <t>S.O. # 052, S. 2022. 124TH PHILIPPINE INDEPENDENCE DAY CELEBRATION</t>
  </si>
  <si>
    <t>LESS: JULY 8, 2022</t>
  </si>
  <si>
    <t>LESS: 11/21/22</t>
  </si>
  <si>
    <t>LESS: 01/09, 13 &amp; 16/23</t>
  </si>
  <si>
    <t>ADD: 01/01/23 - 01/31/23</t>
  </si>
  <si>
    <t>LESS: 12/12 &amp; 21/22</t>
  </si>
  <si>
    <t>LESS: 02/02/23</t>
  </si>
  <si>
    <t>LESS: 02/07/23</t>
  </si>
  <si>
    <t>ADD: 02/01/23 - 02/28/23</t>
  </si>
  <si>
    <t>LESS: 02/23/23</t>
  </si>
  <si>
    <t>ADD: 03/01/23 - 03/31/23</t>
  </si>
  <si>
    <t>LESS: 03/17/23</t>
  </si>
  <si>
    <t>ADD: 04/01/23 - 04/30/23</t>
  </si>
  <si>
    <t>ADD: 05/01/23 - 06/30/23</t>
  </si>
  <si>
    <t>LESS: 06/21, 19, 29 &amp; 30/23</t>
  </si>
  <si>
    <t>LESS: 07/10/23</t>
  </si>
  <si>
    <t>SPECIAL ORDER FOR ELECTION (NATONAL/BARANGAY AND SK ELECTION)</t>
  </si>
  <si>
    <t>SPECIAL ORDER NO. AND DATE ISSUED</t>
  </si>
  <si>
    <t>NATIONAL ELECTION</t>
  </si>
  <si>
    <t>BARANGAY ELECTION/SK ELECTION</t>
  </si>
  <si>
    <t>S.0 # No. 175 s. 1995</t>
  </si>
  <si>
    <t>ADD: MAY 8, 1995</t>
  </si>
  <si>
    <t>REGISTRATION AND ELECTION DAYS</t>
  </si>
  <si>
    <t>NATIONAL AND LOCAL ELECTION</t>
  </si>
  <si>
    <t>COMELEC APPOINTMENT</t>
  </si>
  <si>
    <t>CALENDAR YEAR 2007</t>
  </si>
  <si>
    <t>BARANGAY AND SK ELECTIONS</t>
  </si>
  <si>
    <t>CALENDAR YEAR 2019</t>
  </si>
  <si>
    <t>ADD: 07/01/2023-08/31/2023</t>
  </si>
  <si>
    <t>ADD: 09/01/23-09/30/23</t>
  </si>
  <si>
    <t>LESS: MONETIZATION 2023</t>
  </si>
  <si>
    <t>LESS: 10/19/2023</t>
  </si>
  <si>
    <t>ADD: 10/17/2023</t>
  </si>
  <si>
    <t>S.O. # 159, S. 2023. 125TH PHILIPPINE INDEPENDENCE DAY CELEBRATION</t>
  </si>
  <si>
    <t>LESS: 11/13/2023</t>
  </si>
  <si>
    <t>ADD: 10/01/2023-10/31/2023</t>
  </si>
  <si>
    <t>LESS: 08/7&amp;11/2023</t>
  </si>
  <si>
    <t>LESS: 10/09/2023</t>
  </si>
  <si>
    <t>LESS: 11/24/2023</t>
  </si>
  <si>
    <t>LESS: 11/03/2023</t>
  </si>
  <si>
    <t>LESS: 12/7,11,12/2023</t>
  </si>
  <si>
    <t>LESS: 12/19/2023</t>
  </si>
  <si>
    <t>LESS: 12/06/2023</t>
  </si>
  <si>
    <t>ADD: 11/01/2023-12/31/2023</t>
  </si>
  <si>
    <t>LESS: 01/15-16/2024</t>
  </si>
  <si>
    <t>ADD: 01/01-31/2024</t>
  </si>
  <si>
    <t>ADD: 02/01/2024-02/29/2024</t>
  </si>
  <si>
    <t>LESS: 02/27/2024</t>
  </si>
  <si>
    <t>LESS: 03/25/2024</t>
  </si>
  <si>
    <t>ADD: 03/1-31/2024</t>
  </si>
  <si>
    <t>LESS: 04/5/2024</t>
  </si>
  <si>
    <t>LESS: 04/18-19/2024</t>
  </si>
  <si>
    <t>ADD: APRIL 1-30, 2024</t>
  </si>
  <si>
    <t>LESS: 05/27-28/2024</t>
  </si>
  <si>
    <t>ADD: MAY 1-31, 2024</t>
  </si>
  <si>
    <t>LESS: 06/5/2024</t>
  </si>
  <si>
    <t>LESS: 06/26-27/2024</t>
  </si>
  <si>
    <t>LESS: MANDATORY FL 2023</t>
  </si>
  <si>
    <t>LESS: MONETIZATION 2024</t>
  </si>
  <si>
    <t>LESS: FL 2021</t>
  </si>
  <si>
    <t>LESS: 09/1 &amp; 16/22</t>
  </si>
  <si>
    <t>LESS: 08/27-30/2024</t>
  </si>
  <si>
    <t>ADD: S.0 # No.2135 s. 2004</t>
  </si>
  <si>
    <t>MAY 10, 2004</t>
  </si>
  <si>
    <t>LESS: 08/15-16/2024</t>
  </si>
  <si>
    <t>LESS: 09/16/2024</t>
  </si>
  <si>
    <t>LESS: 08/08/2024</t>
  </si>
  <si>
    <t>ADD: 09/1-30/2024</t>
  </si>
  <si>
    <t>LESS: 10/04/2024</t>
  </si>
  <si>
    <t>LESS: 10/22-24/2024</t>
  </si>
  <si>
    <t>LESS: 10/25/2024</t>
  </si>
  <si>
    <t>ADD: 10/1-31/2024</t>
  </si>
  <si>
    <t>LESS: 12/12-17/2024</t>
  </si>
  <si>
    <t>LESS: 11/27/2024</t>
  </si>
  <si>
    <t>ADD: 06/1/2024-08/31/2024</t>
  </si>
  <si>
    <t>ADD: 11/1-30/2024</t>
  </si>
  <si>
    <t>LESS: 11/7-8/2024</t>
  </si>
  <si>
    <t>LESS: 11/29/2024</t>
  </si>
  <si>
    <t>ADD: 12/1-31/2024</t>
  </si>
  <si>
    <t>LESS: 01/24 &amp; 27/2025</t>
  </si>
  <si>
    <t>ADD: 06/26/2024</t>
  </si>
  <si>
    <t>S.O. # 024, S. 2024. 125TH PHILIPPINE INDEPENDENCE DAY CELEBRATION</t>
  </si>
  <si>
    <t>LESS: 02/7/2025</t>
  </si>
  <si>
    <t>ADD: 01/1/2025-02/28/2025</t>
  </si>
  <si>
    <t>LESS: 03/4-7/2025</t>
  </si>
  <si>
    <t>LESS: 03/10 &amp; 12/2025</t>
  </si>
  <si>
    <t>LESS: 03/13/2025</t>
  </si>
  <si>
    <t>LESS: 03/14 &amp; 21/2025</t>
  </si>
  <si>
    <t>ADD: 03/1/2025-04/30/2025</t>
  </si>
  <si>
    <t>LESS: 04/11 &amp; 29/2025</t>
  </si>
  <si>
    <t>ADD: 05/1-31/2025</t>
  </si>
  <si>
    <t>LESS: 06/10/2025</t>
  </si>
  <si>
    <t>LESS: 06/11/2025</t>
  </si>
  <si>
    <t>LESS: 06/26-27/2025</t>
  </si>
  <si>
    <t>LESS: 06/17-18/2025</t>
  </si>
  <si>
    <t>LESS: 06/19-20/2025</t>
  </si>
  <si>
    <t>ADD: 06/1/2025-07/31/2025</t>
  </si>
  <si>
    <t>LESS: 07/9 &amp; 11/2025</t>
  </si>
  <si>
    <t>LESS: 08/5/2025</t>
  </si>
  <si>
    <t>ADD: 08/1-31/2025</t>
  </si>
  <si>
    <t>LESS: 09/17-19/2025</t>
  </si>
  <si>
    <t>LESS: 09/22/2025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</si>
</sst>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1" fillId="0" borderId="0"/>
  </cellStyleXfs>
  <cellXfs count="118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5" fillId="0" borderId="0" xfId="0" applyFont="1"/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0" xfId="0" applyFont="1"/>
    <xf numFmtId="0" fontId="0" fillId="2" borderId="5" xfId="0" applyFill="1" applyBorder="1" applyAlignment="1">
      <alignment horizontal="center" vertical="center" wrapText="1"/>
    </xf>
    <xf numFmtId="0" fontId="9" fillId="2" borderId="18" xfId="0" applyFont="1" applyFill="1" applyBorder="1" applyAlignment="1">
      <alignment vertical="center" wrapText="1"/>
    </xf>
    <xf numFmtId="0" fontId="9" fillId="2" borderId="7" xfId="0" applyFont="1" applyFill="1" applyBorder="1" applyAlignment="1">
      <alignment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0" borderId="0" xfId="0" applyFont="1"/>
    <xf numFmtId="0" fontId="0" fillId="0" borderId="0" xfId="0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1" fillId="2" borderId="0" xfId="1" applyFill="1"/>
    <xf numFmtId="0" fontId="1" fillId="2" borderId="0" xfId="1" applyFont="1" applyFill="1" applyAlignment="1">
      <alignment vertical="center"/>
    </xf>
    <xf numFmtId="0" fontId="1" fillId="2" borderId="0" xfId="1" applyFont="1" applyFill="1"/>
    <xf numFmtId="0" fontId="1" fillId="2" borderId="4" xfId="1" applyFont="1" applyFill="1" applyBorder="1" applyAlignment="1">
      <alignment vertical="center"/>
    </xf>
    <xf numFmtId="0" fontId="14" fillId="2" borderId="0" xfId="1" applyFont="1" applyFill="1" applyAlignment="1">
      <alignment horizontal="center" vertical="center"/>
    </xf>
    <xf numFmtId="0" fontId="11" fillId="2" borderId="0" xfId="1" applyFill="1" applyAlignment="1">
      <alignment horizontal="center"/>
    </xf>
    <xf numFmtId="0" fontId="11" fillId="0" borderId="0" xfId="1"/>
    <xf numFmtId="0" fontId="0" fillId="2" borderId="1" xfId="0" applyFill="1" applyBorder="1" applyAlignment="1">
      <alignment horizontal="center" vertical="center" wrapText="1"/>
    </xf>
    <xf numFmtId="0" fontId="0" fillId="2" borderId="1" xfId="1" applyFont="1" applyFill="1" applyBorder="1" applyAlignment="1">
      <alignment horizontal="center" vertical="center" wrapText="1"/>
    </xf>
    <xf numFmtId="0" fontId="0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0" fontId="0" fillId="2" borderId="0" xfId="1" applyFont="1" applyFill="1" applyAlignment="1">
      <alignment horizontal="center" vertical="center"/>
    </xf>
    <xf numFmtId="164" fontId="3" fillId="11" borderId="1" xfId="0" applyNumberFormat="1" applyFont="1" applyFill="1" applyBorder="1" applyAlignment="1">
      <alignment horizontal="center" vertical="center"/>
    </xf>
    <xf numFmtId="0" fontId="16" fillId="2" borderId="0" xfId="0" applyFont="1" applyFill="1"/>
    <xf numFmtId="0" fontId="14" fillId="2" borderId="0" xfId="1" applyFont="1" applyFill="1" applyAlignment="1">
      <alignment vertical="center"/>
    </xf>
    <xf numFmtId="0" fontId="11" fillId="2" borderId="1" xfId="1" applyFill="1" applyBorder="1" applyAlignment="1">
      <alignment horizontal="center" vertical="center" wrapText="1"/>
    </xf>
    <xf numFmtId="0" fontId="14" fillId="2" borderId="1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0" fillId="2" borderId="0" xfId="1" applyFont="1" applyFill="1" applyAlignment="1">
      <alignment horizontal="center" vertical="center" wrapText="1"/>
    </xf>
    <xf numFmtId="0" fontId="13" fillId="2" borderId="0" xfId="1" applyFont="1" applyFill="1" applyAlignment="1">
      <alignment horizontal="center" vertical="center" wrapText="1"/>
    </xf>
    <xf numFmtId="0" fontId="14" fillId="0" borderId="1" xfId="1" applyFont="1" applyBorder="1" applyAlignment="1">
      <alignment horizontal="center" vertical="center"/>
    </xf>
    <xf numFmtId="0" fontId="11" fillId="0" borderId="0" xfId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vertical="center" wrapText="1"/>
    </xf>
    <xf numFmtId="0" fontId="11" fillId="0" borderId="1" xfId="1" applyBorder="1" applyAlignment="1">
      <alignment horizontal="center" vertical="center"/>
    </xf>
    <xf numFmtId="0" fontId="14" fillId="12" borderId="1" xfId="1" applyFont="1" applyFill="1" applyBorder="1" applyAlignment="1">
      <alignment horizontal="center" vertical="center"/>
    </xf>
    <xf numFmtId="0" fontId="11" fillId="0" borderId="1" xfId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64" fontId="3" fillId="13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10" borderId="18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9" fillId="10" borderId="10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 wrapText="1"/>
    </xf>
    <xf numFmtId="0" fontId="0" fillId="2" borderId="1" xfId="1" applyFont="1" applyFill="1" applyBorder="1" applyAlignment="1">
      <alignment horizontal="center" vertical="center"/>
    </xf>
    <xf numFmtId="0" fontId="13" fillId="2" borderId="18" xfId="1" applyFont="1" applyFill="1" applyBorder="1" applyAlignment="1">
      <alignment horizontal="center" vertical="center" wrapText="1"/>
    </xf>
    <xf numFmtId="0" fontId="13" fillId="2" borderId="7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0" fontId="11" fillId="2" borderId="0" xfId="1" applyFill="1" applyAlignment="1">
      <alignment horizontal="center" vertical="center"/>
    </xf>
    <xf numFmtId="0" fontId="1" fillId="2" borderId="0" xfId="1" applyFont="1" applyFill="1" applyAlignment="1">
      <alignment horizontal="left" vertical="center"/>
    </xf>
    <xf numFmtId="0" fontId="2" fillId="2" borderId="14" xfId="1" applyFont="1" applyFill="1" applyBorder="1" applyAlignment="1">
      <alignment horizontal="center" vertical="center"/>
    </xf>
    <xf numFmtId="0" fontId="12" fillId="8" borderId="17" xfId="1" applyFont="1" applyFill="1" applyBorder="1" applyAlignment="1">
      <alignment horizontal="center" vertical="center" wrapText="1"/>
    </xf>
    <xf numFmtId="0" fontId="12" fillId="8" borderId="9" xfId="1" applyFont="1" applyFill="1" applyBorder="1" applyAlignment="1">
      <alignment horizontal="center" vertical="center" wrapText="1"/>
    </xf>
    <xf numFmtId="0" fontId="12" fillId="8" borderId="5" xfId="1" applyFont="1" applyFill="1" applyBorder="1" applyAlignment="1">
      <alignment horizontal="center" vertical="center" wrapText="1"/>
    </xf>
    <xf numFmtId="0" fontId="12" fillId="8" borderId="17" xfId="1" applyFont="1" applyFill="1" applyBorder="1" applyAlignment="1">
      <alignment horizontal="center" vertical="center"/>
    </xf>
    <xf numFmtId="0" fontId="12" fillId="8" borderId="9" xfId="1" applyFont="1" applyFill="1" applyBorder="1" applyAlignment="1">
      <alignment horizontal="center" vertical="center"/>
    </xf>
    <xf numFmtId="0" fontId="12" fillId="8" borderId="5" xfId="1" applyFont="1" applyFill="1" applyBorder="1" applyAlignment="1">
      <alignment horizontal="center" vertical="center"/>
    </xf>
    <xf numFmtId="0" fontId="13" fillId="10" borderId="20" xfId="1" applyFont="1" applyFill="1" applyBorder="1" applyAlignment="1">
      <alignment horizontal="center" vertical="center" wrapText="1"/>
    </xf>
    <xf numFmtId="0" fontId="13" fillId="10" borderId="21" xfId="1" applyFont="1" applyFill="1" applyBorder="1" applyAlignment="1">
      <alignment horizontal="center" vertical="center" wrapText="1"/>
    </xf>
    <xf numFmtId="0" fontId="13" fillId="10" borderId="22" xfId="1" applyFont="1" applyFill="1" applyBorder="1" applyAlignment="1">
      <alignment horizontal="center" vertical="center" wrapText="1"/>
    </xf>
    <xf numFmtId="0" fontId="13" fillId="10" borderId="23" xfId="1" applyFont="1" applyFill="1" applyBorder="1" applyAlignment="1">
      <alignment horizontal="center" vertical="center" wrapText="1"/>
    </xf>
    <xf numFmtId="0" fontId="13" fillId="10" borderId="25" xfId="1" applyFont="1" applyFill="1" applyBorder="1" applyAlignment="1">
      <alignment horizontal="center" vertical="center" wrapText="1"/>
    </xf>
    <xf numFmtId="0" fontId="13" fillId="10" borderId="26" xfId="1" applyFont="1" applyFill="1" applyBorder="1" applyAlignment="1">
      <alignment horizontal="center" vertical="center" wrapText="1"/>
    </xf>
    <xf numFmtId="0" fontId="12" fillId="8" borderId="8" xfId="1" applyFont="1" applyFill="1" applyBorder="1" applyAlignment="1">
      <alignment horizontal="center" vertical="center"/>
    </xf>
    <xf numFmtId="0" fontId="12" fillId="8" borderId="24" xfId="1" applyFont="1" applyFill="1" applyBorder="1" applyAlignment="1">
      <alignment horizontal="center" vertical="center"/>
    </xf>
    <xf numFmtId="0" fontId="12" fillId="8" borderId="3" xfId="1" applyFont="1" applyFill="1" applyBorder="1" applyAlignment="1">
      <alignment horizontal="center" vertical="center"/>
    </xf>
  </cellXfs>
  <cellStyles count="2">
    <cellStyle name="Normal" xfId="0" builtinId="0"/>
    <cellStyle name="Normal 2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225915</xdr:colOff>
      <xdr:row>0</xdr:row>
      <xdr:rowOff>19049</xdr:rowOff>
    </xdr:from>
    <xdr:to>
      <xdr:col>4</xdr:col>
      <xdr:colOff>165101</xdr:colOff>
      <xdr:row>0</xdr:row>
      <xdr:rowOff>622300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D3CEB25-51ED-47FA-8D53-DCDDD666D95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2815" y="19049"/>
          <a:ext cx="751986" cy="603251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A689CF2-8B61-45D9-AF5A-BD7522F8588C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CALDERON, HELEN C.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CBD62CF-1438-443D-8571-E15B8FA101A3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</a:t>
          </a:r>
          <a:r>
            <a:rPr lang="en-US" sz="1100" baseline="0"/>
            <a:t> IV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5EBE808-90E3-4222-88FE-FC52F0BE0FF9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407737</xdr:colOff>
      <xdr:row>0</xdr:row>
      <xdr:rowOff>65088</xdr:rowOff>
    </xdr:from>
    <xdr:to>
      <xdr:col>4</xdr:col>
      <xdr:colOff>1264152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64573A-7835-447C-9D29-9504E44DB91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7474" y="65088"/>
          <a:ext cx="856415" cy="730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606651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531E89-B3AA-4247-91AA-ECE3662360AA}"/>
            </a:ext>
          </a:extLst>
        </xdr:cNvPr>
        <xdr:cNvSpPr txBox="1"/>
      </xdr:nvSpPr>
      <xdr:spPr>
        <a:xfrm>
          <a:off x="573942" y="1377461"/>
          <a:ext cx="180435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CALDERON</a:t>
          </a:r>
          <a:r>
            <a:rPr lang="en-US" sz="1100" baseline="0"/>
            <a:t>, HELEN</a:t>
          </a:r>
          <a:endParaRPr lang="en-US" sz="1100"/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DD9CD03-27E7-4072-8520-51E40E21B02D}"/>
            </a:ext>
          </a:extLst>
        </xdr:cNvPr>
        <xdr:cNvSpPr txBox="1"/>
      </xdr:nvSpPr>
      <xdr:spPr>
        <a:xfrm>
          <a:off x="654051" y="168275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</a:t>
          </a:r>
          <a:r>
            <a:rPr lang="en-US" sz="1100" baseline="0"/>
            <a:t> IV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46F81BD-CDCA-42EC-ABC5-32AF23C2E334}"/>
            </a:ext>
          </a:extLst>
        </xdr:cNvPr>
        <xdr:cNvSpPr txBox="1"/>
      </xdr:nvSpPr>
      <xdr:spPr>
        <a:xfrm>
          <a:off x="3517673" y="1706110"/>
          <a:ext cx="172085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34</xdr:row>
      <xdr:rowOff>57149</xdr:rowOff>
    </xdr:from>
    <xdr:to>
      <xdr:col>9</xdr:col>
      <xdr:colOff>428624</xdr:colOff>
      <xdr:row>41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8572B1-2424-48DA-8FC0-EA35EAF04917}"/>
            </a:ext>
          </a:extLst>
        </xdr:cNvPr>
        <xdr:cNvSpPr txBox="1"/>
      </xdr:nvSpPr>
      <xdr:spPr>
        <a:xfrm>
          <a:off x="4714875" y="7915274"/>
          <a:ext cx="2638424" cy="1314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 editAs="oneCell">
    <xdr:from>
      <xdr:col>2</xdr:col>
      <xdr:colOff>342218</xdr:colOff>
      <xdr:row>0</xdr:row>
      <xdr:rowOff>129696</xdr:rowOff>
    </xdr:from>
    <xdr:to>
      <xdr:col>3</xdr:col>
      <xdr:colOff>444247</xdr:colOff>
      <xdr:row>3</xdr:row>
      <xdr:rowOff>182886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5649D3-7A4A-42DA-B20A-FC0A531E528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8818" y="129696"/>
          <a:ext cx="683054" cy="62469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0</xdr:col>
      <xdr:colOff>2068391</xdr:colOff>
      <xdr:row>9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6D8F47C-CBD2-465B-9C14-B66882412318}"/>
            </a:ext>
          </a:extLst>
        </xdr:cNvPr>
        <xdr:cNvSpPr txBox="1"/>
      </xdr:nvSpPr>
      <xdr:spPr>
        <a:xfrm>
          <a:off x="573942" y="1371111"/>
          <a:ext cx="13991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CALDERON, HELEN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616683</xdr:colOff>
      <xdr:row>10</xdr:row>
      <xdr:rowOff>61057</xdr:rowOff>
    </xdr:from>
    <xdr:to>
      <xdr:col>0</xdr:col>
      <xdr:colOff>2625482</xdr:colOff>
      <xdr:row>12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956B9A1-0E85-4C5D-9BAC-0F902AC47D4A}"/>
            </a:ext>
          </a:extLst>
        </xdr:cNvPr>
        <xdr:cNvSpPr txBox="1"/>
      </xdr:nvSpPr>
      <xdr:spPr>
        <a:xfrm>
          <a:off x="616683" y="1718407"/>
          <a:ext cx="1351574" cy="2437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</a:t>
          </a:r>
          <a:r>
            <a:rPr lang="en-US" sz="1100" baseline="0"/>
            <a:t> IV</a:t>
          </a:r>
          <a:endParaRPr lang="en-US" sz="1100"/>
        </a:p>
      </xdr:txBody>
    </xdr:sp>
    <xdr:clientData/>
  </xdr:twoCellAnchor>
  <xdr:twoCellAnchor>
    <xdr:from>
      <xdr:col>1</xdr:col>
      <xdr:colOff>1173095</xdr:colOff>
      <xdr:row>10</xdr:row>
      <xdr:rowOff>83709</xdr:rowOff>
    </xdr:from>
    <xdr:to>
      <xdr:col>3</xdr:col>
      <xdr:colOff>525478</xdr:colOff>
      <xdr:row>12</xdr:row>
      <xdr:rowOff>11403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179D5ED-14DC-4C84-914F-C69C5AC99CA2}"/>
            </a:ext>
          </a:extLst>
        </xdr:cNvPr>
        <xdr:cNvSpPr txBox="1"/>
      </xdr:nvSpPr>
      <xdr:spPr>
        <a:xfrm>
          <a:off x="3144770" y="1741059"/>
          <a:ext cx="1238333" cy="2324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76"/>
  <sheetViews>
    <sheetView tabSelected="1" view="pageBreakPreview" topLeftCell="A91" zoomScaleNormal="100" zoomScaleSheetLayoutView="100" workbookViewId="0">
      <selection activeCell="A111" sqref="A111:XFD111"/>
    </sheetView>
  </sheetViews>
  <sheetFormatPr defaultRowHeight="15" x14ac:dyDescent="0.25"/>
  <cols>
    <col min="1" max="1" width="33.5703125" customWidth="1"/>
    <col min="2" max="10" width="11.5703125" customWidth="1"/>
    <col min="11" max="11" width="26.42578125" style="6" customWidth="1"/>
  </cols>
  <sheetData>
    <row r="1" spans="1:11" s="1" customFormat="1" ht="52.5" customHeight="1" x14ac:dyDescent="0.25"/>
    <row r="2" spans="1:11" s="1" customFormat="1" ht="10.5" customHeight="1" x14ac:dyDescent="0.25">
      <c r="A2" s="64" t="s">
        <v>29</v>
      </c>
      <c r="B2" s="64"/>
      <c r="C2" s="64"/>
      <c r="D2" s="64"/>
      <c r="E2" s="64"/>
      <c r="F2" s="64"/>
      <c r="G2" s="64"/>
      <c r="H2" s="64"/>
      <c r="I2" s="64"/>
      <c r="J2" s="64"/>
    </row>
    <row r="3" spans="1:11" s="1" customFormat="1" ht="15.95" customHeight="1" x14ac:dyDescent="0.25">
      <c r="A3" s="64" t="s">
        <v>30</v>
      </c>
      <c r="B3" s="64"/>
      <c r="C3" s="64"/>
      <c r="D3" s="64"/>
      <c r="E3" s="64"/>
      <c r="F3" s="64"/>
      <c r="G3" s="64"/>
      <c r="H3" s="64"/>
      <c r="I3" s="64"/>
      <c r="J3" s="64"/>
    </row>
    <row r="4" spans="1:11" s="1" customFormat="1" ht="15.95" customHeight="1" x14ac:dyDescent="0.25">
      <c r="A4" s="64" t="s">
        <v>31</v>
      </c>
      <c r="B4" s="64"/>
      <c r="C4" s="64"/>
      <c r="D4" s="64"/>
      <c r="E4" s="64"/>
      <c r="F4" s="64"/>
      <c r="G4" s="64"/>
      <c r="H4" s="64"/>
      <c r="I4" s="64"/>
      <c r="J4" s="64"/>
    </row>
    <row r="5" spans="1:11" s="1" customFormat="1" ht="15.95" customHeight="1" x14ac:dyDescent="0.25">
      <c r="A5" s="64" t="s">
        <v>32</v>
      </c>
      <c r="B5" s="64"/>
      <c r="C5" s="64"/>
      <c r="D5" s="64"/>
      <c r="E5" s="64"/>
      <c r="F5" s="64"/>
      <c r="G5" s="64"/>
      <c r="H5" s="64"/>
      <c r="I5" s="64"/>
      <c r="J5" s="64"/>
    </row>
    <row r="6" spans="1:11" s="1" customFormat="1" ht="8.25" customHeight="1" x14ac:dyDescent="0.25"/>
    <row r="7" spans="1:11" s="1" customFormat="1" ht="12" customHeight="1" x14ac:dyDescent="0.25">
      <c r="A7" s="1" t="s">
        <v>33</v>
      </c>
      <c r="B7" s="60" t="s">
        <v>34</v>
      </c>
      <c r="C7" s="60"/>
      <c r="D7" s="60"/>
      <c r="H7" s="4" t="s">
        <v>9</v>
      </c>
      <c r="I7" s="7"/>
      <c r="J7" s="4"/>
    </row>
    <row r="8" spans="1:11" s="1" customFormat="1" ht="12" customHeight="1" x14ac:dyDescent="0.25">
      <c r="B8" s="2"/>
      <c r="C8" s="2"/>
      <c r="H8" s="2"/>
      <c r="I8" s="2"/>
      <c r="J8" s="2"/>
    </row>
    <row r="9" spans="1:11" s="1" customFormat="1" ht="12" customHeight="1" x14ac:dyDescent="0.25">
      <c r="A9" s="1" t="s">
        <v>35</v>
      </c>
      <c r="B9" s="60" t="s">
        <v>36</v>
      </c>
      <c r="C9" s="60"/>
      <c r="D9" s="60"/>
      <c r="H9" s="4" t="s">
        <v>10</v>
      </c>
      <c r="I9" s="5"/>
      <c r="J9" s="4"/>
    </row>
    <row r="10" spans="1:11" ht="16.5" customHeight="1" thickBot="1" x14ac:dyDescent="0.3">
      <c r="A10" s="65" t="s">
        <v>0</v>
      </c>
      <c r="B10" s="65"/>
      <c r="C10" s="65"/>
      <c r="D10" s="65"/>
      <c r="E10" s="65"/>
      <c r="F10" s="65"/>
      <c r="G10" s="65"/>
      <c r="H10" s="65"/>
      <c r="I10" s="65"/>
      <c r="J10" s="65"/>
      <c r="K10"/>
    </row>
    <row r="11" spans="1:11" ht="18" customHeight="1" thickBot="1" x14ac:dyDescent="0.3">
      <c r="A11" s="61" t="s">
        <v>37</v>
      </c>
      <c r="B11" s="62"/>
      <c r="C11" s="62"/>
      <c r="D11" s="62"/>
      <c r="E11" s="62"/>
      <c r="F11" s="62"/>
      <c r="G11" s="62"/>
      <c r="H11" s="62"/>
      <c r="I11" s="62"/>
      <c r="J11" s="63"/>
      <c r="K11" s="10"/>
    </row>
    <row r="12" spans="1:11" ht="12" customHeight="1" x14ac:dyDescent="0.25">
      <c r="A12" s="72" t="s">
        <v>4</v>
      </c>
      <c r="B12" s="76" t="s">
        <v>5</v>
      </c>
      <c r="C12" s="77"/>
      <c r="D12" s="67" t="s">
        <v>6</v>
      </c>
      <c r="E12" s="68"/>
      <c r="F12" s="68"/>
      <c r="G12" s="69"/>
      <c r="H12" s="70" t="s">
        <v>7</v>
      </c>
      <c r="I12" s="71"/>
      <c r="J12" s="74" t="s">
        <v>8</v>
      </c>
      <c r="K12" s="66" t="s">
        <v>11</v>
      </c>
    </row>
    <row r="13" spans="1:11" ht="27.75" customHeight="1" x14ac:dyDescent="0.25">
      <c r="A13" s="73"/>
      <c r="B13" s="3" t="s">
        <v>1</v>
      </c>
      <c r="C13" s="3" t="s">
        <v>2</v>
      </c>
      <c r="D13" s="3" t="s">
        <v>1</v>
      </c>
      <c r="E13" s="3" t="s">
        <v>2</v>
      </c>
      <c r="F13" s="3" t="s">
        <v>3</v>
      </c>
      <c r="G13" s="8" t="s">
        <v>28</v>
      </c>
      <c r="H13" s="3" t="s">
        <v>1</v>
      </c>
      <c r="I13" s="3" t="s">
        <v>2</v>
      </c>
      <c r="J13" s="75"/>
      <c r="K13" s="66"/>
    </row>
    <row r="14" spans="1:11" ht="18" customHeight="1" x14ac:dyDescent="0.25">
      <c r="A14" s="26" t="s">
        <v>38</v>
      </c>
      <c r="B14" s="22">
        <v>0.70799999999999996</v>
      </c>
      <c r="C14" s="22">
        <v>0.70799999999999996</v>
      </c>
      <c r="D14" s="22"/>
      <c r="E14" s="22"/>
      <c r="F14" s="22"/>
      <c r="G14" s="23"/>
      <c r="H14" s="22">
        <f>B14</f>
        <v>0.70799999999999996</v>
      </c>
      <c r="I14" s="22">
        <f>C14</f>
        <v>0.70799999999999996</v>
      </c>
      <c r="J14" s="22">
        <f>H14+I14</f>
        <v>1.4159999999999999</v>
      </c>
      <c r="K14" s="10"/>
    </row>
    <row r="15" spans="1:11" ht="18" customHeight="1" x14ac:dyDescent="0.25">
      <c r="A15" s="26" t="s">
        <v>39</v>
      </c>
      <c r="B15" s="22">
        <v>6.25</v>
      </c>
      <c r="C15" s="22">
        <v>6.25</v>
      </c>
      <c r="D15" s="22"/>
      <c r="E15" s="22"/>
      <c r="F15" s="22"/>
      <c r="G15" s="23"/>
      <c r="H15" s="22">
        <f>H14-F15-D15+B15</f>
        <v>6.9580000000000002</v>
      </c>
      <c r="I15" s="22">
        <f>I14-E15+C15</f>
        <v>6.9580000000000002</v>
      </c>
      <c r="J15" s="22">
        <f t="shared" ref="J15:J17" si="0">H15+I15</f>
        <v>13.916</v>
      </c>
      <c r="K15" s="10"/>
    </row>
    <row r="16" spans="1:11" ht="18" customHeight="1" x14ac:dyDescent="0.25">
      <c r="A16" s="26" t="s">
        <v>40</v>
      </c>
      <c r="B16" s="22"/>
      <c r="C16" s="22"/>
      <c r="D16" s="22"/>
      <c r="E16" s="22"/>
      <c r="F16" s="22">
        <v>2</v>
      </c>
      <c r="G16" s="23"/>
      <c r="H16" s="22">
        <f t="shared" ref="H16:H17" si="1">H15-F16-D16+B16</f>
        <v>4.9580000000000002</v>
      </c>
      <c r="I16" s="22">
        <f t="shared" ref="I16:I17" si="2">I15-E16+C16</f>
        <v>6.9580000000000002</v>
      </c>
      <c r="J16" s="22">
        <f t="shared" si="0"/>
        <v>11.916</v>
      </c>
      <c r="K16" s="10"/>
    </row>
    <row r="17" spans="1:11" ht="18" customHeight="1" x14ac:dyDescent="0.25">
      <c r="A17" s="26" t="s">
        <v>41</v>
      </c>
      <c r="B17" s="22"/>
      <c r="C17" s="22"/>
      <c r="D17" s="22"/>
      <c r="E17" s="22">
        <v>4</v>
      </c>
      <c r="F17" s="22"/>
      <c r="G17" s="23">
        <v>1</v>
      </c>
      <c r="H17" s="22">
        <f t="shared" si="1"/>
        <v>4.9580000000000002</v>
      </c>
      <c r="I17" s="22">
        <f t="shared" si="2"/>
        <v>2.9580000000000002</v>
      </c>
      <c r="J17" s="22">
        <f t="shared" si="0"/>
        <v>7.9160000000000004</v>
      </c>
      <c r="K17" s="10"/>
    </row>
    <row r="18" spans="1:11" ht="18" customHeight="1" x14ac:dyDescent="0.25">
      <c r="A18" s="26" t="s">
        <v>42</v>
      </c>
      <c r="B18" s="22">
        <v>15</v>
      </c>
      <c r="C18" s="22">
        <v>15</v>
      </c>
      <c r="D18" s="22"/>
      <c r="E18" s="22"/>
      <c r="F18" s="22"/>
      <c r="G18" s="23"/>
      <c r="H18" s="22">
        <f t="shared" ref="H18:H41" si="3">H17-F18-D18+B18</f>
        <v>19.957999999999998</v>
      </c>
      <c r="I18" s="22">
        <f t="shared" ref="I18:I41" si="4">I17-E18+C18</f>
        <v>17.957999999999998</v>
      </c>
      <c r="J18" s="22">
        <f t="shared" ref="J18:J41" si="5">H18+I18</f>
        <v>37.915999999999997</v>
      </c>
      <c r="K18" s="10"/>
    </row>
    <row r="19" spans="1:11" ht="18" customHeight="1" x14ac:dyDescent="0.25">
      <c r="A19" s="26" t="s">
        <v>43</v>
      </c>
      <c r="B19" s="22"/>
      <c r="C19" s="22"/>
      <c r="D19" s="22"/>
      <c r="E19" s="22"/>
      <c r="F19" s="22">
        <v>5</v>
      </c>
      <c r="G19" s="23"/>
      <c r="H19" s="22">
        <f t="shared" si="3"/>
        <v>14.957999999999998</v>
      </c>
      <c r="I19" s="22">
        <f t="shared" si="4"/>
        <v>17.957999999999998</v>
      </c>
      <c r="J19" s="22">
        <f t="shared" si="5"/>
        <v>32.915999999999997</v>
      </c>
      <c r="K19" s="10"/>
    </row>
    <row r="20" spans="1:11" ht="18" customHeight="1" x14ac:dyDescent="0.25">
      <c r="A20" s="26" t="s">
        <v>44</v>
      </c>
      <c r="B20" s="22"/>
      <c r="C20" s="22"/>
      <c r="D20" s="22">
        <v>10</v>
      </c>
      <c r="E20" s="22"/>
      <c r="F20" s="22"/>
      <c r="G20" s="23"/>
      <c r="H20" s="22">
        <f t="shared" si="3"/>
        <v>4.9579999999999984</v>
      </c>
      <c r="I20" s="22">
        <f t="shared" si="4"/>
        <v>17.957999999999998</v>
      </c>
      <c r="J20" s="22">
        <f t="shared" si="5"/>
        <v>22.915999999999997</v>
      </c>
      <c r="K20" s="10"/>
    </row>
    <row r="21" spans="1:11" ht="18" customHeight="1" x14ac:dyDescent="0.25">
      <c r="A21" s="26" t="s">
        <v>45</v>
      </c>
      <c r="B21" s="22">
        <v>15</v>
      </c>
      <c r="C21" s="22">
        <v>15</v>
      </c>
      <c r="D21" s="22"/>
      <c r="E21" s="22"/>
      <c r="F21" s="22"/>
      <c r="G21" s="23"/>
      <c r="H21" s="22">
        <f t="shared" si="3"/>
        <v>19.957999999999998</v>
      </c>
      <c r="I21" s="22">
        <f t="shared" si="4"/>
        <v>32.957999999999998</v>
      </c>
      <c r="J21" s="22">
        <f t="shared" si="5"/>
        <v>52.915999999999997</v>
      </c>
      <c r="K21" s="10"/>
    </row>
    <row r="22" spans="1:11" ht="18" customHeight="1" x14ac:dyDescent="0.25">
      <c r="A22" s="26" t="s">
        <v>46</v>
      </c>
      <c r="B22" s="22"/>
      <c r="C22" s="22"/>
      <c r="D22" s="22"/>
      <c r="E22" s="22"/>
      <c r="F22" s="22"/>
      <c r="G22" s="23">
        <v>1</v>
      </c>
      <c r="H22" s="22">
        <f t="shared" si="3"/>
        <v>19.957999999999998</v>
      </c>
      <c r="I22" s="22">
        <f t="shared" si="4"/>
        <v>32.957999999999998</v>
      </c>
      <c r="J22" s="22">
        <f t="shared" si="5"/>
        <v>52.915999999999997</v>
      </c>
      <c r="K22" s="10"/>
    </row>
    <row r="23" spans="1:11" ht="18" customHeight="1" x14ac:dyDescent="0.25">
      <c r="A23" s="26" t="s">
        <v>47</v>
      </c>
      <c r="B23" s="22"/>
      <c r="C23" s="22"/>
      <c r="D23" s="22"/>
      <c r="E23" s="22"/>
      <c r="F23" s="22">
        <v>1</v>
      </c>
      <c r="G23" s="23"/>
      <c r="H23" s="22">
        <f t="shared" si="3"/>
        <v>18.957999999999998</v>
      </c>
      <c r="I23" s="22">
        <f t="shared" si="4"/>
        <v>32.957999999999998</v>
      </c>
      <c r="J23" s="22">
        <f t="shared" si="5"/>
        <v>51.915999999999997</v>
      </c>
      <c r="K23" s="10"/>
    </row>
    <row r="24" spans="1:11" ht="18" customHeight="1" x14ac:dyDescent="0.25">
      <c r="A24" s="26" t="s">
        <v>48</v>
      </c>
      <c r="B24" s="22"/>
      <c r="C24" s="22"/>
      <c r="D24" s="22">
        <v>11</v>
      </c>
      <c r="E24" s="22">
        <v>18</v>
      </c>
      <c r="F24" s="22"/>
      <c r="G24" s="23"/>
      <c r="H24" s="22">
        <f t="shared" si="3"/>
        <v>7.9579999999999984</v>
      </c>
      <c r="I24" s="22">
        <f t="shared" si="4"/>
        <v>14.957999999999998</v>
      </c>
      <c r="J24" s="22">
        <f t="shared" si="5"/>
        <v>22.915999999999997</v>
      </c>
      <c r="K24" s="10"/>
    </row>
    <row r="25" spans="1:11" ht="18" customHeight="1" x14ac:dyDescent="0.25">
      <c r="A25" s="26" t="s">
        <v>49</v>
      </c>
      <c r="B25" s="22"/>
      <c r="C25" s="22"/>
      <c r="D25" s="22"/>
      <c r="E25" s="22"/>
      <c r="F25" s="22">
        <v>2</v>
      </c>
      <c r="G25" s="23"/>
      <c r="H25" s="22">
        <f t="shared" si="3"/>
        <v>5.9579999999999984</v>
      </c>
      <c r="I25" s="22">
        <f t="shared" si="4"/>
        <v>14.957999999999998</v>
      </c>
      <c r="J25" s="22">
        <f t="shared" si="5"/>
        <v>20.915999999999997</v>
      </c>
      <c r="K25" s="10"/>
    </row>
    <row r="26" spans="1:11" ht="18" customHeight="1" x14ac:dyDescent="0.25">
      <c r="A26" s="26" t="s">
        <v>121</v>
      </c>
      <c r="B26" s="22"/>
      <c r="C26" s="22"/>
      <c r="D26" s="22"/>
      <c r="E26" s="22"/>
      <c r="F26" s="22">
        <v>2</v>
      </c>
      <c r="G26" s="23"/>
      <c r="H26" s="22">
        <f t="shared" si="3"/>
        <v>3.9579999999999984</v>
      </c>
      <c r="I26" s="22">
        <f t="shared" si="4"/>
        <v>14.957999999999998</v>
      </c>
      <c r="J26" s="22">
        <f t="shared" si="5"/>
        <v>18.915999999999997</v>
      </c>
      <c r="K26" s="10"/>
    </row>
    <row r="27" spans="1:11" ht="18.75" customHeight="1" x14ac:dyDescent="0.25">
      <c r="A27" s="27" t="s">
        <v>12</v>
      </c>
      <c r="B27" s="22">
        <v>1.25</v>
      </c>
      <c r="C27" s="22">
        <v>1.25</v>
      </c>
      <c r="D27" s="22"/>
      <c r="E27" s="22"/>
      <c r="F27" s="22"/>
      <c r="G27" s="22"/>
      <c r="H27" s="22">
        <f t="shared" si="3"/>
        <v>5.2079999999999984</v>
      </c>
      <c r="I27" s="22">
        <f t="shared" si="4"/>
        <v>16.207999999999998</v>
      </c>
      <c r="J27" s="22">
        <f t="shared" si="5"/>
        <v>21.415999999999997</v>
      </c>
    </row>
    <row r="28" spans="1:11" ht="18.75" customHeight="1" x14ac:dyDescent="0.25">
      <c r="A28" s="28">
        <v>44588</v>
      </c>
      <c r="B28" s="22"/>
      <c r="C28" s="22"/>
      <c r="D28" s="22"/>
      <c r="E28" s="22"/>
      <c r="F28" s="22"/>
      <c r="G28" s="22">
        <v>1</v>
      </c>
      <c r="H28" s="22">
        <f t="shared" si="3"/>
        <v>5.2079999999999984</v>
      </c>
      <c r="I28" s="22">
        <f t="shared" si="4"/>
        <v>16.207999999999998</v>
      </c>
      <c r="J28" s="22">
        <f t="shared" si="5"/>
        <v>21.415999999999997</v>
      </c>
    </row>
    <row r="29" spans="1:11" ht="18.75" customHeight="1" x14ac:dyDescent="0.25">
      <c r="A29" s="27" t="s">
        <v>13</v>
      </c>
      <c r="B29" s="22"/>
      <c r="C29" s="22"/>
      <c r="D29" s="22"/>
      <c r="E29" s="22"/>
      <c r="F29" s="22">
        <v>2</v>
      </c>
      <c r="G29" s="22"/>
      <c r="H29" s="22">
        <f t="shared" si="3"/>
        <v>3.2079999999999984</v>
      </c>
      <c r="I29" s="22">
        <f t="shared" si="4"/>
        <v>16.207999999999998</v>
      </c>
      <c r="J29" s="22">
        <f t="shared" si="5"/>
        <v>19.415999999999997</v>
      </c>
    </row>
    <row r="30" spans="1:11" ht="18.75" customHeight="1" x14ac:dyDescent="0.25">
      <c r="A30" s="27" t="s">
        <v>14</v>
      </c>
      <c r="B30" s="22">
        <v>1.25</v>
      </c>
      <c r="C30" s="22">
        <v>1.25</v>
      </c>
      <c r="D30" s="22"/>
      <c r="E30" s="22"/>
      <c r="F30" s="22"/>
      <c r="G30" s="22"/>
      <c r="H30" s="22">
        <f t="shared" si="3"/>
        <v>4.4579999999999984</v>
      </c>
      <c r="I30" s="22">
        <f t="shared" si="4"/>
        <v>17.457999999999998</v>
      </c>
      <c r="J30" s="22">
        <f t="shared" si="5"/>
        <v>21.915999999999997</v>
      </c>
    </row>
    <row r="31" spans="1:11" ht="18.75" customHeight="1" x14ac:dyDescent="0.25">
      <c r="A31" s="27" t="s">
        <v>15</v>
      </c>
      <c r="B31" s="22"/>
      <c r="C31" s="22"/>
      <c r="D31" s="22"/>
      <c r="E31" s="22"/>
      <c r="F31" s="22">
        <v>1</v>
      </c>
      <c r="G31" s="22"/>
      <c r="H31" s="22">
        <f t="shared" si="3"/>
        <v>3.4579999999999984</v>
      </c>
      <c r="I31" s="22">
        <f t="shared" si="4"/>
        <v>17.457999999999998</v>
      </c>
      <c r="J31" s="22">
        <f t="shared" si="5"/>
        <v>20.915999999999997</v>
      </c>
    </row>
    <row r="32" spans="1:11" ht="18.75" customHeight="1" x14ac:dyDescent="0.25">
      <c r="A32" s="27" t="s">
        <v>16</v>
      </c>
      <c r="B32" s="22">
        <v>1.25</v>
      </c>
      <c r="C32" s="22">
        <v>1.25</v>
      </c>
      <c r="D32" s="22"/>
      <c r="E32" s="22"/>
      <c r="F32" s="22"/>
      <c r="G32" s="22"/>
      <c r="H32" s="22">
        <f t="shared" si="3"/>
        <v>4.7079999999999984</v>
      </c>
      <c r="I32" s="22">
        <f t="shared" si="4"/>
        <v>18.707999999999998</v>
      </c>
      <c r="J32" s="22">
        <f t="shared" si="5"/>
        <v>23.415999999999997</v>
      </c>
    </row>
    <row r="33" spans="1:10" ht="18.75" customHeight="1" x14ac:dyDescent="0.25">
      <c r="A33" s="27" t="s">
        <v>17</v>
      </c>
      <c r="B33" s="22"/>
      <c r="C33" s="22"/>
      <c r="D33" s="22"/>
      <c r="E33" s="22"/>
      <c r="F33" s="22">
        <v>1</v>
      </c>
      <c r="G33" s="22"/>
      <c r="H33" s="22">
        <f t="shared" si="3"/>
        <v>3.7079999999999984</v>
      </c>
      <c r="I33" s="22">
        <f t="shared" si="4"/>
        <v>18.707999999999998</v>
      </c>
      <c r="J33" s="22">
        <f t="shared" si="5"/>
        <v>22.415999999999997</v>
      </c>
    </row>
    <row r="34" spans="1:10" ht="18.75" customHeight="1" x14ac:dyDescent="0.25">
      <c r="A34" s="27" t="s">
        <v>18</v>
      </c>
      <c r="B34" s="22">
        <v>3.75</v>
      </c>
      <c r="C34" s="22">
        <v>3.75</v>
      </c>
      <c r="D34" s="22"/>
      <c r="E34" s="22"/>
      <c r="F34" s="22"/>
      <c r="G34" s="22"/>
      <c r="H34" s="22">
        <f t="shared" si="3"/>
        <v>7.4579999999999984</v>
      </c>
      <c r="I34" s="22">
        <f t="shared" si="4"/>
        <v>22.457999999999998</v>
      </c>
      <c r="J34" s="22">
        <f t="shared" si="5"/>
        <v>29.915999999999997</v>
      </c>
    </row>
    <row r="35" spans="1:10" ht="18.75" customHeight="1" x14ac:dyDescent="0.25">
      <c r="A35" s="27" t="s">
        <v>19</v>
      </c>
      <c r="B35" s="22"/>
      <c r="C35" s="22"/>
      <c r="D35" s="22"/>
      <c r="E35" s="22"/>
      <c r="F35" s="22">
        <v>1</v>
      </c>
      <c r="G35" s="22"/>
      <c r="H35" s="22">
        <f t="shared" si="3"/>
        <v>6.4579999999999984</v>
      </c>
      <c r="I35" s="22">
        <f t="shared" si="4"/>
        <v>22.457999999999998</v>
      </c>
      <c r="J35" s="22">
        <f t="shared" si="5"/>
        <v>28.915999999999997</v>
      </c>
    </row>
    <row r="36" spans="1:10" ht="18.75" customHeight="1" x14ac:dyDescent="0.25">
      <c r="A36" s="27" t="s">
        <v>20</v>
      </c>
      <c r="B36" s="22"/>
      <c r="C36" s="22"/>
      <c r="D36" s="22"/>
      <c r="E36" s="22"/>
      <c r="F36" s="22"/>
      <c r="G36" s="22">
        <v>1</v>
      </c>
      <c r="H36" s="22">
        <f t="shared" si="3"/>
        <v>6.4579999999999984</v>
      </c>
      <c r="I36" s="22">
        <f t="shared" si="4"/>
        <v>22.457999999999998</v>
      </c>
      <c r="J36" s="22">
        <f t="shared" si="5"/>
        <v>28.915999999999997</v>
      </c>
    </row>
    <row r="37" spans="1:10" ht="18.75" customHeight="1" x14ac:dyDescent="0.25">
      <c r="A37" s="27" t="s">
        <v>21</v>
      </c>
      <c r="B37" s="22">
        <v>1.25</v>
      </c>
      <c r="C37" s="22">
        <v>1.25</v>
      </c>
      <c r="D37" s="22"/>
      <c r="E37" s="22"/>
      <c r="F37" s="22"/>
      <c r="G37" s="22"/>
      <c r="H37" s="22">
        <f t="shared" si="3"/>
        <v>7.7079999999999984</v>
      </c>
      <c r="I37" s="22">
        <f t="shared" si="4"/>
        <v>23.707999999999998</v>
      </c>
      <c r="J37" s="22">
        <f t="shared" si="5"/>
        <v>31.415999999999997</v>
      </c>
    </row>
    <row r="38" spans="1:10" ht="18.75" customHeight="1" x14ac:dyDescent="0.25">
      <c r="A38" s="27" t="s">
        <v>22</v>
      </c>
      <c r="B38" s="22"/>
      <c r="C38" s="22"/>
      <c r="D38" s="22"/>
      <c r="E38" s="22">
        <v>2.5</v>
      </c>
      <c r="F38" s="22"/>
      <c r="G38" s="22"/>
      <c r="H38" s="22">
        <f t="shared" si="3"/>
        <v>7.7079999999999984</v>
      </c>
      <c r="I38" s="22">
        <f t="shared" si="4"/>
        <v>21.207999999999998</v>
      </c>
      <c r="J38" s="22">
        <f t="shared" si="5"/>
        <v>28.915999999999997</v>
      </c>
    </row>
    <row r="39" spans="1:10" ht="18.75" customHeight="1" x14ac:dyDescent="0.25">
      <c r="A39" s="27" t="s">
        <v>23</v>
      </c>
      <c r="B39" s="22">
        <v>1.25</v>
      </c>
      <c r="C39" s="22">
        <v>1.25</v>
      </c>
      <c r="D39" s="22"/>
      <c r="E39" s="22"/>
      <c r="F39" s="22"/>
      <c r="G39" s="22"/>
      <c r="H39" s="22">
        <f t="shared" si="3"/>
        <v>8.9579999999999984</v>
      </c>
      <c r="I39" s="22">
        <f t="shared" si="4"/>
        <v>22.457999999999998</v>
      </c>
      <c r="J39" s="22">
        <f t="shared" si="5"/>
        <v>31.415999999999997</v>
      </c>
    </row>
    <row r="40" spans="1:10" ht="18.75" customHeight="1" x14ac:dyDescent="0.25">
      <c r="A40" s="11" t="s">
        <v>24</v>
      </c>
      <c r="B40" s="22"/>
      <c r="C40" s="22"/>
      <c r="D40" s="22">
        <v>8</v>
      </c>
      <c r="E40" s="22">
        <v>21</v>
      </c>
      <c r="F40" s="22"/>
      <c r="G40" s="22"/>
      <c r="H40" s="22">
        <f t="shared" si="3"/>
        <v>0.95799999999999841</v>
      </c>
      <c r="I40" s="22">
        <f t="shared" si="4"/>
        <v>1.4579999999999984</v>
      </c>
      <c r="J40" s="22">
        <f t="shared" si="5"/>
        <v>2.4159999999999968</v>
      </c>
    </row>
    <row r="41" spans="1:10" ht="18.75" customHeight="1" x14ac:dyDescent="0.25">
      <c r="A41" s="27" t="s">
        <v>25</v>
      </c>
      <c r="B41" s="22">
        <v>1.25</v>
      </c>
      <c r="C41" s="22">
        <v>1.25</v>
      </c>
      <c r="D41" s="22"/>
      <c r="E41" s="22"/>
      <c r="F41" s="22"/>
      <c r="G41" s="22"/>
      <c r="H41" s="22">
        <f t="shared" si="3"/>
        <v>2.2079999999999984</v>
      </c>
      <c r="I41" s="22">
        <f t="shared" si="4"/>
        <v>2.7079999999999984</v>
      </c>
      <c r="J41" s="22">
        <f t="shared" si="5"/>
        <v>4.9159999999999968</v>
      </c>
    </row>
    <row r="42" spans="1:10" ht="18.75" customHeight="1" x14ac:dyDescent="0.25">
      <c r="A42" s="27" t="s">
        <v>122</v>
      </c>
      <c r="B42" s="22"/>
      <c r="C42" s="22"/>
      <c r="D42" s="22"/>
      <c r="E42" s="22">
        <v>2</v>
      </c>
      <c r="F42" s="22"/>
      <c r="G42" s="22"/>
      <c r="H42" s="22">
        <f t="shared" ref="H42:H80" si="6">H41-F42-D42+B42</f>
        <v>2.2079999999999984</v>
      </c>
      <c r="I42" s="22">
        <f t="shared" ref="I42:I80" si="7">I41-E42+C42</f>
        <v>0.70799999999999841</v>
      </c>
      <c r="J42" s="22">
        <f t="shared" ref="J42:J80" si="8">H42+I42</f>
        <v>2.9159999999999968</v>
      </c>
    </row>
    <row r="43" spans="1:10" ht="18.75" customHeight="1" x14ac:dyDescent="0.25">
      <c r="A43" s="27" t="s">
        <v>26</v>
      </c>
      <c r="B43" s="22">
        <v>2.5</v>
      </c>
      <c r="C43" s="22">
        <v>2.5</v>
      </c>
      <c r="D43" s="22"/>
      <c r="E43" s="22"/>
      <c r="F43" s="22"/>
      <c r="G43" s="22"/>
      <c r="H43" s="22">
        <f t="shared" si="6"/>
        <v>4.7079999999999984</v>
      </c>
      <c r="I43" s="22">
        <f t="shared" si="7"/>
        <v>3.2079999999999984</v>
      </c>
      <c r="J43" s="22">
        <f t="shared" si="8"/>
        <v>7.9159999999999968</v>
      </c>
    </row>
    <row r="44" spans="1:10" ht="18.75" customHeight="1" x14ac:dyDescent="0.25">
      <c r="A44" s="27" t="s">
        <v>27</v>
      </c>
      <c r="B44" s="22"/>
      <c r="C44" s="22"/>
      <c r="D44" s="22"/>
      <c r="E44" s="22"/>
      <c r="F44" s="22"/>
      <c r="G44" s="22">
        <v>1</v>
      </c>
      <c r="H44" s="22">
        <f t="shared" si="6"/>
        <v>4.7079999999999984</v>
      </c>
      <c r="I44" s="22">
        <f t="shared" si="7"/>
        <v>3.2079999999999984</v>
      </c>
      <c r="J44" s="22">
        <f t="shared" si="8"/>
        <v>7.9159999999999968</v>
      </c>
    </row>
    <row r="45" spans="1:10" ht="15.75" x14ac:dyDescent="0.25">
      <c r="A45" s="27" t="s">
        <v>50</v>
      </c>
      <c r="B45" s="22">
        <v>1.25</v>
      </c>
      <c r="C45" s="22">
        <v>1.25</v>
      </c>
      <c r="D45" s="24"/>
      <c r="E45" s="24"/>
      <c r="F45" s="24"/>
      <c r="G45" s="24"/>
      <c r="H45" s="22">
        <f t="shared" si="6"/>
        <v>5.9579999999999984</v>
      </c>
      <c r="I45" s="22">
        <f t="shared" si="7"/>
        <v>4.4579999999999984</v>
      </c>
      <c r="J45" s="22">
        <f t="shared" si="8"/>
        <v>10.415999999999997</v>
      </c>
    </row>
    <row r="46" spans="1:10" ht="15.75" x14ac:dyDescent="0.25">
      <c r="A46" s="11" t="s">
        <v>64</v>
      </c>
      <c r="B46" s="24"/>
      <c r="C46" s="24"/>
      <c r="D46" s="24"/>
      <c r="E46" s="24">
        <v>1</v>
      </c>
      <c r="F46" s="24"/>
      <c r="G46" s="24"/>
      <c r="H46" s="22">
        <f t="shared" si="6"/>
        <v>5.9579999999999984</v>
      </c>
      <c r="I46" s="22">
        <f t="shared" si="7"/>
        <v>3.4579999999999984</v>
      </c>
      <c r="J46" s="22">
        <f t="shared" si="8"/>
        <v>9.4159999999999968</v>
      </c>
    </row>
    <row r="47" spans="1:10" ht="15.75" x14ac:dyDescent="0.25">
      <c r="A47" s="27" t="s">
        <v>65</v>
      </c>
      <c r="B47" s="24"/>
      <c r="C47" s="24"/>
      <c r="D47" s="24"/>
      <c r="E47" s="24"/>
      <c r="F47" s="24">
        <v>3</v>
      </c>
      <c r="G47" s="24"/>
      <c r="H47" s="22">
        <f t="shared" si="6"/>
        <v>2.9579999999999984</v>
      </c>
      <c r="I47" s="22">
        <f t="shared" si="7"/>
        <v>3.4579999999999984</v>
      </c>
      <c r="J47" s="22">
        <f t="shared" si="8"/>
        <v>6.4159999999999968</v>
      </c>
    </row>
    <row r="48" spans="1:10" ht="15.75" x14ac:dyDescent="0.25">
      <c r="A48" s="27" t="s">
        <v>66</v>
      </c>
      <c r="B48" s="22">
        <v>1.25</v>
      </c>
      <c r="C48" s="22">
        <v>1.25</v>
      </c>
      <c r="D48" s="24"/>
      <c r="E48" s="24"/>
      <c r="F48" s="24"/>
      <c r="G48" s="24"/>
      <c r="H48" s="22">
        <f t="shared" si="6"/>
        <v>4.2079999999999984</v>
      </c>
      <c r="I48" s="22">
        <f t="shared" si="7"/>
        <v>4.7079999999999984</v>
      </c>
      <c r="J48" s="22">
        <f t="shared" si="8"/>
        <v>8.9159999999999968</v>
      </c>
    </row>
    <row r="49" spans="1:10" ht="15.75" x14ac:dyDescent="0.25">
      <c r="A49" s="11" t="s">
        <v>67</v>
      </c>
      <c r="B49" s="24"/>
      <c r="C49" s="24"/>
      <c r="D49" s="24"/>
      <c r="E49" s="24">
        <v>2</v>
      </c>
      <c r="F49" s="24"/>
      <c r="G49" s="24"/>
      <c r="H49" s="22">
        <f t="shared" si="6"/>
        <v>4.2079999999999984</v>
      </c>
      <c r="I49" s="22">
        <f t="shared" si="7"/>
        <v>2.7079999999999984</v>
      </c>
      <c r="J49" s="22">
        <f t="shared" si="8"/>
        <v>6.9159999999999968</v>
      </c>
    </row>
    <row r="50" spans="1:10" ht="15.75" x14ac:dyDescent="0.25">
      <c r="A50" s="11" t="s">
        <v>68</v>
      </c>
      <c r="B50" s="24"/>
      <c r="C50" s="24"/>
      <c r="D50" s="24"/>
      <c r="E50" s="24"/>
      <c r="F50" s="24"/>
      <c r="G50" s="24">
        <v>1</v>
      </c>
      <c r="H50" s="22">
        <f t="shared" si="6"/>
        <v>4.2079999999999984</v>
      </c>
      <c r="I50" s="22">
        <f t="shared" si="7"/>
        <v>2.7079999999999984</v>
      </c>
      <c r="J50" s="22">
        <f t="shared" si="8"/>
        <v>6.9159999999999968</v>
      </c>
    </row>
    <row r="51" spans="1:10" ht="15.75" x14ac:dyDescent="0.25">
      <c r="A51" s="11" t="s">
        <v>69</v>
      </c>
      <c r="B51" s="24"/>
      <c r="C51" s="24"/>
      <c r="D51" s="24"/>
      <c r="E51" s="24"/>
      <c r="F51" s="24"/>
      <c r="G51" s="24">
        <v>1</v>
      </c>
      <c r="H51" s="22">
        <f t="shared" si="6"/>
        <v>4.2079999999999984</v>
      </c>
      <c r="I51" s="22">
        <f t="shared" si="7"/>
        <v>2.7079999999999984</v>
      </c>
      <c r="J51" s="22">
        <f t="shared" si="8"/>
        <v>6.9159999999999968</v>
      </c>
    </row>
    <row r="52" spans="1:10" ht="15.75" x14ac:dyDescent="0.25">
      <c r="A52" s="27" t="s">
        <v>70</v>
      </c>
      <c r="B52" s="22">
        <v>1.25</v>
      </c>
      <c r="C52" s="22">
        <v>1.25</v>
      </c>
      <c r="D52" s="24"/>
      <c r="E52" s="24"/>
      <c r="F52" s="24"/>
      <c r="G52" s="24"/>
      <c r="H52" s="22">
        <f t="shared" si="6"/>
        <v>5.4579999999999984</v>
      </c>
      <c r="I52" s="22">
        <f t="shared" si="7"/>
        <v>3.9579999999999984</v>
      </c>
      <c r="J52" s="22">
        <f t="shared" si="8"/>
        <v>9.4159999999999968</v>
      </c>
    </row>
    <row r="53" spans="1:10" ht="15.75" x14ac:dyDescent="0.25">
      <c r="A53" s="11" t="s">
        <v>71</v>
      </c>
      <c r="B53" s="24"/>
      <c r="C53" s="24"/>
      <c r="D53" s="24"/>
      <c r="E53" s="24"/>
      <c r="F53" s="24"/>
      <c r="G53" s="24">
        <v>1</v>
      </c>
      <c r="H53" s="22">
        <f t="shared" si="6"/>
        <v>5.4579999999999984</v>
      </c>
      <c r="I53" s="22">
        <f t="shared" si="7"/>
        <v>3.9579999999999984</v>
      </c>
      <c r="J53" s="22">
        <f t="shared" si="8"/>
        <v>9.4159999999999968</v>
      </c>
    </row>
    <row r="54" spans="1:10" ht="15.75" x14ac:dyDescent="0.25">
      <c r="A54" s="27" t="s">
        <v>72</v>
      </c>
      <c r="B54" s="22">
        <v>1.25</v>
      </c>
      <c r="C54" s="22">
        <v>1.25</v>
      </c>
      <c r="D54" s="24"/>
      <c r="E54" s="24"/>
      <c r="F54" s="24"/>
      <c r="G54" s="24"/>
      <c r="H54" s="22">
        <f t="shared" si="6"/>
        <v>6.7079999999999984</v>
      </c>
      <c r="I54" s="22">
        <f t="shared" si="7"/>
        <v>5.2079999999999984</v>
      </c>
      <c r="J54" s="22">
        <f t="shared" si="8"/>
        <v>11.915999999999997</v>
      </c>
    </row>
    <row r="55" spans="1:10" ht="15.75" x14ac:dyDescent="0.25">
      <c r="A55" s="11" t="s">
        <v>73</v>
      </c>
      <c r="B55" s="24"/>
      <c r="C55" s="24"/>
      <c r="D55" s="24"/>
      <c r="E55" s="24"/>
      <c r="F55" s="24">
        <v>1</v>
      </c>
      <c r="G55" s="24"/>
      <c r="H55" s="22">
        <f t="shared" si="6"/>
        <v>5.7079999999999984</v>
      </c>
      <c r="I55" s="22">
        <f t="shared" si="7"/>
        <v>5.2079999999999984</v>
      </c>
      <c r="J55" s="22">
        <f t="shared" si="8"/>
        <v>10.915999999999997</v>
      </c>
    </row>
    <row r="56" spans="1:10" ht="15.75" x14ac:dyDescent="0.25">
      <c r="A56" s="27" t="s">
        <v>74</v>
      </c>
      <c r="B56" s="22">
        <v>1.25</v>
      </c>
      <c r="C56" s="22">
        <v>1.25</v>
      </c>
      <c r="D56" s="24"/>
      <c r="E56" s="24"/>
      <c r="F56" s="24"/>
      <c r="G56" s="24"/>
      <c r="H56" s="22">
        <f t="shared" si="6"/>
        <v>6.9579999999999984</v>
      </c>
      <c r="I56" s="22">
        <f t="shared" si="7"/>
        <v>6.4579999999999984</v>
      </c>
      <c r="J56" s="22">
        <f t="shared" si="8"/>
        <v>13.415999999999997</v>
      </c>
    </row>
    <row r="57" spans="1:10" ht="15.75" x14ac:dyDescent="0.25">
      <c r="A57" s="27" t="s">
        <v>75</v>
      </c>
      <c r="B57" s="24">
        <v>2.5</v>
      </c>
      <c r="C57" s="24">
        <v>2.5</v>
      </c>
      <c r="D57" s="24"/>
      <c r="E57" s="24"/>
      <c r="F57" s="24"/>
      <c r="G57" s="24"/>
      <c r="H57" s="22">
        <f t="shared" si="6"/>
        <v>9.4579999999999984</v>
      </c>
      <c r="I57" s="22">
        <f t="shared" si="7"/>
        <v>8.9579999999999984</v>
      </c>
      <c r="J57" s="22">
        <f t="shared" si="8"/>
        <v>18.415999999999997</v>
      </c>
    </row>
    <row r="58" spans="1:10" ht="15.75" x14ac:dyDescent="0.25">
      <c r="A58" s="11" t="s">
        <v>76</v>
      </c>
      <c r="B58" s="24"/>
      <c r="C58" s="24"/>
      <c r="D58" s="24"/>
      <c r="E58" s="24">
        <v>4</v>
      </c>
      <c r="F58" s="24"/>
      <c r="G58" s="24"/>
      <c r="H58" s="22">
        <f t="shared" si="6"/>
        <v>9.4579999999999984</v>
      </c>
      <c r="I58" s="22">
        <f t="shared" si="7"/>
        <v>4.9579999999999984</v>
      </c>
      <c r="J58" s="22">
        <f t="shared" si="8"/>
        <v>14.415999999999997</v>
      </c>
    </row>
    <row r="59" spans="1:10" ht="15.75" x14ac:dyDescent="0.25">
      <c r="A59" s="11" t="s">
        <v>77</v>
      </c>
      <c r="B59" s="24"/>
      <c r="C59" s="24"/>
      <c r="D59" s="24"/>
      <c r="E59" s="24">
        <v>1</v>
      </c>
      <c r="F59" s="24"/>
      <c r="G59" s="24"/>
      <c r="H59" s="22">
        <f t="shared" si="6"/>
        <v>9.4579999999999984</v>
      </c>
      <c r="I59" s="22">
        <f t="shared" si="7"/>
        <v>3.9579999999999984</v>
      </c>
      <c r="J59" s="22">
        <f t="shared" si="8"/>
        <v>13.415999999999997</v>
      </c>
    </row>
    <row r="60" spans="1:10" ht="15.75" x14ac:dyDescent="0.25">
      <c r="A60" s="11" t="s">
        <v>90</v>
      </c>
      <c r="B60" s="24">
        <v>2.5</v>
      </c>
      <c r="C60" s="24">
        <v>2.5</v>
      </c>
      <c r="D60" s="24"/>
      <c r="E60" s="24"/>
      <c r="F60" s="24"/>
      <c r="G60" s="24"/>
      <c r="H60" s="22">
        <f t="shared" si="6"/>
        <v>11.957999999999998</v>
      </c>
      <c r="I60" s="22">
        <f t="shared" si="7"/>
        <v>6.4579999999999984</v>
      </c>
      <c r="J60" s="22">
        <f t="shared" si="8"/>
        <v>18.415999999999997</v>
      </c>
    </row>
    <row r="61" spans="1:10" ht="15.75" x14ac:dyDescent="0.25">
      <c r="A61" s="11" t="s">
        <v>91</v>
      </c>
      <c r="B61" s="24">
        <v>1.25</v>
      </c>
      <c r="C61" s="24">
        <v>1.25</v>
      </c>
      <c r="D61" s="24"/>
      <c r="E61" s="24"/>
      <c r="F61" s="24"/>
      <c r="G61" s="24"/>
      <c r="H61" s="22">
        <f t="shared" si="6"/>
        <v>13.207999999999998</v>
      </c>
      <c r="I61" s="22">
        <f t="shared" si="7"/>
        <v>7.7079999999999984</v>
      </c>
      <c r="J61" s="22">
        <f t="shared" si="8"/>
        <v>20.915999999999997</v>
      </c>
    </row>
    <row r="62" spans="1:10" ht="15.75" x14ac:dyDescent="0.25">
      <c r="A62" s="11" t="s">
        <v>92</v>
      </c>
      <c r="B62" s="24"/>
      <c r="C62" s="24"/>
      <c r="D62" s="24">
        <v>8</v>
      </c>
      <c r="E62" s="24">
        <v>2</v>
      </c>
      <c r="F62" s="24"/>
      <c r="G62" s="24"/>
      <c r="H62" s="22">
        <f t="shared" si="6"/>
        <v>5.2079999999999984</v>
      </c>
      <c r="I62" s="22">
        <f t="shared" si="7"/>
        <v>5.7079999999999984</v>
      </c>
      <c r="J62" s="22">
        <f t="shared" si="8"/>
        <v>10.915999999999997</v>
      </c>
    </row>
    <row r="63" spans="1:10" ht="15.75" x14ac:dyDescent="0.25">
      <c r="A63" s="11" t="s">
        <v>93</v>
      </c>
      <c r="B63" s="24"/>
      <c r="C63" s="24"/>
      <c r="D63" s="24">
        <v>1</v>
      </c>
      <c r="E63" s="24"/>
      <c r="F63" s="24"/>
      <c r="G63" s="24"/>
      <c r="H63" s="22">
        <f t="shared" si="6"/>
        <v>4.2079999999999984</v>
      </c>
      <c r="I63" s="22">
        <f t="shared" si="7"/>
        <v>5.7079999999999984</v>
      </c>
      <c r="J63" s="22">
        <f t="shared" si="8"/>
        <v>9.9159999999999968</v>
      </c>
    </row>
    <row r="64" spans="1:10" ht="15.75" x14ac:dyDescent="0.25">
      <c r="A64" s="11" t="s">
        <v>97</v>
      </c>
      <c r="B64" s="24">
        <v>1.25</v>
      </c>
      <c r="C64" s="24">
        <v>1.25</v>
      </c>
      <c r="D64" s="24"/>
      <c r="E64" s="24"/>
      <c r="F64" s="24"/>
      <c r="G64" s="24"/>
      <c r="H64" s="22">
        <f t="shared" si="6"/>
        <v>5.4579999999999984</v>
      </c>
      <c r="I64" s="22">
        <f t="shared" si="7"/>
        <v>6.9579999999999984</v>
      </c>
      <c r="J64" s="22">
        <f t="shared" si="8"/>
        <v>12.415999999999997</v>
      </c>
    </row>
    <row r="65" spans="1:10" ht="15.75" x14ac:dyDescent="0.25">
      <c r="A65" s="11" t="s">
        <v>105</v>
      </c>
      <c r="B65" s="24">
        <v>2.5</v>
      </c>
      <c r="C65" s="24">
        <v>2.5</v>
      </c>
      <c r="D65" s="24"/>
      <c r="E65" s="24"/>
      <c r="F65" s="24"/>
      <c r="G65" s="24"/>
      <c r="H65" s="22">
        <f t="shared" si="6"/>
        <v>7.9579999999999984</v>
      </c>
      <c r="I65" s="22">
        <f t="shared" si="7"/>
        <v>9.4579999999999984</v>
      </c>
      <c r="J65" s="22">
        <f t="shared" si="8"/>
        <v>17.415999999999997</v>
      </c>
    </row>
    <row r="66" spans="1:10" ht="15.75" x14ac:dyDescent="0.25">
      <c r="A66" s="11" t="s">
        <v>119</v>
      </c>
      <c r="B66" s="24"/>
      <c r="C66" s="24"/>
      <c r="D66" s="24"/>
      <c r="E66" s="24"/>
      <c r="F66" s="24">
        <v>1</v>
      </c>
      <c r="G66" s="24"/>
      <c r="H66" s="22">
        <f t="shared" si="6"/>
        <v>6.9579999999999984</v>
      </c>
      <c r="I66" s="22">
        <f t="shared" si="7"/>
        <v>9.4579999999999984</v>
      </c>
      <c r="J66" s="22">
        <f t="shared" si="8"/>
        <v>16.415999999999997</v>
      </c>
    </row>
    <row r="67" spans="1:10" ht="15.75" x14ac:dyDescent="0.25">
      <c r="A67" s="11" t="s">
        <v>107</v>
      </c>
      <c r="B67" s="24">
        <v>1.25</v>
      </c>
      <c r="C67" s="24">
        <v>1.25</v>
      </c>
      <c r="D67" s="24"/>
      <c r="E67" s="24"/>
      <c r="F67" s="24"/>
      <c r="G67" s="24"/>
      <c r="H67" s="22">
        <f t="shared" si="6"/>
        <v>8.2079999999999984</v>
      </c>
      <c r="I67" s="22">
        <f t="shared" si="7"/>
        <v>10.707999999999998</v>
      </c>
      <c r="J67" s="22">
        <f t="shared" si="8"/>
        <v>18.915999999999997</v>
      </c>
    </row>
    <row r="68" spans="1:10" ht="15.75" x14ac:dyDescent="0.25">
      <c r="A68" s="11" t="s">
        <v>108</v>
      </c>
      <c r="B68" s="24">
        <v>1.25</v>
      </c>
      <c r="C68" s="24">
        <v>1.25</v>
      </c>
      <c r="D68" s="24"/>
      <c r="E68" s="24"/>
      <c r="F68" s="24"/>
      <c r="G68" s="24"/>
      <c r="H68" s="22">
        <f t="shared" si="6"/>
        <v>9.4579999999999984</v>
      </c>
      <c r="I68" s="22">
        <f t="shared" si="7"/>
        <v>11.957999999999998</v>
      </c>
      <c r="J68" s="22">
        <f t="shared" si="8"/>
        <v>21.415999999999997</v>
      </c>
    </row>
    <row r="69" spans="1:10" ht="15.75" x14ac:dyDescent="0.25">
      <c r="A69" s="11" t="s">
        <v>109</v>
      </c>
      <c r="B69" s="24"/>
      <c r="C69" s="24"/>
      <c r="D69" s="24"/>
      <c r="E69" s="24">
        <v>1</v>
      </c>
      <c r="F69" s="24"/>
      <c r="G69" s="24"/>
      <c r="H69" s="22">
        <f t="shared" si="6"/>
        <v>9.4579999999999984</v>
      </c>
      <c r="I69" s="22">
        <f t="shared" si="7"/>
        <v>10.957999999999998</v>
      </c>
      <c r="J69" s="22">
        <f t="shared" si="8"/>
        <v>20.415999999999997</v>
      </c>
    </row>
    <row r="70" spans="1:10" ht="15.75" x14ac:dyDescent="0.25">
      <c r="A70" s="11" t="s">
        <v>110</v>
      </c>
      <c r="B70" s="24"/>
      <c r="C70" s="24"/>
      <c r="D70" s="24"/>
      <c r="E70" s="24">
        <v>1</v>
      </c>
      <c r="F70" s="24"/>
      <c r="G70" s="24"/>
      <c r="H70" s="22">
        <f t="shared" si="6"/>
        <v>9.4579999999999984</v>
      </c>
      <c r="I70" s="22">
        <f t="shared" si="7"/>
        <v>9.9579999999999984</v>
      </c>
      <c r="J70" s="22">
        <f t="shared" si="8"/>
        <v>19.415999999999997</v>
      </c>
    </row>
    <row r="71" spans="1:10" ht="15.75" x14ac:dyDescent="0.25">
      <c r="A71" s="11" t="s">
        <v>111</v>
      </c>
      <c r="B71" s="24">
        <v>1.25</v>
      </c>
      <c r="C71" s="24">
        <v>1.25</v>
      </c>
      <c r="D71" s="24"/>
      <c r="E71" s="24"/>
      <c r="F71" s="24"/>
      <c r="G71" s="24"/>
      <c r="H71" s="22">
        <f t="shared" si="6"/>
        <v>10.707999999999998</v>
      </c>
      <c r="I71" s="22">
        <f t="shared" si="7"/>
        <v>11.207999999999998</v>
      </c>
      <c r="J71" s="22">
        <f t="shared" si="8"/>
        <v>21.915999999999997</v>
      </c>
    </row>
    <row r="72" spans="1:10" ht="15.75" x14ac:dyDescent="0.25">
      <c r="A72" s="11" t="s">
        <v>112</v>
      </c>
      <c r="B72" s="24"/>
      <c r="C72" s="24"/>
      <c r="D72" s="24"/>
      <c r="E72" s="24">
        <v>1</v>
      </c>
      <c r="F72" s="24"/>
      <c r="G72" s="24"/>
      <c r="H72" s="22">
        <f t="shared" si="6"/>
        <v>10.707999999999998</v>
      </c>
      <c r="I72" s="22">
        <f t="shared" si="7"/>
        <v>10.207999999999998</v>
      </c>
      <c r="J72" s="22">
        <f t="shared" si="8"/>
        <v>20.915999999999997</v>
      </c>
    </row>
    <row r="73" spans="1:10" ht="15.75" x14ac:dyDescent="0.25">
      <c r="A73" s="11" t="s">
        <v>113</v>
      </c>
      <c r="B73" s="24"/>
      <c r="C73" s="24"/>
      <c r="D73" s="24"/>
      <c r="E73" s="24">
        <v>2</v>
      </c>
      <c r="F73" s="24"/>
      <c r="G73" s="24"/>
      <c r="H73" s="22">
        <f t="shared" si="6"/>
        <v>10.707999999999998</v>
      </c>
      <c r="I73" s="22">
        <f t="shared" si="7"/>
        <v>8.2079999999999984</v>
      </c>
      <c r="J73" s="22">
        <f t="shared" si="8"/>
        <v>18.915999999999997</v>
      </c>
    </row>
    <row r="74" spans="1:10" ht="15.75" x14ac:dyDescent="0.25">
      <c r="A74" s="11" t="s">
        <v>114</v>
      </c>
      <c r="B74" s="24">
        <v>1.25</v>
      </c>
      <c r="C74" s="24">
        <v>1.25</v>
      </c>
      <c r="D74" s="24"/>
      <c r="E74" s="24"/>
      <c r="F74" s="24"/>
      <c r="G74" s="24"/>
      <c r="H74" s="22">
        <f t="shared" si="6"/>
        <v>11.957999999999998</v>
      </c>
      <c r="I74" s="22">
        <f t="shared" si="7"/>
        <v>9.4579999999999984</v>
      </c>
      <c r="J74" s="22">
        <f t="shared" si="8"/>
        <v>21.415999999999997</v>
      </c>
    </row>
    <row r="75" spans="1:10" ht="15.75" x14ac:dyDescent="0.25">
      <c r="A75" s="11" t="s">
        <v>115</v>
      </c>
      <c r="B75" s="24"/>
      <c r="C75" s="24"/>
      <c r="D75" s="24"/>
      <c r="E75" s="24">
        <v>2</v>
      </c>
      <c r="F75" s="24"/>
      <c r="G75" s="24"/>
      <c r="H75" s="22">
        <f t="shared" si="6"/>
        <v>11.957999999999998</v>
      </c>
      <c r="I75" s="22">
        <f t="shared" si="7"/>
        <v>7.4579999999999984</v>
      </c>
      <c r="J75" s="22">
        <f t="shared" si="8"/>
        <v>19.415999999999997</v>
      </c>
    </row>
    <row r="76" spans="1:10" ht="15.75" x14ac:dyDescent="0.25">
      <c r="A76" s="11" t="s">
        <v>116</v>
      </c>
      <c r="B76" s="24">
        <v>1.25</v>
      </c>
      <c r="C76" s="24">
        <v>1.25</v>
      </c>
      <c r="D76" s="24"/>
      <c r="E76" s="24"/>
      <c r="F76" s="24"/>
      <c r="G76" s="24"/>
      <c r="H76" s="22">
        <f t="shared" si="6"/>
        <v>13.207999999999998</v>
      </c>
      <c r="I76" s="22">
        <f t="shared" si="7"/>
        <v>8.7079999999999984</v>
      </c>
      <c r="J76" s="22">
        <f t="shared" si="8"/>
        <v>21.915999999999997</v>
      </c>
    </row>
    <row r="77" spans="1:10" ht="15.75" x14ac:dyDescent="0.25">
      <c r="A77" s="11" t="s">
        <v>117</v>
      </c>
      <c r="B77" s="24"/>
      <c r="C77" s="24"/>
      <c r="D77" s="24"/>
      <c r="E77" s="24"/>
      <c r="F77" s="24">
        <v>1</v>
      </c>
      <c r="G77" s="24"/>
      <c r="H77" s="22">
        <f t="shared" si="6"/>
        <v>12.207999999999998</v>
      </c>
      <c r="I77" s="22">
        <f t="shared" si="7"/>
        <v>8.7079999999999984</v>
      </c>
      <c r="J77" s="22">
        <f t="shared" si="8"/>
        <v>20.915999999999997</v>
      </c>
    </row>
    <row r="78" spans="1:10" ht="15.75" x14ac:dyDescent="0.25">
      <c r="A78" s="11" t="s">
        <v>118</v>
      </c>
      <c r="B78" s="24"/>
      <c r="C78" s="24"/>
      <c r="D78" s="24"/>
      <c r="E78" s="24"/>
      <c r="F78" s="24"/>
      <c r="G78" s="24">
        <v>2</v>
      </c>
      <c r="H78" s="22">
        <f t="shared" si="6"/>
        <v>12.207999999999998</v>
      </c>
      <c r="I78" s="22">
        <f t="shared" si="7"/>
        <v>8.7079999999999984</v>
      </c>
      <c r="J78" s="22">
        <f t="shared" si="8"/>
        <v>20.915999999999997</v>
      </c>
    </row>
    <row r="79" spans="1:10" ht="15.75" x14ac:dyDescent="0.25">
      <c r="A79" s="11" t="s">
        <v>136</v>
      </c>
      <c r="B79" s="24">
        <v>3.75</v>
      </c>
      <c r="C79" s="24">
        <v>3.75</v>
      </c>
      <c r="D79" s="24"/>
      <c r="E79" s="24"/>
      <c r="F79" s="24"/>
      <c r="G79" s="24"/>
      <c r="H79" s="22">
        <f t="shared" si="6"/>
        <v>15.957999999999998</v>
      </c>
      <c r="I79" s="22">
        <f t="shared" si="7"/>
        <v>12.457999999999998</v>
      </c>
      <c r="J79" s="22">
        <f t="shared" si="8"/>
        <v>28.415999999999997</v>
      </c>
    </row>
    <row r="80" spans="1:10" ht="15.75" x14ac:dyDescent="0.25">
      <c r="A80" s="11" t="s">
        <v>120</v>
      </c>
      <c r="B80" s="24"/>
      <c r="C80" s="24"/>
      <c r="D80" s="24">
        <v>10</v>
      </c>
      <c r="E80" s="24"/>
      <c r="F80" s="24"/>
      <c r="G80" s="24"/>
      <c r="H80" s="24">
        <f t="shared" si="6"/>
        <v>5.9579999999999984</v>
      </c>
      <c r="I80" s="24">
        <f t="shared" si="7"/>
        <v>12.457999999999998</v>
      </c>
      <c r="J80" s="24">
        <f t="shared" si="8"/>
        <v>18.415999999999997</v>
      </c>
    </row>
    <row r="81" spans="1:10" ht="15.75" x14ac:dyDescent="0.25">
      <c r="A81" s="11" t="s">
        <v>129</v>
      </c>
      <c r="B81" s="24">
        <v>1.25</v>
      </c>
      <c r="C81" s="24">
        <v>1.25</v>
      </c>
      <c r="D81" s="24"/>
      <c r="E81" s="24"/>
      <c r="F81" s="24"/>
      <c r="G81" s="24"/>
      <c r="H81" s="24">
        <f t="shared" ref="H81:H82" si="9">H80-F81-D81+B81</f>
        <v>7.2079999999999984</v>
      </c>
      <c r="I81" s="24">
        <f t="shared" ref="I81:I82" si="10">I80-E81+C81</f>
        <v>13.707999999999998</v>
      </c>
      <c r="J81" s="24">
        <f t="shared" ref="J81:J82" si="11">H81+I81</f>
        <v>20.915999999999997</v>
      </c>
    </row>
    <row r="82" spans="1:10" ht="15.75" x14ac:dyDescent="0.25">
      <c r="A82" s="11" t="s">
        <v>123</v>
      </c>
      <c r="B82" s="24"/>
      <c r="C82" s="24"/>
      <c r="D82" s="24"/>
      <c r="E82" s="24">
        <v>4</v>
      </c>
      <c r="F82" s="24"/>
      <c r="G82" s="24"/>
      <c r="H82" s="24">
        <f t="shared" si="9"/>
        <v>7.2079999999999984</v>
      </c>
      <c r="I82" s="24">
        <f t="shared" si="10"/>
        <v>9.7079999999999984</v>
      </c>
      <c r="J82" s="24">
        <f t="shared" si="11"/>
        <v>16.915999999999997</v>
      </c>
    </row>
    <row r="83" spans="1:10" ht="15.75" x14ac:dyDescent="0.25">
      <c r="A83" s="11" t="s">
        <v>127</v>
      </c>
      <c r="B83" s="24"/>
      <c r="C83" s="24"/>
      <c r="D83" s="24"/>
      <c r="E83" s="24">
        <v>1</v>
      </c>
      <c r="F83" s="24"/>
      <c r="G83" s="24"/>
      <c r="H83" s="24">
        <f t="shared" ref="H83" si="12">H82-F83-D83+B83</f>
        <v>7.2079999999999984</v>
      </c>
      <c r="I83" s="24">
        <f t="shared" ref="I83" si="13">I82-E83+C83</f>
        <v>8.7079999999999984</v>
      </c>
      <c r="J83" s="24">
        <f t="shared" ref="J83" si="14">H83+I83</f>
        <v>15.915999999999997</v>
      </c>
    </row>
    <row r="84" spans="1:10" ht="15.75" x14ac:dyDescent="0.25">
      <c r="A84" s="11" t="s">
        <v>128</v>
      </c>
      <c r="B84" s="24"/>
      <c r="C84" s="24"/>
      <c r="D84" s="24"/>
      <c r="E84" s="24">
        <v>1</v>
      </c>
      <c r="F84" s="24"/>
      <c r="G84" s="24"/>
      <c r="H84" s="24">
        <f t="shared" ref="H84" si="15">H83-F84-D84+B84</f>
        <v>7.2079999999999984</v>
      </c>
      <c r="I84" s="24">
        <f t="shared" ref="I84" si="16">I83-E84+C84</f>
        <v>7.7079999999999984</v>
      </c>
      <c r="J84" s="24">
        <f t="shared" ref="J84" si="17">H84+I84</f>
        <v>14.915999999999997</v>
      </c>
    </row>
    <row r="85" spans="1:10" ht="15.75" x14ac:dyDescent="0.25">
      <c r="A85" s="11" t="s">
        <v>130</v>
      </c>
      <c r="B85" s="24"/>
      <c r="C85" s="24"/>
      <c r="D85" s="24"/>
      <c r="E85" s="24">
        <v>1</v>
      </c>
      <c r="F85" s="24"/>
      <c r="G85" s="24"/>
      <c r="H85" s="24">
        <f t="shared" ref="H85:H88" si="18">H84-F85-D85+B85</f>
        <v>7.2079999999999984</v>
      </c>
      <c r="I85" s="24">
        <f t="shared" ref="I85:I88" si="19">I84-E85+C85</f>
        <v>6.7079999999999984</v>
      </c>
      <c r="J85" s="24">
        <f t="shared" ref="J85:J88" si="20">H85+I85</f>
        <v>13.915999999999997</v>
      </c>
    </row>
    <row r="86" spans="1:10" ht="15.75" x14ac:dyDescent="0.25">
      <c r="A86" s="11" t="s">
        <v>133</v>
      </c>
      <c r="B86" s="24">
        <v>1.25</v>
      </c>
      <c r="C86" s="24">
        <v>1.25</v>
      </c>
      <c r="D86" s="24"/>
      <c r="E86" s="24"/>
      <c r="F86" s="24"/>
      <c r="G86" s="24"/>
      <c r="H86" s="24">
        <f t="shared" si="18"/>
        <v>8.4579999999999984</v>
      </c>
      <c r="I86" s="24">
        <f t="shared" si="19"/>
        <v>7.9579999999999984</v>
      </c>
      <c r="J86" s="24">
        <f t="shared" si="20"/>
        <v>16.415999999999997</v>
      </c>
    </row>
    <row r="87" spans="1:10" ht="15.75" x14ac:dyDescent="0.25">
      <c r="A87" s="11" t="s">
        <v>134</v>
      </c>
      <c r="B87" s="24"/>
      <c r="C87" s="24"/>
      <c r="D87" s="24"/>
      <c r="E87" s="24"/>
      <c r="F87" s="24">
        <v>4</v>
      </c>
      <c r="G87" s="24"/>
      <c r="H87" s="24">
        <f t="shared" si="18"/>
        <v>4.4579999999999984</v>
      </c>
      <c r="I87" s="24">
        <f t="shared" si="19"/>
        <v>7.9579999999999984</v>
      </c>
      <c r="J87" s="24">
        <f t="shared" si="20"/>
        <v>12.415999999999997</v>
      </c>
    </row>
    <row r="88" spans="1:10" ht="15.75" x14ac:dyDescent="0.25">
      <c r="A88" s="11" t="s">
        <v>135</v>
      </c>
      <c r="B88" s="24"/>
      <c r="C88" s="24"/>
      <c r="D88" s="24"/>
      <c r="E88" s="24"/>
      <c r="F88" s="24"/>
      <c r="G88" s="24">
        <v>1</v>
      </c>
      <c r="H88" s="24">
        <f t="shared" si="18"/>
        <v>4.4579999999999984</v>
      </c>
      <c r="I88" s="24">
        <f t="shared" si="19"/>
        <v>7.9579999999999984</v>
      </c>
      <c r="J88" s="24">
        <f t="shared" si="20"/>
        <v>12.415999999999997</v>
      </c>
    </row>
    <row r="89" spans="1:10" ht="15.75" x14ac:dyDescent="0.25">
      <c r="A89" s="11" t="s">
        <v>137</v>
      </c>
      <c r="B89" s="24">
        <v>1.25</v>
      </c>
      <c r="C89" s="24">
        <v>1.25</v>
      </c>
      <c r="D89" s="24"/>
      <c r="E89" s="24"/>
      <c r="F89" s="24"/>
      <c r="G89" s="24"/>
      <c r="H89" s="24">
        <f t="shared" ref="H89:H91" si="21">H88-F89-D89+B89</f>
        <v>5.7079999999999984</v>
      </c>
      <c r="I89" s="24">
        <f t="shared" ref="I89:I91" si="22">I88-E89+C89</f>
        <v>9.2079999999999984</v>
      </c>
      <c r="J89" s="24">
        <f t="shared" ref="J89:J91" si="23">H89+I89</f>
        <v>14.915999999999997</v>
      </c>
    </row>
    <row r="90" spans="1:10" ht="15.75" x14ac:dyDescent="0.25">
      <c r="A90" s="11" t="s">
        <v>138</v>
      </c>
      <c r="B90" s="24"/>
      <c r="C90" s="24"/>
      <c r="D90" s="24"/>
      <c r="E90" s="24">
        <v>2</v>
      </c>
      <c r="F90" s="24"/>
      <c r="G90" s="24"/>
      <c r="H90" s="24">
        <f t="shared" si="21"/>
        <v>5.7079999999999984</v>
      </c>
      <c r="I90" s="24">
        <f t="shared" si="22"/>
        <v>7.2079999999999984</v>
      </c>
      <c r="J90" s="24">
        <f t="shared" si="23"/>
        <v>12.915999999999997</v>
      </c>
    </row>
    <row r="91" spans="1:10" ht="15.75" x14ac:dyDescent="0.25">
      <c r="A91" s="11" t="s">
        <v>139</v>
      </c>
      <c r="B91" s="24"/>
      <c r="C91" s="24"/>
      <c r="D91" s="24">
        <v>1</v>
      </c>
      <c r="E91" s="24"/>
      <c r="F91" s="24"/>
      <c r="G91" s="24"/>
      <c r="H91" s="24">
        <f t="shared" si="21"/>
        <v>4.7079999999999984</v>
      </c>
      <c r="I91" s="24">
        <f t="shared" si="22"/>
        <v>7.2079999999999984</v>
      </c>
      <c r="J91" s="24">
        <f t="shared" si="23"/>
        <v>11.915999999999997</v>
      </c>
    </row>
    <row r="92" spans="1:10" ht="15.75" x14ac:dyDescent="0.25">
      <c r="A92" s="11" t="s">
        <v>140</v>
      </c>
      <c r="B92" s="24">
        <v>1.25</v>
      </c>
      <c r="C92" s="24">
        <v>1.25</v>
      </c>
      <c r="D92" s="24"/>
      <c r="E92" s="24"/>
      <c r="F92" s="24"/>
      <c r="G92" s="24"/>
      <c r="H92" s="24">
        <f t="shared" ref="H92:H93" si="24">H91-F92-D92+B92</f>
        <v>5.9579999999999984</v>
      </c>
      <c r="I92" s="24">
        <f t="shared" ref="I92:I93" si="25">I91-E92+C92</f>
        <v>8.4579999999999984</v>
      </c>
      <c r="J92" s="24">
        <f t="shared" ref="J92:J93" si="26">H92+I92</f>
        <v>14.415999999999997</v>
      </c>
    </row>
    <row r="93" spans="1:10" ht="15.75" x14ac:dyDescent="0.25">
      <c r="A93" s="11" t="s">
        <v>141</v>
      </c>
      <c r="B93" s="24"/>
      <c r="C93" s="24"/>
      <c r="D93" s="24"/>
      <c r="E93" s="24"/>
      <c r="F93" s="24"/>
      <c r="G93" s="42">
        <v>2</v>
      </c>
      <c r="H93" s="24">
        <f t="shared" si="24"/>
        <v>5.9579999999999984</v>
      </c>
      <c r="I93" s="24">
        <f t="shared" si="25"/>
        <v>8.4579999999999984</v>
      </c>
      <c r="J93" s="24">
        <f t="shared" si="26"/>
        <v>14.415999999999997</v>
      </c>
    </row>
    <row r="94" spans="1:10" ht="15.75" x14ac:dyDescent="0.25">
      <c r="A94" s="11" t="s">
        <v>145</v>
      </c>
      <c r="B94" s="24">
        <v>2.5</v>
      </c>
      <c r="C94" s="24">
        <v>2.5</v>
      </c>
      <c r="D94" s="24"/>
      <c r="E94" s="24"/>
      <c r="F94" s="24"/>
      <c r="G94" s="24"/>
      <c r="H94" s="24">
        <f t="shared" ref="H94" si="27">H93-F94-D94+B94</f>
        <v>8.4579999999999984</v>
      </c>
      <c r="I94" s="24">
        <f t="shared" ref="I94" si="28">I93-E94+C94</f>
        <v>10.957999999999998</v>
      </c>
      <c r="J94" s="24">
        <f t="shared" ref="J94" si="29">H94+I94</f>
        <v>19.415999999999997</v>
      </c>
    </row>
    <row r="95" spans="1:10" ht="15.75" x14ac:dyDescent="0.25">
      <c r="A95" s="11" t="s">
        <v>146</v>
      </c>
      <c r="B95" s="24"/>
      <c r="C95" s="24"/>
      <c r="D95" s="24"/>
      <c r="E95" s="24">
        <v>4</v>
      </c>
      <c r="F95" s="24"/>
      <c r="G95" s="24"/>
      <c r="H95" s="24">
        <f t="shared" ref="H95" si="30">H94-F95-D95+B95</f>
        <v>8.4579999999999984</v>
      </c>
      <c r="I95" s="24">
        <f t="shared" ref="I95" si="31">I94-E95+C95</f>
        <v>6.9579999999999984</v>
      </c>
      <c r="J95" s="24">
        <f t="shared" ref="J95" si="32">H95+I95</f>
        <v>15.415999999999997</v>
      </c>
    </row>
    <row r="96" spans="1:10" ht="15.75" x14ac:dyDescent="0.25">
      <c r="A96" s="11" t="s">
        <v>147</v>
      </c>
      <c r="B96" s="24"/>
      <c r="C96" s="24"/>
      <c r="D96" s="24"/>
      <c r="E96" s="24"/>
      <c r="F96" s="58">
        <v>2</v>
      </c>
      <c r="G96" s="24"/>
      <c r="H96" s="24">
        <f t="shared" ref="H96:H97" si="33">H95-F96-D96+B96</f>
        <v>6.4579999999999984</v>
      </c>
      <c r="I96" s="24">
        <f t="shared" ref="I96:I97" si="34">I95-E96+C96</f>
        <v>6.9579999999999984</v>
      </c>
      <c r="J96" s="24">
        <f t="shared" ref="J96:J97" si="35">H96+I96</f>
        <v>13.415999999999997</v>
      </c>
    </row>
    <row r="97" spans="1:10" ht="15.75" x14ac:dyDescent="0.25">
      <c r="A97" s="11" t="s">
        <v>148</v>
      </c>
      <c r="B97" s="24"/>
      <c r="C97" s="24"/>
      <c r="D97" s="24"/>
      <c r="E97" s="24">
        <v>1</v>
      </c>
      <c r="F97" s="24"/>
      <c r="G97" s="24"/>
      <c r="H97" s="24">
        <f t="shared" si="33"/>
        <v>6.4579999999999984</v>
      </c>
      <c r="I97" s="24">
        <f t="shared" si="34"/>
        <v>5.9579999999999984</v>
      </c>
      <c r="J97" s="24">
        <f t="shared" si="35"/>
        <v>12.415999999999997</v>
      </c>
    </row>
    <row r="98" spans="1:10" ht="15.75" x14ac:dyDescent="0.25">
      <c r="A98" s="11" t="s">
        <v>150</v>
      </c>
      <c r="B98" s="24">
        <v>2.5</v>
      </c>
      <c r="C98" s="24">
        <v>2.5</v>
      </c>
      <c r="D98" s="24"/>
      <c r="E98" s="24"/>
      <c r="F98" s="24"/>
      <c r="G98" s="24"/>
      <c r="H98" s="24">
        <f t="shared" ref="H98:H99" si="36">H97-F98-D98+B98</f>
        <v>8.9579999999999984</v>
      </c>
      <c r="I98" s="24">
        <f t="shared" ref="I98:I99" si="37">I97-E98+C98</f>
        <v>8.4579999999999984</v>
      </c>
      <c r="J98" s="24">
        <f t="shared" ref="J98:J99" si="38">H98+I98</f>
        <v>17.415999999999997</v>
      </c>
    </row>
    <row r="99" spans="1:10" ht="15.75" x14ac:dyDescent="0.25">
      <c r="A99" s="11" t="s">
        <v>151</v>
      </c>
      <c r="B99" s="24"/>
      <c r="C99" s="24"/>
      <c r="D99" s="24"/>
      <c r="E99" s="24">
        <v>2</v>
      </c>
      <c r="F99" s="24"/>
      <c r="G99" s="24"/>
      <c r="H99" s="24">
        <f t="shared" si="36"/>
        <v>8.9579999999999984</v>
      </c>
      <c r="I99" s="24">
        <f t="shared" si="37"/>
        <v>6.4579999999999984</v>
      </c>
      <c r="J99" s="24">
        <f t="shared" si="38"/>
        <v>15.415999999999997</v>
      </c>
    </row>
    <row r="100" spans="1:10" ht="15.75" x14ac:dyDescent="0.25">
      <c r="A100" s="11" t="s">
        <v>152</v>
      </c>
      <c r="B100" s="24">
        <v>1.25</v>
      </c>
      <c r="C100" s="24">
        <v>1.25</v>
      </c>
      <c r="D100" s="24"/>
      <c r="E100" s="24"/>
      <c r="F100" s="24"/>
      <c r="G100" s="24"/>
      <c r="H100" s="24">
        <f t="shared" ref="H100:H101" si="39">H99-F100-D100+B100</f>
        <v>10.207999999999998</v>
      </c>
      <c r="I100" s="24">
        <f t="shared" ref="I100:I101" si="40">I99-E100+C100</f>
        <v>7.7079999999999984</v>
      </c>
      <c r="J100" s="24">
        <f t="shared" ref="J100:J101" si="41">H100+I100</f>
        <v>17.915999999999997</v>
      </c>
    </row>
    <row r="101" spans="1:10" ht="15.75" x14ac:dyDescent="0.25">
      <c r="A101" s="11" t="s">
        <v>153</v>
      </c>
      <c r="B101" s="24"/>
      <c r="C101" s="24"/>
      <c r="D101" s="24"/>
      <c r="E101" s="24"/>
      <c r="F101" s="58">
        <v>1</v>
      </c>
      <c r="G101" s="24"/>
      <c r="H101" s="24">
        <f t="shared" si="39"/>
        <v>9.2079999999999984</v>
      </c>
      <c r="I101" s="24">
        <f t="shared" si="40"/>
        <v>7.7079999999999984</v>
      </c>
      <c r="J101" s="24">
        <f t="shared" si="41"/>
        <v>16.915999999999997</v>
      </c>
    </row>
    <row r="102" spans="1:10" ht="15.75" x14ac:dyDescent="0.25">
      <c r="A102" s="11" t="s">
        <v>154</v>
      </c>
      <c r="B102" s="24"/>
      <c r="C102" s="24"/>
      <c r="D102" s="24"/>
      <c r="E102" s="24"/>
      <c r="F102" s="24"/>
      <c r="G102" s="42">
        <v>1</v>
      </c>
      <c r="H102" s="24">
        <f t="shared" ref="H102:H105" si="42">H101-F102-D102+B102</f>
        <v>9.2079999999999984</v>
      </c>
      <c r="I102" s="24">
        <f t="shared" ref="I102:I105" si="43">I101-E102+C102</f>
        <v>7.7079999999999984</v>
      </c>
      <c r="J102" s="24">
        <f t="shared" ref="J102:J105" si="44">H102+I102</f>
        <v>16.915999999999997</v>
      </c>
    </row>
    <row r="103" spans="1:10" ht="15.75" x14ac:dyDescent="0.25">
      <c r="A103" s="11" t="s">
        <v>155</v>
      </c>
      <c r="B103" s="24"/>
      <c r="C103" s="24"/>
      <c r="D103" s="24"/>
      <c r="E103" s="24"/>
      <c r="F103" s="58">
        <v>2</v>
      </c>
      <c r="G103" s="24"/>
      <c r="H103" s="24">
        <f t="shared" si="42"/>
        <v>7.2079999999999984</v>
      </c>
      <c r="I103" s="24">
        <f t="shared" si="43"/>
        <v>7.7079999999999984</v>
      </c>
      <c r="J103" s="24">
        <f t="shared" si="44"/>
        <v>14.915999999999997</v>
      </c>
    </row>
    <row r="104" spans="1:10" ht="15.75" x14ac:dyDescent="0.25">
      <c r="A104" s="11" t="s">
        <v>156</v>
      </c>
      <c r="B104" s="24"/>
      <c r="C104" s="24"/>
      <c r="D104" s="24"/>
      <c r="E104" s="24">
        <v>2</v>
      </c>
      <c r="F104" s="24"/>
      <c r="G104" s="24"/>
      <c r="H104" s="24">
        <f t="shared" si="42"/>
        <v>7.2079999999999984</v>
      </c>
      <c r="I104" s="24">
        <f t="shared" si="43"/>
        <v>5.7079999999999984</v>
      </c>
      <c r="J104" s="24">
        <f t="shared" si="44"/>
        <v>12.915999999999997</v>
      </c>
    </row>
    <row r="105" spans="1:10" ht="15.75" x14ac:dyDescent="0.25">
      <c r="A105" s="11" t="s">
        <v>157</v>
      </c>
      <c r="B105" s="24"/>
      <c r="C105" s="24"/>
      <c r="D105" s="24"/>
      <c r="E105" s="24">
        <v>2</v>
      </c>
      <c r="F105" s="24"/>
      <c r="G105" s="24"/>
      <c r="H105" s="24">
        <f t="shared" si="42"/>
        <v>7.2079999999999984</v>
      </c>
      <c r="I105" s="24">
        <f t="shared" si="43"/>
        <v>3.7079999999999984</v>
      </c>
      <c r="J105" s="24">
        <f t="shared" si="44"/>
        <v>10.915999999999997</v>
      </c>
    </row>
    <row r="106" spans="1:10" ht="15.75" x14ac:dyDescent="0.25">
      <c r="A106" s="11" t="s">
        <v>158</v>
      </c>
      <c r="B106" s="24">
        <v>2.5</v>
      </c>
      <c r="C106" s="24">
        <v>2.5</v>
      </c>
      <c r="D106" s="24"/>
      <c r="E106" s="24"/>
      <c r="F106" s="24"/>
      <c r="G106" s="24"/>
      <c r="H106" s="24">
        <f t="shared" ref="H106:H107" si="45">H105-F106-D106+B106</f>
        <v>9.7079999999999984</v>
      </c>
      <c r="I106" s="24">
        <f t="shared" ref="I106:I107" si="46">I105-E106+C106</f>
        <v>6.2079999999999984</v>
      </c>
      <c r="J106" s="24">
        <f t="shared" ref="J106:J107" si="47">H106+I106</f>
        <v>15.915999999999997</v>
      </c>
    </row>
    <row r="107" spans="1:10" ht="15.75" x14ac:dyDescent="0.25">
      <c r="A107" s="11" t="s">
        <v>159</v>
      </c>
      <c r="B107" s="24"/>
      <c r="C107" s="24"/>
      <c r="D107" s="24"/>
      <c r="E107" s="24">
        <v>2</v>
      </c>
      <c r="F107" s="24"/>
      <c r="G107" s="24"/>
      <c r="H107" s="24">
        <f t="shared" si="45"/>
        <v>9.7079999999999984</v>
      </c>
      <c r="I107" s="24">
        <f t="shared" si="46"/>
        <v>4.2079999999999984</v>
      </c>
      <c r="J107" s="24">
        <f t="shared" si="47"/>
        <v>13.915999999999997</v>
      </c>
    </row>
    <row r="108" spans="1:10" ht="15.75" x14ac:dyDescent="0.25">
      <c r="A108" s="11" t="s">
        <v>160</v>
      </c>
      <c r="B108" s="24"/>
      <c r="C108" s="24"/>
      <c r="D108" s="24">
        <v>1</v>
      </c>
      <c r="E108" s="24"/>
      <c r="F108" s="24"/>
      <c r="G108" s="24"/>
      <c r="H108" s="24">
        <f t="shared" ref="H108" si="48">H107-F108-D108+B108</f>
        <v>8.7079999999999984</v>
      </c>
      <c r="I108" s="24">
        <f t="shared" ref="I108" si="49">I107-E108+C108</f>
        <v>4.2079999999999984</v>
      </c>
      <c r="J108" s="24">
        <f t="shared" ref="J108" si="50">H108+I108</f>
        <v>12.915999999999997</v>
      </c>
    </row>
    <row r="109" spans="1:10" ht="15.75" x14ac:dyDescent="0.25">
      <c r="A109" s="11" t="s">
        <v>161</v>
      </c>
      <c r="B109" s="24">
        <v>1.25</v>
      </c>
      <c r="C109" s="24">
        <v>1.25</v>
      </c>
      <c r="D109" s="24"/>
      <c r="E109" s="24"/>
      <c r="F109" s="24"/>
      <c r="G109" s="24"/>
      <c r="H109" s="24">
        <f t="shared" ref="H109:H110" si="51">H108-F109-D109+B109</f>
        <v>9.9579999999999984</v>
      </c>
      <c r="I109" s="24">
        <f t="shared" ref="I109:I110" si="52">I108-E109+C109</f>
        <v>5.4579999999999984</v>
      </c>
      <c r="J109" s="24">
        <f t="shared" ref="J109:J110" si="53">H109+I109</f>
        <v>15.415999999999997</v>
      </c>
    </row>
    <row r="110" spans="1:10" ht="15.75" x14ac:dyDescent="0.25">
      <c r="A110" s="11" t="s">
        <v>162</v>
      </c>
      <c r="B110" s="24"/>
      <c r="C110" s="24"/>
      <c r="D110" s="24">
        <v>3</v>
      </c>
      <c r="E110" s="24"/>
      <c r="F110" s="24"/>
      <c r="G110" s="24"/>
      <c r="H110" s="24">
        <f t="shared" si="51"/>
        <v>6.9579999999999984</v>
      </c>
      <c r="I110" s="24">
        <f t="shared" si="52"/>
        <v>5.4579999999999984</v>
      </c>
      <c r="J110" s="24">
        <f t="shared" si="53"/>
        <v>12.415999999999997</v>
      </c>
    </row>
    <row r="111" spans="1:10" ht="15.75" x14ac:dyDescent="0.25">
      <c r="A111" s="11" t="s">
        <v>163</v>
      </c>
      <c r="B111" s="24"/>
      <c r="C111" s="24"/>
      <c r="D111" s="24"/>
      <c r="E111" s="24">
        <v>0.5</v>
      </c>
      <c r="F111" s="24"/>
      <c r="G111" s="24"/>
      <c r="H111" s="24">
        <f t="shared" ref="H111" si="54">H110-F111-D111+B111</f>
        <v>6.9579999999999984</v>
      </c>
      <c r="I111" s="24">
        <f t="shared" ref="I111" si="55">I110-E111+C111</f>
        <v>4.9579999999999984</v>
      </c>
      <c r="J111" s="24">
        <f t="shared" ref="J111" si="56">H111+I111</f>
        <v>11.915999999999997</v>
      </c>
    </row>
    <row r="112" spans="1:10" ht="15.75" x14ac:dyDescent="0.25">
      <c r="A112" s="9"/>
      <c r="B112" s="25"/>
      <c r="C112" s="25"/>
      <c r="D112" s="25"/>
      <c r="E112" s="25"/>
      <c r="F112" s="25"/>
      <c r="G112" s="25"/>
      <c r="H112" s="25"/>
      <c r="I112" s="25"/>
      <c r="J112" s="25"/>
    </row>
    <row r="113" spans="1:10" s="1" customFormat="1" x14ac:dyDescent="0.25">
      <c r="G113" s="1" t="s">
        <v>57</v>
      </c>
    </row>
    <row r="114" spans="1:10" s="1" customFormat="1" x14ac:dyDescent="0.25"/>
    <row r="115" spans="1:10" s="1" customFormat="1" x14ac:dyDescent="0.25">
      <c r="G115" s="43" t="s">
        <v>58</v>
      </c>
    </row>
    <row r="116" spans="1:10" s="1" customFormat="1" x14ac:dyDescent="0.25">
      <c r="G116" s="1" t="s">
        <v>59</v>
      </c>
    </row>
    <row r="117" spans="1:10" s="1" customFormat="1" x14ac:dyDescent="0.25">
      <c r="G117" s="59" t="s">
        <v>60</v>
      </c>
      <c r="H117" s="59"/>
    </row>
    <row r="118" spans="1:10" ht="15.75" x14ac:dyDescent="0.25">
      <c r="A118" s="9"/>
      <c r="B118" s="25"/>
      <c r="C118" s="25"/>
      <c r="D118" s="25"/>
      <c r="E118" s="25"/>
      <c r="F118" s="25"/>
      <c r="G118" s="25"/>
      <c r="H118" s="25"/>
      <c r="I118" s="25"/>
      <c r="J118" s="25"/>
    </row>
    <row r="119" spans="1:10" ht="15.75" x14ac:dyDescent="0.25">
      <c r="A119" s="9"/>
      <c r="B119" s="25"/>
      <c r="C119" s="25"/>
      <c r="D119" s="25"/>
      <c r="E119" s="25"/>
      <c r="F119" s="25"/>
      <c r="G119" s="25"/>
      <c r="H119" s="25"/>
      <c r="I119" s="25"/>
      <c r="J119" s="25"/>
    </row>
    <row r="120" spans="1:10" ht="15.75" x14ac:dyDescent="0.25">
      <c r="A120" s="9"/>
      <c r="B120" s="25"/>
      <c r="C120" s="25"/>
      <c r="D120" s="25"/>
      <c r="E120" s="25"/>
      <c r="F120" s="25"/>
      <c r="G120" s="25"/>
      <c r="H120" s="25"/>
      <c r="I120" s="25"/>
      <c r="J120" s="25"/>
    </row>
    <row r="121" spans="1:10" ht="15.75" x14ac:dyDescent="0.25">
      <c r="A121" s="9"/>
      <c r="B121" s="25"/>
      <c r="C121" s="25"/>
      <c r="D121" s="25"/>
      <c r="E121" s="25"/>
      <c r="F121" s="25"/>
      <c r="G121" s="25"/>
      <c r="H121" s="25"/>
      <c r="I121" s="25"/>
      <c r="J121" s="25"/>
    </row>
    <row r="122" spans="1:10" ht="15.75" x14ac:dyDescent="0.25">
      <c r="A122" s="9"/>
      <c r="B122" s="25"/>
      <c r="C122" s="25"/>
      <c r="D122" s="25"/>
      <c r="E122" s="25"/>
      <c r="F122" s="25"/>
      <c r="G122" s="25"/>
      <c r="H122" s="25"/>
      <c r="I122" s="25"/>
      <c r="J122" s="25"/>
    </row>
    <row r="123" spans="1:10" ht="15.75" x14ac:dyDescent="0.25">
      <c r="A123" s="9"/>
      <c r="B123" s="25"/>
      <c r="C123" s="25"/>
      <c r="D123" s="25"/>
      <c r="E123" s="25"/>
      <c r="F123" s="25"/>
      <c r="G123" s="25"/>
      <c r="H123" s="25"/>
      <c r="I123" s="25"/>
      <c r="J123" s="25"/>
    </row>
    <row r="124" spans="1:10" ht="15.75" x14ac:dyDescent="0.25">
      <c r="A124" s="9"/>
      <c r="B124" s="25"/>
      <c r="C124" s="25"/>
      <c r="D124" s="25"/>
      <c r="E124" s="25"/>
      <c r="F124" s="25"/>
      <c r="G124" s="25"/>
      <c r="H124" s="25"/>
      <c r="I124" s="25"/>
      <c r="J124" s="25"/>
    </row>
    <row r="125" spans="1:10" ht="15.75" x14ac:dyDescent="0.25">
      <c r="A125" s="9"/>
      <c r="B125" s="25"/>
      <c r="C125" s="25"/>
      <c r="D125" s="25"/>
      <c r="E125" s="25"/>
      <c r="F125" s="25"/>
      <c r="G125" s="25"/>
      <c r="H125" s="25"/>
      <c r="I125" s="25"/>
      <c r="J125" s="25"/>
    </row>
    <row r="126" spans="1:10" x14ac:dyDescent="0.25">
      <c r="A126" s="9"/>
    </row>
    <row r="127" spans="1:10" x14ac:dyDescent="0.25">
      <c r="A127" s="9"/>
    </row>
    <row r="128" spans="1:10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</sheetData>
  <mergeCells count="15">
    <mergeCell ref="K12:K13"/>
    <mergeCell ref="D12:G12"/>
    <mergeCell ref="H12:I12"/>
    <mergeCell ref="A12:A13"/>
    <mergeCell ref="J12:J13"/>
    <mergeCell ref="B12:C12"/>
    <mergeCell ref="G117:H117"/>
    <mergeCell ref="B9:D9"/>
    <mergeCell ref="A11:J11"/>
    <mergeCell ref="A2:J2"/>
    <mergeCell ref="A3:J3"/>
    <mergeCell ref="A4:J4"/>
    <mergeCell ref="A5:J5"/>
    <mergeCell ref="B7:D7"/>
    <mergeCell ref="A10:J10"/>
  </mergeCells>
  <printOptions horizontalCentered="1"/>
  <pageMargins left="0.23622047244094491" right="0.23622047244094491" top="0.62992125984251968" bottom="0.23622047244094491" header="0.31496062992125984" footer="0.31496062992125984"/>
  <pageSetup paperSize="9" scale="7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5"/>
  <sheetViews>
    <sheetView view="pageBreakPreview" zoomScale="95" zoomScaleNormal="100" zoomScaleSheetLayoutView="95" workbookViewId="0">
      <selection activeCell="J14" sqref="J14:K14"/>
    </sheetView>
  </sheetViews>
  <sheetFormatPr defaultRowHeight="15" x14ac:dyDescent="0.25"/>
  <cols>
    <col min="1" max="1" width="27" customWidth="1"/>
    <col min="5" max="5" width="19.5703125" customWidth="1"/>
    <col min="9" max="9" width="6.5703125" customWidth="1"/>
    <col min="11" max="11" width="3.42578125" customWidth="1"/>
  </cols>
  <sheetData>
    <row r="1" spans="1:12" s="1" customFormat="1" ht="62.45" customHeight="1" x14ac:dyDescent="0.25"/>
    <row r="2" spans="1:12" s="1" customFormat="1" ht="10.5" customHeight="1" x14ac:dyDescent="0.25">
      <c r="A2" s="64" t="s">
        <v>29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2" s="1" customFormat="1" ht="15.95" customHeight="1" x14ac:dyDescent="0.25">
      <c r="A3" s="64" t="s">
        <v>30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</row>
    <row r="4" spans="1:12" s="1" customFormat="1" ht="15.95" customHeight="1" x14ac:dyDescent="0.25">
      <c r="A4" s="64" t="s">
        <v>31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</row>
    <row r="5" spans="1:12" s="1" customFormat="1" ht="15.95" customHeight="1" x14ac:dyDescent="0.25">
      <c r="A5" s="64" t="s">
        <v>32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</row>
    <row r="6" spans="1:12" s="1" customFormat="1" ht="8.25" customHeight="1" x14ac:dyDescent="0.25"/>
    <row r="7" spans="1:12" s="1" customFormat="1" ht="12" customHeight="1" x14ac:dyDescent="0.25">
      <c r="A7" s="1" t="s">
        <v>33</v>
      </c>
      <c r="C7" s="4" t="s">
        <v>34</v>
      </c>
      <c r="D7" s="4"/>
      <c r="G7" s="4" t="s">
        <v>9</v>
      </c>
      <c r="H7" s="7"/>
    </row>
    <row r="8" spans="1:12" s="1" customFormat="1" ht="12" customHeight="1" x14ac:dyDescent="0.25">
      <c r="C8" s="2"/>
      <c r="G8" s="2"/>
      <c r="H8" s="2"/>
    </row>
    <row r="9" spans="1:12" s="1" customFormat="1" ht="12" customHeight="1" x14ac:dyDescent="0.25">
      <c r="A9" s="1" t="s">
        <v>35</v>
      </c>
      <c r="C9" s="4" t="s">
        <v>36</v>
      </c>
      <c r="D9" s="4"/>
      <c r="G9" s="4" t="s">
        <v>10</v>
      </c>
      <c r="H9" s="5"/>
    </row>
    <row r="10" spans="1:12" ht="16.5" customHeight="1" thickBot="1" x14ac:dyDescent="0.3">
      <c r="A10" s="94" t="s">
        <v>51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</row>
    <row r="11" spans="1:12" s="12" customFormat="1" ht="18.75" customHeight="1" x14ac:dyDescent="0.2">
      <c r="A11" s="87" t="s">
        <v>4</v>
      </c>
      <c r="B11" s="89" t="s">
        <v>5</v>
      </c>
      <c r="C11" s="90"/>
      <c r="D11" s="90"/>
      <c r="E11" s="90"/>
      <c r="F11" s="90"/>
      <c r="G11" s="90"/>
      <c r="H11" s="90"/>
      <c r="I11" s="90"/>
      <c r="J11" s="90"/>
      <c r="K11" s="90"/>
      <c r="L11" s="91" t="s">
        <v>8</v>
      </c>
    </row>
    <row r="12" spans="1:12" s="12" customFormat="1" ht="24" customHeight="1" x14ac:dyDescent="0.2">
      <c r="A12" s="88"/>
      <c r="B12" s="85" t="s">
        <v>52</v>
      </c>
      <c r="C12" s="93"/>
      <c r="D12" s="93"/>
      <c r="E12" s="86"/>
      <c r="F12" s="85" t="s">
        <v>53</v>
      </c>
      <c r="G12" s="86"/>
      <c r="H12" s="85" t="s">
        <v>54</v>
      </c>
      <c r="I12" s="86"/>
      <c r="J12" s="85" t="s">
        <v>55</v>
      </c>
      <c r="K12" s="86"/>
      <c r="L12" s="92"/>
    </row>
    <row r="13" spans="1:12" s="12" customFormat="1" ht="24.95" customHeight="1" x14ac:dyDescent="0.2">
      <c r="A13" s="13" t="s">
        <v>61</v>
      </c>
      <c r="B13" s="78" t="s">
        <v>62</v>
      </c>
      <c r="C13" s="79"/>
      <c r="D13" s="79"/>
      <c r="E13" s="80"/>
      <c r="F13" s="14">
        <v>1</v>
      </c>
      <c r="G13" s="15"/>
      <c r="H13" s="78">
        <v>0</v>
      </c>
      <c r="I13" s="80"/>
      <c r="J13" s="78">
        <v>1</v>
      </c>
      <c r="K13" s="80"/>
      <c r="L13" s="16">
        <v>1</v>
      </c>
    </row>
    <row r="14" spans="1:12" s="17" customFormat="1" ht="25.5" customHeight="1" x14ac:dyDescent="0.2">
      <c r="A14" s="13" t="s">
        <v>63</v>
      </c>
      <c r="B14" s="78" t="s">
        <v>62</v>
      </c>
      <c r="C14" s="79"/>
      <c r="D14" s="79"/>
      <c r="E14" s="80"/>
      <c r="F14" s="14"/>
      <c r="G14" s="15"/>
      <c r="H14" s="78">
        <v>1</v>
      </c>
      <c r="I14" s="80"/>
      <c r="J14" s="78">
        <f>F14-H14</f>
        <v>-1</v>
      </c>
      <c r="K14" s="80"/>
      <c r="L14" s="16">
        <v>0</v>
      </c>
    </row>
    <row r="15" spans="1:12" s="17" customFormat="1" ht="25.5" customHeight="1" x14ac:dyDescent="0.2">
      <c r="A15" s="36" t="s">
        <v>94</v>
      </c>
      <c r="B15" s="78" t="s">
        <v>95</v>
      </c>
      <c r="C15" s="79"/>
      <c r="D15" s="79"/>
      <c r="E15" s="80"/>
      <c r="F15" s="14">
        <v>1</v>
      </c>
      <c r="G15" s="15"/>
      <c r="H15" s="78">
        <v>0</v>
      </c>
      <c r="I15" s="80"/>
      <c r="J15" s="78">
        <f>F15-H15</f>
        <v>1</v>
      </c>
      <c r="K15" s="80"/>
      <c r="L15" s="36">
        <v>1</v>
      </c>
    </row>
    <row r="16" spans="1:12" s="17" customFormat="1" ht="25.5" customHeight="1" x14ac:dyDescent="0.2">
      <c r="A16" s="36" t="s">
        <v>96</v>
      </c>
      <c r="B16" s="78" t="s">
        <v>95</v>
      </c>
      <c r="C16" s="79"/>
      <c r="D16" s="79"/>
      <c r="E16" s="80"/>
      <c r="F16" s="14"/>
      <c r="G16" s="15"/>
      <c r="H16" s="78">
        <v>1</v>
      </c>
      <c r="I16" s="80"/>
      <c r="J16" s="78">
        <v>0</v>
      </c>
      <c r="K16" s="80"/>
      <c r="L16" s="57">
        <v>0</v>
      </c>
    </row>
    <row r="17" spans="1:12" s="17" customFormat="1" ht="25.5" customHeight="1" x14ac:dyDescent="0.2">
      <c r="A17" s="36" t="s">
        <v>142</v>
      </c>
      <c r="B17" s="78" t="s">
        <v>143</v>
      </c>
      <c r="C17" s="79"/>
      <c r="D17" s="79"/>
      <c r="E17" s="80"/>
      <c r="F17" s="14">
        <v>1</v>
      </c>
      <c r="G17" s="15"/>
      <c r="H17" s="78">
        <v>0</v>
      </c>
      <c r="I17" s="80"/>
      <c r="J17" s="78">
        <f>F17-H17</f>
        <v>1</v>
      </c>
      <c r="K17" s="80"/>
      <c r="L17" s="36">
        <v>1</v>
      </c>
    </row>
    <row r="18" spans="1:12" s="17" customFormat="1" ht="25.5" customHeight="1" x14ac:dyDescent="0.2">
      <c r="A18" s="36" t="s">
        <v>144</v>
      </c>
      <c r="B18" s="78" t="s">
        <v>143</v>
      </c>
      <c r="C18" s="79"/>
      <c r="D18" s="79"/>
      <c r="E18" s="80"/>
      <c r="F18" s="14"/>
      <c r="G18" s="15"/>
      <c r="H18" s="78">
        <v>1</v>
      </c>
      <c r="I18" s="80"/>
      <c r="J18" s="78">
        <v>0</v>
      </c>
      <c r="K18" s="80"/>
      <c r="L18" s="57">
        <v>0</v>
      </c>
    </row>
    <row r="19" spans="1:12" s="17" customFormat="1" x14ac:dyDescent="0.2">
      <c r="A19" s="18" t="s">
        <v>56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ht="18.95" customHeight="1" x14ac:dyDescent="0.25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</row>
    <row r="21" spans="1:12" s="1" customFormat="1" x14ac:dyDescent="0.25">
      <c r="A21" s="1" t="s">
        <v>57</v>
      </c>
      <c r="C21" s="21"/>
    </row>
    <row r="22" spans="1:12" s="1" customFormat="1" x14ac:dyDescent="0.25">
      <c r="C22" s="21"/>
    </row>
    <row r="23" spans="1:12" ht="17.100000000000001" customHeight="1" x14ac:dyDescent="0.25">
      <c r="A23" s="84" t="s">
        <v>58</v>
      </c>
      <c r="B23" s="84"/>
    </row>
    <row r="24" spans="1:12" x14ac:dyDescent="0.25">
      <c r="A24" s="81" t="s">
        <v>59</v>
      </c>
      <c r="B24" s="81"/>
    </row>
    <row r="25" spans="1:12" x14ac:dyDescent="0.25">
      <c r="A25" s="82" t="s">
        <v>60</v>
      </c>
      <c r="B25" s="82"/>
    </row>
  </sheetData>
  <mergeCells count="34">
    <mergeCell ref="B15:E15"/>
    <mergeCell ref="H15:I15"/>
    <mergeCell ref="J15:K15"/>
    <mergeCell ref="B16:E16"/>
    <mergeCell ref="H16:I16"/>
    <mergeCell ref="J16:K16"/>
    <mergeCell ref="F12:G12"/>
    <mergeCell ref="A2:L2"/>
    <mergeCell ref="A3:L3"/>
    <mergeCell ref="A4:L4"/>
    <mergeCell ref="A5:L5"/>
    <mergeCell ref="A10:L10"/>
    <mergeCell ref="A24:B24"/>
    <mergeCell ref="A25:B25"/>
    <mergeCell ref="A20:L20"/>
    <mergeCell ref="A23:B23"/>
    <mergeCell ref="H12:I12"/>
    <mergeCell ref="J12:K12"/>
    <mergeCell ref="B13:E13"/>
    <mergeCell ref="H13:I13"/>
    <mergeCell ref="J13:K13"/>
    <mergeCell ref="B14:E14"/>
    <mergeCell ref="H14:I14"/>
    <mergeCell ref="J14:K14"/>
    <mergeCell ref="A11:A12"/>
    <mergeCell ref="B11:K11"/>
    <mergeCell ref="L11:L12"/>
    <mergeCell ref="B12:E12"/>
    <mergeCell ref="B17:E17"/>
    <mergeCell ref="H17:I17"/>
    <mergeCell ref="J17:K17"/>
    <mergeCell ref="B18:E18"/>
    <mergeCell ref="H18:I18"/>
    <mergeCell ref="J18:K18"/>
  </mergeCells>
  <pageMargins left="0.7" right="0.7" top="0.75" bottom="0.75" header="0.3" footer="0.3"/>
  <pageSetup paperSize="9" scale="67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7"/>
  <sheetViews>
    <sheetView view="pageBreakPreview" topLeftCell="A18" zoomScaleNormal="100" zoomScaleSheetLayoutView="100" workbookViewId="0">
      <selection activeCell="E34" sqref="E34"/>
    </sheetView>
  </sheetViews>
  <sheetFormatPr defaultRowHeight="15" x14ac:dyDescent="0.25"/>
  <cols>
    <col min="1" max="1" width="29.5703125" style="35" customWidth="1"/>
    <col min="2" max="2" width="19.5703125" style="35" customWidth="1"/>
    <col min="3" max="5" width="8.7109375" style="35"/>
    <col min="6" max="6" width="5.140625" style="35" customWidth="1"/>
    <col min="7" max="7" width="8.7109375" style="35"/>
    <col min="8" max="8" width="7.5703125" style="35" customWidth="1"/>
    <col min="9" max="9" width="7.140625" style="35" customWidth="1"/>
    <col min="10" max="10" width="8" style="35" customWidth="1"/>
  </cols>
  <sheetData>
    <row r="1" spans="1:10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</row>
    <row r="3" spans="1:10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</row>
    <row r="4" spans="1:10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</row>
    <row r="5" spans="1:10" x14ac:dyDescent="0.25">
      <c r="A5" s="100" t="s">
        <v>29</v>
      </c>
      <c r="B5" s="100"/>
      <c r="C5" s="100"/>
      <c r="D5" s="100"/>
      <c r="E5" s="100"/>
      <c r="F5" s="100"/>
      <c r="G5" s="100"/>
      <c r="H5" s="100"/>
      <c r="I5" s="100"/>
      <c r="J5" s="29"/>
    </row>
    <row r="6" spans="1:10" x14ac:dyDescent="0.25">
      <c r="A6" s="100" t="s">
        <v>30</v>
      </c>
      <c r="B6" s="100"/>
      <c r="C6" s="100"/>
      <c r="D6" s="100"/>
      <c r="E6" s="100"/>
      <c r="F6" s="100"/>
      <c r="G6" s="100"/>
      <c r="H6" s="100"/>
      <c r="I6" s="100"/>
      <c r="J6" s="29"/>
    </row>
    <row r="7" spans="1:10" x14ac:dyDescent="0.25">
      <c r="A7" s="100" t="s">
        <v>31</v>
      </c>
      <c r="B7" s="100"/>
      <c r="C7" s="100"/>
      <c r="D7" s="100"/>
      <c r="E7" s="100"/>
      <c r="F7" s="100"/>
      <c r="G7" s="100"/>
      <c r="H7" s="100"/>
      <c r="I7" s="100"/>
      <c r="J7" s="29"/>
    </row>
    <row r="8" spans="1:10" x14ac:dyDescent="0.25">
      <c r="A8" s="100" t="s">
        <v>32</v>
      </c>
      <c r="B8" s="100"/>
      <c r="C8" s="100"/>
      <c r="D8" s="100"/>
      <c r="E8" s="100"/>
      <c r="F8" s="100"/>
      <c r="G8" s="100"/>
      <c r="H8" s="100"/>
      <c r="I8" s="100"/>
      <c r="J8" s="29"/>
    </row>
    <row r="9" spans="1:10" x14ac:dyDescent="0.25">
      <c r="A9" s="29"/>
      <c r="B9" s="29"/>
      <c r="C9" s="29"/>
      <c r="D9" s="29"/>
      <c r="E9" s="29"/>
      <c r="F9" s="29"/>
      <c r="G9" s="29"/>
      <c r="H9" s="29"/>
      <c r="I9" s="29"/>
      <c r="J9" s="29"/>
    </row>
    <row r="10" spans="1:10" x14ac:dyDescent="0.25">
      <c r="A10" s="29" t="s">
        <v>33</v>
      </c>
      <c r="B10" s="101" t="s">
        <v>34</v>
      </c>
      <c r="C10" s="101"/>
      <c r="D10" s="101"/>
      <c r="E10" s="29"/>
      <c r="F10" s="29"/>
      <c r="G10" s="29"/>
      <c r="H10" s="47"/>
      <c r="I10" s="30"/>
      <c r="J10" s="29"/>
    </row>
    <row r="11" spans="1:10" x14ac:dyDescent="0.25">
      <c r="A11" s="29"/>
      <c r="B11" s="31"/>
      <c r="C11" s="31"/>
      <c r="D11" s="29"/>
      <c r="E11" s="29"/>
      <c r="F11" s="29"/>
      <c r="G11" s="29"/>
      <c r="H11" s="31"/>
      <c r="I11" s="31"/>
      <c r="J11" s="29"/>
    </row>
    <row r="12" spans="1:10" x14ac:dyDescent="0.25">
      <c r="A12" s="29" t="s">
        <v>35</v>
      </c>
      <c r="B12" s="101" t="s">
        <v>36</v>
      </c>
      <c r="C12" s="101"/>
      <c r="D12" s="101"/>
      <c r="E12" s="29"/>
      <c r="F12" s="29"/>
      <c r="G12" s="29"/>
      <c r="H12" s="32"/>
      <c r="I12" s="30"/>
      <c r="J12" s="29"/>
    </row>
    <row r="13" spans="1:10" ht="21.75" thickBot="1" x14ac:dyDescent="0.3">
      <c r="A13" s="102" t="s">
        <v>78</v>
      </c>
      <c r="B13" s="102"/>
      <c r="C13" s="102"/>
      <c r="D13" s="102"/>
      <c r="E13" s="102"/>
      <c r="F13" s="102"/>
      <c r="G13" s="102"/>
      <c r="H13" s="102"/>
      <c r="I13" s="102"/>
      <c r="J13" s="102"/>
    </row>
    <row r="14" spans="1:10" x14ac:dyDescent="0.25">
      <c r="A14" s="103" t="s">
        <v>79</v>
      </c>
      <c r="B14" s="106" t="s">
        <v>4</v>
      </c>
      <c r="C14" s="109" t="s">
        <v>80</v>
      </c>
      <c r="D14" s="110"/>
      <c r="E14" s="109" t="s">
        <v>81</v>
      </c>
      <c r="F14" s="110"/>
      <c r="G14" s="109" t="s">
        <v>53</v>
      </c>
      <c r="H14" s="109" t="s">
        <v>54</v>
      </c>
      <c r="I14" s="109" t="s">
        <v>55</v>
      </c>
      <c r="J14" s="115" t="s">
        <v>8</v>
      </c>
    </row>
    <row r="15" spans="1:10" x14ac:dyDescent="0.25">
      <c r="A15" s="104"/>
      <c r="B15" s="107"/>
      <c r="C15" s="111"/>
      <c r="D15" s="112"/>
      <c r="E15" s="111"/>
      <c r="F15" s="112"/>
      <c r="G15" s="111"/>
      <c r="H15" s="111"/>
      <c r="I15" s="111"/>
      <c r="J15" s="116"/>
    </row>
    <row r="16" spans="1:10" x14ac:dyDescent="0.25">
      <c r="A16" s="105"/>
      <c r="B16" s="108"/>
      <c r="C16" s="113"/>
      <c r="D16" s="114"/>
      <c r="E16" s="113"/>
      <c r="F16" s="114"/>
      <c r="G16" s="113"/>
      <c r="H16" s="113"/>
      <c r="I16" s="113"/>
      <c r="J16" s="117"/>
    </row>
    <row r="17" spans="1:10" ht="24" customHeight="1" x14ac:dyDescent="0.25">
      <c r="A17" s="37" t="s">
        <v>82</v>
      </c>
      <c r="B17" s="38" t="s">
        <v>83</v>
      </c>
      <c r="C17" s="95"/>
      <c r="D17" s="95"/>
      <c r="E17" s="99" t="s">
        <v>84</v>
      </c>
      <c r="F17" s="99"/>
      <c r="G17" s="52">
        <v>5</v>
      </c>
      <c r="H17" s="52">
        <v>0</v>
      </c>
      <c r="I17" s="52">
        <f>G17-H17</f>
        <v>5</v>
      </c>
      <c r="J17" s="45">
        <v>5</v>
      </c>
    </row>
    <row r="18" spans="1:10" ht="24" customHeight="1" x14ac:dyDescent="0.25">
      <c r="A18" s="37" t="s">
        <v>86</v>
      </c>
      <c r="B18" s="38" t="s">
        <v>87</v>
      </c>
      <c r="C18" s="97"/>
      <c r="D18" s="98"/>
      <c r="E18" s="95" t="s">
        <v>88</v>
      </c>
      <c r="F18" s="95"/>
      <c r="G18" s="52">
        <v>5</v>
      </c>
      <c r="H18" s="52">
        <v>0</v>
      </c>
      <c r="I18" s="52">
        <v>5</v>
      </c>
      <c r="J18" s="45">
        <v>5</v>
      </c>
    </row>
    <row r="19" spans="1:10" ht="24" customHeight="1" x14ac:dyDescent="0.25">
      <c r="A19" s="37" t="s">
        <v>86</v>
      </c>
      <c r="B19" s="38" t="s">
        <v>89</v>
      </c>
      <c r="C19" s="95" t="s">
        <v>85</v>
      </c>
      <c r="D19" s="95"/>
      <c r="E19" s="97"/>
      <c r="F19" s="98"/>
      <c r="G19" s="52">
        <v>5</v>
      </c>
      <c r="H19" s="52">
        <v>0</v>
      </c>
      <c r="I19" s="52">
        <v>5</v>
      </c>
      <c r="J19" s="45">
        <v>15</v>
      </c>
    </row>
    <row r="20" spans="1:10" ht="20.25" customHeight="1" x14ac:dyDescent="0.25">
      <c r="A20" s="37" t="s">
        <v>98</v>
      </c>
      <c r="B20" s="38"/>
      <c r="C20" s="95" t="s">
        <v>85</v>
      </c>
      <c r="D20" s="95"/>
      <c r="E20" s="97"/>
      <c r="F20" s="98"/>
      <c r="G20" s="53"/>
      <c r="H20" s="54">
        <v>2</v>
      </c>
      <c r="I20" s="52">
        <v>13</v>
      </c>
      <c r="J20" s="45">
        <v>13</v>
      </c>
    </row>
    <row r="21" spans="1:10" ht="20.25" customHeight="1" x14ac:dyDescent="0.25">
      <c r="A21" s="37" t="s">
        <v>99</v>
      </c>
      <c r="B21" s="38"/>
      <c r="C21" s="95" t="s">
        <v>85</v>
      </c>
      <c r="D21" s="95"/>
      <c r="E21" s="97"/>
      <c r="F21" s="98"/>
      <c r="G21" s="53"/>
      <c r="H21" s="54">
        <v>1</v>
      </c>
      <c r="I21" s="52">
        <v>12</v>
      </c>
      <c r="J21" s="45">
        <v>12</v>
      </c>
    </row>
    <row r="22" spans="1:10" ht="20.25" customHeight="1" x14ac:dyDescent="0.25">
      <c r="A22" s="37" t="s">
        <v>100</v>
      </c>
      <c r="B22" s="38"/>
      <c r="C22" s="95" t="s">
        <v>85</v>
      </c>
      <c r="D22" s="95"/>
      <c r="E22" s="96"/>
      <c r="F22" s="96"/>
      <c r="G22" s="53"/>
      <c r="H22" s="54">
        <v>1</v>
      </c>
      <c r="I22" s="52">
        <v>11</v>
      </c>
      <c r="J22" s="45">
        <v>11</v>
      </c>
    </row>
    <row r="23" spans="1:10" ht="20.25" customHeight="1" x14ac:dyDescent="0.25">
      <c r="A23" s="39" t="s">
        <v>101</v>
      </c>
      <c r="B23" s="38"/>
      <c r="C23" s="95" t="s">
        <v>85</v>
      </c>
      <c r="D23" s="95"/>
      <c r="E23" s="96"/>
      <c r="F23" s="96"/>
      <c r="G23" s="53"/>
      <c r="H23" s="54">
        <v>1</v>
      </c>
      <c r="I23" s="52">
        <v>10</v>
      </c>
      <c r="J23" s="45">
        <v>10</v>
      </c>
    </row>
    <row r="24" spans="1:10" ht="20.25" customHeight="1" x14ac:dyDescent="0.25">
      <c r="A24" s="39" t="s">
        <v>102</v>
      </c>
      <c r="B24" s="38"/>
      <c r="C24" s="95" t="s">
        <v>85</v>
      </c>
      <c r="D24" s="95"/>
      <c r="E24" s="96"/>
      <c r="F24" s="96"/>
      <c r="G24" s="53"/>
      <c r="H24" s="54">
        <v>3</v>
      </c>
      <c r="I24" s="52">
        <v>7</v>
      </c>
      <c r="J24" s="45">
        <v>7</v>
      </c>
    </row>
    <row r="25" spans="1:10" ht="20.25" customHeight="1" x14ac:dyDescent="0.25">
      <c r="A25" s="39" t="s">
        <v>103</v>
      </c>
      <c r="B25" s="38"/>
      <c r="C25" s="95" t="s">
        <v>85</v>
      </c>
      <c r="D25" s="95"/>
      <c r="E25" s="96"/>
      <c r="F25" s="96"/>
      <c r="G25" s="53"/>
      <c r="H25" s="54">
        <v>1</v>
      </c>
      <c r="I25" s="52">
        <v>6</v>
      </c>
      <c r="J25" s="46">
        <v>6</v>
      </c>
    </row>
    <row r="26" spans="1:10" ht="20.25" customHeight="1" x14ac:dyDescent="0.25">
      <c r="A26" s="39" t="s">
        <v>104</v>
      </c>
      <c r="B26" s="38"/>
      <c r="C26" s="95" t="s">
        <v>85</v>
      </c>
      <c r="D26" s="95"/>
      <c r="E26" s="96"/>
      <c r="F26" s="96"/>
      <c r="G26" s="53"/>
      <c r="H26" s="54">
        <v>1</v>
      </c>
      <c r="I26" s="52">
        <v>5</v>
      </c>
      <c r="J26" s="46">
        <v>5</v>
      </c>
    </row>
    <row r="27" spans="1:10" ht="20.25" customHeight="1" x14ac:dyDescent="0.25">
      <c r="A27" s="39" t="s">
        <v>106</v>
      </c>
      <c r="B27" s="38"/>
      <c r="C27" s="95" t="s">
        <v>85</v>
      </c>
      <c r="D27" s="95"/>
      <c r="E27" s="96"/>
      <c r="F27" s="96"/>
      <c r="G27" s="53"/>
      <c r="H27" s="54">
        <v>2</v>
      </c>
      <c r="I27" s="52">
        <v>3</v>
      </c>
      <c r="J27" s="50">
        <v>3</v>
      </c>
    </row>
    <row r="28" spans="1:10" ht="20.25" customHeight="1" x14ac:dyDescent="0.25">
      <c r="A28" s="39" t="s">
        <v>131</v>
      </c>
      <c r="B28" s="38"/>
      <c r="C28" s="95" t="s">
        <v>85</v>
      </c>
      <c r="D28" s="95"/>
      <c r="E28" s="96"/>
      <c r="F28" s="96"/>
      <c r="G28" s="53"/>
      <c r="H28" s="54">
        <v>3</v>
      </c>
      <c r="I28" s="52">
        <v>0</v>
      </c>
      <c r="J28" s="55">
        <v>0</v>
      </c>
    </row>
    <row r="29" spans="1:10" ht="24" customHeight="1" x14ac:dyDescent="0.25">
      <c r="A29" s="37" t="s">
        <v>124</v>
      </c>
      <c r="B29" s="38" t="s">
        <v>125</v>
      </c>
      <c r="C29" s="95" t="s">
        <v>85</v>
      </c>
      <c r="D29" s="95"/>
      <c r="E29" s="95"/>
      <c r="F29" s="95"/>
      <c r="G29" s="52">
        <v>5</v>
      </c>
      <c r="H29" s="52">
        <v>0</v>
      </c>
      <c r="I29" s="52">
        <v>5</v>
      </c>
      <c r="J29" s="45">
        <v>5</v>
      </c>
    </row>
    <row r="30" spans="1:10" ht="24" customHeight="1" x14ac:dyDescent="0.25">
      <c r="A30" s="37" t="s">
        <v>126</v>
      </c>
      <c r="B30" s="38"/>
      <c r="C30" s="95" t="s">
        <v>85</v>
      </c>
      <c r="D30" s="95"/>
      <c r="G30" s="52"/>
      <c r="H30" s="52">
        <v>2</v>
      </c>
      <c r="I30" s="52">
        <v>3</v>
      </c>
      <c r="J30" s="56">
        <v>3</v>
      </c>
    </row>
    <row r="31" spans="1:10" ht="20.25" customHeight="1" x14ac:dyDescent="0.25">
      <c r="A31" s="39" t="s">
        <v>132</v>
      </c>
      <c r="B31" s="38"/>
      <c r="C31" s="95" t="s">
        <v>85</v>
      </c>
      <c r="D31" s="95"/>
      <c r="E31" s="95"/>
      <c r="F31" s="95"/>
      <c r="G31" s="53"/>
      <c r="H31" s="54">
        <v>1</v>
      </c>
      <c r="I31" s="52">
        <v>2</v>
      </c>
      <c r="J31" s="50">
        <v>2</v>
      </c>
    </row>
    <row r="32" spans="1:10" ht="20.25" customHeight="1" x14ac:dyDescent="0.25">
      <c r="A32" s="39" t="s">
        <v>149</v>
      </c>
      <c r="B32" s="38"/>
      <c r="C32" s="95" t="s">
        <v>85</v>
      </c>
      <c r="D32" s="95"/>
      <c r="E32" s="95"/>
      <c r="F32" s="95"/>
      <c r="G32" s="53"/>
      <c r="H32" s="54">
        <v>2</v>
      </c>
      <c r="I32" s="52">
        <v>0</v>
      </c>
      <c r="J32" s="55">
        <v>0</v>
      </c>
    </row>
    <row r="33" spans="1:10" ht="24" customHeight="1" x14ac:dyDescent="0.25">
      <c r="A33" s="48"/>
      <c r="B33" s="41"/>
      <c r="C33" s="49"/>
      <c r="D33" s="49"/>
      <c r="E33" s="49"/>
      <c r="F33" s="49"/>
      <c r="G33" s="49"/>
      <c r="H33" s="49"/>
      <c r="I33" s="49"/>
      <c r="J33" s="51"/>
    </row>
    <row r="34" spans="1:10" ht="25.5" customHeight="1" x14ac:dyDescent="0.25">
      <c r="A34" s="40"/>
      <c r="B34" s="41"/>
      <c r="C34" s="41"/>
      <c r="D34" s="41"/>
      <c r="E34" s="41"/>
      <c r="F34" s="41"/>
      <c r="G34" s="29"/>
      <c r="H34" s="29"/>
      <c r="I34" s="29"/>
      <c r="J34" s="44"/>
    </row>
    <row r="35" spans="1:10" ht="8.25" customHeight="1" x14ac:dyDescent="0.25">
      <c r="A35" s="40"/>
      <c r="B35" s="41"/>
      <c r="C35" s="41"/>
      <c r="D35" s="41"/>
      <c r="E35" s="41"/>
      <c r="F35" s="41"/>
      <c r="G35" s="29"/>
      <c r="H35" s="29"/>
      <c r="I35" s="29"/>
      <c r="J35" s="33"/>
    </row>
    <row r="36" spans="1:10" x14ac:dyDescent="0.25">
      <c r="A36" s="29"/>
      <c r="B36" s="29"/>
      <c r="C36" s="29"/>
      <c r="D36" s="34"/>
      <c r="E36" s="29"/>
      <c r="F36" s="29"/>
      <c r="G36" s="29"/>
      <c r="H36" s="29"/>
      <c r="I36" s="29"/>
      <c r="J36" s="29"/>
    </row>
    <row r="37" spans="1:10" x14ac:dyDescent="0.25">
      <c r="A37" s="29"/>
      <c r="B37" s="29"/>
      <c r="C37" s="29"/>
      <c r="D37" s="34"/>
      <c r="E37" s="29"/>
      <c r="F37" s="29"/>
      <c r="G37" s="29"/>
      <c r="H37" s="29"/>
      <c r="I37" s="29"/>
      <c r="J37" s="29"/>
    </row>
  </sheetData>
  <mergeCells count="46">
    <mergeCell ref="B12:D12"/>
    <mergeCell ref="A13:J13"/>
    <mergeCell ref="A14:A16"/>
    <mergeCell ref="B14:B16"/>
    <mergeCell ref="C14:D16"/>
    <mergeCell ref="E14:F16"/>
    <mergeCell ref="G14:G16"/>
    <mergeCell ref="H14:H16"/>
    <mergeCell ref="I14:I16"/>
    <mergeCell ref="J14:J16"/>
    <mergeCell ref="A5:I5"/>
    <mergeCell ref="A6:I6"/>
    <mergeCell ref="A7:I7"/>
    <mergeCell ref="A8:I8"/>
    <mergeCell ref="B10:D10"/>
    <mergeCell ref="C17:D17"/>
    <mergeCell ref="E17:F17"/>
    <mergeCell ref="C29:D29"/>
    <mergeCell ref="E29:F29"/>
    <mergeCell ref="C19:D19"/>
    <mergeCell ref="C22:D22"/>
    <mergeCell ref="E22:F22"/>
    <mergeCell ref="C24:D24"/>
    <mergeCell ref="E24:F24"/>
    <mergeCell ref="C26:D26"/>
    <mergeCell ref="E26:F26"/>
    <mergeCell ref="C23:D23"/>
    <mergeCell ref="E23:F23"/>
    <mergeCell ref="C18:D18"/>
    <mergeCell ref="C20:D20"/>
    <mergeCell ref="C27:D27"/>
    <mergeCell ref="C32:D32"/>
    <mergeCell ref="E32:F32"/>
    <mergeCell ref="C28:D28"/>
    <mergeCell ref="E28:F28"/>
    <mergeCell ref="E18:F18"/>
    <mergeCell ref="C30:D30"/>
    <mergeCell ref="E31:F31"/>
    <mergeCell ref="E27:F27"/>
    <mergeCell ref="C25:D25"/>
    <mergeCell ref="E25:F25"/>
    <mergeCell ref="C21:D21"/>
    <mergeCell ref="E20:F20"/>
    <mergeCell ref="E21:F21"/>
    <mergeCell ref="E19:F19"/>
    <mergeCell ref="C31:D31"/>
  </mergeCells>
  <phoneticPr fontId="17" type="noConversion"/>
  <pageMargins left="0.7" right="0.7" top="0.75" bottom="0.75" header="0.3" footer="0.3"/>
  <pageSetup paperSize="9"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Leave Card (NE)</vt:lpstr>
      <vt:lpstr>CTO</vt:lpstr>
      <vt:lpstr>ELECTION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2025-09-30T07:32:51Z</cp:lastPrinted>
  <dcterms:created xsi:type="dcterms:W3CDTF">2021-10-07T06:10:16Z</dcterms:created>
  <dcterms:modified xsi:type="dcterms:W3CDTF">2025-09-30T07:34:27Z</dcterms:modified>
</cp:coreProperties>
</file>