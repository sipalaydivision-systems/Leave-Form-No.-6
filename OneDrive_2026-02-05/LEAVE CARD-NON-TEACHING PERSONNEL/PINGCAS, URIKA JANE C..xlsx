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as TIC" sheetId="3" r:id="rId1"/>
    <sheet name="Election &amp; NLC" sheetId="4" r:id="rId2"/>
    <sheet name="Sheet1" sheetId="15" r:id="rId3"/>
  </sheets>
  <definedNames>
    <definedName name="_xlnm.Print_Area" localSheetId="1">'Election &amp; NLC'!$A$1:$G$23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<sst xmlns="http://schemas.openxmlformats.org/spreadsheetml/2006/main" count="104" uniqueCount="83">
  <si>
    <t>Republic of the Philippines</t>
  </si>
  <si>
    <t>Department of Education</t>
  </si>
  <si>
    <t>NEGROS ISLAND 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</si>
  <si>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</si>
  <si>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</si>
  <si>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</si>
  <si>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</si>
  <si>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</si>
  <si>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</si>
  <si>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</si>
  <si>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</si>
  <si>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</si>
  <si>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</si>
  <si>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</si>
  <si>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</si>
  <si>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</si>
  <si>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</si>
  <si>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</si>
  <si>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</si>
  <si>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</si>
  <si>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</si>
  <si>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DESIGNATED AS TIC (NON-TEACHING): EFFECTIVE JULY 29, 2024</t>
  </si>
  <si>
    <r>
      <rPr>
        <sz val="11"/>
        <color theme="1"/>
        <rFont val="Calibri"/>
        <charset val="134"/>
        <scheme val="minor"/>
      </rPr>
      <t xml:space="preserve">ADD: UNUSED VSC </t>
    </r>
    <r>
      <rPr>
        <b/>
        <sz val="11"/>
        <color rgb="FF002060"/>
        <rFont val="Calibri"/>
        <charset val="134"/>
        <scheme val="minor"/>
      </rPr>
      <t>36 DAYS</t>
    </r>
    <r>
      <rPr>
        <sz val="11"/>
        <color theme="1"/>
        <rFont val="Calibri"/>
        <charset val="134"/>
        <scheme val="minor"/>
      </rPr>
      <t xml:space="preserve">:                             FORMULA: 30Y/69/2 </t>
    </r>
  </si>
  <si>
    <t>ADD: 07/29-31/2024</t>
  </si>
  <si>
    <t>ADD: 08/1/2024-10/31/2024</t>
  </si>
  <si>
    <t>LESS: 10/30/2024</t>
  </si>
  <si>
    <t>LESS: 11/4/2024</t>
  </si>
  <si>
    <t>ADD: 11/1/2024-12/31/2024</t>
  </si>
  <si>
    <t>ADD: 01/1/2025-06/30/2025</t>
  </si>
  <si>
    <t>LESS: MONETIZATION 2025</t>
  </si>
  <si>
    <t>ADD: 07/1-31/2025</t>
  </si>
  <si>
    <t>LESS: 08/12-13/2025</t>
  </si>
  <si>
    <t>ADD: 08/1/2025-11/30/2025</t>
  </si>
  <si>
    <t>LESS: 12/15-19/2025</t>
  </si>
  <si>
    <t>LESS: 12/22,23, 26/2025</t>
  </si>
  <si>
    <t xml:space="preserve">  </t>
  </si>
  <si>
    <t>REGION VI-WESTERN VISAYAS</t>
  </si>
  <si>
    <r>
      <rPr>
        <b/>
        <sz val="12"/>
        <color theme="1"/>
        <rFont val="Calibri"/>
        <charset val="134"/>
        <scheme val="minor"/>
      </rPr>
      <t>NAME          :</t>
    </r>
    <r>
      <rPr>
        <b/>
        <u/>
        <sz val="12"/>
        <color theme="1"/>
        <rFont val="Calibri"/>
        <charset val="134"/>
        <scheme val="minor"/>
      </rPr>
      <t>PINGCAS, URIKA JANE</t>
    </r>
  </si>
  <si>
    <t xml:space="preserve">DISTRICT : </t>
  </si>
  <si>
    <t xml:space="preserve">EMPLOYEE NO.: </t>
  </si>
  <si>
    <t xml:space="preserve">STATION CODE: </t>
  </si>
  <si>
    <r>
      <rPr>
        <b/>
        <sz val="12"/>
        <color theme="1"/>
        <rFont val="Calibri"/>
        <charset val="134"/>
        <scheme val="minor"/>
      </rPr>
      <t xml:space="preserve">POSITION   : </t>
    </r>
    <r>
      <rPr>
        <b/>
        <u/>
        <sz val="12"/>
        <color theme="1"/>
        <rFont val="Calibri"/>
        <charset val="134"/>
        <scheme val="minor"/>
      </rPr>
      <t>T-I</t>
    </r>
    <r>
      <rPr>
        <b/>
        <sz val="12"/>
        <color theme="1"/>
        <rFont val="Calibri"/>
        <charset val="134"/>
        <scheme val="minor"/>
      </rPr>
      <t>II</t>
    </r>
  </si>
  <si>
    <t xml:space="preserve">SCHOOL/OFFICE : </t>
  </si>
  <si>
    <t xml:space="preserve">DIVISION CODE: </t>
  </si>
  <si>
    <t>UNUSED VSC EARNED (TEACHING)</t>
  </si>
  <si>
    <t>SPECIAL ORDER NO.</t>
  </si>
  <si>
    <t>DATE RELEASED:</t>
  </si>
  <si>
    <t>NATIONAL LEARNING CAMP/NATIONAL &amp; LOCAL ELECTION</t>
  </si>
  <si>
    <t>No. of Days Granted</t>
  </si>
  <si>
    <t>No. of Days Used</t>
  </si>
  <si>
    <t>Balance</t>
  </si>
  <si>
    <t>S.O. # 2135, S. 2004</t>
  </si>
  <si>
    <t>MAY 10, 2004 ELECTION</t>
  </si>
  <si>
    <t>S.O. # 051, S. 2022</t>
  </si>
  <si>
    <t>MAY 9, 2022 ELECTION</t>
  </si>
  <si>
    <t>S.O. # 114, S. 2023</t>
  </si>
  <si>
    <t>BRIGADA ESKWELA AND OPLAN BALIK ESKWELA 2023</t>
  </si>
  <si>
    <t>010, S. 2024</t>
  </si>
  <si>
    <t>04/30/2024</t>
  </si>
  <si>
    <t>OCT. 30, 2023 ELECTION</t>
  </si>
  <si>
    <t>050, S. 2024</t>
  </si>
  <si>
    <t>10/18/2024</t>
  </si>
  <si>
    <t>DEPED ACTIVITIES AND TRAININGS FOR SY 2024-2025</t>
  </si>
  <si>
    <t>36 DAYS-CONVERTED</t>
  </si>
  <si>
    <t>NAME         : PINGCAS, URIKA JANE C.</t>
  </si>
  <si>
    <t>DISTRICT             : _______________________</t>
  </si>
  <si>
    <t>SCHOOL/OFFICE : CAYHAGAN ES</t>
  </si>
  <si>
    <t>POSITION   : TEACHER III</t>
  </si>
  <si>
    <t>COMPENSATORY TIME OFF (CTO)</t>
  </si>
  <si>
    <t>Special Order No. and Date Issued</t>
  </si>
  <si>
    <t>ADD: OCTOBER 14, 2022</t>
  </si>
  <si>
    <t>S.O # 099, S. 2022 BRIGADA ESKWELA 2022</t>
  </si>
  <si>
    <t>LESS: 11/28,29 &amp; 12/1 &amp; 2/22</t>
  </si>
  <si>
    <t>ADD:10/11/2023</t>
  </si>
  <si>
    <t>S.O. # 114, S. 2023. BRIGADA ESKWELA AND OPLAN BALIK ESKWELA 2023</t>
  </si>
  <si>
    <t>LESS: 10/20/2023</t>
  </si>
  <si>
    <t>LESS:11/17/2023</t>
  </si>
  <si>
    <t>LESS: 06/21 &amp; 06/24/2024</t>
  </si>
  <si>
    <t>LESS: 07/01/2024</t>
  </si>
  <si>
    <t>ADD: 06/26/2024</t>
  </si>
  <si>
    <t>S.O. # 024, S. 2024. 126TH PHILIPPINE INDEPENDENCE DAY CELEBRATION</t>
  </si>
  <si>
    <t>LESS: 04/28/2025</t>
  </si>
  <si>
    <t>NOTE:  Valid for one (1) year 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</si>
</sst>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5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2060"/>
      <name val="Calibri"/>
      <charset val="134"/>
      <scheme val="minor"/>
    </font>
    <font>
      <b/>
      <u/>
      <sz val="12"/>
      <color theme="1"/>
      <name val="Calibri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5" borderId="2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6" borderId="29" applyNumberFormat="0" applyAlignment="0" applyProtection="0">
      <alignment vertical="center"/>
    </xf>
    <xf numFmtId="0" fontId="23" fillId="17" borderId="30" applyNumberFormat="0" applyAlignment="0" applyProtection="0">
      <alignment vertical="center"/>
    </xf>
    <xf numFmtId="0" fontId="24" fillId="17" borderId="29" applyNumberFormat="0" applyAlignment="0" applyProtection="0">
      <alignment vertical="center"/>
    </xf>
    <xf numFmtId="0" fontId="25" fillId="18" borderId="31" applyNumberFormat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7" fillId="0" borderId="33" applyNumberFormat="0" applyFill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</cellStyleXfs>
  <cellXfs count="12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3" fillId="4" borderId="0" xfId="0" applyFont="1" applyFill="1" applyAlignment="1">
      <alignment horizontal="center" wrapText="1"/>
    </xf>
    <xf numFmtId="0" fontId="3" fillId="4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/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5" xfId="50" applyFont="1" applyFill="1" applyBorder="1" applyAlignment="1">
      <alignment horizontal="center" vertical="center" wrapText="1"/>
    </xf>
    <xf numFmtId="0" fontId="6" fillId="4" borderId="6" xfId="50" applyFont="1" applyFill="1" applyBorder="1" applyAlignment="1">
      <alignment horizontal="center" vertical="center" wrapText="1"/>
    </xf>
    <xf numFmtId="0" fontId="6" fillId="4" borderId="7" xfId="50" applyFont="1" applyFill="1" applyBorder="1" applyAlignment="1">
      <alignment horizontal="center" vertical="center" wrapText="1"/>
    </xf>
    <xf numFmtId="0" fontId="6" fillId="4" borderId="8" xfId="5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49" applyFill="1"/>
    <xf numFmtId="0" fontId="1" fillId="0" borderId="0" xfId="49" applyFont="1"/>
    <xf numFmtId="0" fontId="2" fillId="0" borderId="0" xfId="49" applyFont="1"/>
    <xf numFmtId="0" fontId="0" fillId="0" borderId="0" xfId="49"/>
    <xf numFmtId="0" fontId="0" fillId="2" borderId="0" xfId="49" applyFill="1"/>
    <xf numFmtId="0" fontId="0" fillId="3" borderId="0" xfId="49" applyFill="1"/>
    <xf numFmtId="0" fontId="0" fillId="4" borderId="0" xfId="49" applyFill="1" applyAlignment="1">
      <alignment horizontal="center"/>
    </xf>
    <xf numFmtId="0" fontId="3" fillId="4" borderId="0" xfId="49" applyFont="1" applyFill="1" applyAlignment="1">
      <alignment horizontal="center" vertical="center"/>
    </xf>
    <xf numFmtId="0" fontId="7" fillId="4" borderId="0" xfId="49" applyFont="1" applyFill="1" applyAlignment="1">
      <alignment vertical="center"/>
    </xf>
    <xf numFmtId="0" fontId="3" fillId="4" borderId="0" xfId="49" applyFont="1" applyFill="1" applyAlignment="1">
      <alignment horizontal="left" vertical="center"/>
    </xf>
    <xf numFmtId="0" fontId="3" fillId="4" borderId="0" xfId="49" applyFont="1" applyFill="1" applyAlignment="1">
      <alignment vertical="center"/>
    </xf>
    <xf numFmtId="0" fontId="8" fillId="4" borderId="0" xfId="49" applyFont="1" applyFill="1"/>
    <xf numFmtId="0" fontId="3" fillId="4" borderId="0" xfId="49" applyFont="1" applyFill="1"/>
    <xf numFmtId="0" fontId="3" fillId="4" borderId="0" xfId="49" applyFont="1" applyFill="1" applyAlignment="1">
      <alignment horizontal="left"/>
    </xf>
    <xf numFmtId="0" fontId="4" fillId="4" borderId="13" xfId="49" applyFont="1" applyFill="1" applyBorder="1" applyAlignment="1">
      <alignment horizontal="center" vertical="center"/>
    </xf>
    <xf numFmtId="0" fontId="4" fillId="4" borderId="14" xfId="49" applyFont="1" applyFill="1" applyBorder="1" applyAlignment="1">
      <alignment horizontal="center" vertical="center"/>
    </xf>
    <xf numFmtId="0" fontId="4" fillId="4" borderId="15" xfId="49" applyFont="1" applyFill="1" applyBorder="1" applyAlignment="1">
      <alignment horizontal="center" vertical="center"/>
    </xf>
    <xf numFmtId="0" fontId="5" fillId="5" borderId="13" xfId="49" applyFont="1" applyFill="1" applyBorder="1" applyAlignment="1">
      <alignment horizontal="center" vertical="center" wrapText="1"/>
    </xf>
    <xf numFmtId="0" fontId="5" fillId="5" borderId="13" xfId="49" applyFont="1" applyFill="1" applyBorder="1" applyAlignment="1">
      <alignment horizontal="center" vertical="center"/>
    </xf>
    <xf numFmtId="0" fontId="6" fillId="7" borderId="16" xfId="49" applyFont="1" applyFill="1" applyBorder="1" applyAlignment="1">
      <alignment horizontal="center" vertical="center" wrapText="1"/>
    </xf>
    <xf numFmtId="0" fontId="5" fillId="5" borderId="17" xfId="49" applyFont="1" applyFill="1" applyBorder="1" applyAlignment="1">
      <alignment horizontal="center" vertical="center"/>
    </xf>
    <xf numFmtId="0" fontId="0" fillId="4" borderId="18" xfId="51" applyFont="1" applyFill="1" applyBorder="1" applyAlignment="1">
      <alignment horizontal="center" vertical="center" wrapText="1"/>
    </xf>
    <xf numFmtId="58" fontId="0" fillId="4" borderId="18" xfId="51" applyNumberFormat="1" applyFont="1" applyFill="1" applyBorder="1" applyAlignment="1">
      <alignment horizontal="center" vertical="center"/>
    </xf>
    <xf numFmtId="0" fontId="6" fillId="4" borderId="18" xfId="51" applyFont="1" applyFill="1" applyBorder="1" applyAlignment="1">
      <alignment vertical="center" wrapText="1"/>
    </xf>
    <xf numFmtId="0" fontId="6" fillId="4" borderId="18" xfId="51" applyFont="1" applyFill="1" applyBorder="1" applyAlignment="1">
      <alignment horizontal="center" vertical="center" wrapText="1"/>
    </xf>
    <xf numFmtId="0" fontId="9" fillId="4" borderId="19" xfId="49" applyFont="1" applyFill="1" applyBorder="1" applyAlignment="1">
      <alignment horizontal="center" vertical="center" wrapText="1"/>
    </xf>
    <xf numFmtId="0" fontId="7" fillId="4" borderId="11" xfId="49" applyFont="1" applyFill="1" applyBorder="1" applyAlignment="1">
      <alignment horizontal="center" vertical="center" wrapText="1"/>
    </xf>
    <xf numFmtId="0" fontId="0" fillId="4" borderId="9" xfId="51" applyFont="1" applyFill="1" applyBorder="1" applyAlignment="1">
      <alignment horizontal="center" vertical="center" wrapText="1"/>
    </xf>
    <xf numFmtId="0" fontId="6" fillId="4" borderId="9" xfId="51" applyFont="1" applyFill="1" applyBorder="1" applyAlignment="1">
      <alignment vertical="center" wrapText="1"/>
    </xf>
    <xf numFmtId="0" fontId="6" fillId="4" borderId="9" xfId="51" applyFont="1" applyFill="1" applyBorder="1" applyAlignment="1">
      <alignment horizontal="center" vertical="center" wrapText="1"/>
    </xf>
    <xf numFmtId="0" fontId="0" fillId="4" borderId="18" xfId="51" applyFont="1" applyFill="1" applyBorder="1" applyAlignment="1">
      <alignment horizontal="center" vertical="center"/>
    </xf>
    <xf numFmtId="0" fontId="6" fillId="4" borderId="6" xfId="51" applyFont="1" applyFill="1" applyBorder="1" applyAlignment="1">
      <alignment vertical="center" wrapText="1"/>
    </xf>
    <xf numFmtId="0" fontId="6" fillId="4" borderId="6" xfId="51" applyFont="1" applyFill="1" applyBorder="1" applyAlignment="1">
      <alignment horizontal="center" vertical="center" wrapText="1"/>
    </xf>
    <xf numFmtId="0" fontId="9" fillId="4" borderId="6" xfId="49" applyFont="1" applyFill="1" applyBorder="1" applyAlignment="1">
      <alignment horizontal="center" vertical="center" wrapText="1"/>
    </xf>
    <xf numFmtId="0" fontId="7" fillId="4" borderId="12" xfId="49" applyFont="1" applyFill="1" applyBorder="1" applyAlignment="1">
      <alignment horizontal="center" vertical="center" wrapText="1"/>
    </xf>
    <xf numFmtId="0" fontId="7" fillId="4" borderId="20" xfId="49" applyFont="1" applyFill="1" applyBorder="1" applyAlignment="1">
      <alignment horizontal="right" vertical="center" wrapText="1"/>
    </xf>
    <xf numFmtId="0" fontId="7" fillId="4" borderId="7" xfId="49" applyFont="1" applyFill="1" applyBorder="1" applyAlignment="1">
      <alignment horizontal="right" vertical="center" wrapText="1"/>
    </xf>
    <xf numFmtId="0" fontId="7" fillId="4" borderId="8" xfId="49" applyFont="1" applyFill="1" applyBorder="1" applyAlignment="1">
      <alignment horizontal="right" vertical="center" wrapText="1"/>
    </xf>
    <xf numFmtId="0" fontId="10" fillId="4" borderId="12" xfId="49" applyFont="1" applyFill="1" applyBorder="1" applyAlignment="1">
      <alignment horizontal="center" vertical="center" wrapText="1"/>
    </xf>
    <xf numFmtId="0" fontId="2" fillId="4" borderId="0" xfId="49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/>
    <xf numFmtId="0" fontId="3" fillId="9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21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9" borderId="22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left" vertical="center"/>
    </xf>
    <xf numFmtId="0" fontId="3" fillId="9" borderId="14" xfId="0" applyFont="1" applyFill="1" applyBorder="1" applyAlignment="1">
      <alignment horizontal="left" vertical="center"/>
    </xf>
    <xf numFmtId="0" fontId="0" fillId="4" borderId="1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 wrapText="1"/>
    </xf>
    <xf numFmtId="176" fontId="0" fillId="4" borderId="18" xfId="0" applyNumberForma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0" fillId="4" borderId="9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/>
    </xf>
    <xf numFmtId="176" fontId="0" fillId="4" borderId="0" xfId="0" applyNumberFormat="1" applyFill="1" applyBorder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3" fillId="9" borderId="25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176" fontId="0" fillId="4" borderId="11" xfId="0" applyNumberFormat="1" applyFill="1" applyBorder="1" applyAlignment="1">
      <alignment horizontal="center" vertical="center"/>
    </xf>
    <xf numFmtId="176" fontId="0" fillId="4" borderId="12" xfId="0" applyNumberFormat="1" applyFill="1" applyBorder="1" applyAlignment="1">
      <alignment horizontal="center" vertical="center"/>
    </xf>
    <xf numFmtId="0" fontId="11" fillId="0" borderId="0" xfId="0" applyFont="1" applyAlignment="1">
      <alignment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503207</xdr:colOff>
      <xdr:row>0</xdr:row>
      <xdr:rowOff>16054</xdr:rowOff>
    </xdr:from>
    <xdr:to>
      <xdr:col>4</xdr:col>
      <xdr:colOff>329135</xdr:colOff>
      <xdr:row>0</xdr:row>
      <xdr:rowOff>655967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24350" y="15875"/>
          <a:ext cx="619760" cy="64008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3" name="TextBox 2"/>
        <xdr:cNvSpPr txBox="1"/>
      </xdr:nvSpPr>
      <xdr:spPr>
        <a:xfrm>
          <a:off x="573405" y="1376045"/>
          <a:ext cx="166052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PINGCAS, URIKA JANE C.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4" name="TextBox 3"/>
        <xdr:cNvSpPr txBox="1"/>
      </xdr:nvSpPr>
      <xdr:spPr>
        <a:xfrm>
          <a:off x="616585" y="1725930"/>
          <a:ext cx="161734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T-III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5</xdr:col>
      <xdr:colOff>0</xdr:colOff>
      <xdr:row>8</xdr:row>
      <xdr:rowOff>140434</xdr:rowOff>
    </xdr:to>
    <xdr:sp>
      <xdr:nvSpPr>
        <xdr:cNvPr id="5" name="TextBox 4"/>
        <xdr:cNvSpPr txBox="1"/>
      </xdr:nvSpPr>
      <xdr:spPr>
        <a:xfrm>
          <a:off x="3442335" y="1707515"/>
          <a:ext cx="1966595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CAYHAGAN</a:t>
          </a:r>
          <a:r>
            <a:rPr lang="en-US" sz="1100" baseline="0"/>
            <a:t> ES</a:t>
          </a:r>
          <a:endParaRPr lang="en-US" sz="1100"/>
        </a:p>
      </xdr:txBody>
    </xdr:sp>
    <xdr:clientData/>
  </xdr:twoCellAnchor>
  <xdr:twoCellAnchor>
    <xdr:from>
      <xdr:col>5</xdr:col>
      <xdr:colOff>347452</xdr:colOff>
      <xdr:row>58</xdr:row>
      <xdr:rowOff>53914</xdr:rowOff>
    </xdr:from>
    <xdr:to>
      <xdr:col>9</xdr:col>
      <xdr:colOff>672043</xdr:colOff>
      <xdr:row>63</xdr:row>
      <xdr:rowOff>170731</xdr:rowOff>
    </xdr:to>
    <xdr:sp>
      <xdr:nvSpPr>
        <xdr:cNvPr id="6" name="TextBox 5"/>
        <xdr:cNvSpPr txBox="1"/>
      </xdr:nvSpPr>
      <xdr:spPr>
        <a:xfrm>
          <a:off x="5756275" y="6346825"/>
          <a:ext cx="3499485" cy="1031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  <a:endParaRPr lang="en-PH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  <a:endParaRPr lang="en-PH"/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4445" y="4762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76200</xdr:colOff>
      <xdr:row>20</xdr:row>
      <xdr:rowOff>236220</xdr:rowOff>
    </xdr:from>
    <xdr:to>
      <xdr:col>6</xdr:col>
      <xdr:colOff>476250</xdr:colOff>
      <xdr:row>22</xdr:row>
      <xdr:rowOff>150495</xdr:rowOff>
    </xdr:to>
    <xdr:sp>
      <xdr:nvSpPr>
        <xdr:cNvPr id="4" name="TextBox 3"/>
        <xdr:cNvSpPr txBox="1"/>
      </xdr:nvSpPr>
      <xdr:spPr>
        <a:xfrm>
          <a:off x="5318125" y="5212080"/>
          <a:ext cx="277050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152595</xdr:rowOff>
    </xdr:from>
    <xdr:to>
      <xdr:col>5</xdr:col>
      <xdr:colOff>230860</xdr:colOff>
      <xdr:row>4</xdr:row>
      <xdr:rowOff>38100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152400"/>
          <a:ext cx="558800" cy="617220"/>
        </a:xfrm>
        <a:prstGeom prst="rect">
          <a:avLst/>
        </a:prstGeom>
        <a:noFill/>
      </xdr:spPr>
    </xdr:pic>
    <xdr:clientData/>
  </xdr:twoCellAnchor>
  <xdr:twoCellAnchor>
    <xdr:from>
      <xdr:col>3</xdr:col>
      <xdr:colOff>523875</xdr:colOff>
      <xdr:row>26</xdr:row>
      <xdr:rowOff>152400</xdr:rowOff>
    </xdr:from>
    <xdr:to>
      <xdr:col>8</xdr:col>
      <xdr:colOff>419100</xdr:colOff>
      <xdr:row>55</xdr:row>
      <xdr:rowOff>95250</xdr:rowOff>
    </xdr:to>
    <xdr:sp>
      <xdr:nvSpPr>
        <xdr:cNvPr id="3" name="TextBox 2"/>
        <xdr:cNvSpPr txBox="1"/>
      </xdr:nvSpPr>
      <xdr:spPr>
        <a:xfrm>
          <a:off x="3854450" y="4095750"/>
          <a:ext cx="3264535" cy="52463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171450</xdr:rowOff>
    </xdr:from>
    <xdr:to>
      <xdr:col>1</xdr:col>
      <xdr:colOff>28575</xdr:colOff>
      <xdr:row>12</xdr:row>
      <xdr:rowOff>171450</xdr:rowOff>
    </xdr:to>
    <xdr:cxnSp>
      <xdr:nvCxnSpPr>
        <xdr:cNvPr id="4" name="Straight Connector 3"/>
        <xdr:cNvCxnSpPr/>
      </xdr:nvCxnSpPr>
      <xdr:spPr>
        <a:xfrm>
          <a:off x="752475" y="236601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2"/>
  <sheetViews>
    <sheetView tabSelected="1" view="pageBreakPreview" zoomScale="106" zoomScaleNormal="100" topLeftCell="A10" workbookViewId="0">
      <selection activeCell="A52" sqref="$A52:$XFD52"/>
    </sheetView>
  </sheetViews>
  <sheetFormatPr defaultColWidth="9" defaultRowHeight="14.4"/>
  <cols>
    <col min="1" max="1" width="32.5740740740741" customWidth="1"/>
    <col min="2" max="5" width="11.5740740740741" customWidth="1"/>
    <col min="6" max="7" width="11.5740740740741" style="88" customWidth="1"/>
    <col min="8" max="10" width="11.5740740740741" customWidth="1"/>
    <col min="11" max="11" width="26.4259259259259" style="89" customWidth="1"/>
  </cols>
  <sheetData>
    <row r="1" s="6" customFormat="1" ht="52.5" customHeight="1"/>
    <row r="2" s="6" customFormat="1" ht="10.5" customHeight="1" spans="1:10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</row>
    <row r="3" s="6" customFormat="1" ht="15.95" customHeight="1" spans="1:10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</row>
    <row r="4" s="6" customFormat="1" ht="15.95" customHeight="1" spans="1:10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</row>
    <row r="5" s="6" customFormat="1" ht="15.95" customHeight="1" spans="1:10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</row>
    <row r="6" s="6" customFormat="1" ht="8.25" customHeight="1"/>
    <row r="7" s="6" customFormat="1" ht="12" customHeight="1" spans="1:10">
      <c r="A7" s="6" t="s">
        <v>4</v>
      </c>
      <c r="B7" s="12" t="s">
        <v>5</v>
      </c>
      <c r="C7" s="12"/>
      <c r="D7" s="12"/>
      <c r="H7" s="11" t="s">
        <v>6</v>
      </c>
      <c r="I7" s="113"/>
      <c r="J7" s="11"/>
    </row>
    <row r="8" s="6" customFormat="1" ht="12" customHeight="1" spans="2:10">
      <c r="B8" s="13"/>
      <c r="C8" s="13"/>
      <c r="H8" s="13"/>
      <c r="I8" s="13"/>
      <c r="J8" s="13"/>
    </row>
    <row r="9" s="6" customFormat="1" ht="12" customHeight="1" spans="1:10">
      <c r="A9" s="6" t="s">
        <v>7</v>
      </c>
      <c r="B9" s="12" t="s">
        <v>8</v>
      </c>
      <c r="C9" s="12"/>
      <c r="D9" s="12"/>
      <c r="H9" s="11" t="s">
        <v>9</v>
      </c>
      <c r="I9" s="114"/>
      <c r="J9" s="11"/>
    </row>
    <row r="10" ht="23.25" customHeight="1" spans="1:11">
      <c r="A10" s="16" t="s">
        <v>10</v>
      </c>
      <c r="B10" s="16"/>
      <c r="C10" s="16"/>
      <c r="D10" s="16"/>
      <c r="E10" s="16"/>
      <c r="F10" s="16"/>
      <c r="G10" s="16"/>
      <c r="H10" s="16"/>
      <c r="I10" s="16"/>
      <c r="J10" s="16"/>
      <c r="K10"/>
    </row>
    <row r="11" ht="18.75" customHeight="1" spans="1:11">
      <c r="A11" s="90" t="s">
        <v>11</v>
      </c>
      <c r="B11" s="91" t="s">
        <v>12</v>
      </c>
      <c r="C11" s="92"/>
      <c r="D11" s="93" t="s">
        <v>13</v>
      </c>
      <c r="E11" s="94"/>
      <c r="F11" s="94"/>
      <c r="G11" s="95"/>
      <c r="H11" s="96" t="s">
        <v>14</v>
      </c>
      <c r="I11" s="115"/>
      <c r="J11" s="116" t="s">
        <v>15</v>
      </c>
      <c r="K11" s="117" t="s">
        <v>16</v>
      </c>
    </row>
    <row r="12" ht="15.15" spans="1:11">
      <c r="A12" s="97"/>
      <c r="B12" s="98" t="s">
        <v>17</v>
      </c>
      <c r="C12" s="98" t="s">
        <v>18</v>
      </c>
      <c r="D12" s="98" t="s">
        <v>17</v>
      </c>
      <c r="E12" s="98" t="s">
        <v>18</v>
      </c>
      <c r="F12" s="98" t="s">
        <v>19</v>
      </c>
      <c r="G12" s="98" t="s">
        <v>20</v>
      </c>
      <c r="H12" s="98" t="s">
        <v>17</v>
      </c>
      <c r="I12" s="98" t="s">
        <v>18</v>
      </c>
      <c r="J12" s="118"/>
      <c r="K12" s="117"/>
    </row>
    <row r="13" ht="15.15" spans="1:11">
      <c r="A13" s="99" t="s">
        <v>21</v>
      </c>
      <c r="B13" s="100"/>
      <c r="C13" s="100"/>
      <c r="D13" s="100"/>
      <c r="E13" s="100"/>
      <c r="F13" s="100"/>
      <c r="G13" s="100"/>
      <c r="H13" s="100"/>
      <c r="I13" s="100"/>
      <c r="J13" s="119"/>
      <c r="K13" s="120"/>
    </row>
    <row r="14" ht="30.75" customHeight="1" spans="1:10">
      <c r="A14" s="34" t="s">
        <v>22</v>
      </c>
      <c r="B14" s="101">
        <v>7.826</v>
      </c>
      <c r="C14" s="102">
        <v>7.826</v>
      </c>
      <c r="D14" s="102"/>
      <c r="E14" s="101"/>
      <c r="F14" s="101"/>
      <c r="G14" s="101"/>
      <c r="H14" s="103">
        <f>B14</f>
        <v>7.826</v>
      </c>
      <c r="I14" s="103">
        <f>C14</f>
        <v>7.826</v>
      </c>
      <c r="J14" s="121">
        <f>SUM(H14:I14)</f>
        <v>15.652</v>
      </c>
    </row>
    <row r="15" ht="17.25" customHeight="1" spans="1:10">
      <c r="A15" s="34" t="s">
        <v>23</v>
      </c>
      <c r="B15" s="101">
        <v>0.125</v>
      </c>
      <c r="C15" s="102">
        <v>0.125</v>
      </c>
      <c r="D15" s="24"/>
      <c r="E15" s="104"/>
      <c r="F15" s="104"/>
      <c r="G15" s="104"/>
      <c r="H15" s="105">
        <f>H14-F15-D15+B15</f>
        <v>7.951</v>
      </c>
      <c r="I15" s="105">
        <f>I14-E15+C15</f>
        <v>7.951</v>
      </c>
      <c r="J15" s="122">
        <f>SUM(H15:I15)</f>
        <v>15.902</v>
      </c>
    </row>
    <row r="16" ht="17.25" customHeight="1" spans="1:10">
      <c r="A16" s="34" t="s">
        <v>24</v>
      </c>
      <c r="B16" s="101">
        <v>3.75</v>
      </c>
      <c r="C16" s="102">
        <v>3.75</v>
      </c>
      <c r="D16" s="24"/>
      <c r="E16" s="104"/>
      <c r="F16" s="104"/>
      <c r="G16" s="104"/>
      <c r="H16" s="105">
        <f t="shared" ref="H16:H18" si="0">H15-F16-D16+B16</f>
        <v>11.701</v>
      </c>
      <c r="I16" s="105">
        <f t="shared" ref="I16:I18" si="1">I15-E16+C16</f>
        <v>11.701</v>
      </c>
      <c r="J16" s="122">
        <f t="shared" ref="J16:J18" si="2">SUM(H16:I16)</f>
        <v>23.402</v>
      </c>
    </row>
    <row r="17" ht="15.75" customHeight="1" spans="1:10">
      <c r="A17" s="34" t="s">
        <v>25</v>
      </c>
      <c r="B17" s="104"/>
      <c r="C17" s="24"/>
      <c r="D17" s="24"/>
      <c r="E17" s="104">
        <v>1</v>
      </c>
      <c r="F17" s="104"/>
      <c r="G17" s="104"/>
      <c r="H17" s="105">
        <f t="shared" si="0"/>
        <v>11.701</v>
      </c>
      <c r="I17" s="105">
        <f t="shared" si="1"/>
        <v>10.701</v>
      </c>
      <c r="J17" s="122">
        <f t="shared" si="2"/>
        <v>22.402</v>
      </c>
    </row>
    <row r="18" ht="15.75" customHeight="1" spans="1:10">
      <c r="A18" s="34" t="s">
        <v>26</v>
      </c>
      <c r="B18" s="104"/>
      <c r="C18" s="24"/>
      <c r="D18" s="24"/>
      <c r="E18" s="104">
        <v>1</v>
      </c>
      <c r="F18" s="106"/>
      <c r="G18" s="104"/>
      <c r="H18" s="105">
        <f t="shared" si="0"/>
        <v>11.701</v>
      </c>
      <c r="I18" s="105">
        <f t="shared" si="1"/>
        <v>9.701</v>
      </c>
      <c r="J18" s="122">
        <f t="shared" si="2"/>
        <v>21.402</v>
      </c>
    </row>
    <row r="19" ht="17.25" hidden="1" customHeight="1" spans="1:10">
      <c r="A19" s="34"/>
      <c r="B19" s="104"/>
      <c r="C19" s="24"/>
      <c r="D19" s="24"/>
      <c r="E19" s="104"/>
      <c r="F19" s="106"/>
      <c r="G19" s="104"/>
      <c r="H19" s="105">
        <f t="shared" ref="H19:H47" si="3">H18-F19-D19+B19</f>
        <v>11.701</v>
      </c>
      <c r="I19" s="105">
        <f t="shared" ref="I19:I47" si="4">I18-E19+C19</f>
        <v>9.701</v>
      </c>
      <c r="J19" s="122">
        <f t="shared" ref="J19:J47" si="5">SUM(H19:I19)</f>
        <v>21.402</v>
      </c>
    </row>
    <row r="20" ht="17.25" hidden="1" customHeight="1" spans="1:10">
      <c r="A20" s="34"/>
      <c r="B20" s="104"/>
      <c r="C20" s="24"/>
      <c r="D20" s="24"/>
      <c r="E20" s="104"/>
      <c r="F20" s="106"/>
      <c r="G20" s="104"/>
      <c r="H20" s="105">
        <f t="shared" si="3"/>
        <v>11.701</v>
      </c>
      <c r="I20" s="105">
        <f t="shared" si="4"/>
        <v>9.701</v>
      </c>
      <c r="J20" s="122">
        <f t="shared" si="5"/>
        <v>21.402</v>
      </c>
    </row>
    <row r="21" ht="13.5" hidden="1" customHeight="1" spans="1:10">
      <c r="A21" s="34"/>
      <c r="B21" s="104"/>
      <c r="C21" s="24"/>
      <c r="D21" s="24"/>
      <c r="E21" s="104"/>
      <c r="F21" s="106"/>
      <c r="G21" s="104"/>
      <c r="H21" s="105">
        <f t="shared" si="3"/>
        <v>11.701</v>
      </c>
      <c r="I21" s="105">
        <f t="shared" si="4"/>
        <v>9.701</v>
      </c>
      <c r="J21" s="122">
        <f t="shared" si="5"/>
        <v>21.402</v>
      </c>
    </row>
    <row r="22" ht="12" hidden="1" customHeight="1" spans="1:10">
      <c r="A22" s="34"/>
      <c r="B22" s="104"/>
      <c r="C22" s="24"/>
      <c r="D22" s="24"/>
      <c r="E22" s="104"/>
      <c r="F22" s="104"/>
      <c r="G22" s="104"/>
      <c r="H22" s="105">
        <f t="shared" si="3"/>
        <v>11.701</v>
      </c>
      <c r="I22" s="105">
        <f t="shared" si="4"/>
        <v>9.701</v>
      </c>
      <c r="J22" s="122">
        <f t="shared" si="5"/>
        <v>21.402</v>
      </c>
    </row>
    <row r="23" ht="12" hidden="1" customHeight="1" spans="1:10">
      <c r="A23" s="34"/>
      <c r="B23" s="104"/>
      <c r="C23" s="24"/>
      <c r="D23" s="24"/>
      <c r="E23" s="104"/>
      <c r="F23" s="104"/>
      <c r="G23" s="104"/>
      <c r="H23" s="105">
        <f t="shared" si="3"/>
        <v>11.701</v>
      </c>
      <c r="I23" s="105">
        <f t="shared" si="4"/>
        <v>9.701</v>
      </c>
      <c r="J23" s="122">
        <f t="shared" si="5"/>
        <v>21.402</v>
      </c>
    </row>
    <row r="24" ht="12" hidden="1" customHeight="1" spans="1:10">
      <c r="A24" s="34"/>
      <c r="B24" s="104"/>
      <c r="C24" s="24"/>
      <c r="D24" s="24"/>
      <c r="E24" s="104"/>
      <c r="F24" s="104"/>
      <c r="G24" s="104"/>
      <c r="H24" s="105">
        <f t="shared" si="3"/>
        <v>11.701</v>
      </c>
      <c r="I24" s="105">
        <f t="shared" si="4"/>
        <v>9.701</v>
      </c>
      <c r="J24" s="122">
        <f t="shared" si="5"/>
        <v>21.402</v>
      </c>
    </row>
    <row r="25" ht="12" hidden="1" customHeight="1" spans="1:10">
      <c r="A25" s="34"/>
      <c r="B25" s="104"/>
      <c r="C25" s="24"/>
      <c r="D25" s="24"/>
      <c r="E25" s="104"/>
      <c r="F25" s="104"/>
      <c r="G25" s="104"/>
      <c r="H25" s="105">
        <f t="shared" si="3"/>
        <v>11.701</v>
      </c>
      <c r="I25" s="105">
        <f t="shared" si="4"/>
        <v>9.701</v>
      </c>
      <c r="J25" s="122">
        <f t="shared" si="5"/>
        <v>21.402</v>
      </c>
    </row>
    <row r="26" ht="12" hidden="1" customHeight="1" spans="1:10">
      <c r="A26" s="34"/>
      <c r="B26" s="104"/>
      <c r="C26" s="24"/>
      <c r="D26" s="24"/>
      <c r="E26" s="104"/>
      <c r="F26" s="104"/>
      <c r="G26" s="104"/>
      <c r="H26" s="105">
        <f t="shared" si="3"/>
        <v>11.701</v>
      </c>
      <c r="I26" s="105">
        <f t="shared" si="4"/>
        <v>9.701</v>
      </c>
      <c r="J26" s="122">
        <f t="shared" si="5"/>
        <v>21.402</v>
      </c>
    </row>
    <row r="27" ht="12" hidden="1" customHeight="1" spans="1:10">
      <c r="A27" s="34"/>
      <c r="B27" s="104"/>
      <c r="C27" s="24"/>
      <c r="D27" s="24"/>
      <c r="E27" s="104"/>
      <c r="F27" s="104"/>
      <c r="G27" s="104"/>
      <c r="H27" s="105">
        <f t="shared" si="3"/>
        <v>11.701</v>
      </c>
      <c r="I27" s="105">
        <f t="shared" si="4"/>
        <v>9.701</v>
      </c>
      <c r="J27" s="122">
        <f t="shared" si="5"/>
        <v>21.402</v>
      </c>
    </row>
    <row r="28" ht="16.5" hidden="1" customHeight="1" spans="1:10">
      <c r="A28" s="34"/>
      <c r="B28" s="104"/>
      <c r="C28" s="24"/>
      <c r="D28" s="24"/>
      <c r="E28" s="104"/>
      <c r="F28" s="104"/>
      <c r="G28" s="104"/>
      <c r="H28" s="105">
        <f t="shared" si="3"/>
        <v>11.701</v>
      </c>
      <c r="I28" s="105">
        <f t="shared" si="4"/>
        <v>9.701</v>
      </c>
      <c r="J28" s="122">
        <f t="shared" si="5"/>
        <v>21.402</v>
      </c>
    </row>
    <row r="29" ht="12" hidden="1" customHeight="1" spans="1:10">
      <c r="A29" s="34"/>
      <c r="B29" s="104"/>
      <c r="C29" s="24"/>
      <c r="D29" s="24"/>
      <c r="E29" s="104"/>
      <c r="F29" s="104"/>
      <c r="G29" s="104"/>
      <c r="H29" s="105">
        <f t="shared" si="3"/>
        <v>11.701</v>
      </c>
      <c r="I29" s="105">
        <f t="shared" si="4"/>
        <v>9.701</v>
      </c>
      <c r="J29" s="122">
        <f t="shared" si="5"/>
        <v>21.402</v>
      </c>
    </row>
    <row r="30" ht="12" hidden="1" customHeight="1" spans="1:10">
      <c r="A30" s="34"/>
      <c r="B30" s="104"/>
      <c r="C30" s="24"/>
      <c r="D30" s="24"/>
      <c r="E30" s="104"/>
      <c r="F30" s="104"/>
      <c r="G30" s="104"/>
      <c r="H30" s="105">
        <f t="shared" si="3"/>
        <v>11.701</v>
      </c>
      <c r="I30" s="105">
        <f t="shared" si="4"/>
        <v>9.701</v>
      </c>
      <c r="J30" s="122">
        <f t="shared" si="5"/>
        <v>21.402</v>
      </c>
    </row>
    <row r="31" ht="12" hidden="1" customHeight="1" spans="1:10">
      <c r="A31" s="34"/>
      <c r="B31" s="104"/>
      <c r="C31" s="24"/>
      <c r="D31" s="24"/>
      <c r="E31" s="104"/>
      <c r="F31" s="104"/>
      <c r="G31" s="104"/>
      <c r="H31" s="105">
        <f t="shared" si="3"/>
        <v>11.701</v>
      </c>
      <c r="I31" s="105">
        <f t="shared" si="4"/>
        <v>9.701</v>
      </c>
      <c r="J31" s="122">
        <f t="shared" si="5"/>
        <v>21.402</v>
      </c>
    </row>
    <row r="32" ht="12" hidden="1" customHeight="1" spans="1:10">
      <c r="A32" s="34"/>
      <c r="B32" s="104"/>
      <c r="C32" s="24"/>
      <c r="D32" s="24"/>
      <c r="E32" s="104"/>
      <c r="F32" s="104"/>
      <c r="G32" s="104"/>
      <c r="H32" s="105">
        <f t="shared" si="3"/>
        <v>11.701</v>
      </c>
      <c r="I32" s="105">
        <f t="shared" si="4"/>
        <v>9.701</v>
      </c>
      <c r="J32" s="122">
        <f t="shared" si="5"/>
        <v>21.402</v>
      </c>
    </row>
    <row r="33" ht="12" hidden="1" customHeight="1" spans="1:10">
      <c r="A33" s="34"/>
      <c r="B33" s="104"/>
      <c r="C33" s="24"/>
      <c r="D33" s="24"/>
      <c r="E33" s="104"/>
      <c r="F33" s="104"/>
      <c r="G33" s="104"/>
      <c r="H33" s="105">
        <f t="shared" si="3"/>
        <v>11.701</v>
      </c>
      <c r="I33" s="105">
        <f t="shared" si="4"/>
        <v>9.701</v>
      </c>
      <c r="J33" s="122">
        <f t="shared" si="5"/>
        <v>21.402</v>
      </c>
    </row>
    <row r="34" ht="12" hidden="1" customHeight="1" spans="1:10">
      <c r="A34" s="34"/>
      <c r="B34" s="104"/>
      <c r="C34" s="104"/>
      <c r="D34" s="24"/>
      <c r="E34" s="104"/>
      <c r="F34" s="104"/>
      <c r="G34" s="104"/>
      <c r="H34" s="105">
        <f t="shared" si="3"/>
        <v>11.701</v>
      </c>
      <c r="I34" s="105">
        <f t="shared" si="4"/>
        <v>9.701</v>
      </c>
      <c r="J34" s="122">
        <f t="shared" si="5"/>
        <v>21.402</v>
      </c>
    </row>
    <row r="35" s="39" customFormat="1" ht="12" hidden="1" customHeight="1" spans="1:11">
      <c r="A35" s="34"/>
      <c r="B35" s="104"/>
      <c r="C35" s="24"/>
      <c r="D35" s="24"/>
      <c r="E35" s="104"/>
      <c r="F35" s="104"/>
      <c r="G35" s="104"/>
      <c r="H35" s="105">
        <f t="shared" si="3"/>
        <v>11.701</v>
      </c>
      <c r="I35" s="105">
        <f t="shared" si="4"/>
        <v>9.701</v>
      </c>
      <c r="J35" s="122">
        <f t="shared" si="5"/>
        <v>21.402</v>
      </c>
      <c r="K35" s="123"/>
    </row>
    <row r="36" s="39" customFormat="1" ht="12" hidden="1" customHeight="1" spans="1:11">
      <c r="A36" s="34"/>
      <c r="B36" s="104"/>
      <c r="C36" s="104"/>
      <c r="D36" s="24"/>
      <c r="E36" s="104"/>
      <c r="F36" s="104"/>
      <c r="G36" s="104"/>
      <c r="H36" s="105">
        <f t="shared" si="3"/>
        <v>11.701</v>
      </c>
      <c r="I36" s="105">
        <f t="shared" si="4"/>
        <v>9.701</v>
      </c>
      <c r="J36" s="122">
        <f t="shared" si="5"/>
        <v>21.402</v>
      </c>
      <c r="K36" s="123"/>
    </row>
    <row r="37" s="39" customFormat="1" ht="12" hidden="1" customHeight="1" spans="1:11">
      <c r="A37" s="34"/>
      <c r="B37" s="104"/>
      <c r="C37" s="24"/>
      <c r="D37" s="24"/>
      <c r="E37" s="104"/>
      <c r="F37" s="104"/>
      <c r="G37" s="104"/>
      <c r="H37" s="105">
        <f t="shared" si="3"/>
        <v>11.701</v>
      </c>
      <c r="I37" s="105">
        <f t="shared" si="4"/>
        <v>9.701</v>
      </c>
      <c r="J37" s="122">
        <f t="shared" si="5"/>
        <v>21.402</v>
      </c>
      <c r="K37" s="123"/>
    </row>
    <row r="38" s="39" customFormat="1" ht="12.75" hidden="1" customHeight="1" spans="1:11">
      <c r="A38" s="34"/>
      <c r="B38" s="104"/>
      <c r="C38" s="24"/>
      <c r="D38" s="24"/>
      <c r="E38" s="104"/>
      <c r="F38" s="104"/>
      <c r="G38" s="104"/>
      <c r="H38" s="105">
        <f t="shared" si="3"/>
        <v>11.701</v>
      </c>
      <c r="I38" s="105">
        <f t="shared" si="4"/>
        <v>9.701</v>
      </c>
      <c r="J38" s="122">
        <f t="shared" si="5"/>
        <v>21.402</v>
      </c>
      <c r="K38" s="123"/>
    </row>
    <row r="39" ht="12" hidden="1" customHeight="1" spans="1:10">
      <c r="A39" s="34"/>
      <c r="B39" s="104"/>
      <c r="C39" s="24"/>
      <c r="D39" s="24"/>
      <c r="E39" s="104"/>
      <c r="F39" s="104"/>
      <c r="G39" s="104"/>
      <c r="H39" s="105">
        <f t="shared" si="3"/>
        <v>11.701</v>
      </c>
      <c r="I39" s="105">
        <f t="shared" si="4"/>
        <v>9.701</v>
      </c>
      <c r="J39" s="122">
        <f t="shared" si="5"/>
        <v>21.402</v>
      </c>
    </row>
    <row r="40" s="39" customFormat="1" ht="12" hidden="1" customHeight="1" spans="1:11">
      <c r="A40" s="34"/>
      <c r="B40" s="104"/>
      <c r="C40" s="24"/>
      <c r="D40" s="24"/>
      <c r="E40" s="104"/>
      <c r="F40" s="104"/>
      <c r="G40" s="104"/>
      <c r="H40" s="105">
        <f t="shared" si="3"/>
        <v>11.701</v>
      </c>
      <c r="I40" s="105">
        <f t="shared" si="4"/>
        <v>9.701</v>
      </c>
      <c r="J40" s="122">
        <f t="shared" si="5"/>
        <v>21.402</v>
      </c>
      <c r="K40" s="123"/>
    </row>
    <row r="41" s="39" customFormat="1" ht="15" hidden="1" customHeight="1" spans="1:11">
      <c r="A41" s="34"/>
      <c r="B41" s="104"/>
      <c r="C41" s="24"/>
      <c r="D41" s="24"/>
      <c r="E41" s="104"/>
      <c r="F41" s="104"/>
      <c r="G41" s="104"/>
      <c r="H41" s="105">
        <f t="shared" si="3"/>
        <v>11.701</v>
      </c>
      <c r="I41" s="105">
        <f t="shared" si="4"/>
        <v>9.701</v>
      </c>
      <c r="J41" s="122">
        <f t="shared" si="5"/>
        <v>21.402</v>
      </c>
      <c r="K41" s="123"/>
    </row>
    <row r="42" s="39" customFormat="1" ht="16.5" hidden="1" customHeight="1" spans="1:11">
      <c r="A42" s="34"/>
      <c r="B42" s="104"/>
      <c r="C42" s="24"/>
      <c r="D42" s="24"/>
      <c r="E42" s="104"/>
      <c r="F42" s="104"/>
      <c r="G42" s="104"/>
      <c r="H42" s="105">
        <f t="shared" si="3"/>
        <v>11.701</v>
      </c>
      <c r="I42" s="105">
        <f t="shared" si="4"/>
        <v>9.701</v>
      </c>
      <c r="J42" s="122">
        <f t="shared" si="5"/>
        <v>21.402</v>
      </c>
      <c r="K42" s="123"/>
    </row>
    <row r="43" s="39" customFormat="1" ht="16.5" hidden="1" customHeight="1" spans="1:11">
      <c r="A43" s="34"/>
      <c r="B43" s="104"/>
      <c r="C43" s="24"/>
      <c r="D43" s="24"/>
      <c r="E43" s="104"/>
      <c r="F43" s="104"/>
      <c r="G43" s="104"/>
      <c r="H43" s="105">
        <f t="shared" si="3"/>
        <v>11.701</v>
      </c>
      <c r="I43" s="105">
        <f t="shared" si="4"/>
        <v>9.701</v>
      </c>
      <c r="J43" s="122">
        <f t="shared" si="5"/>
        <v>21.402</v>
      </c>
      <c r="K43" s="123"/>
    </row>
    <row r="44" hidden="1" spans="1:10">
      <c r="A44" s="34"/>
      <c r="B44" s="104"/>
      <c r="C44" s="24"/>
      <c r="D44" s="24"/>
      <c r="E44" s="104"/>
      <c r="F44" s="104"/>
      <c r="G44" s="104"/>
      <c r="H44" s="105">
        <f t="shared" si="3"/>
        <v>11.701</v>
      </c>
      <c r="I44" s="105">
        <f t="shared" si="4"/>
        <v>9.701</v>
      </c>
      <c r="J44" s="122">
        <f t="shared" si="5"/>
        <v>21.402</v>
      </c>
    </row>
    <row r="45" hidden="1" spans="1:10">
      <c r="A45" s="34"/>
      <c r="B45" s="104"/>
      <c r="C45" s="24"/>
      <c r="D45" s="24"/>
      <c r="E45" s="104"/>
      <c r="F45" s="104"/>
      <c r="G45" s="104"/>
      <c r="H45" s="105">
        <f t="shared" si="3"/>
        <v>11.701</v>
      </c>
      <c r="I45" s="105">
        <f t="shared" si="4"/>
        <v>9.701</v>
      </c>
      <c r="J45" s="122">
        <f t="shared" si="5"/>
        <v>21.402</v>
      </c>
    </row>
    <row r="46" hidden="1" spans="1:10">
      <c r="A46" s="34"/>
      <c r="B46" s="104"/>
      <c r="C46" s="24"/>
      <c r="D46" s="24"/>
      <c r="E46" s="104"/>
      <c r="F46" s="104"/>
      <c r="G46" s="104"/>
      <c r="H46" s="105">
        <f t="shared" si="3"/>
        <v>11.701</v>
      </c>
      <c r="I46" s="105">
        <f t="shared" si="4"/>
        <v>9.701</v>
      </c>
      <c r="J46" s="122">
        <f t="shared" si="5"/>
        <v>21.402</v>
      </c>
    </row>
    <row r="47" spans="1:10">
      <c r="A47" s="24" t="s">
        <v>27</v>
      </c>
      <c r="B47" s="104">
        <v>2.5</v>
      </c>
      <c r="C47" s="24">
        <v>2.5</v>
      </c>
      <c r="D47" s="24"/>
      <c r="E47" s="104"/>
      <c r="F47" s="104"/>
      <c r="G47" s="104"/>
      <c r="H47" s="105">
        <f t="shared" si="3"/>
        <v>14.201</v>
      </c>
      <c r="I47" s="105">
        <f t="shared" si="4"/>
        <v>12.201</v>
      </c>
      <c r="J47" s="122">
        <f t="shared" si="5"/>
        <v>26.402</v>
      </c>
    </row>
    <row r="48" spans="1:10">
      <c r="A48" s="24" t="s">
        <v>28</v>
      </c>
      <c r="B48" s="104">
        <v>7.5</v>
      </c>
      <c r="C48" s="24">
        <v>7.5</v>
      </c>
      <c r="D48" s="24"/>
      <c r="E48" s="104"/>
      <c r="F48" s="104"/>
      <c r="G48" s="104"/>
      <c r="H48" s="105">
        <f t="shared" ref="H48" si="6">H47-F48-D48+B48</f>
        <v>21.701</v>
      </c>
      <c r="I48" s="105">
        <f t="shared" ref="I48" si="7">I47-E48+C48</f>
        <v>19.701</v>
      </c>
      <c r="J48" s="122">
        <f t="shared" ref="J48" si="8">SUM(H48:I48)</f>
        <v>41.402</v>
      </c>
    </row>
    <row r="49" spans="1:10">
      <c r="A49" s="24" t="s">
        <v>29</v>
      </c>
      <c r="B49" s="104"/>
      <c r="C49" s="24"/>
      <c r="D49" s="24">
        <v>16</v>
      </c>
      <c r="E49" s="104"/>
      <c r="F49" s="104"/>
      <c r="G49" s="104"/>
      <c r="H49" s="105">
        <f t="shared" ref="H49" si="9">H48-F49-D49+B49</f>
        <v>5.701</v>
      </c>
      <c r="I49" s="105">
        <f t="shared" ref="I49" si="10">I48-E49+C49</f>
        <v>19.701</v>
      </c>
      <c r="J49" s="122">
        <f t="shared" ref="J49" si="11">SUM(H49:I49)</f>
        <v>25.402</v>
      </c>
    </row>
    <row r="50" spans="1:10">
      <c r="A50" s="24" t="s">
        <v>30</v>
      </c>
      <c r="B50" s="104">
        <v>1.25</v>
      </c>
      <c r="C50" s="24">
        <v>1.25</v>
      </c>
      <c r="D50" s="24"/>
      <c r="E50" s="104"/>
      <c r="F50" s="104"/>
      <c r="G50" s="104"/>
      <c r="H50" s="105">
        <f t="shared" ref="H50:H51" si="12">H49-F50-D50+B50</f>
        <v>6.951</v>
      </c>
      <c r="I50" s="105">
        <f t="shared" ref="I50:I51" si="13">I49-E50+C50</f>
        <v>20.951</v>
      </c>
      <c r="J50" s="122">
        <f t="shared" ref="J50:J51" si="14">SUM(H50:I50)</f>
        <v>27.902</v>
      </c>
    </row>
    <row r="51" spans="1:10">
      <c r="A51" s="24" t="s">
        <v>31</v>
      </c>
      <c r="B51" s="104"/>
      <c r="C51" s="24"/>
      <c r="D51" s="24"/>
      <c r="E51" s="104">
        <v>2</v>
      </c>
      <c r="F51" s="104"/>
      <c r="G51" s="104"/>
      <c r="H51" s="105">
        <f t="shared" si="12"/>
        <v>6.951</v>
      </c>
      <c r="I51" s="105">
        <f t="shared" si="13"/>
        <v>18.951</v>
      </c>
      <c r="J51" s="122">
        <f t="shared" si="14"/>
        <v>25.902</v>
      </c>
    </row>
    <row r="52" spans="1:10">
      <c r="A52" s="24" t="s">
        <v>32</v>
      </c>
      <c r="B52" s="104">
        <v>5</v>
      </c>
      <c r="C52" s="24">
        <v>5</v>
      </c>
      <c r="D52" s="24"/>
      <c r="E52" s="104"/>
      <c r="F52" s="104"/>
      <c r="G52" s="104"/>
      <c r="H52" s="105">
        <f>H51-F52-D52+B52</f>
        <v>11.951</v>
      </c>
      <c r="I52" s="105">
        <f>I51-E52+C52</f>
        <v>23.951</v>
      </c>
      <c r="J52" s="122">
        <f>SUM(H52:I52)</f>
        <v>35.902</v>
      </c>
    </row>
    <row r="53" spans="1:10">
      <c r="A53" s="24" t="s">
        <v>33</v>
      </c>
      <c r="B53" s="104"/>
      <c r="C53" s="24"/>
      <c r="D53" s="24"/>
      <c r="E53" s="104"/>
      <c r="F53" s="107">
        <v>5</v>
      </c>
      <c r="G53" s="104"/>
      <c r="H53" s="105">
        <f>H52-F53-D53+B53</f>
        <v>6.951</v>
      </c>
      <c r="I53" s="105">
        <f>I52-E53+C53</f>
        <v>23.951</v>
      </c>
      <c r="J53" s="122">
        <f>SUM(H53:I53)</f>
        <v>30.902</v>
      </c>
    </row>
    <row r="54" spans="1:10">
      <c r="A54" s="24" t="s">
        <v>34</v>
      </c>
      <c r="B54" s="104"/>
      <c r="C54" s="24"/>
      <c r="D54" s="24"/>
      <c r="E54" s="104"/>
      <c r="F54" s="104"/>
      <c r="G54" s="108">
        <v>3</v>
      </c>
      <c r="H54" s="105">
        <f>H53-F54-D54+B54</f>
        <v>6.951</v>
      </c>
      <c r="I54" s="105">
        <f>I53-E54+C54</f>
        <v>23.951</v>
      </c>
      <c r="J54" s="122">
        <f>SUM(H54:I54)</f>
        <v>30.902</v>
      </c>
    </row>
    <row r="55" spans="1:10">
      <c r="A55" s="24"/>
      <c r="B55" s="104"/>
      <c r="C55" s="24"/>
      <c r="D55" s="24"/>
      <c r="E55" s="104"/>
      <c r="F55" s="104"/>
      <c r="G55" s="104"/>
      <c r="H55" s="105"/>
      <c r="I55" s="105"/>
      <c r="J55" s="105"/>
    </row>
    <row r="56" ht="13" customHeight="1" spans="1:10">
      <c r="A56" s="109"/>
      <c r="B56" s="110"/>
      <c r="C56" s="109"/>
      <c r="D56" s="109"/>
      <c r="E56" s="110"/>
      <c r="F56" s="110"/>
      <c r="G56" s="110"/>
      <c r="H56" s="111"/>
      <c r="I56" s="111"/>
      <c r="J56" s="111"/>
    </row>
    <row r="57" spans="8:10">
      <c r="H57" s="112"/>
      <c r="I57" s="112"/>
      <c r="J57" s="112"/>
    </row>
    <row r="58" spans="8:10">
      <c r="H58" s="112"/>
      <c r="I58" s="112"/>
      <c r="J58" s="112"/>
    </row>
    <row r="62" spans="6:6">
      <c r="F62" s="88" t="s">
        <v>35</v>
      </c>
    </row>
  </sheetData>
  <mergeCells count="14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3:J13"/>
    <mergeCell ref="A11:A12"/>
    <mergeCell ref="J11:J12"/>
    <mergeCell ref="K11:K12"/>
  </mergeCells>
  <printOptions horizontalCentered="1"/>
  <pageMargins left="0.236220472440945" right="0.236220472440945" top="0.62992125984252" bottom="0.236220472440945" header="0.31496062992126" footer="0.31496062992126"/>
  <pageSetup paperSize="9" scale="65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3"/>
  <sheetViews>
    <sheetView view="pageBreakPreview" zoomScaleNormal="100" workbookViewId="0">
      <selection activeCell="G21" sqref="G21"/>
    </sheetView>
  </sheetViews>
  <sheetFormatPr defaultColWidth="9" defaultRowHeight="14.4" outlineLevelCol="6"/>
  <cols>
    <col min="1" max="1" width="23.5740740740741" style="51" customWidth="1"/>
    <col min="2" max="2" width="13.5740740740741" style="51" customWidth="1"/>
    <col min="3" max="3" width="39.287037037037" style="52" customWidth="1"/>
    <col min="4" max="4" width="11.712962962963" style="53" customWidth="1"/>
    <col min="5" max="5" width="11" style="51" customWidth="1"/>
    <col min="6" max="6" width="11.8518518518519" style="53" customWidth="1"/>
    <col min="7" max="7" width="22" style="51" customWidth="1"/>
    <col min="8" max="16384" width="9" style="51"/>
  </cols>
  <sheetData>
    <row r="1" s="48" customFormat="1" ht="52.5" customHeight="1" spans="5:5">
      <c r="E1" s="54"/>
    </row>
    <row r="2" s="48" customFormat="1" ht="10.5" customHeight="1" spans="1:7">
      <c r="A2" s="55" t="s">
        <v>0</v>
      </c>
      <c r="B2" s="55"/>
      <c r="C2" s="55"/>
      <c r="D2" s="55"/>
      <c r="E2" s="55"/>
      <c r="F2" s="55"/>
      <c r="G2" s="55"/>
    </row>
    <row r="3" s="48" customFormat="1" ht="15.95" customHeight="1" spans="1:7">
      <c r="A3" s="55" t="s">
        <v>1</v>
      </c>
      <c r="B3" s="55"/>
      <c r="C3" s="55"/>
      <c r="D3" s="55"/>
      <c r="E3" s="55"/>
      <c r="F3" s="55"/>
      <c r="G3" s="55"/>
    </row>
    <row r="4" s="48" customFormat="1" ht="15.95" customHeight="1" spans="1:7">
      <c r="A4" s="55" t="s">
        <v>36</v>
      </c>
      <c r="B4" s="55"/>
      <c r="C4" s="55"/>
      <c r="D4" s="55"/>
      <c r="E4" s="55"/>
      <c r="F4" s="55"/>
      <c r="G4" s="55"/>
    </row>
    <row r="5" s="48" customFormat="1" ht="15.95" customHeight="1" spans="1:7">
      <c r="A5" s="55" t="s">
        <v>3</v>
      </c>
      <c r="B5" s="55"/>
      <c r="C5" s="55"/>
      <c r="D5" s="55"/>
      <c r="E5" s="55"/>
      <c r="F5" s="55"/>
      <c r="G5" s="55"/>
    </row>
    <row r="6" s="48" customFormat="1" ht="8.25" customHeight="1" spans="5:5">
      <c r="E6" s="54"/>
    </row>
    <row r="7" s="48" customFormat="1" ht="8.25" customHeight="1" spans="5:5">
      <c r="E7" s="54"/>
    </row>
    <row r="8" s="48" customFormat="1" ht="17.25" customHeight="1" spans="1:7">
      <c r="A8" s="56" t="s">
        <v>37</v>
      </c>
      <c r="B8" s="56"/>
      <c r="C8" s="56" t="s">
        <v>38</v>
      </c>
      <c r="D8" s="57"/>
      <c r="E8" s="56" t="s">
        <v>39</v>
      </c>
      <c r="F8" s="57"/>
      <c r="G8" s="58"/>
    </row>
    <row r="9" s="48" customFormat="1" ht="12" customHeight="1" spans="1:7">
      <c r="A9" s="59"/>
      <c r="B9" s="59"/>
      <c r="C9" s="60"/>
      <c r="E9" s="56" t="s">
        <v>40</v>
      </c>
      <c r="F9" s="61"/>
      <c r="G9" s="60"/>
    </row>
    <row r="10" s="48" customFormat="1" ht="14.25" customHeight="1" spans="1:7">
      <c r="A10" s="56" t="s">
        <v>41</v>
      </c>
      <c r="B10" s="56"/>
      <c r="C10" s="56" t="s">
        <v>42</v>
      </c>
      <c r="D10" s="57"/>
      <c r="E10" s="56" t="s">
        <v>43</v>
      </c>
      <c r="F10" s="57"/>
      <c r="G10" s="58"/>
    </row>
    <row r="11" s="48" customFormat="1" ht="12" customHeight="1" spans="1:7">
      <c r="A11" s="58"/>
      <c r="B11" s="58"/>
      <c r="C11" s="58"/>
      <c r="F11" s="57"/>
      <c r="G11" s="58"/>
    </row>
    <row r="12" ht="23.25" customHeight="1" spans="1:7">
      <c r="A12" s="62" t="s">
        <v>44</v>
      </c>
      <c r="B12" s="63"/>
      <c r="C12" s="63"/>
      <c r="D12" s="63"/>
      <c r="E12" s="63"/>
      <c r="F12" s="63"/>
      <c r="G12" s="64"/>
    </row>
    <row r="13" s="49" customFormat="1" ht="37.5" customHeight="1" spans="1:7">
      <c r="A13" s="65" t="s">
        <v>45</v>
      </c>
      <c r="B13" s="66" t="s">
        <v>46</v>
      </c>
      <c r="C13" s="67" t="s">
        <v>47</v>
      </c>
      <c r="D13" s="67" t="s">
        <v>48</v>
      </c>
      <c r="E13" s="67" t="s">
        <v>49</v>
      </c>
      <c r="F13" s="67" t="s">
        <v>50</v>
      </c>
      <c r="G13" s="68" t="s">
        <v>15</v>
      </c>
    </row>
    <row r="14" s="49" customFormat="1" ht="24.75" customHeight="1" spans="1:7">
      <c r="A14" s="69" t="s">
        <v>51</v>
      </c>
      <c r="B14" s="70"/>
      <c r="C14" s="71" t="s">
        <v>52</v>
      </c>
      <c r="D14" s="72">
        <v>5</v>
      </c>
      <c r="E14" s="73">
        <v>0</v>
      </c>
      <c r="F14" s="73">
        <v>5</v>
      </c>
      <c r="G14" s="74">
        <v>5</v>
      </c>
    </row>
    <row r="15" s="49" customFormat="1" ht="24.75" customHeight="1" spans="1:7">
      <c r="A15" s="75" t="s">
        <v>53</v>
      </c>
      <c r="B15" s="70">
        <v>44568</v>
      </c>
      <c r="C15" s="76" t="s">
        <v>54</v>
      </c>
      <c r="D15" s="77">
        <v>5</v>
      </c>
      <c r="E15" s="73">
        <v>0</v>
      </c>
      <c r="F15" s="73">
        <v>5</v>
      </c>
      <c r="G15" s="74">
        <v>5</v>
      </c>
    </row>
    <row r="16" s="49" customFormat="1" ht="24.75" customHeight="1" spans="1:7">
      <c r="A16" s="75" t="s">
        <v>55</v>
      </c>
      <c r="B16" s="70">
        <v>45240</v>
      </c>
      <c r="C16" s="76" t="s">
        <v>56</v>
      </c>
      <c r="D16" s="77">
        <v>11</v>
      </c>
      <c r="E16" s="73">
        <v>5</v>
      </c>
      <c r="F16" s="73">
        <v>6</v>
      </c>
      <c r="G16" s="74">
        <v>6</v>
      </c>
    </row>
    <row r="17" s="49" customFormat="1" ht="15.75" customHeight="1" spans="1:7">
      <c r="A17" s="75" t="s">
        <v>57</v>
      </c>
      <c r="B17" s="78" t="s">
        <v>58</v>
      </c>
      <c r="C17" s="79" t="s">
        <v>59</v>
      </c>
      <c r="D17" s="80">
        <v>5</v>
      </c>
      <c r="E17" s="73">
        <v>0</v>
      </c>
      <c r="F17" s="73">
        <v>5</v>
      </c>
      <c r="G17" s="74">
        <v>5</v>
      </c>
    </row>
    <row r="18" s="50" customFormat="1" ht="27" customHeight="1" spans="1:7">
      <c r="A18" s="75" t="s">
        <v>60</v>
      </c>
      <c r="B18" s="78" t="s">
        <v>61</v>
      </c>
      <c r="C18" s="76" t="s">
        <v>62</v>
      </c>
      <c r="D18" s="81">
        <v>15</v>
      </c>
      <c r="E18" s="81">
        <v>0</v>
      </c>
      <c r="F18" s="81">
        <v>15</v>
      </c>
      <c r="G18" s="74">
        <v>15</v>
      </c>
    </row>
    <row r="19" s="50" customFormat="1" ht="15.6" spans="1:7">
      <c r="A19" s="75"/>
      <c r="B19" s="75"/>
      <c r="C19" s="76"/>
      <c r="D19" s="81"/>
      <c r="E19" s="81"/>
      <c r="F19" s="81"/>
      <c r="G19" s="82"/>
    </row>
    <row r="20" s="50" customFormat="1" ht="15.6" spans="1:7">
      <c r="A20" s="83" t="s">
        <v>15</v>
      </c>
      <c r="B20" s="84"/>
      <c r="C20" s="84"/>
      <c r="D20" s="84"/>
      <c r="E20" s="84"/>
      <c r="F20" s="85"/>
      <c r="G20" s="86" t="s">
        <v>63</v>
      </c>
    </row>
    <row r="21" s="48" customFormat="1" ht="75.75" customHeight="1" spans="1:7">
      <c r="A21" s="87"/>
      <c r="B21" s="87"/>
      <c r="G21" s="87"/>
    </row>
    <row r="22" s="48" customFormat="1"/>
    <row r="23" s="48" customFormat="1"/>
  </sheetData>
  <mergeCells count="6">
    <mergeCell ref="A2:G2"/>
    <mergeCell ref="A3:G3"/>
    <mergeCell ref="A4:G4"/>
    <mergeCell ref="A5:G5"/>
    <mergeCell ref="A12:G12"/>
    <mergeCell ref="A20:F20"/>
  </mergeCells>
  <pageMargins left="0.25" right="0.25" top="0.75" bottom="0.75" header="0.3" footer="0.3"/>
  <pageSetup paperSize="9" scale="74" fitToHeight="0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52"/>
  <sheetViews>
    <sheetView topLeftCell="A7" workbookViewId="0">
      <selection activeCell="L26" sqref="L26"/>
    </sheetView>
  </sheetViews>
  <sheetFormatPr defaultColWidth="9" defaultRowHeight="14.4"/>
  <cols>
    <col min="1" max="1" width="29.8518518518519" customWidth="1"/>
    <col min="2" max="2" width="9.42592592592593" style="3" customWidth="1"/>
    <col min="3" max="3" width="9.28703703703704" style="4" customWidth="1"/>
    <col min="5" max="5" width="8.42592592592593" style="3" customWidth="1"/>
    <col min="6" max="6" width="10.8518518518519" style="5" customWidth="1"/>
    <col min="7" max="7" width="10.8518518518519" customWidth="1"/>
    <col min="8" max="8" width="10" style="5" customWidth="1"/>
    <col min="9" max="9" width="7.57407407407407" customWidth="1"/>
  </cols>
  <sheetData>
    <row r="1" spans="1:9">
      <c r="A1" s="6"/>
      <c r="B1" s="6"/>
      <c r="C1" s="7"/>
      <c r="D1" s="8"/>
      <c r="E1" s="6"/>
      <c r="F1" s="6"/>
      <c r="G1" s="9"/>
      <c r="H1" s="6"/>
      <c r="I1" s="6"/>
    </row>
    <row r="2" spans="1:9">
      <c r="A2" s="6"/>
      <c r="B2" s="6"/>
      <c r="C2" s="7"/>
      <c r="D2" s="8"/>
      <c r="E2" s="6"/>
      <c r="F2" s="6"/>
      <c r="G2" s="9"/>
      <c r="H2" s="6"/>
      <c r="I2" s="6"/>
    </row>
    <row r="3" spans="1:9">
      <c r="A3" s="6"/>
      <c r="B3" s="6"/>
      <c r="C3" s="7"/>
      <c r="D3" s="8"/>
      <c r="E3" s="6"/>
      <c r="F3" s="6"/>
      <c r="G3" s="9"/>
      <c r="H3" s="6"/>
      <c r="I3" s="6"/>
    </row>
    <row r="4" spans="1:9">
      <c r="A4" s="6"/>
      <c r="B4" s="6"/>
      <c r="C4" s="7"/>
      <c r="D4" s="8"/>
      <c r="E4" s="6"/>
      <c r="F4" s="6"/>
      <c r="G4" s="9"/>
      <c r="H4" s="6"/>
      <c r="I4" s="6"/>
    </row>
    <row r="5" spans="1:9">
      <c r="A5" s="10" t="s">
        <v>0</v>
      </c>
      <c r="B5" s="10"/>
      <c r="C5" s="10"/>
      <c r="D5" s="10"/>
      <c r="E5" s="10"/>
      <c r="F5" s="10"/>
      <c r="G5" s="10"/>
      <c r="H5" s="10"/>
      <c r="I5" s="10"/>
    </row>
    <row r="6" spans="1:9">
      <c r="A6" s="10" t="s">
        <v>1</v>
      </c>
      <c r="B6" s="10"/>
      <c r="C6" s="10"/>
      <c r="D6" s="10"/>
      <c r="E6" s="10"/>
      <c r="F6" s="10"/>
      <c r="G6" s="10"/>
      <c r="H6" s="10"/>
      <c r="I6" s="10"/>
    </row>
    <row r="7" spans="1:9">
      <c r="A7" s="10" t="s">
        <v>36</v>
      </c>
      <c r="B7" s="10"/>
      <c r="C7" s="10"/>
      <c r="D7" s="10"/>
      <c r="E7" s="10"/>
      <c r="F7" s="10"/>
      <c r="G7" s="10"/>
      <c r="H7" s="10"/>
      <c r="I7" s="10"/>
    </row>
    <row r="8" spans="1:9">
      <c r="A8" s="10" t="s">
        <v>3</v>
      </c>
      <c r="B8" s="10"/>
      <c r="C8" s="10"/>
      <c r="D8" s="10"/>
      <c r="E8" s="10"/>
      <c r="F8" s="10"/>
      <c r="G8" s="10"/>
      <c r="H8" s="10"/>
      <c r="I8" s="10"/>
    </row>
    <row r="9" spans="1:9">
      <c r="A9" s="6"/>
      <c r="B9" s="6"/>
      <c r="C9" s="9"/>
      <c r="D9" s="6"/>
      <c r="E9" s="6"/>
      <c r="F9" s="6"/>
      <c r="G9" s="9"/>
      <c r="H9" s="6"/>
      <c r="I9" s="6"/>
    </row>
    <row r="10" spans="1:9">
      <c r="A10" s="6"/>
      <c r="B10" s="6"/>
      <c r="C10" s="9"/>
      <c r="D10" s="6"/>
      <c r="E10" s="6"/>
      <c r="F10" s="6"/>
      <c r="G10" s="9"/>
      <c r="H10" s="6"/>
      <c r="I10" s="6"/>
    </row>
    <row r="11" spans="1:9">
      <c r="A11" s="11" t="s">
        <v>64</v>
      </c>
      <c r="B11" s="11"/>
      <c r="C11" s="12" t="s">
        <v>65</v>
      </c>
      <c r="D11" s="12"/>
      <c r="E11" s="12"/>
      <c r="F11" s="12"/>
      <c r="G11" s="6"/>
      <c r="H11" s="12"/>
      <c r="I11" s="11"/>
    </row>
    <row r="12" spans="1:9">
      <c r="A12" s="6"/>
      <c r="B12" s="13"/>
      <c r="C12" s="12" t="s">
        <v>66</v>
      </c>
      <c r="D12" s="12"/>
      <c r="E12" s="12"/>
      <c r="F12" s="12"/>
      <c r="G12" s="6"/>
      <c r="H12" s="14"/>
      <c r="I12" s="13"/>
    </row>
    <row r="13" spans="1:9">
      <c r="A13" s="11" t="s">
        <v>67</v>
      </c>
      <c r="B13" s="11"/>
      <c r="C13" s="15"/>
      <c r="D13" s="13"/>
      <c r="E13" s="13"/>
      <c r="F13" s="6"/>
      <c r="G13" s="6"/>
      <c r="H13" s="12"/>
      <c r="I13" s="11"/>
    </row>
    <row r="14" ht="21.75" spans="1:9">
      <c r="A14" s="16" t="s">
        <v>68</v>
      </c>
      <c r="B14" s="16"/>
      <c r="C14" s="16"/>
      <c r="D14" s="16"/>
      <c r="E14" s="16"/>
      <c r="F14" s="16"/>
      <c r="G14" s="16"/>
      <c r="H14" s="16"/>
      <c r="I14" s="16"/>
    </row>
    <row r="15" spans="1:9">
      <c r="A15" s="17" t="s">
        <v>11</v>
      </c>
      <c r="B15" s="18" t="s">
        <v>12</v>
      </c>
      <c r="C15" s="19"/>
      <c r="D15" s="19"/>
      <c r="E15" s="19"/>
      <c r="F15" s="19"/>
      <c r="G15" s="19"/>
      <c r="H15" s="19"/>
      <c r="I15" s="42" t="s">
        <v>15</v>
      </c>
    </row>
    <row r="16" ht="24" spans="1:9">
      <c r="A16" s="20"/>
      <c r="B16" s="21" t="s">
        <v>69</v>
      </c>
      <c r="C16" s="22"/>
      <c r="D16" s="22"/>
      <c r="E16" s="23"/>
      <c r="F16" s="21" t="s">
        <v>48</v>
      </c>
      <c r="G16" s="21" t="s">
        <v>49</v>
      </c>
      <c r="H16" s="21" t="s">
        <v>50</v>
      </c>
      <c r="I16" s="43"/>
    </row>
    <row r="17" s="1" customFormat="1" ht="24.95" hidden="1" customHeight="1" spans="1:9">
      <c r="A17" s="24" t="s">
        <v>70</v>
      </c>
      <c r="B17" s="25" t="s">
        <v>71</v>
      </c>
      <c r="C17" s="25"/>
      <c r="D17" s="25"/>
      <c r="E17" s="25"/>
      <c r="F17" s="26">
        <v>5</v>
      </c>
      <c r="G17" s="25">
        <v>0</v>
      </c>
      <c r="H17" s="25">
        <v>5</v>
      </c>
      <c r="I17" s="25">
        <f>F17-G17</f>
        <v>5</v>
      </c>
    </row>
    <row r="18" s="2" customFormat="1" ht="25.5" hidden="1" customHeight="1" spans="1:9">
      <c r="A18" s="27" t="s">
        <v>72</v>
      </c>
      <c r="B18" s="28" t="s">
        <v>71</v>
      </c>
      <c r="C18" s="29"/>
      <c r="D18" s="29"/>
      <c r="E18" s="30"/>
      <c r="F18" s="28"/>
      <c r="G18" s="28">
        <v>4</v>
      </c>
      <c r="H18" s="30"/>
      <c r="I18" s="28">
        <v>4</v>
      </c>
    </row>
    <row r="19" ht="31.5" hidden="1" customHeight="1" spans="1:9">
      <c r="A19" s="31" t="s">
        <v>73</v>
      </c>
      <c r="B19" s="26" t="s">
        <v>74</v>
      </c>
      <c r="C19" s="32"/>
      <c r="D19" s="32"/>
      <c r="E19" s="33"/>
      <c r="F19" s="26">
        <v>11</v>
      </c>
      <c r="G19" s="26">
        <v>0</v>
      </c>
      <c r="H19" s="26">
        <v>11</v>
      </c>
      <c r="I19" s="44">
        <v>11</v>
      </c>
    </row>
    <row r="20" ht="31.5" hidden="1" customHeight="1" spans="1:9">
      <c r="A20" s="31" t="s">
        <v>75</v>
      </c>
      <c r="B20" s="26"/>
      <c r="C20" s="32"/>
      <c r="D20" s="32"/>
      <c r="E20" s="33"/>
      <c r="F20" s="26"/>
      <c r="G20" s="26">
        <v>1</v>
      </c>
      <c r="H20" s="26">
        <v>10</v>
      </c>
      <c r="I20" s="44">
        <v>10</v>
      </c>
    </row>
    <row r="21" ht="31.5" hidden="1" customHeight="1" spans="1:9">
      <c r="A21" s="34" t="s">
        <v>76</v>
      </c>
      <c r="B21" s="26"/>
      <c r="C21" s="32"/>
      <c r="D21" s="32"/>
      <c r="E21" s="33"/>
      <c r="F21" s="26"/>
      <c r="G21" s="26">
        <v>1</v>
      </c>
      <c r="H21" s="26">
        <v>9</v>
      </c>
      <c r="I21" s="45">
        <v>9</v>
      </c>
    </row>
    <row r="22" ht="31.5" hidden="1" customHeight="1" spans="1:9">
      <c r="A22" s="34" t="s">
        <v>77</v>
      </c>
      <c r="B22" s="26"/>
      <c r="C22" s="32"/>
      <c r="D22" s="32"/>
      <c r="E22" s="33"/>
      <c r="F22" s="26"/>
      <c r="G22" s="26">
        <v>2</v>
      </c>
      <c r="H22" s="26">
        <v>7</v>
      </c>
      <c r="I22" s="45">
        <v>7</v>
      </c>
    </row>
    <row r="23" ht="31.5" hidden="1" customHeight="1" spans="1:9">
      <c r="A23" s="34" t="s">
        <v>78</v>
      </c>
      <c r="B23" s="26"/>
      <c r="C23" s="32"/>
      <c r="D23" s="32"/>
      <c r="E23" s="33"/>
      <c r="F23" s="26"/>
      <c r="G23" s="26">
        <v>1</v>
      </c>
      <c r="H23" s="26">
        <v>6</v>
      </c>
      <c r="I23" s="45">
        <v>6</v>
      </c>
    </row>
    <row r="24" ht="24" customHeight="1" spans="1:9">
      <c r="A24" s="35" t="s">
        <v>79</v>
      </c>
      <c r="B24" s="36" t="s">
        <v>80</v>
      </c>
      <c r="C24" s="37"/>
      <c r="D24" s="37"/>
      <c r="E24" s="38"/>
      <c r="F24" s="26">
        <v>1</v>
      </c>
      <c r="G24" s="26">
        <v>0</v>
      </c>
      <c r="H24" s="26">
        <v>1</v>
      </c>
      <c r="I24" s="45">
        <v>1</v>
      </c>
    </row>
    <row r="25" ht="24.75" customHeight="1" spans="1:9">
      <c r="A25" s="35" t="s">
        <v>81</v>
      </c>
      <c r="B25" s="36" t="s">
        <v>80</v>
      </c>
      <c r="C25" s="37"/>
      <c r="D25" s="37"/>
      <c r="E25" s="38"/>
      <c r="F25" s="26"/>
      <c r="G25" s="26">
        <v>1</v>
      </c>
      <c r="H25" s="26">
        <v>0</v>
      </c>
      <c r="I25" s="46">
        <v>0</v>
      </c>
    </row>
    <row r="26" spans="1:9">
      <c r="A26" s="39" t="s">
        <v>82</v>
      </c>
      <c r="B26" s="40"/>
      <c r="C26" s="40"/>
      <c r="D26" s="40"/>
      <c r="E26" s="40"/>
      <c r="F26" s="40"/>
      <c r="G26" s="40"/>
      <c r="H26" s="40"/>
      <c r="I26" s="47"/>
    </row>
    <row r="27" spans="1:9">
      <c r="A27" s="41"/>
      <c r="B27" s="41"/>
      <c r="C27" s="41"/>
      <c r="D27" s="41"/>
      <c r="E27" s="41"/>
      <c r="F27" s="41"/>
      <c r="G27" s="41"/>
      <c r="H27" s="41"/>
      <c r="I27" s="41"/>
    </row>
    <row r="28" spans="1:9">
      <c r="A28" s="6"/>
      <c r="B28" s="6"/>
      <c r="C28" s="9"/>
      <c r="D28" s="6"/>
      <c r="E28" s="6"/>
      <c r="F28" s="6"/>
      <c r="G28" s="6"/>
      <c r="H28" s="6"/>
      <c r="I28" s="6"/>
    </row>
    <row r="29" spans="1:9">
      <c r="A29" s="6"/>
      <c r="B29" s="6"/>
      <c r="C29" s="9"/>
      <c r="D29" s="6"/>
      <c r="E29" s="6"/>
      <c r="F29" s="6"/>
      <c r="G29" s="6"/>
      <c r="H29" s="6"/>
      <c r="I29" s="6"/>
    </row>
    <row r="30" spans="1:9">
      <c r="A30" s="6"/>
      <c r="B30" s="6"/>
      <c r="C30" s="9"/>
      <c r="D30" s="6"/>
      <c r="E30" s="6"/>
      <c r="F30" s="6"/>
      <c r="G30" s="6"/>
      <c r="H30" s="6"/>
      <c r="I30" s="6"/>
    </row>
    <row r="31" spans="1:9">
      <c r="A31" s="6"/>
      <c r="B31" s="6"/>
      <c r="C31" s="9"/>
      <c r="D31" s="6"/>
      <c r="E31" s="6"/>
      <c r="F31" s="6"/>
      <c r="G31" s="6"/>
      <c r="H31" s="6"/>
      <c r="I31" s="6"/>
    </row>
    <row r="32" spans="1:9">
      <c r="A32" s="6"/>
      <c r="B32" s="6"/>
      <c r="C32" s="9"/>
      <c r="D32" s="6"/>
      <c r="E32" s="6"/>
      <c r="F32" s="6"/>
      <c r="G32" s="6"/>
      <c r="H32" s="6"/>
      <c r="I32" s="6"/>
    </row>
    <row r="33" spans="1:9">
      <c r="A33" s="6"/>
      <c r="B33" s="6"/>
      <c r="C33" s="9"/>
      <c r="D33" s="6"/>
      <c r="E33" s="6"/>
      <c r="F33" s="6"/>
      <c r="G33" s="6"/>
      <c r="H33" s="6"/>
      <c r="I33" s="6"/>
    </row>
    <row r="34" spans="1:9">
      <c r="A34" s="6"/>
      <c r="B34" s="6"/>
      <c r="C34" s="9"/>
      <c r="D34" s="6"/>
      <c r="E34" s="6"/>
      <c r="F34" s="6"/>
      <c r="G34" s="6"/>
      <c r="H34" s="6"/>
      <c r="I34" s="6"/>
    </row>
    <row r="35" spans="1:9">
      <c r="A35" s="6"/>
      <c r="B35" s="6"/>
      <c r="C35" s="9"/>
      <c r="D35" s="6"/>
      <c r="E35" s="6"/>
      <c r="F35" s="6"/>
      <c r="G35" s="6"/>
      <c r="H35" s="6"/>
      <c r="I35" s="6"/>
    </row>
    <row r="36" spans="1:9">
      <c r="A36" s="6"/>
      <c r="B36" s="6"/>
      <c r="C36" s="9"/>
      <c r="D36" s="6"/>
      <c r="E36" s="6"/>
      <c r="F36" s="6"/>
      <c r="G36" s="6"/>
      <c r="H36" s="6"/>
      <c r="I36" s="6"/>
    </row>
    <row r="37" spans="1:9">
      <c r="A37" s="6"/>
      <c r="B37" s="6"/>
      <c r="C37" s="9"/>
      <c r="D37" s="6"/>
      <c r="E37" s="6"/>
      <c r="F37" s="6"/>
      <c r="G37" s="6"/>
      <c r="H37" s="6"/>
      <c r="I37" s="6"/>
    </row>
    <row r="38" spans="1:9">
      <c r="A38" s="6"/>
      <c r="B38" s="6"/>
      <c r="C38" s="9"/>
      <c r="D38" s="6"/>
      <c r="E38" s="6"/>
      <c r="F38" s="6"/>
      <c r="G38" s="6"/>
      <c r="H38" s="6"/>
      <c r="I38" s="6"/>
    </row>
    <row r="39" spans="1:9">
      <c r="A39" s="6"/>
      <c r="B39" s="6"/>
      <c r="C39" s="9"/>
      <c r="D39" s="6"/>
      <c r="E39" s="6"/>
      <c r="F39" s="6"/>
      <c r="G39" s="6"/>
      <c r="H39" s="6"/>
      <c r="I39" s="6"/>
    </row>
    <row r="40" spans="1:9">
      <c r="A40" s="6"/>
      <c r="B40" s="6"/>
      <c r="C40" s="9"/>
      <c r="D40" s="6"/>
      <c r="E40" s="6"/>
      <c r="F40" s="6"/>
      <c r="G40" s="6"/>
      <c r="H40" s="6"/>
      <c r="I40" s="6"/>
    </row>
    <row r="41" spans="1:9">
      <c r="A41" s="6"/>
      <c r="B41" s="6"/>
      <c r="C41" s="9"/>
      <c r="D41" s="6"/>
      <c r="E41" s="6"/>
      <c r="F41" s="6"/>
      <c r="G41" s="6"/>
      <c r="H41" s="6"/>
      <c r="I41" s="6"/>
    </row>
    <row r="42" spans="1:9">
      <c r="A42" s="6"/>
      <c r="B42" s="6"/>
      <c r="C42" s="9"/>
      <c r="D42" s="6"/>
      <c r="E42" s="6"/>
      <c r="F42" s="6"/>
      <c r="G42" s="6"/>
      <c r="H42" s="6"/>
      <c r="I42" s="6"/>
    </row>
    <row r="43" spans="1:9">
      <c r="A43" s="6"/>
      <c r="B43" s="6"/>
      <c r="C43" s="9"/>
      <c r="D43" s="6"/>
      <c r="E43" s="6"/>
      <c r="F43" s="6"/>
      <c r="G43" s="6"/>
      <c r="H43" s="6"/>
      <c r="I43" s="6"/>
    </row>
    <row r="44" spans="1:9">
      <c r="A44" s="6"/>
      <c r="B44" s="6"/>
      <c r="C44" s="9"/>
      <c r="D44" s="6"/>
      <c r="E44" s="6"/>
      <c r="F44" s="6"/>
      <c r="G44" s="6"/>
      <c r="H44" s="6"/>
      <c r="I44" s="6"/>
    </row>
    <row r="45" spans="1:9">
      <c r="A45" s="6"/>
      <c r="B45" s="6"/>
      <c r="C45" s="9"/>
      <c r="D45" s="6"/>
      <c r="E45" s="6"/>
      <c r="F45" s="6"/>
      <c r="G45" s="6"/>
      <c r="H45" s="6"/>
      <c r="I45" s="6"/>
    </row>
    <row r="46" spans="1:9">
      <c r="A46" s="6"/>
      <c r="B46" s="6"/>
      <c r="C46" s="9"/>
      <c r="D46" s="6"/>
      <c r="E46" s="6"/>
      <c r="F46" s="6"/>
      <c r="G46" s="6"/>
      <c r="H46" s="6"/>
      <c r="I46" s="6"/>
    </row>
    <row r="47" spans="1:9">
      <c r="A47" s="6"/>
      <c r="B47" s="6"/>
      <c r="C47" s="9"/>
      <c r="D47" s="6"/>
      <c r="E47" s="6"/>
      <c r="F47" s="6"/>
      <c r="G47" s="6"/>
      <c r="H47" s="6"/>
      <c r="I47" s="6"/>
    </row>
    <row r="48" spans="1:9">
      <c r="A48" s="6"/>
      <c r="B48" s="6"/>
      <c r="C48" s="9"/>
      <c r="D48" s="6"/>
      <c r="E48" s="6"/>
      <c r="F48" s="6"/>
      <c r="G48" s="6"/>
      <c r="H48" s="6"/>
      <c r="I48" s="6"/>
    </row>
    <row r="49" spans="1:9">
      <c r="A49" s="6"/>
      <c r="B49" s="6"/>
      <c r="C49" s="9"/>
      <c r="D49" s="6"/>
      <c r="E49" s="6"/>
      <c r="F49" s="6"/>
      <c r="G49" s="6"/>
      <c r="H49" s="6"/>
      <c r="I49" s="6"/>
    </row>
    <row r="50" spans="1:9">
      <c r="A50" s="6"/>
      <c r="B50" s="6"/>
      <c r="C50" s="9"/>
      <c r="D50" s="6"/>
      <c r="E50" s="6"/>
      <c r="F50" s="6"/>
      <c r="G50" s="6"/>
      <c r="H50" s="6"/>
      <c r="I50" s="6"/>
    </row>
    <row r="51" spans="1:9">
      <c r="A51" s="6"/>
      <c r="B51" s="6"/>
      <c r="C51" s="9"/>
      <c r="D51" s="6"/>
      <c r="E51" s="6"/>
      <c r="F51" s="6"/>
      <c r="G51" s="6"/>
      <c r="H51" s="6"/>
      <c r="I51" s="6"/>
    </row>
    <row r="52" spans="1:9">
      <c r="A52" s="6"/>
      <c r="B52" s="6"/>
      <c r="C52" s="9"/>
      <c r="D52" s="6"/>
      <c r="E52" s="6"/>
      <c r="F52" s="6"/>
      <c r="G52" s="6"/>
      <c r="H52" s="6"/>
      <c r="I52" s="6"/>
    </row>
  </sheetData>
  <mergeCells count="20">
    <mergeCell ref="A5:I5"/>
    <mergeCell ref="A6:I6"/>
    <mergeCell ref="A7:I7"/>
    <mergeCell ref="A8:I8"/>
    <mergeCell ref="C11:F11"/>
    <mergeCell ref="C12:F12"/>
    <mergeCell ref="A14:I14"/>
    <mergeCell ref="B15:H15"/>
    <mergeCell ref="B16:E16"/>
    <mergeCell ref="B17:E17"/>
    <mergeCell ref="B18:E18"/>
    <mergeCell ref="B19:E19"/>
    <mergeCell ref="B21:E21"/>
    <mergeCell ref="B22:E22"/>
    <mergeCell ref="B23:E23"/>
    <mergeCell ref="B24:E24"/>
    <mergeCell ref="B25:E25"/>
    <mergeCell ref="A27:I27"/>
    <mergeCell ref="A15:A16"/>
    <mergeCell ref="I15:I16"/>
  </mergeCells>
  <pageMargins left="0.7" right="0.7" top="0.75" bottom="0.75" header="0.3" footer="0.3"/>
  <pageSetup paperSize="9" scale="83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as TIC</vt:lpstr>
      <vt:lpstr>Election &amp; NLC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jennifer mamugay</cp:lastModifiedBy>
  <dcterms:created xsi:type="dcterms:W3CDTF">2022-11-24T07:01:00Z</dcterms:created>
  <cp:lastPrinted>2025-09-04T05:25:00Z</cp:lastPrinted>
  <dcterms:modified xsi:type="dcterms:W3CDTF">2026-01-02T08:38:47Z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D7F9D30EDC6C4D9B84BEF1686F93CB37_12</vt:lpwstr>
  </property>
  <property fmtid="{D5CDD505-2E9C-101B-9397-08002B2CF9AE}" pid="3" name="KSOProductBuildVer">
    <vt:lpwstr>1033-12.2.0.23196</vt:lpwstr>
  </property>
</Properties>
</file>