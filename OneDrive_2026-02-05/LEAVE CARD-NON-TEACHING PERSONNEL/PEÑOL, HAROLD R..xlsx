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46A0CBB-0F49-4F2F-9437-6A416D6DB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Sheet1" sheetId="14" r:id="rId3"/>
  </sheets>
  <definedNames>
    <definedName name="_xlnm.Print_Area" localSheetId="1">'Election &amp; NLC'!$A$1:$G$24</definedName>
    <definedName name="_xlnm.Print_Area" localSheetId="0">'Leave Card as TIC'!$A$1:$J$36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2" l="1"/>
  <c r="H27" i="12" s="1"/>
  <c r="I26" i="12"/>
  <c r="I27" i="12" s="1"/>
  <c r="J26" i="12"/>
  <c r="I14" i="12"/>
  <c r="I15" i="12" s="1"/>
  <c r="I16" i="12" s="1"/>
  <c r="I17" i="12" s="1"/>
  <c r="H14" i="12"/>
  <c r="J27" i="12" l="1"/>
  <c r="I24" i="12"/>
  <c r="I25" i="12" s="1"/>
  <c r="J14" i="12"/>
  <c r="H15" i="12"/>
  <c r="H16" i="12" s="1"/>
  <c r="H17" i="12" s="1"/>
  <c r="J17" i="12" s="1"/>
  <c r="J16" i="12" l="1"/>
  <c r="J15" i="12"/>
  <c r="H24" i="12" l="1"/>
  <c r="H25" i="12" l="1"/>
  <c r="J24" i="12"/>
  <c r="J25" i="12" l="1"/>
</calcChain>
</file>

<file path=xl/sharedStrings.xml><?xml version="1.0" encoding="utf-8"?>
<sst xmlns="http://schemas.openxmlformats.org/spreadsheetml/2006/main" count="101" uniqueCount="81">
  <si>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</si>
  <si>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</si>
  <si>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</si>
  <si>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</si>
  <si>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</si>
  <si>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</si>
  <si>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</si>
  <si>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</si>
  <si>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</si>
  <si>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</si>
  <si>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</si>
  <si>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</si>
  <si>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</si>
  <si>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</si>
  <si>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</si>
  <si>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</si>
  <si>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</si>
  <si>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</si>
  <si>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III</t>
  </si>
  <si>
    <t>LESS: 06/24/2024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</si>
  <si>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</si>
  <si>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</si>
  <si>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</si>
  <si>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</si>
  <si>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</si>
  <si>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</si>
  <si>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</si>
  <si>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</si>
  <si>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</si>
  <si>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</si>
  <si>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</si>
  <si>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</si>
  <si>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</si>
  <si>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</si>
  <si>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</si>
  <si>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</si>
  <si>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DESIGNATED AS TIC: EFFECTIVE JULY 29, 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</si>
  <si>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</si>
  <si>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</si>
  <si>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</si>
  <si>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</si>
  <si>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</si>
  <si>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</si>
  <si>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</si>
  <si>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</si>
  <si>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</si>
  <si>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</si>
  <si>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S.O. # 109, S. 2023. BRIGADA ESKWELA AND OPLAN BALIK ESKWELA 2023</t>
  </si>
  <si>
    <t>ADD:10/11/2023</t>
  </si>
  <si>
    <t>SCHOOL/OFFICE : BAWOG ES</t>
  </si>
  <si>
    <t>NAME         : PEÑOL, HAROLD</t>
  </si>
  <si>
    <t>S.O. # 109, S. 2023.</t>
  </si>
  <si>
    <t>S.O. # 051, S. 2022.</t>
  </si>
  <si>
    <t>MAY 9, 2022 ELECTION</t>
  </si>
  <si>
    <t>BRIGADA 2023</t>
  </si>
  <si>
    <t>SO # 010, S. 2024</t>
  </si>
  <si>
    <t>04/30/2024</t>
  </si>
  <si>
    <t>OCT. 30, 2023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</si>
  <si>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PEÑOL, HAROLD</t>
    </r>
  </si>
  <si>
    <t>DEPED ACTIVITIES &amp; TRAININGS SY 2024-2025</t>
  </si>
  <si>
    <t>047, S.2024</t>
  </si>
  <si>
    <t>10/17/2024</t>
  </si>
  <si>
    <t>024, S. 2024</t>
  </si>
  <si>
    <t>06/26/2024</t>
  </si>
  <si>
    <t>126TH PHIL. INDEPENDENCE DAY CELEBRATION</t>
  </si>
  <si>
    <t>001, S. 2024</t>
  </si>
  <si>
    <t>DIV. DEPED DAY CELEBRATION OFFICIAL DOCUMENTERS DEC. 16-17, 2023</t>
  </si>
  <si>
    <t>39 DAYS-CONVERTED</t>
  </si>
  <si>
    <r>
      <t xml:space="preserve">ADD: UNUSED VSC </t>
    </r>
    <r>
      <rPr>
        <b/>
        <sz val="11"/>
        <color theme="1"/>
        <rFont val="Calibri"/>
        <family val="2"/>
        <scheme val="minor"/>
      </rPr>
      <t xml:space="preserve">39 DAYS: 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</si>
  <si>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ADD: 08/1/2024-12/31/2024</t>
  </si>
  <si>
    <t>RELIEVED AS TIC: 01/06/2025</t>
  </si>
  <si>
    <t>ADD: 01/1-5/2025</t>
  </si>
  <si>
    <t>27.122 CONVERT TO VSC = 62.381 VSC</t>
  </si>
  <si>
    <t>ADD: SO # 051, S. 2025 (3 DAYS)</t>
  </si>
  <si>
    <t>ADD: SO # 109, S. 2025 (4.5 DAYS)</t>
  </si>
  <si>
    <t>CONVERT 69.881 VSC to VL-SL credits</t>
  </si>
  <si>
    <t>PROMOTED TO HT-I effective                             September 15, 2025</t>
  </si>
  <si>
    <t>TOTAL unused VSC: 69.881</t>
  </si>
  <si>
    <t>ADD: 09/15-30/2025</t>
  </si>
  <si>
    <t>ADD: 10/1/2025-11/30/2025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</si>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</sst>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6" fillId="0" borderId="0"/>
  </cellStyleXfs>
  <cellXfs count="134">
    <xf numFmtId="0" fontId="0" fillId="0" borderId="0" xfId="0"/>
    <xf numFmtId="0" fontId="8" fillId="2" borderId="0" xfId="2" applyFill="1"/>
    <xf numFmtId="0" fontId="12" fillId="2" borderId="0" xfId="2" applyFont="1" applyFill="1" applyAlignment="1">
      <alignment vertical="center"/>
    </xf>
    <xf numFmtId="0" fontId="12" fillId="2" borderId="16" xfId="2" applyFont="1" applyFill="1" applyBorder="1" applyAlignment="1">
      <alignment horizontal="center" vertical="center"/>
    </xf>
    <xf numFmtId="0" fontId="12" fillId="2" borderId="0" xfId="2" applyFont="1" applyFill="1"/>
    <xf numFmtId="0" fontId="12" fillId="2" borderId="16" xfId="2" applyFont="1" applyFill="1" applyBorder="1" applyAlignment="1">
      <alignment vertical="center"/>
    </xf>
    <xf numFmtId="0" fontId="8" fillId="0" borderId="0" xfId="2"/>
    <xf numFmtId="0" fontId="12" fillId="2" borderId="18" xfId="2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2" borderId="4" xfId="2" applyFill="1" applyBorder="1" applyAlignment="1">
      <alignment horizontal="center" vertical="center" wrapText="1"/>
    </xf>
    <xf numFmtId="0" fontId="8" fillId="2" borderId="5" xfId="2" applyFill="1" applyBorder="1" applyAlignment="1">
      <alignment horizontal="center" vertical="center"/>
    </xf>
    <xf numFmtId="0" fontId="8" fillId="2" borderId="5" xfId="2" applyFill="1" applyBorder="1" applyAlignment="1">
      <alignment horizontal="center" vertical="center" wrapText="1"/>
    </xf>
    <xf numFmtId="164" fontId="8" fillId="2" borderId="5" xfId="2" applyNumberFormat="1" applyFill="1" applyBorder="1" applyAlignment="1">
      <alignment horizontal="center" vertical="center"/>
    </xf>
    <xf numFmtId="164" fontId="8" fillId="2" borderId="11" xfId="2" applyNumberFormat="1" applyFill="1" applyBorder="1" applyAlignment="1">
      <alignment horizontal="center" vertical="center"/>
    </xf>
    <xf numFmtId="0" fontId="18" fillId="0" borderId="0" xfId="2" applyFont="1"/>
    <xf numFmtId="0" fontId="8" fillId="2" borderId="15" xfId="2" applyFill="1" applyBorder="1" applyAlignment="1">
      <alignment horizontal="center" vertical="center" wrapText="1"/>
    </xf>
    <xf numFmtId="0" fontId="8" fillId="2" borderId="15" xfId="2" applyFill="1" applyBorder="1" applyAlignment="1">
      <alignment horizontal="center" vertical="center"/>
    </xf>
    <xf numFmtId="164" fontId="8" fillId="2" borderId="15" xfId="2" applyNumberFormat="1" applyFill="1" applyBorder="1" applyAlignment="1">
      <alignment horizontal="center" vertical="center"/>
    </xf>
    <xf numFmtId="164" fontId="8" fillId="2" borderId="12" xfId="2" applyNumberFormat="1" applyFill="1" applyBorder="1" applyAlignment="1">
      <alignment horizontal="center" vertical="center"/>
    </xf>
    <xf numFmtId="0" fontId="8" fillId="0" borderId="0" xfId="2" applyAlignment="1">
      <alignment horizontal="center" vertical="center"/>
    </xf>
    <xf numFmtId="164" fontId="8" fillId="2" borderId="0" xfId="2" applyNumberFormat="1" applyFill="1" applyAlignment="1">
      <alignment horizontal="center" vertical="center"/>
    </xf>
    <xf numFmtId="0" fontId="7" fillId="2" borderId="0" xfId="3" applyFill="1"/>
    <xf numFmtId="0" fontId="7" fillId="2" borderId="0" xfId="3" applyFill="1" applyAlignment="1">
      <alignment horizontal="center"/>
    </xf>
    <xf numFmtId="0" fontId="19" fillId="2" borderId="0" xfId="3" applyFont="1" applyFill="1" applyAlignment="1">
      <alignment vertical="center"/>
    </xf>
    <xf numFmtId="0" fontId="12" fillId="2" borderId="0" xfId="3" applyFont="1" applyFill="1" applyAlignment="1">
      <alignment horizontal="left" vertical="center"/>
    </xf>
    <xf numFmtId="0" fontId="12" fillId="2" borderId="0" xfId="3" applyFont="1" applyFill="1" applyAlignment="1">
      <alignment vertical="center"/>
    </xf>
    <xf numFmtId="0" fontId="21" fillId="2" borderId="0" xfId="3" applyFont="1" applyFill="1"/>
    <xf numFmtId="0" fontId="12" fillId="2" borderId="0" xfId="3" applyFont="1" applyFill="1"/>
    <xf numFmtId="0" fontId="12" fillId="2" borderId="0" xfId="3" applyFont="1" applyFill="1" applyAlignment="1">
      <alignment horizontal="left"/>
    </xf>
    <xf numFmtId="0" fontId="7" fillId="0" borderId="0" xfId="3"/>
    <xf numFmtId="0" fontId="14" fillId="6" borderId="19" xfId="3" applyFont="1" applyFill="1" applyBorder="1" applyAlignment="1">
      <alignment horizontal="center" vertical="center" wrapText="1"/>
    </xf>
    <xf numFmtId="0" fontId="14" fillId="6" borderId="19" xfId="3" applyFont="1" applyFill="1" applyBorder="1" applyAlignment="1">
      <alignment horizontal="center" vertical="center"/>
    </xf>
    <xf numFmtId="0" fontId="15" fillId="7" borderId="22" xfId="3" applyFont="1" applyFill="1" applyBorder="1" applyAlignment="1">
      <alignment horizontal="center" vertical="center" wrapText="1"/>
    </xf>
    <xf numFmtId="0" fontId="15" fillId="7" borderId="23" xfId="3" applyFont="1" applyFill="1" applyBorder="1" applyAlignment="1">
      <alignment horizontal="center" vertical="center" wrapText="1"/>
    </xf>
    <xf numFmtId="0" fontId="14" fillId="6" borderId="24" xfId="3" applyFont="1" applyFill="1" applyBorder="1" applyAlignment="1">
      <alignment horizontal="center" vertical="center"/>
    </xf>
    <xf numFmtId="0" fontId="10" fillId="0" borderId="0" xfId="3" applyFont="1"/>
    <xf numFmtId="0" fontId="7" fillId="2" borderId="5" xfId="4" applyFill="1" applyBorder="1" applyAlignment="1">
      <alignment horizontal="center" vertical="center"/>
    </xf>
    <xf numFmtId="0" fontId="15" fillId="2" borderId="15" xfId="4" applyFont="1" applyFill="1" applyBorder="1" applyAlignment="1">
      <alignment vertical="center" wrapText="1"/>
    </xf>
    <xf numFmtId="0" fontId="15" fillId="2" borderId="15" xfId="4" applyFont="1" applyFill="1" applyBorder="1" applyAlignment="1">
      <alignment horizontal="center" vertical="center" wrapText="1"/>
    </xf>
    <xf numFmtId="0" fontId="22" fillId="2" borderId="25" xfId="3" applyFont="1" applyFill="1" applyBorder="1" applyAlignment="1">
      <alignment horizontal="center" vertical="center" wrapText="1"/>
    </xf>
    <xf numFmtId="0" fontId="19" fillId="2" borderId="11" xfId="3" applyFont="1" applyFill="1" applyBorder="1" applyAlignment="1">
      <alignment horizontal="center" vertical="center" wrapText="1"/>
    </xf>
    <xf numFmtId="0" fontId="11" fillId="0" borderId="0" xfId="3" applyFont="1"/>
    <xf numFmtId="0" fontId="23" fillId="2" borderId="12" xfId="3" applyFont="1" applyFill="1" applyBorder="1" applyAlignment="1">
      <alignment horizontal="center" vertical="center" wrapText="1"/>
    </xf>
    <xf numFmtId="0" fontId="11" fillId="2" borderId="0" xfId="3" applyFont="1" applyFill="1" applyAlignment="1">
      <alignment horizontal="center" vertical="center"/>
    </xf>
    <xf numFmtId="0" fontId="7" fillId="3" borderId="0" xfId="3" applyFill="1"/>
    <xf numFmtId="0" fontId="7" fillId="4" borderId="0" xfId="3" applyFill="1"/>
    <xf numFmtId="0" fontId="6" fillId="2" borderId="4" xfId="4" applyFont="1" applyFill="1" applyBorder="1" applyAlignment="1">
      <alignment horizontal="center" vertical="center" wrapText="1"/>
    </xf>
    <xf numFmtId="0" fontId="6" fillId="2" borderId="16" xfId="4" applyFont="1" applyFill="1" applyBorder="1" applyAlignment="1">
      <alignment horizontal="center" vertical="center" wrapText="1"/>
    </xf>
    <xf numFmtId="0" fontId="6" fillId="0" borderId="0" xfId="5"/>
    <xf numFmtId="0" fontId="6" fillId="5" borderId="0" xfId="5" applyFill="1"/>
    <xf numFmtId="0" fontId="6" fillId="4" borderId="0" xfId="5" applyFill="1"/>
    <xf numFmtId="0" fontId="6" fillId="3" borderId="0" xfId="5" applyFill="1"/>
    <xf numFmtId="0" fontId="6" fillId="0" borderId="0" xfId="5" applyAlignment="1">
      <alignment horizontal="center"/>
    </xf>
    <xf numFmtId="0" fontId="6" fillId="2" borderId="0" xfId="5" applyFill="1"/>
    <xf numFmtId="0" fontId="6" fillId="2" borderId="0" xfId="5" applyFill="1" applyAlignment="1">
      <alignment horizontal="center"/>
    </xf>
    <xf numFmtId="0" fontId="24" fillId="0" borderId="0" xfId="5" applyFont="1"/>
    <xf numFmtId="0" fontId="6" fillId="2" borderId="0" xfId="5" applyFill="1" applyAlignment="1">
      <alignment horizontal="center" vertical="center" wrapText="1"/>
    </xf>
    <xf numFmtId="0" fontId="25" fillId="2" borderId="0" xfId="5" applyFont="1" applyFill="1" applyAlignment="1">
      <alignment horizontal="center" vertical="center" wrapText="1"/>
    </xf>
    <xf numFmtId="0" fontId="6" fillId="0" borderId="0" xfId="5" applyAlignment="1">
      <alignment vertical="center"/>
    </xf>
    <xf numFmtId="0" fontId="6" fillId="0" borderId="12" xfId="5" applyBorder="1" applyAlignment="1">
      <alignment horizontal="center" vertical="center" wrapText="1"/>
    </xf>
    <xf numFmtId="0" fontId="6" fillId="2" borderId="4" xfId="5" applyFill="1" applyBorder="1" applyAlignment="1">
      <alignment horizontal="center" vertical="center" wrapText="1"/>
    </xf>
    <xf numFmtId="0" fontId="26" fillId="0" borderId="0" xfId="5" applyFont="1"/>
    <xf numFmtId="0" fontId="6" fillId="2" borderId="12" xfId="5" applyFill="1" applyBorder="1" applyAlignment="1">
      <alignment horizontal="center" vertical="center" wrapText="1"/>
    </xf>
    <xf numFmtId="0" fontId="6" fillId="2" borderId="4" xfId="5" applyFill="1" applyBorder="1" applyAlignment="1">
      <alignment horizontal="center" vertical="center"/>
    </xf>
    <xf numFmtId="0" fontId="29" fillId="2" borderId="0" xfId="5" applyFont="1" applyFill="1" applyAlignment="1">
      <alignment vertical="center"/>
    </xf>
    <xf numFmtId="0" fontId="29" fillId="2" borderId="0" xfId="5" applyFont="1" applyFill="1"/>
    <xf numFmtId="0" fontId="29" fillId="2" borderId="0" xfId="5" applyFont="1" applyFill="1" applyAlignment="1">
      <alignment horizontal="center"/>
    </xf>
    <xf numFmtId="0" fontId="29" fillId="2" borderId="0" xfId="5" applyFont="1" applyFill="1" applyAlignment="1">
      <alignment wrapText="1"/>
    </xf>
    <xf numFmtId="0" fontId="29" fillId="2" borderId="0" xfId="5" applyFont="1" applyFill="1" applyAlignment="1">
      <alignment horizontal="center" wrapText="1"/>
    </xf>
    <xf numFmtId="14" fontId="7" fillId="2" borderId="5" xfId="4" applyNumberFormat="1" applyFill="1" applyBorder="1" applyAlignment="1">
      <alignment horizontal="center" vertical="center"/>
    </xf>
    <xf numFmtId="0" fontId="0" fillId="2" borderId="16" xfId="2" applyFont="1" applyFill="1" applyBorder="1" applyAlignment="1">
      <alignment horizontal="center" vertical="center" wrapText="1"/>
    </xf>
    <xf numFmtId="14" fontId="0" fillId="2" borderId="5" xfId="2" applyNumberFormat="1" applyFont="1" applyFill="1" applyBorder="1" applyAlignment="1">
      <alignment horizontal="center" vertical="center"/>
    </xf>
    <xf numFmtId="0" fontId="15" fillId="2" borderId="6" xfId="2" applyFont="1" applyFill="1" applyBorder="1" applyAlignment="1">
      <alignment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22" fillId="2" borderId="25" xfId="1" applyFont="1" applyFill="1" applyBorder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15" fillId="2" borderId="15" xfId="2" applyFont="1" applyFill="1" applyBorder="1" applyAlignment="1">
      <alignment vertical="center" wrapText="1"/>
    </xf>
    <xf numFmtId="0" fontId="5" fillId="2" borderId="16" xfId="4" applyFont="1" applyFill="1" applyBorder="1" applyAlignment="1">
      <alignment horizontal="center" vertical="center" wrapText="1"/>
    </xf>
    <xf numFmtId="0" fontId="5" fillId="2" borderId="5" xfId="4" applyFont="1" applyFill="1" applyBorder="1" applyAlignment="1">
      <alignment horizontal="center" vertical="center"/>
    </xf>
    <xf numFmtId="164" fontId="8" fillId="2" borderId="15" xfId="2" applyNumberForma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164" fontId="8" fillId="13" borderId="12" xfId="2" applyNumberFormat="1" applyFill="1" applyBorder="1" applyAlignment="1">
      <alignment horizontal="center" vertical="center"/>
    </xf>
    <xf numFmtId="0" fontId="2" fillId="13" borderId="4" xfId="2" applyFont="1" applyFill="1" applyBorder="1" applyAlignment="1">
      <alignment horizontal="center" vertical="center" wrapText="1"/>
    </xf>
    <xf numFmtId="0" fontId="12" fillId="2" borderId="0" xfId="2" applyFont="1" applyFill="1" applyAlignment="1">
      <alignment horizontal="left" vertical="center"/>
    </xf>
    <xf numFmtId="0" fontId="8" fillId="2" borderId="0" xfId="2" applyFill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2" fillId="9" borderId="19" xfId="2" applyFont="1" applyFill="1" applyBorder="1" applyAlignment="1">
      <alignment horizontal="left" vertical="center"/>
    </xf>
    <xf numFmtId="0" fontId="12" fillId="9" borderId="20" xfId="2" applyFont="1" applyFill="1" applyBorder="1" applyAlignment="1">
      <alignment horizontal="left" vertical="center"/>
    </xf>
    <xf numFmtId="0" fontId="12" fillId="9" borderId="21" xfId="2" applyFont="1" applyFill="1" applyBorder="1" applyAlignment="1">
      <alignment horizontal="left" vertical="center"/>
    </xf>
    <xf numFmtId="0" fontId="13" fillId="2" borderId="1" xfId="2" applyFont="1" applyFill="1" applyBorder="1" applyAlignment="1">
      <alignment horizontal="center" vertical="center"/>
    </xf>
    <xf numFmtId="0" fontId="12" fillId="9" borderId="2" xfId="2" applyFont="1" applyFill="1" applyBorder="1" applyAlignment="1">
      <alignment horizontal="center" vertical="center"/>
    </xf>
    <xf numFmtId="0" fontId="12" fillId="9" borderId="3" xfId="2" applyFont="1" applyFill="1" applyBorder="1" applyAlignment="1">
      <alignment horizontal="center" vertical="center"/>
    </xf>
    <xf numFmtId="0" fontId="12" fillId="10" borderId="13" xfId="2" applyFont="1" applyFill="1" applyBorder="1" applyAlignment="1">
      <alignment horizontal="center" vertical="center"/>
    </xf>
    <xf numFmtId="0" fontId="12" fillId="10" borderId="14" xfId="2" applyFont="1" applyFill="1" applyBorder="1" applyAlignment="1">
      <alignment horizontal="center" vertical="center"/>
    </xf>
    <xf numFmtId="0" fontId="12" fillId="11" borderId="13" xfId="2" applyFont="1" applyFill="1" applyBorder="1" applyAlignment="1">
      <alignment horizontal="center" vertical="center"/>
    </xf>
    <xf numFmtId="0" fontId="12" fillId="11" borderId="14" xfId="2" applyFont="1" applyFill="1" applyBorder="1" applyAlignment="1">
      <alignment horizontal="center" vertical="center"/>
    </xf>
    <xf numFmtId="0" fontId="12" fillId="11" borderId="17" xfId="2" applyFont="1" applyFill="1" applyBorder="1" applyAlignment="1">
      <alignment horizontal="center" vertical="center"/>
    </xf>
    <xf numFmtId="0" fontId="12" fillId="12" borderId="13" xfId="2" applyFont="1" applyFill="1" applyBorder="1" applyAlignment="1">
      <alignment horizontal="center" vertical="center"/>
    </xf>
    <xf numFmtId="0" fontId="12" fillId="12" borderId="14" xfId="2" applyFont="1" applyFill="1" applyBorder="1" applyAlignment="1">
      <alignment horizontal="center" vertical="center"/>
    </xf>
    <xf numFmtId="0" fontId="12" fillId="9" borderId="9" xfId="2" applyFont="1" applyFill="1" applyBorder="1" applyAlignment="1">
      <alignment horizontal="center" vertical="center"/>
    </xf>
    <xf numFmtId="0" fontId="12" fillId="9" borderId="10" xfId="2" applyFont="1" applyFill="1" applyBorder="1" applyAlignment="1">
      <alignment horizontal="center" vertical="center"/>
    </xf>
    <xf numFmtId="0" fontId="19" fillId="2" borderId="26" xfId="3" applyFont="1" applyFill="1" applyBorder="1" applyAlignment="1">
      <alignment horizontal="right" vertical="center" wrapText="1"/>
    </xf>
    <xf numFmtId="0" fontId="19" fillId="2" borderId="7" xfId="3" applyFont="1" applyFill="1" applyBorder="1" applyAlignment="1">
      <alignment horizontal="right" vertical="center" wrapText="1"/>
    </xf>
    <xf numFmtId="0" fontId="19" fillId="2" borderId="8" xfId="3" applyFont="1" applyFill="1" applyBorder="1" applyAlignment="1">
      <alignment horizontal="right" vertical="center" wrapText="1"/>
    </xf>
    <xf numFmtId="0" fontId="12" fillId="2" borderId="0" xfId="3" applyFont="1" applyFill="1" applyAlignment="1">
      <alignment horizontal="center" vertical="center"/>
    </xf>
    <xf numFmtId="0" fontId="13" fillId="2" borderId="19" xfId="3" applyFont="1" applyFill="1" applyBorder="1" applyAlignment="1">
      <alignment horizontal="center" vertical="center"/>
    </xf>
    <xf numFmtId="0" fontId="13" fillId="2" borderId="20" xfId="3" applyFont="1" applyFill="1" applyBorder="1" applyAlignment="1">
      <alignment horizontal="center" vertical="center"/>
    </xf>
    <xf numFmtId="0" fontId="13" fillId="2" borderId="21" xfId="3" applyFont="1" applyFill="1" applyBorder="1" applyAlignment="1">
      <alignment horizontal="center" vertical="center"/>
    </xf>
    <xf numFmtId="0" fontId="25" fillId="2" borderId="6" xfId="5" applyFont="1" applyFill="1" applyBorder="1" applyAlignment="1">
      <alignment horizontal="center" vertical="center" wrapText="1"/>
    </xf>
    <xf numFmtId="0" fontId="25" fillId="2" borderId="7" xfId="5" applyFont="1" applyFill="1" applyBorder="1" applyAlignment="1">
      <alignment horizontal="center" vertical="center" wrapText="1"/>
    </xf>
    <xf numFmtId="0" fontId="25" fillId="2" borderId="8" xfId="5" applyFont="1" applyFill="1" applyBorder="1" applyAlignment="1">
      <alignment horizontal="center" vertical="center" wrapText="1"/>
    </xf>
    <xf numFmtId="0" fontId="6" fillId="2" borderId="0" xfId="5" applyFill="1" applyAlignment="1">
      <alignment horizontal="center" vertical="center"/>
    </xf>
    <xf numFmtId="0" fontId="29" fillId="2" borderId="0" xfId="5" applyFont="1" applyFill="1" applyAlignment="1">
      <alignment horizontal="left" vertical="center"/>
    </xf>
    <xf numFmtId="0" fontId="29" fillId="2" borderId="0" xfId="5" applyFont="1" applyFill="1" applyAlignment="1">
      <alignment horizontal="left"/>
    </xf>
    <xf numFmtId="0" fontId="28" fillId="2" borderId="1" xfId="5" applyFont="1" applyFill="1" applyBorder="1" applyAlignment="1">
      <alignment horizontal="center" vertical="center"/>
    </xf>
    <xf numFmtId="0" fontId="27" fillId="6" borderId="2" xfId="5" applyFont="1" applyFill="1" applyBorder="1" applyAlignment="1">
      <alignment horizontal="center" vertical="center"/>
    </xf>
    <xf numFmtId="0" fontId="27" fillId="6" borderId="4" xfId="5" applyFont="1" applyFill="1" applyBorder="1" applyAlignment="1">
      <alignment horizontal="center" vertical="center"/>
    </xf>
    <xf numFmtId="0" fontId="27" fillId="8" borderId="13" xfId="5" applyFont="1" applyFill="1" applyBorder="1" applyAlignment="1">
      <alignment horizontal="center" vertical="center"/>
    </xf>
    <xf numFmtId="0" fontId="27" fillId="8" borderId="14" xfId="5" applyFont="1" applyFill="1" applyBorder="1" applyAlignment="1">
      <alignment horizontal="center" vertical="center"/>
    </xf>
    <xf numFmtId="0" fontId="25" fillId="7" borderId="6" xfId="5" applyFont="1" applyFill="1" applyBorder="1" applyAlignment="1">
      <alignment horizontal="center" vertical="center" wrapText="1"/>
    </xf>
    <xf numFmtId="0" fontId="25" fillId="7" borderId="8" xfId="5" applyFont="1" applyFill="1" applyBorder="1" applyAlignment="1">
      <alignment horizontal="center" vertical="center" wrapText="1"/>
    </xf>
    <xf numFmtId="0" fontId="27" fillId="6" borderId="9" xfId="5" applyFont="1" applyFill="1" applyBorder="1" applyAlignment="1">
      <alignment horizontal="center" vertical="center"/>
    </xf>
    <xf numFmtId="0" fontId="27" fillId="6" borderId="11" xfId="5" applyFont="1" applyFill="1" applyBorder="1" applyAlignment="1">
      <alignment horizontal="center" vertical="center"/>
    </xf>
    <xf numFmtId="0" fontId="25" fillId="7" borderId="7" xfId="5" applyFont="1" applyFill="1" applyBorder="1" applyAlignment="1">
      <alignment horizontal="center" vertical="center" wrapText="1"/>
    </xf>
    <xf numFmtId="0" fontId="24" fillId="2" borderId="0" xfId="5" applyFont="1" applyFill="1" applyAlignment="1">
      <alignment horizontal="center" vertical="center"/>
    </xf>
    <xf numFmtId="0" fontId="2" fillId="2" borderId="15" xfId="2" applyFont="1" applyFill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center" vertical="center" wrapText="1"/>
    </xf>
    <xf numFmtId="0" fontId="8" fillId="14" borderId="15" xfId="2" applyFill="1" applyBorder="1" applyAlignment="1">
      <alignment horizontal="center" vertical="center"/>
    </xf>
  </cellXfs>
  <cellStyles count="6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2B35434C-5AE4-452B-B7C0-304C64B3D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422334</xdr:colOff>
      <xdr:row>0</xdr:row>
      <xdr:rowOff>25040</xdr:rowOff>
    </xdr:from>
    <xdr:to>
      <xdr:col>4</xdr:col>
      <xdr:colOff>248262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3065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PEÑOL,</a:t>
          </a:r>
          <a:r>
            <a:rPr lang="en-US" sz="1100" baseline="0"/>
            <a:t> HAROLD R.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TEACHER-IN-CHARGE/HT-I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BINOTUSAN ES</a:t>
          </a:r>
        </a:p>
      </xdr:txBody>
    </xdr:sp>
    <xdr:clientData/>
  </xdr:twoCellAnchor>
  <xdr:twoCellAnchor>
    <xdr:from>
      <xdr:col>5</xdr:col>
      <xdr:colOff>347452</xdr:colOff>
      <xdr:row>30</xdr:row>
      <xdr:rowOff>53914</xdr:rowOff>
    </xdr:from>
    <xdr:to>
      <xdr:col>9</xdr:col>
      <xdr:colOff>672043</xdr:colOff>
      <xdr:row>35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962025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21</xdr:row>
      <xdr:rowOff>236220</xdr:rowOff>
    </xdr:from>
    <xdr:to>
      <xdr:col>6</xdr:col>
      <xdr:colOff>476250</xdr:colOff>
      <xdr:row>23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249725</xdr:colOff>
      <xdr:row>0</xdr:row>
      <xdr:rowOff>152595</xdr:rowOff>
    </xdr:from>
    <xdr:ext cx="543110" cy="647505"/>
    <xdr:pic>
      <xdr:nvPicPr>
        <xdr:cNvPr id="2" name="Picture 1">
          <a:extLst>
            <a:ext uri="{FF2B5EF4-FFF2-40B4-BE49-F238E27FC236}">
              <a16:creationId xmlns:a16="http://schemas.microsoft.com/office/drawing/2014/main" id="{1CCDE777-7F91-4FF2-9695-75E5FB3E03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8125" y="152595"/>
          <a:ext cx="543110" cy="647505"/>
        </a:xfrm>
        <a:prstGeom prst="rect">
          <a:avLst/>
        </a:prstGeom>
        <a:noFill/>
      </xdr:spPr>
    </xdr:pic>
    <xdr:clientData/>
  </xdr:oneCellAnchor>
  <xdr:twoCellAnchor>
    <xdr:from>
      <xdr:col>6</xdr:col>
      <xdr:colOff>476250</xdr:colOff>
      <xdr:row>21</xdr:row>
      <xdr:rowOff>152400</xdr:rowOff>
    </xdr:from>
    <xdr:to>
      <xdr:col>11</xdr:col>
      <xdr:colOff>419100</xdr:colOff>
      <xdr:row>50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057F53-4932-4435-9FF6-7F35A81A2936}"/>
            </a:ext>
          </a:extLst>
        </xdr:cNvPr>
        <xdr:cNvSpPr txBox="1"/>
      </xdr:nvSpPr>
      <xdr:spPr>
        <a:xfrm>
          <a:off x="4133850" y="4152900"/>
          <a:ext cx="2990850" cy="5467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EE18D45-D7C7-44F6-B66F-824029AC56FA}"/>
            </a:ext>
          </a:extLst>
        </xdr:cNvPr>
        <xdr:cNvCxnSpPr/>
      </xdr:nvCxnSpPr>
      <xdr:spPr>
        <a:xfrm>
          <a:off x="609600" y="2457450"/>
          <a:ext cx="28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34"/>
  <sheetViews>
    <sheetView tabSelected="1" view="pageBreakPreview" topLeftCell="A14" zoomScale="106" zoomScaleNormal="100" zoomScaleSheetLayoutView="106" workbookViewId="0">
      <selection activeCell="A26" sqref="A26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19" customWidth="1"/>
    <col min="8" max="10" width="11.5703125" style="6" customWidth="1"/>
    <col min="11" max="11" width="26.42578125" style="14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90" t="s">
        <v>0</v>
      </c>
      <c r="B2" s="90"/>
      <c r="C2" s="90"/>
      <c r="D2" s="90"/>
      <c r="E2" s="90"/>
      <c r="F2" s="90"/>
      <c r="G2" s="90"/>
      <c r="H2" s="90"/>
      <c r="I2" s="90"/>
      <c r="J2" s="90"/>
    </row>
    <row r="3" spans="1:11" s="1" customFormat="1" ht="15.95" customHeight="1">
      <c r="A3" s="90" t="s">
        <v>1</v>
      </c>
      <c r="B3" s="90"/>
      <c r="C3" s="90"/>
      <c r="D3" s="90"/>
      <c r="E3" s="90"/>
      <c r="F3" s="90"/>
      <c r="G3" s="90"/>
      <c r="H3" s="90"/>
      <c r="I3" s="90"/>
      <c r="J3" s="90"/>
    </row>
    <row r="4" spans="1:11" s="1" customFormat="1" ht="15.95" customHeight="1">
      <c r="A4" s="90" t="s">
        <v>2</v>
      </c>
      <c r="B4" s="90"/>
      <c r="C4" s="90"/>
      <c r="D4" s="90"/>
      <c r="E4" s="90"/>
      <c r="F4" s="90"/>
      <c r="G4" s="90"/>
      <c r="H4" s="90"/>
      <c r="I4" s="90"/>
      <c r="J4" s="90"/>
    </row>
    <row r="5" spans="1:11" s="1" customFormat="1" ht="15.95" customHeight="1">
      <c r="A5" s="90" t="s">
        <v>3</v>
      </c>
      <c r="B5" s="90"/>
      <c r="C5" s="90"/>
      <c r="D5" s="90"/>
      <c r="E5" s="90"/>
      <c r="F5" s="90"/>
      <c r="G5" s="90"/>
      <c r="H5" s="90"/>
      <c r="I5" s="90"/>
      <c r="J5" s="90"/>
    </row>
    <row r="6" spans="1:11" s="1" customFormat="1" ht="8.25" customHeight="1"/>
    <row r="7" spans="1:11" s="1" customFormat="1" ht="12" customHeight="1">
      <c r="A7" s="1" t="s">
        <v>20</v>
      </c>
      <c r="B7" s="89" t="s">
        <v>21</v>
      </c>
      <c r="C7" s="89"/>
      <c r="D7" s="89"/>
      <c r="H7" s="2" t="s">
        <v>22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23</v>
      </c>
      <c r="B9" s="89" t="s">
        <v>24</v>
      </c>
      <c r="C9" s="89"/>
      <c r="D9" s="89"/>
      <c r="H9" s="2" t="s">
        <v>25</v>
      </c>
      <c r="I9" s="5"/>
      <c r="J9" s="2"/>
    </row>
    <row r="10" spans="1:11" ht="23.25" customHeight="1" thickBot="1">
      <c r="A10" s="95" t="s">
        <v>26</v>
      </c>
      <c r="B10" s="95"/>
      <c r="C10" s="95"/>
      <c r="D10" s="95"/>
      <c r="E10" s="95"/>
      <c r="F10" s="95"/>
      <c r="G10" s="95"/>
      <c r="H10" s="95"/>
      <c r="I10" s="95"/>
      <c r="J10" s="95"/>
      <c r="K10" s="6"/>
    </row>
    <row r="11" spans="1:11" ht="18.75" customHeight="1">
      <c r="A11" s="96" t="s">
        <v>5</v>
      </c>
      <c r="B11" s="98" t="s">
        <v>11</v>
      </c>
      <c r="C11" s="99"/>
      <c r="D11" s="100" t="s">
        <v>27</v>
      </c>
      <c r="E11" s="101"/>
      <c r="F11" s="101"/>
      <c r="G11" s="102"/>
      <c r="H11" s="103" t="s">
        <v>28</v>
      </c>
      <c r="I11" s="104"/>
      <c r="J11" s="105" t="s">
        <v>6</v>
      </c>
      <c r="K11" s="91" t="s">
        <v>29</v>
      </c>
    </row>
    <row r="12" spans="1:11" ht="15.75" thickBot="1">
      <c r="A12" s="97"/>
      <c r="B12" s="7" t="s">
        <v>30</v>
      </c>
      <c r="C12" s="7" t="s">
        <v>31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30</v>
      </c>
      <c r="I12" s="7" t="s">
        <v>31</v>
      </c>
      <c r="J12" s="106"/>
      <c r="K12" s="91"/>
    </row>
    <row r="13" spans="1:11" ht="15.75" thickBot="1">
      <c r="A13" s="92" t="s">
        <v>36</v>
      </c>
      <c r="B13" s="93"/>
      <c r="C13" s="93"/>
      <c r="D13" s="93"/>
      <c r="E13" s="93"/>
      <c r="F13" s="93"/>
      <c r="G13" s="93"/>
      <c r="H13" s="93"/>
      <c r="I13" s="93"/>
      <c r="J13" s="94"/>
      <c r="K13" s="8"/>
    </row>
    <row r="14" spans="1:11" ht="27" customHeight="1">
      <c r="A14" s="83" t="s">
        <v>68</v>
      </c>
      <c r="B14" s="10">
        <v>8.4779999999999998</v>
      </c>
      <c r="C14" s="11">
        <v>8.4779999999999998</v>
      </c>
      <c r="D14" s="11"/>
      <c r="E14" s="10"/>
      <c r="F14" s="10"/>
      <c r="G14" s="10"/>
      <c r="H14" s="12">
        <f>B14</f>
        <v>8.4779999999999998</v>
      </c>
      <c r="I14" s="12">
        <f>C14</f>
        <v>8.4779999999999998</v>
      </c>
      <c r="J14" s="13">
        <f>SUM(H14:I14)</f>
        <v>16.956</v>
      </c>
    </row>
    <row r="15" spans="1:11" ht="17.25" customHeight="1">
      <c r="A15" s="9" t="s">
        <v>35</v>
      </c>
      <c r="B15" s="10">
        <v>0.125</v>
      </c>
      <c r="C15" s="11">
        <v>0.125</v>
      </c>
      <c r="D15" s="15"/>
      <c r="E15" s="16"/>
      <c r="F15" s="16"/>
      <c r="G15" s="16"/>
      <c r="H15" s="17">
        <f>H14-F15-D15+B15</f>
        <v>8.6029999999999998</v>
      </c>
      <c r="I15" s="17">
        <f>I14-E15+C15</f>
        <v>8.6029999999999998</v>
      </c>
      <c r="J15" s="18">
        <f>SUM(H15:I15)</f>
        <v>17.206</v>
      </c>
    </row>
    <row r="16" spans="1:11" ht="15.75" customHeight="1">
      <c r="A16" s="84" t="s">
        <v>69</v>
      </c>
      <c r="B16" s="17">
        <v>6.25</v>
      </c>
      <c r="C16" s="79">
        <v>3.25</v>
      </c>
      <c r="D16" s="15"/>
      <c r="E16" s="16"/>
      <c r="F16" s="16"/>
      <c r="G16" s="16"/>
      <c r="H16" s="17">
        <f t="shared" ref="H16" si="0">H15-F16-D16+B16</f>
        <v>14.853</v>
      </c>
      <c r="I16" s="17">
        <f t="shared" ref="I16" si="1">I15-E16+C16</f>
        <v>11.853</v>
      </c>
      <c r="J16" s="18">
        <f t="shared" ref="J16" si="2">SUM(H16:I16)</f>
        <v>26.706</v>
      </c>
    </row>
    <row r="17" spans="1:10" ht="17.25" customHeight="1">
      <c r="A17" s="86" t="s">
        <v>71</v>
      </c>
      <c r="B17" s="17">
        <v>0.20799999999999999</v>
      </c>
      <c r="C17" s="79">
        <v>0.20799999999999999</v>
      </c>
      <c r="D17" s="15"/>
      <c r="E17" s="16"/>
      <c r="F17" s="16"/>
      <c r="G17" s="16"/>
      <c r="H17" s="17">
        <f t="shared" ref="H17:H25" si="3">H16-F17-D17+B17</f>
        <v>15.061</v>
      </c>
      <c r="I17" s="17">
        <f t="shared" ref="I17:I25" si="4">I16-E17+C17</f>
        <v>12.061</v>
      </c>
      <c r="J17" s="87">
        <f t="shared" ref="J17:J25" si="5">SUM(H17:I17)</f>
        <v>27.122</v>
      </c>
    </row>
    <row r="18" spans="1:10" ht="13.5" customHeight="1">
      <c r="A18" s="85" t="s">
        <v>70</v>
      </c>
      <c r="B18" s="17"/>
      <c r="C18" s="79"/>
      <c r="D18" s="15"/>
      <c r="E18" s="16"/>
      <c r="F18" s="16"/>
      <c r="G18" s="16"/>
      <c r="H18" s="17"/>
      <c r="I18" s="17"/>
      <c r="J18" s="18"/>
    </row>
    <row r="19" spans="1:10" ht="15" customHeight="1">
      <c r="A19" s="86" t="s">
        <v>72</v>
      </c>
      <c r="B19" s="17"/>
      <c r="C19" s="79"/>
      <c r="D19" s="15"/>
      <c r="E19" s="16"/>
      <c r="F19" s="16"/>
      <c r="G19" s="16"/>
      <c r="H19" s="17"/>
      <c r="I19" s="17"/>
      <c r="J19" s="18"/>
    </row>
    <row r="20" spans="1:10" ht="15.75" customHeight="1">
      <c r="A20" s="86" t="s">
        <v>73</v>
      </c>
      <c r="B20" s="17"/>
      <c r="C20" s="79"/>
      <c r="D20" s="15"/>
      <c r="E20" s="16"/>
      <c r="F20" s="16"/>
      <c r="G20" s="16"/>
      <c r="H20" s="17"/>
      <c r="I20" s="17"/>
      <c r="J20" s="18"/>
    </row>
    <row r="21" spans="1:10" ht="15" customHeight="1">
      <c r="A21" s="86" t="s">
        <v>74</v>
      </c>
      <c r="B21" s="17"/>
      <c r="C21" s="79"/>
      <c r="D21" s="15"/>
      <c r="E21" s="16"/>
      <c r="F21" s="16"/>
      <c r="G21" s="16"/>
      <c r="H21" s="17"/>
      <c r="I21" s="17"/>
      <c r="J21" s="18"/>
    </row>
    <row r="22" spans="1:10" ht="15.75" customHeight="1">
      <c r="A22" s="88" t="s">
        <v>77</v>
      </c>
      <c r="B22" s="17"/>
      <c r="C22" s="79"/>
      <c r="D22" s="15"/>
      <c r="E22" s="16"/>
      <c r="F22" s="16"/>
      <c r="G22" s="16"/>
      <c r="H22" s="17"/>
      <c r="I22" s="17"/>
      <c r="J22" s="18"/>
    </row>
    <row r="23" spans="1:10" ht="31.5" customHeight="1">
      <c r="A23" s="85" t="s">
        <v>76</v>
      </c>
      <c r="B23" s="17"/>
      <c r="C23" s="79"/>
      <c r="D23" s="15"/>
      <c r="E23" s="16"/>
      <c r="F23" s="16"/>
      <c r="G23" s="16"/>
      <c r="H23" s="17"/>
      <c r="I23" s="17"/>
      <c r="J23" s="18"/>
    </row>
    <row r="24" spans="1:10" ht="15.75" customHeight="1">
      <c r="A24" s="86" t="s">
        <v>75</v>
      </c>
      <c r="B24" s="17">
        <v>15.192</v>
      </c>
      <c r="C24" s="79">
        <v>15.192</v>
      </c>
      <c r="D24" s="15"/>
      <c r="E24" s="16"/>
      <c r="F24" s="16"/>
      <c r="G24" s="16"/>
      <c r="H24" s="17">
        <f t="shared" si="3"/>
        <v>15.192</v>
      </c>
      <c r="I24" s="17">
        <f t="shared" si="4"/>
        <v>15.192</v>
      </c>
      <c r="J24" s="18">
        <f t="shared" si="5"/>
        <v>30.384</v>
      </c>
    </row>
    <row r="25" spans="1:10" ht="16.5" customHeight="1">
      <c r="A25" s="86" t="s">
        <v>78</v>
      </c>
      <c r="B25" s="17">
        <v>0.66700000000000004</v>
      </c>
      <c r="C25" s="79">
        <v>0.66700000000000004</v>
      </c>
      <c r="D25" s="15"/>
      <c r="E25" s="16"/>
      <c r="F25" s="16"/>
      <c r="G25" s="16"/>
      <c r="H25" s="17">
        <f t="shared" si="3"/>
        <v>15.859</v>
      </c>
      <c r="I25" s="17">
        <f t="shared" si="4"/>
        <v>15.859</v>
      </c>
      <c r="J25" s="18">
        <f t="shared" si="5"/>
        <v>31.718</v>
      </c>
    </row>
    <row r="26" spans="1:10" ht="16.5" customHeight="1">
      <c r="A26" s="132" t="s">
        <v>79</v>
      </c>
      <c r="B26" s="17">
        <v>2.5</v>
      </c>
      <c r="C26" s="79">
        <v>2.5</v>
      </c>
      <c r="D26" s="15"/>
      <c r="E26" s="16"/>
      <c r="F26" s="16"/>
      <c r="G26" s="16"/>
      <c r="H26" s="17">
        <f t="shared" ref="H26:H27" si="6">H25-F26-D26+B26</f>
        <v>18.359000000000002</v>
      </c>
      <c r="I26" s="17">
        <f t="shared" ref="I26:I27" si="7">I25-E26+C26</f>
        <v>18.359000000000002</v>
      </c>
      <c r="J26" s="18">
        <f t="shared" ref="J26:J27" si="8">SUM(H26:I26)</f>
        <v>36.718000000000004</v>
      </c>
    </row>
    <row r="27" spans="1:10" ht="16.5" customHeight="1">
      <c r="A27" s="132" t="s">
        <v>80</v>
      </c>
      <c r="B27" s="17"/>
      <c r="C27" s="79"/>
      <c r="D27" s="15"/>
      <c r="E27" s="16"/>
      <c r="F27" s="16"/>
      <c r="G27" s="133">
        <v>3</v>
      </c>
      <c r="H27" s="17">
        <f t="shared" si="6"/>
        <v>18.359000000000002</v>
      </c>
      <c r="I27" s="17">
        <f t="shared" si="7"/>
        <v>18.359000000000002</v>
      </c>
      <c r="J27" s="18">
        <f t="shared" si="8"/>
        <v>36.718000000000004</v>
      </c>
    </row>
    <row r="28" spans="1:10" ht="16.5" customHeight="1">
      <c r="A28" s="131"/>
      <c r="B28" s="17"/>
      <c r="C28" s="79"/>
      <c r="D28" s="15"/>
      <c r="E28" s="16"/>
      <c r="F28" s="16"/>
      <c r="G28" s="16"/>
      <c r="H28" s="17"/>
      <c r="I28" s="17"/>
      <c r="J28" s="17"/>
    </row>
    <row r="29" spans="1:10">
      <c r="H29" s="20"/>
      <c r="I29" s="20"/>
      <c r="J29" s="20"/>
    </row>
    <row r="30" spans="1:10">
      <c r="H30" s="20"/>
      <c r="I30" s="20"/>
      <c r="J30" s="20"/>
    </row>
    <row r="34" spans="6:6">
      <c r="F34" s="19" t="s">
        <v>34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4"/>
  <sheetViews>
    <sheetView view="pageBreakPreview" zoomScaleNormal="100" workbookViewId="0">
      <selection activeCell="C16" sqref="C16"/>
    </sheetView>
  </sheetViews>
  <sheetFormatPr defaultColWidth="9" defaultRowHeight="15"/>
  <cols>
    <col min="1" max="1" width="23.85546875" style="29" customWidth="1"/>
    <col min="2" max="2" width="18.85546875" style="29" customWidth="1"/>
    <col min="3" max="3" width="35" style="44" customWidth="1"/>
    <col min="4" max="4" width="11.7109375" style="45" customWidth="1"/>
    <col min="5" max="5" width="11" style="29" customWidth="1"/>
    <col min="6" max="6" width="11.85546875" style="45" customWidth="1"/>
    <col min="7" max="7" width="22" style="29" customWidth="1"/>
    <col min="8" max="16384" width="9" style="29"/>
  </cols>
  <sheetData>
    <row r="1" spans="1:7" s="21" customFormat="1" ht="52.5" customHeight="1">
      <c r="E1" s="22"/>
    </row>
    <row r="2" spans="1:7" s="21" customFormat="1" ht="10.5" customHeight="1">
      <c r="A2" s="110" t="s">
        <v>0</v>
      </c>
      <c r="B2" s="110"/>
      <c r="C2" s="110"/>
      <c r="D2" s="110"/>
      <c r="E2" s="110"/>
      <c r="F2" s="110"/>
      <c r="G2" s="110"/>
    </row>
    <row r="3" spans="1:7" s="21" customFormat="1" ht="15.95" customHeight="1">
      <c r="A3" s="110" t="s">
        <v>1</v>
      </c>
      <c r="B3" s="110"/>
      <c r="C3" s="110"/>
      <c r="D3" s="110"/>
      <c r="E3" s="110"/>
      <c r="F3" s="110"/>
      <c r="G3" s="110"/>
    </row>
    <row r="4" spans="1:7" s="21" customFormat="1" ht="15.95" customHeight="1">
      <c r="A4" s="110" t="s">
        <v>2</v>
      </c>
      <c r="B4" s="110"/>
      <c r="C4" s="110"/>
      <c r="D4" s="110"/>
      <c r="E4" s="110"/>
      <c r="F4" s="110"/>
      <c r="G4" s="110"/>
    </row>
    <row r="5" spans="1:7" s="21" customFormat="1" ht="15.95" customHeight="1">
      <c r="A5" s="110" t="s">
        <v>3</v>
      </c>
      <c r="B5" s="110"/>
      <c r="C5" s="110"/>
      <c r="D5" s="110"/>
      <c r="E5" s="110"/>
      <c r="F5" s="110"/>
      <c r="G5" s="110"/>
    </row>
    <row r="6" spans="1:7" s="21" customFormat="1" ht="8.25" customHeight="1">
      <c r="E6" s="22"/>
    </row>
    <row r="7" spans="1:7" s="21" customFormat="1" ht="8.25" customHeight="1">
      <c r="E7" s="22"/>
    </row>
    <row r="8" spans="1:7" s="21" customFormat="1" ht="17.25" customHeight="1">
      <c r="A8" s="23" t="s">
        <v>58</v>
      </c>
      <c r="B8" s="23"/>
      <c r="C8" s="23" t="s">
        <v>37</v>
      </c>
      <c r="D8" s="24"/>
      <c r="E8" s="23" t="s">
        <v>38</v>
      </c>
      <c r="F8" s="24"/>
      <c r="G8" s="25"/>
    </row>
    <row r="9" spans="1:7" s="21" customFormat="1" ht="12" customHeight="1">
      <c r="A9" s="26"/>
      <c r="B9" s="26"/>
      <c r="C9" s="27"/>
      <c r="E9" s="23" t="s">
        <v>39</v>
      </c>
      <c r="F9" s="28"/>
      <c r="G9" s="27"/>
    </row>
    <row r="10" spans="1:7" s="21" customFormat="1" ht="14.25" customHeight="1">
      <c r="A10" s="23" t="s">
        <v>40</v>
      </c>
      <c r="B10" s="23"/>
      <c r="C10" s="23" t="s">
        <v>41</v>
      </c>
      <c r="D10" s="24"/>
      <c r="E10" s="23" t="s">
        <v>42</v>
      </c>
      <c r="F10" s="24"/>
      <c r="G10" s="25"/>
    </row>
    <row r="11" spans="1:7" s="21" customFormat="1" ht="12" customHeight="1" thickBot="1">
      <c r="A11" s="25"/>
      <c r="B11" s="25"/>
      <c r="C11" s="25"/>
      <c r="F11" s="24"/>
      <c r="G11" s="25"/>
    </row>
    <row r="12" spans="1:7" ht="23.25" customHeight="1" thickBot="1">
      <c r="A12" s="111" t="s">
        <v>43</v>
      </c>
      <c r="B12" s="112"/>
      <c r="C12" s="112"/>
      <c r="D12" s="112"/>
      <c r="E12" s="112"/>
      <c r="F12" s="112"/>
      <c r="G12" s="113"/>
    </row>
    <row r="13" spans="1:7" s="35" customFormat="1" ht="37.5" customHeight="1" thickBot="1">
      <c r="A13" s="30" t="s">
        <v>44</v>
      </c>
      <c r="B13" s="31" t="s">
        <v>45</v>
      </c>
      <c r="C13" s="32" t="s">
        <v>46</v>
      </c>
      <c r="D13" s="32" t="s">
        <v>13</v>
      </c>
      <c r="E13" s="33" t="s">
        <v>14</v>
      </c>
      <c r="F13" s="33" t="s">
        <v>15</v>
      </c>
      <c r="G13" s="34" t="s">
        <v>6</v>
      </c>
    </row>
    <row r="14" spans="1:7" s="35" customFormat="1" ht="15.75" customHeight="1">
      <c r="A14" s="46" t="s">
        <v>52</v>
      </c>
      <c r="B14" s="69">
        <v>44568</v>
      </c>
      <c r="C14" s="37" t="s">
        <v>53</v>
      </c>
      <c r="D14" s="38">
        <v>5</v>
      </c>
      <c r="E14" s="39">
        <v>0</v>
      </c>
      <c r="F14" s="39">
        <v>5</v>
      </c>
      <c r="G14" s="40">
        <v>5</v>
      </c>
    </row>
    <row r="15" spans="1:7" s="35" customFormat="1" ht="15.75" customHeight="1">
      <c r="A15" s="46" t="s">
        <v>51</v>
      </c>
      <c r="B15" s="69">
        <v>45241</v>
      </c>
      <c r="C15" s="37" t="s">
        <v>54</v>
      </c>
      <c r="D15" s="38">
        <v>11</v>
      </c>
      <c r="E15" s="39">
        <v>1</v>
      </c>
      <c r="F15" s="39">
        <v>10</v>
      </c>
      <c r="G15" s="40">
        <v>10</v>
      </c>
    </row>
    <row r="16" spans="1:7" s="35" customFormat="1" ht="30" customHeight="1">
      <c r="A16" s="82" t="s">
        <v>65</v>
      </c>
      <c r="B16" s="69">
        <v>45566</v>
      </c>
      <c r="C16" s="80" t="s">
        <v>66</v>
      </c>
      <c r="D16" s="81">
        <v>3</v>
      </c>
      <c r="E16" s="39">
        <v>0</v>
      </c>
      <c r="F16" s="39">
        <v>3</v>
      </c>
      <c r="G16" s="40">
        <v>3</v>
      </c>
    </row>
    <row r="17" spans="1:7" s="35" customFormat="1" ht="15.75" customHeight="1">
      <c r="A17" s="70" t="s">
        <v>55</v>
      </c>
      <c r="B17" s="71" t="s">
        <v>56</v>
      </c>
      <c r="C17" s="72" t="s">
        <v>57</v>
      </c>
      <c r="D17" s="73">
        <v>5</v>
      </c>
      <c r="E17" s="74">
        <v>0</v>
      </c>
      <c r="F17" s="74">
        <v>5</v>
      </c>
      <c r="G17" s="75">
        <v>5</v>
      </c>
    </row>
    <row r="18" spans="1:7" s="35" customFormat="1" ht="15.75" customHeight="1">
      <c r="A18" s="70" t="s">
        <v>62</v>
      </c>
      <c r="B18" s="71" t="s">
        <v>63</v>
      </c>
      <c r="C18" s="72" t="s">
        <v>64</v>
      </c>
      <c r="D18" s="73">
        <v>1</v>
      </c>
      <c r="E18" s="74">
        <v>0</v>
      </c>
      <c r="F18" s="74">
        <v>1</v>
      </c>
      <c r="G18" s="75">
        <v>1</v>
      </c>
    </row>
    <row r="19" spans="1:7" s="35" customFormat="1" ht="15.75" customHeight="1">
      <c r="A19" s="77" t="s">
        <v>60</v>
      </c>
      <c r="B19" s="78" t="s">
        <v>61</v>
      </c>
      <c r="C19" s="76" t="s">
        <v>59</v>
      </c>
      <c r="D19" s="38">
        <v>15</v>
      </c>
      <c r="E19" s="39">
        <v>0</v>
      </c>
      <c r="F19" s="39">
        <v>15</v>
      </c>
      <c r="G19" s="40">
        <v>15</v>
      </c>
    </row>
    <row r="20" spans="1:7" s="35" customFormat="1" ht="15.75" customHeight="1">
      <c r="A20" s="47"/>
      <c r="B20" s="36"/>
      <c r="C20" s="37"/>
      <c r="D20" s="38"/>
      <c r="E20" s="39"/>
      <c r="F20" s="39"/>
      <c r="G20" s="40"/>
    </row>
    <row r="21" spans="1:7" s="41" customFormat="1" ht="15.75">
      <c r="A21" s="107" t="s">
        <v>6</v>
      </c>
      <c r="B21" s="108"/>
      <c r="C21" s="108"/>
      <c r="D21" s="108"/>
      <c r="E21" s="108"/>
      <c r="F21" s="109"/>
      <c r="G21" s="42" t="s">
        <v>67</v>
      </c>
    </row>
    <row r="22" spans="1:7" s="21" customFormat="1" ht="75.75" customHeight="1">
      <c r="A22" s="43"/>
      <c r="B22" s="43"/>
      <c r="G22" s="43"/>
    </row>
    <row r="23" spans="1:7" s="21" customFormat="1"/>
    <row r="24" spans="1:7" s="21" customFormat="1"/>
  </sheetData>
  <mergeCells count="6">
    <mergeCell ref="A21:F21"/>
    <mergeCell ref="A2:G2"/>
    <mergeCell ref="A3:G3"/>
    <mergeCell ref="A4:G4"/>
    <mergeCell ref="A5:G5"/>
    <mergeCell ref="A12:G12"/>
  </mergeCells>
  <phoneticPr fontId="16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C8C1-FC68-447D-8809-44815A3A5F0F}">
  <dimension ref="A1:M49"/>
  <sheetViews>
    <sheetView topLeftCell="A7" workbookViewId="0">
      <selection activeCell="B17" sqref="B17:E17"/>
    </sheetView>
  </sheetViews>
  <sheetFormatPr defaultRowHeight="15"/>
  <cols>
    <col min="1" max="1" width="29.85546875" style="48" customWidth="1"/>
    <col min="2" max="2" width="9.42578125" style="51" customWidth="1"/>
    <col min="3" max="3" width="9.28515625" style="52" customWidth="1"/>
    <col min="4" max="4" width="9.140625" style="48"/>
    <col min="5" max="5" width="8.42578125" style="51" customWidth="1"/>
    <col min="6" max="6" width="10.85546875" style="50" customWidth="1"/>
    <col min="7" max="7" width="9.7109375" style="49" customWidth="1"/>
    <col min="8" max="8" width="10.85546875" style="48" customWidth="1"/>
    <col min="9" max="9" width="9.7109375" style="51" customWidth="1"/>
    <col min="10" max="10" width="10" style="50" customWidth="1"/>
    <col min="11" max="11" width="6.7109375" style="49" customWidth="1"/>
    <col min="12" max="12" width="7.5703125" style="48" customWidth="1"/>
    <col min="13" max="16384" width="9.140625" style="48"/>
  </cols>
  <sheetData>
    <row r="1" spans="1:13">
      <c r="A1" s="53"/>
      <c r="B1" s="53"/>
      <c r="C1" s="68"/>
      <c r="D1" s="67"/>
      <c r="E1" s="53"/>
      <c r="F1" s="53"/>
      <c r="G1" s="53"/>
      <c r="H1" s="54"/>
      <c r="I1" s="53"/>
      <c r="J1" s="53"/>
      <c r="K1" s="53"/>
      <c r="L1" s="53"/>
      <c r="M1" s="53"/>
    </row>
    <row r="2" spans="1:13">
      <c r="A2" s="53"/>
      <c r="B2" s="53"/>
      <c r="C2" s="68"/>
      <c r="D2" s="67"/>
      <c r="E2" s="53"/>
      <c r="F2" s="53"/>
      <c r="G2" s="53"/>
      <c r="H2" s="54"/>
      <c r="I2" s="53"/>
      <c r="J2" s="53"/>
      <c r="K2" s="53"/>
      <c r="L2" s="53"/>
      <c r="M2" s="53"/>
    </row>
    <row r="3" spans="1:13">
      <c r="A3" s="53"/>
      <c r="B3" s="53"/>
      <c r="C3" s="68"/>
      <c r="D3" s="67"/>
      <c r="E3" s="53"/>
      <c r="F3" s="53"/>
      <c r="G3" s="53"/>
      <c r="H3" s="54"/>
      <c r="I3" s="53"/>
      <c r="J3" s="53"/>
      <c r="K3" s="53"/>
      <c r="L3" s="53"/>
      <c r="M3" s="53"/>
    </row>
    <row r="4" spans="1:13">
      <c r="A4" s="53"/>
      <c r="B4" s="53"/>
      <c r="C4" s="68"/>
      <c r="D4" s="67"/>
      <c r="E4" s="53"/>
      <c r="F4" s="53"/>
      <c r="G4" s="53"/>
      <c r="H4" s="54"/>
      <c r="I4" s="53"/>
      <c r="J4" s="53"/>
      <c r="K4" s="53"/>
      <c r="L4" s="53"/>
      <c r="M4" s="53"/>
    </row>
    <row r="5" spans="1:13">
      <c r="A5" s="117" t="s">
        <v>0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53"/>
    </row>
    <row r="6" spans="1:13">
      <c r="A6" s="117" t="s">
        <v>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53"/>
    </row>
    <row r="7" spans="1:13">
      <c r="A7" s="117" t="s">
        <v>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53"/>
    </row>
    <row r="8" spans="1:13">
      <c r="A8" s="117" t="s">
        <v>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53"/>
    </row>
    <row r="9" spans="1:13">
      <c r="A9" s="53"/>
      <c r="B9" s="53"/>
      <c r="C9" s="54"/>
      <c r="D9" s="53"/>
      <c r="E9" s="53"/>
      <c r="F9" s="53"/>
      <c r="G9" s="53"/>
      <c r="H9" s="54"/>
      <c r="I9" s="53"/>
      <c r="J9" s="53"/>
      <c r="K9" s="53"/>
      <c r="L9" s="53"/>
      <c r="M9" s="53"/>
    </row>
    <row r="10" spans="1:13">
      <c r="A10" s="53"/>
      <c r="B10" s="53"/>
      <c r="C10" s="54"/>
      <c r="D10" s="53"/>
      <c r="E10" s="53"/>
      <c r="F10" s="53"/>
      <c r="G10" s="53"/>
      <c r="H10" s="54"/>
      <c r="I10" s="53"/>
      <c r="J10" s="53"/>
      <c r="K10" s="53"/>
      <c r="L10" s="53"/>
      <c r="M10" s="53"/>
    </row>
    <row r="11" spans="1:13">
      <c r="A11" s="64" t="s">
        <v>50</v>
      </c>
      <c r="B11" s="64"/>
      <c r="C11" s="118" t="s">
        <v>7</v>
      </c>
      <c r="D11" s="118"/>
      <c r="E11" s="118"/>
      <c r="F11" s="118"/>
      <c r="G11" s="118"/>
      <c r="H11" s="53"/>
      <c r="I11" s="118" t="s">
        <v>8</v>
      </c>
      <c r="J11" s="118"/>
      <c r="K11" s="118"/>
      <c r="L11" s="64"/>
      <c r="M11" s="53"/>
    </row>
    <row r="12" spans="1:13">
      <c r="A12" s="53"/>
      <c r="B12" s="65"/>
      <c r="C12" s="118" t="s">
        <v>49</v>
      </c>
      <c r="D12" s="118"/>
      <c r="E12" s="118"/>
      <c r="F12" s="118"/>
      <c r="G12" s="118"/>
      <c r="H12" s="53"/>
      <c r="I12" s="119" t="s">
        <v>9</v>
      </c>
      <c r="J12" s="119"/>
      <c r="K12" s="119"/>
      <c r="L12" s="65"/>
      <c r="M12" s="53"/>
    </row>
    <row r="13" spans="1:13">
      <c r="A13" s="64" t="s">
        <v>18</v>
      </c>
      <c r="B13" s="64"/>
      <c r="C13" s="66"/>
      <c r="D13" s="65"/>
      <c r="E13" s="65"/>
      <c r="F13" s="53"/>
      <c r="G13" s="53"/>
      <c r="H13" s="53"/>
      <c r="I13" s="118" t="s">
        <v>4</v>
      </c>
      <c r="J13" s="118"/>
      <c r="K13" s="118"/>
      <c r="L13" s="64"/>
      <c r="M13" s="53"/>
    </row>
    <row r="14" spans="1:13" ht="21.75" thickBot="1">
      <c r="A14" s="120" t="s">
        <v>10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</row>
    <row r="15" spans="1:13">
      <c r="A15" s="121" t="s">
        <v>5</v>
      </c>
      <c r="B15" s="123" t="s">
        <v>11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7" t="s">
        <v>6</v>
      </c>
      <c r="M15" s="61"/>
    </row>
    <row r="16" spans="1:13">
      <c r="A16" s="122"/>
      <c r="B16" s="125" t="s">
        <v>12</v>
      </c>
      <c r="C16" s="129"/>
      <c r="D16" s="129"/>
      <c r="E16" s="126"/>
      <c r="F16" s="125" t="s">
        <v>13</v>
      </c>
      <c r="G16" s="126"/>
      <c r="H16" s="125" t="s">
        <v>14</v>
      </c>
      <c r="I16" s="126"/>
      <c r="J16" s="125" t="s">
        <v>15</v>
      </c>
      <c r="K16" s="126"/>
      <c r="L16" s="128"/>
      <c r="M16" s="61"/>
    </row>
    <row r="17" spans="1:13" ht="31.5" customHeight="1">
      <c r="A17" s="63" t="s">
        <v>48</v>
      </c>
      <c r="B17" s="114" t="s">
        <v>47</v>
      </c>
      <c r="C17" s="115"/>
      <c r="D17" s="115"/>
      <c r="E17" s="116"/>
      <c r="F17" s="114">
        <v>11</v>
      </c>
      <c r="G17" s="116"/>
      <c r="H17" s="114">
        <v>0</v>
      </c>
      <c r="I17" s="116"/>
      <c r="J17" s="114">
        <v>11</v>
      </c>
      <c r="K17" s="116"/>
      <c r="L17" s="62">
        <v>11</v>
      </c>
      <c r="M17" s="61"/>
    </row>
    <row r="18" spans="1:13" ht="31.5" customHeight="1">
      <c r="A18" s="60" t="s">
        <v>19</v>
      </c>
      <c r="B18" s="114"/>
      <c r="C18" s="115"/>
      <c r="D18" s="115"/>
      <c r="E18" s="116"/>
      <c r="F18" s="114"/>
      <c r="G18" s="116"/>
      <c r="H18" s="114">
        <v>1</v>
      </c>
      <c r="I18" s="116"/>
      <c r="J18" s="114">
        <v>10</v>
      </c>
      <c r="K18" s="116"/>
      <c r="L18" s="59">
        <v>10</v>
      </c>
      <c r="M18" s="55"/>
    </row>
    <row r="19" spans="1:13" ht="31.5" customHeight="1">
      <c r="A19" s="60"/>
      <c r="B19" s="114"/>
      <c r="C19" s="115"/>
      <c r="D19" s="115"/>
      <c r="E19" s="116"/>
      <c r="F19" s="114"/>
      <c r="G19" s="116"/>
      <c r="H19" s="114"/>
      <c r="I19" s="116"/>
      <c r="J19" s="114"/>
      <c r="K19" s="116"/>
      <c r="L19" s="59"/>
      <c r="M19" s="55"/>
    </row>
    <row r="20" spans="1:13" ht="31.5" customHeight="1">
      <c r="A20" s="60"/>
      <c r="B20" s="114"/>
      <c r="C20" s="115"/>
      <c r="D20" s="115"/>
      <c r="E20" s="116"/>
      <c r="F20" s="114"/>
      <c r="G20" s="116"/>
      <c r="H20" s="114"/>
      <c r="I20" s="116"/>
      <c r="J20" s="114"/>
      <c r="K20" s="116"/>
      <c r="L20" s="59"/>
      <c r="M20" s="55"/>
    </row>
    <row r="21" spans="1:13">
      <c r="A21" s="58" t="s">
        <v>16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6"/>
      <c r="M21" s="55"/>
    </row>
    <row r="22" spans="1:13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</row>
    <row r="23" spans="1:13">
      <c r="A23" s="53"/>
      <c r="B23" s="53"/>
      <c r="C23" s="54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1:13">
      <c r="A24" s="53"/>
      <c r="B24" s="53"/>
      <c r="C24" s="54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1:13">
      <c r="A25" s="53"/>
      <c r="B25" s="53"/>
      <c r="C25" s="54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1:13">
      <c r="A26" s="53"/>
      <c r="B26" s="53"/>
      <c r="C26" s="54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1:13">
      <c r="A27" s="53"/>
      <c r="B27" s="53"/>
      <c r="C27" s="54"/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spans="1:13">
      <c r="A28" s="53"/>
      <c r="B28" s="53"/>
      <c r="C28" s="54"/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spans="1:13">
      <c r="A29" s="53"/>
      <c r="B29" s="53"/>
      <c r="C29" s="54"/>
      <c r="D29" s="53"/>
      <c r="E29" s="53"/>
      <c r="F29" s="53"/>
      <c r="G29" s="53"/>
      <c r="H29" s="53"/>
      <c r="I29" s="53"/>
      <c r="J29" s="53"/>
      <c r="K29" s="53"/>
      <c r="L29" s="53"/>
      <c r="M29" s="53"/>
    </row>
    <row r="30" spans="1:13">
      <c r="A30" s="53"/>
      <c r="B30" s="53"/>
      <c r="C30" s="54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>
      <c r="A31" s="53"/>
      <c r="B31" s="53"/>
      <c r="C31" s="54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spans="1:13">
      <c r="A32" s="53"/>
      <c r="B32" s="53"/>
      <c r="C32" s="54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>
      <c r="A33" s="53"/>
      <c r="B33" s="53"/>
      <c r="C33" s="54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spans="1:13">
      <c r="A34" s="53"/>
      <c r="B34" s="53"/>
      <c r="C34" s="54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spans="1:13">
      <c r="A35" s="53"/>
      <c r="B35" s="53"/>
      <c r="C35" s="54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1:13">
      <c r="A36" s="53"/>
      <c r="B36" s="53"/>
      <c r="C36" s="54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1:13">
      <c r="A37" s="53"/>
      <c r="B37" s="53"/>
      <c r="C37" s="54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pans="1:13">
      <c r="A38" s="53"/>
      <c r="B38" s="53"/>
      <c r="C38" s="54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spans="1:13">
      <c r="A39" s="53"/>
      <c r="B39" s="53"/>
      <c r="C39" s="54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13">
      <c r="A40" s="53"/>
      <c r="B40" s="53"/>
      <c r="C40" s="54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spans="1:13">
      <c r="A41" s="53"/>
      <c r="B41" s="53"/>
      <c r="C41" s="54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spans="1:13">
      <c r="A42" s="53"/>
      <c r="B42" s="53"/>
      <c r="C42" s="54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spans="1:13">
      <c r="A43" s="53"/>
      <c r="B43" s="53"/>
      <c r="C43" s="54"/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spans="1:13">
      <c r="A44" s="53"/>
      <c r="B44" s="53"/>
      <c r="C44" s="54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spans="1:13">
      <c r="A45" s="53"/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spans="1:13">
      <c r="A46" s="53"/>
      <c r="B46" s="53"/>
      <c r="C46" s="54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spans="1:13">
      <c r="A47" s="53"/>
      <c r="B47" s="53"/>
      <c r="C47" s="54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9" spans="7:7">
      <c r="G49" s="49" t="s">
        <v>17</v>
      </c>
    </row>
  </sheetData>
  <mergeCells count="34">
    <mergeCell ref="B20:E20"/>
    <mergeCell ref="F20:G20"/>
    <mergeCell ref="L15:L16"/>
    <mergeCell ref="B16:E16"/>
    <mergeCell ref="A22:L22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H19:I19"/>
    <mergeCell ref="J19:K19"/>
    <mergeCell ref="H20:I20"/>
    <mergeCell ref="J20:K20"/>
    <mergeCell ref="B19:E19"/>
    <mergeCell ref="F19:G19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F16:G16"/>
    <mergeCell ref="H16:I1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2026-01-14T04:30:12Z</cp:lastPrinted>
  <dcterms:created xsi:type="dcterms:W3CDTF">2021-10-07T06:10:00Z</dcterms:created>
  <dcterms:modified xsi:type="dcterms:W3CDTF">2026-01-14T04:33:45Z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