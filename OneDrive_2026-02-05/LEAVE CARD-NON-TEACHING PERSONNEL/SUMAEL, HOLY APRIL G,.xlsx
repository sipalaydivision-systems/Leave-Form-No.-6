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as TIC" sheetId="3" r:id="rId1"/>
    <sheet name="Election &amp; NLC" sheetId="4" r:id="rId2"/>
    <sheet name="Sheet1" sheetId="1" r:id="rId3"/>
  </sheets>
  <definedNames>
    <definedName name="_xlnm.Print_Area" localSheetId="1">'Election &amp; NLC'!$A$1:$F$22</definedName>
    <definedName name="_xlnm.Print_Area" localSheetId="0">'Leave Card as TIC'!$A$1:$J$45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<sst xmlns="http://schemas.openxmlformats.org/spreadsheetml/2006/main" count="142" uniqueCount="111">
  <si>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</si>
  <si>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</si>
  <si>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</si>
  <si>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</si>
  <si>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</si>
  <si>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</si>
  <si>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</si>
  <si>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</si>
  <si>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</si>
  <si>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</si>
  <si>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</si>
  <si>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</si>
  <si>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</si>
  <si>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</si>
  <si>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</si>
  <si>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</si>
  <si>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</si>
  <si>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</si>
  <si>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</si>
  <si>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</si>
  <si>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</si>
  <si>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DESIGNATED AS TIC (NON-TEACHING): EFFECTIVE JULY 29, 2024</t>
  </si>
  <si>
    <r>
      <rPr>
        <sz val="11"/>
        <color theme="1"/>
        <rFont val="Calibri"/>
        <charset val="134"/>
        <scheme val="minor"/>
      </rPr>
      <t xml:space="preserve">ADD: UNUSED VSC </t>
    </r>
    <r>
      <rPr>
        <b/>
        <sz val="11"/>
        <color rgb="FF002060"/>
        <rFont val="Calibri"/>
        <charset val="134"/>
        <scheme val="minor"/>
      </rPr>
      <t>31 DAYS</t>
    </r>
    <r>
      <rPr>
        <sz val="11"/>
        <color theme="1"/>
        <rFont val="Calibri"/>
        <charset val="134"/>
        <scheme val="minor"/>
      </rPr>
      <t xml:space="preserve">:                                         FORMULA: 30Y/69/2 </t>
    </r>
  </si>
  <si>
    <t>ADD: 07/29-31/2024</t>
  </si>
  <si>
    <t>LESS: 08/05/2024</t>
  </si>
  <si>
    <t>ADD: 08/1-31/2024</t>
  </si>
  <si>
    <t>LESS: 09/20/2024</t>
  </si>
  <si>
    <t>LESS: 10/03/2024</t>
  </si>
  <si>
    <t>LESS: 10/07/2024</t>
  </si>
  <si>
    <t>ADD: 09/1/2024-12/31/2024</t>
  </si>
  <si>
    <t>ADD: 01/1-31/2025</t>
  </si>
  <si>
    <t>LESS: 02/03/2025</t>
  </si>
  <si>
    <t>ADD: 02/1-28/2025</t>
  </si>
  <si>
    <t>LESS: 03/25/2025</t>
  </si>
  <si>
    <t>ADD: 03/1-31/2025</t>
  </si>
  <si>
    <t>LESS: 03/31/2025</t>
  </si>
  <si>
    <t>ADD: 04/1/2025-06/30/2025</t>
  </si>
  <si>
    <t>LESS: MONETIZATION 2025</t>
  </si>
  <si>
    <t>ADD: 07/1-31/2025</t>
  </si>
  <si>
    <t>LESS: 08/1/2025</t>
  </si>
  <si>
    <t>LESS: 08/5/2025</t>
  </si>
  <si>
    <t>ADD: 08/1-31/2025</t>
  </si>
  <si>
    <t>LESS: 08/20/2025</t>
  </si>
  <si>
    <t>ADD: 09/1-30/2025</t>
  </si>
  <si>
    <t>LESS: 10/15/2025</t>
  </si>
  <si>
    <t>ADD: 10/1/2025-11/30/2025</t>
  </si>
  <si>
    <t>LESS: 12/9,10,15/2025</t>
  </si>
  <si>
    <t xml:space="preserve">  </t>
  </si>
  <si>
    <t>REGION VI-WESTERN VISAYAS</t>
  </si>
  <si>
    <r>
      <rPr>
        <b/>
        <sz val="12"/>
        <color theme="1"/>
        <rFont val="Calibri"/>
        <charset val="134"/>
        <scheme val="minor"/>
      </rPr>
      <t>NAME          :</t>
    </r>
    <r>
      <rPr>
        <b/>
        <u/>
        <sz val="12"/>
        <color theme="1"/>
        <rFont val="Calibri"/>
        <charset val="134"/>
        <scheme val="minor"/>
      </rPr>
      <t xml:space="preserve"> SUMAEL, HOLY APRIL</t>
    </r>
  </si>
  <si>
    <t xml:space="preserve">DISTRICT : </t>
  </si>
  <si>
    <t xml:space="preserve">EMPLOYEE NO.: </t>
  </si>
  <si>
    <t xml:space="preserve">STATION CODE: </t>
  </si>
  <si>
    <r>
      <rPr>
        <b/>
        <sz val="12"/>
        <color theme="1"/>
        <rFont val="Calibri"/>
        <charset val="134"/>
        <scheme val="minor"/>
      </rPr>
      <t xml:space="preserve">POSITION   : </t>
    </r>
    <r>
      <rPr>
        <b/>
        <u/>
        <sz val="12"/>
        <color theme="1"/>
        <rFont val="Calibri"/>
        <charset val="134"/>
        <scheme val="minor"/>
      </rPr>
      <t>T-I</t>
    </r>
  </si>
  <si>
    <t xml:space="preserve">SCHOOL/OFFICE : </t>
  </si>
  <si>
    <t xml:space="preserve">DIVISION CODE: </t>
  </si>
  <si>
    <t>UNUSED VSC</t>
  </si>
  <si>
    <t>SPECIAL ORDER NO.</t>
  </si>
  <si>
    <t>DATE RELEASED:</t>
  </si>
  <si>
    <t>NATIONAL LEARNING CAMP/NATIONAL &amp; LOCAL ELECTION</t>
  </si>
  <si>
    <t>No. of Days Granted</t>
  </si>
  <si>
    <t>No. of Days Used</t>
  </si>
  <si>
    <t>Balance</t>
  </si>
  <si>
    <t>S.0 # 299, S. 2019</t>
  </si>
  <si>
    <t xml:space="preserve">MAY 13, 2019 </t>
  </si>
  <si>
    <t>MAY 13, 2019 NATIONAL AND LOCAL ELECTION</t>
  </si>
  <si>
    <t>SO # 051, S. 2022</t>
  </si>
  <si>
    <t>JULY 01, 2022</t>
  </si>
  <si>
    <t>MAY 9, 2022 NATIONAL &amp; LOCAL ELECTION</t>
  </si>
  <si>
    <t>SO # 011, S. 2024</t>
  </si>
  <si>
    <t>04/29/2024</t>
  </si>
  <si>
    <t>SCREENING OF DOCUMENTS OF ATHLETES, COACHES, ASST. COACHES, AND CHAPERONES FOR SY 2023-2024 DISTRICT MEET</t>
  </si>
  <si>
    <t>SO # 033, S. 2024</t>
  </si>
  <si>
    <t>OCT. 9, 2024</t>
  </si>
  <si>
    <t>DEPED ACTIVITIES 2024-2025</t>
  </si>
  <si>
    <t>SO # 029, S. 2024</t>
  </si>
  <si>
    <t>SEPT. 24, 2024</t>
  </si>
  <si>
    <t>NLC 2024</t>
  </si>
  <si>
    <t>31 DAYS-CONVERTED</t>
  </si>
  <si>
    <t>NAME         :SUMAEL, HOLY APRIL G.</t>
  </si>
  <si>
    <t>DISTRICT             : _______________________</t>
  </si>
  <si>
    <t>EMPLOYEE NO   : __________</t>
  </si>
  <si>
    <t>SCHOOL/OFFICE : HAD MARICALUM ES</t>
  </si>
  <si>
    <t>STATION CODE   : __________</t>
  </si>
  <si>
    <t>POSITION   : TEACHER I</t>
  </si>
  <si>
    <t>DIVISION CODE   : __________</t>
  </si>
  <si>
    <t>VSC</t>
  </si>
  <si>
    <t>Special Order No. and Date Issued</t>
  </si>
  <si>
    <t>ADD: 10/24/2022</t>
  </si>
  <si>
    <t>S.0 # 097, S. 2022 BRIGADA ESKWELA 2022</t>
  </si>
  <si>
    <t>LESS: 11/25/2022</t>
  </si>
  <si>
    <t>LESS: 03/14 &amp; 15/2023</t>
  </si>
  <si>
    <t>LESS: 05/19/2023</t>
  </si>
  <si>
    <t>ADD: 10/11/2023</t>
  </si>
  <si>
    <t>S.0 # 105, S. 2023 BRIGADA ESKWELA AND OPLAN BALIK ESKWELA 2023</t>
  </si>
  <si>
    <t>LESS:11/06/2023</t>
  </si>
  <si>
    <t>LESS: 11/17/2023</t>
  </si>
  <si>
    <t>LESS: 01/26/2024</t>
  </si>
  <si>
    <t>LESS: 02/15/2024</t>
  </si>
  <si>
    <t>LESS: 04/05/2024</t>
  </si>
  <si>
    <t>LESS: 05/9-10/2024</t>
  </si>
  <si>
    <t>LESS: 05/23-24/2024</t>
  </si>
  <si>
    <t>LESS: 06/6/2024</t>
  </si>
  <si>
    <t>LESS: 06/24/2024</t>
  </si>
  <si>
    <t>ADD: OCTOBER 17, 2023</t>
  </si>
  <si>
    <t>SO# 159, S. 2023 125TH PHIL. INDEPENDENCE DAY</t>
  </si>
  <si>
    <t>LESS: 07/01/2024</t>
  </si>
  <si>
    <t>NOTE:  Valid for one (1) year only</t>
  </si>
  <si>
    <t>MA. LUISA B. CATIGAN</t>
  </si>
  <si>
    <t>Administrative Officer IV</t>
  </si>
  <si>
    <t xml:space="preserve">               HRMO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</si>
</sst>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u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2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5" borderId="2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6" borderId="29" applyNumberFormat="0" applyAlignment="0" applyProtection="0">
      <alignment vertical="center"/>
    </xf>
    <xf numFmtId="0" fontId="27" fillId="17" borderId="30" applyNumberFormat="0" applyAlignment="0" applyProtection="0">
      <alignment vertical="center"/>
    </xf>
    <xf numFmtId="0" fontId="28" fillId="17" borderId="29" applyNumberFormat="0" applyAlignment="0" applyProtection="0">
      <alignment vertical="center"/>
    </xf>
    <xf numFmtId="0" fontId="29" fillId="18" borderId="31" applyNumberFormat="0" applyAlignment="0" applyProtection="0">
      <alignment vertical="center"/>
    </xf>
    <xf numFmtId="0" fontId="30" fillId="0" borderId="32" applyNumberFormat="0" applyFill="0" applyAlignment="0" applyProtection="0">
      <alignment vertical="center"/>
    </xf>
    <xf numFmtId="0" fontId="31" fillId="0" borderId="33" applyNumberFormat="0" applyFill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</cellStyleXfs>
  <cellXfs count="11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" fillId="5" borderId="0" xfId="0" applyFont="1" applyFill="1" applyAlignment="1">
      <alignment horizontal="left"/>
    </xf>
    <xf numFmtId="0" fontId="4" fillId="6" borderId="7" xfId="0" applyFont="1" applyFill="1" applyBorder="1" applyAlignment="1">
      <alignment horizontal="center" vertical="center"/>
    </xf>
    <xf numFmtId="0" fontId="10" fillId="0" borderId="0" xfId="0" applyFont="1"/>
    <xf numFmtId="0" fontId="4" fillId="6" borderId="8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7" fillId="0" borderId="0" xfId="0" applyFont="1"/>
    <xf numFmtId="0" fontId="0" fillId="5" borderId="0" xfId="49" applyFill="1"/>
    <xf numFmtId="0" fontId="10" fillId="0" borderId="0" xfId="49" applyFont="1"/>
    <xf numFmtId="0" fontId="7" fillId="0" borderId="0" xfId="49" applyFont="1"/>
    <xf numFmtId="0" fontId="0" fillId="0" borderId="0" xfId="49"/>
    <xf numFmtId="0" fontId="0" fillId="2" borderId="0" xfId="49" applyFill="1"/>
    <xf numFmtId="0" fontId="0" fillId="3" borderId="0" xfId="49" applyFill="1"/>
    <xf numFmtId="0" fontId="0" fillId="5" borderId="0" xfId="49" applyFill="1" applyAlignment="1">
      <alignment horizontal="center"/>
    </xf>
    <xf numFmtId="0" fontId="1" fillId="5" borderId="0" xfId="49" applyFont="1" applyFill="1" applyAlignment="1">
      <alignment horizontal="center" vertical="center"/>
    </xf>
    <xf numFmtId="0" fontId="11" fillId="5" borderId="0" xfId="49" applyFont="1" applyFill="1" applyAlignment="1">
      <alignment vertical="center"/>
    </xf>
    <xf numFmtId="0" fontId="1" fillId="5" borderId="0" xfId="49" applyFont="1" applyFill="1" applyAlignment="1">
      <alignment horizontal="left" vertical="center"/>
    </xf>
    <xf numFmtId="0" fontId="12" fillId="5" borderId="0" xfId="49" applyFont="1" applyFill="1"/>
    <xf numFmtId="0" fontId="1" fillId="5" borderId="0" xfId="49" applyFont="1" applyFill="1"/>
    <xf numFmtId="0" fontId="1" fillId="5" borderId="0" xfId="49" applyFont="1" applyFill="1" applyAlignment="1">
      <alignment horizontal="left"/>
    </xf>
    <xf numFmtId="0" fontId="1" fillId="5" borderId="0" xfId="49" applyFont="1" applyFill="1" applyAlignment="1">
      <alignment vertical="center"/>
    </xf>
    <xf numFmtId="0" fontId="3" fillId="5" borderId="9" xfId="49" applyFont="1" applyFill="1" applyBorder="1" applyAlignment="1">
      <alignment horizontal="center" vertical="center"/>
    </xf>
    <xf numFmtId="0" fontId="3" fillId="5" borderId="10" xfId="49" applyFont="1" applyFill="1" applyBorder="1" applyAlignment="1">
      <alignment horizontal="center" vertical="center"/>
    </xf>
    <xf numFmtId="0" fontId="4" fillId="6" borderId="9" xfId="49" applyFont="1" applyFill="1" applyBorder="1" applyAlignment="1">
      <alignment horizontal="center" vertical="center" wrapText="1"/>
    </xf>
    <xf numFmtId="0" fontId="4" fillId="6" borderId="9" xfId="49" applyFont="1" applyFill="1" applyBorder="1" applyAlignment="1">
      <alignment horizontal="center" vertical="center"/>
    </xf>
    <xf numFmtId="0" fontId="5" fillId="8" borderId="11" xfId="49" applyFont="1" applyFill="1" applyBorder="1" applyAlignment="1">
      <alignment horizontal="center" vertical="center" wrapText="1"/>
    </xf>
    <xf numFmtId="0" fontId="5" fillId="8" borderId="12" xfId="49" applyFont="1" applyFill="1" applyBorder="1" applyAlignment="1">
      <alignment horizontal="center" vertical="center" wrapText="1"/>
    </xf>
    <xf numFmtId="0" fontId="0" fillId="5" borderId="13" xfId="51" applyFill="1" applyBorder="1" applyAlignment="1">
      <alignment horizontal="center" vertical="center" wrapText="1"/>
    </xf>
    <xf numFmtId="0" fontId="0" fillId="5" borderId="8" xfId="51" applyFill="1" applyBorder="1" applyAlignment="1">
      <alignment horizontal="center" vertical="center"/>
    </xf>
    <xf numFmtId="0" fontId="5" fillId="5" borderId="6" xfId="51" applyFont="1" applyFill="1" applyBorder="1" applyAlignment="1">
      <alignment vertical="center" wrapText="1"/>
    </xf>
    <xf numFmtId="0" fontId="5" fillId="5" borderId="6" xfId="51" applyFont="1" applyFill="1" applyBorder="1" applyAlignment="1">
      <alignment horizontal="center" vertical="center" wrapText="1"/>
    </xf>
    <xf numFmtId="0" fontId="13" fillId="5" borderId="4" xfId="49" applyFont="1" applyFill="1" applyBorder="1" applyAlignment="1">
      <alignment horizontal="center" vertical="center" wrapText="1"/>
    </xf>
    <xf numFmtId="0" fontId="0" fillId="5" borderId="14" xfId="51" applyFont="1" applyFill="1" applyBorder="1" applyAlignment="1">
      <alignment horizontal="center" vertical="center" wrapText="1"/>
    </xf>
    <xf numFmtId="0" fontId="0" fillId="5" borderId="8" xfId="51" applyFont="1" applyFill="1" applyBorder="1" applyAlignment="1">
      <alignment horizontal="center" vertical="center"/>
    </xf>
    <xf numFmtId="0" fontId="13" fillId="5" borderId="4" xfId="50" applyFont="1" applyFill="1" applyBorder="1" applyAlignment="1">
      <alignment horizontal="center" vertical="center" wrapText="1"/>
    </xf>
    <xf numFmtId="0" fontId="0" fillId="5" borderId="6" xfId="51" applyFont="1" applyFill="1" applyBorder="1" applyAlignment="1">
      <alignment horizontal="center" vertical="center" wrapText="1"/>
    </xf>
    <xf numFmtId="0" fontId="13" fillId="5" borderId="2" xfId="49" applyFont="1" applyFill="1" applyBorder="1" applyAlignment="1">
      <alignment horizontal="center" vertical="center" wrapText="1"/>
    </xf>
    <xf numFmtId="0" fontId="11" fillId="5" borderId="15" xfId="49" applyFont="1" applyFill="1" applyBorder="1" applyAlignment="1">
      <alignment horizontal="right" vertical="center" wrapText="1"/>
    </xf>
    <xf numFmtId="0" fontId="11" fillId="5" borderId="3" xfId="49" applyFont="1" applyFill="1" applyBorder="1" applyAlignment="1">
      <alignment horizontal="right" vertical="center" wrapText="1"/>
    </xf>
    <xf numFmtId="0" fontId="14" fillId="5" borderId="6" xfId="49" applyFont="1" applyFill="1" applyBorder="1" applyAlignment="1">
      <alignment horizontal="center" vertical="center" wrapText="1"/>
    </xf>
    <xf numFmtId="0" fontId="7" fillId="5" borderId="0" xfId="49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/>
    <xf numFmtId="0" fontId="3" fillId="5" borderId="16" xfId="0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horizontal="center" vertical="center"/>
    </xf>
    <xf numFmtId="0" fontId="1" fillId="12" borderId="18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 vertical="center"/>
    </xf>
    <xf numFmtId="0" fontId="1" fillId="13" borderId="18" xfId="0" applyFont="1" applyFill="1" applyBorder="1" applyAlignment="1">
      <alignment horizontal="center" vertical="center"/>
    </xf>
    <xf numFmtId="0" fontId="1" fillId="10" borderId="2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left" vertical="center"/>
    </xf>
    <xf numFmtId="0" fontId="1" fillId="10" borderId="22" xfId="0" applyFont="1" applyFill="1" applyBorder="1" applyAlignment="1">
      <alignment horizontal="left" vertical="center"/>
    </xf>
    <xf numFmtId="0" fontId="0" fillId="5" borderId="6" xfId="0" applyFill="1" applyBorder="1" applyAlignment="1">
      <alignment horizontal="center" vertical="center" wrapText="1"/>
    </xf>
    <xf numFmtId="176" fontId="0" fillId="5" borderId="6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vertical="center"/>
    </xf>
    <xf numFmtId="0" fontId="1" fillId="13" borderId="19" xfId="0" applyFont="1" applyFill="1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413348</xdr:colOff>
      <xdr:row>0</xdr:row>
      <xdr:rowOff>89858</xdr:rowOff>
    </xdr:from>
    <xdr:to>
      <xdr:col>4</xdr:col>
      <xdr:colOff>224646</xdr:colOff>
      <xdr:row>0</xdr:row>
      <xdr:rowOff>655967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35755" y="89535"/>
          <a:ext cx="605155" cy="5664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3" name="TextBox 2"/>
        <xdr:cNvSpPr txBox="1"/>
      </xdr:nvSpPr>
      <xdr:spPr>
        <a:xfrm>
          <a:off x="573405" y="1376045"/>
          <a:ext cx="156210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SUMAEL, HOLY APRIL G.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4" name="TextBox 3"/>
        <xdr:cNvSpPr txBox="1"/>
      </xdr:nvSpPr>
      <xdr:spPr>
        <a:xfrm>
          <a:off x="616585" y="1725930"/>
          <a:ext cx="151892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TEACHER-IN-CHARGE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5" name="TextBox 4"/>
        <xdr:cNvSpPr txBox="1"/>
      </xdr:nvSpPr>
      <xdr:spPr>
        <a:xfrm>
          <a:off x="3343910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HDA MARICALUM ES</a:t>
          </a:r>
          <a:endParaRPr lang="en-US" sz="1100"/>
        </a:p>
      </xdr:txBody>
    </xdr:sp>
    <xdr:clientData/>
  </xdr:twoCellAnchor>
  <xdr:twoCellAnchor>
    <xdr:from>
      <xdr:col>5</xdr:col>
      <xdr:colOff>347452</xdr:colOff>
      <xdr:row>39</xdr:row>
      <xdr:rowOff>53914</xdr:rowOff>
    </xdr:from>
    <xdr:to>
      <xdr:col>9</xdr:col>
      <xdr:colOff>672043</xdr:colOff>
      <xdr:row>44</xdr:row>
      <xdr:rowOff>170731</xdr:rowOff>
    </xdr:to>
    <xdr:sp>
      <xdr:nvSpPr>
        <xdr:cNvPr id="6" name="TextBox 5"/>
        <xdr:cNvSpPr txBox="1"/>
      </xdr:nvSpPr>
      <xdr:spPr>
        <a:xfrm>
          <a:off x="5657850" y="8443595"/>
          <a:ext cx="3499485" cy="1031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  <a:endParaRPr lang="en-PH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  <a:endParaRPr lang="en-PH"/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76395" y="4762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962025</xdr:colOff>
      <xdr:row>21</xdr:row>
      <xdr:rowOff>123825</xdr:rowOff>
    </xdr:to>
    <xdr:sp>
      <xdr:nvSpPr>
        <xdr:cNvPr id="3" name="TextBox 2"/>
        <xdr:cNvSpPr txBox="1"/>
      </xdr:nvSpPr>
      <xdr:spPr>
        <a:xfrm>
          <a:off x="76200" y="5063490"/>
          <a:ext cx="379539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  <a:endParaRPr lang="en-US" sz="1100" baseline="0"/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19</xdr:row>
      <xdr:rowOff>236220</xdr:rowOff>
    </xdr:from>
    <xdr:to>
      <xdr:col>6</xdr:col>
      <xdr:colOff>0</xdr:colOff>
      <xdr:row>21</xdr:row>
      <xdr:rowOff>150495</xdr:rowOff>
    </xdr:to>
    <xdr:sp>
      <xdr:nvSpPr>
        <xdr:cNvPr id="4" name="TextBox 3"/>
        <xdr:cNvSpPr txBox="1"/>
      </xdr:nvSpPr>
      <xdr:spPr>
        <a:xfrm>
          <a:off x="5386070" y="5090160"/>
          <a:ext cx="229425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4</xdr:col>
      <xdr:colOff>821410</xdr:colOff>
      <xdr:row>3</xdr:row>
      <xdr:rowOff>123825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571500" cy="643890"/>
        </a:xfrm>
        <a:prstGeom prst="rect">
          <a:avLst/>
        </a:prstGeom>
        <a:noFill/>
      </xdr:spPr>
    </xdr:pic>
    <xdr:clientData/>
  </xdr:twoCellAnchor>
  <xdr:twoCellAnchor>
    <xdr:from>
      <xdr:col>5</xdr:col>
      <xdr:colOff>628650</xdr:colOff>
      <xdr:row>33</xdr:row>
      <xdr:rowOff>95250</xdr:rowOff>
    </xdr:from>
    <xdr:to>
      <xdr:col>10</xdr:col>
      <xdr:colOff>295275</xdr:colOff>
      <xdr:row>34</xdr:row>
      <xdr:rowOff>95250</xdr:rowOff>
    </xdr:to>
    <xdr:sp>
      <xdr:nvSpPr>
        <xdr:cNvPr id="3" name="TextBox 2"/>
        <xdr:cNvSpPr txBox="1"/>
      </xdr:nvSpPr>
      <xdr:spPr>
        <a:xfrm>
          <a:off x="5810885" y="7860030"/>
          <a:ext cx="3173095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>
      <xdr:nvCxnSpPr>
        <xdr:cNvPr id="4" name="Straight Connector 3"/>
        <xdr:cNvCxnSpPr/>
      </xdr:nvCxnSpPr>
      <xdr:spPr>
        <a:xfrm>
          <a:off x="746760" y="237807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tabSelected="1" view="pageBreakPreview" zoomScale="106" zoomScaleNormal="100" topLeftCell="A32" workbookViewId="0">
      <selection activeCell="A37" sqref="$A37:$XFD37"/>
    </sheetView>
  </sheetViews>
  <sheetFormatPr defaultColWidth="9" defaultRowHeight="14.4"/>
  <cols>
    <col min="1" max="1" width="31.1388888888889" customWidth="1"/>
    <col min="2" max="5" width="11.5740740740741" customWidth="1"/>
    <col min="6" max="7" width="11.5740740740741" style="84" customWidth="1"/>
    <col min="8" max="10" width="11.5740740740741" customWidth="1"/>
    <col min="11" max="11" width="26.4259259259259" style="85" customWidth="1"/>
  </cols>
  <sheetData>
    <row r="1" s="5" customFormat="1" ht="52.5" customHeight="1"/>
    <row r="2" s="5" customFormat="1" ht="10.5" customHeight="1" spans="1:10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="5" customFormat="1" ht="15.95" customHeight="1" spans="1:10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</row>
    <row r="4" s="5" customFormat="1" ht="15.95" customHeight="1" spans="1:10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</row>
    <row r="5" s="5" customFormat="1" ht="15.95" customHeight="1" spans="1:10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</row>
    <row r="6" s="5" customFormat="1" ht="8.25" customHeight="1"/>
    <row r="7" s="5" customFormat="1" ht="12" customHeight="1" spans="1:10">
      <c r="A7" s="5" t="s">
        <v>4</v>
      </c>
      <c r="B7" s="12" t="s">
        <v>5</v>
      </c>
      <c r="C7" s="12"/>
      <c r="D7" s="12"/>
      <c r="H7" s="11" t="s">
        <v>6</v>
      </c>
      <c r="I7" s="105"/>
      <c r="J7" s="11"/>
    </row>
    <row r="8" s="5" customFormat="1" ht="12" customHeight="1" spans="2:10">
      <c r="B8" s="13"/>
      <c r="C8" s="13"/>
      <c r="H8" s="13"/>
      <c r="I8" s="13"/>
      <c r="J8" s="13"/>
    </row>
    <row r="9" s="5" customFormat="1" ht="12" customHeight="1" spans="1:10">
      <c r="A9" s="5" t="s">
        <v>7</v>
      </c>
      <c r="B9" s="12" t="s">
        <v>8</v>
      </c>
      <c r="C9" s="12"/>
      <c r="D9" s="12"/>
      <c r="H9" s="11" t="s">
        <v>9</v>
      </c>
      <c r="I9" s="106"/>
      <c r="J9" s="11"/>
    </row>
    <row r="10" ht="23.25" customHeight="1" spans="1:11">
      <c r="A10" s="86" t="s">
        <v>10</v>
      </c>
      <c r="B10" s="86"/>
      <c r="C10" s="86"/>
      <c r="D10" s="86"/>
      <c r="E10" s="86"/>
      <c r="F10" s="86"/>
      <c r="G10" s="86"/>
      <c r="H10" s="86"/>
      <c r="I10" s="86"/>
      <c r="J10" s="86"/>
      <c r="K10"/>
    </row>
    <row r="11" ht="18.75" customHeight="1" spans="1:11">
      <c r="A11" s="87" t="s">
        <v>11</v>
      </c>
      <c r="B11" s="88" t="s">
        <v>12</v>
      </c>
      <c r="C11" s="89"/>
      <c r="D11" s="90" t="s">
        <v>13</v>
      </c>
      <c r="E11" s="91"/>
      <c r="F11" s="91"/>
      <c r="G11" s="92"/>
      <c r="H11" s="93" t="s">
        <v>14</v>
      </c>
      <c r="I11" s="107"/>
      <c r="J11" s="108" t="s">
        <v>15</v>
      </c>
      <c r="K11" s="109" t="s">
        <v>16</v>
      </c>
    </row>
    <row r="12" ht="15.15" spans="1:11">
      <c r="A12" s="94"/>
      <c r="B12" s="95" t="s">
        <v>17</v>
      </c>
      <c r="C12" s="95" t="s">
        <v>18</v>
      </c>
      <c r="D12" s="95" t="s">
        <v>17</v>
      </c>
      <c r="E12" s="95" t="s">
        <v>18</v>
      </c>
      <c r="F12" s="95" t="s">
        <v>19</v>
      </c>
      <c r="G12" s="95" t="s">
        <v>20</v>
      </c>
      <c r="H12" s="95" t="s">
        <v>17</v>
      </c>
      <c r="I12" s="95" t="s">
        <v>18</v>
      </c>
      <c r="J12" s="110"/>
      <c r="K12" s="109"/>
    </row>
    <row r="13" spans="1:11">
      <c r="A13" s="96" t="s">
        <v>21</v>
      </c>
      <c r="B13" s="97"/>
      <c r="C13" s="97"/>
      <c r="D13" s="97"/>
      <c r="E13" s="97"/>
      <c r="F13" s="97"/>
      <c r="G13" s="97"/>
      <c r="H13" s="97"/>
      <c r="I13" s="97"/>
      <c r="J13" s="111"/>
      <c r="K13" s="112"/>
    </row>
    <row r="14" ht="28.5" customHeight="1" spans="1:10">
      <c r="A14" s="98" t="s">
        <v>22</v>
      </c>
      <c r="B14" s="29">
        <v>6.739</v>
      </c>
      <c r="C14" s="98">
        <v>6.739</v>
      </c>
      <c r="D14" s="98"/>
      <c r="E14" s="29"/>
      <c r="F14" s="29"/>
      <c r="G14" s="29"/>
      <c r="H14" s="99">
        <f>B14</f>
        <v>6.739</v>
      </c>
      <c r="I14" s="99">
        <f>C14</f>
        <v>6.739</v>
      </c>
      <c r="J14" s="99">
        <f>SUM(H14:I14)</f>
        <v>13.478</v>
      </c>
    </row>
    <row r="15" ht="17.25" customHeight="1" spans="1:10">
      <c r="A15" s="98" t="s">
        <v>23</v>
      </c>
      <c r="B15" s="29">
        <v>0.125</v>
      </c>
      <c r="C15" s="98">
        <v>0.125</v>
      </c>
      <c r="D15" s="98"/>
      <c r="E15" s="29"/>
      <c r="F15" s="29"/>
      <c r="G15" s="29"/>
      <c r="H15" s="99">
        <f>H14-F15-D15+B15</f>
        <v>6.864</v>
      </c>
      <c r="I15" s="99">
        <f>I14-E15+C15</f>
        <v>6.864</v>
      </c>
      <c r="J15" s="99">
        <f>SUM(H15:I15)</f>
        <v>13.728</v>
      </c>
    </row>
    <row r="16" ht="17.25" customHeight="1" spans="1:10">
      <c r="A16" s="98" t="s">
        <v>24</v>
      </c>
      <c r="B16" s="29"/>
      <c r="C16" s="98"/>
      <c r="D16" s="98"/>
      <c r="E16" s="29">
        <v>1</v>
      </c>
      <c r="F16" s="29"/>
      <c r="G16" s="29"/>
      <c r="H16" s="99">
        <f t="shared" ref="H16:H21" si="0">H15-F16-D16+B16</f>
        <v>6.864</v>
      </c>
      <c r="I16" s="99">
        <f t="shared" ref="I16:I21" si="1">I15-E16+C16</f>
        <v>5.864</v>
      </c>
      <c r="J16" s="99">
        <f t="shared" ref="J16:J21" si="2">SUM(H16:I16)</f>
        <v>12.728</v>
      </c>
    </row>
    <row r="17" ht="15.75" customHeight="1" spans="1:10">
      <c r="A17" s="98" t="s">
        <v>25</v>
      </c>
      <c r="B17" s="29">
        <v>1.25</v>
      </c>
      <c r="C17" s="98">
        <v>1.25</v>
      </c>
      <c r="D17" s="98"/>
      <c r="E17" s="29"/>
      <c r="F17" s="29"/>
      <c r="G17" s="29"/>
      <c r="H17" s="99">
        <f t="shared" si="0"/>
        <v>8.114</v>
      </c>
      <c r="I17" s="99">
        <f t="shared" si="1"/>
        <v>7.114</v>
      </c>
      <c r="J17" s="99">
        <f t="shared" si="2"/>
        <v>15.228</v>
      </c>
    </row>
    <row r="18" ht="15.75" customHeight="1" spans="1:10">
      <c r="A18" s="98" t="s">
        <v>26</v>
      </c>
      <c r="B18" s="29"/>
      <c r="C18" s="98"/>
      <c r="D18" s="98"/>
      <c r="E18" s="29"/>
      <c r="F18" s="30">
        <v>1</v>
      </c>
      <c r="G18" s="29"/>
      <c r="H18" s="99">
        <f t="shared" si="0"/>
        <v>7.114</v>
      </c>
      <c r="I18" s="99">
        <f t="shared" si="1"/>
        <v>7.114</v>
      </c>
      <c r="J18" s="99">
        <f t="shared" si="2"/>
        <v>14.228</v>
      </c>
    </row>
    <row r="19" ht="17.25" customHeight="1" spans="1:10">
      <c r="A19" s="98" t="s">
        <v>27</v>
      </c>
      <c r="B19" s="29"/>
      <c r="C19" s="98"/>
      <c r="D19" s="98"/>
      <c r="E19" s="29">
        <v>1</v>
      </c>
      <c r="F19" s="30"/>
      <c r="G19" s="29"/>
      <c r="H19" s="99">
        <f t="shared" si="0"/>
        <v>7.114</v>
      </c>
      <c r="I19" s="99">
        <f t="shared" si="1"/>
        <v>6.114</v>
      </c>
      <c r="J19" s="99">
        <f t="shared" si="2"/>
        <v>13.228</v>
      </c>
    </row>
    <row r="20" ht="17.25" customHeight="1" spans="1:10">
      <c r="A20" s="98" t="s">
        <v>28</v>
      </c>
      <c r="B20" s="29"/>
      <c r="C20" s="98"/>
      <c r="D20" s="98"/>
      <c r="E20" s="29"/>
      <c r="F20" s="30">
        <v>1</v>
      </c>
      <c r="G20" s="29"/>
      <c r="H20" s="99">
        <f t="shared" si="0"/>
        <v>6.114</v>
      </c>
      <c r="I20" s="99">
        <f t="shared" si="1"/>
        <v>6.114</v>
      </c>
      <c r="J20" s="99">
        <f t="shared" si="2"/>
        <v>12.228</v>
      </c>
    </row>
    <row r="21" ht="13.5" customHeight="1" spans="1:10">
      <c r="A21" s="98" t="s">
        <v>29</v>
      </c>
      <c r="B21" s="29">
        <v>5</v>
      </c>
      <c r="C21" s="98">
        <v>5</v>
      </c>
      <c r="D21" s="98"/>
      <c r="E21" s="29"/>
      <c r="F21" s="29"/>
      <c r="G21" s="29"/>
      <c r="H21" s="99">
        <f t="shared" si="0"/>
        <v>11.114</v>
      </c>
      <c r="I21" s="99">
        <f t="shared" si="1"/>
        <v>11.114</v>
      </c>
      <c r="J21" s="99">
        <f t="shared" si="2"/>
        <v>22.228</v>
      </c>
    </row>
    <row r="22" ht="15.75" customHeight="1" spans="1:10">
      <c r="A22" s="98" t="s">
        <v>30</v>
      </c>
      <c r="B22" s="29">
        <v>1.25</v>
      </c>
      <c r="C22" s="98">
        <v>1.25</v>
      </c>
      <c r="D22" s="98"/>
      <c r="E22" s="29"/>
      <c r="F22" s="29"/>
      <c r="G22" s="29"/>
      <c r="H22" s="99">
        <f t="shared" ref="H22:H27" si="3">H21-F22-D22+B22</f>
        <v>12.364</v>
      </c>
      <c r="I22" s="99">
        <f t="shared" ref="I22:I27" si="4">I21-E22+C22</f>
        <v>12.364</v>
      </c>
      <c r="J22" s="99">
        <f t="shared" ref="J22:J27" si="5">SUM(H22:I22)</f>
        <v>24.728</v>
      </c>
    </row>
    <row r="23" ht="15.75" customHeight="1" spans="1:10">
      <c r="A23" s="98" t="s">
        <v>31</v>
      </c>
      <c r="B23" s="29"/>
      <c r="C23" s="98"/>
      <c r="D23" s="98"/>
      <c r="E23" s="29">
        <v>1</v>
      </c>
      <c r="F23" s="29"/>
      <c r="G23" s="29"/>
      <c r="H23" s="99">
        <f t="shared" si="3"/>
        <v>12.364</v>
      </c>
      <c r="I23" s="99">
        <f t="shared" si="4"/>
        <v>11.364</v>
      </c>
      <c r="J23" s="99">
        <f t="shared" si="5"/>
        <v>23.728</v>
      </c>
    </row>
    <row r="24" ht="15" customHeight="1" spans="1:10">
      <c r="A24" s="98" t="s">
        <v>32</v>
      </c>
      <c r="B24" s="29">
        <v>1.25</v>
      </c>
      <c r="C24" s="98">
        <v>1.25</v>
      </c>
      <c r="D24" s="98"/>
      <c r="E24" s="29"/>
      <c r="F24" s="29"/>
      <c r="G24" s="29"/>
      <c r="H24" s="99">
        <f t="shared" si="3"/>
        <v>13.614</v>
      </c>
      <c r="I24" s="99">
        <f t="shared" si="4"/>
        <v>12.614</v>
      </c>
      <c r="J24" s="99">
        <f t="shared" si="5"/>
        <v>26.228</v>
      </c>
    </row>
    <row r="25" ht="14.25" customHeight="1" spans="1:10">
      <c r="A25" s="98" t="s">
        <v>33</v>
      </c>
      <c r="B25" s="29"/>
      <c r="C25" s="98"/>
      <c r="D25" s="98"/>
      <c r="E25" s="29">
        <v>1</v>
      </c>
      <c r="F25" s="29"/>
      <c r="G25" s="29"/>
      <c r="H25" s="99">
        <f t="shared" si="3"/>
        <v>13.614</v>
      </c>
      <c r="I25" s="99">
        <f t="shared" si="4"/>
        <v>11.614</v>
      </c>
      <c r="J25" s="99">
        <f t="shared" si="5"/>
        <v>25.228</v>
      </c>
    </row>
    <row r="26" ht="14.25" customHeight="1" spans="1:10">
      <c r="A26" s="98" t="s">
        <v>34</v>
      </c>
      <c r="B26" s="29">
        <v>1.25</v>
      </c>
      <c r="C26" s="98">
        <v>1.25</v>
      </c>
      <c r="D26" s="98"/>
      <c r="E26" s="29"/>
      <c r="F26" s="29"/>
      <c r="G26" s="29"/>
      <c r="H26" s="99">
        <f t="shared" si="3"/>
        <v>14.864</v>
      </c>
      <c r="I26" s="99">
        <f t="shared" si="4"/>
        <v>12.864</v>
      </c>
      <c r="J26" s="99">
        <f t="shared" si="5"/>
        <v>27.728</v>
      </c>
    </row>
    <row r="27" spans="1:10">
      <c r="A27" s="100" t="s">
        <v>35</v>
      </c>
      <c r="B27" s="100"/>
      <c r="C27" s="100"/>
      <c r="D27" s="100"/>
      <c r="E27" s="100">
        <v>1</v>
      </c>
      <c r="F27" s="30"/>
      <c r="G27" s="30"/>
      <c r="H27" s="99">
        <f t="shared" si="3"/>
        <v>14.864</v>
      </c>
      <c r="I27" s="99">
        <f t="shared" si="4"/>
        <v>11.864</v>
      </c>
      <c r="J27" s="99">
        <f t="shared" si="5"/>
        <v>26.728</v>
      </c>
    </row>
    <row r="28" spans="1:10">
      <c r="A28" s="100" t="s">
        <v>36</v>
      </c>
      <c r="B28" s="100">
        <v>3.75</v>
      </c>
      <c r="C28" s="100">
        <v>3.75</v>
      </c>
      <c r="D28" s="100"/>
      <c r="E28" s="100"/>
      <c r="F28" s="30"/>
      <c r="G28" s="30"/>
      <c r="H28" s="99">
        <f t="shared" ref="H28:H29" si="6">H27-F28-D28+B28</f>
        <v>18.614</v>
      </c>
      <c r="I28" s="99">
        <f t="shared" ref="I28:I29" si="7">I27-E28+C28</f>
        <v>15.614</v>
      </c>
      <c r="J28" s="99">
        <f t="shared" ref="J28:J29" si="8">SUM(H28:I28)</f>
        <v>34.228</v>
      </c>
    </row>
    <row r="29" spans="1:10">
      <c r="A29" s="100" t="s">
        <v>37</v>
      </c>
      <c r="B29" s="100"/>
      <c r="C29" s="100"/>
      <c r="D29" s="100">
        <v>10</v>
      </c>
      <c r="E29" s="100"/>
      <c r="F29" s="30"/>
      <c r="G29" s="30"/>
      <c r="H29" s="99">
        <f t="shared" si="6"/>
        <v>8.614</v>
      </c>
      <c r="I29" s="99">
        <f t="shared" si="7"/>
        <v>15.614</v>
      </c>
      <c r="J29" s="99">
        <f t="shared" si="8"/>
        <v>24.228</v>
      </c>
    </row>
    <row r="30" spans="1:10">
      <c r="A30" s="100" t="s">
        <v>38</v>
      </c>
      <c r="B30" s="100">
        <v>1.25</v>
      </c>
      <c r="C30" s="100">
        <v>1.25</v>
      </c>
      <c r="D30" s="100"/>
      <c r="E30" s="100"/>
      <c r="F30" s="30"/>
      <c r="G30" s="30"/>
      <c r="H30" s="99">
        <f t="shared" ref="H30:H31" si="9">H29-F30-D30+B30</f>
        <v>9.864</v>
      </c>
      <c r="I30" s="99">
        <f t="shared" ref="I30:I31" si="10">I29-E30+C30</f>
        <v>16.864</v>
      </c>
      <c r="J30" s="99">
        <f t="shared" ref="J30:J31" si="11">SUM(H30:I30)</f>
        <v>26.728</v>
      </c>
    </row>
    <row r="31" ht="18.75" customHeight="1" spans="1:10">
      <c r="A31" s="100" t="s">
        <v>39</v>
      </c>
      <c r="B31" s="100"/>
      <c r="C31" s="100"/>
      <c r="D31" s="100"/>
      <c r="E31" s="100">
        <v>1</v>
      </c>
      <c r="F31" s="30"/>
      <c r="G31" s="30"/>
      <c r="H31" s="99">
        <f t="shared" si="9"/>
        <v>9.864</v>
      </c>
      <c r="I31" s="99">
        <f t="shared" si="10"/>
        <v>15.864</v>
      </c>
      <c r="J31" s="99">
        <f t="shared" si="11"/>
        <v>25.728</v>
      </c>
    </row>
    <row r="32" ht="18.75" customHeight="1" spans="1:10">
      <c r="A32" s="100" t="s">
        <v>40</v>
      </c>
      <c r="B32" s="100"/>
      <c r="C32" s="100"/>
      <c r="D32" s="100"/>
      <c r="E32" s="100">
        <v>1</v>
      </c>
      <c r="F32" s="30"/>
      <c r="G32" s="30"/>
      <c r="H32" s="99">
        <f t="shared" ref="H32" si="12">H31-F32-D32+B32</f>
        <v>9.864</v>
      </c>
      <c r="I32" s="99">
        <f t="shared" ref="I32" si="13">I31-E32+C32</f>
        <v>14.864</v>
      </c>
      <c r="J32" s="99">
        <f t="shared" ref="J32" si="14">SUM(H32:I32)</f>
        <v>24.728</v>
      </c>
    </row>
    <row r="33" ht="18.75" customHeight="1" spans="1:10">
      <c r="A33" s="100" t="s">
        <v>41</v>
      </c>
      <c r="B33" s="100">
        <v>1.25</v>
      </c>
      <c r="C33" s="100">
        <v>1.25</v>
      </c>
      <c r="D33" s="100"/>
      <c r="E33" s="100"/>
      <c r="F33" s="30"/>
      <c r="G33" s="30"/>
      <c r="H33" s="99">
        <f t="shared" ref="H33:H34" si="15">H32-F33-D33+B33</f>
        <v>11.114</v>
      </c>
      <c r="I33" s="99">
        <f t="shared" ref="I33:I34" si="16">I32-E33+C33</f>
        <v>16.114</v>
      </c>
      <c r="J33" s="99">
        <f t="shared" ref="J33:J34" si="17">SUM(H33:I33)</f>
        <v>27.228</v>
      </c>
    </row>
    <row r="34" ht="18.75" customHeight="1" spans="1:10">
      <c r="A34" s="100" t="s">
        <v>42</v>
      </c>
      <c r="B34" s="100"/>
      <c r="C34" s="100"/>
      <c r="D34" s="100"/>
      <c r="E34" s="100">
        <v>1</v>
      </c>
      <c r="F34" s="30"/>
      <c r="G34" s="30"/>
      <c r="H34" s="99">
        <f t="shared" si="15"/>
        <v>11.114</v>
      </c>
      <c r="I34" s="99">
        <f t="shared" si="16"/>
        <v>15.114</v>
      </c>
      <c r="J34" s="99">
        <f t="shared" si="17"/>
        <v>26.228</v>
      </c>
    </row>
    <row r="35" ht="18.75" customHeight="1" spans="1:10">
      <c r="A35" s="100" t="s">
        <v>43</v>
      </c>
      <c r="B35" s="100">
        <v>1.25</v>
      </c>
      <c r="C35" s="100">
        <v>1.25</v>
      </c>
      <c r="D35" s="100"/>
      <c r="E35" s="100"/>
      <c r="F35" s="30"/>
      <c r="G35" s="30"/>
      <c r="H35" s="99">
        <f t="shared" ref="H35:H36" si="18">H34-F35-D35+B35</f>
        <v>12.364</v>
      </c>
      <c r="I35" s="99">
        <f t="shared" ref="I35:I36" si="19">I34-E35+C35</f>
        <v>16.364</v>
      </c>
      <c r="J35" s="99">
        <f t="shared" ref="J35:J36" si="20">SUM(H35:I35)</f>
        <v>28.728</v>
      </c>
    </row>
    <row r="36" ht="18.75" customHeight="1" spans="1:10">
      <c r="A36" s="100" t="s">
        <v>44</v>
      </c>
      <c r="B36" s="100"/>
      <c r="C36" s="100"/>
      <c r="D36" s="100"/>
      <c r="E36" s="100">
        <v>1</v>
      </c>
      <c r="F36" s="30"/>
      <c r="G36" s="30"/>
      <c r="H36" s="99">
        <f t="shared" si="18"/>
        <v>12.364</v>
      </c>
      <c r="I36" s="99">
        <f t="shared" si="19"/>
        <v>15.364</v>
      </c>
      <c r="J36" s="99">
        <f t="shared" si="20"/>
        <v>27.728</v>
      </c>
    </row>
    <row r="37" ht="16" customHeight="1" spans="1:10">
      <c r="A37" s="101" t="s">
        <v>45</v>
      </c>
      <c r="B37" s="101">
        <v>2.5</v>
      </c>
      <c r="C37" s="101">
        <v>2.5</v>
      </c>
      <c r="D37" s="101"/>
      <c r="E37" s="101"/>
      <c r="F37" s="102"/>
      <c r="G37" s="102"/>
      <c r="H37" s="99">
        <f>H36-F37-D37+B37</f>
        <v>14.864</v>
      </c>
      <c r="I37" s="99">
        <f>I36-E37+C37</f>
        <v>17.864</v>
      </c>
      <c r="J37" s="99">
        <f>SUM(H37:I37)</f>
        <v>32.728</v>
      </c>
    </row>
    <row r="38" ht="16" customHeight="1" spans="1:10">
      <c r="A38" s="101" t="s">
        <v>46</v>
      </c>
      <c r="B38" s="101"/>
      <c r="C38" s="101"/>
      <c r="D38" s="101"/>
      <c r="E38" s="101"/>
      <c r="F38" s="103">
        <v>3</v>
      </c>
      <c r="G38" s="102"/>
      <c r="H38" s="99">
        <f>H37-F38-D38+B38</f>
        <v>11.864</v>
      </c>
      <c r="I38" s="99">
        <f>I37-E38+C38</f>
        <v>17.864</v>
      </c>
      <c r="J38" s="99">
        <f>SUM(H38:I38)</f>
        <v>29.728</v>
      </c>
    </row>
    <row r="39" spans="8:10">
      <c r="H39" s="104"/>
      <c r="I39" s="104"/>
      <c r="J39" s="104"/>
    </row>
    <row r="43" spans="6:6">
      <c r="F43" s="84" t="s">
        <v>47</v>
      </c>
    </row>
  </sheetData>
  <mergeCells count="14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3:J13"/>
    <mergeCell ref="A11:A12"/>
    <mergeCell ref="J11:J12"/>
    <mergeCell ref="K11:K12"/>
  </mergeCells>
  <printOptions horizontalCentered="1"/>
  <pageMargins left="0.236220472440945" right="0.236220472440945" top="0.236220472440945" bottom="0.236220472440945" header="0.31496062992126" footer="0.31496062992126"/>
  <pageSetup paperSize="9" scale="70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view="pageBreakPreview" zoomScaleNormal="100" workbookViewId="0">
      <selection activeCell="K20" sqref="K20"/>
    </sheetView>
  </sheetViews>
  <sheetFormatPr defaultColWidth="9" defaultRowHeight="14.4" outlineLevelCol="5"/>
  <cols>
    <col min="1" max="1" width="23.5740740740741" style="53" customWidth="1"/>
    <col min="2" max="2" width="18.8518518518519" style="53" customWidth="1"/>
    <col min="3" max="3" width="35" style="54" customWidth="1"/>
    <col min="4" max="4" width="11.712962962963" style="55" customWidth="1"/>
    <col min="5" max="5" width="11" style="53" customWidth="1"/>
    <col min="6" max="6" width="11.8518518518519" style="55" customWidth="1"/>
    <col min="7" max="16384" width="9" style="53"/>
  </cols>
  <sheetData>
    <row r="1" s="50" customFormat="1" ht="52.5" customHeight="1" spans="5:5">
      <c r="E1" s="56"/>
    </row>
    <row r="2" s="50" customFormat="1" ht="10.5" customHeight="1" spans="1:6">
      <c r="A2" s="57" t="s">
        <v>0</v>
      </c>
      <c r="B2" s="57"/>
      <c r="C2" s="57"/>
      <c r="D2" s="57"/>
      <c r="E2" s="57"/>
      <c r="F2" s="57"/>
    </row>
    <row r="3" s="50" customFormat="1" ht="15.95" customHeight="1" spans="1:6">
      <c r="A3" s="57" t="s">
        <v>1</v>
      </c>
      <c r="B3" s="57"/>
      <c r="C3" s="57"/>
      <c r="D3" s="57"/>
      <c r="E3" s="57"/>
      <c r="F3" s="57"/>
    </row>
    <row r="4" s="50" customFormat="1" ht="15.95" customHeight="1" spans="1:6">
      <c r="A4" s="57" t="s">
        <v>48</v>
      </c>
      <c r="B4" s="57"/>
      <c r="C4" s="57"/>
      <c r="D4" s="57"/>
      <c r="E4" s="57"/>
      <c r="F4" s="57"/>
    </row>
    <row r="5" s="50" customFormat="1" ht="15.95" customHeight="1" spans="1:6">
      <c r="A5" s="57" t="s">
        <v>3</v>
      </c>
      <c r="B5" s="57"/>
      <c r="C5" s="57"/>
      <c r="D5" s="57"/>
      <c r="E5" s="57"/>
      <c r="F5" s="57"/>
    </row>
    <row r="6" s="50" customFormat="1" ht="8.25" customHeight="1" spans="5:5">
      <c r="E6" s="56"/>
    </row>
    <row r="7" s="50" customFormat="1" ht="8.25" customHeight="1" spans="5:5">
      <c r="E7" s="56"/>
    </row>
    <row r="8" s="50" customFormat="1" ht="17.25" customHeight="1" spans="1:6">
      <c r="A8" s="58" t="s">
        <v>49</v>
      </c>
      <c r="B8" s="58"/>
      <c r="C8" s="58" t="s">
        <v>50</v>
      </c>
      <c r="D8" s="59"/>
      <c r="E8" s="58" t="s">
        <v>51</v>
      </c>
      <c r="F8" s="59"/>
    </row>
    <row r="9" s="50" customFormat="1" ht="12" customHeight="1" spans="1:6">
      <c r="A9" s="60"/>
      <c r="B9" s="60"/>
      <c r="C9" s="61"/>
      <c r="E9" s="58" t="s">
        <v>52</v>
      </c>
      <c r="F9" s="62"/>
    </row>
    <row r="10" s="50" customFormat="1" ht="14.25" customHeight="1" spans="1:6">
      <c r="A10" s="58" t="s">
        <v>53</v>
      </c>
      <c r="B10" s="58"/>
      <c r="C10" s="58" t="s">
        <v>54</v>
      </c>
      <c r="D10" s="59"/>
      <c r="E10" s="58" t="s">
        <v>55</v>
      </c>
      <c r="F10" s="59"/>
    </row>
    <row r="11" s="50" customFormat="1" ht="12" customHeight="1" spans="1:6">
      <c r="A11" s="63"/>
      <c r="B11" s="63"/>
      <c r="C11" s="63"/>
      <c r="F11" s="59"/>
    </row>
    <row r="12" ht="23.25" customHeight="1" spans="1:6">
      <c r="A12" s="64" t="s">
        <v>56</v>
      </c>
      <c r="B12" s="65"/>
      <c r="C12" s="65"/>
      <c r="D12" s="65"/>
      <c r="E12" s="65"/>
      <c r="F12" s="65"/>
    </row>
    <row r="13" s="51" customFormat="1" ht="37.5" customHeight="1" spans="1:6">
      <c r="A13" s="66" t="s">
        <v>57</v>
      </c>
      <c r="B13" s="67" t="s">
        <v>58</v>
      </c>
      <c r="C13" s="68" t="s">
        <v>59</v>
      </c>
      <c r="D13" s="68" t="s">
        <v>60</v>
      </c>
      <c r="E13" s="69" t="s">
        <v>61</v>
      </c>
      <c r="F13" s="69" t="s">
        <v>62</v>
      </c>
    </row>
    <row r="14" s="51" customFormat="1" ht="15.75" customHeight="1" spans="1:6">
      <c r="A14" s="70" t="s">
        <v>63</v>
      </c>
      <c r="B14" s="71" t="s">
        <v>64</v>
      </c>
      <c r="C14" s="72" t="s">
        <v>65</v>
      </c>
      <c r="D14" s="73">
        <v>5</v>
      </c>
      <c r="E14" s="74">
        <v>0</v>
      </c>
      <c r="F14" s="74">
        <v>5</v>
      </c>
    </row>
    <row r="15" s="51" customFormat="1" ht="21.75" customHeight="1" spans="1:6">
      <c r="A15" s="75" t="s">
        <v>66</v>
      </c>
      <c r="B15" s="76" t="s">
        <v>67</v>
      </c>
      <c r="C15" s="72" t="s">
        <v>68</v>
      </c>
      <c r="D15" s="73">
        <v>5</v>
      </c>
      <c r="E15" s="74">
        <v>0</v>
      </c>
      <c r="F15" s="74">
        <v>5</v>
      </c>
    </row>
    <row r="16" s="51" customFormat="1" ht="38.25" customHeight="1" spans="1:6">
      <c r="A16" s="75" t="s">
        <v>69</v>
      </c>
      <c r="B16" s="76" t="s">
        <v>70</v>
      </c>
      <c r="C16" s="72" t="s">
        <v>71</v>
      </c>
      <c r="D16" s="73">
        <v>2</v>
      </c>
      <c r="E16" s="77">
        <v>0</v>
      </c>
      <c r="F16" s="77">
        <v>2</v>
      </c>
    </row>
    <row r="17" s="52" customFormat="1" ht="28.5" customHeight="1" spans="1:6">
      <c r="A17" s="78" t="s">
        <v>72</v>
      </c>
      <c r="B17" s="78" t="s">
        <v>73</v>
      </c>
      <c r="C17" s="72" t="s">
        <v>74</v>
      </c>
      <c r="D17" s="79">
        <v>5</v>
      </c>
      <c r="E17" s="79">
        <v>0</v>
      </c>
      <c r="F17" s="79">
        <v>5</v>
      </c>
    </row>
    <row r="18" s="52" customFormat="1" ht="18.75" customHeight="1" spans="1:6">
      <c r="A18" s="78" t="s">
        <v>75</v>
      </c>
      <c r="B18" s="78" t="s">
        <v>76</v>
      </c>
      <c r="C18" s="72" t="s">
        <v>77</v>
      </c>
      <c r="D18" s="79">
        <v>14</v>
      </c>
      <c r="E18" s="79">
        <v>0</v>
      </c>
      <c r="F18" s="79">
        <v>14</v>
      </c>
    </row>
    <row r="19" s="52" customFormat="1" ht="15.6" spans="1:6">
      <c r="A19" s="80" t="s">
        <v>15</v>
      </c>
      <c r="B19" s="81"/>
      <c r="C19" s="81"/>
      <c r="D19" s="82" t="s">
        <v>78</v>
      </c>
      <c r="E19" s="82"/>
      <c r="F19" s="82"/>
    </row>
    <row r="20" s="50" customFormat="1" ht="75.75" customHeight="1" spans="1:2">
      <c r="A20" s="83"/>
      <c r="B20" s="83"/>
    </row>
    <row r="21" s="50" customFormat="1"/>
    <row r="22" s="50" customFormat="1"/>
  </sheetData>
  <mergeCells count="7">
    <mergeCell ref="A2:F2"/>
    <mergeCell ref="A3:F3"/>
    <mergeCell ref="A4:F4"/>
    <mergeCell ref="A5:F5"/>
    <mergeCell ref="A12:F12"/>
    <mergeCell ref="A19:C19"/>
    <mergeCell ref="D19:F19"/>
  </mergeCells>
  <pageMargins left="0.25" right="0.25" top="0.75" bottom="0.75" header="0.3" footer="0.3"/>
  <pageSetup paperSize="9" scale="9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topLeftCell="A9" workbookViewId="0">
      <selection activeCell="B29" sqref="B29:E29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18" style="1" customWidth="1"/>
    <col min="6" max="6" width="10.8518518518519" style="3" customWidth="1"/>
    <col min="7" max="7" width="9.71296296296296" style="4" customWidth="1"/>
    <col min="8" max="8" width="10.8518518518519" customWidth="1"/>
    <col min="9" max="9" width="9.71296296296296" style="1" customWidth="1"/>
    <col min="10" max="10" width="10" style="3" customWidth="1"/>
    <col min="11" max="11" width="8.71296296296296" style="4"/>
    <col min="12" max="12" width="7.57407407407407" customWidth="1"/>
  </cols>
  <sheetData>
    <row r="1" spans="1:13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  <c r="M1" s="5"/>
    </row>
    <row r="2" spans="1:13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  <c r="M2" s="5"/>
    </row>
    <row r="3" spans="1:13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  <c r="M3" s="5"/>
    </row>
    <row r="4" spans="1:13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  <c r="M4" s="5"/>
    </row>
    <row r="5" spans="1:13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5"/>
    </row>
    <row r="6" spans="1:13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5"/>
    </row>
    <row r="7" spans="1:13">
      <c r="A7" s="9" t="s">
        <v>48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5"/>
    </row>
    <row r="8" spans="1:13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5"/>
    </row>
    <row r="9" spans="1:13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  <c r="M9" s="5"/>
    </row>
    <row r="10" spans="1:13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  <c r="M10" s="5"/>
    </row>
    <row r="11" spans="1:13">
      <c r="A11" s="10" t="s">
        <v>79</v>
      </c>
      <c r="B11" s="11"/>
      <c r="C11" s="12" t="s">
        <v>80</v>
      </c>
      <c r="D11" s="12"/>
      <c r="E11" s="12"/>
      <c r="F11" s="12"/>
      <c r="G11" s="12"/>
      <c r="H11" s="5"/>
      <c r="I11" s="12" t="s">
        <v>81</v>
      </c>
      <c r="J11" s="12"/>
      <c r="K11" s="12"/>
      <c r="L11" s="11"/>
      <c r="M11" s="5"/>
    </row>
    <row r="12" spans="1:13">
      <c r="A12" s="5"/>
      <c r="B12" s="13"/>
      <c r="C12" s="12" t="s">
        <v>82</v>
      </c>
      <c r="D12" s="12"/>
      <c r="E12" s="12"/>
      <c r="F12" s="12"/>
      <c r="G12" s="12"/>
      <c r="H12" s="5"/>
      <c r="I12" s="41" t="s">
        <v>83</v>
      </c>
      <c r="J12" s="41"/>
      <c r="K12" s="41"/>
      <c r="L12" s="13"/>
      <c r="M12" s="5"/>
    </row>
    <row r="13" spans="1:13">
      <c r="A13" s="11" t="s">
        <v>84</v>
      </c>
      <c r="B13" s="11"/>
      <c r="C13" s="14"/>
      <c r="D13" s="13"/>
      <c r="E13" s="13"/>
      <c r="F13" s="5"/>
      <c r="G13" s="5"/>
      <c r="H13" s="5"/>
      <c r="I13" s="12" t="s">
        <v>85</v>
      </c>
      <c r="J13" s="12"/>
      <c r="K13" s="12"/>
      <c r="L13" s="11"/>
      <c r="M13" s="5"/>
    </row>
    <row r="14" ht="21" spans="1:12">
      <c r="A14" s="15" t="s">
        <v>86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3">
      <c r="A15" s="16" t="s">
        <v>11</v>
      </c>
      <c r="B15" s="17" t="s">
        <v>12</v>
      </c>
      <c r="C15" s="18"/>
      <c r="D15" s="18"/>
      <c r="E15" s="18"/>
      <c r="F15" s="18"/>
      <c r="G15" s="18"/>
      <c r="H15" s="18"/>
      <c r="I15" s="18"/>
      <c r="J15" s="18"/>
      <c r="K15" s="18"/>
      <c r="L15" s="42" t="s">
        <v>15</v>
      </c>
      <c r="M15" s="43"/>
    </row>
    <row r="16" spans="1:13">
      <c r="A16" s="19"/>
      <c r="B16" s="20" t="s">
        <v>87</v>
      </c>
      <c r="C16" s="21"/>
      <c r="D16" s="21"/>
      <c r="E16" s="22"/>
      <c r="F16" s="20" t="s">
        <v>60</v>
      </c>
      <c r="G16" s="22"/>
      <c r="H16" s="20" t="s">
        <v>61</v>
      </c>
      <c r="I16" s="22"/>
      <c r="J16" s="20" t="s">
        <v>62</v>
      </c>
      <c r="K16" s="22"/>
      <c r="L16" s="44"/>
      <c r="M16" s="43"/>
    </row>
    <row r="17" ht="22.5" customHeight="1" spans="1:13">
      <c r="A17" s="23" t="s">
        <v>88</v>
      </c>
      <c r="B17" s="24" t="s">
        <v>89</v>
      </c>
      <c r="C17" s="25"/>
      <c r="D17" s="25"/>
      <c r="E17" s="26"/>
      <c r="F17" s="27">
        <v>10</v>
      </c>
      <c r="G17" s="28"/>
      <c r="H17" s="27">
        <v>0</v>
      </c>
      <c r="I17" s="28"/>
      <c r="J17" s="27">
        <v>10</v>
      </c>
      <c r="K17" s="28"/>
      <c r="L17" s="45">
        <v>10</v>
      </c>
      <c r="M17" s="43"/>
    </row>
    <row r="18" ht="22.5" customHeight="1" spans="1:13">
      <c r="A18" s="29" t="s">
        <v>90</v>
      </c>
      <c r="B18" s="24" t="s">
        <v>89</v>
      </c>
      <c r="C18" s="25"/>
      <c r="D18" s="25"/>
      <c r="E18" s="26"/>
      <c r="F18" s="27"/>
      <c r="G18" s="28"/>
      <c r="H18" s="27">
        <v>1</v>
      </c>
      <c r="I18" s="28"/>
      <c r="J18" s="27">
        <v>9</v>
      </c>
      <c r="K18" s="28"/>
      <c r="L18" s="45">
        <v>9</v>
      </c>
      <c r="M18" s="43"/>
    </row>
    <row r="19" ht="22.5" customHeight="1" spans="1:13">
      <c r="A19" s="29" t="s">
        <v>91</v>
      </c>
      <c r="B19" s="24" t="s">
        <v>89</v>
      </c>
      <c r="C19" s="25"/>
      <c r="D19" s="25"/>
      <c r="E19" s="26"/>
      <c r="F19" s="27"/>
      <c r="G19" s="28"/>
      <c r="H19" s="27">
        <v>2</v>
      </c>
      <c r="I19" s="28"/>
      <c r="J19" s="27">
        <v>7</v>
      </c>
      <c r="K19" s="28"/>
      <c r="L19" s="45">
        <v>7</v>
      </c>
      <c r="M19" s="43"/>
    </row>
    <row r="20" ht="22.5" customHeight="1" spans="1:13">
      <c r="A20" s="30" t="s">
        <v>92</v>
      </c>
      <c r="B20" s="31" t="s">
        <v>89</v>
      </c>
      <c r="C20" s="32"/>
      <c r="D20" s="32"/>
      <c r="E20" s="33"/>
      <c r="F20" s="34"/>
      <c r="G20" s="35"/>
      <c r="H20" s="34">
        <v>1</v>
      </c>
      <c r="I20" s="35"/>
      <c r="J20" s="34">
        <v>6</v>
      </c>
      <c r="K20" s="35"/>
      <c r="L20" s="46">
        <v>6</v>
      </c>
      <c r="M20" s="43"/>
    </row>
    <row r="21" ht="22.5" customHeight="1" spans="1:13">
      <c r="A21" s="29" t="s">
        <v>93</v>
      </c>
      <c r="B21" s="24" t="s">
        <v>94</v>
      </c>
      <c r="C21" s="25"/>
      <c r="D21" s="25"/>
      <c r="E21" s="26"/>
      <c r="F21" s="27">
        <v>11</v>
      </c>
      <c r="G21" s="28"/>
      <c r="H21" s="27">
        <v>0</v>
      </c>
      <c r="I21" s="28"/>
      <c r="J21" s="27">
        <v>11</v>
      </c>
      <c r="K21" s="28"/>
      <c r="L21" s="45">
        <v>11</v>
      </c>
      <c r="M21" s="43"/>
    </row>
    <row r="22" ht="22.5" customHeight="1" spans="1:13">
      <c r="A22" s="29" t="s">
        <v>95</v>
      </c>
      <c r="B22" s="24" t="s">
        <v>94</v>
      </c>
      <c r="C22" s="25"/>
      <c r="D22" s="25"/>
      <c r="E22" s="26"/>
      <c r="F22" s="27"/>
      <c r="G22" s="28"/>
      <c r="H22" s="27">
        <v>1</v>
      </c>
      <c r="I22" s="28"/>
      <c r="J22" s="27">
        <v>10</v>
      </c>
      <c r="K22" s="28"/>
      <c r="L22" s="45">
        <v>10</v>
      </c>
      <c r="M22" s="43"/>
    </row>
    <row r="23" ht="22.5" customHeight="1" spans="1:13">
      <c r="A23" s="29" t="s">
        <v>96</v>
      </c>
      <c r="B23" s="24" t="s">
        <v>94</v>
      </c>
      <c r="C23" s="25"/>
      <c r="D23" s="25"/>
      <c r="E23" s="26"/>
      <c r="F23" s="27"/>
      <c r="G23" s="28"/>
      <c r="H23" s="27">
        <v>1</v>
      </c>
      <c r="I23" s="28"/>
      <c r="J23" s="27">
        <v>9</v>
      </c>
      <c r="K23" s="28"/>
      <c r="L23" s="46">
        <v>9</v>
      </c>
      <c r="M23" s="43"/>
    </row>
    <row r="24" ht="22.5" customHeight="1" spans="1:13">
      <c r="A24" s="29" t="s">
        <v>97</v>
      </c>
      <c r="B24" s="24" t="s">
        <v>94</v>
      </c>
      <c r="C24" s="25"/>
      <c r="D24" s="25"/>
      <c r="E24" s="26"/>
      <c r="F24" s="27"/>
      <c r="G24" s="28"/>
      <c r="H24" s="27">
        <v>1</v>
      </c>
      <c r="I24" s="28"/>
      <c r="J24" s="27">
        <v>8</v>
      </c>
      <c r="K24" s="28"/>
      <c r="L24" s="46">
        <v>8</v>
      </c>
      <c r="M24" s="43"/>
    </row>
    <row r="25" ht="22.5" customHeight="1" spans="1:13">
      <c r="A25" s="29" t="s">
        <v>98</v>
      </c>
      <c r="B25" s="24" t="s">
        <v>94</v>
      </c>
      <c r="C25" s="25"/>
      <c r="D25" s="25"/>
      <c r="E25" s="26"/>
      <c r="F25" s="27"/>
      <c r="G25" s="28"/>
      <c r="H25" s="27">
        <v>1</v>
      </c>
      <c r="I25" s="28"/>
      <c r="J25" s="27">
        <v>7</v>
      </c>
      <c r="K25" s="28"/>
      <c r="L25" s="46">
        <v>7</v>
      </c>
      <c r="M25" s="43"/>
    </row>
    <row r="26" ht="22.5" customHeight="1" spans="1:13">
      <c r="A26" s="29" t="s">
        <v>99</v>
      </c>
      <c r="B26" s="24" t="s">
        <v>94</v>
      </c>
      <c r="C26" s="25"/>
      <c r="D26" s="25"/>
      <c r="E26" s="26"/>
      <c r="F26" s="27"/>
      <c r="G26" s="28"/>
      <c r="H26" s="27">
        <v>1</v>
      </c>
      <c r="I26" s="28"/>
      <c r="J26" s="27">
        <v>6</v>
      </c>
      <c r="K26" s="28"/>
      <c r="L26" s="46">
        <v>6</v>
      </c>
      <c r="M26" s="43"/>
    </row>
    <row r="27" ht="22.5" customHeight="1" spans="1:13">
      <c r="A27" s="29" t="s">
        <v>100</v>
      </c>
      <c r="B27" s="24" t="s">
        <v>94</v>
      </c>
      <c r="C27" s="25"/>
      <c r="D27" s="25"/>
      <c r="E27" s="26"/>
      <c r="F27" s="27"/>
      <c r="G27" s="28"/>
      <c r="H27" s="27">
        <v>2</v>
      </c>
      <c r="I27" s="28"/>
      <c r="J27" s="27">
        <v>4</v>
      </c>
      <c r="K27" s="28"/>
      <c r="L27" s="46">
        <v>4</v>
      </c>
      <c r="M27" s="43"/>
    </row>
    <row r="28" ht="22.5" customHeight="1" spans="1:13">
      <c r="A28" s="29" t="s">
        <v>101</v>
      </c>
      <c r="B28" s="24" t="s">
        <v>94</v>
      </c>
      <c r="C28" s="25"/>
      <c r="D28" s="25"/>
      <c r="E28" s="26"/>
      <c r="F28" s="27"/>
      <c r="G28" s="28"/>
      <c r="H28" s="27">
        <v>2</v>
      </c>
      <c r="I28" s="28"/>
      <c r="J28" s="27">
        <v>2</v>
      </c>
      <c r="K28" s="28"/>
      <c r="L28" s="46">
        <v>2</v>
      </c>
      <c r="M28" s="43"/>
    </row>
    <row r="29" ht="22.5" customHeight="1" spans="1:13">
      <c r="A29" s="29" t="s">
        <v>102</v>
      </c>
      <c r="B29" s="24" t="s">
        <v>94</v>
      </c>
      <c r="C29" s="25"/>
      <c r="D29" s="25"/>
      <c r="E29" s="26"/>
      <c r="F29" s="27"/>
      <c r="G29" s="28"/>
      <c r="H29" s="27">
        <v>1</v>
      </c>
      <c r="I29" s="28"/>
      <c r="J29" s="27">
        <v>1</v>
      </c>
      <c r="K29" s="28"/>
      <c r="L29" s="46">
        <v>1</v>
      </c>
      <c r="M29" s="43"/>
    </row>
    <row r="30" ht="22.5" customHeight="1" spans="1:13">
      <c r="A30" s="29" t="s">
        <v>103</v>
      </c>
      <c r="B30" s="24" t="s">
        <v>94</v>
      </c>
      <c r="C30" s="25"/>
      <c r="D30" s="25"/>
      <c r="E30" s="26"/>
      <c r="F30" s="27"/>
      <c r="G30" s="28"/>
      <c r="H30" s="27">
        <v>1</v>
      </c>
      <c r="I30" s="28"/>
      <c r="J30" s="27">
        <v>0</v>
      </c>
      <c r="K30" s="28"/>
      <c r="L30" s="47">
        <v>0</v>
      </c>
      <c r="M30" s="43"/>
    </row>
    <row r="31" ht="22.5" customHeight="1" spans="1:13">
      <c r="A31" s="29" t="s">
        <v>104</v>
      </c>
      <c r="B31" s="24" t="s">
        <v>105</v>
      </c>
      <c r="C31" s="25"/>
      <c r="D31" s="25"/>
      <c r="E31" s="26"/>
      <c r="F31" s="27">
        <v>1</v>
      </c>
      <c r="G31" s="28"/>
      <c r="H31" s="27">
        <v>0</v>
      </c>
      <c r="I31" s="28"/>
      <c r="J31" s="27">
        <v>1</v>
      </c>
      <c r="K31" s="28"/>
      <c r="L31" s="46">
        <v>1</v>
      </c>
      <c r="M31" s="43"/>
    </row>
    <row r="32" ht="22.5" customHeight="1" spans="1:13">
      <c r="A32" s="29" t="s">
        <v>106</v>
      </c>
      <c r="B32" s="24" t="s">
        <v>105</v>
      </c>
      <c r="C32" s="25"/>
      <c r="D32" s="25"/>
      <c r="E32" s="26"/>
      <c r="F32" s="27"/>
      <c r="G32" s="28"/>
      <c r="H32" s="27">
        <v>1</v>
      </c>
      <c r="I32" s="28"/>
      <c r="J32" s="27">
        <v>0</v>
      </c>
      <c r="K32" s="28"/>
      <c r="L32" s="47">
        <v>0</v>
      </c>
      <c r="M32" s="43"/>
    </row>
    <row r="33" spans="1:13">
      <c r="A33" s="36" t="s">
        <v>107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48"/>
      <c r="M33" s="49"/>
    </row>
    <row r="34" spans="1:1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</row>
    <row r="35" spans="1:13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5"/>
      <c r="B36" s="5"/>
      <c r="C36" s="8"/>
      <c r="D36" s="5"/>
      <c r="E36" s="5"/>
      <c r="F36" s="5"/>
      <c r="G36" s="5"/>
      <c r="H36" s="39" t="s">
        <v>108</v>
      </c>
      <c r="I36" s="5"/>
      <c r="J36" s="5"/>
      <c r="K36" s="5"/>
      <c r="L36" s="5"/>
      <c r="M36" s="5"/>
    </row>
    <row r="37" spans="2:12">
      <c r="B37" s="8"/>
      <c r="C37" s="5"/>
      <c r="D37" s="5"/>
      <c r="E37" s="5"/>
      <c r="F37" s="5"/>
      <c r="G37" s="5"/>
      <c r="H37" s="40" t="s">
        <v>109</v>
      </c>
      <c r="I37" s="5"/>
      <c r="J37" s="5"/>
      <c r="K37" s="5"/>
      <c r="L37" s="5"/>
    </row>
    <row r="38" spans="2:12">
      <c r="B38" s="8"/>
      <c r="C38" s="5"/>
      <c r="D38" s="5"/>
      <c r="E38" s="5"/>
      <c r="F38" s="5"/>
      <c r="G38" s="5"/>
      <c r="H38" s="40" t="s">
        <v>110</v>
      </c>
      <c r="I38" s="5"/>
      <c r="J38" s="5"/>
      <c r="K38" s="5"/>
      <c r="L38" s="5"/>
    </row>
    <row r="39" spans="2:12">
      <c r="B39" s="8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3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>
      <c r="A45" s="5"/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>
      <c r="A46" s="5"/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>
      <c r="A47" s="5"/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>
      <c r="A48" s="5"/>
      <c r="B48" s="5"/>
      <c r="C48" s="8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>
      <c r="A49" s="5"/>
      <c r="B49" s="5"/>
      <c r="C49" s="8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>
      <c r="A50" s="5"/>
      <c r="B50" s="5"/>
      <c r="C50" s="8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>
      <c r="A51" s="5"/>
      <c r="B51" s="5"/>
      <c r="C51" s="8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>
      <c r="A52" s="5"/>
      <c r="B52" s="5"/>
      <c r="C52" s="8"/>
      <c r="D52" s="5"/>
      <c r="E52" s="5"/>
      <c r="F52" s="5"/>
      <c r="G52" s="5"/>
      <c r="H52" s="5"/>
      <c r="I52" s="5"/>
      <c r="J52" s="5"/>
      <c r="K52" s="5"/>
      <c r="L52" s="5"/>
      <c r="M52" s="5"/>
    </row>
  </sheetData>
  <mergeCells count="82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B31:E31"/>
    <mergeCell ref="F31:G31"/>
    <mergeCell ref="H31:I31"/>
    <mergeCell ref="J31:K31"/>
    <mergeCell ref="B32:E32"/>
    <mergeCell ref="F32:G32"/>
    <mergeCell ref="H32:I32"/>
    <mergeCell ref="J32:K32"/>
    <mergeCell ref="A34:L34"/>
    <mergeCell ref="A15:A16"/>
    <mergeCell ref="L15:L16"/>
  </mergeCells>
  <pageMargins left="0.7" right="0.7" top="0.75" bottom="0.75" header="0.3" footer="0.3"/>
  <pageSetup paperSize="9" scale="9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as TIC</vt:lpstr>
      <vt:lpstr>Election &amp; NLC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jennifer mamugay</cp:lastModifiedBy>
  <dcterms:created xsi:type="dcterms:W3CDTF">2022-11-24T07:01:00Z</dcterms:created>
  <cp:lastPrinted>2025-10-29T06:21:00Z</cp:lastPrinted>
  <dcterms:modified xsi:type="dcterms:W3CDTF">2026-01-01T03:20:11Z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1B3FD743658345C3837F504EA6B074B7_12</vt:lpwstr>
  </property>
  <property fmtid="{D5CDD505-2E9C-101B-9397-08002B2CF9AE}" pid="3" name="KSOProductBuildVer">
    <vt:lpwstr>1033-12.2.0.23196</vt:lpwstr>
  </property>
</Properties>
</file>