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FA35343-C8C1-4144-8584-24A20CFD58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" sheetId="1" r:id="rId1"/>
    <sheet name="OTHER TYPES OF LE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3" i="1"/>
  <c r="B41" i="1"/>
  <c r="B36" i="1" l="1"/>
  <c r="B34" i="1"/>
  <c r="B30" i="1"/>
  <c r="B28" i="1"/>
  <c r="B22" i="1"/>
  <c r="I17" i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l="1"/>
  <c r="H29" i="1" s="1"/>
  <c r="H30" i="1" s="1"/>
  <c r="H31" i="1" s="1"/>
  <c r="H32" i="1" s="1"/>
  <c r="H33" i="1" s="1"/>
  <c r="H34" i="1" s="1"/>
  <c r="J34" i="1" s="1"/>
  <c r="J18" i="1"/>
  <c r="J21" i="1"/>
  <c r="J17" i="1"/>
  <c r="J19" i="1"/>
  <c r="H35" i="1" l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J25" i="1"/>
  <c r="J23" i="1"/>
  <c r="J20" i="1"/>
  <c r="J26" i="1"/>
  <c r="J22" i="1"/>
  <c r="J24" i="1"/>
  <c r="J27" i="1"/>
  <c r="H50" i="1" l="1"/>
  <c r="J49" i="1"/>
  <c r="J35" i="1"/>
  <c r="J48" i="1"/>
  <c r="J36" i="1"/>
  <c r="J28" i="1"/>
  <c r="J50" i="1" l="1"/>
  <c r="H51" i="1"/>
  <c r="J37" i="1"/>
  <c r="J29" i="1"/>
  <c r="H52" i="1" l="1"/>
  <c r="J51" i="1"/>
  <c r="J38" i="1"/>
  <c r="J52" i="1" l="1"/>
  <c r="H53" i="1"/>
  <c r="J39" i="1"/>
  <c r="J30" i="1"/>
  <c r="H54" i="1" l="1"/>
  <c r="J53" i="1"/>
  <c r="J40" i="1"/>
  <c r="J31" i="1"/>
  <c r="H55" i="1" l="1"/>
  <c r="J54" i="1"/>
  <c r="J41" i="1"/>
  <c r="J32" i="1"/>
  <c r="J33" i="1"/>
  <c r="J55" i="1" l="1"/>
  <c r="H56" i="1"/>
  <c r="J42" i="1"/>
  <c r="J56" i="1" l="1"/>
  <c r="H57" i="1"/>
  <c r="J43" i="1"/>
  <c r="J57" i="1" l="1"/>
  <c r="H58" i="1"/>
  <c r="J58" i="1" s="1"/>
  <c r="J44" i="1"/>
  <c r="J45" i="1" l="1"/>
  <c r="J46" i="1" l="1"/>
  <c r="J47" i="1" l="1"/>
</calcChain>
</file>

<file path=xl/sharedStrings.xml><?xml version="1.0" encoding="utf-8"?>
<sst xmlns="http://schemas.openxmlformats.org/spreadsheetml/2006/main" count="96" uniqueCount="86">
  <si>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</si>
  <si>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</si>
  <si>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</si>
  <si>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</si>
  <si>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</si>
  <si>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</si>
  <si>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</si>
  <si>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</si>
  <si>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</si>
  <si>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</si>
  <si>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</si>
  <si>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</si>
  <si>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</si>
  <si>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</si>
  <si>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</si>
  <si>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</si>
  <si>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</si>
  <si>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</si>
  <si>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</si>
  <si>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</si>
  <si>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APPOINTMENT: AUGUST 01, 2017</t>
  </si>
  <si>
    <t>ADD: 08/01/2017-12/31/2017</t>
  </si>
  <si>
    <t>ADD: 01/01/2018-12/31/2018</t>
  </si>
  <si>
    <t>LESS: FL 2018</t>
  </si>
  <si>
    <t>ADD: 01/01/2019-12/31/2019</t>
  </si>
  <si>
    <t>LESS: FL 2019</t>
  </si>
  <si>
    <t>ADD:01/01/2020-06/30/2020</t>
  </si>
  <si>
    <t>ADD:07/01/2020-12/31/2020</t>
  </si>
  <si>
    <t>LESS: FL 2020</t>
  </si>
  <si>
    <t>ADD: 01/01/2021-9/30/2021</t>
  </si>
  <si>
    <t>LESS: FL 2021</t>
  </si>
  <si>
    <t>ADD: 10/01/2021-12/31/2021</t>
  </si>
  <si>
    <t>ADD:01/01/2022-03/31/2022</t>
  </si>
  <si>
    <t>LESS: 04/26-27/2022</t>
  </si>
  <si>
    <t>ADD:04/01/2022-8/31/2022</t>
  </si>
  <si>
    <t>ADD: 09/01/2022-10/31/2022</t>
  </si>
  <si>
    <t>LESS: 11/15/2022</t>
  </si>
  <si>
    <t>ADD: 11/01/2022-11/30/2022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</si>
  <si>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</si>
  <si>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</si>
  <si>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</si>
  <si>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</si>
  <si>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</si>
  <si>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</si>
  <si>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</si>
  <si>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</si>
  <si>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</si>
  <si>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</si>
  <si>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</si>
  <si>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</si>
  <si>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</si>
  <si>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</si>
  <si>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</si>
  <si>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</si>
  <si>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</si>
  <si>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</si>
  <si>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12/01-02,5-6/2022</t>
  </si>
  <si>
    <t>LESS: 12/26,27,28/2022</t>
  </si>
  <si>
    <t>ADD:12/01/2022-12/31/2022</t>
  </si>
  <si>
    <t>LESS: FL 2022</t>
  </si>
  <si>
    <t>ADD:01/01/2023-03/31/2023</t>
  </si>
  <si>
    <t>LESS:04/27-28/2023</t>
  </si>
  <si>
    <t>ADD:04/01/2023-06/30/2023</t>
  </si>
  <si>
    <t>LESS:07/19-20/2023</t>
  </si>
  <si>
    <t>LESS:07/21/2023</t>
  </si>
  <si>
    <t>ADD:07/01/2023-08/31/2023</t>
  </si>
  <si>
    <t>LESS:08/14-15/2023</t>
  </si>
  <si>
    <t>LESS: 10/12-13/2023</t>
  </si>
  <si>
    <t>LESS: 11/06-10/2023</t>
  </si>
  <si>
    <t>ADD: 11/01/2023-11/30/2023</t>
  </si>
  <si>
    <t>LESS: 12/28/2023</t>
  </si>
  <si>
    <t>ADD: 12/01/2023-12/31/2023</t>
  </si>
  <si>
    <t>LESS: 01/4-5/2024</t>
  </si>
  <si>
    <t>LESS: 01/10-12/2024</t>
  </si>
  <si>
    <t>LESS: FEB.22-23, 26-29, MAR.1, 2024</t>
  </si>
  <si>
    <t>ADD: 01/01/2024-03/31/2024</t>
  </si>
  <si>
    <t>LESS: 03/11-27/2024</t>
  </si>
  <si>
    <t>LESS: 04/1-19/2024</t>
  </si>
  <si>
    <t>ADD: 09/01/2023 - 10/31/2023</t>
  </si>
  <si>
    <t>ADD: 04/1/2024-10/31/2024</t>
  </si>
  <si>
    <t>LESS: MARCH 2020</t>
  </si>
  <si>
    <t>LESS: FEBRUARY 2020</t>
  </si>
  <si>
    <t>LESS:  MONETIZATION 2021</t>
  </si>
  <si>
    <t>LESS:   MONETIZATION 2020</t>
  </si>
  <si>
    <t>LESS: MONETIZATION 2022</t>
  </si>
  <si>
    <t>LESS:MONETIZATION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</si>
</sst>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1" applyFill="1"/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wrapText="1"/>
    </xf>
    <xf numFmtId="0" fontId="1" fillId="2" borderId="0" xfId="1" applyFill="1" applyAlignment="1">
      <alignment horizontal="center"/>
    </xf>
    <xf numFmtId="0" fontId="2" fillId="2" borderId="0" xfId="1" applyFont="1" applyFill="1" applyAlignment="1">
      <alignment vertic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1" fillId="0" borderId="0" xfId="1"/>
    <xf numFmtId="0" fontId="4" fillId="10" borderId="13" xfId="1" applyFont="1" applyFill="1" applyBorder="1" applyAlignment="1">
      <alignment horizontal="center" vertical="center"/>
    </xf>
    <xf numFmtId="0" fontId="8" fillId="11" borderId="8" xfId="1" applyFont="1" applyFill="1" applyBorder="1" applyAlignment="1">
      <alignment horizontal="center" vertical="center" wrapText="1"/>
    </xf>
    <xf numFmtId="0" fontId="4" fillId="10" borderId="9" xfId="1" applyFont="1" applyFill="1" applyBorder="1" applyAlignment="1">
      <alignment horizontal="center" vertical="center"/>
    </xf>
    <xf numFmtId="0" fontId="9" fillId="0" borderId="0" xfId="1" applyFont="1"/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7" fillId="0" borderId="0" xfId="1" applyFont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0" xfId="1" applyBorder="1" applyAlignment="1">
      <alignment vertical="center"/>
    </xf>
    <xf numFmtId="164" fontId="1" fillId="2" borderId="8" xfId="1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vertical="center"/>
    </xf>
    <xf numFmtId="164" fontId="6" fillId="0" borderId="8" xfId="0" applyNumberFormat="1" applyFont="1" applyBorder="1" applyAlignment="1">
      <alignment horizontal="center" wrapText="1"/>
    </xf>
    <xf numFmtId="164" fontId="6" fillId="2" borderId="8" xfId="0" applyNumberFormat="1" applyFont="1" applyFill="1" applyBorder="1" applyAlignment="1">
      <alignment horizont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/>
    </xf>
    <xf numFmtId="164" fontId="5" fillId="2" borderId="8" xfId="0" applyNumberFormat="1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" fillId="2" borderId="16" xfId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59</xdr:row>
      <xdr:rowOff>104775</xdr:rowOff>
    </xdr:from>
    <xdr:to>
      <xdr:col>10</xdr:col>
      <xdr:colOff>542925</xdr:colOff>
      <xdr:row>65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EFF1B-2DE9-446F-BE23-A915B4B01A1C}"/>
            </a:ext>
          </a:extLst>
        </xdr:cNvPr>
        <xdr:cNvSpPr txBox="1"/>
      </xdr:nvSpPr>
      <xdr:spPr>
        <a:xfrm>
          <a:off x="5610225" y="11753850"/>
          <a:ext cx="3695700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704850</xdr:colOff>
      <xdr:row>0</xdr:row>
      <xdr:rowOff>111124</xdr:rowOff>
    </xdr:from>
    <xdr:to>
      <xdr:col>3</xdr:col>
      <xdr:colOff>632069</xdr:colOff>
      <xdr:row>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2D5A2-D452-42D7-8BB9-19FE88EF8A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01624"/>
          <a:ext cx="698744" cy="6604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526317</xdr:colOff>
      <xdr:row>8</xdr:row>
      <xdr:rowOff>113811</xdr:rowOff>
    </xdr:from>
    <xdr:to>
      <xdr:col>0</xdr:col>
      <xdr:colOff>2182691</xdr:colOff>
      <xdr:row>10</xdr:row>
      <xdr:rowOff>58860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45A6B8-957D-4F1E-BDFD-DF5575E4C00D}"/>
            </a:ext>
          </a:extLst>
        </xdr:cNvPr>
        <xdr:cNvSpPr txBox="1"/>
      </xdr:nvSpPr>
      <xdr:spPr>
        <a:xfrm>
          <a:off x="526317" y="1828311"/>
          <a:ext cx="1656374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MAHILUM,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RHEA MAE T.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11E043-7C55-4898-8BF3-C7C255792982}"/>
            </a:ext>
          </a:extLst>
        </xdr:cNvPr>
        <xdr:cNvSpPr txBox="1"/>
      </xdr:nvSpPr>
      <xdr:spPr>
        <a:xfrm>
          <a:off x="616683" y="1718407"/>
          <a:ext cx="193259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</a:t>
          </a:r>
          <a:r>
            <a:rPr lang="en-US" sz="1100" baseline="0"/>
            <a:t> 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10</xdr:row>
      <xdr:rowOff>50800</xdr:rowOff>
    </xdr:from>
    <xdr:to>
      <xdr:col>4</xdr:col>
      <xdr:colOff>438149</xdr:colOff>
      <xdr:row>11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4036FF-DBE8-44CF-9C10-4863858A4737}"/>
            </a:ext>
          </a:extLst>
        </xdr:cNvPr>
        <xdr:cNvSpPr txBox="1"/>
      </xdr:nvSpPr>
      <xdr:spPr>
        <a:xfrm>
          <a:off x="3739417" y="1708150"/>
          <a:ext cx="1566007" cy="242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CALAT-AN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218037</xdr:colOff>
      <xdr:row>0</xdr:row>
      <xdr:rowOff>143069</xdr:rowOff>
    </xdr:from>
    <xdr:to>
      <xdr:col>5</xdr:col>
      <xdr:colOff>274021</xdr:colOff>
      <xdr:row>4</xdr:row>
      <xdr:rowOff>6739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8EDB0-450B-4B75-A163-206FDB141C5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42312" y="143069"/>
          <a:ext cx="69415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0A3FF8-1754-402D-8343-8153BEB541C2}"/>
            </a:ext>
          </a:extLst>
        </xdr:cNvPr>
        <xdr:cNvSpPr txBox="1"/>
      </xdr:nvSpPr>
      <xdr:spPr>
        <a:xfrm>
          <a:off x="76200" y="4810125"/>
          <a:ext cx="29051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8</xdr:row>
      <xdr:rowOff>77755</xdr:rowOff>
    </xdr:from>
    <xdr:to>
      <xdr:col>2</xdr:col>
      <xdr:colOff>95250</xdr:colOff>
      <xdr:row>10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C97FFA-612E-4DE8-BC20-8F4C573BE357}"/>
            </a:ext>
          </a:extLst>
        </xdr:cNvPr>
        <xdr:cNvSpPr txBox="1"/>
      </xdr:nvSpPr>
      <xdr:spPr>
        <a:xfrm>
          <a:off x="777551" y="1030255"/>
          <a:ext cx="1765624" cy="41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MAHILUM,</a:t>
          </a:r>
          <a:r>
            <a:rPr lang="en-US" sz="1100" baseline="0"/>
            <a:t> RHEA MAE T.</a:t>
          </a:r>
          <a:endParaRPr lang="en-US" sz="1100"/>
        </a:p>
      </xdr:txBody>
    </xdr:sp>
    <xdr:clientData/>
  </xdr:twoCellAnchor>
  <xdr:twoCellAnchor>
    <xdr:from>
      <xdr:col>0</xdr:col>
      <xdr:colOff>751632</xdr:colOff>
      <xdr:row>11</xdr:row>
      <xdr:rowOff>38877</xdr:rowOff>
    </xdr:from>
    <xdr:to>
      <xdr:col>1</xdr:col>
      <xdr:colOff>213827</xdr:colOff>
      <xdr:row>12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F7442E-C00F-46DB-8B5B-DE02A970BABE}"/>
            </a:ext>
          </a:extLst>
        </xdr:cNvPr>
        <xdr:cNvSpPr txBox="1"/>
      </xdr:nvSpPr>
      <xdr:spPr>
        <a:xfrm>
          <a:off x="751632" y="1801002"/>
          <a:ext cx="1271945" cy="230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</a:t>
          </a:r>
        </a:p>
      </xdr:txBody>
    </xdr:sp>
    <xdr:clientData/>
  </xdr:twoCellAnchor>
  <xdr:twoCellAnchor>
    <xdr:from>
      <xdr:col>3</xdr:col>
      <xdr:colOff>498928</xdr:colOff>
      <xdr:row>10</xdr:row>
      <xdr:rowOff>97194</xdr:rowOff>
    </xdr:from>
    <xdr:to>
      <xdr:col>6</xdr:col>
      <xdr:colOff>9843</xdr:colOff>
      <xdr:row>12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4EC0F3-6BB6-48CB-9CE5-C74C87513F2F}"/>
            </a:ext>
          </a:extLst>
        </xdr:cNvPr>
        <xdr:cNvSpPr txBox="1"/>
      </xdr:nvSpPr>
      <xdr:spPr>
        <a:xfrm>
          <a:off x="3585028" y="1706919"/>
          <a:ext cx="1425440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CALAT-AN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7"/>
  <sheetViews>
    <sheetView topLeftCell="A40" workbookViewId="0">
      <selection activeCell="D61" sqref="D61"/>
    </sheetView>
  </sheetViews>
  <sheetFormatPr defaultRowHeight="15" x14ac:dyDescent="0.25"/>
  <cols>
    <col min="1" max="1" width="33.42578125" style="38" customWidth="1"/>
    <col min="2" max="2" width="11.5703125" style="10" customWidth="1"/>
    <col min="3" max="3" width="11.5703125" style="11" customWidth="1"/>
    <col min="4" max="4" width="9.85546875" style="10" customWidth="1"/>
    <col min="5" max="5" width="10.28515625" style="11" customWidth="1"/>
    <col min="6" max="6" width="9.85546875" style="12" customWidth="1"/>
    <col min="7" max="7" width="10.5703125" customWidth="1"/>
    <col min="8" max="8" width="11.5703125" style="10" customWidth="1"/>
    <col min="9" max="9" width="11.5703125" style="11" customWidth="1"/>
    <col min="10" max="10" width="11.140625" customWidth="1"/>
  </cols>
  <sheetData>
    <row r="1" spans="1:10" x14ac:dyDescent="0.25">
      <c r="A1" s="37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37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7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7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1"/>
    </row>
    <row r="6" spans="1:10" x14ac:dyDescent="0.25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1"/>
    </row>
    <row r="7" spans="1:10" x14ac:dyDescent="0.25">
      <c r="A7" s="51" t="s">
        <v>2</v>
      </c>
      <c r="B7" s="51"/>
      <c r="C7" s="51"/>
      <c r="D7" s="51"/>
      <c r="E7" s="51"/>
      <c r="F7" s="51"/>
      <c r="G7" s="51"/>
      <c r="H7" s="51"/>
      <c r="I7" s="51"/>
      <c r="J7" s="1"/>
    </row>
    <row r="8" spans="1:10" x14ac:dyDescent="0.25">
      <c r="A8" s="51" t="s">
        <v>3</v>
      </c>
      <c r="B8" s="51"/>
      <c r="C8" s="51"/>
      <c r="D8" s="51"/>
      <c r="E8" s="51"/>
      <c r="F8" s="51"/>
      <c r="G8" s="51"/>
      <c r="H8" s="51"/>
      <c r="I8" s="51"/>
      <c r="J8" s="1"/>
    </row>
    <row r="9" spans="1:10" x14ac:dyDescent="0.25">
      <c r="A9" s="37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37" t="s">
        <v>4</v>
      </c>
      <c r="B10" s="2" t="s">
        <v>5</v>
      </c>
      <c r="C10" s="2"/>
      <c r="D10" s="1"/>
      <c r="E10" s="1"/>
      <c r="F10" s="1"/>
      <c r="G10" s="2" t="s">
        <v>6</v>
      </c>
      <c r="H10" s="3"/>
      <c r="I10" s="2"/>
      <c r="J10" s="1"/>
    </row>
    <row r="11" spans="1:10" x14ac:dyDescent="0.25">
      <c r="A11" s="37"/>
      <c r="B11" s="4"/>
      <c r="C11" s="4"/>
      <c r="D11" s="1"/>
      <c r="E11" s="1"/>
      <c r="F11" s="1"/>
      <c r="G11" s="4"/>
      <c r="H11" s="4"/>
      <c r="I11" s="4"/>
      <c r="J11" s="1"/>
    </row>
    <row r="12" spans="1:10" x14ac:dyDescent="0.25">
      <c r="A12" s="37" t="s">
        <v>7</v>
      </c>
      <c r="B12" s="2" t="s">
        <v>8</v>
      </c>
      <c r="C12" s="2"/>
      <c r="D12" s="1"/>
      <c r="E12" s="1"/>
      <c r="F12" s="1"/>
      <c r="G12" s="2" t="s">
        <v>9</v>
      </c>
      <c r="H12" s="5"/>
      <c r="I12" s="2"/>
      <c r="J12" s="1"/>
    </row>
    <row r="13" spans="1:10" ht="21.75" thickBot="1" x14ac:dyDescent="0.3">
      <c r="A13" s="52" t="s">
        <v>10</v>
      </c>
      <c r="B13" s="52"/>
      <c r="C13" s="52"/>
      <c r="D13" s="52"/>
      <c r="E13" s="52"/>
      <c r="F13" s="52"/>
      <c r="G13" s="52"/>
      <c r="H13" s="52"/>
      <c r="I13" s="52"/>
      <c r="J13" s="52"/>
    </row>
    <row r="14" spans="1:10" x14ac:dyDescent="0.25">
      <c r="A14" s="53" t="s">
        <v>11</v>
      </c>
      <c r="B14" s="55" t="s">
        <v>12</v>
      </c>
      <c r="C14" s="56"/>
      <c r="D14" s="57" t="s">
        <v>13</v>
      </c>
      <c r="E14" s="58"/>
      <c r="F14" s="58"/>
      <c r="G14" s="58"/>
      <c r="H14" s="59" t="s">
        <v>14</v>
      </c>
      <c r="I14" s="60"/>
      <c r="J14" s="61" t="s">
        <v>15</v>
      </c>
    </row>
    <row r="15" spans="1:10" ht="24" x14ac:dyDescent="0.25">
      <c r="A15" s="54"/>
      <c r="B15" s="6" t="s">
        <v>16</v>
      </c>
      <c r="C15" s="7" t="s">
        <v>17</v>
      </c>
      <c r="D15" s="6" t="s">
        <v>16</v>
      </c>
      <c r="E15" s="7" t="s">
        <v>17</v>
      </c>
      <c r="F15" s="8" t="s">
        <v>18</v>
      </c>
      <c r="G15" s="9" t="s">
        <v>19</v>
      </c>
      <c r="H15" s="6" t="s">
        <v>16</v>
      </c>
      <c r="I15" s="7" t="s">
        <v>17</v>
      </c>
      <c r="J15" s="62"/>
    </row>
    <row r="16" spans="1:10" ht="15.75" x14ac:dyDescent="0.25">
      <c r="A16" s="47" t="s">
        <v>20</v>
      </c>
      <c r="B16" s="48"/>
      <c r="C16" s="48"/>
      <c r="D16" s="48"/>
      <c r="E16" s="48"/>
      <c r="F16" s="48"/>
      <c r="G16" s="48"/>
      <c r="H16" s="48"/>
      <c r="I16" s="48"/>
      <c r="J16" s="49"/>
    </row>
    <row r="17" spans="1:10" ht="15.75" x14ac:dyDescent="0.25">
      <c r="A17" s="39" t="s">
        <v>21</v>
      </c>
      <c r="B17" s="39">
        <v>6.25</v>
      </c>
      <c r="C17" s="39">
        <v>6.25</v>
      </c>
      <c r="D17" s="39"/>
      <c r="E17" s="39"/>
      <c r="F17" s="39"/>
      <c r="G17" s="42"/>
      <c r="H17" s="45">
        <f>B17</f>
        <v>6.25</v>
      </c>
      <c r="I17" s="45">
        <f>C17</f>
        <v>6.25</v>
      </c>
      <c r="J17" s="46">
        <f>SUM(H17:I17)</f>
        <v>12.5</v>
      </c>
    </row>
    <row r="18" spans="1:10" ht="15.75" x14ac:dyDescent="0.25">
      <c r="A18" s="39" t="s">
        <v>22</v>
      </c>
      <c r="B18" s="39">
        <v>15</v>
      </c>
      <c r="C18" s="39">
        <v>15</v>
      </c>
      <c r="D18" s="39"/>
      <c r="E18" s="39"/>
      <c r="F18" s="39"/>
      <c r="G18" s="42"/>
      <c r="H18" s="45">
        <f>H17-F18-D18+B18</f>
        <v>21.25</v>
      </c>
      <c r="I18" s="45">
        <f>I17-E18+C18</f>
        <v>21.25</v>
      </c>
      <c r="J18" s="46">
        <f t="shared" ref="J18:J47" si="0">SUM(H18:I18)</f>
        <v>42.5</v>
      </c>
    </row>
    <row r="19" spans="1:10" ht="15.75" x14ac:dyDescent="0.25">
      <c r="A19" s="39" t="s">
        <v>23</v>
      </c>
      <c r="B19" s="39"/>
      <c r="C19" s="39"/>
      <c r="D19" s="39"/>
      <c r="E19" s="39"/>
      <c r="F19" s="39">
        <v>5</v>
      </c>
      <c r="G19" s="42"/>
      <c r="H19" s="45">
        <f t="shared" ref="H19:H47" si="1">H18-F19-D19+B19</f>
        <v>16.25</v>
      </c>
      <c r="I19" s="45">
        <f t="shared" ref="I19:I47" si="2">I18-E19+C19</f>
        <v>21.25</v>
      </c>
      <c r="J19" s="46">
        <f t="shared" si="0"/>
        <v>37.5</v>
      </c>
    </row>
    <row r="20" spans="1:10" ht="15.75" x14ac:dyDescent="0.25">
      <c r="A20" s="39" t="s">
        <v>24</v>
      </c>
      <c r="B20" s="39">
        <v>15</v>
      </c>
      <c r="C20" s="39">
        <v>15</v>
      </c>
      <c r="D20" s="39"/>
      <c r="E20" s="39"/>
      <c r="F20" s="39"/>
      <c r="G20" s="42"/>
      <c r="H20" s="45">
        <f t="shared" si="1"/>
        <v>31.25</v>
      </c>
      <c r="I20" s="45">
        <f t="shared" si="2"/>
        <v>36.25</v>
      </c>
      <c r="J20" s="46">
        <f t="shared" si="0"/>
        <v>67.5</v>
      </c>
    </row>
    <row r="21" spans="1:10" ht="15.75" x14ac:dyDescent="0.25">
      <c r="A21" s="39" t="s">
        <v>25</v>
      </c>
      <c r="B21" s="39"/>
      <c r="C21" s="39"/>
      <c r="D21" s="39"/>
      <c r="E21" s="39"/>
      <c r="F21" s="39">
        <v>5</v>
      </c>
      <c r="G21" s="42"/>
      <c r="H21" s="45">
        <f t="shared" si="1"/>
        <v>26.25</v>
      </c>
      <c r="I21" s="45">
        <f t="shared" si="2"/>
        <v>36.25</v>
      </c>
      <c r="J21" s="46">
        <f t="shared" si="0"/>
        <v>62.5</v>
      </c>
    </row>
    <row r="22" spans="1:10" ht="15.75" x14ac:dyDescent="0.25">
      <c r="A22" s="39" t="s">
        <v>26</v>
      </c>
      <c r="B22" s="39">
        <f>1.25*6</f>
        <v>7.5</v>
      </c>
      <c r="C22" s="39">
        <v>7.5</v>
      </c>
      <c r="D22" s="39"/>
      <c r="E22" s="39"/>
      <c r="F22" s="39"/>
      <c r="G22" s="42"/>
      <c r="H22" s="45">
        <f t="shared" si="1"/>
        <v>33.75</v>
      </c>
      <c r="I22" s="45">
        <f t="shared" si="2"/>
        <v>43.75</v>
      </c>
      <c r="J22" s="46">
        <f t="shared" si="0"/>
        <v>77.5</v>
      </c>
    </row>
    <row r="23" spans="1:10" ht="15.75" x14ac:dyDescent="0.25">
      <c r="A23" s="43" t="s">
        <v>81</v>
      </c>
      <c r="B23" s="39"/>
      <c r="C23" s="39"/>
      <c r="D23" s="39"/>
      <c r="E23" s="39">
        <v>10</v>
      </c>
      <c r="F23" s="39"/>
      <c r="G23" s="42"/>
      <c r="H23" s="45">
        <f t="shared" si="1"/>
        <v>33.75</v>
      </c>
      <c r="I23" s="45">
        <f t="shared" si="2"/>
        <v>33.75</v>
      </c>
      <c r="J23" s="46">
        <f t="shared" si="0"/>
        <v>67.5</v>
      </c>
    </row>
    <row r="24" spans="1:10" ht="15.75" x14ac:dyDescent="0.25">
      <c r="A24" s="39" t="s">
        <v>80</v>
      </c>
      <c r="B24" s="39"/>
      <c r="C24" s="39"/>
      <c r="D24" s="39"/>
      <c r="E24" s="39">
        <v>10</v>
      </c>
      <c r="F24" s="39"/>
      <c r="G24" s="42"/>
      <c r="H24" s="45">
        <f t="shared" si="1"/>
        <v>33.75</v>
      </c>
      <c r="I24" s="45">
        <f t="shared" si="2"/>
        <v>23.75</v>
      </c>
      <c r="J24" s="46">
        <f t="shared" si="0"/>
        <v>57.5</v>
      </c>
    </row>
    <row r="25" spans="1:10" ht="15.75" x14ac:dyDescent="0.25">
      <c r="A25" s="43" t="s">
        <v>27</v>
      </c>
      <c r="B25" s="39">
        <v>7.5</v>
      </c>
      <c r="C25" s="39">
        <v>7.5</v>
      </c>
      <c r="D25" s="39"/>
      <c r="E25" s="39"/>
      <c r="F25" s="39"/>
      <c r="G25" s="42"/>
      <c r="H25" s="45">
        <f t="shared" si="1"/>
        <v>41.25</v>
      </c>
      <c r="I25" s="45">
        <f t="shared" si="2"/>
        <v>31.25</v>
      </c>
      <c r="J25" s="46">
        <f t="shared" si="0"/>
        <v>72.5</v>
      </c>
    </row>
    <row r="26" spans="1:10" ht="15.75" x14ac:dyDescent="0.25">
      <c r="A26" s="39" t="s">
        <v>28</v>
      </c>
      <c r="B26" s="39"/>
      <c r="C26" s="39"/>
      <c r="D26" s="39"/>
      <c r="E26" s="39"/>
      <c r="F26" s="39">
        <v>5</v>
      </c>
      <c r="G26" s="42"/>
      <c r="H26" s="45">
        <f t="shared" si="1"/>
        <v>36.25</v>
      </c>
      <c r="I26" s="45">
        <f t="shared" si="2"/>
        <v>31.25</v>
      </c>
      <c r="J26" s="46">
        <f t="shared" si="0"/>
        <v>67.5</v>
      </c>
    </row>
    <row r="27" spans="1:10" ht="15.75" x14ac:dyDescent="0.25">
      <c r="A27" s="39" t="s">
        <v>83</v>
      </c>
      <c r="B27" s="39"/>
      <c r="C27" s="39"/>
      <c r="D27" s="39">
        <v>8</v>
      </c>
      <c r="E27" s="39"/>
      <c r="F27" s="39"/>
      <c r="G27" s="42"/>
      <c r="H27" s="45">
        <f t="shared" si="1"/>
        <v>28.25</v>
      </c>
      <c r="I27" s="45">
        <f t="shared" si="2"/>
        <v>31.25</v>
      </c>
      <c r="J27" s="46">
        <f t="shared" si="0"/>
        <v>59.5</v>
      </c>
    </row>
    <row r="28" spans="1:10" ht="15.75" x14ac:dyDescent="0.25">
      <c r="A28" s="43" t="s">
        <v>29</v>
      </c>
      <c r="B28" s="39">
        <f>9*1.25</f>
        <v>11.25</v>
      </c>
      <c r="C28" s="39">
        <v>11.25</v>
      </c>
      <c r="D28" s="39"/>
      <c r="E28" s="39"/>
      <c r="F28" s="39"/>
      <c r="G28" s="42"/>
      <c r="H28" s="45">
        <f t="shared" si="1"/>
        <v>39.5</v>
      </c>
      <c r="I28" s="45">
        <f t="shared" si="2"/>
        <v>42.5</v>
      </c>
      <c r="J28" s="46">
        <f t="shared" si="0"/>
        <v>82</v>
      </c>
    </row>
    <row r="29" spans="1:10" ht="15.75" x14ac:dyDescent="0.25">
      <c r="A29" s="39" t="s">
        <v>82</v>
      </c>
      <c r="B29" s="39"/>
      <c r="C29" s="39"/>
      <c r="D29" s="39">
        <v>29</v>
      </c>
      <c r="E29" s="39"/>
      <c r="F29" s="39"/>
      <c r="G29" s="42"/>
      <c r="H29" s="45">
        <f t="shared" si="1"/>
        <v>10.5</v>
      </c>
      <c r="I29" s="45">
        <f t="shared" si="2"/>
        <v>42.5</v>
      </c>
      <c r="J29" s="46">
        <f t="shared" si="0"/>
        <v>53</v>
      </c>
    </row>
    <row r="30" spans="1:10" ht="15.75" x14ac:dyDescent="0.25">
      <c r="A30" s="43" t="s">
        <v>31</v>
      </c>
      <c r="B30" s="39">
        <f>1.25*3</f>
        <v>3.75</v>
      </c>
      <c r="C30" s="39">
        <v>3.75</v>
      </c>
      <c r="D30" s="39"/>
      <c r="E30" s="39"/>
      <c r="F30" s="39"/>
      <c r="G30" s="42"/>
      <c r="H30" s="45">
        <f t="shared" si="1"/>
        <v>14.25</v>
      </c>
      <c r="I30" s="45">
        <f t="shared" si="2"/>
        <v>46.25</v>
      </c>
      <c r="J30" s="46">
        <f t="shared" si="0"/>
        <v>60.5</v>
      </c>
    </row>
    <row r="31" spans="1:10" ht="15.75" x14ac:dyDescent="0.25">
      <c r="A31" s="39" t="s">
        <v>30</v>
      </c>
      <c r="B31" s="39"/>
      <c r="C31" s="39"/>
      <c r="D31" s="39"/>
      <c r="E31" s="39"/>
      <c r="F31" s="39">
        <v>5</v>
      </c>
      <c r="G31" s="42"/>
      <c r="H31" s="45">
        <f t="shared" si="1"/>
        <v>9.25</v>
      </c>
      <c r="I31" s="45">
        <f t="shared" si="2"/>
        <v>46.25</v>
      </c>
      <c r="J31" s="46">
        <f t="shared" si="0"/>
        <v>55.5</v>
      </c>
    </row>
    <row r="32" spans="1:10" ht="15.75" x14ac:dyDescent="0.25">
      <c r="A32" s="43" t="s">
        <v>32</v>
      </c>
      <c r="B32" s="39">
        <v>3.75</v>
      </c>
      <c r="C32" s="39">
        <v>3.75</v>
      </c>
      <c r="D32" s="39"/>
      <c r="E32" s="39"/>
      <c r="F32" s="39"/>
      <c r="G32" s="42"/>
      <c r="H32" s="45">
        <f t="shared" si="1"/>
        <v>13</v>
      </c>
      <c r="I32" s="45">
        <f t="shared" si="2"/>
        <v>50</v>
      </c>
      <c r="J32" s="46">
        <f t="shared" si="0"/>
        <v>63</v>
      </c>
    </row>
    <row r="33" spans="1:10" ht="15.75" x14ac:dyDescent="0.25">
      <c r="A33" s="43" t="s">
        <v>33</v>
      </c>
      <c r="B33" s="39"/>
      <c r="C33" s="39"/>
      <c r="D33" s="39"/>
      <c r="E33" s="39"/>
      <c r="F33" s="39">
        <v>2</v>
      </c>
      <c r="G33" s="42"/>
      <c r="H33" s="45">
        <f t="shared" si="1"/>
        <v>11</v>
      </c>
      <c r="I33" s="45">
        <f t="shared" si="2"/>
        <v>50</v>
      </c>
      <c r="J33" s="46">
        <f t="shared" si="0"/>
        <v>61</v>
      </c>
    </row>
    <row r="34" spans="1:10" ht="15.75" x14ac:dyDescent="0.25">
      <c r="A34" s="43" t="s">
        <v>34</v>
      </c>
      <c r="B34" s="39">
        <f>1.25*5</f>
        <v>6.25</v>
      </c>
      <c r="C34" s="39">
        <v>6.25</v>
      </c>
      <c r="D34" s="39"/>
      <c r="E34" s="39"/>
      <c r="F34" s="39"/>
      <c r="G34" s="42"/>
      <c r="H34" s="45">
        <f t="shared" si="1"/>
        <v>17.25</v>
      </c>
      <c r="I34" s="45">
        <f t="shared" si="2"/>
        <v>56.25</v>
      </c>
      <c r="J34" s="46">
        <f t="shared" si="0"/>
        <v>73.5</v>
      </c>
    </row>
    <row r="35" spans="1:10" ht="15.75" x14ac:dyDescent="0.25">
      <c r="A35" s="43" t="s">
        <v>84</v>
      </c>
      <c r="B35" s="39"/>
      <c r="C35" s="39"/>
      <c r="D35" s="39">
        <v>10</v>
      </c>
      <c r="E35" s="39">
        <v>19</v>
      </c>
      <c r="F35" s="39"/>
      <c r="G35" s="42"/>
      <c r="H35" s="45">
        <f t="shared" si="1"/>
        <v>7.25</v>
      </c>
      <c r="I35" s="45">
        <f t="shared" si="2"/>
        <v>37.25</v>
      </c>
      <c r="J35" s="46">
        <f t="shared" si="0"/>
        <v>44.5</v>
      </c>
    </row>
    <row r="36" spans="1:10" ht="15.75" x14ac:dyDescent="0.25">
      <c r="A36" s="43" t="s">
        <v>35</v>
      </c>
      <c r="B36" s="39">
        <f>1.25*2</f>
        <v>2.5</v>
      </c>
      <c r="C36" s="39">
        <v>2.5</v>
      </c>
      <c r="D36" s="39"/>
      <c r="E36" s="39"/>
      <c r="F36" s="39"/>
      <c r="G36" s="42"/>
      <c r="H36" s="45">
        <f t="shared" si="1"/>
        <v>9.75</v>
      </c>
      <c r="I36" s="45">
        <f t="shared" si="2"/>
        <v>39.75</v>
      </c>
      <c r="J36" s="46">
        <f t="shared" si="0"/>
        <v>49.5</v>
      </c>
    </row>
    <row r="37" spans="1:10" ht="15.75" x14ac:dyDescent="0.25">
      <c r="A37" s="43" t="s">
        <v>36</v>
      </c>
      <c r="B37" s="39"/>
      <c r="C37" s="39"/>
      <c r="D37" s="39"/>
      <c r="E37" s="39"/>
      <c r="F37" s="39"/>
      <c r="G37" s="42">
        <v>1</v>
      </c>
      <c r="H37" s="45">
        <f t="shared" si="1"/>
        <v>9.75</v>
      </c>
      <c r="I37" s="45">
        <f t="shared" si="2"/>
        <v>39.75</v>
      </c>
      <c r="J37" s="46">
        <f t="shared" si="0"/>
        <v>49.5</v>
      </c>
    </row>
    <row r="38" spans="1:10" ht="15.75" x14ac:dyDescent="0.25">
      <c r="A38" s="43" t="s">
        <v>37</v>
      </c>
      <c r="B38" s="39">
        <v>1.25</v>
      </c>
      <c r="C38" s="39">
        <v>1.25</v>
      </c>
      <c r="D38" s="39"/>
      <c r="E38" s="39"/>
      <c r="F38" s="39"/>
      <c r="G38" s="42"/>
      <c r="H38" s="45">
        <f t="shared" si="1"/>
        <v>11</v>
      </c>
      <c r="I38" s="45">
        <f t="shared" si="2"/>
        <v>41</v>
      </c>
      <c r="J38" s="46">
        <f t="shared" si="0"/>
        <v>52</v>
      </c>
    </row>
    <row r="39" spans="1:10" ht="15.75" x14ac:dyDescent="0.25">
      <c r="A39" s="43" t="s">
        <v>58</v>
      </c>
      <c r="B39" s="39">
        <v>1.25</v>
      </c>
      <c r="C39" s="39">
        <v>1.25</v>
      </c>
      <c r="D39" s="39"/>
      <c r="E39" s="39"/>
      <c r="F39" s="39"/>
      <c r="G39" s="42"/>
      <c r="H39" s="45">
        <f t="shared" si="1"/>
        <v>12.25</v>
      </c>
      <c r="I39" s="45">
        <f t="shared" si="2"/>
        <v>42.25</v>
      </c>
      <c r="J39" s="46">
        <f t="shared" si="0"/>
        <v>54.5</v>
      </c>
    </row>
    <row r="40" spans="1:10" ht="15.75" x14ac:dyDescent="0.25">
      <c r="A40" s="39" t="s">
        <v>59</v>
      </c>
      <c r="B40" s="39"/>
      <c r="C40" s="39"/>
      <c r="D40" s="39"/>
      <c r="E40" s="39"/>
      <c r="F40" s="39">
        <v>3</v>
      </c>
      <c r="G40" s="42"/>
      <c r="H40" s="45">
        <f t="shared" si="1"/>
        <v>9.25</v>
      </c>
      <c r="I40" s="45">
        <f t="shared" si="2"/>
        <v>42.25</v>
      </c>
      <c r="J40" s="46">
        <f t="shared" si="0"/>
        <v>51.5</v>
      </c>
    </row>
    <row r="41" spans="1:10" ht="15.75" x14ac:dyDescent="0.25">
      <c r="A41" s="43" t="s">
        <v>60</v>
      </c>
      <c r="B41" s="39">
        <f>1.25*3</f>
        <v>3.75</v>
      </c>
      <c r="C41" s="39">
        <v>3.75</v>
      </c>
      <c r="D41" s="39"/>
      <c r="E41" s="39"/>
      <c r="F41" s="39"/>
      <c r="G41" s="42"/>
      <c r="H41" s="45">
        <f t="shared" si="1"/>
        <v>13</v>
      </c>
      <c r="I41" s="45">
        <f t="shared" si="2"/>
        <v>46</v>
      </c>
      <c r="J41" s="46">
        <f t="shared" si="0"/>
        <v>59</v>
      </c>
    </row>
    <row r="42" spans="1:10" ht="15.75" x14ac:dyDescent="0.25">
      <c r="A42" s="43" t="s">
        <v>61</v>
      </c>
      <c r="B42" s="39"/>
      <c r="C42" s="39"/>
      <c r="D42" s="39"/>
      <c r="E42" s="39"/>
      <c r="F42" s="39">
        <v>2</v>
      </c>
      <c r="G42" s="42"/>
      <c r="H42" s="45">
        <f t="shared" si="1"/>
        <v>11</v>
      </c>
      <c r="I42" s="45">
        <f t="shared" si="2"/>
        <v>46</v>
      </c>
      <c r="J42" s="46">
        <f t="shared" si="0"/>
        <v>57</v>
      </c>
    </row>
    <row r="43" spans="1:10" ht="15.75" x14ac:dyDescent="0.25">
      <c r="A43" s="43" t="s">
        <v>62</v>
      </c>
      <c r="B43" s="39">
        <f>1.25*3</f>
        <v>3.75</v>
      </c>
      <c r="C43" s="39">
        <v>3.75</v>
      </c>
      <c r="D43" s="39"/>
      <c r="E43" s="39"/>
      <c r="F43" s="39"/>
      <c r="G43" s="42"/>
      <c r="H43" s="45">
        <f t="shared" si="1"/>
        <v>14.75</v>
      </c>
      <c r="I43" s="45">
        <f t="shared" si="2"/>
        <v>49.75</v>
      </c>
      <c r="J43" s="46">
        <f t="shared" si="0"/>
        <v>64.5</v>
      </c>
    </row>
    <row r="44" spans="1:10" ht="15.75" x14ac:dyDescent="0.25">
      <c r="A44" s="43" t="s">
        <v>63</v>
      </c>
      <c r="B44" s="39"/>
      <c r="C44" s="39"/>
      <c r="D44" s="39"/>
      <c r="E44" s="39"/>
      <c r="F44" s="39">
        <v>2</v>
      </c>
      <c r="G44" s="42"/>
      <c r="H44" s="45">
        <f t="shared" si="1"/>
        <v>12.75</v>
      </c>
      <c r="I44" s="45">
        <f t="shared" si="2"/>
        <v>49.75</v>
      </c>
      <c r="J44" s="46">
        <f t="shared" si="0"/>
        <v>62.5</v>
      </c>
    </row>
    <row r="45" spans="1:10" ht="15.75" x14ac:dyDescent="0.25">
      <c r="A45" s="43" t="s">
        <v>64</v>
      </c>
      <c r="B45" s="39"/>
      <c r="C45" s="39"/>
      <c r="D45" s="39"/>
      <c r="E45" s="39"/>
      <c r="F45" s="39">
        <v>1</v>
      </c>
      <c r="G45" s="42"/>
      <c r="H45" s="45">
        <f t="shared" si="1"/>
        <v>11.75</v>
      </c>
      <c r="I45" s="45">
        <f t="shared" si="2"/>
        <v>49.75</v>
      </c>
      <c r="J45" s="46">
        <f t="shared" si="0"/>
        <v>61.5</v>
      </c>
    </row>
    <row r="46" spans="1:10" ht="15.75" x14ac:dyDescent="0.25">
      <c r="A46" s="39" t="s">
        <v>65</v>
      </c>
      <c r="B46" s="39">
        <f>1.25*2</f>
        <v>2.5</v>
      </c>
      <c r="C46" s="39">
        <v>2.5</v>
      </c>
      <c r="D46" s="39"/>
      <c r="E46" s="39"/>
      <c r="F46" s="39"/>
      <c r="G46" s="42"/>
      <c r="H46" s="45">
        <f t="shared" si="1"/>
        <v>14.25</v>
      </c>
      <c r="I46" s="45">
        <f t="shared" si="2"/>
        <v>52.25</v>
      </c>
      <c r="J46" s="46">
        <f t="shared" si="0"/>
        <v>66.5</v>
      </c>
    </row>
    <row r="47" spans="1:10" ht="15.75" x14ac:dyDescent="0.25">
      <c r="A47" s="39" t="s">
        <v>85</v>
      </c>
      <c r="B47" s="39"/>
      <c r="C47" s="39"/>
      <c r="D47" s="39">
        <v>9</v>
      </c>
      <c r="E47" s="39">
        <v>20</v>
      </c>
      <c r="F47" s="39"/>
      <c r="G47" s="42"/>
      <c r="H47" s="45">
        <f t="shared" si="1"/>
        <v>5.25</v>
      </c>
      <c r="I47" s="45">
        <f t="shared" si="2"/>
        <v>32.25</v>
      </c>
      <c r="J47" s="46">
        <f t="shared" si="0"/>
        <v>37.5</v>
      </c>
    </row>
    <row r="48" spans="1:10" ht="15.75" x14ac:dyDescent="0.25">
      <c r="A48" s="40" t="s">
        <v>67</v>
      </c>
      <c r="B48" s="40"/>
      <c r="C48" s="40"/>
      <c r="D48" s="40"/>
      <c r="E48" s="40"/>
      <c r="F48" s="40"/>
      <c r="G48" s="44">
        <v>2</v>
      </c>
      <c r="H48" s="45">
        <f t="shared" ref="H48" si="3">H47-F48-D48+B48</f>
        <v>5.25</v>
      </c>
      <c r="I48" s="45">
        <f t="shared" ref="I48" si="4">I47-E48+C48</f>
        <v>32.25</v>
      </c>
      <c r="J48" s="46">
        <f t="shared" ref="J48" si="5">SUM(H48:I48)</f>
        <v>37.5</v>
      </c>
    </row>
    <row r="49" spans="1:12" ht="15.75" x14ac:dyDescent="0.25">
      <c r="A49" s="40" t="s">
        <v>78</v>
      </c>
      <c r="B49" s="40">
        <v>2.5</v>
      </c>
      <c r="C49" s="40">
        <v>2.5</v>
      </c>
      <c r="D49" s="40"/>
      <c r="E49" s="40"/>
      <c r="F49" s="40"/>
      <c r="G49" s="44"/>
      <c r="H49" s="45">
        <f t="shared" ref="H49:H58" si="6">H48-F49-D49+B49</f>
        <v>7.75</v>
      </c>
      <c r="I49" s="45">
        <f t="shared" ref="I49:I58" si="7">I48-E49+C49</f>
        <v>34.75</v>
      </c>
      <c r="J49" s="46">
        <f t="shared" ref="J49:J58" si="8">SUM(H49:I49)</f>
        <v>42.5</v>
      </c>
    </row>
    <row r="50" spans="1:12" ht="15.75" x14ac:dyDescent="0.25">
      <c r="A50" s="40" t="s">
        <v>69</v>
      </c>
      <c r="B50" s="40">
        <v>1.25</v>
      </c>
      <c r="C50" s="40">
        <v>1.25</v>
      </c>
      <c r="D50" s="40"/>
      <c r="E50" s="40"/>
      <c r="F50" s="40"/>
      <c r="G50" s="44"/>
      <c r="H50" s="45">
        <f t="shared" si="6"/>
        <v>9</v>
      </c>
      <c r="I50" s="45">
        <f t="shared" si="7"/>
        <v>36</v>
      </c>
      <c r="J50" s="46">
        <f t="shared" si="8"/>
        <v>45</v>
      </c>
    </row>
    <row r="51" spans="1:12" ht="15.75" x14ac:dyDescent="0.25">
      <c r="A51" s="40" t="s">
        <v>70</v>
      </c>
      <c r="B51" s="40"/>
      <c r="C51" s="40"/>
      <c r="D51" s="41"/>
      <c r="E51" s="41"/>
      <c r="F51" s="41"/>
      <c r="G51" s="40">
        <v>1</v>
      </c>
      <c r="H51" s="45">
        <f t="shared" si="6"/>
        <v>9</v>
      </c>
      <c r="I51" s="45">
        <f t="shared" si="7"/>
        <v>36</v>
      </c>
      <c r="J51" s="46">
        <f t="shared" si="8"/>
        <v>45</v>
      </c>
    </row>
    <row r="52" spans="1:12" ht="15.75" x14ac:dyDescent="0.25">
      <c r="A52" s="40" t="s">
        <v>71</v>
      </c>
      <c r="B52" s="40">
        <v>1.25</v>
      </c>
      <c r="C52" s="40">
        <v>1.25</v>
      </c>
      <c r="D52" s="41"/>
      <c r="E52" s="40"/>
      <c r="F52" s="40"/>
      <c r="G52" s="40"/>
      <c r="H52" s="45">
        <f t="shared" si="6"/>
        <v>10.25</v>
      </c>
      <c r="I52" s="45">
        <f t="shared" si="7"/>
        <v>37.25</v>
      </c>
      <c r="J52" s="46">
        <f t="shared" si="8"/>
        <v>47.5</v>
      </c>
    </row>
    <row r="53" spans="1:12" ht="15.75" x14ac:dyDescent="0.25">
      <c r="A53" s="40" t="s">
        <v>72</v>
      </c>
      <c r="B53" s="40"/>
      <c r="C53" s="40"/>
      <c r="D53" s="41"/>
      <c r="E53" s="40"/>
      <c r="F53" s="40"/>
      <c r="G53" s="40">
        <v>2</v>
      </c>
      <c r="H53" s="45">
        <f t="shared" si="6"/>
        <v>10.25</v>
      </c>
      <c r="I53" s="45">
        <f t="shared" si="7"/>
        <v>37.25</v>
      </c>
      <c r="J53" s="46">
        <f t="shared" si="8"/>
        <v>47.5</v>
      </c>
    </row>
    <row r="54" spans="1:12" ht="15.75" x14ac:dyDescent="0.25">
      <c r="A54" s="40" t="s">
        <v>73</v>
      </c>
      <c r="B54" s="40"/>
      <c r="C54" s="40"/>
      <c r="D54" s="40"/>
      <c r="E54" s="40">
        <v>3</v>
      </c>
      <c r="F54" s="40"/>
      <c r="G54" s="40"/>
      <c r="H54" s="45">
        <f t="shared" si="6"/>
        <v>10.25</v>
      </c>
      <c r="I54" s="45">
        <f t="shared" si="7"/>
        <v>34.25</v>
      </c>
      <c r="J54" s="46">
        <f t="shared" si="8"/>
        <v>44.5</v>
      </c>
    </row>
    <row r="55" spans="1:12" ht="15.75" x14ac:dyDescent="0.25">
      <c r="A55" s="40" t="s">
        <v>75</v>
      </c>
      <c r="B55" s="40">
        <v>3.75</v>
      </c>
      <c r="C55" s="40">
        <v>3.75</v>
      </c>
      <c r="D55" s="40"/>
      <c r="E55" s="40"/>
      <c r="F55" s="40"/>
      <c r="G55" s="40"/>
      <c r="H55" s="45">
        <f t="shared" si="6"/>
        <v>14</v>
      </c>
      <c r="I55" s="45">
        <f t="shared" si="7"/>
        <v>38</v>
      </c>
      <c r="J55" s="46">
        <f t="shared" si="8"/>
        <v>52</v>
      </c>
    </row>
    <row r="56" spans="1:12" ht="15.75" x14ac:dyDescent="0.25">
      <c r="A56" s="40" t="s">
        <v>76</v>
      </c>
      <c r="B56" s="40"/>
      <c r="C56" s="40"/>
      <c r="D56" s="40"/>
      <c r="E56" s="40">
        <v>13</v>
      </c>
      <c r="F56" s="40"/>
      <c r="G56" s="40"/>
      <c r="H56" s="45">
        <f t="shared" si="6"/>
        <v>14</v>
      </c>
      <c r="I56" s="45">
        <f t="shared" si="7"/>
        <v>25</v>
      </c>
      <c r="J56" s="46">
        <f t="shared" si="8"/>
        <v>39</v>
      </c>
    </row>
    <row r="57" spans="1:12" ht="15.75" x14ac:dyDescent="0.25">
      <c r="A57" s="40" t="s">
        <v>77</v>
      </c>
      <c r="B57" s="40"/>
      <c r="C57" s="40"/>
      <c r="D57" s="40"/>
      <c r="E57" s="40">
        <v>13</v>
      </c>
      <c r="F57" s="40"/>
      <c r="G57" s="40"/>
      <c r="H57" s="45">
        <f t="shared" si="6"/>
        <v>14</v>
      </c>
      <c r="I57" s="45">
        <f t="shared" si="7"/>
        <v>12</v>
      </c>
      <c r="J57" s="46">
        <f t="shared" si="8"/>
        <v>26</v>
      </c>
    </row>
    <row r="58" spans="1:12" ht="15.75" x14ac:dyDescent="0.25">
      <c r="A58" s="40" t="s">
        <v>79</v>
      </c>
      <c r="B58" s="40">
        <v>8.75</v>
      </c>
      <c r="C58" s="40">
        <v>8.75</v>
      </c>
      <c r="D58" s="40"/>
      <c r="E58" s="40"/>
      <c r="F58" s="40"/>
      <c r="G58" s="40"/>
      <c r="H58" s="45">
        <f t="shared" si="6"/>
        <v>22.75</v>
      </c>
      <c r="I58" s="45">
        <f t="shared" si="7"/>
        <v>20.75</v>
      </c>
      <c r="J58" s="46">
        <f t="shared" si="8"/>
        <v>43.5</v>
      </c>
    </row>
    <row r="59" spans="1:12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1"/>
      <c r="L59" s="1"/>
    </row>
    <row r="60" spans="1:12" x14ac:dyDescent="0.25">
      <c r="A60" s="3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3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3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3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37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37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3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37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3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3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37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37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37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3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3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3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37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3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3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37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37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37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37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37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37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3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37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3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37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3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3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3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3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3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3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3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3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3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3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3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3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3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3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3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3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3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3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3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3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3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3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3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3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3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3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3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3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3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3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3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3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3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3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3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3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3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3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3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3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3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3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3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3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3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3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3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3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3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3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3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3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3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3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3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3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3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3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3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3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3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3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3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3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3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3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3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3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3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3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3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3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3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3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3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3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3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3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3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3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3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3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3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3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3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3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3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3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3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3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3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3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3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3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3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3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3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3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3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3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3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3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3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3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3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3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3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3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3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3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3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3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3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3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3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3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3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3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3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3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3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3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3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3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3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3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3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3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3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3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3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3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3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3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3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3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3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3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3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</sheetData>
  <mergeCells count="12">
    <mergeCell ref="A16:J16"/>
    <mergeCell ref="A59:J59"/>
    <mergeCell ref="A5:I5"/>
    <mergeCell ref="A6:I6"/>
    <mergeCell ref="A7:I7"/>
    <mergeCell ref="A8:I8"/>
    <mergeCell ref="A13:J13"/>
    <mergeCell ref="A14:A15"/>
    <mergeCell ref="B14:C14"/>
    <mergeCell ref="D14:G14"/>
    <mergeCell ref="H14:I14"/>
    <mergeCell ref="J14:J15"/>
  </mergeCells>
  <printOptions horizontalCentered="1"/>
  <pageMargins left="0.70866141732283472" right="0.70866141732283472" top="0.35433070866141736" bottom="0.74803149606299213" header="0.31496062992125984" footer="0.31496062992125984"/>
  <pageSetup paperSize="9" scale="58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workbookViewId="0">
      <selection activeCell="S25" sqref="S25"/>
    </sheetView>
  </sheetViews>
  <sheetFormatPr defaultRowHeight="15" x14ac:dyDescent="0.25"/>
  <cols>
    <col min="1" max="1" width="27.140625" style="20" customWidth="1"/>
    <col min="2" max="11" width="9.5703125" style="20" customWidth="1"/>
    <col min="12" max="12" width="7.5703125" style="20" customWidth="1"/>
    <col min="13" max="13" width="8.7109375" style="20" hidden="1" customWidth="1"/>
    <col min="14" max="15" width="9.140625" style="20"/>
  </cols>
  <sheetData>
    <row r="1" spans="1:15" x14ac:dyDescent="0.25">
      <c r="A1" s="13"/>
      <c r="B1" s="13"/>
      <c r="C1" s="14"/>
      <c r="D1" s="15"/>
      <c r="E1" s="13"/>
      <c r="F1" s="13"/>
      <c r="G1" s="13"/>
      <c r="H1" s="16"/>
      <c r="I1" s="13"/>
      <c r="J1" s="13"/>
      <c r="K1" s="13"/>
      <c r="L1" s="13"/>
      <c r="M1" s="13"/>
      <c r="N1" s="13"/>
      <c r="O1" s="13"/>
    </row>
    <row r="2" spans="1:15" x14ac:dyDescent="0.25">
      <c r="A2" s="13"/>
      <c r="B2" s="13"/>
      <c r="C2" s="14"/>
      <c r="D2" s="15"/>
      <c r="E2" s="13"/>
      <c r="F2" s="13"/>
      <c r="G2" s="13"/>
      <c r="H2" s="16"/>
      <c r="I2" s="13"/>
      <c r="J2" s="13"/>
      <c r="K2" s="13"/>
      <c r="L2" s="13"/>
      <c r="M2" s="13"/>
      <c r="N2" s="13"/>
      <c r="O2" s="13"/>
    </row>
    <row r="3" spans="1:15" x14ac:dyDescent="0.25">
      <c r="A3" s="13"/>
      <c r="B3" s="13"/>
      <c r="C3" s="14"/>
      <c r="D3" s="15"/>
      <c r="E3" s="13"/>
      <c r="F3" s="13"/>
      <c r="G3" s="13"/>
      <c r="H3" s="16"/>
      <c r="I3" s="13"/>
      <c r="J3" s="13"/>
      <c r="K3" s="13"/>
      <c r="L3" s="13"/>
      <c r="M3" s="13"/>
      <c r="N3" s="13"/>
      <c r="O3" s="13"/>
    </row>
    <row r="4" spans="1:15" x14ac:dyDescent="0.25">
      <c r="A4" s="13"/>
      <c r="B4" s="13"/>
      <c r="C4" s="14"/>
      <c r="D4" s="15"/>
      <c r="E4" s="13"/>
      <c r="F4" s="13"/>
      <c r="G4" s="13"/>
      <c r="H4" s="16"/>
      <c r="I4" s="13"/>
      <c r="J4" s="13"/>
      <c r="K4" s="13"/>
      <c r="L4" s="13"/>
      <c r="M4" s="13"/>
      <c r="N4" s="13"/>
      <c r="O4" s="13"/>
    </row>
    <row r="5" spans="1:15" x14ac:dyDescent="0.25">
      <c r="A5" s="63" t="s">
        <v>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13"/>
      <c r="N5" s="13"/>
      <c r="O5" s="13"/>
    </row>
    <row r="6" spans="1:15" x14ac:dyDescent="0.25">
      <c r="A6" s="63" t="s">
        <v>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13"/>
      <c r="N6" s="13"/>
      <c r="O6" s="13"/>
    </row>
    <row r="7" spans="1:15" x14ac:dyDescent="0.25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13"/>
      <c r="N7" s="13"/>
      <c r="O7" s="13"/>
    </row>
    <row r="8" spans="1:15" x14ac:dyDescent="0.25">
      <c r="A8" s="63" t="s">
        <v>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13"/>
      <c r="N8" s="13"/>
      <c r="O8" s="13"/>
    </row>
    <row r="9" spans="1:15" x14ac:dyDescent="0.25">
      <c r="A9" s="13"/>
      <c r="B9" s="13"/>
      <c r="C9" s="16"/>
      <c r="D9" s="13"/>
      <c r="E9" s="13"/>
      <c r="F9" s="13"/>
      <c r="G9" s="13"/>
      <c r="H9" s="16"/>
      <c r="I9" s="13"/>
      <c r="J9" s="13"/>
      <c r="K9" s="13"/>
      <c r="L9" s="13"/>
      <c r="M9" s="13"/>
      <c r="N9" s="13"/>
      <c r="O9" s="13"/>
    </row>
    <row r="10" spans="1:15" x14ac:dyDescent="0.25">
      <c r="A10" s="13"/>
      <c r="B10" s="13"/>
      <c r="C10" s="16"/>
      <c r="D10" s="13"/>
      <c r="E10" s="13"/>
      <c r="F10" s="13"/>
      <c r="G10" s="13"/>
      <c r="H10" s="16"/>
      <c r="I10" s="13"/>
      <c r="J10" s="13"/>
      <c r="K10" s="13"/>
      <c r="L10" s="13"/>
      <c r="M10" s="13"/>
      <c r="N10" s="13"/>
      <c r="O10" s="13"/>
    </row>
    <row r="11" spans="1:15" x14ac:dyDescent="0.25">
      <c r="A11" s="17" t="s">
        <v>38</v>
      </c>
      <c r="B11" s="17"/>
      <c r="C11" s="64" t="s">
        <v>39</v>
      </c>
      <c r="D11" s="64"/>
      <c r="E11" s="64"/>
      <c r="F11" s="64"/>
      <c r="G11" s="64"/>
      <c r="H11" s="13"/>
      <c r="I11" s="64" t="s">
        <v>40</v>
      </c>
      <c r="J11" s="64"/>
      <c r="K11" s="64"/>
      <c r="L11" s="17"/>
      <c r="M11" s="13"/>
      <c r="N11" s="13"/>
      <c r="O11" s="13"/>
    </row>
    <row r="12" spans="1:15" x14ac:dyDescent="0.25">
      <c r="A12" s="13"/>
      <c r="B12" s="18"/>
      <c r="C12" s="64" t="s">
        <v>41</v>
      </c>
      <c r="D12" s="64"/>
      <c r="E12" s="64"/>
      <c r="F12" s="64"/>
      <c r="G12" s="64"/>
      <c r="H12" s="13"/>
      <c r="I12" s="65" t="s">
        <v>42</v>
      </c>
      <c r="J12" s="65"/>
      <c r="K12" s="65"/>
      <c r="L12" s="18"/>
      <c r="M12" s="13"/>
      <c r="N12" s="13"/>
      <c r="O12" s="13"/>
    </row>
    <row r="13" spans="1:15" x14ac:dyDescent="0.25">
      <c r="A13" s="17" t="s">
        <v>43</v>
      </c>
      <c r="B13" s="17"/>
      <c r="C13" s="19"/>
      <c r="D13" s="18"/>
      <c r="E13" s="18"/>
      <c r="F13" s="13"/>
      <c r="G13" s="13"/>
      <c r="H13" s="13"/>
      <c r="I13" s="64" t="s">
        <v>44</v>
      </c>
      <c r="J13" s="64"/>
      <c r="K13" s="64"/>
      <c r="L13" s="17"/>
      <c r="M13" s="13"/>
      <c r="N13" s="13"/>
      <c r="O13" s="13"/>
    </row>
    <row r="14" spans="1:15" ht="21.75" thickBot="1" x14ac:dyDescent="0.3">
      <c r="A14" s="66" t="s">
        <v>45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5" ht="48" x14ac:dyDescent="0.25">
      <c r="A15" s="21" t="s">
        <v>11</v>
      </c>
      <c r="B15" s="22" t="s">
        <v>46</v>
      </c>
      <c r="C15" s="22" t="s">
        <v>47</v>
      </c>
      <c r="D15" s="22" t="s">
        <v>48</v>
      </c>
      <c r="E15" s="22" t="s">
        <v>49</v>
      </c>
      <c r="F15" s="22" t="s">
        <v>50</v>
      </c>
      <c r="G15" s="22" t="s">
        <v>51</v>
      </c>
      <c r="H15" s="22" t="s">
        <v>52</v>
      </c>
      <c r="I15" s="22" t="s">
        <v>53</v>
      </c>
      <c r="J15" s="22" t="s">
        <v>54</v>
      </c>
      <c r="K15" s="22" t="s">
        <v>55</v>
      </c>
      <c r="L15" s="23" t="s">
        <v>15</v>
      </c>
      <c r="M15" s="24"/>
      <c r="N15" s="24"/>
      <c r="O15" s="24"/>
    </row>
    <row r="16" spans="1:15" x14ac:dyDescent="0.25">
      <c r="A16" s="34" t="s">
        <v>56</v>
      </c>
      <c r="B16" s="25"/>
      <c r="C16" s="26"/>
      <c r="D16" s="26"/>
      <c r="E16" s="25">
        <v>4</v>
      </c>
      <c r="F16" s="25"/>
      <c r="G16" s="25"/>
      <c r="H16" s="26"/>
      <c r="I16" s="25"/>
      <c r="J16" s="25"/>
      <c r="K16" s="25"/>
      <c r="L16" s="68">
        <v>7</v>
      </c>
      <c r="M16" s="24"/>
      <c r="N16" s="24"/>
      <c r="O16" s="24"/>
    </row>
    <row r="17" spans="1:15" x14ac:dyDescent="0.25">
      <c r="A17" s="28" t="s">
        <v>57</v>
      </c>
      <c r="B17" s="25"/>
      <c r="C17" s="26"/>
      <c r="D17" s="26"/>
      <c r="E17" s="25">
        <v>3</v>
      </c>
      <c r="F17" s="25"/>
      <c r="G17" s="25"/>
      <c r="H17" s="26"/>
      <c r="I17" s="25"/>
      <c r="J17" s="25"/>
      <c r="K17" s="25"/>
      <c r="L17" s="69"/>
      <c r="M17" s="24"/>
      <c r="N17" s="24"/>
      <c r="O17" s="24"/>
    </row>
    <row r="18" spans="1:15" x14ac:dyDescent="0.25">
      <c r="A18" s="35" t="s">
        <v>66</v>
      </c>
      <c r="B18" s="25"/>
      <c r="C18" s="26"/>
      <c r="D18" s="26"/>
      <c r="E18" s="25">
        <v>2</v>
      </c>
      <c r="F18" s="25"/>
      <c r="G18" s="25"/>
      <c r="H18" s="26"/>
      <c r="I18" s="25"/>
      <c r="J18" s="25"/>
      <c r="K18" s="25"/>
      <c r="L18" s="68">
        <v>7</v>
      </c>
      <c r="M18" s="29"/>
      <c r="N18" s="29"/>
      <c r="O18" s="29"/>
    </row>
    <row r="19" spans="1:15" x14ac:dyDescent="0.25">
      <c r="A19" s="30" t="s">
        <v>68</v>
      </c>
      <c r="B19" s="25"/>
      <c r="C19" s="26"/>
      <c r="D19" s="26"/>
      <c r="E19" s="25">
        <v>5</v>
      </c>
      <c r="F19" s="25"/>
      <c r="G19" s="25"/>
      <c r="H19" s="26"/>
      <c r="I19" s="25"/>
      <c r="J19" s="25"/>
      <c r="K19" s="25"/>
      <c r="L19" s="69"/>
      <c r="M19" s="29"/>
      <c r="N19" s="29"/>
      <c r="O19" s="29"/>
    </row>
    <row r="20" spans="1:15" ht="30" x14ac:dyDescent="0.25">
      <c r="A20" s="36" t="s">
        <v>74</v>
      </c>
      <c r="B20" s="25"/>
      <c r="C20" s="26"/>
      <c r="D20" s="26"/>
      <c r="E20" s="25">
        <v>7</v>
      </c>
      <c r="F20" s="25"/>
      <c r="G20" s="25"/>
      <c r="H20" s="26"/>
      <c r="I20" s="25"/>
      <c r="J20" s="25"/>
      <c r="K20" s="25"/>
      <c r="L20" s="27">
        <v>7</v>
      </c>
      <c r="M20" s="29"/>
      <c r="N20" s="29"/>
      <c r="O20" s="29"/>
    </row>
    <row r="21" spans="1:15" x14ac:dyDescent="0.25">
      <c r="A21" s="31"/>
      <c r="B21" s="25"/>
      <c r="C21" s="26"/>
      <c r="D21" s="26"/>
      <c r="E21" s="25"/>
      <c r="F21" s="25"/>
      <c r="G21" s="25"/>
      <c r="H21" s="26"/>
      <c r="I21" s="25"/>
      <c r="J21" s="25"/>
      <c r="K21" s="25"/>
      <c r="L21" s="27"/>
      <c r="M21" s="29"/>
      <c r="N21" s="29"/>
      <c r="O21" s="29"/>
    </row>
    <row r="22" spans="1:15" x14ac:dyDescent="0.25">
      <c r="A22" s="31"/>
      <c r="B22" s="25"/>
      <c r="C22" s="26"/>
      <c r="D22" s="26"/>
      <c r="E22" s="25"/>
      <c r="F22" s="25"/>
      <c r="G22" s="25"/>
      <c r="H22" s="26"/>
      <c r="I22" s="25"/>
      <c r="J22" s="25"/>
      <c r="K22" s="25"/>
      <c r="L22" s="27"/>
      <c r="M22" s="29"/>
      <c r="N22" s="29"/>
      <c r="O22" s="29"/>
    </row>
    <row r="23" spans="1:15" x14ac:dyDescent="0.25">
      <c r="A23" s="32"/>
      <c r="B23" s="25"/>
      <c r="C23" s="26"/>
      <c r="D23" s="26"/>
      <c r="E23" s="25"/>
      <c r="F23" s="25"/>
      <c r="G23" s="25"/>
      <c r="H23" s="26"/>
      <c r="I23" s="25"/>
      <c r="J23" s="25"/>
      <c r="K23" s="33"/>
      <c r="L23" s="27"/>
      <c r="M23" s="29"/>
      <c r="N23" s="29"/>
      <c r="O23" s="29"/>
    </row>
    <row r="24" spans="1:15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1:15" x14ac:dyDescent="0.25">
      <c r="A25" s="13"/>
      <c r="B25" s="13"/>
      <c r="C25" s="16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x14ac:dyDescent="0.25">
      <c r="A26" s="13"/>
      <c r="B26" s="13"/>
      <c r="C26" s="16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</sheetData>
  <mergeCells count="13">
    <mergeCell ref="C12:G12"/>
    <mergeCell ref="I12:K12"/>
    <mergeCell ref="I13:K13"/>
    <mergeCell ref="A14:L14"/>
    <mergeCell ref="A24:L24"/>
    <mergeCell ref="L16:L17"/>
    <mergeCell ref="L18:L19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 CARD</vt:lpstr>
      <vt:lpstr>OTHER TYPES OF LEAVE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2024-10-28T02:25:58Z</cp:lastPrinted>
  <dcterms:created xsi:type="dcterms:W3CDTF">2023-10-03T01:41:29Z</dcterms:created>
  <dcterms:modified xsi:type="dcterms:W3CDTF">2024-10-28T02:43:45Z</dcterms:modified>
</cp:coreProperties>
</file>