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022798D-EF52-4BFF-A7F7-81689A31C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Sheet1" sheetId="17" r:id="rId3"/>
  </sheets>
  <definedNames>
    <definedName name="_xlnm.Print_Area" localSheetId="1">'Election &amp; NLC'!$A$1:$G$23</definedName>
    <definedName name="_xlnm.Print_Area" localSheetId="0">'Leave Card as TIC'!$A$1:$J$28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I20" i="3"/>
  <c r="J20" i="3"/>
  <c r="H19" i="3"/>
  <c r="I19" i="3"/>
  <c r="J19" i="3"/>
  <c r="I14" i="3"/>
  <c r="I15" i="3" s="1"/>
  <c r="I16" i="3" s="1"/>
  <c r="I17" i="3" s="1"/>
  <c r="I18" i="3" s="1"/>
  <c r="H14" i="3"/>
  <c r="H15" i="3" l="1"/>
  <c r="H16" i="3" s="1"/>
  <c r="J16" i="3" s="1"/>
  <c r="J14" i="3"/>
  <c r="H17" i="3" l="1"/>
  <c r="H18" i="3" s="1"/>
  <c r="J15" i="3"/>
  <c r="J17" i="3" l="1"/>
  <c r="J18" i="3"/>
</calcChain>
</file>

<file path=xl/sharedStrings.xml><?xml version="1.0" encoding="utf-8"?>
<sst xmlns="http://schemas.openxmlformats.org/spreadsheetml/2006/main" count="88" uniqueCount="68">
  <si>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</si>
  <si>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</si>
  <si>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</si>
  <si>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</si>
  <si>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</si>
  <si>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</si>
  <si>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</si>
  <si>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</si>
  <si>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</si>
  <si>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</si>
  <si>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</si>
  <si>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</si>
  <si>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</si>
  <si>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</si>
  <si>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</si>
  <si>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</si>
  <si>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</si>
  <si>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LESS: 06/24/2024</t>
  </si>
  <si>
    <t>ADD: OCTOBER 17, 2023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</si>
  <si>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</si>
  <si>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</si>
  <si>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</si>
  <si>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</si>
  <si>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</si>
  <si>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</si>
  <si>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</si>
  <si>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</si>
  <si>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</si>
  <si>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</si>
  <si>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</si>
  <si>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</si>
  <si>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</si>
  <si>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</si>
  <si>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</si>
  <si>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</si>
  <si>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</si>
  <si>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</si>
  <si>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</si>
  <si>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</si>
  <si>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</si>
  <si>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</si>
  <si>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</si>
  <si>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</si>
  <si>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</si>
  <si>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</si>
  <si>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SO # 029, S. 2024</t>
  </si>
  <si>
    <t>NLC 2024</t>
  </si>
  <si>
    <t>POSITION   : TEACHER III</t>
  </si>
  <si>
    <t xml:space="preserve">   </t>
  </si>
  <si>
    <t>NLC 2023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</si>
  <si>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</si>
  <si>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09/24/2024</t>
  </si>
  <si>
    <t>NAME          :TRAVEÑA, ELMER</t>
  </si>
  <si>
    <t>NAME         : TRAVEÑA, ELMER</t>
  </si>
  <si>
    <t>SCHOOL/OFFICE : DUNGGA ES</t>
  </si>
  <si>
    <t>S.O. # 127 S. 2023. NLC 2023</t>
  </si>
  <si>
    <t>S.O. # 127 S. 2023.</t>
  </si>
  <si>
    <t>10/17/2023</t>
  </si>
  <si>
    <t>015, S. 2024</t>
  </si>
  <si>
    <t>05/20/2024</t>
  </si>
  <si>
    <t>PALARONG PANLALAWIGAN 2024</t>
  </si>
  <si>
    <t>32 DAYS-CONVERTED</t>
  </si>
  <si>
    <r>
      <t xml:space="preserve">ADD: CONVERTED VSC </t>
    </r>
    <r>
      <rPr>
        <b/>
        <sz val="11"/>
        <color rgb="FF002060"/>
        <rFont val="Calibri"/>
        <family val="2"/>
        <scheme val="minor"/>
      </rPr>
      <t>32 DAYS</t>
    </r>
    <r>
      <rPr>
        <sz val="11"/>
        <color theme="1"/>
        <rFont val="Calibri"/>
        <family val="2"/>
        <scheme val="minor"/>
      </rPr>
      <t xml:space="preserve">:                             FORMULA: 30Y/69/2 </t>
    </r>
  </si>
  <si>
    <t>ADD: 08/1/2024-12/31/2024</t>
  </si>
  <si>
    <t>ADD: 01/1/2025-04/30/2025</t>
  </si>
  <si>
    <t>LESS: 06/3-5/2025</t>
  </si>
  <si>
    <t>ADD: 05/1/2025-06/30/2025</t>
  </si>
  <si>
    <t>LESS: MONETIZATION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</si>
</sst>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9" borderId="21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1" fillId="9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TRAVEÑA,</a:t>
          </a:r>
          <a:r>
            <a:rPr lang="en-US" sz="1100" baseline="0"/>
            <a:t> ELMER D.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(TIC)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5</xdr:col>
      <xdr:colOff>0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1" y="1696137"/>
          <a:ext cx="1903156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DUNGGA ES</a:t>
          </a:r>
        </a:p>
      </xdr:txBody>
    </xdr:sp>
    <xdr:clientData/>
  </xdr:twoCellAnchor>
  <xdr:twoCellAnchor>
    <xdr:from>
      <xdr:col>5</xdr:col>
      <xdr:colOff>347452</xdr:colOff>
      <xdr:row>22</xdr:row>
      <xdr:rowOff>53914</xdr:rowOff>
    </xdr:from>
    <xdr:to>
      <xdr:col>9</xdr:col>
      <xdr:colOff>672043</xdr:colOff>
      <xdr:row>27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962025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20</xdr:row>
      <xdr:rowOff>236220</xdr:rowOff>
    </xdr:from>
    <xdr:to>
      <xdr:col>6</xdr:col>
      <xdr:colOff>476250</xdr:colOff>
      <xdr:row>22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266699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36779E-3CF1-4F22-80AC-5158F613406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4" y="114495"/>
          <a:ext cx="626575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466725</xdr:colOff>
      <xdr:row>19</xdr:row>
      <xdr:rowOff>152400</xdr:rowOff>
    </xdr:from>
    <xdr:to>
      <xdr:col>11</xdr:col>
      <xdr:colOff>447675</xdr:colOff>
      <xdr:row>36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F7FB063-AA5F-4DA1-B5D6-B4D7B280F434}"/>
            </a:ext>
          </a:extLst>
        </xdr:cNvPr>
        <xdr:cNvSpPr txBox="1"/>
      </xdr:nvSpPr>
      <xdr:spPr>
        <a:xfrm>
          <a:off x="5591175" y="4333875"/>
          <a:ext cx="3076575" cy="3228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9525</xdr:rowOff>
    </xdr:from>
    <xdr:to>
      <xdr:col>1</xdr:col>
      <xdr:colOff>28575</xdr:colOff>
      <xdr:row>13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9DC229B-44D2-4BAD-927B-82FC9A6B0EDD}"/>
            </a:ext>
          </a:extLst>
        </xdr:cNvPr>
        <xdr:cNvCxnSpPr/>
      </xdr:nvCxnSpPr>
      <xdr:spPr>
        <a:xfrm>
          <a:off x="752475" y="24860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26"/>
  <sheetViews>
    <sheetView tabSelected="1" view="pageBreakPreview" zoomScale="106" zoomScaleNormal="100" zoomScaleSheetLayoutView="106" workbookViewId="0">
      <selection activeCell="A19" sqref="A19:XFD19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0" customWidth="1"/>
    <col min="8" max="10" width="11.5703125" customWidth="1"/>
    <col min="11" max="11" width="26.42578125" style="27" customWidth="1"/>
  </cols>
  <sheetData>
    <row r="1" spans="1:11" s="1" customFormat="1" ht="52.5" customHeight="1" x14ac:dyDescent="0.25"/>
    <row r="2" spans="1:11" s="1" customFormat="1" ht="10.5" customHeight="1" x14ac:dyDescent="0.25">
      <c r="A2" s="75" t="s">
        <v>0</v>
      </c>
      <c r="B2" s="75"/>
      <c r="C2" s="75"/>
      <c r="D2" s="75"/>
      <c r="E2" s="75"/>
      <c r="F2" s="75"/>
      <c r="G2" s="75"/>
      <c r="H2" s="75"/>
      <c r="I2" s="75"/>
      <c r="J2" s="75"/>
    </row>
    <row r="3" spans="1:11" s="1" customFormat="1" ht="15.95" customHeight="1" x14ac:dyDescent="0.25">
      <c r="A3" s="75" t="s">
        <v>1</v>
      </c>
      <c r="B3" s="75"/>
      <c r="C3" s="75"/>
      <c r="D3" s="75"/>
      <c r="E3" s="75"/>
      <c r="F3" s="75"/>
      <c r="G3" s="75"/>
      <c r="H3" s="75"/>
      <c r="I3" s="75"/>
      <c r="J3" s="75"/>
    </row>
    <row r="4" spans="1:11" s="1" customFormat="1" ht="15.95" customHeight="1" x14ac:dyDescent="0.25">
      <c r="A4" s="75" t="s">
        <v>2</v>
      </c>
      <c r="B4" s="75"/>
      <c r="C4" s="75"/>
      <c r="D4" s="75"/>
      <c r="E4" s="75"/>
      <c r="F4" s="75"/>
      <c r="G4" s="75"/>
      <c r="H4" s="75"/>
      <c r="I4" s="75"/>
      <c r="J4" s="75"/>
    </row>
    <row r="5" spans="1:11" s="1" customFormat="1" ht="15.95" customHeight="1" x14ac:dyDescent="0.25">
      <c r="A5" s="75" t="s">
        <v>3</v>
      </c>
      <c r="B5" s="75"/>
      <c r="C5" s="75"/>
      <c r="D5" s="75"/>
      <c r="E5" s="75"/>
      <c r="F5" s="75"/>
      <c r="G5" s="75"/>
      <c r="H5" s="75"/>
      <c r="I5" s="75"/>
      <c r="J5" s="75"/>
    </row>
    <row r="6" spans="1:11" s="1" customFormat="1" ht="8.25" customHeight="1" x14ac:dyDescent="0.25"/>
    <row r="7" spans="1:11" s="1" customFormat="1" ht="12" customHeight="1" x14ac:dyDescent="0.25">
      <c r="A7" s="1" t="s">
        <v>19</v>
      </c>
      <c r="B7" s="74" t="s">
        <v>20</v>
      </c>
      <c r="C7" s="74"/>
      <c r="D7" s="74"/>
      <c r="H7" s="5" t="s">
        <v>21</v>
      </c>
      <c r="I7" s="19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22</v>
      </c>
      <c r="B9" s="74" t="s">
        <v>23</v>
      </c>
      <c r="C9" s="74"/>
      <c r="D9" s="74"/>
      <c r="H9" s="5" t="s">
        <v>24</v>
      </c>
      <c r="I9" s="20"/>
      <c r="J9" s="5"/>
    </row>
    <row r="10" spans="1:11" ht="23.25" customHeight="1" thickBot="1" x14ac:dyDescent="0.3">
      <c r="A10" s="80" t="s">
        <v>25</v>
      </c>
      <c r="B10" s="80"/>
      <c r="C10" s="80"/>
      <c r="D10" s="80"/>
      <c r="E10" s="80"/>
      <c r="F10" s="80"/>
      <c r="G10" s="80"/>
      <c r="H10" s="80"/>
      <c r="I10" s="80"/>
      <c r="J10" s="80"/>
      <c r="K10"/>
    </row>
    <row r="11" spans="1:11" ht="18.75" customHeight="1" x14ac:dyDescent="0.25">
      <c r="A11" s="81" t="s">
        <v>9</v>
      </c>
      <c r="B11" s="83" t="s">
        <v>10</v>
      </c>
      <c r="C11" s="84"/>
      <c r="D11" s="85" t="s">
        <v>26</v>
      </c>
      <c r="E11" s="86"/>
      <c r="F11" s="86"/>
      <c r="G11" s="87"/>
      <c r="H11" s="88" t="s">
        <v>27</v>
      </c>
      <c r="I11" s="89"/>
      <c r="J11" s="90" t="s">
        <v>11</v>
      </c>
      <c r="K11" s="76" t="s">
        <v>28</v>
      </c>
    </row>
    <row r="12" spans="1:11" ht="15.75" thickBot="1" x14ac:dyDescent="0.3">
      <c r="A12" s="82"/>
      <c r="B12" s="21" t="s">
        <v>29</v>
      </c>
      <c r="C12" s="21" t="s">
        <v>30</v>
      </c>
      <c r="D12" s="21" t="s">
        <v>29</v>
      </c>
      <c r="E12" s="21" t="s">
        <v>30</v>
      </c>
      <c r="F12" s="21" t="s">
        <v>31</v>
      </c>
      <c r="G12" s="21" t="s">
        <v>32</v>
      </c>
      <c r="H12" s="21" t="s">
        <v>29</v>
      </c>
      <c r="I12" s="21" t="s">
        <v>30</v>
      </c>
      <c r="J12" s="91"/>
      <c r="K12" s="76"/>
    </row>
    <row r="13" spans="1:11" ht="15.75" thickBot="1" x14ac:dyDescent="0.3">
      <c r="A13" s="77" t="s">
        <v>44</v>
      </c>
      <c r="B13" s="78"/>
      <c r="C13" s="78"/>
      <c r="D13" s="78"/>
      <c r="E13" s="78"/>
      <c r="F13" s="78"/>
      <c r="G13" s="78"/>
      <c r="H13" s="78"/>
      <c r="I13" s="78"/>
      <c r="J13" s="79"/>
      <c r="K13" s="22"/>
    </row>
    <row r="14" spans="1:11" ht="30" customHeight="1" x14ac:dyDescent="0.25">
      <c r="A14" s="23" t="s">
        <v>62</v>
      </c>
      <c r="B14" s="32">
        <v>6.9560000000000004</v>
      </c>
      <c r="C14" s="33">
        <v>6.9560000000000004</v>
      </c>
      <c r="D14" s="33"/>
      <c r="E14" s="32"/>
      <c r="F14" s="32"/>
      <c r="G14" s="32"/>
      <c r="H14" s="25">
        <f>B14</f>
        <v>6.9560000000000004</v>
      </c>
      <c r="I14" s="25">
        <f>C14</f>
        <v>6.9560000000000004</v>
      </c>
      <c r="J14" s="26">
        <f>SUM(H14:I14)</f>
        <v>13.912000000000001</v>
      </c>
    </row>
    <row r="15" spans="1:11" ht="17.25" customHeight="1" x14ac:dyDescent="0.25">
      <c r="A15" s="23" t="s">
        <v>34</v>
      </c>
      <c r="B15" s="32">
        <v>0.125</v>
      </c>
      <c r="C15" s="33">
        <v>0.125</v>
      </c>
      <c r="D15" s="24"/>
      <c r="E15" s="17"/>
      <c r="F15" s="17"/>
      <c r="G15" s="17"/>
      <c r="H15" s="28">
        <f>H14-F15-D15+B15</f>
        <v>7.0810000000000004</v>
      </c>
      <c r="I15" s="28">
        <f>I14-E15+C15</f>
        <v>7.0810000000000004</v>
      </c>
      <c r="J15" s="29">
        <f>SUM(H15:I15)</f>
        <v>14.162000000000001</v>
      </c>
    </row>
    <row r="16" spans="1:11" ht="17.25" customHeight="1" x14ac:dyDescent="0.25">
      <c r="A16" s="23" t="s">
        <v>63</v>
      </c>
      <c r="B16" s="32">
        <v>6.25</v>
      </c>
      <c r="C16" s="33">
        <v>6.25</v>
      </c>
      <c r="D16" s="24"/>
      <c r="E16" s="17"/>
      <c r="F16" s="17"/>
      <c r="G16" s="17"/>
      <c r="H16" s="28">
        <f t="shared" ref="H16:H18" si="0">H15-F16-D16+B16</f>
        <v>13.331</v>
      </c>
      <c r="I16" s="28">
        <f t="shared" ref="I16:I18" si="1">I15-E16+C16</f>
        <v>13.331</v>
      </c>
      <c r="J16" s="29">
        <f t="shared" ref="J16:J18" si="2">SUM(H16:I16)</f>
        <v>26.661999999999999</v>
      </c>
    </row>
    <row r="17" spans="1:10" ht="15.75" customHeight="1" x14ac:dyDescent="0.25">
      <c r="A17" s="23" t="s">
        <v>64</v>
      </c>
      <c r="B17" s="17">
        <v>5</v>
      </c>
      <c r="C17" s="24">
        <v>5</v>
      </c>
      <c r="D17" s="24"/>
      <c r="E17" s="17"/>
      <c r="F17" s="17"/>
      <c r="G17" s="17"/>
      <c r="H17" s="28">
        <f t="shared" si="0"/>
        <v>18.331</v>
      </c>
      <c r="I17" s="28">
        <f t="shared" si="1"/>
        <v>18.331</v>
      </c>
      <c r="J17" s="29">
        <f t="shared" si="2"/>
        <v>36.661999999999999</v>
      </c>
    </row>
    <row r="18" spans="1:10" ht="15.75" customHeight="1" x14ac:dyDescent="0.25">
      <c r="A18" s="23" t="s">
        <v>65</v>
      </c>
      <c r="B18" s="17"/>
      <c r="C18" s="24"/>
      <c r="D18" s="24"/>
      <c r="E18" s="17"/>
      <c r="F18" s="71"/>
      <c r="G18" s="72">
        <v>3</v>
      </c>
      <c r="H18" s="28">
        <f t="shared" si="0"/>
        <v>18.331</v>
      </c>
      <c r="I18" s="28">
        <f t="shared" si="1"/>
        <v>18.331</v>
      </c>
      <c r="J18" s="29">
        <f t="shared" si="2"/>
        <v>36.661999999999999</v>
      </c>
    </row>
    <row r="19" spans="1:10" ht="15.75" customHeight="1" x14ac:dyDescent="0.25">
      <c r="A19" s="73" t="s">
        <v>66</v>
      </c>
      <c r="B19" s="71">
        <v>2.5</v>
      </c>
      <c r="C19" s="73">
        <v>2.5</v>
      </c>
      <c r="D19" s="73"/>
      <c r="E19" s="71"/>
      <c r="F19" s="71"/>
      <c r="G19" s="71"/>
      <c r="H19" s="28">
        <f t="shared" ref="H19" si="3">H18-F19-D19+B19</f>
        <v>20.831</v>
      </c>
      <c r="I19" s="28">
        <f t="shared" ref="I19" si="4">I18-E19+C19</f>
        <v>20.831</v>
      </c>
      <c r="J19" s="29">
        <f t="shared" ref="J19" si="5">SUM(H19:I19)</f>
        <v>41.661999999999999</v>
      </c>
    </row>
    <row r="20" spans="1:10" ht="15.75" customHeight="1" x14ac:dyDescent="0.25">
      <c r="A20" s="73" t="s">
        <v>67</v>
      </c>
      <c r="B20" s="71"/>
      <c r="C20" s="73"/>
      <c r="D20" s="73">
        <v>15</v>
      </c>
      <c r="E20" s="71"/>
      <c r="F20" s="71"/>
      <c r="G20" s="71"/>
      <c r="H20" s="28">
        <f t="shared" ref="H20" si="6">H19-F20-D20+B20</f>
        <v>5.8309999999999995</v>
      </c>
      <c r="I20" s="28">
        <f t="shared" ref="I20" si="7">I19-E20+C20</f>
        <v>20.831</v>
      </c>
      <c r="J20" s="29">
        <f t="shared" ref="J20" si="8">SUM(H20:I20)</f>
        <v>26.661999999999999</v>
      </c>
    </row>
    <row r="21" spans="1:10" x14ac:dyDescent="0.25">
      <c r="H21" s="31"/>
      <c r="I21" s="31"/>
      <c r="J21" s="31"/>
    </row>
    <row r="22" spans="1:10" x14ac:dyDescent="0.25">
      <c r="H22" s="31"/>
      <c r="I22" s="31"/>
      <c r="J22" s="31"/>
    </row>
    <row r="26" spans="1:10" x14ac:dyDescent="0.25">
      <c r="F26" s="30" t="s">
        <v>33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3"/>
  <sheetViews>
    <sheetView view="pageBreakPreview" topLeftCell="A4" zoomScaleNormal="100" workbookViewId="0">
      <selection activeCell="C18" sqref="C18"/>
    </sheetView>
  </sheetViews>
  <sheetFormatPr defaultColWidth="9" defaultRowHeight="15" x14ac:dyDescent="0.25"/>
  <cols>
    <col min="1" max="1" width="23.5703125" style="43" customWidth="1"/>
    <col min="2" max="2" width="18.85546875" style="43" customWidth="1"/>
    <col min="3" max="3" width="35" style="55" customWidth="1"/>
    <col min="4" max="4" width="11.7109375" style="56" customWidth="1"/>
    <col min="5" max="5" width="11" style="43" customWidth="1"/>
    <col min="6" max="6" width="11.85546875" style="56" customWidth="1"/>
    <col min="7" max="7" width="22" style="43" customWidth="1"/>
    <col min="8" max="16384" width="9" style="43"/>
  </cols>
  <sheetData>
    <row r="1" spans="1:7" s="35" customFormat="1" ht="52.5" customHeight="1" x14ac:dyDescent="0.25">
      <c r="E1" s="36"/>
    </row>
    <row r="2" spans="1:7" s="35" customFormat="1" ht="10.5" customHeight="1" x14ac:dyDescent="0.25">
      <c r="A2" s="95" t="s">
        <v>0</v>
      </c>
      <c r="B2" s="95"/>
      <c r="C2" s="95"/>
      <c r="D2" s="95"/>
      <c r="E2" s="95"/>
      <c r="F2" s="95"/>
      <c r="G2" s="95"/>
    </row>
    <row r="3" spans="1:7" s="35" customFormat="1" ht="15.95" customHeight="1" x14ac:dyDescent="0.25">
      <c r="A3" s="95" t="s">
        <v>1</v>
      </c>
      <c r="B3" s="95"/>
      <c r="C3" s="95"/>
      <c r="D3" s="95"/>
      <c r="E3" s="95"/>
      <c r="F3" s="95"/>
      <c r="G3" s="95"/>
    </row>
    <row r="4" spans="1:7" s="35" customFormat="1" ht="15.95" customHeight="1" x14ac:dyDescent="0.25">
      <c r="A4" s="95" t="s">
        <v>2</v>
      </c>
      <c r="B4" s="95"/>
      <c r="C4" s="95"/>
      <c r="D4" s="95"/>
      <c r="E4" s="95"/>
      <c r="F4" s="95"/>
      <c r="G4" s="95"/>
    </row>
    <row r="5" spans="1:7" s="35" customFormat="1" ht="15.95" customHeight="1" x14ac:dyDescent="0.25">
      <c r="A5" s="95" t="s">
        <v>3</v>
      </c>
      <c r="B5" s="95"/>
      <c r="C5" s="95"/>
      <c r="D5" s="95"/>
      <c r="E5" s="95"/>
      <c r="F5" s="95"/>
      <c r="G5" s="95"/>
    </row>
    <row r="6" spans="1:7" s="35" customFormat="1" ht="8.25" customHeight="1" x14ac:dyDescent="0.25">
      <c r="E6" s="36"/>
    </row>
    <row r="7" spans="1:7" s="35" customFormat="1" ht="8.25" customHeight="1" x14ac:dyDescent="0.25">
      <c r="E7" s="36"/>
    </row>
    <row r="8" spans="1:7" s="35" customFormat="1" ht="17.25" customHeight="1" x14ac:dyDescent="0.25">
      <c r="A8" s="37" t="s">
        <v>52</v>
      </c>
      <c r="B8" s="37"/>
      <c r="C8" s="37" t="s">
        <v>35</v>
      </c>
      <c r="D8" s="38"/>
      <c r="E8" s="37" t="s">
        <v>36</v>
      </c>
      <c r="F8" s="38"/>
      <c r="G8" s="39"/>
    </row>
    <row r="9" spans="1:7" s="35" customFormat="1" ht="12" customHeight="1" x14ac:dyDescent="0.25">
      <c r="A9" s="40"/>
      <c r="B9" s="40"/>
      <c r="C9" s="41"/>
      <c r="E9" s="37" t="s">
        <v>37</v>
      </c>
      <c r="F9" s="42"/>
      <c r="G9" s="41"/>
    </row>
    <row r="10" spans="1:7" s="35" customFormat="1" ht="14.25" customHeight="1" x14ac:dyDescent="0.25">
      <c r="A10" s="37" t="s">
        <v>50</v>
      </c>
      <c r="B10" s="37"/>
      <c r="C10" s="37" t="s">
        <v>38</v>
      </c>
      <c r="D10" s="38"/>
      <c r="E10" s="37" t="s">
        <v>39</v>
      </c>
      <c r="F10" s="38"/>
      <c r="G10" s="39"/>
    </row>
    <row r="11" spans="1:7" s="35" customFormat="1" ht="12" customHeight="1" thickBot="1" x14ac:dyDescent="0.3">
      <c r="A11" s="39"/>
      <c r="B11" s="39"/>
      <c r="C11" s="39"/>
      <c r="F11" s="38"/>
      <c r="G11" s="39"/>
    </row>
    <row r="12" spans="1:7" ht="23.25" customHeight="1" thickBot="1" x14ac:dyDescent="0.3">
      <c r="A12" s="96" t="s">
        <v>40</v>
      </c>
      <c r="B12" s="97"/>
      <c r="C12" s="97"/>
      <c r="D12" s="97"/>
      <c r="E12" s="97"/>
      <c r="F12" s="97"/>
      <c r="G12" s="98"/>
    </row>
    <row r="13" spans="1:7" s="48" customFormat="1" ht="37.5" customHeight="1" thickBot="1" x14ac:dyDescent="0.25">
      <c r="A13" s="44" t="s">
        <v>41</v>
      </c>
      <c r="B13" s="45" t="s">
        <v>42</v>
      </c>
      <c r="C13" s="57" t="s">
        <v>43</v>
      </c>
      <c r="D13" s="57" t="s">
        <v>13</v>
      </c>
      <c r="E13" s="46" t="s">
        <v>14</v>
      </c>
      <c r="F13" s="46" t="s">
        <v>15</v>
      </c>
      <c r="G13" s="47" t="s">
        <v>11</v>
      </c>
    </row>
    <row r="14" spans="1:7" s="48" customFormat="1" ht="24.75" customHeight="1" x14ac:dyDescent="0.2">
      <c r="A14" s="60" t="s">
        <v>56</v>
      </c>
      <c r="B14" s="69" t="s">
        <v>57</v>
      </c>
      <c r="C14" s="58" t="s">
        <v>49</v>
      </c>
      <c r="D14" s="34">
        <v>15</v>
      </c>
      <c r="E14" s="49">
        <v>1</v>
      </c>
      <c r="F14" s="49">
        <v>14</v>
      </c>
      <c r="G14" s="50">
        <v>14</v>
      </c>
    </row>
    <row r="15" spans="1:7" s="48" customFormat="1" ht="24.75" customHeight="1" x14ac:dyDescent="0.2">
      <c r="A15" s="60" t="s">
        <v>58</v>
      </c>
      <c r="B15" s="69" t="s">
        <v>59</v>
      </c>
      <c r="C15" s="67" t="s">
        <v>60</v>
      </c>
      <c r="D15" s="68">
        <v>3</v>
      </c>
      <c r="E15" s="49">
        <v>0</v>
      </c>
      <c r="F15" s="49">
        <v>3</v>
      </c>
      <c r="G15" s="50">
        <v>3</v>
      </c>
    </row>
    <row r="16" spans="1:7" s="48" customFormat="1" ht="18.75" customHeight="1" x14ac:dyDescent="0.2">
      <c r="A16" s="60" t="s">
        <v>45</v>
      </c>
      <c r="B16" s="61" t="s">
        <v>51</v>
      </c>
      <c r="C16" s="67" t="s">
        <v>46</v>
      </c>
      <c r="D16" s="68">
        <v>15</v>
      </c>
      <c r="E16" s="49">
        <v>0</v>
      </c>
      <c r="F16" s="49">
        <v>15</v>
      </c>
      <c r="G16" s="50">
        <v>15</v>
      </c>
    </row>
    <row r="17" spans="1:7" s="48" customFormat="1" ht="15.75" customHeight="1" x14ac:dyDescent="0.2">
      <c r="A17" s="60"/>
      <c r="B17" s="61"/>
      <c r="C17" s="58"/>
      <c r="D17" s="34"/>
      <c r="E17" s="49"/>
      <c r="F17" s="49"/>
      <c r="G17" s="50"/>
    </row>
    <row r="18" spans="1:7" s="53" customFormat="1" ht="27" customHeight="1" x14ac:dyDescent="0.2">
      <c r="A18" s="18"/>
      <c r="B18" s="18"/>
      <c r="C18" s="66"/>
      <c r="D18" s="51"/>
      <c r="E18" s="51"/>
      <c r="F18" s="51"/>
      <c r="G18" s="50"/>
    </row>
    <row r="19" spans="1:7" s="53" customFormat="1" ht="15.75" x14ac:dyDescent="0.2">
      <c r="A19" s="18"/>
      <c r="B19" s="18"/>
      <c r="C19" s="58"/>
      <c r="D19" s="51"/>
      <c r="E19" s="51"/>
      <c r="F19" s="51"/>
      <c r="G19" s="52"/>
    </row>
    <row r="20" spans="1:7" s="53" customFormat="1" ht="15.75" x14ac:dyDescent="0.2">
      <c r="A20" s="92" t="s">
        <v>11</v>
      </c>
      <c r="B20" s="93"/>
      <c r="C20" s="93"/>
      <c r="D20" s="93"/>
      <c r="E20" s="93"/>
      <c r="F20" s="94"/>
      <c r="G20" s="59" t="s">
        <v>61</v>
      </c>
    </row>
    <row r="21" spans="1:7" s="35" customFormat="1" ht="75.75" customHeight="1" x14ac:dyDescent="0.25">
      <c r="A21" s="54"/>
      <c r="B21" s="54"/>
      <c r="G21" s="54"/>
    </row>
    <row r="22" spans="1:7" s="35" customFormat="1" x14ac:dyDescent="0.25"/>
    <row r="23" spans="1:7" s="35" customFormat="1" x14ac:dyDescent="0.25"/>
  </sheetData>
  <mergeCells count="6">
    <mergeCell ref="A20:F20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C7965-D3D6-4500-BA63-0F8DABC529F9}">
  <sheetPr>
    <pageSetUpPr fitToPage="1"/>
  </sheetPr>
  <dimension ref="A1:M61"/>
  <sheetViews>
    <sheetView topLeftCell="A3" workbookViewId="0">
      <selection activeCell="B18" sqref="B18:E18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7.140625" style="13" customWidth="1"/>
    <col min="10" max="10" width="10" style="15" customWidth="1"/>
    <col min="11" max="11" width="8.710937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75" t="s">
        <v>0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1"/>
    </row>
    <row r="6" spans="1:13" x14ac:dyDescent="0.25">
      <c r="A6" s="75" t="s">
        <v>1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1"/>
    </row>
    <row r="7" spans="1:13" x14ac:dyDescent="0.25">
      <c r="A7" s="75" t="s">
        <v>2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1"/>
    </row>
    <row r="8" spans="1:13" x14ac:dyDescent="0.25">
      <c r="A8" s="75" t="s">
        <v>3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53</v>
      </c>
      <c r="B11" s="5"/>
      <c r="C11" s="74" t="s">
        <v>4</v>
      </c>
      <c r="D11" s="74"/>
      <c r="E11" s="74"/>
      <c r="F11" s="74"/>
      <c r="G11" s="74"/>
      <c r="H11" s="1"/>
      <c r="I11" s="74" t="s">
        <v>5</v>
      </c>
      <c r="J11" s="74"/>
      <c r="K11" s="74"/>
      <c r="L11" s="5"/>
      <c r="M11" s="1"/>
    </row>
    <row r="12" spans="1:13" x14ac:dyDescent="0.25">
      <c r="A12" s="1"/>
      <c r="B12" s="6"/>
      <c r="C12" s="74" t="s">
        <v>54</v>
      </c>
      <c r="D12" s="74"/>
      <c r="E12" s="74"/>
      <c r="F12" s="74"/>
      <c r="G12" s="74"/>
      <c r="H12" s="1"/>
      <c r="I12" s="105" t="s">
        <v>6</v>
      </c>
      <c r="J12" s="105"/>
      <c r="K12" s="105"/>
      <c r="L12" s="6"/>
      <c r="M12" s="1"/>
    </row>
    <row r="13" spans="1:13" x14ac:dyDescent="0.25">
      <c r="A13" s="5" t="s">
        <v>47</v>
      </c>
      <c r="B13" s="5"/>
      <c r="C13" s="7"/>
      <c r="D13" s="6"/>
      <c r="E13" s="6"/>
      <c r="F13" s="1"/>
      <c r="G13" s="1"/>
      <c r="H13" s="1"/>
      <c r="I13" s="74" t="s">
        <v>7</v>
      </c>
      <c r="J13" s="74"/>
      <c r="K13" s="74"/>
      <c r="L13" s="5"/>
      <c r="M13" s="1"/>
    </row>
    <row r="14" spans="1:13" ht="21.75" thickBot="1" x14ac:dyDescent="0.3">
      <c r="A14" s="80" t="s">
        <v>8</v>
      </c>
      <c r="B14" s="80"/>
      <c r="C14" s="80"/>
      <c r="D14" s="80"/>
      <c r="E14" s="80"/>
      <c r="F14" s="80"/>
      <c r="G14" s="80"/>
      <c r="H14" s="80"/>
      <c r="I14" s="80"/>
      <c r="J14" s="80"/>
      <c r="K14" s="80"/>
      <c r="L14" s="80"/>
    </row>
    <row r="15" spans="1:13" x14ac:dyDescent="0.25">
      <c r="A15" s="106" t="s">
        <v>9</v>
      </c>
      <c r="B15" s="108" t="s">
        <v>10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10" t="s">
        <v>11</v>
      </c>
      <c r="M15" s="8"/>
    </row>
    <row r="16" spans="1:13" x14ac:dyDescent="0.25">
      <c r="A16" s="107"/>
      <c r="B16" s="100" t="s">
        <v>12</v>
      </c>
      <c r="C16" s="112"/>
      <c r="D16" s="112"/>
      <c r="E16" s="101"/>
      <c r="F16" s="100" t="s">
        <v>13</v>
      </c>
      <c r="G16" s="101"/>
      <c r="H16" s="100" t="s">
        <v>14</v>
      </c>
      <c r="I16" s="101"/>
      <c r="J16" s="100" t="s">
        <v>15</v>
      </c>
      <c r="K16" s="101"/>
      <c r="L16" s="111"/>
      <c r="M16" s="8"/>
    </row>
    <row r="17" spans="1:13" ht="33.75" customHeight="1" x14ac:dyDescent="0.25">
      <c r="A17" s="62" t="s">
        <v>18</v>
      </c>
      <c r="B17" s="102" t="s">
        <v>55</v>
      </c>
      <c r="C17" s="103"/>
      <c r="D17" s="103"/>
      <c r="E17" s="104"/>
      <c r="F17" s="65">
        <v>15</v>
      </c>
      <c r="G17" s="70"/>
      <c r="H17" s="102">
        <v>0</v>
      </c>
      <c r="I17" s="104"/>
      <c r="J17" s="102">
        <v>15</v>
      </c>
      <c r="K17" s="104"/>
      <c r="L17" s="63">
        <v>15</v>
      </c>
      <c r="M17" s="8"/>
    </row>
    <row r="18" spans="1:13" ht="33.75" customHeight="1" x14ac:dyDescent="0.25">
      <c r="A18" s="23" t="s">
        <v>17</v>
      </c>
      <c r="B18" s="102"/>
      <c r="C18" s="103"/>
      <c r="D18" s="103"/>
      <c r="E18" s="104"/>
      <c r="F18" s="65"/>
      <c r="G18" s="70"/>
      <c r="H18" s="102">
        <v>1</v>
      </c>
      <c r="I18" s="104"/>
      <c r="J18" s="102">
        <v>14</v>
      </c>
      <c r="K18" s="104"/>
      <c r="L18" s="64">
        <v>14</v>
      </c>
      <c r="M18" s="9"/>
    </row>
    <row r="19" spans="1:13" x14ac:dyDescent="0.25">
      <c r="A19" s="10" t="s">
        <v>16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  <c r="M19" s="9"/>
    </row>
    <row r="20" spans="1:13" x14ac:dyDescent="0.25">
      <c r="A20" s="99"/>
      <c r="B20" s="99"/>
      <c r="C20" s="99"/>
      <c r="D20" s="99"/>
      <c r="E20" s="99"/>
      <c r="F20" s="99"/>
      <c r="G20" s="99"/>
      <c r="H20" s="99"/>
      <c r="I20" s="99"/>
      <c r="J20" s="99"/>
      <c r="K20" s="99"/>
      <c r="L20" s="99"/>
    </row>
    <row r="21" spans="1:13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3:7" customFormat="1" x14ac:dyDescent="0.25">
      <c r="C33" s="14"/>
    </row>
    <row r="34" spans="3:7" customFormat="1" x14ac:dyDescent="0.25">
      <c r="C34" s="14"/>
    </row>
    <row r="35" spans="3:7" customFormat="1" x14ac:dyDescent="0.25">
      <c r="C35" s="14"/>
      <c r="G35" t="s">
        <v>48</v>
      </c>
    </row>
    <row r="36" spans="3:7" customFormat="1" x14ac:dyDescent="0.25">
      <c r="C36" s="14"/>
    </row>
    <row r="37" spans="3:7" customFormat="1" x14ac:dyDescent="0.25">
      <c r="C37" s="14"/>
    </row>
    <row r="38" spans="3:7" customFormat="1" x14ac:dyDescent="0.25">
      <c r="C38" s="14"/>
    </row>
    <row r="39" spans="3:7" customFormat="1" x14ac:dyDescent="0.25">
      <c r="C39" s="14"/>
    </row>
    <row r="40" spans="3:7" customFormat="1" x14ac:dyDescent="0.25">
      <c r="C40" s="14"/>
    </row>
    <row r="41" spans="3:7" customFormat="1" x14ac:dyDescent="0.25">
      <c r="C41" s="14"/>
    </row>
    <row r="42" spans="3:7" customFormat="1" x14ac:dyDescent="0.25">
      <c r="C42" s="14"/>
    </row>
    <row r="43" spans="3:7" customFormat="1" x14ac:dyDescent="0.25">
      <c r="C43" s="14"/>
    </row>
    <row r="44" spans="3:7" customFormat="1" x14ac:dyDescent="0.25">
      <c r="C44" s="14"/>
    </row>
    <row r="45" spans="3:7" customFormat="1" x14ac:dyDescent="0.25">
      <c r="C45" s="14"/>
    </row>
    <row r="46" spans="3:7" customFormat="1" x14ac:dyDescent="0.25">
      <c r="C46" s="14"/>
    </row>
    <row r="47" spans="3:7" customFormat="1" x14ac:dyDescent="0.25">
      <c r="C47" s="14"/>
    </row>
    <row r="48" spans="3:7" customFormat="1" x14ac:dyDescent="0.25">
      <c r="C48" s="14"/>
    </row>
    <row r="49" spans="3:3" customFormat="1" x14ac:dyDescent="0.25">
      <c r="C49" s="14"/>
    </row>
    <row r="50" spans="3:3" customFormat="1" x14ac:dyDescent="0.25">
      <c r="C50" s="14"/>
    </row>
    <row r="51" spans="3:3" customFormat="1" x14ac:dyDescent="0.25">
      <c r="C51" s="14"/>
    </row>
    <row r="52" spans="3:3" customFormat="1" x14ac:dyDescent="0.25">
      <c r="C52" s="14"/>
    </row>
    <row r="53" spans="3:3" customFormat="1" x14ac:dyDescent="0.25">
      <c r="C53" s="14"/>
    </row>
    <row r="54" spans="3:3" customFormat="1" x14ac:dyDescent="0.25">
      <c r="C54" s="14"/>
    </row>
    <row r="55" spans="3:3" customFormat="1" x14ac:dyDescent="0.25">
      <c r="C55" s="14"/>
    </row>
    <row r="56" spans="3:3" customFormat="1" x14ac:dyDescent="0.25">
      <c r="C56" s="14"/>
    </row>
    <row r="57" spans="3:3" customFormat="1" x14ac:dyDescent="0.25">
      <c r="C57" s="14"/>
    </row>
    <row r="58" spans="3:3" customFormat="1" x14ac:dyDescent="0.25">
      <c r="C58" s="14"/>
    </row>
    <row r="59" spans="3:3" customFormat="1" x14ac:dyDescent="0.25">
      <c r="C59" s="14"/>
    </row>
    <row r="60" spans="3:3" customFormat="1" x14ac:dyDescent="0.25">
      <c r="C60" s="14"/>
    </row>
    <row r="61" spans="3:3" customFormat="1" x14ac:dyDescent="0.25">
      <c r="C61" s="14"/>
    </row>
  </sheetData>
  <mergeCells count="24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20:L20"/>
    <mergeCell ref="J16:K16"/>
    <mergeCell ref="B17:E17"/>
    <mergeCell ref="H17:I17"/>
    <mergeCell ref="J17:K17"/>
    <mergeCell ref="B18:E18"/>
    <mergeCell ref="H18:I18"/>
    <mergeCell ref="J18:K18"/>
  </mergeCells>
  <pageMargins left="0.7" right="0.7" top="0.75" bottom="0.75" header="0.3" footer="0.3"/>
  <pageSetup paperSize="9" scale="62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Election &amp; NLC</vt:lpstr>
      <vt:lpstr>Sheet1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2025-06-04T01:30:22Z</cp:lastPrinted>
  <dcterms:created xsi:type="dcterms:W3CDTF">2022-11-24T07:01:13Z</dcterms:created>
  <dcterms:modified xsi:type="dcterms:W3CDTF">2025-06-04T01:34:06Z</dcterms:modified>
</cp:coreProperties>
</file>