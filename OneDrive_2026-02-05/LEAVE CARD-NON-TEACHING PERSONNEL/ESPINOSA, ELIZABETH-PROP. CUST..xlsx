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42B5CE70-A06F-4F13-A527-AA2C309291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CORRECTED" sheetId="11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CORRECTED'!$A$1:$L$36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1" l="1"/>
  <c r="K26" i="11"/>
  <c r="L26" i="11" s="1"/>
  <c r="J27" i="11"/>
  <c r="J28" i="11" s="1"/>
  <c r="K14" i="11"/>
  <c r="K15" i="11" s="1"/>
  <c r="K16" i="11" s="1"/>
  <c r="K17" i="11" s="1"/>
  <c r="K18" i="11" s="1"/>
  <c r="K19" i="11" s="1"/>
  <c r="K21" i="11" s="1"/>
  <c r="K22" i="11" s="1"/>
  <c r="K23" i="11" s="1"/>
  <c r="K24" i="11" s="1"/>
  <c r="K25" i="11" s="1"/>
  <c r="J14" i="11"/>
  <c r="J15" i="11" s="1"/>
  <c r="J16" i="11" s="1"/>
  <c r="J29" i="11" l="1"/>
  <c r="K27" i="11"/>
  <c r="L14" i="11"/>
  <c r="J17" i="11"/>
  <c r="L16" i="11"/>
  <c r="L15" i="11"/>
  <c r="K28" i="11" l="1"/>
  <c r="L27" i="11"/>
  <c r="J18" i="11"/>
  <c r="L17" i="11"/>
  <c r="K29" i="11" l="1"/>
  <c r="L29" i="11" s="1"/>
  <c r="L28" i="11"/>
  <c r="J19" i="11"/>
  <c r="L18" i="11"/>
  <c r="J21" i="11" l="1"/>
  <c r="J22" i="11" s="1"/>
  <c r="L19" i="11"/>
  <c r="J23" i="11" l="1"/>
  <c r="J24" i="11" s="1"/>
  <c r="L22" i="11"/>
  <c r="L21" i="11"/>
  <c r="L24" i="11" l="1"/>
  <c r="J25" i="11"/>
  <c r="L23" i="11"/>
  <c r="L25" i="11" l="1"/>
</calcChain>
</file>

<file path=xl/sharedStrings.xml><?xml version="1.0" encoding="utf-8"?>
<sst xmlns="http://schemas.openxmlformats.org/spreadsheetml/2006/main" count="92" uniqueCount="72">
  <si>
    <t>PERIOD COVERED</t>
  </si>
  <si>
    <t>LEAVE EARNED</t>
  </si>
  <si>
    <t>TOTAL</t>
  </si>
  <si>
    <t>Republic of the Philippines</t>
  </si>
  <si>
    <t>Department of Education</t>
  </si>
  <si>
    <t>REGION VI-WESTERN VISAYAS</t>
  </si>
  <si>
    <t>SCHOOLS DIVISION OF SIPALAY CITY</t>
  </si>
  <si>
    <t>POSITION   : ______________________</t>
  </si>
  <si>
    <t>EMPLOYEE NO    : __________</t>
  </si>
  <si>
    <t>STATION CODE    : __________</t>
  </si>
  <si>
    <t>DIVISION CODE   : __________</t>
  </si>
  <si>
    <t>DISTRICT                : _______________________</t>
  </si>
  <si>
    <t>NAME          : _____________________</t>
  </si>
  <si>
    <t>Balance</t>
  </si>
  <si>
    <t>No. of Days Granted</t>
  </si>
  <si>
    <t>No. of Days Used</t>
  </si>
  <si>
    <t>SCHOOL/OFFICE : _______________________</t>
  </si>
  <si>
    <t>COMPENSATORY TIME OFF (CTO)</t>
  </si>
  <si>
    <t>SPECIAL ORDER FOR ELECTION (NATONAL/BARANGAY AND SK ELECTION)</t>
  </si>
  <si>
    <t>NATIONAL ELECTION</t>
  </si>
  <si>
    <t>DISTRICT             : _______________________</t>
  </si>
  <si>
    <t>STATION CODE   : __________</t>
  </si>
  <si>
    <t>EMPLOYEE NO   : __________</t>
  </si>
  <si>
    <t>NOTE:  Valid for one (1) year only</t>
  </si>
  <si>
    <t>BARANGAY ELECTION/SK ELECTION</t>
  </si>
  <si>
    <t>Special Order No. and Date Issued</t>
  </si>
  <si>
    <t>SPECIAL ORDER NO. AND DATE ISSUED</t>
  </si>
  <si>
    <t>POSITION   : TEACHER III</t>
  </si>
  <si>
    <t>SCHOOL/OFFICE : NABULAO ES</t>
  </si>
  <si>
    <t>LEAVE SPENT</t>
  </si>
  <si>
    <t>BALANCE</t>
  </si>
  <si>
    <t>VACATION</t>
  </si>
  <si>
    <t>SICK</t>
  </si>
  <si>
    <t>FORCED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</si>
  <si>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</si>
  <si>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</si>
  <si>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</si>
  <si>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</si>
  <si>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</si>
  <si>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</si>
  <si>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</si>
  <si>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DATE FILED/RECEIVED</t>
  </si>
  <si>
    <t>SPECIAL</t>
  </si>
  <si>
    <t xml:space="preserve">  </t>
  </si>
  <si>
    <t>LESS: MONETIZATION 2024</t>
  </si>
  <si>
    <t># OF DAYS GRANTED</t>
  </si>
  <si>
    <t>SO # 070 S. 2018</t>
  </si>
  <si>
    <t>SO # 287 S. 2019</t>
  </si>
  <si>
    <t>SO # 153 S. 2020</t>
  </si>
  <si>
    <t>SO # 041 S. 2021</t>
  </si>
  <si>
    <t>NAME         :</t>
  </si>
  <si>
    <t>SO # 053 S. 2022</t>
  </si>
  <si>
    <t>TOTAL SERVICE LEAVE CREDITS</t>
  </si>
  <si>
    <t>SPECIAL ORDER</t>
  </si>
  <si>
    <t>SO # 015 S. 2012</t>
  </si>
  <si>
    <t>INCLUSIVE DATES</t>
  </si>
  <si>
    <t>05/4-6/2010</t>
  </si>
  <si>
    <t>SO # 108, S. 2012</t>
  </si>
  <si>
    <t>05/5-11/2012</t>
  </si>
  <si>
    <t>SO # Unnumbered S. 2013</t>
  </si>
  <si>
    <t>05/20-27/2013</t>
  </si>
  <si>
    <t>SO # 780 S. 2015</t>
  </si>
  <si>
    <t>04/21-27/2014</t>
  </si>
  <si>
    <t>SO # 030 S. 2016</t>
  </si>
  <si>
    <t>05/4-8, 11-12/2015</t>
  </si>
  <si>
    <t>04/18-22, 25-26/2016</t>
  </si>
  <si>
    <t>05/18-19, 16-22/2017</t>
  </si>
  <si>
    <t>05/14-18, 21-22/2018</t>
  </si>
  <si>
    <t>04/19-20, 23-27/2019</t>
  </si>
  <si>
    <t>04/6-10, 13-14/2020</t>
  </si>
  <si>
    <t>05/8, 10-14, 22/2021</t>
  </si>
  <si>
    <t>CONVERT:                                      VL &amp; SL = 30Y/69/2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</si>
</sst>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9" fillId="0" borderId="0" xfId="0" applyFont="1"/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0" fillId="2" borderId="6" xfId="0" applyFont="1" applyFill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7" fillId="13" borderId="8" xfId="0" applyFont="1" applyFill="1" applyBorder="1" applyAlignment="1">
      <alignment horizontal="center" vertical="center" wrapText="1"/>
    </xf>
    <xf numFmtId="0" fontId="7" fillId="13" borderId="12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548137</xdr:colOff>
      <xdr:row>0</xdr:row>
      <xdr:rowOff>125802</xdr:rowOff>
    </xdr:from>
    <xdr:to>
      <xdr:col>4</xdr:col>
      <xdr:colOff>305520</xdr:colOff>
      <xdr:row>0</xdr:row>
      <xdr:rowOff>639913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A70F6-71CB-453F-908E-7D5B936FB3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123" y="125802"/>
          <a:ext cx="530166" cy="51411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573941</xdr:colOff>
      <xdr:row>4</xdr:row>
      <xdr:rowOff>170961</xdr:rowOff>
    </xdr:from>
    <xdr:to>
      <xdr:col>1</xdr:col>
      <xdr:colOff>646980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9E754E-1208-48CB-8AC8-C7C3E3CD62F7}"/>
            </a:ext>
          </a:extLst>
        </xdr:cNvPr>
        <xdr:cNvSpPr txBox="1"/>
      </xdr:nvSpPr>
      <xdr:spPr>
        <a:xfrm>
          <a:off x="573941" y="1366079"/>
          <a:ext cx="1861223" cy="250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ESPINOSA, ELIZABETH</a:t>
          </a:r>
          <a:r>
            <a:rPr lang="en-US" sz="1100" baseline="0"/>
            <a:t> S.</a:t>
          </a:r>
          <a:endParaRPr lang="en-US" sz="1100"/>
        </a:p>
      </xdr:txBody>
    </xdr:sp>
    <xdr:clientData/>
  </xdr:twoCellAnchor>
  <xdr:twoCellAnchor>
    <xdr:from>
      <xdr:col>0</xdr:col>
      <xdr:colOff>616682</xdr:colOff>
      <xdr:row>7</xdr:row>
      <xdr:rowOff>61057</xdr:rowOff>
    </xdr:from>
    <xdr:to>
      <xdr:col>2</xdr:col>
      <xdr:colOff>745826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C5A113-872F-4E31-92C4-52743DCB84E1}"/>
            </a:ext>
          </a:extLst>
        </xdr:cNvPr>
        <xdr:cNvSpPr txBox="1"/>
      </xdr:nvSpPr>
      <xdr:spPr>
        <a:xfrm>
          <a:off x="616682" y="1714453"/>
          <a:ext cx="3103460" cy="250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(PROP. CUSTODIAN)  to MT-I (06/14/2021)</a:t>
          </a:r>
          <a:endParaRPr lang="en-US" sz="1100"/>
        </a:p>
      </xdr:txBody>
    </xdr:sp>
    <xdr:clientData/>
  </xdr:twoCellAnchor>
  <xdr:twoCellAnchor>
    <xdr:from>
      <xdr:col>4</xdr:col>
      <xdr:colOff>415193</xdr:colOff>
      <xdr:row>7</xdr:row>
      <xdr:rowOff>42741</xdr:rowOff>
    </xdr:from>
    <xdr:to>
      <xdr:col>6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AD699B-2ADB-45A2-996A-AC19E130FA66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BINULIG ES</a:t>
          </a:r>
        </a:p>
      </xdr:txBody>
    </xdr:sp>
    <xdr:clientData/>
  </xdr:twoCellAnchor>
  <xdr:twoCellAnchor>
    <xdr:from>
      <xdr:col>5</xdr:col>
      <xdr:colOff>476250</xdr:colOff>
      <xdr:row>30</xdr:row>
      <xdr:rowOff>62900</xdr:rowOff>
    </xdr:from>
    <xdr:to>
      <xdr:col>11</xdr:col>
      <xdr:colOff>197689</xdr:colOff>
      <xdr:row>35</xdr:row>
      <xdr:rowOff>179717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79A786-9C0D-44FC-80CB-11868F3F28AB}"/>
            </a:ext>
          </a:extLst>
        </xdr:cNvPr>
        <xdr:cNvSpPr txBox="1"/>
      </xdr:nvSpPr>
      <xdr:spPr>
        <a:xfrm>
          <a:off x="6361981" y="5652098"/>
          <a:ext cx="2812571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37DD8-3434-4B38-8F92-36DB5D271B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7825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BED136-E43D-4FA2-A41D-AA3709284738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D30D5-6606-4658-A833-9095A67E3C84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779F1-BC12-49E3-81E1-8CB532D8BA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300" y="2877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6082A0-9649-46A9-B0C1-027E1EBF9C10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DB27D5C-2D47-4243-88EF-D26B6CBD595C}"/>
            </a:ext>
          </a:extLst>
        </xdr:cNvPr>
        <xdr:cNvCxnSpPr/>
      </xdr:nvCxnSpPr>
      <xdr:spPr>
        <a:xfrm>
          <a:off x="742950" y="17716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91D20B-E556-46DE-B9DD-62F18440B2A7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4"/>
  <sheetViews>
    <sheetView tabSelected="1" view="pageBreakPreview" topLeftCell="A8" zoomScale="106" zoomScaleNormal="100" zoomScaleSheetLayoutView="106" workbookViewId="0">
      <selection activeCell="F35" sqref="F35"/>
    </sheetView>
  </sheetViews>
  <sheetFormatPr defaultRowHeight="15" x14ac:dyDescent="0.25"/>
  <cols>
    <col min="1" max="1" width="26.85546875" customWidth="1"/>
    <col min="2" max="2" width="23.28515625" customWidth="1"/>
    <col min="3" max="3" width="12.7109375" customWidth="1"/>
    <col min="4" max="7" width="11.5703125" customWidth="1"/>
    <col min="8" max="9" width="11.5703125" style="39" hidden="1" customWidth="1"/>
    <col min="10" max="12" width="11.5703125" customWidth="1"/>
    <col min="13" max="13" width="26.42578125" style="36" customWidth="1"/>
  </cols>
  <sheetData>
    <row r="1" spans="1:13" s="1" customFormat="1" ht="52.5" customHeight="1" x14ac:dyDescent="0.25"/>
    <row r="2" spans="1:13" s="1" customFormat="1" ht="10.5" customHeight="1" x14ac:dyDescent="0.25">
      <c r="A2" s="80" t="s">
        <v>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3" s="1" customFormat="1" ht="15.95" customHeight="1" x14ac:dyDescent="0.25">
      <c r="A3" s="80" t="s">
        <v>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3" s="1" customFormat="1" ht="15.95" customHeight="1" x14ac:dyDescent="0.25">
      <c r="A4" s="80" t="s">
        <v>5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</row>
    <row r="5" spans="1:13" s="1" customFormat="1" ht="15.95" customHeight="1" x14ac:dyDescent="0.25">
      <c r="A5" s="80" t="s">
        <v>6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3" s="1" customFormat="1" ht="8.25" customHeight="1" x14ac:dyDescent="0.25"/>
    <row r="7" spans="1:13" s="1" customFormat="1" ht="12" customHeight="1" x14ac:dyDescent="0.25">
      <c r="A7" s="1" t="s">
        <v>34</v>
      </c>
      <c r="D7" s="79" t="s">
        <v>35</v>
      </c>
      <c r="E7" s="79"/>
      <c r="F7" s="79"/>
      <c r="J7" s="3" t="s">
        <v>36</v>
      </c>
      <c r="K7" s="31"/>
      <c r="L7" s="3"/>
    </row>
    <row r="8" spans="1:13" s="1" customFormat="1" ht="12" customHeight="1" x14ac:dyDescent="0.25">
      <c r="D8" s="2"/>
      <c r="E8" s="2"/>
      <c r="J8" s="2"/>
      <c r="K8" s="2"/>
      <c r="L8" s="2"/>
    </row>
    <row r="9" spans="1:13" s="1" customFormat="1" ht="12" customHeight="1" x14ac:dyDescent="0.25">
      <c r="A9" s="1" t="s">
        <v>37</v>
      </c>
      <c r="D9" s="79" t="s">
        <v>38</v>
      </c>
      <c r="E9" s="79"/>
      <c r="F9" s="79"/>
      <c r="J9" s="3" t="s">
        <v>39</v>
      </c>
      <c r="K9" s="32"/>
      <c r="L9" s="3"/>
    </row>
    <row r="10" spans="1:13" ht="23.25" customHeight="1" thickBot="1" x14ac:dyDescent="0.3">
      <c r="A10" s="66" t="s">
        <v>40</v>
      </c>
      <c r="B10" s="67"/>
      <c r="C10" s="67"/>
      <c r="D10" s="66"/>
      <c r="E10" s="66"/>
      <c r="F10" s="66"/>
      <c r="G10" s="66"/>
      <c r="H10" s="66"/>
      <c r="I10" s="66"/>
      <c r="J10" s="66"/>
      <c r="K10" s="66"/>
      <c r="L10" s="66"/>
      <c r="M10"/>
    </row>
    <row r="11" spans="1:13" ht="18.75" customHeight="1" x14ac:dyDescent="0.25">
      <c r="A11" s="68" t="s">
        <v>53</v>
      </c>
      <c r="B11" s="59" t="s">
        <v>55</v>
      </c>
      <c r="C11" s="59" t="s">
        <v>45</v>
      </c>
      <c r="D11" s="70" t="s">
        <v>1</v>
      </c>
      <c r="E11" s="71"/>
      <c r="F11" s="72" t="s">
        <v>29</v>
      </c>
      <c r="G11" s="73"/>
      <c r="H11" s="73"/>
      <c r="I11" s="74"/>
      <c r="J11" s="75" t="s">
        <v>30</v>
      </c>
      <c r="K11" s="76"/>
      <c r="L11" s="77" t="s">
        <v>2</v>
      </c>
      <c r="M11" s="65" t="s">
        <v>41</v>
      </c>
    </row>
    <row r="12" spans="1:13" ht="15.75" thickBot="1" x14ac:dyDescent="0.3">
      <c r="A12" s="69"/>
      <c r="B12" s="60"/>
      <c r="C12" s="60"/>
      <c r="D12" s="33" t="s">
        <v>31</v>
      </c>
      <c r="E12" s="33" t="s">
        <v>32</v>
      </c>
      <c r="F12" s="33" t="s">
        <v>31</v>
      </c>
      <c r="G12" s="33" t="s">
        <v>32</v>
      </c>
      <c r="H12" s="33" t="s">
        <v>33</v>
      </c>
      <c r="I12" s="33" t="s">
        <v>42</v>
      </c>
      <c r="J12" s="33" t="s">
        <v>31</v>
      </c>
      <c r="K12" s="44" t="s">
        <v>32</v>
      </c>
      <c r="L12" s="78"/>
      <c r="M12" s="65"/>
    </row>
    <row r="13" spans="1:13" x14ac:dyDescent="0.25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8"/>
      <c r="M13" s="40"/>
    </row>
    <row r="14" spans="1:13" ht="16.5" customHeight="1" x14ac:dyDescent="0.25">
      <c r="A14" s="52" t="s">
        <v>54</v>
      </c>
      <c r="B14" s="55" t="s">
        <v>56</v>
      </c>
      <c r="C14" s="52">
        <v>7</v>
      </c>
      <c r="D14" s="48"/>
      <c r="E14" s="49"/>
      <c r="F14" s="49"/>
      <c r="G14" s="11"/>
      <c r="H14" s="11"/>
      <c r="I14" s="23"/>
      <c r="J14" s="34">
        <f>D14</f>
        <v>0</v>
      </c>
      <c r="K14" s="34">
        <f>E14</f>
        <v>0</v>
      </c>
      <c r="L14" s="35">
        <f>SUM(J14:K14)</f>
        <v>0</v>
      </c>
    </row>
    <row r="15" spans="1:13" ht="16.5" customHeight="1" x14ac:dyDescent="0.25">
      <c r="A15" s="52" t="s">
        <v>57</v>
      </c>
      <c r="B15" s="53" t="s">
        <v>58</v>
      </c>
      <c r="C15" s="52">
        <v>7</v>
      </c>
      <c r="D15" s="48"/>
      <c r="E15" s="49"/>
      <c r="F15" s="49"/>
      <c r="G15" s="11"/>
      <c r="H15" s="11"/>
      <c r="I15" s="11"/>
      <c r="J15" s="37">
        <f>J14-H15-F15+D15</f>
        <v>0</v>
      </c>
      <c r="K15" s="37">
        <f>K14-G15+E15</f>
        <v>0</v>
      </c>
      <c r="L15" s="38">
        <f>SUM(J15:K15)</f>
        <v>0</v>
      </c>
    </row>
    <row r="16" spans="1:13" ht="16.5" customHeight="1" x14ac:dyDescent="0.25">
      <c r="A16" s="52" t="s">
        <v>59</v>
      </c>
      <c r="B16" s="54" t="s">
        <v>60</v>
      </c>
      <c r="C16" s="52">
        <v>7</v>
      </c>
      <c r="D16" s="48"/>
      <c r="E16" s="49"/>
      <c r="F16" s="49"/>
      <c r="G16" s="11"/>
      <c r="H16" s="13"/>
      <c r="I16" s="11"/>
      <c r="J16" s="37">
        <f t="shared" ref="J16:J19" si="0">J15-H16-F16+D16</f>
        <v>0</v>
      </c>
      <c r="K16" s="37">
        <f t="shared" ref="K16:K19" si="1">K15-G16+E16</f>
        <v>0</v>
      </c>
      <c r="L16" s="38">
        <f t="shared" ref="L16:L21" si="2">SUM(J16:K16)</f>
        <v>0</v>
      </c>
    </row>
    <row r="17" spans="1:12" ht="15.75" customHeight="1" x14ac:dyDescent="0.25">
      <c r="A17" s="52" t="s">
        <v>61</v>
      </c>
      <c r="B17" s="54" t="s">
        <v>62</v>
      </c>
      <c r="C17" s="52">
        <v>7</v>
      </c>
      <c r="D17" s="48"/>
      <c r="E17" s="49"/>
      <c r="F17" s="49"/>
      <c r="G17" s="11"/>
      <c r="H17" s="13"/>
      <c r="I17" s="11"/>
      <c r="J17" s="37">
        <f t="shared" si="0"/>
        <v>0</v>
      </c>
      <c r="K17" s="37">
        <f t="shared" si="1"/>
        <v>0</v>
      </c>
      <c r="L17" s="38">
        <f t="shared" si="2"/>
        <v>0</v>
      </c>
    </row>
    <row r="18" spans="1:12" ht="15" customHeight="1" x14ac:dyDescent="0.25">
      <c r="A18" s="52" t="s">
        <v>63</v>
      </c>
      <c r="B18" s="53" t="s">
        <v>64</v>
      </c>
      <c r="C18" s="52">
        <v>7</v>
      </c>
      <c r="D18" s="48"/>
      <c r="E18" s="49"/>
      <c r="F18" s="49"/>
      <c r="G18" s="11"/>
      <c r="H18" s="13"/>
      <c r="I18" s="11"/>
      <c r="J18" s="37">
        <f t="shared" si="0"/>
        <v>0</v>
      </c>
      <c r="K18" s="37">
        <f t="shared" si="1"/>
        <v>0</v>
      </c>
      <c r="L18" s="38">
        <f t="shared" si="2"/>
        <v>0</v>
      </c>
    </row>
    <row r="19" spans="1:12" ht="15.75" customHeight="1" x14ac:dyDescent="0.25">
      <c r="A19" s="63" t="s">
        <v>46</v>
      </c>
      <c r="B19" s="53" t="s">
        <v>65</v>
      </c>
      <c r="C19" s="52">
        <v>7</v>
      </c>
      <c r="D19" s="48"/>
      <c r="E19" s="49"/>
      <c r="F19" s="49"/>
      <c r="G19" s="11"/>
      <c r="H19" s="13"/>
      <c r="I19" s="11"/>
      <c r="J19" s="37">
        <f t="shared" si="0"/>
        <v>0</v>
      </c>
      <c r="K19" s="37">
        <f t="shared" si="1"/>
        <v>0</v>
      </c>
      <c r="L19" s="38">
        <f t="shared" si="2"/>
        <v>0</v>
      </c>
    </row>
    <row r="20" spans="1:12" ht="15.75" customHeight="1" x14ac:dyDescent="0.25">
      <c r="A20" s="64"/>
      <c r="B20" s="53" t="s">
        <v>66</v>
      </c>
      <c r="C20" s="52">
        <v>7</v>
      </c>
      <c r="D20" s="48"/>
      <c r="E20" s="49"/>
      <c r="F20" s="49"/>
      <c r="G20" s="11"/>
      <c r="H20" s="13"/>
      <c r="I20" s="11"/>
      <c r="J20" s="37"/>
      <c r="K20" s="37"/>
      <c r="L20" s="38"/>
    </row>
    <row r="21" spans="1:12" ht="14.25" customHeight="1" x14ac:dyDescent="0.25">
      <c r="A21" s="52" t="s">
        <v>47</v>
      </c>
      <c r="B21" s="53" t="s">
        <v>67</v>
      </c>
      <c r="C21" s="52">
        <v>7</v>
      </c>
      <c r="D21" s="48"/>
      <c r="E21" s="49"/>
      <c r="F21" s="49"/>
      <c r="G21" s="11"/>
      <c r="H21" s="11"/>
      <c r="I21" s="11"/>
      <c r="J21" s="37">
        <f>J19-H21-F21+D21</f>
        <v>0</v>
      </c>
      <c r="K21" s="37">
        <f>K19-G21+E21</f>
        <v>0</v>
      </c>
      <c r="L21" s="38">
        <f t="shared" si="2"/>
        <v>0</v>
      </c>
    </row>
    <row r="22" spans="1:12" ht="16.5" customHeight="1" x14ac:dyDescent="0.25">
      <c r="A22" s="52" t="s">
        <v>48</v>
      </c>
      <c r="B22" s="54" t="s">
        <v>68</v>
      </c>
      <c r="C22" s="52">
        <v>7</v>
      </c>
      <c r="D22" s="48"/>
      <c r="E22" s="49"/>
      <c r="F22" s="49"/>
      <c r="G22" s="11"/>
      <c r="H22" s="11"/>
      <c r="I22" s="11"/>
      <c r="J22" s="37">
        <f t="shared" ref="J22:J23" si="3">J21-H22-F22+D22</f>
        <v>0</v>
      </c>
      <c r="K22" s="37">
        <f t="shared" ref="K22:K23" si="4">K21-G22+E22</f>
        <v>0</v>
      </c>
      <c r="L22" s="38">
        <f t="shared" ref="L22:L23" si="5">SUM(J22:K22)</f>
        <v>0</v>
      </c>
    </row>
    <row r="23" spans="1:12" ht="15.75" customHeight="1" x14ac:dyDescent="0.25">
      <c r="A23" s="52" t="s">
        <v>49</v>
      </c>
      <c r="B23" s="53" t="s">
        <v>69</v>
      </c>
      <c r="C23" s="52">
        <v>7</v>
      </c>
      <c r="D23" s="48"/>
      <c r="E23" s="49"/>
      <c r="F23" s="49"/>
      <c r="G23" s="11"/>
      <c r="H23" s="11"/>
      <c r="I23" s="11"/>
      <c r="J23" s="37">
        <f t="shared" si="3"/>
        <v>0</v>
      </c>
      <c r="K23" s="37">
        <f t="shared" si="4"/>
        <v>0</v>
      </c>
      <c r="L23" s="38">
        <f t="shared" si="5"/>
        <v>0</v>
      </c>
    </row>
    <row r="24" spans="1:12" ht="15.75" customHeight="1" x14ac:dyDescent="0.25">
      <c r="A24" s="52" t="s">
        <v>51</v>
      </c>
      <c r="B24" s="49" t="s">
        <v>70</v>
      </c>
      <c r="C24" s="52">
        <v>7</v>
      </c>
      <c r="D24" s="48"/>
      <c r="E24" s="49"/>
      <c r="F24" s="49"/>
      <c r="G24" s="11"/>
      <c r="H24" s="11"/>
      <c r="I24" s="11"/>
      <c r="J24" s="37">
        <f t="shared" ref="J24:J25" si="6">J23-H24-F24+D24</f>
        <v>0</v>
      </c>
      <c r="K24" s="37">
        <f t="shared" ref="K24:K25" si="7">K23-G24+E24</f>
        <v>0</v>
      </c>
      <c r="L24" s="38">
        <f t="shared" ref="L24:L25" si="8">SUM(J24:K24)</f>
        <v>0</v>
      </c>
    </row>
    <row r="25" spans="1:12" ht="12" customHeight="1" x14ac:dyDescent="0.25">
      <c r="A25" s="48"/>
      <c r="B25" s="49"/>
      <c r="C25" s="52"/>
      <c r="D25" s="48"/>
      <c r="E25" s="49"/>
      <c r="F25" s="49"/>
      <c r="G25" s="11"/>
      <c r="H25" s="11"/>
      <c r="I25" s="11"/>
      <c r="J25" s="37">
        <f t="shared" si="6"/>
        <v>0</v>
      </c>
      <c r="K25" s="37">
        <f t="shared" si="7"/>
        <v>0</v>
      </c>
      <c r="L25" s="38">
        <f t="shared" si="8"/>
        <v>0</v>
      </c>
    </row>
    <row r="26" spans="1:12" ht="18.75" customHeight="1" x14ac:dyDescent="0.25">
      <c r="A26" s="61" t="s">
        <v>52</v>
      </c>
      <c r="B26" s="62"/>
      <c r="C26" s="45">
        <v>77</v>
      </c>
      <c r="D26" s="48"/>
      <c r="E26" s="49"/>
      <c r="F26" s="49"/>
      <c r="G26" s="11"/>
      <c r="H26" s="11"/>
      <c r="I26" s="11"/>
      <c r="J26" s="37">
        <f t="shared" ref="J26:J29" si="9">J25-H26-F26+D26</f>
        <v>0</v>
      </c>
      <c r="K26" s="37">
        <f t="shared" ref="K26:K29" si="10">K25-G26+E26</f>
        <v>0</v>
      </c>
      <c r="L26" s="38">
        <f t="shared" ref="L26:L29" si="11">SUM(J26:K26)</f>
        <v>0</v>
      </c>
    </row>
    <row r="27" spans="1:12" ht="12" hidden="1" customHeight="1" x14ac:dyDescent="0.25">
      <c r="A27" s="49"/>
      <c r="B27" s="49"/>
      <c r="C27" s="49"/>
      <c r="D27" s="48"/>
      <c r="E27" s="49"/>
      <c r="F27" s="49"/>
      <c r="G27" s="11"/>
      <c r="H27" s="11"/>
      <c r="I27" s="11"/>
      <c r="J27" s="37">
        <f t="shared" si="9"/>
        <v>0</v>
      </c>
      <c r="K27" s="37">
        <f t="shared" si="10"/>
        <v>0</v>
      </c>
      <c r="L27" s="38">
        <f t="shared" si="11"/>
        <v>0</v>
      </c>
    </row>
    <row r="28" spans="1:12" ht="34.5" customHeight="1" x14ac:dyDescent="0.25">
      <c r="A28" s="49" t="s">
        <v>71</v>
      </c>
      <c r="B28" s="49"/>
      <c r="C28" s="46">
        <v>33.478000000000002</v>
      </c>
      <c r="D28" s="48">
        <v>16.739000000000001</v>
      </c>
      <c r="E28" s="48">
        <v>16.739000000000001</v>
      </c>
      <c r="F28" s="49"/>
      <c r="G28" s="11"/>
      <c r="H28" s="11"/>
      <c r="I28" s="11"/>
      <c r="J28" s="37">
        <f t="shared" si="9"/>
        <v>16.739000000000001</v>
      </c>
      <c r="K28" s="37">
        <f t="shared" si="10"/>
        <v>16.739000000000001</v>
      </c>
      <c r="L28" s="38">
        <f t="shared" si="11"/>
        <v>33.478000000000002</v>
      </c>
    </row>
    <row r="29" spans="1:12" ht="18.75" customHeight="1" x14ac:dyDescent="0.25">
      <c r="A29" s="50" t="s">
        <v>44</v>
      </c>
      <c r="B29" s="50"/>
      <c r="C29" s="50"/>
      <c r="D29" s="47"/>
      <c r="E29" s="50"/>
      <c r="F29" s="50">
        <v>11</v>
      </c>
      <c r="G29" s="41"/>
      <c r="H29" s="41"/>
      <c r="I29" s="41"/>
      <c r="J29" s="42">
        <f t="shared" si="9"/>
        <v>5.7390000000000008</v>
      </c>
      <c r="K29" s="42">
        <f t="shared" si="10"/>
        <v>16.739000000000001</v>
      </c>
      <c r="L29" s="43">
        <f t="shared" si="11"/>
        <v>22.478000000000002</v>
      </c>
    </row>
    <row r="30" spans="1:12" ht="15.75" x14ac:dyDescent="0.25">
      <c r="A30" s="51"/>
      <c r="B30" s="51"/>
      <c r="C30" s="51"/>
      <c r="D30" s="51"/>
      <c r="E30" s="51"/>
      <c r="F30" s="51"/>
    </row>
    <row r="34" spans="8:8" x14ac:dyDescent="0.25">
      <c r="H34" s="39" t="s">
        <v>43</v>
      </c>
    </row>
  </sheetData>
  <mergeCells count="18">
    <mergeCell ref="D9:F9"/>
    <mergeCell ref="A2:L2"/>
    <mergeCell ref="A3:L3"/>
    <mergeCell ref="A4:L4"/>
    <mergeCell ref="A5:L5"/>
    <mergeCell ref="D7:F7"/>
    <mergeCell ref="A10:L10"/>
    <mergeCell ref="A11:A12"/>
    <mergeCell ref="D11:E11"/>
    <mergeCell ref="F11:I11"/>
    <mergeCell ref="J11:K11"/>
    <mergeCell ref="L11:L12"/>
    <mergeCell ref="C11:C12"/>
    <mergeCell ref="A13:L13"/>
    <mergeCell ref="B11:B12"/>
    <mergeCell ref="A26:B26"/>
    <mergeCell ref="A19:A20"/>
    <mergeCell ref="M11:M12"/>
  </mergeCells>
  <phoneticPr fontId="4" type="noConversion"/>
  <printOptions horizontalCentered="1"/>
  <pageMargins left="0.25" right="0.25" top="0.25" bottom="0.25" header="0.3" footer="0.3"/>
  <pageSetup paperSize="9" scale="69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view="pageBreakPreview" topLeftCell="A7" zoomScale="112" zoomScaleNormal="100" zoomScaleSheetLayoutView="112" workbookViewId="0">
      <selection activeCell="A20" sqref="A20:L20"/>
    </sheetView>
  </sheetViews>
  <sheetFormatPr defaultRowHeight="15" x14ac:dyDescent="0.25"/>
  <cols>
    <col min="1" max="1" width="29.85546875" customWidth="1"/>
    <col min="2" max="2" width="9.42578125" style="16" customWidth="1"/>
    <col min="3" max="3" width="9.28515625" style="10" customWidth="1"/>
    <col min="5" max="5" width="8.42578125" style="16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6" customWidth="1"/>
    <col min="10" max="10" width="10" style="17" customWidth="1"/>
    <col min="11" max="11" width="8.7109375" style="18" customWidth="1"/>
    <col min="12" max="12" width="7.5703125" customWidth="1"/>
  </cols>
  <sheetData>
    <row r="1" spans="1:12" s="1" customFormat="1" ht="52.5" customHeight="1" x14ac:dyDescent="0.25">
      <c r="C1" s="4"/>
      <c r="D1" s="8"/>
      <c r="H1" s="5"/>
    </row>
    <row r="2" spans="1:12" s="1" customFormat="1" ht="10.5" customHeight="1" x14ac:dyDescent="0.25">
      <c r="A2" s="80" t="s">
        <v>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 s="1" customFormat="1" ht="15.95" customHeight="1" x14ac:dyDescent="0.25">
      <c r="A3" s="80" t="s">
        <v>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2" s="1" customFormat="1" ht="15.95" customHeight="1" x14ac:dyDescent="0.25">
      <c r="A4" s="80" t="s">
        <v>5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</row>
    <row r="5" spans="1:12" s="1" customFormat="1" ht="15.95" customHeight="1" x14ac:dyDescent="0.25">
      <c r="A5" s="80" t="s">
        <v>6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s="1" customFormat="1" ht="8.25" customHeight="1" x14ac:dyDescent="0.25">
      <c r="C6" s="5"/>
      <c r="H6" s="5"/>
    </row>
    <row r="7" spans="1:12" s="1" customFormat="1" ht="8.25" customHeight="1" x14ac:dyDescent="0.25">
      <c r="C7" s="5"/>
      <c r="H7" s="5"/>
    </row>
    <row r="8" spans="1:12" s="1" customFormat="1" ht="12" customHeight="1" x14ac:dyDescent="0.25">
      <c r="A8" s="3" t="s">
        <v>50</v>
      </c>
      <c r="B8" s="3"/>
      <c r="C8" s="79" t="s">
        <v>20</v>
      </c>
      <c r="D8" s="79"/>
      <c r="E8" s="79"/>
      <c r="F8" s="79"/>
      <c r="G8" s="79"/>
      <c r="I8" s="79" t="s">
        <v>22</v>
      </c>
      <c r="J8" s="79"/>
      <c r="K8" s="79"/>
      <c r="L8" s="3"/>
    </row>
    <row r="9" spans="1:12" s="1" customFormat="1" ht="12" customHeight="1" x14ac:dyDescent="0.25">
      <c r="B9" s="2"/>
      <c r="C9" s="79" t="s">
        <v>28</v>
      </c>
      <c r="D9" s="79"/>
      <c r="E9" s="79"/>
      <c r="F9" s="79"/>
      <c r="G9" s="79"/>
      <c r="I9" s="88" t="s">
        <v>21</v>
      </c>
      <c r="J9" s="88"/>
      <c r="K9" s="88"/>
      <c r="L9" s="2"/>
    </row>
    <row r="10" spans="1:12" s="1" customFormat="1" ht="12" customHeight="1" x14ac:dyDescent="0.25">
      <c r="A10" s="3" t="s">
        <v>27</v>
      </c>
      <c r="B10" s="3"/>
      <c r="C10" s="9"/>
      <c r="D10" s="2"/>
      <c r="E10" s="2"/>
      <c r="I10" s="79" t="s">
        <v>10</v>
      </c>
      <c r="J10" s="79"/>
      <c r="K10" s="79"/>
      <c r="L10" s="3"/>
    </row>
    <row r="11" spans="1:12" ht="16.5" customHeight="1" thickBot="1" x14ac:dyDescent="0.3">
      <c r="A11" s="66" t="s">
        <v>17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</row>
    <row r="12" spans="1:12" s="7" customFormat="1" ht="18.75" customHeight="1" x14ac:dyDescent="0.2">
      <c r="A12" s="89" t="s">
        <v>0</v>
      </c>
      <c r="B12" s="91" t="s">
        <v>1</v>
      </c>
      <c r="C12" s="92"/>
      <c r="D12" s="92"/>
      <c r="E12" s="92"/>
      <c r="F12" s="92"/>
      <c r="G12" s="92"/>
      <c r="H12" s="92"/>
      <c r="I12" s="92"/>
      <c r="J12" s="92"/>
      <c r="K12" s="92"/>
      <c r="L12" s="93" t="s">
        <v>2</v>
      </c>
    </row>
    <row r="13" spans="1:12" s="7" customFormat="1" ht="24" customHeight="1" x14ac:dyDescent="0.2">
      <c r="A13" s="90"/>
      <c r="B13" s="95" t="s">
        <v>25</v>
      </c>
      <c r="C13" s="96"/>
      <c r="D13" s="96"/>
      <c r="E13" s="97"/>
      <c r="F13" s="95" t="s">
        <v>14</v>
      </c>
      <c r="G13" s="97"/>
      <c r="H13" s="95" t="s">
        <v>15</v>
      </c>
      <c r="I13" s="97"/>
      <c r="J13" s="95" t="s">
        <v>13</v>
      </c>
      <c r="K13" s="97"/>
      <c r="L13" s="94"/>
    </row>
    <row r="14" spans="1:12" s="7" customFormat="1" x14ac:dyDescent="0.2">
      <c r="A14" s="12"/>
      <c r="B14" s="85"/>
      <c r="C14" s="86"/>
      <c r="D14" s="86"/>
      <c r="E14" s="87"/>
      <c r="F14" s="25"/>
      <c r="G14" s="26"/>
      <c r="H14" s="85"/>
      <c r="I14" s="87"/>
      <c r="J14" s="85"/>
      <c r="K14" s="87"/>
      <c r="L14" s="14"/>
    </row>
    <row r="15" spans="1:12" s="6" customFormat="1" x14ac:dyDescent="0.2">
      <c r="A15" s="15"/>
      <c r="B15" s="85"/>
      <c r="C15" s="86"/>
      <c r="D15" s="86"/>
      <c r="E15" s="87"/>
      <c r="F15" s="25"/>
      <c r="G15" s="26"/>
      <c r="H15" s="85"/>
      <c r="I15" s="87"/>
      <c r="J15" s="85"/>
      <c r="K15" s="87"/>
      <c r="L15" s="14"/>
    </row>
    <row r="16" spans="1:12" s="6" customFormat="1" ht="28.5" customHeight="1" x14ac:dyDescent="0.2">
      <c r="A16" s="29"/>
      <c r="B16" s="81"/>
      <c r="C16" s="82"/>
      <c r="D16" s="82"/>
      <c r="E16" s="83"/>
      <c r="F16" s="81"/>
      <c r="G16" s="83"/>
      <c r="H16" s="81"/>
      <c r="I16" s="83"/>
      <c r="J16" s="81"/>
      <c r="K16" s="83"/>
      <c r="L16" s="30"/>
    </row>
    <row r="17" spans="1:12" s="6" customFormat="1" ht="28.5" customHeight="1" x14ac:dyDescent="0.2">
      <c r="A17" s="13"/>
      <c r="B17" s="85"/>
      <c r="C17" s="86"/>
      <c r="D17" s="86"/>
      <c r="E17" s="87"/>
      <c r="F17" s="85"/>
      <c r="G17" s="87"/>
      <c r="H17" s="85"/>
      <c r="I17" s="87"/>
      <c r="J17" s="85"/>
      <c r="K17" s="87"/>
      <c r="L17" s="13"/>
    </row>
    <row r="18" spans="1:12" s="6" customFormat="1" ht="28.5" customHeight="1" x14ac:dyDescent="0.2">
      <c r="A18" s="13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s="6" customFormat="1" x14ac:dyDescent="0.2">
      <c r="A19" s="20" t="s">
        <v>23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ht="75.75" customHeight="1" x14ac:dyDescent="0.25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</row>
    <row r="21" spans="1:12" s="1" customFormat="1" x14ac:dyDescent="0.25">
      <c r="C21" s="5"/>
    </row>
    <row r="22" spans="1:12" s="1" customFormat="1" x14ac:dyDescent="0.25">
      <c r="C22" s="5"/>
    </row>
  </sheetData>
  <mergeCells count="32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H14:I14"/>
    <mergeCell ref="J14:K14"/>
    <mergeCell ref="B15:E15"/>
    <mergeCell ref="H15:I15"/>
    <mergeCell ref="J15:K15"/>
    <mergeCell ref="B14:E14"/>
    <mergeCell ref="B16:E16"/>
    <mergeCell ref="F16:G16"/>
    <mergeCell ref="H16:I16"/>
    <mergeCell ref="J16:K16"/>
    <mergeCell ref="A20:L20"/>
    <mergeCell ref="B17:E17"/>
    <mergeCell ref="F17:G17"/>
    <mergeCell ref="H17:I17"/>
    <mergeCell ref="J17:K17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zoomScaleSheetLayoutView="100" workbookViewId="0">
      <selection activeCell="Q12" sqref="Q12"/>
    </sheetView>
  </sheetViews>
  <sheetFormatPr defaultRowHeight="15" x14ac:dyDescent="0.25"/>
  <cols>
    <col min="1" max="1" width="21" customWidth="1"/>
    <col min="2" max="2" width="23.5703125" customWidth="1"/>
    <col min="3" max="3" width="8.140625" style="16" customWidth="1"/>
    <col min="4" max="4" width="6.28515625" style="10" customWidth="1"/>
    <col min="6" max="6" width="6.42578125" style="16" customWidth="1"/>
    <col min="7" max="7" width="9.42578125" style="17" customWidth="1"/>
    <col min="8" max="8" width="7" style="18" customWidth="1"/>
    <col min="9" max="9" width="8.140625" customWidth="1"/>
    <col min="10" max="10" width="6.7109375" style="16" customWidth="1"/>
    <col min="11" max="11" width="10" style="17" customWidth="1"/>
    <col min="12" max="12" width="10.28515625" style="18" customWidth="1"/>
    <col min="13" max="13" width="7.5703125" customWidth="1"/>
  </cols>
  <sheetData>
    <row r="1" spans="1:13" s="1" customFormat="1" ht="52.5" customHeight="1" x14ac:dyDescent="0.25">
      <c r="D1" s="4"/>
      <c r="E1" s="8"/>
      <c r="I1" s="5"/>
    </row>
    <row r="2" spans="1:13" s="1" customFormat="1" ht="10.5" customHeight="1" x14ac:dyDescent="0.25">
      <c r="A2" s="80" t="s">
        <v>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3" s="1" customFormat="1" ht="15.95" customHeight="1" x14ac:dyDescent="0.25">
      <c r="A3" s="80" t="s">
        <v>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</row>
    <row r="4" spans="1:13" s="1" customFormat="1" ht="15.95" customHeight="1" x14ac:dyDescent="0.25">
      <c r="A4" s="80" t="s">
        <v>5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</row>
    <row r="5" spans="1:13" s="1" customFormat="1" ht="15.95" customHeight="1" x14ac:dyDescent="0.25">
      <c r="A5" s="80" t="s">
        <v>6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</row>
    <row r="6" spans="1:13" s="1" customFormat="1" ht="8.25" customHeight="1" x14ac:dyDescent="0.25">
      <c r="D6" s="5"/>
      <c r="I6" s="5"/>
    </row>
    <row r="7" spans="1:13" s="1" customFormat="1" ht="8.25" customHeight="1" x14ac:dyDescent="0.25">
      <c r="D7" s="5"/>
      <c r="I7" s="5"/>
    </row>
    <row r="8" spans="1:13" s="1" customFormat="1" ht="12" customHeight="1" x14ac:dyDescent="0.25">
      <c r="A8" s="3" t="s">
        <v>12</v>
      </c>
      <c r="B8" s="3"/>
      <c r="C8" s="3"/>
      <c r="D8" s="79" t="s">
        <v>11</v>
      </c>
      <c r="E8" s="79"/>
      <c r="F8" s="79"/>
      <c r="G8" s="79"/>
      <c r="H8" s="79"/>
      <c r="J8" s="79" t="s">
        <v>8</v>
      </c>
      <c r="K8" s="79"/>
      <c r="L8" s="79"/>
      <c r="M8" s="3"/>
    </row>
    <row r="9" spans="1:13" s="1" customFormat="1" ht="12" customHeight="1" x14ac:dyDescent="0.25">
      <c r="C9" s="2"/>
      <c r="D9" s="79" t="s">
        <v>16</v>
      </c>
      <c r="E9" s="79"/>
      <c r="F9" s="79"/>
      <c r="G9" s="79"/>
      <c r="H9" s="79"/>
      <c r="J9" s="88" t="s">
        <v>9</v>
      </c>
      <c r="K9" s="88"/>
      <c r="L9" s="88"/>
      <c r="M9" s="2"/>
    </row>
    <row r="10" spans="1:13" s="1" customFormat="1" ht="12" customHeight="1" x14ac:dyDescent="0.25">
      <c r="A10" s="3" t="s">
        <v>7</v>
      </c>
      <c r="B10" s="3"/>
      <c r="C10" s="3"/>
      <c r="D10" s="9"/>
      <c r="E10" s="2"/>
      <c r="F10" s="2"/>
      <c r="J10" s="79" t="s">
        <v>10</v>
      </c>
      <c r="K10" s="79"/>
      <c r="L10" s="79"/>
      <c r="M10" s="3"/>
    </row>
    <row r="11" spans="1:13" ht="16.5" customHeight="1" thickBot="1" x14ac:dyDescent="0.3">
      <c r="A11" s="66" t="s">
        <v>18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</row>
    <row r="12" spans="1:13" s="7" customFormat="1" ht="18.75" customHeight="1" x14ac:dyDescent="0.2">
      <c r="A12" s="101" t="s">
        <v>26</v>
      </c>
      <c r="B12" s="89" t="s">
        <v>0</v>
      </c>
      <c r="C12" s="106" t="s">
        <v>19</v>
      </c>
      <c r="D12" s="107"/>
      <c r="E12" s="106" t="s">
        <v>24</v>
      </c>
      <c r="F12" s="107"/>
      <c r="G12" s="106" t="s">
        <v>14</v>
      </c>
      <c r="H12" s="107"/>
      <c r="I12" s="106" t="s">
        <v>15</v>
      </c>
      <c r="J12" s="107"/>
      <c r="K12" s="106" t="s">
        <v>13</v>
      </c>
      <c r="L12" s="107"/>
      <c r="M12" s="93" t="s">
        <v>2</v>
      </c>
    </row>
    <row r="13" spans="1:13" s="7" customFormat="1" ht="18.75" customHeight="1" x14ac:dyDescent="0.2">
      <c r="A13" s="102"/>
      <c r="B13" s="105"/>
      <c r="C13" s="108"/>
      <c r="D13" s="109"/>
      <c r="E13" s="108"/>
      <c r="F13" s="109"/>
      <c r="G13" s="108"/>
      <c r="H13" s="109"/>
      <c r="I13" s="108"/>
      <c r="J13" s="109"/>
      <c r="K13" s="108"/>
      <c r="L13" s="109"/>
      <c r="M13" s="104"/>
    </row>
    <row r="14" spans="1:13" s="7" customFormat="1" ht="24" customHeight="1" x14ac:dyDescent="0.2">
      <c r="A14" s="103"/>
      <c r="B14" s="90"/>
      <c r="C14" s="110"/>
      <c r="D14" s="111"/>
      <c r="E14" s="110"/>
      <c r="F14" s="111"/>
      <c r="G14" s="110"/>
      <c r="H14" s="111"/>
      <c r="I14" s="110"/>
      <c r="J14" s="111"/>
      <c r="K14" s="110"/>
      <c r="L14" s="111"/>
      <c r="M14" s="94"/>
    </row>
    <row r="15" spans="1:13" s="7" customFormat="1" x14ac:dyDescent="0.2">
      <c r="A15" s="12"/>
      <c r="B15" s="23"/>
      <c r="C15" s="85"/>
      <c r="D15" s="86"/>
      <c r="E15" s="85"/>
      <c r="F15" s="86"/>
      <c r="G15" s="85"/>
      <c r="H15" s="87"/>
      <c r="I15" s="85"/>
      <c r="J15" s="87"/>
      <c r="K15" s="85"/>
      <c r="L15" s="87"/>
      <c r="M15" s="14"/>
    </row>
    <row r="16" spans="1:13" s="6" customFormat="1" x14ac:dyDescent="0.2">
      <c r="A16" s="15"/>
      <c r="B16" s="24"/>
      <c r="C16" s="85"/>
      <c r="D16" s="86"/>
      <c r="E16" s="85"/>
      <c r="F16" s="86"/>
      <c r="G16" s="85"/>
      <c r="H16" s="87"/>
      <c r="I16" s="85"/>
      <c r="J16" s="87"/>
      <c r="K16" s="85"/>
      <c r="L16" s="87"/>
      <c r="M16" s="14"/>
    </row>
    <row r="17" spans="1:13" s="6" customFormat="1" x14ac:dyDescent="0.2">
      <c r="A17" s="15"/>
      <c r="B17" s="24"/>
      <c r="C17" s="85"/>
      <c r="D17" s="86"/>
      <c r="E17" s="85"/>
      <c r="F17" s="86"/>
      <c r="G17" s="85"/>
      <c r="H17" s="87"/>
      <c r="I17" s="85"/>
      <c r="J17" s="87"/>
      <c r="K17" s="85"/>
      <c r="L17" s="87"/>
      <c r="M17" s="14"/>
    </row>
    <row r="18" spans="1:13" s="6" customFormat="1" x14ac:dyDescent="0.2">
      <c r="A18" s="15"/>
      <c r="B18" s="24"/>
      <c r="C18" s="85"/>
      <c r="D18" s="86"/>
      <c r="E18" s="85"/>
      <c r="F18" s="86"/>
      <c r="G18" s="85"/>
      <c r="H18" s="87"/>
      <c r="I18" s="85"/>
      <c r="J18" s="87"/>
      <c r="K18" s="85"/>
      <c r="L18" s="87"/>
      <c r="M18" s="14"/>
    </row>
    <row r="19" spans="1:13" s="6" customFormat="1" x14ac:dyDescent="0.2">
      <c r="A19" s="15"/>
      <c r="B19" s="24"/>
      <c r="C19" s="85"/>
      <c r="D19" s="86"/>
      <c r="E19" s="85"/>
      <c r="F19" s="86"/>
      <c r="G19" s="85"/>
      <c r="H19" s="87"/>
      <c r="I19" s="85"/>
      <c r="J19" s="87"/>
      <c r="K19" s="85"/>
      <c r="L19" s="87"/>
      <c r="M19" s="14"/>
    </row>
    <row r="20" spans="1:13" s="6" customFormat="1" x14ac:dyDescent="0.2">
      <c r="A20" s="15"/>
      <c r="B20" s="24"/>
      <c r="C20" s="85"/>
      <c r="D20" s="86"/>
      <c r="E20" s="85"/>
      <c r="F20" s="86"/>
      <c r="G20" s="85"/>
      <c r="H20" s="87"/>
      <c r="I20" s="85"/>
      <c r="J20" s="87"/>
      <c r="K20" s="85"/>
      <c r="L20" s="87"/>
      <c r="M20" s="14"/>
    </row>
    <row r="21" spans="1:13" s="6" customFormat="1" x14ac:dyDescent="0.2">
      <c r="A21" s="15"/>
      <c r="B21" s="24"/>
      <c r="C21" s="98"/>
      <c r="D21" s="99"/>
      <c r="E21" s="98"/>
      <c r="F21" s="100"/>
      <c r="G21" s="85"/>
      <c r="H21" s="87"/>
      <c r="I21" s="85"/>
      <c r="J21" s="87"/>
      <c r="K21" s="85"/>
      <c r="L21" s="87"/>
      <c r="M21" s="14"/>
    </row>
    <row r="22" spans="1:13" s="1" customFormat="1" ht="75.75" customHeight="1" x14ac:dyDescent="0.25">
      <c r="A22" s="19"/>
      <c r="B22" s="19"/>
      <c r="D22" s="5"/>
      <c r="M22" s="19"/>
    </row>
    <row r="23" spans="1:13" s="1" customFormat="1" x14ac:dyDescent="0.25">
      <c r="D23" s="5"/>
    </row>
    <row r="24" spans="1:13" s="1" customFormat="1" x14ac:dyDescent="0.25">
      <c r="D24" s="5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A12:A14"/>
    <mergeCell ref="M12:M14"/>
    <mergeCell ref="B12:B14"/>
    <mergeCell ref="I12:J14"/>
    <mergeCell ref="K12:L14"/>
    <mergeCell ref="G12:H14"/>
    <mergeCell ref="C12:D14"/>
    <mergeCell ref="E12:F14"/>
    <mergeCell ref="E20:F20"/>
    <mergeCell ref="G20:H20"/>
    <mergeCell ref="I20:J20"/>
    <mergeCell ref="G19:H19"/>
    <mergeCell ref="I19:J19"/>
    <mergeCell ref="C17:D17"/>
    <mergeCell ref="C18:D18"/>
    <mergeCell ref="G17:H17"/>
    <mergeCell ref="I17:J17"/>
    <mergeCell ref="K17:L17"/>
    <mergeCell ref="G18:H18"/>
    <mergeCell ref="I18:J18"/>
    <mergeCell ref="K18:L18"/>
    <mergeCell ref="G16:H16"/>
    <mergeCell ref="I16:J16"/>
    <mergeCell ref="K16:L16"/>
    <mergeCell ref="G21:H21"/>
    <mergeCell ref="I21:J21"/>
    <mergeCell ref="K21:L21"/>
    <mergeCell ref="G15:H15"/>
    <mergeCell ref="I15:J15"/>
    <mergeCell ref="K15:L15"/>
    <mergeCell ref="C21:D21"/>
    <mergeCell ref="E21:F21"/>
    <mergeCell ref="E15:F15"/>
    <mergeCell ref="E16:F16"/>
    <mergeCell ref="E17:F17"/>
    <mergeCell ref="E18:F18"/>
    <mergeCell ref="E19:F19"/>
    <mergeCell ref="C15:D15"/>
    <mergeCell ref="C19:D19"/>
    <mergeCell ref="C20:D20"/>
    <mergeCell ref="C16:D16"/>
    <mergeCell ref="K19:L19"/>
    <mergeCell ref="K20:L20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CORRECTED</vt:lpstr>
      <vt:lpstr>CTO</vt:lpstr>
      <vt:lpstr>Election</vt:lpstr>
      <vt:lpstr>CTO!Print_Area</vt:lpstr>
      <vt:lpstr>Election!Print_Area</vt:lpstr>
      <vt:lpstr>'Leave Card CORRECTED'!Print_Area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2024-08-30T06:06:28Z</cp:lastPrinted>
  <dcterms:created xsi:type="dcterms:W3CDTF">2021-10-07T06:10:16Z</dcterms:created>
  <dcterms:modified xsi:type="dcterms:W3CDTF">2024-11-29T06:41:56Z</dcterms:modified>
</cp:coreProperties>
</file>