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199FBD95-D6AF-447C-9924-5F8E6C1CA3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as TIC" sheetId="12" r:id="rId1"/>
    <sheet name="Election &amp; NLC" sheetId="13" r:id="rId2"/>
    <sheet name="CTO" sheetId="9" r:id="rId3"/>
  </sheets>
  <definedNames>
    <definedName name="_xlnm.Print_Area" localSheetId="2">CTO!$A$1:$L$30</definedName>
    <definedName name="_xlnm.Print_Area" localSheetId="1">'Election &amp; NLC'!$A$1:$G$26</definedName>
    <definedName name="_xlnm.Print_Area" localSheetId="0">'Leave Card as TIC'!$A$1:$J$29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2" l="1"/>
  <c r="I19" i="12"/>
  <c r="I20" i="12" s="1"/>
  <c r="H20" i="12"/>
  <c r="J20" i="12" s="1"/>
  <c r="I14" i="12"/>
  <c r="I15" i="12" s="1"/>
  <c r="I16" i="12" s="1"/>
  <c r="I17" i="12" s="1"/>
  <c r="I18" i="12" s="1"/>
  <c r="H14" i="12"/>
  <c r="J19" i="12" l="1"/>
  <c r="J14" i="12"/>
  <c r="H15" i="12"/>
  <c r="H16" i="12" s="1"/>
  <c r="H17" i="12" s="1"/>
  <c r="J17" i="12" s="1"/>
  <c r="H18" i="12" l="1"/>
  <c r="J18" i="12" s="1"/>
  <c r="J16" i="12"/>
  <c r="J15" i="12"/>
</calcChain>
</file>

<file path=xl/sharedStrings.xml><?xml version="1.0" encoding="utf-8"?>
<sst xmlns="http://schemas.openxmlformats.org/spreadsheetml/2006/main" count="117" uniqueCount="94">
  <si>
    <t>Republic of the Philippines</t>
  </si>
  <si>
    <t>Department of Education</t>
  </si>
  <si>
    <t>REGION VI-WESTERN VISAYAS</t>
  </si>
  <si>
    <t>SCHOOLS DIVISION OF SIPALAY CITY</t>
  </si>
  <si>
    <t>DIVISION CODE   : __________</t>
  </si>
  <si>
    <t>PERIOD COVERED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</si>
  <si>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</si>
  <si>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</si>
  <si>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</si>
  <si>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</si>
  <si>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</si>
  <si>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</si>
  <si>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</si>
  <si>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</si>
  <si>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</si>
  <si>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</si>
  <si>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ADD: SEPTEMBER 2, 2022</t>
  </si>
  <si>
    <t>S.O. # 072, S. 2022. COMPLETE PROGRESS MONITORING REPORT &amp; INVENTORY OF SLMs &amp; LAS FROM QUARTER 1 TO 4</t>
  </si>
  <si>
    <t>NOTE:  Valid for one (1) year only</t>
  </si>
  <si>
    <t xml:space="preserve">   </t>
  </si>
  <si>
    <t>NAME         : GADAYAN, EUNICE SHAMAINE</t>
  </si>
  <si>
    <t>POSITION   : TEACHER III</t>
  </si>
  <si>
    <t>SCHOOL/OFFICE : VISTA ALEGRE ES</t>
  </si>
  <si>
    <t>LESS: JAN. 9, 2023</t>
  </si>
  <si>
    <t>LESS: March 7, 2023</t>
  </si>
  <si>
    <t>ADD: 10/17/2023</t>
  </si>
  <si>
    <t>S.O. # 126, S. 2023. NATIONAL LEARNING CAMP 2023</t>
  </si>
  <si>
    <t>LESS: 12/12/2023</t>
  </si>
  <si>
    <t>S.O # 159 S. 2023 125TH PHILIPPINE INDEPENDENCE DAY</t>
  </si>
  <si>
    <t>LESS: 02/23/2024</t>
  </si>
  <si>
    <t>LESS: 05/20/2024</t>
  </si>
  <si>
    <t>ADD: 04/29/2024</t>
  </si>
  <si>
    <t>SO # 011, S. 2024 SCREENING FOR DISTRICT MEET 2024</t>
  </si>
  <si>
    <t>LESS: 06/20-21/2024</t>
  </si>
  <si>
    <t>LESS: 06/24/2024</t>
  </si>
  <si>
    <t>LESS: 01/17/2024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</si>
  <si>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</si>
  <si>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</si>
  <si>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</si>
  <si>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</si>
  <si>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</si>
  <si>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</si>
  <si>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</si>
  <si>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LEAVE SPENT</t>
  </si>
  <si>
    <t>BALANCE</t>
  </si>
  <si>
    <t>DATE FILED/RECEIVED</t>
  </si>
  <si>
    <t>VACATION</t>
  </si>
  <si>
    <t>SICK</t>
  </si>
  <si>
    <t>FORCED</t>
  </si>
  <si>
    <t>SPECIAL</t>
  </si>
  <si>
    <t xml:space="preserve">  </t>
  </si>
  <si>
    <t>ADD: 07/29-31/2024</t>
  </si>
  <si>
    <t>DESIGNATED AS TIC: EFFECTIVE JULY 29, 2024</t>
  </si>
  <si>
    <t xml:space="preserve">DISTRICT : </t>
  </si>
  <si>
    <t xml:space="preserve">EMPLOYEE NO.: </t>
  </si>
  <si>
    <t xml:space="preserve">STATION CODE: </t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</si>
  <si>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</t>
    </r>
  </si>
  <si>
    <t xml:space="preserve">SCHOOL/OFFICE : </t>
  </si>
  <si>
    <t xml:space="preserve">DIVISION CODE: </t>
  </si>
  <si>
    <t>SPECIAL ORDER FOR ELECTION (NATIONAL/BRGY. &amp; SK ELECTION)&amp; NATIONAL LEARNING CAMP</t>
  </si>
  <si>
    <t>SPECIAL ORDER NO.</t>
  </si>
  <si>
    <t>DATE RELEASED:</t>
  </si>
  <si>
    <t>NATIONAL LEARNING CAMP/NATIONAL &amp; LOCAL ELECTION</t>
  </si>
  <si>
    <t>DEPED ACTIVITIES 2024-2025</t>
  </si>
  <si>
    <t>SO # 029, S. 2024</t>
  </si>
  <si>
    <t>SEPT. 24, 2024</t>
  </si>
  <si>
    <t>NLC 2024</t>
  </si>
  <si>
    <t>OCT. 17, 2023</t>
  </si>
  <si>
    <t>NLC 2023</t>
  </si>
  <si>
    <t>OCT. 16, 2024</t>
  </si>
  <si>
    <r>
      <t>NAME          :</t>
    </r>
    <r>
      <rPr>
        <b/>
        <u/>
        <sz val="12"/>
        <color theme="1"/>
        <rFont val="Calibri"/>
        <family val="2"/>
        <scheme val="minor"/>
      </rPr>
      <t xml:space="preserve"> CALAMBA, GLADYS</t>
    </r>
  </si>
  <si>
    <t>S.O. # 125, S. 2023</t>
  </si>
  <si>
    <t>SO # 010, S. 2024</t>
  </si>
  <si>
    <t>APR. 30, 2024</t>
  </si>
  <si>
    <t>OCT. 30, 2023 ELECTION</t>
  </si>
  <si>
    <t>SO # 044, S. 2024</t>
  </si>
  <si>
    <t>SO # 2135, S. 2004</t>
  </si>
  <si>
    <t>MAY 10, 2004 ELECTION</t>
  </si>
  <si>
    <t>SO UNNUMBERED, S. 2013</t>
  </si>
  <si>
    <t>SY 2012-2013</t>
  </si>
  <si>
    <t>PROPERTY CUSTODIAN</t>
  </si>
  <si>
    <t>SO # 780, S. 2015</t>
  </si>
  <si>
    <t>CY 2014</t>
  </si>
  <si>
    <t>SO # 030, S. 2016</t>
  </si>
  <si>
    <t>CY 2015</t>
  </si>
  <si>
    <t>SO # 204, S. 2018</t>
  </si>
  <si>
    <t>MAY 14, 2018 BRGY. &amp; SK ELECTION</t>
  </si>
  <si>
    <t>70 DAYS-CONVERTED</t>
  </si>
  <si>
    <r>
      <t xml:space="preserve">ADD: UNUSED VSC </t>
    </r>
    <r>
      <rPr>
        <b/>
        <sz val="11"/>
        <color theme="1"/>
        <rFont val="Calibri"/>
        <family val="2"/>
        <scheme val="minor"/>
      </rPr>
      <t xml:space="preserve">70 DAYS:                   </t>
    </r>
    <r>
      <rPr>
        <sz val="11"/>
        <color theme="1"/>
        <rFont val="Calibri"/>
        <family val="2"/>
        <scheme val="minor"/>
      </rPr>
      <t xml:space="preserve"> FORMULA: 30Y/69/2 </t>
    </r>
  </si>
  <si>
    <t>ADD: 08/1/2024-12/31/2024</t>
  </si>
  <si>
    <t>ADD: 01/1/2025-03/31/2025</t>
  </si>
  <si>
    <t>LESS: MONETIZATION 2025</t>
  </si>
  <si>
    <t>ADD: 04/1/2025-11/30/2025</t>
  </si>
  <si>
    <t>LESS: 12/22, 23, 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</si>
</sst>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/>
    <xf numFmtId="0" fontId="7" fillId="0" borderId="0"/>
    <xf numFmtId="0" fontId="6" fillId="0" borderId="0"/>
    <xf numFmtId="0" fontId="5" fillId="0" borderId="0"/>
    <xf numFmtId="0" fontId="5" fillId="0" borderId="0"/>
  </cellStyleXfs>
  <cellXfs count="148">
    <xf numFmtId="0" fontId="0" fillId="0" borderId="0" xfId="0"/>
    <xf numFmtId="0" fontId="0" fillId="2" borderId="0" xfId="0" applyFill="1"/>
    <xf numFmtId="0" fontId="14" fillId="0" borderId="0" xfId="0" applyFont="1"/>
    <xf numFmtId="0" fontId="15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6" fillId="2" borderId="0" xfId="0" applyFont="1" applyFill="1" applyAlignment="1">
      <alignment horizontal="center" wrapText="1"/>
    </xf>
    <xf numFmtId="0" fontId="16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6" fillId="2" borderId="0" xfId="0" applyFont="1" applyFill="1" applyAlignment="1">
      <alignment vertical="center"/>
    </xf>
    <xf numFmtId="0" fontId="16" fillId="2" borderId="0" xfId="0" applyFont="1" applyFill="1"/>
    <xf numFmtId="0" fontId="16" fillId="2" borderId="0" xfId="0" applyFont="1" applyFill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9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20" fillId="2" borderId="6" xfId="0" applyFont="1" applyFill="1" applyBorder="1" applyAlignment="1">
      <alignment vertical="center" wrapText="1"/>
    </xf>
    <xf numFmtId="0" fontId="20" fillId="2" borderId="8" xfId="0" applyFont="1" applyFill="1" applyBorder="1" applyAlignment="1">
      <alignment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21" fillId="9" borderId="12" xfId="0" applyFont="1" applyFill="1" applyBorder="1" applyAlignment="1">
      <alignment horizontal="center" vertical="center" wrapText="1"/>
    </xf>
    <xf numFmtId="0" fontId="21" fillId="2" borderId="15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0" fillId="9" borderId="15" xfId="0" applyFill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6" fillId="2" borderId="0" xfId="2" applyFill="1"/>
    <xf numFmtId="0" fontId="16" fillId="2" borderId="0" xfId="2" applyFont="1" applyFill="1" applyAlignment="1">
      <alignment vertical="center"/>
    </xf>
    <xf numFmtId="0" fontId="16" fillId="2" borderId="16" xfId="2" applyFont="1" applyFill="1" applyBorder="1" applyAlignment="1">
      <alignment horizontal="center" vertical="center"/>
    </xf>
    <xf numFmtId="0" fontId="16" fillId="2" borderId="0" xfId="2" applyFont="1" applyFill="1"/>
    <xf numFmtId="0" fontId="16" fillId="2" borderId="16" xfId="2" applyFont="1" applyFill="1" applyBorder="1" applyAlignment="1">
      <alignment vertical="center"/>
    </xf>
    <xf numFmtId="0" fontId="6" fillId="0" borderId="0" xfId="2"/>
    <xf numFmtId="0" fontId="16" fillId="2" borderId="18" xfId="2" applyFont="1" applyFill="1" applyBorder="1" applyAlignment="1">
      <alignment horizontal="center" vertical="center"/>
    </xf>
    <xf numFmtId="0" fontId="24" fillId="0" borderId="0" xfId="2" applyFont="1" applyAlignment="1">
      <alignment horizontal="center" vertical="center"/>
    </xf>
    <xf numFmtId="0" fontId="6" fillId="2" borderId="4" xfId="2" applyFill="1" applyBorder="1" applyAlignment="1">
      <alignment horizontal="center" vertical="center" wrapText="1"/>
    </xf>
    <xf numFmtId="0" fontId="6" fillId="2" borderId="5" xfId="2" applyFill="1" applyBorder="1" applyAlignment="1">
      <alignment horizontal="center" vertical="center"/>
    </xf>
    <xf numFmtId="0" fontId="6" fillId="2" borderId="5" xfId="2" applyFill="1" applyBorder="1" applyAlignment="1">
      <alignment horizontal="center" vertical="center" wrapText="1"/>
    </xf>
    <xf numFmtId="164" fontId="6" fillId="2" borderId="5" xfId="2" applyNumberFormat="1" applyFill="1" applyBorder="1" applyAlignment="1">
      <alignment horizontal="center" vertical="center"/>
    </xf>
    <xf numFmtId="164" fontId="6" fillId="2" borderId="11" xfId="2" applyNumberFormat="1" applyFill="1" applyBorder="1" applyAlignment="1">
      <alignment horizontal="center" vertical="center"/>
    </xf>
    <xf numFmtId="0" fontId="25" fillId="0" borderId="0" xfId="2" applyFont="1"/>
    <xf numFmtId="0" fontId="6" fillId="2" borderId="15" xfId="2" applyFill="1" applyBorder="1" applyAlignment="1">
      <alignment horizontal="center" vertical="center" wrapText="1"/>
    </xf>
    <xf numFmtId="0" fontId="6" fillId="2" borderId="15" xfId="2" applyFill="1" applyBorder="1" applyAlignment="1">
      <alignment horizontal="center" vertical="center"/>
    </xf>
    <xf numFmtId="164" fontId="6" fillId="2" borderId="15" xfId="2" applyNumberFormat="1" applyFill="1" applyBorder="1" applyAlignment="1">
      <alignment horizontal="center" vertical="center"/>
    </xf>
    <xf numFmtId="164" fontId="6" fillId="2" borderId="12" xfId="2" applyNumberFormat="1" applyFill="1" applyBorder="1" applyAlignment="1">
      <alignment horizontal="center" vertical="center"/>
    </xf>
    <xf numFmtId="0" fontId="6" fillId="0" borderId="0" xfId="2" applyAlignment="1">
      <alignment horizontal="center" vertical="center"/>
    </xf>
    <xf numFmtId="164" fontId="6" fillId="2" borderId="0" xfId="2" applyNumberFormat="1" applyFill="1" applyAlignment="1">
      <alignment horizontal="center" vertical="center"/>
    </xf>
    <xf numFmtId="0" fontId="5" fillId="2" borderId="0" xfId="3" applyFill="1"/>
    <xf numFmtId="0" fontId="5" fillId="2" borderId="0" xfId="3" applyFill="1" applyAlignment="1">
      <alignment horizontal="center"/>
    </xf>
    <xf numFmtId="0" fontId="26" fillId="2" borderId="0" xfId="3" applyFont="1" applyFill="1" applyAlignment="1">
      <alignment vertical="center"/>
    </xf>
    <xf numFmtId="0" fontId="16" fillId="2" borderId="0" xfId="3" applyFont="1" applyFill="1" applyAlignment="1">
      <alignment horizontal="left" vertical="center"/>
    </xf>
    <xf numFmtId="0" fontId="16" fillId="2" borderId="0" xfId="3" applyFont="1" applyFill="1" applyAlignment="1">
      <alignment vertical="center"/>
    </xf>
    <xf numFmtId="0" fontId="28" fillId="2" borderId="0" xfId="3" applyFont="1" applyFill="1"/>
    <xf numFmtId="0" fontId="16" fillId="2" borderId="0" xfId="3" applyFont="1" applyFill="1"/>
    <xf numFmtId="0" fontId="16" fillId="2" borderId="0" xfId="3" applyFont="1" applyFill="1" applyAlignment="1">
      <alignment horizontal="left"/>
    </xf>
    <xf numFmtId="0" fontId="5" fillId="0" borderId="0" xfId="3"/>
    <xf numFmtId="0" fontId="18" fillId="6" borderId="19" xfId="3" applyFont="1" applyFill="1" applyBorder="1" applyAlignment="1">
      <alignment horizontal="center" vertical="center" wrapText="1"/>
    </xf>
    <xf numFmtId="0" fontId="18" fillId="6" borderId="19" xfId="3" applyFont="1" applyFill="1" applyBorder="1" applyAlignment="1">
      <alignment horizontal="center" vertical="center"/>
    </xf>
    <xf numFmtId="0" fontId="19" fillId="7" borderId="22" xfId="3" applyFont="1" applyFill="1" applyBorder="1" applyAlignment="1">
      <alignment horizontal="center" vertical="center" wrapText="1"/>
    </xf>
    <xf numFmtId="0" fontId="19" fillId="7" borderId="23" xfId="3" applyFont="1" applyFill="1" applyBorder="1" applyAlignment="1">
      <alignment horizontal="center" vertical="center" wrapText="1"/>
    </xf>
    <xf numFmtId="0" fontId="18" fillId="6" borderId="24" xfId="3" applyFont="1" applyFill="1" applyBorder="1" applyAlignment="1">
      <alignment horizontal="center" vertical="center"/>
    </xf>
    <xf numFmtId="0" fontId="14" fillId="0" borderId="0" xfId="3" applyFont="1"/>
    <xf numFmtId="0" fontId="5" fillId="2" borderId="4" xfId="4" applyFill="1" applyBorder="1" applyAlignment="1">
      <alignment horizontal="center" vertical="center" wrapText="1"/>
    </xf>
    <xf numFmtId="0" fontId="5" fillId="2" borderId="5" xfId="4" applyFill="1" applyBorder="1" applyAlignment="1">
      <alignment horizontal="center" vertical="center"/>
    </xf>
    <xf numFmtId="0" fontId="19" fillId="2" borderId="15" xfId="4" applyFont="1" applyFill="1" applyBorder="1" applyAlignment="1">
      <alignment vertical="center" wrapText="1"/>
    </xf>
    <xf numFmtId="0" fontId="19" fillId="2" borderId="15" xfId="4" applyFont="1" applyFill="1" applyBorder="1" applyAlignment="1">
      <alignment horizontal="center" vertical="center" wrapText="1"/>
    </xf>
    <xf numFmtId="0" fontId="29" fillId="2" borderId="25" xfId="3" applyFont="1" applyFill="1" applyBorder="1" applyAlignment="1">
      <alignment horizontal="center" vertical="center" wrapText="1"/>
    </xf>
    <xf numFmtId="0" fontId="26" fillId="2" borderId="11" xfId="3" applyFont="1" applyFill="1" applyBorder="1" applyAlignment="1">
      <alignment horizontal="center" vertical="center" wrapText="1"/>
    </xf>
    <xf numFmtId="0" fontId="29" fillId="2" borderId="6" xfId="3" applyFont="1" applyFill="1" applyBorder="1" applyAlignment="1">
      <alignment horizontal="center" vertical="center" wrapText="1"/>
    </xf>
    <xf numFmtId="0" fontId="15" fillId="0" borderId="0" xfId="3" applyFont="1"/>
    <xf numFmtId="0" fontId="26" fillId="2" borderId="12" xfId="3" applyFont="1" applyFill="1" applyBorder="1" applyAlignment="1">
      <alignment horizontal="center" vertical="center" wrapText="1"/>
    </xf>
    <xf numFmtId="0" fontId="30" fillId="2" borderId="12" xfId="3" applyFont="1" applyFill="1" applyBorder="1" applyAlignment="1">
      <alignment horizontal="center" vertical="center" wrapText="1"/>
    </xf>
    <xf numFmtId="0" fontId="15" fillId="2" borderId="0" xfId="3" applyFont="1" applyFill="1" applyAlignment="1">
      <alignment horizontal="center" vertical="center"/>
    </xf>
    <xf numFmtId="0" fontId="5" fillId="3" borderId="0" xfId="3" applyFill="1"/>
    <xf numFmtId="0" fontId="5" fillId="4" borderId="0" xfId="3" applyFill="1"/>
    <xf numFmtId="0" fontId="5" fillId="2" borderId="16" xfId="4" applyFill="1" applyBorder="1" applyAlignment="1">
      <alignment horizontal="center" vertical="center" wrapText="1"/>
    </xf>
    <xf numFmtId="0" fontId="5" fillId="2" borderId="15" xfId="4" applyFill="1" applyBorder="1" applyAlignment="1">
      <alignment horizontal="center" vertical="center" wrapText="1"/>
    </xf>
    <xf numFmtId="0" fontId="4" fillId="2" borderId="4" xfId="4" applyFont="1" applyFill="1" applyBorder="1" applyAlignment="1">
      <alignment horizontal="center" vertical="center" wrapText="1"/>
    </xf>
    <xf numFmtId="0" fontId="4" fillId="2" borderId="16" xfId="4" applyFont="1" applyFill="1" applyBorder="1" applyAlignment="1">
      <alignment horizontal="center" vertical="center" wrapText="1"/>
    </xf>
    <xf numFmtId="0" fontId="4" fillId="2" borderId="5" xfId="4" applyFont="1" applyFill="1" applyBorder="1" applyAlignment="1">
      <alignment horizontal="center" vertical="center"/>
    </xf>
    <xf numFmtId="0" fontId="4" fillId="2" borderId="4" xfId="2" applyFont="1" applyFill="1" applyBorder="1" applyAlignment="1">
      <alignment horizontal="center" vertical="center" wrapText="1"/>
    </xf>
    <xf numFmtId="0" fontId="3" fillId="2" borderId="4" xfId="2" applyFont="1" applyFill="1" applyBorder="1" applyAlignment="1">
      <alignment horizontal="center" vertical="center" wrapText="1"/>
    </xf>
    <xf numFmtId="0" fontId="2" fillId="2" borderId="4" xfId="2" applyFont="1" applyFill="1" applyBorder="1" applyAlignment="1">
      <alignment horizontal="center" vertical="center" wrapText="1"/>
    </xf>
    <xf numFmtId="0" fontId="24" fillId="0" borderId="3" xfId="2" applyFont="1" applyBorder="1" applyAlignment="1">
      <alignment horizontal="center" vertical="center"/>
    </xf>
    <xf numFmtId="0" fontId="16" fillId="10" borderId="19" xfId="2" applyFont="1" applyFill="1" applyBorder="1" applyAlignment="1">
      <alignment horizontal="left" vertical="center"/>
    </xf>
    <xf numFmtId="0" fontId="16" fillId="10" borderId="20" xfId="2" applyFont="1" applyFill="1" applyBorder="1" applyAlignment="1">
      <alignment horizontal="left" vertical="center"/>
    </xf>
    <xf numFmtId="0" fontId="16" fillId="10" borderId="21" xfId="2" applyFont="1" applyFill="1" applyBorder="1" applyAlignment="1">
      <alignment horizontal="left" vertical="center"/>
    </xf>
    <xf numFmtId="0" fontId="17" fillId="2" borderId="1" xfId="2" applyFont="1" applyFill="1" applyBorder="1" applyAlignment="1">
      <alignment horizontal="center" vertical="center"/>
    </xf>
    <xf numFmtId="0" fontId="16" fillId="10" borderId="2" xfId="2" applyFont="1" applyFill="1" applyBorder="1" applyAlignment="1">
      <alignment horizontal="center" vertical="center"/>
    </xf>
    <xf numFmtId="0" fontId="16" fillId="10" borderId="3" xfId="2" applyFont="1" applyFill="1" applyBorder="1" applyAlignment="1">
      <alignment horizontal="center" vertical="center"/>
    </xf>
    <xf numFmtId="0" fontId="16" fillId="11" borderId="13" xfId="2" applyFont="1" applyFill="1" applyBorder="1" applyAlignment="1">
      <alignment horizontal="center" vertical="center"/>
    </xf>
    <xf numFmtId="0" fontId="16" fillId="11" borderId="14" xfId="2" applyFont="1" applyFill="1" applyBorder="1" applyAlignment="1">
      <alignment horizontal="center" vertical="center"/>
    </xf>
    <xf numFmtId="0" fontId="16" fillId="12" borderId="13" xfId="2" applyFont="1" applyFill="1" applyBorder="1" applyAlignment="1">
      <alignment horizontal="center" vertical="center"/>
    </xf>
    <xf numFmtId="0" fontId="16" fillId="12" borderId="14" xfId="2" applyFont="1" applyFill="1" applyBorder="1" applyAlignment="1">
      <alignment horizontal="center" vertical="center"/>
    </xf>
    <xf numFmtId="0" fontId="16" fillId="12" borderId="17" xfId="2" applyFont="1" applyFill="1" applyBorder="1" applyAlignment="1">
      <alignment horizontal="center" vertical="center"/>
    </xf>
    <xf numFmtId="0" fontId="16" fillId="13" borderId="13" xfId="2" applyFont="1" applyFill="1" applyBorder="1" applyAlignment="1">
      <alignment horizontal="center" vertical="center"/>
    </xf>
    <xf numFmtId="0" fontId="16" fillId="13" borderId="14" xfId="2" applyFont="1" applyFill="1" applyBorder="1" applyAlignment="1">
      <alignment horizontal="center" vertical="center"/>
    </xf>
    <xf numFmtId="0" fontId="16" fillId="10" borderId="9" xfId="2" applyFont="1" applyFill="1" applyBorder="1" applyAlignment="1">
      <alignment horizontal="center" vertical="center"/>
    </xf>
    <xf numFmtId="0" fontId="16" fillId="10" borderId="10" xfId="2" applyFont="1" applyFill="1" applyBorder="1" applyAlignment="1">
      <alignment horizontal="center" vertical="center"/>
    </xf>
    <xf numFmtId="0" fontId="16" fillId="2" borderId="0" xfId="2" applyFont="1" applyFill="1" applyAlignment="1">
      <alignment horizontal="left" vertical="center"/>
    </xf>
    <xf numFmtId="0" fontId="6" fillId="2" borderId="0" xfId="2" applyFill="1" applyAlignment="1">
      <alignment horizontal="center" vertical="center"/>
    </xf>
    <xf numFmtId="0" fontId="26" fillId="2" borderId="26" xfId="3" applyFont="1" applyFill="1" applyBorder="1" applyAlignment="1">
      <alignment horizontal="right" vertical="center" wrapText="1"/>
    </xf>
    <xf numFmtId="0" fontId="26" fillId="2" borderId="7" xfId="3" applyFont="1" applyFill="1" applyBorder="1" applyAlignment="1">
      <alignment horizontal="right" vertical="center" wrapText="1"/>
    </xf>
    <xf numFmtId="0" fontId="26" fillId="2" borderId="8" xfId="3" applyFont="1" applyFill="1" applyBorder="1" applyAlignment="1">
      <alignment horizontal="right" vertical="center" wrapText="1"/>
    </xf>
    <xf numFmtId="0" fontId="16" fillId="2" borderId="0" xfId="3" applyFont="1" applyFill="1" applyAlignment="1">
      <alignment horizontal="center" vertical="center"/>
    </xf>
    <xf numFmtId="0" fontId="17" fillId="2" borderId="19" xfId="3" applyFont="1" applyFill="1" applyBorder="1" applyAlignment="1">
      <alignment horizontal="center" vertical="center"/>
    </xf>
    <xf numFmtId="0" fontId="17" fillId="2" borderId="20" xfId="3" applyFont="1" applyFill="1" applyBorder="1" applyAlignment="1">
      <alignment horizontal="center" vertical="center"/>
    </xf>
    <xf numFmtId="0" fontId="17" fillId="2" borderId="21" xfId="3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horizontal="center" vertical="center"/>
    </xf>
    <xf numFmtId="0" fontId="18" fillId="6" borderId="9" xfId="0" applyFont="1" applyFill="1" applyBorder="1" applyAlignment="1">
      <alignment horizontal="center" vertical="center"/>
    </xf>
    <xf numFmtId="0" fontId="18" fillId="6" borderId="11" xfId="0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 wrapText="1"/>
    </xf>
    <xf numFmtId="0" fontId="19" fillId="7" borderId="7" xfId="0" applyFont="1" applyFill="1" applyBorder="1" applyAlignment="1">
      <alignment horizontal="center" vertical="center" wrapText="1"/>
    </xf>
    <xf numFmtId="0" fontId="19" fillId="7" borderId="8" xfId="0" applyFont="1" applyFill="1" applyBorder="1" applyAlignment="1">
      <alignment horizontal="center" vertical="center" wrapText="1"/>
    </xf>
    <xf numFmtId="0" fontId="19" fillId="9" borderId="6" xfId="0" applyFont="1" applyFill="1" applyBorder="1" applyAlignment="1">
      <alignment horizontal="center" vertical="center" wrapText="1"/>
    </xf>
    <xf numFmtId="0" fontId="19" fillId="9" borderId="7" xfId="0" applyFont="1" applyFill="1" applyBorder="1" applyAlignment="1">
      <alignment horizontal="center" vertical="center" wrapText="1"/>
    </xf>
    <xf numFmtId="0" fontId="19" fillId="9" borderId="8" xfId="0" applyFont="1" applyFill="1" applyBorder="1" applyAlignment="1">
      <alignment horizontal="center" vertical="center" wrapText="1"/>
    </xf>
    <xf numFmtId="0" fontId="20" fillId="9" borderId="6" xfId="0" applyFont="1" applyFill="1" applyBorder="1" applyAlignment="1">
      <alignment horizontal="center" vertical="center" wrapText="1"/>
    </xf>
    <xf numFmtId="0" fontId="20" fillId="9" borderId="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/>
    </xf>
    <xf numFmtId="0" fontId="17" fillId="2" borderId="1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 vertical="center"/>
    </xf>
    <xf numFmtId="0" fontId="18" fillId="8" borderId="14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2" fillId="2" borderId="6" xfId="0" applyFont="1" applyFill="1" applyBorder="1" applyAlignment="1">
      <alignment horizontal="center" vertical="center" wrapText="1"/>
    </xf>
    <xf numFmtId="0" fontId="2" fillId="2" borderId="15" xfId="2" applyFont="1" applyFill="1" applyBorder="1" applyAlignment="1">
      <alignment horizontal="center" vertical="center" wrapText="1"/>
    </xf>
    <xf numFmtId="0" fontId="1" fillId="2" borderId="15" xfId="2" applyFont="1" applyFill="1" applyBorder="1" applyAlignment="1">
      <alignment horizontal="center" vertical="center" wrapText="1"/>
    </xf>
    <xf numFmtId="0" fontId="6" fillId="14" borderId="15" xfId="2" applyFill="1" applyBorder="1" applyAlignment="1">
      <alignment horizontal="center" vertical="center"/>
    </xf>
  </cellXfs>
  <cellStyles count="5">
    <cellStyle name="Normal" xfId="0" builtinId="0"/>
    <cellStyle name="Normal 2" xfId="1" xr:uid="{A788F1B3-DE58-4EFE-A967-6836EFC63250}"/>
    <cellStyle name="Normal 2 2" xfId="3" xr:uid="{237C39A6-AFD4-4845-885C-F2A2DE357A85}"/>
    <cellStyle name="Normal 3" xfId="2" xr:uid="{DA5B43DB-B81B-4693-A0FE-5DF2E1DC9E44}"/>
    <cellStyle name="Normal 3 2" xfId="4" xr:uid="{59F5650C-65A8-4487-B20A-BB446D1B37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1A21E5-04D1-4137-B8D4-5F2FC2EEE7F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573941</xdr:colOff>
      <xdr:row>4</xdr:row>
      <xdr:rowOff>170961</xdr:rowOff>
    </xdr:from>
    <xdr:to>
      <xdr:col>1</xdr:col>
      <xdr:colOff>134787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7DDDA6-DABD-4EBF-BF54-466E5FEEA4AF}"/>
            </a:ext>
          </a:extLst>
        </xdr:cNvPr>
        <xdr:cNvSpPr txBox="1"/>
      </xdr:nvSpPr>
      <xdr:spPr>
        <a:xfrm>
          <a:off x="573941" y="1366079"/>
          <a:ext cx="1996011" cy="2505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CALAMBA,</a:t>
          </a:r>
          <a:r>
            <a:rPr lang="en-US" sz="1100" baseline="0"/>
            <a:t> GLADYS R.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EF2A28F-E9CD-4CB1-AF63-998E8A2600CE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TEACHER-IN-CHARGE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980BED6-D901-49E5-9CE4-22B61BA2BA77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CALAT-AN ES</a:t>
          </a:r>
        </a:p>
      </xdr:txBody>
    </xdr:sp>
    <xdr:clientData/>
  </xdr:twoCellAnchor>
  <xdr:twoCellAnchor>
    <xdr:from>
      <xdr:col>5</xdr:col>
      <xdr:colOff>347452</xdr:colOff>
      <xdr:row>23</xdr:row>
      <xdr:rowOff>53914</xdr:rowOff>
    </xdr:from>
    <xdr:to>
      <xdr:col>9</xdr:col>
      <xdr:colOff>672043</xdr:colOff>
      <xdr:row>28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58702A9-0F12-44E7-AE8F-E2B592A706B8}"/>
            </a:ext>
          </a:extLst>
        </xdr:cNvPr>
        <xdr:cNvSpPr txBox="1"/>
      </xdr:nvSpPr>
      <xdr:spPr>
        <a:xfrm>
          <a:off x="5871952" y="8845489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26F69A-FE25-4E7A-A680-8AFCBFD453C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750" y="4782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23</xdr:row>
      <xdr:rowOff>209550</xdr:rowOff>
    </xdr:from>
    <xdr:to>
      <xdr:col>2</xdr:col>
      <xdr:colOff>962025</xdr:colOff>
      <xdr:row>25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C3D1DA7-71A1-463A-885D-DED2B1A25AB7}"/>
            </a:ext>
          </a:extLst>
        </xdr:cNvPr>
        <xdr:cNvSpPr txBox="1"/>
      </xdr:nvSpPr>
      <xdr:spPr>
        <a:xfrm>
          <a:off x="76200" y="4295775"/>
          <a:ext cx="37147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23</xdr:row>
      <xdr:rowOff>236220</xdr:rowOff>
    </xdr:from>
    <xdr:to>
      <xdr:col>6</xdr:col>
      <xdr:colOff>476250</xdr:colOff>
      <xdr:row>25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591BFC3-E97A-4679-8BB0-E273674B20BE}"/>
            </a:ext>
          </a:extLst>
        </xdr:cNvPr>
        <xdr:cNvSpPr txBox="1"/>
      </xdr:nvSpPr>
      <xdr:spPr>
        <a:xfrm>
          <a:off x="5238750" y="4322445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27</xdr:row>
      <xdr:rowOff>209550</xdr:rowOff>
    </xdr:from>
    <xdr:to>
      <xdr:col>2</xdr:col>
      <xdr:colOff>533400</xdr:colOff>
      <xdr:row>29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6BD06-8DB3-4D3C-9362-E47BA34A87C1}">
  <sheetPr>
    <pageSetUpPr fitToPage="1"/>
  </sheetPr>
  <dimension ref="A1:K27"/>
  <sheetViews>
    <sheetView tabSelected="1" view="pageBreakPreview" zoomScale="106" zoomScaleNormal="100" zoomScaleSheetLayoutView="106" workbookViewId="0">
      <selection activeCell="A19" sqref="A19:XFD19"/>
    </sheetView>
  </sheetViews>
  <sheetFormatPr defaultRowHeight="15"/>
  <cols>
    <col min="1" max="1" width="36.5703125" style="40" customWidth="1"/>
    <col min="2" max="5" width="11.5703125" style="40" customWidth="1"/>
    <col min="6" max="7" width="11.5703125" style="53" customWidth="1"/>
    <col min="8" max="10" width="11.5703125" style="40" customWidth="1"/>
    <col min="11" max="11" width="26.42578125" style="48" customWidth="1"/>
    <col min="12" max="16384" width="9.140625" style="40"/>
  </cols>
  <sheetData>
    <row r="1" spans="1:11" s="35" customFormat="1" ht="52.5" customHeight="1"/>
    <row r="2" spans="1:11" s="35" customFormat="1" ht="10.5" customHeight="1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</row>
    <row r="3" spans="1:11" s="35" customFormat="1" ht="15.95" customHeight="1">
      <c r="A3" s="108" t="s">
        <v>1</v>
      </c>
      <c r="B3" s="108"/>
      <c r="C3" s="108"/>
      <c r="D3" s="108"/>
      <c r="E3" s="108"/>
      <c r="F3" s="108"/>
      <c r="G3" s="108"/>
      <c r="H3" s="108"/>
      <c r="I3" s="108"/>
      <c r="J3" s="108"/>
    </row>
    <row r="4" spans="1:11" s="35" customFormat="1" ht="15.95" customHeight="1">
      <c r="A4" s="108" t="s">
        <v>2</v>
      </c>
      <c r="B4" s="108"/>
      <c r="C4" s="108"/>
      <c r="D4" s="108"/>
      <c r="E4" s="108"/>
      <c r="F4" s="108"/>
      <c r="G4" s="108"/>
      <c r="H4" s="108"/>
      <c r="I4" s="108"/>
      <c r="J4" s="108"/>
    </row>
    <row r="5" spans="1:11" s="35" customFormat="1" ht="15.95" customHeight="1">
      <c r="A5" s="108" t="s">
        <v>3</v>
      </c>
      <c r="B5" s="108"/>
      <c r="C5" s="108"/>
      <c r="D5" s="108"/>
      <c r="E5" s="108"/>
      <c r="F5" s="108"/>
      <c r="G5" s="108"/>
      <c r="H5" s="108"/>
      <c r="I5" s="108"/>
      <c r="J5" s="108"/>
    </row>
    <row r="6" spans="1:11" s="35" customFormat="1" ht="8.25" customHeight="1"/>
    <row r="7" spans="1:11" s="35" customFormat="1" ht="12" customHeight="1">
      <c r="A7" s="35" t="s">
        <v>36</v>
      </c>
      <c r="B7" s="107" t="s">
        <v>37</v>
      </c>
      <c r="C7" s="107"/>
      <c r="D7" s="107"/>
      <c r="H7" s="36" t="s">
        <v>38</v>
      </c>
      <c r="I7" s="37"/>
      <c r="J7" s="36"/>
    </row>
    <row r="8" spans="1:11" s="35" customFormat="1" ht="12" customHeight="1">
      <c r="B8" s="38"/>
      <c r="C8" s="38"/>
      <c r="H8" s="38"/>
      <c r="I8" s="38"/>
      <c r="J8" s="38"/>
    </row>
    <row r="9" spans="1:11" s="35" customFormat="1" ht="12" customHeight="1">
      <c r="A9" s="35" t="s">
        <v>39</v>
      </c>
      <c r="B9" s="107" t="s">
        <v>40</v>
      </c>
      <c r="C9" s="107"/>
      <c r="D9" s="107"/>
      <c r="H9" s="36" t="s">
        <v>41</v>
      </c>
      <c r="I9" s="39"/>
      <c r="J9" s="36"/>
    </row>
    <row r="10" spans="1:11" ht="23.25" customHeight="1" thickBot="1">
      <c r="A10" s="95" t="s">
        <v>42</v>
      </c>
      <c r="B10" s="95"/>
      <c r="C10" s="95"/>
      <c r="D10" s="95"/>
      <c r="E10" s="95"/>
      <c r="F10" s="95"/>
      <c r="G10" s="95"/>
      <c r="H10" s="95"/>
      <c r="I10" s="95"/>
      <c r="J10" s="95"/>
      <c r="K10" s="40"/>
    </row>
    <row r="11" spans="1:11" ht="18.75" customHeight="1">
      <c r="A11" s="96" t="s">
        <v>5</v>
      </c>
      <c r="B11" s="98" t="s">
        <v>11</v>
      </c>
      <c r="C11" s="99"/>
      <c r="D11" s="100" t="s">
        <v>43</v>
      </c>
      <c r="E11" s="101"/>
      <c r="F11" s="101"/>
      <c r="G11" s="102"/>
      <c r="H11" s="103" t="s">
        <v>44</v>
      </c>
      <c r="I11" s="104"/>
      <c r="J11" s="105" t="s">
        <v>6</v>
      </c>
      <c r="K11" s="91" t="s">
        <v>45</v>
      </c>
    </row>
    <row r="12" spans="1:11" ht="15.75" thickBot="1">
      <c r="A12" s="97"/>
      <c r="B12" s="41" t="s">
        <v>46</v>
      </c>
      <c r="C12" s="41" t="s">
        <v>47</v>
      </c>
      <c r="D12" s="41" t="s">
        <v>46</v>
      </c>
      <c r="E12" s="41" t="s">
        <v>47</v>
      </c>
      <c r="F12" s="41" t="s">
        <v>48</v>
      </c>
      <c r="G12" s="41" t="s">
        <v>49</v>
      </c>
      <c r="H12" s="41" t="s">
        <v>46</v>
      </c>
      <c r="I12" s="41" t="s">
        <v>47</v>
      </c>
      <c r="J12" s="106"/>
      <c r="K12" s="91"/>
    </row>
    <row r="13" spans="1:11" ht="15.75" thickBot="1">
      <c r="A13" s="92" t="s">
        <v>52</v>
      </c>
      <c r="B13" s="93"/>
      <c r="C13" s="93"/>
      <c r="D13" s="93"/>
      <c r="E13" s="93"/>
      <c r="F13" s="93"/>
      <c r="G13" s="93"/>
      <c r="H13" s="93"/>
      <c r="I13" s="93"/>
      <c r="J13" s="94"/>
      <c r="K13" s="42"/>
    </row>
    <row r="14" spans="1:11" ht="27" customHeight="1">
      <c r="A14" s="88" t="s">
        <v>88</v>
      </c>
      <c r="B14" s="44">
        <v>15.217000000000001</v>
      </c>
      <c r="C14" s="45">
        <v>15.217000000000001</v>
      </c>
      <c r="D14" s="45"/>
      <c r="E14" s="44"/>
      <c r="F14" s="44"/>
      <c r="G14" s="44"/>
      <c r="H14" s="46">
        <f>B14</f>
        <v>15.217000000000001</v>
      </c>
      <c r="I14" s="46">
        <f>C14</f>
        <v>15.217000000000001</v>
      </c>
      <c r="J14" s="47">
        <f>SUM(H14:I14)</f>
        <v>30.434000000000001</v>
      </c>
    </row>
    <row r="15" spans="1:11" ht="17.25" customHeight="1">
      <c r="A15" s="43" t="s">
        <v>51</v>
      </c>
      <c r="B15" s="44">
        <v>0.125</v>
      </c>
      <c r="C15" s="45">
        <v>0.125</v>
      </c>
      <c r="D15" s="49"/>
      <c r="E15" s="50"/>
      <c r="F15" s="50"/>
      <c r="G15" s="50"/>
      <c r="H15" s="51">
        <f>H14-F15-D15+B15</f>
        <v>15.342000000000001</v>
      </c>
      <c r="I15" s="51">
        <f>I14-E15+C15</f>
        <v>15.342000000000001</v>
      </c>
      <c r="J15" s="52">
        <f>SUM(H15:I15)</f>
        <v>30.684000000000001</v>
      </c>
    </row>
    <row r="16" spans="1:11" ht="15.75" customHeight="1">
      <c r="A16" s="89" t="s">
        <v>89</v>
      </c>
      <c r="B16" s="50">
        <v>6.25</v>
      </c>
      <c r="C16" s="49">
        <v>6.25</v>
      </c>
      <c r="D16" s="49"/>
      <c r="E16" s="50"/>
      <c r="F16" s="50"/>
      <c r="G16" s="50"/>
      <c r="H16" s="51">
        <f t="shared" ref="H16" si="0">H15-F16-D16+B16</f>
        <v>21.591999999999999</v>
      </c>
      <c r="I16" s="51">
        <f t="shared" ref="I16" si="1">I15-E16+C16</f>
        <v>21.591999999999999</v>
      </c>
      <c r="J16" s="52">
        <f t="shared" ref="J16" si="2">SUM(H16:I16)</f>
        <v>43.183999999999997</v>
      </c>
    </row>
    <row r="17" spans="1:10" ht="13.5" customHeight="1">
      <c r="A17" s="90" t="s">
        <v>90</v>
      </c>
      <c r="B17" s="50">
        <v>3.75</v>
      </c>
      <c r="C17" s="49">
        <v>3.75</v>
      </c>
      <c r="D17" s="49"/>
      <c r="E17" s="50"/>
      <c r="F17" s="50"/>
      <c r="G17" s="50"/>
      <c r="H17" s="51">
        <f t="shared" ref="H17:H18" si="3">H16-F17-D17+B17</f>
        <v>25.341999999999999</v>
      </c>
      <c r="I17" s="51">
        <f t="shared" ref="I17:I18" si="4">I16-E17+C17</f>
        <v>25.341999999999999</v>
      </c>
      <c r="J17" s="52">
        <f t="shared" ref="J17:J18" si="5">SUM(H17:I17)</f>
        <v>50.683999999999997</v>
      </c>
    </row>
    <row r="18" spans="1:10" ht="15" customHeight="1">
      <c r="A18" s="90" t="s">
        <v>91</v>
      </c>
      <c r="B18" s="50"/>
      <c r="C18" s="49"/>
      <c r="D18" s="49">
        <v>15</v>
      </c>
      <c r="E18" s="50"/>
      <c r="F18" s="50"/>
      <c r="G18" s="50"/>
      <c r="H18" s="51">
        <f t="shared" si="3"/>
        <v>10.341999999999999</v>
      </c>
      <c r="I18" s="51">
        <f t="shared" si="4"/>
        <v>25.341999999999999</v>
      </c>
      <c r="J18" s="52">
        <f t="shared" si="5"/>
        <v>35.683999999999997</v>
      </c>
    </row>
    <row r="19" spans="1:10" ht="15" customHeight="1">
      <c r="A19" s="146" t="s">
        <v>92</v>
      </c>
      <c r="B19" s="50">
        <v>10</v>
      </c>
      <c r="C19" s="49">
        <v>10</v>
      </c>
      <c r="D19" s="49"/>
      <c r="E19" s="50"/>
      <c r="F19" s="50"/>
      <c r="G19" s="50"/>
      <c r="H19" s="51">
        <f t="shared" ref="H19:H20" si="6">H18-F19-D19+B19</f>
        <v>20.341999999999999</v>
      </c>
      <c r="I19" s="51">
        <f t="shared" ref="I19:I20" si="7">I18-E19+C19</f>
        <v>35.341999999999999</v>
      </c>
      <c r="J19" s="52">
        <f t="shared" ref="J19:J20" si="8">SUM(H19:I19)</f>
        <v>55.683999999999997</v>
      </c>
    </row>
    <row r="20" spans="1:10" ht="15" customHeight="1">
      <c r="A20" s="146" t="s">
        <v>93</v>
      </c>
      <c r="B20" s="50"/>
      <c r="C20" s="49"/>
      <c r="D20" s="49"/>
      <c r="E20" s="50"/>
      <c r="F20" s="147">
        <v>3</v>
      </c>
      <c r="G20" s="50"/>
      <c r="H20" s="51">
        <f t="shared" si="6"/>
        <v>17.341999999999999</v>
      </c>
      <c r="I20" s="51">
        <f t="shared" si="7"/>
        <v>35.341999999999999</v>
      </c>
      <c r="J20" s="52">
        <f t="shared" si="8"/>
        <v>52.683999999999997</v>
      </c>
    </row>
    <row r="21" spans="1:10" ht="15" customHeight="1">
      <c r="A21" s="145"/>
      <c r="B21" s="50"/>
      <c r="C21" s="49"/>
      <c r="D21" s="49"/>
      <c r="E21" s="50"/>
      <c r="F21" s="50"/>
      <c r="G21" s="50"/>
      <c r="H21" s="51"/>
      <c r="I21" s="51"/>
      <c r="J21" s="51"/>
    </row>
    <row r="22" spans="1:10">
      <c r="H22" s="54"/>
      <c r="I22" s="54"/>
      <c r="J22" s="54"/>
    </row>
    <row r="23" spans="1:10">
      <c r="H23" s="54"/>
      <c r="I23" s="54"/>
      <c r="J23" s="54"/>
    </row>
    <row r="27" spans="1:10">
      <c r="F27" s="53" t="s">
        <v>50</v>
      </c>
    </row>
  </sheetData>
  <mergeCells count="14">
    <mergeCell ref="B9:D9"/>
    <mergeCell ref="A2:J2"/>
    <mergeCell ref="A3:J3"/>
    <mergeCell ref="A4:J4"/>
    <mergeCell ref="A5:J5"/>
    <mergeCell ref="B7:D7"/>
    <mergeCell ref="K11:K12"/>
    <mergeCell ref="A13:J13"/>
    <mergeCell ref="A10:J10"/>
    <mergeCell ref="A11:A12"/>
    <mergeCell ref="B11:C11"/>
    <mergeCell ref="D11:G11"/>
    <mergeCell ref="H11:I11"/>
    <mergeCell ref="J11:J12"/>
  </mergeCells>
  <phoneticPr fontId="23" type="noConversion"/>
  <printOptions horizontalCentered="1"/>
  <pageMargins left="0.25" right="0.25" top="0.25" bottom="0.25" header="0.3" footer="0.3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DF87-E01F-4D4E-9FA3-3F17E9E19ECF}">
  <dimension ref="A1:G26"/>
  <sheetViews>
    <sheetView view="pageBreakPreview" zoomScaleNormal="100" workbookViewId="0">
      <selection activeCell="C22" sqref="C22"/>
    </sheetView>
  </sheetViews>
  <sheetFormatPr defaultColWidth="9" defaultRowHeight="15"/>
  <cols>
    <col min="1" max="1" width="23.85546875" style="63" customWidth="1"/>
    <col min="2" max="2" width="18.85546875" style="63" customWidth="1"/>
    <col min="3" max="3" width="35" style="81" customWidth="1"/>
    <col min="4" max="4" width="11.7109375" style="82" customWidth="1"/>
    <col min="5" max="5" width="11" style="63" customWidth="1"/>
    <col min="6" max="6" width="11.85546875" style="82" customWidth="1"/>
    <col min="7" max="7" width="22" style="63" customWidth="1"/>
    <col min="8" max="16384" width="9" style="63"/>
  </cols>
  <sheetData>
    <row r="1" spans="1:7" s="55" customFormat="1" ht="52.5" customHeight="1">
      <c r="E1" s="56"/>
    </row>
    <row r="2" spans="1:7" s="55" customFormat="1" ht="10.5" customHeight="1">
      <c r="A2" s="112" t="s">
        <v>0</v>
      </c>
      <c r="B2" s="112"/>
      <c r="C2" s="112"/>
      <c r="D2" s="112"/>
      <c r="E2" s="112"/>
      <c r="F2" s="112"/>
      <c r="G2" s="112"/>
    </row>
    <row r="3" spans="1:7" s="55" customFormat="1" ht="15.95" customHeight="1">
      <c r="A3" s="112" t="s">
        <v>1</v>
      </c>
      <c r="B3" s="112"/>
      <c r="C3" s="112"/>
      <c r="D3" s="112"/>
      <c r="E3" s="112"/>
      <c r="F3" s="112"/>
      <c r="G3" s="112"/>
    </row>
    <row r="4" spans="1:7" s="55" customFormat="1" ht="15.95" customHeight="1">
      <c r="A4" s="112" t="s">
        <v>2</v>
      </c>
      <c r="B4" s="112"/>
      <c r="C4" s="112"/>
      <c r="D4" s="112"/>
      <c r="E4" s="112"/>
      <c r="F4" s="112"/>
      <c r="G4" s="112"/>
    </row>
    <row r="5" spans="1:7" s="55" customFormat="1" ht="15.95" customHeight="1">
      <c r="A5" s="112" t="s">
        <v>3</v>
      </c>
      <c r="B5" s="112"/>
      <c r="C5" s="112"/>
      <c r="D5" s="112"/>
      <c r="E5" s="112"/>
      <c r="F5" s="112"/>
      <c r="G5" s="112"/>
    </row>
    <row r="6" spans="1:7" s="55" customFormat="1" ht="8.25" customHeight="1">
      <c r="E6" s="56"/>
    </row>
    <row r="7" spans="1:7" s="55" customFormat="1" ht="8.25" customHeight="1">
      <c r="E7" s="56"/>
    </row>
    <row r="8" spans="1:7" s="55" customFormat="1" ht="17.25" customHeight="1">
      <c r="A8" s="57" t="s">
        <v>70</v>
      </c>
      <c r="B8" s="57"/>
      <c r="C8" s="57" t="s">
        <v>53</v>
      </c>
      <c r="D8" s="58"/>
      <c r="E8" s="57" t="s">
        <v>54</v>
      </c>
      <c r="F8" s="58"/>
      <c r="G8" s="59"/>
    </row>
    <row r="9" spans="1:7" s="55" customFormat="1" ht="12" customHeight="1">
      <c r="A9" s="60"/>
      <c r="B9" s="60"/>
      <c r="C9" s="61"/>
      <c r="E9" s="57" t="s">
        <v>55</v>
      </c>
      <c r="F9" s="62"/>
      <c r="G9" s="61"/>
    </row>
    <row r="10" spans="1:7" s="55" customFormat="1" ht="14.25" customHeight="1">
      <c r="A10" s="57" t="s">
        <v>56</v>
      </c>
      <c r="B10" s="57"/>
      <c r="C10" s="57" t="s">
        <v>57</v>
      </c>
      <c r="D10" s="58"/>
      <c r="E10" s="57" t="s">
        <v>58</v>
      </c>
      <c r="F10" s="58"/>
      <c r="G10" s="59"/>
    </row>
    <row r="11" spans="1:7" s="55" customFormat="1" ht="12" customHeight="1" thickBot="1">
      <c r="A11" s="59"/>
      <c r="B11" s="59"/>
      <c r="C11" s="59"/>
      <c r="F11" s="58"/>
      <c r="G11" s="59"/>
    </row>
    <row r="12" spans="1:7" ht="23.25" customHeight="1" thickBot="1">
      <c r="A12" s="113" t="s">
        <v>59</v>
      </c>
      <c r="B12" s="114"/>
      <c r="C12" s="114"/>
      <c r="D12" s="114"/>
      <c r="E12" s="114"/>
      <c r="F12" s="114"/>
      <c r="G12" s="115"/>
    </row>
    <row r="13" spans="1:7" s="69" customFormat="1" ht="37.5" customHeight="1" thickBot="1">
      <c r="A13" s="64" t="s">
        <v>60</v>
      </c>
      <c r="B13" s="65" t="s">
        <v>61</v>
      </c>
      <c r="C13" s="66" t="s">
        <v>62</v>
      </c>
      <c r="D13" s="66" t="s">
        <v>13</v>
      </c>
      <c r="E13" s="67" t="s">
        <v>14</v>
      </c>
      <c r="F13" s="67" t="s">
        <v>15</v>
      </c>
      <c r="G13" s="68" t="s">
        <v>6</v>
      </c>
    </row>
    <row r="14" spans="1:7" s="69" customFormat="1" ht="15.75" customHeight="1">
      <c r="A14" s="85" t="s">
        <v>76</v>
      </c>
      <c r="B14" s="71"/>
      <c r="C14" s="72" t="s">
        <v>77</v>
      </c>
      <c r="D14" s="73">
        <v>5</v>
      </c>
      <c r="E14" s="74">
        <v>0</v>
      </c>
      <c r="F14" s="74">
        <v>5</v>
      </c>
      <c r="G14" s="75">
        <v>5</v>
      </c>
    </row>
    <row r="15" spans="1:7" s="69" customFormat="1" ht="15.75" customHeight="1">
      <c r="A15" s="86" t="s">
        <v>78</v>
      </c>
      <c r="B15" s="87" t="s">
        <v>79</v>
      </c>
      <c r="C15" s="72" t="s">
        <v>80</v>
      </c>
      <c r="D15" s="73">
        <v>7</v>
      </c>
      <c r="E15" s="74">
        <v>0</v>
      </c>
      <c r="F15" s="74">
        <v>7</v>
      </c>
      <c r="G15" s="75">
        <v>7</v>
      </c>
    </row>
    <row r="16" spans="1:7" s="69" customFormat="1" ht="15.75" customHeight="1">
      <c r="A16" s="86" t="s">
        <v>81</v>
      </c>
      <c r="B16" s="87" t="s">
        <v>82</v>
      </c>
      <c r="C16" s="72" t="s">
        <v>80</v>
      </c>
      <c r="D16" s="73">
        <v>7</v>
      </c>
      <c r="E16" s="74">
        <v>0</v>
      </c>
      <c r="F16" s="74">
        <v>7</v>
      </c>
      <c r="G16" s="75">
        <v>7</v>
      </c>
    </row>
    <row r="17" spans="1:7" s="69" customFormat="1" ht="15.75" customHeight="1">
      <c r="A17" s="86" t="s">
        <v>83</v>
      </c>
      <c r="B17" s="87" t="s">
        <v>84</v>
      </c>
      <c r="C17" s="72" t="s">
        <v>80</v>
      </c>
      <c r="D17" s="73">
        <v>7</v>
      </c>
      <c r="E17" s="74">
        <v>0</v>
      </c>
      <c r="F17" s="74">
        <v>7</v>
      </c>
      <c r="G17" s="75">
        <v>7</v>
      </c>
    </row>
    <row r="18" spans="1:7" s="69" customFormat="1" ht="15.75" customHeight="1">
      <c r="A18" s="86" t="s">
        <v>85</v>
      </c>
      <c r="B18" s="71"/>
      <c r="C18" s="72" t="s">
        <v>86</v>
      </c>
      <c r="D18" s="73">
        <v>3</v>
      </c>
      <c r="E18" s="74">
        <v>0</v>
      </c>
      <c r="F18" s="74">
        <v>3</v>
      </c>
      <c r="G18" s="75">
        <v>3</v>
      </c>
    </row>
    <row r="19" spans="1:7" s="69" customFormat="1" ht="15.75" customHeight="1">
      <c r="A19" s="70" t="s">
        <v>71</v>
      </c>
      <c r="B19" s="71" t="s">
        <v>67</v>
      </c>
      <c r="C19" s="72" t="s">
        <v>68</v>
      </c>
      <c r="D19" s="73">
        <v>15</v>
      </c>
      <c r="E19" s="74">
        <v>0</v>
      </c>
      <c r="F19" s="74">
        <v>15</v>
      </c>
      <c r="G19" s="75">
        <v>15</v>
      </c>
    </row>
    <row r="20" spans="1:7" s="69" customFormat="1" ht="15.75" customHeight="1">
      <c r="A20" s="83" t="s">
        <v>72</v>
      </c>
      <c r="B20" s="71" t="s">
        <v>73</v>
      </c>
      <c r="C20" s="72" t="s">
        <v>74</v>
      </c>
      <c r="D20" s="73">
        <v>5</v>
      </c>
      <c r="E20" s="74">
        <v>0</v>
      </c>
      <c r="F20" s="74">
        <v>5</v>
      </c>
      <c r="G20" s="75">
        <v>5</v>
      </c>
    </row>
    <row r="21" spans="1:7" s="77" customFormat="1" ht="15.75">
      <c r="A21" s="84" t="s">
        <v>75</v>
      </c>
      <c r="B21" s="84" t="s">
        <v>69</v>
      </c>
      <c r="C21" s="72" t="s">
        <v>63</v>
      </c>
      <c r="D21" s="76">
        <v>6</v>
      </c>
      <c r="E21" s="76">
        <v>0</v>
      </c>
      <c r="F21" s="76">
        <v>6</v>
      </c>
      <c r="G21" s="75">
        <v>6</v>
      </c>
    </row>
    <row r="22" spans="1:7" s="77" customFormat="1" ht="15.75">
      <c r="A22" s="84" t="s">
        <v>64</v>
      </c>
      <c r="B22" s="84" t="s">
        <v>65</v>
      </c>
      <c r="C22" s="72" t="s">
        <v>66</v>
      </c>
      <c r="D22" s="76">
        <v>15</v>
      </c>
      <c r="E22" s="76">
        <v>0</v>
      </c>
      <c r="F22" s="76">
        <v>15</v>
      </c>
      <c r="G22" s="78">
        <v>15</v>
      </c>
    </row>
    <row r="23" spans="1:7" s="77" customFormat="1" ht="15.75">
      <c r="A23" s="109" t="s">
        <v>6</v>
      </c>
      <c r="B23" s="110"/>
      <c r="C23" s="110"/>
      <c r="D23" s="110"/>
      <c r="E23" s="110"/>
      <c r="F23" s="111"/>
      <c r="G23" s="79" t="s">
        <v>87</v>
      </c>
    </row>
    <row r="24" spans="1:7" s="55" customFormat="1" ht="75.75" customHeight="1">
      <c r="A24" s="80"/>
      <c r="B24" s="80"/>
      <c r="G24" s="80"/>
    </row>
    <row r="25" spans="1:7" s="55" customFormat="1"/>
    <row r="26" spans="1:7" s="55" customFormat="1"/>
  </sheetData>
  <mergeCells count="6">
    <mergeCell ref="A23:F23"/>
    <mergeCell ref="A2:G2"/>
    <mergeCell ref="A3:G3"/>
    <mergeCell ref="A4:G4"/>
    <mergeCell ref="A5:G5"/>
    <mergeCell ref="A12:G12"/>
  </mergeCells>
  <phoneticPr fontId="23" type="noConversion"/>
  <pageMargins left="0.25" right="0.25" top="0.75" bottom="0.75" header="0.3" footer="0.3"/>
  <pageSetup paperSize="9" scale="9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"/>
  <sheetViews>
    <sheetView view="pageBreakPreview" topLeftCell="A11" zoomScale="112" zoomScaleNormal="100" workbookViewId="0">
      <selection activeCell="B25" sqref="B25:E25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143" t="s">
        <v>0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</row>
    <row r="3" spans="1:12" s="1" customFormat="1" ht="15.95" customHeight="1">
      <c r="A3" s="143" t="s">
        <v>1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</row>
    <row r="4" spans="1:12" s="1" customFormat="1" ht="15.95" customHeight="1">
      <c r="A4" s="143" t="s">
        <v>2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</row>
    <row r="5" spans="1:12" s="1" customFormat="1" ht="15.95" customHeight="1">
      <c r="A5" s="143" t="s">
        <v>3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20</v>
      </c>
      <c r="B8" s="11"/>
      <c r="C8" s="138" t="s">
        <v>7</v>
      </c>
      <c r="D8" s="138"/>
      <c r="E8" s="138"/>
      <c r="F8" s="138"/>
      <c r="G8" s="138"/>
      <c r="I8" s="138" t="s">
        <v>8</v>
      </c>
      <c r="J8" s="138"/>
      <c r="K8" s="138"/>
      <c r="L8" s="11"/>
    </row>
    <row r="9" spans="1:12" s="1" customFormat="1" ht="12" customHeight="1">
      <c r="B9" s="12"/>
      <c r="C9" s="138" t="s">
        <v>22</v>
      </c>
      <c r="D9" s="138"/>
      <c r="E9" s="138"/>
      <c r="F9" s="138"/>
      <c r="G9" s="138"/>
      <c r="I9" s="139" t="s">
        <v>9</v>
      </c>
      <c r="J9" s="139"/>
      <c r="K9" s="139"/>
      <c r="L9" s="12"/>
    </row>
    <row r="10" spans="1:12" s="1" customFormat="1" ht="12" customHeight="1">
      <c r="A10" s="11" t="s">
        <v>21</v>
      </c>
      <c r="B10" s="11"/>
      <c r="C10" s="13"/>
      <c r="D10" s="12"/>
      <c r="E10" s="12"/>
      <c r="I10" s="138" t="s">
        <v>4</v>
      </c>
      <c r="J10" s="138"/>
      <c r="K10" s="138"/>
      <c r="L10" s="11"/>
    </row>
    <row r="11" spans="1:12" ht="16.5" customHeight="1">
      <c r="A11" s="140" t="s">
        <v>10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</row>
    <row r="12" spans="1:12" s="2" customFormat="1" ht="18.75" customHeight="1">
      <c r="A12" s="126" t="s">
        <v>5</v>
      </c>
      <c r="B12" s="141" t="s">
        <v>11</v>
      </c>
      <c r="C12" s="142"/>
      <c r="D12" s="142"/>
      <c r="E12" s="142"/>
      <c r="F12" s="142"/>
      <c r="G12" s="142"/>
      <c r="H12" s="142"/>
      <c r="I12" s="142"/>
      <c r="J12" s="142"/>
      <c r="K12" s="142"/>
      <c r="L12" s="128" t="s">
        <v>6</v>
      </c>
    </row>
    <row r="13" spans="1:12" s="2" customFormat="1" ht="24" customHeight="1">
      <c r="A13" s="127"/>
      <c r="B13" s="130" t="s">
        <v>12</v>
      </c>
      <c r="C13" s="131"/>
      <c r="D13" s="131"/>
      <c r="E13" s="132"/>
      <c r="F13" s="130" t="s">
        <v>13</v>
      </c>
      <c r="G13" s="132"/>
      <c r="H13" s="130" t="s">
        <v>14</v>
      </c>
      <c r="I13" s="132"/>
      <c r="J13" s="130" t="s">
        <v>15</v>
      </c>
      <c r="K13" s="132"/>
      <c r="L13" s="129"/>
    </row>
    <row r="14" spans="1:12" s="2" customFormat="1" ht="36.6" hidden="1" customHeight="1">
      <c r="A14" s="14" t="s">
        <v>16</v>
      </c>
      <c r="B14" s="118" t="s">
        <v>17</v>
      </c>
      <c r="C14" s="119"/>
      <c r="D14" s="119"/>
      <c r="E14" s="120"/>
      <c r="F14" s="21">
        <v>15</v>
      </c>
      <c r="G14" s="22"/>
      <c r="H14" s="116">
        <v>0</v>
      </c>
      <c r="I14" s="117"/>
      <c r="J14" s="116">
        <v>15</v>
      </c>
      <c r="K14" s="117"/>
      <c r="L14" s="23">
        <v>15</v>
      </c>
    </row>
    <row r="15" spans="1:12" s="3" customFormat="1" ht="36.950000000000003" hidden="1" customHeight="1">
      <c r="A15" s="15" t="s">
        <v>23</v>
      </c>
      <c r="B15" s="118"/>
      <c r="C15" s="119"/>
      <c r="D15" s="119"/>
      <c r="E15" s="120"/>
      <c r="F15" s="116"/>
      <c r="G15" s="117"/>
      <c r="H15" s="116">
        <v>1</v>
      </c>
      <c r="I15" s="117"/>
      <c r="J15" s="116">
        <v>14</v>
      </c>
      <c r="K15" s="117"/>
      <c r="L15" s="23">
        <v>14</v>
      </c>
    </row>
    <row r="16" spans="1:12" s="3" customFormat="1" ht="36.950000000000003" hidden="1" customHeight="1">
      <c r="A16" s="20" t="s">
        <v>24</v>
      </c>
      <c r="B16" s="133"/>
      <c r="C16" s="134"/>
      <c r="D16" s="134"/>
      <c r="E16" s="135"/>
      <c r="F16" s="136"/>
      <c r="G16" s="137"/>
      <c r="H16" s="136">
        <v>1</v>
      </c>
      <c r="I16" s="137"/>
      <c r="J16" s="136">
        <v>13</v>
      </c>
      <c r="K16" s="137"/>
      <c r="L16" s="24">
        <v>13</v>
      </c>
    </row>
    <row r="17" spans="1:12" s="3" customFormat="1" ht="27" customHeight="1">
      <c r="A17" s="26" t="s">
        <v>25</v>
      </c>
      <c r="B17" s="144" t="s">
        <v>28</v>
      </c>
      <c r="C17" s="119"/>
      <c r="D17" s="119"/>
      <c r="E17" s="120"/>
      <c r="F17" s="118">
        <v>1</v>
      </c>
      <c r="G17" s="120"/>
      <c r="H17" s="118">
        <v>0</v>
      </c>
      <c r="I17" s="120"/>
      <c r="J17" s="118">
        <v>1</v>
      </c>
      <c r="K17" s="120"/>
      <c r="L17" s="29">
        <v>1</v>
      </c>
    </row>
    <row r="18" spans="1:12" s="3" customFormat="1" ht="27" customHeight="1">
      <c r="A18" s="34" t="s">
        <v>35</v>
      </c>
      <c r="B18" s="123"/>
      <c r="C18" s="124"/>
      <c r="D18" s="124"/>
      <c r="E18" s="122"/>
      <c r="F18" s="121"/>
      <c r="G18" s="122"/>
      <c r="H18" s="121">
        <v>1</v>
      </c>
      <c r="I18" s="122"/>
      <c r="J18" s="121">
        <v>0</v>
      </c>
      <c r="K18" s="122"/>
      <c r="L18" s="27">
        <v>0</v>
      </c>
    </row>
    <row r="19" spans="1:12" s="3" customFormat="1" ht="27" customHeight="1">
      <c r="A19" s="32" t="s">
        <v>31</v>
      </c>
      <c r="B19" s="118" t="s">
        <v>32</v>
      </c>
      <c r="C19" s="119"/>
      <c r="D19" s="119"/>
      <c r="E19" s="120"/>
      <c r="F19" s="121">
        <v>2</v>
      </c>
      <c r="G19" s="122"/>
      <c r="H19" s="121">
        <v>0</v>
      </c>
      <c r="I19" s="122"/>
      <c r="J19" s="121">
        <v>2</v>
      </c>
      <c r="K19" s="122"/>
      <c r="L19" s="29">
        <v>2</v>
      </c>
    </row>
    <row r="20" spans="1:12" s="3" customFormat="1" ht="27" customHeight="1">
      <c r="A20" s="32" t="s">
        <v>33</v>
      </c>
      <c r="B20" s="118"/>
      <c r="C20" s="119"/>
      <c r="D20" s="119"/>
      <c r="E20" s="120"/>
      <c r="F20" s="121"/>
      <c r="G20" s="122"/>
      <c r="H20" s="121">
        <v>2</v>
      </c>
      <c r="I20" s="122"/>
      <c r="J20" s="121">
        <v>0</v>
      </c>
      <c r="K20" s="122"/>
      <c r="L20" s="27">
        <v>0</v>
      </c>
    </row>
    <row r="21" spans="1:12" s="3" customFormat="1" ht="27" customHeight="1">
      <c r="A21" s="19" t="s">
        <v>25</v>
      </c>
      <c r="B21" s="118" t="s">
        <v>26</v>
      </c>
      <c r="C21" s="119"/>
      <c r="D21" s="119"/>
      <c r="E21" s="120"/>
      <c r="F21" s="116">
        <v>15</v>
      </c>
      <c r="G21" s="117"/>
      <c r="H21" s="116">
        <v>0</v>
      </c>
      <c r="I21" s="117"/>
      <c r="J21" s="116">
        <v>15</v>
      </c>
      <c r="K21" s="117"/>
      <c r="L21" s="25">
        <v>15</v>
      </c>
    </row>
    <row r="22" spans="1:12" s="3" customFormat="1" ht="27" customHeight="1">
      <c r="A22" s="19" t="s">
        <v>27</v>
      </c>
      <c r="B22" s="118"/>
      <c r="C22" s="119"/>
      <c r="D22" s="119"/>
      <c r="E22" s="120"/>
      <c r="F22" s="116"/>
      <c r="G22" s="117"/>
      <c r="H22" s="116">
        <v>1</v>
      </c>
      <c r="I22" s="117"/>
      <c r="J22" s="116">
        <v>14</v>
      </c>
      <c r="K22" s="117"/>
      <c r="L22" s="28">
        <v>14</v>
      </c>
    </row>
    <row r="23" spans="1:12" s="3" customFormat="1" ht="27" customHeight="1">
      <c r="A23" s="30" t="s">
        <v>29</v>
      </c>
      <c r="B23" s="118"/>
      <c r="C23" s="119"/>
      <c r="D23" s="119"/>
      <c r="E23" s="120"/>
      <c r="F23" s="121"/>
      <c r="G23" s="122"/>
      <c r="H23" s="121">
        <v>1</v>
      </c>
      <c r="I23" s="122"/>
      <c r="J23" s="121">
        <v>13</v>
      </c>
      <c r="K23" s="122"/>
      <c r="L23" s="29">
        <v>13</v>
      </c>
    </row>
    <row r="24" spans="1:12" s="3" customFormat="1" ht="27" customHeight="1">
      <c r="A24" s="31" t="s">
        <v>30</v>
      </c>
      <c r="B24" s="118"/>
      <c r="C24" s="119"/>
      <c r="D24" s="119"/>
      <c r="E24" s="120"/>
      <c r="F24" s="121"/>
      <c r="G24" s="122"/>
      <c r="H24" s="121">
        <v>1</v>
      </c>
      <c r="I24" s="122"/>
      <c r="J24" s="121">
        <v>12</v>
      </c>
      <c r="K24" s="122"/>
      <c r="L24" s="29">
        <v>12</v>
      </c>
    </row>
    <row r="25" spans="1:12" s="3" customFormat="1" ht="27" customHeight="1">
      <c r="A25" s="33" t="s">
        <v>34</v>
      </c>
      <c r="B25" s="118"/>
      <c r="C25" s="119"/>
      <c r="D25" s="119"/>
      <c r="E25" s="120"/>
      <c r="F25" s="121"/>
      <c r="G25" s="122"/>
      <c r="H25" s="121">
        <v>1</v>
      </c>
      <c r="I25" s="122"/>
      <c r="J25" s="121">
        <v>11</v>
      </c>
      <c r="K25" s="122"/>
      <c r="L25" s="29">
        <v>11</v>
      </c>
    </row>
    <row r="26" spans="1:12" s="3" customFormat="1" ht="27" customHeight="1"/>
    <row r="27" spans="1:12" s="3" customFormat="1">
      <c r="A27" s="16" t="s">
        <v>18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8"/>
    </row>
    <row r="28" spans="1:12" ht="75.75" customHeight="1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</row>
    <row r="29" spans="1:12" s="1" customFormat="1">
      <c r="C29" s="10"/>
    </row>
    <row r="30" spans="1:12" s="1" customFormat="1">
      <c r="C30" s="10"/>
    </row>
    <row r="32" spans="1:12">
      <c r="G32" s="7" t="s">
        <v>19</v>
      </c>
    </row>
  </sheetData>
  <mergeCells count="65">
    <mergeCell ref="H25:I25"/>
    <mergeCell ref="J25:K25"/>
    <mergeCell ref="B24:E24"/>
    <mergeCell ref="F24:G24"/>
    <mergeCell ref="H24:I24"/>
    <mergeCell ref="J24:K24"/>
    <mergeCell ref="H16:I16"/>
    <mergeCell ref="J16:K16"/>
    <mergeCell ref="B21:E21"/>
    <mergeCell ref="F21:G21"/>
    <mergeCell ref="H21:I21"/>
    <mergeCell ref="J21:K21"/>
    <mergeCell ref="B20:E20"/>
    <mergeCell ref="F20:G20"/>
    <mergeCell ref="B17:E17"/>
    <mergeCell ref="F17:G17"/>
    <mergeCell ref="H17:I17"/>
    <mergeCell ref="J17:K17"/>
    <mergeCell ref="B19:E19"/>
    <mergeCell ref="F19:G19"/>
    <mergeCell ref="H19:I19"/>
    <mergeCell ref="J19:K19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28:L28"/>
    <mergeCell ref="A12:A13"/>
    <mergeCell ref="L12:L13"/>
    <mergeCell ref="B15:E15"/>
    <mergeCell ref="F15:G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B16:E16"/>
    <mergeCell ref="F16:G16"/>
    <mergeCell ref="H22:I22"/>
    <mergeCell ref="J22:K22"/>
    <mergeCell ref="B25:E25"/>
    <mergeCell ref="F25:G25"/>
    <mergeCell ref="B18:E18"/>
    <mergeCell ref="F18:G18"/>
    <mergeCell ref="H18:I18"/>
    <mergeCell ref="J18:K18"/>
    <mergeCell ref="H20:I20"/>
    <mergeCell ref="J20:K20"/>
    <mergeCell ref="B23:E23"/>
    <mergeCell ref="F23:G23"/>
    <mergeCell ref="H23:I23"/>
    <mergeCell ref="J23:K23"/>
    <mergeCell ref="B22:E22"/>
    <mergeCell ref="F22:G22"/>
  </mergeCells>
  <phoneticPr fontId="23" type="noConversion"/>
  <pageMargins left="0.25" right="0.25" top="0.75" bottom="0.75" header="0.3" footer="0.3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as TIC</vt:lpstr>
      <vt:lpstr>Election &amp; NLC</vt:lpstr>
      <vt:lpstr>CTO</vt:lpstr>
      <vt:lpstr>CTO!Print_Area</vt:lpstr>
      <vt:lpstr>'Election &amp; NLC'!Print_Area</vt:lpstr>
      <vt:lpstr>'Leave Card as TIC'!Print_Area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2026-01-14T02:31:29Z</cp:lastPrinted>
  <dcterms:created xsi:type="dcterms:W3CDTF">2021-10-07T06:10:00Z</dcterms:created>
  <dcterms:modified xsi:type="dcterms:W3CDTF">2026-01-14T02:33:27Z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