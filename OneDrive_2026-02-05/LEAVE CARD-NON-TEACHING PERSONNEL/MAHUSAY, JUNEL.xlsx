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E36F582-CB14-4889-A250-8DE67F900A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</sheets>
  <definedNames>
    <definedName name="_xlnm.Print_Area" localSheetId="0">'Leave Card (NE)'!$A$1:$J$60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6" l="1"/>
  <c r="I54" i="6"/>
  <c r="J54" i="6" s="1"/>
  <c r="H51" i="6"/>
  <c r="I51" i="6"/>
  <c r="I52" i="6" s="1"/>
  <c r="I53" i="6" s="1"/>
  <c r="J51" i="6"/>
  <c r="H52" i="6"/>
  <c r="J52" i="6" s="1"/>
  <c r="B45" i="6"/>
  <c r="H53" i="6" l="1"/>
  <c r="J53" i="6" s="1"/>
  <c r="I13" i="6"/>
  <c r="I14" i="6" s="1"/>
  <c r="I15" i="6" s="1"/>
  <c r="I16" i="6" s="1"/>
  <c r="I17" i="6" s="1"/>
  <c r="H13" i="6"/>
  <c r="I18" i="6" l="1"/>
  <c r="J13" i="6"/>
  <c r="H14" i="6"/>
  <c r="H15" i="6" s="1"/>
  <c r="J15" i="6" l="1"/>
  <c r="H16" i="6"/>
  <c r="I19" i="6"/>
  <c r="J14" i="6"/>
  <c r="H17" i="6" l="1"/>
  <c r="J16" i="6"/>
  <c r="I20" i="6"/>
  <c r="I21" i="6" s="1"/>
  <c r="I22" i="6" s="1"/>
  <c r="H18" i="6" l="1"/>
  <c r="J17" i="6"/>
  <c r="I23" i="6"/>
  <c r="H19" i="6" l="1"/>
  <c r="J18" i="6"/>
  <c r="I24" i="6"/>
  <c r="H20" i="6" l="1"/>
  <c r="J19" i="6"/>
  <c r="I25" i="6"/>
  <c r="H21" i="6" l="1"/>
  <c r="J20" i="6"/>
  <c r="I26" i="6"/>
  <c r="H22" i="6" l="1"/>
  <c r="J21" i="6"/>
  <c r="I27" i="6"/>
  <c r="H23" i="6" l="1"/>
  <c r="J22" i="6"/>
  <c r="I28" i="6"/>
  <c r="H24" i="6" l="1"/>
  <c r="J23" i="6"/>
  <c r="I29" i="6"/>
  <c r="H25" i="6" l="1"/>
  <c r="J24" i="6"/>
  <c r="I30" i="6"/>
  <c r="H26" i="6" l="1"/>
  <c r="J25" i="6"/>
  <c r="I31" i="6"/>
  <c r="H27" i="6" l="1"/>
  <c r="J26" i="6"/>
  <c r="I32" i="6"/>
  <c r="H28" i="6" l="1"/>
  <c r="J27" i="6"/>
  <c r="I33" i="6"/>
  <c r="H29" i="6" l="1"/>
  <c r="J28" i="6"/>
  <c r="I34" i="6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H30" i="6" l="1"/>
  <c r="J29" i="6"/>
  <c r="H31" i="6" l="1"/>
  <c r="J30" i="6"/>
  <c r="H32" i="6" l="1"/>
  <c r="J31" i="6"/>
  <c r="H33" i="6" l="1"/>
  <c r="J32" i="6"/>
  <c r="H34" i="6" l="1"/>
  <c r="H35" i="6" s="1"/>
  <c r="J33" i="6"/>
  <c r="J35" i="6" l="1"/>
  <c r="H36" i="6"/>
  <c r="J34" i="6"/>
  <c r="H37" i="6" l="1"/>
  <c r="J36" i="6"/>
  <c r="H38" i="6" l="1"/>
  <c r="J37" i="6"/>
  <c r="H39" i="6" l="1"/>
  <c r="J38" i="6"/>
  <c r="H40" i="6" l="1"/>
  <c r="J39" i="6"/>
  <c r="J40" i="6" l="1"/>
  <c r="H41" i="6"/>
  <c r="J41" i="6" l="1"/>
  <c r="H42" i="6"/>
  <c r="J42" i="6" l="1"/>
  <c r="H43" i="6"/>
  <c r="H44" i="6" l="1"/>
  <c r="J43" i="6"/>
  <c r="J44" i="6" l="1"/>
  <c r="H45" i="6"/>
  <c r="J45" i="6" l="1"/>
  <c r="H46" i="6"/>
  <c r="J46" i="6" l="1"/>
  <c r="H47" i="6"/>
  <c r="J47" i="6" l="1"/>
  <c r="H48" i="6"/>
  <c r="H49" i="6" l="1"/>
  <c r="J48" i="6"/>
  <c r="J49" i="6" l="1"/>
  <c r="H50" i="6"/>
  <c r="J50" i="6" s="1"/>
</calcChain>
</file>

<file path=xl/sharedStrings.xml><?xml version="1.0" encoding="utf-8"?>
<sst xmlns="http://schemas.openxmlformats.org/spreadsheetml/2006/main" count="72" uniqueCount="67">
  <si>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</si>
  <si>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</si>
  <si>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</si>
  <si>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</si>
  <si>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</si>
  <si>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</si>
  <si>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</si>
  <si>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</si>
  <si>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</si>
  <si>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</si>
  <si>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</si>
  <si>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</si>
  <si>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MONETIZATION 6/8/22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</si>
  <si>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</si>
  <si>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</si>
  <si>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</si>
  <si>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</si>
  <si>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</si>
  <si>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</si>
  <si>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</si>
  <si>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</si>
  <si>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</si>
  <si>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Certified Correct:</t>
  </si>
  <si>
    <t>MA. LUISA B. CATIGAN</t>
  </si>
  <si>
    <t>Administrative Officer IV</t>
  </si>
  <si>
    <t>Less: Monetization FY 2016 (9/23/2016)</t>
  </si>
  <si>
    <t>Less: Monetization FY 2016 (12/14/2016)</t>
  </si>
  <si>
    <t>Add: 1/01 - 7/31/2017</t>
  </si>
  <si>
    <t>Add: 8/01 - 12/13/2017</t>
  </si>
  <si>
    <t xml:space="preserve">Less: Monetization FY 2017 </t>
  </si>
  <si>
    <t>Add: 1/01 - 7/31/2018</t>
  </si>
  <si>
    <t>Less: Monetization FY 2018</t>
  </si>
  <si>
    <t>Add: 8/01 - 11/31/2018</t>
  </si>
  <si>
    <t>Add: 01/01 - 7/31/2019</t>
  </si>
  <si>
    <t>Less: Monetization FY 2019</t>
  </si>
  <si>
    <t>Add: 08/01 - 12/31/2019</t>
  </si>
  <si>
    <t>Add: 01/01 - 12/31/2020</t>
  </si>
  <si>
    <t>Less: Monetization FY 2020 (15 Days)</t>
  </si>
  <si>
    <t>Add: 01/01 - 06/30/2021</t>
  </si>
  <si>
    <t>Less: Monetization FY 2021 (10 Days)</t>
  </si>
  <si>
    <t>Add: 07/01 - 10/31/2021</t>
  </si>
  <si>
    <t>Less: Monetization FY 2021 (15 Days)</t>
  </si>
  <si>
    <t>Add: 11/01 - 12/31/2021</t>
  </si>
  <si>
    <t>Nabulao NHS</t>
  </si>
  <si>
    <t>9/11/2012 - 09/30/2012</t>
  </si>
  <si>
    <t>10/01/2012 - 12/31/2012</t>
  </si>
  <si>
    <t>01/01/2013 - 12/31/2013</t>
  </si>
  <si>
    <t>01/01/2014 - 12/31/2014</t>
  </si>
  <si>
    <t>01/01/2015 - 12/31/2015</t>
  </si>
  <si>
    <t>01/01/2016 - 12/31/2016</t>
  </si>
  <si>
    <t>ADD: 01/01/22 - 12/31/22</t>
  </si>
  <si>
    <t>LESS: FL 2022</t>
  </si>
  <si>
    <t>ADD: 01/01/23 - 08/31/23</t>
  </si>
  <si>
    <t>LESS: MONETIZATION 2023</t>
  </si>
  <si>
    <t>ADD: 09/01/2023-11/30/2023</t>
  </si>
  <si>
    <t>LESS: ADDITIONAL MONETIZATION</t>
  </si>
  <si>
    <t>ADD: 12/01-31/2023</t>
  </si>
  <si>
    <t>LESS: FL 2023</t>
  </si>
  <si>
    <t>ADD: JANUARY-JULY 31, 2024</t>
  </si>
  <si>
    <t>LESS: MONETIZATION 2024</t>
  </si>
  <si>
    <t xml:space="preserve">             HRMO</t>
  </si>
  <si>
    <t>LESS: FL 2021</t>
  </si>
  <si>
    <t>Add: 12/01-31/2018</t>
  </si>
  <si>
    <t>ADD: 08/1/2024-12/31/2024</t>
  </si>
  <si>
    <t>LESS: MANDATORY FL 2024</t>
  </si>
  <si>
    <t>ADD: 01/1/2025-06/30/2025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</si>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</sst>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0" borderId="0" xfId="0" applyFont="1"/>
    <xf numFmtId="0" fontId="1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9" fillId="2" borderId="0" xfId="0" applyFont="1" applyFill="1"/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187326</xdr:colOff>
      <xdr:row>0</xdr:row>
      <xdr:rowOff>107950</xdr:rowOff>
    </xdr:from>
    <xdr:to>
      <xdr:col>4</xdr:col>
      <xdr:colOff>238255</xdr:colOff>
      <xdr:row>0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5176" y="10795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0D3FAE-EDB2-4046-A028-F10468DD6501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MAHUSAY, JUNEL C.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BDBF66-5756-4930-AB4F-5765BF16C442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Administrative Aide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4BB35E-162B-41C7-943E-D3332C8DE63F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</a:t>
          </a:r>
          <a:r>
            <a:rPr lang="en-US" sz="1100" baseline="0"/>
            <a:t> NHS-IUS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tabSelected="1" view="pageBreakPreview" topLeftCell="A40" zoomScaleNormal="100" zoomScaleSheetLayoutView="100" workbookViewId="0">
      <selection activeCell="A53" sqref="A53:XFD53"/>
    </sheetView>
  </sheetViews>
  <sheetFormatPr defaultRowHeight="15" x14ac:dyDescent="0.25"/>
  <cols>
    <col min="1" max="1" width="39.5703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34" t="s">
        <v>14</v>
      </c>
      <c r="B2" s="34"/>
      <c r="C2" s="34"/>
      <c r="D2" s="34"/>
      <c r="E2" s="34"/>
      <c r="F2" s="34"/>
      <c r="G2" s="34"/>
      <c r="H2" s="34"/>
      <c r="I2" s="34"/>
      <c r="J2" s="34"/>
    </row>
    <row r="3" spans="1:11" s="1" customFormat="1" ht="15.95" customHeight="1" x14ac:dyDescent="0.25">
      <c r="A3" s="34" t="s">
        <v>15</v>
      </c>
      <c r="B3" s="34"/>
      <c r="C3" s="34"/>
      <c r="D3" s="34"/>
      <c r="E3" s="34"/>
      <c r="F3" s="34"/>
      <c r="G3" s="34"/>
      <c r="H3" s="34"/>
      <c r="I3" s="34"/>
      <c r="J3" s="34"/>
    </row>
    <row r="4" spans="1:11" s="1" customFormat="1" ht="15.95" customHeight="1" x14ac:dyDescent="0.25">
      <c r="A4" s="34" t="s">
        <v>16</v>
      </c>
      <c r="B4" s="34"/>
      <c r="C4" s="34"/>
      <c r="D4" s="34"/>
      <c r="E4" s="34"/>
      <c r="F4" s="34"/>
      <c r="G4" s="34"/>
      <c r="H4" s="34"/>
      <c r="I4" s="34"/>
      <c r="J4" s="34"/>
    </row>
    <row r="5" spans="1:11" s="1" customFormat="1" ht="15.95" customHeight="1" x14ac:dyDescent="0.25">
      <c r="A5" s="34" t="s">
        <v>17</v>
      </c>
      <c r="B5" s="34"/>
      <c r="C5" s="34"/>
      <c r="D5" s="34"/>
      <c r="E5" s="34"/>
      <c r="F5" s="34"/>
      <c r="G5" s="34"/>
      <c r="H5" s="34"/>
      <c r="I5" s="34"/>
      <c r="J5" s="34"/>
    </row>
    <row r="6" spans="1:11" s="1" customFormat="1" ht="8.25" customHeight="1" x14ac:dyDescent="0.25"/>
    <row r="7" spans="1:11" s="1" customFormat="1" ht="12" customHeight="1" x14ac:dyDescent="0.25">
      <c r="A7" s="1" t="s">
        <v>18</v>
      </c>
      <c r="B7" s="32" t="s">
        <v>19</v>
      </c>
      <c r="C7" s="32"/>
      <c r="D7" s="32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20</v>
      </c>
      <c r="B9" s="32" t="s">
        <v>21</v>
      </c>
      <c r="C9" s="32"/>
      <c r="D9" s="32"/>
      <c r="H9" s="4" t="s">
        <v>10</v>
      </c>
      <c r="I9" s="5" t="s">
        <v>43</v>
      </c>
      <c r="J9" s="4"/>
    </row>
    <row r="10" spans="1:11" ht="16.5" customHeight="1" thickBot="1" x14ac:dyDescent="0.3">
      <c r="A10" s="33" t="s">
        <v>0</v>
      </c>
      <c r="B10" s="33"/>
      <c r="C10" s="33"/>
      <c r="D10" s="33"/>
      <c r="E10" s="33"/>
      <c r="F10" s="33"/>
      <c r="G10" s="33"/>
      <c r="H10" s="33"/>
      <c r="I10" s="33"/>
      <c r="J10" s="33"/>
      <c r="K10"/>
    </row>
    <row r="11" spans="1:11" ht="18.75" customHeight="1" x14ac:dyDescent="0.25">
      <c r="A11" s="28" t="s">
        <v>4</v>
      </c>
      <c r="B11" s="23" t="s">
        <v>5</v>
      </c>
      <c r="C11" s="23"/>
      <c r="D11" s="24" t="s">
        <v>6</v>
      </c>
      <c r="E11" s="25"/>
      <c r="F11" s="25"/>
      <c r="G11" s="26"/>
      <c r="H11" s="27" t="s">
        <v>7</v>
      </c>
      <c r="I11" s="27"/>
      <c r="J11" s="30" t="s">
        <v>8</v>
      </c>
      <c r="K11" s="22" t="s">
        <v>11</v>
      </c>
    </row>
    <row r="12" spans="1:11" ht="18.75" customHeight="1" x14ac:dyDescent="0.25">
      <c r="A12" s="29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" t="s">
        <v>13</v>
      </c>
      <c r="H12" s="3" t="s">
        <v>1</v>
      </c>
      <c r="I12" s="3" t="s">
        <v>2</v>
      </c>
      <c r="J12" s="31"/>
      <c r="K12" s="22"/>
    </row>
    <row r="13" spans="1:11" ht="18.75" customHeight="1" x14ac:dyDescent="0.25">
      <c r="A13" s="11" t="s">
        <v>44</v>
      </c>
      <c r="B13" s="9">
        <v>0.83299999999999996</v>
      </c>
      <c r="C13" s="9">
        <v>0.83299999999999996</v>
      </c>
      <c r="D13" s="9"/>
      <c r="E13" s="9"/>
      <c r="F13" s="9"/>
      <c r="G13" s="9"/>
      <c r="H13" s="9">
        <f>B13</f>
        <v>0.83299999999999996</v>
      </c>
      <c r="I13" s="9">
        <f>C13</f>
        <v>0.83299999999999996</v>
      </c>
      <c r="J13" s="10">
        <f>H13+I13</f>
        <v>1.6659999999999999</v>
      </c>
      <c r="K13" s="8"/>
    </row>
    <row r="14" spans="1:11" ht="18.75" customHeight="1" x14ac:dyDescent="0.25">
      <c r="A14" s="11" t="s">
        <v>45</v>
      </c>
      <c r="B14" s="9">
        <v>3.75</v>
      </c>
      <c r="C14" s="9">
        <v>3.75</v>
      </c>
      <c r="D14" s="9"/>
      <c r="E14" s="9"/>
      <c r="F14" s="9"/>
      <c r="G14" s="9"/>
      <c r="H14" s="9">
        <f>H13-F14-D14+B14</f>
        <v>4.5830000000000002</v>
      </c>
      <c r="I14" s="9">
        <f>I13-E14+C14</f>
        <v>4.5830000000000002</v>
      </c>
      <c r="J14" s="10">
        <f>H14+I14</f>
        <v>9.1660000000000004</v>
      </c>
      <c r="K14" s="8"/>
    </row>
    <row r="15" spans="1:11" ht="18.75" customHeight="1" x14ac:dyDescent="0.25">
      <c r="A15" s="11" t="s">
        <v>46</v>
      </c>
      <c r="B15" s="21">
        <v>15</v>
      </c>
      <c r="C15" s="21">
        <v>15</v>
      </c>
      <c r="D15" s="9"/>
      <c r="E15" s="9"/>
      <c r="F15" s="9">
        <v>5</v>
      </c>
      <c r="G15" s="9"/>
      <c r="H15" s="9">
        <f t="shared" ref="H15:H34" si="0">H14-F15-D15+B15</f>
        <v>14.583</v>
      </c>
      <c r="I15" s="9">
        <f t="shared" ref="I15:I34" si="1">I14-E15+C15</f>
        <v>19.582999999999998</v>
      </c>
      <c r="J15" s="10">
        <f t="shared" ref="J15:J34" si="2">H15+I15</f>
        <v>34.165999999999997</v>
      </c>
      <c r="K15" s="8"/>
    </row>
    <row r="16" spans="1:11" ht="18.75" customHeight="1" x14ac:dyDescent="0.25">
      <c r="A16" s="11" t="s">
        <v>47</v>
      </c>
      <c r="B16" s="21">
        <v>15</v>
      </c>
      <c r="C16" s="21">
        <v>15</v>
      </c>
      <c r="D16" s="9"/>
      <c r="E16" s="9"/>
      <c r="F16" s="9">
        <v>5</v>
      </c>
      <c r="G16" s="9"/>
      <c r="H16" s="9">
        <f t="shared" si="0"/>
        <v>24.582999999999998</v>
      </c>
      <c r="I16" s="9">
        <f t="shared" si="1"/>
        <v>34.582999999999998</v>
      </c>
      <c r="J16" s="10">
        <f t="shared" si="2"/>
        <v>59.165999999999997</v>
      </c>
      <c r="K16" s="8"/>
    </row>
    <row r="17" spans="1:11" ht="18.75" customHeight="1" x14ac:dyDescent="0.25">
      <c r="A17" s="11" t="s">
        <v>48</v>
      </c>
      <c r="B17" s="21">
        <v>15</v>
      </c>
      <c r="C17" s="21">
        <v>15</v>
      </c>
      <c r="D17" s="9"/>
      <c r="E17" s="9"/>
      <c r="F17" s="9">
        <v>5</v>
      </c>
      <c r="G17" s="9"/>
      <c r="H17" s="9">
        <f t="shared" si="0"/>
        <v>34.582999999999998</v>
      </c>
      <c r="I17" s="9">
        <f t="shared" si="1"/>
        <v>49.582999999999998</v>
      </c>
      <c r="J17" s="10">
        <f t="shared" si="2"/>
        <v>84.165999999999997</v>
      </c>
      <c r="K17" s="8"/>
    </row>
    <row r="18" spans="1:11" ht="18.75" customHeight="1" x14ac:dyDescent="0.25">
      <c r="A18" s="11" t="s">
        <v>49</v>
      </c>
      <c r="B18" s="21">
        <v>15</v>
      </c>
      <c r="C18" s="21">
        <v>15</v>
      </c>
      <c r="D18" s="9"/>
      <c r="E18" s="9"/>
      <c r="F18" s="9">
        <v>5</v>
      </c>
      <c r="G18" s="9"/>
      <c r="H18" s="9">
        <f t="shared" si="0"/>
        <v>44.582999999999998</v>
      </c>
      <c r="I18" s="9">
        <f t="shared" si="1"/>
        <v>64.582999999999998</v>
      </c>
      <c r="J18" s="10">
        <f t="shared" si="2"/>
        <v>109.166</v>
      </c>
      <c r="K18" s="8"/>
    </row>
    <row r="19" spans="1:11" ht="18.75" customHeight="1" x14ac:dyDescent="0.25">
      <c r="A19" s="11" t="s">
        <v>25</v>
      </c>
      <c r="B19" s="21"/>
      <c r="C19" s="21"/>
      <c r="D19" s="21">
        <v>15</v>
      </c>
      <c r="E19" s="9"/>
      <c r="F19" s="9"/>
      <c r="G19" s="9"/>
      <c r="H19" s="9">
        <f t="shared" si="0"/>
        <v>29.582999999999998</v>
      </c>
      <c r="I19" s="9">
        <f t="shared" si="1"/>
        <v>64.582999999999998</v>
      </c>
      <c r="J19" s="10">
        <f t="shared" si="2"/>
        <v>94.165999999999997</v>
      </c>
      <c r="K19" s="8"/>
    </row>
    <row r="20" spans="1:11" ht="18.75" customHeight="1" x14ac:dyDescent="0.25">
      <c r="A20" s="11" t="s">
        <v>26</v>
      </c>
      <c r="B20" s="21"/>
      <c r="C20" s="21"/>
      <c r="D20" s="21">
        <v>14</v>
      </c>
      <c r="E20" s="9"/>
      <c r="F20" s="9"/>
      <c r="G20" s="9"/>
      <c r="H20" s="9">
        <f t="shared" si="0"/>
        <v>15.582999999999998</v>
      </c>
      <c r="I20" s="9">
        <f t="shared" si="1"/>
        <v>64.582999999999998</v>
      </c>
      <c r="J20" s="10">
        <f t="shared" si="2"/>
        <v>80.165999999999997</v>
      </c>
      <c r="K20" s="8"/>
    </row>
    <row r="21" spans="1:11" ht="18.75" customHeight="1" x14ac:dyDescent="0.25">
      <c r="A21" s="11" t="s">
        <v>27</v>
      </c>
      <c r="B21" s="21">
        <v>8.75</v>
      </c>
      <c r="C21" s="21">
        <v>8.75</v>
      </c>
      <c r="D21" s="21"/>
      <c r="E21" s="9"/>
      <c r="F21" s="9"/>
      <c r="G21" s="9"/>
      <c r="H21" s="9">
        <f t="shared" si="0"/>
        <v>24.332999999999998</v>
      </c>
      <c r="I21" s="9">
        <f t="shared" si="1"/>
        <v>73.332999999999998</v>
      </c>
      <c r="J21" s="10">
        <f t="shared" si="2"/>
        <v>97.665999999999997</v>
      </c>
      <c r="K21" s="8"/>
    </row>
    <row r="22" spans="1:11" ht="18.75" customHeight="1" x14ac:dyDescent="0.25">
      <c r="A22" s="11" t="s">
        <v>28</v>
      </c>
      <c r="B22" s="21">
        <v>6.25</v>
      </c>
      <c r="C22" s="21">
        <v>6.25</v>
      </c>
      <c r="D22" s="21"/>
      <c r="E22" s="9"/>
      <c r="F22" s="9">
        <v>5</v>
      </c>
      <c r="G22" s="9"/>
      <c r="H22" s="9">
        <f t="shared" si="0"/>
        <v>25.582999999999998</v>
      </c>
      <c r="I22" s="9">
        <f t="shared" si="1"/>
        <v>79.582999999999998</v>
      </c>
      <c r="J22" s="10">
        <f t="shared" si="2"/>
        <v>105.166</v>
      </c>
      <c r="K22" s="8"/>
    </row>
    <row r="23" spans="1:11" ht="18.75" customHeight="1" x14ac:dyDescent="0.25">
      <c r="A23" s="11" t="s">
        <v>29</v>
      </c>
      <c r="B23" s="21"/>
      <c r="C23" s="21"/>
      <c r="D23" s="21">
        <v>5</v>
      </c>
      <c r="E23" s="9">
        <v>24</v>
      </c>
      <c r="F23" s="9"/>
      <c r="G23" s="9"/>
      <c r="H23" s="9">
        <f t="shared" si="0"/>
        <v>20.582999999999998</v>
      </c>
      <c r="I23" s="9">
        <f t="shared" si="1"/>
        <v>55.582999999999998</v>
      </c>
      <c r="J23" s="10">
        <f t="shared" si="2"/>
        <v>76.165999999999997</v>
      </c>
      <c r="K23" s="8"/>
    </row>
    <row r="24" spans="1:11" ht="18.75" customHeight="1" x14ac:dyDescent="0.25">
      <c r="A24" s="11" t="s">
        <v>30</v>
      </c>
      <c r="B24" s="21">
        <v>8.75</v>
      </c>
      <c r="C24" s="21">
        <v>8.75</v>
      </c>
      <c r="D24" s="21"/>
      <c r="E24" s="9"/>
      <c r="F24" s="9"/>
      <c r="G24" s="9"/>
      <c r="H24" s="9">
        <f t="shared" si="0"/>
        <v>29.332999999999998</v>
      </c>
      <c r="I24" s="9">
        <f t="shared" si="1"/>
        <v>64.332999999999998</v>
      </c>
      <c r="J24" s="10">
        <f t="shared" si="2"/>
        <v>93.665999999999997</v>
      </c>
      <c r="K24" s="8"/>
    </row>
    <row r="25" spans="1:11" ht="18.75" customHeight="1" x14ac:dyDescent="0.25">
      <c r="A25" s="11" t="s">
        <v>31</v>
      </c>
      <c r="B25" s="21"/>
      <c r="C25" s="21"/>
      <c r="D25" s="21">
        <v>15</v>
      </c>
      <c r="E25" s="9"/>
      <c r="F25" s="9"/>
      <c r="G25" s="9"/>
      <c r="H25" s="9">
        <f t="shared" si="0"/>
        <v>14.332999999999998</v>
      </c>
      <c r="I25" s="9">
        <f t="shared" si="1"/>
        <v>64.332999999999998</v>
      </c>
      <c r="J25" s="10">
        <f t="shared" si="2"/>
        <v>78.665999999999997</v>
      </c>
      <c r="K25" s="8"/>
    </row>
    <row r="26" spans="1:11" ht="18.75" customHeight="1" x14ac:dyDescent="0.25">
      <c r="A26" s="11" t="s">
        <v>32</v>
      </c>
      <c r="B26" s="21">
        <v>5</v>
      </c>
      <c r="C26" s="21">
        <v>5</v>
      </c>
      <c r="D26" s="21"/>
      <c r="E26" s="9"/>
      <c r="F26" s="9"/>
      <c r="G26" s="9"/>
      <c r="H26" s="9">
        <f t="shared" si="0"/>
        <v>19.332999999999998</v>
      </c>
      <c r="I26" s="9">
        <f t="shared" si="1"/>
        <v>69.332999999999998</v>
      </c>
      <c r="J26" s="10">
        <f t="shared" si="2"/>
        <v>88.665999999999997</v>
      </c>
      <c r="K26" s="8"/>
    </row>
    <row r="27" spans="1:11" ht="18.75" customHeight="1" x14ac:dyDescent="0.25">
      <c r="A27" s="11" t="s">
        <v>31</v>
      </c>
      <c r="B27" s="21"/>
      <c r="C27" s="21"/>
      <c r="D27" s="21"/>
      <c r="E27" s="19">
        <v>10</v>
      </c>
      <c r="F27" s="9"/>
      <c r="G27" s="9"/>
      <c r="H27" s="9">
        <f t="shared" si="0"/>
        <v>19.332999999999998</v>
      </c>
      <c r="I27" s="9">
        <f t="shared" si="1"/>
        <v>59.332999999999998</v>
      </c>
      <c r="J27" s="10">
        <f t="shared" si="2"/>
        <v>78.665999999999997</v>
      </c>
      <c r="K27" s="8"/>
    </row>
    <row r="28" spans="1:11" ht="18.75" customHeight="1" x14ac:dyDescent="0.25">
      <c r="A28" s="11" t="s">
        <v>62</v>
      </c>
      <c r="B28" s="21">
        <v>1.25</v>
      </c>
      <c r="C28" s="21">
        <v>1.25</v>
      </c>
      <c r="D28" s="21"/>
      <c r="E28" s="9"/>
      <c r="F28" s="9">
        <v>5</v>
      </c>
      <c r="G28" s="9"/>
      <c r="H28" s="9">
        <f t="shared" si="0"/>
        <v>15.582999999999998</v>
      </c>
      <c r="I28" s="9">
        <f t="shared" si="1"/>
        <v>60.582999999999998</v>
      </c>
      <c r="J28" s="10">
        <f t="shared" si="2"/>
        <v>76.165999999999997</v>
      </c>
      <c r="K28" s="8"/>
    </row>
    <row r="29" spans="1:11" ht="18.75" customHeight="1" x14ac:dyDescent="0.25">
      <c r="A29" s="11" t="s">
        <v>33</v>
      </c>
      <c r="B29" s="21">
        <v>8.75</v>
      </c>
      <c r="C29" s="21">
        <v>8.75</v>
      </c>
      <c r="D29" s="21"/>
      <c r="E29" s="9"/>
      <c r="F29" s="9"/>
      <c r="G29" s="9"/>
      <c r="H29" s="9">
        <f t="shared" si="0"/>
        <v>24.332999999999998</v>
      </c>
      <c r="I29" s="9">
        <f t="shared" si="1"/>
        <v>69.332999999999998</v>
      </c>
      <c r="J29" s="10">
        <f t="shared" si="2"/>
        <v>93.665999999999997</v>
      </c>
      <c r="K29" s="8"/>
    </row>
    <row r="30" spans="1:11" ht="18.75" customHeight="1" x14ac:dyDescent="0.25">
      <c r="A30" s="11" t="s">
        <v>34</v>
      </c>
      <c r="B30" s="21"/>
      <c r="C30" s="21"/>
      <c r="D30" s="21">
        <v>5</v>
      </c>
      <c r="E30" s="9">
        <v>5</v>
      </c>
      <c r="F30" s="9"/>
      <c r="G30" s="9"/>
      <c r="H30" s="9">
        <f t="shared" si="0"/>
        <v>19.332999999999998</v>
      </c>
      <c r="I30" s="9">
        <f t="shared" si="1"/>
        <v>64.332999999999998</v>
      </c>
      <c r="J30" s="10">
        <f t="shared" si="2"/>
        <v>83.665999999999997</v>
      </c>
      <c r="K30" s="8"/>
    </row>
    <row r="31" spans="1:11" ht="18.75" customHeight="1" x14ac:dyDescent="0.25">
      <c r="A31" s="11" t="s">
        <v>35</v>
      </c>
      <c r="B31" s="21">
        <v>6.25</v>
      </c>
      <c r="C31" s="21">
        <v>6.25</v>
      </c>
      <c r="D31" s="21"/>
      <c r="E31" s="9"/>
      <c r="F31" s="9">
        <v>5</v>
      </c>
      <c r="G31" s="9"/>
      <c r="H31" s="9">
        <f t="shared" si="0"/>
        <v>20.582999999999998</v>
      </c>
      <c r="I31" s="9">
        <f t="shared" si="1"/>
        <v>70.582999999999998</v>
      </c>
      <c r="J31" s="10">
        <f t="shared" si="2"/>
        <v>91.165999999999997</v>
      </c>
      <c r="K31" s="8"/>
    </row>
    <row r="32" spans="1:11" ht="18.75" customHeight="1" x14ac:dyDescent="0.25">
      <c r="A32" s="11" t="s">
        <v>36</v>
      </c>
      <c r="B32" s="21">
        <v>15</v>
      </c>
      <c r="C32" s="21">
        <v>15</v>
      </c>
      <c r="D32" s="21"/>
      <c r="E32" s="9"/>
      <c r="F32" s="9">
        <v>5</v>
      </c>
      <c r="G32" s="9"/>
      <c r="H32" s="9">
        <f t="shared" si="0"/>
        <v>30.582999999999998</v>
      </c>
      <c r="I32" s="9">
        <f t="shared" si="1"/>
        <v>85.582999999999998</v>
      </c>
      <c r="J32" s="10">
        <f t="shared" si="2"/>
        <v>116.166</v>
      </c>
      <c r="K32" s="8"/>
    </row>
    <row r="33" spans="1:11" ht="18.75" customHeight="1" x14ac:dyDescent="0.25">
      <c r="A33" s="11" t="s">
        <v>37</v>
      </c>
      <c r="B33" s="21"/>
      <c r="C33" s="21"/>
      <c r="D33" s="21">
        <v>15</v>
      </c>
      <c r="E33" s="9"/>
      <c r="F33" s="9"/>
      <c r="G33" s="9"/>
      <c r="H33" s="9">
        <f>H32-F33-D33+B33</f>
        <v>15.582999999999998</v>
      </c>
      <c r="I33" s="9">
        <f>I32-E33+C33</f>
        <v>85.582999999999998</v>
      </c>
      <c r="J33" s="10">
        <f t="shared" si="2"/>
        <v>101.166</v>
      </c>
      <c r="K33" s="8"/>
    </row>
    <row r="34" spans="1:11" ht="18.75" customHeight="1" x14ac:dyDescent="0.25">
      <c r="A34" s="11" t="s">
        <v>38</v>
      </c>
      <c r="B34" s="21">
        <v>7.5</v>
      </c>
      <c r="C34" s="21">
        <v>7.5</v>
      </c>
      <c r="D34" s="21"/>
      <c r="E34" s="9"/>
      <c r="F34" s="9"/>
      <c r="G34" s="9"/>
      <c r="H34" s="9">
        <f t="shared" si="0"/>
        <v>23.082999999999998</v>
      </c>
      <c r="I34" s="9">
        <f t="shared" si="1"/>
        <v>93.082999999999998</v>
      </c>
      <c r="J34" s="10">
        <f t="shared" si="2"/>
        <v>116.166</v>
      </c>
      <c r="K34" s="8"/>
    </row>
    <row r="35" spans="1:11" ht="18.75" customHeight="1" x14ac:dyDescent="0.25">
      <c r="A35" s="11" t="s">
        <v>39</v>
      </c>
      <c r="B35" s="21"/>
      <c r="C35" s="21"/>
      <c r="D35" s="21">
        <v>10</v>
      </c>
      <c r="E35" s="9"/>
      <c r="F35" s="9"/>
      <c r="G35" s="9"/>
      <c r="H35" s="9">
        <f t="shared" ref="H35:H45" si="3">H34-F35-D35+B35</f>
        <v>13.082999999999998</v>
      </c>
      <c r="I35" s="9">
        <f t="shared" ref="I35:I45" si="4">I34-E35+C35</f>
        <v>93.082999999999998</v>
      </c>
      <c r="J35" s="10">
        <f t="shared" ref="J35:J45" si="5">H35+I35</f>
        <v>106.166</v>
      </c>
      <c r="K35" s="8"/>
    </row>
    <row r="36" spans="1:11" ht="18.75" customHeight="1" x14ac:dyDescent="0.25">
      <c r="A36" s="11" t="s">
        <v>40</v>
      </c>
      <c r="B36" s="21">
        <v>5</v>
      </c>
      <c r="C36" s="21">
        <v>5</v>
      </c>
      <c r="D36" s="21"/>
      <c r="E36" s="9"/>
      <c r="F36" s="9"/>
      <c r="G36" s="9"/>
      <c r="H36" s="9">
        <f t="shared" si="3"/>
        <v>18.082999999999998</v>
      </c>
      <c r="I36" s="9">
        <f t="shared" si="4"/>
        <v>98.082999999999998</v>
      </c>
      <c r="J36" s="10">
        <f t="shared" si="5"/>
        <v>116.166</v>
      </c>
      <c r="K36" s="8"/>
    </row>
    <row r="37" spans="1:11" ht="18.75" customHeight="1" x14ac:dyDescent="0.25">
      <c r="A37" s="11" t="s">
        <v>41</v>
      </c>
      <c r="B37" s="21"/>
      <c r="C37" s="21"/>
      <c r="D37" s="21">
        <v>7</v>
      </c>
      <c r="E37" s="9">
        <v>8</v>
      </c>
      <c r="F37" s="9"/>
      <c r="G37" s="9"/>
      <c r="H37" s="9">
        <f t="shared" si="3"/>
        <v>11.082999999999998</v>
      </c>
      <c r="I37" s="9">
        <f t="shared" si="4"/>
        <v>90.082999999999998</v>
      </c>
      <c r="J37" s="10">
        <f t="shared" si="5"/>
        <v>101.166</v>
      </c>
      <c r="K37" s="8"/>
    </row>
    <row r="38" spans="1:11" ht="18.75" customHeight="1" x14ac:dyDescent="0.25">
      <c r="A38" s="11" t="s">
        <v>42</v>
      </c>
      <c r="B38" s="21">
        <v>2.5</v>
      </c>
      <c r="C38" s="21">
        <v>2.5</v>
      </c>
      <c r="D38" s="21"/>
      <c r="E38" s="9"/>
      <c r="F38" s="9"/>
      <c r="G38" s="9"/>
      <c r="H38" s="9">
        <f t="shared" si="3"/>
        <v>13.582999999999998</v>
      </c>
      <c r="I38" s="9">
        <f t="shared" si="4"/>
        <v>92.582999999999998</v>
      </c>
      <c r="J38" s="10">
        <f t="shared" si="5"/>
        <v>106.166</v>
      </c>
      <c r="K38" s="8"/>
    </row>
    <row r="39" spans="1:11" ht="18.75" customHeight="1" x14ac:dyDescent="0.25">
      <c r="A39" s="11" t="s">
        <v>61</v>
      </c>
      <c r="B39" s="21"/>
      <c r="C39" s="21"/>
      <c r="D39" s="21"/>
      <c r="E39" s="9"/>
      <c r="F39" s="9">
        <v>5</v>
      </c>
      <c r="G39" s="9"/>
      <c r="H39" s="9">
        <f t="shared" si="3"/>
        <v>8.5829999999999984</v>
      </c>
      <c r="I39" s="9">
        <f t="shared" si="4"/>
        <v>92.582999999999998</v>
      </c>
      <c r="J39" s="10">
        <f t="shared" si="5"/>
        <v>101.166</v>
      </c>
      <c r="K39" s="8"/>
    </row>
    <row r="40" spans="1:11" ht="18.75" customHeight="1" x14ac:dyDescent="0.25">
      <c r="A40" s="12" t="s">
        <v>50</v>
      </c>
      <c r="B40" s="9">
        <v>15</v>
      </c>
      <c r="C40" s="9">
        <v>15</v>
      </c>
      <c r="D40" s="9"/>
      <c r="E40" s="9"/>
      <c r="F40" s="9"/>
      <c r="G40" s="9"/>
      <c r="H40" s="9">
        <f t="shared" si="3"/>
        <v>23.582999999999998</v>
      </c>
      <c r="I40" s="9">
        <f t="shared" si="4"/>
        <v>107.583</v>
      </c>
      <c r="J40" s="10">
        <f t="shared" si="5"/>
        <v>131.166</v>
      </c>
    </row>
    <row r="41" spans="1:11" ht="18.75" customHeight="1" x14ac:dyDescent="0.25">
      <c r="A41" s="12" t="s">
        <v>12</v>
      </c>
      <c r="B41" s="9"/>
      <c r="C41" s="9"/>
      <c r="D41" s="9">
        <v>10</v>
      </c>
      <c r="E41" s="9"/>
      <c r="F41" s="9"/>
      <c r="G41" s="9"/>
      <c r="H41" s="9">
        <f t="shared" si="3"/>
        <v>13.582999999999998</v>
      </c>
      <c r="I41" s="9">
        <f t="shared" si="4"/>
        <v>107.583</v>
      </c>
      <c r="J41" s="10">
        <f t="shared" si="5"/>
        <v>121.166</v>
      </c>
    </row>
    <row r="42" spans="1:11" ht="18.75" customHeight="1" x14ac:dyDescent="0.25">
      <c r="A42" s="12" t="s">
        <v>51</v>
      </c>
      <c r="B42" s="9"/>
      <c r="C42" s="9"/>
      <c r="D42" s="9"/>
      <c r="E42" s="9"/>
      <c r="F42" s="9">
        <v>5</v>
      </c>
      <c r="G42" s="9"/>
      <c r="H42" s="9">
        <f t="shared" si="3"/>
        <v>8.5829999999999984</v>
      </c>
      <c r="I42" s="9">
        <f t="shared" si="4"/>
        <v>107.583</v>
      </c>
      <c r="J42" s="10">
        <f t="shared" si="5"/>
        <v>116.166</v>
      </c>
    </row>
    <row r="43" spans="1:11" ht="18.75" customHeight="1" x14ac:dyDescent="0.25">
      <c r="A43" s="12" t="s">
        <v>52</v>
      </c>
      <c r="B43" s="9">
        <v>10</v>
      </c>
      <c r="C43" s="9">
        <v>10</v>
      </c>
      <c r="D43" s="9"/>
      <c r="E43" s="9"/>
      <c r="F43" s="9"/>
      <c r="G43" s="9"/>
      <c r="H43" s="9">
        <f t="shared" si="3"/>
        <v>18.582999999999998</v>
      </c>
      <c r="I43" s="9">
        <f t="shared" si="4"/>
        <v>117.583</v>
      </c>
      <c r="J43" s="10">
        <f t="shared" si="5"/>
        <v>136.166</v>
      </c>
    </row>
    <row r="44" spans="1:11" ht="18.75" customHeight="1" x14ac:dyDescent="0.25">
      <c r="A44" s="12" t="s">
        <v>53</v>
      </c>
      <c r="B44" s="9"/>
      <c r="C44" s="9"/>
      <c r="D44" s="9">
        <v>7</v>
      </c>
      <c r="E44" s="9">
        <v>18</v>
      </c>
      <c r="F44" s="9"/>
      <c r="G44" s="9"/>
      <c r="H44" s="9">
        <f t="shared" si="3"/>
        <v>11.582999999999998</v>
      </c>
      <c r="I44" s="9">
        <f t="shared" si="4"/>
        <v>99.582999999999998</v>
      </c>
      <c r="J44" s="10">
        <f t="shared" si="5"/>
        <v>111.166</v>
      </c>
    </row>
    <row r="45" spans="1:11" ht="18.75" customHeight="1" x14ac:dyDescent="0.25">
      <c r="A45" s="13" t="s">
        <v>54</v>
      </c>
      <c r="B45" s="9">
        <f>3*1.25</f>
        <v>3.75</v>
      </c>
      <c r="C45" s="9">
        <v>3.75</v>
      </c>
      <c r="D45" s="9"/>
      <c r="E45" s="9"/>
      <c r="F45" s="9"/>
      <c r="G45" s="9"/>
      <c r="H45" s="9">
        <f t="shared" si="3"/>
        <v>15.332999999999998</v>
      </c>
      <c r="I45" s="9">
        <f t="shared" si="4"/>
        <v>103.333</v>
      </c>
      <c r="J45" s="10">
        <f t="shared" si="5"/>
        <v>118.666</v>
      </c>
    </row>
    <row r="46" spans="1:11" ht="18.75" customHeight="1" x14ac:dyDescent="0.25">
      <c r="A46" s="13" t="s">
        <v>55</v>
      </c>
      <c r="B46" s="9"/>
      <c r="C46" s="9"/>
      <c r="D46" s="9">
        <v>4</v>
      </c>
      <c r="E46" s="9">
        <v>21</v>
      </c>
      <c r="F46" s="9"/>
      <c r="G46" s="9"/>
      <c r="H46" s="9">
        <f t="shared" ref="H46:H50" si="6">H45-F46-D46+B46</f>
        <v>11.332999999999998</v>
      </c>
      <c r="I46" s="9">
        <f t="shared" ref="I46:I50" si="7">I45-E46+C46</f>
        <v>82.332999999999998</v>
      </c>
      <c r="J46" s="10">
        <f t="shared" ref="J46:J50" si="8">H46+I46</f>
        <v>93.665999999999997</v>
      </c>
    </row>
    <row r="47" spans="1:11" ht="18.75" customHeight="1" x14ac:dyDescent="0.25">
      <c r="A47" s="13" t="s">
        <v>56</v>
      </c>
      <c r="B47" s="9">
        <v>1.25</v>
      </c>
      <c r="C47" s="9">
        <v>1.25</v>
      </c>
      <c r="D47" s="9"/>
      <c r="E47" s="9"/>
      <c r="F47" s="9"/>
      <c r="G47" s="9"/>
      <c r="H47" s="9">
        <f t="shared" si="6"/>
        <v>12.582999999999998</v>
      </c>
      <c r="I47" s="9">
        <f t="shared" si="7"/>
        <v>83.582999999999998</v>
      </c>
      <c r="J47" s="10">
        <f t="shared" si="8"/>
        <v>96.165999999999997</v>
      </c>
    </row>
    <row r="48" spans="1:11" ht="18.75" customHeight="1" x14ac:dyDescent="0.25">
      <c r="A48" s="13" t="s">
        <v>57</v>
      </c>
      <c r="B48" s="9"/>
      <c r="C48" s="9"/>
      <c r="D48" s="9"/>
      <c r="E48" s="9"/>
      <c r="F48" s="9">
        <v>5</v>
      </c>
      <c r="G48" s="9"/>
      <c r="H48" s="9">
        <f t="shared" si="6"/>
        <v>7.5829999999999984</v>
      </c>
      <c r="I48" s="9">
        <f t="shared" si="7"/>
        <v>83.582999999999998</v>
      </c>
      <c r="J48" s="10">
        <f t="shared" si="8"/>
        <v>91.165999999999997</v>
      </c>
    </row>
    <row r="49" spans="1:10" ht="18.75" customHeight="1" x14ac:dyDescent="0.25">
      <c r="A49" s="13" t="s">
        <v>58</v>
      </c>
      <c r="B49" s="9">
        <v>8.75</v>
      </c>
      <c r="C49" s="9">
        <v>8.75</v>
      </c>
      <c r="D49" s="9"/>
      <c r="E49" s="9"/>
      <c r="F49" s="9"/>
      <c r="G49" s="9"/>
      <c r="H49" s="9">
        <f t="shared" si="6"/>
        <v>16.332999999999998</v>
      </c>
      <c r="I49" s="9">
        <f t="shared" si="7"/>
        <v>92.332999999999998</v>
      </c>
      <c r="J49" s="10">
        <f t="shared" si="8"/>
        <v>108.666</v>
      </c>
    </row>
    <row r="50" spans="1:10" ht="18.75" customHeight="1" x14ac:dyDescent="0.25">
      <c r="A50" s="13" t="s">
        <v>59</v>
      </c>
      <c r="B50" s="19"/>
      <c r="C50" s="19"/>
      <c r="D50" s="19">
        <v>10</v>
      </c>
      <c r="E50" s="19"/>
      <c r="F50" s="19"/>
      <c r="G50" s="19"/>
      <c r="H50" s="19">
        <f t="shared" si="6"/>
        <v>6.3329999999999984</v>
      </c>
      <c r="I50" s="19">
        <f t="shared" si="7"/>
        <v>92.332999999999998</v>
      </c>
      <c r="J50" s="20">
        <f t="shared" si="8"/>
        <v>98.665999999999997</v>
      </c>
    </row>
    <row r="51" spans="1:10" ht="18.75" customHeight="1" x14ac:dyDescent="0.25">
      <c r="A51" s="13" t="s">
        <v>63</v>
      </c>
      <c r="B51" s="19">
        <v>6.25</v>
      </c>
      <c r="C51" s="19">
        <v>6.25</v>
      </c>
      <c r="D51" s="19"/>
      <c r="E51" s="19"/>
      <c r="F51" s="19"/>
      <c r="G51" s="19"/>
      <c r="H51" s="19">
        <f t="shared" ref="H51:H53" si="9">H50-F51-D51+B51</f>
        <v>12.582999999999998</v>
      </c>
      <c r="I51" s="19">
        <f t="shared" ref="I51:I53" si="10">I50-E51+C51</f>
        <v>98.582999999999998</v>
      </c>
      <c r="J51" s="20">
        <f t="shared" ref="J51:J53" si="11">H51+I51</f>
        <v>111.166</v>
      </c>
    </row>
    <row r="52" spans="1:10" ht="18.75" customHeight="1" x14ac:dyDescent="0.25">
      <c r="A52" s="13" t="s">
        <v>64</v>
      </c>
      <c r="B52" s="19"/>
      <c r="C52" s="19"/>
      <c r="D52" s="19"/>
      <c r="E52" s="19"/>
      <c r="F52" s="19">
        <v>5</v>
      </c>
      <c r="G52" s="19"/>
      <c r="H52" s="19">
        <f t="shared" si="9"/>
        <v>7.5829999999999984</v>
      </c>
      <c r="I52" s="19">
        <f t="shared" si="10"/>
        <v>98.582999999999998</v>
      </c>
      <c r="J52" s="20">
        <f t="shared" si="11"/>
        <v>106.166</v>
      </c>
    </row>
    <row r="53" spans="1:10" ht="18.75" customHeight="1" x14ac:dyDescent="0.25">
      <c r="A53" s="13" t="s">
        <v>65</v>
      </c>
      <c r="B53" s="19">
        <v>7.5</v>
      </c>
      <c r="C53" s="19">
        <v>7.5</v>
      </c>
      <c r="D53" s="19"/>
      <c r="E53" s="19"/>
      <c r="F53" s="19"/>
      <c r="G53" s="19"/>
      <c r="H53" s="19">
        <f t="shared" si="9"/>
        <v>15.082999999999998</v>
      </c>
      <c r="I53" s="19">
        <f t="shared" si="10"/>
        <v>106.083</v>
      </c>
      <c r="J53" s="20">
        <f t="shared" si="11"/>
        <v>121.166</v>
      </c>
    </row>
    <row r="54" spans="1:10" ht="18.75" customHeight="1" x14ac:dyDescent="0.25">
      <c r="A54" s="13" t="s">
        <v>66</v>
      </c>
      <c r="B54" s="19"/>
      <c r="C54" s="19"/>
      <c r="D54" s="19">
        <v>10</v>
      </c>
      <c r="E54" s="19"/>
      <c r="F54" s="19"/>
      <c r="G54" s="19"/>
      <c r="H54" s="19">
        <f t="shared" ref="H54" si="12">H53-F54-D54+B54</f>
        <v>5.0829999999999984</v>
      </c>
      <c r="I54" s="19">
        <f t="shared" ref="I54" si="13">I53-E54+C54</f>
        <v>106.083</v>
      </c>
      <c r="J54" s="20">
        <f t="shared" ref="J54" si="14">H54+I54</f>
        <v>111.166</v>
      </c>
    </row>
    <row r="55" spans="1:10" ht="18.75" customHeight="1" x14ac:dyDescent="0.25">
      <c r="A55" s="14"/>
      <c r="B55" s="15"/>
      <c r="C55" s="16"/>
      <c r="D55" s="16"/>
      <c r="E55" s="16"/>
      <c r="F55" s="16"/>
      <c r="G55" s="16"/>
      <c r="H55" s="17"/>
      <c r="I55" s="17"/>
      <c r="J55" s="16"/>
    </row>
    <row r="56" spans="1:10" s="1" customFormat="1" x14ac:dyDescent="0.25">
      <c r="G56" s="1" t="s">
        <v>22</v>
      </c>
    </row>
    <row r="57" spans="1:10" s="1" customFormat="1" x14ac:dyDescent="0.25"/>
    <row r="58" spans="1:10" s="1" customFormat="1" x14ac:dyDescent="0.25">
      <c r="G58" s="18" t="s">
        <v>23</v>
      </c>
    </row>
    <row r="59" spans="1:10" s="1" customFormat="1" x14ac:dyDescent="0.25">
      <c r="G59" s="1" t="s">
        <v>24</v>
      </c>
    </row>
    <row r="60" spans="1:10" s="1" customFormat="1" x14ac:dyDescent="0.25">
      <c r="G60" s="1" t="s">
        <v>60</v>
      </c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B11:C11"/>
    <mergeCell ref="D11:G11"/>
    <mergeCell ref="H11:I11"/>
    <mergeCell ref="A11:A12"/>
    <mergeCell ref="J11:J12"/>
  </mergeCells>
  <phoneticPr fontId="6" type="noConversion"/>
  <printOptions horizontalCentered="1"/>
  <pageMargins left="0.25" right="0.25" top="0.25" bottom="0.25" header="0.3" footer="0.3"/>
  <pageSetup paperSize="9" scale="69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2025-06-15T23:57:34Z</cp:lastPrinted>
  <dcterms:created xsi:type="dcterms:W3CDTF">2021-10-07T06:10:16Z</dcterms:created>
  <dcterms:modified xsi:type="dcterms:W3CDTF">2025-06-16T00:02:04Z</dcterms:modified>
</cp:coreProperties>
</file>