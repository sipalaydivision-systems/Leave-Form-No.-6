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11" documentId="13_ncr:1_{86553040-9F8E-45E4-8166-7279F36C2D06}" xr6:coauthVersionLast="47" xr6:coauthVersionMax="47" xr10:uidLastSave="{C2DAA1A9-A13B-4909-922B-9568735C9FF2}"/>
  <bookViews>
    <workbookView xWindow="-120" yWindow="-120" windowWidth="29040" windowHeight="15720" xr2:uid="{00000000-000D-0000-FFFF-FFFF00000000}"/>
  </bookViews>
  <sheets>
    <sheet name="Leave Card (NE)" sheetId="6" r:id="rId1"/>
    <sheet name="CTO" sheetId="8" r:id="rId2"/>
  </sheets>
  <definedNames>
    <definedName name="_xlnm.Print_Area" localSheetId="0">'Leave Card (NE)'!$A$1:$J$86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6" l="1"/>
  <c r="I13" i="6"/>
  <c r="I14" i="6" s="1"/>
  <c r="I15" i="6" s="1"/>
  <c r="I16" i="6" s="1"/>
  <c r="I17" i="6" s="1"/>
  <c r="I18" i="6" s="1"/>
  <c r="I19" i="6" s="1"/>
  <c r="I20" i="6" s="1"/>
  <c r="I21" i="6" s="1"/>
  <c r="H13" i="6"/>
  <c r="H14" i="6" s="1"/>
  <c r="I22" i="6" l="1"/>
  <c r="J14" i="6"/>
  <c r="H15" i="6"/>
  <c r="J15" i="6" s="1"/>
  <c r="H16" i="6" l="1"/>
  <c r="H17" i="6" s="1"/>
  <c r="H18" i="6" s="1"/>
  <c r="H19" i="6" s="1"/>
  <c r="H20" i="6" s="1"/>
  <c r="H21" i="6" s="1"/>
  <c r="I23" i="6"/>
  <c r="J17" i="6" l="1"/>
  <c r="J18" i="6"/>
  <c r="J19" i="6"/>
  <c r="J16" i="6"/>
  <c r="H22" i="6"/>
  <c r="J21" i="6"/>
  <c r="I24" i="6"/>
  <c r="J20" i="6"/>
  <c r="H23" i="6" l="1"/>
  <c r="J22" i="6"/>
  <c r="I25" i="6"/>
  <c r="H24" i="6" l="1"/>
  <c r="J23" i="6"/>
  <c r="I26" i="6"/>
  <c r="H25" i="6" l="1"/>
  <c r="J24" i="6"/>
  <c r="I27" i="6"/>
  <c r="H26" i="6" l="1"/>
  <c r="J25" i="6"/>
  <c r="I28" i="6"/>
  <c r="H27" i="6" l="1"/>
  <c r="J26" i="6"/>
  <c r="I29" i="6"/>
  <c r="H28" i="6" l="1"/>
  <c r="J27" i="6"/>
  <c r="I30" i="6"/>
  <c r="H29" i="6" l="1"/>
  <c r="J28" i="6"/>
  <c r="I31" i="6"/>
  <c r="H30" i="6" l="1"/>
  <c r="J29" i="6"/>
  <c r="I32" i="6"/>
  <c r="H31" i="6" l="1"/>
  <c r="J30" i="6"/>
  <c r="I33" i="6"/>
  <c r="H32" i="6" l="1"/>
  <c r="J31" i="6"/>
  <c r="I34" i="6"/>
  <c r="H33" i="6" l="1"/>
  <c r="J32" i="6"/>
  <c r="I35" i="6"/>
  <c r="H34" i="6" l="1"/>
  <c r="J33" i="6"/>
  <c r="I36" i="6"/>
  <c r="H35" i="6" l="1"/>
  <c r="J34" i="6"/>
  <c r="I37" i="6"/>
  <c r="I38" i="6" l="1"/>
  <c r="I39" i="6" s="1"/>
  <c r="I40" i="6" s="1"/>
  <c r="I41" i="6" s="1"/>
  <c r="I42" i="6" s="1"/>
  <c r="I43" i="6" s="1"/>
  <c r="I44" i="6" s="1"/>
  <c r="I45" i="6" s="1"/>
  <c r="I46" i="6" s="1"/>
  <c r="I47" i="6" s="1"/>
  <c r="I48" i="6" s="1"/>
  <c r="I49" i="6" s="1"/>
  <c r="I50" i="6" s="1"/>
  <c r="I51" i="6" s="1"/>
  <c r="I52" i="6" s="1"/>
  <c r="I53" i="6" s="1"/>
  <c r="I54" i="6" s="1"/>
  <c r="I55" i="6" s="1"/>
  <c r="I56" i="6" s="1"/>
  <c r="I57" i="6" s="1"/>
  <c r="H36" i="6"/>
  <c r="J35" i="6"/>
  <c r="J13" i="6"/>
  <c r="I58" i="6" l="1"/>
  <c r="I59" i="6" s="1"/>
  <c r="I60" i="6" s="1"/>
  <c r="I61" i="6" s="1"/>
  <c r="I62" i="6" s="1"/>
  <c r="I63" i="6" s="1"/>
  <c r="I64" i="6" s="1"/>
  <c r="I65" i="6" s="1"/>
  <c r="I66" i="6" s="1"/>
  <c r="I67" i="6" s="1"/>
  <c r="I68" i="6" s="1"/>
  <c r="I69" i="6" s="1"/>
  <c r="I70" i="6" s="1"/>
  <c r="I71" i="6" s="1"/>
  <c r="I72" i="6" s="1"/>
  <c r="I73" i="6" s="1"/>
  <c r="I74" i="6" s="1"/>
  <c r="I75" i="6" s="1"/>
  <c r="I76" i="6" s="1"/>
  <c r="H37" i="6"/>
  <c r="J36" i="6"/>
  <c r="H38" i="6" l="1"/>
  <c r="J37" i="6"/>
  <c r="H39" i="6" l="1"/>
  <c r="J38" i="6"/>
  <c r="H40" i="6" l="1"/>
  <c r="J39" i="6"/>
  <c r="H41" i="6" l="1"/>
  <c r="J40" i="6"/>
  <c r="H42" i="6" l="1"/>
  <c r="J41" i="6"/>
  <c r="J42" i="6" l="1"/>
  <c r="H43" i="6"/>
  <c r="J43" i="6" l="1"/>
  <c r="H44" i="6"/>
  <c r="H45" i="6" l="1"/>
  <c r="J44" i="6"/>
  <c r="H46" i="6" l="1"/>
  <c r="J45" i="6"/>
  <c r="H47" i="6" l="1"/>
  <c r="J46" i="6"/>
  <c r="H48" i="6" l="1"/>
  <c r="J47" i="6"/>
  <c r="J48" i="6" l="1"/>
  <c r="H49" i="6"/>
  <c r="J49" i="6" l="1"/>
  <c r="H50" i="6"/>
  <c r="J50" i="6" l="1"/>
  <c r="H51" i="6"/>
  <c r="J51" i="6" l="1"/>
  <c r="H52" i="6"/>
  <c r="J52" i="6" l="1"/>
  <c r="H53" i="6"/>
  <c r="J53" i="6" l="1"/>
  <c r="H54" i="6"/>
  <c r="J54" i="6" l="1"/>
  <c r="H55" i="6"/>
  <c r="J55" i="6" l="1"/>
  <c r="H56" i="6"/>
  <c r="J56" i="6" l="1"/>
  <c r="H57" i="6"/>
  <c r="H58" i="6" l="1"/>
  <c r="J57" i="6"/>
  <c r="J58" i="6" l="1"/>
  <c r="H59" i="6"/>
  <c r="H60" i="6" l="1"/>
  <c r="J59" i="6"/>
  <c r="J60" i="6" l="1"/>
  <c r="H61" i="6"/>
  <c r="J61" i="6" l="1"/>
  <c r="H62" i="6"/>
  <c r="H63" i="6" l="1"/>
  <c r="J62" i="6"/>
  <c r="H64" i="6" l="1"/>
  <c r="J63" i="6"/>
  <c r="J64" i="6" l="1"/>
  <c r="H65" i="6"/>
  <c r="H66" i="6" l="1"/>
  <c r="J65" i="6"/>
  <c r="H67" i="6" l="1"/>
  <c r="J66" i="6"/>
  <c r="H68" i="6" l="1"/>
  <c r="J67" i="6"/>
  <c r="J68" i="6" l="1"/>
  <c r="H69" i="6"/>
  <c r="J69" i="6" l="1"/>
  <c r="H70" i="6"/>
  <c r="J70" i="6" l="1"/>
  <c r="H71" i="6"/>
  <c r="J71" i="6" l="1"/>
  <c r="H72" i="6"/>
  <c r="J72" i="6" l="1"/>
  <c r="H73" i="6"/>
  <c r="J73" i="6" l="1"/>
  <c r="H74" i="6"/>
  <c r="H75" i="6" l="1"/>
  <c r="J74" i="6"/>
  <c r="J75" i="6" l="1"/>
  <c r="H76" i="6"/>
  <c r="J76" i="6" s="1"/>
</calcChain>
</file>

<file path=xl/sharedStrings.xml><?xml version="1.0" encoding="utf-8"?>
<sst xmlns="http://schemas.openxmlformats.org/spreadsheetml/2006/main" count="139" uniqueCount="112">
  <si>
    <t>Republic of the Philippines</t>
  </si>
  <si>
    <t>Department of Education</t>
  </si>
  <si>
    <t>NEGROS OSLAND REGION</t>
  </si>
  <si>
    <t>SCHOOLS DIVISION OF SIPALAY CITY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</si>
  <si>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</si>
  <si>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</si>
  <si>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</si>
  <si>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</si>
  <si>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</si>
  <si>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</si>
  <si>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</si>
  <si>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PERIOD COVERED</t>
  </si>
  <si>
    <t>LEAVE EARNED</t>
  </si>
  <si>
    <t>LEAVE SPENT</t>
  </si>
  <si>
    <t>BALANCE</t>
  </si>
  <si>
    <t>TOTAL</t>
  </si>
  <si>
    <t>VACATION</t>
  </si>
  <si>
    <t>SICK</t>
  </si>
  <si>
    <t>FORCED</t>
  </si>
  <si>
    <t>SPECIAL</t>
  </si>
  <si>
    <t>ADD: 06/08/2020 - 06/30/2020</t>
  </si>
  <si>
    <t>ADD: 07/01/2020 - 12/31/2020</t>
  </si>
  <si>
    <t>LESS: 12/21,22,23, 28 &amp; 29/2020</t>
  </si>
  <si>
    <t>ADD: 01/01/2021 - 09/30/2021</t>
  </si>
  <si>
    <t>LESS: MONETIZATION 2021</t>
  </si>
  <si>
    <t>ADD: 10/01/2021 - 12/31/2021</t>
  </si>
  <si>
    <t>LESS: 12/23,24,27, 28 &amp; 31/2021</t>
  </si>
  <si>
    <t>ADD: 01/01/2022 - 01/31/2022</t>
  </si>
  <si>
    <t>LESS: 09/02/2022</t>
  </si>
  <si>
    <t>ADD: 02/01/22 - 04/30/22</t>
  </si>
  <si>
    <t>LESS: 05/19/22</t>
  </si>
  <si>
    <t>ADD: 05/01/22 - 06/30/22</t>
  </si>
  <si>
    <t>LESS: 07/26/22</t>
  </si>
  <si>
    <t>LESS: 07/22/22</t>
  </si>
  <si>
    <t>ADD: 07/01/22 - 08/31/22</t>
  </si>
  <si>
    <t>LESS: 09/06/22</t>
  </si>
  <si>
    <t>LESS: MONETIZATION 2022</t>
  </si>
  <si>
    <t>ADD: 09/01/22 - 09/30/22</t>
  </si>
  <si>
    <t>LESS: 10/19/22</t>
  </si>
  <si>
    <t>ADD: 10/01/22 - 11/30/22</t>
  </si>
  <si>
    <t>LESS: 12/02/22</t>
  </si>
  <si>
    <t>LESS: 12/29/22</t>
  </si>
  <si>
    <t>ADD: 12/01/22 - 12/31/22</t>
  </si>
  <si>
    <t>LESS: 01/16/2023</t>
  </si>
  <si>
    <t>ADD: DIAPPROVED FL</t>
  </si>
  <si>
    <t>ADD: 01/01/2023 - 06/30/2023</t>
  </si>
  <si>
    <t>LESS: 07/24 &amp; 25/23</t>
  </si>
  <si>
    <t>ADD: 07/01/2023 - 08/31/2023</t>
  </si>
  <si>
    <t>LESS: MONETIZATION 2023</t>
  </si>
  <si>
    <t>ADD: 09/01/2023-10/31/2023</t>
  </si>
  <si>
    <t>LESS: 11/13-14/2023, 12/14,26,27/2023</t>
  </si>
  <si>
    <t>LESS: ADDT'L MONETIZATION 2023</t>
  </si>
  <si>
    <t>ADD: 11/01/2023-11/30/2023</t>
  </si>
  <si>
    <t>ADD: DISAPPROVED FL (11/13-14/2023)</t>
  </si>
  <si>
    <t>ADD: 12/01/2023-12/31/2023</t>
  </si>
  <si>
    <t>ADD: 01/01/2024-01/31/2024</t>
  </si>
  <si>
    <t>ADD: (DISAPPROVED FL-12/14,27/2023)</t>
  </si>
  <si>
    <t>ADD: 02/1/2024-05/31/2024</t>
  </si>
  <si>
    <t>LESS: 06/24 &amp; 07/26/2024</t>
  </si>
  <si>
    <t>ADD: JUNE-JULY 31, 2024</t>
  </si>
  <si>
    <t>ADD: CONVERTED UNUSED LEAVE CREDITS EARNED FROM NATIONAL/LOCAL ELECTION (20 DAYS)</t>
  </si>
  <si>
    <t>LESS: MONETIZATION 2024</t>
  </si>
  <si>
    <t>ADD: 08/1/2024-10/31/2024</t>
  </si>
  <si>
    <t>LESS: 12/2, 10, 12, 19, 26/2024</t>
  </si>
  <si>
    <t>ADD: 11/1-30/2024</t>
  </si>
  <si>
    <t>LESS: 12/23/2024</t>
  </si>
  <si>
    <t>ADD: 12/1-31/2024</t>
  </si>
  <si>
    <t>LESS: 01/02/2025</t>
  </si>
  <si>
    <t>LESS: 02/7/2025</t>
  </si>
  <si>
    <t>ADD: 01/1/2025-02/28/2025</t>
  </si>
  <si>
    <t>LESS: 03/10-11/2025</t>
  </si>
  <si>
    <t>LESS: 03/24-25/2025</t>
  </si>
  <si>
    <t>ADD: 03/1-31/2025</t>
  </si>
  <si>
    <t>LESS: 03/31/2025</t>
  </si>
  <si>
    <t>ADD: 04/1/2025-06/30/2025</t>
  </si>
  <si>
    <t>LESS: 07/16/2025</t>
  </si>
  <si>
    <t>ADD: 07/1/2025-08/31/2025</t>
  </si>
  <si>
    <t>LESS: MONETIZATION 2025</t>
  </si>
  <si>
    <t>LESS: 08/14/2025</t>
  </si>
  <si>
    <t>LESS: 09/4/2025</t>
  </si>
  <si>
    <t>ADD: 07/16/2025 Exigency of Service</t>
  </si>
  <si>
    <t>ADD: 09/1/2025-10/31/2025</t>
  </si>
  <si>
    <t>LESS: 12/3, 12 &amp; 15/2025</t>
  </si>
  <si>
    <t>ADD: 11/1-30/2025</t>
  </si>
  <si>
    <t>Certified Correct:</t>
  </si>
  <si>
    <t>MA. LUISA B. CATIGAN</t>
  </si>
  <si>
    <t>Administrative Officer IV</t>
  </si>
  <si>
    <t>HRMO</t>
  </si>
  <si>
    <t>REGION VI-WESTERN VISAYAS</t>
  </si>
  <si>
    <t>COMPENSATORY TIME OFF (CTO)</t>
  </si>
  <si>
    <t>Special Order No. and Date Issued</t>
  </si>
  <si>
    <t>No. of Days Granted</t>
  </si>
  <si>
    <t>No. of Days Used</t>
  </si>
  <si>
    <t>Balance</t>
  </si>
  <si>
    <t>ADD: APRIL 12, 2023</t>
  </si>
  <si>
    <t>S.O. # 047, S. 2023. PERFORMANCE PLANNING &amp; COMMITMENT FOR SY 2023</t>
  </si>
  <si>
    <t>LESS: 04/28/23</t>
  </si>
  <si>
    <t>LESS: 07/13/23</t>
  </si>
  <si>
    <t>ADD: JULY 11, 2023</t>
  </si>
  <si>
    <t>S.O. #058, S. 2023. 2023 REGIONAL SCHOOLS PRESS CONFERENCE (RSPC)</t>
  </si>
  <si>
    <t>LESS: 08/29/2023 &amp; 09/1&amp;6/2023</t>
  </si>
  <si>
    <t>ADD: 10/11/2023</t>
  </si>
  <si>
    <t>S.O #084 S. 2023 CAPABILITY BUILDING OF TEACHERS ON THE IMPLEMENTATION OF NLC</t>
  </si>
  <si>
    <t>LESS: 01/24/2024</t>
  </si>
  <si>
    <t>ADD: 10/9/2024</t>
  </si>
  <si>
    <t>S.O. # 032, S.2024 PALARONG PANLALAWIGAN 2024</t>
  </si>
  <si>
    <t>LESS: 12/27/2024</t>
  </si>
  <si>
    <t>LESS: 01/03/2025</t>
  </si>
  <si>
    <t>ADD: 06/5/2025</t>
  </si>
  <si>
    <t>S.O. # 035, S. 2025 REGIONAL PRESS CONFERENCE 2025</t>
  </si>
  <si>
    <t>LESS: 11/17-18/2025</t>
  </si>
  <si>
    <t>NOTE:  Valid for one (1) year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</si>
</sst>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89">
    <xf numFmtId="0" fontId="0" fillId="0" borderId="0" xfId="0"/>
    <xf numFmtId="0" fontId="0" fillId="2" borderId="0" xfId="0" applyFill="1"/>
    <xf numFmtId="0" fontId="3" fillId="2" borderId="3" xfId="0" applyFont="1" applyFill="1" applyBorder="1" applyAlignment="1">
      <alignment horizontal="center" vertical="center"/>
    </xf>
    <xf numFmtId="164" fontId="0" fillId="0" borderId="0" xfId="0" applyNumberFormat="1"/>
    <xf numFmtId="0" fontId="2" fillId="2" borderId="0" xfId="1" applyFill="1"/>
    <xf numFmtId="0" fontId="2" fillId="0" borderId="0" xfId="1"/>
    <xf numFmtId="0" fontId="6" fillId="0" borderId="0" xfId="1" applyFont="1"/>
    <xf numFmtId="0" fontId="0" fillId="2" borderId="10" xfId="1" applyFont="1" applyFill="1" applyBorder="1" applyAlignment="1">
      <alignment horizontal="center" vertical="center" wrapText="1"/>
    </xf>
    <xf numFmtId="0" fontId="8" fillId="0" borderId="0" xfId="1" applyFont="1"/>
    <xf numFmtId="0" fontId="2" fillId="0" borderId="0" xfId="1" applyAlignment="1">
      <alignment vertical="center"/>
    </xf>
    <xf numFmtId="0" fontId="7" fillId="2" borderId="0" xfId="1" applyFont="1" applyFill="1" applyAlignment="1">
      <alignment horizontal="center" vertical="center" wrapText="1"/>
    </xf>
    <xf numFmtId="0" fontId="2" fillId="2" borderId="0" xfId="1" applyFill="1" applyAlignment="1">
      <alignment horizontal="center" vertical="center" wrapText="1"/>
    </xf>
    <xf numFmtId="0" fontId="2" fillId="2" borderId="0" xfId="1" applyFill="1" applyAlignment="1">
      <alignment horizontal="center"/>
    </xf>
    <xf numFmtId="164" fontId="0" fillId="0" borderId="2" xfId="0" applyNumberFormat="1" applyBorder="1"/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2" borderId="5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 wrapText="1"/>
    </xf>
    <xf numFmtId="0" fontId="11" fillId="9" borderId="10" xfId="1" applyFont="1" applyFill="1" applyBorder="1" applyAlignment="1">
      <alignment horizontal="center" vertical="center" wrapText="1"/>
    </xf>
    <xf numFmtId="0" fontId="9" fillId="9" borderId="5" xfId="1" applyFont="1" applyFill="1" applyBorder="1" applyAlignment="1">
      <alignment horizontal="center" vertical="center" wrapText="1"/>
    </xf>
    <xf numFmtId="164" fontId="0" fillId="10" borderId="2" xfId="0" applyNumberForma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0" fillId="0" borderId="2" xfId="1" applyFont="1" applyBorder="1" applyAlignment="1">
      <alignment horizontal="center" vertical="center" wrapText="1"/>
    </xf>
    <xf numFmtId="0" fontId="0" fillId="9" borderId="2" xfId="1" applyFont="1" applyFill="1" applyBorder="1" applyAlignment="1">
      <alignment horizontal="center" vertical="center" wrapText="1"/>
    </xf>
    <xf numFmtId="0" fontId="10" fillId="9" borderId="2" xfId="1" applyFont="1" applyFill="1" applyBorder="1" applyAlignment="1">
      <alignment horizontal="center" vertical="center" wrapText="1"/>
    </xf>
    <xf numFmtId="164" fontId="0" fillId="11" borderId="2" xfId="0" applyNumberForma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7" fillId="2" borderId="17" xfId="1" applyFont="1" applyFill="1" applyBorder="1" applyAlignment="1">
      <alignment horizontal="center" vertical="center" wrapText="1"/>
    </xf>
    <xf numFmtId="0" fontId="7" fillId="2" borderId="18" xfId="1" applyFont="1" applyFill="1" applyBorder="1" applyAlignment="1">
      <alignment horizontal="center" vertical="center" wrapText="1"/>
    </xf>
    <xf numFmtId="0" fontId="7" fillId="2" borderId="19" xfId="1" applyFont="1" applyFill="1" applyBorder="1" applyAlignment="1">
      <alignment horizontal="center" vertical="center" wrapText="1"/>
    </xf>
    <xf numFmtId="0" fontId="9" fillId="2" borderId="17" xfId="1" applyFont="1" applyFill="1" applyBorder="1" applyAlignment="1">
      <alignment horizontal="center" vertical="center" wrapText="1"/>
    </xf>
    <xf numFmtId="0" fontId="9" fillId="2" borderId="19" xfId="1" applyFont="1" applyFill="1" applyBorder="1" applyAlignment="1">
      <alignment horizontal="center" vertical="center" wrapText="1"/>
    </xf>
    <xf numFmtId="0" fontId="2" fillId="0" borderId="0" xfId="1" applyAlignment="1">
      <alignment horizontal="center" vertical="center"/>
    </xf>
    <xf numFmtId="0" fontId="9" fillId="9" borderId="17" xfId="1" applyFont="1" applyFill="1" applyBorder="1" applyAlignment="1">
      <alignment horizontal="center" vertical="center" wrapText="1"/>
    </xf>
    <xf numFmtId="0" fontId="9" fillId="9" borderId="19" xfId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7" fillId="9" borderId="17" xfId="1" applyFont="1" applyFill="1" applyBorder="1" applyAlignment="1">
      <alignment horizontal="center" vertical="center" wrapText="1"/>
    </xf>
    <xf numFmtId="0" fontId="7" fillId="9" borderId="18" xfId="1" applyFont="1" applyFill="1" applyBorder="1" applyAlignment="1">
      <alignment horizontal="center" vertical="center" wrapText="1"/>
    </xf>
    <xf numFmtId="0" fontId="7" fillId="9" borderId="19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9" fillId="2" borderId="2" xfId="1" applyFont="1" applyFill="1" applyBorder="1" applyAlignment="1">
      <alignment horizontal="center" vertical="center" wrapText="1"/>
    </xf>
    <xf numFmtId="0" fontId="5" fillId="3" borderId="7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5" fillId="7" borderId="13" xfId="1" applyFont="1" applyFill="1" applyBorder="1" applyAlignment="1">
      <alignment horizontal="center" vertical="center"/>
    </xf>
    <xf numFmtId="0" fontId="5" fillId="7" borderId="14" xfId="1" applyFont="1" applyFill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horizontal="center" vertical="center" wrapText="1"/>
    </xf>
    <xf numFmtId="0" fontId="7" fillId="8" borderId="18" xfId="1" applyFont="1" applyFill="1" applyBorder="1" applyAlignment="1">
      <alignment horizontal="center" vertical="center" wrapText="1"/>
    </xf>
    <xf numFmtId="0" fontId="7" fillId="8" borderId="19" xfId="1" applyFont="1" applyFill="1" applyBorder="1" applyAlignment="1">
      <alignment horizontal="center" vertical="center" wrapText="1"/>
    </xf>
    <xf numFmtId="0" fontId="2" fillId="2" borderId="0" xfId="1" applyFill="1" applyAlignment="1">
      <alignment horizontal="center" vertical="center"/>
    </xf>
    <xf numFmtId="0" fontId="4" fillId="2" borderId="16" xfId="1" applyFon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0" xfId="0" applyFont="1" applyFill="1"/>
    <xf numFmtId="0" fontId="3" fillId="2" borderId="6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0" fontId="3" fillId="2" borderId="0" xfId="1" applyFont="1" applyFill="1" applyAlignment="1">
      <alignment vertical="center"/>
    </xf>
    <xf numFmtId="0" fontId="3" fillId="2" borderId="6" xfId="1" applyFont="1" applyFill="1" applyBorder="1" applyAlignment="1">
      <alignment horizontal="center" vertical="center"/>
    </xf>
    <xf numFmtId="0" fontId="3" fillId="2" borderId="0" xfId="1" applyFont="1" applyFill="1"/>
    <xf numFmtId="0" fontId="3" fillId="2" borderId="6" xfId="1" applyFont="1" applyFill="1" applyBorder="1" applyAlignment="1">
      <alignment vertical="center"/>
    </xf>
    <xf numFmtId="0" fontId="3" fillId="0" borderId="0" xfId="1" applyFont="1" applyAlignment="1">
      <alignment vertical="center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304800</xdr:colOff>
      <xdr:row>0</xdr:row>
      <xdr:rowOff>50800</xdr:rowOff>
    </xdr:from>
    <xdr:to>
      <xdr:col>4</xdr:col>
      <xdr:colOff>254001</xdr:colOff>
      <xdr:row>0</xdr:row>
      <xdr:rowOff>631825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371975" y="50800"/>
          <a:ext cx="720726" cy="5810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AC178DA-3CE5-479A-BC86-217D2186AF9C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FERRARIS, IDA FLOR C.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69003F6-6340-43CC-8273-FF320433E5B6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7C15215-CAD1-46CD-9554-2DE6D668D2CC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 - 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62365</xdr:colOff>
      <xdr:row>0</xdr:row>
      <xdr:rowOff>40369</xdr:rowOff>
    </xdr:from>
    <xdr:to>
      <xdr:col>4</xdr:col>
      <xdr:colOff>732516</xdr:colOff>
      <xdr:row>0</xdr:row>
      <xdr:rowOff>657678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C7DD7B-1861-4537-8182-0283EECC80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34315" y="40369"/>
          <a:ext cx="701448" cy="617309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C5782A1-FE43-4CC8-8CCA-8BC7850E003F}"/>
            </a:ext>
          </a:extLst>
        </xdr:cNvPr>
        <xdr:cNvSpPr txBox="1"/>
      </xdr:nvSpPr>
      <xdr:spPr>
        <a:xfrm>
          <a:off x="573942" y="1377461"/>
          <a:ext cx="2378808" cy="2227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FERRARIS, IDA FLOR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5C766FD-1CFC-4CF6-B84C-B49C1067DFE2}"/>
            </a:ext>
          </a:extLst>
        </xdr:cNvPr>
        <xdr:cNvSpPr txBox="1"/>
      </xdr:nvSpPr>
      <xdr:spPr>
        <a:xfrm>
          <a:off x="654051" y="1682751"/>
          <a:ext cx="106679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736D933-E2E0-42AA-B036-68CD47C128E6}"/>
            </a:ext>
          </a:extLst>
        </xdr:cNvPr>
        <xdr:cNvSpPr txBox="1"/>
      </xdr:nvSpPr>
      <xdr:spPr>
        <a:xfrm>
          <a:off x="4089173" y="1706110"/>
          <a:ext cx="1155700" cy="2731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7"/>
  <sheetViews>
    <sheetView tabSelected="1" view="pageBreakPreview" topLeftCell="A58" zoomScaleNormal="100" workbookViewId="0">
      <selection activeCell="D79" sqref="D79"/>
    </sheetView>
  </sheetViews>
  <sheetFormatPr defaultColWidth="9" defaultRowHeight="15"/>
  <cols>
    <col min="1" max="1" width="37.875" customWidth="1"/>
    <col min="2" max="10" width="11.625" customWidth="1"/>
  </cols>
  <sheetData>
    <row r="1" spans="1:10" s="1" customFormat="1" ht="52.5" customHeight="1"/>
    <row r="2" spans="1:10" s="1" customFormat="1" ht="10.5" customHeight="1">
      <c r="A2" s="42" t="s">
        <v>0</v>
      </c>
      <c r="B2" s="42"/>
      <c r="C2" s="42"/>
      <c r="D2" s="42"/>
      <c r="E2" s="42"/>
      <c r="F2" s="42"/>
      <c r="G2" s="42"/>
      <c r="H2" s="42"/>
      <c r="I2" s="42"/>
      <c r="J2" s="42"/>
    </row>
    <row r="3" spans="1:10" s="1" customFormat="1" ht="15.95" customHeight="1">
      <c r="A3" s="42" t="s">
        <v>1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s="1" customFormat="1" ht="15.95" customHeight="1">
      <c r="A4" s="69" t="s">
        <v>2</v>
      </c>
      <c r="B4" s="42"/>
      <c r="C4" s="42"/>
      <c r="D4" s="42"/>
      <c r="E4" s="42"/>
      <c r="F4" s="42"/>
      <c r="G4" s="42"/>
      <c r="H4" s="42"/>
      <c r="I4" s="42"/>
      <c r="J4" s="42"/>
    </row>
    <row r="5" spans="1:10" s="1" customFormat="1" ht="15.95" customHeight="1">
      <c r="A5" s="42" t="s">
        <v>3</v>
      </c>
      <c r="B5" s="42"/>
      <c r="C5" s="42"/>
      <c r="D5" s="42"/>
      <c r="E5" s="42"/>
      <c r="F5" s="42"/>
      <c r="G5" s="42"/>
      <c r="H5" s="42"/>
      <c r="I5" s="42"/>
      <c r="J5" s="42"/>
    </row>
    <row r="6" spans="1:10" s="1" customFormat="1" ht="8.25" customHeight="1"/>
    <row r="7" spans="1:10" s="1" customFormat="1" ht="12" customHeight="1">
      <c r="A7" s="1" t="s">
        <v>4</v>
      </c>
      <c r="B7" s="70" t="s">
        <v>5</v>
      </c>
      <c r="C7" s="70"/>
      <c r="D7" s="70"/>
      <c r="H7" s="71" t="s">
        <v>6</v>
      </c>
      <c r="I7" s="72"/>
      <c r="J7" s="71"/>
    </row>
    <row r="8" spans="1:10" s="1" customFormat="1" ht="12" customHeight="1">
      <c r="B8" s="73"/>
      <c r="C8" s="73"/>
      <c r="H8" s="73"/>
      <c r="I8" s="73"/>
      <c r="J8" s="73"/>
    </row>
    <row r="9" spans="1:10" s="1" customFormat="1" ht="12" customHeight="1">
      <c r="A9" s="1" t="s">
        <v>7</v>
      </c>
      <c r="B9" s="70" t="s">
        <v>8</v>
      </c>
      <c r="C9" s="70"/>
      <c r="D9" s="70"/>
      <c r="H9" s="71" t="s">
        <v>9</v>
      </c>
      <c r="I9" s="74"/>
      <c r="J9" s="71"/>
    </row>
    <row r="10" spans="1:10" ht="16.5" customHeight="1" thickBot="1">
      <c r="A10" s="32" t="s">
        <v>10</v>
      </c>
      <c r="B10" s="32"/>
      <c r="C10" s="32"/>
      <c r="D10" s="32"/>
      <c r="E10" s="32"/>
      <c r="F10" s="32"/>
      <c r="G10" s="32"/>
      <c r="H10" s="32"/>
      <c r="I10" s="32"/>
      <c r="J10" s="32"/>
    </row>
    <row r="11" spans="1:10" ht="18.75" customHeight="1">
      <c r="A11" s="30" t="s">
        <v>11</v>
      </c>
      <c r="B11" s="33" t="s">
        <v>12</v>
      </c>
      <c r="C11" s="33"/>
      <c r="D11" s="35" t="s">
        <v>13</v>
      </c>
      <c r="E11" s="36"/>
      <c r="F11" s="36"/>
      <c r="G11" s="37"/>
      <c r="H11" s="34" t="s">
        <v>14</v>
      </c>
      <c r="I11" s="34"/>
      <c r="J11" s="40" t="s">
        <v>15</v>
      </c>
    </row>
    <row r="12" spans="1:10" ht="18.75" customHeight="1" thickBot="1">
      <c r="A12" s="31"/>
      <c r="B12" s="2" t="s">
        <v>16</v>
      </c>
      <c r="C12" s="2" t="s">
        <v>17</v>
      </c>
      <c r="D12" s="2" t="s">
        <v>16</v>
      </c>
      <c r="E12" s="2" t="s">
        <v>17</v>
      </c>
      <c r="F12" s="2" t="s">
        <v>18</v>
      </c>
      <c r="G12" s="2" t="s">
        <v>19</v>
      </c>
      <c r="H12" s="2" t="s">
        <v>16</v>
      </c>
      <c r="I12" s="2" t="s">
        <v>17</v>
      </c>
      <c r="J12" s="41"/>
    </row>
    <row r="13" spans="1:10" ht="18.75" customHeight="1">
      <c r="A13" s="75" t="s">
        <v>20</v>
      </c>
      <c r="B13" s="76">
        <v>0.95799999999999996</v>
      </c>
      <c r="C13" s="76">
        <v>0.95799999999999996</v>
      </c>
      <c r="D13" s="76"/>
      <c r="E13" s="76"/>
      <c r="F13" s="76"/>
      <c r="G13" s="76"/>
      <c r="H13" s="76">
        <f>B13</f>
        <v>0.95799999999999996</v>
      </c>
      <c r="I13" s="76">
        <f>C13</f>
        <v>0.95799999999999996</v>
      </c>
      <c r="J13" s="76">
        <f>SUM(H13:I13)</f>
        <v>1.9159999999999999</v>
      </c>
    </row>
    <row r="14" spans="1:10" ht="18.75" customHeight="1">
      <c r="A14" s="29" t="s">
        <v>21</v>
      </c>
      <c r="B14" s="77">
        <v>7.5</v>
      </c>
      <c r="C14" s="77">
        <v>7.5</v>
      </c>
      <c r="D14" s="77"/>
      <c r="E14" s="77"/>
      <c r="F14" s="77"/>
      <c r="G14" s="77"/>
      <c r="H14" s="77">
        <f>H13-F14-D14+B14</f>
        <v>8.4580000000000002</v>
      </c>
      <c r="I14" s="77">
        <f>I13-E14+C14</f>
        <v>8.4580000000000002</v>
      </c>
      <c r="J14" s="77">
        <f t="shared" ref="J14:J20" si="0">SUM(H14:I14)</f>
        <v>16.916</v>
      </c>
    </row>
    <row r="15" spans="1:10" ht="18.75" customHeight="1">
      <c r="A15" s="29" t="s">
        <v>22</v>
      </c>
      <c r="B15" s="77"/>
      <c r="C15" s="77"/>
      <c r="D15" s="77"/>
      <c r="E15" s="77"/>
      <c r="F15" s="77">
        <v>5</v>
      </c>
      <c r="G15" s="77"/>
      <c r="H15" s="77">
        <f t="shared" ref="H15:H20" si="1">H14-F15-D15+B15</f>
        <v>3.4580000000000002</v>
      </c>
      <c r="I15" s="77">
        <f t="shared" ref="I15:I20" si="2">I14-E15+C15</f>
        <v>8.4580000000000002</v>
      </c>
      <c r="J15" s="77">
        <f t="shared" si="0"/>
        <v>11.916</v>
      </c>
    </row>
    <row r="16" spans="1:10" ht="18.75" customHeight="1">
      <c r="A16" s="29" t="s">
        <v>23</v>
      </c>
      <c r="B16" s="77">
        <f>1.25*9</f>
        <v>11.25</v>
      </c>
      <c r="C16" s="77">
        <v>11.25</v>
      </c>
      <c r="D16" s="77"/>
      <c r="E16" s="77"/>
      <c r="F16" s="77"/>
      <c r="G16" s="77"/>
      <c r="H16" s="77">
        <f t="shared" si="1"/>
        <v>14.708</v>
      </c>
      <c r="I16" s="77">
        <f t="shared" si="2"/>
        <v>19.707999999999998</v>
      </c>
      <c r="J16" s="77">
        <f t="shared" si="0"/>
        <v>34.415999999999997</v>
      </c>
    </row>
    <row r="17" spans="1:10" ht="18.75" customHeight="1">
      <c r="A17" s="29" t="s">
        <v>24</v>
      </c>
      <c r="B17" s="77"/>
      <c r="C17" s="77"/>
      <c r="D17" s="77">
        <v>9</v>
      </c>
      <c r="E17" s="77">
        <v>14</v>
      </c>
      <c r="F17" s="77"/>
      <c r="G17" s="77"/>
      <c r="H17" s="77">
        <f t="shared" si="1"/>
        <v>5.7080000000000002</v>
      </c>
      <c r="I17" s="77">
        <f t="shared" si="2"/>
        <v>5.7079999999999984</v>
      </c>
      <c r="J17" s="77">
        <f t="shared" si="0"/>
        <v>11.415999999999999</v>
      </c>
    </row>
    <row r="18" spans="1:10" ht="18.75" customHeight="1">
      <c r="A18" s="29" t="s">
        <v>25</v>
      </c>
      <c r="B18" s="77">
        <v>3.75</v>
      </c>
      <c r="C18" s="77">
        <v>3.75</v>
      </c>
      <c r="D18" s="77"/>
      <c r="E18" s="77"/>
      <c r="F18" s="77"/>
      <c r="G18" s="77"/>
      <c r="H18" s="77">
        <f t="shared" si="1"/>
        <v>9.4580000000000002</v>
      </c>
      <c r="I18" s="77">
        <f t="shared" si="2"/>
        <v>9.4579999999999984</v>
      </c>
      <c r="J18" s="77">
        <f t="shared" si="0"/>
        <v>18.915999999999997</v>
      </c>
    </row>
    <row r="19" spans="1:10" ht="18.75" customHeight="1">
      <c r="A19" s="29" t="s">
        <v>26</v>
      </c>
      <c r="B19" s="77"/>
      <c r="C19" s="77"/>
      <c r="D19" s="77"/>
      <c r="E19" s="77"/>
      <c r="F19" s="77">
        <v>5</v>
      </c>
      <c r="G19" s="77"/>
      <c r="H19" s="77">
        <f t="shared" si="1"/>
        <v>4.4580000000000002</v>
      </c>
      <c r="I19" s="77">
        <f t="shared" si="2"/>
        <v>9.4579999999999984</v>
      </c>
      <c r="J19" s="77">
        <f t="shared" si="0"/>
        <v>13.915999999999999</v>
      </c>
    </row>
    <row r="20" spans="1:10" ht="18.75" customHeight="1">
      <c r="A20" s="29" t="s">
        <v>27</v>
      </c>
      <c r="B20" s="77">
        <v>1.25</v>
      </c>
      <c r="C20" s="77">
        <v>1.25</v>
      </c>
      <c r="D20" s="77"/>
      <c r="E20" s="77"/>
      <c r="F20" s="77"/>
      <c r="G20" s="77"/>
      <c r="H20" s="77">
        <f t="shared" si="1"/>
        <v>5.7080000000000002</v>
      </c>
      <c r="I20" s="77">
        <f t="shared" si="2"/>
        <v>10.707999999999998</v>
      </c>
      <c r="J20" s="77">
        <f t="shared" si="0"/>
        <v>16.415999999999997</v>
      </c>
    </row>
    <row r="21" spans="1:10" ht="18.75" customHeight="1">
      <c r="A21" s="78" t="s">
        <v>28</v>
      </c>
      <c r="B21" s="77"/>
      <c r="C21" s="77"/>
      <c r="D21" s="77"/>
      <c r="E21" s="77"/>
      <c r="F21" s="77"/>
      <c r="G21" s="77">
        <v>1</v>
      </c>
      <c r="H21" s="77">
        <f t="shared" ref="H21:H37" si="3">H20-F21-D21+B21</f>
        <v>5.7080000000000002</v>
      </c>
      <c r="I21" s="77">
        <f t="shared" ref="I21:I37" si="4">I20-E21+C21</f>
        <v>10.707999999999998</v>
      </c>
      <c r="J21" s="77">
        <f t="shared" ref="J21:J37" si="5">SUM(H21:I21)</f>
        <v>16.415999999999997</v>
      </c>
    </row>
    <row r="22" spans="1:10" ht="18.75" customHeight="1">
      <c r="A22" s="29" t="s">
        <v>29</v>
      </c>
      <c r="B22" s="77">
        <v>3.75</v>
      </c>
      <c r="C22" s="77">
        <v>3.75</v>
      </c>
      <c r="D22" s="77"/>
      <c r="E22" s="77"/>
      <c r="F22" s="77"/>
      <c r="G22" s="77"/>
      <c r="H22" s="77">
        <f t="shared" si="3"/>
        <v>9.4580000000000002</v>
      </c>
      <c r="I22" s="77">
        <f t="shared" si="4"/>
        <v>14.457999999999998</v>
      </c>
      <c r="J22" s="77">
        <f t="shared" si="5"/>
        <v>23.915999999999997</v>
      </c>
    </row>
    <row r="23" spans="1:10" ht="18.75" customHeight="1">
      <c r="A23" s="29" t="s">
        <v>30</v>
      </c>
      <c r="B23" s="77"/>
      <c r="C23" s="77"/>
      <c r="D23" s="77"/>
      <c r="E23" s="77"/>
      <c r="F23" s="77"/>
      <c r="G23" s="77">
        <v>1</v>
      </c>
      <c r="H23" s="77">
        <f t="shared" si="3"/>
        <v>9.4580000000000002</v>
      </c>
      <c r="I23" s="77">
        <f t="shared" si="4"/>
        <v>14.457999999999998</v>
      </c>
      <c r="J23" s="77">
        <f t="shared" si="5"/>
        <v>23.915999999999997</v>
      </c>
    </row>
    <row r="24" spans="1:10" ht="18.75" customHeight="1">
      <c r="A24" s="29" t="s">
        <v>31</v>
      </c>
      <c r="B24" s="77">
        <v>2.5</v>
      </c>
      <c r="C24" s="77">
        <v>2.5</v>
      </c>
      <c r="D24" s="77"/>
      <c r="E24" s="77"/>
      <c r="F24" s="77"/>
      <c r="G24" s="77"/>
      <c r="H24" s="77">
        <f t="shared" si="3"/>
        <v>11.958</v>
      </c>
      <c r="I24" s="77">
        <f t="shared" si="4"/>
        <v>16.957999999999998</v>
      </c>
      <c r="J24" s="77">
        <f t="shared" si="5"/>
        <v>28.915999999999997</v>
      </c>
    </row>
    <row r="25" spans="1:10" ht="18.75" customHeight="1">
      <c r="A25" s="29" t="s">
        <v>32</v>
      </c>
      <c r="B25" s="77"/>
      <c r="C25" s="77"/>
      <c r="D25" s="77"/>
      <c r="E25" s="77"/>
      <c r="F25" s="77"/>
      <c r="G25" s="77">
        <v>1</v>
      </c>
      <c r="H25" s="77">
        <f t="shared" si="3"/>
        <v>11.958</v>
      </c>
      <c r="I25" s="77">
        <f t="shared" si="4"/>
        <v>16.957999999999998</v>
      </c>
      <c r="J25" s="77">
        <f t="shared" si="5"/>
        <v>28.915999999999997</v>
      </c>
    </row>
    <row r="26" spans="1:10" ht="18.75" customHeight="1">
      <c r="A26" s="29" t="s">
        <v>33</v>
      </c>
      <c r="B26" s="77"/>
      <c r="C26" s="77"/>
      <c r="D26" s="77"/>
      <c r="E26" s="77"/>
      <c r="F26" s="77">
        <v>1</v>
      </c>
      <c r="G26" s="77"/>
      <c r="H26" s="77">
        <f t="shared" si="3"/>
        <v>10.958</v>
      </c>
      <c r="I26" s="77">
        <f t="shared" si="4"/>
        <v>16.957999999999998</v>
      </c>
      <c r="J26" s="77">
        <f t="shared" si="5"/>
        <v>27.915999999999997</v>
      </c>
    </row>
    <row r="27" spans="1:10" ht="18.75" customHeight="1">
      <c r="A27" s="29" t="s">
        <v>34</v>
      </c>
      <c r="B27" s="77">
        <v>2.5</v>
      </c>
      <c r="C27" s="77">
        <v>2.5</v>
      </c>
      <c r="D27" s="77"/>
      <c r="E27" s="77"/>
      <c r="F27" s="77"/>
      <c r="G27" s="77"/>
      <c r="H27" s="77">
        <f t="shared" si="3"/>
        <v>13.458</v>
      </c>
      <c r="I27" s="77">
        <f t="shared" si="4"/>
        <v>19.457999999999998</v>
      </c>
      <c r="J27" s="77">
        <f t="shared" si="5"/>
        <v>32.915999999999997</v>
      </c>
    </row>
    <row r="28" spans="1:10" ht="18.75" customHeight="1">
      <c r="A28" s="29" t="s">
        <v>35</v>
      </c>
      <c r="B28" s="77"/>
      <c r="C28" s="77"/>
      <c r="D28" s="77"/>
      <c r="E28" s="77"/>
      <c r="F28" s="77">
        <v>1</v>
      </c>
      <c r="G28" s="77"/>
      <c r="H28" s="77">
        <f t="shared" si="3"/>
        <v>12.458</v>
      </c>
      <c r="I28" s="77">
        <f t="shared" si="4"/>
        <v>19.457999999999998</v>
      </c>
      <c r="J28" s="77">
        <f t="shared" si="5"/>
        <v>31.915999999999997</v>
      </c>
    </row>
    <row r="29" spans="1:10" ht="18.75" customHeight="1">
      <c r="A29" s="29" t="s">
        <v>36</v>
      </c>
      <c r="B29" s="77"/>
      <c r="C29" s="77"/>
      <c r="D29" s="77">
        <v>7</v>
      </c>
      <c r="E29" s="77">
        <v>14</v>
      </c>
      <c r="F29" s="77"/>
      <c r="G29" s="77"/>
      <c r="H29" s="77">
        <f t="shared" si="3"/>
        <v>5.4580000000000002</v>
      </c>
      <c r="I29" s="77">
        <f t="shared" si="4"/>
        <v>5.4579999999999984</v>
      </c>
      <c r="J29" s="77">
        <f t="shared" si="5"/>
        <v>10.915999999999999</v>
      </c>
    </row>
    <row r="30" spans="1:10" ht="18.75" customHeight="1">
      <c r="A30" s="29" t="s">
        <v>37</v>
      </c>
      <c r="B30" s="77">
        <v>1.25</v>
      </c>
      <c r="C30" s="77">
        <v>1.25</v>
      </c>
      <c r="D30" s="77"/>
      <c r="E30" s="77"/>
      <c r="F30" s="77"/>
      <c r="G30" s="77"/>
      <c r="H30" s="77">
        <f t="shared" si="3"/>
        <v>6.7080000000000002</v>
      </c>
      <c r="I30" s="77">
        <f t="shared" si="4"/>
        <v>6.7079999999999984</v>
      </c>
      <c r="J30" s="77">
        <f t="shared" si="5"/>
        <v>13.415999999999999</v>
      </c>
    </row>
    <row r="31" spans="1:10" ht="18.75" customHeight="1">
      <c r="A31" s="29" t="s">
        <v>38</v>
      </c>
      <c r="B31" s="77"/>
      <c r="C31" s="77"/>
      <c r="D31" s="77"/>
      <c r="E31" s="77"/>
      <c r="F31" s="77">
        <v>1</v>
      </c>
      <c r="G31" s="77"/>
      <c r="H31" s="77">
        <f t="shared" si="3"/>
        <v>5.7080000000000002</v>
      </c>
      <c r="I31" s="77">
        <f t="shared" si="4"/>
        <v>6.7079999999999984</v>
      </c>
      <c r="J31" s="77">
        <f t="shared" si="5"/>
        <v>12.415999999999999</v>
      </c>
    </row>
    <row r="32" spans="1:10" ht="18.75" customHeight="1">
      <c r="A32" s="29" t="s">
        <v>39</v>
      </c>
      <c r="B32" s="77">
        <v>2.5</v>
      </c>
      <c r="C32" s="77">
        <v>2.5</v>
      </c>
      <c r="D32" s="77"/>
      <c r="E32" s="77"/>
      <c r="F32" s="77"/>
      <c r="G32" s="77"/>
      <c r="H32" s="77">
        <f t="shared" si="3"/>
        <v>8.2080000000000002</v>
      </c>
      <c r="I32" s="77">
        <f t="shared" si="4"/>
        <v>9.2079999999999984</v>
      </c>
      <c r="J32" s="77">
        <f t="shared" si="5"/>
        <v>17.415999999999997</v>
      </c>
    </row>
    <row r="33" spans="1:11" ht="18.75" customHeight="1">
      <c r="A33" s="29" t="s">
        <v>40</v>
      </c>
      <c r="B33" s="77"/>
      <c r="C33" s="77"/>
      <c r="D33" s="77"/>
      <c r="E33" s="77"/>
      <c r="F33" s="77">
        <v>1</v>
      </c>
      <c r="G33" s="77"/>
      <c r="H33" s="77">
        <f t="shared" si="3"/>
        <v>7.2080000000000002</v>
      </c>
      <c r="I33" s="77">
        <f t="shared" si="4"/>
        <v>9.2079999999999984</v>
      </c>
      <c r="J33" s="77">
        <f t="shared" si="5"/>
        <v>16.415999999999997</v>
      </c>
    </row>
    <row r="34" spans="1:11" ht="18.75" customHeight="1">
      <c r="A34" s="29" t="s">
        <v>41</v>
      </c>
      <c r="B34" s="77"/>
      <c r="C34" s="77"/>
      <c r="D34" s="77"/>
      <c r="E34" s="77"/>
      <c r="F34" s="77">
        <v>1</v>
      </c>
      <c r="G34" s="77"/>
      <c r="H34" s="77">
        <f t="shared" si="3"/>
        <v>6.2080000000000002</v>
      </c>
      <c r="I34" s="77">
        <f t="shared" si="4"/>
        <v>9.2079999999999984</v>
      </c>
      <c r="J34" s="77">
        <f t="shared" si="5"/>
        <v>15.415999999999999</v>
      </c>
    </row>
    <row r="35" spans="1:11" ht="18.75" customHeight="1">
      <c r="A35" s="29" t="s">
        <v>42</v>
      </c>
      <c r="B35" s="77">
        <v>1.25</v>
      </c>
      <c r="C35" s="77">
        <v>1.25</v>
      </c>
      <c r="D35" s="77"/>
      <c r="E35" s="77"/>
      <c r="F35" s="77"/>
      <c r="G35" s="77"/>
      <c r="H35" s="77">
        <f t="shared" si="3"/>
        <v>7.4580000000000002</v>
      </c>
      <c r="I35" s="77">
        <f t="shared" si="4"/>
        <v>10.457999999999998</v>
      </c>
      <c r="J35" s="77">
        <f t="shared" si="5"/>
        <v>17.915999999999997</v>
      </c>
    </row>
    <row r="36" spans="1:11" ht="18.75" customHeight="1">
      <c r="A36" s="29" t="s">
        <v>43</v>
      </c>
      <c r="B36" s="77"/>
      <c r="C36" s="77"/>
      <c r="D36" s="77"/>
      <c r="E36" s="77"/>
      <c r="F36" s="77"/>
      <c r="G36" s="77">
        <v>1</v>
      </c>
      <c r="H36" s="77">
        <f t="shared" si="3"/>
        <v>7.4580000000000002</v>
      </c>
      <c r="I36" s="77">
        <f t="shared" si="4"/>
        <v>10.457999999999998</v>
      </c>
      <c r="J36" s="77">
        <f t="shared" si="5"/>
        <v>17.915999999999997</v>
      </c>
    </row>
    <row r="37" spans="1:11" ht="18.75" customHeight="1">
      <c r="A37" s="29" t="s">
        <v>44</v>
      </c>
      <c r="B37" s="77">
        <v>1</v>
      </c>
      <c r="C37" s="77"/>
      <c r="D37" s="77"/>
      <c r="E37" s="77"/>
      <c r="F37" s="77"/>
      <c r="G37" s="77"/>
      <c r="H37" s="77">
        <f t="shared" si="3"/>
        <v>8.4580000000000002</v>
      </c>
      <c r="I37" s="77">
        <f t="shared" si="4"/>
        <v>10.457999999999998</v>
      </c>
      <c r="J37" s="77">
        <f t="shared" si="5"/>
        <v>18.915999999999997</v>
      </c>
    </row>
    <row r="38" spans="1:11" ht="18.75" customHeight="1">
      <c r="A38" s="29" t="s">
        <v>45</v>
      </c>
      <c r="B38" s="77">
        <v>7.5</v>
      </c>
      <c r="C38" s="77">
        <v>7.5</v>
      </c>
      <c r="D38" s="77"/>
      <c r="E38" s="77"/>
      <c r="F38" s="77"/>
      <c r="G38" s="77"/>
      <c r="H38" s="77">
        <f t="shared" ref="H38" si="6">H37-F38-D38+B38</f>
        <v>15.958</v>
      </c>
      <c r="I38" s="77">
        <f t="shared" ref="I38" si="7">I37-E38+C38</f>
        <v>17.957999999999998</v>
      </c>
      <c r="J38" s="77">
        <f t="shared" ref="J38" si="8">SUM(H38:I38)</f>
        <v>33.915999999999997</v>
      </c>
    </row>
    <row r="39" spans="1:11" ht="18.75" customHeight="1">
      <c r="A39" s="29" t="s">
        <v>46</v>
      </c>
      <c r="B39" s="79"/>
      <c r="C39" s="79"/>
      <c r="D39" s="79"/>
      <c r="E39" s="79"/>
      <c r="F39" s="79"/>
      <c r="G39" s="79">
        <v>2</v>
      </c>
      <c r="H39" s="77">
        <f t="shared" ref="H39" si="9">H38-F39-D39+B39</f>
        <v>15.958</v>
      </c>
      <c r="I39" s="77">
        <f t="shared" ref="I39" si="10">I38-E39+C39</f>
        <v>17.957999999999998</v>
      </c>
      <c r="J39" s="77">
        <f t="shared" ref="J39" si="11">SUM(H39:I39)</f>
        <v>33.915999999999997</v>
      </c>
    </row>
    <row r="40" spans="1:11">
      <c r="A40" s="29" t="s">
        <v>47</v>
      </c>
      <c r="B40" s="14">
        <v>2.5</v>
      </c>
      <c r="C40" s="14">
        <v>2.5</v>
      </c>
      <c r="D40" s="13"/>
      <c r="E40" s="13"/>
      <c r="F40" s="13"/>
      <c r="G40" s="13"/>
      <c r="H40" s="77">
        <f t="shared" ref="H40" si="12">H39-F40-D40+B40</f>
        <v>18.457999999999998</v>
      </c>
      <c r="I40" s="77">
        <f t="shared" ref="I40" si="13">I39-E40+C40</f>
        <v>20.457999999999998</v>
      </c>
      <c r="J40" s="77">
        <f t="shared" ref="J40" si="14">SUM(H40:I40)</f>
        <v>38.915999999999997</v>
      </c>
    </row>
    <row r="41" spans="1:11">
      <c r="A41" s="15" t="s">
        <v>48</v>
      </c>
      <c r="B41" s="13"/>
      <c r="C41" s="13"/>
      <c r="D41" s="14">
        <v>13</v>
      </c>
      <c r="E41" s="14">
        <v>5</v>
      </c>
      <c r="F41" s="13"/>
      <c r="G41" s="13"/>
      <c r="H41" s="77">
        <f t="shared" ref="H41" si="15">H40-F41-D41+B41</f>
        <v>5.4579999999999984</v>
      </c>
      <c r="I41" s="77">
        <f t="shared" ref="I41" si="16">I40-E41+C41</f>
        <v>15.457999999999998</v>
      </c>
      <c r="J41" s="77">
        <f t="shared" ref="J41" si="17">SUM(H41:I41)</f>
        <v>20.915999999999997</v>
      </c>
    </row>
    <row r="42" spans="1:11">
      <c r="A42" s="15" t="s">
        <v>49</v>
      </c>
      <c r="B42" s="14">
        <v>2.5</v>
      </c>
      <c r="C42" s="14">
        <v>2.5</v>
      </c>
      <c r="D42" s="14"/>
      <c r="E42" s="14"/>
      <c r="F42" s="14"/>
      <c r="G42" s="14"/>
      <c r="H42" s="77">
        <f t="shared" ref="H42:H43" si="18">H41-F42-D42+B42</f>
        <v>7.9579999999999984</v>
      </c>
      <c r="I42" s="77">
        <f t="shared" ref="I42:I43" si="19">I41-E42+C42</f>
        <v>17.957999999999998</v>
      </c>
      <c r="J42" s="77">
        <f t="shared" ref="J42:J43" si="20">SUM(H42:I42)</f>
        <v>25.915999999999997</v>
      </c>
      <c r="K42" s="18"/>
    </row>
    <row r="43" spans="1:11">
      <c r="A43" s="15" t="s">
        <v>50</v>
      </c>
      <c r="B43" s="14"/>
      <c r="C43" s="14"/>
      <c r="D43" s="14"/>
      <c r="E43" s="14"/>
      <c r="F43" s="14">
        <v>5</v>
      </c>
      <c r="G43" s="14"/>
      <c r="H43" s="77">
        <f t="shared" si="18"/>
        <v>2.9579999999999984</v>
      </c>
      <c r="I43" s="77">
        <f t="shared" si="19"/>
        <v>17.957999999999998</v>
      </c>
      <c r="J43" s="77">
        <f t="shared" si="20"/>
        <v>20.915999999999997</v>
      </c>
      <c r="K43" s="18"/>
    </row>
    <row r="44" spans="1:11">
      <c r="A44" s="15" t="s">
        <v>51</v>
      </c>
      <c r="B44" s="14"/>
      <c r="C44" s="14"/>
      <c r="D44" s="14"/>
      <c r="E44" s="14">
        <v>5</v>
      </c>
      <c r="F44" s="14"/>
      <c r="G44" s="14"/>
      <c r="H44" s="77">
        <f t="shared" ref="H44" si="21">H43-F44-D44+B44</f>
        <v>2.9579999999999984</v>
      </c>
      <c r="I44" s="77">
        <f t="shared" ref="I44" si="22">I43-E44+C44</f>
        <v>12.957999999999998</v>
      </c>
      <c r="J44" s="77">
        <f t="shared" ref="J44" si="23">SUM(H44:I44)</f>
        <v>15.915999999999997</v>
      </c>
      <c r="K44" s="18"/>
    </row>
    <row r="45" spans="1:11">
      <c r="A45" s="15" t="s">
        <v>52</v>
      </c>
      <c r="B45" s="14">
        <v>1.25</v>
      </c>
      <c r="C45" s="14">
        <v>1.25</v>
      </c>
      <c r="D45" s="14"/>
      <c r="E45" s="14"/>
      <c r="F45" s="14"/>
      <c r="G45" s="14"/>
      <c r="H45" s="77">
        <f t="shared" ref="H45" si="24">H44-F45-D45+B45</f>
        <v>4.2079999999999984</v>
      </c>
      <c r="I45" s="77">
        <f t="shared" ref="I45" si="25">I44-E45+C45</f>
        <v>14.207999999999998</v>
      </c>
      <c r="J45" s="77">
        <f t="shared" ref="J45" si="26">SUM(H45:I45)</f>
        <v>18.415999999999997</v>
      </c>
      <c r="K45" s="18"/>
    </row>
    <row r="46" spans="1:11">
      <c r="A46" s="15" t="s">
        <v>53</v>
      </c>
      <c r="B46" s="14">
        <v>2</v>
      </c>
      <c r="C46" s="14"/>
      <c r="D46" s="14"/>
      <c r="E46" s="14"/>
      <c r="F46" s="14"/>
      <c r="G46" s="14"/>
      <c r="H46" s="77">
        <f t="shared" ref="H46" si="27">H45-F46-D46+B46</f>
        <v>6.2079999999999984</v>
      </c>
      <c r="I46" s="77">
        <f t="shared" ref="I46" si="28">I45-E46+C46</f>
        <v>14.207999999999998</v>
      </c>
      <c r="J46" s="77">
        <f t="shared" ref="J46" si="29">SUM(H46:I46)</f>
        <v>20.415999999999997</v>
      </c>
      <c r="K46" s="18"/>
    </row>
    <row r="47" spans="1:11">
      <c r="A47" s="15" t="s">
        <v>54</v>
      </c>
      <c r="B47" s="14">
        <v>1.25</v>
      </c>
      <c r="C47" s="14">
        <v>1.25</v>
      </c>
      <c r="D47" s="14"/>
      <c r="E47" s="14"/>
      <c r="F47" s="14"/>
      <c r="G47" s="14"/>
      <c r="H47" s="77">
        <f t="shared" ref="H47:H49" si="30">H46-F47-D47+B47</f>
        <v>7.4579999999999984</v>
      </c>
      <c r="I47" s="77">
        <f t="shared" ref="I47:I49" si="31">I46-E47+C47</f>
        <v>15.457999999999998</v>
      </c>
      <c r="J47" s="80">
        <f t="shared" ref="J47:J49" si="32">SUM(H47:I47)</f>
        <v>22.915999999999997</v>
      </c>
      <c r="K47" s="18"/>
    </row>
    <row r="48" spans="1:11">
      <c r="A48" s="15" t="s">
        <v>55</v>
      </c>
      <c r="B48" s="14">
        <v>1.25</v>
      </c>
      <c r="C48" s="14">
        <v>1.25</v>
      </c>
      <c r="D48" s="14"/>
      <c r="E48" s="14"/>
      <c r="F48" s="14"/>
      <c r="G48" s="14"/>
      <c r="H48" s="77">
        <f t="shared" si="30"/>
        <v>8.7079999999999984</v>
      </c>
      <c r="I48" s="77">
        <f t="shared" si="31"/>
        <v>16.707999999999998</v>
      </c>
      <c r="J48" s="80">
        <f t="shared" si="32"/>
        <v>25.415999999999997</v>
      </c>
      <c r="K48" s="18"/>
    </row>
    <row r="49" spans="1:11">
      <c r="A49" s="15" t="s">
        <v>56</v>
      </c>
      <c r="B49" s="14">
        <v>2</v>
      </c>
      <c r="C49" s="14"/>
      <c r="D49" s="14"/>
      <c r="E49" s="14"/>
      <c r="F49" s="14"/>
      <c r="G49" s="14"/>
      <c r="H49" s="77">
        <f t="shared" si="30"/>
        <v>10.707999999999998</v>
      </c>
      <c r="I49" s="77">
        <f t="shared" si="31"/>
        <v>16.707999999999998</v>
      </c>
      <c r="J49" s="80">
        <f t="shared" si="32"/>
        <v>27.415999999999997</v>
      </c>
      <c r="K49" s="18"/>
    </row>
    <row r="50" spans="1:11">
      <c r="A50" s="15" t="s">
        <v>57</v>
      </c>
      <c r="B50" s="14">
        <v>5</v>
      </c>
      <c r="C50" s="14">
        <v>5</v>
      </c>
      <c r="D50" s="14"/>
      <c r="E50" s="14"/>
      <c r="F50" s="14"/>
      <c r="G50" s="14"/>
      <c r="H50" s="77">
        <f t="shared" ref="H50:H51" si="33">H49-F50-D50+B50</f>
        <v>15.707999999999998</v>
      </c>
      <c r="I50" s="77">
        <f t="shared" ref="I50:I51" si="34">I49-E50+C50</f>
        <v>21.707999999999998</v>
      </c>
      <c r="J50" s="80">
        <f t="shared" ref="J50:J51" si="35">SUM(H50:I50)</f>
        <v>37.415999999999997</v>
      </c>
      <c r="K50" s="18"/>
    </row>
    <row r="51" spans="1:11">
      <c r="A51" s="15" t="s">
        <v>58</v>
      </c>
      <c r="B51" s="14"/>
      <c r="C51" s="14"/>
      <c r="D51" s="14"/>
      <c r="E51" s="14"/>
      <c r="F51" s="14"/>
      <c r="G51" s="14">
        <v>2</v>
      </c>
      <c r="H51" s="77">
        <f t="shared" si="33"/>
        <v>15.707999999999998</v>
      </c>
      <c r="I51" s="77">
        <f t="shared" si="34"/>
        <v>21.707999999999998</v>
      </c>
      <c r="J51" s="80">
        <f t="shared" si="35"/>
        <v>37.415999999999997</v>
      </c>
      <c r="K51" s="18"/>
    </row>
    <row r="52" spans="1:11">
      <c r="A52" s="29" t="s">
        <v>59</v>
      </c>
      <c r="B52" s="14">
        <v>2.5</v>
      </c>
      <c r="C52" s="14">
        <v>2.5</v>
      </c>
      <c r="D52" s="14"/>
      <c r="E52" s="14"/>
      <c r="F52" s="14"/>
      <c r="G52" s="14"/>
      <c r="H52" s="77">
        <f t="shared" ref="H52" si="36">H51-F52-D52+B52</f>
        <v>18.207999999999998</v>
      </c>
      <c r="I52" s="77">
        <f t="shared" ref="I52" si="37">I51-E52+C52</f>
        <v>24.207999999999998</v>
      </c>
      <c r="J52" s="80">
        <f t="shared" ref="J52" si="38">SUM(H52:I52)</f>
        <v>42.415999999999997</v>
      </c>
      <c r="K52" s="18"/>
    </row>
    <row r="53" spans="1:11" ht="45">
      <c r="A53" s="81" t="s">
        <v>60</v>
      </c>
      <c r="B53" s="14">
        <v>4.3479999999999999</v>
      </c>
      <c r="C53" s="14">
        <v>4.3479999999999999</v>
      </c>
      <c r="D53" s="14"/>
      <c r="E53" s="14"/>
      <c r="F53" s="14"/>
      <c r="G53" s="14"/>
      <c r="H53" s="80">
        <f t="shared" ref="H53" si="39">H52-F53-D53+B53</f>
        <v>22.555999999999997</v>
      </c>
      <c r="I53" s="80">
        <f t="shared" ref="I53" si="40">I52-E53+C53</f>
        <v>28.555999999999997</v>
      </c>
      <c r="J53" s="80">
        <f t="shared" ref="J53" si="41">SUM(H53:I53)</f>
        <v>51.111999999999995</v>
      </c>
      <c r="K53" s="18"/>
    </row>
    <row r="54" spans="1:11" ht="19.5" customHeight="1">
      <c r="A54" s="29" t="s">
        <v>61</v>
      </c>
      <c r="B54" s="14"/>
      <c r="C54" s="14"/>
      <c r="D54" s="14">
        <v>17</v>
      </c>
      <c r="E54" s="14"/>
      <c r="F54" s="14"/>
      <c r="G54" s="14"/>
      <c r="H54" s="80">
        <f t="shared" ref="H54" si="42">H53-F54-D54+B54</f>
        <v>5.5559999999999974</v>
      </c>
      <c r="I54" s="80">
        <f t="shared" ref="I54" si="43">I53-E54+C54</f>
        <v>28.555999999999997</v>
      </c>
      <c r="J54" s="80">
        <f t="shared" ref="J54" si="44">SUM(H54:I54)</f>
        <v>34.111999999999995</v>
      </c>
      <c r="K54" s="18"/>
    </row>
    <row r="55" spans="1:11" ht="19.5" customHeight="1">
      <c r="A55" s="29" t="s">
        <v>62</v>
      </c>
      <c r="B55" s="14">
        <v>3.75</v>
      </c>
      <c r="C55" s="14">
        <v>3.75</v>
      </c>
      <c r="D55" s="14"/>
      <c r="E55" s="14"/>
      <c r="F55" s="14"/>
      <c r="G55" s="14"/>
      <c r="H55" s="80">
        <f t="shared" ref="H55:H56" si="45">H54-F55-D55+B55</f>
        <v>9.3059999999999974</v>
      </c>
      <c r="I55" s="80">
        <f t="shared" ref="I55:I56" si="46">I54-E55+C55</f>
        <v>32.305999999999997</v>
      </c>
      <c r="J55" s="80">
        <f t="shared" ref="J55:J56" si="47">SUM(H55:I55)</f>
        <v>41.611999999999995</v>
      </c>
      <c r="K55" s="18"/>
    </row>
    <row r="56" spans="1:11" ht="19.5" customHeight="1">
      <c r="A56" s="29" t="s">
        <v>63</v>
      </c>
      <c r="B56" s="14"/>
      <c r="C56" s="14"/>
      <c r="D56" s="14"/>
      <c r="E56" s="14"/>
      <c r="F56" s="14">
        <v>5</v>
      </c>
      <c r="G56" s="14"/>
      <c r="H56" s="80">
        <f t="shared" si="45"/>
        <v>4.3059999999999974</v>
      </c>
      <c r="I56" s="80">
        <f t="shared" si="46"/>
        <v>32.305999999999997</v>
      </c>
      <c r="J56" s="80">
        <f t="shared" si="47"/>
        <v>36.611999999999995</v>
      </c>
      <c r="K56" s="18"/>
    </row>
    <row r="57" spans="1:11" ht="19.5" customHeight="1">
      <c r="A57" s="29" t="s">
        <v>64</v>
      </c>
      <c r="B57" s="14">
        <v>1.25</v>
      </c>
      <c r="C57" s="14">
        <v>1.25</v>
      </c>
      <c r="D57" s="14"/>
      <c r="E57" s="14"/>
      <c r="F57" s="14"/>
      <c r="G57" s="14"/>
      <c r="H57" s="80">
        <f t="shared" ref="H57:H58" si="48">H56-F57-D57+B57</f>
        <v>5.5559999999999974</v>
      </c>
      <c r="I57" s="80">
        <f t="shared" ref="I57:I58" si="49">I56-E57+C57</f>
        <v>33.555999999999997</v>
      </c>
      <c r="J57" s="80">
        <f t="shared" ref="J57:J58" si="50">SUM(H57:I57)</f>
        <v>39.111999999999995</v>
      </c>
      <c r="K57" s="18"/>
    </row>
    <row r="58" spans="1:11" ht="19.5" customHeight="1">
      <c r="A58" s="29" t="s">
        <v>65</v>
      </c>
      <c r="B58" s="14"/>
      <c r="C58" s="14"/>
      <c r="D58" s="14"/>
      <c r="E58" s="14"/>
      <c r="F58" s="14"/>
      <c r="G58" s="14">
        <v>1</v>
      </c>
      <c r="H58" s="80">
        <f t="shared" si="48"/>
        <v>5.5559999999999974</v>
      </c>
      <c r="I58" s="80">
        <f t="shared" si="49"/>
        <v>33.555999999999997</v>
      </c>
      <c r="J58" s="80">
        <f t="shared" si="50"/>
        <v>39.111999999999995</v>
      </c>
      <c r="K58" s="18"/>
    </row>
    <row r="59" spans="1:11" ht="19.5" customHeight="1">
      <c r="A59" s="29" t="s">
        <v>66</v>
      </c>
      <c r="B59" s="14">
        <v>1.25</v>
      </c>
      <c r="C59" s="14">
        <v>1.25</v>
      </c>
      <c r="D59" s="14"/>
      <c r="E59" s="14"/>
      <c r="F59" s="14"/>
      <c r="G59" s="14"/>
      <c r="H59" s="80">
        <f t="shared" ref="H59:H60" si="51">H58-F59-D59+B59</f>
        <v>6.8059999999999974</v>
      </c>
      <c r="I59" s="80">
        <f t="shared" ref="I59:I60" si="52">I58-E59+C59</f>
        <v>34.805999999999997</v>
      </c>
      <c r="J59" s="80">
        <f t="shared" ref="J59:J60" si="53">SUM(H59:I59)</f>
        <v>41.611999999999995</v>
      </c>
      <c r="K59" s="18"/>
    </row>
    <row r="60" spans="1:11" ht="19.5" customHeight="1">
      <c r="A60" s="29" t="s">
        <v>67</v>
      </c>
      <c r="B60" s="14"/>
      <c r="C60" s="14"/>
      <c r="D60" s="14"/>
      <c r="E60" s="14">
        <v>1</v>
      </c>
      <c r="F60" s="14"/>
      <c r="G60" s="14"/>
      <c r="H60" s="80">
        <f t="shared" si="51"/>
        <v>6.8059999999999974</v>
      </c>
      <c r="I60" s="80">
        <f t="shared" si="52"/>
        <v>33.805999999999997</v>
      </c>
      <c r="J60" s="80">
        <f t="shared" si="53"/>
        <v>40.611999999999995</v>
      </c>
      <c r="K60" s="18"/>
    </row>
    <row r="61" spans="1:11" ht="19.5" customHeight="1">
      <c r="A61" s="29" t="s">
        <v>68</v>
      </c>
      <c r="B61" s="14"/>
      <c r="C61" s="14"/>
      <c r="D61" s="14"/>
      <c r="E61" s="14"/>
      <c r="F61" s="14"/>
      <c r="G61" s="23">
        <v>1</v>
      </c>
      <c r="H61" s="80">
        <f t="shared" ref="H61" si="54">H60-F61-D61+B61</f>
        <v>6.8059999999999974</v>
      </c>
      <c r="I61" s="80">
        <f t="shared" ref="I61" si="55">I60-E61+C61</f>
        <v>33.805999999999997</v>
      </c>
      <c r="J61" s="80">
        <f t="shared" ref="J61" si="56">SUM(H61:I61)</f>
        <v>40.611999999999995</v>
      </c>
      <c r="K61" s="18"/>
    </row>
    <row r="62" spans="1:11" ht="19.5" customHeight="1">
      <c r="A62" s="29" t="s">
        <v>69</v>
      </c>
      <c r="B62" s="14">
        <v>2.5</v>
      </c>
      <c r="C62" s="14">
        <v>2.5</v>
      </c>
      <c r="D62" s="14"/>
      <c r="E62" s="14"/>
      <c r="F62" s="14"/>
      <c r="G62" s="14"/>
      <c r="H62" s="80">
        <f t="shared" ref="H62:H63" si="57">H61-F62-D62+B62</f>
        <v>9.3059999999999974</v>
      </c>
      <c r="I62" s="80">
        <f t="shared" ref="I62:I63" si="58">I61-E62+C62</f>
        <v>36.305999999999997</v>
      </c>
      <c r="J62" s="80">
        <f t="shared" ref="J62:J63" si="59">SUM(H62:I62)</f>
        <v>45.611999999999995</v>
      </c>
      <c r="K62" s="18"/>
    </row>
    <row r="63" spans="1:11" ht="19.5" customHeight="1">
      <c r="A63" s="29" t="s">
        <v>70</v>
      </c>
      <c r="B63" s="14"/>
      <c r="C63" s="14"/>
      <c r="D63" s="14"/>
      <c r="E63" s="14"/>
      <c r="F63" s="14"/>
      <c r="G63" s="23">
        <v>2</v>
      </c>
      <c r="H63" s="80">
        <f t="shared" si="57"/>
        <v>9.3059999999999974</v>
      </c>
      <c r="I63" s="80">
        <f t="shared" si="58"/>
        <v>36.305999999999997</v>
      </c>
      <c r="J63" s="80">
        <f t="shared" si="59"/>
        <v>45.611999999999995</v>
      </c>
      <c r="K63" s="18"/>
    </row>
    <row r="64" spans="1:11" ht="19.5" customHeight="1">
      <c r="A64" s="29" t="s">
        <v>71</v>
      </c>
      <c r="B64" s="14"/>
      <c r="C64" s="14"/>
      <c r="D64" s="14"/>
      <c r="E64" s="14">
        <v>2</v>
      </c>
      <c r="F64" s="14"/>
      <c r="G64" s="14"/>
      <c r="H64" s="80">
        <f t="shared" ref="H64" si="60">H63-F64-D64+B64</f>
        <v>9.3059999999999974</v>
      </c>
      <c r="I64" s="80">
        <f t="shared" ref="I64" si="61">I63-E64+C64</f>
        <v>34.305999999999997</v>
      </c>
      <c r="J64" s="80">
        <f t="shared" ref="J64" si="62">SUM(H64:I64)</f>
        <v>43.611999999999995</v>
      </c>
      <c r="K64" s="18"/>
    </row>
    <row r="65" spans="1:11" ht="19.5" customHeight="1">
      <c r="A65" s="29" t="s">
        <v>72</v>
      </c>
      <c r="B65" s="14">
        <v>1.25</v>
      </c>
      <c r="C65" s="14">
        <v>1.25</v>
      </c>
      <c r="D65" s="14"/>
      <c r="E65" s="14"/>
      <c r="F65" s="14"/>
      <c r="G65" s="14"/>
      <c r="H65" s="80">
        <f t="shared" ref="H65:H66" si="63">H64-F65-D65+B65</f>
        <v>10.555999999999997</v>
      </c>
      <c r="I65" s="80">
        <f t="shared" ref="I65:I66" si="64">I64-E65+C65</f>
        <v>35.555999999999997</v>
      </c>
      <c r="J65" s="80">
        <f t="shared" ref="J65:J66" si="65">SUM(H65:I65)</f>
        <v>46.111999999999995</v>
      </c>
      <c r="K65" s="18"/>
    </row>
    <row r="66" spans="1:11" ht="19.5" customHeight="1">
      <c r="A66" s="29" t="s">
        <v>73</v>
      </c>
      <c r="B66" s="14"/>
      <c r="C66" s="14"/>
      <c r="D66" s="14"/>
      <c r="E66" s="14">
        <v>1</v>
      </c>
      <c r="F66" s="14"/>
      <c r="G66" s="14"/>
      <c r="H66" s="80">
        <f t="shared" si="63"/>
        <v>10.555999999999997</v>
      </c>
      <c r="I66" s="80">
        <f t="shared" si="64"/>
        <v>34.555999999999997</v>
      </c>
      <c r="J66" s="80">
        <f t="shared" si="65"/>
        <v>45.111999999999995</v>
      </c>
      <c r="K66" s="18"/>
    </row>
    <row r="67" spans="1:11" ht="19.5" customHeight="1">
      <c r="A67" s="29" t="s">
        <v>74</v>
      </c>
      <c r="B67" s="14">
        <v>3.75</v>
      </c>
      <c r="C67" s="14">
        <v>3.75</v>
      </c>
      <c r="D67" s="14"/>
      <c r="E67" s="14"/>
      <c r="F67" s="14"/>
      <c r="G67" s="14"/>
      <c r="H67" s="80">
        <f t="shared" ref="H67:H68" si="66">H66-F67-D67+B67</f>
        <v>14.305999999999997</v>
      </c>
      <c r="I67" s="80">
        <f t="shared" ref="I67:I68" si="67">I66-E67+C67</f>
        <v>38.305999999999997</v>
      </c>
      <c r="J67" s="80">
        <f t="shared" ref="J67:J68" si="68">SUM(H67:I67)</f>
        <v>52.611999999999995</v>
      </c>
      <c r="K67" s="18"/>
    </row>
    <row r="68" spans="1:11" ht="19.5" customHeight="1">
      <c r="A68" s="29" t="s">
        <v>75</v>
      </c>
      <c r="B68" s="14"/>
      <c r="C68" s="14"/>
      <c r="D68" s="14"/>
      <c r="E68" s="14"/>
      <c r="F68" s="28">
        <v>1</v>
      </c>
      <c r="G68" s="14"/>
      <c r="H68" s="80">
        <f t="shared" si="66"/>
        <v>13.305999999999997</v>
      </c>
      <c r="I68" s="80">
        <f t="shared" si="67"/>
        <v>38.305999999999997</v>
      </c>
      <c r="J68" s="80">
        <f t="shared" si="68"/>
        <v>51.611999999999995</v>
      </c>
      <c r="K68" s="18"/>
    </row>
    <row r="69" spans="1:11" ht="19.5" customHeight="1">
      <c r="A69" s="29" t="s">
        <v>76</v>
      </c>
      <c r="B69" s="14">
        <v>2.5</v>
      </c>
      <c r="C69" s="14">
        <v>2.5</v>
      </c>
      <c r="D69" s="14"/>
      <c r="E69" s="14"/>
      <c r="F69" s="14"/>
      <c r="G69" s="14"/>
      <c r="H69" s="80">
        <f t="shared" ref="H69" si="69">H68-F69-D69+B69</f>
        <v>15.805999999999997</v>
      </c>
      <c r="I69" s="80">
        <f t="shared" ref="I69" si="70">I68-E69+C69</f>
        <v>40.805999999999997</v>
      </c>
      <c r="J69" s="80">
        <f t="shared" ref="J69" si="71">SUM(H69:I69)</f>
        <v>56.611999999999995</v>
      </c>
      <c r="K69" s="18"/>
    </row>
    <row r="70" spans="1:11" ht="19.5" customHeight="1">
      <c r="A70" s="29" t="s">
        <v>77</v>
      </c>
      <c r="B70" s="14"/>
      <c r="C70" s="14"/>
      <c r="D70" s="14">
        <v>10</v>
      </c>
      <c r="E70" s="14"/>
      <c r="F70" s="14"/>
      <c r="G70" s="14"/>
      <c r="H70" s="80">
        <f t="shared" ref="H70" si="72">H69-F70-D70+B70</f>
        <v>5.8059999999999974</v>
      </c>
      <c r="I70" s="80">
        <f t="shared" ref="I70" si="73">I69-E70+C70</f>
        <v>40.805999999999997</v>
      </c>
      <c r="J70" s="80">
        <f t="shared" ref="J70" si="74">SUM(H70:I70)</f>
        <v>46.611999999999995</v>
      </c>
      <c r="K70" s="18"/>
    </row>
    <row r="71" spans="1:11" ht="19.5" customHeight="1">
      <c r="A71" s="29" t="s">
        <v>78</v>
      </c>
      <c r="B71" s="14"/>
      <c r="C71" s="14"/>
      <c r="D71" s="14"/>
      <c r="E71" s="14">
        <v>1</v>
      </c>
      <c r="F71" s="14"/>
      <c r="G71" s="14"/>
      <c r="H71" s="80">
        <f t="shared" ref="H71" si="75">H70-F71-D71+B71</f>
        <v>5.8059999999999974</v>
      </c>
      <c r="I71" s="80">
        <f t="shared" ref="I71" si="76">I70-E71+C71</f>
        <v>39.805999999999997</v>
      </c>
      <c r="J71" s="80">
        <f t="shared" ref="J71" si="77">SUM(H71:I71)</f>
        <v>45.611999999999995</v>
      </c>
      <c r="K71" s="18"/>
    </row>
    <row r="72" spans="1:11" ht="19.5" customHeight="1">
      <c r="A72" s="29" t="s">
        <v>79</v>
      </c>
      <c r="B72" s="14"/>
      <c r="C72" s="14"/>
      <c r="D72" s="14"/>
      <c r="E72" s="14">
        <v>1</v>
      </c>
      <c r="F72" s="14"/>
      <c r="G72" s="14"/>
      <c r="H72" s="80">
        <f t="shared" ref="H72" si="78">H71-F72-D72+B72</f>
        <v>5.8059999999999974</v>
      </c>
      <c r="I72" s="80">
        <f t="shared" ref="I72" si="79">I71-E72+C72</f>
        <v>38.805999999999997</v>
      </c>
      <c r="J72" s="80">
        <f t="shared" ref="J72" si="80">SUM(H72:I72)</f>
        <v>44.611999999999995</v>
      </c>
      <c r="K72" s="18"/>
    </row>
    <row r="73" spans="1:11" ht="19.5" customHeight="1">
      <c r="A73" s="14" t="s">
        <v>80</v>
      </c>
      <c r="B73" s="14">
        <v>1</v>
      </c>
      <c r="C73" s="14"/>
      <c r="D73" s="14"/>
      <c r="E73" s="14"/>
      <c r="F73" s="14"/>
      <c r="G73" s="14"/>
      <c r="H73" s="80">
        <f t="shared" ref="H73" si="81">H72-F73-D73+B73</f>
        <v>6.8059999999999974</v>
      </c>
      <c r="I73" s="80">
        <f t="shared" ref="I73" si="82">I72-E73+C73</f>
        <v>38.805999999999997</v>
      </c>
      <c r="J73" s="80">
        <f t="shared" ref="J73" si="83">SUM(H73:I73)</f>
        <v>45.611999999999995</v>
      </c>
      <c r="K73" s="18"/>
    </row>
    <row r="74" spans="1:11" ht="19.5" customHeight="1">
      <c r="A74" s="14" t="s">
        <v>81</v>
      </c>
      <c r="B74" s="14">
        <v>2.5</v>
      </c>
      <c r="C74" s="14">
        <v>2.5</v>
      </c>
      <c r="D74" s="14"/>
      <c r="E74" s="14"/>
      <c r="F74" s="14"/>
      <c r="G74" s="14"/>
      <c r="H74" s="80">
        <f t="shared" ref="H74" si="84">H73-F74-D74+B74</f>
        <v>9.3059999999999974</v>
      </c>
      <c r="I74" s="80">
        <f t="shared" ref="I74" si="85">I73-E74+C74</f>
        <v>41.305999999999997</v>
      </c>
      <c r="J74" s="80">
        <f t="shared" ref="J74" si="86">SUM(H74:I74)</f>
        <v>50.611999999999995</v>
      </c>
      <c r="K74" s="18"/>
    </row>
    <row r="75" spans="1:11" ht="19.5" customHeight="1">
      <c r="A75" s="14" t="s">
        <v>82</v>
      </c>
      <c r="B75" s="14"/>
      <c r="C75" s="14"/>
      <c r="D75" s="14"/>
      <c r="E75" s="14"/>
      <c r="F75" s="28">
        <v>3</v>
      </c>
      <c r="G75" s="14"/>
      <c r="H75" s="80">
        <f t="shared" ref="H75" si="87">H74-F75-D75+B75</f>
        <v>6.3059999999999974</v>
      </c>
      <c r="I75" s="80">
        <f t="shared" ref="I75" si="88">I74-E75+C75</f>
        <v>41.305999999999997</v>
      </c>
      <c r="J75" s="80">
        <f t="shared" ref="J75" si="89">SUM(H75:I75)</f>
        <v>47.611999999999995</v>
      </c>
      <c r="K75" s="18"/>
    </row>
    <row r="76" spans="1:11" ht="19.5" customHeight="1">
      <c r="A76" s="14" t="s">
        <v>83</v>
      </c>
      <c r="B76" s="14">
        <v>1.25</v>
      </c>
      <c r="C76" s="14">
        <v>1.25</v>
      </c>
      <c r="D76" s="14"/>
      <c r="E76" s="14"/>
      <c r="F76" s="14"/>
      <c r="G76" s="14"/>
      <c r="H76" s="80">
        <f t="shared" ref="H76" si="90">H75-F76-D76+B76</f>
        <v>7.5559999999999974</v>
      </c>
      <c r="I76" s="80">
        <f t="shared" ref="I76" si="91">I75-E76+C76</f>
        <v>42.555999999999997</v>
      </c>
      <c r="J76" s="80">
        <f t="shared" ref="J76" si="92">SUM(H76:I76)</f>
        <v>50.111999999999995</v>
      </c>
      <c r="K76" s="18"/>
    </row>
    <row r="77" spans="1:11" ht="19.5" customHeight="1">
      <c r="A77" s="14"/>
      <c r="B77" s="14"/>
      <c r="C77" s="14"/>
      <c r="D77" s="14"/>
      <c r="E77" s="14"/>
      <c r="F77" s="68"/>
      <c r="G77" s="14"/>
      <c r="H77" s="80"/>
      <c r="I77" s="80"/>
      <c r="J77" s="80"/>
      <c r="K77" s="18"/>
    </row>
    <row r="78" spans="1:11" ht="19.5" customHeight="1">
      <c r="A78" s="14"/>
      <c r="B78" s="14"/>
      <c r="C78" s="14"/>
      <c r="D78" s="14"/>
      <c r="E78" s="14"/>
      <c r="F78" s="14"/>
      <c r="G78" s="14"/>
      <c r="H78" s="80"/>
      <c r="I78" s="80"/>
      <c r="J78" s="80"/>
      <c r="K78" s="18"/>
    </row>
    <row r="79" spans="1:11" ht="19.5" customHeight="1">
      <c r="A79" s="24"/>
      <c r="B79" s="24"/>
      <c r="C79" s="24"/>
      <c r="D79" s="24"/>
      <c r="E79" s="24"/>
      <c r="F79" s="24"/>
      <c r="G79" s="24"/>
      <c r="H79" s="82"/>
      <c r="I79" s="82"/>
      <c r="J79" s="82"/>
      <c r="K79" s="18"/>
    </row>
    <row r="80" spans="1:11" ht="19.5" customHeight="1">
      <c r="A80" s="24"/>
      <c r="B80" s="24"/>
      <c r="C80" s="24"/>
      <c r="D80" s="24"/>
      <c r="E80" s="24"/>
      <c r="F80" s="24"/>
      <c r="G80" s="24"/>
      <c r="H80" s="82"/>
      <c r="I80" s="82"/>
      <c r="J80" s="82"/>
      <c r="K80" s="18"/>
    </row>
    <row r="81" spans="1:11">
      <c r="A81" s="18"/>
      <c r="B81" s="24"/>
      <c r="C81" s="24"/>
      <c r="D81" s="24"/>
      <c r="E81" s="24"/>
      <c r="F81" s="24"/>
      <c r="G81" s="24"/>
      <c r="H81" s="83"/>
      <c r="I81" s="83"/>
      <c r="J81" s="82"/>
      <c r="K81" s="18"/>
    </row>
    <row r="82" spans="1:11" s="1" customFormat="1" ht="15.95" customHeight="1">
      <c r="C82" s="16"/>
      <c r="D82" s="16"/>
      <c r="E82" s="16"/>
      <c r="G82" s="16" t="s">
        <v>84</v>
      </c>
      <c r="H82" s="16"/>
      <c r="I82" s="16"/>
      <c r="J82" s="16"/>
      <c r="K82" s="16"/>
    </row>
    <row r="83" spans="1:11" s="1" customFormat="1" ht="15.95" customHeight="1">
      <c r="C83" s="16"/>
      <c r="D83" s="16"/>
      <c r="E83" s="16"/>
      <c r="H83" s="16"/>
      <c r="I83" s="16"/>
      <c r="J83" s="16"/>
      <c r="K83" s="16"/>
    </row>
    <row r="84" spans="1:11" s="1" customFormat="1" ht="15.95" customHeight="1">
      <c r="H84" s="38" t="s">
        <v>85</v>
      </c>
      <c r="I84" s="38"/>
    </row>
    <row r="85" spans="1:11" s="1" customFormat="1" ht="15.95" customHeight="1">
      <c r="H85" s="39" t="s">
        <v>86</v>
      </c>
      <c r="I85" s="39"/>
    </row>
    <row r="86" spans="1:11" s="1" customFormat="1" ht="15.95" customHeight="1">
      <c r="H86" s="39" t="s">
        <v>87</v>
      </c>
      <c r="I86" s="39"/>
    </row>
    <row r="87" spans="1:11">
      <c r="B87" s="3"/>
      <c r="C87" s="3"/>
      <c r="D87" s="3"/>
      <c r="E87" s="3"/>
      <c r="F87" s="3"/>
      <c r="G87" s="3"/>
      <c r="H87" s="3"/>
      <c r="I87" s="3"/>
      <c r="J87" s="3"/>
    </row>
    <row r="88" spans="1:11">
      <c r="B88" s="3"/>
      <c r="C88" s="3"/>
      <c r="D88" s="3"/>
      <c r="E88" s="3"/>
      <c r="F88" s="3"/>
      <c r="G88" s="3"/>
      <c r="H88" s="3"/>
      <c r="I88" s="3"/>
      <c r="J88" s="3"/>
    </row>
    <row r="89" spans="1:11">
      <c r="B89" s="3"/>
      <c r="C89" s="3"/>
      <c r="D89" s="3"/>
      <c r="E89" s="3"/>
      <c r="F89" s="3"/>
      <c r="G89" s="3"/>
      <c r="H89" s="3"/>
      <c r="I89" s="3"/>
      <c r="J89" s="3"/>
    </row>
    <row r="90" spans="1:11">
      <c r="B90" s="3"/>
      <c r="C90" s="3"/>
      <c r="D90" s="3"/>
      <c r="E90" s="3"/>
      <c r="F90" s="3"/>
      <c r="G90" s="3"/>
      <c r="H90" s="3"/>
      <c r="I90" s="3"/>
      <c r="J90" s="3"/>
    </row>
    <row r="91" spans="1:11">
      <c r="B91" s="3"/>
      <c r="C91" s="3"/>
      <c r="D91" s="3"/>
      <c r="E91" s="3"/>
      <c r="F91" s="3"/>
      <c r="G91" s="3"/>
      <c r="H91" s="3"/>
      <c r="I91" s="3"/>
      <c r="J91" s="3"/>
    </row>
    <row r="92" spans="1:11">
      <c r="B92" s="3"/>
      <c r="C92" s="3"/>
      <c r="D92" s="3"/>
      <c r="E92" s="3"/>
      <c r="F92" s="3"/>
      <c r="G92" s="3"/>
      <c r="H92" s="3"/>
      <c r="I92" s="3"/>
      <c r="J92" s="3"/>
    </row>
    <row r="93" spans="1:11">
      <c r="B93" s="3"/>
      <c r="C93" s="3"/>
      <c r="D93" s="3"/>
      <c r="E93" s="3"/>
      <c r="F93" s="3"/>
      <c r="G93" s="3"/>
      <c r="H93" s="3"/>
      <c r="I93" s="3"/>
      <c r="J93" s="3"/>
    </row>
    <row r="94" spans="1:11">
      <c r="B94" s="3"/>
      <c r="C94" s="3"/>
      <c r="D94" s="3"/>
      <c r="E94" s="3"/>
      <c r="F94" s="3"/>
      <c r="G94" s="3"/>
      <c r="H94" s="3"/>
      <c r="I94" s="3"/>
      <c r="J94" s="3"/>
    </row>
    <row r="95" spans="1:11">
      <c r="B95" s="3"/>
      <c r="C95" s="3"/>
      <c r="D95" s="3"/>
      <c r="E95" s="3"/>
      <c r="F95" s="3"/>
      <c r="G95" s="3"/>
      <c r="H95" s="3"/>
      <c r="I95" s="3"/>
      <c r="J95" s="3"/>
    </row>
    <row r="96" spans="1:11">
      <c r="B96" s="3"/>
      <c r="C96" s="3"/>
      <c r="D96" s="3"/>
      <c r="E96" s="3"/>
      <c r="F96" s="3"/>
      <c r="G96" s="3"/>
      <c r="H96" s="3"/>
      <c r="I96" s="3"/>
      <c r="J96" s="3"/>
    </row>
    <row r="97" spans="2:10">
      <c r="B97" s="3"/>
      <c r="C97" s="3"/>
      <c r="D97" s="3"/>
      <c r="E97" s="3"/>
      <c r="F97" s="3"/>
      <c r="G97" s="3"/>
      <c r="H97" s="3"/>
      <c r="I97" s="3"/>
      <c r="J97" s="3"/>
    </row>
    <row r="98" spans="2:10">
      <c r="B98" s="3"/>
      <c r="C98" s="3"/>
      <c r="D98" s="3"/>
      <c r="E98" s="3"/>
      <c r="F98" s="3"/>
      <c r="G98" s="3"/>
      <c r="H98" s="3"/>
      <c r="I98" s="3"/>
      <c r="J98" s="3"/>
    </row>
    <row r="99" spans="2:10">
      <c r="B99" s="3"/>
      <c r="C99" s="3"/>
      <c r="D99" s="3"/>
      <c r="E99" s="3"/>
      <c r="F99" s="3"/>
      <c r="G99" s="3"/>
      <c r="H99" s="3"/>
      <c r="I99" s="3"/>
      <c r="J99" s="3"/>
    </row>
    <row r="100" spans="2:10">
      <c r="B100" s="3"/>
      <c r="C100" s="3"/>
      <c r="D100" s="3"/>
      <c r="E100" s="3"/>
      <c r="F100" s="3"/>
      <c r="G100" s="3"/>
      <c r="H100" s="3"/>
      <c r="I100" s="3"/>
      <c r="J100" s="3"/>
    </row>
    <row r="101" spans="2:10">
      <c r="B101" s="3"/>
      <c r="C101" s="3"/>
      <c r="D101" s="3"/>
      <c r="E101" s="3"/>
      <c r="F101" s="3"/>
      <c r="G101" s="3"/>
      <c r="H101" s="3"/>
      <c r="I101" s="3"/>
      <c r="J101" s="3"/>
    </row>
    <row r="102" spans="2:10">
      <c r="B102" s="3"/>
      <c r="C102" s="3"/>
      <c r="D102" s="3"/>
      <c r="E102" s="3"/>
      <c r="F102" s="3"/>
      <c r="G102" s="3"/>
      <c r="H102" s="3"/>
      <c r="I102" s="3"/>
      <c r="J102" s="3"/>
    </row>
    <row r="103" spans="2:10">
      <c r="B103" s="3"/>
      <c r="C103" s="3"/>
      <c r="D103" s="3"/>
      <c r="E103" s="3"/>
      <c r="F103" s="3"/>
      <c r="G103" s="3"/>
      <c r="H103" s="3"/>
      <c r="I103" s="3"/>
      <c r="J103" s="3"/>
    </row>
    <row r="104" spans="2:10">
      <c r="B104" s="3"/>
      <c r="C104" s="3"/>
      <c r="D104" s="3"/>
      <c r="E104" s="3"/>
      <c r="F104" s="3"/>
      <c r="G104" s="3"/>
      <c r="H104" s="3"/>
      <c r="I104" s="3"/>
      <c r="J104" s="3"/>
    </row>
    <row r="105" spans="2:10">
      <c r="B105" s="3"/>
      <c r="C105" s="3"/>
      <c r="D105" s="3"/>
      <c r="E105" s="3"/>
      <c r="F105" s="3"/>
      <c r="G105" s="3"/>
      <c r="H105" s="3"/>
      <c r="I105" s="3"/>
      <c r="J105" s="3"/>
    </row>
    <row r="106" spans="2:10">
      <c r="B106" s="3"/>
      <c r="C106" s="3"/>
      <c r="D106" s="3"/>
      <c r="E106" s="3"/>
      <c r="F106" s="3"/>
      <c r="G106" s="3"/>
      <c r="H106" s="3"/>
      <c r="I106" s="3"/>
      <c r="J106" s="3"/>
    </row>
    <row r="107" spans="2:10">
      <c r="B107" s="3"/>
      <c r="C107" s="3"/>
      <c r="D107" s="3"/>
      <c r="E107" s="3"/>
      <c r="F107" s="3"/>
      <c r="G107" s="3"/>
      <c r="H107" s="3"/>
      <c r="I107" s="3"/>
      <c r="J107" s="3"/>
    </row>
    <row r="108" spans="2:10">
      <c r="B108" s="3"/>
      <c r="C108" s="3"/>
      <c r="D108" s="3"/>
      <c r="E108" s="3"/>
      <c r="F108" s="3"/>
      <c r="G108" s="3"/>
      <c r="H108" s="3"/>
      <c r="I108" s="3"/>
      <c r="J108" s="3"/>
    </row>
    <row r="109" spans="2:10">
      <c r="B109" s="3"/>
      <c r="C109" s="3"/>
      <c r="D109" s="3"/>
      <c r="E109" s="3"/>
      <c r="F109" s="3"/>
      <c r="G109" s="3"/>
      <c r="H109" s="3"/>
      <c r="I109" s="3"/>
      <c r="J109" s="3"/>
    </row>
    <row r="110" spans="2:10">
      <c r="B110" s="3"/>
      <c r="C110" s="3"/>
      <c r="D110" s="3"/>
      <c r="E110" s="3"/>
      <c r="F110" s="3"/>
      <c r="G110" s="3"/>
      <c r="H110" s="3"/>
      <c r="I110" s="3"/>
      <c r="J110" s="3"/>
    </row>
    <row r="111" spans="2:10">
      <c r="B111" s="3"/>
      <c r="C111" s="3"/>
      <c r="D111" s="3"/>
      <c r="E111" s="3"/>
      <c r="F111" s="3"/>
      <c r="G111" s="3"/>
      <c r="H111" s="3"/>
      <c r="I111" s="3"/>
      <c r="J111" s="3"/>
    </row>
    <row r="112" spans="2:10">
      <c r="B112" s="3"/>
      <c r="C112" s="3"/>
      <c r="D112" s="3"/>
      <c r="E112" s="3"/>
      <c r="F112" s="3"/>
      <c r="G112" s="3"/>
      <c r="H112" s="3"/>
      <c r="I112" s="3"/>
      <c r="J112" s="3"/>
    </row>
    <row r="113" spans="2:10">
      <c r="B113" s="3"/>
      <c r="C113" s="3"/>
      <c r="D113" s="3"/>
      <c r="E113" s="3"/>
      <c r="F113" s="3"/>
      <c r="G113" s="3"/>
      <c r="H113" s="3"/>
      <c r="I113" s="3"/>
      <c r="J113" s="3"/>
    </row>
    <row r="114" spans="2:10">
      <c r="B114" s="3"/>
      <c r="C114" s="3"/>
      <c r="D114" s="3"/>
      <c r="E114" s="3"/>
      <c r="F114" s="3"/>
      <c r="G114" s="3"/>
      <c r="H114" s="3"/>
      <c r="I114" s="3"/>
      <c r="J114" s="3"/>
    </row>
    <row r="115" spans="2:10">
      <c r="B115" s="3"/>
      <c r="C115" s="3"/>
      <c r="D115" s="3"/>
      <c r="E115" s="3"/>
      <c r="F115" s="3"/>
      <c r="G115" s="3"/>
      <c r="H115" s="3"/>
      <c r="I115" s="3"/>
      <c r="J115" s="3"/>
    </row>
    <row r="116" spans="2:10">
      <c r="B116" s="3"/>
      <c r="C116" s="3"/>
      <c r="D116" s="3"/>
      <c r="E116" s="3"/>
      <c r="F116" s="3"/>
      <c r="G116" s="3"/>
      <c r="H116" s="3"/>
      <c r="I116" s="3"/>
      <c r="J116" s="3"/>
    </row>
    <row r="117" spans="2:10">
      <c r="B117" s="3"/>
      <c r="C117" s="3"/>
      <c r="D117" s="3"/>
      <c r="E117" s="3"/>
      <c r="F117" s="3"/>
      <c r="G117" s="3"/>
      <c r="H117" s="3"/>
      <c r="I117" s="3"/>
      <c r="J117" s="3"/>
    </row>
    <row r="118" spans="2:10">
      <c r="B118" s="3"/>
      <c r="C118" s="3"/>
      <c r="D118" s="3"/>
      <c r="E118" s="3"/>
      <c r="F118" s="3"/>
      <c r="G118" s="3"/>
      <c r="H118" s="3"/>
      <c r="I118" s="3"/>
      <c r="J118" s="3"/>
    </row>
    <row r="119" spans="2:10">
      <c r="B119" s="3"/>
      <c r="C119" s="3"/>
      <c r="D119" s="3"/>
      <c r="E119" s="3"/>
      <c r="F119" s="3"/>
      <c r="G119" s="3"/>
      <c r="H119" s="3"/>
      <c r="I119" s="3"/>
      <c r="J119" s="3"/>
    </row>
    <row r="120" spans="2:10">
      <c r="B120" s="3"/>
      <c r="C120" s="3"/>
      <c r="D120" s="3"/>
      <c r="E120" s="3"/>
      <c r="F120" s="3"/>
      <c r="G120" s="3"/>
      <c r="H120" s="3"/>
      <c r="I120" s="3"/>
      <c r="J120" s="3"/>
    </row>
    <row r="121" spans="2:10">
      <c r="B121" s="3"/>
      <c r="C121" s="3"/>
      <c r="D121" s="3"/>
      <c r="E121" s="3"/>
      <c r="F121" s="3"/>
      <c r="G121" s="3"/>
      <c r="H121" s="3"/>
      <c r="I121" s="3"/>
      <c r="J121" s="3"/>
    </row>
    <row r="122" spans="2:10">
      <c r="B122" s="3"/>
      <c r="C122" s="3"/>
      <c r="D122" s="3"/>
      <c r="E122" s="3"/>
      <c r="F122" s="3"/>
      <c r="G122" s="3"/>
      <c r="H122" s="3"/>
      <c r="I122" s="3"/>
      <c r="J122" s="3"/>
    </row>
    <row r="123" spans="2:10">
      <c r="B123" s="3"/>
      <c r="C123" s="3"/>
      <c r="D123" s="3"/>
      <c r="E123" s="3"/>
      <c r="F123" s="3"/>
      <c r="G123" s="3"/>
      <c r="H123" s="3"/>
      <c r="I123" s="3"/>
      <c r="J123" s="3"/>
    </row>
    <row r="124" spans="2:10">
      <c r="B124" s="3"/>
      <c r="C124" s="3"/>
      <c r="D124" s="3"/>
      <c r="E124" s="3"/>
      <c r="F124" s="3"/>
      <c r="G124" s="3"/>
      <c r="H124" s="3"/>
      <c r="I124" s="3"/>
      <c r="J124" s="3"/>
    </row>
    <row r="125" spans="2:10">
      <c r="B125" s="3"/>
      <c r="C125" s="3"/>
      <c r="D125" s="3"/>
      <c r="E125" s="3"/>
      <c r="F125" s="3"/>
      <c r="G125" s="3"/>
      <c r="H125" s="3"/>
      <c r="I125" s="3"/>
      <c r="J125" s="3"/>
    </row>
    <row r="126" spans="2:10">
      <c r="B126" s="3"/>
      <c r="C126" s="3"/>
      <c r="D126" s="3"/>
      <c r="E126" s="3"/>
      <c r="F126" s="3"/>
      <c r="G126" s="3"/>
      <c r="H126" s="3"/>
      <c r="I126" s="3"/>
      <c r="J126" s="3"/>
    </row>
    <row r="127" spans="2:10">
      <c r="B127" s="3"/>
      <c r="C127" s="3"/>
      <c r="D127" s="3"/>
      <c r="E127" s="3"/>
      <c r="F127" s="3"/>
      <c r="G127" s="3"/>
      <c r="H127" s="3"/>
      <c r="I127" s="3"/>
      <c r="J127" s="3"/>
    </row>
    <row r="128" spans="2:10">
      <c r="B128" s="3"/>
      <c r="C128" s="3"/>
      <c r="D128" s="3"/>
      <c r="E128" s="3"/>
      <c r="F128" s="3"/>
      <c r="G128" s="3"/>
      <c r="H128" s="3"/>
      <c r="I128" s="3"/>
      <c r="J128" s="3"/>
    </row>
    <row r="129" spans="2:10">
      <c r="B129" s="3"/>
      <c r="C129" s="3"/>
      <c r="D129" s="3"/>
      <c r="E129" s="3"/>
      <c r="F129" s="3"/>
      <c r="G129" s="3"/>
      <c r="H129" s="3"/>
      <c r="I129" s="3"/>
      <c r="J129" s="3"/>
    </row>
    <row r="130" spans="2:10">
      <c r="B130" s="3"/>
      <c r="C130" s="3"/>
      <c r="D130" s="3"/>
      <c r="E130" s="3"/>
      <c r="F130" s="3"/>
      <c r="G130" s="3"/>
      <c r="H130" s="3"/>
      <c r="I130" s="3"/>
      <c r="J130" s="3"/>
    </row>
    <row r="131" spans="2:10">
      <c r="B131" s="3"/>
      <c r="C131" s="3"/>
      <c r="D131" s="3"/>
      <c r="E131" s="3"/>
      <c r="F131" s="3"/>
      <c r="G131" s="3"/>
      <c r="H131" s="3"/>
      <c r="I131" s="3"/>
      <c r="J131" s="3"/>
    </row>
    <row r="132" spans="2:10">
      <c r="B132" s="3"/>
      <c r="C132" s="3"/>
      <c r="D132" s="3"/>
      <c r="E132" s="3"/>
      <c r="F132" s="3"/>
      <c r="G132" s="3"/>
      <c r="H132" s="3"/>
      <c r="I132" s="3"/>
      <c r="J132" s="3"/>
    </row>
    <row r="133" spans="2:10">
      <c r="B133" s="3"/>
      <c r="C133" s="3"/>
      <c r="D133" s="3"/>
      <c r="E133" s="3"/>
      <c r="F133" s="3"/>
      <c r="G133" s="3"/>
      <c r="H133" s="3"/>
      <c r="I133" s="3"/>
      <c r="J133" s="3"/>
    </row>
    <row r="134" spans="2:10">
      <c r="B134" s="3"/>
      <c r="C134" s="3"/>
      <c r="D134" s="3"/>
      <c r="E134" s="3"/>
      <c r="F134" s="3"/>
      <c r="G134" s="3"/>
      <c r="H134" s="3"/>
      <c r="I134" s="3"/>
      <c r="J134" s="3"/>
    </row>
    <row r="135" spans="2:10">
      <c r="B135" s="3"/>
      <c r="C135" s="3"/>
      <c r="D135" s="3"/>
      <c r="E135" s="3"/>
      <c r="F135" s="3"/>
      <c r="G135" s="3"/>
      <c r="H135" s="3"/>
      <c r="I135" s="3"/>
      <c r="J135" s="3"/>
    </row>
    <row r="136" spans="2:10">
      <c r="B136" s="3"/>
      <c r="C136" s="3"/>
      <c r="D136" s="3"/>
      <c r="E136" s="3"/>
      <c r="F136" s="3"/>
      <c r="G136" s="3"/>
      <c r="H136" s="3"/>
      <c r="I136" s="3"/>
      <c r="J136" s="3"/>
    </row>
    <row r="137" spans="2:10">
      <c r="B137" s="3"/>
      <c r="C137" s="3"/>
      <c r="D137" s="3"/>
      <c r="E137" s="3"/>
      <c r="F137" s="3"/>
      <c r="G137" s="3"/>
      <c r="H137" s="3"/>
      <c r="I137" s="3"/>
      <c r="J137" s="3"/>
    </row>
  </sheetData>
  <mergeCells count="15">
    <mergeCell ref="A2:J2"/>
    <mergeCell ref="A3:J3"/>
    <mergeCell ref="A4:J4"/>
    <mergeCell ref="A5:J5"/>
    <mergeCell ref="B7:D7"/>
    <mergeCell ref="H84:I84"/>
    <mergeCell ref="H85:I85"/>
    <mergeCell ref="H86:I86"/>
    <mergeCell ref="B9:D9"/>
    <mergeCell ref="J11:J12"/>
    <mergeCell ref="A11:A12"/>
    <mergeCell ref="A10:J10"/>
    <mergeCell ref="B11:C11"/>
    <mergeCell ref="H11:I11"/>
    <mergeCell ref="D11:G11"/>
  </mergeCells>
  <printOptions horizontalCentered="1"/>
  <pageMargins left="0.23622047244094491" right="0.23622047244094491" top="0.62992125984251968" bottom="0.43307086614173229" header="0.31496062992125984" footer="0.31496062992125984"/>
  <pageSetup paperSize="9" scale="6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31"/>
  <sheetViews>
    <sheetView view="pageBreakPreview" zoomScale="112" zoomScaleNormal="100" zoomScaleSheetLayoutView="112" workbookViewId="0">
      <selection activeCell="B25" sqref="B25"/>
    </sheetView>
  </sheetViews>
  <sheetFormatPr defaultColWidth="8.75" defaultRowHeight="15"/>
  <cols>
    <col min="1" max="1" width="33.625" style="5" customWidth="1"/>
    <col min="2" max="4" width="8.75" style="5"/>
    <col min="5" max="5" width="14.375" style="5" customWidth="1"/>
    <col min="6" max="16384" width="8.75" style="5"/>
  </cols>
  <sheetData>
    <row r="1" spans="1:12" s="4" customFormat="1" ht="52.5" customHeight="1"/>
    <row r="2" spans="1:12" s="4" customFormat="1" ht="10.5" customHeight="1">
      <c r="A2" s="66" t="s">
        <v>0</v>
      </c>
      <c r="B2" s="66"/>
      <c r="C2" s="66"/>
      <c r="D2" s="66"/>
      <c r="E2" s="66"/>
      <c r="F2" s="66"/>
      <c r="G2" s="66"/>
      <c r="H2" s="66"/>
      <c r="I2" s="66"/>
      <c r="J2" s="66"/>
      <c r="K2" s="66"/>
      <c r="L2" s="66"/>
    </row>
    <row r="3" spans="1:12" s="4" customFormat="1" ht="15.95" customHeight="1">
      <c r="A3" s="66" t="s">
        <v>1</v>
      </c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</row>
    <row r="4" spans="1:12" s="4" customFormat="1" ht="15.95" customHeight="1">
      <c r="A4" s="66" t="s">
        <v>88</v>
      </c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</row>
    <row r="5" spans="1:12" s="4" customFormat="1" ht="15.95" customHeight="1">
      <c r="A5" s="66" t="s">
        <v>3</v>
      </c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</row>
    <row r="6" spans="1:12" s="4" customFormat="1" ht="8.25" customHeight="1"/>
    <row r="7" spans="1:12" s="4" customFormat="1" ht="12" customHeight="1">
      <c r="A7" s="4" t="s">
        <v>4</v>
      </c>
      <c r="C7" s="84" t="s">
        <v>5</v>
      </c>
      <c r="D7" s="84"/>
      <c r="G7" s="84" t="s">
        <v>6</v>
      </c>
      <c r="H7" s="85"/>
    </row>
    <row r="8" spans="1:12" s="4" customFormat="1" ht="12" customHeight="1">
      <c r="C8" s="86"/>
      <c r="G8" s="86"/>
      <c r="H8" s="86"/>
    </row>
    <row r="9" spans="1:12" s="4" customFormat="1" ht="12" customHeight="1">
      <c r="A9" s="4" t="s">
        <v>7</v>
      </c>
      <c r="C9" s="84" t="s">
        <v>8</v>
      </c>
      <c r="D9" s="84"/>
      <c r="G9" s="84" t="s">
        <v>9</v>
      </c>
      <c r="H9" s="87"/>
    </row>
    <row r="10" spans="1:12" ht="16.5" customHeight="1" thickBot="1">
      <c r="A10" s="67" t="s">
        <v>89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</row>
    <row r="11" spans="1:12" s="6" customFormat="1" ht="18.75" customHeight="1">
      <c r="A11" s="57" t="s">
        <v>11</v>
      </c>
      <c r="B11" s="59" t="s">
        <v>12</v>
      </c>
      <c r="C11" s="60"/>
      <c r="D11" s="60"/>
      <c r="E11" s="60"/>
      <c r="F11" s="60"/>
      <c r="G11" s="60"/>
      <c r="H11" s="60"/>
      <c r="I11" s="60"/>
      <c r="J11" s="60"/>
      <c r="K11" s="60"/>
      <c r="L11" s="61" t="s">
        <v>15</v>
      </c>
    </row>
    <row r="12" spans="1:12" s="6" customFormat="1" ht="24" customHeight="1">
      <c r="A12" s="58"/>
      <c r="B12" s="63" t="s">
        <v>90</v>
      </c>
      <c r="C12" s="64"/>
      <c r="D12" s="64"/>
      <c r="E12" s="65"/>
      <c r="F12" s="63" t="s">
        <v>91</v>
      </c>
      <c r="G12" s="65"/>
      <c r="H12" s="63" t="s">
        <v>92</v>
      </c>
      <c r="I12" s="65"/>
      <c r="J12" s="63" t="s">
        <v>93</v>
      </c>
      <c r="K12" s="65"/>
      <c r="L12" s="62"/>
    </row>
    <row r="13" spans="1:12" s="6" customFormat="1" ht="24.95" hidden="1" customHeight="1">
      <c r="A13" s="7" t="s">
        <v>94</v>
      </c>
      <c r="B13" s="43" t="s">
        <v>95</v>
      </c>
      <c r="C13" s="44"/>
      <c r="D13" s="44"/>
      <c r="E13" s="45"/>
      <c r="F13" s="46">
        <v>2</v>
      </c>
      <c r="G13" s="47"/>
      <c r="H13" s="46">
        <v>0</v>
      </c>
      <c r="I13" s="47"/>
      <c r="J13" s="46">
        <v>2</v>
      </c>
      <c r="K13" s="47"/>
      <c r="L13" s="19">
        <v>2</v>
      </c>
    </row>
    <row r="14" spans="1:12" s="8" customFormat="1" ht="25.5" hidden="1" customHeight="1">
      <c r="A14" s="7" t="s">
        <v>96</v>
      </c>
      <c r="B14" s="43" t="s">
        <v>95</v>
      </c>
      <c r="C14" s="44"/>
      <c r="D14" s="44"/>
      <c r="E14" s="45"/>
      <c r="F14" s="46"/>
      <c r="G14" s="47"/>
      <c r="H14" s="46">
        <v>1</v>
      </c>
      <c r="I14" s="47"/>
      <c r="J14" s="46">
        <v>1</v>
      </c>
      <c r="K14" s="47"/>
      <c r="L14" s="19">
        <v>1</v>
      </c>
    </row>
    <row r="15" spans="1:12" s="8" customFormat="1" ht="25.5" hidden="1" customHeight="1">
      <c r="A15" s="21" t="s">
        <v>97</v>
      </c>
      <c r="B15" s="52" t="s">
        <v>95</v>
      </c>
      <c r="C15" s="53"/>
      <c r="D15" s="53"/>
      <c r="E15" s="54"/>
      <c r="F15" s="49"/>
      <c r="G15" s="50"/>
      <c r="H15" s="49">
        <v>1</v>
      </c>
      <c r="I15" s="50"/>
      <c r="J15" s="49">
        <v>0</v>
      </c>
      <c r="K15" s="50"/>
      <c r="L15" s="22">
        <v>0</v>
      </c>
    </row>
    <row r="16" spans="1:12" s="8" customFormat="1" ht="25.5" hidden="1" customHeight="1">
      <c r="A16" s="17" t="s">
        <v>98</v>
      </c>
      <c r="B16" s="55" t="s">
        <v>99</v>
      </c>
      <c r="C16" s="55"/>
      <c r="D16" s="55"/>
      <c r="E16" s="55"/>
      <c r="F16" s="56">
        <v>4</v>
      </c>
      <c r="G16" s="56"/>
      <c r="H16" s="56">
        <v>0</v>
      </c>
      <c r="I16" s="56"/>
      <c r="J16" s="56">
        <v>4</v>
      </c>
      <c r="K16" s="56"/>
      <c r="L16" s="20">
        <v>4</v>
      </c>
    </row>
    <row r="17" spans="1:12" s="8" customFormat="1" ht="25.5" hidden="1" customHeight="1">
      <c r="A17" s="17" t="s">
        <v>100</v>
      </c>
      <c r="B17" s="55" t="s">
        <v>99</v>
      </c>
      <c r="C17" s="55"/>
      <c r="D17" s="55"/>
      <c r="E17" s="55"/>
      <c r="F17" s="56"/>
      <c r="G17" s="56"/>
      <c r="H17" s="56">
        <v>3</v>
      </c>
      <c r="I17" s="56"/>
      <c r="J17" s="56">
        <v>1</v>
      </c>
      <c r="K17" s="56"/>
      <c r="L17" s="25">
        <v>1</v>
      </c>
    </row>
    <row r="18" spans="1:12" s="8" customFormat="1" ht="25.5" hidden="1" customHeight="1">
      <c r="A18" s="17" t="s">
        <v>101</v>
      </c>
      <c r="B18" s="43" t="s">
        <v>102</v>
      </c>
      <c r="C18" s="44"/>
      <c r="D18" s="44"/>
      <c r="E18" s="45"/>
      <c r="F18" s="46">
        <v>1</v>
      </c>
      <c r="G18" s="47"/>
      <c r="H18" s="46">
        <v>0</v>
      </c>
      <c r="I18" s="47"/>
      <c r="J18" s="46">
        <v>1</v>
      </c>
      <c r="K18" s="47"/>
      <c r="L18" s="25">
        <v>1</v>
      </c>
    </row>
    <row r="19" spans="1:12" s="8" customFormat="1" ht="25.5" hidden="1" customHeight="1">
      <c r="A19" s="26" t="s">
        <v>103</v>
      </c>
      <c r="B19" s="52" t="s">
        <v>102</v>
      </c>
      <c r="C19" s="53"/>
      <c r="D19" s="53"/>
      <c r="E19" s="54"/>
      <c r="F19" s="49"/>
      <c r="G19" s="50"/>
      <c r="H19" s="49">
        <v>1</v>
      </c>
      <c r="I19" s="50"/>
      <c r="J19" s="49">
        <v>0</v>
      </c>
      <c r="K19" s="50"/>
      <c r="L19" s="27">
        <v>0</v>
      </c>
    </row>
    <row r="20" spans="1:12" s="8" customFormat="1" ht="24.75" customHeight="1">
      <c r="A20" s="7" t="s">
        <v>104</v>
      </c>
      <c r="B20" s="43" t="s">
        <v>105</v>
      </c>
      <c r="C20" s="44"/>
      <c r="D20" s="44"/>
      <c r="E20" s="45"/>
      <c r="F20" s="46">
        <v>3</v>
      </c>
      <c r="G20" s="47"/>
      <c r="H20" s="46">
        <v>0</v>
      </c>
      <c r="I20" s="47"/>
      <c r="J20" s="46">
        <v>3</v>
      </c>
      <c r="K20" s="47"/>
      <c r="L20" s="19">
        <v>3</v>
      </c>
    </row>
    <row r="21" spans="1:12" s="8" customFormat="1" ht="24.75" customHeight="1">
      <c r="A21" s="7" t="s">
        <v>106</v>
      </c>
      <c r="B21" s="43" t="s">
        <v>105</v>
      </c>
      <c r="C21" s="44"/>
      <c r="D21" s="44"/>
      <c r="E21" s="45"/>
      <c r="F21" s="46"/>
      <c r="G21" s="47"/>
      <c r="H21" s="46">
        <v>1</v>
      </c>
      <c r="I21" s="47"/>
      <c r="J21" s="46">
        <v>2</v>
      </c>
      <c r="K21" s="47"/>
      <c r="L21" s="19">
        <v>2</v>
      </c>
    </row>
    <row r="22" spans="1:12" s="8" customFormat="1" ht="24.75" customHeight="1">
      <c r="A22" s="7" t="s">
        <v>107</v>
      </c>
      <c r="B22" s="43" t="s">
        <v>105</v>
      </c>
      <c r="C22" s="44"/>
      <c r="D22" s="44"/>
      <c r="E22" s="45"/>
      <c r="F22" s="46"/>
      <c r="G22" s="47"/>
      <c r="H22" s="46">
        <v>1</v>
      </c>
      <c r="I22" s="47"/>
      <c r="J22" s="46">
        <v>1</v>
      </c>
      <c r="K22" s="47"/>
      <c r="L22" s="19">
        <v>1</v>
      </c>
    </row>
    <row r="23" spans="1:12" s="8" customFormat="1" ht="24.75" customHeight="1">
      <c r="A23" s="7" t="s">
        <v>108</v>
      </c>
      <c r="B23" s="43" t="s">
        <v>109</v>
      </c>
      <c r="C23" s="44"/>
      <c r="D23" s="44"/>
      <c r="E23" s="45"/>
      <c r="F23" s="46">
        <v>3</v>
      </c>
      <c r="G23" s="47"/>
      <c r="H23" s="46">
        <v>0</v>
      </c>
      <c r="I23" s="47"/>
      <c r="J23" s="46">
        <v>3</v>
      </c>
      <c r="K23" s="47"/>
      <c r="L23" s="19">
        <v>3</v>
      </c>
    </row>
    <row r="24" spans="1:12" s="8" customFormat="1" ht="24.75" customHeight="1">
      <c r="A24" s="7" t="s">
        <v>110</v>
      </c>
      <c r="B24" s="43" t="s">
        <v>105</v>
      </c>
      <c r="C24" s="44"/>
      <c r="D24" s="44"/>
      <c r="E24" s="45"/>
      <c r="F24" s="46"/>
      <c r="G24" s="47"/>
      <c r="H24" s="46">
        <v>2</v>
      </c>
      <c r="I24" s="47"/>
      <c r="J24" s="46">
        <v>1</v>
      </c>
      <c r="K24" s="47"/>
      <c r="L24" s="19">
        <v>1</v>
      </c>
    </row>
    <row r="25" spans="1:12" s="4" customFormat="1">
      <c r="A25" s="9" t="s">
        <v>111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</row>
    <row r="26" spans="1:12" s="4" customFormat="1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1"/>
      <c r="L26" s="51"/>
    </row>
    <row r="27" spans="1:12">
      <c r="C27" s="12"/>
      <c r="D27" s="4"/>
      <c r="E27" s="4"/>
      <c r="F27" s="4"/>
      <c r="G27" s="4"/>
      <c r="H27" s="4" t="s">
        <v>84</v>
      </c>
      <c r="I27" s="4"/>
      <c r="J27" s="4"/>
      <c r="K27" s="4"/>
      <c r="L27" s="4"/>
    </row>
    <row r="28" spans="1:12">
      <c r="C28" s="12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H29" s="88" t="s">
        <v>85</v>
      </c>
      <c r="I29" s="88"/>
    </row>
    <row r="30" spans="1:12">
      <c r="H30" s="5" t="s">
        <v>86</v>
      </c>
    </row>
    <row r="31" spans="1:12">
      <c r="H31" s="48" t="s">
        <v>87</v>
      </c>
      <c r="I31" s="48"/>
    </row>
  </sheetData>
  <mergeCells count="62">
    <mergeCell ref="A2:L2"/>
    <mergeCell ref="A3:L3"/>
    <mergeCell ref="A4:L4"/>
    <mergeCell ref="A5:L5"/>
    <mergeCell ref="A10:L10"/>
    <mergeCell ref="A11:A12"/>
    <mergeCell ref="B11:K11"/>
    <mergeCell ref="L11:L12"/>
    <mergeCell ref="B12:E12"/>
    <mergeCell ref="F12:G12"/>
    <mergeCell ref="H12:I12"/>
    <mergeCell ref="J12:K12"/>
    <mergeCell ref="F18:G18"/>
    <mergeCell ref="H18:I18"/>
    <mergeCell ref="J18:K18"/>
    <mergeCell ref="B19:E19"/>
    <mergeCell ref="F19:G19"/>
    <mergeCell ref="H19:I19"/>
    <mergeCell ref="J19:K19"/>
    <mergeCell ref="B13:E13"/>
    <mergeCell ref="F13:G13"/>
    <mergeCell ref="H13:I13"/>
    <mergeCell ref="J13:K13"/>
    <mergeCell ref="F17:G17"/>
    <mergeCell ref="H17:I17"/>
    <mergeCell ref="J17:K17"/>
    <mergeCell ref="H31:I31"/>
    <mergeCell ref="B14:E14"/>
    <mergeCell ref="F14:G14"/>
    <mergeCell ref="H14:I14"/>
    <mergeCell ref="H15:I15"/>
    <mergeCell ref="A26:L26"/>
    <mergeCell ref="B15:E15"/>
    <mergeCell ref="F15:G15"/>
    <mergeCell ref="J15:K15"/>
    <mergeCell ref="J14:K14"/>
    <mergeCell ref="B16:E16"/>
    <mergeCell ref="F16:G16"/>
    <mergeCell ref="H16:I16"/>
    <mergeCell ref="J16:K16"/>
    <mergeCell ref="B17:E17"/>
    <mergeCell ref="B18:E18"/>
    <mergeCell ref="B22:E22"/>
    <mergeCell ref="F22:G22"/>
    <mergeCell ref="H22:I22"/>
    <mergeCell ref="J22:K22"/>
    <mergeCell ref="B20:E20"/>
    <mergeCell ref="F20:G20"/>
    <mergeCell ref="H20:I20"/>
    <mergeCell ref="J20:K20"/>
    <mergeCell ref="B21:E21"/>
    <mergeCell ref="F21:G21"/>
    <mergeCell ref="H21:I21"/>
    <mergeCell ref="J21:K21"/>
    <mergeCell ref="B23:E23"/>
    <mergeCell ref="F23:G23"/>
    <mergeCell ref="H23:I23"/>
    <mergeCell ref="J23:K23"/>
    <mergeCell ref="B24:E24"/>
    <mergeCell ref="F24:G24"/>
    <mergeCell ref="H24:I24"/>
    <mergeCell ref="J24:K24"/>
  </mergeCells>
  <pageMargins left="0.7" right="0.7" top="0.75" bottom="0.75" header="0.3" footer="0.3"/>
  <pageSetup paperSize="9" scale="65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Department of Education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JOCELYN MAMUGAY</cp:lastModifiedBy>
  <cp:revision/>
  <dcterms:created xsi:type="dcterms:W3CDTF">2021-10-07T06:10:00Z</dcterms:created>
  <dcterms:modified xsi:type="dcterms:W3CDTF">2026-02-04T06:44:04Z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D8B6D0411A64429280D46006F763F0AE</vt:lpwstr>
  </property>
  <property fmtid="{D5CDD505-2E9C-101B-9397-08002B2CF9AE}" pid="3" name="KSOProductBuildVer">
    <vt:lpwstr>1033-11.2.0.11341</vt:lpwstr>
  </property>
</Properties>
</file>