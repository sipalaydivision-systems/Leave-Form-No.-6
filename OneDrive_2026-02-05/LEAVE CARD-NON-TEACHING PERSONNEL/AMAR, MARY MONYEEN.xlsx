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74F4A44-F487-4189-8E94-DA86A5EA4836}" xr6:coauthVersionLast="47" xr6:coauthVersionMax="47" xr10:uidLastSave="{00000000-0000-0000-0000-000000000000}"/>
  <bookViews>
    <workbookView xWindow="-120" yWindow="-120" windowWidth="29040" windowHeight="15720" xr2:uid="{8DA85902-6E67-4CAF-A792-BC4A5E5EAC14}"/>
  </bookViews>
  <sheets>
    <sheet name="Leave Card CORRECTED " sheetId="3" r:id="rId1"/>
    <sheet name="CTO" sheetId="5" r:id="rId2"/>
    <sheet name="LGU" sheetId="4" r:id="rId3"/>
  </sheets>
  <definedNames>
    <definedName name="_xlnm.Print_Area" localSheetId="0">'Leave Card CORRECTED '!$A$1:$J$97</definedName>
    <definedName name="_xlnm.Print_Area" localSheetId="2">LGU!$A$1:$J$42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3" l="1"/>
  <c r="I88" i="3"/>
  <c r="J88" i="3"/>
  <c r="H89" i="3"/>
  <c r="I89" i="3"/>
  <c r="J89" i="3"/>
  <c r="I14" i="3" l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H14" i="3"/>
  <c r="H15" i="3" s="1"/>
  <c r="H18" i="4"/>
  <c r="I14" i="4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H14" i="4"/>
  <c r="H15" i="4" s="1"/>
  <c r="H16" i="3" l="1"/>
  <c r="J15" i="3"/>
  <c r="J14" i="3"/>
  <c r="J18" i="4"/>
  <c r="H19" i="4"/>
  <c r="H16" i="4"/>
  <c r="J15" i="4"/>
  <c r="J14" i="4"/>
  <c r="H17" i="3" l="1"/>
  <c r="J16" i="3"/>
  <c r="H20" i="4"/>
  <c r="J19" i="4"/>
  <c r="H17" i="4"/>
  <c r="J16" i="4"/>
  <c r="J17" i="3" l="1"/>
  <c r="H18" i="3"/>
  <c r="J20" i="4"/>
  <c r="H21" i="4"/>
  <c r="J17" i="4"/>
  <c r="H19" i="3" l="1"/>
  <c r="J18" i="3"/>
  <c r="H22" i="4"/>
  <c r="J21" i="4"/>
  <c r="H20" i="3" l="1"/>
  <c r="J19" i="3"/>
  <c r="J22" i="4"/>
  <c r="H23" i="4"/>
  <c r="H21" i="3" l="1"/>
  <c r="J20" i="3"/>
  <c r="H24" i="4"/>
  <c r="J23" i="4"/>
  <c r="H22" i="3" l="1"/>
  <c r="J21" i="3"/>
  <c r="J24" i="4"/>
  <c r="H25" i="4"/>
  <c r="H23" i="3" l="1"/>
  <c r="J22" i="3"/>
  <c r="H26" i="4"/>
  <c r="J25" i="4"/>
  <c r="H24" i="3" l="1"/>
  <c r="J23" i="3"/>
  <c r="J26" i="4"/>
  <c r="H27" i="4"/>
  <c r="H25" i="3" l="1"/>
  <c r="J24" i="3"/>
  <c r="H28" i="4"/>
  <c r="J27" i="4"/>
  <c r="H26" i="3" l="1"/>
  <c r="J25" i="3"/>
  <c r="J28" i="4"/>
  <c r="H29" i="4"/>
  <c r="H27" i="3" l="1"/>
  <c r="J26" i="3"/>
  <c r="H30" i="4"/>
  <c r="J29" i="4"/>
  <c r="H28" i="3" l="1"/>
  <c r="J27" i="3"/>
  <c r="J30" i="4"/>
  <c r="H31" i="4"/>
  <c r="H29" i="3" l="1"/>
  <c r="J28" i="3"/>
  <c r="H32" i="4"/>
  <c r="J31" i="4"/>
  <c r="H30" i="3" l="1"/>
  <c r="J29" i="3"/>
  <c r="J32" i="4"/>
  <c r="H33" i="4"/>
  <c r="H31" i="3" l="1"/>
  <c r="J30" i="3"/>
  <c r="H34" i="4"/>
  <c r="J33" i="4"/>
  <c r="H32" i="3" l="1"/>
  <c r="J31" i="3"/>
  <c r="J34" i="4"/>
  <c r="H35" i="4"/>
  <c r="J35" i="4" s="1"/>
  <c r="H33" i="3" l="1"/>
  <c r="J32" i="3"/>
  <c r="H34" i="3" l="1"/>
  <c r="J33" i="3"/>
  <c r="H35" i="3" l="1"/>
  <c r="J34" i="3"/>
  <c r="J35" i="3" l="1"/>
  <c r="H36" i="3"/>
  <c r="J36" i="3" l="1"/>
  <c r="H37" i="3"/>
  <c r="H38" i="3" l="1"/>
  <c r="J37" i="3"/>
  <c r="J38" i="3" l="1"/>
  <c r="H39" i="3"/>
  <c r="H40" i="3" l="1"/>
  <c r="J39" i="3"/>
  <c r="H41" i="3" l="1"/>
  <c r="J40" i="3"/>
  <c r="J41" i="3" l="1"/>
  <c r="H42" i="3"/>
  <c r="J42" i="3" l="1"/>
  <c r="H43" i="3"/>
  <c r="H44" i="3" l="1"/>
  <c r="J43" i="3"/>
  <c r="J44" i="3" l="1"/>
  <c r="H45" i="3"/>
  <c r="H46" i="3" l="1"/>
  <c r="J45" i="3"/>
  <c r="J46" i="3" l="1"/>
  <c r="H47" i="3"/>
  <c r="H48" i="3" l="1"/>
  <c r="J47" i="3"/>
  <c r="J48" i="3" l="1"/>
  <c r="H49" i="3"/>
  <c r="H50" i="3" l="1"/>
  <c r="J49" i="3"/>
  <c r="J50" i="3" l="1"/>
  <c r="H51" i="3"/>
  <c r="J51" i="3" l="1"/>
  <c r="H52" i="3"/>
  <c r="J52" i="3" l="1"/>
  <c r="H53" i="3"/>
  <c r="H54" i="3" l="1"/>
  <c r="J53" i="3"/>
  <c r="J54" i="3" l="1"/>
  <c r="H55" i="3"/>
  <c r="H56" i="3" l="1"/>
  <c r="J55" i="3"/>
  <c r="J56" i="3" l="1"/>
  <c r="H57" i="3"/>
  <c r="H58" i="3" l="1"/>
  <c r="J57" i="3"/>
  <c r="J58" i="3" l="1"/>
  <c r="H59" i="3"/>
  <c r="H60" i="3" l="1"/>
  <c r="J59" i="3"/>
  <c r="H61" i="3" l="1"/>
  <c r="J60" i="3"/>
  <c r="H62" i="3" l="1"/>
  <c r="J61" i="3"/>
  <c r="J62" i="3" l="1"/>
  <c r="H63" i="3"/>
  <c r="H64" i="3" l="1"/>
  <c r="J63" i="3"/>
  <c r="J64" i="3" l="1"/>
  <c r="H65" i="3"/>
  <c r="H66" i="3" l="1"/>
  <c r="J65" i="3"/>
  <c r="J66" i="3" l="1"/>
  <c r="H67" i="3"/>
  <c r="H68" i="3" l="1"/>
  <c r="J67" i="3"/>
  <c r="J68" i="3" l="1"/>
  <c r="H69" i="3"/>
  <c r="J69" i="3" l="1"/>
  <c r="H70" i="3"/>
  <c r="J70" i="3" l="1"/>
  <c r="H71" i="3"/>
  <c r="J71" i="3" l="1"/>
  <c r="H72" i="3"/>
  <c r="J72" i="3" l="1"/>
  <c r="H73" i="3"/>
  <c r="J73" i="3" l="1"/>
  <c r="H74" i="3"/>
  <c r="J74" i="3" l="1"/>
  <c r="H75" i="3"/>
  <c r="J75" i="3" l="1"/>
  <c r="H76" i="3"/>
  <c r="J76" i="3" l="1"/>
  <c r="H77" i="3"/>
  <c r="J77" i="3" l="1"/>
  <c r="H78" i="3"/>
  <c r="H79" i="3" l="1"/>
  <c r="J78" i="3"/>
  <c r="J79" i="3" l="1"/>
  <c r="H80" i="3"/>
  <c r="J80" i="3" l="1"/>
  <c r="H81" i="3"/>
  <c r="H82" i="3" l="1"/>
  <c r="J81" i="3"/>
  <c r="J82" i="3" l="1"/>
  <c r="H83" i="3"/>
  <c r="J83" i="3" l="1"/>
  <c r="H84" i="3"/>
  <c r="H85" i="3" l="1"/>
  <c r="J84" i="3"/>
  <c r="J85" i="3" l="1"/>
  <c r="H86" i="3"/>
  <c r="H87" i="3" l="1"/>
  <c r="J87" i="3" s="1"/>
  <c r="J86" i="3"/>
</calcChain>
</file>

<file path=xl/sharedStrings.xml><?xml version="1.0" encoding="utf-8"?>
<sst xmlns="http://schemas.openxmlformats.org/spreadsheetml/2006/main" count="193" uniqueCount="124">
  <si>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</si>
  <si>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</si>
  <si>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</si>
  <si>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</si>
  <si>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</si>
  <si>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</si>
  <si>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</si>
  <si>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</si>
  <si>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</si>
  <si>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</si>
  <si>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</si>
  <si>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</si>
  <si>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</si>
  <si>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</si>
  <si>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</si>
  <si>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</si>
  <si>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</si>
  <si>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</si>
  <si>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</si>
  <si>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</si>
  <si>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</si>
  <si>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</si>
  <si>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BALANCE FORWARDED (LGU)</t>
  </si>
  <si>
    <t>LESS: 07/30/2024 (UNDERTIME)</t>
  </si>
  <si>
    <t>LESS: 07/31/2024</t>
  </si>
  <si>
    <t>LESS: 08/30/2024</t>
  </si>
  <si>
    <t>ADD: 08/1-31/2024</t>
  </si>
  <si>
    <t>LESS: 09/5-6/2024</t>
  </si>
  <si>
    <t>LESS: 09/17/2024</t>
  </si>
  <si>
    <t>ADD: 09/1-30/2024</t>
  </si>
  <si>
    <t>LESS: 10/07/2024</t>
  </si>
  <si>
    <t>LESS: 10/09/2024 (HALF DAY)</t>
  </si>
  <si>
    <t>LESS: 10/10/2024 (HALF DAY)</t>
  </si>
  <si>
    <t>LESS: 10/21/2024</t>
  </si>
  <si>
    <t>ADD: 10/1/2024-11/30/2024</t>
  </si>
  <si>
    <t>LESS: 12/5/2024</t>
  </si>
  <si>
    <t>ADD: 03/1/2023-10/31/2023</t>
  </si>
  <si>
    <t>LESS: 11/16-17/2023</t>
  </si>
  <si>
    <t>LESS: 11/29/2023</t>
  </si>
  <si>
    <t>ADD: 11/1/2023-12/31/2023</t>
  </si>
  <si>
    <t>LESS: 01/16-17/2024</t>
  </si>
  <si>
    <t>ADD: 01/1-31/2024</t>
  </si>
  <si>
    <t>LESS: 02/12-13/2024</t>
  </si>
  <si>
    <t>ADD: 02/1-29/2024</t>
  </si>
  <si>
    <t>LESS: 03/6-8/2024</t>
  </si>
  <si>
    <t>LESS: 03/12/2024</t>
  </si>
  <si>
    <t>LESS: 03/18/2024</t>
  </si>
  <si>
    <t>ADD: 03/1/-31/2024</t>
  </si>
  <si>
    <t>LESS: 04/19, 25, 29/2024</t>
  </si>
  <si>
    <t>LESS: 05/6, 8, 10/2024</t>
  </si>
  <si>
    <t>LESS: 05/20, 21, 24/2024</t>
  </si>
  <si>
    <t>LESS: 05/30-31/2024</t>
  </si>
  <si>
    <t>ADD: 06/1-30/2024</t>
  </si>
  <si>
    <t>ADD: 05/1-31/2024</t>
  </si>
  <si>
    <t>LESS: 06/7/2024</t>
  </si>
  <si>
    <t>LESS: 06/20, 21, 25, 26/2024</t>
  </si>
  <si>
    <t>ADD: 04/1/2024</t>
  </si>
  <si>
    <t>LESS: 12/30-31/2023</t>
  </si>
  <si>
    <t>JULY 01, 2024 EFFECTIVE DATE OF TRANSFER to DepEd SIPALAY</t>
  </si>
  <si>
    <t>LESS: 12/9/2024</t>
  </si>
  <si>
    <t>LESS: 12/13 &amp; 18/2024</t>
  </si>
  <si>
    <t>ADD: 12/1-31/2024</t>
  </si>
  <si>
    <t>LESS: 01/2/2025</t>
  </si>
  <si>
    <t>LESS: 01/13/2025</t>
  </si>
  <si>
    <t>LESS: 01/16/2025</t>
  </si>
  <si>
    <t>ADD: 01/1-31/2025</t>
  </si>
  <si>
    <t>LESS: 01/30/2025</t>
  </si>
  <si>
    <t>LESS: 02/6/2025</t>
  </si>
  <si>
    <t>ADD: 02/1-28/2025</t>
  </si>
  <si>
    <t>LESS: 03/6/2025</t>
  </si>
  <si>
    <t>ADD: 03/1-31/2025</t>
  </si>
  <si>
    <t>LESS: 04/7/2025</t>
  </si>
  <si>
    <t>LESS: 04/22-23/2025</t>
  </si>
  <si>
    <t>LESS: 04/28/2025</t>
  </si>
  <si>
    <t>FROM LGU</t>
  </si>
  <si>
    <t>ADD: JULY 1-31, 2024                         (TRANSFERRED TO SDO-SIPALAY CITY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</si>
  <si>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</si>
  <si>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</si>
  <si>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</si>
  <si>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</si>
  <si>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</si>
  <si>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</si>
  <si>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</si>
  <si>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LESS: 05/15/23</t>
  </si>
  <si>
    <t>LESS: 08/18/23</t>
  </si>
  <si>
    <t>ADD: 10/11/2023</t>
  </si>
  <si>
    <t>S.O. # 084, S. 2023. CAPACITY BUILDING OF TEACHERS ON THE IMPLEMENTATION OF THE NATIONAL LEARNING CAMP</t>
  </si>
  <si>
    <t>ADD: 10/17/2023</t>
  </si>
  <si>
    <t>S.O. #159, S. 2023. 125th PHILIPPINE INDEPENDENCE DAY</t>
  </si>
  <si>
    <t>LESS: 10/31/2023 &amp; 11/03/2023</t>
  </si>
  <si>
    <t>S.O. # 084, S. 2023.  &amp; S.O. #159, S. 2023</t>
  </si>
  <si>
    <t>Certified Correct:</t>
  </si>
  <si>
    <t>MA. LUISA B. CATIGAN</t>
  </si>
  <si>
    <t>Administrative Officer IV</t>
  </si>
  <si>
    <t xml:space="preserve">    HRMO</t>
  </si>
  <si>
    <t>ADD: 03/21/2025</t>
  </si>
  <si>
    <t>S.O. # 010, S. 2025 DECEMBER 20, 2024 OVERTIME</t>
  </si>
  <si>
    <t>LESS: 05/26/2025</t>
  </si>
  <si>
    <t>ADD: 04/1-/2025-05/31/2025</t>
  </si>
  <si>
    <t>LESS: 06/9/2025</t>
  </si>
  <si>
    <t>ADD: 06/1-30/2025</t>
  </si>
  <si>
    <t>LESS: 06/30/2025</t>
  </si>
  <si>
    <t>LESS: 07/11/2025 PM</t>
  </si>
  <si>
    <t>LESS: 07/17 &amp; 25/2025</t>
  </si>
  <si>
    <t>LESS: 07/31/2025</t>
  </si>
  <si>
    <t>ADD: 07/1-31/2025</t>
  </si>
  <si>
    <t>LESS: 08/4-5/2025</t>
  </si>
  <si>
    <t>LESS: 08/29/2025</t>
  </si>
  <si>
    <t>LESS: 08/18/2025</t>
  </si>
  <si>
    <t>ADD: 08/1-31/2025</t>
  </si>
  <si>
    <t>LESS: 09/8/2025</t>
  </si>
  <si>
    <t>LESS: 09/22-23/2025</t>
  </si>
  <si>
    <t>ADD: 09/1-30/2025</t>
  </si>
  <si>
    <t>LESS: 10/8-9/2025</t>
  </si>
  <si>
    <t>LESS: 10/24/2025</t>
  </si>
  <si>
    <t>LESS: 10/17 &amp; 23/2025</t>
  </si>
  <si>
    <t>ADD: 10/1-31/2025</t>
  </si>
  <si>
    <t>LESS: 11/3 &amp; 10/2025</t>
  </si>
  <si>
    <t>LESS: 11/17/2025</t>
  </si>
  <si>
    <t>LESS: 11/25/2025</t>
  </si>
  <si>
    <t>LESS: 12/26/2025</t>
  </si>
  <si>
    <t>ADD: 11/1-30/2025</t>
  </si>
  <si>
    <t>LESS: 12/9/2025</t>
  </si>
  <si>
    <t>LESS: 12/15/2025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</si>
</sst>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8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2" borderId="0" xfId="1" applyFill="1"/>
    <xf numFmtId="0" fontId="1" fillId="2" borderId="0" xfId="1" applyFont="1" applyFill="1" applyAlignment="1">
      <alignment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8" xfId="1" applyFont="1" applyFill="1" applyBorder="1" applyAlignment="1">
      <alignment vertical="center"/>
    </xf>
    <xf numFmtId="0" fontId="5" fillId="0" borderId="0" xfId="1"/>
    <xf numFmtId="0" fontId="7" fillId="0" borderId="0" xfId="1" applyFont="1"/>
    <xf numFmtId="0" fontId="0" fillId="2" borderId="5" xfId="1" applyFont="1" applyFill="1" applyBorder="1" applyAlignment="1">
      <alignment horizontal="center" vertical="center" wrapText="1"/>
    </xf>
    <xf numFmtId="0" fontId="5" fillId="2" borderId="16" xfId="1" applyFill="1" applyBorder="1" applyAlignment="1">
      <alignment horizontal="center" vertical="center" wrapText="1"/>
    </xf>
    <xf numFmtId="0" fontId="9" fillId="0" borderId="0" xfId="1" applyFont="1"/>
    <xf numFmtId="0" fontId="5" fillId="11" borderId="16" xfId="1" applyFill="1" applyBorder="1" applyAlignment="1">
      <alignment horizontal="center" vertical="center" wrapText="1"/>
    </xf>
    <xf numFmtId="0" fontId="0" fillId="2" borderId="6" xfId="1" applyFont="1" applyFill="1" applyBorder="1" applyAlignment="1">
      <alignment horizontal="center" vertical="center" wrapText="1"/>
    </xf>
    <xf numFmtId="0" fontId="5" fillId="2" borderId="6" xfId="1" applyFill="1" applyBorder="1" applyAlignment="1">
      <alignment horizontal="center" vertical="center" wrapText="1"/>
    </xf>
    <xf numFmtId="0" fontId="5" fillId="11" borderId="6" xfId="1" applyFill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5" fillId="2" borderId="0" xfId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2" borderId="0" xfId="1" applyFill="1" applyAlignment="1">
      <alignment horizontal="center"/>
    </xf>
    <xf numFmtId="0" fontId="10" fillId="0" borderId="0" xfId="1" applyFont="1" applyAlignment="1">
      <alignment vertical="center"/>
    </xf>
    <xf numFmtId="0" fontId="11" fillId="0" borderId="0" xfId="1" applyFont="1"/>
    <xf numFmtId="0" fontId="0" fillId="12" borderId="6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8" borderId="9" xfId="1" applyFont="1" applyFill="1" applyBorder="1" applyAlignment="1">
      <alignment horizontal="center" vertical="center"/>
    </xf>
    <xf numFmtId="0" fontId="6" fillId="8" borderId="5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9" borderId="3" xfId="1" applyFont="1" applyFill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/>
    </xf>
    <xf numFmtId="0" fontId="6" fillId="8" borderId="7" xfId="1" applyFont="1" applyFill="1" applyBorder="1" applyAlignment="1">
      <alignment horizontal="center" vertical="center"/>
    </xf>
    <xf numFmtId="0" fontId="8" fillId="10" borderId="17" xfId="1" applyFont="1" applyFill="1" applyBorder="1" applyAlignment="1">
      <alignment horizontal="center" vertical="center" wrapText="1"/>
    </xf>
    <xf numFmtId="0" fontId="8" fillId="10" borderId="18" xfId="1" applyFont="1" applyFill="1" applyBorder="1" applyAlignment="1">
      <alignment horizontal="center" vertical="center" wrapText="1"/>
    </xf>
    <xf numFmtId="0" fontId="8" fillId="10" borderId="19" xfId="1" applyFont="1" applyFill="1" applyBorder="1" applyAlignment="1">
      <alignment horizontal="center" vertical="center" wrapText="1"/>
    </xf>
    <xf numFmtId="0" fontId="5" fillId="2" borderId="0" xfId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0" fontId="5" fillId="0" borderId="0" xfId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4BEC4C18-266E-4B82-85A9-4D12F11E8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81310-C18C-40A9-ADD0-B10A1C44907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6C3CEB-12F6-4DE7-8305-18BB054B9EBD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AMAR, MARY MONYEEN T.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80E967-15CB-4CED-B8BB-5478F09C1950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B103AF-9EB6-4F52-9B54-11101E34025E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6</xdr:col>
      <xdr:colOff>311509</xdr:colOff>
      <xdr:row>91</xdr:row>
      <xdr:rowOff>26956</xdr:rowOff>
    </xdr:from>
    <xdr:to>
      <xdr:col>9</xdr:col>
      <xdr:colOff>602053</xdr:colOff>
      <xdr:row>96</xdr:row>
      <xdr:rowOff>143773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77D13-3642-4663-BEFC-1C5D42DA351B}"/>
            </a:ext>
          </a:extLst>
        </xdr:cNvPr>
        <xdr:cNvSpPr txBox="1"/>
      </xdr:nvSpPr>
      <xdr:spPr>
        <a:xfrm>
          <a:off x="6610589" y="5014102"/>
          <a:ext cx="260889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111EA-137F-453F-B4AC-35155C449A1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EF71B6-7986-42BD-8041-C4755F0F05A0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AMAR, MARY MONYEEN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4CC38C-89F8-4D09-B10D-D2DA3CF0169F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ADAS-III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1B36B3-11EC-4929-9A20-0BAD8F254524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3EB9F-EDA4-4729-9BAB-54DCB41FE6F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33E245-BB91-4E2F-9BBE-2CE232693E33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AMAR, MARY MONYEEN T.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8BA1D9-FB18-4750-B355-E52D73F07BE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48292A-B910-421A-908D-738C87F5DDFF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6</xdr:col>
      <xdr:colOff>311509</xdr:colOff>
      <xdr:row>36</xdr:row>
      <xdr:rowOff>26956</xdr:rowOff>
    </xdr:from>
    <xdr:to>
      <xdr:col>9</xdr:col>
      <xdr:colOff>602053</xdr:colOff>
      <xdr:row>41</xdr:row>
      <xdr:rowOff>143773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4E5CA9-F788-4F3D-B892-7C75203065F0}"/>
            </a:ext>
          </a:extLst>
        </xdr:cNvPr>
        <xdr:cNvSpPr txBox="1"/>
      </xdr:nvSpPr>
      <xdr:spPr>
        <a:xfrm>
          <a:off x="6607534" y="5799106"/>
          <a:ext cx="2605119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B087-1709-4597-8B05-7D277660047F}">
  <sheetPr>
    <pageSetUpPr fitToPage="1"/>
  </sheetPr>
  <dimension ref="A1:K95"/>
  <sheetViews>
    <sheetView tabSelected="1" view="pageBreakPreview" topLeftCell="A68" zoomScale="106" zoomScaleNormal="100" zoomScaleSheetLayoutView="106" workbookViewId="0">
      <selection activeCell="A87" sqref="A87:XFD87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8" customWidth="1"/>
    <col min="8" max="10" width="11.5703125" customWidth="1"/>
    <col min="11" max="11" width="26.42578125" style="15" customWidth="1"/>
  </cols>
  <sheetData>
    <row r="1" spans="1:11" s="1" customFormat="1" ht="52.5" customHeight="1" x14ac:dyDescent="0.25"/>
    <row r="2" spans="1:11" s="1" customFormat="1" ht="10.5" customHeight="1" x14ac:dyDescent="0.2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</row>
    <row r="3" spans="1:11" s="1" customFormat="1" ht="15.95" customHeight="1" x14ac:dyDescent="0.2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</row>
    <row r="4" spans="1:11" s="1" customFormat="1" ht="15.95" customHeight="1" x14ac:dyDescent="0.2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</row>
    <row r="5" spans="1:11" s="1" customFormat="1" ht="15.95" customHeight="1" x14ac:dyDescent="0.25">
      <c r="A5" s="66" t="s">
        <v>3</v>
      </c>
      <c r="B5" s="66"/>
      <c r="C5" s="66"/>
      <c r="D5" s="66"/>
      <c r="E5" s="66"/>
      <c r="F5" s="66"/>
      <c r="G5" s="66"/>
      <c r="H5" s="66"/>
      <c r="I5" s="66"/>
      <c r="J5" s="66"/>
    </row>
    <row r="6" spans="1:11" s="1" customFormat="1" ht="8.25" customHeight="1" x14ac:dyDescent="0.25"/>
    <row r="7" spans="1:11" s="1" customFormat="1" ht="12" customHeight="1" x14ac:dyDescent="0.25">
      <c r="A7" s="1" t="s">
        <v>12</v>
      </c>
      <c r="B7" s="65" t="s">
        <v>13</v>
      </c>
      <c r="C7" s="65"/>
      <c r="D7" s="65"/>
      <c r="H7" s="2" t="s">
        <v>14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15</v>
      </c>
      <c r="B9" s="65" t="s">
        <v>16</v>
      </c>
      <c r="C9" s="65"/>
      <c r="D9" s="65"/>
      <c r="H9" s="2" t="s">
        <v>17</v>
      </c>
      <c r="I9" s="8"/>
      <c r="J9" s="2"/>
    </row>
    <row r="10" spans="1:11" ht="23.25" customHeight="1" thickBot="1" x14ac:dyDescent="0.3">
      <c r="A10" s="54" t="s">
        <v>18</v>
      </c>
      <c r="B10" s="54"/>
      <c r="C10" s="54"/>
      <c r="D10" s="54"/>
      <c r="E10" s="54"/>
      <c r="F10" s="54"/>
      <c r="G10" s="54"/>
      <c r="H10" s="54"/>
      <c r="I10" s="54"/>
      <c r="J10" s="54"/>
      <c r="K10"/>
    </row>
    <row r="11" spans="1:11" ht="18.75" customHeight="1" x14ac:dyDescent="0.25">
      <c r="A11" s="55" t="s">
        <v>4</v>
      </c>
      <c r="B11" s="57" t="s">
        <v>5</v>
      </c>
      <c r="C11" s="57"/>
      <c r="D11" s="58" t="s">
        <v>6</v>
      </c>
      <c r="E11" s="59"/>
      <c r="F11" s="59"/>
      <c r="G11" s="60"/>
      <c r="H11" s="61" t="s">
        <v>7</v>
      </c>
      <c r="I11" s="62"/>
      <c r="J11" s="63" t="s">
        <v>8</v>
      </c>
      <c r="K11" s="53" t="s">
        <v>19</v>
      </c>
    </row>
    <row r="12" spans="1:11" ht="15.75" thickBot="1" x14ac:dyDescent="0.3">
      <c r="A12" s="56"/>
      <c r="B12" s="26" t="s">
        <v>9</v>
      </c>
      <c r="C12" s="10" t="s">
        <v>10</v>
      </c>
      <c r="D12" s="10" t="s">
        <v>9</v>
      </c>
      <c r="E12" s="10" t="s">
        <v>10</v>
      </c>
      <c r="F12" s="10" t="s">
        <v>11</v>
      </c>
      <c r="G12" s="10" t="s">
        <v>20</v>
      </c>
      <c r="H12" s="10" t="s">
        <v>9</v>
      </c>
      <c r="I12" s="10" t="s">
        <v>10</v>
      </c>
      <c r="J12" s="64"/>
      <c r="K12" s="53"/>
    </row>
    <row r="13" spans="1:11" x14ac:dyDescent="0.25">
      <c r="A13" s="50" t="s">
        <v>74</v>
      </c>
      <c r="B13" s="51"/>
      <c r="C13" s="52"/>
      <c r="D13" s="52"/>
      <c r="E13" s="52"/>
      <c r="F13" s="52"/>
      <c r="G13" s="52"/>
      <c r="H13" s="52"/>
      <c r="I13" s="52"/>
      <c r="J13" s="49"/>
      <c r="K13" s="12"/>
    </row>
    <row r="14" spans="1:11" ht="16.5" customHeight="1" x14ac:dyDescent="0.25">
      <c r="A14" s="6" t="s">
        <v>36</v>
      </c>
      <c r="B14" s="5">
        <v>10</v>
      </c>
      <c r="C14" s="6">
        <v>10</v>
      </c>
      <c r="D14" s="6"/>
      <c r="E14" s="5"/>
      <c r="F14" s="5"/>
      <c r="G14" s="5"/>
      <c r="H14" s="16">
        <f>B14</f>
        <v>10</v>
      </c>
      <c r="I14" s="16">
        <f>C14</f>
        <v>10</v>
      </c>
      <c r="J14" s="16">
        <f>SUM(H14:I14)</f>
        <v>20</v>
      </c>
    </row>
    <row r="15" spans="1:11" ht="15" customHeight="1" x14ac:dyDescent="0.25">
      <c r="A15" s="6" t="s">
        <v>37</v>
      </c>
      <c r="B15" s="5"/>
      <c r="C15" s="6"/>
      <c r="D15" s="6">
        <v>2</v>
      </c>
      <c r="E15" s="5"/>
      <c r="F15" s="5"/>
      <c r="G15" s="5"/>
      <c r="H15" s="16">
        <f>H14-F15-D15+B15</f>
        <v>8</v>
      </c>
      <c r="I15" s="16">
        <f>I14-E15+C15</f>
        <v>10</v>
      </c>
      <c r="J15" s="16">
        <f>SUM(H15:I15)</f>
        <v>18</v>
      </c>
    </row>
    <row r="16" spans="1:11" ht="15.75" customHeight="1" x14ac:dyDescent="0.25">
      <c r="A16" s="19" t="s">
        <v>38</v>
      </c>
      <c r="B16" s="5"/>
      <c r="C16" s="6"/>
      <c r="D16" s="6">
        <v>1</v>
      </c>
      <c r="E16" s="5"/>
      <c r="F16" s="5"/>
      <c r="G16" s="5"/>
      <c r="H16" s="16">
        <f t="shared" ref="H16:H35" si="0">H15-F16-D16+B16</f>
        <v>7</v>
      </c>
      <c r="I16" s="16">
        <f t="shared" ref="I16:I35" si="1">I15-E16+C16</f>
        <v>10</v>
      </c>
      <c r="J16" s="16">
        <f t="shared" ref="J16:J35" si="2">SUM(H16:I16)</f>
        <v>17</v>
      </c>
    </row>
    <row r="17" spans="1:10" ht="15" customHeight="1" x14ac:dyDescent="0.25">
      <c r="A17" s="6" t="s">
        <v>39</v>
      </c>
      <c r="B17" s="5">
        <v>2.5</v>
      </c>
      <c r="C17" s="6">
        <v>2.5</v>
      </c>
      <c r="D17" s="6"/>
      <c r="E17" s="5"/>
      <c r="F17" s="5"/>
      <c r="G17" s="5"/>
      <c r="H17" s="16">
        <f t="shared" si="0"/>
        <v>9.5</v>
      </c>
      <c r="I17" s="16">
        <f t="shared" si="1"/>
        <v>12.5</v>
      </c>
      <c r="J17" s="16">
        <f t="shared" si="2"/>
        <v>22</v>
      </c>
    </row>
    <row r="18" spans="1:10" x14ac:dyDescent="0.25">
      <c r="A18" s="6" t="s">
        <v>57</v>
      </c>
      <c r="B18" s="5"/>
      <c r="C18" s="6"/>
      <c r="D18" s="6"/>
      <c r="E18" s="5"/>
      <c r="F18" s="5">
        <v>2</v>
      </c>
      <c r="G18" s="5"/>
      <c r="H18" s="16">
        <f t="shared" si="0"/>
        <v>7.5</v>
      </c>
      <c r="I18" s="16">
        <f t="shared" si="1"/>
        <v>12.5</v>
      </c>
      <c r="J18" s="16">
        <f t="shared" si="2"/>
        <v>20</v>
      </c>
    </row>
    <row r="19" spans="1:10" x14ac:dyDescent="0.25">
      <c r="A19" s="19" t="s">
        <v>40</v>
      </c>
      <c r="B19" s="20"/>
      <c r="C19" s="20"/>
      <c r="D19" s="19"/>
      <c r="E19" s="19">
        <v>2</v>
      </c>
      <c r="F19" s="21"/>
      <c r="G19" s="21"/>
      <c r="H19" s="16">
        <f t="shared" si="0"/>
        <v>7.5</v>
      </c>
      <c r="I19" s="16">
        <f t="shared" si="1"/>
        <v>10.5</v>
      </c>
      <c r="J19" s="16">
        <f t="shared" si="2"/>
        <v>18</v>
      </c>
    </row>
    <row r="20" spans="1:10" x14ac:dyDescent="0.25">
      <c r="A20" s="19" t="s">
        <v>41</v>
      </c>
      <c r="B20" s="19">
        <v>1.25</v>
      </c>
      <c r="C20" s="19">
        <v>1.25</v>
      </c>
      <c r="D20" s="19"/>
      <c r="E20" s="19"/>
      <c r="F20" s="21"/>
      <c r="G20" s="21"/>
      <c r="H20" s="16">
        <f t="shared" si="0"/>
        <v>8.75</v>
      </c>
      <c r="I20" s="16">
        <f t="shared" si="1"/>
        <v>11.75</v>
      </c>
      <c r="J20" s="16">
        <f t="shared" si="2"/>
        <v>20.5</v>
      </c>
    </row>
    <row r="21" spans="1:10" x14ac:dyDescent="0.25">
      <c r="A21" s="19" t="s">
        <v>42</v>
      </c>
      <c r="B21" s="19"/>
      <c r="C21" s="19"/>
      <c r="D21" s="19">
        <v>2</v>
      </c>
      <c r="E21" s="19"/>
      <c r="F21" s="21"/>
      <c r="G21" s="21"/>
      <c r="H21" s="16">
        <f t="shared" si="0"/>
        <v>6.75</v>
      </c>
      <c r="I21" s="16">
        <f t="shared" si="1"/>
        <v>11.75</v>
      </c>
      <c r="J21" s="16">
        <f t="shared" si="2"/>
        <v>18.5</v>
      </c>
    </row>
    <row r="22" spans="1:10" x14ac:dyDescent="0.25">
      <c r="A22" s="19" t="s">
        <v>43</v>
      </c>
      <c r="B22" s="19">
        <v>1.25</v>
      </c>
      <c r="C22" s="19">
        <v>1.25</v>
      </c>
      <c r="D22" s="19"/>
      <c r="E22" s="19"/>
      <c r="F22" s="21"/>
      <c r="G22" s="21"/>
      <c r="H22" s="16">
        <f t="shared" si="0"/>
        <v>8</v>
      </c>
      <c r="I22" s="16">
        <f t="shared" si="1"/>
        <v>13</v>
      </c>
      <c r="J22" s="16">
        <f t="shared" si="2"/>
        <v>21</v>
      </c>
    </row>
    <row r="23" spans="1:10" x14ac:dyDescent="0.25">
      <c r="A23" s="19" t="s">
        <v>44</v>
      </c>
      <c r="B23" s="19"/>
      <c r="C23" s="19"/>
      <c r="D23" s="19"/>
      <c r="E23" s="19">
        <v>3</v>
      </c>
      <c r="F23" s="21"/>
      <c r="G23" s="21"/>
      <c r="H23" s="16">
        <f t="shared" si="0"/>
        <v>8</v>
      </c>
      <c r="I23" s="16">
        <f t="shared" si="1"/>
        <v>10</v>
      </c>
      <c r="J23" s="16">
        <f t="shared" si="2"/>
        <v>18</v>
      </c>
    </row>
    <row r="24" spans="1:10" x14ac:dyDescent="0.25">
      <c r="A24" s="19" t="s">
        <v>45</v>
      </c>
      <c r="B24" s="19"/>
      <c r="C24" s="19"/>
      <c r="D24" s="19"/>
      <c r="E24" s="19">
        <v>1</v>
      </c>
      <c r="F24" s="21"/>
      <c r="G24" s="21"/>
      <c r="H24" s="16">
        <f t="shared" si="0"/>
        <v>8</v>
      </c>
      <c r="I24" s="16">
        <f t="shared" si="1"/>
        <v>9</v>
      </c>
      <c r="J24" s="16">
        <f t="shared" si="2"/>
        <v>17</v>
      </c>
    </row>
    <row r="25" spans="1:10" x14ac:dyDescent="0.25">
      <c r="A25" s="19" t="s">
        <v>46</v>
      </c>
      <c r="B25" s="19"/>
      <c r="C25" s="19"/>
      <c r="D25" s="19"/>
      <c r="E25" s="19">
        <v>1</v>
      </c>
      <c r="F25" s="21"/>
      <c r="G25" s="21"/>
      <c r="H25" s="16">
        <f t="shared" si="0"/>
        <v>8</v>
      </c>
      <c r="I25" s="16">
        <f t="shared" si="1"/>
        <v>8</v>
      </c>
      <c r="J25" s="16">
        <f t="shared" si="2"/>
        <v>16</v>
      </c>
    </row>
    <row r="26" spans="1:10" x14ac:dyDescent="0.25">
      <c r="A26" s="19" t="s">
        <v>47</v>
      </c>
      <c r="B26" s="19">
        <v>1.25</v>
      </c>
      <c r="C26" s="19">
        <v>1.25</v>
      </c>
      <c r="D26" s="19"/>
      <c r="E26" s="19"/>
      <c r="F26" s="21"/>
      <c r="G26" s="21"/>
      <c r="H26" s="16">
        <f t="shared" si="0"/>
        <v>9.25</v>
      </c>
      <c r="I26" s="16">
        <f t="shared" si="1"/>
        <v>9.25</v>
      </c>
      <c r="J26" s="16">
        <f t="shared" si="2"/>
        <v>18.5</v>
      </c>
    </row>
    <row r="27" spans="1:10" x14ac:dyDescent="0.25">
      <c r="A27" s="19" t="s">
        <v>48</v>
      </c>
      <c r="B27" s="19"/>
      <c r="C27" s="19"/>
      <c r="D27" s="19"/>
      <c r="E27" s="19">
        <v>3</v>
      </c>
      <c r="F27" s="21"/>
      <c r="G27" s="21"/>
      <c r="H27" s="16">
        <f t="shared" si="0"/>
        <v>9.25</v>
      </c>
      <c r="I27" s="16">
        <f t="shared" si="1"/>
        <v>6.25</v>
      </c>
      <c r="J27" s="16">
        <f t="shared" si="2"/>
        <v>15.5</v>
      </c>
    </row>
    <row r="28" spans="1:10" x14ac:dyDescent="0.25">
      <c r="A28" s="19" t="s">
        <v>56</v>
      </c>
      <c r="B28" s="19">
        <v>1.25</v>
      </c>
      <c r="C28" s="19">
        <v>1.25</v>
      </c>
      <c r="D28" s="19"/>
      <c r="E28" s="19"/>
      <c r="F28" s="21"/>
      <c r="G28" s="21"/>
      <c r="H28" s="16">
        <f t="shared" si="0"/>
        <v>10.5</v>
      </c>
      <c r="I28" s="16">
        <f t="shared" si="1"/>
        <v>7.5</v>
      </c>
      <c r="J28" s="16">
        <f t="shared" si="2"/>
        <v>18</v>
      </c>
    </row>
    <row r="29" spans="1:10" x14ac:dyDescent="0.25">
      <c r="A29" s="19" t="s">
        <v>49</v>
      </c>
      <c r="B29" s="19"/>
      <c r="C29" s="19"/>
      <c r="D29" s="19"/>
      <c r="E29" s="19"/>
      <c r="F29" s="21">
        <v>3</v>
      </c>
      <c r="G29" s="21"/>
      <c r="H29" s="16">
        <f t="shared" si="0"/>
        <v>7.5</v>
      </c>
      <c r="I29" s="16">
        <f t="shared" si="1"/>
        <v>7.5</v>
      </c>
      <c r="J29" s="16">
        <f t="shared" si="2"/>
        <v>15</v>
      </c>
    </row>
    <row r="30" spans="1:10" x14ac:dyDescent="0.25">
      <c r="A30" s="19" t="s">
        <v>50</v>
      </c>
      <c r="B30" s="19"/>
      <c r="C30" s="19"/>
      <c r="D30" s="19"/>
      <c r="E30" s="19">
        <v>3</v>
      </c>
      <c r="F30" s="21"/>
      <c r="G30" s="21"/>
      <c r="H30" s="16">
        <f t="shared" si="0"/>
        <v>7.5</v>
      </c>
      <c r="I30" s="16">
        <f t="shared" si="1"/>
        <v>4.5</v>
      </c>
      <c r="J30" s="16">
        <f t="shared" si="2"/>
        <v>12</v>
      </c>
    </row>
    <row r="31" spans="1:10" x14ac:dyDescent="0.25">
      <c r="A31" s="19" t="s">
        <v>51</v>
      </c>
      <c r="B31" s="19"/>
      <c r="C31" s="19"/>
      <c r="D31" s="19"/>
      <c r="E31" s="19"/>
      <c r="F31" s="21">
        <v>2</v>
      </c>
      <c r="G31" s="21"/>
      <c r="H31" s="16">
        <f t="shared" si="0"/>
        <v>5.5</v>
      </c>
      <c r="I31" s="16">
        <f t="shared" si="1"/>
        <v>4.5</v>
      </c>
      <c r="J31" s="16">
        <f t="shared" si="2"/>
        <v>10</v>
      </c>
    </row>
    <row r="32" spans="1:10" x14ac:dyDescent="0.25">
      <c r="A32" s="19" t="s">
        <v>53</v>
      </c>
      <c r="B32" s="19">
        <v>1.25</v>
      </c>
      <c r="C32" s="19">
        <v>1.25</v>
      </c>
      <c r="D32" s="19"/>
      <c r="E32" s="19"/>
      <c r="F32" s="21"/>
      <c r="G32" s="21"/>
      <c r="H32" s="16">
        <f t="shared" si="0"/>
        <v>6.75</v>
      </c>
      <c r="I32" s="16">
        <f t="shared" si="1"/>
        <v>5.75</v>
      </c>
      <c r="J32" s="16">
        <f t="shared" si="2"/>
        <v>12.5</v>
      </c>
    </row>
    <row r="33" spans="1:10" x14ac:dyDescent="0.25">
      <c r="A33" s="19" t="s">
        <v>54</v>
      </c>
      <c r="B33" s="19"/>
      <c r="C33" s="19"/>
      <c r="D33" s="19"/>
      <c r="E33" s="19">
        <v>1</v>
      </c>
      <c r="F33" s="21"/>
      <c r="G33" s="21"/>
      <c r="H33" s="16">
        <f t="shared" si="0"/>
        <v>6.75</v>
      </c>
      <c r="I33" s="16">
        <f t="shared" si="1"/>
        <v>4.75</v>
      </c>
      <c r="J33" s="16">
        <f t="shared" si="2"/>
        <v>11.5</v>
      </c>
    </row>
    <row r="34" spans="1:10" x14ac:dyDescent="0.25">
      <c r="A34" s="19" t="s">
        <v>55</v>
      </c>
      <c r="B34" s="19"/>
      <c r="C34" s="19"/>
      <c r="D34" s="19">
        <v>4</v>
      </c>
      <c r="E34" s="19"/>
      <c r="F34" s="21"/>
      <c r="G34" s="21"/>
      <c r="H34" s="16">
        <f t="shared" si="0"/>
        <v>2.75</v>
      </c>
      <c r="I34" s="16">
        <f t="shared" si="1"/>
        <v>4.75</v>
      </c>
      <c r="J34" s="16">
        <f t="shared" si="2"/>
        <v>7.5</v>
      </c>
    </row>
    <row r="35" spans="1:10" x14ac:dyDescent="0.25">
      <c r="A35" s="19" t="s">
        <v>52</v>
      </c>
      <c r="B35" s="19">
        <v>1.25</v>
      </c>
      <c r="C35" s="19">
        <v>1.25</v>
      </c>
      <c r="D35" s="19"/>
      <c r="E35" s="19"/>
      <c r="F35" s="21"/>
      <c r="G35" s="21"/>
      <c r="H35" s="16">
        <f t="shared" si="0"/>
        <v>4</v>
      </c>
      <c r="I35" s="16">
        <f t="shared" si="1"/>
        <v>6</v>
      </c>
      <c r="J35" s="16">
        <f t="shared" si="2"/>
        <v>10</v>
      </c>
    </row>
    <row r="36" spans="1:10" ht="30" x14ac:dyDescent="0.25">
      <c r="A36" s="6" t="s">
        <v>75</v>
      </c>
      <c r="B36" s="5">
        <v>1.25</v>
      </c>
      <c r="C36" s="6">
        <v>1.25</v>
      </c>
      <c r="D36" s="6"/>
      <c r="E36" s="5"/>
      <c r="F36" s="5"/>
      <c r="G36" s="5"/>
      <c r="H36" s="16">
        <f t="shared" ref="H36:H64" si="3">H35-F36-D36+B36</f>
        <v>5.25</v>
      </c>
      <c r="I36" s="16">
        <f t="shared" ref="I36:I64" si="4">I35-E36+C36</f>
        <v>7.25</v>
      </c>
      <c r="J36" s="16">
        <f t="shared" ref="J36:J64" si="5">SUM(H36:I36)</f>
        <v>12.5</v>
      </c>
    </row>
    <row r="37" spans="1:10" x14ac:dyDescent="0.25">
      <c r="A37" s="19" t="s">
        <v>23</v>
      </c>
      <c r="B37" s="5"/>
      <c r="C37" s="6"/>
      <c r="D37" s="6"/>
      <c r="E37" s="5">
        <v>0.5</v>
      </c>
      <c r="F37" s="5"/>
      <c r="G37" s="5"/>
      <c r="H37" s="16">
        <f t="shared" si="3"/>
        <v>5.25</v>
      </c>
      <c r="I37" s="16">
        <f t="shared" si="4"/>
        <v>6.75</v>
      </c>
      <c r="J37" s="16">
        <f t="shared" si="5"/>
        <v>12</v>
      </c>
    </row>
    <row r="38" spans="1:10" x14ac:dyDescent="0.25">
      <c r="A38" s="6" t="s">
        <v>24</v>
      </c>
      <c r="B38" s="5"/>
      <c r="C38" s="6"/>
      <c r="D38" s="6"/>
      <c r="E38" s="5">
        <v>1</v>
      </c>
      <c r="F38" s="5"/>
      <c r="G38" s="5"/>
      <c r="H38" s="16">
        <f t="shared" si="3"/>
        <v>5.25</v>
      </c>
      <c r="I38" s="16">
        <f t="shared" si="4"/>
        <v>5.75</v>
      </c>
      <c r="J38" s="16">
        <f t="shared" si="5"/>
        <v>11</v>
      </c>
    </row>
    <row r="39" spans="1:10" x14ac:dyDescent="0.25">
      <c r="A39" s="19" t="s">
        <v>25</v>
      </c>
      <c r="B39" s="20"/>
      <c r="C39" s="20"/>
      <c r="D39" s="19">
        <v>1</v>
      </c>
      <c r="E39" s="20"/>
      <c r="F39" s="21"/>
      <c r="G39" s="21"/>
      <c r="H39" s="16">
        <f t="shared" si="3"/>
        <v>4.25</v>
      </c>
      <c r="I39" s="16">
        <f t="shared" si="4"/>
        <v>5.75</v>
      </c>
      <c r="J39" s="16">
        <f t="shared" si="5"/>
        <v>10</v>
      </c>
    </row>
    <row r="40" spans="1:10" x14ac:dyDescent="0.25">
      <c r="A40" s="19" t="s">
        <v>26</v>
      </c>
      <c r="B40" s="19">
        <v>1.25</v>
      </c>
      <c r="C40" s="19">
        <v>1.25</v>
      </c>
      <c r="D40" s="19"/>
      <c r="E40" s="20"/>
      <c r="F40" s="21"/>
      <c r="G40" s="21"/>
      <c r="H40" s="16">
        <f t="shared" si="3"/>
        <v>5.5</v>
      </c>
      <c r="I40" s="16">
        <f t="shared" si="4"/>
        <v>7</v>
      </c>
      <c r="J40" s="16">
        <f t="shared" si="5"/>
        <v>12.5</v>
      </c>
    </row>
    <row r="41" spans="1:10" x14ac:dyDescent="0.25">
      <c r="A41" s="19" t="s">
        <v>27</v>
      </c>
      <c r="B41" s="19"/>
      <c r="C41" s="19"/>
      <c r="D41" s="19"/>
      <c r="E41" s="19">
        <v>2</v>
      </c>
      <c r="F41" s="21"/>
      <c r="G41" s="21"/>
      <c r="H41" s="16">
        <f t="shared" si="3"/>
        <v>5.5</v>
      </c>
      <c r="I41" s="16">
        <f t="shared" si="4"/>
        <v>5</v>
      </c>
      <c r="J41" s="16">
        <f t="shared" si="5"/>
        <v>10.5</v>
      </c>
    </row>
    <row r="42" spans="1:10" x14ac:dyDescent="0.25">
      <c r="A42" s="19" t="s">
        <v>28</v>
      </c>
      <c r="B42" s="19"/>
      <c r="C42" s="19"/>
      <c r="D42" s="19"/>
      <c r="E42" s="19">
        <v>1</v>
      </c>
      <c r="F42" s="21"/>
      <c r="G42" s="21"/>
      <c r="H42" s="16">
        <f t="shared" si="3"/>
        <v>5.5</v>
      </c>
      <c r="I42" s="16">
        <f t="shared" si="4"/>
        <v>4</v>
      </c>
      <c r="J42" s="16">
        <f t="shared" si="5"/>
        <v>9.5</v>
      </c>
    </row>
    <row r="43" spans="1:10" x14ac:dyDescent="0.25">
      <c r="A43" s="19" t="s">
        <v>29</v>
      </c>
      <c r="B43" s="19">
        <v>1.25</v>
      </c>
      <c r="C43" s="19">
        <v>1.25</v>
      </c>
      <c r="D43" s="19"/>
      <c r="E43" s="19"/>
      <c r="F43" s="21"/>
      <c r="G43" s="21"/>
      <c r="H43" s="16">
        <f t="shared" si="3"/>
        <v>6.75</v>
      </c>
      <c r="I43" s="16">
        <f t="shared" si="4"/>
        <v>5.25</v>
      </c>
      <c r="J43" s="16">
        <f t="shared" si="5"/>
        <v>12</v>
      </c>
    </row>
    <row r="44" spans="1:10" x14ac:dyDescent="0.25">
      <c r="A44" s="19" t="s">
        <v>30</v>
      </c>
      <c r="B44" s="19"/>
      <c r="C44" s="19"/>
      <c r="D44" s="19"/>
      <c r="E44" s="19">
        <v>1</v>
      </c>
      <c r="F44" s="21"/>
      <c r="G44" s="21"/>
      <c r="H44" s="16">
        <f t="shared" si="3"/>
        <v>6.75</v>
      </c>
      <c r="I44" s="16">
        <f t="shared" si="4"/>
        <v>4.25</v>
      </c>
      <c r="J44" s="16">
        <f t="shared" si="5"/>
        <v>11</v>
      </c>
    </row>
    <row r="45" spans="1:10" x14ac:dyDescent="0.25">
      <c r="A45" s="19" t="s">
        <v>31</v>
      </c>
      <c r="B45" s="19"/>
      <c r="C45" s="19"/>
      <c r="D45" s="19">
        <v>0.5</v>
      </c>
      <c r="E45" s="19"/>
      <c r="F45" s="21"/>
      <c r="G45" s="21"/>
      <c r="H45" s="16">
        <f t="shared" si="3"/>
        <v>6.25</v>
      </c>
      <c r="I45" s="16">
        <f t="shared" si="4"/>
        <v>4.25</v>
      </c>
      <c r="J45" s="16">
        <f t="shared" si="5"/>
        <v>10.5</v>
      </c>
    </row>
    <row r="46" spans="1:10" x14ac:dyDescent="0.25">
      <c r="A46" s="19" t="s">
        <v>32</v>
      </c>
      <c r="B46" s="19"/>
      <c r="C46" s="19"/>
      <c r="D46" s="19">
        <v>0.5</v>
      </c>
      <c r="E46" s="19"/>
      <c r="F46" s="21"/>
      <c r="G46" s="21"/>
      <c r="H46" s="16">
        <f t="shared" si="3"/>
        <v>5.75</v>
      </c>
      <c r="I46" s="16">
        <f t="shared" si="4"/>
        <v>4.25</v>
      </c>
      <c r="J46" s="16">
        <f t="shared" si="5"/>
        <v>10</v>
      </c>
    </row>
    <row r="47" spans="1:10" x14ac:dyDescent="0.25">
      <c r="A47" s="19" t="s">
        <v>33</v>
      </c>
      <c r="B47" s="20"/>
      <c r="C47" s="20"/>
      <c r="D47" s="20"/>
      <c r="E47" s="19">
        <v>1</v>
      </c>
      <c r="F47" s="21"/>
      <c r="G47" s="21"/>
      <c r="H47" s="16">
        <f t="shared" si="3"/>
        <v>5.75</v>
      </c>
      <c r="I47" s="16">
        <f t="shared" si="4"/>
        <v>3.25</v>
      </c>
      <c r="J47" s="16">
        <f t="shared" si="5"/>
        <v>9</v>
      </c>
    </row>
    <row r="48" spans="1:10" x14ac:dyDescent="0.25">
      <c r="A48" s="19" t="s">
        <v>34</v>
      </c>
      <c r="B48" s="19">
        <v>2.5</v>
      </c>
      <c r="C48" s="19">
        <v>2.5</v>
      </c>
      <c r="D48" s="19"/>
      <c r="E48" s="19"/>
      <c r="F48" s="21"/>
      <c r="G48" s="21"/>
      <c r="H48" s="16">
        <f t="shared" si="3"/>
        <v>8.25</v>
      </c>
      <c r="I48" s="16">
        <f t="shared" si="4"/>
        <v>5.75</v>
      </c>
      <c r="J48" s="16">
        <f t="shared" si="5"/>
        <v>14</v>
      </c>
    </row>
    <row r="49" spans="1:10" x14ac:dyDescent="0.25">
      <c r="A49" s="19" t="s">
        <v>35</v>
      </c>
      <c r="B49" s="19"/>
      <c r="C49" s="19"/>
      <c r="D49" s="19"/>
      <c r="E49" s="19">
        <v>1</v>
      </c>
      <c r="F49" s="21"/>
      <c r="G49" s="21"/>
      <c r="H49" s="16">
        <f t="shared" si="3"/>
        <v>8.25</v>
      </c>
      <c r="I49" s="16">
        <f t="shared" si="4"/>
        <v>4.75</v>
      </c>
      <c r="J49" s="16">
        <f t="shared" si="5"/>
        <v>13</v>
      </c>
    </row>
    <row r="50" spans="1:10" x14ac:dyDescent="0.25">
      <c r="A50" s="19" t="s">
        <v>59</v>
      </c>
      <c r="B50" s="19"/>
      <c r="C50" s="19"/>
      <c r="D50" s="19"/>
      <c r="E50" s="19">
        <v>1</v>
      </c>
      <c r="F50" s="21"/>
      <c r="G50" s="21"/>
      <c r="H50" s="16">
        <f t="shared" si="3"/>
        <v>8.25</v>
      </c>
      <c r="I50" s="16">
        <f t="shared" si="4"/>
        <v>3.75</v>
      </c>
      <c r="J50" s="16">
        <f t="shared" si="5"/>
        <v>12</v>
      </c>
    </row>
    <row r="51" spans="1:10" x14ac:dyDescent="0.25">
      <c r="A51" s="19" t="s">
        <v>60</v>
      </c>
      <c r="B51" s="19"/>
      <c r="C51" s="19"/>
      <c r="D51" s="19"/>
      <c r="E51" s="19"/>
      <c r="F51" s="21"/>
      <c r="G51" s="21">
        <v>2</v>
      </c>
      <c r="H51" s="16">
        <f t="shared" si="3"/>
        <v>8.25</v>
      </c>
      <c r="I51" s="16">
        <f t="shared" si="4"/>
        <v>3.75</v>
      </c>
      <c r="J51" s="16">
        <f t="shared" si="5"/>
        <v>12</v>
      </c>
    </row>
    <row r="52" spans="1:10" x14ac:dyDescent="0.25">
      <c r="A52" s="19" t="s">
        <v>61</v>
      </c>
      <c r="B52" s="19">
        <v>1.25</v>
      </c>
      <c r="C52" s="19">
        <v>1.25</v>
      </c>
      <c r="D52" s="19"/>
      <c r="E52" s="19"/>
      <c r="F52" s="21"/>
      <c r="G52" s="21"/>
      <c r="H52" s="16">
        <f t="shared" si="3"/>
        <v>9.5</v>
      </c>
      <c r="I52" s="16">
        <f t="shared" si="4"/>
        <v>5</v>
      </c>
      <c r="J52" s="16">
        <f t="shared" si="5"/>
        <v>14.5</v>
      </c>
    </row>
    <row r="53" spans="1:10" x14ac:dyDescent="0.25">
      <c r="A53" s="19" t="s">
        <v>62</v>
      </c>
      <c r="B53" s="19"/>
      <c r="C53" s="19"/>
      <c r="D53" s="19"/>
      <c r="E53" s="19">
        <v>1</v>
      </c>
      <c r="F53" s="21"/>
      <c r="G53" s="21"/>
      <c r="H53" s="16">
        <f t="shared" si="3"/>
        <v>9.5</v>
      </c>
      <c r="I53" s="16">
        <f t="shared" si="4"/>
        <v>4</v>
      </c>
      <c r="J53" s="16">
        <f t="shared" si="5"/>
        <v>13.5</v>
      </c>
    </row>
    <row r="54" spans="1:10" x14ac:dyDescent="0.25">
      <c r="A54" s="19" t="s">
        <v>63</v>
      </c>
      <c r="B54" s="19"/>
      <c r="C54" s="19"/>
      <c r="D54" s="19"/>
      <c r="E54" s="19">
        <v>1</v>
      </c>
      <c r="F54" s="21"/>
      <c r="G54" s="21"/>
      <c r="H54" s="16">
        <f t="shared" si="3"/>
        <v>9.5</v>
      </c>
      <c r="I54" s="16">
        <f t="shared" si="4"/>
        <v>3</v>
      </c>
      <c r="J54" s="16">
        <f t="shared" si="5"/>
        <v>12.5</v>
      </c>
    </row>
    <row r="55" spans="1:10" x14ac:dyDescent="0.25">
      <c r="A55" s="19" t="s">
        <v>64</v>
      </c>
      <c r="B55" s="19"/>
      <c r="C55" s="19"/>
      <c r="D55" s="19"/>
      <c r="E55" s="19">
        <v>1</v>
      </c>
      <c r="F55" s="21"/>
      <c r="G55" s="21"/>
      <c r="H55" s="16">
        <f t="shared" si="3"/>
        <v>9.5</v>
      </c>
      <c r="I55" s="16">
        <f t="shared" si="4"/>
        <v>2</v>
      </c>
      <c r="J55" s="16">
        <f t="shared" si="5"/>
        <v>11.5</v>
      </c>
    </row>
    <row r="56" spans="1:10" x14ac:dyDescent="0.25">
      <c r="A56" s="19" t="s">
        <v>65</v>
      </c>
      <c r="B56" s="19">
        <v>1.25</v>
      </c>
      <c r="C56" s="19">
        <v>1.25</v>
      </c>
      <c r="D56" s="19"/>
      <c r="E56" s="19"/>
      <c r="F56" s="21"/>
      <c r="G56" s="21"/>
      <c r="H56" s="16">
        <f t="shared" si="3"/>
        <v>10.75</v>
      </c>
      <c r="I56" s="16">
        <f t="shared" si="4"/>
        <v>3.25</v>
      </c>
      <c r="J56" s="16">
        <f t="shared" si="5"/>
        <v>14</v>
      </c>
    </row>
    <row r="57" spans="1:10" x14ac:dyDescent="0.25">
      <c r="A57" s="19" t="s">
        <v>66</v>
      </c>
      <c r="B57" s="19"/>
      <c r="C57" s="19"/>
      <c r="D57" s="19"/>
      <c r="E57" s="19">
        <v>1</v>
      </c>
      <c r="F57" s="21"/>
      <c r="G57" s="21"/>
      <c r="H57" s="16">
        <f t="shared" si="3"/>
        <v>10.75</v>
      </c>
      <c r="I57" s="16">
        <f t="shared" si="4"/>
        <v>2.25</v>
      </c>
      <c r="J57" s="16">
        <f t="shared" si="5"/>
        <v>13</v>
      </c>
    </row>
    <row r="58" spans="1:10" x14ac:dyDescent="0.25">
      <c r="A58" s="19" t="s">
        <v>67</v>
      </c>
      <c r="B58" s="19"/>
      <c r="C58" s="19"/>
      <c r="D58" s="19"/>
      <c r="E58" s="19">
        <v>1</v>
      </c>
      <c r="F58" s="21"/>
      <c r="G58" s="21"/>
      <c r="H58" s="16">
        <f t="shared" si="3"/>
        <v>10.75</v>
      </c>
      <c r="I58" s="16">
        <f t="shared" si="4"/>
        <v>1.25</v>
      </c>
      <c r="J58" s="16">
        <f t="shared" si="5"/>
        <v>12</v>
      </c>
    </row>
    <row r="59" spans="1:10" x14ac:dyDescent="0.25">
      <c r="A59" s="19" t="s">
        <v>68</v>
      </c>
      <c r="B59" s="19">
        <v>1.25</v>
      </c>
      <c r="C59" s="19">
        <v>1.25</v>
      </c>
      <c r="D59" s="19"/>
      <c r="E59" s="19"/>
      <c r="F59" s="21"/>
      <c r="G59" s="21"/>
      <c r="H59" s="16">
        <f t="shared" si="3"/>
        <v>12</v>
      </c>
      <c r="I59" s="16">
        <f t="shared" si="4"/>
        <v>2.5</v>
      </c>
      <c r="J59" s="16">
        <f t="shared" si="5"/>
        <v>14.5</v>
      </c>
    </row>
    <row r="60" spans="1:10" x14ac:dyDescent="0.25">
      <c r="A60" s="19" t="s">
        <v>69</v>
      </c>
      <c r="B60" s="19"/>
      <c r="C60" s="19"/>
      <c r="D60" s="19"/>
      <c r="E60" s="19">
        <v>1</v>
      </c>
      <c r="F60" s="21"/>
      <c r="G60" s="21"/>
      <c r="H60" s="16">
        <f t="shared" si="3"/>
        <v>12</v>
      </c>
      <c r="I60" s="16">
        <f t="shared" si="4"/>
        <v>1.5</v>
      </c>
      <c r="J60" s="16">
        <f t="shared" si="5"/>
        <v>13.5</v>
      </c>
    </row>
    <row r="61" spans="1:10" x14ac:dyDescent="0.25">
      <c r="A61" s="19" t="s">
        <v>70</v>
      </c>
      <c r="B61" s="19">
        <v>1.25</v>
      </c>
      <c r="C61" s="19">
        <v>1.25</v>
      </c>
      <c r="D61" s="19"/>
      <c r="E61" s="19"/>
      <c r="F61" s="21"/>
      <c r="G61" s="21"/>
      <c r="H61" s="16">
        <f t="shared" si="3"/>
        <v>13.25</v>
      </c>
      <c r="I61" s="16">
        <f t="shared" si="4"/>
        <v>2.75</v>
      </c>
      <c r="J61" s="16">
        <f t="shared" si="5"/>
        <v>16</v>
      </c>
    </row>
    <row r="62" spans="1:10" x14ac:dyDescent="0.25">
      <c r="A62" s="19" t="s">
        <v>71</v>
      </c>
      <c r="B62" s="19"/>
      <c r="C62" s="19"/>
      <c r="D62" s="19"/>
      <c r="E62" s="19">
        <v>1</v>
      </c>
      <c r="F62" s="21"/>
      <c r="G62" s="21"/>
      <c r="H62" s="16">
        <f t="shared" si="3"/>
        <v>13.25</v>
      </c>
      <c r="I62" s="16">
        <f t="shared" si="4"/>
        <v>1.75</v>
      </c>
      <c r="J62" s="16">
        <f t="shared" si="5"/>
        <v>15</v>
      </c>
    </row>
    <row r="63" spans="1:10" x14ac:dyDescent="0.25">
      <c r="A63" s="19" t="s">
        <v>72</v>
      </c>
      <c r="B63" s="19"/>
      <c r="C63" s="19"/>
      <c r="D63" s="19"/>
      <c r="E63" s="19"/>
      <c r="F63" s="21"/>
      <c r="G63" s="25">
        <v>2</v>
      </c>
      <c r="H63" s="16">
        <f t="shared" si="3"/>
        <v>13.25</v>
      </c>
      <c r="I63" s="16">
        <f t="shared" si="4"/>
        <v>1.75</v>
      </c>
      <c r="J63" s="16">
        <f t="shared" si="5"/>
        <v>15</v>
      </c>
    </row>
    <row r="64" spans="1:10" x14ac:dyDescent="0.25">
      <c r="A64" s="19" t="s">
        <v>73</v>
      </c>
      <c r="B64" s="19"/>
      <c r="C64" s="19"/>
      <c r="D64" s="19"/>
      <c r="E64" s="19">
        <v>1</v>
      </c>
      <c r="F64" s="21"/>
      <c r="G64" s="21"/>
      <c r="H64" s="16">
        <f t="shared" si="3"/>
        <v>13.25</v>
      </c>
      <c r="I64" s="16">
        <f t="shared" si="4"/>
        <v>0.75</v>
      </c>
      <c r="J64" s="16">
        <f t="shared" si="5"/>
        <v>14</v>
      </c>
    </row>
    <row r="65" spans="1:10" x14ac:dyDescent="0.25">
      <c r="A65" s="19" t="s">
        <v>98</v>
      </c>
      <c r="B65" s="19">
        <v>2.5</v>
      </c>
      <c r="C65" s="19">
        <v>2.5</v>
      </c>
      <c r="D65" s="19"/>
      <c r="E65" s="19"/>
      <c r="F65" s="21"/>
      <c r="G65" s="21"/>
      <c r="H65" s="16">
        <f t="shared" ref="H65" si="6">H64-F65-D65+B65</f>
        <v>15.75</v>
      </c>
      <c r="I65" s="16">
        <f t="shared" ref="I65" si="7">I64-E65+C65</f>
        <v>3.25</v>
      </c>
      <c r="J65" s="16">
        <f t="shared" ref="J65" si="8">SUM(H65:I65)</f>
        <v>19</v>
      </c>
    </row>
    <row r="66" spans="1:10" x14ac:dyDescent="0.25">
      <c r="A66" s="19" t="s">
        <v>99</v>
      </c>
      <c r="B66" s="19"/>
      <c r="C66" s="19"/>
      <c r="D66" s="19"/>
      <c r="E66" s="19"/>
      <c r="F66" s="48">
        <v>1</v>
      </c>
      <c r="G66" s="21"/>
      <c r="H66" s="16">
        <f t="shared" ref="H66" si="9">H65-F66-D66+B66</f>
        <v>14.75</v>
      </c>
      <c r="I66" s="16">
        <f t="shared" ref="I66" si="10">I65-E66+C66</f>
        <v>3.25</v>
      </c>
      <c r="J66" s="16">
        <f t="shared" ref="J66" si="11">SUM(H66:I66)</f>
        <v>18</v>
      </c>
    </row>
    <row r="67" spans="1:10" x14ac:dyDescent="0.25">
      <c r="A67" s="19" t="s">
        <v>100</v>
      </c>
      <c r="B67" s="19">
        <v>1.25</v>
      </c>
      <c r="C67" s="19">
        <v>1.25</v>
      </c>
      <c r="D67" s="19"/>
      <c r="E67" s="19"/>
      <c r="F67" s="21"/>
      <c r="G67" s="21"/>
      <c r="H67" s="16">
        <f t="shared" ref="H67:H68" si="12">H66-F67-D67+B67</f>
        <v>16</v>
      </c>
      <c r="I67" s="16">
        <f t="shared" ref="I67:I68" si="13">I66-E67+C67</f>
        <v>4.5</v>
      </c>
      <c r="J67" s="16">
        <f t="shared" ref="J67:J68" si="14">SUM(H67:I67)</f>
        <v>20.5</v>
      </c>
    </row>
    <row r="68" spans="1:10" x14ac:dyDescent="0.25">
      <c r="A68" s="19" t="s">
        <v>101</v>
      </c>
      <c r="B68" s="19"/>
      <c r="C68" s="19"/>
      <c r="D68" s="19"/>
      <c r="E68" s="19">
        <v>1</v>
      </c>
      <c r="F68" s="21"/>
      <c r="G68" s="21"/>
      <c r="H68" s="16">
        <f t="shared" si="12"/>
        <v>16</v>
      </c>
      <c r="I68" s="16">
        <f t="shared" si="13"/>
        <v>3.5</v>
      </c>
      <c r="J68" s="16">
        <f t="shared" si="14"/>
        <v>19.5</v>
      </c>
    </row>
    <row r="69" spans="1:10" x14ac:dyDescent="0.25">
      <c r="A69" s="19" t="s">
        <v>103</v>
      </c>
      <c r="B69" s="19"/>
      <c r="C69" s="19"/>
      <c r="D69" s="19">
        <v>2</v>
      </c>
      <c r="E69" s="19"/>
      <c r="F69" s="21"/>
      <c r="G69" s="21"/>
      <c r="H69" s="16">
        <f t="shared" ref="H69" si="15">H68-F69-D69+B69</f>
        <v>14</v>
      </c>
      <c r="I69" s="16">
        <f t="shared" ref="I69" si="16">I68-E69+C69</f>
        <v>3.5</v>
      </c>
      <c r="J69" s="16">
        <f t="shared" ref="J69" si="17">SUM(H69:I69)</f>
        <v>17.5</v>
      </c>
    </row>
    <row r="70" spans="1:10" x14ac:dyDescent="0.25">
      <c r="A70" s="19" t="s">
        <v>104</v>
      </c>
      <c r="B70" s="19"/>
      <c r="C70" s="19"/>
      <c r="D70" s="19"/>
      <c r="E70" s="19"/>
      <c r="F70" s="48">
        <v>1</v>
      </c>
      <c r="G70" s="21"/>
      <c r="H70" s="16">
        <f t="shared" ref="H70" si="18">H69-F70-D70+B70</f>
        <v>13</v>
      </c>
      <c r="I70" s="16">
        <f t="shared" ref="I70" si="19">I69-E70+C70</f>
        <v>3.5</v>
      </c>
      <c r="J70" s="16">
        <f t="shared" ref="J70" si="20">SUM(H70:I70)</f>
        <v>16.5</v>
      </c>
    </row>
    <row r="71" spans="1:10" x14ac:dyDescent="0.25">
      <c r="A71" s="19" t="s">
        <v>105</v>
      </c>
      <c r="B71" s="19">
        <v>1.25</v>
      </c>
      <c r="C71" s="19">
        <v>1.25</v>
      </c>
      <c r="D71" s="19"/>
      <c r="E71" s="19"/>
      <c r="F71" s="21"/>
      <c r="G71" s="21"/>
      <c r="H71" s="16">
        <f t="shared" ref="H71:H72" si="21">H70-F71-D71+B71</f>
        <v>14.25</v>
      </c>
      <c r="I71" s="16">
        <f t="shared" ref="I71:I72" si="22">I70-E71+C71</f>
        <v>4.75</v>
      </c>
      <c r="J71" s="16">
        <f t="shared" ref="J71:J72" si="23">SUM(H71:I71)</f>
        <v>19</v>
      </c>
    </row>
    <row r="72" spans="1:10" x14ac:dyDescent="0.25">
      <c r="A72" s="19" t="s">
        <v>106</v>
      </c>
      <c r="B72" s="19"/>
      <c r="C72" s="19"/>
      <c r="D72" s="19"/>
      <c r="E72" s="19">
        <v>2</v>
      </c>
      <c r="F72" s="21"/>
      <c r="G72" s="21"/>
      <c r="H72" s="16">
        <f t="shared" si="21"/>
        <v>14.25</v>
      </c>
      <c r="I72" s="16">
        <f t="shared" si="22"/>
        <v>2.75</v>
      </c>
      <c r="J72" s="16">
        <f t="shared" si="23"/>
        <v>17</v>
      </c>
    </row>
    <row r="73" spans="1:10" x14ac:dyDescent="0.25">
      <c r="A73" s="19" t="s">
        <v>107</v>
      </c>
      <c r="B73" s="19"/>
      <c r="C73" s="19"/>
      <c r="D73" s="19"/>
      <c r="E73" s="19"/>
      <c r="F73" s="48">
        <v>1</v>
      </c>
      <c r="G73" s="21"/>
      <c r="H73" s="16">
        <f t="shared" ref="H73" si="24">H72-F73-D73+B73</f>
        <v>13.25</v>
      </c>
      <c r="I73" s="16">
        <f t="shared" ref="I73" si="25">I72-E73+C73</f>
        <v>2.75</v>
      </c>
      <c r="J73" s="16">
        <f t="shared" ref="J73" si="26">SUM(H73:I73)</f>
        <v>16</v>
      </c>
    </row>
    <row r="74" spans="1:10" x14ac:dyDescent="0.25">
      <c r="A74" s="19" t="s">
        <v>108</v>
      </c>
      <c r="B74" s="19"/>
      <c r="C74" s="19"/>
      <c r="D74" s="19"/>
      <c r="E74" s="19">
        <v>1</v>
      </c>
      <c r="F74" s="21"/>
      <c r="G74" s="21"/>
      <c r="H74" s="16">
        <f t="shared" ref="H74" si="27">H73-F74-D74+B74</f>
        <v>13.25</v>
      </c>
      <c r="I74" s="16">
        <f t="shared" ref="I74" si="28">I73-E74+C74</f>
        <v>1.75</v>
      </c>
      <c r="J74" s="16">
        <f t="shared" ref="J74" si="29">SUM(H74:I74)</f>
        <v>15</v>
      </c>
    </row>
    <row r="75" spans="1:10" x14ac:dyDescent="0.25">
      <c r="A75" s="19" t="s">
        <v>109</v>
      </c>
      <c r="B75" s="19">
        <v>1.25</v>
      </c>
      <c r="C75" s="19">
        <v>1.25</v>
      </c>
      <c r="D75" s="19"/>
      <c r="E75" s="19"/>
      <c r="F75" s="21"/>
      <c r="G75" s="21"/>
      <c r="H75" s="16">
        <f t="shared" ref="H75:H76" si="30">H74-F75-D75+B75</f>
        <v>14.5</v>
      </c>
      <c r="I75" s="16">
        <f t="shared" ref="I75:I76" si="31">I74-E75+C75</f>
        <v>3</v>
      </c>
      <c r="J75" s="16">
        <f t="shared" ref="J75:J76" si="32">SUM(H75:I75)</f>
        <v>17.5</v>
      </c>
    </row>
    <row r="76" spans="1:10" x14ac:dyDescent="0.25">
      <c r="A76" s="19" t="s">
        <v>110</v>
      </c>
      <c r="B76" s="19"/>
      <c r="C76" s="19"/>
      <c r="D76" s="19"/>
      <c r="E76" s="19">
        <v>1</v>
      </c>
      <c r="F76" s="21"/>
      <c r="G76" s="21"/>
      <c r="H76" s="16">
        <f t="shared" si="30"/>
        <v>14.5</v>
      </c>
      <c r="I76" s="16">
        <f t="shared" si="31"/>
        <v>2</v>
      </c>
      <c r="J76" s="16">
        <f t="shared" si="32"/>
        <v>16.5</v>
      </c>
    </row>
    <row r="77" spans="1:10" x14ac:dyDescent="0.25">
      <c r="A77" s="19" t="s">
        <v>111</v>
      </c>
      <c r="B77" s="19"/>
      <c r="C77" s="19"/>
      <c r="D77" s="19"/>
      <c r="E77" s="19"/>
      <c r="F77" s="48">
        <v>2</v>
      </c>
      <c r="G77" s="21"/>
      <c r="H77" s="16">
        <f t="shared" ref="H77" si="33">H76-F77-D77+B77</f>
        <v>12.5</v>
      </c>
      <c r="I77" s="16">
        <f t="shared" ref="I77" si="34">I76-E77+C77</f>
        <v>2</v>
      </c>
      <c r="J77" s="16">
        <f t="shared" ref="J77" si="35">SUM(H77:I77)</f>
        <v>14.5</v>
      </c>
    </row>
    <row r="78" spans="1:10" x14ac:dyDescent="0.25">
      <c r="A78" s="19" t="s">
        <v>112</v>
      </c>
      <c r="B78" s="19">
        <v>1.25</v>
      </c>
      <c r="C78" s="19">
        <v>1.25</v>
      </c>
      <c r="D78" s="19"/>
      <c r="E78" s="19"/>
      <c r="F78" s="21"/>
      <c r="G78" s="21"/>
      <c r="H78" s="16">
        <f t="shared" ref="H78:H79" si="36">H77-F78-D78+B78</f>
        <v>13.75</v>
      </c>
      <c r="I78" s="16">
        <f t="shared" ref="I78:I79" si="37">I77-E78+C78</f>
        <v>3.25</v>
      </c>
      <c r="J78" s="16">
        <f t="shared" ref="J78:J79" si="38">SUM(H78:I78)</f>
        <v>17</v>
      </c>
    </row>
    <row r="79" spans="1:10" x14ac:dyDescent="0.25">
      <c r="A79" s="19" t="s">
        <v>113</v>
      </c>
      <c r="B79" s="19"/>
      <c r="C79" s="19"/>
      <c r="D79" s="19">
        <v>2</v>
      </c>
      <c r="E79" s="19"/>
      <c r="F79" s="21"/>
      <c r="G79" s="21"/>
      <c r="H79" s="16">
        <f t="shared" si="36"/>
        <v>11.75</v>
      </c>
      <c r="I79" s="16">
        <f t="shared" si="37"/>
        <v>3.25</v>
      </c>
      <c r="J79" s="16">
        <f t="shared" si="38"/>
        <v>15</v>
      </c>
    </row>
    <row r="80" spans="1:10" x14ac:dyDescent="0.25">
      <c r="A80" s="19" t="s">
        <v>114</v>
      </c>
      <c r="B80" s="19"/>
      <c r="C80" s="19"/>
      <c r="D80" s="19">
        <v>1</v>
      </c>
      <c r="E80" s="19"/>
      <c r="F80" s="21"/>
      <c r="G80" s="21"/>
      <c r="H80" s="16">
        <f t="shared" ref="H80" si="39">H79-F80-D80+B80</f>
        <v>10.75</v>
      </c>
      <c r="I80" s="16">
        <f t="shared" ref="I80" si="40">I79-E80+C80</f>
        <v>3.25</v>
      </c>
      <c r="J80" s="16">
        <f t="shared" ref="J80" si="41">SUM(H80:I80)</f>
        <v>14</v>
      </c>
    </row>
    <row r="81" spans="1:10" x14ac:dyDescent="0.25">
      <c r="A81" s="19" t="s">
        <v>115</v>
      </c>
      <c r="B81" s="19"/>
      <c r="C81" s="19"/>
      <c r="D81" s="19"/>
      <c r="E81" s="19">
        <v>2</v>
      </c>
      <c r="F81" s="21"/>
      <c r="G81" s="21"/>
      <c r="H81" s="16">
        <f t="shared" ref="H81" si="42">H80-F81-D81+B81</f>
        <v>10.75</v>
      </c>
      <c r="I81" s="16">
        <f t="shared" ref="I81" si="43">I80-E81+C81</f>
        <v>1.25</v>
      </c>
      <c r="J81" s="16">
        <f t="shared" ref="J81" si="44">SUM(H81:I81)</f>
        <v>12</v>
      </c>
    </row>
    <row r="82" spans="1:10" x14ac:dyDescent="0.25">
      <c r="A82" s="19" t="s">
        <v>116</v>
      </c>
      <c r="B82" s="19">
        <v>1.25</v>
      </c>
      <c r="C82" s="19">
        <v>1.25</v>
      </c>
      <c r="D82" s="19"/>
      <c r="E82" s="19"/>
      <c r="F82" s="21"/>
      <c r="G82" s="21"/>
      <c r="H82" s="16">
        <f t="shared" ref="H82" si="45">H81-F82-D82+B82</f>
        <v>12</v>
      </c>
      <c r="I82" s="16">
        <f t="shared" ref="I82" si="46">I81-E82+C82</f>
        <v>2.5</v>
      </c>
      <c r="J82" s="16">
        <f t="shared" ref="J82" si="47">SUM(H82:I82)</f>
        <v>14.5</v>
      </c>
    </row>
    <row r="83" spans="1:10" x14ac:dyDescent="0.25">
      <c r="A83" s="19" t="s">
        <v>117</v>
      </c>
      <c r="B83" s="19"/>
      <c r="C83" s="19"/>
      <c r="D83" s="19"/>
      <c r="E83" s="19">
        <v>2</v>
      </c>
      <c r="F83" s="21"/>
      <c r="G83" s="21"/>
      <c r="H83" s="16">
        <f t="shared" ref="H83" si="48">H82-F83-D83+B83</f>
        <v>12</v>
      </c>
      <c r="I83" s="16">
        <f t="shared" ref="I83" si="49">I82-E83+C83</f>
        <v>0.5</v>
      </c>
      <c r="J83" s="16">
        <f t="shared" ref="J83" si="50">SUM(H83:I83)</f>
        <v>12.5</v>
      </c>
    </row>
    <row r="84" spans="1:10" x14ac:dyDescent="0.25">
      <c r="A84" s="19" t="s">
        <v>118</v>
      </c>
      <c r="B84" s="19"/>
      <c r="C84" s="19"/>
      <c r="D84" s="19"/>
      <c r="E84" s="19"/>
      <c r="F84" s="21"/>
      <c r="G84" s="25">
        <v>1</v>
      </c>
      <c r="H84" s="16">
        <f t="shared" ref="H84:H87" si="51">H83-F84-D84+B84</f>
        <v>12</v>
      </c>
      <c r="I84" s="16">
        <f t="shared" ref="I84:I87" si="52">I83-E84+C84</f>
        <v>0.5</v>
      </c>
      <c r="J84" s="16">
        <f t="shared" ref="J84:J87" si="53">SUM(H84:I84)</f>
        <v>12.5</v>
      </c>
    </row>
    <row r="85" spans="1:10" x14ac:dyDescent="0.25">
      <c r="A85" s="19" t="s">
        <v>119</v>
      </c>
      <c r="B85" s="19"/>
      <c r="C85" s="19"/>
      <c r="D85" s="19">
        <v>1</v>
      </c>
      <c r="E85" s="19"/>
      <c r="F85" s="21"/>
      <c r="G85" s="21"/>
      <c r="H85" s="16">
        <f t="shared" si="51"/>
        <v>11</v>
      </c>
      <c r="I85" s="16">
        <f t="shared" si="52"/>
        <v>0.5</v>
      </c>
      <c r="J85" s="16">
        <f t="shared" si="53"/>
        <v>11.5</v>
      </c>
    </row>
    <row r="86" spans="1:10" x14ac:dyDescent="0.25">
      <c r="A86" s="19" t="s">
        <v>121</v>
      </c>
      <c r="B86" s="19">
        <v>1.25</v>
      </c>
      <c r="C86" s="19">
        <v>1.25</v>
      </c>
      <c r="D86" s="19"/>
      <c r="E86" s="19"/>
      <c r="F86" s="21"/>
      <c r="G86" s="21"/>
      <c r="H86" s="16">
        <f t="shared" si="51"/>
        <v>12.25</v>
      </c>
      <c r="I86" s="16">
        <f t="shared" si="52"/>
        <v>1.75</v>
      </c>
      <c r="J86" s="16">
        <f t="shared" si="53"/>
        <v>14</v>
      </c>
    </row>
    <row r="87" spans="1:10" x14ac:dyDescent="0.25">
      <c r="A87" s="19" t="s">
        <v>120</v>
      </c>
      <c r="B87" s="19"/>
      <c r="C87" s="19"/>
      <c r="D87" s="19">
        <v>1</v>
      </c>
      <c r="E87" s="19"/>
      <c r="F87" s="21"/>
      <c r="G87" s="21"/>
      <c r="H87" s="16">
        <f t="shared" si="51"/>
        <v>11.25</v>
      </c>
      <c r="I87" s="16">
        <f t="shared" si="52"/>
        <v>1.75</v>
      </c>
      <c r="J87" s="16">
        <f t="shared" si="53"/>
        <v>13</v>
      </c>
    </row>
    <row r="88" spans="1:10" x14ac:dyDescent="0.25">
      <c r="A88" s="19" t="s">
        <v>122</v>
      </c>
      <c r="B88" s="19"/>
      <c r="C88" s="19"/>
      <c r="D88" s="19"/>
      <c r="E88" s="19">
        <v>1</v>
      </c>
      <c r="F88" s="21"/>
      <c r="G88" s="21"/>
      <c r="H88" s="16">
        <f t="shared" ref="H88:H89" si="54">H87-F88-D88+B88</f>
        <v>11.25</v>
      </c>
      <c r="I88" s="16">
        <f t="shared" ref="I88:I89" si="55">I87-E88+C88</f>
        <v>0.75</v>
      </c>
      <c r="J88" s="16">
        <f t="shared" ref="J88:J89" si="56">SUM(H88:I88)</f>
        <v>12</v>
      </c>
    </row>
    <row r="89" spans="1:10" x14ac:dyDescent="0.25">
      <c r="A89" s="19" t="s">
        <v>123</v>
      </c>
      <c r="B89" s="19"/>
      <c r="C89" s="19"/>
      <c r="D89" s="19">
        <v>1</v>
      </c>
      <c r="E89" s="19"/>
      <c r="F89" s="21"/>
      <c r="G89" s="21"/>
      <c r="H89" s="16">
        <f t="shared" si="54"/>
        <v>10.25</v>
      </c>
      <c r="I89" s="16">
        <f t="shared" si="55"/>
        <v>0.75</v>
      </c>
      <c r="J89" s="16">
        <f t="shared" si="56"/>
        <v>11</v>
      </c>
    </row>
    <row r="90" spans="1:10" x14ac:dyDescent="0.25">
      <c r="A90" s="19"/>
      <c r="B90" s="19"/>
      <c r="C90" s="19"/>
      <c r="D90" s="19"/>
      <c r="E90" s="19"/>
      <c r="F90" s="21"/>
      <c r="G90" s="21"/>
      <c r="H90" s="16"/>
      <c r="I90" s="16"/>
      <c r="J90" s="16"/>
    </row>
    <row r="91" spans="1:10" x14ac:dyDescent="0.25">
      <c r="A91" s="23"/>
      <c r="B91" s="23"/>
      <c r="C91" s="23"/>
      <c r="D91" s="23"/>
      <c r="E91" s="23"/>
      <c r="H91" s="24"/>
      <c r="I91" s="24"/>
      <c r="J91" s="24"/>
    </row>
    <row r="95" spans="1:10" x14ac:dyDescent="0.25">
      <c r="F95" s="18" t="s">
        <v>21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19685039370078741" right="0.19685039370078741" top="0.62992125984251968" bottom="0.62992125984251968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5580-6330-4810-A6C2-D8E6C78CFA83}">
  <sheetPr>
    <pageSetUpPr fitToPage="1"/>
  </sheetPr>
  <dimension ref="A1:L28"/>
  <sheetViews>
    <sheetView view="pageBreakPreview" zoomScale="112" zoomScaleNormal="100" zoomScaleSheetLayoutView="112" workbookViewId="0">
      <selection activeCell="B20" sqref="B20:E20"/>
    </sheetView>
  </sheetViews>
  <sheetFormatPr defaultColWidth="8.7109375" defaultRowHeight="15" x14ac:dyDescent="0.25"/>
  <cols>
    <col min="1" max="1" width="33.5703125" style="32" customWidth="1"/>
    <col min="2" max="6" width="8.7109375" style="32"/>
    <col min="7" max="7" width="6.28515625" style="32" customWidth="1"/>
    <col min="8" max="8" width="8.7109375" style="32"/>
    <col min="9" max="9" width="6.7109375" style="32" customWidth="1"/>
    <col min="10" max="10" width="8.7109375" style="32"/>
    <col min="11" max="11" width="6.42578125" style="32" customWidth="1"/>
    <col min="12" max="16384" width="8.7109375" style="32"/>
  </cols>
  <sheetData>
    <row r="1" spans="1:12" s="27" customFormat="1" ht="52.5" customHeight="1" x14ac:dyDescent="0.25"/>
    <row r="2" spans="1:12" s="27" customFormat="1" ht="10.5" customHeight="1" x14ac:dyDescent="0.25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s="27" customFormat="1" ht="15.95" customHeight="1" x14ac:dyDescent="0.25">
      <c r="A3" s="76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s="27" customFormat="1" ht="15.95" customHeight="1" x14ac:dyDescent="0.25">
      <c r="A4" s="76" t="s">
        <v>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s="27" customFormat="1" ht="15.95" customHeight="1" x14ac:dyDescent="0.25">
      <c r="A5" s="76" t="s">
        <v>3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s="27" customFormat="1" ht="8.25" customHeight="1" x14ac:dyDescent="0.25"/>
    <row r="7" spans="1:12" s="27" customFormat="1" ht="12" customHeight="1" x14ac:dyDescent="0.25">
      <c r="A7" s="27" t="s">
        <v>12</v>
      </c>
      <c r="C7" s="28" t="s">
        <v>13</v>
      </c>
      <c r="D7" s="28"/>
      <c r="G7" s="28" t="s">
        <v>14</v>
      </c>
      <c r="H7" s="29"/>
    </row>
    <row r="8" spans="1:12" s="27" customFormat="1" ht="12" customHeight="1" x14ac:dyDescent="0.25">
      <c r="C8" s="30"/>
      <c r="G8" s="30"/>
      <c r="H8" s="30"/>
    </row>
    <row r="9" spans="1:12" s="27" customFormat="1" ht="12" customHeight="1" x14ac:dyDescent="0.25">
      <c r="A9" s="27" t="s">
        <v>15</v>
      </c>
      <c r="C9" s="28" t="s">
        <v>16</v>
      </c>
      <c r="D9" s="28"/>
      <c r="G9" s="28" t="s">
        <v>17</v>
      </c>
      <c r="H9" s="31"/>
    </row>
    <row r="10" spans="1:12" ht="16.5" customHeight="1" thickBot="1" x14ac:dyDescent="0.3">
      <c r="A10" s="77" t="s">
        <v>76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s="33" customFormat="1" ht="18.75" customHeight="1" x14ac:dyDescent="0.2">
      <c r="A11" s="67" t="s">
        <v>4</v>
      </c>
      <c r="B11" s="69" t="s">
        <v>5</v>
      </c>
      <c r="C11" s="70"/>
      <c r="D11" s="70"/>
      <c r="E11" s="70"/>
      <c r="F11" s="70"/>
      <c r="G11" s="70"/>
      <c r="H11" s="70"/>
      <c r="I11" s="70"/>
      <c r="J11" s="70"/>
      <c r="K11" s="70"/>
      <c r="L11" s="71" t="s">
        <v>8</v>
      </c>
    </row>
    <row r="12" spans="1:12" s="33" customFormat="1" ht="24" customHeight="1" x14ac:dyDescent="0.2">
      <c r="A12" s="68"/>
      <c r="B12" s="73" t="s">
        <v>77</v>
      </c>
      <c r="C12" s="74"/>
      <c r="D12" s="74"/>
      <c r="E12" s="75"/>
      <c r="F12" s="73" t="s">
        <v>78</v>
      </c>
      <c r="G12" s="75"/>
      <c r="H12" s="73" t="s">
        <v>79</v>
      </c>
      <c r="I12" s="75"/>
      <c r="J12" s="73" t="s">
        <v>80</v>
      </c>
      <c r="K12" s="75"/>
      <c r="L12" s="72"/>
    </row>
    <row r="13" spans="1:12" s="33" customFormat="1" ht="24.95" hidden="1" customHeight="1" x14ac:dyDescent="0.2">
      <c r="A13" s="34" t="s">
        <v>81</v>
      </c>
      <c r="B13" s="78" t="s">
        <v>82</v>
      </c>
      <c r="C13" s="79"/>
      <c r="D13" s="79"/>
      <c r="E13" s="80"/>
      <c r="F13" s="78">
        <v>2</v>
      </c>
      <c r="G13" s="80"/>
      <c r="H13" s="78">
        <v>0</v>
      </c>
      <c r="I13" s="80"/>
      <c r="J13" s="78">
        <v>2</v>
      </c>
      <c r="K13" s="80"/>
      <c r="L13" s="35">
        <v>2</v>
      </c>
    </row>
    <row r="14" spans="1:12" s="36" customFormat="1" ht="25.5" hidden="1" customHeight="1" x14ac:dyDescent="0.2">
      <c r="A14" s="34" t="s">
        <v>83</v>
      </c>
      <c r="B14" s="78" t="s">
        <v>82</v>
      </c>
      <c r="C14" s="79"/>
      <c r="D14" s="79"/>
      <c r="E14" s="80"/>
      <c r="F14" s="78"/>
      <c r="G14" s="80"/>
      <c r="H14" s="78">
        <v>1</v>
      </c>
      <c r="I14" s="80"/>
      <c r="J14" s="78">
        <v>1</v>
      </c>
      <c r="K14" s="80"/>
      <c r="L14" s="35">
        <v>1</v>
      </c>
    </row>
    <row r="15" spans="1:12" s="36" customFormat="1" ht="25.5" hidden="1" customHeight="1" x14ac:dyDescent="0.2">
      <c r="A15" s="34" t="s">
        <v>84</v>
      </c>
      <c r="B15" s="78" t="s">
        <v>82</v>
      </c>
      <c r="C15" s="79"/>
      <c r="D15" s="79"/>
      <c r="E15" s="80"/>
      <c r="F15" s="78"/>
      <c r="G15" s="80"/>
      <c r="H15" s="78">
        <v>1</v>
      </c>
      <c r="I15" s="80"/>
      <c r="J15" s="78">
        <v>0</v>
      </c>
      <c r="K15" s="80"/>
      <c r="L15" s="37">
        <v>0</v>
      </c>
    </row>
    <row r="16" spans="1:12" s="36" customFormat="1" ht="35.25" hidden="1" customHeight="1" x14ac:dyDescent="0.2">
      <c r="A16" s="38" t="s">
        <v>85</v>
      </c>
      <c r="B16" s="78" t="s">
        <v>86</v>
      </c>
      <c r="C16" s="79"/>
      <c r="D16" s="79"/>
      <c r="E16" s="80"/>
      <c r="F16" s="78">
        <v>1</v>
      </c>
      <c r="G16" s="80"/>
      <c r="H16" s="78">
        <v>0</v>
      </c>
      <c r="I16" s="80"/>
      <c r="J16" s="78">
        <v>1</v>
      </c>
      <c r="K16" s="80"/>
      <c r="L16" s="39">
        <v>1</v>
      </c>
    </row>
    <row r="17" spans="1:12" s="36" customFormat="1" ht="25.5" hidden="1" customHeight="1" x14ac:dyDescent="0.2">
      <c r="A17" s="38" t="s">
        <v>87</v>
      </c>
      <c r="B17" s="78" t="s">
        <v>88</v>
      </c>
      <c r="C17" s="79"/>
      <c r="D17" s="79"/>
      <c r="E17" s="80"/>
      <c r="F17" s="78">
        <v>1</v>
      </c>
      <c r="G17" s="80"/>
      <c r="H17" s="78">
        <v>0</v>
      </c>
      <c r="I17" s="80"/>
      <c r="J17" s="78">
        <v>1</v>
      </c>
      <c r="K17" s="80"/>
      <c r="L17" s="39">
        <v>1</v>
      </c>
    </row>
    <row r="18" spans="1:12" s="36" customFormat="1" ht="29.25" hidden="1" customHeight="1" x14ac:dyDescent="0.2">
      <c r="A18" s="38" t="s">
        <v>89</v>
      </c>
      <c r="B18" s="78" t="s">
        <v>90</v>
      </c>
      <c r="C18" s="79"/>
      <c r="D18" s="79"/>
      <c r="E18" s="80"/>
      <c r="F18" s="78">
        <v>2</v>
      </c>
      <c r="G18" s="80"/>
      <c r="H18" s="78">
        <v>2</v>
      </c>
      <c r="I18" s="80"/>
      <c r="J18" s="78">
        <v>0</v>
      </c>
      <c r="K18" s="80"/>
      <c r="L18" s="40">
        <v>0</v>
      </c>
    </row>
    <row r="19" spans="1:12" s="36" customFormat="1" ht="30.75" customHeight="1" x14ac:dyDescent="0.2">
      <c r="A19" s="38" t="s">
        <v>95</v>
      </c>
      <c r="B19" s="78" t="s">
        <v>96</v>
      </c>
      <c r="C19" s="79"/>
      <c r="D19" s="79"/>
      <c r="E19" s="80"/>
      <c r="F19" s="78">
        <v>1.5</v>
      </c>
      <c r="G19" s="80"/>
      <c r="H19" s="78">
        <v>0</v>
      </c>
      <c r="I19" s="80"/>
      <c r="J19" s="78">
        <v>1.5</v>
      </c>
      <c r="K19" s="80"/>
      <c r="L19" s="41">
        <v>1.5</v>
      </c>
    </row>
    <row r="20" spans="1:12" s="36" customFormat="1" ht="28.5" customHeight="1" x14ac:dyDescent="0.2">
      <c r="A20" s="38" t="s">
        <v>97</v>
      </c>
      <c r="B20" s="78" t="s">
        <v>96</v>
      </c>
      <c r="C20" s="79"/>
      <c r="D20" s="79"/>
      <c r="E20" s="80"/>
      <c r="F20" s="78"/>
      <c r="G20" s="80"/>
      <c r="H20" s="78">
        <v>1</v>
      </c>
      <c r="I20" s="80"/>
      <c r="J20" s="78">
        <v>0.5</v>
      </c>
      <c r="K20" s="80"/>
      <c r="L20" s="41">
        <v>0.5</v>
      </c>
    </row>
    <row r="21" spans="1:12" s="36" customFormat="1" ht="28.5" customHeight="1" x14ac:dyDescent="0.2">
      <c r="A21" s="38" t="s">
        <v>102</v>
      </c>
      <c r="B21" s="78" t="s">
        <v>96</v>
      </c>
      <c r="C21" s="79"/>
      <c r="D21" s="79"/>
      <c r="E21" s="80"/>
      <c r="F21" s="78"/>
      <c r="G21" s="80"/>
      <c r="H21" s="78">
        <v>0.5</v>
      </c>
      <c r="I21" s="80"/>
      <c r="J21" s="78">
        <v>0</v>
      </c>
      <c r="K21" s="80"/>
      <c r="L21" s="41">
        <v>0</v>
      </c>
    </row>
    <row r="22" spans="1:12" s="36" customForma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27" customForma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</row>
    <row r="24" spans="1:12" s="27" customFormat="1" x14ac:dyDescent="0.25">
      <c r="C24" s="45"/>
      <c r="G24" s="27" t="s">
        <v>91</v>
      </c>
    </row>
    <row r="25" spans="1:12" x14ac:dyDescent="0.25">
      <c r="A25" s="27"/>
      <c r="B25" s="27"/>
      <c r="C25" s="45"/>
      <c r="D25" s="27"/>
      <c r="E25" s="27"/>
      <c r="F25" s="27"/>
      <c r="G25" s="27"/>
      <c r="H25" s="27"/>
      <c r="I25" s="27"/>
      <c r="J25" s="27"/>
      <c r="K25" s="27"/>
      <c r="L25" s="27"/>
    </row>
    <row r="26" spans="1:12" x14ac:dyDescent="0.25">
      <c r="I26" s="46" t="s">
        <v>92</v>
      </c>
      <c r="J26" s="46"/>
      <c r="K26" s="47"/>
    </row>
    <row r="27" spans="1:12" x14ac:dyDescent="0.25">
      <c r="I27" s="32" t="s">
        <v>93</v>
      </c>
    </row>
    <row r="28" spans="1:12" x14ac:dyDescent="0.25">
      <c r="I28" s="82" t="s">
        <v>94</v>
      </c>
      <c r="J28" s="82"/>
    </row>
  </sheetData>
  <mergeCells count="50">
    <mergeCell ref="I28:J28"/>
    <mergeCell ref="B20:E20"/>
    <mergeCell ref="F20:G20"/>
    <mergeCell ref="H20:I20"/>
    <mergeCell ref="J20:K20"/>
    <mergeCell ref="B19:E19"/>
    <mergeCell ref="F19:G19"/>
    <mergeCell ref="H19:I19"/>
    <mergeCell ref="J19:K19"/>
    <mergeCell ref="A23:L23"/>
    <mergeCell ref="B21:E21"/>
    <mergeCell ref="F21:G21"/>
    <mergeCell ref="H21:I21"/>
    <mergeCell ref="J21:K21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</mergeCells>
  <pageMargins left="0.7" right="0.7" top="0.75" bottom="0.75" header="0.3" footer="0.3"/>
  <pageSetup scale="7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4C70-2AC6-4D5B-AE76-847927124A69}">
  <sheetPr>
    <pageSetUpPr fitToPage="1"/>
  </sheetPr>
  <dimension ref="A1:K40"/>
  <sheetViews>
    <sheetView view="pageBreakPreview" topLeftCell="A7" zoomScale="106" zoomScaleNormal="100" zoomScaleSheetLayoutView="106" workbookViewId="0">
      <selection activeCell="A14" sqref="A14:J35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8" customWidth="1"/>
    <col min="8" max="10" width="11.5703125" customWidth="1"/>
    <col min="11" max="11" width="26.42578125" style="15" customWidth="1"/>
  </cols>
  <sheetData>
    <row r="1" spans="1:11" s="1" customFormat="1" ht="52.5" customHeight="1" x14ac:dyDescent="0.25"/>
    <row r="2" spans="1:11" s="1" customFormat="1" ht="10.5" customHeight="1" x14ac:dyDescent="0.2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</row>
    <row r="3" spans="1:11" s="1" customFormat="1" ht="15.95" customHeight="1" x14ac:dyDescent="0.25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</row>
    <row r="4" spans="1:11" s="1" customFormat="1" ht="15.95" customHeight="1" x14ac:dyDescent="0.25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</row>
    <row r="5" spans="1:11" s="1" customFormat="1" ht="15.95" customHeight="1" x14ac:dyDescent="0.25">
      <c r="A5" s="66" t="s">
        <v>3</v>
      </c>
      <c r="B5" s="66"/>
      <c r="C5" s="66"/>
      <c r="D5" s="66"/>
      <c r="E5" s="66"/>
      <c r="F5" s="66"/>
      <c r="G5" s="66"/>
      <c r="H5" s="66"/>
      <c r="I5" s="66"/>
      <c r="J5" s="66"/>
    </row>
    <row r="6" spans="1:11" s="1" customFormat="1" ht="8.25" customHeight="1" x14ac:dyDescent="0.25"/>
    <row r="7" spans="1:11" s="1" customFormat="1" ht="12" customHeight="1" x14ac:dyDescent="0.25">
      <c r="A7" s="1" t="s">
        <v>12</v>
      </c>
      <c r="B7" s="65" t="s">
        <v>13</v>
      </c>
      <c r="C7" s="65"/>
      <c r="D7" s="65"/>
      <c r="H7" s="2" t="s">
        <v>14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15</v>
      </c>
      <c r="B9" s="65" t="s">
        <v>16</v>
      </c>
      <c r="C9" s="65"/>
      <c r="D9" s="65"/>
      <c r="H9" s="2" t="s">
        <v>17</v>
      </c>
      <c r="I9" s="8"/>
      <c r="J9" s="2"/>
    </row>
    <row r="10" spans="1:11" ht="23.25" customHeight="1" thickBot="1" x14ac:dyDescent="0.3">
      <c r="A10" s="54" t="s">
        <v>18</v>
      </c>
      <c r="B10" s="54"/>
      <c r="C10" s="54"/>
      <c r="D10" s="54"/>
      <c r="E10" s="54"/>
      <c r="F10" s="54"/>
      <c r="G10" s="54"/>
      <c r="H10" s="54"/>
      <c r="I10" s="54"/>
      <c r="J10" s="54"/>
      <c r="K10"/>
    </row>
    <row r="11" spans="1:11" ht="18.75" customHeight="1" x14ac:dyDescent="0.25">
      <c r="A11" s="86" t="s">
        <v>4</v>
      </c>
      <c r="B11" s="88" t="s">
        <v>5</v>
      </c>
      <c r="C11" s="57"/>
      <c r="D11" s="58" t="s">
        <v>6</v>
      </c>
      <c r="E11" s="59"/>
      <c r="F11" s="59"/>
      <c r="G11" s="60"/>
      <c r="H11" s="61" t="s">
        <v>7</v>
      </c>
      <c r="I11" s="62"/>
      <c r="J11" s="63" t="s">
        <v>8</v>
      </c>
      <c r="K11" s="53" t="s">
        <v>19</v>
      </c>
    </row>
    <row r="12" spans="1:11" ht="15.75" thickBot="1" x14ac:dyDescent="0.3">
      <c r="A12" s="87"/>
      <c r="B12" s="9" t="s">
        <v>9</v>
      </c>
      <c r="C12" s="9" t="s">
        <v>10</v>
      </c>
      <c r="D12" s="9" t="s">
        <v>9</v>
      </c>
      <c r="E12" s="9" t="s">
        <v>10</v>
      </c>
      <c r="F12" s="9" t="s">
        <v>11</v>
      </c>
      <c r="G12" s="10" t="s">
        <v>20</v>
      </c>
      <c r="H12" s="10" t="s">
        <v>9</v>
      </c>
      <c r="I12" s="10" t="s">
        <v>10</v>
      </c>
      <c r="J12" s="64"/>
      <c r="K12" s="53"/>
    </row>
    <row r="13" spans="1:11" x14ac:dyDescent="0.25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</row>
    <row r="14" spans="1:11" ht="16.5" customHeight="1" x14ac:dyDescent="0.25">
      <c r="A14" s="4" t="s">
        <v>36</v>
      </c>
      <c r="B14" s="5">
        <v>10</v>
      </c>
      <c r="C14" s="6">
        <v>10</v>
      </c>
      <c r="D14" s="6"/>
      <c r="E14" s="5"/>
      <c r="F14" s="5"/>
      <c r="G14" s="5"/>
      <c r="H14" s="13">
        <f>B14</f>
        <v>10</v>
      </c>
      <c r="I14" s="13">
        <f>C14</f>
        <v>10</v>
      </c>
      <c r="J14" s="14">
        <f>SUM(H14:I14)</f>
        <v>20</v>
      </c>
    </row>
    <row r="15" spans="1:11" ht="15" customHeight="1" x14ac:dyDescent="0.25">
      <c r="A15" s="4" t="s">
        <v>37</v>
      </c>
      <c r="B15" s="5"/>
      <c r="C15" s="6"/>
      <c r="D15" s="6">
        <v>2</v>
      </c>
      <c r="E15" s="5"/>
      <c r="F15" s="5"/>
      <c r="G15" s="5"/>
      <c r="H15" s="16">
        <f>H14-F15-D15+B15</f>
        <v>8</v>
      </c>
      <c r="I15" s="16">
        <f>I14-E15+C15</f>
        <v>10</v>
      </c>
      <c r="J15" s="17">
        <f>SUM(H15:I15)</f>
        <v>18</v>
      </c>
    </row>
    <row r="16" spans="1:11" ht="15.75" customHeight="1" x14ac:dyDescent="0.25">
      <c r="A16" s="19" t="s">
        <v>38</v>
      </c>
      <c r="B16" s="5"/>
      <c r="C16" s="6"/>
      <c r="D16" s="6">
        <v>1</v>
      </c>
      <c r="E16" s="5"/>
      <c r="F16" s="5"/>
      <c r="G16" s="5"/>
      <c r="H16" s="16">
        <f t="shared" ref="H16:H17" si="0">H15-F16-D16+B16</f>
        <v>7</v>
      </c>
      <c r="I16" s="16">
        <f t="shared" ref="I16:I17" si="1">I15-E16+C16</f>
        <v>10</v>
      </c>
      <c r="J16" s="17">
        <f t="shared" ref="J16:J17" si="2">SUM(H16:I16)</f>
        <v>17</v>
      </c>
    </row>
    <row r="17" spans="1:10" s="15" customFormat="1" ht="15" customHeight="1" x14ac:dyDescent="0.25">
      <c r="A17" s="4" t="s">
        <v>39</v>
      </c>
      <c r="B17" s="5">
        <v>2.5</v>
      </c>
      <c r="C17" s="6">
        <v>2.5</v>
      </c>
      <c r="D17" s="6"/>
      <c r="E17" s="5"/>
      <c r="F17" s="5"/>
      <c r="G17" s="5"/>
      <c r="H17" s="16">
        <f t="shared" si="0"/>
        <v>9.5</v>
      </c>
      <c r="I17" s="16">
        <f t="shared" si="1"/>
        <v>12.5</v>
      </c>
      <c r="J17" s="17">
        <f t="shared" si="2"/>
        <v>22</v>
      </c>
    </row>
    <row r="18" spans="1:10" s="15" customFormat="1" ht="15" customHeight="1" x14ac:dyDescent="0.25">
      <c r="A18" s="22" t="s">
        <v>57</v>
      </c>
      <c r="B18" s="5"/>
      <c r="C18" s="6"/>
      <c r="D18" s="6"/>
      <c r="E18" s="5"/>
      <c r="F18" s="5">
        <v>2</v>
      </c>
      <c r="G18" s="5"/>
      <c r="H18" s="16">
        <f t="shared" ref="H18:H35" si="3">H17-F18-D18+B18</f>
        <v>7.5</v>
      </c>
      <c r="I18" s="16">
        <f t="shared" ref="I18:I35" si="4">I17-E18+C18</f>
        <v>12.5</v>
      </c>
      <c r="J18" s="17">
        <f t="shared" ref="J18:J35" si="5">SUM(H18:I18)</f>
        <v>20</v>
      </c>
    </row>
    <row r="19" spans="1:10" s="15" customFormat="1" x14ac:dyDescent="0.25">
      <c r="A19" s="19" t="s">
        <v>40</v>
      </c>
      <c r="B19" s="20"/>
      <c r="C19" s="20"/>
      <c r="D19" s="19"/>
      <c r="E19" s="19">
        <v>2</v>
      </c>
      <c r="F19" s="21"/>
      <c r="G19" s="21"/>
      <c r="H19" s="16">
        <f t="shared" si="3"/>
        <v>7.5</v>
      </c>
      <c r="I19" s="16">
        <f t="shared" si="4"/>
        <v>10.5</v>
      </c>
      <c r="J19" s="17">
        <f t="shared" si="5"/>
        <v>18</v>
      </c>
    </row>
    <row r="20" spans="1:10" s="15" customFormat="1" x14ac:dyDescent="0.25">
      <c r="A20" s="19" t="s">
        <v>41</v>
      </c>
      <c r="B20" s="19">
        <v>1.25</v>
      </c>
      <c r="C20" s="19">
        <v>1.25</v>
      </c>
      <c r="D20" s="19"/>
      <c r="E20" s="19"/>
      <c r="F20" s="21"/>
      <c r="G20" s="21"/>
      <c r="H20" s="16">
        <f t="shared" si="3"/>
        <v>8.75</v>
      </c>
      <c r="I20" s="16">
        <f t="shared" si="4"/>
        <v>11.75</v>
      </c>
      <c r="J20" s="17">
        <f t="shared" si="5"/>
        <v>20.5</v>
      </c>
    </row>
    <row r="21" spans="1:10" s="15" customFormat="1" x14ac:dyDescent="0.25">
      <c r="A21" s="19" t="s">
        <v>42</v>
      </c>
      <c r="B21" s="19"/>
      <c r="C21" s="19"/>
      <c r="D21" s="19">
        <v>2</v>
      </c>
      <c r="E21" s="19"/>
      <c r="F21" s="21"/>
      <c r="G21" s="21"/>
      <c r="H21" s="16">
        <f t="shared" si="3"/>
        <v>6.75</v>
      </c>
      <c r="I21" s="16">
        <f t="shared" si="4"/>
        <v>11.75</v>
      </c>
      <c r="J21" s="17">
        <f t="shared" si="5"/>
        <v>18.5</v>
      </c>
    </row>
    <row r="22" spans="1:10" s="15" customFormat="1" x14ac:dyDescent="0.25">
      <c r="A22" s="19" t="s">
        <v>43</v>
      </c>
      <c r="B22" s="19">
        <v>1.25</v>
      </c>
      <c r="C22" s="19">
        <v>1.25</v>
      </c>
      <c r="D22" s="19"/>
      <c r="E22" s="19"/>
      <c r="F22" s="21"/>
      <c r="G22" s="21"/>
      <c r="H22" s="16">
        <f t="shared" si="3"/>
        <v>8</v>
      </c>
      <c r="I22" s="16">
        <f t="shared" si="4"/>
        <v>13</v>
      </c>
      <c r="J22" s="17">
        <f t="shared" si="5"/>
        <v>21</v>
      </c>
    </row>
    <row r="23" spans="1:10" s="15" customFormat="1" x14ac:dyDescent="0.25">
      <c r="A23" s="19" t="s">
        <v>44</v>
      </c>
      <c r="B23" s="19"/>
      <c r="C23" s="19"/>
      <c r="D23" s="19"/>
      <c r="E23" s="19">
        <v>3</v>
      </c>
      <c r="F23" s="21"/>
      <c r="G23" s="21"/>
      <c r="H23" s="16">
        <f t="shared" si="3"/>
        <v>8</v>
      </c>
      <c r="I23" s="16">
        <f t="shared" si="4"/>
        <v>10</v>
      </c>
      <c r="J23" s="17">
        <f t="shared" si="5"/>
        <v>18</v>
      </c>
    </row>
    <row r="24" spans="1:10" s="15" customFormat="1" x14ac:dyDescent="0.25">
      <c r="A24" s="19" t="s">
        <v>45</v>
      </c>
      <c r="B24" s="19"/>
      <c r="C24" s="19"/>
      <c r="D24" s="19"/>
      <c r="E24" s="19">
        <v>1</v>
      </c>
      <c r="F24" s="21"/>
      <c r="G24" s="21"/>
      <c r="H24" s="16">
        <f t="shared" si="3"/>
        <v>8</v>
      </c>
      <c r="I24" s="16">
        <f t="shared" si="4"/>
        <v>9</v>
      </c>
      <c r="J24" s="17">
        <f t="shared" si="5"/>
        <v>17</v>
      </c>
    </row>
    <row r="25" spans="1:10" s="15" customFormat="1" x14ac:dyDescent="0.25">
      <c r="A25" s="19" t="s">
        <v>46</v>
      </c>
      <c r="B25" s="19"/>
      <c r="C25" s="19"/>
      <c r="D25" s="19"/>
      <c r="E25" s="19">
        <v>1</v>
      </c>
      <c r="F25" s="21"/>
      <c r="G25" s="21"/>
      <c r="H25" s="16">
        <f t="shared" si="3"/>
        <v>8</v>
      </c>
      <c r="I25" s="16">
        <f t="shared" si="4"/>
        <v>8</v>
      </c>
      <c r="J25" s="17">
        <f t="shared" si="5"/>
        <v>16</v>
      </c>
    </row>
    <row r="26" spans="1:10" s="15" customFormat="1" x14ac:dyDescent="0.25">
      <c r="A26" s="19" t="s">
        <v>47</v>
      </c>
      <c r="B26" s="19">
        <v>1.25</v>
      </c>
      <c r="C26" s="19">
        <v>1.25</v>
      </c>
      <c r="D26" s="19"/>
      <c r="E26" s="19"/>
      <c r="F26" s="21"/>
      <c r="G26" s="21"/>
      <c r="H26" s="16">
        <f t="shared" si="3"/>
        <v>9.25</v>
      </c>
      <c r="I26" s="16">
        <f t="shared" si="4"/>
        <v>9.25</v>
      </c>
      <c r="J26" s="17">
        <f t="shared" si="5"/>
        <v>18.5</v>
      </c>
    </row>
    <row r="27" spans="1:10" s="15" customFormat="1" x14ac:dyDescent="0.25">
      <c r="A27" s="19" t="s">
        <v>48</v>
      </c>
      <c r="B27" s="19"/>
      <c r="C27" s="19"/>
      <c r="D27" s="19"/>
      <c r="E27" s="19">
        <v>3</v>
      </c>
      <c r="F27" s="21"/>
      <c r="G27" s="21"/>
      <c r="H27" s="16">
        <f t="shared" si="3"/>
        <v>9.25</v>
      </c>
      <c r="I27" s="16">
        <f t="shared" si="4"/>
        <v>6.25</v>
      </c>
      <c r="J27" s="17">
        <f t="shared" si="5"/>
        <v>15.5</v>
      </c>
    </row>
    <row r="28" spans="1:10" s="15" customFormat="1" x14ac:dyDescent="0.25">
      <c r="A28" s="19" t="s">
        <v>56</v>
      </c>
      <c r="B28" s="19">
        <v>1.25</v>
      </c>
      <c r="C28" s="19">
        <v>1.25</v>
      </c>
      <c r="D28" s="19"/>
      <c r="E28" s="19"/>
      <c r="F28" s="21"/>
      <c r="G28" s="21"/>
      <c r="H28" s="16">
        <f t="shared" si="3"/>
        <v>10.5</v>
      </c>
      <c r="I28" s="16">
        <f t="shared" si="4"/>
        <v>7.5</v>
      </c>
      <c r="J28" s="17">
        <f t="shared" si="5"/>
        <v>18</v>
      </c>
    </row>
    <row r="29" spans="1:10" s="15" customFormat="1" x14ac:dyDescent="0.25">
      <c r="A29" s="19" t="s">
        <v>49</v>
      </c>
      <c r="B29" s="19"/>
      <c r="C29" s="19"/>
      <c r="D29" s="19"/>
      <c r="E29" s="19"/>
      <c r="F29" s="21">
        <v>3</v>
      </c>
      <c r="G29" s="21"/>
      <c r="H29" s="16">
        <f t="shared" si="3"/>
        <v>7.5</v>
      </c>
      <c r="I29" s="16">
        <f t="shared" si="4"/>
        <v>7.5</v>
      </c>
      <c r="J29" s="17">
        <f t="shared" si="5"/>
        <v>15</v>
      </c>
    </row>
    <row r="30" spans="1:10" s="15" customFormat="1" x14ac:dyDescent="0.25">
      <c r="A30" s="19" t="s">
        <v>50</v>
      </c>
      <c r="B30" s="19"/>
      <c r="C30" s="19"/>
      <c r="D30" s="19"/>
      <c r="E30" s="19">
        <v>3</v>
      </c>
      <c r="F30" s="21"/>
      <c r="G30" s="21"/>
      <c r="H30" s="16">
        <f t="shared" si="3"/>
        <v>7.5</v>
      </c>
      <c r="I30" s="16">
        <f t="shared" si="4"/>
        <v>4.5</v>
      </c>
      <c r="J30" s="17">
        <f t="shared" si="5"/>
        <v>12</v>
      </c>
    </row>
    <row r="31" spans="1:10" s="15" customFormat="1" x14ac:dyDescent="0.25">
      <c r="A31" s="19" t="s">
        <v>51</v>
      </c>
      <c r="B31" s="19"/>
      <c r="C31" s="19"/>
      <c r="D31" s="19"/>
      <c r="E31" s="19"/>
      <c r="F31" s="21">
        <v>2</v>
      </c>
      <c r="G31" s="21"/>
      <c r="H31" s="16">
        <f t="shared" si="3"/>
        <v>5.5</v>
      </c>
      <c r="I31" s="16">
        <f t="shared" si="4"/>
        <v>4.5</v>
      </c>
      <c r="J31" s="17">
        <f t="shared" si="5"/>
        <v>10</v>
      </c>
    </row>
    <row r="32" spans="1:10" s="15" customFormat="1" x14ac:dyDescent="0.25">
      <c r="A32" s="19" t="s">
        <v>53</v>
      </c>
      <c r="B32" s="19">
        <v>1.25</v>
      </c>
      <c r="C32" s="19">
        <v>1.25</v>
      </c>
      <c r="D32" s="19"/>
      <c r="E32" s="19"/>
      <c r="F32" s="21"/>
      <c r="G32" s="21"/>
      <c r="H32" s="16">
        <f t="shared" si="3"/>
        <v>6.75</v>
      </c>
      <c r="I32" s="16">
        <f t="shared" si="4"/>
        <v>5.75</v>
      </c>
      <c r="J32" s="17">
        <f t="shared" si="5"/>
        <v>12.5</v>
      </c>
    </row>
    <row r="33" spans="1:10" s="15" customFormat="1" x14ac:dyDescent="0.25">
      <c r="A33" s="19" t="s">
        <v>54</v>
      </c>
      <c r="B33" s="19"/>
      <c r="C33" s="19"/>
      <c r="D33" s="19"/>
      <c r="E33" s="19">
        <v>1</v>
      </c>
      <c r="F33" s="21"/>
      <c r="G33" s="21"/>
      <c r="H33" s="16">
        <f t="shared" si="3"/>
        <v>6.75</v>
      </c>
      <c r="I33" s="16">
        <f t="shared" si="4"/>
        <v>4.75</v>
      </c>
      <c r="J33" s="17">
        <f t="shared" si="5"/>
        <v>11.5</v>
      </c>
    </row>
    <row r="34" spans="1:10" s="15" customFormat="1" x14ac:dyDescent="0.25">
      <c r="A34" s="19" t="s">
        <v>55</v>
      </c>
      <c r="B34" s="19"/>
      <c r="C34" s="19"/>
      <c r="D34" s="19">
        <v>4</v>
      </c>
      <c r="E34" s="19"/>
      <c r="F34" s="21"/>
      <c r="G34" s="21"/>
      <c r="H34" s="16">
        <f t="shared" si="3"/>
        <v>2.75</v>
      </c>
      <c r="I34" s="16">
        <f t="shared" si="4"/>
        <v>4.75</v>
      </c>
      <c r="J34" s="17">
        <f t="shared" si="5"/>
        <v>7.5</v>
      </c>
    </row>
    <row r="35" spans="1:10" s="15" customFormat="1" x14ac:dyDescent="0.25">
      <c r="A35" s="19" t="s">
        <v>52</v>
      </c>
      <c r="B35" s="19">
        <v>1.25</v>
      </c>
      <c r="C35" s="19">
        <v>1.25</v>
      </c>
      <c r="D35" s="19"/>
      <c r="E35" s="19"/>
      <c r="F35" s="21"/>
      <c r="G35" s="21"/>
      <c r="H35" s="16">
        <f t="shared" si="3"/>
        <v>4</v>
      </c>
      <c r="I35" s="16">
        <f t="shared" si="4"/>
        <v>6</v>
      </c>
      <c r="J35" s="17">
        <f t="shared" si="5"/>
        <v>10</v>
      </c>
    </row>
    <row r="36" spans="1:10" s="15" customFormat="1" x14ac:dyDescent="0.25">
      <c r="A36" s="83" t="s">
        <v>58</v>
      </c>
      <c r="B36" s="84"/>
      <c r="C36" s="84"/>
      <c r="D36" s="84"/>
      <c r="E36" s="84"/>
      <c r="F36" s="84"/>
      <c r="G36" s="84"/>
      <c r="H36" s="84"/>
      <c r="I36" s="84"/>
      <c r="J36" s="85"/>
    </row>
    <row r="40" spans="1:10" s="15" customFormat="1" x14ac:dyDescent="0.25">
      <c r="A40"/>
      <c r="B40"/>
      <c r="C40"/>
      <c r="D40"/>
      <c r="E40"/>
      <c r="F40" s="18" t="s">
        <v>21</v>
      </c>
      <c r="G40" s="18"/>
      <c r="H40"/>
      <c r="I40"/>
      <c r="J40"/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36:J36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CORRECTED </vt:lpstr>
      <vt:lpstr>CTO</vt:lpstr>
      <vt:lpstr>LGU</vt:lpstr>
      <vt:lpstr>'Leave Card CORRECTED '!Print_Area</vt:lpstr>
      <vt:lpstr>LGU!Print_Area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2026-01-14T03:53:20Z</cp:lastPrinted>
  <dcterms:created xsi:type="dcterms:W3CDTF">2024-01-16T00:34:07Z</dcterms:created>
  <dcterms:modified xsi:type="dcterms:W3CDTF">2026-01-14T03:57:25Z</dcterms:modified>
</cp:coreProperties>
</file>