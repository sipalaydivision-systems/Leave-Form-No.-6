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" sheetId="8" r:id="rId1"/>
  </sheets>
  <definedNames>
    <definedName name="_xlnm.Print_Area" localSheetId="0">'Leave Card'!$A$1:$J$89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<sst xmlns="http://schemas.openxmlformats.org/spreadsheetml/2006/main" count="94" uniqueCount="90">
  <si>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</si>
  <si>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</si>
  <si>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</si>
  <si>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</si>
  <si>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</si>
  <si>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</si>
  <si>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 xml:space="preserve">EMP. NO  : </t>
  </si>
  <si>
    <t>POSITION: __________________________</t>
  </si>
  <si>
    <t>SCHOOL/OFFICE:_____________________</t>
  </si>
  <si>
    <t>STATION   : GMNHS</t>
  </si>
  <si>
    <t>SERVICE LEAVE CARD</t>
  </si>
  <si>
    <t>DATE OF APPOINTMENT: 04/19/2021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</si>
  <si>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</si>
  <si>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</si>
  <si>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</si>
  <si>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</si>
  <si>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</si>
  <si>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</si>
  <si>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</si>
  <si>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</si>
  <si>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</t>
  </si>
  <si>
    <t>DATE OF ORIGINAL APPOINTMENT: 04/19/2021</t>
  </si>
  <si>
    <t>ADD: 04/19/2021- 04/30/2021</t>
  </si>
  <si>
    <t>ADD: 05/01/2021- 12/31/2021</t>
  </si>
  <si>
    <t>LESS: FL 2021</t>
  </si>
  <si>
    <t>ADD: 01/01/2022- 06/30/2022</t>
  </si>
  <si>
    <t>LESS: 06/16/2022</t>
  </si>
  <si>
    <t>ADD: 07/01/2022-08/31/2022</t>
  </si>
  <si>
    <t>LESS: MONETIZATION 2022</t>
  </si>
  <si>
    <t>ADD: 09/01/2022 - 12/31/2022</t>
  </si>
  <si>
    <t>LESS: FL 2022</t>
  </si>
  <si>
    <t>ADD: 01/01/2023- 02/28/2023</t>
  </si>
  <si>
    <t>LESS: 03/08/2023</t>
  </si>
  <si>
    <t>ADD: 03/01/2023- 03/31/2023</t>
  </si>
  <si>
    <t>ADD:04/1-30/23</t>
  </si>
  <si>
    <t>LESS: 05/22-23/23</t>
  </si>
  <si>
    <t>ADD: 05/01/2023- 08/31/2023</t>
  </si>
  <si>
    <t>LESS: MONETIZATION 2023</t>
  </si>
  <si>
    <t>LESS: 09/26/2023</t>
  </si>
  <si>
    <t>ADD: 09/01/2023 - 10/31/2023</t>
  </si>
  <si>
    <t>LESS: 11/16/2023</t>
  </si>
  <si>
    <t>ADD: 11/01/2023-11/30/2023</t>
  </si>
  <si>
    <t>LESS: 12/14/2023</t>
  </si>
  <si>
    <t>LESS: 12/6/2023</t>
  </si>
  <si>
    <t>LESS: 12/27-28/2023</t>
  </si>
  <si>
    <t>LESS: 12/21/2023</t>
  </si>
  <si>
    <t>ADD: 12/01/2023-12/31/2023</t>
  </si>
  <si>
    <t>ADD: 01/01/2024-02/29/2024</t>
  </si>
  <si>
    <t>LESS: 02/29/2024</t>
  </si>
  <si>
    <t>ADD: 03/1/2024-04/30/2024</t>
  </si>
  <si>
    <t>LESS: 05/30/2024</t>
  </si>
  <si>
    <t>ADD: 05/1/2024-08/31/2024</t>
  </si>
  <si>
    <t>LESS: MONETIZATION 2024</t>
  </si>
  <si>
    <t>LESS: 08/05/2024</t>
  </si>
  <si>
    <t>LESS: 09/02/2024</t>
  </si>
  <si>
    <t>ADD: 09/1-30/2024</t>
  </si>
  <si>
    <t>LESS: 10/08/2024</t>
  </si>
  <si>
    <t>LESS: 10/23/2024</t>
  </si>
  <si>
    <t>LESS: 11/4/2024</t>
  </si>
  <si>
    <t>ADD: 10/1-31/2024</t>
  </si>
  <si>
    <t>LESS: 11/12/2024</t>
  </si>
  <si>
    <t>ADD: 11/1-30/2024</t>
  </si>
  <si>
    <t>LESS: 12/6/2024</t>
  </si>
  <si>
    <t>LESS: 12/17/2024</t>
  </si>
  <si>
    <t>LESS: 12/26-27/2024</t>
  </si>
  <si>
    <t>ADD: 12/1-31/2024</t>
  </si>
  <si>
    <t>LESS: 01/2-3/2025</t>
  </si>
  <si>
    <t>LESS: 01/15/2025</t>
  </si>
  <si>
    <t>ADD: 1/1-31/2025</t>
  </si>
  <si>
    <t>LESS: 02/28/2025</t>
  </si>
  <si>
    <t>ADD: 02/1-28/2025</t>
  </si>
  <si>
    <t>LESS: 03/6/2025</t>
  </si>
  <si>
    <t>ADD: 03/1-31/2025</t>
  </si>
  <si>
    <t>LESS: 04/28/2025</t>
  </si>
  <si>
    <t>ADD: 04/1/2025-05/31/2025</t>
  </si>
  <si>
    <t>LESS: 06/24/2025</t>
  </si>
  <si>
    <t>ADD: 06/1-30/2025</t>
  </si>
  <si>
    <t>LESS: 07/9/2025</t>
  </si>
  <si>
    <t>LESS: 07/15/2025</t>
  </si>
  <si>
    <t>LESS: 07/29/2025</t>
  </si>
  <si>
    <t>ADD: 07/1/2025-08/31/2025</t>
  </si>
  <si>
    <t>LESS: MONETIZATION 2025</t>
  </si>
  <si>
    <t>LESS: 08/15/2025</t>
  </si>
  <si>
    <t>LESS: 09/2/2025</t>
  </si>
  <si>
    <t>LESS: 09/15/2025</t>
  </si>
  <si>
    <t>ADD: 09/1/2025-10/31/2025</t>
  </si>
  <si>
    <t>LESS: 11/19/2025</t>
  </si>
  <si>
    <t>ADD: 11/1-30/2025</t>
  </si>
  <si>
    <t>LESS: 12/22, 23, 26/2025</t>
  </si>
  <si>
    <t>DATE FILED: 12/22,23,26, 29/2025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</si>
</sst>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0" borderId="1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6" applyNumberFormat="0" applyAlignment="0" applyProtection="0">
      <alignment vertical="center"/>
    </xf>
    <xf numFmtId="0" fontId="18" fillId="12" borderId="15" applyNumberFormat="0" applyAlignment="0" applyProtection="0">
      <alignment vertical="center"/>
    </xf>
    <xf numFmtId="0" fontId="19" fillId="13" borderId="17" applyNumberFormat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51">
    <xf numFmtId="0" fontId="0" fillId="0" borderId="0" xfId="0"/>
    <xf numFmtId="0" fontId="0" fillId="2" borderId="0" xfId="0" applyFill="1"/>
    <xf numFmtId="0" fontId="1" fillId="0" borderId="0" xfId="0" applyFont="1"/>
    <xf numFmtId="176" fontId="1" fillId="2" borderId="0" xfId="0" applyNumberFormat="1" applyFont="1" applyFill="1"/>
    <xf numFmtId="176" fontId="2" fillId="2" borderId="0" xfId="0" applyNumberFormat="1" applyFont="1" applyFill="1"/>
    <xf numFmtId="176" fontId="2" fillId="0" borderId="0" xfId="0" applyNumberFormat="1" applyFont="1"/>
    <xf numFmtId="176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176" fontId="0" fillId="2" borderId="8" xfId="0" applyNumberFormat="1" applyFill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 wrapText="1"/>
    </xf>
    <xf numFmtId="176" fontId="0" fillId="2" borderId="8" xfId="0" applyNumberFormat="1" applyFill="1" applyBorder="1" applyAlignment="1">
      <alignment horizontal="center" vertical="center" wrapText="1"/>
    </xf>
    <xf numFmtId="176" fontId="0" fillId="9" borderId="8" xfId="0" applyNumberForma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176" fontId="2" fillId="2" borderId="0" xfId="0" applyNumberFormat="1" applyFont="1" applyFill="1" applyAlignment="1">
      <alignment horizontal="center" wrapText="1"/>
    </xf>
    <xf numFmtId="176" fontId="0" fillId="0" borderId="8" xfId="0" applyNumberFormat="1" applyBorder="1" applyAlignment="1">
      <alignment horizontal="center" vertical="center" wrapText="1"/>
    </xf>
    <xf numFmtId="176" fontId="0" fillId="0" borderId="8" xfId="0" applyNumberFormat="1" applyBorder="1" applyAlignment="1">
      <alignment horizontal="center" vertical="center"/>
    </xf>
    <xf numFmtId="176" fontId="0" fillId="9" borderId="8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638175</xdr:colOff>
      <xdr:row>0</xdr:row>
      <xdr:rowOff>19050</xdr:rowOff>
    </xdr:from>
    <xdr:to>
      <xdr:col>4</xdr:col>
      <xdr:colOff>514350</xdr:colOff>
      <xdr:row>0</xdr:row>
      <xdr:rowOff>657226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80865" y="19050"/>
          <a:ext cx="669925" cy="638175"/>
        </a:xfrm>
        <a:prstGeom prst="rect">
          <a:avLst/>
        </a:prstGeom>
        <a:noFill/>
      </xdr:spPr>
    </xdr:pic>
    <xdr:clientData/>
  </xdr:twoCellAnchor>
  <xdr:twoCellAnchor>
    <xdr:from>
      <xdr:col>5</xdr:col>
      <xdr:colOff>590550</xdr:colOff>
      <xdr:row>81</xdr:row>
      <xdr:rowOff>85725</xdr:rowOff>
    </xdr:from>
    <xdr:to>
      <xdr:col>9</xdr:col>
      <xdr:colOff>390525</xdr:colOff>
      <xdr:row>87</xdr:row>
      <xdr:rowOff>38100</xdr:rowOff>
    </xdr:to>
    <xdr:sp>
      <xdr:nvSpPr>
        <xdr:cNvPr id="3" name="TextBox 2"/>
        <xdr:cNvSpPr txBox="1"/>
      </xdr:nvSpPr>
      <xdr:spPr>
        <a:xfrm>
          <a:off x="5920740" y="16009620"/>
          <a:ext cx="2974975" cy="1095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573942</xdr:colOff>
      <xdr:row>5</xdr:row>
      <xdr:rowOff>0</xdr:rowOff>
    </xdr:from>
    <xdr:to>
      <xdr:col>0</xdr:col>
      <xdr:colOff>2582741</xdr:colOff>
      <xdr:row>6</xdr:row>
      <xdr:rowOff>116010</xdr:rowOff>
    </xdr:to>
    <xdr:sp>
      <xdr:nvSpPr>
        <xdr:cNvPr id="11" name="TextBox 10"/>
        <xdr:cNvSpPr txBox="1"/>
      </xdr:nvSpPr>
      <xdr:spPr>
        <a:xfrm>
          <a:off x="573405" y="1407795"/>
          <a:ext cx="1581785" cy="220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STARKLEE D. SABLON</a:t>
          </a:r>
          <a:endParaRPr lang="en-US" sz="1100"/>
        </a:p>
      </xdr:txBody>
    </xdr:sp>
    <xdr:clientData/>
  </xdr:twoCellAnchor>
  <xdr:twoCellAnchor>
    <xdr:from>
      <xdr:col>0</xdr:col>
      <xdr:colOff>902433</xdr:colOff>
      <xdr:row>7</xdr:row>
      <xdr:rowOff>61057</xdr:rowOff>
    </xdr:from>
    <xdr:to>
      <xdr:col>1</xdr:col>
      <xdr:colOff>101357</xdr:colOff>
      <xdr:row>9</xdr:row>
      <xdr:rowOff>6105</xdr:rowOff>
    </xdr:to>
    <xdr:sp>
      <xdr:nvSpPr>
        <xdr:cNvPr id="12" name="TextBox 11"/>
        <xdr:cNvSpPr txBox="1"/>
      </xdr:nvSpPr>
      <xdr:spPr>
        <a:xfrm>
          <a:off x="902335" y="1725930"/>
          <a:ext cx="135382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63500</xdr:rowOff>
    </xdr:from>
    <xdr:to>
      <xdr:col>3</xdr:col>
      <xdr:colOff>695325</xdr:colOff>
      <xdr:row>8</xdr:row>
      <xdr:rowOff>140434</xdr:rowOff>
    </xdr:to>
    <xdr:sp>
      <xdr:nvSpPr>
        <xdr:cNvPr id="13" name="TextBox 12"/>
        <xdr:cNvSpPr txBox="1"/>
      </xdr:nvSpPr>
      <xdr:spPr>
        <a:xfrm>
          <a:off x="3363595" y="1728470"/>
          <a:ext cx="1074420" cy="229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GMNHS-SHS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89"/>
  <sheetViews>
    <sheetView tabSelected="1" view="pageBreakPreview" zoomScaleNormal="100" topLeftCell="A69" workbookViewId="0">
      <selection activeCell="B83" sqref="B83"/>
    </sheetView>
  </sheetViews>
  <sheetFormatPr defaultColWidth="9" defaultRowHeight="14.4"/>
  <cols>
    <col min="1" max="1" width="31.4259259259259" style="7" customWidth="1"/>
    <col min="2" max="2" width="11.5740740740741" style="8" customWidth="1"/>
    <col min="3" max="3" width="11.5740740740741" style="9" customWidth="1"/>
    <col min="4" max="4" width="11.5740740740741" style="8" customWidth="1"/>
    <col min="5" max="5" width="11.5740740740741" style="9" customWidth="1"/>
    <col min="6" max="7" width="11.5740740740741" customWidth="1"/>
    <col min="8" max="8" width="11.5740740740741" style="8" customWidth="1"/>
    <col min="9" max="9" width="11.5740740740741" style="9" customWidth="1"/>
    <col min="10" max="10" width="11.5740740740741" customWidth="1"/>
  </cols>
  <sheetData>
    <row r="1" s="1" customFormat="1" ht="52.5" customHeight="1" spans="1:7">
      <c r="A1" s="10"/>
      <c r="F1"/>
      <c r="G1" s="10"/>
    </row>
    <row r="2" s="1" customFormat="1" ht="10.5" customHeight="1" spans="1:10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</row>
    <row r="3" s="1" customFormat="1" ht="15.95" customHeight="1" spans="1:10">
      <c r="A3" s="11" t="s">
        <v>1</v>
      </c>
      <c r="B3" s="11"/>
      <c r="C3" s="11"/>
      <c r="D3" s="11"/>
      <c r="E3" s="11"/>
      <c r="F3" s="11"/>
      <c r="G3" s="11"/>
      <c r="H3" s="11"/>
      <c r="I3" s="11"/>
      <c r="J3" s="11"/>
    </row>
    <row r="4" s="1" customFormat="1" ht="15.95" customHeight="1" spans="1:10">
      <c r="A4" s="11" t="s">
        <v>2</v>
      </c>
      <c r="B4" s="11"/>
      <c r="C4" s="11"/>
      <c r="D4" s="11"/>
      <c r="E4" s="11"/>
      <c r="F4" s="11"/>
      <c r="G4" s="11"/>
      <c r="H4" s="11"/>
      <c r="I4" s="11"/>
      <c r="J4" s="11"/>
    </row>
    <row r="5" s="1" customFormat="1" ht="15.95" customHeight="1" spans="1:10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</row>
    <row r="6" s="1" customFormat="1" ht="8.25" customHeight="1" spans="1:6">
      <c r="A6" s="10"/>
      <c r="F6"/>
    </row>
    <row r="7" s="1" customFormat="1" ht="12" customHeight="1" spans="1:8">
      <c r="A7" s="10" t="s">
        <v>4</v>
      </c>
      <c r="B7" s="12" t="s">
        <v>5</v>
      </c>
      <c r="C7" s="12"/>
      <c r="F7" s="13" t="s">
        <v>6</v>
      </c>
      <c r="G7" s="14">
        <v>6445117</v>
      </c>
      <c r="H7" s="15"/>
    </row>
    <row r="8" s="1" customFormat="1" ht="12" customHeight="1" spans="1:8">
      <c r="A8" s="10"/>
      <c r="B8" s="16"/>
      <c r="C8" s="16"/>
      <c r="F8" s="17"/>
      <c r="G8" s="16"/>
      <c r="H8" s="16"/>
    </row>
    <row r="9" s="1" customFormat="1" ht="12" customHeight="1" spans="1:8">
      <c r="A9" s="10" t="s">
        <v>7</v>
      </c>
      <c r="B9" s="12" t="s">
        <v>8</v>
      </c>
      <c r="C9" s="12"/>
      <c r="F9" s="13" t="s">
        <v>9</v>
      </c>
      <c r="G9" s="18"/>
      <c r="H9" s="15"/>
    </row>
    <row r="10" ht="16.5" customHeight="1" spans="1:10">
      <c r="A10" s="19" t="s">
        <v>10</v>
      </c>
      <c r="B10" s="19"/>
      <c r="C10" s="19"/>
      <c r="D10" s="19"/>
      <c r="E10" s="19"/>
      <c r="F10" s="19"/>
      <c r="G10" s="19"/>
      <c r="H10" s="19"/>
      <c r="I10" s="19"/>
      <c r="J10" s="19"/>
    </row>
    <row r="11" s="2" customFormat="1" ht="18.75" customHeight="1" spans="1:10">
      <c r="A11" s="20" t="s">
        <v>11</v>
      </c>
      <c r="B11" s="21"/>
      <c r="C11" s="21"/>
      <c r="D11" s="21"/>
      <c r="E11" s="21"/>
      <c r="F11" s="21"/>
      <c r="G11" s="21"/>
      <c r="H11" s="21"/>
      <c r="I11" s="21"/>
      <c r="J11" s="40"/>
    </row>
    <row r="12" s="2" customFormat="1" ht="15" customHeight="1" spans="1:10">
      <c r="A12" s="22" t="s">
        <v>12</v>
      </c>
      <c r="B12" s="23" t="s">
        <v>13</v>
      </c>
      <c r="C12" s="24"/>
      <c r="D12" s="25" t="s">
        <v>14</v>
      </c>
      <c r="E12" s="26"/>
      <c r="F12" s="26"/>
      <c r="G12" s="26"/>
      <c r="H12" s="27" t="s">
        <v>15</v>
      </c>
      <c r="I12" s="41"/>
      <c r="J12" s="42" t="s">
        <v>16</v>
      </c>
    </row>
    <row r="13" s="2" customFormat="1" ht="22.5" customHeight="1" spans="1:10">
      <c r="A13" s="28"/>
      <c r="B13" s="29" t="s">
        <v>17</v>
      </c>
      <c r="C13" s="30" t="s">
        <v>18</v>
      </c>
      <c r="D13" s="29" t="s">
        <v>17</v>
      </c>
      <c r="E13" s="30" t="s">
        <v>18</v>
      </c>
      <c r="F13" s="31" t="s">
        <v>19</v>
      </c>
      <c r="G13" s="32" t="s">
        <v>20</v>
      </c>
      <c r="H13" s="29" t="s">
        <v>17</v>
      </c>
      <c r="I13" s="30" t="s">
        <v>18</v>
      </c>
      <c r="J13" s="43"/>
    </row>
    <row r="14" s="2" customFormat="1" ht="21" customHeight="1" spans="1:10">
      <c r="A14" s="33" t="s">
        <v>21</v>
      </c>
      <c r="B14" s="34"/>
      <c r="C14" s="34"/>
      <c r="D14" s="34"/>
      <c r="E14" s="34"/>
      <c r="F14" s="34"/>
      <c r="G14" s="34"/>
      <c r="H14" s="34"/>
      <c r="I14" s="34"/>
      <c r="J14" s="44"/>
    </row>
    <row r="15" s="3" customFormat="1" ht="15" customHeight="1" spans="1:10">
      <c r="A15" s="35" t="s">
        <v>22</v>
      </c>
      <c r="B15" s="36">
        <f>SUM(1.25/30)*12</f>
        <v>0.5</v>
      </c>
      <c r="C15" s="36">
        <f>B15</f>
        <v>0.5</v>
      </c>
      <c r="D15" s="36"/>
      <c r="E15" s="36"/>
      <c r="F15" s="36"/>
      <c r="G15" s="37"/>
      <c r="H15" s="36">
        <f>B15</f>
        <v>0.5</v>
      </c>
      <c r="I15" s="36">
        <f>C15</f>
        <v>0.5</v>
      </c>
      <c r="J15" s="38">
        <f t="shared" ref="J15:J16" si="0">H15+I15</f>
        <v>1</v>
      </c>
    </row>
    <row r="16" s="4" customFormat="1" ht="15" customHeight="1" spans="1:10">
      <c r="A16" s="38" t="s">
        <v>23</v>
      </c>
      <c r="B16" s="36">
        <f>10/245*245</f>
        <v>10</v>
      </c>
      <c r="C16" s="36">
        <f>B16</f>
        <v>10</v>
      </c>
      <c r="D16" s="36"/>
      <c r="E16" s="36"/>
      <c r="F16" s="36"/>
      <c r="G16" s="37"/>
      <c r="H16" s="36">
        <f>H15-F16-D16+B16</f>
        <v>10.5</v>
      </c>
      <c r="I16" s="36">
        <f>I15-E16+C16</f>
        <v>10.5</v>
      </c>
      <c r="J16" s="38">
        <f t="shared" si="0"/>
        <v>21</v>
      </c>
    </row>
    <row r="17" s="4" customFormat="1" ht="15" customHeight="1" spans="1:10">
      <c r="A17" s="38" t="s">
        <v>24</v>
      </c>
      <c r="B17" s="36"/>
      <c r="C17" s="36"/>
      <c r="D17" s="36"/>
      <c r="E17" s="36"/>
      <c r="F17" s="36">
        <v>5</v>
      </c>
      <c r="G17" s="37"/>
      <c r="H17" s="36">
        <f t="shared" ref="H17:H37" si="1">H16-F17-D17+B17</f>
        <v>5.5</v>
      </c>
      <c r="I17" s="36">
        <f t="shared" ref="I17:I37" si="2">I16-E17+C17</f>
        <v>10.5</v>
      </c>
      <c r="J17" s="38">
        <f t="shared" ref="J17:J37" si="3">H17+I17</f>
        <v>16</v>
      </c>
    </row>
    <row r="18" s="4" customFormat="1" ht="15" customHeight="1" spans="1:10">
      <c r="A18" s="38" t="s">
        <v>25</v>
      </c>
      <c r="B18" s="36">
        <f>1.25*6</f>
        <v>7.5</v>
      </c>
      <c r="C18" s="36">
        <f>1.25*6</f>
        <v>7.5</v>
      </c>
      <c r="D18" s="36"/>
      <c r="E18" s="36"/>
      <c r="F18" s="36"/>
      <c r="G18" s="37"/>
      <c r="H18" s="36">
        <f t="shared" si="1"/>
        <v>13</v>
      </c>
      <c r="I18" s="36">
        <f t="shared" si="2"/>
        <v>18</v>
      </c>
      <c r="J18" s="38">
        <f t="shared" si="3"/>
        <v>31</v>
      </c>
    </row>
    <row r="19" s="4" customFormat="1" ht="15" customHeight="1" spans="1:12">
      <c r="A19" s="38" t="s">
        <v>26</v>
      </c>
      <c r="B19" s="36"/>
      <c r="C19" s="36"/>
      <c r="D19" s="36"/>
      <c r="E19" s="36"/>
      <c r="F19" s="36"/>
      <c r="G19" s="37">
        <v>1</v>
      </c>
      <c r="H19" s="36">
        <f t="shared" si="1"/>
        <v>13</v>
      </c>
      <c r="I19" s="36">
        <f t="shared" si="2"/>
        <v>18</v>
      </c>
      <c r="J19" s="38">
        <f t="shared" si="3"/>
        <v>31</v>
      </c>
      <c r="K19" s="45"/>
      <c r="L19" s="45"/>
    </row>
    <row r="20" s="4" customFormat="1" ht="15" customHeight="1" spans="1:12">
      <c r="A20" s="38" t="s">
        <v>27</v>
      </c>
      <c r="B20" s="36">
        <v>2.5</v>
      </c>
      <c r="C20" s="36">
        <v>2.5</v>
      </c>
      <c r="D20" s="36"/>
      <c r="E20" s="36"/>
      <c r="F20" s="36"/>
      <c r="G20" s="37"/>
      <c r="H20" s="36">
        <f t="shared" si="1"/>
        <v>15.5</v>
      </c>
      <c r="I20" s="36">
        <f t="shared" si="2"/>
        <v>20.5</v>
      </c>
      <c r="J20" s="38">
        <f t="shared" si="3"/>
        <v>36</v>
      </c>
      <c r="K20" s="45"/>
      <c r="L20" s="45"/>
    </row>
    <row r="21" s="4" customFormat="1" ht="15" customHeight="1" spans="1:10">
      <c r="A21" s="38" t="s">
        <v>28</v>
      </c>
      <c r="B21" s="36"/>
      <c r="C21" s="36"/>
      <c r="D21" s="36">
        <v>8</v>
      </c>
      <c r="E21" s="36">
        <v>17</v>
      </c>
      <c r="F21" s="36"/>
      <c r="G21" s="37"/>
      <c r="H21" s="36">
        <f t="shared" si="1"/>
        <v>7.5</v>
      </c>
      <c r="I21" s="36">
        <f t="shared" si="2"/>
        <v>3.5</v>
      </c>
      <c r="J21" s="38">
        <f t="shared" si="3"/>
        <v>11</v>
      </c>
    </row>
    <row r="22" s="4" customFormat="1" ht="15" customHeight="1" spans="1:10">
      <c r="A22" s="38" t="s">
        <v>29</v>
      </c>
      <c r="B22" s="36">
        <v>5</v>
      </c>
      <c r="C22" s="36">
        <v>5</v>
      </c>
      <c r="D22" s="36"/>
      <c r="E22" s="36"/>
      <c r="F22" s="36"/>
      <c r="G22" s="37"/>
      <c r="H22" s="36">
        <f t="shared" si="1"/>
        <v>12.5</v>
      </c>
      <c r="I22" s="36">
        <f t="shared" si="2"/>
        <v>8.5</v>
      </c>
      <c r="J22" s="38">
        <f t="shared" si="3"/>
        <v>21</v>
      </c>
    </row>
    <row r="23" s="4" customFormat="1" ht="15" customHeight="1" spans="1:10">
      <c r="A23" s="38" t="s">
        <v>30</v>
      </c>
      <c r="B23" s="36"/>
      <c r="C23" s="36"/>
      <c r="D23" s="36"/>
      <c r="E23" s="36"/>
      <c r="F23" s="36">
        <v>5</v>
      </c>
      <c r="G23" s="37"/>
      <c r="H23" s="36">
        <f t="shared" si="1"/>
        <v>7.5</v>
      </c>
      <c r="I23" s="36">
        <f t="shared" si="2"/>
        <v>8.5</v>
      </c>
      <c r="J23" s="38">
        <f t="shared" si="3"/>
        <v>16</v>
      </c>
    </row>
    <row r="24" s="4" customFormat="1" ht="15" customHeight="1" spans="1:10">
      <c r="A24" s="38" t="s">
        <v>31</v>
      </c>
      <c r="B24" s="36">
        <v>2.5</v>
      </c>
      <c r="C24" s="36">
        <v>2.5</v>
      </c>
      <c r="D24" s="36"/>
      <c r="E24" s="36"/>
      <c r="F24" s="36"/>
      <c r="G24" s="37"/>
      <c r="H24" s="36">
        <f t="shared" si="1"/>
        <v>10</v>
      </c>
      <c r="I24" s="36">
        <f t="shared" si="2"/>
        <v>11</v>
      </c>
      <c r="J24" s="38">
        <f t="shared" si="3"/>
        <v>21</v>
      </c>
    </row>
    <row r="25" s="4" customFormat="1" ht="15" customHeight="1" spans="1:10">
      <c r="A25" s="38" t="s">
        <v>32</v>
      </c>
      <c r="B25" s="36"/>
      <c r="C25" s="36"/>
      <c r="D25" s="36"/>
      <c r="E25" s="36"/>
      <c r="F25" s="36"/>
      <c r="G25" s="37">
        <v>1</v>
      </c>
      <c r="H25" s="36">
        <f t="shared" si="1"/>
        <v>10</v>
      </c>
      <c r="I25" s="36">
        <f t="shared" si="2"/>
        <v>11</v>
      </c>
      <c r="J25" s="38">
        <f t="shared" si="3"/>
        <v>21</v>
      </c>
    </row>
    <row r="26" s="4" customFormat="1" ht="15" customHeight="1" spans="1:10">
      <c r="A26" s="38" t="s">
        <v>33</v>
      </c>
      <c r="B26" s="36">
        <v>1.25</v>
      </c>
      <c r="C26" s="36">
        <v>1.25</v>
      </c>
      <c r="D26" s="36"/>
      <c r="E26" s="36"/>
      <c r="F26" s="36"/>
      <c r="G26" s="37"/>
      <c r="H26" s="36">
        <f t="shared" si="1"/>
        <v>11.25</v>
      </c>
      <c r="I26" s="36">
        <f t="shared" si="2"/>
        <v>12.25</v>
      </c>
      <c r="J26" s="38">
        <f t="shared" si="3"/>
        <v>23.5</v>
      </c>
    </row>
    <row r="27" s="4" customFormat="1" ht="15" customHeight="1" spans="1:10">
      <c r="A27" s="38" t="s">
        <v>34</v>
      </c>
      <c r="B27" s="36">
        <v>1.25</v>
      </c>
      <c r="C27" s="36">
        <v>1.25</v>
      </c>
      <c r="D27" s="36"/>
      <c r="E27" s="36"/>
      <c r="F27" s="36"/>
      <c r="G27" s="37"/>
      <c r="H27" s="36">
        <f t="shared" si="1"/>
        <v>12.5</v>
      </c>
      <c r="I27" s="36">
        <f t="shared" si="2"/>
        <v>13.5</v>
      </c>
      <c r="J27" s="38">
        <f t="shared" si="3"/>
        <v>26</v>
      </c>
    </row>
    <row r="28" s="4" customFormat="1" ht="15" customHeight="1" spans="1:10">
      <c r="A28" s="38" t="s">
        <v>35</v>
      </c>
      <c r="B28" s="36"/>
      <c r="C28" s="36"/>
      <c r="D28" s="36"/>
      <c r="E28" s="36">
        <v>2</v>
      </c>
      <c r="F28" s="36"/>
      <c r="G28" s="37"/>
      <c r="H28" s="36">
        <f t="shared" si="1"/>
        <v>12.5</v>
      </c>
      <c r="I28" s="36">
        <f t="shared" si="2"/>
        <v>11.5</v>
      </c>
      <c r="J28" s="38">
        <f t="shared" si="3"/>
        <v>24</v>
      </c>
    </row>
    <row r="29" s="4" customFormat="1" ht="15" customHeight="1" spans="1:10">
      <c r="A29" s="38" t="s">
        <v>36</v>
      </c>
      <c r="B29" s="36">
        <v>5</v>
      </c>
      <c r="C29" s="36">
        <v>5</v>
      </c>
      <c r="D29" s="36"/>
      <c r="E29" s="36"/>
      <c r="F29" s="36"/>
      <c r="G29" s="37"/>
      <c r="H29" s="36">
        <f t="shared" si="1"/>
        <v>17.5</v>
      </c>
      <c r="I29" s="36">
        <f t="shared" si="2"/>
        <v>16.5</v>
      </c>
      <c r="J29" s="38">
        <f t="shared" si="3"/>
        <v>34</v>
      </c>
    </row>
    <row r="30" s="4" customFormat="1" ht="15" customHeight="1" spans="1:10">
      <c r="A30" s="38" t="s">
        <v>37</v>
      </c>
      <c r="B30" s="36"/>
      <c r="C30" s="36"/>
      <c r="D30" s="36">
        <v>11</v>
      </c>
      <c r="E30" s="36">
        <v>8</v>
      </c>
      <c r="F30" s="36"/>
      <c r="G30" s="37"/>
      <c r="H30" s="36">
        <f t="shared" si="1"/>
        <v>6.5</v>
      </c>
      <c r="I30" s="36">
        <f t="shared" si="2"/>
        <v>8.5</v>
      </c>
      <c r="J30" s="38">
        <f t="shared" si="3"/>
        <v>15</v>
      </c>
    </row>
    <row r="31" s="4" customFormat="1" ht="15" customHeight="1" spans="1:10">
      <c r="A31" s="38" t="s">
        <v>38</v>
      </c>
      <c r="B31" s="36"/>
      <c r="C31" s="36"/>
      <c r="D31" s="36"/>
      <c r="E31" s="36"/>
      <c r="F31" s="36">
        <v>1</v>
      </c>
      <c r="G31" s="37"/>
      <c r="H31" s="36">
        <f t="shared" si="1"/>
        <v>5.5</v>
      </c>
      <c r="I31" s="36">
        <f t="shared" si="2"/>
        <v>8.5</v>
      </c>
      <c r="J31" s="38">
        <f t="shared" si="3"/>
        <v>14</v>
      </c>
    </row>
    <row r="32" s="4" customFormat="1" ht="15" customHeight="1" spans="1:10">
      <c r="A32" s="38" t="s">
        <v>39</v>
      </c>
      <c r="B32" s="36">
        <v>2.5</v>
      </c>
      <c r="C32" s="36">
        <v>2.5</v>
      </c>
      <c r="D32" s="36"/>
      <c r="E32" s="36"/>
      <c r="F32" s="36"/>
      <c r="G32" s="37"/>
      <c r="H32" s="36">
        <f t="shared" si="1"/>
        <v>8</v>
      </c>
      <c r="I32" s="36">
        <f t="shared" si="2"/>
        <v>11</v>
      </c>
      <c r="J32" s="38">
        <f t="shared" si="3"/>
        <v>19</v>
      </c>
    </row>
    <row r="33" s="4" customFormat="1" ht="15" customHeight="1" spans="1:10">
      <c r="A33" s="38" t="s">
        <v>40</v>
      </c>
      <c r="B33" s="36"/>
      <c r="C33" s="36"/>
      <c r="D33" s="36"/>
      <c r="E33" s="36"/>
      <c r="F33" s="36">
        <v>1</v>
      </c>
      <c r="G33" s="37"/>
      <c r="H33" s="36">
        <f t="shared" si="1"/>
        <v>7</v>
      </c>
      <c r="I33" s="36">
        <f t="shared" si="2"/>
        <v>11</v>
      </c>
      <c r="J33" s="38">
        <f t="shared" si="3"/>
        <v>18</v>
      </c>
    </row>
    <row r="34" s="4" customFormat="1" ht="15" customHeight="1" spans="1:10">
      <c r="A34" s="38" t="s">
        <v>41</v>
      </c>
      <c r="B34" s="36">
        <v>1.25</v>
      </c>
      <c r="C34" s="36">
        <v>1.25</v>
      </c>
      <c r="D34" s="36"/>
      <c r="E34" s="36"/>
      <c r="F34" s="36"/>
      <c r="G34" s="37"/>
      <c r="H34" s="36">
        <f t="shared" si="1"/>
        <v>8.25</v>
      </c>
      <c r="I34" s="36">
        <f t="shared" si="2"/>
        <v>12.25</v>
      </c>
      <c r="J34" s="38">
        <f t="shared" si="3"/>
        <v>20.5</v>
      </c>
    </row>
    <row r="35" s="4" customFormat="1" ht="15" customHeight="1" spans="1:10">
      <c r="A35" s="38" t="s">
        <v>42</v>
      </c>
      <c r="B35" s="36"/>
      <c r="C35" s="36"/>
      <c r="D35" s="36"/>
      <c r="E35" s="36"/>
      <c r="F35" s="36"/>
      <c r="G35" s="37">
        <v>1</v>
      </c>
      <c r="H35" s="36">
        <f t="shared" si="1"/>
        <v>8.25</v>
      </c>
      <c r="I35" s="36">
        <f t="shared" si="2"/>
        <v>12.25</v>
      </c>
      <c r="J35" s="38">
        <f t="shared" si="3"/>
        <v>20.5</v>
      </c>
    </row>
    <row r="36" s="4" customFormat="1" ht="15" customHeight="1" spans="1:10">
      <c r="A36" s="38" t="s">
        <v>43</v>
      </c>
      <c r="B36" s="36"/>
      <c r="C36" s="36"/>
      <c r="D36" s="36"/>
      <c r="E36" s="36"/>
      <c r="F36" s="36">
        <v>1</v>
      </c>
      <c r="G36" s="37"/>
      <c r="H36" s="36">
        <f t="shared" si="1"/>
        <v>7.25</v>
      </c>
      <c r="I36" s="36">
        <f t="shared" si="2"/>
        <v>12.25</v>
      </c>
      <c r="J36" s="38">
        <f t="shared" si="3"/>
        <v>19.5</v>
      </c>
    </row>
    <row r="37" s="4" customFormat="1" ht="15" customHeight="1" spans="1:10">
      <c r="A37" s="38" t="s">
        <v>44</v>
      </c>
      <c r="B37" s="36"/>
      <c r="C37" s="36"/>
      <c r="D37" s="36"/>
      <c r="E37" s="36"/>
      <c r="F37" s="36">
        <v>2</v>
      </c>
      <c r="G37" s="37"/>
      <c r="H37" s="36">
        <f t="shared" si="1"/>
        <v>5.25</v>
      </c>
      <c r="I37" s="36">
        <f t="shared" si="2"/>
        <v>12.25</v>
      </c>
      <c r="J37" s="38">
        <f t="shared" si="3"/>
        <v>17.5</v>
      </c>
    </row>
    <row r="38" s="4" customFormat="1" ht="15" customHeight="1" spans="1:10">
      <c r="A38" s="38" t="s">
        <v>45</v>
      </c>
      <c r="B38" s="36"/>
      <c r="C38" s="36"/>
      <c r="D38" s="36"/>
      <c r="E38" s="36"/>
      <c r="F38" s="36"/>
      <c r="G38" s="37">
        <v>1</v>
      </c>
      <c r="H38" s="36">
        <f t="shared" ref="H38:H45" si="4">H37-F38-D38+B38</f>
        <v>5.25</v>
      </c>
      <c r="I38" s="36">
        <f t="shared" ref="I38:I45" si="5">I37-E38+C38</f>
        <v>12.25</v>
      </c>
      <c r="J38" s="38">
        <f t="shared" ref="J38:J45" si="6">H38+I38</f>
        <v>17.5</v>
      </c>
    </row>
    <row r="39" s="4" customFormat="1" ht="15" customHeight="1" spans="1:10">
      <c r="A39" s="38" t="s">
        <v>46</v>
      </c>
      <c r="B39" s="36">
        <v>1.25</v>
      </c>
      <c r="C39" s="36">
        <v>1.25</v>
      </c>
      <c r="D39" s="36"/>
      <c r="E39" s="36"/>
      <c r="F39" s="36"/>
      <c r="G39" s="37"/>
      <c r="H39" s="36">
        <f t="shared" si="4"/>
        <v>6.5</v>
      </c>
      <c r="I39" s="36">
        <f t="shared" si="5"/>
        <v>13.5</v>
      </c>
      <c r="J39" s="38">
        <f t="shared" si="6"/>
        <v>20</v>
      </c>
    </row>
    <row r="40" s="4" customFormat="1" ht="15" customHeight="1" spans="1:10">
      <c r="A40" s="38" t="s">
        <v>47</v>
      </c>
      <c r="B40" s="36">
        <v>2.5</v>
      </c>
      <c r="C40" s="36">
        <v>2.5</v>
      </c>
      <c r="D40" s="36"/>
      <c r="E40" s="36"/>
      <c r="F40" s="36"/>
      <c r="G40" s="37"/>
      <c r="H40" s="36">
        <f t="shared" si="4"/>
        <v>9</v>
      </c>
      <c r="I40" s="36">
        <f t="shared" si="5"/>
        <v>16</v>
      </c>
      <c r="J40" s="38">
        <f t="shared" si="6"/>
        <v>25</v>
      </c>
    </row>
    <row r="41" s="4" customFormat="1" ht="15" customHeight="1" spans="1:10">
      <c r="A41" s="38" t="s">
        <v>48</v>
      </c>
      <c r="B41" s="36"/>
      <c r="C41" s="36"/>
      <c r="D41" s="36"/>
      <c r="E41" s="36"/>
      <c r="F41" s="36">
        <v>1</v>
      </c>
      <c r="G41" s="37"/>
      <c r="H41" s="36">
        <f t="shared" si="4"/>
        <v>8</v>
      </c>
      <c r="I41" s="36">
        <f t="shared" si="5"/>
        <v>16</v>
      </c>
      <c r="J41" s="38">
        <f t="shared" si="6"/>
        <v>24</v>
      </c>
    </row>
    <row r="42" s="4" customFormat="1" ht="15" customHeight="1" spans="1:10">
      <c r="A42" s="38" t="s">
        <v>49</v>
      </c>
      <c r="B42" s="36">
        <v>2.5</v>
      </c>
      <c r="C42" s="36">
        <v>2.5</v>
      </c>
      <c r="D42" s="36"/>
      <c r="E42" s="36"/>
      <c r="F42" s="36"/>
      <c r="G42" s="37"/>
      <c r="H42" s="36">
        <f t="shared" si="4"/>
        <v>10.5</v>
      </c>
      <c r="I42" s="36">
        <f t="shared" si="5"/>
        <v>18.5</v>
      </c>
      <c r="J42" s="38">
        <f t="shared" si="6"/>
        <v>29</v>
      </c>
    </row>
    <row r="43" s="4" customFormat="1" ht="15" customHeight="1" spans="1:10">
      <c r="A43" s="38" t="s">
        <v>50</v>
      </c>
      <c r="B43" s="36"/>
      <c r="C43" s="36"/>
      <c r="D43" s="36"/>
      <c r="E43" s="36"/>
      <c r="F43" s="36"/>
      <c r="G43" s="37">
        <v>1</v>
      </c>
      <c r="H43" s="36">
        <f t="shared" si="4"/>
        <v>10.5</v>
      </c>
      <c r="I43" s="36">
        <f t="shared" si="5"/>
        <v>18.5</v>
      </c>
      <c r="J43" s="38">
        <f t="shared" si="6"/>
        <v>29</v>
      </c>
    </row>
    <row r="44" s="4" customFormat="1" ht="15" customHeight="1" spans="1:10">
      <c r="A44" s="37" t="s">
        <v>51</v>
      </c>
      <c r="B44" s="36">
        <v>5</v>
      </c>
      <c r="C44" s="36">
        <v>5</v>
      </c>
      <c r="D44" s="36"/>
      <c r="E44" s="36"/>
      <c r="F44" s="36"/>
      <c r="G44" s="37"/>
      <c r="H44" s="36">
        <f t="shared" si="4"/>
        <v>15.5</v>
      </c>
      <c r="I44" s="36">
        <f t="shared" si="5"/>
        <v>23.5</v>
      </c>
      <c r="J44" s="38">
        <f t="shared" si="6"/>
        <v>39</v>
      </c>
    </row>
    <row r="45" s="4" customFormat="1" ht="15" customHeight="1" spans="1:10">
      <c r="A45" s="37" t="s">
        <v>52</v>
      </c>
      <c r="B45" s="36"/>
      <c r="C45" s="36"/>
      <c r="D45" s="36">
        <v>10</v>
      </c>
      <c r="E45" s="36"/>
      <c r="F45" s="36"/>
      <c r="G45" s="37"/>
      <c r="H45" s="36">
        <f t="shared" si="4"/>
        <v>5.5</v>
      </c>
      <c r="I45" s="36">
        <f t="shared" si="5"/>
        <v>23.5</v>
      </c>
      <c r="J45" s="37">
        <f t="shared" si="6"/>
        <v>29</v>
      </c>
    </row>
    <row r="46" s="4" customFormat="1" ht="15" customHeight="1" spans="1:10">
      <c r="A46" s="37" t="s">
        <v>53</v>
      </c>
      <c r="B46" s="36"/>
      <c r="C46" s="36"/>
      <c r="D46" s="36"/>
      <c r="E46" s="36">
        <v>1</v>
      </c>
      <c r="F46" s="36"/>
      <c r="G46" s="37"/>
      <c r="H46" s="36">
        <f t="shared" ref="H46" si="7">H45-F46-D46+B46</f>
        <v>5.5</v>
      </c>
      <c r="I46" s="36">
        <f t="shared" ref="I46" si="8">I45-E46+C46</f>
        <v>22.5</v>
      </c>
      <c r="J46" s="37">
        <f t="shared" ref="J46" si="9">H46+I46</f>
        <v>28</v>
      </c>
    </row>
    <row r="47" s="4" customFormat="1" ht="15" customHeight="1" spans="1:10">
      <c r="A47" s="37" t="s">
        <v>54</v>
      </c>
      <c r="B47" s="36"/>
      <c r="C47" s="36"/>
      <c r="D47" s="36"/>
      <c r="E47" s="36">
        <v>1</v>
      </c>
      <c r="F47" s="36"/>
      <c r="G47" s="37"/>
      <c r="H47" s="36">
        <f t="shared" ref="H47:H67" si="10">H46-F47-D47+B47</f>
        <v>5.5</v>
      </c>
      <c r="I47" s="36">
        <f t="shared" ref="I47:I67" si="11">I46-E47+C47</f>
        <v>21.5</v>
      </c>
      <c r="J47" s="37">
        <f t="shared" ref="J47:J67" si="12">H47+I47</f>
        <v>27</v>
      </c>
    </row>
    <row r="48" s="4" customFormat="1" ht="15" customHeight="1" spans="1:10">
      <c r="A48" s="37" t="s">
        <v>55</v>
      </c>
      <c r="B48" s="36">
        <v>1.25</v>
      </c>
      <c r="C48" s="36">
        <v>1.25</v>
      </c>
      <c r="D48" s="36"/>
      <c r="E48" s="36"/>
      <c r="F48" s="36"/>
      <c r="G48" s="37"/>
      <c r="H48" s="36">
        <f t="shared" si="10"/>
        <v>6.75</v>
      </c>
      <c r="I48" s="36">
        <f t="shared" si="11"/>
        <v>22.75</v>
      </c>
      <c r="J48" s="37">
        <f t="shared" si="12"/>
        <v>29.5</v>
      </c>
    </row>
    <row r="49" s="4" customFormat="1" ht="15" customHeight="1" spans="1:10">
      <c r="A49" s="37" t="s">
        <v>56</v>
      </c>
      <c r="B49" s="36"/>
      <c r="C49" s="36"/>
      <c r="D49" s="36"/>
      <c r="E49" s="36">
        <v>1</v>
      </c>
      <c r="F49" s="36"/>
      <c r="G49" s="37"/>
      <c r="H49" s="36">
        <f t="shared" si="10"/>
        <v>6.75</v>
      </c>
      <c r="I49" s="36">
        <f t="shared" si="11"/>
        <v>21.75</v>
      </c>
      <c r="J49" s="37">
        <f t="shared" si="12"/>
        <v>28.5</v>
      </c>
    </row>
    <row r="50" s="4" customFormat="1" ht="15" customHeight="1" spans="1:10">
      <c r="A50" s="37" t="s">
        <v>57</v>
      </c>
      <c r="B50" s="36"/>
      <c r="C50" s="36"/>
      <c r="D50" s="36"/>
      <c r="E50" s="36">
        <v>1</v>
      </c>
      <c r="F50" s="36"/>
      <c r="G50" s="37"/>
      <c r="H50" s="36">
        <f t="shared" si="10"/>
        <v>6.75</v>
      </c>
      <c r="I50" s="36">
        <f t="shared" si="11"/>
        <v>20.75</v>
      </c>
      <c r="J50" s="37">
        <f t="shared" si="12"/>
        <v>27.5</v>
      </c>
    </row>
    <row r="51" s="5" customFormat="1" ht="15" customHeight="1" spans="1:10">
      <c r="A51" s="37" t="s">
        <v>58</v>
      </c>
      <c r="B51" s="36"/>
      <c r="C51" s="36"/>
      <c r="D51" s="36"/>
      <c r="E51" s="36"/>
      <c r="F51" s="36"/>
      <c r="G51" s="37">
        <v>1</v>
      </c>
      <c r="H51" s="36">
        <f t="shared" si="10"/>
        <v>6.75</v>
      </c>
      <c r="I51" s="36">
        <f t="shared" si="11"/>
        <v>20.75</v>
      </c>
      <c r="J51" s="37">
        <f t="shared" si="12"/>
        <v>27.5</v>
      </c>
    </row>
    <row r="52" s="5" customFormat="1" ht="15" customHeight="1" spans="1:10">
      <c r="A52" s="37" t="s">
        <v>59</v>
      </c>
      <c r="B52" s="36">
        <v>1.25</v>
      </c>
      <c r="C52" s="36">
        <v>1.25</v>
      </c>
      <c r="D52" s="36"/>
      <c r="E52" s="36"/>
      <c r="F52" s="36"/>
      <c r="G52" s="37"/>
      <c r="H52" s="36">
        <f t="shared" si="10"/>
        <v>8</v>
      </c>
      <c r="I52" s="36">
        <f t="shared" si="11"/>
        <v>22</v>
      </c>
      <c r="J52" s="37">
        <f t="shared" si="12"/>
        <v>30</v>
      </c>
    </row>
    <row r="53" s="5" customFormat="1" ht="15" customHeight="1" spans="1:10">
      <c r="A53" s="37" t="s">
        <v>60</v>
      </c>
      <c r="B53" s="36"/>
      <c r="C53" s="36"/>
      <c r="D53" s="36"/>
      <c r="E53" s="36"/>
      <c r="F53" s="36">
        <v>1</v>
      </c>
      <c r="G53" s="37"/>
      <c r="H53" s="36">
        <f t="shared" si="10"/>
        <v>7</v>
      </c>
      <c r="I53" s="36">
        <f t="shared" si="11"/>
        <v>22</v>
      </c>
      <c r="J53" s="37">
        <f t="shared" si="12"/>
        <v>29</v>
      </c>
    </row>
    <row r="54" s="5" customFormat="1" ht="15" customHeight="1" spans="1:10">
      <c r="A54" s="37" t="s">
        <v>61</v>
      </c>
      <c r="B54" s="36">
        <v>1.25</v>
      </c>
      <c r="C54" s="36">
        <v>1.25</v>
      </c>
      <c r="D54" s="36"/>
      <c r="E54" s="36"/>
      <c r="F54" s="36"/>
      <c r="G54" s="37"/>
      <c r="H54" s="36">
        <f t="shared" si="10"/>
        <v>8.25</v>
      </c>
      <c r="I54" s="36">
        <f t="shared" si="11"/>
        <v>23.25</v>
      </c>
      <c r="J54" s="37">
        <f t="shared" si="12"/>
        <v>31.5</v>
      </c>
    </row>
    <row r="55" s="5" customFormat="1" ht="15" customHeight="1" spans="1:10">
      <c r="A55" s="37" t="s">
        <v>62</v>
      </c>
      <c r="B55" s="36"/>
      <c r="C55" s="36"/>
      <c r="D55" s="36"/>
      <c r="E55" s="36"/>
      <c r="F55" s="36">
        <v>1</v>
      </c>
      <c r="G55" s="37"/>
      <c r="H55" s="36">
        <f t="shared" si="10"/>
        <v>7.25</v>
      </c>
      <c r="I55" s="36">
        <f t="shared" si="11"/>
        <v>23.25</v>
      </c>
      <c r="J55" s="37">
        <f t="shared" si="12"/>
        <v>30.5</v>
      </c>
    </row>
    <row r="56" s="5" customFormat="1" ht="15" customHeight="1" spans="1:10">
      <c r="A56" s="37" t="s">
        <v>63</v>
      </c>
      <c r="B56" s="36"/>
      <c r="C56" s="36"/>
      <c r="D56" s="36"/>
      <c r="E56" s="36"/>
      <c r="F56" s="36"/>
      <c r="G56" s="37">
        <v>1</v>
      </c>
      <c r="H56" s="36">
        <f t="shared" si="10"/>
        <v>7.25</v>
      </c>
      <c r="I56" s="36">
        <f t="shared" si="11"/>
        <v>23.25</v>
      </c>
      <c r="J56" s="37">
        <f t="shared" si="12"/>
        <v>30.5</v>
      </c>
    </row>
    <row r="57" s="5" customFormat="1" ht="15" customHeight="1" spans="1:10">
      <c r="A57" s="37" t="s">
        <v>64</v>
      </c>
      <c r="B57" s="36"/>
      <c r="C57" s="36"/>
      <c r="D57" s="36"/>
      <c r="E57" s="36"/>
      <c r="F57" s="36">
        <v>2</v>
      </c>
      <c r="G57" s="37"/>
      <c r="H57" s="36">
        <f t="shared" si="10"/>
        <v>5.25</v>
      </c>
      <c r="I57" s="36">
        <f t="shared" si="11"/>
        <v>23.25</v>
      </c>
      <c r="J57" s="37">
        <f t="shared" si="12"/>
        <v>28.5</v>
      </c>
    </row>
    <row r="58" s="5" customFormat="1" ht="15" customHeight="1" spans="1:10">
      <c r="A58" s="37" t="s">
        <v>65</v>
      </c>
      <c r="B58" s="36">
        <v>1.25</v>
      </c>
      <c r="C58" s="36">
        <v>1.25</v>
      </c>
      <c r="D58" s="36"/>
      <c r="E58" s="36"/>
      <c r="F58" s="36"/>
      <c r="G58" s="37"/>
      <c r="H58" s="36">
        <f t="shared" si="10"/>
        <v>6.5</v>
      </c>
      <c r="I58" s="36">
        <f t="shared" si="11"/>
        <v>24.5</v>
      </c>
      <c r="J58" s="37">
        <f t="shared" si="12"/>
        <v>31</v>
      </c>
    </row>
    <row r="59" s="5" customFormat="1" ht="15" customHeight="1" spans="1:10">
      <c r="A59" s="37" t="s">
        <v>66</v>
      </c>
      <c r="B59" s="36"/>
      <c r="C59" s="36"/>
      <c r="D59" s="36"/>
      <c r="E59" s="36">
        <v>2</v>
      </c>
      <c r="F59" s="36"/>
      <c r="G59" s="37"/>
      <c r="H59" s="36">
        <f t="shared" si="10"/>
        <v>6.5</v>
      </c>
      <c r="I59" s="36">
        <f t="shared" si="11"/>
        <v>22.5</v>
      </c>
      <c r="J59" s="37">
        <f t="shared" si="12"/>
        <v>29</v>
      </c>
    </row>
    <row r="60" s="5" customFormat="1" ht="15" customHeight="1" spans="1:10">
      <c r="A60" s="37" t="s">
        <v>67</v>
      </c>
      <c r="B60" s="36"/>
      <c r="C60" s="36"/>
      <c r="D60" s="36"/>
      <c r="E60" s="36">
        <v>1</v>
      </c>
      <c r="F60" s="36"/>
      <c r="G60" s="37"/>
      <c r="H60" s="36">
        <f t="shared" si="10"/>
        <v>6.5</v>
      </c>
      <c r="I60" s="36">
        <f t="shared" si="11"/>
        <v>21.5</v>
      </c>
      <c r="J60" s="37">
        <f t="shared" si="12"/>
        <v>28</v>
      </c>
    </row>
    <row r="61" s="5" customFormat="1" ht="15" customHeight="1" spans="1:10">
      <c r="A61" s="37" t="s">
        <v>68</v>
      </c>
      <c r="B61" s="36">
        <v>1.25</v>
      </c>
      <c r="C61" s="36">
        <v>1.25</v>
      </c>
      <c r="D61" s="36"/>
      <c r="E61" s="36"/>
      <c r="F61" s="36"/>
      <c r="G61" s="37"/>
      <c r="H61" s="36">
        <f t="shared" si="10"/>
        <v>7.75</v>
      </c>
      <c r="I61" s="36">
        <f t="shared" si="11"/>
        <v>22.75</v>
      </c>
      <c r="J61" s="37">
        <f t="shared" si="12"/>
        <v>30.5</v>
      </c>
    </row>
    <row r="62" s="5" customFormat="1" ht="15" customHeight="1" spans="1:10">
      <c r="A62" s="37" t="s">
        <v>69</v>
      </c>
      <c r="B62" s="36"/>
      <c r="C62" s="36"/>
      <c r="D62" s="36"/>
      <c r="E62" s="36"/>
      <c r="F62" s="39">
        <v>1</v>
      </c>
      <c r="G62" s="37"/>
      <c r="H62" s="36">
        <f t="shared" si="10"/>
        <v>6.75</v>
      </c>
      <c r="I62" s="36">
        <f t="shared" si="11"/>
        <v>22.75</v>
      </c>
      <c r="J62" s="37">
        <f t="shared" si="12"/>
        <v>29.5</v>
      </c>
    </row>
    <row r="63" s="5" customFormat="1" ht="15" customHeight="1" spans="1:10">
      <c r="A63" s="37" t="s">
        <v>70</v>
      </c>
      <c r="B63" s="36">
        <v>1.25</v>
      </c>
      <c r="C63" s="36">
        <v>1.25</v>
      </c>
      <c r="D63" s="36"/>
      <c r="E63" s="36"/>
      <c r="F63" s="36"/>
      <c r="G63" s="37"/>
      <c r="H63" s="36">
        <f t="shared" si="10"/>
        <v>8</v>
      </c>
      <c r="I63" s="36">
        <f t="shared" si="11"/>
        <v>24</v>
      </c>
      <c r="J63" s="37">
        <f t="shared" si="12"/>
        <v>32</v>
      </c>
    </row>
    <row r="64" s="5" customFormat="1" ht="15" customHeight="1" spans="1:10">
      <c r="A64" s="37" t="s">
        <v>71</v>
      </c>
      <c r="B64" s="36"/>
      <c r="C64" s="36"/>
      <c r="D64" s="36"/>
      <c r="E64" s="36">
        <v>1</v>
      </c>
      <c r="F64" s="36"/>
      <c r="G64" s="37"/>
      <c r="H64" s="36">
        <f t="shared" si="10"/>
        <v>8</v>
      </c>
      <c r="I64" s="36">
        <f t="shared" si="11"/>
        <v>23</v>
      </c>
      <c r="J64" s="37">
        <f t="shared" si="12"/>
        <v>31</v>
      </c>
    </row>
    <row r="65" s="5" customFormat="1" ht="15" customHeight="1" spans="1:10">
      <c r="A65" s="37" t="s">
        <v>72</v>
      </c>
      <c r="B65" s="36">
        <v>1.25</v>
      </c>
      <c r="C65" s="36">
        <v>1.25</v>
      </c>
      <c r="D65" s="36"/>
      <c r="E65" s="36"/>
      <c r="F65" s="36"/>
      <c r="G65" s="37"/>
      <c r="H65" s="36">
        <f t="shared" si="10"/>
        <v>9.25</v>
      </c>
      <c r="I65" s="36">
        <f t="shared" si="11"/>
        <v>24.25</v>
      </c>
      <c r="J65" s="37">
        <f t="shared" si="12"/>
        <v>33.5</v>
      </c>
    </row>
    <row r="66" s="5" customFormat="1" ht="15" customHeight="1" spans="1:10">
      <c r="A66" s="37" t="s">
        <v>73</v>
      </c>
      <c r="B66" s="36"/>
      <c r="C66" s="36"/>
      <c r="D66" s="36"/>
      <c r="E66" s="36">
        <v>1</v>
      </c>
      <c r="F66" s="36"/>
      <c r="G66" s="37"/>
      <c r="H66" s="36">
        <f t="shared" si="10"/>
        <v>9.25</v>
      </c>
      <c r="I66" s="36">
        <f t="shared" si="11"/>
        <v>23.25</v>
      </c>
      <c r="J66" s="37">
        <f t="shared" si="12"/>
        <v>32.5</v>
      </c>
    </row>
    <row r="67" s="5" customFormat="1" ht="15" customHeight="1" spans="1:10">
      <c r="A67" s="37" t="s">
        <v>74</v>
      </c>
      <c r="B67" s="36">
        <v>2.5</v>
      </c>
      <c r="C67" s="36">
        <v>2.5</v>
      </c>
      <c r="D67" s="36"/>
      <c r="E67" s="36"/>
      <c r="F67" s="36"/>
      <c r="G67" s="37"/>
      <c r="H67" s="36">
        <f t="shared" si="10"/>
        <v>11.75</v>
      </c>
      <c r="I67" s="36">
        <f t="shared" si="11"/>
        <v>25.75</v>
      </c>
      <c r="J67" s="37">
        <f t="shared" si="12"/>
        <v>37.5</v>
      </c>
    </row>
    <row r="68" s="5" customFormat="1" ht="15" customHeight="1" spans="1:10">
      <c r="A68" s="37" t="s">
        <v>75</v>
      </c>
      <c r="B68" s="36"/>
      <c r="C68" s="36"/>
      <c r="D68" s="36"/>
      <c r="E68" s="36">
        <v>1</v>
      </c>
      <c r="F68" s="36"/>
      <c r="G68" s="37"/>
      <c r="H68" s="36">
        <f t="shared" ref="H68" si="13">H67-F68-D68+B68</f>
        <v>11.75</v>
      </c>
      <c r="I68" s="36">
        <f t="shared" ref="I68" si="14">I67-E68+C68</f>
        <v>24.75</v>
      </c>
      <c r="J68" s="37">
        <f t="shared" ref="J68" si="15">H68+I68</f>
        <v>36.5</v>
      </c>
    </row>
    <row r="69" s="5" customFormat="1" ht="15" customHeight="1" spans="1:10">
      <c r="A69" s="37" t="s">
        <v>76</v>
      </c>
      <c r="B69" s="36">
        <v>1.25</v>
      </c>
      <c r="C69" s="36">
        <v>1.25</v>
      </c>
      <c r="D69" s="36"/>
      <c r="E69" s="36"/>
      <c r="F69" s="36"/>
      <c r="G69" s="37"/>
      <c r="H69" s="36">
        <f t="shared" ref="H69:H70" si="16">H68-F69-D69+B69</f>
        <v>13</v>
      </c>
      <c r="I69" s="36">
        <f t="shared" ref="I69:I70" si="17">I68-E69+C69</f>
        <v>26</v>
      </c>
      <c r="J69" s="37">
        <f t="shared" ref="J69:J70" si="18">H69+I69</f>
        <v>39</v>
      </c>
    </row>
    <row r="70" s="5" customFormat="1" ht="15" customHeight="1" spans="1:10">
      <c r="A70" s="37" t="s">
        <v>77</v>
      </c>
      <c r="B70" s="36"/>
      <c r="C70" s="36"/>
      <c r="D70" s="36"/>
      <c r="E70" s="36">
        <v>1</v>
      </c>
      <c r="F70" s="36"/>
      <c r="G70" s="37"/>
      <c r="H70" s="36">
        <f t="shared" si="16"/>
        <v>13</v>
      </c>
      <c r="I70" s="36">
        <f t="shared" si="17"/>
        <v>25</v>
      </c>
      <c r="J70" s="37">
        <f t="shared" si="18"/>
        <v>38</v>
      </c>
    </row>
    <row r="71" s="5" customFormat="1" ht="15" customHeight="1" spans="1:10">
      <c r="A71" s="37" t="s">
        <v>78</v>
      </c>
      <c r="B71" s="36"/>
      <c r="C71" s="36"/>
      <c r="D71" s="36"/>
      <c r="E71" s="36">
        <v>1</v>
      </c>
      <c r="F71" s="36"/>
      <c r="G71" s="37"/>
      <c r="H71" s="36">
        <f t="shared" ref="H71" si="19">H70-F71-D71+B71</f>
        <v>13</v>
      </c>
      <c r="I71" s="36">
        <f t="shared" ref="I71" si="20">I70-E71+C71</f>
        <v>24</v>
      </c>
      <c r="J71" s="37">
        <f t="shared" ref="J71" si="21">H71+I71</f>
        <v>37</v>
      </c>
    </row>
    <row r="72" s="5" customFormat="1" ht="15" customHeight="1" spans="1:10">
      <c r="A72" s="37" t="s">
        <v>79</v>
      </c>
      <c r="B72" s="36"/>
      <c r="C72" s="36"/>
      <c r="D72" s="36"/>
      <c r="E72" s="36">
        <v>1</v>
      </c>
      <c r="F72" s="36"/>
      <c r="G72" s="37"/>
      <c r="H72" s="36">
        <f t="shared" ref="H72:H73" si="22">H71-F72-D72+B72</f>
        <v>13</v>
      </c>
      <c r="I72" s="36">
        <f t="shared" ref="I72" si="23">I71-E72+C72</f>
        <v>23</v>
      </c>
      <c r="J72" s="37">
        <f t="shared" ref="J72" si="24">H72+I72</f>
        <v>36</v>
      </c>
    </row>
    <row r="73" s="5" customFormat="1" ht="15" customHeight="1" spans="1:10">
      <c r="A73" s="37" t="s">
        <v>80</v>
      </c>
      <c r="B73" s="36">
        <v>2.5</v>
      </c>
      <c r="C73" s="36">
        <v>2.5</v>
      </c>
      <c r="D73" s="36"/>
      <c r="E73" s="36"/>
      <c r="F73" s="36"/>
      <c r="G73" s="37"/>
      <c r="H73" s="36">
        <f t="shared" si="22"/>
        <v>15.5</v>
      </c>
      <c r="I73" s="36">
        <f t="shared" ref="I73:I74" si="25">I72-E73+C73</f>
        <v>25.5</v>
      </c>
      <c r="J73" s="37">
        <f t="shared" ref="J73:J74" si="26">H73+I73</f>
        <v>41</v>
      </c>
    </row>
    <row r="74" s="5" customFormat="1" ht="15" customHeight="1" spans="1:10">
      <c r="A74" s="37" t="s">
        <v>81</v>
      </c>
      <c r="B74" s="36"/>
      <c r="C74" s="36"/>
      <c r="D74" s="36">
        <v>10</v>
      </c>
      <c r="E74" s="36"/>
      <c r="F74" s="36"/>
      <c r="G74" s="37"/>
      <c r="H74" s="36">
        <f t="shared" ref="H74" si="27">H73-F74-D74+B74</f>
        <v>5.5</v>
      </c>
      <c r="I74" s="36">
        <f t="shared" si="25"/>
        <v>25.5</v>
      </c>
      <c r="J74" s="37">
        <f t="shared" si="26"/>
        <v>31</v>
      </c>
    </row>
    <row r="75" s="5" customFormat="1" ht="15" customHeight="1" spans="1:10">
      <c r="A75" s="37" t="s">
        <v>82</v>
      </c>
      <c r="B75" s="36"/>
      <c r="C75" s="36"/>
      <c r="D75" s="36"/>
      <c r="E75" s="36">
        <v>1</v>
      </c>
      <c r="F75" s="36"/>
      <c r="G75" s="37"/>
      <c r="H75" s="36">
        <f t="shared" ref="H75" si="28">H74-F75-D75+B75</f>
        <v>5.5</v>
      </c>
      <c r="I75" s="36">
        <f t="shared" ref="I75" si="29">I74-E75+C75</f>
        <v>24.5</v>
      </c>
      <c r="J75" s="37">
        <f t="shared" ref="J75" si="30">H75+I75</f>
        <v>30</v>
      </c>
    </row>
    <row r="76" s="5" customFormat="1" ht="15" customHeight="1" spans="1:10">
      <c r="A76" s="37" t="s">
        <v>83</v>
      </c>
      <c r="B76" s="36"/>
      <c r="C76" s="36"/>
      <c r="D76" s="36"/>
      <c r="E76" s="36">
        <v>1</v>
      </c>
      <c r="F76" s="36"/>
      <c r="G76" s="37"/>
      <c r="H76" s="36">
        <f t="shared" ref="H76" si="31">H75-F76-D76+B76</f>
        <v>5.5</v>
      </c>
      <c r="I76" s="36">
        <f t="shared" ref="I76" si="32">I75-E76+C76</f>
        <v>23.5</v>
      </c>
      <c r="J76" s="37">
        <f t="shared" ref="J76" si="33">H76+I76</f>
        <v>29</v>
      </c>
    </row>
    <row r="77" s="5" customFormat="1" ht="15" customHeight="1" spans="1:10">
      <c r="A77" s="37" t="s">
        <v>84</v>
      </c>
      <c r="B77" s="36"/>
      <c r="C77" s="36"/>
      <c r="D77" s="36"/>
      <c r="E77" s="36">
        <v>1</v>
      </c>
      <c r="F77" s="36"/>
      <c r="G77" s="37"/>
      <c r="H77" s="36">
        <f t="shared" ref="H77" si="34">H76-F77-D77+B77</f>
        <v>5.5</v>
      </c>
      <c r="I77" s="36">
        <f t="shared" ref="I77" si="35">I76-E77+C77</f>
        <v>22.5</v>
      </c>
      <c r="J77" s="37">
        <f t="shared" ref="J77" si="36">H77+I77</f>
        <v>28</v>
      </c>
    </row>
    <row r="78" s="5" customFormat="1" ht="15" customHeight="1" spans="1:10">
      <c r="A78" s="37" t="s">
        <v>85</v>
      </c>
      <c r="B78" s="36">
        <v>2.5</v>
      </c>
      <c r="C78" s="36">
        <v>2.5</v>
      </c>
      <c r="D78" s="36"/>
      <c r="E78" s="36"/>
      <c r="F78" s="36"/>
      <c r="G78" s="37"/>
      <c r="H78" s="36">
        <f t="shared" ref="H78:H79" si="37">H77-F78-D78+B78</f>
        <v>8</v>
      </c>
      <c r="I78" s="36">
        <f t="shared" ref="I78:I79" si="38">I77-E78+C78</f>
        <v>25</v>
      </c>
      <c r="J78" s="37">
        <f t="shared" ref="J78:J79" si="39">H78+I78</f>
        <v>33</v>
      </c>
    </row>
    <row r="79" s="5" customFormat="1" ht="15" customHeight="1" spans="1:10">
      <c r="A79" s="37" t="s">
        <v>86</v>
      </c>
      <c r="B79" s="36"/>
      <c r="C79" s="36"/>
      <c r="D79" s="36"/>
      <c r="E79" s="36">
        <v>1</v>
      </c>
      <c r="F79" s="36"/>
      <c r="G79" s="37"/>
      <c r="H79" s="36">
        <f t="shared" si="37"/>
        <v>8</v>
      </c>
      <c r="I79" s="36">
        <f t="shared" si="38"/>
        <v>24</v>
      </c>
      <c r="J79" s="37">
        <f t="shared" si="39"/>
        <v>32</v>
      </c>
    </row>
    <row r="80" s="5" customFormat="1" ht="15" customHeight="1" spans="1:10">
      <c r="A80" s="37" t="s">
        <v>87</v>
      </c>
      <c r="B80" s="36">
        <v>1.25</v>
      </c>
      <c r="C80" s="36">
        <v>1.25</v>
      </c>
      <c r="D80" s="36"/>
      <c r="E80" s="36"/>
      <c r="F80" s="36"/>
      <c r="G80" s="37"/>
      <c r="H80" s="36">
        <f>H79-F80-D80+B80</f>
        <v>9.25</v>
      </c>
      <c r="I80" s="36">
        <f>I79-E80+C80</f>
        <v>25.25</v>
      </c>
      <c r="J80" s="37">
        <f>H80+I80</f>
        <v>34.5</v>
      </c>
    </row>
    <row r="81" s="5" customFormat="1" ht="15" customHeight="1" spans="1:11">
      <c r="A81" s="46" t="s">
        <v>88</v>
      </c>
      <c r="B81" s="47"/>
      <c r="C81" s="47"/>
      <c r="D81" s="47"/>
      <c r="E81" s="47"/>
      <c r="F81" s="48">
        <v>3</v>
      </c>
      <c r="G81" s="46"/>
      <c r="H81" s="36">
        <f>H80-F81-D81+B81</f>
        <v>6.25</v>
      </c>
      <c r="I81" s="36">
        <f>I80-E81+C81</f>
        <v>25.25</v>
      </c>
      <c r="J81" s="37">
        <f>H81+I81</f>
        <v>31.5</v>
      </c>
      <c r="K81" s="5" t="s">
        <v>89</v>
      </c>
    </row>
    <row r="82" s="5" customFormat="1" ht="15" customHeight="1" spans="1:10">
      <c r="A82" s="49"/>
      <c r="B82" s="50"/>
      <c r="C82" s="50"/>
      <c r="D82" s="50"/>
      <c r="E82" s="50"/>
      <c r="F82" s="50"/>
      <c r="G82" s="49"/>
      <c r="H82" s="50"/>
      <c r="I82" s="50"/>
      <c r="J82" s="49"/>
    </row>
    <row r="83" s="5" customFormat="1" ht="15" customHeight="1" spans="1:10">
      <c r="A83" s="49"/>
      <c r="B83" s="50"/>
      <c r="C83" s="50"/>
      <c r="D83" s="50"/>
      <c r="E83" s="50"/>
      <c r="F83" s="50"/>
      <c r="G83" s="49"/>
      <c r="H83" s="50"/>
      <c r="I83" s="50"/>
      <c r="J83" s="49"/>
    </row>
    <row r="84" s="6" customFormat="1" ht="15" customHeight="1"/>
    <row r="85" s="6" customFormat="1" ht="15" customHeight="1"/>
    <row r="86" s="6" customFormat="1" ht="15" customHeight="1"/>
    <row r="87" s="6" customFormat="1" ht="15" customHeight="1"/>
    <row r="88" s="1" customFormat="1" spans="1:6">
      <c r="A88" s="10"/>
      <c r="F88"/>
    </row>
    <row r="89" s="1" customFormat="1" spans="1:6">
      <c r="A89" s="10"/>
      <c r="F89"/>
    </row>
  </sheetData>
  <mergeCells count="16">
    <mergeCell ref="A2:J2"/>
    <mergeCell ref="A3:J3"/>
    <mergeCell ref="A4:J4"/>
    <mergeCell ref="A5:J5"/>
    <mergeCell ref="B7:C7"/>
    <mergeCell ref="B9:C9"/>
    <mergeCell ref="A10:J10"/>
    <mergeCell ref="A11:J11"/>
    <mergeCell ref="B12:C12"/>
    <mergeCell ref="D12:G12"/>
    <mergeCell ref="H12:I12"/>
    <mergeCell ref="A14:J14"/>
    <mergeCell ref="A12:A13"/>
    <mergeCell ref="J12:J13"/>
    <mergeCell ref="A84:XFD87"/>
    <mergeCell ref="K19:L20"/>
  </mergeCells>
  <printOptions horizontalCentered="1"/>
  <pageMargins left="0.511811023622047" right="0.433070866141732" top="0.31496062992126" bottom="0.31496062992126" header="0.31496062992126" footer="0.31496062992126"/>
  <pageSetup paperSize="14" scale="5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Leave 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2025-12-22T06:56:00Z</cp:lastPrinted>
  <dcterms:modified xsi:type="dcterms:W3CDTF">2026-01-02T07:22:08Z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2ED5A76511C745588892357FAD96E922_12</vt:lpwstr>
  </property>
  <property fmtid="{D5CDD505-2E9C-101B-9397-08002B2CF9AE}" pid="3" name="KSOProductBuildVer">
    <vt:lpwstr>1033-12.2.0.23196</vt:lpwstr>
  </property>
</Properties>
</file>