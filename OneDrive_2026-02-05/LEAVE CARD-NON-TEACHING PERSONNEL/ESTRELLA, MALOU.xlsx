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Sheet1" sheetId="7" r:id="rId2"/>
  </sheets>
  <definedNames>
    <definedName name="_xlnm.Print_Area" localSheetId="0">'Leave Card (NE)'!$A$1:$J$50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<sst xmlns="http://schemas.openxmlformats.org/spreadsheetml/2006/main" count="85" uniqueCount="73">
  <si>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</si>
  <si>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</si>
  <si>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</si>
  <si>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</si>
  <si>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</si>
  <si>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</si>
  <si>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</si>
  <si>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</si>
  <si>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</si>
  <si>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</si>
  <si>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</si>
  <si>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</si>
  <si>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</si>
  <si>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</si>
  <si>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</si>
  <si>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</si>
  <si>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</si>
  <si>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</si>
  <si>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</si>
  <si>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</si>
  <si>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</si>
  <si>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ORIGINAL APPOINTMENT: OCT. 24, 2022</t>
  </si>
  <si>
    <t>ADD: 10/24/22 - 10/31/22</t>
  </si>
  <si>
    <t>ADD: 11/01/22 - 12/31/22</t>
  </si>
  <si>
    <t>LESS: 12/28 &amp; 29/22</t>
  </si>
  <si>
    <t>ADD: 01/01/2023 - 01/31/2023</t>
  </si>
  <si>
    <t>LESS: 02/14/23</t>
  </si>
  <si>
    <t>ADD: 02/01/2023 - 04/30/2023</t>
  </si>
  <si>
    <t>LESS: 04/28/23</t>
  </si>
  <si>
    <t>ADD: 05/01/2023 - 06/30/2023</t>
  </si>
  <si>
    <t>LESS: 06/21 - 23/23</t>
  </si>
  <si>
    <t>LESS: 07/11/23</t>
  </si>
  <si>
    <t>ADD: 07/01/2023-11/30/2023</t>
  </si>
  <si>
    <t>LESS: 12/5-7/2023</t>
  </si>
  <si>
    <t>ADD: 12/01/2023-12/31/2023</t>
  </si>
  <si>
    <t>ADD: 01/01-31/2024</t>
  </si>
  <si>
    <t>ADD: 02/01/2024-02/29/2024</t>
  </si>
  <si>
    <t>LESS: 02/26/2024</t>
  </si>
  <si>
    <t>ADD: 03/1/2024-04/30/2024</t>
  </si>
  <si>
    <t>LESS: 05/7-8/2024</t>
  </si>
  <si>
    <t>ADD: MAY-JULY 31, 2024</t>
  </si>
  <si>
    <t>LESS: MONETIZATION 2024</t>
  </si>
  <si>
    <t>LESS: 08/02 &amp; 08/06/2024</t>
  </si>
  <si>
    <t>ADD: 08/1/2024-10/31/2024</t>
  </si>
  <si>
    <t>LESS: 12/19, 26, 27/2024</t>
  </si>
  <si>
    <t>ADD: 11/1/2024-12/31/2024</t>
  </si>
  <si>
    <t>ADD: 01/1/2025-02/28/2025</t>
  </si>
  <si>
    <t>LESS: 03/14/2025</t>
  </si>
  <si>
    <t>ADD: 03/1/2025-06/30/2025</t>
  </si>
  <si>
    <t>LESS: MONETIZATION 2025</t>
  </si>
  <si>
    <t>ADD: 07/1-31/2025</t>
  </si>
  <si>
    <t>LESS: 08/22/2025</t>
  </si>
  <si>
    <t>ADD: 08/1-31/2025</t>
  </si>
  <si>
    <t>LESS: 09/23-24/2025</t>
  </si>
  <si>
    <t>ADD: 09/1/2025-11/30/2025</t>
  </si>
  <si>
    <t>LESS: 12/23 &amp; 26/2025</t>
  </si>
  <si>
    <t>DATE FILED: 12/23,26,29/3025</t>
  </si>
  <si>
    <t>NAME         :ESTRELLA, MALOU T.</t>
  </si>
  <si>
    <t>DISTRICT             : _______________________</t>
  </si>
  <si>
    <t>EMPLOYEE NO   : __________</t>
  </si>
  <si>
    <t>SCHOOL/OFFICE : GPAES</t>
  </si>
  <si>
    <t>STATION CODE   : __________</t>
  </si>
  <si>
    <t>POSITION   : ADASII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</si>
  <si>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</si>
  <si>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</si>
  <si>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</si>
  <si>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</si>
  <si>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</si>
  <si>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</si>
  <si>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12/13/2023</t>
  </si>
  <si>
    <t>S.0 # 273, S. 2023 BRIGADA ESKWELA &amp; OPLAN BALIK ESKWELA 2023</t>
  </si>
  <si>
    <t>LESS: 01/12/2024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</si>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</sst>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19" applyNumberFormat="0" applyAlignment="0" applyProtection="0">
      <alignment vertical="center"/>
    </xf>
    <xf numFmtId="0" fontId="20" fillId="19" borderId="20" applyNumberFormat="0" applyAlignment="0" applyProtection="0">
      <alignment vertical="center"/>
    </xf>
    <xf numFmtId="0" fontId="21" fillId="19" borderId="19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4" fillId="6" borderId="9" xfId="0" applyFont="1" applyFill="1" applyBorder="1" applyAlignment="1">
      <alignment horizontal="center" vertical="center"/>
    </xf>
    <xf numFmtId="0" fontId="7" fillId="0" borderId="0" xfId="0" applyFont="1"/>
    <xf numFmtId="0" fontId="4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0" borderId="0" xfId="0" applyFont="1"/>
    <xf numFmtId="0" fontId="0" fillId="10" borderId="0" xfId="0" applyFill="1"/>
    <xf numFmtId="0" fontId="0" fillId="11" borderId="0" xfId="0" applyFill="1"/>
    <xf numFmtId="0" fontId="1" fillId="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176" fontId="0" fillId="16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176" fontId="0" fillId="0" borderId="13" xfId="0" applyNumberFormat="1" applyFill="1" applyBorder="1" applyAlignment="1">
      <alignment horizontal="center" vertical="center"/>
    </xf>
    <xf numFmtId="176" fontId="0" fillId="0" borderId="13" xfId="0" applyNumberForma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561975</xdr:colOff>
      <xdr:row>47</xdr:row>
      <xdr:rowOff>238125</xdr:rowOff>
    </xdr:from>
    <xdr:to>
      <xdr:col>9</xdr:col>
      <xdr:colOff>676275</xdr:colOff>
      <xdr:row>49</xdr:row>
      <xdr:rowOff>95250</xdr:rowOff>
    </xdr:to>
    <xdr:sp>
      <xdr:nvSpPr>
        <xdr:cNvPr id="3" name="TextBox 2"/>
        <xdr:cNvSpPr txBox="1"/>
      </xdr:nvSpPr>
      <xdr:spPr>
        <a:xfrm>
          <a:off x="6362700" y="11018520"/>
          <a:ext cx="3289300" cy="10020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0</xdr:row>
      <xdr:rowOff>44449</xdr:rowOff>
    </xdr:from>
    <xdr:to>
      <xdr:col>3</xdr:col>
      <xdr:colOff>727319</xdr:colOff>
      <xdr:row>1</xdr:row>
      <xdr:rowOff>38100</xdr:rowOff>
    </xdr:to>
    <xdr:pic>
      <xdr:nvPicPr>
        <xdr:cNvPr id="5" name="Picture 4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3225" y="43815"/>
          <a:ext cx="727075" cy="6610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6" name="TextBox 5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ESTRELLA, MALOU T.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>
      <xdr:nvSpPr>
        <xdr:cNvPr id="7" name="TextBox 6"/>
        <xdr:cNvSpPr txBox="1"/>
      </xdr:nvSpPr>
      <xdr:spPr>
        <a:xfrm>
          <a:off x="616585" y="1725930"/>
          <a:ext cx="200850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438149</xdr:colOff>
      <xdr:row>8</xdr:row>
      <xdr:rowOff>140434</xdr:rowOff>
    </xdr:to>
    <xdr:sp>
      <xdr:nvSpPr>
        <xdr:cNvPr id="8" name="TextBox 7"/>
        <xdr:cNvSpPr txBox="1"/>
      </xdr:nvSpPr>
      <xdr:spPr>
        <a:xfrm>
          <a:off x="3834130" y="1715770"/>
          <a:ext cx="1610360" cy="24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sng"/>
            <a:t>GPAES</a:t>
          </a:r>
          <a:endParaRPr lang="en-US" sz="1100" u="sng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256074</xdr:colOff>
      <xdr:row>0</xdr:row>
      <xdr:rowOff>79570</xdr:rowOff>
    </xdr:from>
    <xdr:to>
      <xdr:col>5</xdr:col>
      <xdr:colOff>304799</xdr:colOff>
      <xdr:row>3</xdr:row>
      <xdr:rowOff>174625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3700" y="79375"/>
          <a:ext cx="626110" cy="6438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27</xdr:row>
      <xdr:rowOff>0</xdr:rowOff>
    </xdr:to>
    <xdr:sp>
      <xdr:nvSpPr>
        <xdr:cNvPr id="3" name="TextBox 2"/>
        <xdr:cNvSpPr txBox="1"/>
      </xdr:nvSpPr>
      <xdr:spPr>
        <a:xfrm>
          <a:off x="76200" y="3975735"/>
          <a:ext cx="315087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0"/>
  <sheetViews>
    <sheetView tabSelected="1" view="pageBreakPreview" zoomScaleNormal="100" topLeftCell="A37" workbookViewId="0">
      <selection activeCell="A46" sqref="$A46:$XFD46"/>
    </sheetView>
  </sheetViews>
  <sheetFormatPr defaultColWidth="9" defaultRowHeight="14.4"/>
  <cols>
    <col min="1" max="1" width="38.287037037037" customWidth="1"/>
    <col min="2" max="2" width="11.5740740740741" style="38" customWidth="1"/>
    <col min="3" max="3" width="11.5740740740741" style="3" customWidth="1"/>
    <col min="4" max="4" width="11.5740740740741" style="38" customWidth="1"/>
    <col min="5" max="5" width="11.5740740740741" style="3" customWidth="1"/>
    <col min="6" max="6" width="11.5740740740741" style="39" customWidth="1"/>
    <col min="7" max="7" width="11.5740740740741" customWidth="1"/>
    <col min="8" max="8" width="11.5740740740741" style="38" customWidth="1"/>
    <col min="9" max="9" width="11.5740740740741" style="3" customWidth="1"/>
    <col min="10" max="10" width="11.5740740740741" customWidth="1"/>
  </cols>
  <sheetData>
    <row r="1" s="5" customFormat="1" ht="52.5" customHeight="1"/>
    <row r="2" s="5" customFormat="1" ht="10.5" customHeight="1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="5" customFormat="1" ht="15.95" customHeight="1" spans="1:9">
      <c r="A3" s="9" t="s">
        <v>1</v>
      </c>
      <c r="B3" s="9"/>
      <c r="C3" s="9"/>
      <c r="D3" s="9"/>
      <c r="E3" s="9"/>
      <c r="F3" s="9"/>
      <c r="G3" s="9"/>
      <c r="H3" s="9"/>
      <c r="I3" s="9"/>
    </row>
    <row r="4" s="5" customFormat="1" ht="15.95" customHeight="1" spans="1:9">
      <c r="A4" s="9" t="s">
        <v>2</v>
      </c>
      <c r="B4" s="9"/>
      <c r="C4" s="9"/>
      <c r="D4" s="9"/>
      <c r="E4" s="9"/>
      <c r="F4" s="9"/>
      <c r="G4" s="9"/>
      <c r="H4" s="9"/>
      <c r="I4" s="9"/>
    </row>
    <row r="5" s="5" customFormat="1" ht="15.95" customHeight="1" spans="1:9">
      <c r="A5" s="9" t="s">
        <v>3</v>
      </c>
      <c r="B5" s="9"/>
      <c r="C5" s="9"/>
      <c r="D5" s="9"/>
      <c r="E5" s="9"/>
      <c r="F5" s="9"/>
      <c r="G5" s="9"/>
      <c r="H5" s="9"/>
      <c r="I5" s="9"/>
    </row>
    <row r="6" s="5" customFormat="1" ht="8.25" customHeight="1"/>
    <row r="7" s="5" customFormat="1" ht="12" customHeight="1" spans="1:9">
      <c r="A7" s="5" t="s">
        <v>4</v>
      </c>
      <c r="B7" s="11" t="s">
        <v>5</v>
      </c>
      <c r="C7" s="11" t="s">
        <v>6</v>
      </c>
      <c r="G7" s="11" t="s">
        <v>7</v>
      </c>
      <c r="H7" s="40"/>
      <c r="I7" s="11"/>
    </row>
    <row r="8" s="5" customFormat="1" ht="12" customHeight="1" spans="2:9">
      <c r="B8" s="13"/>
      <c r="C8" s="13"/>
      <c r="G8" s="13"/>
      <c r="H8" s="13"/>
      <c r="I8" s="13"/>
    </row>
    <row r="9" s="5" customFormat="1" ht="12" customHeight="1" spans="1:9">
      <c r="A9" s="5" t="s">
        <v>8</v>
      </c>
      <c r="B9" s="11" t="s">
        <v>9</v>
      </c>
      <c r="C9" s="11"/>
      <c r="G9" s="11" t="s">
        <v>10</v>
      </c>
      <c r="H9" s="41"/>
      <c r="I9" s="11"/>
    </row>
    <row r="10" ht="16.5" customHeight="1" spans="1:10">
      <c r="A10" s="15" t="s">
        <v>11</v>
      </c>
      <c r="B10" s="15"/>
      <c r="C10" s="15"/>
      <c r="D10" s="15"/>
      <c r="E10" s="15"/>
      <c r="F10" s="15"/>
      <c r="G10" s="15"/>
      <c r="H10" s="15"/>
      <c r="I10" s="15"/>
      <c r="J10" s="15"/>
    </row>
    <row r="11" s="32" customFormat="1" ht="18.75" customHeight="1" spans="1:10">
      <c r="A11" s="42" t="s">
        <v>12</v>
      </c>
      <c r="B11" s="43" t="s">
        <v>13</v>
      </c>
      <c r="C11" s="44"/>
      <c r="D11" s="45" t="s">
        <v>14</v>
      </c>
      <c r="E11" s="46"/>
      <c r="F11" s="46"/>
      <c r="G11" s="46"/>
      <c r="H11" s="47" t="s">
        <v>15</v>
      </c>
      <c r="I11" s="65"/>
      <c r="J11" s="66" t="s">
        <v>16</v>
      </c>
    </row>
    <row r="12" s="32" customFormat="1" ht="28.5" customHeight="1" spans="1:10">
      <c r="A12" s="48"/>
      <c r="B12" s="49" t="s">
        <v>17</v>
      </c>
      <c r="C12" s="50" t="s">
        <v>18</v>
      </c>
      <c r="D12" s="49" t="s">
        <v>17</v>
      </c>
      <c r="E12" s="50" t="s">
        <v>18</v>
      </c>
      <c r="F12" s="51" t="s">
        <v>19</v>
      </c>
      <c r="G12" s="52" t="s">
        <v>20</v>
      </c>
      <c r="H12" s="49" t="s">
        <v>17</v>
      </c>
      <c r="I12" s="50" t="s">
        <v>18</v>
      </c>
      <c r="J12" s="67"/>
    </row>
    <row r="13" s="32" customFormat="1" ht="18" customHeight="1" spans="1:10">
      <c r="A13" s="53" t="s">
        <v>21</v>
      </c>
      <c r="B13" s="54"/>
      <c r="C13" s="54"/>
      <c r="D13" s="54"/>
      <c r="E13" s="54"/>
      <c r="F13" s="54"/>
      <c r="G13" s="54"/>
      <c r="H13" s="54"/>
      <c r="I13" s="54"/>
      <c r="J13" s="68"/>
    </row>
    <row r="14" s="32" customFormat="1" ht="18" customHeight="1" spans="1:10">
      <c r="A14" s="55" t="s">
        <v>22</v>
      </c>
      <c r="B14" s="56">
        <v>0.333</v>
      </c>
      <c r="C14" s="56">
        <v>0.333</v>
      </c>
      <c r="D14" s="56"/>
      <c r="E14" s="56"/>
      <c r="F14" s="56"/>
      <c r="G14" s="57"/>
      <c r="H14" s="56">
        <f>B14</f>
        <v>0.333</v>
      </c>
      <c r="I14" s="56">
        <f>C14</f>
        <v>0.333</v>
      </c>
      <c r="J14" s="57">
        <f t="shared" ref="J14:J15" si="0">H14+I14</f>
        <v>0.666</v>
      </c>
    </row>
    <row r="15" s="37" customFormat="1" ht="18" customHeight="1" spans="1:10">
      <c r="A15" s="55" t="s">
        <v>23</v>
      </c>
      <c r="B15" s="56">
        <v>2.5</v>
      </c>
      <c r="C15" s="56">
        <v>2.5</v>
      </c>
      <c r="D15" s="56"/>
      <c r="E15" s="56"/>
      <c r="F15" s="56"/>
      <c r="G15" s="57"/>
      <c r="H15" s="56">
        <f>H14-F15-D15+B15</f>
        <v>2.833</v>
      </c>
      <c r="I15" s="56">
        <f>I14-E15+C15</f>
        <v>2.833</v>
      </c>
      <c r="J15" s="57">
        <f t="shared" si="0"/>
        <v>5.666</v>
      </c>
    </row>
    <row r="16" s="37" customFormat="1" ht="18" customHeight="1" spans="1:10">
      <c r="A16" s="55" t="s">
        <v>24</v>
      </c>
      <c r="B16" s="56"/>
      <c r="C16" s="56"/>
      <c r="D16" s="56"/>
      <c r="E16" s="56"/>
      <c r="F16" s="56"/>
      <c r="G16" s="57">
        <v>2</v>
      </c>
      <c r="H16" s="56">
        <f>H15-F16-D16+B16</f>
        <v>2.833</v>
      </c>
      <c r="I16" s="56">
        <f>I15-E16+C16</f>
        <v>2.833</v>
      </c>
      <c r="J16" s="57">
        <f t="shared" ref="J16" si="1">H16+I16</f>
        <v>5.666</v>
      </c>
    </row>
    <row r="17" s="37" customFormat="1" ht="18" customHeight="1" spans="1:10">
      <c r="A17" s="55" t="s">
        <v>25</v>
      </c>
      <c r="B17" s="56">
        <v>1.25</v>
      </c>
      <c r="C17" s="56">
        <v>1.25</v>
      </c>
      <c r="D17" s="56"/>
      <c r="E17" s="56"/>
      <c r="F17" s="56"/>
      <c r="G17" s="57"/>
      <c r="H17" s="56">
        <f t="shared" ref="H17:H19" si="2">H16-F17-D17+B17</f>
        <v>4.083</v>
      </c>
      <c r="I17" s="56">
        <f t="shared" ref="I17:I19" si="3">I16-E17+C17</f>
        <v>4.083</v>
      </c>
      <c r="J17" s="57">
        <f t="shared" ref="J17:J19" si="4">H17+I17</f>
        <v>8.166</v>
      </c>
    </row>
    <row r="18" s="37" customFormat="1" ht="18" customHeight="1" spans="1:10">
      <c r="A18" s="55" t="s">
        <v>26</v>
      </c>
      <c r="B18" s="56"/>
      <c r="C18" s="56"/>
      <c r="D18" s="56"/>
      <c r="E18" s="56"/>
      <c r="F18" s="56"/>
      <c r="G18" s="57">
        <v>1</v>
      </c>
      <c r="H18" s="56">
        <f t="shared" si="2"/>
        <v>4.083</v>
      </c>
      <c r="I18" s="56">
        <f t="shared" si="3"/>
        <v>4.083</v>
      </c>
      <c r="J18" s="57">
        <f t="shared" si="4"/>
        <v>8.166</v>
      </c>
    </row>
    <row r="19" s="37" customFormat="1" ht="18" customHeight="1" spans="1:10">
      <c r="A19" s="55" t="s">
        <v>27</v>
      </c>
      <c r="B19" s="58">
        <v>3.75</v>
      </c>
      <c r="C19" s="56">
        <v>3.75</v>
      </c>
      <c r="D19" s="56"/>
      <c r="E19" s="56"/>
      <c r="F19" s="56"/>
      <c r="G19" s="57"/>
      <c r="H19" s="56">
        <f t="shared" si="2"/>
        <v>7.833</v>
      </c>
      <c r="I19" s="56">
        <f t="shared" si="3"/>
        <v>7.833</v>
      </c>
      <c r="J19" s="57">
        <f t="shared" si="4"/>
        <v>15.666</v>
      </c>
    </row>
    <row r="20" s="37" customFormat="1" ht="18" customHeight="1" spans="1:10">
      <c r="A20" s="55" t="s">
        <v>28</v>
      </c>
      <c r="B20" s="56"/>
      <c r="C20" s="56"/>
      <c r="D20" s="56"/>
      <c r="E20" s="56"/>
      <c r="F20" s="56">
        <v>1</v>
      </c>
      <c r="G20" s="57"/>
      <c r="H20" s="56">
        <f t="shared" ref="H20" si="5">H19-F20-D20+B20</f>
        <v>6.833</v>
      </c>
      <c r="I20" s="56">
        <f t="shared" ref="I20" si="6">I19-E20+C20</f>
        <v>7.833</v>
      </c>
      <c r="J20" s="57">
        <f t="shared" ref="J20" si="7">H20+I20</f>
        <v>14.666</v>
      </c>
    </row>
    <row r="21" s="37" customFormat="1" ht="18" customHeight="1" spans="1:10">
      <c r="A21" s="55" t="s">
        <v>29</v>
      </c>
      <c r="B21" s="56">
        <v>2.5</v>
      </c>
      <c r="C21" s="56">
        <v>2.5</v>
      </c>
      <c r="D21" s="56"/>
      <c r="E21" s="56"/>
      <c r="F21" s="56"/>
      <c r="G21" s="57"/>
      <c r="H21" s="56">
        <f t="shared" ref="H21" si="8">H20-F21-D21+B21</f>
        <v>9.333</v>
      </c>
      <c r="I21" s="56">
        <f t="shared" ref="I21" si="9">I20-E21+C21</f>
        <v>10.333</v>
      </c>
      <c r="J21" s="57">
        <f t="shared" ref="J21" si="10">H21+I21</f>
        <v>19.666</v>
      </c>
    </row>
    <row r="22" s="37" customFormat="1" ht="18" customHeight="1" spans="1:10">
      <c r="A22" s="55" t="s">
        <v>30</v>
      </c>
      <c r="B22" s="56"/>
      <c r="C22" s="56"/>
      <c r="D22" s="56"/>
      <c r="E22" s="56">
        <v>3</v>
      </c>
      <c r="F22" s="56"/>
      <c r="G22" s="57"/>
      <c r="H22" s="56">
        <f t="shared" ref="H22" si="11">H21-F22-D22+B22</f>
        <v>9.333</v>
      </c>
      <c r="I22" s="56">
        <f t="shared" ref="I22" si="12">I21-E22+C22</f>
        <v>7.333</v>
      </c>
      <c r="J22" s="57">
        <f t="shared" ref="J22" si="13">H22+I22</f>
        <v>16.666</v>
      </c>
    </row>
    <row r="23" s="37" customFormat="1" ht="18" customHeight="1" spans="1:10">
      <c r="A23" s="55" t="s">
        <v>31</v>
      </c>
      <c r="B23" s="59"/>
      <c r="C23" s="56"/>
      <c r="D23" s="56"/>
      <c r="E23" s="56"/>
      <c r="F23" s="56">
        <v>1</v>
      </c>
      <c r="G23" s="57"/>
      <c r="H23" s="56">
        <f t="shared" ref="H23" si="14">H22-F23-D23+B23</f>
        <v>8.333</v>
      </c>
      <c r="I23" s="56">
        <f t="shared" ref="I23" si="15">I22-E23+C23</f>
        <v>7.333</v>
      </c>
      <c r="J23" s="57">
        <f t="shared" ref="J23" si="16">H23+I23</f>
        <v>15.666</v>
      </c>
    </row>
    <row r="24" s="37" customFormat="1" ht="18" customHeight="1" spans="1:10">
      <c r="A24" s="60" t="s">
        <v>32</v>
      </c>
      <c r="B24" s="56">
        <f>5*1.25</f>
        <v>6.25</v>
      </c>
      <c r="C24" s="56">
        <v>6.25</v>
      </c>
      <c r="D24" s="56"/>
      <c r="E24" s="56"/>
      <c r="F24" s="56"/>
      <c r="G24" s="57"/>
      <c r="H24" s="56">
        <f t="shared" ref="H24:H25" si="17">H23-F24-D24+B24</f>
        <v>14.583</v>
      </c>
      <c r="I24" s="56">
        <f t="shared" ref="I24:I25" si="18">I23-E24+C24</f>
        <v>13.583</v>
      </c>
      <c r="J24" s="57">
        <f t="shared" ref="J24:J25" si="19">H24+I24</f>
        <v>28.166</v>
      </c>
    </row>
    <row r="25" s="37" customFormat="1" ht="18" customHeight="1" spans="1:10">
      <c r="A25" s="60" t="s">
        <v>33</v>
      </c>
      <c r="B25" s="56"/>
      <c r="C25" s="56"/>
      <c r="D25" s="56"/>
      <c r="E25" s="56"/>
      <c r="F25" s="56">
        <v>3</v>
      </c>
      <c r="G25" s="57"/>
      <c r="H25" s="56">
        <f t="shared" si="17"/>
        <v>11.583</v>
      </c>
      <c r="I25" s="56">
        <f t="shared" si="18"/>
        <v>13.583</v>
      </c>
      <c r="J25" s="57">
        <f t="shared" si="19"/>
        <v>25.166</v>
      </c>
    </row>
    <row r="26" s="37" customFormat="1" ht="18" customHeight="1" spans="1:10">
      <c r="A26" s="60" t="s">
        <v>34</v>
      </c>
      <c r="B26" s="56">
        <v>1.25</v>
      </c>
      <c r="C26" s="56">
        <v>1.25</v>
      </c>
      <c r="D26" s="56"/>
      <c r="E26" s="56"/>
      <c r="F26" s="56"/>
      <c r="G26" s="57"/>
      <c r="H26" s="56">
        <f t="shared" ref="H26:H29" si="20">H25-F26-D26+B26</f>
        <v>12.833</v>
      </c>
      <c r="I26" s="56">
        <f t="shared" ref="I26:I29" si="21">I25-E26+C26</f>
        <v>14.833</v>
      </c>
      <c r="J26" s="57">
        <f t="shared" ref="J26:J29" si="22">H26+I26</f>
        <v>27.666</v>
      </c>
    </row>
    <row r="27" s="37" customFormat="1" ht="18" customHeight="1" spans="1:10">
      <c r="A27" s="60" t="s">
        <v>35</v>
      </c>
      <c r="B27" s="56">
        <v>1.25</v>
      </c>
      <c r="C27" s="56">
        <v>1.25</v>
      </c>
      <c r="D27" s="56"/>
      <c r="E27" s="56"/>
      <c r="F27" s="56"/>
      <c r="G27" s="57"/>
      <c r="H27" s="56">
        <f t="shared" si="20"/>
        <v>14.083</v>
      </c>
      <c r="I27" s="56">
        <f t="shared" si="21"/>
        <v>16.083</v>
      </c>
      <c r="J27" s="57">
        <f t="shared" si="22"/>
        <v>30.166</v>
      </c>
    </row>
    <row r="28" s="37" customFormat="1" ht="18" customHeight="1" spans="1:10">
      <c r="A28" s="60" t="s">
        <v>36</v>
      </c>
      <c r="B28" s="56">
        <v>1.25</v>
      </c>
      <c r="C28" s="56">
        <v>1.25</v>
      </c>
      <c r="D28" s="56"/>
      <c r="E28" s="56"/>
      <c r="F28" s="56"/>
      <c r="G28" s="57"/>
      <c r="H28" s="56">
        <f t="shared" si="20"/>
        <v>15.333</v>
      </c>
      <c r="I28" s="56">
        <f t="shared" si="21"/>
        <v>17.333</v>
      </c>
      <c r="J28" s="57">
        <f t="shared" si="22"/>
        <v>32.666</v>
      </c>
    </row>
    <row r="29" s="37" customFormat="1" ht="18" customHeight="1" spans="1:10">
      <c r="A29" s="60" t="s">
        <v>37</v>
      </c>
      <c r="B29" s="56"/>
      <c r="C29" s="56"/>
      <c r="D29" s="56"/>
      <c r="E29" s="56"/>
      <c r="F29" s="56"/>
      <c r="G29" s="57">
        <v>1</v>
      </c>
      <c r="H29" s="56">
        <f t="shared" si="20"/>
        <v>15.333</v>
      </c>
      <c r="I29" s="56">
        <f t="shared" si="21"/>
        <v>17.333</v>
      </c>
      <c r="J29" s="57">
        <f t="shared" si="22"/>
        <v>32.666</v>
      </c>
    </row>
    <row r="30" s="37" customFormat="1" ht="18" customHeight="1" spans="1:10">
      <c r="A30" s="60" t="s">
        <v>38</v>
      </c>
      <c r="B30" s="56">
        <v>2.5</v>
      </c>
      <c r="C30" s="56">
        <v>2.5</v>
      </c>
      <c r="D30" s="56"/>
      <c r="E30" s="56"/>
      <c r="F30" s="56"/>
      <c r="G30" s="57"/>
      <c r="H30" s="56">
        <f t="shared" ref="H30:H31" si="23">H29-F30-D30+B30</f>
        <v>17.833</v>
      </c>
      <c r="I30" s="56">
        <f t="shared" ref="I30:I31" si="24">I29-E30+C30</f>
        <v>19.833</v>
      </c>
      <c r="J30" s="57">
        <f t="shared" ref="J30:J31" si="25">H30+I30</f>
        <v>37.666</v>
      </c>
    </row>
    <row r="31" s="37" customFormat="1" ht="18" customHeight="1" spans="1:10">
      <c r="A31" s="60" t="s">
        <v>39</v>
      </c>
      <c r="B31" s="56"/>
      <c r="C31" s="56"/>
      <c r="D31" s="56"/>
      <c r="E31" s="56"/>
      <c r="F31" s="56"/>
      <c r="G31" s="57">
        <v>2</v>
      </c>
      <c r="H31" s="56">
        <f t="shared" si="23"/>
        <v>17.833</v>
      </c>
      <c r="I31" s="56">
        <f t="shared" si="24"/>
        <v>19.833</v>
      </c>
      <c r="J31" s="57">
        <f t="shared" si="25"/>
        <v>37.666</v>
      </c>
    </row>
    <row r="32" s="37" customFormat="1" ht="18" customHeight="1" spans="1:10">
      <c r="A32" s="60" t="s">
        <v>40</v>
      </c>
      <c r="B32" s="56">
        <v>3.75</v>
      </c>
      <c r="C32" s="56">
        <v>3.75</v>
      </c>
      <c r="D32" s="56"/>
      <c r="E32" s="56"/>
      <c r="F32" s="56"/>
      <c r="G32" s="57"/>
      <c r="H32" s="56">
        <f t="shared" ref="H32" si="26">H31-F32-D32+B32</f>
        <v>21.583</v>
      </c>
      <c r="I32" s="56">
        <f t="shared" ref="I32" si="27">I31-E32+C32</f>
        <v>23.583</v>
      </c>
      <c r="J32" s="57">
        <f t="shared" ref="J32" si="28">H32+I32</f>
        <v>45.166</v>
      </c>
    </row>
    <row r="33" s="37" customFormat="1" ht="18" customHeight="1" spans="1:10">
      <c r="A33" s="60" t="s">
        <v>41</v>
      </c>
      <c r="B33" s="59"/>
      <c r="C33" s="56"/>
      <c r="D33" s="56">
        <v>15</v>
      </c>
      <c r="E33" s="56"/>
      <c r="F33" s="56"/>
      <c r="G33" s="57"/>
      <c r="H33" s="56">
        <f t="shared" ref="H33" si="29">H32-F33-D33+B33</f>
        <v>6.583</v>
      </c>
      <c r="I33" s="56">
        <f t="shared" ref="I33" si="30">I32-E33+C33</f>
        <v>23.583</v>
      </c>
      <c r="J33" s="57">
        <f t="shared" ref="J33" si="31">H33+I33</f>
        <v>30.166</v>
      </c>
    </row>
    <row r="34" s="37" customFormat="1" ht="18" customHeight="1" spans="1:10">
      <c r="A34" s="60" t="s">
        <v>42</v>
      </c>
      <c r="B34" s="59"/>
      <c r="C34" s="56"/>
      <c r="D34" s="56"/>
      <c r="E34" s="56"/>
      <c r="F34" s="56">
        <v>2</v>
      </c>
      <c r="G34" s="57"/>
      <c r="H34" s="56">
        <f t="shared" ref="H34" si="32">H33-F34-D34+B34</f>
        <v>4.583</v>
      </c>
      <c r="I34" s="56">
        <f t="shared" ref="I34" si="33">I33-E34+C34</f>
        <v>23.583</v>
      </c>
      <c r="J34" s="57">
        <f t="shared" ref="J34" si="34">H34+I34</f>
        <v>28.166</v>
      </c>
    </row>
    <row r="35" s="37" customFormat="1" ht="18" customHeight="1" spans="1:10">
      <c r="A35" s="60" t="s">
        <v>43</v>
      </c>
      <c r="B35" s="56">
        <v>3.75</v>
      </c>
      <c r="C35" s="56">
        <v>3.75</v>
      </c>
      <c r="D35" s="56"/>
      <c r="E35" s="56"/>
      <c r="F35" s="56"/>
      <c r="G35" s="57"/>
      <c r="H35" s="56">
        <f t="shared" ref="H35:H36" si="35">H34-F35-D35+B35</f>
        <v>8.333</v>
      </c>
      <c r="I35" s="56">
        <f t="shared" ref="I35:I36" si="36">I34-E35+C35</f>
        <v>27.333</v>
      </c>
      <c r="J35" s="57">
        <f t="shared" ref="J35:J36" si="37">H35+I35</f>
        <v>35.666</v>
      </c>
    </row>
    <row r="36" s="37" customFormat="1" ht="18" customHeight="1" spans="1:10">
      <c r="A36" s="60" t="s">
        <v>44</v>
      </c>
      <c r="B36" s="56"/>
      <c r="C36" s="56"/>
      <c r="D36" s="56"/>
      <c r="E36" s="56"/>
      <c r="F36" s="56">
        <v>3</v>
      </c>
      <c r="G36" s="57"/>
      <c r="H36" s="56">
        <f t="shared" si="35"/>
        <v>5.333</v>
      </c>
      <c r="I36" s="56">
        <f t="shared" si="36"/>
        <v>27.333</v>
      </c>
      <c r="J36" s="57">
        <f t="shared" si="37"/>
        <v>32.666</v>
      </c>
    </row>
    <row r="37" s="37" customFormat="1" ht="18" customHeight="1" spans="1:10">
      <c r="A37" s="60" t="s">
        <v>45</v>
      </c>
      <c r="B37" s="56">
        <v>2.5</v>
      </c>
      <c r="C37" s="56">
        <v>2.5</v>
      </c>
      <c r="D37" s="56"/>
      <c r="E37" s="56"/>
      <c r="F37" s="56"/>
      <c r="G37" s="57"/>
      <c r="H37" s="56">
        <f t="shared" ref="H37:H39" si="38">H36-F37-D37+B37</f>
        <v>7.833</v>
      </c>
      <c r="I37" s="56">
        <f t="shared" ref="I37:I39" si="39">I36-E37+C37</f>
        <v>29.833</v>
      </c>
      <c r="J37" s="57">
        <f t="shared" ref="J37:J39" si="40">H37+I37</f>
        <v>37.666</v>
      </c>
    </row>
    <row r="38" s="37" customFormat="1" ht="18" customHeight="1" spans="1:10">
      <c r="A38" s="60" t="s">
        <v>46</v>
      </c>
      <c r="B38" s="56">
        <v>2.5</v>
      </c>
      <c r="C38" s="56">
        <v>2.5</v>
      </c>
      <c r="D38" s="56"/>
      <c r="E38" s="56"/>
      <c r="F38" s="56"/>
      <c r="G38" s="57"/>
      <c r="H38" s="56">
        <f t="shared" si="38"/>
        <v>10.333</v>
      </c>
      <c r="I38" s="56">
        <f t="shared" si="39"/>
        <v>32.333</v>
      </c>
      <c r="J38" s="57">
        <f t="shared" si="40"/>
        <v>42.666</v>
      </c>
    </row>
    <row r="39" s="37" customFormat="1" ht="18" customHeight="1" spans="1:10">
      <c r="A39" s="60" t="s">
        <v>47</v>
      </c>
      <c r="B39" s="56"/>
      <c r="C39" s="56"/>
      <c r="D39" s="56"/>
      <c r="E39" s="56">
        <v>1</v>
      </c>
      <c r="F39" s="56"/>
      <c r="G39" s="57"/>
      <c r="H39" s="56">
        <f t="shared" si="38"/>
        <v>10.333</v>
      </c>
      <c r="I39" s="56">
        <f t="shared" si="39"/>
        <v>31.333</v>
      </c>
      <c r="J39" s="57">
        <f t="shared" si="40"/>
        <v>41.666</v>
      </c>
    </row>
    <row r="40" s="37" customFormat="1" ht="18" customHeight="1" spans="1:10">
      <c r="A40" s="60" t="s">
        <v>48</v>
      </c>
      <c r="B40" s="56">
        <v>5</v>
      </c>
      <c r="C40" s="56">
        <v>5</v>
      </c>
      <c r="D40" s="56"/>
      <c r="E40" s="56"/>
      <c r="F40" s="56"/>
      <c r="G40" s="57"/>
      <c r="H40" s="56">
        <f t="shared" ref="H40:H41" si="41">H39-F40-D40+B40</f>
        <v>15.333</v>
      </c>
      <c r="I40" s="56">
        <f t="shared" ref="I40:I41" si="42">I39-E40+C40</f>
        <v>36.333</v>
      </c>
      <c r="J40" s="57">
        <f t="shared" ref="J40:J41" si="43">H40+I40</f>
        <v>51.666</v>
      </c>
    </row>
    <row r="41" s="37" customFormat="1" ht="18" customHeight="1" spans="1:10">
      <c r="A41" s="60" t="s">
        <v>49</v>
      </c>
      <c r="B41" s="56"/>
      <c r="C41" s="56"/>
      <c r="D41" s="56">
        <v>10</v>
      </c>
      <c r="E41" s="56"/>
      <c r="F41" s="56"/>
      <c r="G41" s="57"/>
      <c r="H41" s="56">
        <f t="shared" si="41"/>
        <v>5.333</v>
      </c>
      <c r="I41" s="56">
        <f t="shared" si="42"/>
        <v>36.333</v>
      </c>
      <c r="J41" s="57">
        <f t="shared" si="43"/>
        <v>41.666</v>
      </c>
    </row>
    <row r="42" s="37" customFormat="1" ht="18" customHeight="1" spans="1:10">
      <c r="A42" s="60" t="s">
        <v>50</v>
      </c>
      <c r="B42" s="56">
        <v>1.25</v>
      </c>
      <c r="C42" s="56">
        <v>1.25</v>
      </c>
      <c r="D42" s="56"/>
      <c r="E42" s="56"/>
      <c r="F42" s="56"/>
      <c r="G42" s="57"/>
      <c r="H42" s="56">
        <f t="shared" ref="H42:H43" si="44">H41-F42-D42+B42</f>
        <v>6.583</v>
      </c>
      <c r="I42" s="56">
        <f t="shared" ref="I42:I43" si="45">I41-E42+C42</f>
        <v>37.583</v>
      </c>
      <c r="J42" s="57">
        <f t="shared" ref="J42:J43" si="46">H42+I42</f>
        <v>44.166</v>
      </c>
    </row>
    <row r="43" s="37" customFormat="1" ht="18" customHeight="1" spans="1:10">
      <c r="A43" s="60" t="s">
        <v>51</v>
      </c>
      <c r="B43" s="56"/>
      <c r="C43" s="56"/>
      <c r="D43" s="56"/>
      <c r="E43" s="56"/>
      <c r="F43" s="61">
        <v>1</v>
      </c>
      <c r="G43" s="57"/>
      <c r="H43" s="56">
        <f t="shared" si="44"/>
        <v>5.583</v>
      </c>
      <c r="I43" s="56">
        <f t="shared" si="45"/>
        <v>37.583</v>
      </c>
      <c r="J43" s="57">
        <f t="shared" si="46"/>
        <v>43.166</v>
      </c>
    </row>
    <row r="44" s="37" customFormat="1" ht="18" customHeight="1" spans="1:10">
      <c r="A44" s="62" t="s">
        <v>52</v>
      </c>
      <c r="B44" s="63">
        <v>1.25</v>
      </c>
      <c r="C44" s="63">
        <v>1.25</v>
      </c>
      <c r="D44" s="63"/>
      <c r="E44" s="63"/>
      <c r="F44" s="63"/>
      <c r="G44" s="64"/>
      <c r="H44" s="56">
        <f t="shared" ref="H44:H45" si="47">H43-F44-D44+B44</f>
        <v>6.833</v>
      </c>
      <c r="I44" s="56">
        <f t="shared" ref="I44:I45" si="48">I43-E44+C44</f>
        <v>38.833</v>
      </c>
      <c r="J44" s="57">
        <f t="shared" ref="J44:J45" si="49">H44+I44</f>
        <v>45.666</v>
      </c>
    </row>
    <row r="45" s="37" customFormat="1" ht="18" customHeight="1" spans="1:10">
      <c r="A45" s="62" t="s">
        <v>53</v>
      </c>
      <c r="B45" s="63"/>
      <c r="C45" s="63"/>
      <c r="D45" s="63"/>
      <c r="E45" s="63">
        <v>2</v>
      </c>
      <c r="F45" s="63"/>
      <c r="G45" s="64"/>
      <c r="H45" s="56">
        <f t="shared" si="47"/>
        <v>6.833</v>
      </c>
      <c r="I45" s="56">
        <f t="shared" si="48"/>
        <v>36.833</v>
      </c>
      <c r="J45" s="57">
        <f t="shared" si="49"/>
        <v>43.666</v>
      </c>
    </row>
    <row r="46" s="37" customFormat="1" ht="18" customHeight="1" spans="1:10">
      <c r="A46" s="62" t="s">
        <v>54</v>
      </c>
      <c r="B46" s="63">
        <v>3.75</v>
      </c>
      <c r="C46" s="63">
        <v>3.75</v>
      </c>
      <c r="D46" s="63"/>
      <c r="E46" s="63"/>
      <c r="F46" s="63"/>
      <c r="G46" s="64"/>
      <c r="H46" s="56">
        <f>H45-F46-D46+B46</f>
        <v>10.583</v>
      </c>
      <c r="I46" s="56">
        <f>I45-E46+C46</f>
        <v>40.583</v>
      </c>
      <c r="J46" s="57">
        <f>H46+I46</f>
        <v>51.166</v>
      </c>
    </row>
    <row r="47" s="37" customFormat="1" ht="18" customHeight="1" spans="1:11">
      <c r="A47" s="62" t="s">
        <v>55</v>
      </c>
      <c r="B47" s="63"/>
      <c r="C47" s="63"/>
      <c r="D47" s="63"/>
      <c r="E47" s="63"/>
      <c r="F47" s="61">
        <v>2</v>
      </c>
      <c r="G47" s="64"/>
      <c r="H47" s="56">
        <f>H46-F47-D47+B47</f>
        <v>8.583</v>
      </c>
      <c r="I47" s="56">
        <f>I46-E47+C47</f>
        <v>40.583</v>
      </c>
      <c r="J47" s="57">
        <f>H47+I47</f>
        <v>49.166</v>
      </c>
      <c r="K47" s="37" t="s">
        <v>56</v>
      </c>
    </row>
    <row r="48" ht="75.75" customHeight="1" spans="1:10">
      <c r="A48" s="29"/>
      <c r="B48" s="29"/>
      <c r="C48" s="29"/>
      <c r="D48" s="29"/>
      <c r="E48" s="29"/>
      <c r="F48" s="29"/>
      <c r="G48" s="29"/>
      <c r="H48" s="29"/>
      <c r="I48" s="29"/>
      <c r="J48" s="29"/>
    </row>
    <row r="49" s="5" customFormat="1"/>
    <row r="50" s="5" customFormat="1"/>
  </sheetData>
  <mergeCells count="12">
    <mergeCell ref="A2:I2"/>
    <mergeCell ref="A3:I3"/>
    <mergeCell ref="A4:I4"/>
    <mergeCell ref="A5:I5"/>
    <mergeCell ref="A10:J10"/>
    <mergeCell ref="B11:C11"/>
    <mergeCell ref="D11:G11"/>
    <mergeCell ref="H11:I11"/>
    <mergeCell ref="A13:J13"/>
    <mergeCell ref="A48:J48"/>
    <mergeCell ref="A11:A12"/>
    <mergeCell ref="J11:J12"/>
  </mergeCells>
  <printOptions horizontalCentered="1"/>
  <pageMargins left="0.5" right="0.5" top="0.5" bottom="0.5" header="0.31496062992126" footer="0.31496062992126"/>
  <pageSetup paperSize="14" scale="65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"/>
  <sheetViews>
    <sheetView workbookViewId="0">
      <selection activeCell="A14" sqref="A14:L14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7.85185185185185" style="4" customWidth="1"/>
    <col min="8" max="8" width="10.8518518518519" customWidth="1"/>
    <col min="9" max="9" width="9.71296296296296" style="1" customWidth="1"/>
    <col min="10" max="10" width="10" style="3" customWidth="1"/>
    <col min="11" max="11" width="9.13888888888889" style="4"/>
    <col min="12" max="12" width="7.57407407407407" customWidth="1"/>
  </cols>
  <sheetData>
    <row r="1" spans="1:15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  <c r="O1" s="5"/>
    </row>
    <row r="2" spans="1:15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  <c r="O2" s="5"/>
    </row>
    <row r="3" spans="1:15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  <c r="O3" s="5"/>
    </row>
    <row r="4" spans="1:15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  <c r="O4" s="5"/>
    </row>
    <row r="5" spans="1:1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  <c r="O5" s="5"/>
    </row>
    <row r="6" spans="1:1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5"/>
    </row>
    <row r="7" spans="1:1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  <c r="O7" s="5"/>
    </row>
    <row r="8" spans="1:1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  <c r="O8" s="5"/>
    </row>
    <row r="9" spans="1:15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  <c r="O9" s="5"/>
    </row>
    <row r="10" spans="1:15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  <c r="O10" s="5"/>
    </row>
    <row r="11" spans="1:15">
      <c r="A11" s="10" t="s">
        <v>57</v>
      </c>
      <c r="B11" s="11"/>
      <c r="C11" s="12" t="s">
        <v>58</v>
      </c>
      <c r="D11" s="12"/>
      <c r="E11" s="12"/>
      <c r="F11" s="12"/>
      <c r="G11" s="12"/>
      <c r="H11" s="5"/>
      <c r="I11" s="12" t="s">
        <v>59</v>
      </c>
      <c r="J11" s="12"/>
      <c r="K11" s="12"/>
      <c r="L11" s="11"/>
      <c r="M11" s="5"/>
      <c r="N11" s="5"/>
      <c r="O11" s="5"/>
    </row>
    <row r="12" spans="1:15">
      <c r="A12" s="5"/>
      <c r="B12" s="13"/>
      <c r="C12" s="12" t="s">
        <v>60</v>
      </c>
      <c r="D12" s="12"/>
      <c r="E12" s="12"/>
      <c r="F12" s="12"/>
      <c r="G12" s="12"/>
      <c r="H12" s="5"/>
      <c r="I12" s="30" t="s">
        <v>61</v>
      </c>
      <c r="J12" s="30"/>
      <c r="K12" s="30"/>
      <c r="L12" s="13"/>
      <c r="M12" s="5"/>
      <c r="N12" s="5"/>
      <c r="O12" s="5"/>
    </row>
    <row r="13" spans="1:15">
      <c r="A13" s="11" t="s">
        <v>62</v>
      </c>
      <c r="B13" s="11"/>
      <c r="C13" s="14"/>
      <c r="D13" s="13"/>
      <c r="E13" s="13"/>
      <c r="F13" s="5"/>
      <c r="G13" s="5"/>
      <c r="H13" s="5"/>
      <c r="I13" s="12" t="s">
        <v>63</v>
      </c>
      <c r="J13" s="12"/>
      <c r="K13" s="12"/>
      <c r="L13" s="11"/>
      <c r="M13" s="5"/>
      <c r="N13" s="5"/>
      <c r="O13" s="5"/>
    </row>
    <row r="14" ht="21.75" spans="1:12">
      <c r="A14" s="15" t="s">
        <v>64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5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31" t="s">
        <v>16</v>
      </c>
      <c r="M15" s="32"/>
      <c r="N15" s="32"/>
      <c r="O15" s="32"/>
    </row>
    <row r="16" spans="1:15">
      <c r="A16" s="19"/>
      <c r="B16" s="20" t="s">
        <v>65</v>
      </c>
      <c r="C16" s="21"/>
      <c r="D16" s="21"/>
      <c r="E16" s="22"/>
      <c r="F16" s="20" t="s">
        <v>66</v>
      </c>
      <c r="G16" s="22"/>
      <c r="H16" s="20" t="s">
        <v>67</v>
      </c>
      <c r="I16" s="22"/>
      <c r="J16" s="20" t="s">
        <v>68</v>
      </c>
      <c r="K16" s="22"/>
      <c r="L16" s="33"/>
      <c r="M16" s="32"/>
      <c r="N16" s="32"/>
      <c r="O16" s="32"/>
    </row>
    <row r="17" ht="23.25" customHeight="1" spans="1:15">
      <c r="A17" s="23" t="s">
        <v>69</v>
      </c>
      <c r="B17" s="24" t="s">
        <v>70</v>
      </c>
      <c r="C17" s="25"/>
      <c r="D17" s="25"/>
      <c r="E17" s="26"/>
      <c r="F17" s="24">
        <v>1</v>
      </c>
      <c r="G17" s="26"/>
      <c r="H17" s="24">
        <v>0</v>
      </c>
      <c r="I17" s="26"/>
      <c r="J17" s="24">
        <v>1</v>
      </c>
      <c r="K17" s="26"/>
      <c r="L17" s="34">
        <v>1</v>
      </c>
      <c r="M17" s="32"/>
      <c r="N17" s="32"/>
      <c r="O17" s="32"/>
    </row>
    <row r="18" ht="23.25" customHeight="1" spans="1:15">
      <c r="A18" s="23" t="s">
        <v>71</v>
      </c>
      <c r="B18" s="24" t="s">
        <v>70</v>
      </c>
      <c r="C18" s="25"/>
      <c r="D18" s="25"/>
      <c r="E18" s="26"/>
      <c r="F18" s="24">
        <v>1</v>
      </c>
      <c r="G18" s="26"/>
      <c r="H18" s="24">
        <v>1</v>
      </c>
      <c r="I18" s="26"/>
      <c r="J18" s="24">
        <v>0</v>
      </c>
      <c r="K18" s="26"/>
      <c r="L18" s="35">
        <v>0</v>
      </c>
      <c r="M18" s="32"/>
      <c r="N18" s="32"/>
      <c r="O18" s="32"/>
    </row>
    <row r="19" spans="1:15">
      <c r="A19" s="27" t="s">
        <v>72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36"/>
      <c r="M19" s="37"/>
      <c r="N19" s="37"/>
      <c r="O19" s="37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5">
      <c r="A21" s="5"/>
      <c r="B21" s="5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3"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2:13"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2:13"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13"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2:13"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2:13"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2:13"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2:13"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2:13"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2:13"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2:13"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2:13"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2:13"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2:13"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2:13"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2:13"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2:13"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2:13"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2:13"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2:13"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2:13"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2:13"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2:13"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2:13"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2:13"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2:13"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2:13"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2:13"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2:13"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2:13"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2:13"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2:13"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2:13"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2:13"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2:13"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2:13"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2:13"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2:13"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2:13"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2:13"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2:13"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2:13"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2:13"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2:13"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2:13"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2:13"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2:13">
      <c r="B70" s="5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2:13">
      <c r="B71" s="5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2:13">
      <c r="B72" s="5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2:13">
      <c r="B73" s="5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2:13">
      <c r="B74" s="5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2:13">
      <c r="B75" s="5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2:13">
      <c r="B76" s="5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2:13">
      <c r="B77" s="5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2:13">
      <c r="B78" s="5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2:13">
      <c r="B79" s="5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2:13">
      <c r="B80" s="5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2:13">
      <c r="B81" s="5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2:13">
      <c r="B82" s="5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2:13">
      <c r="B83" s="5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2:13">
      <c r="B84" s="5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2:13">
      <c r="B85" s="5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2:13"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2:13"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2:13"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2:13"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2:13"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2:13"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2:13"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2:13"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2:13"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2:13"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2:13"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2:13"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2:13"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2:13">
      <c r="B99" s="5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2:13"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2:13"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2:13"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2:13"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2:13"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2:13"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2:13"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2:13"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2:13"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2:13"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2:13"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2:13"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2:13"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2:13"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2:13"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2:13"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2:13"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2:13"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2:13"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2:13"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2:13"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2:13"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2:13"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2:13"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2:13"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2:13"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2:13"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2:13"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2:13"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2:13"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2:13"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2:13"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2:13"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2:13"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2:13"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2:13"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2:13"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2:13"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2:13"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2:13"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2:13"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2:13"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2:13"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2:13"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2:13"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2:13"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2:13"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2:13"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2:13"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2:13"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2:13"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2:13"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2:13"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2:13"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2:13"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2:13"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2:13"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2:13"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2:13"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2:13"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2:13"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2:13"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2:13"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2:13"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2:13"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2:13"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2:13"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2:13"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2:13"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2:13"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2:13"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2:13"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2:13"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2:13"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2:13"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2:13"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2:13"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2:13"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2:13"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2:13"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2:13"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2:13"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2:13"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2:13"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2:13"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2:13"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2:13"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2:13"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2:13"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2:13"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2:13"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2:13"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2:13"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2:13"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2:13"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2:13"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2:13"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2:13"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2:13"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2:13"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2:13"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2:13"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2:13"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2:13"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2:13"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2:13"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2:13"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2:13"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2:13"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2:13"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2:13"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2:13"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2:13"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2:13"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2:13"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2:13"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2:13"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2:13"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2:13"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2:13"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2:13"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2:13"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2:13"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2:13"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20:L20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2025-10-08T07:22:00Z</cp:lastPrinted>
  <dcterms:modified xsi:type="dcterms:W3CDTF">2026-01-02T07:25:02Z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850B0774A8174031994D2C9B8B373993_12</vt:lpwstr>
  </property>
  <property fmtid="{D5CDD505-2E9C-101B-9397-08002B2CF9AE}" pid="3" name="KSOProductBuildVer">
    <vt:lpwstr>1033-12.2.0.23196</vt:lpwstr>
  </property>
</Properties>
</file>