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03257CE-C726-4241-97FD-58FC660D3D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CORRECTED" sheetId="11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CORRECTED'!$A$1:$K$52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1" l="1"/>
  <c r="I46" i="11" s="1"/>
  <c r="J45" i="11"/>
  <c r="J46" i="11" s="1"/>
  <c r="K45" i="11"/>
  <c r="I43" i="11"/>
  <c r="K43" i="11" s="1"/>
  <c r="J43" i="11"/>
  <c r="J44" i="11" s="1"/>
  <c r="J14" i="1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I14" i="11"/>
  <c r="I15" i="11" s="1"/>
  <c r="I16" i="11" s="1"/>
  <c r="I17" i="11" s="1"/>
  <c r="K46" i="11" l="1"/>
  <c r="I44" i="11"/>
  <c r="K44" i="11" s="1"/>
  <c r="K16" i="11"/>
  <c r="I18" i="11"/>
  <c r="K17" i="11"/>
  <c r="K14" i="11"/>
  <c r="K15" i="11"/>
  <c r="K18" i="11" l="1"/>
  <c r="I19" i="11"/>
  <c r="I20" i="11" l="1"/>
  <c r="K19" i="11"/>
  <c r="K20" i="11" l="1"/>
  <c r="I21" i="11"/>
  <c r="I22" i="11" l="1"/>
  <c r="K21" i="11"/>
  <c r="K22" i="11" l="1"/>
  <c r="I23" i="11"/>
  <c r="I24" i="11" l="1"/>
  <c r="K23" i="11"/>
  <c r="K24" i="11" l="1"/>
  <c r="I25" i="11"/>
  <c r="I26" i="11" l="1"/>
  <c r="K25" i="11"/>
  <c r="K26" i="11" l="1"/>
  <c r="I27" i="11"/>
  <c r="I28" i="11" l="1"/>
  <c r="K27" i="11"/>
  <c r="K28" i="11" l="1"/>
  <c r="I29" i="11"/>
  <c r="I30" i="11" l="1"/>
  <c r="K29" i="11"/>
  <c r="K30" i="11" l="1"/>
  <c r="I31" i="11"/>
  <c r="I32" i="11" l="1"/>
  <c r="K31" i="11"/>
  <c r="K32" i="11" l="1"/>
  <c r="I33" i="11"/>
  <c r="I34" i="11" l="1"/>
  <c r="I35" i="11" s="1"/>
  <c r="K33" i="11"/>
  <c r="I36" i="11" l="1"/>
  <c r="K35" i="11"/>
  <c r="K34" i="11"/>
  <c r="K36" i="11" l="1"/>
  <c r="I37" i="11"/>
  <c r="K37" i="11" l="1"/>
  <c r="I38" i="11"/>
  <c r="K38" i="11" l="1"/>
  <c r="I39" i="11"/>
  <c r="K39" i="11" l="1"/>
  <c r="I40" i="11"/>
  <c r="K40" i="11" l="1"/>
  <c r="I41" i="11"/>
  <c r="K41" i="11" l="1"/>
  <c r="I42" i="11"/>
  <c r="K42" i="11" s="1"/>
</calcChain>
</file>

<file path=xl/sharedStrings.xml><?xml version="1.0" encoding="utf-8"?>
<sst xmlns="http://schemas.openxmlformats.org/spreadsheetml/2006/main" count="110" uniqueCount="88">
  <si>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</si>
  <si>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</si>
  <si>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</si>
  <si>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</si>
  <si>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</si>
  <si>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</si>
  <si>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</si>
  <si>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</si>
  <si>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</si>
  <si>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</si>
  <si>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</si>
  <si>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</si>
  <si>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NAME          : _____________________</t>
  </si>
  <si>
    <t>Balance</t>
  </si>
  <si>
    <t>No. of Days Granted</t>
  </si>
  <si>
    <t>No. of Days Used</t>
  </si>
  <si>
    <t>SCHOOL/OFFICE : _______________________</t>
  </si>
  <si>
    <t>COMPENSATORY TIME OFF (CTO)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</si>
  <si>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</si>
  <si>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</si>
  <si>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</si>
  <si>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</si>
  <si>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</si>
  <si>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</si>
  <si>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</si>
  <si>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Special Order No. and Date Issued</t>
  </si>
  <si>
    <t>SPECIAL ORDER NO. AND DATE ISSUED</t>
  </si>
  <si>
    <t>LEAVE SPENT</t>
  </si>
  <si>
    <t>BALANCE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</si>
  <si>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</si>
  <si>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</si>
  <si>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</si>
  <si>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</si>
  <si>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</si>
  <si>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</si>
  <si>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</si>
  <si>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</si>
  <si>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</si>
  <si>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</si>
  <si>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</si>
  <si>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</si>
  <si>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</si>
  <si>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 xml:space="preserve">SCHOOL/OFFICE : </t>
  </si>
  <si>
    <t>ORIG. APPT. JULY 1, 2024</t>
  </si>
  <si>
    <t>ADD: 07/1-31/2024</t>
  </si>
  <si>
    <t>LESS: 10/09/2024 (half day)</t>
  </si>
  <si>
    <t>ADD: 10/1/2024-11/30/2024</t>
  </si>
  <si>
    <t>LESS: 12/26-27/2024</t>
  </si>
  <si>
    <t>LESS: 12/18 &amp; 23/2024</t>
  </si>
  <si>
    <t>ADD: 12/1-31/2024</t>
  </si>
  <si>
    <t>ADD: 01/1-31/2025</t>
  </si>
  <si>
    <t>LESS: 02/6/2025</t>
  </si>
  <si>
    <t>ADD: 02/1-28/2025</t>
  </si>
  <si>
    <t>LESS: 03/10/2025</t>
  </si>
  <si>
    <t>LESS: 03/14/2025</t>
  </si>
  <si>
    <t>ADD: 02/5/2025</t>
  </si>
  <si>
    <t>SO # 002, S. 2025 RIZAL DAY 2024 CELEBRATION</t>
  </si>
  <si>
    <t>ADD: 03/1-31/2025</t>
  </si>
  <si>
    <t>LESS: 07/16-17/2025</t>
  </si>
  <si>
    <t>LESS: 04/8/2025 (PM) UNDERTIME</t>
  </si>
  <si>
    <t>LESS: 04/24/2025</t>
  </si>
  <si>
    <t>ADD: 04/1-30/2025</t>
  </si>
  <si>
    <t>LESS: 05/26-27/2025</t>
  </si>
  <si>
    <t>LESS: 05/28/2025</t>
  </si>
  <si>
    <t>ADD: 05/1-31/2025</t>
  </si>
  <si>
    <t>LESS: 05/22-23/2025</t>
  </si>
  <si>
    <t>LWOP</t>
  </si>
  <si>
    <t>6 DAYS</t>
  </si>
  <si>
    <t>ADD: AUGUST 2024 (24 DAYS)</t>
  </si>
  <si>
    <t>ADD: 09/1-30/2024</t>
  </si>
  <si>
    <r>
      <t xml:space="preserve">LESS: 08/13-16, 20, 22/2024                    </t>
    </r>
    <r>
      <rPr>
        <b/>
        <sz val="11"/>
        <color theme="1"/>
        <rFont val="Calibri"/>
        <family val="2"/>
        <scheme val="minor"/>
      </rPr>
      <t>LEAVE W/O PAY</t>
    </r>
  </si>
  <si>
    <t>LESS: 05/29-30/2025</t>
  </si>
  <si>
    <t>LESS: 08/5/2025</t>
  </si>
  <si>
    <t>ADD: 06/1/2025-07/31/2025</t>
  </si>
  <si>
    <t>LESS: 08/14-15/2025</t>
  </si>
  <si>
    <t>ADD: 08/1-31/2025</t>
  </si>
  <si>
    <t>NEGROS ISLAND REGION</t>
  </si>
  <si>
    <t>LESS: 08/22/2025</t>
  </si>
  <si>
    <t>LESS: 09/15, 17-19/2025</t>
  </si>
  <si>
    <t>ADD: 09/1-30/2025</t>
  </si>
  <si>
    <t>LESS: 10/10/2025</t>
  </si>
  <si>
    <t>ADD: 07/01/2025</t>
  </si>
  <si>
    <t>SO # 044, S. 2025 127th PHIL. INDEPENCE DAY</t>
  </si>
  <si>
    <t>LESS: 10/27/2025</t>
  </si>
  <si>
    <t>NAME         : CANILLO, ANGEILY</t>
  </si>
  <si>
    <t>POSITION   : AO II</t>
  </si>
  <si>
    <t>ADD: 10/1/2025-11/30/2025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</si>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</sst>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8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4" fontId="0" fillId="2" borderId="28" xfId="0" applyNumberForma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71885</xdr:colOff>
      <xdr:row>0</xdr:row>
      <xdr:rowOff>25040</xdr:rowOff>
    </xdr:from>
    <xdr:to>
      <xdr:col>4</xdr:col>
      <xdr:colOff>670596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399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CANILLO, ANGIELY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5</xdr:col>
      <xdr:colOff>374409</xdr:colOff>
      <xdr:row>46</xdr:row>
      <xdr:rowOff>179715</xdr:rowOff>
    </xdr:from>
    <xdr:to>
      <xdr:col>10</xdr:col>
      <xdr:colOff>699000</xdr:colOff>
      <xdr:row>51</xdr:row>
      <xdr:rowOff>161745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900706" y="4636696"/>
          <a:ext cx="3415723" cy="9614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458901</xdr:colOff>
      <xdr:row>19</xdr:row>
      <xdr:rowOff>124505</xdr:rowOff>
    </xdr:from>
    <xdr:to>
      <xdr:col>11</xdr:col>
      <xdr:colOff>278266</xdr:colOff>
      <xdr:row>21</xdr:row>
      <xdr:rowOff>38780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5595597" y="391749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view="pageBreakPreview" topLeftCell="A24" zoomScale="106" zoomScaleNormal="100" zoomScaleSheetLayoutView="106" workbookViewId="0">
      <selection activeCell="A45" sqref="A45:XFD45"/>
    </sheetView>
  </sheetViews>
  <sheetFormatPr defaultRowHeight="15" x14ac:dyDescent="0.25"/>
  <cols>
    <col min="1" max="1" width="36.5703125" customWidth="1"/>
    <col min="2" max="5" width="11.5703125" customWidth="1"/>
    <col min="6" max="8" width="11.5703125" style="33" customWidth="1"/>
    <col min="9" max="11" width="11.5703125" customWidth="1"/>
    <col min="12" max="12" width="26.42578125" style="30" customWidth="1"/>
  </cols>
  <sheetData>
    <row r="1" spans="1:12" s="1" customFormat="1" ht="52.5" customHeight="1" x14ac:dyDescent="0.25"/>
    <row r="2" spans="1:12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2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2" s="1" customFormat="1" ht="15.95" customHeight="1" x14ac:dyDescent="0.25">
      <c r="A4" s="59" t="s">
        <v>76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2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2" s="1" customFormat="1" ht="8.25" customHeight="1" x14ac:dyDescent="0.25"/>
    <row r="7" spans="1:12" s="1" customFormat="1" ht="12" customHeight="1" x14ac:dyDescent="0.25">
      <c r="A7" s="1" t="s">
        <v>32</v>
      </c>
      <c r="B7" s="58" t="s">
        <v>33</v>
      </c>
      <c r="C7" s="58"/>
      <c r="D7" s="58"/>
      <c r="I7" s="3" t="s">
        <v>34</v>
      </c>
      <c r="J7" s="25"/>
      <c r="K7" s="3"/>
    </row>
    <row r="8" spans="1:12" s="1" customFormat="1" ht="12" customHeight="1" x14ac:dyDescent="0.25">
      <c r="B8" s="2"/>
      <c r="C8" s="2"/>
      <c r="I8" s="2"/>
      <c r="J8" s="2"/>
      <c r="K8" s="2"/>
    </row>
    <row r="9" spans="1:12" s="1" customFormat="1" ht="12" customHeight="1" x14ac:dyDescent="0.25">
      <c r="A9" s="1" t="s">
        <v>35</v>
      </c>
      <c r="B9" s="58" t="s">
        <v>36</v>
      </c>
      <c r="C9" s="58"/>
      <c r="D9" s="58"/>
      <c r="I9" s="3" t="s">
        <v>37</v>
      </c>
      <c r="J9" s="26"/>
      <c r="K9" s="3"/>
    </row>
    <row r="10" spans="1:12" ht="23.25" customHeight="1" thickBot="1" x14ac:dyDescent="0.3">
      <c r="A10" s="61" t="s">
        <v>38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/>
    </row>
    <row r="11" spans="1:12" ht="18.75" customHeight="1" x14ac:dyDescent="0.25">
      <c r="A11" s="62" t="s">
        <v>0</v>
      </c>
      <c r="B11" s="64" t="s">
        <v>1</v>
      </c>
      <c r="C11" s="65"/>
      <c r="D11" s="70" t="s">
        <v>27</v>
      </c>
      <c r="E11" s="71"/>
      <c r="F11" s="71"/>
      <c r="G11" s="71"/>
      <c r="H11" s="72"/>
      <c r="I11" s="66" t="s">
        <v>28</v>
      </c>
      <c r="J11" s="67"/>
      <c r="K11" s="68" t="s">
        <v>2</v>
      </c>
      <c r="L11" s="60" t="s">
        <v>39</v>
      </c>
    </row>
    <row r="12" spans="1:12" ht="15.75" thickBot="1" x14ac:dyDescent="0.3">
      <c r="A12" s="63"/>
      <c r="B12" s="27" t="s">
        <v>29</v>
      </c>
      <c r="C12" s="27" t="s">
        <v>30</v>
      </c>
      <c r="D12" s="27" t="s">
        <v>29</v>
      </c>
      <c r="E12" s="27" t="s">
        <v>30</v>
      </c>
      <c r="F12" s="27" t="s">
        <v>31</v>
      </c>
      <c r="G12" s="27" t="s">
        <v>40</v>
      </c>
      <c r="H12" s="27" t="s">
        <v>66</v>
      </c>
      <c r="I12" s="27" t="s">
        <v>29</v>
      </c>
      <c r="J12" s="27" t="s">
        <v>30</v>
      </c>
      <c r="K12" s="69"/>
      <c r="L12" s="60"/>
    </row>
    <row r="13" spans="1:12" x14ac:dyDescent="0.25">
      <c r="A13" s="47" t="s">
        <v>43</v>
      </c>
      <c r="B13" s="48"/>
      <c r="C13" s="48"/>
      <c r="D13" s="48"/>
      <c r="E13" s="48"/>
      <c r="F13" s="48"/>
      <c r="G13" s="49"/>
      <c r="H13" s="49"/>
      <c r="I13" s="49"/>
      <c r="J13" s="49"/>
      <c r="K13" s="50"/>
      <c r="L13" s="34"/>
    </row>
    <row r="14" spans="1:12" ht="18.75" customHeight="1" x14ac:dyDescent="0.25">
      <c r="A14" s="12" t="s">
        <v>44</v>
      </c>
      <c r="B14" s="11">
        <v>1.25</v>
      </c>
      <c r="C14" s="13">
        <v>1.25</v>
      </c>
      <c r="D14" s="13"/>
      <c r="E14" s="11"/>
      <c r="F14" s="11"/>
      <c r="G14" s="23"/>
      <c r="H14" s="23"/>
      <c r="I14" s="28">
        <f>B14</f>
        <v>1.25</v>
      </c>
      <c r="J14" s="28">
        <f>C14</f>
        <v>1.25</v>
      </c>
      <c r="K14" s="29">
        <f>SUM(I14:J14)</f>
        <v>2.5</v>
      </c>
    </row>
    <row r="15" spans="1:12" ht="33.75" customHeight="1" x14ac:dyDescent="0.25">
      <c r="A15" s="15" t="s">
        <v>70</v>
      </c>
      <c r="B15" s="11"/>
      <c r="C15" s="13"/>
      <c r="D15" s="13"/>
      <c r="E15" s="11"/>
      <c r="F15" s="11"/>
      <c r="G15" s="39"/>
      <c r="H15" s="53" t="s">
        <v>67</v>
      </c>
      <c r="I15" s="31">
        <f>I14-F15-D15+B15</f>
        <v>1.25</v>
      </c>
      <c r="J15" s="31">
        <f>J14-E15+C15</f>
        <v>1.25</v>
      </c>
      <c r="K15" s="32">
        <f>SUM(I15:J15)</f>
        <v>2.5</v>
      </c>
    </row>
    <row r="16" spans="1:12" ht="29.25" customHeight="1" x14ac:dyDescent="0.25">
      <c r="A16" s="15" t="s">
        <v>68</v>
      </c>
      <c r="B16" s="51">
        <v>1</v>
      </c>
      <c r="C16" s="52">
        <v>1</v>
      </c>
      <c r="D16" s="13"/>
      <c r="E16" s="11"/>
      <c r="F16" s="11"/>
      <c r="G16" s="11"/>
      <c r="H16" s="11"/>
      <c r="I16" s="31">
        <f t="shared" ref="I16:I34" si="0">I15-F16-D16+B16</f>
        <v>2.25</v>
      </c>
      <c r="J16" s="31">
        <f t="shared" ref="J16:J34" si="1">J15-E16+C16</f>
        <v>2.25</v>
      </c>
      <c r="K16" s="32">
        <f t="shared" ref="K16:K34" si="2">SUM(I16:J16)</f>
        <v>4.5</v>
      </c>
    </row>
    <row r="17" spans="1:11" ht="21" customHeight="1" x14ac:dyDescent="0.25">
      <c r="A17" s="15" t="s">
        <v>69</v>
      </c>
      <c r="B17" s="11">
        <v>1.25</v>
      </c>
      <c r="C17" s="13">
        <v>1.25</v>
      </c>
      <c r="D17" s="13"/>
      <c r="E17" s="11"/>
      <c r="F17" s="11"/>
      <c r="G17" s="11"/>
      <c r="H17" s="11"/>
      <c r="I17" s="31">
        <f t="shared" si="0"/>
        <v>3.5</v>
      </c>
      <c r="J17" s="31">
        <f t="shared" si="1"/>
        <v>3.5</v>
      </c>
      <c r="K17" s="32">
        <f t="shared" si="2"/>
        <v>7</v>
      </c>
    </row>
    <row r="18" spans="1:11" ht="20.25" customHeight="1" x14ac:dyDescent="0.25">
      <c r="A18" s="13" t="s">
        <v>45</v>
      </c>
      <c r="B18" s="11"/>
      <c r="C18" s="13"/>
      <c r="D18" s="13">
        <v>0.5</v>
      </c>
      <c r="E18" s="11"/>
      <c r="F18" s="11"/>
      <c r="G18" s="11"/>
      <c r="H18" s="11"/>
      <c r="I18" s="31">
        <f t="shared" si="0"/>
        <v>3</v>
      </c>
      <c r="J18" s="31">
        <f t="shared" si="1"/>
        <v>3.5</v>
      </c>
      <c r="K18" s="32">
        <f t="shared" si="2"/>
        <v>6.5</v>
      </c>
    </row>
    <row r="19" spans="1:11" ht="20.25" customHeight="1" x14ac:dyDescent="0.25">
      <c r="A19" s="13" t="s">
        <v>46</v>
      </c>
      <c r="B19" s="11">
        <v>2.5</v>
      </c>
      <c r="C19" s="13">
        <v>2.5</v>
      </c>
      <c r="D19" s="13"/>
      <c r="E19" s="11"/>
      <c r="F19" s="11"/>
      <c r="G19" s="11"/>
      <c r="H19" s="11"/>
      <c r="I19" s="31">
        <f t="shared" si="0"/>
        <v>5.5</v>
      </c>
      <c r="J19" s="31">
        <f t="shared" si="1"/>
        <v>6</v>
      </c>
      <c r="K19" s="32">
        <f t="shared" si="2"/>
        <v>11.5</v>
      </c>
    </row>
    <row r="20" spans="1:11" ht="20.25" customHeight="1" x14ac:dyDescent="0.25">
      <c r="A20" s="13" t="s">
        <v>48</v>
      </c>
      <c r="B20" s="11"/>
      <c r="C20" s="13"/>
      <c r="D20" s="13"/>
      <c r="E20" s="11">
        <v>2</v>
      </c>
      <c r="F20" s="11"/>
      <c r="G20" s="11"/>
      <c r="H20" s="11"/>
      <c r="I20" s="31">
        <f t="shared" si="0"/>
        <v>5.5</v>
      </c>
      <c r="J20" s="31">
        <f t="shared" si="1"/>
        <v>4</v>
      </c>
      <c r="K20" s="32">
        <f t="shared" si="2"/>
        <v>9.5</v>
      </c>
    </row>
    <row r="21" spans="1:11" ht="20.25" customHeight="1" x14ac:dyDescent="0.25">
      <c r="A21" s="13" t="s">
        <v>47</v>
      </c>
      <c r="B21" s="11"/>
      <c r="C21" s="13"/>
      <c r="D21" s="13">
        <v>1.5</v>
      </c>
      <c r="E21" s="11"/>
      <c r="F21" s="11"/>
      <c r="G21" s="11"/>
      <c r="H21" s="11"/>
      <c r="I21" s="31">
        <f t="shared" si="0"/>
        <v>4</v>
      </c>
      <c r="J21" s="31">
        <f t="shared" si="1"/>
        <v>4</v>
      </c>
      <c r="K21" s="32">
        <f t="shared" si="2"/>
        <v>8</v>
      </c>
    </row>
    <row r="22" spans="1:11" ht="20.25" customHeight="1" x14ac:dyDescent="0.25">
      <c r="A22" s="13" t="s">
        <v>49</v>
      </c>
      <c r="B22" s="11">
        <v>1.25</v>
      </c>
      <c r="C22" s="13">
        <v>1.25</v>
      </c>
      <c r="D22" s="13"/>
      <c r="E22" s="11"/>
      <c r="F22" s="11"/>
      <c r="G22" s="11"/>
      <c r="H22" s="11"/>
      <c r="I22" s="31">
        <f t="shared" si="0"/>
        <v>5.25</v>
      </c>
      <c r="J22" s="31">
        <f t="shared" si="1"/>
        <v>5.25</v>
      </c>
      <c r="K22" s="32">
        <f t="shared" si="2"/>
        <v>10.5</v>
      </c>
    </row>
    <row r="23" spans="1:11" ht="20.25" customHeight="1" x14ac:dyDescent="0.25">
      <c r="A23" s="13" t="s">
        <v>50</v>
      </c>
      <c r="B23" s="11">
        <v>1.25</v>
      </c>
      <c r="C23" s="13">
        <v>1.25</v>
      </c>
      <c r="D23" s="13"/>
      <c r="E23" s="11"/>
      <c r="F23" s="11"/>
      <c r="G23" s="11"/>
      <c r="H23" s="11"/>
      <c r="I23" s="31">
        <f t="shared" si="0"/>
        <v>6.5</v>
      </c>
      <c r="J23" s="31">
        <f t="shared" si="1"/>
        <v>6.5</v>
      </c>
      <c r="K23" s="32">
        <f t="shared" si="2"/>
        <v>13</v>
      </c>
    </row>
    <row r="24" spans="1:11" ht="20.25" customHeight="1" x14ac:dyDescent="0.25">
      <c r="A24" s="13" t="s">
        <v>51</v>
      </c>
      <c r="B24" s="11"/>
      <c r="C24" s="13"/>
      <c r="D24" s="13"/>
      <c r="E24" s="11">
        <v>1</v>
      </c>
      <c r="F24" s="11"/>
      <c r="G24" s="11"/>
      <c r="H24" s="11"/>
      <c r="I24" s="31">
        <f t="shared" si="0"/>
        <v>6.5</v>
      </c>
      <c r="J24" s="31">
        <f t="shared" si="1"/>
        <v>5.5</v>
      </c>
      <c r="K24" s="32">
        <f t="shared" si="2"/>
        <v>12</v>
      </c>
    </row>
    <row r="25" spans="1:11" ht="20.25" customHeight="1" x14ac:dyDescent="0.25">
      <c r="A25" s="13" t="s">
        <v>52</v>
      </c>
      <c r="B25" s="11">
        <v>1.25</v>
      </c>
      <c r="C25" s="13">
        <v>1.25</v>
      </c>
      <c r="D25" s="13"/>
      <c r="E25" s="11"/>
      <c r="F25" s="11"/>
      <c r="G25" s="11"/>
      <c r="H25" s="11"/>
      <c r="I25" s="31">
        <f t="shared" si="0"/>
        <v>7.75</v>
      </c>
      <c r="J25" s="31">
        <f t="shared" si="1"/>
        <v>6.75</v>
      </c>
      <c r="K25" s="32">
        <f t="shared" si="2"/>
        <v>14.5</v>
      </c>
    </row>
    <row r="26" spans="1:11" ht="20.25" customHeight="1" x14ac:dyDescent="0.25">
      <c r="A26" s="13" t="s">
        <v>53</v>
      </c>
      <c r="B26" s="11"/>
      <c r="C26" s="13"/>
      <c r="D26" s="13"/>
      <c r="E26" s="11">
        <v>1</v>
      </c>
      <c r="F26" s="11"/>
      <c r="G26" s="11"/>
      <c r="H26" s="11"/>
      <c r="I26" s="31">
        <f t="shared" si="0"/>
        <v>7.75</v>
      </c>
      <c r="J26" s="31">
        <f t="shared" si="1"/>
        <v>5.75</v>
      </c>
      <c r="K26" s="32">
        <f t="shared" si="2"/>
        <v>13.5</v>
      </c>
    </row>
    <row r="27" spans="1:11" ht="20.25" customHeight="1" x14ac:dyDescent="0.25">
      <c r="A27" s="13" t="s">
        <v>54</v>
      </c>
      <c r="B27" s="11"/>
      <c r="C27" s="13"/>
      <c r="D27" s="13"/>
      <c r="E27" s="11">
        <v>1</v>
      </c>
      <c r="F27" s="11"/>
      <c r="G27" s="11"/>
      <c r="H27" s="11"/>
      <c r="I27" s="31">
        <f t="shared" si="0"/>
        <v>7.75</v>
      </c>
      <c r="J27" s="31">
        <f t="shared" si="1"/>
        <v>4.75</v>
      </c>
      <c r="K27" s="32">
        <f t="shared" si="2"/>
        <v>12.5</v>
      </c>
    </row>
    <row r="28" spans="1:11" ht="20.25" customHeight="1" x14ac:dyDescent="0.25">
      <c r="A28" s="13" t="s">
        <v>57</v>
      </c>
      <c r="B28" s="11">
        <v>1.25</v>
      </c>
      <c r="C28" s="13">
        <v>1.25</v>
      </c>
      <c r="D28" s="13"/>
      <c r="E28" s="11"/>
      <c r="F28" s="11"/>
      <c r="G28" s="11"/>
      <c r="H28" s="11"/>
      <c r="I28" s="31">
        <f t="shared" si="0"/>
        <v>9</v>
      </c>
      <c r="J28" s="31">
        <f t="shared" si="1"/>
        <v>6</v>
      </c>
      <c r="K28" s="32">
        <f t="shared" si="2"/>
        <v>15</v>
      </c>
    </row>
    <row r="29" spans="1:11" ht="20.25" customHeight="1" x14ac:dyDescent="0.25">
      <c r="A29" s="13" t="s">
        <v>59</v>
      </c>
      <c r="B29" s="11"/>
      <c r="C29" s="13"/>
      <c r="D29" s="13">
        <v>0.5</v>
      </c>
      <c r="E29" s="11"/>
      <c r="F29" s="11"/>
      <c r="G29" s="11"/>
      <c r="H29" s="11"/>
      <c r="I29" s="31">
        <f t="shared" si="0"/>
        <v>8.5</v>
      </c>
      <c r="J29" s="31">
        <f t="shared" si="1"/>
        <v>6</v>
      </c>
      <c r="K29" s="32">
        <f t="shared" si="2"/>
        <v>14.5</v>
      </c>
    </row>
    <row r="30" spans="1:11" ht="20.25" customHeight="1" x14ac:dyDescent="0.25">
      <c r="A30" s="13" t="s">
        <v>58</v>
      </c>
      <c r="B30" s="11"/>
      <c r="C30" s="13"/>
      <c r="D30" s="13"/>
      <c r="E30" s="11"/>
      <c r="F30" s="43">
        <v>2</v>
      </c>
      <c r="G30" s="11"/>
      <c r="H30" s="11"/>
      <c r="I30" s="31">
        <f t="shared" si="0"/>
        <v>6.5</v>
      </c>
      <c r="J30" s="31">
        <f t="shared" si="1"/>
        <v>6</v>
      </c>
      <c r="K30" s="32">
        <f t="shared" si="2"/>
        <v>12.5</v>
      </c>
    </row>
    <row r="31" spans="1:11" ht="20.25" customHeight="1" x14ac:dyDescent="0.25">
      <c r="A31" s="44" t="s">
        <v>72</v>
      </c>
      <c r="B31" s="39"/>
      <c r="C31" s="44"/>
      <c r="D31" s="44"/>
      <c r="E31" s="39"/>
      <c r="F31" s="39"/>
      <c r="G31" s="45">
        <v>1</v>
      </c>
      <c r="H31" s="39"/>
      <c r="I31" s="31">
        <f t="shared" si="0"/>
        <v>6.5</v>
      </c>
      <c r="J31" s="31">
        <f t="shared" si="1"/>
        <v>6</v>
      </c>
      <c r="K31" s="32">
        <f t="shared" si="2"/>
        <v>12.5</v>
      </c>
    </row>
    <row r="32" spans="1:11" ht="20.25" customHeight="1" x14ac:dyDescent="0.25">
      <c r="A32" s="44" t="s">
        <v>60</v>
      </c>
      <c r="B32" s="39"/>
      <c r="C32" s="44"/>
      <c r="D32" s="44"/>
      <c r="E32" s="39">
        <v>1</v>
      </c>
      <c r="F32" s="39"/>
      <c r="G32" s="39"/>
      <c r="H32" s="39"/>
      <c r="I32" s="31">
        <f t="shared" si="0"/>
        <v>6.5</v>
      </c>
      <c r="J32" s="31">
        <f t="shared" si="1"/>
        <v>5</v>
      </c>
      <c r="K32" s="32">
        <f t="shared" si="2"/>
        <v>11.5</v>
      </c>
    </row>
    <row r="33" spans="1:11" ht="20.25" customHeight="1" x14ac:dyDescent="0.25">
      <c r="A33" s="44" t="s">
        <v>61</v>
      </c>
      <c r="B33" s="39">
        <v>1.25</v>
      </c>
      <c r="C33" s="44">
        <v>1.25</v>
      </c>
      <c r="D33" s="44"/>
      <c r="E33" s="39"/>
      <c r="F33" s="39"/>
      <c r="G33" s="39"/>
      <c r="H33" s="39"/>
      <c r="I33" s="31">
        <f t="shared" si="0"/>
        <v>7.75</v>
      </c>
      <c r="J33" s="31">
        <f t="shared" si="1"/>
        <v>6.25</v>
      </c>
      <c r="K33" s="32">
        <f t="shared" si="2"/>
        <v>14</v>
      </c>
    </row>
    <row r="34" spans="1:11" ht="20.25" customHeight="1" x14ac:dyDescent="0.25">
      <c r="A34" s="44" t="s">
        <v>62</v>
      </c>
      <c r="B34" s="39"/>
      <c r="C34" s="44"/>
      <c r="D34" s="44"/>
      <c r="E34" s="39"/>
      <c r="F34" s="43">
        <v>2</v>
      </c>
      <c r="G34" s="39"/>
      <c r="H34" s="39"/>
      <c r="I34" s="31">
        <f t="shared" si="0"/>
        <v>5.75</v>
      </c>
      <c r="J34" s="31">
        <f t="shared" si="1"/>
        <v>6.25</v>
      </c>
      <c r="K34" s="32">
        <f t="shared" si="2"/>
        <v>12</v>
      </c>
    </row>
    <row r="35" spans="1:11" ht="20.25" customHeight="1" x14ac:dyDescent="0.25">
      <c r="A35" s="44" t="s">
        <v>71</v>
      </c>
      <c r="B35" s="39"/>
      <c r="C35" s="44"/>
      <c r="D35" s="44">
        <v>2</v>
      </c>
      <c r="E35" s="39"/>
      <c r="F35" s="39"/>
      <c r="G35" s="39"/>
      <c r="H35" s="39"/>
      <c r="I35" s="31">
        <f t="shared" ref="I35:I37" si="3">I34-F35-D35+B35</f>
        <v>3.75</v>
      </c>
      <c r="J35" s="31">
        <f t="shared" ref="J35:J37" si="4">J34-E35+C35</f>
        <v>6.25</v>
      </c>
      <c r="K35" s="32">
        <f t="shared" ref="K35:K37" si="5">SUM(I35:J35)</f>
        <v>10</v>
      </c>
    </row>
    <row r="36" spans="1:11" ht="20.25" customHeight="1" x14ac:dyDescent="0.25">
      <c r="A36" s="44" t="s">
        <v>64</v>
      </c>
      <c r="B36" s="39">
        <v>1.25</v>
      </c>
      <c r="C36" s="44">
        <v>1.25</v>
      </c>
      <c r="D36" s="44"/>
      <c r="E36" s="39"/>
      <c r="F36" s="39"/>
      <c r="G36" s="39"/>
      <c r="H36" s="39"/>
      <c r="I36" s="31">
        <f t="shared" si="3"/>
        <v>5</v>
      </c>
      <c r="J36" s="31">
        <f t="shared" si="4"/>
        <v>7.5</v>
      </c>
      <c r="K36" s="32">
        <f t="shared" si="5"/>
        <v>12.5</v>
      </c>
    </row>
    <row r="37" spans="1:11" ht="20.25" customHeight="1" x14ac:dyDescent="0.25">
      <c r="A37" s="44" t="s">
        <v>65</v>
      </c>
      <c r="B37" s="39"/>
      <c r="C37" s="44"/>
      <c r="D37" s="44"/>
      <c r="E37" s="39">
        <v>2</v>
      </c>
      <c r="F37" s="39"/>
      <c r="G37" s="39"/>
      <c r="H37" s="39"/>
      <c r="I37" s="31">
        <f t="shared" si="3"/>
        <v>5</v>
      </c>
      <c r="J37" s="31">
        <f t="shared" si="4"/>
        <v>5.5</v>
      </c>
      <c r="K37" s="32">
        <f t="shared" si="5"/>
        <v>10.5</v>
      </c>
    </row>
    <row r="38" spans="1:11" ht="20.25" customHeight="1" x14ac:dyDescent="0.25">
      <c r="A38" s="44" t="s">
        <v>73</v>
      </c>
      <c r="B38" s="39">
        <v>2.5</v>
      </c>
      <c r="C38" s="44">
        <v>2.5</v>
      </c>
      <c r="D38" s="44"/>
      <c r="E38" s="39"/>
      <c r="F38" s="39"/>
      <c r="G38" s="39"/>
      <c r="H38" s="39"/>
      <c r="I38" s="31">
        <f t="shared" ref="I38:I39" si="6">I37-F38-D38+B38</f>
        <v>7.5</v>
      </c>
      <c r="J38" s="31">
        <f t="shared" ref="J38:J39" si="7">J37-E38+C38</f>
        <v>8</v>
      </c>
      <c r="K38" s="32">
        <f t="shared" ref="K38:K39" si="8">SUM(I38:J38)</f>
        <v>15.5</v>
      </c>
    </row>
    <row r="39" spans="1:11" ht="20.25" customHeight="1" x14ac:dyDescent="0.25">
      <c r="A39" s="44" t="s">
        <v>74</v>
      </c>
      <c r="B39" s="39"/>
      <c r="C39" s="44"/>
      <c r="D39" s="44"/>
      <c r="E39" s="39"/>
      <c r="F39" s="39"/>
      <c r="G39" s="45">
        <v>2</v>
      </c>
      <c r="H39" s="39"/>
      <c r="I39" s="31">
        <f t="shared" si="6"/>
        <v>7.5</v>
      </c>
      <c r="J39" s="31">
        <f t="shared" si="7"/>
        <v>8</v>
      </c>
      <c r="K39" s="32">
        <f t="shared" si="8"/>
        <v>15.5</v>
      </c>
    </row>
    <row r="40" spans="1:11" ht="20.25" customHeight="1" x14ac:dyDescent="0.25">
      <c r="A40" s="44" t="s">
        <v>75</v>
      </c>
      <c r="B40" s="39">
        <v>1.25</v>
      </c>
      <c r="C40" s="44">
        <v>1.25</v>
      </c>
      <c r="E40" s="39"/>
      <c r="F40" s="39"/>
      <c r="G40" s="39"/>
      <c r="H40" s="39"/>
      <c r="I40" s="31">
        <f t="shared" ref="I40:I41" si="9">I39-F40-D40+B40</f>
        <v>8.75</v>
      </c>
      <c r="J40" s="31">
        <f t="shared" ref="J40:J41" si="10">J39-E40+C40</f>
        <v>9.25</v>
      </c>
      <c r="K40" s="32">
        <f t="shared" ref="K40:K41" si="11">SUM(I40:J40)</f>
        <v>18</v>
      </c>
    </row>
    <row r="41" spans="1:11" ht="20.25" customHeight="1" x14ac:dyDescent="0.25">
      <c r="A41" s="44" t="s">
        <v>77</v>
      </c>
      <c r="B41" s="39"/>
      <c r="C41" s="44"/>
      <c r="D41" s="44"/>
      <c r="E41" s="39">
        <v>1</v>
      </c>
      <c r="F41" s="39"/>
      <c r="G41" s="39"/>
      <c r="H41" s="39"/>
      <c r="I41" s="31">
        <f t="shared" si="9"/>
        <v>8.75</v>
      </c>
      <c r="J41" s="31">
        <f t="shared" si="10"/>
        <v>8.25</v>
      </c>
      <c r="K41" s="32">
        <f t="shared" si="11"/>
        <v>17</v>
      </c>
    </row>
    <row r="42" spans="1:11" ht="20.25" customHeight="1" x14ac:dyDescent="0.25">
      <c r="A42" s="54" t="s">
        <v>78</v>
      </c>
      <c r="B42" s="55"/>
      <c r="C42" s="54"/>
      <c r="D42" s="54"/>
      <c r="E42" s="55">
        <v>4</v>
      </c>
      <c r="F42" s="55"/>
      <c r="G42" s="55"/>
      <c r="H42" s="55"/>
      <c r="I42" s="56">
        <f t="shared" ref="I42" si="12">I41-F42-D42+B42</f>
        <v>8.75</v>
      </c>
      <c r="J42" s="56">
        <f t="shared" ref="J42" si="13">J41-E42+C42</f>
        <v>4.25</v>
      </c>
      <c r="K42" s="57">
        <f t="shared" ref="K42" si="14">SUM(I42:J42)</f>
        <v>13</v>
      </c>
    </row>
    <row r="43" spans="1:11" ht="20.25" customHeight="1" x14ac:dyDescent="0.25">
      <c r="A43" s="44" t="s">
        <v>79</v>
      </c>
      <c r="B43" s="39">
        <v>1.25</v>
      </c>
      <c r="C43" s="44">
        <v>1.25</v>
      </c>
      <c r="D43" s="44"/>
      <c r="E43" s="39"/>
      <c r="F43" s="39"/>
      <c r="G43" s="39"/>
      <c r="H43" s="39"/>
      <c r="I43" s="56">
        <f t="shared" ref="I43:I44" si="15">I42-F43-D43+B43</f>
        <v>10</v>
      </c>
      <c r="J43" s="56">
        <f t="shared" ref="J43:J44" si="16">J42-E43+C43</f>
        <v>5.5</v>
      </c>
      <c r="K43" s="57">
        <f t="shared" ref="K43:K44" si="17">SUM(I43:J43)</f>
        <v>15.5</v>
      </c>
    </row>
    <row r="44" spans="1:11" ht="20.25" customHeight="1" x14ac:dyDescent="0.25">
      <c r="A44" s="44" t="s">
        <v>80</v>
      </c>
      <c r="B44" s="39"/>
      <c r="C44" s="44"/>
      <c r="D44" s="44"/>
      <c r="E44" s="39">
        <v>1</v>
      </c>
      <c r="F44" s="39"/>
      <c r="G44" s="39"/>
      <c r="H44" s="39"/>
      <c r="I44" s="31">
        <f t="shared" si="15"/>
        <v>10</v>
      </c>
      <c r="J44" s="31">
        <f t="shared" si="16"/>
        <v>4.5</v>
      </c>
      <c r="K44" s="31">
        <f t="shared" si="17"/>
        <v>14.5</v>
      </c>
    </row>
    <row r="45" spans="1:11" ht="20.25" customHeight="1" x14ac:dyDescent="0.25">
      <c r="A45" s="44" t="s">
        <v>86</v>
      </c>
      <c r="B45" s="39">
        <v>2.5</v>
      </c>
      <c r="C45" s="44">
        <v>2.5</v>
      </c>
      <c r="D45" s="44"/>
      <c r="E45" s="39"/>
      <c r="F45" s="39"/>
      <c r="G45" s="39"/>
      <c r="H45" s="39"/>
      <c r="I45" s="31">
        <f t="shared" ref="I45:I46" si="18">I44-F45-D45+B45</f>
        <v>12.5</v>
      </c>
      <c r="J45" s="31">
        <f t="shared" ref="J45:J46" si="19">J44-E45+C45</f>
        <v>7</v>
      </c>
      <c r="K45" s="31">
        <f t="shared" ref="K45:K46" si="20">SUM(I45:J45)</f>
        <v>19.5</v>
      </c>
    </row>
    <row r="46" spans="1:11" ht="20.25" customHeight="1" x14ac:dyDescent="0.25">
      <c r="A46" s="44" t="s">
        <v>87</v>
      </c>
      <c r="B46" s="39"/>
      <c r="C46" s="44"/>
      <c r="D46" s="44"/>
      <c r="E46" s="39"/>
      <c r="F46" s="43">
        <v>1</v>
      </c>
      <c r="G46" s="39"/>
      <c r="H46" s="39"/>
      <c r="I46" s="31">
        <f t="shared" si="18"/>
        <v>11.5</v>
      </c>
      <c r="J46" s="31">
        <f t="shared" si="19"/>
        <v>7</v>
      </c>
      <c r="K46" s="31">
        <f t="shared" si="20"/>
        <v>18.5</v>
      </c>
    </row>
    <row r="47" spans="1:11" ht="18" customHeight="1" x14ac:dyDescent="0.25"/>
    <row r="50" spans="6:6" x14ac:dyDescent="0.25">
      <c r="F50" s="33" t="s">
        <v>41</v>
      </c>
    </row>
  </sheetData>
  <mergeCells count="13">
    <mergeCell ref="L11:L12"/>
    <mergeCell ref="A10:K10"/>
    <mergeCell ref="A11:A12"/>
    <mergeCell ref="B11:C11"/>
    <mergeCell ref="I11:J11"/>
    <mergeCell ref="K11:K12"/>
    <mergeCell ref="D11:H11"/>
    <mergeCell ref="B9:D9"/>
    <mergeCell ref="A2:K2"/>
    <mergeCell ref="A3:K3"/>
    <mergeCell ref="A4:K4"/>
    <mergeCell ref="A5:K5"/>
    <mergeCell ref="B7:D7"/>
  </mergeCells>
  <printOptions horizontalCentered="1"/>
  <pageMargins left="0.25" right="0.25" top="0.25" bottom="0.25" header="0.3" footer="0.3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2"/>
  <sheetViews>
    <sheetView tabSelected="1" view="pageBreakPreview" zoomScale="112" zoomScaleNormal="100" zoomScaleSheetLayoutView="112" workbookViewId="0">
      <selection activeCell="B17" sqref="B17:E17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0" customWidth="1"/>
    <col min="5" max="5" width="8.42578125" style="16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6" customWidth="1"/>
    <col min="10" max="10" width="10" style="17" customWidth="1"/>
    <col min="11" max="11" width="8.7109375" style="18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" customFormat="1" ht="15.95" customHeight="1" x14ac:dyDescent="0.25">
      <c r="A4" s="59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84</v>
      </c>
      <c r="B8" s="3"/>
      <c r="C8" s="58" t="s">
        <v>20</v>
      </c>
      <c r="D8" s="58"/>
      <c r="E8" s="58"/>
      <c r="F8" s="58"/>
      <c r="G8" s="58"/>
      <c r="I8" s="58" t="s">
        <v>22</v>
      </c>
      <c r="J8" s="58"/>
      <c r="K8" s="58"/>
      <c r="L8" s="3"/>
    </row>
    <row r="9" spans="1:12" s="1" customFormat="1" ht="12" customHeight="1" x14ac:dyDescent="0.25">
      <c r="B9" s="2"/>
      <c r="C9" s="58" t="s">
        <v>42</v>
      </c>
      <c r="D9" s="58"/>
      <c r="E9" s="58"/>
      <c r="F9" s="58"/>
      <c r="G9" s="58"/>
      <c r="I9" s="77" t="s">
        <v>21</v>
      </c>
      <c r="J9" s="77"/>
      <c r="K9" s="77"/>
      <c r="L9" s="2"/>
    </row>
    <row r="10" spans="1:12" s="1" customFormat="1" ht="12" customHeight="1" x14ac:dyDescent="0.25">
      <c r="A10" s="3" t="s">
        <v>85</v>
      </c>
      <c r="B10" s="3"/>
      <c r="C10" s="9"/>
      <c r="D10" s="2"/>
      <c r="E10" s="2"/>
      <c r="I10" s="58" t="s">
        <v>10</v>
      </c>
      <c r="J10" s="58"/>
      <c r="K10" s="58"/>
      <c r="L10" s="3"/>
    </row>
    <row r="11" spans="1:12" ht="16.5" customHeight="1" thickBot="1" x14ac:dyDescent="0.3">
      <c r="A11" s="61" t="s">
        <v>17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</row>
    <row r="12" spans="1:12" s="7" customFormat="1" ht="18.75" customHeight="1" x14ac:dyDescent="0.2">
      <c r="A12" s="78" t="s">
        <v>0</v>
      </c>
      <c r="B12" s="80" t="s">
        <v>1</v>
      </c>
      <c r="C12" s="81"/>
      <c r="D12" s="81"/>
      <c r="E12" s="81"/>
      <c r="F12" s="81"/>
      <c r="G12" s="81"/>
      <c r="H12" s="81"/>
      <c r="I12" s="81"/>
      <c r="J12" s="81"/>
      <c r="K12" s="81"/>
      <c r="L12" s="82" t="s">
        <v>2</v>
      </c>
    </row>
    <row r="13" spans="1:12" s="7" customFormat="1" ht="24" customHeight="1" x14ac:dyDescent="0.2">
      <c r="A13" s="79"/>
      <c r="B13" s="84" t="s">
        <v>25</v>
      </c>
      <c r="C13" s="85"/>
      <c r="D13" s="85"/>
      <c r="E13" s="86"/>
      <c r="F13" s="84" t="s">
        <v>14</v>
      </c>
      <c r="G13" s="86"/>
      <c r="H13" s="84" t="s">
        <v>15</v>
      </c>
      <c r="I13" s="86"/>
      <c r="J13" s="84" t="s">
        <v>13</v>
      </c>
      <c r="K13" s="86"/>
      <c r="L13" s="83"/>
    </row>
    <row r="14" spans="1:12" s="7" customFormat="1" ht="19.5" customHeight="1" x14ac:dyDescent="0.2">
      <c r="A14" s="35" t="s">
        <v>55</v>
      </c>
      <c r="B14" s="73" t="s">
        <v>56</v>
      </c>
      <c r="C14" s="76"/>
      <c r="D14" s="76"/>
      <c r="E14" s="74"/>
      <c r="F14" s="36">
        <v>1</v>
      </c>
      <c r="G14" s="37"/>
      <c r="H14" s="73">
        <v>0</v>
      </c>
      <c r="I14" s="74"/>
      <c r="J14" s="73">
        <v>1</v>
      </c>
      <c r="K14" s="74"/>
      <c r="L14" s="38">
        <v>1</v>
      </c>
    </row>
    <row r="15" spans="1:12" s="7" customFormat="1" ht="19.5" customHeight="1" x14ac:dyDescent="0.2">
      <c r="A15" s="35" t="s">
        <v>63</v>
      </c>
      <c r="B15" s="73" t="s">
        <v>56</v>
      </c>
      <c r="C15" s="76"/>
      <c r="D15" s="76"/>
      <c r="E15" s="74"/>
      <c r="F15" s="36"/>
      <c r="G15" s="37"/>
      <c r="H15" s="73">
        <v>1</v>
      </c>
      <c r="I15" s="74"/>
      <c r="J15" s="73">
        <v>0</v>
      </c>
      <c r="K15" s="74"/>
      <c r="L15" s="46">
        <v>0</v>
      </c>
    </row>
    <row r="16" spans="1:12" s="7" customFormat="1" ht="19.5" customHeight="1" x14ac:dyDescent="0.2">
      <c r="A16" s="35" t="s">
        <v>81</v>
      </c>
      <c r="B16" s="73" t="s">
        <v>82</v>
      </c>
      <c r="C16" s="76"/>
      <c r="D16" s="76"/>
      <c r="E16" s="74"/>
      <c r="F16" s="36">
        <v>1</v>
      </c>
      <c r="G16" s="37"/>
      <c r="H16" s="73">
        <v>0</v>
      </c>
      <c r="I16" s="74"/>
      <c r="J16" s="73">
        <v>1</v>
      </c>
      <c r="K16" s="74"/>
      <c r="L16" s="38">
        <v>1</v>
      </c>
    </row>
    <row r="17" spans="1:12" s="7" customFormat="1" ht="19.5" customHeight="1" x14ac:dyDescent="0.2">
      <c r="A17" s="35" t="s">
        <v>83</v>
      </c>
      <c r="B17" s="73" t="s">
        <v>82</v>
      </c>
      <c r="C17" s="76"/>
      <c r="D17" s="76"/>
      <c r="E17" s="74"/>
      <c r="F17" s="36"/>
      <c r="G17" s="37"/>
      <c r="H17" s="73">
        <v>1</v>
      </c>
      <c r="I17" s="74"/>
      <c r="J17" s="73">
        <v>0</v>
      </c>
      <c r="K17" s="74"/>
      <c r="L17" s="46">
        <v>0</v>
      </c>
    </row>
    <row r="18" spans="1:12" s="6" customFormat="1" ht="21" customHeight="1" x14ac:dyDescent="0.2">
      <c r="A18" s="40"/>
      <c r="B18" s="41"/>
      <c r="C18" s="41"/>
      <c r="D18" s="41"/>
      <c r="E18" s="41"/>
      <c r="F18" s="42"/>
      <c r="G18" s="42"/>
      <c r="H18" s="41"/>
      <c r="I18" s="41"/>
      <c r="J18" s="41"/>
      <c r="K18" s="41"/>
      <c r="L18" s="40"/>
    </row>
    <row r="19" spans="1:12" s="6" customFormat="1" x14ac:dyDescent="0.2">
      <c r="A19" s="20" t="s">
        <v>23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75.75" customHeight="1" x14ac:dyDescent="0.2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s="1" customFormat="1" x14ac:dyDescent="0.25">
      <c r="C21" s="5"/>
    </row>
    <row r="22" spans="1:12" s="1" customFormat="1" x14ac:dyDescent="0.25">
      <c r="C22" s="5"/>
    </row>
  </sheetData>
  <mergeCells count="30">
    <mergeCell ref="B16:E16"/>
    <mergeCell ref="H16:I16"/>
    <mergeCell ref="J16:K16"/>
    <mergeCell ref="B17:E17"/>
    <mergeCell ref="H17:I17"/>
    <mergeCell ref="J17:K17"/>
    <mergeCell ref="A20:L20"/>
    <mergeCell ref="H14:I14"/>
    <mergeCell ref="J14:K14"/>
    <mergeCell ref="B14:E14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5:E15"/>
    <mergeCell ref="H15:I15"/>
    <mergeCell ref="J15:K15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74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5" x14ac:dyDescent="0.25"/>
  <cols>
    <col min="1" max="1" width="21" customWidth="1"/>
    <col min="2" max="2" width="23.5703125" customWidth="1"/>
    <col min="3" max="3" width="8.140625" style="16" customWidth="1"/>
    <col min="4" max="4" width="6.28515625" style="10" customWidth="1"/>
    <col min="6" max="6" width="6.42578125" style="16" customWidth="1"/>
    <col min="7" max="7" width="9.42578125" style="17" customWidth="1"/>
    <col min="8" max="8" width="7" style="18" customWidth="1"/>
    <col min="9" max="9" width="8.140625" customWidth="1"/>
    <col min="10" max="10" width="6.7109375" style="16" customWidth="1"/>
    <col min="11" max="11" width="10" style="17" customWidth="1"/>
    <col min="12" max="12" width="10.28515625" style="18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s="1" customFormat="1" ht="15.95" customHeight="1" x14ac:dyDescent="0.25">
      <c r="A4" s="59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3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12</v>
      </c>
      <c r="B8" s="3"/>
      <c r="C8" s="3"/>
      <c r="D8" s="58" t="s">
        <v>11</v>
      </c>
      <c r="E8" s="58"/>
      <c r="F8" s="58"/>
      <c r="G8" s="58"/>
      <c r="H8" s="58"/>
      <c r="J8" s="58" t="s">
        <v>8</v>
      </c>
      <c r="K8" s="58"/>
      <c r="L8" s="58"/>
      <c r="M8" s="3"/>
    </row>
    <row r="9" spans="1:13" s="1" customFormat="1" ht="12" customHeight="1" x14ac:dyDescent="0.25">
      <c r="C9" s="2"/>
      <c r="D9" s="58" t="s">
        <v>16</v>
      </c>
      <c r="E9" s="58"/>
      <c r="F9" s="58"/>
      <c r="G9" s="58"/>
      <c r="H9" s="58"/>
      <c r="J9" s="77" t="s">
        <v>9</v>
      </c>
      <c r="K9" s="77"/>
      <c r="L9" s="77"/>
      <c r="M9" s="2"/>
    </row>
    <row r="10" spans="1:13" s="1" customFormat="1" ht="12" customHeight="1" x14ac:dyDescent="0.25">
      <c r="A10" s="3" t="s">
        <v>7</v>
      </c>
      <c r="B10" s="3"/>
      <c r="C10" s="3"/>
      <c r="D10" s="9"/>
      <c r="E10" s="2"/>
      <c r="F10" s="2"/>
      <c r="J10" s="58" t="s">
        <v>10</v>
      </c>
      <c r="K10" s="58"/>
      <c r="L10" s="58"/>
      <c r="M10" s="3"/>
    </row>
    <row r="11" spans="1:13" ht="16.5" customHeight="1" thickBot="1" x14ac:dyDescent="0.3">
      <c r="A11" s="61" t="s">
        <v>18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pans="1:13" s="7" customFormat="1" ht="18.75" customHeight="1" x14ac:dyDescent="0.2">
      <c r="A12" s="87" t="s">
        <v>26</v>
      </c>
      <c r="B12" s="78" t="s">
        <v>0</v>
      </c>
      <c r="C12" s="92" t="s">
        <v>19</v>
      </c>
      <c r="D12" s="93"/>
      <c r="E12" s="92" t="s">
        <v>24</v>
      </c>
      <c r="F12" s="93"/>
      <c r="G12" s="92" t="s">
        <v>14</v>
      </c>
      <c r="H12" s="93"/>
      <c r="I12" s="92" t="s">
        <v>15</v>
      </c>
      <c r="J12" s="93"/>
      <c r="K12" s="92" t="s">
        <v>13</v>
      </c>
      <c r="L12" s="93"/>
      <c r="M12" s="82" t="s">
        <v>2</v>
      </c>
    </row>
    <row r="13" spans="1:13" s="7" customFormat="1" ht="18.75" customHeight="1" x14ac:dyDescent="0.2">
      <c r="A13" s="88"/>
      <c r="B13" s="91"/>
      <c r="C13" s="94"/>
      <c r="D13" s="95"/>
      <c r="E13" s="94"/>
      <c r="F13" s="95"/>
      <c r="G13" s="94"/>
      <c r="H13" s="95"/>
      <c r="I13" s="94"/>
      <c r="J13" s="95"/>
      <c r="K13" s="94"/>
      <c r="L13" s="95"/>
      <c r="M13" s="90"/>
    </row>
    <row r="14" spans="1:13" s="7" customFormat="1" ht="24" customHeight="1" x14ac:dyDescent="0.2">
      <c r="A14" s="89"/>
      <c r="B14" s="79"/>
      <c r="C14" s="96"/>
      <c r="D14" s="97"/>
      <c r="E14" s="96"/>
      <c r="F14" s="97"/>
      <c r="G14" s="96"/>
      <c r="H14" s="97"/>
      <c r="I14" s="96"/>
      <c r="J14" s="97"/>
      <c r="K14" s="96"/>
      <c r="L14" s="97"/>
      <c r="M14" s="83"/>
    </row>
    <row r="15" spans="1:13" s="7" customFormat="1" x14ac:dyDescent="0.2">
      <c r="A15" s="12"/>
      <c r="B15" s="23"/>
      <c r="C15" s="98"/>
      <c r="D15" s="99"/>
      <c r="E15" s="98"/>
      <c r="F15" s="99"/>
      <c r="G15" s="98"/>
      <c r="H15" s="100"/>
      <c r="I15" s="98"/>
      <c r="J15" s="100"/>
      <c r="K15" s="98"/>
      <c r="L15" s="100"/>
      <c r="M15" s="14"/>
    </row>
    <row r="16" spans="1:13" s="6" customFormat="1" x14ac:dyDescent="0.2">
      <c r="A16" s="15"/>
      <c r="B16" s="24"/>
      <c r="C16" s="98"/>
      <c r="D16" s="99"/>
      <c r="E16" s="98"/>
      <c r="F16" s="99"/>
      <c r="G16" s="98"/>
      <c r="H16" s="100"/>
      <c r="I16" s="98"/>
      <c r="J16" s="100"/>
      <c r="K16" s="98"/>
      <c r="L16" s="100"/>
      <c r="M16" s="14"/>
    </row>
    <row r="17" spans="1:13" s="6" customFormat="1" x14ac:dyDescent="0.2">
      <c r="A17" s="15"/>
      <c r="B17" s="24"/>
      <c r="C17" s="98"/>
      <c r="D17" s="99"/>
      <c r="E17" s="98"/>
      <c r="F17" s="99"/>
      <c r="G17" s="98"/>
      <c r="H17" s="100"/>
      <c r="I17" s="98"/>
      <c r="J17" s="100"/>
      <c r="K17" s="98"/>
      <c r="L17" s="100"/>
      <c r="M17" s="14"/>
    </row>
    <row r="18" spans="1:13" s="6" customFormat="1" x14ac:dyDescent="0.2">
      <c r="A18" s="15"/>
      <c r="B18" s="24"/>
      <c r="C18" s="98"/>
      <c r="D18" s="99"/>
      <c r="E18" s="98"/>
      <c r="F18" s="99"/>
      <c r="G18" s="98"/>
      <c r="H18" s="100"/>
      <c r="I18" s="98"/>
      <c r="J18" s="100"/>
      <c r="K18" s="98"/>
      <c r="L18" s="100"/>
      <c r="M18" s="14"/>
    </row>
    <row r="19" spans="1:13" s="6" customFormat="1" x14ac:dyDescent="0.2">
      <c r="A19" s="15"/>
      <c r="B19" s="24"/>
      <c r="C19" s="98"/>
      <c r="D19" s="99"/>
      <c r="E19" s="98"/>
      <c r="F19" s="99"/>
      <c r="G19" s="98"/>
      <c r="H19" s="100"/>
      <c r="I19" s="98"/>
      <c r="J19" s="100"/>
      <c r="K19" s="98"/>
      <c r="L19" s="100"/>
      <c r="M19" s="14"/>
    </row>
    <row r="20" spans="1:13" s="6" customFormat="1" x14ac:dyDescent="0.2">
      <c r="A20" s="15"/>
      <c r="B20" s="24"/>
      <c r="C20" s="98"/>
      <c r="D20" s="99"/>
      <c r="E20" s="98"/>
      <c r="F20" s="99"/>
      <c r="G20" s="98"/>
      <c r="H20" s="100"/>
      <c r="I20" s="98"/>
      <c r="J20" s="100"/>
      <c r="K20" s="98"/>
      <c r="L20" s="100"/>
      <c r="M20" s="14"/>
    </row>
    <row r="21" spans="1:13" s="6" customFormat="1" x14ac:dyDescent="0.2">
      <c r="A21" s="15"/>
      <c r="B21" s="24"/>
      <c r="C21" s="101"/>
      <c r="D21" s="102"/>
      <c r="E21" s="101"/>
      <c r="F21" s="103"/>
      <c r="G21" s="98"/>
      <c r="H21" s="100"/>
      <c r="I21" s="98"/>
      <c r="J21" s="100"/>
      <c r="K21" s="98"/>
      <c r="L21" s="100"/>
      <c r="M21" s="14"/>
    </row>
    <row r="22" spans="1:13" s="1" customFormat="1" ht="75.75" customHeight="1" x14ac:dyDescent="0.25">
      <c r="A22" s="19"/>
      <c r="B22" s="19"/>
      <c r="D22" s="5"/>
      <c r="M22" s="19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  <mergeCell ref="G16:H16"/>
    <mergeCell ref="I16:J16"/>
    <mergeCell ref="K16:L16"/>
    <mergeCell ref="G21:H21"/>
    <mergeCell ref="I21:J21"/>
    <mergeCell ref="K21:L21"/>
    <mergeCell ref="C17:D17"/>
    <mergeCell ref="C18:D18"/>
    <mergeCell ref="G17:H17"/>
    <mergeCell ref="I17:J17"/>
    <mergeCell ref="K17:L17"/>
    <mergeCell ref="G18:H18"/>
    <mergeCell ref="I18:J18"/>
    <mergeCell ref="K18:L18"/>
    <mergeCell ref="E20:F20"/>
    <mergeCell ref="G20:H20"/>
    <mergeCell ref="I20:J20"/>
    <mergeCell ref="G19:H19"/>
    <mergeCell ref="I19:J19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CORRECTED</vt:lpstr>
      <vt:lpstr>CTO</vt:lpstr>
      <vt:lpstr>Election</vt:lpstr>
      <vt:lpstr>CTO!Print_Area</vt:lpstr>
      <vt:lpstr>Election!Print_Area</vt:lpstr>
      <vt:lpstr>'Leave Card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2026-01-08T01:10:06Z</cp:lastPrinted>
  <dcterms:created xsi:type="dcterms:W3CDTF">2021-10-07T06:10:16Z</dcterms:created>
  <dcterms:modified xsi:type="dcterms:W3CDTF">2026-01-14T04:01:05Z</dcterms:modified>
</cp:coreProperties>
</file>