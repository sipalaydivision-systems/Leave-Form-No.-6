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ORRECTED" sheetId="6" r:id="rId1"/>
    <sheet name="CTO" sheetId="8" r:id="rId2"/>
    <sheet name="ELECTION" sheetId="10" r:id="rId3"/>
    <sheet name="Leave Card (NE) (2)" sheetId="9" r:id="rId4"/>
  </sheets>
  <definedNames>
    <definedName name="_xlnm.Print_Area" localSheetId="0">CORRECTED!$A$1:$J$107</definedName>
    <definedName name="_xlnm.Print_Area" localSheetId="3">'Leave Card (NE) (2)'!$A$1:$J$82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<sst xmlns="http://schemas.openxmlformats.org/spreadsheetml/2006/main" count="261" uniqueCount="135">
  <si>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</si>
  <si>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</si>
  <si>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</si>
  <si>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</si>
  <si>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</si>
  <si>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</si>
  <si>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</si>
  <si>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</si>
  <si>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</si>
  <si>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</si>
  <si>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</si>
  <si>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</si>
  <si>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</si>
  <si>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</si>
  <si>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</si>
  <si>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</si>
  <si>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</si>
  <si>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</si>
  <si>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</si>
  <si>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</si>
  <si>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</si>
  <si>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ADD: 03/27/2019 - 03/31/2019</t>
  </si>
  <si>
    <t>ADD: 04/01/2019 - 05/31/2019</t>
  </si>
  <si>
    <t>LESS: 06/25&amp;26/2019</t>
  </si>
  <si>
    <t>ADD: 06/1/2019-09/30/2019</t>
  </si>
  <si>
    <t>LESS: 10/24&amp;25/2019</t>
  </si>
  <si>
    <t>ADD: 10/1/2019-12/31/2019</t>
  </si>
  <si>
    <t>LESS: FL 2019</t>
  </si>
  <si>
    <t>LESS: 01/24/2020</t>
  </si>
  <si>
    <t>ADD: 01/01/2020 - 12/31/2020</t>
  </si>
  <si>
    <t>LESS: MONETIZATION 2020</t>
  </si>
  <si>
    <t>LESS: FL 2020</t>
  </si>
  <si>
    <t>ADD: 01/01/2021 - 07/31/2021</t>
  </si>
  <si>
    <t>LESS: 08/20 &amp; 23/2021</t>
  </si>
  <si>
    <t>ADD: 08/1/2021-09/30/2021</t>
  </si>
  <si>
    <t>LESS: 10/06/2021</t>
  </si>
  <si>
    <t>LESS: 10/4,5 &amp; 7/2021</t>
  </si>
  <si>
    <t>LESS: MONETIZATION 2021</t>
  </si>
  <si>
    <t>ADD: 10/1/2021-11/30/2021</t>
  </si>
  <si>
    <t>LESS: 12/13/2021</t>
  </si>
  <si>
    <t>ADD: 12/1-31/2021</t>
  </si>
  <si>
    <t>LESS: MANDATORY FL 2021</t>
  </si>
  <si>
    <t>LESS: 01/11/22</t>
  </si>
  <si>
    <t>LESS: 01/21/22</t>
  </si>
  <si>
    <t>ADD: 01/01/22 - 01/31/22</t>
  </si>
  <si>
    <t>LESS: 02/16/22</t>
  </si>
  <si>
    <t>ADD: 02/01/22 - 02/28/22</t>
  </si>
  <si>
    <t>LESS: 03/11/2022</t>
  </si>
  <si>
    <t>LESS: 03/17 &amp; 18/22</t>
  </si>
  <si>
    <t>ADD: 03/01/22 - 04/30/22</t>
  </si>
  <si>
    <t>LESS: 05/16/22</t>
  </si>
  <si>
    <t>LESS: 05/17/22</t>
  </si>
  <si>
    <t>ADD: 05/01/22 - 05/31/22</t>
  </si>
  <si>
    <t>LESS: 05/30 &amp; 31/22</t>
  </si>
  <si>
    <t>LESS: 06/17/2022 (AM)</t>
  </si>
  <si>
    <t>LESS: 06/24/22</t>
  </si>
  <si>
    <t>ADD: 06/01/22 - 06/30/22</t>
  </si>
  <si>
    <t>LESS: 07/14/22</t>
  </si>
  <si>
    <t>ADD: 07/01/22 - 07/31/22</t>
  </si>
  <si>
    <t>LESS: 08/10 &amp; 11/22</t>
  </si>
  <si>
    <t>LESS: 08/15(.5) &amp; 16(.5)/22</t>
  </si>
  <si>
    <t>ADD: 08/01/22 - 09/30/2022</t>
  </si>
  <si>
    <t>LESS: 10/05/22</t>
  </si>
  <si>
    <t>LESS: 10/06/22</t>
  </si>
  <si>
    <t>LESS: MONETIZATION 2022</t>
  </si>
  <si>
    <t>LESS: 10/20/22</t>
  </si>
  <si>
    <t>ADD: 10/01/22 - 10/31/22</t>
  </si>
  <si>
    <t>LESS: 11/29/22</t>
  </si>
  <si>
    <t>ADD: 11/01/22 - 12/31/22</t>
  </si>
  <si>
    <t>LESS: MANDATORY FL 2022</t>
  </si>
  <si>
    <t>LESS: 01/11/23 (AM)</t>
  </si>
  <si>
    <t>ADD: 01/01/23 - 01/31/23</t>
  </si>
  <si>
    <t>ADD: 02/01/23 - 02/28/23</t>
  </si>
  <si>
    <t>LESS: 03/16/2023</t>
  </si>
  <si>
    <t>LESS: 03/27(PM)</t>
  </si>
  <si>
    <t>LESS: 03/28/2023</t>
  </si>
  <si>
    <t>ADD: 03/01/23 - 04/30/23</t>
  </si>
  <si>
    <t>ADD: 05/01/23 - 05/31/23</t>
  </si>
  <si>
    <t>LESS: 06/07/23</t>
  </si>
  <si>
    <t>LESS: 06/23/23</t>
  </si>
  <si>
    <t>ADD: 06/01/23 - 06/30/23</t>
  </si>
  <si>
    <t>LESS: 07/03/23</t>
  </si>
  <si>
    <t>LESS: 07/13/23</t>
  </si>
  <si>
    <t>ADD: 07/01/23 - 08/30/23</t>
  </si>
  <si>
    <t>LESS: MONETIZATION 2023</t>
  </si>
  <si>
    <t>ADD: 09/01/2023-12/31/2023</t>
  </si>
  <si>
    <t>LESS: MANDATORY FORCED LEAVE 2023</t>
  </si>
  <si>
    <t>LESS: 01/08/2024</t>
  </si>
  <si>
    <t>ADD: 01/01/2024-05/31/2024</t>
  </si>
  <si>
    <t>LESS: 06/25-26/2024</t>
  </si>
  <si>
    <t>ADD: 06/1-30/2024</t>
  </si>
  <si>
    <t>LESS: 07/08/2024</t>
  </si>
  <si>
    <t>ADD: 07/1/2024-11/30/2024</t>
  </si>
  <si>
    <t>LESS: 12/9-10, 16-17/2024</t>
  </si>
  <si>
    <t>ADD: 12/1-31/2024</t>
  </si>
  <si>
    <t>ADD: 01/1/2025-02/28/2025</t>
  </si>
  <si>
    <t>LESS: 03/20/2025</t>
  </si>
  <si>
    <t>ADD: 03/1-31/2025</t>
  </si>
  <si>
    <t>LESS: MONETIZATION 2025</t>
  </si>
  <si>
    <t>ADD: 04/1/2025-05/31/2025</t>
  </si>
  <si>
    <t>LESS: 06/25 &amp; 29/2025</t>
  </si>
  <si>
    <t>ADD: 06/1/2025-09/30/2025</t>
  </si>
  <si>
    <t>LESS: 10/13/2025</t>
  </si>
  <si>
    <t>ADD: 10/1-31/2025</t>
  </si>
  <si>
    <t>LESS: 11/13-14/2025</t>
  </si>
  <si>
    <t>LESS: 11/27-28/2025</t>
  </si>
  <si>
    <t>ADD: 11/1-30/2025</t>
  </si>
  <si>
    <t>LESS: 12/23/2025</t>
  </si>
  <si>
    <t>Certified Correct:</t>
  </si>
  <si>
    <t>MA. LUISA B. CATIGAN</t>
  </si>
  <si>
    <t>Administrative Officer IV</t>
  </si>
  <si>
    <t>HRMO</t>
  </si>
  <si>
    <t>COMPENSATORY TIME OFF (CTO)</t>
  </si>
  <si>
    <t>Special Order No. and Date Issued</t>
  </si>
  <si>
    <t>No. of Days Granted</t>
  </si>
  <si>
    <t>No. of Days Used</t>
  </si>
  <si>
    <t>Balance</t>
  </si>
  <si>
    <t>ADD: JULY 13, 2022</t>
  </si>
  <si>
    <t>S.O. # 052, S. 2022. 124TH PHILIPPINE INDEPENDENCE DAY CELEBRATION</t>
  </si>
  <si>
    <t>LESS: JAN. 24, 2023</t>
  </si>
  <si>
    <t>ADD: OCTOBER 17, 2023</t>
  </si>
  <si>
    <t>S.O. # 159, S. 2023. 125TH PHILIPPINE INDEPENDENCE DAY CELEBRATION</t>
  </si>
  <si>
    <t>NOTE:  Valid for one (1) year only</t>
  </si>
  <si>
    <t>RELEASED DATE</t>
  </si>
  <si>
    <t>Special Order No. and Title of Activity</t>
  </si>
  <si>
    <t>ADD: 06/05/2025</t>
  </si>
  <si>
    <t>S.O. # 038, S. 2025. MAY 12, 2025 NATIONAL AND LOCAL ELECTION</t>
  </si>
  <si>
    <t>LESS: 06/5, 9-11/2025</t>
  </si>
  <si>
    <t>ADD: 04/01/2019 - 12/31/2019</t>
  </si>
  <si>
    <t>ADD: 10/1/2021-12/31/2021</t>
  </si>
  <si>
    <t>LESS: 01/17/22</t>
  </si>
  <si>
    <t>ADD: 08/01/22 - 08/31/22</t>
  </si>
  <si>
    <t>ADD: 09/01/22 - 09/30/22</t>
  </si>
  <si>
    <t>LESS: 03/27(PM) &amp; 28/23</t>
  </si>
  <si>
    <t>ADD: JULY 1-31,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</si>
</sst>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  <numFmt numFmtId="177" formatCode="mmm\-yy"/>
  </numFmts>
  <fonts count="30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3" borderId="2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4" borderId="28" applyNumberFormat="0" applyAlignment="0" applyProtection="0">
      <alignment vertical="center"/>
    </xf>
    <xf numFmtId="0" fontId="20" fillId="15" borderId="29" applyNumberFormat="0" applyAlignment="0" applyProtection="0">
      <alignment vertical="center"/>
    </xf>
    <xf numFmtId="0" fontId="21" fillId="15" borderId="28" applyNumberFormat="0" applyAlignment="0" applyProtection="0">
      <alignment vertical="center"/>
    </xf>
    <xf numFmtId="0" fontId="22" fillId="16" borderId="30" applyNumberFormat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24" fillId="0" borderId="32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8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0" borderId="0" xfId="0" applyFon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/>
    </xf>
    <xf numFmtId="176" fontId="0" fillId="7" borderId="8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2" fillId="2" borderId="8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vertical="center"/>
    </xf>
    <xf numFmtId="0" fontId="2" fillId="3" borderId="13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76" fontId="0" fillId="2" borderId="16" xfId="0" applyNumberFormat="1" applyFill="1" applyBorder="1" applyAlignment="1">
      <alignment horizontal="center" vertical="center"/>
    </xf>
    <xf numFmtId="0" fontId="0" fillId="8" borderId="8" xfId="0" applyFill="1" applyBorder="1" applyAlignment="1">
      <alignment horizontal="center"/>
    </xf>
    <xf numFmtId="177" fontId="0" fillId="0" borderId="8" xfId="0" applyNumberFormat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10" borderId="2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horizontal="center" vertical="center" wrapText="1"/>
    </xf>
    <xf numFmtId="0" fontId="9" fillId="12" borderId="17" xfId="0" applyFont="1" applyFill="1" applyBorder="1" applyAlignment="1">
      <alignment horizontal="center" vertical="center" wrapText="1"/>
    </xf>
    <xf numFmtId="0" fontId="9" fillId="12" borderId="18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8" fillId="10" borderId="13" xfId="0" applyFont="1" applyFill="1" applyBorder="1" applyAlignment="1">
      <alignment horizontal="center" vertical="center"/>
    </xf>
    <xf numFmtId="0" fontId="8" fillId="10" borderId="15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2" borderId="11" xfId="0" applyFont="1" applyFill="1" applyBorder="1" applyAlignment="1">
      <alignment vertical="center" wrapText="1"/>
    </xf>
    <xf numFmtId="0" fontId="9" fillId="2" borderId="18" xfId="0" applyFont="1" applyFill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2" fillId="3" borderId="19" xfId="0" applyFont="1" applyFill="1" applyBorder="1" applyAlignment="1">
      <alignment vertical="center"/>
    </xf>
    <xf numFmtId="0" fontId="2" fillId="2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76" fontId="0" fillId="2" borderId="22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176" fontId="0" fillId="0" borderId="8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76" fontId="0" fillId="0" borderId="8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76" fontId="0" fillId="2" borderId="0" xfId="0" applyNumberFormat="1" applyFill="1" applyBorder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244476</xdr:colOff>
      <xdr:row>0</xdr:row>
      <xdr:rowOff>88900</xdr:rowOff>
    </xdr:from>
    <xdr:to>
      <xdr:col>4</xdr:col>
      <xdr:colOff>295405</xdr:colOff>
      <xdr:row>0</xdr:row>
      <xdr:rowOff>619125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27855" y="88900"/>
          <a:ext cx="844550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4" name="TextBox 3"/>
        <xdr:cNvSpPr txBox="1"/>
      </xdr:nvSpPr>
      <xdr:spPr>
        <a:xfrm>
          <a:off x="573405" y="1376045"/>
          <a:ext cx="200914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MAGHARI, ANGIE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5" name="TextBox 4"/>
        <xdr:cNvSpPr txBox="1"/>
      </xdr:nvSpPr>
      <xdr:spPr>
        <a:xfrm>
          <a:off x="616585" y="1725930"/>
          <a:ext cx="197929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6" name="TextBox 5"/>
        <xdr:cNvSpPr txBox="1"/>
      </xdr:nvSpPr>
      <xdr:spPr>
        <a:xfrm>
          <a:off x="380428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 - SDO SIPALAY CITY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74159</xdr:colOff>
      <xdr:row>0</xdr:row>
      <xdr:rowOff>46039</xdr:rowOff>
    </xdr:from>
    <xdr:ext cx="757691" cy="588962"/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92880" y="45720"/>
          <a:ext cx="758190" cy="589280"/>
        </a:xfrm>
        <a:prstGeom prst="rect">
          <a:avLst/>
        </a:prstGeom>
        <a:noFill/>
      </xdr:spPr>
    </xdr:pic>
    <xdr:clientData/>
  </xdr:one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>
      <xdr:nvSpPr>
        <xdr:cNvPr id="3" name="TextBox 2"/>
        <xdr:cNvSpPr txBox="1"/>
      </xdr:nvSpPr>
      <xdr:spPr>
        <a:xfrm>
          <a:off x="573405" y="1376045"/>
          <a:ext cx="185229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MAGHARI, ANGIE A.</a:t>
          </a:r>
          <a:endParaRPr lang="en-US" sz="1100"/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1</xdr:col>
      <xdr:colOff>342900</xdr:colOff>
      <xdr:row>8</xdr:row>
      <xdr:rowOff>114301</xdr:rowOff>
    </xdr:to>
    <xdr:sp>
      <xdr:nvSpPr>
        <xdr:cNvPr id="4" name="TextBox 3"/>
        <xdr:cNvSpPr txBox="1"/>
      </xdr:nvSpPr>
      <xdr:spPr>
        <a:xfrm>
          <a:off x="654050" y="1684020"/>
          <a:ext cx="11684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III-PDO</a:t>
          </a:r>
          <a:r>
            <a:rPr lang="en-US" sz="1100" baseline="0"/>
            <a:t> I</a:t>
          </a:r>
          <a:endParaRPr lang="en-US" sz="1100"/>
        </a:p>
      </xdr:txBody>
    </xdr:sp>
    <xdr:clientData/>
  </xdr:twoCellAnchor>
  <xdr:twoCellAnchor>
    <xdr:from>
      <xdr:col>3</xdr:col>
      <xdr:colOff>526822</xdr:colOff>
      <xdr:row>7</xdr:row>
      <xdr:rowOff>42410</xdr:rowOff>
    </xdr:from>
    <xdr:to>
      <xdr:col>5</xdr:col>
      <xdr:colOff>533399</xdr:colOff>
      <xdr:row>9</xdr:row>
      <xdr:rowOff>10714</xdr:rowOff>
    </xdr:to>
    <xdr:sp>
      <xdr:nvSpPr>
        <xdr:cNvPr id="5" name="TextBox 4"/>
        <xdr:cNvSpPr txBox="1"/>
      </xdr:nvSpPr>
      <xdr:spPr>
        <a:xfrm>
          <a:off x="3828415" y="1706880"/>
          <a:ext cx="124079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CABADIANGAN ES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74159</xdr:colOff>
      <xdr:row>0</xdr:row>
      <xdr:rowOff>46039</xdr:rowOff>
    </xdr:from>
    <xdr:ext cx="757691" cy="588962"/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92880" y="45720"/>
          <a:ext cx="758190" cy="589280"/>
        </a:xfrm>
        <a:prstGeom prst="rect">
          <a:avLst/>
        </a:prstGeom>
        <a:noFill/>
      </xdr:spPr>
    </xdr:pic>
    <xdr:clientData/>
  </xdr:one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>
      <xdr:nvSpPr>
        <xdr:cNvPr id="3" name="TextBox 2"/>
        <xdr:cNvSpPr txBox="1"/>
      </xdr:nvSpPr>
      <xdr:spPr>
        <a:xfrm>
          <a:off x="573405" y="1376045"/>
          <a:ext cx="185229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MAGHARI, ANGIE A.</a:t>
          </a:r>
          <a:endParaRPr lang="en-US" sz="1100"/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1</xdr:col>
      <xdr:colOff>342900</xdr:colOff>
      <xdr:row>8</xdr:row>
      <xdr:rowOff>114301</xdr:rowOff>
    </xdr:to>
    <xdr:sp>
      <xdr:nvSpPr>
        <xdr:cNvPr id="4" name="TextBox 3"/>
        <xdr:cNvSpPr txBox="1"/>
      </xdr:nvSpPr>
      <xdr:spPr>
        <a:xfrm>
          <a:off x="654050" y="1684020"/>
          <a:ext cx="11684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III-PDO</a:t>
          </a:r>
          <a:r>
            <a:rPr lang="en-US" sz="1100" baseline="0"/>
            <a:t> I</a:t>
          </a:r>
          <a:endParaRPr lang="en-US" sz="1100"/>
        </a:p>
      </xdr:txBody>
    </xdr:sp>
    <xdr:clientData/>
  </xdr:twoCellAnchor>
  <xdr:twoCellAnchor>
    <xdr:from>
      <xdr:col>3</xdr:col>
      <xdr:colOff>526822</xdr:colOff>
      <xdr:row>7</xdr:row>
      <xdr:rowOff>42410</xdr:rowOff>
    </xdr:from>
    <xdr:to>
      <xdr:col>5</xdr:col>
      <xdr:colOff>533399</xdr:colOff>
      <xdr:row>9</xdr:row>
      <xdr:rowOff>10714</xdr:rowOff>
    </xdr:to>
    <xdr:sp>
      <xdr:nvSpPr>
        <xdr:cNvPr id="5" name="TextBox 4"/>
        <xdr:cNvSpPr txBox="1"/>
      </xdr:nvSpPr>
      <xdr:spPr>
        <a:xfrm>
          <a:off x="3828415" y="1706880"/>
          <a:ext cx="157353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CABADIANGAN ES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244476</xdr:colOff>
      <xdr:row>0</xdr:row>
      <xdr:rowOff>88900</xdr:rowOff>
    </xdr:from>
    <xdr:to>
      <xdr:col>4</xdr:col>
      <xdr:colOff>295405</xdr:colOff>
      <xdr:row>0</xdr:row>
      <xdr:rowOff>619125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27855" y="88900"/>
          <a:ext cx="844550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3" name="TextBox 2"/>
        <xdr:cNvSpPr txBox="1"/>
      </xdr:nvSpPr>
      <xdr:spPr>
        <a:xfrm>
          <a:off x="573405" y="1376045"/>
          <a:ext cx="200914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MAGHARI, ANGIE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4" name="TextBox 3"/>
        <xdr:cNvSpPr txBox="1"/>
      </xdr:nvSpPr>
      <xdr:spPr>
        <a:xfrm>
          <a:off x="616585" y="1725930"/>
          <a:ext cx="197929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5" name="TextBox 4"/>
        <xdr:cNvSpPr txBox="1"/>
      </xdr:nvSpPr>
      <xdr:spPr>
        <a:xfrm>
          <a:off x="380428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 - SDO SIPALAY CITY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7"/>
  <sheetViews>
    <sheetView tabSelected="1" view="pageBreakPreview" zoomScaleNormal="100" topLeftCell="A79" workbookViewId="0">
      <selection activeCell="A98" sqref="$A98:$XFD98"/>
    </sheetView>
  </sheetViews>
  <sheetFormatPr defaultColWidth="9" defaultRowHeight="14.4"/>
  <cols>
    <col min="1" max="1" width="37.8518518518519" customWidth="1"/>
    <col min="2" max="5" width="11.5740740740741" customWidth="1"/>
    <col min="6" max="7" width="11.5740740740741" style="2" customWidth="1"/>
    <col min="8" max="10" width="11.5740740740741" customWidth="1"/>
    <col min="11" max="11" width="26.4259259259259" style="3" customWidth="1"/>
  </cols>
  <sheetData>
    <row r="1" s="1" customFormat="1" ht="52.5" customHeight="1" spans="6:7">
      <c r="F1" s="4"/>
      <c r="G1" s="4"/>
    </row>
    <row r="2" s="1" customFormat="1" ht="10.5" customHeight="1" spans="1:10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ht="15.95" customHeight="1" spans="1:10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</row>
    <row r="4" s="1" customFormat="1" ht="15.95" customHeight="1" spans="1:10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</row>
    <row r="5" s="1" customFormat="1" ht="15.95" customHeight="1" spans="1:10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</row>
    <row r="6" s="1" customFormat="1" ht="8.25" customHeight="1" spans="6:7">
      <c r="F6" s="4"/>
      <c r="G6" s="4"/>
    </row>
    <row r="7" s="1" customFormat="1" ht="12" customHeight="1" spans="1:10">
      <c r="A7" s="1" t="s">
        <v>4</v>
      </c>
      <c r="B7" s="6" t="s">
        <v>5</v>
      </c>
      <c r="C7" s="6"/>
      <c r="D7" s="6"/>
      <c r="F7" s="4"/>
      <c r="G7" s="4"/>
      <c r="H7" s="7" t="s">
        <v>6</v>
      </c>
      <c r="I7" s="28"/>
      <c r="J7" s="7"/>
    </row>
    <row r="8" s="1" customFormat="1" ht="12" customHeight="1" spans="2:10">
      <c r="B8" s="8"/>
      <c r="C8" s="8"/>
      <c r="F8" s="4"/>
      <c r="G8" s="4"/>
      <c r="H8" s="8"/>
      <c r="I8" s="8"/>
      <c r="J8" s="8"/>
    </row>
    <row r="9" s="1" customFormat="1" ht="12" customHeight="1" spans="1:10">
      <c r="A9" s="1" t="s">
        <v>7</v>
      </c>
      <c r="B9" s="6" t="s">
        <v>8</v>
      </c>
      <c r="C9" s="6"/>
      <c r="D9" s="6"/>
      <c r="F9" s="4"/>
      <c r="G9" s="4"/>
      <c r="H9" s="7" t="s">
        <v>9</v>
      </c>
      <c r="I9" s="29"/>
      <c r="J9" s="7"/>
    </row>
    <row r="10" ht="16.5" customHeight="1" spans="1:11">
      <c r="A10" s="70" t="s">
        <v>10</v>
      </c>
      <c r="B10" s="70"/>
      <c r="C10" s="70"/>
      <c r="D10" s="70"/>
      <c r="E10" s="70"/>
      <c r="F10" s="70"/>
      <c r="G10" s="70"/>
      <c r="H10" s="70"/>
      <c r="I10" s="70"/>
      <c r="J10" s="70"/>
      <c r="K10"/>
    </row>
    <row r="11" ht="18.75" customHeight="1" spans="1:11">
      <c r="A11" s="10" t="s">
        <v>11</v>
      </c>
      <c r="B11" s="11" t="s">
        <v>12</v>
      </c>
      <c r="C11" s="11"/>
      <c r="D11" s="12" t="s">
        <v>13</v>
      </c>
      <c r="E11" s="13"/>
      <c r="F11" s="13"/>
      <c r="G11" s="14"/>
      <c r="H11" s="15" t="s">
        <v>14</v>
      </c>
      <c r="I11" s="15"/>
      <c r="J11" s="30" t="s">
        <v>15</v>
      </c>
      <c r="K11" s="77" t="s">
        <v>16</v>
      </c>
    </row>
    <row r="12" ht="18.75" customHeight="1" spans="1:11">
      <c r="A12" s="71"/>
      <c r="B12" s="72" t="s">
        <v>17</v>
      </c>
      <c r="C12" s="72" t="s">
        <v>18</v>
      </c>
      <c r="D12" s="72" t="s">
        <v>17</v>
      </c>
      <c r="E12" s="72" t="s">
        <v>18</v>
      </c>
      <c r="F12" s="72" t="s">
        <v>19</v>
      </c>
      <c r="G12" s="72" t="s">
        <v>20</v>
      </c>
      <c r="H12" s="72" t="s">
        <v>17</v>
      </c>
      <c r="I12" s="72" t="s">
        <v>18</v>
      </c>
      <c r="J12" s="78"/>
      <c r="K12" s="77"/>
    </row>
    <row r="13" ht="18.75" customHeight="1" spans="1:10">
      <c r="A13" s="73" t="s">
        <v>21</v>
      </c>
      <c r="B13" s="74">
        <v>0.208</v>
      </c>
      <c r="C13" s="74">
        <v>0.208</v>
      </c>
      <c r="D13" s="74"/>
      <c r="E13" s="74"/>
      <c r="F13" s="74"/>
      <c r="G13" s="74"/>
      <c r="H13" s="74">
        <f>B13</f>
        <v>0.208</v>
      </c>
      <c r="I13" s="74">
        <f>C13</f>
        <v>0.208</v>
      </c>
      <c r="J13" s="74">
        <f>SUM(H13:I13)</f>
        <v>0.416</v>
      </c>
    </row>
    <row r="14" ht="18.75" customHeight="1" spans="1:10">
      <c r="A14" s="23" t="s">
        <v>22</v>
      </c>
      <c r="B14" s="19">
        <v>2.5</v>
      </c>
      <c r="C14" s="19">
        <v>2.5</v>
      </c>
      <c r="D14" s="19"/>
      <c r="E14" s="19"/>
      <c r="F14" s="19"/>
      <c r="G14" s="19"/>
      <c r="H14" s="19">
        <f>H13-F14-D14+B14</f>
        <v>2.708</v>
      </c>
      <c r="I14" s="19">
        <f>I13-E14+C14</f>
        <v>2.708</v>
      </c>
      <c r="J14" s="19">
        <f>SUM(H14:I14)</f>
        <v>5.416</v>
      </c>
    </row>
    <row r="15" ht="18.75" customHeight="1" spans="1:10">
      <c r="A15" s="23" t="s">
        <v>23</v>
      </c>
      <c r="B15" s="19"/>
      <c r="C15" s="19"/>
      <c r="D15" s="19"/>
      <c r="E15" s="19"/>
      <c r="F15" s="19">
        <v>2</v>
      </c>
      <c r="G15" s="19"/>
      <c r="H15" s="19">
        <f>H14-F15-D15+B15</f>
        <v>0.708</v>
      </c>
      <c r="I15" s="19">
        <f>I14-E15+C15</f>
        <v>2.708</v>
      </c>
      <c r="J15" s="19">
        <f>SUM(H15:I15)</f>
        <v>3.416</v>
      </c>
    </row>
    <row r="16" ht="18.75" customHeight="1" spans="1:10">
      <c r="A16" s="23" t="s">
        <v>24</v>
      </c>
      <c r="B16" s="19">
        <v>5</v>
      </c>
      <c r="C16" s="19">
        <v>5</v>
      </c>
      <c r="D16" s="19"/>
      <c r="E16" s="19"/>
      <c r="F16" s="19"/>
      <c r="G16" s="19"/>
      <c r="H16" s="19">
        <f t="shared" ref="H16:H18" si="0">H15-F16-D16+B16</f>
        <v>5.708</v>
      </c>
      <c r="I16" s="19">
        <f t="shared" ref="I16:I18" si="1">I15-E16+C16</f>
        <v>7.708</v>
      </c>
      <c r="J16" s="19">
        <f t="shared" ref="J16:J18" si="2">SUM(H16:I16)</f>
        <v>13.416</v>
      </c>
    </row>
    <row r="17" ht="18.75" customHeight="1" spans="1:10">
      <c r="A17" s="23" t="s">
        <v>25</v>
      </c>
      <c r="B17" s="19"/>
      <c r="C17" s="19"/>
      <c r="D17" s="19"/>
      <c r="E17" s="19"/>
      <c r="F17" s="19">
        <v>2</v>
      </c>
      <c r="G17" s="19"/>
      <c r="H17" s="19">
        <f t="shared" si="0"/>
        <v>3.708</v>
      </c>
      <c r="I17" s="19">
        <f t="shared" si="1"/>
        <v>7.708</v>
      </c>
      <c r="J17" s="19">
        <f t="shared" si="2"/>
        <v>11.416</v>
      </c>
    </row>
    <row r="18" ht="18.75" customHeight="1" spans="1:10">
      <c r="A18" s="23" t="s">
        <v>26</v>
      </c>
      <c r="B18" s="19">
        <v>3.75</v>
      </c>
      <c r="C18" s="19">
        <v>3.75</v>
      </c>
      <c r="D18" s="19"/>
      <c r="E18" s="19"/>
      <c r="F18" s="19"/>
      <c r="G18" s="19"/>
      <c r="H18" s="19">
        <f t="shared" si="0"/>
        <v>7.458</v>
      </c>
      <c r="I18" s="19">
        <f t="shared" si="1"/>
        <v>11.458</v>
      </c>
      <c r="J18" s="19">
        <f t="shared" si="2"/>
        <v>18.916</v>
      </c>
    </row>
    <row r="19" ht="18.75" customHeight="1" spans="1:10">
      <c r="A19" s="23" t="s">
        <v>27</v>
      </c>
      <c r="B19" s="19"/>
      <c r="C19" s="19"/>
      <c r="D19" s="19"/>
      <c r="E19" s="19"/>
      <c r="F19" s="19">
        <v>1</v>
      </c>
      <c r="G19" s="19"/>
      <c r="H19" s="19">
        <f t="shared" ref="H19:H82" si="3">H18-F19-D19+B19</f>
        <v>6.458</v>
      </c>
      <c r="I19" s="19">
        <f t="shared" ref="I19:I82" si="4">I18-E19+C19</f>
        <v>11.458</v>
      </c>
      <c r="J19" s="19">
        <f t="shared" ref="J19:J82" si="5">SUM(H19:I19)</f>
        <v>17.916</v>
      </c>
    </row>
    <row r="20" ht="18.75" customHeight="1" spans="1:10">
      <c r="A20" s="23" t="s">
        <v>28</v>
      </c>
      <c r="B20" s="19"/>
      <c r="C20" s="19"/>
      <c r="D20" s="19"/>
      <c r="E20" s="19"/>
      <c r="F20" s="19">
        <v>1</v>
      </c>
      <c r="G20" s="19"/>
      <c r="H20" s="19">
        <f t="shared" si="3"/>
        <v>5.458</v>
      </c>
      <c r="I20" s="19">
        <f t="shared" si="4"/>
        <v>11.458</v>
      </c>
      <c r="J20" s="19">
        <f t="shared" si="5"/>
        <v>16.916</v>
      </c>
    </row>
    <row r="21" ht="18.75" customHeight="1" spans="1:10">
      <c r="A21" s="23" t="s">
        <v>29</v>
      </c>
      <c r="B21" s="19">
        <v>15</v>
      </c>
      <c r="C21" s="19">
        <v>15</v>
      </c>
      <c r="D21" s="19"/>
      <c r="E21" s="19"/>
      <c r="F21" s="19"/>
      <c r="G21" s="19"/>
      <c r="H21" s="19">
        <f t="shared" si="3"/>
        <v>20.458</v>
      </c>
      <c r="I21" s="19">
        <f t="shared" si="4"/>
        <v>26.458</v>
      </c>
      <c r="J21" s="19">
        <f t="shared" si="5"/>
        <v>46.916</v>
      </c>
    </row>
    <row r="22" ht="18.75" customHeight="1" spans="1:10">
      <c r="A22" s="23" t="s">
        <v>30</v>
      </c>
      <c r="B22" s="19"/>
      <c r="C22" s="19"/>
      <c r="D22" s="19">
        <v>10</v>
      </c>
      <c r="E22" s="19"/>
      <c r="F22" s="19"/>
      <c r="G22" s="19"/>
      <c r="H22" s="19">
        <f t="shared" si="3"/>
        <v>10.458</v>
      </c>
      <c r="I22" s="19">
        <f t="shared" si="4"/>
        <v>26.458</v>
      </c>
      <c r="J22" s="19">
        <f t="shared" si="5"/>
        <v>36.916</v>
      </c>
    </row>
    <row r="23" ht="18.75" customHeight="1" spans="1:10">
      <c r="A23" s="23" t="s">
        <v>31</v>
      </c>
      <c r="B23" s="19"/>
      <c r="C23" s="19"/>
      <c r="D23" s="19"/>
      <c r="E23" s="19"/>
      <c r="F23" s="19">
        <v>4</v>
      </c>
      <c r="G23" s="19"/>
      <c r="H23" s="19">
        <f t="shared" si="3"/>
        <v>6.458</v>
      </c>
      <c r="I23" s="19">
        <f t="shared" si="4"/>
        <v>26.458</v>
      </c>
      <c r="J23" s="19">
        <f t="shared" si="5"/>
        <v>32.916</v>
      </c>
    </row>
    <row r="24" ht="18.75" customHeight="1" spans="1:10">
      <c r="A24" s="23" t="s">
        <v>32</v>
      </c>
      <c r="B24" s="19">
        <v>8.75</v>
      </c>
      <c r="C24" s="19">
        <v>8.75</v>
      </c>
      <c r="D24" s="19"/>
      <c r="E24" s="19"/>
      <c r="F24" s="19"/>
      <c r="G24" s="19"/>
      <c r="H24" s="19">
        <f t="shared" si="3"/>
        <v>15.208</v>
      </c>
      <c r="I24" s="19">
        <f t="shared" si="4"/>
        <v>35.208</v>
      </c>
      <c r="J24" s="19">
        <f t="shared" si="5"/>
        <v>50.416</v>
      </c>
    </row>
    <row r="25" ht="18.75" customHeight="1" spans="1:10">
      <c r="A25" s="23" t="s">
        <v>33</v>
      </c>
      <c r="B25" s="19"/>
      <c r="C25" s="19"/>
      <c r="D25" s="19"/>
      <c r="E25" s="19"/>
      <c r="F25" s="19">
        <v>2</v>
      </c>
      <c r="G25" s="19"/>
      <c r="H25" s="19">
        <f t="shared" si="3"/>
        <v>13.208</v>
      </c>
      <c r="I25" s="19">
        <f t="shared" si="4"/>
        <v>35.208</v>
      </c>
      <c r="J25" s="19">
        <f t="shared" si="5"/>
        <v>48.416</v>
      </c>
    </row>
    <row r="26" ht="18.75" customHeight="1" spans="1:10">
      <c r="A26" s="23" t="s">
        <v>34</v>
      </c>
      <c r="B26" s="19">
        <v>2.5</v>
      </c>
      <c r="C26" s="19">
        <v>2.5</v>
      </c>
      <c r="D26" s="19"/>
      <c r="E26" s="19"/>
      <c r="F26" s="19"/>
      <c r="G26" s="19"/>
      <c r="H26" s="19">
        <f t="shared" si="3"/>
        <v>15.708</v>
      </c>
      <c r="I26" s="19">
        <f t="shared" si="4"/>
        <v>37.708</v>
      </c>
      <c r="J26" s="19">
        <f t="shared" si="5"/>
        <v>53.416</v>
      </c>
    </row>
    <row r="27" ht="18.75" customHeight="1" spans="1:10">
      <c r="A27" s="23" t="s">
        <v>35</v>
      </c>
      <c r="B27" s="19"/>
      <c r="C27" s="19"/>
      <c r="D27" s="19"/>
      <c r="E27" s="19"/>
      <c r="F27" s="19"/>
      <c r="G27" s="19">
        <v>1</v>
      </c>
      <c r="H27" s="19">
        <f t="shared" si="3"/>
        <v>15.708</v>
      </c>
      <c r="I27" s="19">
        <f t="shared" si="4"/>
        <v>37.708</v>
      </c>
      <c r="J27" s="19">
        <f t="shared" si="5"/>
        <v>53.416</v>
      </c>
    </row>
    <row r="28" ht="18.75" customHeight="1" spans="1:10">
      <c r="A28" s="23" t="s">
        <v>36</v>
      </c>
      <c r="B28" s="19"/>
      <c r="C28" s="19"/>
      <c r="D28" s="19"/>
      <c r="E28" s="19">
        <v>3</v>
      </c>
      <c r="F28" s="19"/>
      <c r="G28" s="19"/>
      <c r="H28" s="19">
        <f t="shared" si="3"/>
        <v>15.708</v>
      </c>
      <c r="I28" s="19">
        <f t="shared" si="4"/>
        <v>34.708</v>
      </c>
      <c r="J28" s="19">
        <f t="shared" si="5"/>
        <v>50.416</v>
      </c>
    </row>
    <row r="29" ht="18.75" customHeight="1" spans="1:10">
      <c r="A29" s="23" t="s">
        <v>37</v>
      </c>
      <c r="B29" s="19"/>
      <c r="C29" s="19"/>
      <c r="D29" s="19">
        <v>10</v>
      </c>
      <c r="E29" s="19">
        <v>19</v>
      </c>
      <c r="F29" s="19"/>
      <c r="G29" s="19"/>
      <c r="H29" s="19">
        <f t="shared" si="3"/>
        <v>5.708</v>
      </c>
      <c r="I29" s="19">
        <f t="shared" si="4"/>
        <v>15.708</v>
      </c>
      <c r="J29" s="19">
        <f t="shared" si="5"/>
        <v>21.416</v>
      </c>
    </row>
    <row r="30" ht="18.75" customHeight="1" spans="1:10">
      <c r="A30" s="23" t="s">
        <v>38</v>
      </c>
      <c r="B30" s="19">
        <v>2.5</v>
      </c>
      <c r="C30" s="19">
        <v>2.5</v>
      </c>
      <c r="D30" s="19"/>
      <c r="E30" s="19"/>
      <c r="F30" s="19"/>
      <c r="G30" s="19"/>
      <c r="H30" s="19">
        <f t="shared" si="3"/>
        <v>8.208</v>
      </c>
      <c r="I30" s="19">
        <f t="shared" si="4"/>
        <v>18.208</v>
      </c>
      <c r="J30" s="19">
        <f t="shared" si="5"/>
        <v>26.416</v>
      </c>
    </row>
    <row r="31" ht="18.75" customHeight="1" spans="1:10">
      <c r="A31" s="23" t="s">
        <v>39</v>
      </c>
      <c r="B31" s="19"/>
      <c r="C31" s="19"/>
      <c r="D31" s="19"/>
      <c r="E31" s="19"/>
      <c r="F31" s="19"/>
      <c r="G31" s="19">
        <v>1</v>
      </c>
      <c r="H31" s="19">
        <f t="shared" si="3"/>
        <v>8.208</v>
      </c>
      <c r="I31" s="19">
        <f t="shared" si="4"/>
        <v>18.208</v>
      </c>
      <c r="J31" s="19">
        <f t="shared" si="5"/>
        <v>26.416</v>
      </c>
    </row>
    <row r="32" ht="18.75" customHeight="1" spans="1:10">
      <c r="A32" s="23" t="s">
        <v>40</v>
      </c>
      <c r="B32" s="19">
        <v>1.25</v>
      </c>
      <c r="C32" s="19">
        <v>1.25</v>
      </c>
      <c r="D32" s="19"/>
      <c r="E32" s="19"/>
      <c r="F32" s="19"/>
      <c r="G32" s="19"/>
      <c r="H32" s="19">
        <f t="shared" si="3"/>
        <v>9.458</v>
      </c>
      <c r="I32" s="19">
        <f t="shared" si="4"/>
        <v>19.458</v>
      </c>
      <c r="J32" s="19">
        <f t="shared" si="5"/>
        <v>28.916</v>
      </c>
    </row>
    <row r="33" ht="18.75" customHeight="1" spans="1:10">
      <c r="A33" s="23" t="s">
        <v>41</v>
      </c>
      <c r="B33" s="19"/>
      <c r="C33" s="19"/>
      <c r="D33" s="19"/>
      <c r="E33" s="19"/>
      <c r="F33" s="19">
        <v>3</v>
      </c>
      <c r="G33" s="19"/>
      <c r="H33" s="19">
        <f t="shared" si="3"/>
        <v>6.458</v>
      </c>
      <c r="I33" s="19">
        <f t="shared" si="4"/>
        <v>19.458</v>
      </c>
      <c r="J33" s="19">
        <f t="shared" si="5"/>
        <v>25.916</v>
      </c>
    </row>
    <row r="34" ht="18.75" customHeight="1" spans="1:10">
      <c r="A34" s="23" t="s">
        <v>42</v>
      </c>
      <c r="B34" s="19"/>
      <c r="C34" s="19"/>
      <c r="D34" s="19"/>
      <c r="E34" s="19"/>
      <c r="F34" s="19">
        <v>1</v>
      </c>
      <c r="G34" s="19"/>
      <c r="H34" s="19">
        <f t="shared" si="3"/>
        <v>5.458</v>
      </c>
      <c r="I34" s="19">
        <f t="shared" si="4"/>
        <v>19.458</v>
      </c>
      <c r="J34" s="19">
        <f t="shared" si="5"/>
        <v>24.916</v>
      </c>
    </row>
    <row r="35" ht="18.75" customHeight="1" spans="1:10">
      <c r="A35" s="23" t="s">
        <v>43</v>
      </c>
      <c r="B35" s="19"/>
      <c r="C35" s="19"/>
      <c r="D35" s="19"/>
      <c r="E35" s="19">
        <v>1</v>
      </c>
      <c r="F35" s="19"/>
      <c r="G35" s="19"/>
      <c r="H35" s="19">
        <f t="shared" si="3"/>
        <v>5.458</v>
      </c>
      <c r="I35" s="19">
        <f t="shared" si="4"/>
        <v>18.458</v>
      </c>
      <c r="J35" s="19">
        <f t="shared" si="5"/>
        <v>23.916</v>
      </c>
    </row>
    <row r="36" ht="18.75" customHeight="1" spans="1:10">
      <c r="A36" s="23" t="s">
        <v>44</v>
      </c>
      <c r="B36" s="19">
        <v>1.25</v>
      </c>
      <c r="C36" s="19">
        <v>1.25</v>
      </c>
      <c r="D36" s="19"/>
      <c r="E36" s="19"/>
      <c r="F36" s="19"/>
      <c r="G36" s="19"/>
      <c r="H36" s="19">
        <f t="shared" si="3"/>
        <v>6.708</v>
      </c>
      <c r="I36" s="19">
        <f t="shared" si="4"/>
        <v>19.708</v>
      </c>
      <c r="J36" s="19">
        <f t="shared" si="5"/>
        <v>26.416</v>
      </c>
    </row>
    <row r="37" ht="18.75" customHeight="1" spans="1:10">
      <c r="A37" s="23" t="s">
        <v>45</v>
      </c>
      <c r="B37" s="19"/>
      <c r="C37" s="19"/>
      <c r="D37" s="19"/>
      <c r="E37" s="19"/>
      <c r="F37" s="19">
        <v>1</v>
      </c>
      <c r="G37" s="19"/>
      <c r="H37" s="19">
        <f t="shared" si="3"/>
        <v>5.708</v>
      </c>
      <c r="I37" s="19">
        <f t="shared" si="4"/>
        <v>19.708</v>
      </c>
      <c r="J37" s="19">
        <f t="shared" si="5"/>
        <v>25.416</v>
      </c>
    </row>
    <row r="38" ht="18.75" customHeight="1" spans="1:10">
      <c r="A38" s="23" t="s">
        <v>46</v>
      </c>
      <c r="B38" s="19">
        <v>1.25</v>
      </c>
      <c r="C38" s="19">
        <v>1.25</v>
      </c>
      <c r="D38" s="19"/>
      <c r="E38" s="19"/>
      <c r="F38" s="19"/>
      <c r="G38" s="19"/>
      <c r="H38" s="19">
        <f t="shared" si="3"/>
        <v>6.958</v>
      </c>
      <c r="I38" s="19">
        <f t="shared" si="4"/>
        <v>20.958</v>
      </c>
      <c r="J38" s="19">
        <f t="shared" si="5"/>
        <v>27.916</v>
      </c>
    </row>
    <row r="39" ht="18.75" customHeight="1" spans="1:10">
      <c r="A39" s="23" t="s">
        <v>47</v>
      </c>
      <c r="B39" s="19"/>
      <c r="C39" s="19"/>
      <c r="D39" s="19"/>
      <c r="E39" s="19">
        <v>1</v>
      </c>
      <c r="F39" s="19"/>
      <c r="G39" s="19"/>
      <c r="H39" s="19">
        <f t="shared" si="3"/>
        <v>6.958</v>
      </c>
      <c r="I39" s="19">
        <f t="shared" si="4"/>
        <v>19.958</v>
      </c>
      <c r="J39" s="19">
        <f t="shared" si="5"/>
        <v>26.916</v>
      </c>
    </row>
    <row r="40" ht="18.75" customHeight="1" spans="1:10">
      <c r="A40" s="23" t="s">
        <v>48</v>
      </c>
      <c r="B40" s="19"/>
      <c r="C40" s="19"/>
      <c r="D40" s="19"/>
      <c r="E40" s="19"/>
      <c r="F40" s="19">
        <v>2</v>
      </c>
      <c r="G40" s="19"/>
      <c r="H40" s="19">
        <f t="shared" si="3"/>
        <v>4.958</v>
      </c>
      <c r="I40" s="19">
        <f t="shared" si="4"/>
        <v>19.958</v>
      </c>
      <c r="J40" s="19">
        <f t="shared" si="5"/>
        <v>24.916</v>
      </c>
    </row>
    <row r="41" ht="18.75" customHeight="1" spans="1:10">
      <c r="A41" s="23" t="s">
        <v>49</v>
      </c>
      <c r="B41" s="19">
        <v>2.5</v>
      </c>
      <c r="C41" s="19">
        <v>2.5</v>
      </c>
      <c r="D41" s="19"/>
      <c r="E41" s="19"/>
      <c r="F41" s="19"/>
      <c r="G41" s="19"/>
      <c r="H41" s="19">
        <f t="shared" si="3"/>
        <v>7.458</v>
      </c>
      <c r="I41" s="19">
        <f t="shared" si="4"/>
        <v>22.458</v>
      </c>
      <c r="J41" s="19">
        <f t="shared" si="5"/>
        <v>29.916</v>
      </c>
    </row>
    <row r="42" ht="18.75" customHeight="1" spans="1:10">
      <c r="A42" s="23" t="s">
        <v>50</v>
      </c>
      <c r="B42" s="19"/>
      <c r="C42" s="19"/>
      <c r="D42" s="19">
        <v>0.5</v>
      </c>
      <c r="E42" s="19"/>
      <c r="F42" s="19"/>
      <c r="G42" s="19"/>
      <c r="H42" s="19">
        <f t="shared" si="3"/>
        <v>6.958</v>
      </c>
      <c r="I42" s="19">
        <f t="shared" si="4"/>
        <v>22.458</v>
      </c>
      <c r="J42" s="19">
        <f t="shared" si="5"/>
        <v>29.416</v>
      </c>
    </row>
    <row r="43" ht="18.75" customHeight="1" spans="1:10">
      <c r="A43" s="23" t="s">
        <v>51</v>
      </c>
      <c r="B43" s="19"/>
      <c r="C43" s="19"/>
      <c r="D43" s="19"/>
      <c r="E43" s="19">
        <v>1</v>
      </c>
      <c r="F43" s="19"/>
      <c r="G43" s="19"/>
      <c r="H43" s="19">
        <f t="shared" si="3"/>
        <v>6.958</v>
      </c>
      <c r="I43" s="19">
        <f t="shared" si="4"/>
        <v>21.458</v>
      </c>
      <c r="J43" s="19">
        <f t="shared" si="5"/>
        <v>28.416</v>
      </c>
    </row>
    <row r="44" ht="18.75" customHeight="1" spans="1:10">
      <c r="A44" s="23" t="s">
        <v>52</v>
      </c>
      <c r="B44" s="19">
        <v>1.25</v>
      </c>
      <c r="C44" s="19">
        <v>1.25</v>
      </c>
      <c r="D44" s="19"/>
      <c r="E44" s="19"/>
      <c r="F44" s="19"/>
      <c r="G44" s="19"/>
      <c r="H44" s="19">
        <f t="shared" si="3"/>
        <v>8.208</v>
      </c>
      <c r="I44" s="19">
        <f t="shared" si="4"/>
        <v>22.708</v>
      </c>
      <c r="J44" s="19">
        <f t="shared" si="5"/>
        <v>30.916</v>
      </c>
    </row>
    <row r="45" ht="18.75" customHeight="1" spans="1:10">
      <c r="A45" s="23" t="s">
        <v>53</v>
      </c>
      <c r="B45" s="19"/>
      <c r="C45" s="19"/>
      <c r="D45" s="19"/>
      <c r="E45" s="19">
        <v>2</v>
      </c>
      <c r="F45" s="19"/>
      <c r="G45" s="19"/>
      <c r="H45" s="19">
        <f t="shared" si="3"/>
        <v>8.208</v>
      </c>
      <c r="I45" s="19">
        <f t="shared" si="4"/>
        <v>20.708</v>
      </c>
      <c r="J45" s="19">
        <f t="shared" si="5"/>
        <v>28.916</v>
      </c>
    </row>
    <row r="46" ht="18.75" customHeight="1" spans="1:10">
      <c r="A46" s="23" t="s">
        <v>54</v>
      </c>
      <c r="B46" s="19"/>
      <c r="C46" s="19"/>
      <c r="D46" s="19"/>
      <c r="E46" s="19">
        <v>0.5</v>
      </c>
      <c r="F46" s="19"/>
      <c r="G46" s="19"/>
      <c r="H46" s="19">
        <f t="shared" si="3"/>
        <v>8.208</v>
      </c>
      <c r="I46" s="19">
        <f t="shared" si="4"/>
        <v>20.208</v>
      </c>
      <c r="J46" s="19">
        <f t="shared" si="5"/>
        <v>28.416</v>
      </c>
    </row>
    <row r="47" ht="18.75" customHeight="1" spans="1:10">
      <c r="A47" s="23" t="s">
        <v>55</v>
      </c>
      <c r="B47" s="19"/>
      <c r="C47" s="19"/>
      <c r="D47" s="19"/>
      <c r="E47" s="19"/>
      <c r="F47" s="19"/>
      <c r="G47" s="19">
        <v>1</v>
      </c>
      <c r="H47" s="19">
        <f t="shared" si="3"/>
        <v>8.208</v>
      </c>
      <c r="I47" s="19">
        <f t="shared" si="4"/>
        <v>20.208</v>
      </c>
      <c r="J47" s="19">
        <f t="shared" si="5"/>
        <v>28.416</v>
      </c>
    </row>
    <row r="48" ht="18.75" customHeight="1" spans="1:10">
      <c r="A48" s="23" t="s">
        <v>56</v>
      </c>
      <c r="B48" s="19">
        <v>1.25</v>
      </c>
      <c r="C48" s="19">
        <v>1.25</v>
      </c>
      <c r="D48" s="19"/>
      <c r="E48" s="19"/>
      <c r="F48" s="19"/>
      <c r="G48" s="19"/>
      <c r="H48" s="19">
        <f t="shared" si="3"/>
        <v>9.458</v>
      </c>
      <c r="I48" s="19">
        <f t="shared" si="4"/>
        <v>21.458</v>
      </c>
      <c r="J48" s="19">
        <f t="shared" si="5"/>
        <v>30.916</v>
      </c>
    </row>
    <row r="49" ht="18.75" customHeight="1" spans="1:10">
      <c r="A49" s="23" t="s">
        <v>57</v>
      </c>
      <c r="B49" s="19"/>
      <c r="C49" s="19"/>
      <c r="D49" s="19"/>
      <c r="E49" s="19"/>
      <c r="F49" s="19"/>
      <c r="G49" s="19">
        <v>1</v>
      </c>
      <c r="H49" s="19">
        <f t="shared" si="3"/>
        <v>9.458</v>
      </c>
      <c r="I49" s="19">
        <f t="shared" si="4"/>
        <v>21.458</v>
      </c>
      <c r="J49" s="19">
        <f t="shared" si="5"/>
        <v>30.916</v>
      </c>
    </row>
    <row r="50" ht="18.75" customHeight="1" spans="1:10">
      <c r="A50" s="23" t="s">
        <v>58</v>
      </c>
      <c r="B50" s="19">
        <v>1.25</v>
      </c>
      <c r="C50" s="19">
        <v>1.25</v>
      </c>
      <c r="D50" s="19"/>
      <c r="E50" s="19"/>
      <c r="F50" s="19"/>
      <c r="G50" s="19"/>
      <c r="H50" s="19">
        <f t="shared" si="3"/>
        <v>10.708</v>
      </c>
      <c r="I50" s="19">
        <f t="shared" si="4"/>
        <v>22.708</v>
      </c>
      <c r="J50" s="19">
        <f t="shared" si="5"/>
        <v>33.416</v>
      </c>
    </row>
    <row r="51" ht="18.75" customHeight="1" spans="1:10">
      <c r="A51" s="23" t="s">
        <v>59</v>
      </c>
      <c r="B51" s="19"/>
      <c r="C51" s="19"/>
      <c r="D51" s="19"/>
      <c r="E51" s="19">
        <v>2</v>
      </c>
      <c r="F51" s="19"/>
      <c r="G51" s="19"/>
      <c r="H51" s="19">
        <f t="shared" si="3"/>
        <v>10.708</v>
      </c>
      <c r="I51" s="19">
        <f t="shared" si="4"/>
        <v>20.708</v>
      </c>
      <c r="J51" s="19">
        <f t="shared" si="5"/>
        <v>31.416</v>
      </c>
    </row>
    <row r="52" ht="18.75" customHeight="1" spans="1:10">
      <c r="A52" s="75" t="s">
        <v>60</v>
      </c>
      <c r="B52" s="22"/>
      <c r="C52" s="22"/>
      <c r="D52" s="22"/>
      <c r="E52" s="76">
        <v>1</v>
      </c>
      <c r="F52" s="22"/>
      <c r="G52" s="22"/>
      <c r="H52" s="19">
        <f t="shared" si="3"/>
        <v>10.708</v>
      </c>
      <c r="I52" s="19">
        <f t="shared" si="4"/>
        <v>19.708</v>
      </c>
      <c r="J52" s="19">
        <f t="shared" si="5"/>
        <v>30.416</v>
      </c>
    </row>
    <row r="53" spans="1:10">
      <c r="A53" s="23" t="s">
        <v>61</v>
      </c>
      <c r="B53" s="19">
        <v>2.5</v>
      </c>
      <c r="C53" s="19">
        <v>2.5</v>
      </c>
      <c r="D53" s="19"/>
      <c r="E53" s="19"/>
      <c r="F53" s="19"/>
      <c r="G53" s="19"/>
      <c r="H53" s="19">
        <f t="shared" si="3"/>
        <v>13.208</v>
      </c>
      <c r="I53" s="19">
        <f t="shared" si="4"/>
        <v>22.208</v>
      </c>
      <c r="J53" s="19">
        <f t="shared" si="5"/>
        <v>35.416</v>
      </c>
    </row>
    <row r="54" spans="1:10">
      <c r="A54" s="23" t="s">
        <v>62</v>
      </c>
      <c r="B54" s="19"/>
      <c r="C54" s="19"/>
      <c r="D54" s="19">
        <v>0.5</v>
      </c>
      <c r="E54" s="19"/>
      <c r="F54" s="19"/>
      <c r="G54" s="19"/>
      <c r="H54" s="19">
        <f t="shared" si="3"/>
        <v>12.708</v>
      </c>
      <c r="I54" s="19">
        <f t="shared" si="4"/>
        <v>22.208</v>
      </c>
      <c r="J54" s="19">
        <f t="shared" si="5"/>
        <v>34.916</v>
      </c>
    </row>
    <row r="55" spans="1:10">
      <c r="A55" s="23" t="s">
        <v>63</v>
      </c>
      <c r="B55" s="19"/>
      <c r="C55" s="19"/>
      <c r="D55" s="19"/>
      <c r="E55" s="19"/>
      <c r="F55" s="19"/>
      <c r="G55" s="19">
        <v>1</v>
      </c>
      <c r="H55" s="19">
        <f t="shared" si="3"/>
        <v>12.708</v>
      </c>
      <c r="I55" s="19">
        <f t="shared" si="4"/>
        <v>22.208</v>
      </c>
      <c r="J55" s="19">
        <f t="shared" si="5"/>
        <v>34.916</v>
      </c>
    </row>
    <row r="56" spans="1:10">
      <c r="A56" s="23" t="s">
        <v>64</v>
      </c>
      <c r="B56" s="24"/>
      <c r="C56" s="24"/>
      <c r="D56" s="24">
        <v>9</v>
      </c>
      <c r="E56" s="24">
        <v>19</v>
      </c>
      <c r="F56" s="24"/>
      <c r="G56" s="24"/>
      <c r="H56" s="19">
        <f t="shared" si="3"/>
        <v>3.708</v>
      </c>
      <c r="I56" s="19">
        <f t="shared" si="4"/>
        <v>3.208</v>
      </c>
      <c r="J56" s="19">
        <f t="shared" si="5"/>
        <v>6.916</v>
      </c>
    </row>
    <row r="57" spans="1:10">
      <c r="A57" s="23" t="s">
        <v>65</v>
      </c>
      <c r="B57" s="24"/>
      <c r="C57" s="24"/>
      <c r="D57" s="24"/>
      <c r="E57" s="24">
        <v>1</v>
      </c>
      <c r="F57" s="24"/>
      <c r="G57" s="24"/>
      <c r="H57" s="19">
        <f t="shared" si="3"/>
        <v>3.708</v>
      </c>
      <c r="I57" s="19">
        <f t="shared" si="4"/>
        <v>2.208</v>
      </c>
      <c r="J57" s="19">
        <f t="shared" si="5"/>
        <v>5.916</v>
      </c>
    </row>
    <row r="58" spans="1:10">
      <c r="A58" s="23" t="s">
        <v>66</v>
      </c>
      <c r="B58" s="19">
        <v>1.25</v>
      </c>
      <c r="C58" s="19">
        <v>1.25</v>
      </c>
      <c r="D58" s="24"/>
      <c r="E58" s="24"/>
      <c r="F58" s="24"/>
      <c r="G58" s="24"/>
      <c r="H58" s="19">
        <f t="shared" si="3"/>
        <v>4.958</v>
      </c>
      <c r="I58" s="19">
        <f t="shared" si="4"/>
        <v>3.458</v>
      </c>
      <c r="J58" s="19">
        <f t="shared" si="5"/>
        <v>8.416</v>
      </c>
    </row>
    <row r="59" spans="1:10">
      <c r="A59" s="23" t="s">
        <v>67</v>
      </c>
      <c r="B59" s="24"/>
      <c r="C59" s="24"/>
      <c r="D59" s="24">
        <v>0.5</v>
      </c>
      <c r="E59" s="24"/>
      <c r="F59" s="24"/>
      <c r="G59" s="24"/>
      <c r="H59" s="19">
        <f t="shared" si="3"/>
        <v>4.458</v>
      </c>
      <c r="I59" s="19">
        <f t="shared" si="4"/>
        <v>3.458</v>
      </c>
      <c r="J59" s="19">
        <f t="shared" si="5"/>
        <v>7.916</v>
      </c>
    </row>
    <row r="60" spans="1:10">
      <c r="A60" s="23" t="s">
        <v>68</v>
      </c>
      <c r="B60" s="24">
        <v>2.5</v>
      </c>
      <c r="C60" s="24">
        <v>2.5</v>
      </c>
      <c r="D60" s="24"/>
      <c r="E60" s="24"/>
      <c r="F60" s="24"/>
      <c r="G60" s="24"/>
      <c r="H60" s="19">
        <f t="shared" si="3"/>
        <v>6.958</v>
      </c>
      <c r="I60" s="19">
        <f t="shared" si="4"/>
        <v>5.958</v>
      </c>
      <c r="J60" s="19">
        <f t="shared" si="5"/>
        <v>12.916</v>
      </c>
    </row>
    <row r="61" spans="1:10">
      <c r="A61" s="23" t="s">
        <v>69</v>
      </c>
      <c r="B61" s="24"/>
      <c r="C61" s="24"/>
      <c r="D61" s="24"/>
      <c r="E61" s="24"/>
      <c r="F61" s="24">
        <v>1</v>
      </c>
      <c r="G61" s="24"/>
      <c r="H61" s="19">
        <f t="shared" si="3"/>
        <v>5.958</v>
      </c>
      <c r="I61" s="19">
        <f t="shared" si="4"/>
        <v>5.958</v>
      </c>
      <c r="J61" s="19">
        <f t="shared" si="5"/>
        <v>11.916</v>
      </c>
    </row>
    <row r="62" spans="1:10">
      <c r="A62" s="23" t="s">
        <v>70</v>
      </c>
      <c r="B62" s="24"/>
      <c r="C62" s="24"/>
      <c r="D62" s="24">
        <v>0.5</v>
      </c>
      <c r="E62" s="24"/>
      <c r="F62" s="24"/>
      <c r="G62" s="24"/>
      <c r="H62" s="19">
        <f t="shared" si="3"/>
        <v>5.458</v>
      </c>
      <c r="I62" s="19">
        <f t="shared" si="4"/>
        <v>5.958</v>
      </c>
      <c r="J62" s="19">
        <f t="shared" si="5"/>
        <v>11.416</v>
      </c>
    </row>
    <row r="63" spans="1:10">
      <c r="A63" s="23" t="s">
        <v>71</v>
      </c>
      <c r="B63" s="19">
        <v>1.25</v>
      </c>
      <c r="C63" s="19">
        <v>1.25</v>
      </c>
      <c r="D63" s="24"/>
      <c r="E63" s="24"/>
      <c r="F63" s="24"/>
      <c r="G63" s="24"/>
      <c r="H63" s="19">
        <f t="shared" si="3"/>
        <v>6.708</v>
      </c>
      <c r="I63" s="19">
        <f t="shared" si="4"/>
        <v>7.208</v>
      </c>
      <c r="J63" s="19">
        <f t="shared" si="5"/>
        <v>13.916</v>
      </c>
    </row>
    <row r="64" spans="1:10">
      <c r="A64" s="23" t="s">
        <v>72</v>
      </c>
      <c r="B64" s="19">
        <v>1.25</v>
      </c>
      <c r="C64" s="19">
        <v>1.25</v>
      </c>
      <c r="D64" s="24"/>
      <c r="E64" s="24"/>
      <c r="F64" s="24"/>
      <c r="G64" s="24"/>
      <c r="H64" s="19">
        <f t="shared" si="3"/>
        <v>7.958</v>
      </c>
      <c r="I64" s="19">
        <f t="shared" si="4"/>
        <v>8.458</v>
      </c>
      <c r="J64" s="19">
        <f t="shared" si="5"/>
        <v>16.416</v>
      </c>
    </row>
    <row r="65" spans="1:10">
      <c r="A65" s="23" t="s">
        <v>73</v>
      </c>
      <c r="B65" s="24"/>
      <c r="C65" s="24"/>
      <c r="D65" s="24"/>
      <c r="E65" s="24"/>
      <c r="F65" s="24">
        <v>1</v>
      </c>
      <c r="G65" s="24"/>
      <c r="H65" s="19">
        <f t="shared" si="3"/>
        <v>6.958</v>
      </c>
      <c r="I65" s="19">
        <f t="shared" si="4"/>
        <v>8.458</v>
      </c>
      <c r="J65" s="19">
        <f t="shared" si="5"/>
        <v>15.416</v>
      </c>
    </row>
    <row r="66" spans="1:10">
      <c r="A66" s="23" t="s">
        <v>74</v>
      </c>
      <c r="B66" s="24"/>
      <c r="C66" s="24"/>
      <c r="D66" s="24">
        <v>0.5</v>
      </c>
      <c r="E66" s="24"/>
      <c r="F66" s="24"/>
      <c r="G66" s="24"/>
      <c r="H66" s="19">
        <f t="shared" si="3"/>
        <v>6.458</v>
      </c>
      <c r="I66" s="19">
        <f t="shared" si="4"/>
        <v>8.458</v>
      </c>
      <c r="J66" s="19">
        <f t="shared" si="5"/>
        <v>14.916</v>
      </c>
    </row>
    <row r="67" spans="1:10">
      <c r="A67" s="23" t="s">
        <v>75</v>
      </c>
      <c r="B67" s="24"/>
      <c r="C67" s="24"/>
      <c r="D67" s="24"/>
      <c r="E67" s="24"/>
      <c r="F67" s="24"/>
      <c r="G67" s="24">
        <v>1</v>
      </c>
      <c r="H67" s="19">
        <f t="shared" si="3"/>
        <v>6.458</v>
      </c>
      <c r="I67" s="19">
        <f t="shared" si="4"/>
        <v>8.458</v>
      </c>
      <c r="J67" s="19">
        <f t="shared" si="5"/>
        <v>14.916</v>
      </c>
    </row>
    <row r="68" spans="1:10">
      <c r="A68" s="23" t="s">
        <v>76</v>
      </c>
      <c r="B68" s="19">
        <v>2.5</v>
      </c>
      <c r="C68" s="19">
        <v>2.5</v>
      </c>
      <c r="D68" s="24"/>
      <c r="E68" s="24"/>
      <c r="F68" s="24"/>
      <c r="G68" s="24"/>
      <c r="H68" s="19">
        <f t="shared" si="3"/>
        <v>8.958</v>
      </c>
      <c r="I68" s="19">
        <f t="shared" si="4"/>
        <v>10.958</v>
      </c>
      <c r="J68" s="19">
        <f t="shared" si="5"/>
        <v>19.916</v>
      </c>
    </row>
    <row r="69" spans="1:10">
      <c r="A69" s="23" t="s">
        <v>77</v>
      </c>
      <c r="B69" s="19">
        <v>1.25</v>
      </c>
      <c r="C69" s="19">
        <v>1.25</v>
      </c>
      <c r="D69" s="24"/>
      <c r="E69" s="24"/>
      <c r="F69" s="24"/>
      <c r="G69" s="24"/>
      <c r="H69" s="19">
        <f t="shared" si="3"/>
        <v>10.208</v>
      </c>
      <c r="I69" s="19">
        <f t="shared" si="4"/>
        <v>12.208</v>
      </c>
      <c r="J69" s="19">
        <f t="shared" si="5"/>
        <v>22.416</v>
      </c>
    </row>
    <row r="70" spans="1:10">
      <c r="A70" s="25" t="s">
        <v>78</v>
      </c>
      <c r="B70" s="26"/>
      <c r="C70" s="26"/>
      <c r="D70" s="26"/>
      <c r="E70" s="26"/>
      <c r="F70" s="24">
        <v>1</v>
      </c>
      <c r="G70" s="27"/>
      <c r="H70" s="19">
        <f t="shared" si="3"/>
        <v>9.208</v>
      </c>
      <c r="I70" s="19">
        <f t="shared" si="4"/>
        <v>12.208</v>
      </c>
      <c r="J70" s="19">
        <f t="shared" si="5"/>
        <v>21.416</v>
      </c>
    </row>
    <row r="71" spans="1:10">
      <c r="A71" s="25" t="s">
        <v>79</v>
      </c>
      <c r="B71" s="26"/>
      <c r="C71" s="26"/>
      <c r="D71" s="26"/>
      <c r="E71" s="24"/>
      <c r="F71" s="27"/>
      <c r="G71" s="79">
        <v>1</v>
      </c>
      <c r="H71" s="19">
        <f t="shared" si="3"/>
        <v>9.208</v>
      </c>
      <c r="I71" s="19">
        <f t="shared" si="4"/>
        <v>12.208</v>
      </c>
      <c r="J71" s="19">
        <f t="shared" si="5"/>
        <v>21.416</v>
      </c>
    </row>
    <row r="72" spans="1:10">
      <c r="A72" s="23" t="s">
        <v>80</v>
      </c>
      <c r="B72" s="19">
        <v>1.25</v>
      </c>
      <c r="C72" s="19">
        <v>1.25</v>
      </c>
      <c r="D72" s="26"/>
      <c r="E72" s="26"/>
      <c r="F72" s="27"/>
      <c r="G72" s="27"/>
      <c r="H72" s="19">
        <f t="shared" si="3"/>
        <v>10.458</v>
      </c>
      <c r="I72" s="19">
        <f t="shared" si="4"/>
        <v>13.458</v>
      </c>
      <c r="J72" s="19">
        <f t="shared" si="5"/>
        <v>23.916</v>
      </c>
    </row>
    <row r="73" spans="1:10">
      <c r="A73" s="25" t="s">
        <v>81</v>
      </c>
      <c r="B73" s="26"/>
      <c r="C73" s="26"/>
      <c r="D73" s="26"/>
      <c r="E73" s="26"/>
      <c r="F73" s="24">
        <v>1</v>
      </c>
      <c r="G73" s="27"/>
      <c r="H73" s="19">
        <f t="shared" si="3"/>
        <v>9.458</v>
      </c>
      <c r="I73" s="19">
        <f t="shared" si="4"/>
        <v>13.458</v>
      </c>
      <c r="J73" s="19">
        <f t="shared" si="5"/>
        <v>22.916</v>
      </c>
    </row>
    <row r="74" spans="1:10">
      <c r="A74" s="25" t="s">
        <v>82</v>
      </c>
      <c r="B74" s="26"/>
      <c r="C74" s="26"/>
      <c r="D74" s="26"/>
      <c r="E74" s="26"/>
      <c r="F74" s="24">
        <v>1</v>
      </c>
      <c r="G74" s="27"/>
      <c r="H74" s="19">
        <f t="shared" si="3"/>
        <v>8.458</v>
      </c>
      <c r="I74" s="19">
        <f t="shared" si="4"/>
        <v>13.458</v>
      </c>
      <c r="J74" s="19">
        <f t="shared" si="5"/>
        <v>21.916</v>
      </c>
    </row>
    <row r="75" spans="1:10">
      <c r="A75" s="23" t="s">
        <v>83</v>
      </c>
      <c r="B75" s="24">
        <v>2.5</v>
      </c>
      <c r="C75" s="24">
        <v>2.5</v>
      </c>
      <c r="D75" s="26"/>
      <c r="E75" s="26"/>
      <c r="F75" s="27"/>
      <c r="G75" s="27"/>
      <c r="H75" s="19">
        <f t="shared" si="3"/>
        <v>10.958</v>
      </c>
      <c r="I75" s="19">
        <f t="shared" si="4"/>
        <v>15.958</v>
      </c>
      <c r="J75" s="19">
        <f t="shared" si="5"/>
        <v>26.916</v>
      </c>
    </row>
    <row r="76" spans="1:10">
      <c r="A76" s="25" t="s">
        <v>84</v>
      </c>
      <c r="B76" s="26"/>
      <c r="C76" s="26"/>
      <c r="D76" s="24">
        <v>8</v>
      </c>
      <c r="E76" s="24">
        <v>10</v>
      </c>
      <c r="F76" s="27"/>
      <c r="G76" s="27"/>
      <c r="H76" s="19">
        <f t="shared" si="3"/>
        <v>2.958</v>
      </c>
      <c r="I76" s="19">
        <f t="shared" si="4"/>
        <v>5.958</v>
      </c>
      <c r="J76" s="19">
        <f t="shared" si="5"/>
        <v>8.916</v>
      </c>
    </row>
    <row r="77" spans="1:10">
      <c r="A77" s="27" t="s">
        <v>85</v>
      </c>
      <c r="B77" s="27">
        <f>4*1.25</f>
        <v>5</v>
      </c>
      <c r="C77" s="27">
        <v>5</v>
      </c>
      <c r="D77" s="26"/>
      <c r="E77" s="26"/>
      <c r="F77" s="27"/>
      <c r="G77" s="27"/>
      <c r="H77" s="19">
        <f t="shared" si="3"/>
        <v>7.958</v>
      </c>
      <c r="I77" s="19">
        <f t="shared" si="4"/>
        <v>10.958</v>
      </c>
      <c r="J77" s="19">
        <f t="shared" si="5"/>
        <v>18.916</v>
      </c>
    </row>
    <row r="78" spans="1:10">
      <c r="A78" s="27" t="s">
        <v>86</v>
      </c>
      <c r="B78" s="27"/>
      <c r="C78" s="27"/>
      <c r="D78" s="26"/>
      <c r="E78" s="26"/>
      <c r="F78" s="27">
        <v>1</v>
      </c>
      <c r="G78" s="27"/>
      <c r="H78" s="19">
        <f t="shared" si="3"/>
        <v>6.958</v>
      </c>
      <c r="I78" s="19">
        <f t="shared" si="4"/>
        <v>10.958</v>
      </c>
      <c r="J78" s="19">
        <f t="shared" si="5"/>
        <v>17.916</v>
      </c>
    </row>
    <row r="79" spans="1:10">
      <c r="A79" s="27" t="s">
        <v>87</v>
      </c>
      <c r="B79" s="27"/>
      <c r="C79" s="27"/>
      <c r="D79" s="26"/>
      <c r="E79" s="26"/>
      <c r="F79" s="27">
        <v>1</v>
      </c>
      <c r="G79" s="27"/>
      <c r="H79" s="19">
        <f t="shared" si="3"/>
        <v>5.958</v>
      </c>
      <c r="I79" s="19">
        <f t="shared" si="4"/>
        <v>10.958</v>
      </c>
      <c r="J79" s="19">
        <f t="shared" si="5"/>
        <v>16.916</v>
      </c>
    </row>
    <row r="80" spans="1:10">
      <c r="A80" s="27" t="s">
        <v>88</v>
      </c>
      <c r="B80" s="27">
        <v>6.25</v>
      </c>
      <c r="C80" s="27">
        <v>6.25</v>
      </c>
      <c r="D80" s="26"/>
      <c r="E80" s="26"/>
      <c r="F80" s="27"/>
      <c r="G80" s="27"/>
      <c r="H80" s="19">
        <f t="shared" si="3"/>
        <v>12.208</v>
      </c>
      <c r="I80" s="19">
        <f t="shared" si="4"/>
        <v>17.208</v>
      </c>
      <c r="J80" s="19">
        <f t="shared" si="5"/>
        <v>29.416</v>
      </c>
    </row>
    <row r="81" spans="1:10">
      <c r="A81" s="35" t="s">
        <v>89</v>
      </c>
      <c r="B81" s="27"/>
      <c r="C81" s="27"/>
      <c r="D81" s="26"/>
      <c r="E81" s="26"/>
      <c r="F81" s="27"/>
      <c r="G81" s="27">
        <v>2</v>
      </c>
      <c r="H81" s="19">
        <f t="shared" si="3"/>
        <v>12.208</v>
      </c>
      <c r="I81" s="19">
        <f t="shared" si="4"/>
        <v>17.208</v>
      </c>
      <c r="J81" s="19">
        <f t="shared" si="5"/>
        <v>29.416</v>
      </c>
    </row>
    <row r="82" spans="1:10">
      <c r="A82" s="35" t="s">
        <v>90</v>
      </c>
      <c r="B82" s="27">
        <v>1.25</v>
      </c>
      <c r="C82" s="27">
        <v>1.25</v>
      </c>
      <c r="D82" s="26"/>
      <c r="E82" s="26"/>
      <c r="F82" s="27"/>
      <c r="G82" s="27"/>
      <c r="H82" s="19">
        <f t="shared" si="3"/>
        <v>13.458</v>
      </c>
      <c r="I82" s="19">
        <f t="shared" si="4"/>
        <v>18.458</v>
      </c>
      <c r="J82" s="19">
        <f t="shared" si="5"/>
        <v>31.916</v>
      </c>
    </row>
    <row r="83" spans="1:10">
      <c r="A83" s="27" t="s">
        <v>91</v>
      </c>
      <c r="B83" s="27"/>
      <c r="C83" s="27"/>
      <c r="D83" s="26"/>
      <c r="E83" s="26"/>
      <c r="F83" s="27"/>
      <c r="G83" s="27">
        <v>1</v>
      </c>
      <c r="H83" s="19">
        <f t="shared" ref="H83:H90" si="6">H82-F83-D83+B83</f>
        <v>13.458</v>
      </c>
      <c r="I83" s="19">
        <f t="shared" ref="I83:I90" si="7">I82-E83+C83</f>
        <v>18.458</v>
      </c>
      <c r="J83" s="19">
        <f t="shared" ref="J83:J90" si="8">SUM(H83:I83)</f>
        <v>31.916</v>
      </c>
    </row>
    <row r="84" spans="1:10">
      <c r="A84" s="27" t="s">
        <v>92</v>
      </c>
      <c r="B84" s="27">
        <v>6.25</v>
      </c>
      <c r="C84" s="27">
        <v>6.25</v>
      </c>
      <c r="D84" s="26"/>
      <c r="E84" s="26"/>
      <c r="F84" s="27"/>
      <c r="G84" s="27"/>
      <c r="H84" s="19">
        <f t="shared" si="6"/>
        <v>19.708</v>
      </c>
      <c r="I84" s="19">
        <f t="shared" si="7"/>
        <v>24.708</v>
      </c>
      <c r="J84" s="19">
        <f t="shared" si="8"/>
        <v>44.416</v>
      </c>
    </row>
    <row r="85" spans="1:10">
      <c r="A85" s="27" t="s">
        <v>93</v>
      </c>
      <c r="B85" s="27"/>
      <c r="C85" s="27"/>
      <c r="D85" s="26"/>
      <c r="E85" s="26"/>
      <c r="F85" s="27">
        <v>4</v>
      </c>
      <c r="G85" s="27"/>
      <c r="H85" s="19">
        <f t="shared" si="6"/>
        <v>15.708</v>
      </c>
      <c r="I85" s="19">
        <f t="shared" si="7"/>
        <v>24.708</v>
      </c>
      <c r="J85" s="19">
        <f t="shared" si="8"/>
        <v>40.416</v>
      </c>
    </row>
    <row r="86" spans="1:10">
      <c r="A86" s="27" t="s">
        <v>94</v>
      </c>
      <c r="B86" s="27">
        <v>1.25</v>
      </c>
      <c r="C86" s="27">
        <v>1.25</v>
      </c>
      <c r="D86" s="26"/>
      <c r="E86" s="26"/>
      <c r="F86" s="27"/>
      <c r="G86" s="27"/>
      <c r="H86" s="19">
        <f t="shared" si="6"/>
        <v>16.958</v>
      </c>
      <c r="I86" s="19">
        <f t="shared" si="7"/>
        <v>25.958</v>
      </c>
      <c r="J86" s="19">
        <f t="shared" si="8"/>
        <v>42.916</v>
      </c>
    </row>
    <row r="87" spans="1:10">
      <c r="A87" s="27" t="s">
        <v>95</v>
      </c>
      <c r="B87" s="27">
        <v>2.5</v>
      </c>
      <c r="C87" s="27">
        <v>2.5</v>
      </c>
      <c r="D87" s="26"/>
      <c r="E87" s="26"/>
      <c r="F87" s="27"/>
      <c r="G87" s="27"/>
      <c r="H87" s="19">
        <f t="shared" si="6"/>
        <v>19.458</v>
      </c>
      <c r="I87" s="19">
        <f t="shared" si="7"/>
        <v>28.458</v>
      </c>
      <c r="J87" s="19">
        <f t="shared" si="8"/>
        <v>47.916</v>
      </c>
    </row>
    <row r="88" spans="1:10">
      <c r="A88" s="27" t="s">
        <v>96</v>
      </c>
      <c r="B88" s="27"/>
      <c r="C88" s="27"/>
      <c r="D88" s="26"/>
      <c r="E88" s="26"/>
      <c r="F88" s="27"/>
      <c r="G88" s="36">
        <v>1</v>
      </c>
      <c r="H88" s="19">
        <f t="shared" si="6"/>
        <v>19.458</v>
      </c>
      <c r="I88" s="19">
        <f t="shared" si="7"/>
        <v>28.458</v>
      </c>
      <c r="J88" s="19">
        <f t="shared" si="8"/>
        <v>47.916</v>
      </c>
    </row>
    <row r="89" spans="1:10">
      <c r="A89" s="27" t="s">
        <v>97</v>
      </c>
      <c r="B89" s="27">
        <v>1.25</v>
      </c>
      <c r="C89" s="27">
        <v>1.25</v>
      </c>
      <c r="D89" s="26"/>
      <c r="E89" s="26"/>
      <c r="F89" s="27"/>
      <c r="G89" s="27"/>
      <c r="H89" s="19">
        <f t="shared" si="6"/>
        <v>20.708</v>
      </c>
      <c r="I89" s="19">
        <f t="shared" si="7"/>
        <v>29.708</v>
      </c>
      <c r="J89" s="19">
        <f t="shared" si="8"/>
        <v>50.416</v>
      </c>
    </row>
    <row r="90" spans="1:10">
      <c r="A90" s="27" t="s">
        <v>98</v>
      </c>
      <c r="B90" s="27"/>
      <c r="C90" s="27"/>
      <c r="D90" s="27">
        <v>15</v>
      </c>
      <c r="E90" s="26"/>
      <c r="F90" s="27"/>
      <c r="G90" s="27"/>
      <c r="H90" s="19">
        <f t="shared" si="6"/>
        <v>5.708</v>
      </c>
      <c r="I90" s="19">
        <f t="shared" si="7"/>
        <v>29.708</v>
      </c>
      <c r="J90" s="19">
        <f t="shared" si="8"/>
        <v>35.416</v>
      </c>
    </row>
    <row r="91" spans="1:10">
      <c r="A91" s="27" t="s">
        <v>99</v>
      </c>
      <c r="B91" s="27">
        <v>2.5</v>
      </c>
      <c r="C91" s="27">
        <v>2.5</v>
      </c>
      <c r="D91" s="27"/>
      <c r="E91" s="26"/>
      <c r="F91" s="27"/>
      <c r="G91" s="27"/>
      <c r="H91" s="19">
        <f t="shared" ref="H91" si="9">H90-F91-D91+B91</f>
        <v>8.208</v>
      </c>
      <c r="I91" s="19">
        <f t="shared" ref="I91" si="10">I90-E91+C91</f>
        <v>32.208</v>
      </c>
      <c r="J91" s="19">
        <f t="shared" ref="J91" si="11">SUM(H91:I91)</f>
        <v>40.416</v>
      </c>
    </row>
    <row r="92" spans="1:10">
      <c r="A92" s="27" t="s">
        <v>100</v>
      </c>
      <c r="B92" s="27"/>
      <c r="C92" s="27"/>
      <c r="D92" s="27"/>
      <c r="E92" s="26"/>
      <c r="F92" s="34">
        <v>2</v>
      </c>
      <c r="G92" s="27"/>
      <c r="H92" s="19">
        <f t="shared" ref="H92" si="12">H91-F92-D92+B92</f>
        <v>6.208</v>
      </c>
      <c r="I92" s="19">
        <f t="shared" ref="I92" si="13">I91-E92+C92</f>
        <v>32.208</v>
      </c>
      <c r="J92" s="19">
        <f t="shared" ref="J92" si="14">SUM(H92:I92)</f>
        <v>38.416</v>
      </c>
    </row>
    <row r="93" spans="1:10">
      <c r="A93" s="27" t="s">
        <v>101</v>
      </c>
      <c r="B93" s="27">
        <v>5</v>
      </c>
      <c r="C93" s="27">
        <v>5</v>
      </c>
      <c r="D93" s="27"/>
      <c r="E93" s="26"/>
      <c r="F93" s="27"/>
      <c r="G93" s="27"/>
      <c r="H93" s="19">
        <f t="shared" ref="H93:H94" si="15">H92-F93-D93+B93</f>
        <v>11.208</v>
      </c>
      <c r="I93" s="19">
        <f t="shared" ref="I93:I94" si="16">I92-E93+C93</f>
        <v>37.208</v>
      </c>
      <c r="J93" s="19">
        <f t="shared" ref="J93:J94" si="17">SUM(H93:I93)</f>
        <v>48.416</v>
      </c>
    </row>
    <row r="94" spans="1:10">
      <c r="A94" s="27" t="s">
        <v>102</v>
      </c>
      <c r="B94" s="27"/>
      <c r="C94" s="27"/>
      <c r="D94" s="27"/>
      <c r="E94" s="27">
        <v>1</v>
      </c>
      <c r="F94" s="27"/>
      <c r="G94" s="27"/>
      <c r="H94" s="19">
        <f t="shared" si="15"/>
        <v>11.208</v>
      </c>
      <c r="I94" s="19">
        <f t="shared" si="16"/>
        <v>36.208</v>
      </c>
      <c r="J94" s="19">
        <f t="shared" si="17"/>
        <v>47.416</v>
      </c>
    </row>
    <row r="95" spans="1:10">
      <c r="A95" s="27" t="s">
        <v>103</v>
      </c>
      <c r="B95" s="27">
        <v>1.25</v>
      </c>
      <c r="C95" s="27">
        <v>1.25</v>
      </c>
      <c r="D95" s="27"/>
      <c r="E95" s="27"/>
      <c r="F95" s="27"/>
      <c r="G95" s="27"/>
      <c r="H95" s="19">
        <f t="shared" ref="H95:H96" si="18">H94-F95-D95+B95</f>
        <v>12.458</v>
      </c>
      <c r="I95" s="19">
        <f t="shared" ref="I95:I96" si="19">I94-E95+C95</f>
        <v>37.458</v>
      </c>
      <c r="J95" s="19">
        <f t="shared" ref="J95:J96" si="20">SUM(H95:I95)</f>
        <v>49.916</v>
      </c>
    </row>
    <row r="96" spans="1:10">
      <c r="A96" s="27" t="s">
        <v>104</v>
      </c>
      <c r="B96" s="27"/>
      <c r="C96" s="27"/>
      <c r="D96" s="27"/>
      <c r="E96" s="27">
        <v>2</v>
      </c>
      <c r="F96" s="27"/>
      <c r="G96" s="27"/>
      <c r="H96" s="19">
        <f t="shared" si="18"/>
        <v>12.458</v>
      </c>
      <c r="I96" s="19">
        <f t="shared" si="19"/>
        <v>35.458</v>
      </c>
      <c r="J96" s="19">
        <f t="shared" si="20"/>
        <v>47.916</v>
      </c>
    </row>
    <row r="97" spans="1:10">
      <c r="A97" s="27" t="s">
        <v>105</v>
      </c>
      <c r="B97" s="27"/>
      <c r="C97" s="27"/>
      <c r="D97" s="27"/>
      <c r="E97" s="27"/>
      <c r="F97" s="34">
        <v>2</v>
      </c>
      <c r="G97" s="27"/>
      <c r="H97" s="19">
        <f t="shared" ref="H97" si="21">H96-F97-D97+B97</f>
        <v>10.458</v>
      </c>
      <c r="I97" s="19">
        <f t="shared" ref="I97" si="22">I96-E97+C97</f>
        <v>35.458</v>
      </c>
      <c r="J97" s="19">
        <f t="shared" ref="J97" si="23">SUM(H97:I97)</f>
        <v>45.916</v>
      </c>
    </row>
    <row r="98" spans="1:10">
      <c r="A98" s="80" t="s">
        <v>106</v>
      </c>
      <c r="B98" s="80">
        <v>1.25</v>
      </c>
      <c r="C98" s="80">
        <v>1.25</v>
      </c>
      <c r="D98" s="80"/>
      <c r="E98" s="80"/>
      <c r="F98" s="81"/>
      <c r="G98" s="80"/>
      <c r="H98" s="19">
        <f>H97-F98-D98+B98</f>
        <v>11.708</v>
      </c>
      <c r="I98" s="19">
        <f>I97-E98+C98</f>
        <v>36.708</v>
      </c>
      <c r="J98" s="19">
        <f>SUM(H98:I98)</f>
        <v>48.416</v>
      </c>
    </row>
    <row r="99" spans="1:10">
      <c r="A99" s="80" t="s">
        <v>107</v>
      </c>
      <c r="B99" s="80"/>
      <c r="C99" s="80"/>
      <c r="D99" s="80"/>
      <c r="E99" s="80"/>
      <c r="F99" s="34">
        <v>1</v>
      </c>
      <c r="G99" s="80"/>
      <c r="H99" s="19">
        <f>H98-F99-D99+B99</f>
        <v>10.708</v>
      </c>
      <c r="I99" s="19">
        <f>I98-E99+C99</f>
        <v>36.708</v>
      </c>
      <c r="J99" s="19">
        <f>SUM(H99:I99)</f>
        <v>47.416</v>
      </c>
    </row>
    <row r="100" spans="1:10">
      <c r="A100" s="80"/>
      <c r="B100" s="80"/>
      <c r="C100" s="80"/>
      <c r="D100" s="80"/>
      <c r="E100" s="80"/>
      <c r="F100" s="81"/>
      <c r="G100" s="80"/>
      <c r="H100" s="82"/>
      <c r="I100" s="82"/>
      <c r="J100" s="82"/>
    </row>
    <row r="101" spans="1:10">
      <c r="A101" s="83"/>
      <c r="B101" s="83"/>
      <c r="C101" s="83"/>
      <c r="D101" s="83"/>
      <c r="E101" s="83"/>
      <c r="F101" s="83"/>
      <c r="G101" s="83"/>
      <c r="H101" s="84"/>
      <c r="I101" s="84"/>
      <c r="J101" s="84"/>
    </row>
    <row r="102" spans="1:10">
      <c r="A102" s="2"/>
      <c r="B102" s="2"/>
      <c r="C102" s="2"/>
      <c r="H102" s="85"/>
      <c r="I102" s="85"/>
      <c r="J102" s="85"/>
    </row>
    <row r="103" s="1" customFormat="1" ht="15" customHeight="1" spans="6:7">
      <c r="F103" s="4"/>
      <c r="G103" s="1" t="s">
        <v>108</v>
      </c>
    </row>
    <row r="104" s="1" customFormat="1" ht="15" customHeight="1" spans="6:6">
      <c r="F104" s="4"/>
    </row>
    <row r="105" s="1" customFormat="1" ht="15" customHeight="1" spans="6:7">
      <c r="F105" s="4"/>
      <c r="G105" s="37" t="s">
        <v>109</v>
      </c>
    </row>
    <row r="106" s="1" customFormat="1" ht="15" customHeight="1" spans="6:7">
      <c r="F106" s="4"/>
      <c r="G106" s="1" t="s">
        <v>110</v>
      </c>
    </row>
    <row r="107" s="1" customFormat="1" ht="15" customHeight="1" spans="6:8">
      <c r="F107" s="4"/>
      <c r="G107" s="4" t="s">
        <v>111</v>
      </c>
      <c r="H107" s="4"/>
    </row>
  </sheetData>
  <mergeCells count="13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G107:H107"/>
    <mergeCell ref="J11:J12"/>
    <mergeCell ref="K11:K12"/>
  </mergeCells>
  <printOptions horizontalCentered="1"/>
  <pageMargins left="0.236220472440945" right="0.118110236220472" top="0.62992125984252" bottom="0.236220472440945" header="0.31496062992126" footer="0.31496062992126"/>
  <pageSetup paperSize="9" scale="69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3"/>
  <sheetViews>
    <sheetView topLeftCell="A4" workbookViewId="0">
      <selection activeCell="F28" sqref="F28"/>
    </sheetView>
  </sheetViews>
  <sheetFormatPr defaultColWidth="9" defaultRowHeight="14.4"/>
  <cols>
    <col min="1" max="1" width="21.5740740740741" customWidth="1"/>
    <col min="2" max="2" width="17.5740740740741" customWidth="1"/>
  </cols>
  <sheetData>
    <row r="1" s="1" customFormat="1" ht="52.5" customHeight="1"/>
    <row r="2" s="1" customFormat="1" ht="10.5" customHeight="1" spans="1:1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="1" customFormat="1" ht="15.95" customHeight="1" spans="1:12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="1" customFormat="1" ht="15.95" customHeight="1" spans="1:12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="1" customFormat="1" ht="15.95" customHeight="1" spans="1:12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="1" customFormat="1" ht="8.25" customHeight="1"/>
    <row r="7" s="1" customFormat="1" ht="12" customHeight="1" spans="1:8">
      <c r="A7" s="1" t="s">
        <v>4</v>
      </c>
      <c r="C7" s="7" t="s">
        <v>5</v>
      </c>
      <c r="D7" s="7"/>
      <c r="G7" s="7" t="s">
        <v>6</v>
      </c>
      <c r="H7" s="28"/>
    </row>
    <row r="8" s="1" customFormat="1" ht="12" customHeight="1" spans="3:8">
      <c r="C8" s="8"/>
      <c r="G8" s="8"/>
      <c r="H8" s="8"/>
    </row>
    <row r="9" s="1" customFormat="1" ht="12" customHeight="1" spans="1:8">
      <c r="A9" s="1" t="s">
        <v>7</v>
      </c>
      <c r="C9" s="7" t="s">
        <v>8</v>
      </c>
      <c r="D9" s="7"/>
      <c r="G9" s="7" t="s">
        <v>9</v>
      </c>
      <c r="H9" s="29"/>
    </row>
    <row r="10" ht="16.5" customHeight="1" spans="1:12">
      <c r="A10" s="9" t="s">
        <v>112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="38" customFormat="1" ht="18.75" customHeight="1" spans="1:12">
      <c r="A11" s="40" t="s">
        <v>11</v>
      </c>
      <c r="B11" s="41" t="s">
        <v>12</v>
      </c>
      <c r="C11" s="42"/>
      <c r="D11" s="42"/>
      <c r="E11" s="42"/>
      <c r="F11" s="42"/>
      <c r="G11" s="42"/>
      <c r="H11" s="42"/>
      <c r="I11" s="42"/>
      <c r="J11" s="42"/>
      <c r="K11" s="42"/>
      <c r="L11" s="52" t="s">
        <v>15</v>
      </c>
    </row>
    <row r="12" s="38" customFormat="1" ht="24" customHeight="1" spans="1:12">
      <c r="A12" s="43"/>
      <c r="B12" s="44" t="s">
        <v>113</v>
      </c>
      <c r="C12" s="45"/>
      <c r="D12" s="45"/>
      <c r="E12" s="46"/>
      <c r="F12" s="44" t="s">
        <v>114</v>
      </c>
      <c r="G12" s="46"/>
      <c r="H12" s="44" t="s">
        <v>115</v>
      </c>
      <c r="I12" s="46"/>
      <c r="J12" s="44" t="s">
        <v>116</v>
      </c>
      <c r="K12" s="46"/>
      <c r="L12" s="53"/>
    </row>
    <row r="13" s="38" customFormat="1" ht="24.95" customHeight="1" spans="1:12">
      <c r="A13" s="47" t="s">
        <v>117</v>
      </c>
      <c r="B13" s="48" t="s">
        <v>118</v>
      </c>
      <c r="C13" s="49"/>
      <c r="D13" s="49"/>
      <c r="E13" s="50"/>
      <c r="F13" s="58">
        <v>1</v>
      </c>
      <c r="G13" s="59"/>
      <c r="H13" s="48">
        <v>0</v>
      </c>
      <c r="I13" s="50"/>
      <c r="J13" s="48">
        <v>1</v>
      </c>
      <c r="K13" s="50"/>
      <c r="L13" s="54">
        <v>1</v>
      </c>
    </row>
    <row r="14" s="39" customFormat="1" ht="25.5" customHeight="1" spans="1:12">
      <c r="A14" s="47" t="s">
        <v>119</v>
      </c>
      <c r="B14" s="48"/>
      <c r="C14" s="49"/>
      <c r="D14" s="49"/>
      <c r="E14" s="50"/>
      <c r="F14" s="58"/>
      <c r="G14" s="59"/>
      <c r="H14" s="48">
        <v>1</v>
      </c>
      <c r="I14" s="50"/>
      <c r="J14" s="48">
        <v>0</v>
      </c>
      <c r="K14" s="50"/>
      <c r="L14" s="68">
        <v>0</v>
      </c>
    </row>
    <row r="15" s="39" customFormat="1" ht="25.5" customHeight="1" spans="1:12">
      <c r="A15" s="47" t="s">
        <v>120</v>
      </c>
      <c r="B15" s="48" t="s">
        <v>121</v>
      </c>
      <c r="C15" s="49"/>
      <c r="D15" s="49"/>
      <c r="E15" s="50"/>
      <c r="F15" s="58">
        <v>1</v>
      </c>
      <c r="G15" s="59"/>
      <c r="H15" s="48">
        <v>0</v>
      </c>
      <c r="I15" s="50"/>
      <c r="J15" s="48">
        <v>1</v>
      </c>
      <c r="K15" s="50"/>
      <c r="L15" s="55">
        <v>1</v>
      </c>
    </row>
    <row r="16" s="39" customFormat="1" ht="25.5" customHeight="1" spans="1:12">
      <c r="A16" s="60"/>
      <c r="B16" s="61"/>
      <c r="C16" s="62"/>
      <c r="D16" s="62"/>
      <c r="E16" s="63"/>
      <c r="F16" s="64"/>
      <c r="G16" s="65"/>
      <c r="H16" s="61"/>
      <c r="I16" s="63"/>
      <c r="J16" s="61"/>
      <c r="K16" s="63"/>
      <c r="L16" s="55"/>
    </row>
    <row r="17" s="39" customFormat="1" spans="1:12">
      <c r="A17" s="66" t="s">
        <v>122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9"/>
    </row>
    <row r="18" ht="18.95" customHeight="1" spans="1:12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</row>
    <row r="19" s="1" customFormat="1" spans="3:10">
      <c r="C19" s="4"/>
      <c r="J19" s="1" t="s">
        <v>108</v>
      </c>
    </row>
    <row r="20" s="1" customFormat="1" spans="3:3">
      <c r="C20" s="4"/>
    </row>
    <row r="21" spans="10:12">
      <c r="J21" s="56" t="s">
        <v>109</v>
      </c>
      <c r="K21" s="56"/>
      <c r="L21" s="56"/>
    </row>
    <row r="22" spans="10:12">
      <c r="J22" s="2" t="s">
        <v>110</v>
      </c>
      <c r="K22" s="2"/>
      <c r="L22" s="2"/>
    </row>
    <row r="23" spans="10:12">
      <c r="J23" s="57" t="s">
        <v>111</v>
      </c>
      <c r="K23" s="57"/>
      <c r="L23" s="57"/>
    </row>
  </sheetData>
  <mergeCells count="28">
    <mergeCell ref="A2:L2"/>
    <mergeCell ref="A3:L3"/>
    <mergeCell ref="A4:L4"/>
    <mergeCell ref="A5:L5"/>
    <mergeCell ref="A10:L10"/>
    <mergeCell ref="B11:K11"/>
    <mergeCell ref="B12:E12"/>
    <mergeCell ref="F12:G12"/>
    <mergeCell ref="H12:I12"/>
    <mergeCell ref="J12:K12"/>
    <mergeCell ref="B13:E13"/>
    <mergeCell ref="H13:I13"/>
    <mergeCell ref="J13:K13"/>
    <mergeCell ref="B14:E14"/>
    <mergeCell ref="H14:I14"/>
    <mergeCell ref="J14:K14"/>
    <mergeCell ref="B15:E15"/>
    <mergeCell ref="H15:I15"/>
    <mergeCell ref="J15:K15"/>
    <mergeCell ref="B16:E16"/>
    <mergeCell ref="H16:I16"/>
    <mergeCell ref="J16:K16"/>
    <mergeCell ref="A18:L18"/>
    <mergeCell ref="J21:L21"/>
    <mergeCell ref="J22:L22"/>
    <mergeCell ref="J23:L23"/>
    <mergeCell ref="A11:A12"/>
    <mergeCell ref="L11:L12"/>
  </mergeCells>
  <pageMargins left="0.7" right="0.7" top="0.75" bottom="0.75" header="0.3" footer="0.3"/>
  <pageSetup paperSize="9" scale="67" fitToHeight="0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0"/>
  <sheetViews>
    <sheetView topLeftCell="A4" workbookViewId="0">
      <selection activeCell="E20" sqref="E20"/>
    </sheetView>
  </sheetViews>
  <sheetFormatPr defaultColWidth="9" defaultRowHeight="14.4"/>
  <cols>
    <col min="1" max="1" width="21.5740740740741" customWidth="1"/>
    <col min="2" max="2" width="17.5740740740741" customWidth="1"/>
    <col min="5" max="5" width="13.8518518518519" customWidth="1"/>
  </cols>
  <sheetData>
    <row r="1" s="1" customFormat="1" ht="52.5" customHeight="1"/>
    <row r="2" s="1" customFormat="1" ht="10.5" customHeight="1" spans="1:11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="1" customFormat="1" ht="15.95" customHeight="1" spans="1:11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="1" customFormat="1" ht="15.95" customHeight="1" spans="1:11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="1" customFormat="1" ht="15.95" customHeight="1" spans="1:11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="1" customFormat="1" ht="8.25" customHeight="1"/>
    <row r="7" s="1" customFormat="1" ht="12" customHeight="1" spans="1:7">
      <c r="A7" s="1" t="s">
        <v>4</v>
      </c>
      <c r="C7" s="7" t="s">
        <v>5</v>
      </c>
      <c r="D7" s="7"/>
      <c r="G7" s="28"/>
    </row>
    <row r="8" s="1" customFormat="1" ht="12" customHeight="1" spans="3:7">
      <c r="C8" s="8"/>
      <c r="G8" s="8"/>
    </row>
    <row r="9" s="1" customFormat="1" ht="12" customHeight="1" spans="1:7">
      <c r="A9" s="1" t="s">
        <v>7</v>
      </c>
      <c r="C9" s="7" t="s">
        <v>8</v>
      </c>
      <c r="D9" s="7"/>
      <c r="G9" s="29"/>
    </row>
    <row r="10" ht="16.5" customHeight="1" spans="1:1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="38" customFormat="1" ht="18.75" customHeight="1" spans="1:11">
      <c r="A11" s="40" t="s">
        <v>123</v>
      </c>
      <c r="B11" s="41" t="s">
        <v>12</v>
      </c>
      <c r="C11" s="42"/>
      <c r="D11" s="42"/>
      <c r="E11" s="42"/>
      <c r="F11" s="42"/>
      <c r="G11" s="42"/>
      <c r="H11" s="42"/>
      <c r="I11" s="42"/>
      <c r="J11" s="42"/>
      <c r="K11" s="52" t="s">
        <v>15</v>
      </c>
    </row>
    <row r="12" s="38" customFormat="1" ht="24" customHeight="1" spans="1:11">
      <c r="A12" s="43"/>
      <c r="B12" s="44" t="s">
        <v>124</v>
      </c>
      <c r="C12" s="45"/>
      <c r="D12" s="45"/>
      <c r="E12" s="46"/>
      <c r="F12" s="44" t="s">
        <v>114</v>
      </c>
      <c r="G12" s="44" t="s">
        <v>115</v>
      </c>
      <c r="H12" s="46"/>
      <c r="I12" s="44" t="s">
        <v>116</v>
      </c>
      <c r="J12" s="46"/>
      <c r="K12" s="53"/>
    </row>
    <row r="13" s="38" customFormat="1" ht="24.95" customHeight="1" spans="1:11">
      <c r="A13" s="47" t="s">
        <v>125</v>
      </c>
      <c r="B13" s="48" t="s">
        <v>126</v>
      </c>
      <c r="C13" s="49"/>
      <c r="D13" s="49"/>
      <c r="E13" s="50"/>
      <c r="F13" s="48">
        <v>5</v>
      </c>
      <c r="G13" s="48">
        <v>0</v>
      </c>
      <c r="H13" s="50"/>
      <c r="I13" s="48">
        <v>5</v>
      </c>
      <c r="J13" s="50"/>
      <c r="K13" s="54">
        <v>5</v>
      </c>
    </row>
    <row r="14" s="39" customFormat="1" ht="25.5" customHeight="1" spans="1:11">
      <c r="A14" s="47" t="s">
        <v>127</v>
      </c>
      <c r="B14" s="48" t="s">
        <v>126</v>
      </c>
      <c r="C14" s="49"/>
      <c r="D14" s="49"/>
      <c r="E14" s="50"/>
      <c r="F14" s="48"/>
      <c r="G14" s="48">
        <v>4</v>
      </c>
      <c r="H14" s="50"/>
      <c r="I14" s="48">
        <v>1</v>
      </c>
      <c r="J14" s="50"/>
      <c r="K14" s="55">
        <v>1</v>
      </c>
    </row>
    <row r="15" ht="18.95" customHeight="1" spans="1:1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</row>
    <row r="16" s="1" customFormat="1" spans="3:9">
      <c r="C16" s="4"/>
      <c r="I16" s="1" t="s">
        <v>108</v>
      </c>
    </row>
    <row r="17" s="1" customFormat="1" spans="3:3">
      <c r="C17" s="4"/>
    </row>
    <row r="18" spans="9:11">
      <c r="I18" s="56" t="s">
        <v>109</v>
      </c>
      <c r="J18" s="56"/>
      <c r="K18" s="56"/>
    </row>
    <row r="19" spans="9:11">
      <c r="I19" s="2" t="s">
        <v>110</v>
      </c>
      <c r="J19" s="2"/>
      <c r="K19" s="2"/>
    </row>
    <row r="20" spans="9:11">
      <c r="I20" s="57" t="s">
        <v>111</v>
      </c>
      <c r="J20" s="57"/>
      <c r="K20" s="57"/>
    </row>
  </sheetData>
  <mergeCells count="21">
    <mergeCell ref="A2:K2"/>
    <mergeCell ref="A3:K3"/>
    <mergeCell ref="A4:K4"/>
    <mergeCell ref="A5:K5"/>
    <mergeCell ref="A10:K10"/>
    <mergeCell ref="B11:J11"/>
    <mergeCell ref="B12:E12"/>
    <mergeCell ref="G12:H12"/>
    <mergeCell ref="I12:J12"/>
    <mergeCell ref="B13:E13"/>
    <mergeCell ref="G13:H13"/>
    <mergeCell ref="I13:J13"/>
    <mergeCell ref="B14:E14"/>
    <mergeCell ref="G14:H14"/>
    <mergeCell ref="I14:J14"/>
    <mergeCell ref="A15:K15"/>
    <mergeCell ref="I18:K18"/>
    <mergeCell ref="I19:K19"/>
    <mergeCell ref="I20:K20"/>
    <mergeCell ref="A11:A12"/>
    <mergeCell ref="K11:K12"/>
  </mergeCells>
  <pageMargins left="0.7" right="0.7" top="0.75" bottom="0.75" header="0.3" footer="0.3"/>
  <pageSetup paperSize="9" scale="65" fitToHeight="0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82"/>
  <sheetViews>
    <sheetView view="pageBreakPreview" zoomScaleNormal="100" topLeftCell="A39" workbookViewId="0">
      <selection activeCell="C24" sqref="C24"/>
    </sheetView>
  </sheetViews>
  <sheetFormatPr defaultColWidth="9" defaultRowHeight="14.4"/>
  <cols>
    <col min="1" max="1" width="37.8518518518519" customWidth="1"/>
    <col min="2" max="5" width="11.5740740740741" customWidth="1"/>
    <col min="6" max="7" width="11.5740740740741" style="2" customWidth="1"/>
    <col min="8" max="10" width="11.5740740740741" customWidth="1"/>
    <col min="11" max="11" width="26.4259259259259" style="3" customWidth="1"/>
  </cols>
  <sheetData>
    <row r="1" s="1" customFormat="1" ht="52.5" customHeight="1" spans="6:7">
      <c r="F1" s="4"/>
      <c r="G1" s="4"/>
    </row>
    <row r="2" s="1" customFormat="1" ht="10.5" customHeight="1" spans="1:10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ht="15.95" customHeight="1" spans="1:10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</row>
    <row r="4" s="1" customFormat="1" ht="15.95" customHeight="1" spans="1:10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</row>
    <row r="5" s="1" customFormat="1" ht="15.95" customHeight="1" spans="1:10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</row>
    <row r="6" s="1" customFormat="1" ht="8.25" customHeight="1" spans="6:7">
      <c r="F6" s="4"/>
      <c r="G6" s="4"/>
    </row>
    <row r="7" s="1" customFormat="1" ht="12" customHeight="1" spans="1:10">
      <c r="A7" s="1" t="s">
        <v>4</v>
      </c>
      <c r="B7" s="6" t="s">
        <v>5</v>
      </c>
      <c r="C7" s="6"/>
      <c r="D7" s="6"/>
      <c r="F7" s="4"/>
      <c r="G7" s="4"/>
      <c r="H7" s="7" t="s">
        <v>6</v>
      </c>
      <c r="I7" s="28"/>
      <c r="J7" s="7"/>
    </row>
    <row r="8" s="1" customFormat="1" ht="12" customHeight="1" spans="2:10">
      <c r="B8" s="8"/>
      <c r="C8" s="8"/>
      <c r="F8" s="4"/>
      <c r="G8" s="4"/>
      <c r="H8" s="8"/>
      <c r="I8" s="8"/>
      <c r="J8" s="8"/>
    </row>
    <row r="9" s="1" customFormat="1" ht="12" customHeight="1" spans="1:10">
      <c r="A9" s="1" t="s">
        <v>7</v>
      </c>
      <c r="B9" s="6" t="s">
        <v>8</v>
      </c>
      <c r="C9" s="6"/>
      <c r="D9" s="6"/>
      <c r="F9" s="4"/>
      <c r="G9" s="4"/>
      <c r="H9" s="7" t="s">
        <v>9</v>
      </c>
      <c r="I9" s="29"/>
      <c r="J9" s="7"/>
    </row>
    <row r="10" ht="16.5" customHeight="1" spans="1:11">
      <c r="A10" s="9" t="s">
        <v>10</v>
      </c>
      <c r="B10" s="9"/>
      <c r="C10" s="9"/>
      <c r="D10" s="9"/>
      <c r="E10" s="9"/>
      <c r="F10" s="9"/>
      <c r="G10" s="9"/>
      <c r="H10" s="9"/>
      <c r="I10" s="9"/>
      <c r="J10" s="9"/>
      <c r="K10"/>
    </row>
    <row r="11" ht="18.75" customHeight="1" spans="1:11">
      <c r="A11" s="10" t="s">
        <v>11</v>
      </c>
      <c r="B11" s="11" t="s">
        <v>12</v>
      </c>
      <c r="C11" s="11"/>
      <c r="D11" s="12" t="s">
        <v>13</v>
      </c>
      <c r="E11" s="13"/>
      <c r="F11" s="13"/>
      <c r="G11" s="14"/>
      <c r="H11" s="15" t="s">
        <v>14</v>
      </c>
      <c r="I11" s="15"/>
      <c r="J11" s="30" t="s">
        <v>15</v>
      </c>
      <c r="K11" s="31" t="s">
        <v>16</v>
      </c>
    </row>
    <row r="12" ht="18.75" customHeight="1" spans="1:11">
      <c r="A12" s="16"/>
      <c r="B12" s="17" t="s">
        <v>17</v>
      </c>
      <c r="C12" s="17" t="s">
        <v>18</v>
      </c>
      <c r="D12" s="17" t="s">
        <v>17</v>
      </c>
      <c r="E12" s="17" t="s">
        <v>18</v>
      </c>
      <c r="F12" s="17" t="s">
        <v>19</v>
      </c>
      <c r="G12" s="17" t="s">
        <v>20</v>
      </c>
      <c r="H12" s="17" t="s">
        <v>17</v>
      </c>
      <c r="I12" s="17" t="s">
        <v>18</v>
      </c>
      <c r="J12" s="32"/>
      <c r="K12" s="31"/>
    </row>
    <row r="13" ht="18.75" customHeight="1" spans="1:10">
      <c r="A13" s="18" t="s">
        <v>21</v>
      </c>
      <c r="B13" s="19">
        <v>0.208</v>
      </c>
      <c r="C13" s="19">
        <v>0.208</v>
      </c>
      <c r="D13" s="19"/>
      <c r="E13" s="19"/>
      <c r="F13" s="19"/>
      <c r="G13" s="19"/>
      <c r="H13" s="19">
        <f>B13</f>
        <v>0.208</v>
      </c>
      <c r="I13" s="19">
        <f>C13</f>
        <v>0.208</v>
      </c>
      <c r="J13" s="33">
        <f>SUM(H13:I13)</f>
        <v>0.416</v>
      </c>
    </row>
    <row r="14" ht="18.75" customHeight="1" spans="1:10">
      <c r="A14" s="18" t="s">
        <v>128</v>
      </c>
      <c r="B14" s="19">
        <f>9*1.25</f>
        <v>11.25</v>
      </c>
      <c r="C14" s="19">
        <v>11.25</v>
      </c>
      <c r="D14" s="19"/>
      <c r="E14" s="19"/>
      <c r="F14" s="19"/>
      <c r="G14" s="19"/>
      <c r="H14" s="19">
        <f>H13-F14-D14+B14</f>
        <v>11.458</v>
      </c>
      <c r="I14" s="19">
        <f>I13-E14+C14</f>
        <v>11.458</v>
      </c>
      <c r="J14" s="33">
        <f>SUM(H14:I14)</f>
        <v>22.916</v>
      </c>
    </row>
    <row r="15" ht="18.75" customHeight="1" spans="1:10">
      <c r="A15" s="18" t="s">
        <v>23</v>
      </c>
      <c r="B15" s="19"/>
      <c r="C15" s="19"/>
      <c r="D15" s="19"/>
      <c r="E15" s="19"/>
      <c r="F15" s="19">
        <v>2</v>
      </c>
      <c r="G15" s="19"/>
      <c r="H15" s="19">
        <f>H14-F15-D15+B15</f>
        <v>9.458</v>
      </c>
      <c r="I15" s="19">
        <f>I14-E15+C15</f>
        <v>11.458</v>
      </c>
      <c r="J15" s="33">
        <f>SUM(H15:I15)</f>
        <v>20.916</v>
      </c>
    </row>
    <row r="16" ht="18.75" customHeight="1" spans="1:10">
      <c r="A16" s="18" t="s">
        <v>25</v>
      </c>
      <c r="B16" s="19"/>
      <c r="C16" s="19"/>
      <c r="D16" s="19"/>
      <c r="E16" s="19"/>
      <c r="F16" s="19">
        <v>2</v>
      </c>
      <c r="G16" s="19"/>
      <c r="H16" s="19">
        <f t="shared" ref="H16" si="0">H15-F16-D16+B16</f>
        <v>7.458</v>
      </c>
      <c r="I16" s="19">
        <f t="shared" ref="I16" si="1">I15-E16+C16</f>
        <v>11.458</v>
      </c>
      <c r="J16" s="33">
        <f t="shared" ref="J16" si="2">SUM(H16:I16)</f>
        <v>18.916</v>
      </c>
    </row>
    <row r="17" ht="18.75" customHeight="1" spans="1:10">
      <c r="A17" s="18" t="s">
        <v>29</v>
      </c>
      <c r="B17" s="19">
        <v>15</v>
      </c>
      <c r="C17" s="19">
        <v>15</v>
      </c>
      <c r="D17" s="19"/>
      <c r="E17" s="19"/>
      <c r="F17" s="19"/>
      <c r="G17" s="19"/>
      <c r="H17" s="19">
        <f t="shared" ref="H17:H77" si="3">H16-F17-D17+B17</f>
        <v>22.458</v>
      </c>
      <c r="I17" s="19">
        <f t="shared" ref="I17:I77" si="4">I16-E17+C17</f>
        <v>26.458</v>
      </c>
      <c r="J17" s="33">
        <f t="shared" ref="J17:J77" si="5">SUM(H17:I17)</f>
        <v>48.916</v>
      </c>
    </row>
    <row r="18" ht="18.75" customHeight="1" spans="1:10">
      <c r="A18" s="18" t="s">
        <v>30</v>
      </c>
      <c r="B18" s="19"/>
      <c r="C18" s="19"/>
      <c r="D18" s="19">
        <v>10</v>
      </c>
      <c r="E18" s="19"/>
      <c r="F18" s="19"/>
      <c r="G18" s="19"/>
      <c r="H18" s="19">
        <f t="shared" si="3"/>
        <v>12.458</v>
      </c>
      <c r="I18" s="19">
        <f t="shared" si="4"/>
        <v>26.458</v>
      </c>
      <c r="J18" s="33">
        <f t="shared" si="5"/>
        <v>38.916</v>
      </c>
    </row>
    <row r="19" ht="18.75" customHeight="1" spans="1:10">
      <c r="A19" s="18" t="s">
        <v>28</v>
      </c>
      <c r="B19" s="19"/>
      <c r="C19" s="19"/>
      <c r="D19" s="19"/>
      <c r="E19" s="19"/>
      <c r="F19" s="19">
        <v>1</v>
      </c>
      <c r="G19" s="19"/>
      <c r="H19" s="19">
        <f t="shared" si="3"/>
        <v>11.458</v>
      </c>
      <c r="I19" s="19">
        <f t="shared" si="4"/>
        <v>26.458</v>
      </c>
      <c r="J19" s="33">
        <f t="shared" si="5"/>
        <v>37.916</v>
      </c>
    </row>
    <row r="20" ht="18.75" customHeight="1" spans="1:10">
      <c r="A20" s="18" t="s">
        <v>31</v>
      </c>
      <c r="B20" s="19"/>
      <c r="C20" s="19"/>
      <c r="D20" s="19"/>
      <c r="E20" s="19"/>
      <c r="F20" s="19">
        <v>4</v>
      </c>
      <c r="G20" s="19"/>
      <c r="H20" s="19">
        <f t="shared" si="3"/>
        <v>7.458</v>
      </c>
      <c r="I20" s="19">
        <f t="shared" si="4"/>
        <v>26.458</v>
      </c>
      <c r="J20" s="33">
        <f t="shared" si="5"/>
        <v>33.916</v>
      </c>
    </row>
    <row r="21" ht="18.75" customHeight="1" spans="1:10">
      <c r="A21" s="18" t="s">
        <v>32</v>
      </c>
      <c r="B21" s="19">
        <v>8.75</v>
      </c>
      <c r="C21" s="19">
        <v>8.75</v>
      </c>
      <c r="D21" s="19"/>
      <c r="E21" s="19"/>
      <c r="F21" s="19"/>
      <c r="G21" s="19"/>
      <c r="H21" s="19">
        <f t="shared" si="3"/>
        <v>16.208</v>
      </c>
      <c r="I21" s="19">
        <f t="shared" si="4"/>
        <v>35.208</v>
      </c>
      <c r="J21" s="33">
        <f t="shared" si="5"/>
        <v>51.416</v>
      </c>
    </row>
    <row r="22" ht="18.75" customHeight="1" spans="1:10">
      <c r="A22" s="18" t="s">
        <v>33</v>
      </c>
      <c r="B22" s="19"/>
      <c r="C22" s="19"/>
      <c r="D22" s="19"/>
      <c r="E22" s="19"/>
      <c r="F22" s="19">
        <v>2</v>
      </c>
      <c r="G22" s="19"/>
      <c r="H22" s="19">
        <f t="shared" si="3"/>
        <v>14.208</v>
      </c>
      <c r="I22" s="19">
        <f t="shared" si="4"/>
        <v>35.208</v>
      </c>
      <c r="J22" s="33">
        <f t="shared" si="5"/>
        <v>49.416</v>
      </c>
    </row>
    <row r="23" ht="18.75" customHeight="1" spans="1:10">
      <c r="A23" s="18" t="s">
        <v>34</v>
      </c>
      <c r="B23" s="19">
        <v>2.5</v>
      </c>
      <c r="C23" s="19">
        <v>2.5</v>
      </c>
      <c r="D23" s="19"/>
      <c r="E23" s="19"/>
      <c r="F23" s="19"/>
      <c r="G23" s="19"/>
      <c r="H23" s="19">
        <f t="shared" si="3"/>
        <v>16.708</v>
      </c>
      <c r="I23" s="19">
        <f t="shared" si="4"/>
        <v>37.708</v>
      </c>
      <c r="J23" s="33">
        <f t="shared" si="5"/>
        <v>54.416</v>
      </c>
    </row>
    <row r="24" ht="18.75" customHeight="1" spans="1:10">
      <c r="A24" s="18" t="s">
        <v>35</v>
      </c>
      <c r="B24" s="19"/>
      <c r="C24" s="19"/>
      <c r="D24" s="19"/>
      <c r="E24" s="19"/>
      <c r="F24" s="19"/>
      <c r="G24" s="19">
        <v>1</v>
      </c>
      <c r="H24" s="19">
        <f t="shared" si="3"/>
        <v>16.708</v>
      </c>
      <c r="I24" s="19">
        <f t="shared" si="4"/>
        <v>37.708</v>
      </c>
      <c r="J24" s="33">
        <f t="shared" si="5"/>
        <v>54.416</v>
      </c>
    </row>
    <row r="25" ht="18.75" customHeight="1" spans="1:10">
      <c r="A25" s="18" t="s">
        <v>36</v>
      </c>
      <c r="B25" s="19"/>
      <c r="C25" s="19"/>
      <c r="D25" s="19"/>
      <c r="E25" s="19">
        <v>3</v>
      </c>
      <c r="F25" s="19"/>
      <c r="G25" s="19"/>
      <c r="H25" s="19">
        <f t="shared" si="3"/>
        <v>16.708</v>
      </c>
      <c r="I25" s="19">
        <f t="shared" si="4"/>
        <v>34.708</v>
      </c>
      <c r="J25" s="33">
        <f t="shared" si="5"/>
        <v>51.416</v>
      </c>
    </row>
    <row r="26" ht="18.75" customHeight="1" spans="1:10">
      <c r="A26" s="18" t="s">
        <v>37</v>
      </c>
      <c r="B26" s="19"/>
      <c r="C26" s="19"/>
      <c r="D26" s="19">
        <v>10</v>
      </c>
      <c r="E26" s="19">
        <v>19</v>
      </c>
      <c r="F26" s="19"/>
      <c r="G26" s="19"/>
      <c r="H26" s="19">
        <f t="shared" si="3"/>
        <v>6.708</v>
      </c>
      <c r="I26" s="19">
        <f t="shared" si="4"/>
        <v>15.708</v>
      </c>
      <c r="J26" s="33">
        <f t="shared" si="5"/>
        <v>22.416</v>
      </c>
    </row>
    <row r="27" ht="18.75" customHeight="1" spans="1:10">
      <c r="A27" s="18" t="s">
        <v>129</v>
      </c>
      <c r="B27" s="19">
        <v>3.75</v>
      </c>
      <c r="C27" s="19">
        <v>3.75</v>
      </c>
      <c r="D27" s="19"/>
      <c r="E27" s="19"/>
      <c r="F27" s="19"/>
      <c r="G27" s="19"/>
      <c r="H27" s="19">
        <f t="shared" si="3"/>
        <v>10.458</v>
      </c>
      <c r="I27" s="19">
        <f t="shared" si="4"/>
        <v>19.458</v>
      </c>
      <c r="J27" s="33">
        <f t="shared" si="5"/>
        <v>29.916</v>
      </c>
    </row>
    <row r="28" ht="18.75" customHeight="1" spans="1:10">
      <c r="A28" s="18" t="s">
        <v>130</v>
      </c>
      <c r="B28" s="19"/>
      <c r="C28" s="19"/>
      <c r="D28" s="19"/>
      <c r="E28" s="19"/>
      <c r="F28" s="19">
        <v>1</v>
      </c>
      <c r="G28" s="19"/>
      <c r="H28" s="19">
        <f t="shared" si="3"/>
        <v>9.458</v>
      </c>
      <c r="I28" s="19">
        <f t="shared" si="4"/>
        <v>19.458</v>
      </c>
      <c r="J28" s="33">
        <f t="shared" si="5"/>
        <v>28.916</v>
      </c>
    </row>
    <row r="29" ht="18.75" customHeight="1" spans="1:10">
      <c r="A29" s="18" t="s">
        <v>43</v>
      </c>
      <c r="B29" s="19"/>
      <c r="C29" s="19"/>
      <c r="D29" s="19"/>
      <c r="E29" s="19">
        <v>1</v>
      </c>
      <c r="F29" s="19"/>
      <c r="G29" s="19"/>
      <c r="H29" s="19">
        <f t="shared" si="3"/>
        <v>9.458</v>
      </c>
      <c r="I29" s="19">
        <f t="shared" si="4"/>
        <v>18.458</v>
      </c>
      <c r="J29" s="33">
        <f t="shared" si="5"/>
        <v>27.916</v>
      </c>
    </row>
    <row r="30" ht="18.75" customHeight="1" spans="1:10">
      <c r="A30" s="18" t="s">
        <v>41</v>
      </c>
      <c r="B30" s="19"/>
      <c r="C30" s="19"/>
      <c r="D30" s="19"/>
      <c r="E30" s="19"/>
      <c r="F30" s="19">
        <v>2</v>
      </c>
      <c r="G30" s="19"/>
      <c r="H30" s="19">
        <f t="shared" si="3"/>
        <v>7.458</v>
      </c>
      <c r="I30" s="19">
        <f t="shared" si="4"/>
        <v>18.458</v>
      </c>
      <c r="J30" s="33">
        <f t="shared" si="5"/>
        <v>25.916</v>
      </c>
    </row>
    <row r="31" ht="18.75" customHeight="1" spans="1:10">
      <c r="A31" s="18" t="s">
        <v>44</v>
      </c>
      <c r="B31" s="19">
        <v>1.25</v>
      </c>
      <c r="C31" s="19">
        <v>1.25</v>
      </c>
      <c r="D31" s="19"/>
      <c r="E31" s="19"/>
      <c r="F31" s="19"/>
      <c r="G31" s="19"/>
      <c r="H31" s="19">
        <f t="shared" si="3"/>
        <v>8.708</v>
      </c>
      <c r="I31" s="19">
        <f t="shared" si="4"/>
        <v>19.708</v>
      </c>
      <c r="J31" s="33">
        <f t="shared" si="5"/>
        <v>28.416</v>
      </c>
    </row>
    <row r="32" ht="18.75" customHeight="1" spans="1:10">
      <c r="A32" s="18" t="s">
        <v>45</v>
      </c>
      <c r="B32" s="19"/>
      <c r="C32" s="19"/>
      <c r="D32" s="19"/>
      <c r="E32" s="19"/>
      <c r="F32" s="19">
        <v>1</v>
      </c>
      <c r="G32" s="19"/>
      <c r="H32" s="19">
        <f t="shared" si="3"/>
        <v>7.708</v>
      </c>
      <c r="I32" s="19">
        <f t="shared" si="4"/>
        <v>19.708</v>
      </c>
      <c r="J32" s="33">
        <f t="shared" si="5"/>
        <v>27.416</v>
      </c>
    </row>
    <row r="33" ht="18.75" customHeight="1" spans="1:10">
      <c r="A33" s="18" t="s">
        <v>46</v>
      </c>
      <c r="B33" s="19">
        <v>1.25</v>
      </c>
      <c r="C33" s="19">
        <v>1.25</v>
      </c>
      <c r="D33" s="19"/>
      <c r="E33" s="19"/>
      <c r="F33" s="19"/>
      <c r="G33" s="19"/>
      <c r="H33" s="19">
        <f t="shared" si="3"/>
        <v>8.958</v>
      </c>
      <c r="I33" s="19">
        <f t="shared" si="4"/>
        <v>20.958</v>
      </c>
      <c r="J33" s="33">
        <f t="shared" si="5"/>
        <v>29.916</v>
      </c>
    </row>
    <row r="34" ht="18.75" customHeight="1" spans="1:10">
      <c r="A34" s="18" t="s">
        <v>47</v>
      </c>
      <c r="B34" s="19"/>
      <c r="C34" s="19"/>
      <c r="D34" s="19"/>
      <c r="E34" s="19">
        <v>1</v>
      </c>
      <c r="F34" s="19"/>
      <c r="G34" s="19"/>
      <c r="H34" s="19">
        <f t="shared" si="3"/>
        <v>8.958</v>
      </c>
      <c r="I34" s="19">
        <f t="shared" si="4"/>
        <v>19.958</v>
      </c>
      <c r="J34" s="33">
        <f t="shared" si="5"/>
        <v>28.916</v>
      </c>
    </row>
    <row r="35" ht="18.75" customHeight="1" spans="1:10">
      <c r="A35" s="18" t="s">
        <v>48</v>
      </c>
      <c r="B35" s="19"/>
      <c r="C35" s="19"/>
      <c r="D35" s="19"/>
      <c r="E35" s="19"/>
      <c r="F35" s="19">
        <v>2</v>
      </c>
      <c r="G35" s="19"/>
      <c r="H35" s="19">
        <f t="shared" si="3"/>
        <v>6.958</v>
      </c>
      <c r="I35" s="19">
        <f t="shared" si="4"/>
        <v>19.958</v>
      </c>
      <c r="J35" s="33">
        <f t="shared" si="5"/>
        <v>26.916</v>
      </c>
    </row>
    <row r="36" ht="18.75" customHeight="1" spans="1:10">
      <c r="A36" s="18" t="s">
        <v>49</v>
      </c>
      <c r="B36" s="19">
        <v>2.5</v>
      </c>
      <c r="C36" s="19">
        <v>2.5</v>
      </c>
      <c r="D36" s="19"/>
      <c r="E36" s="19"/>
      <c r="F36" s="19"/>
      <c r="G36" s="19"/>
      <c r="H36" s="19">
        <f t="shared" si="3"/>
        <v>9.458</v>
      </c>
      <c r="I36" s="19">
        <f t="shared" si="4"/>
        <v>22.458</v>
      </c>
      <c r="J36" s="33">
        <f t="shared" si="5"/>
        <v>31.916</v>
      </c>
    </row>
    <row r="37" ht="18.75" customHeight="1" spans="1:10">
      <c r="A37" s="18" t="s">
        <v>50</v>
      </c>
      <c r="B37" s="19"/>
      <c r="C37" s="19"/>
      <c r="D37" s="19"/>
      <c r="E37" s="19"/>
      <c r="F37" s="20">
        <v>0.5</v>
      </c>
      <c r="G37" s="19"/>
      <c r="H37" s="19">
        <f t="shared" si="3"/>
        <v>8.958</v>
      </c>
      <c r="I37" s="19">
        <f t="shared" si="4"/>
        <v>22.458</v>
      </c>
      <c r="J37" s="33">
        <f t="shared" si="5"/>
        <v>31.416</v>
      </c>
    </row>
    <row r="38" ht="18.75" customHeight="1" spans="1:10">
      <c r="A38" s="18" t="s">
        <v>51</v>
      </c>
      <c r="B38" s="19"/>
      <c r="C38" s="19"/>
      <c r="D38" s="19"/>
      <c r="E38" s="19">
        <v>1</v>
      </c>
      <c r="F38" s="19"/>
      <c r="G38" s="19"/>
      <c r="H38" s="19">
        <f t="shared" si="3"/>
        <v>8.958</v>
      </c>
      <c r="I38" s="19">
        <f t="shared" si="4"/>
        <v>21.458</v>
      </c>
      <c r="J38" s="33">
        <f t="shared" si="5"/>
        <v>30.416</v>
      </c>
    </row>
    <row r="39" ht="18.75" customHeight="1" spans="1:10">
      <c r="A39" s="18" t="s">
        <v>52</v>
      </c>
      <c r="B39" s="19">
        <v>1.25</v>
      </c>
      <c r="C39" s="19">
        <v>1.25</v>
      </c>
      <c r="D39" s="19"/>
      <c r="E39" s="19"/>
      <c r="F39" s="19"/>
      <c r="G39" s="19"/>
      <c r="H39" s="19">
        <f t="shared" si="3"/>
        <v>10.208</v>
      </c>
      <c r="I39" s="19">
        <f t="shared" si="4"/>
        <v>22.708</v>
      </c>
      <c r="J39" s="33">
        <f t="shared" si="5"/>
        <v>32.916</v>
      </c>
    </row>
    <row r="40" ht="18.75" customHeight="1" spans="1:10">
      <c r="A40" s="18" t="s">
        <v>53</v>
      </c>
      <c r="B40" s="19"/>
      <c r="C40" s="19"/>
      <c r="D40" s="19"/>
      <c r="E40" s="19">
        <v>2</v>
      </c>
      <c r="F40" s="19"/>
      <c r="G40" s="19"/>
      <c r="H40" s="19">
        <f t="shared" si="3"/>
        <v>10.208</v>
      </c>
      <c r="I40" s="19">
        <f t="shared" si="4"/>
        <v>20.708</v>
      </c>
      <c r="J40" s="33">
        <f t="shared" si="5"/>
        <v>30.916</v>
      </c>
    </row>
    <row r="41" ht="18.75" customHeight="1" spans="1:10">
      <c r="A41" s="18" t="s">
        <v>55</v>
      </c>
      <c r="B41" s="19"/>
      <c r="C41" s="19"/>
      <c r="D41" s="19"/>
      <c r="E41" s="19"/>
      <c r="F41" s="19"/>
      <c r="G41" s="19">
        <v>1</v>
      </c>
      <c r="H41" s="19">
        <f t="shared" si="3"/>
        <v>10.208</v>
      </c>
      <c r="I41" s="19">
        <f t="shared" si="4"/>
        <v>20.708</v>
      </c>
      <c r="J41" s="33">
        <f t="shared" si="5"/>
        <v>30.916</v>
      </c>
    </row>
    <row r="42" ht="18.75" customHeight="1" spans="1:10">
      <c r="A42" s="18" t="s">
        <v>56</v>
      </c>
      <c r="B42" s="19">
        <v>1.25</v>
      </c>
      <c r="C42" s="19">
        <v>1.25</v>
      </c>
      <c r="D42" s="19"/>
      <c r="E42" s="19"/>
      <c r="F42" s="19"/>
      <c r="G42" s="19"/>
      <c r="H42" s="19">
        <f t="shared" si="3"/>
        <v>11.458</v>
      </c>
      <c r="I42" s="19">
        <f t="shared" si="4"/>
        <v>21.958</v>
      </c>
      <c r="J42" s="33">
        <f t="shared" si="5"/>
        <v>33.416</v>
      </c>
    </row>
    <row r="43" ht="18.75" customHeight="1" spans="1:10">
      <c r="A43" s="18" t="s">
        <v>57</v>
      </c>
      <c r="B43" s="19"/>
      <c r="C43" s="19"/>
      <c r="D43" s="19"/>
      <c r="E43" s="19"/>
      <c r="F43" s="19"/>
      <c r="G43" s="19">
        <v>1</v>
      </c>
      <c r="H43" s="19">
        <f t="shared" si="3"/>
        <v>11.458</v>
      </c>
      <c r="I43" s="19">
        <f t="shared" si="4"/>
        <v>21.958</v>
      </c>
      <c r="J43" s="33">
        <f t="shared" si="5"/>
        <v>33.416</v>
      </c>
    </row>
    <row r="44" ht="18.75" customHeight="1" spans="1:10">
      <c r="A44" s="18" t="s">
        <v>58</v>
      </c>
      <c r="B44" s="19">
        <v>1.25</v>
      </c>
      <c r="C44" s="19">
        <v>1.25</v>
      </c>
      <c r="D44" s="19"/>
      <c r="E44" s="19"/>
      <c r="F44" s="19"/>
      <c r="G44" s="19"/>
      <c r="H44" s="19">
        <f t="shared" si="3"/>
        <v>12.708</v>
      </c>
      <c r="I44" s="19">
        <f t="shared" si="4"/>
        <v>23.208</v>
      </c>
      <c r="J44" s="33">
        <f t="shared" si="5"/>
        <v>35.916</v>
      </c>
    </row>
    <row r="45" ht="18.75" customHeight="1" spans="1:10">
      <c r="A45" s="18" t="s">
        <v>59</v>
      </c>
      <c r="B45" s="19"/>
      <c r="C45" s="19"/>
      <c r="D45" s="19"/>
      <c r="E45" s="19">
        <v>2</v>
      </c>
      <c r="F45" s="19"/>
      <c r="G45" s="19"/>
      <c r="H45" s="19">
        <f t="shared" si="3"/>
        <v>12.708</v>
      </c>
      <c r="I45" s="19">
        <f t="shared" si="4"/>
        <v>21.208</v>
      </c>
      <c r="J45" s="33">
        <f t="shared" si="5"/>
        <v>33.916</v>
      </c>
    </row>
    <row r="46" ht="18.75" customHeight="1" spans="1:10">
      <c r="A46" s="21" t="s">
        <v>60</v>
      </c>
      <c r="B46" s="22"/>
      <c r="C46" s="22"/>
      <c r="D46" s="22"/>
      <c r="E46" s="22">
        <v>1</v>
      </c>
      <c r="F46" s="22"/>
      <c r="G46" s="22"/>
      <c r="H46" s="19">
        <f t="shared" si="3"/>
        <v>12.708</v>
      </c>
      <c r="I46" s="19">
        <f t="shared" si="4"/>
        <v>20.208</v>
      </c>
      <c r="J46" s="33">
        <f t="shared" si="5"/>
        <v>32.916</v>
      </c>
    </row>
    <row r="47" spans="1:10">
      <c r="A47" s="18" t="s">
        <v>131</v>
      </c>
      <c r="B47" s="19">
        <v>1.25</v>
      </c>
      <c r="C47" s="19">
        <v>1.25</v>
      </c>
      <c r="D47" s="19"/>
      <c r="E47" s="19"/>
      <c r="F47" s="19"/>
      <c r="G47" s="19"/>
      <c r="H47" s="19">
        <f t="shared" si="3"/>
        <v>13.958</v>
      </c>
      <c r="I47" s="19">
        <f t="shared" si="4"/>
        <v>21.458</v>
      </c>
      <c r="J47" s="33">
        <f t="shared" si="5"/>
        <v>35.416</v>
      </c>
    </row>
    <row r="48" spans="1:10">
      <c r="A48" s="18" t="s">
        <v>132</v>
      </c>
      <c r="B48" s="19">
        <v>1.25</v>
      </c>
      <c r="C48" s="19">
        <v>1.25</v>
      </c>
      <c r="D48" s="19"/>
      <c r="E48" s="19"/>
      <c r="F48" s="19"/>
      <c r="G48" s="19"/>
      <c r="H48" s="19">
        <f t="shared" si="3"/>
        <v>15.208</v>
      </c>
      <c r="I48" s="19">
        <f t="shared" si="4"/>
        <v>22.708</v>
      </c>
      <c r="J48" s="33">
        <f t="shared" si="5"/>
        <v>37.916</v>
      </c>
    </row>
    <row r="49" spans="1:10">
      <c r="A49" s="18" t="s">
        <v>62</v>
      </c>
      <c r="B49" s="19"/>
      <c r="C49" s="19"/>
      <c r="D49" s="19"/>
      <c r="E49" s="19"/>
      <c r="F49" s="20">
        <v>0.5</v>
      </c>
      <c r="G49" s="19"/>
      <c r="H49" s="19">
        <f t="shared" si="3"/>
        <v>14.708</v>
      </c>
      <c r="I49" s="19">
        <f t="shared" si="4"/>
        <v>22.708</v>
      </c>
      <c r="J49" s="33">
        <f t="shared" si="5"/>
        <v>37.416</v>
      </c>
    </row>
    <row r="50" spans="1:10">
      <c r="A50" s="18" t="s">
        <v>63</v>
      </c>
      <c r="B50" s="19"/>
      <c r="C50" s="19"/>
      <c r="D50" s="19"/>
      <c r="E50" s="19"/>
      <c r="F50" s="19"/>
      <c r="G50" s="19">
        <v>1</v>
      </c>
      <c r="H50" s="19">
        <f t="shared" si="3"/>
        <v>14.708</v>
      </c>
      <c r="I50" s="19">
        <f t="shared" si="4"/>
        <v>22.708</v>
      </c>
      <c r="J50" s="33">
        <f t="shared" si="5"/>
        <v>37.416</v>
      </c>
    </row>
    <row r="51" spans="1:10">
      <c r="A51" s="23" t="s">
        <v>64</v>
      </c>
      <c r="B51" s="24"/>
      <c r="C51" s="24"/>
      <c r="D51" s="24">
        <v>9</v>
      </c>
      <c r="E51" s="24">
        <v>19</v>
      </c>
      <c r="F51" s="24"/>
      <c r="G51" s="24"/>
      <c r="H51" s="19">
        <f t="shared" si="3"/>
        <v>5.708</v>
      </c>
      <c r="I51" s="19">
        <f t="shared" si="4"/>
        <v>3.708</v>
      </c>
      <c r="J51" s="33">
        <f t="shared" si="5"/>
        <v>9.416</v>
      </c>
    </row>
    <row r="52" spans="1:10">
      <c r="A52" s="18" t="s">
        <v>65</v>
      </c>
      <c r="B52" s="24"/>
      <c r="C52" s="24"/>
      <c r="D52" s="24"/>
      <c r="E52" s="24">
        <v>1</v>
      </c>
      <c r="F52" s="24"/>
      <c r="G52" s="24"/>
      <c r="H52" s="19">
        <f t="shared" si="3"/>
        <v>5.708</v>
      </c>
      <c r="I52" s="19">
        <f t="shared" si="4"/>
        <v>2.708</v>
      </c>
      <c r="J52" s="33">
        <f t="shared" si="5"/>
        <v>8.416</v>
      </c>
    </row>
    <row r="53" spans="1:10">
      <c r="A53" s="18" t="s">
        <v>66</v>
      </c>
      <c r="B53" s="19">
        <v>1.25</v>
      </c>
      <c r="C53" s="19">
        <v>1.25</v>
      </c>
      <c r="D53" s="24"/>
      <c r="E53" s="24"/>
      <c r="F53" s="24"/>
      <c r="G53" s="24"/>
      <c r="H53" s="19">
        <f t="shared" si="3"/>
        <v>6.958</v>
      </c>
      <c r="I53" s="19">
        <f t="shared" si="4"/>
        <v>3.958</v>
      </c>
      <c r="J53" s="33">
        <f t="shared" si="5"/>
        <v>10.916</v>
      </c>
    </row>
    <row r="54" spans="1:10">
      <c r="A54" s="18" t="s">
        <v>67</v>
      </c>
      <c r="B54" s="24"/>
      <c r="C54" s="24"/>
      <c r="D54" s="24">
        <v>0.5</v>
      </c>
      <c r="E54" s="24"/>
      <c r="F54" s="24"/>
      <c r="G54" s="24"/>
      <c r="H54" s="19">
        <f t="shared" si="3"/>
        <v>6.458</v>
      </c>
      <c r="I54" s="19">
        <f t="shared" si="4"/>
        <v>3.958</v>
      </c>
      <c r="J54" s="33">
        <f t="shared" si="5"/>
        <v>10.416</v>
      </c>
    </row>
    <row r="55" spans="1:10">
      <c r="A55" s="18" t="s">
        <v>68</v>
      </c>
      <c r="B55" s="24">
        <v>2.5</v>
      </c>
      <c r="C55" s="24">
        <v>2.5</v>
      </c>
      <c r="D55" s="24"/>
      <c r="E55" s="24"/>
      <c r="F55" s="24"/>
      <c r="G55" s="24"/>
      <c r="H55" s="19">
        <f t="shared" si="3"/>
        <v>8.958</v>
      </c>
      <c r="I55" s="19">
        <f t="shared" si="4"/>
        <v>6.458</v>
      </c>
      <c r="J55" s="33">
        <f t="shared" si="5"/>
        <v>15.416</v>
      </c>
    </row>
    <row r="56" spans="1:10">
      <c r="A56" s="23" t="s">
        <v>70</v>
      </c>
      <c r="B56" s="24"/>
      <c r="C56" s="24"/>
      <c r="D56" s="24"/>
      <c r="E56" s="24"/>
      <c r="F56" s="24"/>
      <c r="G56" s="20">
        <v>0.5</v>
      </c>
      <c r="H56" s="19">
        <f t="shared" si="3"/>
        <v>8.958</v>
      </c>
      <c r="I56" s="19">
        <f t="shared" si="4"/>
        <v>6.458</v>
      </c>
      <c r="J56" s="33">
        <f t="shared" si="5"/>
        <v>15.416</v>
      </c>
    </row>
    <row r="57" spans="1:10">
      <c r="A57" s="18" t="s">
        <v>71</v>
      </c>
      <c r="B57" s="19">
        <v>1.25</v>
      </c>
      <c r="C57" s="19">
        <v>1.25</v>
      </c>
      <c r="D57" s="24"/>
      <c r="E57" s="24"/>
      <c r="F57" s="24"/>
      <c r="G57" s="24"/>
      <c r="H57" s="19">
        <f t="shared" si="3"/>
        <v>10.208</v>
      </c>
      <c r="I57" s="19">
        <f t="shared" si="4"/>
        <v>7.708</v>
      </c>
      <c r="J57" s="33">
        <f t="shared" si="5"/>
        <v>17.916</v>
      </c>
    </row>
    <row r="58" spans="1:10">
      <c r="A58" s="18" t="s">
        <v>72</v>
      </c>
      <c r="B58" s="19">
        <v>1.25</v>
      </c>
      <c r="C58" s="19">
        <v>1.25</v>
      </c>
      <c r="D58" s="24"/>
      <c r="E58" s="24"/>
      <c r="F58" s="24"/>
      <c r="G58" s="24"/>
      <c r="H58" s="19">
        <f t="shared" si="3"/>
        <v>11.458</v>
      </c>
      <c r="I58" s="19">
        <f t="shared" si="4"/>
        <v>8.958</v>
      </c>
      <c r="J58" s="33">
        <f t="shared" si="5"/>
        <v>20.416</v>
      </c>
    </row>
    <row r="59" spans="1:10">
      <c r="A59" s="23" t="s">
        <v>73</v>
      </c>
      <c r="B59" s="24"/>
      <c r="C59" s="24"/>
      <c r="D59" s="24"/>
      <c r="E59" s="24"/>
      <c r="F59" s="24">
        <v>1</v>
      </c>
      <c r="G59" s="24"/>
      <c r="H59" s="19">
        <f t="shared" si="3"/>
        <v>10.458</v>
      </c>
      <c r="I59" s="19">
        <f t="shared" si="4"/>
        <v>8.958</v>
      </c>
      <c r="J59" s="33">
        <f t="shared" si="5"/>
        <v>19.416</v>
      </c>
    </row>
    <row r="60" spans="1:10">
      <c r="A60" s="23" t="s">
        <v>133</v>
      </c>
      <c r="B60" s="24"/>
      <c r="C60" s="24"/>
      <c r="D60" s="24"/>
      <c r="E60" s="24"/>
      <c r="F60" s="24"/>
      <c r="G60" s="20">
        <v>1.5</v>
      </c>
      <c r="H60" s="19">
        <f t="shared" si="3"/>
        <v>10.458</v>
      </c>
      <c r="I60" s="19">
        <f t="shared" si="4"/>
        <v>8.958</v>
      </c>
      <c r="J60" s="33">
        <f t="shared" si="5"/>
        <v>19.416</v>
      </c>
    </row>
    <row r="61" spans="1:10">
      <c r="A61" s="18" t="s">
        <v>76</v>
      </c>
      <c r="B61" s="19">
        <v>2.5</v>
      </c>
      <c r="C61" s="19">
        <v>2.5</v>
      </c>
      <c r="D61" s="24"/>
      <c r="E61" s="24"/>
      <c r="F61" s="24"/>
      <c r="G61" s="24"/>
      <c r="H61" s="19">
        <f t="shared" si="3"/>
        <v>12.958</v>
      </c>
      <c r="I61" s="19">
        <f t="shared" si="4"/>
        <v>11.458</v>
      </c>
      <c r="J61" s="33">
        <f t="shared" si="5"/>
        <v>24.416</v>
      </c>
    </row>
    <row r="62" spans="1:10">
      <c r="A62" s="18" t="s">
        <v>77</v>
      </c>
      <c r="B62" s="19">
        <v>1.25</v>
      </c>
      <c r="C62" s="19">
        <v>1.25</v>
      </c>
      <c r="D62" s="24"/>
      <c r="E62" s="24"/>
      <c r="F62" s="24"/>
      <c r="G62" s="24"/>
      <c r="H62" s="19">
        <f t="shared" si="3"/>
        <v>14.208</v>
      </c>
      <c r="I62" s="19">
        <f t="shared" si="4"/>
        <v>12.708</v>
      </c>
      <c r="J62" s="33">
        <f t="shared" si="5"/>
        <v>26.916</v>
      </c>
    </row>
    <row r="63" spans="1:10">
      <c r="A63" s="25" t="s">
        <v>78</v>
      </c>
      <c r="B63" s="26"/>
      <c r="C63" s="26"/>
      <c r="D63" s="26"/>
      <c r="E63" s="26"/>
      <c r="F63" s="24">
        <v>1</v>
      </c>
      <c r="G63" s="27"/>
      <c r="H63" s="19">
        <f t="shared" si="3"/>
        <v>13.208</v>
      </c>
      <c r="I63" s="19">
        <f t="shared" si="4"/>
        <v>12.708</v>
      </c>
      <c r="J63" s="33">
        <f t="shared" si="5"/>
        <v>25.916</v>
      </c>
    </row>
    <row r="64" spans="1:10">
      <c r="A64" s="25" t="s">
        <v>79</v>
      </c>
      <c r="B64" s="26"/>
      <c r="C64" s="26"/>
      <c r="D64" s="26"/>
      <c r="E64" s="24">
        <v>1</v>
      </c>
      <c r="F64" s="27"/>
      <c r="G64" s="27"/>
      <c r="H64" s="19">
        <f t="shared" si="3"/>
        <v>13.208</v>
      </c>
      <c r="I64" s="19">
        <f t="shared" si="4"/>
        <v>11.708</v>
      </c>
      <c r="J64" s="33">
        <f t="shared" si="5"/>
        <v>24.916</v>
      </c>
    </row>
    <row r="65" spans="1:10">
      <c r="A65" s="18" t="s">
        <v>80</v>
      </c>
      <c r="B65" s="19">
        <v>1.25</v>
      </c>
      <c r="C65" s="19">
        <v>1.25</v>
      </c>
      <c r="D65" s="26"/>
      <c r="E65" s="26"/>
      <c r="F65" s="27"/>
      <c r="G65" s="27"/>
      <c r="H65" s="19">
        <f t="shared" si="3"/>
        <v>14.458</v>
      </c>
      <c r="I65" s="19">
        <f t="shared" si="4"/>
        <v>12.958</v>
      </c>
      <c r="J65" s="33">
        <f t="shared" si="5"/>
        <v>27.416</v>
      </c>
    </row>
    <row r="66" spans="1:10">
      <c r="A66" s="25" t="s">
        <v>81</v>
      </c>
      <c r="B66" s="26"/>
      <c r="C66" s="26"/>
      <c r="D66" s="26"/>
      <c r="E66" s="26"/>
      <c r="F66" s="24">
        <v>1</v>
      </c>
      <c r="G66" s="27"/>
      <c r="H66" s="19">
        <f t="shared" si="3"/>
        <v>13.458</v>
      </c>
      <c r="I66" s="19">
        <f t="shared" si="4"/>
        <v>12.958</v>
      </c>
      <c r="J66" s="33">
        <f t="shared" si="5"/>
        <v>26.416</v>
      </c>
    </row>
    <row r="67" spans="1:10">
      <c r="A67" s="25" t="s">
        <v>82</v>
      </c>
      <c r="B67" s="26"/>
      <c r="C67" s="26"/>
      <c r="D67" s="26"/>
      <c r="E67" s="26"/>
      <c r="F67" s="24">
        <v>1</v>
      </c>
      <c r="G67" s="27"/>
      <c r="H67" s="19">
        <f t="shared" si="3"/>
        <v>12.458</v>
      </c>
      <c r="I67" s="19">
        <f t="shared" si="4"/>
        <v>12.958</v>
      </c>
      <c r="J67" s="33">
        <f t="shared" si="5"/>
        <v>25.416</v>
      </c>
    </row>
    <row r="68" spans="1:10">
      <c r="A68" s="18" t="s">
        <v>83</v>
      </c>
      <c r="B68" s="24">
        <v>2.5</v>
      </c>
      <c r="C68" s="24">
        <v>2.5</v>
      </c>
      <c r="D68" s="26"/>
      <c r="E68" s="26"/>
      <c r="F68" s="27"/>
      <c r="G68" s="27"/>
      <c r="H68" s="19">
        <f t="shared" si="3"/>
        <v>14.958</v>
      </c>
      <c r="I68" s="19">
        <f t="shared" si="4"/>
        <v>15.458</v>
      </c>
      <c r="J68" s="33">
        <f t="shared" si="5"/>
        <v>30.416</v>
      </c>
    </row>
    <row r="69" spans="1:10">
      <c r="A69" s="25" t="s">
        <v>84</v>
      </c>
      <c r="B69" s="26"/>
      <c r="C69" s="26"/>
      <c r="D69" s="24">
        <v>8</v>
      </c>
      <c r="E69" s="24">
        <v>10</v>
      </c>
      <c r="F69" s="27"/>
      <c r="G69" s="27"/>
      <c r="H69" s="19">
        <f t="shared" si="3"/>
        <v>6.958</v>
      </c>
      <c r="I69" s="19">
        <f t="shared" si="4"/>
        <v>5.458</v>
      </c>
      <c r="J69" s="33">
        <f t="shared" si="5"/>
        <v>12.416</v>
      </c>
    </row>
    <row r="70" spans="1:10">
      <c r="A70" s="27" t="s">
        <v>85</v>
      </c>
      <c r="B70" s="27">
        <f>4*1.25</f>
        <v>5</v>
      </c>
      <c r="C70" s="27">
        <v>5</v>
      </c>
      <c r="D70" s="26"/>
      <c r="E70" s="26"/>
      <c r="F70" s="27"/>
      <c r="G70" s="27"/>
      <c r="H70" s="19">
        <f t="shared" si="3"/>
        <v>11.958</v>
      </c>
      <c r="I70" s="19">
        <f t="shared" si="4"/>
        <v>10.458</v>
      </c>
      <c r="J70" s="33">
        <f t="shared" si="5"/>
        <v>22.416</v>
      </c>
    </row>
    <row r="71" spans="1:10">
      <c r="A71" s="27" t="s">
        <v>86</v>
      </c>
      <c r="B71" s="27"/>
      <c r="C71" s="27"/>
      <c r="D71" s="26"/>
      <c r="E71" s="26"/>
      <c r="F71" s="27">
        <v>1</v>
      </c>
      <c r="G71" s="27"/>
      <c r="H71" s="19">
        <f t="shared" si="3"/>
        <v>10.958</v>
      </c>
      <c r="I71" s="19">
        <f t="shared" si="4"/>
        <v>10.458</v>
      </c>
      <c r="J71" s="33">
        <f t="shared" si="5"/>
        <v>21.416</v>
      </c>
    </row>
    <row r="72" spans="1:10">
      <c r="A72" s="27" t="s">
        <v>87</v>
      </c>
      <c r="B72" s="27"/>
      <c r="C72" s="27"/>
      <c r="D72" s="26"/>
      <c r="E72" s="26"/>
      <c r="F72" s="34">
        <v>1</v>
      </c>
      <c r="G72" s="27"/>
      <c r="H72" s="19">
        <f t="shared" si="3"/>
        <v>9.958</v>
      </c>
      <c r="I72" s="19">
        <f t="shared" si="4"/>
        <v>10.458</v>
      </c>
      <c r="J72" s="33">
        <f t="shared" si="5"/>
        <v>20.416</v>
      </c>
    </row>
    <row r="73" spans="1:10">
      <c r="A73" s="27" t="s">
        <v>88</v>
      </c>
      <c r="B73" s="27">
        <v>6.25</v>
      </c>
      <c r="C73" s="27">
        <v>6.25</v>
      </c>
      <c r="D73" s="26"/>
      <c r="E73" s="26"/>
      <c r="F73" s="27"/>
      <c r="G73" s="27"/>
      <c r="H73" s="19">
        <f t="shared" si="3"/>
        <v>16.208</v>
      </c>
      <c r="I73" s="19">
        <f t="shared" si="4"/>
        <v>16.708</v>
      </c>
      <c r="J73" s="33">
        <f t="shared" si="5"/>
        <v>32.916</v>
      </c>
    </row>
    <row r="74" spans="1:10">
      <c r="A74" s="35" t="s">
        <v>89</v>
      </c>
      <c r="B74" s="27"/>
      <c r="C74" s="27"/>
      <c r="D74" s="26"/>
      <c r="E74" s="26"/>
      <c r="F74" s="27"/>
      <c r="G74" s="36">
        <v>2</v>
      </c>
      <c r="H74" s="19">
        <f t="shared" si="3"/>
        <v>16.208</v>
      </c>
      <c r="I74" s="19">
        <f t="shared" si="4"/>
        <v>16.708</v>
      </c>
      <c r="J74" s="33">
        <f t="shared" si="5"/>
        <v>32.916</v>
      </c>
    </row>
    <row r="75" spans="1:10">
      <c r="A75" s="35" t="s">
        <v>90</v>
      </c>
      <c r="B75" s="27">
        <v>1.25</v>
      </c>
      <c r="C75" s="27">
        <v>1.25</v>
      </c>
      <c r="D75" s="26"/>
      <c r="E75" s="26"/>
      <c r="F75" s="27"/>
      <c r="G75" s="27"/>
      <c r="H75" s="19">
        <f t="shared" si="3"/>
        <v>17.458</v>
      </c>
      <c r="I75" s="19">
        <f t="shared" si="4"/>
        <v>17.958</v>
      </c>
      <c r="J75" s="33">
        <f t="shared" si="5"/>
        <v>35.416</v>
      </c>
    </row>
    <row r="76" spans="1:10">
      <c r="A76" s="27" t="s">
        <v>91</v>
      </c>
      <c r="B76" s="27"/>
      <c r="C76" s="27"/>
      <c r="D76" s="26"/>
      <c r="E76" s="26"/>
      <c r="F76" s="27"/>
      <c r="G76" s="36">
        <v>1</v>
      </c>
      <c r="H76" s="19">
        <f t="shared" si="3"/>
        <v>17.458</v>
      </c>
      <c r="I76" s="19">
        <f t="shared" si="4"/>
        <v>17.958</v>
      </c>
      <c r="J76" s="33">
        <f t="shared" si="5"/>
        <v>35.416</v>
      </c>
    </row>
    <row r="77" spans="1:10">
      <c r="A77" s="27" t="s">
        <v>134</v>
      </c>
      <c r="B77" s="27">
        <v>1.25</v>
      </c>
      <c r="C77" s="27">
        <v>1.25</v>
      </c>
      <c r="D77" s="26"/>
      <c r="E77" s="26"/>
      <c r="F77" s="27"/>
      <c r="G77" s="27"/>
      <c r="H77" s="19">
        <f t="shared" si="3"/>
        <v>18.708</v>
      </c>
      <c r="I77" s="19">
        <f t="shared" si="4"/>
        <v>19.208</v>
      </c>
      <c r="J77" s="33">
        <f t="shared" si="5"/>
        <v>37.916</v>
      </c>
    </row>
    <row r="78" s="1" customFormat="1" ht="15" customHeight="1" spans="6:7">
      <c r="F78" s="4"/>
      <c r="G78" s="1" t="s">
        <v>108</v>
      </c>
    </row>
    <row r="79" s="1" customFormat="1" ht="15" customHeight="1" spans="6:6">
      <c r="F79" s="4"/>
    </row>
    <row r="80" s="1" customFormat="1" ht="15" customHeight="1" spans="6:7">
      <c r="F80" s="4"/>
      <c r="G80" s="37" t="s">
        <v>109</v>
      </c>
    </row>
    <row r="81" s="1" customFormat="1" ht="15" customHeight="1" spans="6:7">
      <c r="F81" s="4"/>
      <c r="G81" s="1" t="s">
        <v>110</v>
      </c>
    </row>
    <row r="82" s="1" customFormat="1" ht="15" customHeight="1" spans="6:7">
      <c r="F82" s="4"/>
      <c r="G82" s="1" t="s">
        <v>111</v>
      </c>
    </row>
  </sheetData>
  <mergeCells count="12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J11:J12"/>
    <mergeCell ref="K11:K12"/>
  </mergeCells>
  <printOptions horizontalCentered="1"/>
  <pageMargins left="0.25" right="0.25" top="0.25" bottom="0.25" header="0.3" footer="0.3"/>
  <pageSetup paperSize="9" scale="59" orientation="portrait" horizontalDpi="360" verticalDpi="36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CORRECTED</vt:lpstr>
      <vt:lpstr>CTO</vt:lpstr>
      <vt:lpstr>ELECTION</vt:lpstr>
      <vt:lpstr>Leave Card (NE)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2025-12-22T07:00:00Z</cp:lastPrinted>
  <dcterms:modified xsi:type="dcterms:W3CDTF">2026-01-02T08:18:30Z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CE0DD0B09F594D6DA32F6927AF36CCDF_12</vt:lpwstr>
  </property>
  <property fmtid="{D5CDD505-2E9C-101B-9397-08002B2CF9AE}" pid="3" name="KSOProductBuildVer">
    <vt:lpwstr>1033-12.2.0.23196</vt:lpwstr>
  </property>
</Properties>
</file>