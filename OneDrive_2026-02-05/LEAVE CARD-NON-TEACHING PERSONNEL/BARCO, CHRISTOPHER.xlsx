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8D24ACA-6F91-45AD-9E99-0457D9CF1708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6" l="1"/>
  <c r="I38" i="6"/>
  <c r="J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B15" i="6"/>
  <c r="J14" i="6"/>
  <c r="I14" i="6"/>
  <c r="H14" i="6"/>
</calcChain>
</file>

<file path=xl/sharedStrings.xml><?xml version="1.0" encoding="utf-8"?>
<sst xmlns="http://schemas.openxmlformats.org/spreadsheetml/2006/main" count="103" uniqueCount="78">
  <si>
    <t xml:space="preserve"> 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</si>
  <si>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</si>
  <si>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</si>
  <si>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</si>
  <si>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</si>
  <si>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</si>
  <si>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</si>
  <si>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</si>
  <si>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</si>
  <si>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</si>
  <si>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</si>
  <si>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</si>
  <si>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OF APPOINTMENT: HEAD TEACHER I (APRIL 11, 2023)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</si>
  <si>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</si>
  <si>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</si>
  <si>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</si>
  <si>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</si>
  <si>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</si>
  <si>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</si>
  <si>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</si>
  <si>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</si>
  <si>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</si>
  <si>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ADD: APRIL 11-30, 2023</t>
  </si>
  <si>
    <t>ADD: 05/01/2023-10/31/2023</t>
  </si>
  <si>
    <t>LESS: 11/13/2023</t>
  </si>
  <si>
    <t>ADD: 11/01/2023-11/30/2023</t>
  </si>
  <si>
    <t>LESS: 12/28/2023</t>
  </si>
  <si>
    <t>ADD: 12/1-31/2023</t>
  </si>
  <si>
    <t>LESS: FL 2023</t>
  </si>
  <si>
    <t>ADD: 01/1/2024-04/30/2024</t>
  </si>
  <si>
    <t>LESS: 05/06/2024</t>
  </si>
  <si>
    <t>ADD: 05/1-31/2024</t>
  </si>
  <si>
    <t>LESS: 06/5-7/2024</t>
  </si>
  <si>
    <t>LESS: 06/10-14/2024</t>
  </si>
  <si>
    <t>ADD: 06/1/2024-07/31/2024</t>
  </si>
  <si>
    <t>LESS: MONETIZATION  2024</t>
  </si>
  <si>
    <t>ADD: 08/1-31/2024</t>
  </si>
  <si>
    <t>LESS: 09/12/2024</t>
  </si>
  <si>
    <t>LESS: 09/13/2024</t>
  </si>
  <si>
    <t>ADD: 09/1/2024-12/31/2024</t>
  </si>
  <si>
    <t>ADD: 01/1/2025-04/30/2025</t>
  </si>
  <si>
    <t>LESS: 05/26/2025</t>
  </si>
  <si>
    <t>ADD: 05/1/2025-06/30/2025</t>
  </si>
  <si>
    <t>LESS: MONETIZATION 2025</t>
  </si>
  <si>
    <t>ADD: 07/1/2025-11/30/2025</t>
  </si>
  <si>
    <t>LESS: 12/22,23,26/2025</t>
  </si>
  <si>
    <t>NAME         : BARCO, CHRISTOPHER</t>
  </si>
  <si>
    <t>DISTRICT             : _______________________</t>
  </si>
  <si>
    <t>EMPLOYEE NO   : __________</t>
  </si>
  <si>
    <t>SCHOOL/OFFICE : JMMNHS</t>
  </si>
  <si>
    <t>STATION CODE   : __________</t>
  </si>
  <si>
    <t>POSITION   : TEACHER 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</si>
  <si>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</si>
  <si>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</si>
  <si>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</si>
  <si>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</si>
  <si>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</si>
  <si>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</si>
  <si>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OCTOBER 06, 2022</t>
  </si>
  <si>
    <t>S.O. # 085, S. 2022. BRIGADA ESKWELA 2022</t>
  </si>
  <si>
    <t>LESS: APRIL 13, 2023</t>
  </si>
  <si>
    <t>S.O. # 065, S. 2022. SCHOOL LIS AND BEIS COORDINATORS</t>
  </si>
  <si>
    <t>LESS: MAY 11 &amp; 12, 2023</t>
  </si>
  <si>
    <t>LESS: MAY 15 TO 19, 2023</t>
  </si>
  <si>
    <t>LESS: MAY 22-26, 2023</t>
  </si>
  <si>
    <t>NOTE:  Valid for one (1) year only</t>
  </si>
  <si>
    <t xml:space="preserve">   </t>
  </si>
  <si>
    <t>NAME          : _____________________</t>
  </si>
  <si>
    <t>DISTRICT                : _______________________</t>
  </si>
  <si>
    <t>EMPLOYEE NO    : __________</t>
  </si>
  <si>
    <t>SCHOOL/OFFICE : _______________________</t>
  </si>
  <si>
    <t>STATION CODE    : 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</si>
  <si>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</si>
  <si>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</si>
  <si>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</si>
  <si>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</si>
  <si>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</si>
  <si>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12/12 &amp; 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</si>
</sst>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5" fillId="10" borderId="23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4" fontId="0" fillId="16" borderId="23" xfId="0" applyNumberForma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0" fontId="5" fillId="13" borderId="19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/>
    </xf>
    <xf numFmtId="164" fontId="0" fillId="17" borderId="2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484350</xdr:colOff>
      <xdr:row>0</xdr:row>
      <xdr:rowOff>28769</xdr:rowOff>
    </xdr:from>
    <xdr:to>
      <xdr:col>4</xdr:col>
      <xdr:colOff>474112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5930" y="28575"/>
          <a:ext cx="783590" cy="6381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162897</xdr:colOff>
      <xdr:row>39</xdr:row>
      <xdr:rowOff>4988</xdr:rowOff>
    </xdr:from>
    <xdr:to>
      <xdr:col>9</xdr:col>
      <xdr:colOff>670250</xdr:colOff>
      <xdr:row>44</xdr:row>
      <xdr:rowOff>106912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532120" y="7593965"/>
          <a:ext cx="3682365" cy="10166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73405" y="1376045"/>
          <a:ext cx="1621155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BARCO,</a:t>
          </a:r>
          <a:r>
            <a:rPr lang="en-US" sz="1100" baseline="0"/>
            <a:t> CHRISTOPHER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16585" y="1678305"/>
          <a:ext cx="15779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HT-I </a:t>
          </a:r>
          <a:r>
            <a:rPr lang="en-US" sz="1100" baseline="0"/>
            <a:t>to</a:t>
          </a:r>
          <a:r>
            <a:rPr lang="en-US" sz="1100"/>
            <a:t>P-I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402965" y="1659890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TUGAS 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58724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view="pageBreakPreview" topLeftCell="A16" zoomScale="98" zoomScaleNormal="100" workbookViewId="0">
      <selection activeCell="A37" sqref="A37:XFD37"/>
    </sheetView>
  </sheetViews>
  <sheetFormatPr defaultColWidth="9" defaultRowHeight="15"/>
  <cols>
    <col min="1" max="1" width="32" customWidth="1"/>
    <col min="2" max="2" width="11.5703125" style="25" customWidth="1"/>
    <col min="3" max="3" width="11.5703125" style="6" customWidth="1"/>
    <col min="4" max="4" width="11.5703125" style="25" customWidth="1"/>
    <col min="5" max="5" width="11.5703125" style="6" customWidth="1"/>
    <col min="6" max="6" width="11.5703125" style="26" customWidth="1"/>
    <col min="7" max="7" width="11.5703125" customWidth="1"/>
    <col min="8" max="8" width="11.5703125" style="25" customWidth="1"/>
    <col min="9" max="9" width="11.5703125" style="6" customWidth="1"/>
    <col min="10" max="10" width="11.5703125" customWidth="1"/>
    <col min="11" max="12" width="9.140625"/>
  </cols>
  <sheetData>
    <row r="1" spans="1:13" s="1" customFormat="1" ht="52.5" customHeight="1">
      <c r="A1" s="1" t="s">
        <v>0</v>
      </c>
    </row>
    <row r="2" spans="1:13" s="1" customFormat="1" ht="10.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3" s="1" customFormat="1" ht="15.9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</row>
    <row r="4" spans="1:13" s="1" customFormat="1" ht="15.95" customHeight="1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</row>
    <row r="5" spans="1:13" s="1" customFormat="1" ht="15.95" customHeight="1">
      <c r="A5" s="44" t="s">
        <v>4</v>
      </c>
      <c r="B5" s="44"/>
      <c r="C5" s="44"/>
      <c r="D5" s="44"/>
      <c r="E5" s="44"/>
      <c r="F5" s="44"/>
      <c r="G5" s="44"/>
      <c r="H5" s="44"/>
      <c r="I5" s="44"/>
      <c r="J5" s="44"/>
    </row>
    <row r="6" spans="1:13" s="1" customFormat="1" ht="8.25" customHeight="1"/>
    <row r="7" spans="1:13" s="1" customFormat="1" ht="8.25" customHeight="1">
      <c r="A7" s="1" t="s">
        <v>5</v>
      </c>
      <c r="B7" s="45" t="s">
        <v>6</v>
      </c>
      <c r="C7" s="45"/>
      <c r="D7" s="45"/>
      <c r="H7" s="11" t="s">
        <v>7</v>
      </c>
      <c r="I7" s="39"/>
      <c r="J7" s="11"/>
    </row>
    <row r="8" spans="1:13" s="1" customFormat="1" ht="12" customHeight="1">
      <c r="B8" s="12"/>
      <c r="C8" s="12"/>
      <c r="H8" s="12"/>
      <c r="I8" s="12"/>
      <c r="J8" s="12"/>
    </row>
    <row r="9" spans="1:13" s="1" customFormat="1" ht="12" customHeight="1">
      <c r="A9" s="1" t="s">
        <v>8</v>
      </c>
      <c r="B9" s="45" t="s">
        <v>9</v>
      </c>
      <c r="C9" s="45"/>
      <c r="D9" s="45"/>
      <c r="H9" s="11" t="s">
        <v>10</v>
      </c>
      <c r="I9" s="40"/>
      <c r="J9" s="11"/>
    </row>
    <row r="10" spans="1:13" s="1" customFormat="1" ht="19.5" customHeight="1">
      <c r="A10" s="46" t="s">
        <v>11</v>
      </c>
      <c r="B10" s="46"/>
      <c r="C10" s="46"/>
      <c r="D10" s="46"/>
      <c r="E10" s="46"/>
      <c r="F10" s="46"/>
      <c r="G10" s="46"/>
      <c r="H10" s="46"/>
      <c r="I10" s="46"/>
      <c r="J10" s="46"/>
      <c r="K10"/>
      <c r="L10"/>
    </row>
    <row r="11" spans="1:13" ht="16.5" customHeight="1">
      <c r="A11" s="47" t="s">
        <v>12</v>
      </c>
      <c r="B11" s="48"/>
      <c r="C11" s="48"/>
      <c r="D11" s="48"/>
      <c r="E11" s="48"/>
      <c r="F11" s="48"/>
      <c r="G11" s="48"/>
      <c r="H11" s="48"/>
      <c r="I11" s="48"/>
      <c r="J11" s="49"/>
      <c r="K11" s="2"/>
      <c r="L11" s="2"/>
    </row>
    <row r="12" spans="1:13" s="2" customFormat="1" ht="12">
      <c r="A12" s="56" t="s">
        <v>13</v>
      </c>
      <c r="B12" s="50" t="s">
        <v>14</v>
      </c>
      <c r="C12" s="51"/>
      <c r="D12" s="52" t="s">
        <v>15</v>
      </c>
      <c r="E12" s="53"/>
      <c r="F12" s="53"/>
      <c r="G12" s="53"/>
      <c r="H12" s="54" t="s">
        <v>16</v>
      </c>
      <c r="I12" s="55"/>
      <c r="J12" s="58" t="s">
        <v>17</v>
      </c>
      <c r="M12" s="2" t="s">
        <v>13</v>
      </c>
    </row>
    <row r="13" spans="1:13" s="2" customFormat="1" ht="24">
      <c r="A13" s="57"/>
      <c r="B13" s="27" t="s">
        <v>18</v>
      </c>
      <c r="C13" s="28" t="s">
        <v>19</v>
      </c>
      <c r="D13" s="27" t="s">
        <v>18</v>
      </c>
      <c r="E13" s="28" t="s">
        <v>19</v>
      </c>
      <c r="F13" s="29" t="s">
        <v>20</v>
      </c>
      <c r="G13" s="30" t="s">
        <v>21</v>
      </c>
      <c r="H13" s="27" t="s">
        <v>18</v>
      </c>
      <c r="I13" s="28" t="s">
        <v>19</v>
      </c>
      <c r="J13" s="59"/>
    </row>
    <row r="14" spans="1:13" s="3" customFormat="1">
      <c r="A14" s="14" t="s">
        <v>22</v>
      </c>
      <c r="B14" s="31">
        <v>0.83299999999999996</v>
      </c>
      <c r="C14" s="31">
        <v>0.83299999999999996</v>
      </c>
      <c r="D14" s="31"/>
      <c r="E14" s="31"/>
      <c r="F14" s="31"/>
      <c r="G14" s="32"/>
      <c r="H14" s="31">
        <f>B14</f>
        <v>0.83299999999999996</v>
      </c>
      <c r="I14" s="31">
        <f>C14</f>
        <v>0.83299999999999996</v>
      </c>
      <c r="J14" s="41">
        <f>SUM(H14:I14)</f>
        <v>1.6659999999999999</v>
      </c>
      <c r="K14" s="42"/>
      <c r="L14" s="42"/>
    </row>
    <row r="15" spans="1:13" s="3" customFormat="1">
      <c r="A15" s="16" t="s">
        <v>23</v>
      </c>
      <c r="B15" s="31">
        <f>1.25*6</f>
        <v>7.5</v>
      </c>
      <c r="C15" s="31">
        <v>7.5</v>
      </c>
      <c r="D15" s="31"/>
      <c r="E15" s="31"/>
      <c r="F15" s="31"/>
      <c r="G15" s="32"/>
      <c r="H15" s="31">
        <f>H14-F15-D15+B15</f>
        <v>8.3330000000000002</v>
      </c>
      <c r="I15" s="31">
        <f>I14-E15+C15</f>
        <v>8.3330000000000002</v>
      </c>
      <c r="J15" s="41">
        <f t="shared" ref="J15:J16" si="0">SUM(H15:I15)</f>
        <v>16.666</v>
      </c>
      <c r="K15" s="43"/>
      <c r="L15" s="43"/>
    </row>
    <row r="16" spans="1:13" s="3" customFormat="1">
      <c r="A16" s="16" t="s">
        <v>24</v>
      </c>
      <c r="B16" s="31"/>
      <c r="C16" s="31"/>
      <c r="D16" s="31"/>
      <c r="E16" s="31"/>
      <c r="F16" s="31">
        <v>1</v>
      </c>
      <c r="G16" s="32"/>
      <c r="H16" s="31">
        <f t="shared" ref="H16" si="1">H15-F16-D16+B16</f>
        <v>7.3330000000000002</v>
      </c>
      <c r="I16" s="31">
        <f t="shared" ref="I16" si="2">I15-E16+C16</f>
        <v>8.3330000000000002</v>
      </c>
      <c r="J16" s="41">
        <f t="shared" si="0"/>
        <v>15.666</v>
      </c>
      <c r="K16" s="43"/>
      <c r="L16" s="43"/>
    </row>
    <row r="17" spans="1:12" s="3" customFormat="1">
      <c r="A17" s="33" t="s">
        <v>25</v>
      </c>
      <c r="B17" s="31">
        <v>1.25</v>
      </c>
      <c r="C17" s="31">
        <v>1.25</v>
      </c>
      <c r="D17" s="31"/>
      <c r="E17" s="31"/>
      <c r="F17" s="31"/>
      <c r="G17" s="32"/>
      <c r="H17" s="31">
        <f t="shared" ref="H17:H18" si="3">H16-F17-D17+B17</f>
        <v>8.5830000000000002</v>
      </c>
      <c r="I17" s="31">
        <f t="shared" ref="I17:I18" si="4">I16-E17+C17</f>
        <v>9.5830000000000002</v>
      </c>
      <c r="J17" s="41">
        <f t="shared" ref="J17:J18" si="5">SUM(H17:I17)</f>
        <v>18.166</v>
      </c>
      <c r="K17" s="43"/>
      <c r="L17" s="43"/>
    </row>
    <row r="18" spans="1:12" s="3" customFormat="1">
      <c r="A18" s="33" t="s">
        <v>26</v>
      </c>
      <c r="B18" s="31"/>
      <c r="C18" s="31"/>
      <c r="D18" s="31"/>
      <c r="E18" s="31"/>
      <c r="F18" s="31">
        <v>1</v>
      </c>
      <c r="G18" s="32"/>
      <c r="H18" s="31">
        <f t="shared" si="3"/>
        <v>7.5830000000000002</v>
      </c>
      <c r="I18" s="31">
        <f t="shared" si="4"/>
        <v>9.5830000000000002</v>
      </c>
      <c r="J18" s="41">
        <f t="shared" si="5"/>
        <v>17.166</v>
      </c>
      <c r="K18" s="43"/>
      <c r="L18" s="43"/>
    </row>
    <row r="19" spans="1:12" s="3" customFormat="1">
      <c r="A19" s="16" t="s">
        <v>27</v>
      </c>
      <c r="B19" s="31">
        <v>1.25</v>
      </c>
      <c r="C19" s="31">
        <v>1.25</v>
      </c>
      <c r="D19" s="31"/>
      <c r="E19" s="31"/>
      <c r="F19" s="31"/>
      <c r="G19" s="32"/>
      <c r="H19" s="31">
        <f t="shared" ref="H19" si="6">H18-F19-D19+B19</f>
        <v>8.8330000000000002</v>
      </c>
      <c r="I19" s="31">
        <f t="shared" ref="I19" si="7">I18-E19+C19</f>
        <v>10.833</v>
      </c>
      <c r="J19" s="41">
        <f t="shared" ref="J19" si="8">SUM(H19:I19)</f>
        <v>19.666</v>
      </c>
      <c r="K19" s="43"/>
      <c r="L19" s="43"/>
    </row>
    <row r="20" spans="1:12" s="3" customFormat="1">
      <c r="A20" s="16" t="s">
        <v>28</v>
      </c>
      <c r="B20" s="31"/>
      <c r="C20" s="31"/>
      <c r="D20" s="31"/>
      <c r="E20" s="31"/>
      <c r="F20" s="31">
        <v>3</v>
      </c>
      <c r="G20" s="32"/>
      <c r="H20" s="31">
        <f t="shared" ref="H20:H34" si="9">H19-F20-D20+B20</f>
        <v>5.8330000000000002</v>
      </c>
      <c r="I20" s="31">
        <f t="shared" ref="I20:I34" si="10">I19-E20+C20</f>
        <v>10.833</v>
      </c>
      <c r="J20" s="41">
        <f t="shared" ref="J20:J34" si="11">SUM(H20:I20)</f>
        <v>16.666</v>
      </c>
      <c r="K20" s="43"/>
      <c r="L20" s="43"/>
    </row>
    <row r="21" spans="1:12" s="3" customFormat="1">
      <c r="A21" s="16" t="s">
        <v>29</v>
      </c>
      <c r="B21" s="31">
        <v>5</v>
      </c>
      <c r="C21" s="31">
        <v>5</v>
      </c>
      <c r="D21" s="31"/>
      <c r="E21" s="31"/>
      <c r="F21" s="31"/>
      <c r="G21" s="32"/>
      <c r="H21" s="31">
        <f t="shared" si="9"/>
        <v>10.833</v>
      </c>
      <c r="I21" s="31">
        <f t="shared" si="10"/>
        <v>15.833</v>
      </c>
      <c r="J21" s="41">
        <f t="shared" si="11"/>
        <v>26.666</v>
      </c>
      <c r="K21" s="43"/>
      <c r="L21" s="43"/>
    </row>
    <row r="22" spans="1:12" ht="14.25" customHeight="1">
      <c r="A22" s="16" t="s">
        <v>30</v>
      </c>
      <c r="B22" s="31"/>
      <c r="C22" s="31"/>
      <c r="D22" s="31"/>
      <c r="E22" s="31"/>
      <c r="F22" s="31">
        <v>1</v>
      </c>
      <c r="G22" s="34"/>
      <c r="H22" s="31">
        <f t="shared" si="9"/>
        <v>9.8330000000000002</v>
      </c>
      <c r="I22" s="31">
        <f t="shared" si="10"/>
        <v>15.833</v>
      </c>
      <c r="J22" s="41">
        <f t="shared" si="11"/>
        <v>25.666</v>
      </c>
      <c r="K22" s="43"/>
      <c r="L22" s="43"/>
    </row>
    <row r="23" spans="1:12" s="1" customFormat="1">
      <c r="A23" s="16" t="s">
        <v>31</v>
      </c>
      <c r="B23" s="31">
        <v>1.25</v>
      </c>
      <c r="C23" s="31">
        <v>1.25</v>
      </c>
      <c r="D23" s="31"/>
      <c r="E23" s="31"/>
      <c r="F23" s="31"/>
      <c r="G23" s="34"/>
      <c r="H23" s="31">
        <f t="shared" si="9"/>
        <v>11.083</v>
      </c>
      <c r="I23" s="31">
        <f t="shared" si="10"/>
        <v>17.082999999999998</v>
      </c>
      <c r="J23" s="41">
        <f t="shared" si="11"/>
        <v>28.166</v>
      </c>
      <c r="K23" s="43"/>
      <c r="L23" s="43"/>
    </row>
    <row r="24" spans="1:12">
      <c r="A24" s="35" t="s">
        <v>32</v>
      </c>
      <c r="B24" s="31"/>
      <c r="C24" s="31"/>
      <c r="D24" s="31"/>
      <c r="E24" s="31"/>
      <c r="F24" s="31"/>
      <c r="G24" s="34">
        <v>3</v>
      </c>
      <c r="H24" s="31">
        <f t="shared" si="9"/>
        <v>11.083</v>
      </c>
      <c r="I24" s="31">
        <f t="shared" si="10"/>
        <v>17.082999999999998</v>
      </c>
      <c r="J24" s="41">
        <f t="shared" si="11"/>
        <v>28.166</v>
      </c>
      <c r="K24" s="43"/>
      <c r="L24" s="43"/>
    </row>
    <row r="25" spans="1:12">
      <c r="A25" s="35" t="s">
        <v>33</v>
      </c>
      <c r="B25" s="31"/>
      <c r="C25" s="31"/>
      <c r="D25" s="31"/>
      <c r="E25" s="31"/>
      <c r="F25" s="31">
        <v>4</v>
      </c>
      <c r="G25" s="34"/>
      <c r="H25" s="31">
        <f t="shared" si="9"/>
        <v>7.0830000000000002</v>
      </c>
      <c r="I25" s="31">
        <f t="shared" si="10"/>
        <v>17.082999999999998</v>
      </c>
      <c r="J25" s="41">
        <f t="shared" si="11"/>
        <v>24.166</v>
      </c>
      <c r="K25" s="43"/>
      <c r="L25" s="43"/>
    </row>
    <row r="26" spans="1:12">
      <c r="A26" s="36" t="s">
        <v>34</v>
      </c>
      <c r="B26" s="31">
        <v>2.5</v>
      </c>
      <c r="C26" s="31">
        <v>2.5</v>
      </c>
      <c r="D26" s="31"/>
      <c r="E26" s="31"/>
      <c r="F26" s="31"/>
      <c r="G26" s="34"/>
      <c r="H26" s="31">
        <f t="shared" si="9"/>
        <v>9.5830000000000002</v>
      </c>
      <c r="I26" s="31">
        <f t="shared" si="10"/>
        <v>19.582999999999998</v>
      </c>
      <c r="J26" s="41">
        <f t="shared" si="11"/>
        <v>29.166</v>
      </c>
      <c r="K26" s="43"/>
      <c r="L26" s="43"/>
    </row>
    <row r="27" spans="1:12">
      <c r="A27" s="37" t="s">
        <v>35</v>
      </c>
      <c r="B27" s="31"/>
      <c r="C27" s="31"/>
      <c r="D27" s="31">
        <v>4.5830000000000002</v>
      </c>
      <c r="E27" s="31">
        <v>18.417000000000002</v>
      </c>
      <c r="F27" s="31"/>
      <c r="G27" s="34"/>
      <c r="H27" s="31">
        <f t="shared" si="9"/>
        <v>5</v>
      </c>
      <c r="I27" s="31">
        <f t="shared" si="10"/>
        <v>1.1659999999999999</v>
      </c>
      <c r="J27" s="41">
        <f t="shared" si="11"/>
        <v>6.1660000000000004</v>
      </c>
      <c r="K27" s="43"/>
      <c r="L27" s="43"/>
    </row>
    <row r="28" spans="1:12">
      <c r="A28" s="37" t="s">
        <v>36</v>
      </c>
      <c r="B28" s="31">
        <v>1.25</v>
      </c>
      <c r="C28" s="31">
        <v>1.25</v>
      </c>
      <c r="D28" s="31"/>
      <c r="E28" s="31"/>
      <c r="F28" s="31"/>
      <c r="G28" s="34"/>
      <c r="H28" s="31">
        <f t="shared" si="9"/>
        <v>6.25</v>
      </c>
      <c r="I28" s="31">
        <f t="shared" si="10"/>
        <v>2.4159999999999999</v>
      </c>
      <c r="J28" s="41">
        <f t="shared" si="11"/>
        <v>8.6660000000000004</v>
      </c>
      <c r="K28" s="43"/>
      <c r="L28" s="43"/>
    </row>
    <row r="29" spans="1:12">
      <c r="A29" s="37" t="s">
        <v>37</v>
      </c>
      <c r="B29" s="31"/>
      <c r="C29" s="31"/>
      <c r="D29" s="31"/>
      <c r="E29" s="31">
        <v>1</v>
      </c>
      <c r="F29" s="31"/>
      <c r="G29" s="34"/>
      <c r="H29" s="31">
        <f t="shared" si="9"/>
        <v>6.25</v>
      </c>
      <c r="I29" s="31">
        <f t="shared" si="10"/>
        <v>1.4159999999999999</v>
      </c>
      <c r="J29" s="41">
        <f t="shared" si="11"/>
        <v>7.6660000000000004</v>
      </c>
      <c r="K29" s="43"/>
      <c r="L29" s="43"/>
    </row>
    <row r="30" spans="1:12">
      <c r="A30" s="36" t="s">
        <v>38</v>
      </c>
      <c r="B30" s="31"/>
      <c r="C30" s="31"/>
      <c r="D30" s="31">
        <v>1</v>
      </c>
      <c r="E30" s="31"/>
      <c r="F30" s="31"/>
      <c r="G30" s="32"/>
      <c r="H30" s="31">
        <f t="shared" si="9"/>
        <v>5.25</v>
      </c>
      <c r="I30" s="31">
        <f t="shared" si="10"/>
        <v>1.4159999999999999</v>
      </c>
      <c r="J30" s="41">
        <f t="shared" si="11"/>
        <v>6.6660000000000004</v>
      </c>
      <c r="K30" s="43"/>
      <c r="L30" s="43"/>
    </row>
    <row r="31" spans="1:12">
      <c r="A31" s="36" t="s">
        <v>39</v>
      </c>
      <c r="B31" s="31">
        <v>5</v>
      </c>
      <c r="C31" s="31">
        <v>5</v>
      </c>
      <c r="D31" s="31"/>
      <c r="E31" s="31"/>
      <c r="F31" s="31"/>
      <c r="G31" s="32"/>
      <c r="H31" s="31">
        <f t="shared" si="9"/>
        <v>10.25</v>
      </c>
      <c r="I31" s="31">
        <f t="shared" si="10"/>
        <v>6.4160000000000004</v>
      </c>
      <c r="J31" s="41">
        <f t="shared" si="11"/>
        <v>16.666</v>
      </c>
      <c r="K31" s="43"/>
      <c r="L31" s="43"/>
    </row>
    <row r="32" spans="1:12">
      <c r="A32" s="36" t="s">
        <v>40</v>
      </c>
      <c r="B32" s="31">
        <v>5</v>
      </c>
      <c r="C32" s="31">
        <v>5</v>
      </c>
      <c r="D32" s="31"/>
      <c r="E32" s="31"/>
      <c r="F32" s="31"/>
      <c r="G32" s="32"/>
      <c r="H32" s="31">
        <f t="shared" si="9"/>
        <v>15.25</v>
      </c>
      <c r="I32" s="31">
        <f t="shared" si="10"/>
        <v>11.416</v>
      </c>
      <c r="J32" s="41">
        <f t="shared" si="11"/>
        <v>26.666</v>
      </c>
      <c r="K32" s="43"/>
      <c r="L32" s="43"/>
    </row>
    <row r="33" spans="1:12">
      <c r="A33" s="36" t="s">
        <v>41</v>
      </c>
      <c r="B33" s="31"/>
      <c r="C33" s="31"/>
      <c r="D33" s="31"/>
      <c r="E33" s="31"/>
      <c r="F33" s="38">
        <v>1</v>
      </c>
      <c r="G33" s="32"/>
      <c r="H33" s="31">
        <f t="shared" si="9"/>
        <v>14.25</v>
      </c>
      <c r="I33" s="31">
        <f t="shared" si="10"/>
        <v>11.416</v>
      </c>
      <c r="J33" s="41">
        <f t="shared" si="11"/>
        <v>25.666</v>
      </c>
      <c r="K33" s="43"/>
      <c r="L33" s="43"/>
    </row>
    <row r="34" spans="1:12">
      <c r="A34" s="36" t="s">
        <v>42</v>
      </c>
      <c r="B34" s="31">
        <v>2.5</v>
      </c>
      <c r="C34" s="31">
        <v>2.5</v>
      </c>
      <c r="D34" s="31"/>
      <c r="E34" s="31"/>
      <c r="F34" s="31"/>
      <c r="G34" s="32"/>
      <c r="H34" s="31">
        <f t="shared" si="9"/>
        <v>16.75</v>
      </c>
      <c r="I34" s="31">
        <f t="shared" si="10"/>
        <v>13.916</v>
      </c>
      <c r="J34" s="41">
        <f t="shared" si="11"/>
        <v>30.666</v>
      </c>
      <c r="K34" s="43"/>
      <c r="L34" s="43"/>
    </row>
    <row r="35" spans="1:12">
      <c r="A35" s="36" t="s">
        <v>43</v>
      </c>
      <c r="B35" s="31"/>
      <c r="C35" s="31"/>
      <c r="D35" s="31">
        <v>11</v>
      </c>
      <c r="E35" s="31"/>
      <c r="F35" s="31"/>
      <c r="G35" s="32"/>
      <c r="H35" s="31">
        <f t="shared" ref="H35" si="12">H34-F35-D35+B35</f>
        <v>5.75</v>
      </c>
      <c r="I35" s="31">
        <f t="shared" ref="I35" si="13">I34-E35+C35</f>
        <v>13.916</v>
      </c>
      <c r="J35" s="41">
        <f t="shared" ref="J35" si="14">SUM(H35:I35)</f>
        <v>19.666</v>
      </c>
      <c r="K35" s="43"/>
      <c r="L35" s="43"/>
    </row>
    <row r="36" spans="1:12">
      <c r="A36" s="36" t="s">
        <v>44</v>
      </c>
      <c r="B36" s="31">
        <v>6.25</v>
      </c>
      <c r="C36" s="31">
        <v>6.25</v>
      </c>
      <c r="D36" s="31"/>
      <c r="E36" s="31"/>
      <c r="F36" s="31"/>
      <c r="G36" s="32"/>
      <c r="H36" s="31">
        <f t="shared" ref="H36" si="15">H35-F36-D36+B36</f>
        <v>12</v>
      </c>
      <c r="I36" s="31">
        <f t="shared" ref="I36" si="16">I35-E36+C36</f>
        <v>20.166</v>
      </c>
      <c r="J36" s="41">
        <f t="shared" ref="J36" si="17">SUM(H36:I36)</f>
        <v>32.165999999999997</v>
      </c>
      <c r="K36" s="43"/>
      <c r="L36" s="43"/>
    </row>
    <row r="37" spans="1:12">
      <c r="A37" s="36" t="s">
        <v>45</v>
      </c>
      <c r="B37" s="31"/>
      <c r="C37" s="31"/>
      <c r="D37" s="31"/>
      <c r="E37" s="31"/>
      <c r="F37" s="38">
        <v>3</v>
      </c>
      <c r="G37" s="32"/>
      <c r="H37" s="31">
        <f>H36-F37-D37+B37</f>
        <v>9</v>
      </c>
      <c r="I37" s="31">
        <f>I36-E37+C37</f>
        <v>20.166</v>
      </c>
      <c r="J37" s="41">
        <f>SUM(H37:I37)</f>
        <v>29.166</v>
      </c>
      <c r="K37" s="43"/>
      <c r="L37" s="43"/>
    </row>
    <row r="38" spans="1:12">
      <c r="A38" s="91" t="s">
        <v>77</v>
      </c>
      <c r="B38" s="31"/>
      <c r="C38" s="31"/>
      <c r="D38" s="31"/>
      <c r="E38" s="31"/>
      <c r="F38" s="31"/>
      <c r="G38" s="92">
        <v>2</v>
      </c>
      <c r="H38" s="31">
        <f>H37-F38-D38+B38</f>
        <v>9</v>
      </c>
      <c r="I38" s="31">
        <f>I37-E38+C38</f>
        <v>20.166</v>
      </c>
      <c r="J38" s="41">
        <f>SUM(H38:I38)</f>
        <v>29.166</v>
      </c>
      <c r="K38" s="43"/>
      <c r="L38" s="43"/>
    </row>
    <row r="39" spans="1:12">
      <c r="B39"/>
      <c r="C39" s="5"/>
      <c r="D39" s="1"/>
      <c r="E39" s="1"/>
      <c r="F39" s="1"/>
      <c r="G39" s="1"/>
      <c r="H39"/>
      <c r="I39"/>
      <c r="J39" s="1"/>
      <c r="K39" s="7"/>
    </row>
    <row r="40" spans="1:12">
      <c r="B40"/>
      <c r="C40" s="5"/>
      <c r="D40" s="1"/>
      <c r="E40" s="1"/>
      <c r="F40" s="1"/>
      <c r="G40" s="1"/>
      <c r="H40" s="1"/>
      <c r="I40" s="1"/>
      <c r="J40" s="1"/>
      <c r="K40" s="7"/>
    </row>
    <row r="41" spans="1:12">
      <c r="B41"/>
      <c r="C41" s="5"/>
      <c r="D41" s="1"/>
      <c r="E41" s="1"/>
      <c r="F41" s="1"/>
      <c r="G41" s="1"/>
      <c r="H41" s="1"/>
      <c r="I41" s="1"/>
      <c r="J41" s="1"/>
      <c r="K41" s="7"/>
    </row>
    <row r="42" spans="1:12">
      <c r="B42"/>
      <c r="C42" s="5"/>
      <c r="D42" s="1"/>
      <c r="E42" s="1"/>
      <c r="F42" s="1"/>
      <c r="G42" s="1"/>
      <c r="H42" s="1"/>
      <c r="I42" s="1"/>
      <c r="J42" s="1"/>
      <c r="K42" s="7"/>
    </row>
    <row r="43" spans="1:12">
      <c r="B43"/>
      <c r="C43"/>
      <c r="D43" s="1"/>
      <c r="E43" s="1"/>
      <c r="F43" s="1"/>
      <c r="G43" s="1"/>
      <c r="H43" s="1"/>
      <c r="I43" s="1"/>
      <c r="J43" s="1"/>
    </row>
    <row r="44" spans="1:12">
      <c r="B44"/>
      <c r="C44"/>
      <c r="D44" s="1"/>
      <c r="E44" s="1"/>
      <c r="F44" s="1"/>
      <c r="G44" s="1"/>
      <c r="H44" s="1"/>
      <c r="I44" s="1"/>
      <c r="J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13">
    <mergeCell ref="B9:D9"/>
    <mergeCell ref="A10:J10"/>
    <mergeCell ref="A11:J11"/>
    <mergeCell ref="B12:C12"/>
    <mergeCell ref="D12:G12"/>
    <mergeCell ref="H12:I12"/>
    <mergeCell ref="A12:A13"/>
    <mergeCell ref="J12:J13"/>
    <mergeCell ref="A2:J2"/>
    <mergeCell ref="A3:J3"/>
    <mergeCell ref="A4:J4"/>
    <mergeCell ref="A5:J5"/>
    <mergeCell ref="B7:D7"/>
  </mergeCells>
  <printOptions horizontalCentered="1"/>
  <pageMargins left="0.118110236220472" right="0.118110236220472" top="0.31496062992126" bottom="0.31496062992126" header="0.31496062992126" footer="0.31496062992126"/>
  <pageSetup paperSize="9" scale="75" fitToHeight="0" orientation="portrait" horizontalDpi="360" verticalDpi="360" r:id="rId1"/>
  <colBreaks count="1" manualBreakCount="1">
    <brk id="10" max="4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view="pageBreakPreview" topLeftCell="A7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46</v>
      </c>
      <c r="B8" s="11"/>
      <c r="C8" s="45" t="s">
        <v>47</v>
      </c>
      <c r="D8" s="45"/>
      <c r="E8" s="45"/>
      <c r="F8" s="45"/>
      <c r="G8" s="45"/>
      <c r="I8" s="45" t="s">
        <v>48</v>
      </c>
      <c r="J8" s="45"/>
      <c r="K8" s="45"/>
      <c r="L8" s="11"/>
    </row>
    <row r="9" spans="1:12" s="1" customFormat="1" ht="12" customHeight="1">
      <c r="B9" s="12"/>
      <c r="C9" s="45" t="s">
        <v>49</v>
      </c>
      <c r="D9" s="45"/>
      <c r="E9" s="45"/>
      <c r="F9" s="45"/>
      <c r="G9" s="45"/>
      <c r="I9" s="60" t="s">
        <v>50</v>
      </c>
      <c r="J9" s="60"/>
      <c r="K9" s="60"/>
      <c r="L9" s="12"/>
    </row>
    <row r="10" spans="1:12" s="1" customFormat="1" ht="12" customHeight="1">
      <c r="A10" s="11" t="s">
        <v>51</v>
      </c>
      <c r="B10" s="11"/>
      <c r="C10" s="13"/>
      <c r="D10" s="12"/>
      <c r="E10" s="12"/>
      <c r="I10" s="45" t="s">
        <v>52</v>
      </c>
      <c r="J10" s="45"/>
      <c r="K10" s="45"/>
      <c r="L10" s="11"/>
    </row>
    <row r="11" spans="1:12" ht="16.5" customHeight="1">
      <c r="A11" s="46" t="s">
        <v>53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73" t="s">
        <v>13</v>
      </c>
      <c r="B12" s="61" t="s">
        <v>14</v>
      </c>
      <c r="C12" s="62"/>
      <c r="D12" s="62"/>
      <c r="E12" s="62"/>
      <c r="F12" s="62"/>
      <c r="G12" s="62"/>
      <c r="H12" s="62"/>
      <c r="I12" s="62"/>
      <c r="J12" s="62"/>
      <c r="K12" s="62"/>
      <c r="L12" s="75" t="s">
        <v>17</v>
      </c>
    </row>
    <row r="13" spans="1:12" s="2" customFormat="1" ht="24" customHeight="1">
      <c r="A13" s="74"/>
      <c r="B13" s="63" t="s">
        <v>54</v>
      </c>
      <c r="C13" s="64"/>
      <c r="D13" s="64"/>
      <c r="E13" s="65"/>
      <c r="F13" s="63" t="s">
        <v>55</v>
      </c>
      <c r="G13" s="65"/>
      <c r="H13" s="63" t="s">
        <v>56</v>
      </c>
      <c r="I13" s="65"/>
      <c r="J13" s="63" t="s">
        <v>57</v>
      </c>
      <c r="K13" s="65"/>
      <c r="L13" s="76"/>
    </row>
    <row r="14" spans="1:12" s="2" customFormat="1">
      <c r="A14" s="14" t="s">
        <v>58</v>
      </c>
      <c r="B14" s="66" t="s">
        <v>59</v>
      </c>
      <c r="C14" s="67"/>
      <c r="D14" s="67"/>
      <c r="E14" s="68"/>
      <c r="F14" s="66">
        <v>15</v>
      </c>
      <c r="G14" s="68"/>
      <c r="H14" s="66">
        <v>0</v>
      </c>
      <c r="I14" s="68"/>
      <c r="J14" s="66">
        <v>15</v>
      </c>
      <c r="K14" s="68"/>
      <c r="L14" s="19">
        <v>15</v>
      </c>
    </row>
    <row r="15" spans="1:12" s="3" customFormat="1" ht="22.5" customHeight="1">
      <c r="A15" s="16" t="s">
        <v>60</v>
      </c>
      <c r="B15" s="66" t="s">
        <v>61</v>
      </c>
      <c r="C15" s="67"/>
      <c r="D15" s="67"/>
      <c r="E15" s="68"/>
      <c r="F15" s="66">
        <v>15</v>
      </c>
      <c r="G15" s="68"/>
      <c r="H15" s="66">
        <v>1</v>
      </c>
      <c r="I15" s="68"/>
      <c r="J15" s="66">
        <v>14</v>
      </c>
      <c r="K15" s="68"/>
      <c r="L15" s="19">
        <v>14</v>
      </c>
    </row>
    <row r="16" spans="1:12" s="3" customFormat="1" ht="21.6" customHeight="1">
      <c r="A16" s="16" t="s">
        <v>62</v>
      </c>
      <c r="B16" s="66" t="s">
        <v>61</v>
      </c>
      <c r="C16" s="67"/>
      <c r="D16" s="67"/>
      <c r="E16" s="68"/>
      <c r="F16" s="66">
        <v>14</v>
      </c>
      <c r="G16" s="68"/>
      <c r="H16" s="66">
        <v>2</v>
      </c>
      <c r="I16" s="68"/>
      <c r="J16" s="66">
        <v>12</v>
      </c>
      <c r="K16" s="68"/>
      <c r="L16" s="19">
        <v>12</v>
      </c>
    </row>
    <row r="17" spans="1:12" s="3" customFormat="1" ht="24.6" customHeight="1">
      <c r="A17" s="16" t="s">
        <v>63</v>
      </c>
      <c r="B17" s="66" t="s">
        <v>61</v>
      </c>
      <c r="C17" s="67"/>
      <c r="D17" s="67"/>
      <c r="E17" s="68"/>
      <c r="F17" s="66">
        <v>12</v>
      </c>
      <c r="G17" s="68"/>
      <c r="H17" s="66">
        <v>5</v>
      </c>
      <c r="I17" s="68"/>
      <c r="J17" s="66">
        <v>7</v>
      </c>
      <c r="K17" s="68"/>
      <c r="L17" s="19">
        <v>7</v>
      </c>
    </row>
    <row r="18" spans="1:12" s="3" customFormat="1" ht="24.6" customHeight="1">
      <c r="A18" s="20" t="s">
        <v>64</v>
      </c>
      <c r="B18" s="69" t="s">
        <v>61</v>
      </c>
      <c r="C18" s="70"/>
      <c r="D18" s="70"/>
      <c r="E18" s="71"/>
      <c r="F18" s="69">
        <v>7</v>
      </c>
      <c r="G18" s="71"/>
      <c r="H18" s="69">
        <v>5</v>
      </c>
      <c r="I18" s="71"/>
      <c r="J18" s="69">
        <v>2</v>
      </c>
      <c r="K18" s="71"/>
      <c r="L18" s="23">
        <v>2</v>
      </c>
    </row>
    <row r="19" spans="1:12" s="3" customFormat="1">
      <c r="A19" s="21" t="s">
        <v>65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4"/>
    </row>
    <row r="20" spans="1:12" ht="75.7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spans="1:12" s="1" customFormat="1">
      <c r="C21" s="10"/>
    </row>
    <row r="22" spans="1:12" s="1" customFormat="1">
      <c r="C22" s="10"/>
    </row>
    <row r="24" spans="1:12">
      <c r="G24" s="7" t="s">
        <v>66</v>
      </c>
    </row>
  </sheetData>
  <mergeCells count="38">
    <mergeCell ref="A20:L20"/>
    <mergeCell ref="A12:A13"/>
    <mergeCell ref="L12:L13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67</v>
      </c>
      <c r="B8" s="11"/>
      <c r="C8" s="11"/>
      <c r="D8" s="45" t="s">
        <v>68</v>
      </c>
      <c r="E8" s="45"/>
      <c r="F8" s="45"/>
      <c r="G8" s="45"/>
      <c r="H8" s="45"/>
      <c r="J8" s="45" t="s">
        <v>69</v>
      </c>
      <c r="K8" s="45"/>
      <c r="L8" s="45"/>
      <c r="M8" s="11"/>
    </row>
    <row r="9" spans="1:13" s="1" customFormat="1" ht="12" customHeight="1">
      <c r="C9" s="12"/>
      <c r="D9" s="45" t="s">
        <v>70</v>
      </c>
      <c r="E9" s="45"/>
      <c r="F9" s="45"/>
      <c r="G9" s="45"/>
      <c r="H9" s="45"/>
      <c r="J9" s="60" t="s">
        <v>71</v>
      </c>
      <c r="K9" s="60"/>
      <c r="L9" s="60"/>
      <c r="M9" s="12"/>
    </row>
    <row r="10" spans="1:13" s="1" customFormat="1" ht="12" customHeight="1">
      <c r="A10" s="11" t="s">
        <v>72</v>
      </c>
      <c r="B10" s="11"/>
      <c r="C10" s="11"/>
      <c r="D10" s="13"/>
      <c r="E10" s="12"/>
      <c r="F10" s="12"/>
      <c r="J10" s="45" t="s">
        <v>52</v>
      </c>
      <c r="K10" s="45"/>
      <c r="L10" s="45"/>
      <c r="M10" s="11"/>
    </row>
    <row r="11" spans="1:13" ht="16.5" customHeight="1">
      <c r="A11" s="46" t="s">
        <v>73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80" t="s">
        <v>74</v>
      </c>
      <c r="B12" s="73" t="s">
        <v>13</v>
      </c>
      <c r="C12" s="85" t="s">
        <v>75</v>
      </c>
      <c r="D12" s="86"/>
      <c r="E12" s="85" t="s">
        <v>76</v>
      </c>
      <c r="F12" s="86"/>
      <c r="G12" s="85" t="s">
        <v>55</v>
      </c>
      <c r="H12" s="86"/>
      <c r="I12" s="85" t="s">
        <v>56</v>
      </c>
      <c r="J12" s="86"/>
      <c r="K12" s="85" t="s">
        <v>57</v>
      </c>
      <c r="L12" s="86"/>
      <c r="M12" s="75" t="s">
        <v>17</v>
      </c>
    </row>
    <row r="13" spans="1:13" s="2" customFormat="1" ht="18.75" customHeight="1">
      <c r="A13" s="81"/>
      <c r="B13" s="83"/>
      <c r="C13" s="87"/>
      <c r="D13" s="88"/>
      <c r="E13" s="87"/>
      <c r="F13" s="88"/>
      <c r="G13" s="87"/>
      <c r="H13" s="88"/>
      <c r="I13" s="87"/>
      <c r="J13" s="88"/>
      <c r="K13" s="87"/>
      <c r="L13" s="88"/>
      <c r="M13" s="84"/>
    </row>
    <row r="14" spans="1:13" s="2" customFormat="1" ht="24" customHeight="1">
      <c r="A14" s="82"/>
      <c r="B14" s="74"/>
      <c r="C14" s="89"/>
      <c r="D14" s="90"/>
      <c r="E14" s="89"/>
      <c r="F14" s="90"/>
      <c r="G14" s="89"/>
      <c r="H14" s="90"/>
      <c r="I14" s="89"/>
      <c r="J14" s="90"/>
      <c r="K14" s="89"/>
      <c r="L14" s="90"/>
      <c r="M14" s="76"/>
    </row>
    <row r="15" spans="1:13" s="2" customFormat="1">
      <c r="A15" s="14"/>
      <c r="B15" s="15"/>
      <c r="C15" s="66"/>
      <c r="D15" s="67"/>
      <c r="E15" s="66"/>
      <c r="F15" s="67"/>
      <c r="G15" s="66"/>
      <c r="H15" s="68"/>
      <c r="I15" s="66"/>
      <c r="J15" s="68"/>
      <c r="K15" s="66"/>
      <c r="L15" s="68"/>
      <c r="M15" s="19"/>
    </row>
    <row r="16" spans="1:13" s="3" customFormat="1">
      <c r="A16" s="16"/>
      <c r="B16" s="17"/>
      <c r="C16" s="66"/>
      <c r="D16" s="67"/>
      <c r="E16" s="66"/>
      <c r="F16" s="67"/>
      <c r="G16" s="66"/>
      <c r="H16" s="68"/>
      <c r="I16" s="66"/>
      <c r="J16" s="68"/>
      <c r="K16" s="66"/>
      <c r="L16" s="68"/>
      <c r="M16" s="19"/>
    </row>
    <row r="17" spans="1:13" s="3" customFormat="1">
      <c r="A17" s="16"/>
      <c r="B17" s="17"/>
      <c r="C17" s="66"/>
      <c r="D17" s="67"/>
      <c r="E17" s="66"/>
      <c r="F17" s="67"/>
      <c r="G17" s="66"/>
      <c r="H17" s="68"/>
      <c r="I17" s="66"/>
      <c r="J17" s="68"/>
      <c r="K17" s="66"/>
      <c r="L17" s="68"/>
      <c r="M17" s="19"/>
    </row>
    <row r="18" spans="1:13" s="3" customFormat="1">
      <c r="A18" s="16"/>
      <c r="B18" s="17"/>
      <c r="C18" s="66"/>
      <c r="D18" s="67"/>
      <c r="E18" s="66"/>
      <c r="F18" s="67"/>
      <c r="G18" s="66"/>
      <c r="H18" s="68"/>
      <c r="I18" s="66"/>
      <c r="J18" s="68"/>
      <c r="K18" s="66"/>
      <c r="L18" s="68"/>
      <c r="M18" s="19"/>
    </row>
    <row r="19" spans="1:13" s="3" customFormat="1">
      <c r="A19" s="16"/>
      <c r="B19" s="17"/>
      <c r="C19" s="66"/>
      <c r="D19" s="67"/>
      <c r="E19" s="66"/>
      <c r="F19" s="67"/>
      <c r="G19" s="66"/>
      <c r="H19" s="68"/>
      <c r="I19" s="66"/>
      <c r="J19" s="68"/>
      <c r="K19" s="66"/>
      <c r="L19" s="68"/>
      <c r="M19" s="19"/>
    </row>
    <row r="20" spans="1:13" s="3" customFormat="1">
      <c r="A20" s="16"/>
      <c r="B20" s="17"/>
      <c r="C20" s="66"/>
      <c r="D20" s="67"/>
      <c r="E20" s="66"/>
      <c r="F20" s="67"/>
      <c r="G20" s="66"/>
      <c r="H20" s="68"/>
      <c r="I20" s="66"/>
      <c r="J20" s="68"/>
      <c r="K20" s="66"/>
      <c r="L20" s="68"/>
      <c r="M20" s="19"/>
    </row>
    <row r="21" spans="1:13" s="3" customFormat="1">
      <c r="A21" s="16"/>
      <c r="B21" s="17"/>
      <c r="C21" s="77"/>
      <c r="D21" s="78"/>
      <c r="E21" s="77"/>
      <c r="F21" s="79"/>
      <c r="G21" s="66"/>
      <c r="H21" s="68"/>
      <c r="I21" s="66"/>
      <c r="J21" s="68"/>
      <c r="K21" s="66"/>
      <c r="L21" s="68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2026-01-07T06:43:46Z</cp:lastPrinted>
  <dcterms:created xsi:type="dcterms:W3CDTF">2021-10-07T06:10:00Z</dcterms:created>
  <dcterms:modified xsi:type="dcterms:W3CDTF">2026-01-07T06:44:41Z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