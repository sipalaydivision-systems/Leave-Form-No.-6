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D1FF4078-6FE9-41B8-A48B-CCC5455B47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  <sheet name="CTO (2)" sheetId="8" r:id="rId2"/>
    <sheet name="CTO" sheetId="7" r:id="rId3"/>
  </sheets>
  <definedNames>
    <definedName name="_xlnm.Print_Area" localSheetId="0">'Leave Card (NE)'!$A$1:$J$103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6" i="6" l="1"/>
  <c r="I96" i="6"/>
  <c r="J96" i="6"/>
  <c r="B15" i="6" l="1"/>
  <c r="I14" i="6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H14" i="6"/>
  <c r="J14" i="6" s="1"/>
  <c r="H15" i="6" l="1"/>
  <c r="J15" i="6" s="1"/>
  <c r="B55" i="6"/>
  <c r="H16" i="6" l="1"/>
  <c r="J16" i="6" s="1"/>
  <c r="B47" i="6"/>
  <c r="B43" i="6"/>
  <c r="B31" i="6"/>
  <c r="B20" i="6"/>
  <c r="H17" i="6" l="1"/>
  <c r="H18" i="6" s="1"/>
  <c r="H19" i="6" s="1"/>
  <c r="I58" i="6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l="1"/>
  <c r="I87" i="6" s="1"/>
  <c r="I88" i="6" s="1"/>
  <c r="I89" i="6" s="1"/>
  <c r="I90" i="6" s="1"/>
  <c r="I91" i="6" s="1"/>
  <c r="I92" i="6" s="1"/>
  <c r="J17" i="6"/>
  <c r="J18" i="6"/>
  <c r="H20" i="6"/>
  <c r="J19" i="6"/>
  <c r="I93" i="6" l="1"/>
  <c r="I94" i="6" s="1"/>
  <c r="I95" i="6" s="1"/>
  <c r="J20" i="6"/>
  <c r="H21" i="6"/>
  <c r="J21" i="6" l="1"/>
  <c r="H22" i="6"/>
  <c r="J22" i="6" l="1"/>
  <c r="H23" i="6"/>
  <c r="H24" i="6" l="1"/>
  <c r="J23" i="6"/>
  <c r="J24" i="6" l="1"/>
  <c r="H25" i="6"/>
  <c r="J25" i="6" l="1"/>
  <c r="H26" i="6"/>
  <c r="J26" i="6" l="1"/>
  <c r="H27" i="6"/>
  <c r="H28" i="6" l="1"/>
  <c r="J27" i="6"/>
  <c r="J28" i="6" l="1"/>
  <c r="H29" i="6"/>
  <c r="H30" i="6" l="1"/>
  <c r="J29" i="6"/>
  <c r="J30" i="6" l="1"/>
  <c r="H31" i="6"/>
  <c r="H32" i="6" l="1"/>
  <c r="J31" i="6"/>
  <c r="J32" i="6" l="1"/>
  <c r="H33" i="6"/>
  <c r="J33" i="6" l="1"/>
  <c r="H34" i="6"/>
  <c r="J34" i="6" l="1"/>
  <c r="H35" i="6"/>
  <c r="H36" i="6" l="1"/>
  <c r="J35" i="6"/>
  <c r="J36" i="6" l="1"/>
  <c r="H37" i="6"/>
  <c r="J37" i="6" l="1"/>
  <c r="H38" i="6"/>
  <c r="J38" i="6" l="1"/>
  <c r="H39" i="6"/>
  <c r="J39" i="6" l="1"/>
  <c r="H40" i="6"/>
  <c r="J40" i="6" l="1"/>
  <c r="H41" i="6"/>
  <c r="H42" i="6" l="1"/>
  <c r="J41" i="6"/>
  <c r="J42" i="6" l="1"/>
  <c r="H43" i="6"/>
  <c r="H44" i="6" l="1"/>
  <c r="J43" i="6"/>
  <c r="J44" i="6" l="1"/>
  <c r="H45" i="6"/>
  <c r="H46" i="6" l="1"/>
  <c r="J45" i="6"/>
  <c r="J46" i="6" l="1"/>
  <c r="H47" i="6"/>
  <c r="J47" i="6" l="1"/>
  <c r="H48" i="6"/>
  <c r="J48" i="6" l="1"/>
  <c r="H49" i="6"/>
  <c r="H50" i="6" l="1"/>
  <c r="J49" i="6"/>
  <c r="J50" i="6" l="1"/>
  <c r="H51" i="6"/>
  <c r="J51" i="6" l="1"/>
  <c r="H52" i="6"/>
  <c r="J52" i="6" l="1"/>
  <c r="H53" i="6"/>
  <c r="H54" i="6" l="1"/>
  <c r="J53" i="6"/>
  <c r="J54" i="6" l="1"/>
  <c r="H55" i="6"/>
  <c r="H56" i="6" l="1"/>
  <c r="J55" i="6"/>
  <c r="J56" i="6" l="1"/>
  <c r="H58" i="6"/>
  <c r="H59" i="6" l="1"/>
  <c r="J58" i="6"/>
  <c r="J59" i="6" l="1"/>
  <c r="H60" i="6"/>
  <c r="H61" i="6" l="1"/>
  <c r="J60" i="6"/>
  <c r="H62" i="6" l="1"/>
  <c r="J61" i="6"/>
  <c r="J62" i="6" l="1"/>
  <c r="H63" i="6"/>
  <c r="H64" i="6" l="1"/>
  <c r="J63" i="6"/>
  <c r="J64" i="6" l="1"/>
  <c r="H65" i="6"/>
  <c r="J65" i="6" l="1"/>
  <c r="H66" i="6"/>
  <c r="J66" i="6" l="1"/>
  <c r="H67" i="6"/>
  <c r="J67" i="6" l="1"/>
  <c r="H68" i="6"/>
  <c r="H69" i="6" l="1"/>
  <c r="J68" i="6"/>
  <c r="H70" i="6" l="1"/>
  <c r="J69" i="6"/>
  <c r="J70" i="6" l="1"/>
  <c r="H71" i="6"/>
  <c r="H72" i="6" l="1"/>
  <c r="J71" i="6"/>
  <c r="H73" i="6" l="1"/>
  <c r="J72" i="6"/>
  <c r="J73" i="6" l="1"/>
  <c r="H74" i="6"/>
  <c r="J74" i="6" l="1"/>
  <c r="H75" i="6"/>
  <c r="J75" i="6" l="1"/>
  <c r="H76" i="6"/>
  <c r="J76" i="6" l="1"/>
  <c r="H77" i="6"/>
  <c r="J77" i="6" l="1"/>
  <c r="H78" i="6"/>
  <c r="J78" i="6" l="1"/>
  <c r="H79" i="6"/>
  <c r="J79" i="6" l="1"/>
  <c r="H80" i="6"/>
  <c r="H81" i="6" l="1"/>
  <c r="J80" i="6"/>
  <c r="J81" i="6" l="1"/>
  <c r="H82" i="6"/>
  <c r="J82" i="6" l="1"/>
  <c r="H83" i="6"/>
  <c r="H84" i="6" l="1"/>
  <c r="J83" i="6"/>
  <c r="J84" i="6" l="1"/>
  <c r="H85" i="6"/>
  <c r="H86" i="6" l="1"/>
  <c r="J85" i="6"/>
  <c r="J86" i="6" l="1"/>
  <c r="H87" i="6"/>
  <c r="J87" i="6" l="1"/>
  <c r="H88" i="6"/>
  <c r="J88" i="6" l="1"/>
  <c r="H89" i="6"/>
  <c r="J89" i="6" l="1"/>
  <c r="H90" i="6"/>
  <c r="J90" i="6" l="1"/>
  <c r="H91" i="6"/>
  <c r="J91" i="6" l="1"/>
  <c r="H92" i="6"/>
  <c r="H93" i="6" l="1"/>
  <c r="J92" i="6"/>
  <c r="H94" i="6" l="1"/>
  <c r="J93" i="6"/>
  <c r="J94" i="6" l="1"/>
  <c r="H95" i="6"/>
  <c r="J95" i="6" s="1"/>
</calcChain>
</file>

<file path=xl/sharedStrings.xml><?xml version="1.0" encoding="utf-8"?>
<sst xmlns="http://schemas.openxmlformats.org/spreadsheetml/2006/main" count="200" uniqueCount="143">
  <si>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</si>
  <si>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</si>
  <si>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</si>
  <si>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</si>
  <si>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</si>
  <si>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</si>
  <si>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</si>
  <si>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</si>
  <si>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</si>
  <si>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</si>
  <si>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</si>
  <si>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</si>
  <si>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</si>
  <si>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</si>
  <si>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</si>
  <si>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</si>
  <si>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POSITION: __________________________</t>
  </si>
  <si>
    <t>DISTRICT: ___________________________</t>
  </si>
  <si>
    <t>SCHOOL/OFFICE:_____________________</t>
  </si>
  <si>
    <t>Certified Correct:</t>
  </si>
  <si>
    <t>MA. LUISA B. CATIGAN</t>
  </si>
  <si>
    <t>Administrative Officer IV</t>
  </si>
  <si>
    <t>HRMO</t>
  </si>
  <si>
    <t>SPECIAL PRIVILEGE LEAVE</t>
  </si>
  <si>
    <t>ADD: 5/01/2023 - 6/30/2023</t>
  </si>
  <si>
    <t>LESS: 07/19/2023</t>
  </si>
  <si>
    <t>ADD: 7/01/2023 - 8/31/2023</t>
  </si>
  <si>
    <t>LESS: MONETIZATION 2023</t>
  </si>
  <si>
    <t>COMPENSATORY TIME OFF (CTO)</t>
  </si>
  <si>
    <t>Special Order No. and Date Issued</t>
  </si>
  <si>
    <t>No. of Days Granted</t>
  </si>
  <si>
    <t>No. of Days Used</t>
  </si>
  <si>
    <t>Balance</t>
  </si>
  <si>
    <t>ADD:SEPT. 14, 2022</t>
  </si>
  <si>
    <t>S.O. # 677, S. 2022. BRIGADA ESKWELA  2022</t>
  </si>
  <si>
    <t>LESS: 09/01/2023</t>
  </si>
  <si>
    <t>LESS: 09/19/2023</t>
  </si>
  <si>
    <t>LESS:09/22/2023</t>
  </si>
  <si>
    <t>ADD:03/01/2014-12/31/2014</t>
  </si>
  <si>
    <t>LESS: FL 2014</t>
  </si>
  <si>
    <t>LESS: MONETIZATION 2014</t>
  </si>
  <si>
    <t>ADD: 01/01/2015-11/30/2015</t>
  </si>
  <si>
    <t>LESS: MONETIZATION 2015</t>
  </si>
  <si>
    <t>ADD: 12/01/2015-12/31/2015</t>
  </si>
  <si>
    <t>LESS: FL 2015</t>
  </si>
  <si>
    <t>ADD: 01/01/2016-06/30/2016</t>
  </si>
  <si>
    <t>LESS: MONETIZATION 2016</t>
  </si>
  <si>
    <t>ADD: 07/01/2016-12/31/2016</t>
  </si>
  <si>
    <t>LESS: FL 2016</t>
  </si>
  <si>
    <t>ADD: 01/01/2017-10/31/2017</t>
  </si>
  <si>
    <t>LESS: MONETIZATION 2017</t>
  </si>
  <si>
    <t>ADD: 11/01/2017-12/31/2017</t>
  </si>
  <si>
    <t>LESS: FL 2017</t>
  </si>
  <si>
    <t>ADD: 01/01/2018-06/30/2018</t>
  </si>
  <si>
    <t>LESS: MONETIZATION 2018</t>
  </si>
  <si>
    <t>ADD: 07/01/2018-12/31/2018</t>
  </si>
  <si>
    <t>LESS: FL 2018</t>
  </si>
  <si>
    <t>ADD: 01/01/2019-06/30/2019</t>
  </si>
  <si>
    <t>LESS: MONETIZATION 2019</t>
  </si>
  <si>
    <t>ADD: 07/01/2019-12/31/2019</t>
  </si>
  <si>
    <t>LESS: FL 2019</t>
  </si>
  <si>
    <t>ADD: 01/01/2020-10/31/2020</t>
  </si>
  <si>
    <t>LESS: MONETIZATION 2020</t>
  </si>
  <si>
    <t>ADD: 11/01/2020-12/31/2020</t>
  </si>
  <si>
    <t>LESS: FL 2020</t>
  </si>
  <si>
    <t>ADD: 01/01/2021-9/30/2021</t>
  </si>
  <si>
    <t>LESS: MONETIZATION 2021</t>
  </si>
  <si>
    <t>ADD: 10/01/2023-12/31/2023</t>
  </si>
  <si>
    <t>LESS: FL 2021</t>
  </si>
  <si>
    <t>ADD: 01/01/2022-09/30/2022</t>
  </si>
  <si>
    <t>LESS: MONETIZATION 2022</t>
  </si>
  <si>
    <t>ADD: 10/01/2022-12/31/2022</t>
  </si>
  <si>
    <t>LESS: FL 2022</t>
  </si>
  <si>
    <t>ADD: 01/01/2023-03/31/2023</t>
  </si>
  <si>
    <t>ADD: 04/01/2023-04/10/2023</t>
  </si>
  <si>
    <t>ADD: 04/11/2023-04/30/2023</t>
  </si>
  <si>
    <t>LESS: 10/20/2023</t>
  </si>
  <si>
    <t>ADD: 09/01/2023-09/30/2023</t>
  </si>
  <si>
    <t>LESS: 11/28-29/2023</t>
  </si>
  <si>
    <t>LESS: 11/03/2023</t>
  </si>
  <si>
    <t>ADD: 10/01/2023-11/30/2023</t>
  </si>
  <si>
    <t>ADD: DISAPPROVAL OF FL (11/28-29/2023)</t>
  </si>
  <si>
    <t>DATE OF APPOINTMENT: HEAD TEACHER I</t>
  </si>
  <si>
    <t>ADD: 09/17-30/2012</t>
  </si>
  <si>
    <t>ADD: 10/01/2012-12/31/2012</t>
  </si>
  <si>
    <t>ADD: 01/01/2013-12/31/2013</t>
  </si>
  <si>
    <t>LESS: MANDATORY FL</t>
  </si>
  <si>
    <t>ADD:01/01/2014-01/31/2014</t>
  </si>
  <si>
    <t>ADD: 02/01/2014-02/28/2014</t>
  </si>
  <si>
    <t>LESS: 12/27-28/2023</t>
  </si>
  <si>
    <t>LESS: 12/29/2023</t>
  </si>
  <si>
    <t>ADD: 12/01/2023-12/31/2023</t>
  </si>
  <si>
    <t>ADD: 01/01/2024-01/31/2024</t>
  </si>
  <si>
    <t>ADD: (DISAPPROVED FL-12/27-28/2023)</t>
  </si>
  <si>
    <t>SO#159 S.2023 125TH PHIL.INDEPENDENCE DAY</t>
  </si>
  <si>
    <t>LESS: 05/10/2024</t>
  </si>
  <si>
    <t>ADD: 10/17/2023</t>
  </si>
  <si>
    <t>ADD: 10/11/2023</t>
  </si>
  <si>
    <t>SO# 084, S.2023 CAPACITY BUILDING OF TEACHERS ON THE IMPLEMENTATION OF NLC</t>
  </si>
  <si>
    <t>LESS: 06/13/2024</t>
  </si>
  <si>
    <t>ADD: 05/20/2024</t>
  </si>
  <si>
    <t>SO#015, S. 2024 PALARONG PANLALAWIGAN 2024</t>
  </si>
  <si>
    <t>LESS: 06/14/2024</t>
  </si>
  <si>
    <t>ADD: 02/1/2024-07/31/2024</t>
  </si>
  <si>
    <t xml:space="preserve">             HRMO</t>
  </si>
  <si>
    <t>LESS: MONETIZATION 2024</t>
  </si>
  <si>
    <t>ADD: 08/1/2024-10/31/2024</t>
  </si>
  <si>
    <t>LESS: 11/22/2024</t>
  </si>
  <si>
    <t>LESS: 12/10-12/2024</t>
  </si>
  <si>
    <t>TRANSFERRED TO SDO SIPALAY (PSDS)</t>
  </si>
  <si>
    <t>ADD: 11/1-30/2024</t>
  </si>
  <si>
    <t>LESS: 12/17 &amp; 23/2024</t>
  </si>
  <si>
    <t>LESS: 12/26-27/2024</t>
  </si>
  <si>
    <t>LESS: 03/31 &amp; 04/4/2025</t>
  </si>
  <si>
    <t>ADD: 12/1-31/2024</t>
  </si>
  <si>
    <t>ADD: 01/1/2025-03/31/2025</t>
  </si>
  <si>
    <t>LESS: 04/23/2025</t>
  </si>
  <si>
    <t>ADD: 06/26/2024</t>
  </si>
  <si>
    <t>S.O. # 024, S. 2024. 126TH PHILIPPINE INDEPENDENCE DAY CELEBRATION</t>
  </si>
  <si>
    <t>LESS: 05/2/2025</t>
  </si>
  <si>
    <t>ADD: 02/5/2025</t>
  </si>
  <si>
    <t>SO # 002, S. 2025 RIZAL DAY 2024 CELEBRATION</t>
  </si>
  <si>
    <t>LESS: 05/16/2025</t>
  </si>
  <si>
    <t>ADD: 04/1/2025-06/30/2025</t>
  </si>
  <si>
    <t>LESS: MONETIZATION 2025 (30 DAYS)</t>
  </si>
  <si>
    <t>LESS: 07/16/2025</t>
  </si>
  <si>
    <t>ADD:07/1/2025-08/31/2025</t>
  </si>
  <si>
    <t>ADD: 07/16/2025 Exigency of Service</t>
  </si>
  <si>
    <t>LESS: 09/16/2025</t>
  </si>
  <si>
    <t>DATE FILED-09/16-17/2025</t>
  </si>
  <si>
    <t>ADD: 09/1-30/2025</t>
  </si>
  <si>
    <t>ADD: 03/27/2025</t>
  </si>
  <si>
    <t>S.O. # 006 S. 2025. RTOT JAN 27-31, 2025</t>
  </si>
  <si>
    <t>ADD: 09/16/2025 EXIGENCY OF SERVICE</t>
  </si>
  <si>
    <t>ADD: 10/1-31/2025</t>
  </si>
  <si>
    <t>LESS: 11/26/2025, 12/1-2/2025</t>
  </si>
  <si>
    <t>S.O. # 006 S. 2025. RTOT JAN 27-31, 2025 &amp; SO # 019, S. 2025 PROVINCIAL MEET 2025</t>
  </si>
  <si>
    <t>LESS: 11/27-28/2025</t>
  </si>
  <si>
    <t>LESS: 12/23/2025</t>
  </si>
  <si>
    <t>DATE FILED NOV 7, 2025</t>
  </si>
  <si>
    <t>LESS: 12/22 &amp; 26/2025</t>
  </si>
  <si>
    <t>DATE FILED-12/29/2025</t>
  </si>
  <si>
    <t>ADD: 11/1-30/2025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</si>
</sst>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110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3" xfId="0" applyFont="1" applyFill="1" applyBorder="1" applyAlignment="1">
      <alignment vertical="center"/>
    </xf>
    <xf numFmtId="0" fontId="6" fillId="0" borderId="0" xfId="0" applyFont="1"/>
    <xf numFmtId="0" fontId="7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9" borderId="0" xfId="0" applyFill="1"/>
    <xf numFmtId="164" fontId="0" fillId="2" borderId="1" xfId="0" applyNumberFormat="1" applyFill="1" applyBorder="1" applyAlignment="1">
      <alignment vertical="center"/>
    </xf>
    <xf numFmtId="0" fontId="3" fillId="4" borderId="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9" fillId="2" borderId="0" xfId="2" applyFill="1"/>
    <xf numFmtId="0" fontId="1" fillId="2" borderId="0" xfId="2" applyFont="1" applyFill="1" applyAlignment="1">
      <alignment vertical="center"/>
    </xf>
    <xf numFmtId="0" fontId="1" fillId="2" borderId="3" xfId="2" applyFont="1" applyFill="1" applyBorder="1" applyAlignment="1">
      <alignment horizontal="center" vertical="center"/>
    </xf>
    <xf numFmtId="0" fontId="1" fillId="2" borderId="0" xfId="2" applyFont="1" applyFill="1"/>
    <xf numFmtId="0" fontId="1" fillId="2" borderId="3" xfId="2" applyFont="1" applyFill="1" applyBorder="1" applyAlignment="1">
      <alignment vertical="center"/>
    </xf>
    <xf numFmtId="0" fontId="0" fillId="2" borderId="5" xfId="2" applyFont="1" applyFill="1" applyBorder="1" applyAlignment="1">
      <alignment horizontal="center" vertical="center" wrapText="1"/>
    </xf>
    <xf numFmtId="0" fontId="9" fillId="2" borderId="15" xfId="2" applyFill="1" applyBorder="1" applyAlignment="1">
      <alignment horizontal="center" vertical="center" wrapText="1"/>
    </xf>
    <xf numFmtId="0" fontId="9" fillId="2" borderId="0" xfId="2" applyFill="1" applyAlignment="1">
      <alignment horizontal="center"/>
    </xf>
    <xf numFmtId="0" fontId="9" fillId="0" borderId="0" xfId="2"/>
    <xf numFmtId="0" fontId="0" fillId="2" borderId="0" xfId="2" applyFont="1" applyFill="1"/>
    <xf numFmtId="0" fontId="0" fillId="0" borderId="1" xfId="2" applyFont="1" applyBorder="1" applyAlignment="1">
      <alignment horizontal="center" vertical="center"/>
    </xf>
    <xf numFmtId="0" fontId="9" fillId="2" borderId="1" xfId="2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9" fillId="0" borderId="1" xfId="2" applyBorder="1" applyAlignment="1">
      <alignment horizontal="center" vertical="center" wrapText="1"/>
    </xf>
    <xf numFmtId="0" fontId="0" fillId="13" borderId="1" xfId="2" applyFont="1" applyFill="1" applyBorder="1" applyAlignment="1">
      <alignment horizontal="center" vertical="center"/>
    </xf>
    <xf numFmtId="0" fontId="9" fillId="13" borderId="1" xfId="2" applyFill="1" applyBorder="1" applyAlignment="1">
      <alignment horizontal="center" vertical="center" wrapText="1"/>
    </xf>
    <xf numFmtId="0" fontId="0" fillId="0" borderId="5" xfId="2" applyFont="1" applyBorder="1" applyAlignment="1">
      <alignment horizontal="center" vertical="center" wrapText="1"/>
    </xf>
    <xf numFmtId="0" fontId="9" fillId="0" borderId="15" xfId="2" applyBorder="1" applyAlignment="1">
      <alignment horizontal="center" vertical="center" wrapText="1"/>
    </xf>
    <xf numFmtId="0" fontId="9" fillId="13" borderId="15" xfId="2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2" fillId="2" borderId="0" xfId="0" applyFont="1" applyFill="1"/>
    <xf numFmtId="0" fontId="0" fillId="0" borderId="1" xfId="0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164" fontId="0" fillId="14" borderId="1" xfId="0" applyNumberFormat="1" applyFill="1" applyBorder="1" applyAlignment="1">
      <alignment horizontal="center" vertical="center"/>
    </xf>
    <xf numFmtId="0" fontId="0" fillId="2" borderId="1" xfId="2" applyFont="1" applyFill="1" applyBorder="1" applyAlignment="1">
      <alignment horizontal="center" vertical="center" wrapText="1"/>
    </xf>
    <xf numFmtId="0" fontId="6" fillId="0" borderId="0" xfId="2" applyFont="1"/>
    <xf numFmtId="0" fontId="0" fillId="0" borderId="5" xfId="0" applyBorder="1" applyAlignment="1">
      <alignment horizontal="center" vertical="center"/>
    </xf>
    <xf numFmtId="0" fontId="10" fillId="0" borderId="13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0" fillId="13" borderId="15" xfId="0" applyFill="1" applyBorder="1" applyAlignment="1">
      <alignment horizontal="center" vertical="center" wrapText="1"/>
    </xf>
    <xf numFmtId="164" fontId="0" fillId="15" borderId="1" xfId="0" applyNumberForma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2" borderId="13" xfId="2" applyFont="1" applyFill="1" applyBorder="1" applyAlignment="1">
      <alignment horizontal="center" vertical="center" wrapText="1"/>
    </xf>
    <xf numFmtId="0" fontId="10" fillId="2" borderId="11" xfId="2" applyFont="1" applyFill="1" applyBorder="1" applyAlignment="1">
      <alignment horizontal="center" vertical="center" wrapText="1"/>
    </xf>
    <xf numFmtId="0" fontId="10" fillId="2" borderId="14" xfId="2" applyFont="1" applyFill="1" applyBorder="1" applyAlignment="1">
      <alignment horizontal="center" vertical="center" wrapText="1"/>
    </xf>
    <xf numFmtId="0" fontId="10" fillId="13" borderId="13" xfId="2" applyFont="1" applyFill="1" applyBorder="1" applyAlignment="1">
      <alignment horizontal="center" vertical="center" wrapText="1"/>
    </xf>
    <xf numFmtId="0" fontId="10" fillId="13" borderId="14" xfId="2" applyFont="1" applyFill="1" applyBorder="1" applyAlignment="1">
      <alignment horizontal="center" vertical="center" wrapText="1"/>
    </xf>
    <xf numFmtId="0" fontId="9" fillId="0" borderId="0" xfId="2" applyAlignment="1">
      <alignment horizontal="center" vertical="center"/>
    </xf>
    <xf numFmtId="0" fontId="10" fillId="0" borderId="13" xfId="2" applyFont="1" applyBorder="1" applyAlignment="1">
      <alignment horizontal="center" vertical="center" wrapText="1"/>
    </xf>
    <xf numFmtId="0" fontId="10" fillId="0" borderId="11" xfId="2" applyFont="1" applyBorder="1" applyAlignment="1">
      <alignment horizontal="center" vertical="center" wrapText="1"/>
    </xf>
    <xf numFmtId="0" fontId="10" fillId="0" borderId="14" xfId="2" applyFont="1" applyBorder="1" applyAlignment="1">
      <alignment horizontal="center" vertical="center" wrapText="1"/>
    </xf>
    <xf numFmtId="0" fontId="1" fillId="0" borderId="0" xfId="2" applyFont="1" applyAlignment="1">
      <alignment horizontal="center" vertical="center"/>
    </xf>
    <xf numFmtId="0" fontId="9" fillId="0" borderId="0" xfId="2" applyAlignment="1">
      <alignment horizontal="center"/>
    </xf>
    <xf numFmtId="0" fontId="10" fillId="0" borderId="13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13" borderId="13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9" fillId="2" borderId="0" xfId="2" applyFill="1" applyAlignment="1">
      <alignment horizontal="center" vertical="center"/>
    </xf>
    <xf numFmtId="0" fontId="2" fillId="2" borderId="10" xfId="2" applyFont="1" applyFill="1" applyBorder="1" applyAlignment="1">
      <alignment horizontal="center" vertical="center"/>
    </xf>
    <xf numFmtId="0" fontId="3" fillId="10" borderId="4" xfId="2" applyFont="1" applyFill="1" applyBorder="1" applyAlignment="1">
      <alignment horizontal="center" vertical="center"/>
    </xf>
    <xf numFmtId="0" fontId="3" fillId="10" borderId="5" xfId="2" applyFont="1" applyFill="1" applyBorder="1" applyAlignment="1">
      <alignment horizontal="center" vertical="center"/>
    </xf>
    <xf numFmtId="0" fontId="3" fillId="11" borderId="8" xfId="2" applyFont="1" applyFill="1" applyBorder="1" applyAlignment="1">
      <alignment horizontal="center" vertical="center"/>
    </xf>
    <xf numFmtId="0" fontId="3" fillId="11" borderId="9" xfId="2" applyFont="1" applyFill="1" applyBorder="1" applyAlignment="1">
      <alignment horizontal="center" vertical="center"/>
    </xf>
    <xf numFmtId="0" fontId="3" fillId="10" borderId="7" xfId="2" applyFont="1" applyFill="1" applyBorder="1" applyAlignment="1">
      <alignment horizontal="center" vertical="center"/>
    </xf>
    <xf numFmtId="0" fontId="3" fillId="10" borderId="2" xfId="2" applyFont="1" applyFill="1" applyBorder="1" applyAlignment="1">
      <alignment horizontal="center" vertical="center"/>
    </xf>
    <xf numFmtId="0" fontId="10" fillId="12" borderId="13" xfId="2" applyFont="1" applyFill="1" applyBorder="1" applyAlignment="1">
      <alignment horizontal="center" vertical="center" wrapText="1"/>
    </xf>
    <xf numFmtId="0" fontId="10" fillId="12" borderId="11" xfId="2" applyFont="1" applyFill="1" applyBorder="1" applyAlignment="1">
      <alignment horizontal="center" vertical="center" wrapText="1"/>
    </xf>
    <xf numFmtId="0" fontId="10" fillId="12" borderId="14" xfId="2" applyFont="1" applyFill="1" applyBorder="1" applyAlignment="1">
      <alignment horizontal="center" vertical="center" wrapText="1"/>
    </xf>
    <xf numFmtId="0" fontId="6" fillId="2" borderId="0" xfId="2" applyFont="1" applyFill="1" applyAlignment="1">
      <alignment horizontal="center" vertical="center"/>
    </xf>
    <xf numFmtId="0" fontId="10" fillId="13" borderId="11" xfId="2" applyFont="1" applyFill="1" applyBorder="1" applyAlignment="1">
      <alignment horizontal="center" vertical="center" wrapText="1"/>
    </xf>
    <xf numFmtId="164" fontId="0" fillId="0" borderId="0" xfId="0" applyNumberFormat="1" applyFill="1" applyBorder="1" applyAlignment="1">
      <alignment horizontal="center" vertical="center"/>
    </xf>
    <xf numFmtId="164" fontId="11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6" fillId="0" borderId="0" xfId="0" applyFont="1" applyFill="1"/>
    <xf numFmtId="164" fontId="0" fillId="0" borderId="1" xfId="0" applyNumberForma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311394</xdr:colOff>
      <xdr:row>0</xdr:row>
      <xdr:rowOff>19049</xdr:rowOff>
    </xdr:from>
    <xdr:to>
      <xdr:col>4</xdr:col>
      <xdr:colOff>299183</xdr:colOff>
      <xdr:row>0</xdr:row>
      <xdr:rowOff>659423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2692" y="19049"/>
          <a:ext cx="799856" cy="640374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AD164D0-8D7D-4CCD-AD41-8A4D617563EE}"/>
            </a:ext>
          </a:extLst>
        </xdr:cNvPr>
        <xdr:cNvSpPr txBox="1"/>
      </xdr:nvSpPr>
      <xdr:spPr>
        <a:xfrm>
          <a:off x="573942" y="1373798"/>
          <a:ext cx="2008799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GAMALA, JAVEEN J.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01795DB-4861-48A2-B4B7-D3A3C38DC620}"/>
            </a:ext>
          </a:extLst>
        </xdr:cNvPr>
        <xdr:cNvSpPr txBox="1"/>
      </xdr:nvSpPr>
      <xdr:spPr>
        <a:xfrm>
          <a:off x="616683" y="1721826"/>
          <a:ext cx="2008799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PSDS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2901F2D-D8D6-4A1B-AEB7-8CA9472FA25B}"/>
            </a:ext>
          </a:extLst>
        </xdr:cNvPr>
        <xdr:cNvSpPr txBox="1"/>
      </xdr:nvSpPr>
      <xdr:spPr>
        <a:xfrm>
          <a:off x="3693991" y="1703510"/>
          <a:ext cx="1532547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 - 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24265</xdr:colOff>
      <xdr:row>1</xdr:row>
      <xdr:rowOff>2269</xdr:rowOff>
    </xdr:from>
    <xdr:to>
      <xdr:col>5</xdr:col>
      <xdr:colOff>87538</xdr:colOff>
      <xdr:row>4</xdr:row>
      <xdr:rowOff>48078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A3142F-02FB-4BFF-A7CF-17426950183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1440" y="192769"/>
          <a:ext cx="672873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7</xdr:row>
      <xdr:rowOff>170961</xdr:rowOff>
    </xdr:from>
    <xdr:to>
      <xdr:col>1</xdr:col>
      <xdr:colOff>946150</xdr:colOff>
      <xdr:row>9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A4161B7-07B4-40C7-9ADD-44129C93F5D0}"/>
            </a:ext>
          </a:extLst>
        </xdr:cNvPr>
        <xdr:cNvSpPr txBox="1"/>
      </xdr:nvSpPr>
      <xdr:spPr>
        <a:xfrm>
          <a:off x="573942" y="1504461"/>
          <a:ext cx="2277208" cy="298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GAMALA, JAVEEN J.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10</xdr:row>
      <xdr:rowOff>19051</xdr:rowOff>
    </xdr:from>
    <xdr:to>
      <xdr:col>0</xdr:col>
      <xdr:colOff>1720850</xdr:colOff>
      <xdr:row>11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7130F4A-EA18-42E7-80A5-900C804DADC3}"/>
            </a:ext>
          </a:extLst>
        </xdr:cNvPr>
        <xdr:cNvSpPr txBox="1"/>
      </xdr:nvSpPr>
      <xdr:spPr>
        <a:xfrm>
          <a:off x="654051" y="1924051"/>
          <a:ext cx="106679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PSDS</a:t>
          </a:r>
        </a:p>
      </xdr:txBody>
    </xdr:sp>
    <xdr:clientData/>
  </xdr:twoCellAnchor>
  <xdr:twoCellAnchor>
    <xdr:from>
      <xdr:col>3</xdr:col>
      <xdr:colOff>526823</xdr:colOff>
      <xdr:row>10</xdr:row>
      <xdr:rowOff>42410</xdr:rowOff>
    </xdr:from>
    <xdr:to>
      <xdr:col>5</xdr:col>
      <xdr:colOff>463323</xdr:colOff>
      <xdr:row>12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8FA0906-CAA5-4E65-BB44-FEBA2EFF7067}"/>
            </a:ext>
          </a:extLst>
        </xdr:cNvPr>
        <xdr:cNvSpPr txBox="1"/>
      </xdr:nvSpPr>
      <xdr:spPr>
        <a:xfrm>
          <a:off x="3984398" y="1947410"/>
          <a:ext cx="1155700" cy="349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24265</xdr:colOff>
      <xdr:row>1</xdr:row>
      <xdr:rowOff>2269</xdr:rowOff>
    </xdr:from>
    <xdr:to>
      <xdr:col>5</xdr:col>
      <xdr:colOff>87538</xdr:colOff>
      <xdr:row>4</xdr:row>
      <xdr:rowOff>48078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CFFB5C-42E5-4AD5-9419-FE44423D15D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1440" y="192769"/>
          <a:ext cx="672873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7</xdr:row>
      <xdr:rowOff>170961</xdr:rowOff>
    </xdr:from>
    <xdr:to>
      <xdr:col>1</xdr:col>
      <xdr:colOff>946150</xdr:colOff>
      <xdr:row>9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165A5E-2E7C-46C7-86D6-2533EA4470FC}"/>
            </a:ext>
          </a:extLst>
        </xdr:cNvPr>
        <xdr:cNvSpPr txBox="1"/>
      </xdr:nvSpPr>
      <xdr:spPr>
        <a:xfrm>
          <a:off x="573942" y="1371111"/>
          <a:ext cx="2248633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GAMALA, JAVEEN J.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10</xdr:row>
      <xdr:rowOff>19051</xdr:rowOff>
    </xdr:from>
    <xdr:to>
      <xdr:col>0</xdr:col>
      <xdr:colOff>1720850</xdr:colOff>
      <xdr:row>11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7F090F3-9487-45C6-9E19-0CB1104E8708}"/>
            </a:ext>
          </a:extLst>
        </xdr:cNvPr>
        <xdr:cNvSpPr txBox="1"/>
      </xdr:nvSpPr>
      <xdr:spPr>
        <a:xfrm>
          <a:off x="654051" y="167640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PSDS</a:t>
          </a:r>
        </a:p>
      </xdr:txBody>
    </xdr:sp>
    <xdr:clientData/>
  </xdr:twoCellAnchor>
  <xdr:twoCellAnchor>
    <xdr:from>
      <xdr:col>3</xdr:col>
      <xdr:colOff>526823</xdr:colOff>
      <xdr:row>10</xdr:row>
      <xdr:rowOff>42410</xdr:rowOff>
    </xdr:from>
    <xdr:to>
      <xdr:col>5</xdr:col>
      <xdr:colOff>463323</xdr:colOff>
      <xdr:row>12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A468B3D-0EA2-40EB-9DF5-F51B85C7C9B6}"/>
            </a:ext>
          </a:extLst>
        </xdr:cNvPr>
        <xdr:cNvSpPr txBox="1"/>
      </xdr:nvSpPr>
      <xdr:spPr>
        <a:xfrm>
          <a:off x="3927248" y="1699760"/>
          <a:ext cx="109855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3"/>
  <sheetViews>
    <sheetView tabSelected="1" view="pageBreakPreview" topLeftCell="A84" zoomScale="110" zoomScaleNormal="100" zoomScaleSheetLayoutView="110" workbookViewId="0">
      <selection activeCell="A100" sqref="A100"/>
    </sheetView>
  </sheetViews>
  <sheetFormatPr defaultRowHeight="15" x14ac:dyDescent="0.25"/>
  <cols>
    <col min="1" max="1" width="38.28515625" customWidth="1"/>
    <col min="2" max="2" width="11.5703125" style="11" customWidth="1"/>
    <col min="3" max="3" width="11.5703125" style="12" customWidth="1"/>
    <col min="4" max="4" width="11.5703125" style="11" customWidth="1"/>
    <col min="5" max="5" width="11.5703125" style="12" customWidth="1"/>
    <col min="6" max="7" width="11.5703125" style="15" customWidth="1"/>
    <col min="8" max="8" width="13" style="11" customWidth="1"/>
    <col min="9" max="9" width="11.5703125" style="12" customWidth="1"/>
    <col min="10" max="10" width="11.5703125" customWidth="1"/>
  </cols>
  <sheetData>
    <row r="1" spans="1:10" s="1" customFormat="1" ht="52.5" customHeight="1" x14ac:dyDescent="0.25"/>
    <row r="2" spans="1:10" s="1" customFormat="1" ht="10.5" customHeight="1" x14ac:dyDescent="0.25">
      <c r="A2" s="61" t="s">
        <v>11</v>
      </c>
      <c r="B2" s="61"/>
      <c r="C2" s="61"/>
      <c r="D2" s="61"/>
      <c r="E2" s="61"/>
      <c r="F2" s="61"/>
      <c r="G2" s="61"/>
      <c r="H2" s="61"/>
      <c r="I2" s="61"/>
      <c r="J2" s="61"/>
    </row>
    <row r="3" spans="1:10" s="1" customFormat="1" ht="15.95" customHeight="1" x14ac:dyDescent="0.25">
      <c r="A3" s="61" t="s">
        <v>12</v>
      </c>
      <c r="B3" s="61"/>
      <c r="C3" s="61"/>
      <c r="D3" s="61"/>
      <c r="E3" s="61"/>
      <c r="F3" s="61"/>
      <c r="G3" s="61"/>
      <c r="H3" s="61"/>
      <c r="I3" s="61"/>
      <c r="J3" s="61"/>
    </row>
    <row r="4" spans="1:10" s="1" customFormat="1" ht="15.95" customHeight="1" x14ac:dyDescent="0.25">
      <c r="A4" s="61" t="s">
        <v>13</v>
      </c>
      <c r="B4" s="61"/>
      <c r="C4" s="61"/>
      <c r="D4" s="61"/>
      <c r="E4" s="61"/>
      <c r="F4" s="61"/>
      <c r="G4" s="61"/>
      <c r="H4" s="61"/>
      <c r="I4" s="61"/>
      <c r="J4" s="61"/>
    </row>
    <row r="5" spans="1:10" s="1" customFormat="1" ht="15.95" customHeight="1" x14ac:dyDescent="0.25">
      <c r="A5" s="61" t="s">
        <v>14</v>
      </c>
      <c r="B5" s="61"/>
      <c r="C5" s="61"/>
      <c r="D5" s="61"/>
      <c r="E5" s="61"/>
      <c r="F5" s="61"/>
      <c r="G5" s="61"/>
      <c r="H5" s="61"/>
      <c r="I5" s="61"/>
      <c r="J5" s="61"/>
    </row>
    <row r="6" spans="1:10" s="1" customFormat="1" ht="8.25" customHeight="1" x14ac:dyDescent="0.25"/>
    <row r="7" spans="1:10" s="1" customFormat="1" ht="12" customHeight="1" x14ac:dyDescent="0.25">
      <c r="A7" s="1" t="s">
        <v>15</v>
      </c>
      <c r="B7" s="60" t="s">
        <v>17</v>
      </c>
      <c r="C7" s="60"/>
      <c r="D7" s="60"/>
      <c r="H7" s="3" t="s">
        <v>9</v>
      </c>
      <c r="I7" s="19"/>
      <c r="J7" s="3"/>
    </row>
    <row r="8" spans="1:10" s="1" customFormat="1" ht="12" customHeight="1" x14ac:dyDescent="0.25">
      <c r="B8" s="2"/>
      <c r="C8" s="2"/>
      <c r="H8" s="2"/>
      <c r="I8" s="2"/>
      <c r="J8" s="2"/>
    </row>
    <row r="9" spans="1:10" s="1" customFormat="1" ht="12" customHeight="1" x14ac:dyDescent="0.25">
      <c r="A9" s="1" t="s">
        <v>16</v>
      </c>
      <c r="B9" s="60" t="s">
        <v>18</v>
      </c>
      <c r="C9" s="60"/>
      <c r="D9" s="60"/>
      <c r="H9" s="3" t="s">
        <v>10</v>
      </c>
      <c r="I9" s="4"/>
      <c r="J9" s="3"/>
    </row>
    <row r="10" spans="1:10" ht="16.5" customHeight="1" thickBot="1" x14ac:dyDescent="0.3">
      <c r="A10" s="62" t="s">
        <v>0</v>
      </c>
      <c r="B10" s="62"/>
      <c r="C10" s="62"/>
      <c r="D10" s="62"/>
      <c r="E10" s="62"/>
      <c r="F10" s="62"/>
      <c r="G10" s="62"/>
      <c r="H10" s="62"/>
      <c r="I10" s="62"/>
      <c r="J10" s="62"/>
    </row>
    <row r="11" spans="1:10" s="6" customFormat="1" ht="18.75" customHeight="1" x14ac:dyDescent="0.2">
      <c r="A11" s="66" t="s">
        <v>4</v>
      </c>
      <c r="B11" s="70" t="s">
        <v>5</v>
      </c>
      <c r="C11" s="71"/>
      <c r="D11" s="72" t="s">
        <v>6</v>
      </c>
      <c r="E11" s="73"/>
      <c r="F11" s="73"/>
      <c r="G11" s="17"/>
      <c r="H11" s="74" t="s">
        <v>7</v>
      </c>
      <c r="I11" s="75"/>
      <c r="J11" s="68" t="s">
        <v>8</v>
      </c>
    </row>
    <row r="12" spans="1:10" s="6" customFormat="1" ht="39.75" customHeight="1" x14ac:dyDescent="0.2">
      <c r="A12" s="67"/>
      <c r="B12" s="10" t="s">
        <v>1</v>
      </c>
      <c r="C12" s="13" t="s">
        <v>2</v>
      </c>
      <c r="D12" s="10" t="s">
        <v>1</v>
      </c>
      <c r="E12" s="13" t="s">
        <v>2</v>
      </c>
      <c r="F12" s="14" t="s">
        <v>3</v>
      </c>
      <c r="G12" s="18" t="s">
        <v>23</v>
      </c>
      <c r="H12" s="10" t="s">
        <v>1</v>
      </c>
      <c r="I12" s="13" t="s">
        <v>2</v>
      </c>
      <c r="J12" s="69"/>
    </row>
    <row r="13" spans="1:10" s="6" customFormat="1" ht="14.1" customHeight="1" x14ac:dyDescent="0.2">
      <c r="A13" s="63" t="s">
        <v>82</v>
      </c>
      <c r="B13" s="64"/>
      <c r="C13" s="64"/>
      <c r="D13" s="64"/>
      <c r="E13" s="64"/>
      <c r="F13" s="64"/>
      <c r="G13" s="64"/>
      <c r="H13" s="64"/>
      <c r="I13" s="64"/>
      <c r="J13" s="65"/>
    </row>
    <row r="14" spans="1:10" s="6" customFormat="1" ht="14.1" customHeight="1" x14ac:dyDescent="0.2">
      <c r="A14" s="33" t="s">
        <v>83</v>
      </c>
      <c r="B14" s="33">
        <v>0.58299999999999996</v>
      </c>
      <c r="C14" s="33">
        <v>0.58299999999999996</v>
      </c>
      <c r="D14" s="33"/>
      <c r="E14" s="33"/>
      <c r="F14" s="33"/>
      <c r="G14" s="33"/>
      <c r="H14" s="33">
        <f>B14</f>
        <v>0.58299999999999996</v>
      </c>
      <c r="I14" s="33">
        <f>C14</f>
        <v>0.58299999999999996</v>
      </c>
      <c r="J14" s="33">
        <f>SUM(H14:I14)</f>
        <v>1.1659999999999999</v>
      </c>
    </row>
    <row r="15" spans="1:10" s="6" customFormat="1" ht="14.1" customHeight="1" x14ac:dyDescent="0.2">
      <c r="A15" s="33" t="s">
        <v>84</v>
      </c>
      <c r="B15" s="33">
        <f>3*1.25</f>
        <v>3.75</v>
      </c>
      <c r="C15" s="33">
        <v>3.75</v>
      </c>
      <c r="D15" s="33"/>
      <c r="E15" s="33"/>
      <c r="F15" s="33"/>
      <c r="G15" s="33"/>
      <c r="H15" s="33">
        <f>H14-F15-D15+B15</f>
        <v>4.3330000000000002</v>
      </c>
      <c r="I15" s="33">
        <f>I14-E15+C15</f>
        <v>4.3330000000000002</v>
      </c>
      <c r="J15" s="33">
        <f t="shared" ref="J15" si="0">SUM(H15:I15)</f>
        <v>8.6660000000000004</v>
      </c>
    </row>
    <row r="16" spans="1:10" s="6" customFormat="1" ht="14.1" customHeight="1" x14ac:dyDescent="0.2">
      <c r="A16" s="33" t="s">
        <v>85</v>
      </c>
      <c r="B16" s="33">
        <v>15</v>
      </c>
      <c r="C16" s="33">
        <v>15</v>
      </c>
      <c r="D16" s="33"/>
      <c r="E16" s="33"/>
      <c r="F16" s="33"/>
      <c r="G16" s="33"/>
      <c r="H16" s="33">
        <f t="shared" ref="H16:H56" si="1">H15-F16-D16+B16</f>
        <v>19.332999999999998</v>
      </c>
      <c r="I16" s="33">
        <f t="shared" ref="I16:I56" si="2">I15-E16+C16</f>
        <v>19.332999999999998</v>
      </c>
      <c r="J16" s="33">
        <f t="shared" ref="J16:J56" si="3">SUM(H16:I16)</f>
        <v>38.665999999999997</v>
      </c>
    </row>
    <row r="17" spans="1:10" s="6" customFormat="1" ht="14.1" customHeight="1" x14ac:dyDescent="0.2">
      <c r="A17" s="33" t="s">
        <v>86</v>
      </c>
      <c r="B17" s="33"/>
      <c r="C17" s="33"/>
      <c r="D17" s="33"/>
      <c r="E17" s="33"/>
      <c r="F17" s="33">
        <v>5</v>
      </c>
      <c r="G17" s="33"/>
      <c r="H17" s="33">
        <f t="shared" si="1"/>
        <v>14.332999999999998</v>
      </c>
      <c r="I17" s="33">
        <f t="shared" si="2"/>
        <v>19.332999999999998</v>
      </c>
      <c r="J17" s="33">
        <f t="shared" si="3"/>
        <v>33.665999999999997</v>
      </c>
    </row>
    <row r="18" spans="1:10" s="6" customFormat="1" ht="14.1" customHeight="1" x14ac:dyDescent="0.2">
      <c r="A18" s="33" t="s">
        <v>87</v>
      </c>
      <c r="B18" s="33">
        <v>1.25</v>
      </c>
      <c r="C18" s="33">
        <v>1.25</v>
      </c>
      <c r="D18" s="33"/>
      <c r="E18" s="33"/>
      <c r="F18" s="33"/>
      <c r="G18" s="33"/>
      <c r="H18" s="33">
        <f t="shared" si="1"/>
        <v>15.582999999999998</v>
      </c>
      <c r="I18" s="33">
        <f t="shared" si="2"/>
        <v>20.582999999999998</v>
      </c>
      <c r="J18" s="33">
        <f t="shared" si="3"/>
        <v>36.165999999999997</v>
      </c>
    </row>
    <row r="19" spans="1:10" s="6" customFormat="1" ht="14.1" customHeight="1" x14ac:dyDescent="0.2">
      <c r="A19" s="33" t="s">
        <v>88</v>
      </c>
      <c r="B19" s="33">
        <v>1.25</v>
      </c>
      <c r="C19" s="33">
        <v>1.25</v>
      </c>
      <c r="D19" s="33"/>
      <c r="E19" s="33"/>
      <c r="F19" s="33"/>
      <c r="G19" s="33"/>
      <c r="H19" s="33">
        <f t="shared" si="1"/>
        <v>16.832999999999998</v>
      </c>
      <c r="I19" s="33">
        <f t="shared" si="2"/>
        <v>21.832999999999998</v>
      </c>
      <c r="J19" s="33">
        <f t="shared" si="3"/>
        <v>38.665999999999997</v>
      </c>
    </row>
    <row r="20" spans="1:10" s="6" customFormat="1" ht="14.1" customHeight="1" x14ac:dyDescent="0.2">
      <c r="A20" s="33" t="s">
        <v>38</v>
      </c>
      <c r="B20" s="33">
        <f>10*1.25</f>
        <v>12.5</v>
      </c>
      <c r="C20" s="33">
        <v>12.5</v>
      </c>
      <c r="D20" s="33"/>
      <c r="E20" s="33"/>
      <c r="F20" s="33"/>
      <c r="G20" s="33"/>
      <c r="H20" s="33">
        <f t="shared" si="1"/>
        <v>29.332999999999998</v>
      </c>
      <c r="I20" s="33">
        <f t="shared" si="2"/>
        <v>34.332999999999998</v>
      </c>
      <c r="J20" s="33">
        <f t="shared" si="3"/>
        <v>63.665999999999997</v>
      </c>
    </row>
    <row r="21" spans="1:10" s="6" customFormat="1" ht="14.1" customHeight="1" x14ac:dyDescent="0.2">
      <c r="A21" s="33" t="s">
        <v>39</v>
      </c>
      <c r="B21" s="33"/>
      <c r="C21" s="33"/>
      <c r="D21" s="33"/>
      <c r="E21" s="33"/>
      <c r="F21" s="33">
        <v>5</v>
      </c>
      <c r="G21" s="33"/>
      <c r="H21" s="33">
        <f t="shared" si="1"/>
        <v>24.332999999999998</v>
      </c>
      <c r="I21" s="33">
        <f t="shared" si="2"/>
        <v>34.332999999999998</v>
      </c>
      <c r="J21" s="33">
        <f t="shared" si="3"/>
        <v>58.665999999999997</v>
      </c>
    </row>
    <row r="22" spans="1:10" s="6" customFormat="1" ht="14.1" customHeight="1" x14ac:dyDescent="0.2">
      <c r="A22" s="33" t="s">
        <v>40</v>
      </c>
      <c r="B22" s="33"/>
      <c r="C22" s="33"/>
      <c r="D22" s="33">
        <v>5</v>
      </c>
      <c r="E22" s="33">
        <v>5</v>
      </c>
      <c r="F22" s="33"/>
      <c r="G22" s="33"/>
      <c r="H22" s="33">
        <f t="shared" si="1"/>
        <v>19.332999999999998</v>
      </c>
      <c r="I22" s="33">
        <f t="shared" si="2"/>
        <v>29.332999999999998</v>
      </c>
      <c r="J22" s="33">
        <f t="shared" si="3"/>
        <v>48.665999999999997</v>
      </c>
    </row>
    <row r="23" spans="1:10" s="6" customFormat="1" ht="14.1" customHeight="1" x14ac:dyDescent="0.2">
      <c r="A23" s="33" t="s">
        <v>41</v>
      </c>
      <c r="B23" s="33">
        <v>13.75</v>
      </c>
      <c r="C23" s="33">
        <v>13.75</v>
      </c>
      <c r="D23" s="33"/>
      <c r="E23" s="33"/>
      <c r="F23" s="33"/>
      <c r="G23" s="33"/>
      <c r="H23" s="33">
        <f t="shared" si="1"/>
        <v>33.082999999999998</v>
      </c>
      <c r="I23" s="33">
        <f t="shared" si="2"/>
        <v>43.082999999999998</v>
      </c>
      <c r="J23" s="33">
        <f t="shared" si="3"/>
        <v>76.165999999999997</v>
      </c>
    </row>
    <row r="24" spans="1:10" s="6" customFormat="1" ht="14.1" customHeight="1" x14ac:dyDescent="0.2">
      <c r="A24" s="33" t="s">
        <v>42</v>
      </c>
      <c r="B24" s="33"/>
      <c r="C24" s="33"/>
      <c r="D24" s="33">
        <v>10</v>
      </c>
      <c r="E24" s="33"/>
      <c r="F24" s="33"/>
      <c r="G24" s="33"/>
      <c r="H24" s="33">
        <f t="shared" si="1"/>
        <v>23.082999999999998</v>
      </c>
      <c r="I24" s="33">
        <f t="shared" si="2"/>
        <v>43.082999999999998</v>
      </c>
      <c r="J24" s="33">
        <f t="shared" si="3"/>
        <v>66.165999999999997</v>
      </c>
    </row>
    <row r="25" spans="1:10" s="6" customFormat="1" ht="14.1" customHeight="1" x14ac:dyDescent="0.2">
      <c r="A25" s="33" t="s">
        <v>43</v>
      </c>
      <c r="B25" s="33">
        <v>1.25</v>
      </c>
      <c r="C25" s="33">
        <v>1.25</v>
      </c>
      <c r="D25" s="33"/>
      <c r="E25" s="33"/>
      <c r="F25" s="33"/>
      <c r="G25" s="33"/>
      <c r="H25" s="33">
        <f t="shared" si="1"/>
        <v>24.332999999999998</v>
      </c>
      <c r="I25" s="33">
        <f t="shared" si="2"/>
        <v>44.332999999999998</v>
      </c>
      <c r="J25" s="33">
        <f t="shared" si="3"/>
        <v>68.665999999999997</v>
      </c>
    </row>
    <row r="26" spans="1:10" s="6" customFormat="1" ht="14.1" customHeight="1" x14ac:dyDescent="0.2">
      <c r="A26" s="33" t="s">
        <v>44</v>
      </c>
      <c r="B26" s="33"/>
      <c r="C26" s="33"/>
      <c r="D26" s="33"/>
      <c r="E26" s="33"/>
      <c r="F26" s="33">
        <v>5</v>
      </c>
      <c r="G26" s="33"/>
      <c r="H26" s="33">
        <f t="shared" si="1"/>
        <v>19.332999999999998</v>
      </c>
      <c r="I26" s="33">
        <f t="shared" si="2"/>
        <v>44.332999999999998</v>
      </c>
      <c r="J26" s="33">
        <f t="shared" si="3"/>
        <v>63.665999999999997</v>
      </c>
    </row>
    <row r="27" spans="1:10" s="6" customFormat="1" ht="14.1" customHeight="1" x14ac:dyDescent="0.2">
      <c r="A27" s="33" t="s">
        <v>45</v>
      </c>
      <c r="B27" s="33">
        <v>7.5</v>
      </c>
      <c r="C27" s="33">
        <v>7.5</v>
      </c>
      <c r="D27" s="33"/>
      <c r="E27" s="33"/>
      <c r="F27" s="33"/>
      <c r="G27" s="33"/>
      <c r="H27" s="33">
        <f t="shared" si="1"/>
        <v>26.832999999999998</v>
      </c>
      <c r="I27" s="33">
        <f t="shared" si="2"/>
        <v>51.832999999999998</v>
      </c>
      <c r="J27" s="33">
        <f t="shared" si="3"/>
        <v>78.665999999999997</v>
      </c>
    </row>
    <row r="28" spans="1:10" s="6" customFormat="1" ht="14.1" customHeight="1" x14ac:dyDescent="0.2">
      <c r="A28" s="33" t="s">
        <v>46</v>
      </c>
      <c r="B28" s="33"/>
      <c r="C28" s="33"/>
      <c r="D28" s="33">
        <v>5</v>
      </c>
      <c r="E28" s="33">
        <v>5</v>
      </c>
      <c r="F28" s="33"/>
      <c r="G28" s="33"/>
      <c r="H28" s="33">
        <f t="shared" si="1"/>
        <v>21.832999999999998</v>
      </c>
      <c r="I28" s="33">
        <f t="shared" si="2"/>
        <v>46.832999999999998</v>
      </c>
      <c r="J28" s="33">
        <f t="shared" si="3"/>
        <v>68.665999999999997</v>
      </c>
    </row>
    <row r="29" spans="1:10" s="6" customFormat="1" ht="14.1" customHeight="1" x14ac:dyDescent="0.2">
      <c r="A29" s="33" t="s">
        <v>47</v>
      </c>
      <c r="B29" s="33">
        <v>7.5</v>
      </c>
      <c r="C29" s="33">
        <v>7.5</v>
      </c>
      <c r="D29" s="33"/>
      <c r="E29" s="33"/>
      <c r="F29" s="33"/>
      <c r="G29" s="33"/>
      <c r="H29" s="33">
        <f t="shared" si="1"/>
        <v>29.332999999999998</v>
      </c>
      <c r="I29" s="33">
        <f t="shared" si="2"/>
        <v>54.332999999999998</v>
      </c>
      <c r="J29" s="33">
        <f t="shared" si="3"/>
        <v>83.665999999999997</v>
      </c>
    </row>
    <row r="30" spans="1:10" s="6" customFormat="1" ht="14.1" customHeight="1" x14ac:dyDescent="0.2">
      <c r="A30" s="33" t="s">
        <v>48</v>
      </c>
      <c r="B30" s="33"/>
      <c r="C30" s="33"/>
      <c r="D30" s="33"/>
      <c r="E30" s="33"/>
      <c r="F30" s="33">
        <v>5</v>
      </c>
      <c r="G30" s="33"/>
      <c r="H30" s="33">
        <f t="shared" si="1"/>
        <v>24.332999999999998</v>
      </c>
      <c r="I30" s="33">
        <f t="shared" si="2"/>
        <v>54.332999999999998</v>
      </c>
      <c r="J30" s="33">
        <f t="shared" si="3"/>
        <v>78.665999999999997</v>
      </c>
    </row>
    <row r="31" spans="1:10" s="6" customFormat="1" ht="14.1" customHeight="1" x14ac:dyDescent="0.2">
      <c r="A31" s="33" t="s">
        <v>49</v>
      </c>
      <c r="B31" s="33">
        <f>10*1.25</f>
        <v>12.5</v>
      </c>
      <c r="C31" s="33">
        <v>12.5</v>
      </c>
      <c r="D31" s="33"/>
      <c r="E31" s="33"/>
      <c r="F31" s="33"/>
      <c r="G31" s="33"/>
      <c r="H31" s="33">
        <f t="shared" si="1"/>
        <v>36.832999999999998</v>
      </c>
      <c r="I31" s="33">
        <f t="shared" si="2"/>
        <v>66.832999999999998</v>
      </c>
      <c r="J31" s="33">
        <f t="shared" si="3"/>
        <v>103.666</v>
      </c>
    </row>
    <row r="32" spans="1:10" s="6" customFormat="1" ht="14.1" customHeight="1" x14ac:dyDescent="0.2">
      <c r="A32" s="33" t="s">
        <v>50</v>
      </c>
      <c r="B32" s="33"/>
      <c r="C32" s="33"/>
      <c r="D32" s="33">
        <v>15</v>
      </c>
      <c r="E32" s="33"/>
      <c r="F32" s="33"/>
      <c r="G32" s="33"/>
      <c r="H32" s="33">
        <f t="shared" si="1"/>
        <v>21.832999999999998</v>
      </c>
      <c r="I32" s="33">
        <f t="shared" si="2"/>
        <v>66.832999999999998</v>
      </c>
      <c r="J32" s="33">
        <f t="shared" si="3"/>
        <v>88.665999999999997</v>
      </c>
    </row>
    <row r="33" spans="1:10" s="6" customFormat="1" ht="14.1" customHeight="1" x14ac:dyDescent="0.2">
      <c r="A33" s="33" t="s">
        <v>51</v>
      </c>
      <c r="B33" s="33">
        <v>2.5</v>
      </c>
      <c r="C33" s="33">
        <v>2.5</v>
      </c>
      <c r="D33" s="33"/>
      <c r="E33" s="33"/>
      <c r="F33" s="33"/>
      <c r="G33" s="33"/>
      <c r="H33" s="33">
        <f t="shared" si="1"/>
        <v>24.332999999999998</v>
      </c>
      <c r="I33" s="33">
        <f t="shared" si="2"/>
        <v>69.332999999999998</v>
      </c>
      <c r="J33" s="33">
        <f t="shared" si="3"/>
        <v>93.665999999999997</v>
      </c>
    </row>
    <row r="34" spans="1:10" s="6" customFormat="1" ht="14.1" customHeight="1" x14ac:dyDescent="0.2">
      <c r="A34" s="33" t="s">
        <v>52</v>
      </c>
      <c r="B34" s="33"/>
      <c r="C34" s="33"/>
      <c r="D34" s="33"/>
      <c r="E34" s="33"/>
      <c r="F34" s="33">
        <v>5</v>
      </c>
      <c r="G34" s="33"/>
      <c r="H34" s="33">
        <f t="shared" si="1"/>
        <v>19.332999999999998</v>
      </c>
      <c r="I34" s="33">
        <f t="shared" si="2"/>
        <v>69.332999999999998</v>
      </c>
      <c r="J34" s="33">
        <f t="shared" si="3"/>
        <v>88.665999999999997</v>
      </c>
    </row>
    <row r="35" spans="1:10" s="6" customFormat="1" ht="14.1" customHeight="1" x14ac:dyDescent="0.2">
      <c r="A35" s="33" t="s">
        <v>53</v>
      </c>
      <c r="B35" s="33">
        <v>7.5</v>
      </c>
      <c r="C35" s="33">
        <v>7.5</v>
      </c>
      <c r="D35" s="33"/>
      <c r="E35" s="33"/>
      <c r="F35" s="33"/>
      <c r="G35" s="33"/>
      <c r="H35" s="33">
        <f t="shared" si="1"/>
        <v>26.832999999999998</v>
      </c>
      <c r="I35" s="33">
        <f t="shared" si="2"/>
        <v>76.832999999999998</v>
      </c>
      <c r="J35" s="33">
        <f t="shared" si="3"/>
        <v>103.666</v>
      </c>
    </row>
    <row r="36" spans="1:10" s="6" customFormat="1" ht="14.1" customHeight="1" x14ac:dyDescent="0.2">
      <c r="A36" s="33" t="s">
        <v>54</v>
      </c>
      <c r="B36" s="33"/>
      <c r="C36" s="33"/>
      <c r="D36" s="33">
        <v>5</v>
      </c>
      <c r="E36" s="33">
        <v>5</v>
      </c>
      <c r="F36" s="33"/>
      <c r="G36" s="33"/>
      <c r="H36" s="33">
        <f t="shared" si="1"/>
        <v>21.832999999999998</v>
      </c>
      <c r="I36" s="33">
        <f t="shared" si="2"/>
        <v>71.832999999999998</v>
      </c>
      <c r="J36" s="33">
        <f t="shared" si="3"/>
        <v>93.665999999999997</v>
      </c>
    </row>
    <row r="37" spans="1:10" s="6" customFormat="1" ht="14.1" customHeight="1" x14ac:dyDescent="0.2">
      <c r="A37" s="33" t="s">
        <v>55</v>
      </c>
      <c r="B37" s="33">
        <v>7.5</v>
      </c>
      <c r="C37" s="33">
        <v>7.5</v>
      </c>
      <c r="D37" s="33"/>
      <c r="E37" s="33"/>
      <c r="F37" s="33"/>
      <c r="G37" s="33"/>
      <c r="H37" s="33">
        <f t="shared" si="1"/>
        <v>29.332999999999998</v>
      </c>
      <c r="I37" s="33">
        <f t="shared" si="2"/>
        <v>79.332999999999998</v>
      </c>
      <c r="J37" s="33">
        <f t="shared" si="3"/>
        <v>108.666</v>
      </c>
    </row>
    <row r="38" spans="1:10" s="6" customFormat="1" ht="14.1" customHeight="1" x14ac:dyDescent="0.2">
      <c r="A38" s="33" t="s">
        <v>56</v>
      </c>
      <c r="B38" s="33"/>
      <c r="C38" s="33"/>
      <c r="D38" s="33"/>
      <c r="E38" s="33"/>
      <c r="F38" s="33">
        <v>5</v>
      </c>
      <c r="G38" s="33"/>
      <c r="H38" s="33">
        <f t="shared" si="1"/>
        <v>24.332999999999998</v>
      </c>
      <c r="I38" s="33">
        <f t="shared" si="2"/>
        <v>79.332999999999998</v>
      </c>
      <c r="J38" s="33">
        <f t="shared" si="3"/>
        <v>103.666</v>
      </c>
    </row>
    <row r="39" spans="1:10" s="6" customFormat="1" ht="14.1" customHeight="1" x14ac:dyDescent="0.2">
      <c r="A39" s="33" t="s">
        <v>57</v>
      </c>
      <c r="B39" s="33">
        <v>7.5</v>
      </c>
      <c r="C39" s="33">
        <v>7.5</v>
      </c>
      <c r="D39" s="33"/>
      <c r="E39" s="33"/>
      <c r="F39" s="33"/>
      <c r="G39" s="33"/>
      <c r="H39" s="33">
        <f t="shared" si="1"/>
        <v>31.832999999999998</v>
      </c>
      <c r="I39" s="33">
        <f t="shared" si="2"/>
        <v>86.832999999999998</v>
      </c>
      <c r="J39" s="33">
        <f t="shared" si="3"/>
        <v>118.666</v>
      </c>
    </row>
    <row r="40" spans="1:10" s="6" customFormat="1" ht="14.1" customHeight="1" x14ac:dyDescent="0.2">
      <c r="A40" s="33" t="s">
        <v>58</v>
      </c>
      <c r="B40" s="33"/>
      <c r="C40" s="33"/>
      <c r="D40" s="33">
        <v>11</v>
      </c>
      <c r="E40" s="33">
        <v>18</v>
      </c>
      <c r="F40" s="33"/>
      <c r="G40" s="33"/>
      <c r="H40" s="33">
        <f t="shared" si="1"/>
        <v>20.832999999999998</v>
      </c>
      <c r="I40" s="33">
        <f t="shared" si="2"/>
        <v>68.832999999999998</v>
      </c>
      <c r="J40" s="33">
        <f t="shared" si="3"/>
        <v>89.665999999999997</v>
      </c>
    </row>
    <row r="41" spans="1:10" s="6" customFormat="1" ht="14.1" customHeight="1" x14ac:dyDescent="0.2">
      <c r="A41" s="33" t="s">
        <v>59</v>
      </c>
      <c r="B41" s="33">
        <v>7.5</v>
      </c>
      <c r="C41" s="33">
        <v>7.5</v>
      </c>
      <c r="D41" s="33"/>
      <c r="E41" s="33"/>
      <c r="F41" s="33"/>
      <c r="G41" s="33"/>
      <c r="H41" s="33">
        <f t="shared" si="1"/>
        <v>28.332999999999998</v>
      </c>
      <c r="I41" s="33">
        <f t="shared" si="2"/>
        <v>76.332999999999998</v>
      </c>
      <c r="J41" s="33">
        <f t="shared" si="3"/>
        <v>104.666</v>
      </c>
    </row>
    <row r="42" spans="1:10" s="6" customFormat="1" ht="14.1" customHeight="1" x14ac:dyDescent="0.2">
      <c r="A42" s="33" t="s">
        <v>60</v>
      </c>
      <c r="B42" s="33"/>
      <c r="C42" s="33"/>
      <c r="D42" s="33"/>
      <c r="E42" s="33"/>
      <c r="F42" s="33">
        <v>5</v>
      </c>
      <c r="G42" s="33"/>
      <c r="H42" s="33">
        <f t="shared" si="1"/>
        <v>23.332999999999998</v>
      </c>
      <c r="I42" s="33">
        <f t="shared" si="2"/>
        <v>76.332999999999998</v>
      </c>
      <c r="J42" s="33">
        <f t="shared" si="3"/>
        <v>99.665999999999997</v>
      </c>
    </row>
    <row r="43" spans="1:10" s="6" customFormat="1" ht="14.1" customHeight="1" x14ac:dyDescent="0.2">
      <c r="A43" s="33" t="s">
        <v>61</v>
      </c>
      <c r="B43" s="33">
        <f>10*1.25</f>
        <v>12.5</v>
      </c>
      <c r="C43" s="33">
        <v>12.5</v>
      </c>
      <c r="D43" s="33"/>
      <c r="E43" s="33"/>
      <c r="F43" s="33"/>
      <c r="G43" s="33"/>
      <c r="H43" s="33">
        <f t="shared" si="1"/>
        <v>35.832999999999998</v>
      </c>
      <c r="I43" s="33">
        <f t="shared" si="2"/>
        <v>88.832999999999998</v>
      </c>
      <c r="J43" s="33">
        <f t="shared" si="3"/>
        <v>124.666</v>
      </c>
    </row>
    <row r="44" spans="1:10" s="6" customFormat="1" ht="14.1" customHeight="1" x14ac:dyDescent="0.2">
      <c r="A44" s="33" t="s">
        <v>62</v>
      </c>
      <c r="B44" s="33"/>
      <c r="C44" s="33"/>
      <c r="D44" s="33">
        <v>15</v>
      </c>
      <c r="E44" s="33">
        <v>14</v>
      </c>
      <c r="F44" s="33"/>
      <c r="G44" s="33"/>
      <c r="H44" s="33">
        <f t="shared" si="1"/>
        <v>20.832999999999998</v>
      </c>
      <c r="I44" s="33">
        <f t="shared" si="2"/>
        <v>74.832999999999998</v>
      </c>
      <c r="J44" s="33">
        <f t="shared" si="3"/>
        <v>95.665999999999997</v>
      </c>
    </row>
    <row r="45" spans="1:10" s="6" customFormat="1" ht="14.1" customHeight="1" x14ac:dyDescent="0.2">
      <c r="A45" s="33" t="s">
        <v>63</v>
      </c>
      <c r="B45" s="33">
        <v>2.5</v>
      </c>
      <c r="C45" s="33">
        <v>2.5</v>
      </c>
      <c r="D45" s="33"/>
      <c r="E45" s="33"/>
      <c r="F45" s="33"/>
      <c r="G45" s="33"/>
      <c r="H45" s="33">
        <f t="shared" si="1"/>
        <v>23.332999999999998</v>
      </c>
      <c r="I45" s="33">
        <f t="shared" si="2"/>
        <v>77.332999999999998</v>
      </c>
      <c r="J45" s="33">
        <f t="shared" si="3"/>
        <v>100.666</v>
      </c>
    </row>
    <row r="46" spans="1:10" s="6" customFormat="1" ht="14.1" customHeight="1" x14ac:dyDescent="0.2">
      <c r="A46" s="33" t="s">
        <v>64</v>
      </c>
      <c r="B46" s="33"/>
      <c r="C46" s="33"/>
      <c r="D46" s="33"/>
      <c r="E46" s="33"/>
      <c r="F46" s="33">
        <v>5</v>
      </c>
      <c r="G46" s="33"/>
      <c r="H46" s="33">
        <f t="shared" si="1"/>
        <v>18.332999999999998</v>
      </c>
      <c r="I46" s="33">
        <f t="shared" si="2"/>
        <v>77.332999999999998</v>
      </c>
      <c r="J46" s="33">
        <f t="shared" si="3"/>
        <v>95.665999999999997</v>
      </c>
    </row>
    <row r="47" spans="1:10" s="6" customFormat="1" ht="14.1" customHeight="1" x14ac:dyDescent="0.2">
      <c r="A47" s="33" t="s">
        <v>65</v>
      </c>
      <c r="B47" s="33">
        <f>9*1.25</f>
        <v>11.25</v>
      </c>
      <c r="C47" s="33">
        <v>11.25</v>
      </c>
      <c r="D47" s="33"/>
      <c r="E47" s="33"/>
      <c r="F47" s="33"/>
      <c r="G47" s="33"/>
      <c r="H47" s="33">
        <f t="shared" si="1"/>
        <v>29.582999999999998</v>
      </c>
      <c r="I47" s="33">
        <f t="shared" si="2"/>
        <v>88.582999999999998</v>
      </c>
      <c r="J47" s="33">
        <f t="shared" si="3"/>
        <v>118.166</v>
      </c>
    </row>
    <row r="48" spans="1:10" s="6" customFormat="1" ht="14.1" customHeight="1" x14ac:dyDescent="0.2">
      <c r="A48" s="33" t="s">
        <v>66</v>
      </c>
      <c r="B48" s="33"/>
      <c r="C48" s="33"/>
      <c r="D48" s="33">
        <v>8</v>
      </c>
      <c r="E48" s="33">
        <v>21</v>
      </c>
      <c r="F48" s="33"/>
      <c r="G48" s="33"/>
      <c r="H48" s="33">
        <f t="shared" si="1"/>
        <v>21.582999999999998</v>
      </c>
      <c r="I48" s="33">
        <f t="shared" si="2"/>
        <v>67.582999999999998</v>
      </c>
      <c r="J48" s="33">
        <f t="shared" si="3"/>
        <v>89.165999999999997</v>
      </c>
    </row>
    <row r="49" spans="1:10" s="6" customFormat="1" ht="14.1" customHeight="1" x14ac:dyDescent="0.2">
      <c r="A49" s="33" t="s">
        <v>67</v>
      </c>
      <c r="B49" s="33">
        <v>3.75</v>
      </c>
      <c r="C49" s="33">
        <v>3.75</v>
      </c>
      <c r="D49" s="33"/>
      <c r="E49" s="33"/>
      <c r="F49" s="33"/>
      <c r="G49" s="33"/>
      <c r="H49" s="33">
        <f t="shared" si="1"/>
        <v>25.332999999999998</v>
      </c>
      <c r="I49" s="33">
        <f t="shared" si="2"/>
        <v>71.332999999999998</v>
      </c>
      <c r="J49" s="33">
        <f t="shared" si="3"/>
        <v>96.665999999999997</v>
      </c>
    </row>
    <row r="50" spans="1:10" s="6" customFormat="1" ht="14.1" customHeight="1" x14ac:dyDescent="0.2">
      <c r="A50" s="33" t="s">
        <v>68</v>
      </c>
      <c r="B50" s="33"/>
      <c r="C50" s="33"/>
      <c r="D50" s="33"/>
      <c r="E50" s="33"/>
      <c r="F50" s="33">
        <v>5</v>
      </c>
      <c r="G50" s="33"/>
      <c r="H50" s="33">
        <f t="shared" si="1"/>
        <v>20.332999999999998</v>
      </c>
      <c r="I50" s="33">
        <f t="shared" si="2"/>
        <v>71.332999999999998</v>
      </c>
      <c r="J50" s="33">
        <f t="shared" si="3"/>
        <v>91.665999999999997</v>
      </c>
    </row>
    <row r="51" spans="1:10" s="6" customFormat="1" ht="14.1" customHeight="1" x14ac:dyDescent="0.2">
      <c r="A51" s="33" t="s">
        <v>69</v>
      </c>
      <c r="B51" s="33">
        <v>11.25</v>
      </c>
      <c r="C51" s="33">
        <v>11.25</v>
      </c>
      <c r="D51" s="33"/>
      <c r="E51" s="33"/>
      <c r="F51" s="33"/>
      <c r="G51" s="33"/>
      <c r="H51" s="33">
        <f t="shared" si="1"/>
        <v>31.582999999999998</v>
      </c>
      <c r="I51" s="33">
        <f t="shared" si="2"/>
        <v>82.582999999999998</v>
      </c>
      <c r="J51" s="33">
        <f t="shared" si="3"/>
        <v>114.166</v>
      </c>
    </row>
    <row r="52" spans="1:10" s="6" customFormat="1" ht="14.1" customHeight="1" x14ac:dyDescent="0.2">
      <c r="A52" s="33" t="s">
        <v>70</v>
      </c>
      <c r="B52" s="33"/>
      <c r="C52" s="33"/>
      <c r="D52" s="33">
        <v>10</v>
      </c>
      <c r="E52" s="33">
        <v>19</v>
      </c>
      <c r="F52" s="33"/>
      <c r="G52" s="33"/>
      <c r="H52" s="33">
        <f t="shared" si="1"/>
        <v>21.582999999999998</v>
      </c>
      <c r="I52" s="33">
        <f t="shared" si="2"/>
        <v>63.582999999999998</v>
      </c>
      <c r="J52" s="33">
        <f t="shared" si="3"/>
        <v>85.165999999999997</v>
      </c>
    </row>
    <row r="53" spans="1:10" s="6" customFormat="1" ht="14.1" customHeight="1" x14ac:dyDescent="0.2">
      <c r="A53" s="33" t="s">
        <v>71</v>
      </c>
      <c r="B53" s="33">
        <v>3.75</v>
      </c>
      <c r="C53" s="33">
        <v>3.75</v>
      </c>
      <c r="D53" s="33"/>
      <c r="E53" s="33"/>
      <c r="F53" s="33"/>
      <c r="G53" s="33"/>
      <c r="H53" s="33">
        <f t="shared" si="1"/>
        <v>25.332999999999998</v>
      </c>
      <c r="I53" s="33">
        <f t="shared" si="2"/>
        <v>67.332999999999998</v>
      </c>
      <c r="J53" s="33">
        <f t="shared" si="3"/>
        <v>92.665999999999997</v>
      </c>
    </row>
    <row r="54" spans="1:10" s="6" customFormat="1" ht="14.1" customHeight="1" x14ac:dyDescent="0.2">
      <c r="A54" s="33" t="s">
        <v>72</v>
      </c>
      <c r="B54" s="33"/>
      <c r="C54" s="33"/>
      <c r="D54" s="33"/>
      <c r="E54" s="33"/>
      <c r="F54" s="33">
        <v>5</v>
      </c>
      <c r="G54" s="33"/>
      <c r="H54" s="33">
        <f t="shared" si="1"/>
        <v>20.332999999999998</v>
      </c>
      <c r="I54" s="33">
        <f t="shared" si="2"/>
        <v>67.332999999999998</v>
      </c>
      <c r="J54" s="33">
        <f t="shared" si="3"/>
        <v>87.665999999999997</v>
      </c>
    </row>
    <row r="55" spans="1:10" s="6" customFormat="1" ht="14.1" customHeight="1" x14ac:dyDescent="0.2">
      <c r="A55" s="33" t="s">
        <v>73</v>
      </c>
      <c r="B55" s="33">
        <f>3*1.25</f>
        <v>3.75</v>
      </c>
      <c r="C55" s="33">
        <v>3.75</v>
      </c>
      <c r="D55" s="33"/>
      <c r="E55" s="33"/>
      <c r="F55" s="33"/>
      <c r="G55" s="33"/>
      <c r="H55" s="33">
        <f t="shared" si="1"/>
        <v>24.082999999999998</v>
      </c>
      <c r="I55" s="33">
        <f t="shared" si="2"/>
        <v>71.082999999999998</v>
      </c>
      <c r="J55" s="33">
        <f t="shared" si="3"/>
        <v>95.165999999999997</v>
      </c>
    </row>
    <row r="56" spans="1:10" s="6" customFormat="1" ht="14.1" customHeight="1" x14ac:dyDescent="0.2">
      <c r="A56" s="33" t="s">
        <v>74</v>
      </c>
      <c r="B56" s="33">
        <v>0.41699999999999998</v>
      </c>
      <c r="C56" s="33">
        <v>0.41699999999999998</v>
      </c>
      <c r="D56" s="33"/>
      <c r="E56" s="33"/>
      <c r="F56" s="33"/>
      <c r="G56" s="33"/>
      <c r="H56" s="33">
        <f t="shared" si="1"/>
        <v>24.5</v>
      </c>
      <c r="I56" s="33">
        <f t="shared" si="2"/>
        <v>71.5</v>
      </c>
      <c r="J56" s="33">
        <f t="shared" si="3"/>
        <v>96</v>
      </c>
    </row>
    <row r="57" spans="1:10" s="6" customFormat="1" ht="14.1" customHeight="1" x14ac:dyDescent="0.2">
      <c r="A57" s="32" t="s">
        <v>109</v>
      </c>
      <c r="B57" s="32"/>
      <c r="C57" s="32"/>
      <c r="D57" s="32"/>
      <c r="E57" s="32"/>
      <c r="F57" s="32"/>
      <c r="G57" s="32"/>
      <c r="H57" s="32"/>
      <c r="I57" s="32"/>
      <c r="J57" s="32"/>
    </row>
    <row r="58" spans="1:10" s="6" customFormat="1" ht="14.1" customHeight="1" x14ac:dyDescent="0.2">
      <c r="A58" s="33" t="s">
        <v>75</v>
      </c>
      <c r="B58" s="33">
        <v>0.83299999999999996</v>
      </c>
      <c r="C58" s="33">
        <v>0.83299999999999996</v>
      </c>
      <c r="D58" s="33"/>
      <c r="E58" s="33"/>
      <c r="F58" s="33"/>
      <c r="G58" s="33"/>
      <c r="H58" s="33">
        <f>H56-F58-D58+B58</f>
        <v>25.332999999999998</v>
      </c>
      <c r="I58" s="33">
        <f>I56-E58+C58</f>
        <v>72.332999999999998</v>
      </c>
      <c r="J58" s="33">
        <f>H58+I58</f>
        <v>97.665999999999997</v>
      </c>
    </row>
    <row r="59" spans="1:10" s="5" customFormat="1" ht="14.1" customHeight="1" x14ac:dyDescent="0.2">
      <c r="A59" s="8" t="s">
        <v>24</v>
      </c>
      <c r="B59" s="9">
        <v>2.5</v>
      </c>
      <c r="C59" s="9">
        <v>2.5</v>
      </c>
      <c r="D59" s="9"/>
      <c r="E59" s="9"/>
      <c r="F59" s="9"/>
      <c r="G59" s="9"/>
      <c r="H59" s="34">
        <f>H58-F59-D59+B59</f>
        <v>27.832999999999998</v>
      </c>
      <c r="I59" s="34">
        <f>I58-E59+C59</f>
        <v>74.832999999999998</v>
      </c>
      <c r="J59" s="33">
        <f>H59+I59</f>
        <v>102.666</v>
      </c>
    </row>
    <row r="60" spans="1:10" s="5" customFormat="1" ht="14.1" customHeight="1" x14ac:dyDescent="0.2">
      <c r="A60" s="8" t="s">
        <v>25</v>
      </c>
      <c r="B60" s="9"/>
      <c r="C60" s="9"/>
      <c r="D60" s="9"/>
      <c r="E60" s="9"/>
      <c r="F60" s="9">
        <v>1</v>
      </c>
      <c r="G60" s="9"/>
      <c r="H60" s="34">
        <f t="shared" ref="H60:H64" si="4">H59-F60-D60+B60</f>
        <v>26.832999999999998</v>
      </c>
      <c r="I60" s="34">
        <f t="shared" ref="I60:I64" si="5">I59-E60+C60</f>
        <v>74.832999999999998</v>
      </c>
      <c r="J60" s="33">
        <f t="shared" ref="J60:J64" si="6">H60+I60</f>
        <v>101.666</v>
      </c>
    </row>
    <row r="61" spans="1:10" s="5" customFormat="1" ht="14.1" customHeight="1" x14ac:dyDescent="0.2">
      <c r="A61" s="8" t="s">
        <v>26</v>
      </c>
      <c r="B61" s="9">
        <v>2.5</v>
      </c>
      <c r="C61" s="9">
        <v>2.5</v>
      </c>
      <c r="D61" s="9"/>
      <c r="E61" s="9"/>
      <c r="F61" s="9"/>
      <c r="G61" s="9"/>
      <c r="H61" s="34">
        <f t="shared" si="4"/>
        <v>29.332999999999998</v>
      </c>
      <c r="I61" s="34">
        <f t="shared" si="5"/>
        <v>77.332999999999998</v>
      </c>
      <c r="J61" s="33">
        <f t="shared" si="6"/>
        <v>106.666</v>
      </c>
    </row>
    <row r="62" spans="1:10" s="5" customFormat="1" ht="14.1" customHeight="1" x14ac:dyDescent="0.2">
      <c r="A62" s="8" t="s">
        <v>27</v>
      </c>
      <c r="B62" s="9"/>
      <c r="C62" s="42"/>
      <c r="D62" s="42">
        <v>24</v>
      </c>
      <c r="E62" s="42">
        <v>5</v>
      </c>
      <c r="F62" s="9"/>
      <c r="G62" s="9"/>
      <c r="H62" s="34">
        <f t="shared" si="4"/>
        <v>5.3329999999999984</v>
      </c>
      <c r="I62" s="34">
        <f t="shared" si="5"/>
        <v>72.332999999999998</v>
      </c>
      <c r="J62" s="33">
        <f t="shared" si="6"/>
        <v>77.665999999999997</v>
      </c>
    </row>
    <row r="63" spans="1:10" s="5" customFormat="1" ht="14.1" customHeight="1" x14ac:dyDescent="0.2">
      <c r="A63" s="8" t="s">
        <v>77</v>
      </c>
      <c r="B63" s="9">
        <v>1.25</v>
      </c>
      <c r="C63" s="9">
        <v>1.25</v>
      </c>
      <c r="D63" s="9"/>
      <c r="E63" s="9"/>
      <c r="F63" s="9"/>
      <c r="G63" s="9"/>
      <c r="H63" s="34">
        <f t="shared" si="4"/>
        <v>6.5829999999999984</v>
      </c>
      <c r="I63" s="34">
        <f t="shared" si="5"/>
        <v>73.582999999999998</v>
      </c>
      <c r="J63" s="33">
        <f t="shared" si="6"/>
        <v>80.165999999999997</v>
      </c>
    </row>
    <row r="64" spans="1:10" s="5" customFormat="1" ht="14.1" customHeight="1" x14ac:dyDescent="0.2">
      <c r="A64" s="7" t="s">
        <v>76</v>
      </c>
      <c r="B64" s="9"/>
      <c r="C64" s="9"/>
      <c r="D64" s="9"/>
      <c r="E64" s="9"/>
      <c r="F64" s="9"/>
      <c r="G64" s="9">
        <v>1</v>
      </c>
      <c r="H64" s="34">
        <f t="shared" si="4"/>
        <v>6.5829999999999984</v>
      </c>
      <c r="I64" s="34">
        <f t="shared" si="5"/>
        <v>73.582999999999998</v>
      </c>
      <c r="J64" s="33">
        <f t="shared" si="6"/>
        <v>80.165999999999997</v>
      </c>
    </row>
    <row r="65" spans="1:10" s="5" customFormat="1" ht="14.1" customHeight="1" x14ac:dyDescent="0.2">
      <c r="A65" s="7" t="s">
        <v>89</v>
      </c>
      <c r="B65" s="16"/>
      <c r="C65" s="9"/>
      <c r="D65" s="9"/>
      <c r="E65" s="9"/>
      <c r="F65" s="9">
        <v>2</v>
      </c>
      <c r="G65" s="9"/>
      <c r="H65" s="34">
        <f t="shared" ref="H65" si="7">H64-F65-D65+B65</f>
        <v>4.5829999999999984</v>
      </c>
      <c r="I65" s="34">
        <f t="shared" ref="I65" si="8">I64-E65+C65</f>
        <v>73.582999999999998</v>
      </c>
      <c r="J65" s="33">
        <f t="shared" ref="J65" si="9">H65+I65</f>
        <v>78.165999999999997</v>
      </c>
    </row>
    <row r="66" spans="1:10" s="5" customFormat="1" ht="14.1" customHeight="1" x14ac:dyDescent="0.2">
      <c r="A66" s="7" t="s">
        <v>78</v>
      </c>
      <c r="B66" s="9"/>
      <c r="C66" s="9"/>
      <c r="D66" s="9"/>
      <c r="E66" s="9"/>
      <c r="F66" s="9">
        <v>2</v>
      </c>
      <c r="G66" s="9"/>
      <c r="H66" s="34">
        <f t="shared" ref="H66" si="10">H65-F66-D66+B66</f>
        <v>2.5829999999999984</v>
      </c>
      <c r="I66" s="34">
        <f t="shared" ref="I66" si="11">I65-E66+C66</f>
        <v>73.582999999999998</v>
      </c>
      <c r="J66" s="33">
        <f t="shared" ref="J66" si="12">H66+I66</f>
        <v>76.165999999999997</v>
      </c>
    </row>
    <row r="67" spans="1:10" s="5" customFormat="1" ht="14.1" customHeight="1" x14ac:dyDescent="0.2">
      <c r="A67" s="7" t="s">
        <v>79</v>
      </c>
      <c r="B67" s="9"/>
      <c r="C67" s="9"/>
      <c r="D67" s="9"/>
      <c r="E67" s="9"/>
      <c r="F67" s="9"/>
      <c r="G67" s="9">
        <v>1</v>
      </c>
      <c r="H67" s="34">
        <f t="shared" ref="H67:H68" si="13">H66-F67-D67+B67</f>
        <v>2.5829999999999984</v>
      </c>
      <c r="I67" s="34">
        <f t="shared" ref="I67:I68" si="14">I66-E67+C67</f>
        <v>73.582999999999998</v>
      </c>
      <c r="J67" s="33">
        <f t="shared" ref="J67:J68" si="15">H67+I67</f>
        <v>76.165999999999997</v>
      </c>
    </row>
    <row r="68" spans="1:10" s="5" customFormat="1" ht="14.1" customHeight="1" x14ac:dyDescent="0.2">
      <c r="A68" s="7" t="s">
        <v>90</v>
      </c>
      <c r="B68" s="9"/>
      <c r="C68" s="9"/>
      <c r="D68" s="9"/>
      <c r="E68" s="9"/>
      <c r="F68" s="9"/>
      <c r="G68" s="9">
        <v>1</v>
      </c>
      <c r="H68" s="34">
        <f t="shared" si="13"/>
        <v>2.5829999999999984</v>
      </c>
      <c r="I68" s="34">
        <f t="shared" si="14"/>
        <v>73.582999999999998</v>
      </c>
      <c r="J68" s="33">
        <f t="shared" si="15"/>
        <v>76.165999999999997</v>
      </c>
    </row>
    <row r="69" spans="1:10" s="5" customFormat="1" ht="14.1" customHeight="1" x14ac:dyDescent="0.2">
      <c r="A69" s="7" t="s">
        <v>80</v>
      </c>
      <c r="B69" s="9">
        <v>2.5</v>
      </c>
      <c r="C69" s="9">
        <v>2.5</v>
      </c>
      <c r="D69" s="9"/>
      <c r="E69" s="9"/>
      <c r="F69" s="9"/>
      <c r="G69" s="9"/>
      <c r="H69" s="34">
        <f t="shared" ref="H69:H70" si="16">H68-F69-D69+B69</f>
        <v>5.0829999999999984</v>
      </c>
      <c r="I69" s="34">
        <f t="shared" ref="I69:I70" si="17">I68-E69+C69</f>
        <v>76.082999999999998</v>
      </c>
      <c r="J69" s="33">
        <f t="shared" ref="J69:J70" si="18">H69+I69</f>
        <v>81.165999999999997</v>
      </c>
    </row>
    <row r="70" spans="1:10" s="5" customFormat="1" ht="14.1" customHeight="1" x14ac:dyDescent="0.2">
      <c r="A70" s="7" t="s">
        <v>81</v>
      </c>
      <c r="B70" s="9">
        <v>2</v>
      </c>
      <c r="C70" s="9"/>
      <c r="D70" s="9"/>
      <c r="E70" s="9"/>
      <c r="F70" s="9"/>
      <c r="G70" s="9"/>
      <c r="H70" s="34">
        <f t="shared" si="16"/>
        <v>7.0829999999999984</v>
      </c>
      <c r="I70" s="34">
        <f t="shared" si="17"/>
        <v>76.082999999999998</v>
      </c>
      <c r="J70" s="33">
        <f t="shared" si="18"/>
        <v>83.165999999999997</v>
      </c>
    </row>
    <row r="71" spans="1:10" s="5" customFormat="1" ht="14.1" customHeight="1" x14ac:dyDescent="0.2">
      <c r="A71" s="7" t="s">
        <v>91</v>
      </c>
      <c r="B71" s="9">
        <v>1.25</v>
      </c>
      <c r="C71" s="9">
        <v>1.25</v>
      </c>
      <c r="D71" s="9"/>
      <c r="E71" s="9"/>
      <c r="F71" s="9"/>
      <c r="G71" s="9"/>
      <c r="H71" s="34">
        <f t="shared" ref="H71:H73" si="19">H70-F71-D71+B71</f>
        <v>8.3329999999999984</v>
      </c>
      <c r="I71" s="34">
        <f t="shared" ref="I71:I73" si="20">I70-E71+C71</f>
        <v>77.332999999999998</v>
      </c>
      <c r="J71" s="33">
        <f t="shared" ref="J71:J73" si="21">H71+I71</f>
        <v>85.665999999999997</v>
      </c>
    </row>
    <row r="72" spans="1:10" s="5" customFormat="1" ht="14.1" customHeight="1" x14ac:dyDescent="0.2">
      <c r="A72" s="7" t="s">
        <v>92</v>
      </c>
      <c r="B72" s="9">
        <v>1.25</v>
      </c>
      <c r="C72" s="9">
        <v>1.25</v>
      </c>
      <c r="D72" s="9"/>
      <c r="E72" s="9"/>
      <c r="F72" s="9"/>
      <c r="G72" s="9"/>
      <c r="H72" s="34">
        <f t="shared" si="19"/>
        <v>9.5829999999999984</v>
      </c>
      <c r="I72" s="34">
        <f t="shared" si="20"/>
        <v>78.582999999999998</v>
      </c>
      <c r="J72" s="41">
        <f t="shared" si="21"/>
        <v>88.165999999999997</v>
      </c>
    </row>
    <row r="73" spans="1:10" s="5" customFormat="1" ht="14.1" customHeight="1" x14ac:dyDescent="0.2">
      <c r="A73" s="7" t="s">
        <v>93</v>
      </c>
      <c r="B73" s="9">
        <v>2</v>
      </c>
      <c r="C73" s="9"/>
      <c r="D73" s="9"/>
      <c r="E73" s="9"/>
      <c r="F73" s="9"/>
      <c r="G73" s="9"/>
      <c r="H73" s="34">
        <f t="shared" si="19"/>
        <v>11.582999999999998</v>
      </c>
      <c r="I73" s="34">
        <f t="shared" si="20"/>
        <v>78.582999999999998</v>
      </c>
      <c r="J73" s="33">
        <f t="shared" si="21"/>
        <v>90.165999999999997</v>
      </c>
    </row>
    <row r="74" spans="1:10" s="5" customFormat="1" ht="14.1" customHeight="1" x14ac:dyDescent="0.2">
      <c r="A74" s="7" t="s">
        <v>103</v>
      </c>
      <c r="B74" s="9">
        <v>7.5</v>
      </c>
      <c r="C74" s="9">
        <v>7.5</v>
      </c>
      <c r="D74" s="9"/>
      <c r="E74" s="9"/>
      <c r="F74" s="9"/>
      <c r="G74" s="9"/>
      <c r="H74" s="34">
        <f t="shared" ref="H74" si="22">H73-F74-D74+B74</f>
        <v>19.082999999999998</v>
      </c>
      <c r="I74" s="34">
        <f t="shared" ref="I74" si="23">I73-E74+C74</f>
        <v>86.082999999999998</v>
      </c>
      <c r="J74" s="33">
        <f t="shared" ref="J74" si="24">H74+I74</f>
        <v>105.166</v>
      </c>
    </row>
    <row r="75" spans="1:10" s="5" customFormat="1" ht="18" customHeight="1" x14ac:dyDescent="0.2">
      <c r="A75" s="44" t="s">
        <v>105</v>
      </c>
      <c r="B75" s="42"/>
      <c r="C75" s="42"/>
      <c r="D75" s="42">
        <v>14.083</v>
      </c>
      <c r="E75" s="42">
        <v>14.917</v>
      </c>
      <c r="F75" s="42"/>
      <c r="G75" s="42"/>
      <c r="H75" s="45">
        <f t="shared" ref="H75" si="25">H74-F75-D75+B75</f>
        <v>4.9999999999999982</v>
      </c>
      <c r="I75" s="45">
        <f t="shared" ref="I75" si="26">I74-E75+C75</f>
        <v>71.165999999999997</v>
      </c>
      <c r="J75" s="41">
        <f t="shared" ref="J75" si="27">H75+I75</f>
        <v>76.165999999999997</v>
      </c>
    </row>
    <row r="76" spans="1:10" s="5" customFormat="1" ht="18" customHeight="1" x14ac:dyDescent="0.2">
      <c r="A76" s="44" t="s">
        <v>106</v>
      </c>
      <c r="B76" s="42">
        <v>3.75</v>
      </c>
      <c r="C76" s="42">
        <v>3.75</v>
      </c>
      <c r="D76" s="42"/>
      <c r="E76" s="42"/>
      <c r="F76" s="42"/>
      <c r="G76" s="42"/>
      <c r="H76" s="45">
        <f t="shared" ref="H76:H78" si="28">H75-F76-D76+B76</f>
        <v>8.7499999999999982</v>
      </c>
      <c r="I76" s="45">
        <f t="shared" ref="I76:I78" si="29">I75-E76+C76</f>
        <v>74.915999999999997</v>
      </c>
      <c r="J76" s="41">
        <f t="shared" ref="J76:J78" si="30">H76+I76</f>
        <v>83.665999999999997</v>
      </c>
    </row>
    <row r="77" spans="1:10" s="5" customFormat="1" ht="18" customHeight="1" x14ac:dyDescent="0.2">
      <c r="A77" s="44" t="s">
        <v>107</v>
      </c>
      <c r="B77" s="42"/>
      <c r="C77" s="42"/>
      <c r="D77" s="42"/>
      <c r="E77" s="42"/>
      <c r="F77" s="42"/>
      <c r="G77" s="42">
        <v>1</v>
      </c>
      <c r="H77" s="45">
        <f t="shared" si="28"/>
        <v>8.7499999999999982</v>
      </c>
      <c r="I77" s="45">
        <f t="shared" si="29"/>
        <v>74.915999999999997</v>
      </c>
      <c r="J77" s="41">
        <f t="shared" si="30"/>
        <v>83.665999999999997</v>
      </c>
    </row>
    <row r="78" spans="1:10" s="5" customFormat="1" ht="18" customHeight="1" x14ac:dyDescent="0.2">
      <c r="A78" s="44" t="s">
        <v>108</v>
      </c>
      <c r="B78" s="42"/>
      <c r="C78" s="42"/>
      <c r="D78" s="42"/>
      <c r="E78" s="42"/>
      <c r="F78" s="42">
        <v>3</v>
      </c>
      <c r="G78" s="42"/>
      <c r="H78" s="45">
        <f t="shared" si="28"/>
        <v>5.7499999999999982</v>
      </c>
      <c r="I78" s="45">
        <f t="shared" si="29"/>
        <v>74.915999999999997</v>
      </c>
      <c r="J78" s="41">
        <f t="shared" si="30"/>
        <v>80.665999999999997</v>
      </c>
    </row>
    <row r="79" spans="1:10" s="5" customFormat="1" ht="18" customHeight="1" x14ac:dyDescent="0.2">
      <c r="A79" s="44" t="s">
        <v>110</v>
      </c>
      <c r="B79" s="42">
        <v>1.25</v>
      </c>
      <c r="C79" s="42">
        <v>1.25</v>
      </c>
      <c r="D79" s="42"/>
      <c r="E79" s="42"/>
      <c r="F79" s="42"/>
      <c r="G79" s="42"/>
      <c r="H79" s="45">
        <f t="shared" ref="H79:H81" si="31">H78-F79-D79+B79</f>
        <v>6.9999999999999982</v>
      </c>
      <c r="I79" s="45">
        <f t="shared" ref="I79:I81" si="32">I78-E79+C79</f>
        <v>76.165999999999997</v>
      </c>
      <c r="J79" s="41">
        <f t="shared" ref="J79:J81" si="33">H79+I79</f>
        <v>83.165999999999997</v>
      </c>
    </row>
    <row r="80" spans="1:10" s="5" customFormat="1" ht="18" customHeight="1" x14ac:dyDescent="0.2">
      <c r="A80" s="44" t="s">
        <v>111</v>
      </c>
      <c r="B80" s="42"/>
      <c r="C80" s="42"/>
      <c r="D80" s="42"/>
      <c r="E80" s="42"/>
      <c r="F80" s="42">
        <v>2</v>
      </c>
      <c r="G80" s="42"/>
      <c r="H80" s="45">
        <f t="shared" si="31"/>
        <v>4.9999999999999982</v>
      </c>
      <c r="I80" s="45">
        <f t="shared" si="32"/>
        <v>76.165999999999997</v>
      </c>
      <c r="J80" s="41">
        <f t="shared" si="33"/>
        <v>81.165999999999997</v>
      </c>
    </row>
    <row r="81" spans="1:11" s="5" customFormat="1" ht="18" customHeight="1" x14ac:dyDescent="0.2">
      <c r="A81" s="44" t="s">
        <v>112</v>
      </c>
      <c r="B81" s="42"/>
      <c r="C81" s="42"/>
      <c r="D81" s="42"/>
      <c r="E81" s="42"/>
      <c r="F81" s="42"/>
      <c r="G81" s="42">
        <v>2</v>
      </c>
      <c r="H81" s="45">
        <f t="shared" si="31"/>
        <v>4.9999999999999982</v>
      </c>
      <c r="I81" s="45">
        <f t="shared" si="32"/>
        <v>76.165999999999997</v>
      </c>
      <c r="J81" s="41">
        <f t="shared" si="33"/>
        <v>81.165999999999997</v>
      </c>
    </row>
    <row r="82" spans="1:11" s="5" customFormat="1" ht="18" customHeight="1" x14ac:dyDescent="0.2">
      <c r="A82" s="44" t="s">
        <v>114</v>
      </c>
      <c r="B82" s="42">
        <v>1.25</v>
      </c>
      <c r="C82" s="42">
        <v>1.25</v>
      </c>
      <c r="D82" s="42"/>
      <c r="E82" s="42"/>
      <c r="F82" s="42"/>
      <c r="G82" s="42"/>
      <c r="H82" s="45">
        <f t="shared" ref="H82:H83" si="34">H81-F82-D82+B82</f>
        <v>6.2499999999999982</v>
      </c>
      <c r="I82" s="45">
        <f t="shared" ref="I82:I83" si="35">I81-E82+C82</f>
        <v>77.415999999999997</v>
      </c>
      <c r="J82" s="41">
        <f t="shared" ref="J82:J83" si="36">H82+I82</f>
        <v>83.665999999999997</v>
      </c>
    </row>
    <row r="83" spans="1:11" s="5" customFormat="1" ht="18" customHeight="1" x14ac:dyDescent="0.2">
      <c r="A83" s="44" t="s">
        <v>115</v>
      </c>
      <c r="B83" s="42">
        <v>3.75</v>
      </c>
      <c r="C83" s="42">
        <v>3.75</v>
      </c>
      <c r="D83" s="42"/>
      <c r="E83" s="42"/>
      <c r="F83" s="42"/>
      <c r="G83" s="42"/>
      <c r="H83" s="45">
        <f t="shared" si="34"/>
        <v>9.9999999999999982</v>
      </c>
      <c r="I83" s="45">
        <f t="shared" si="35"/>
        <v>81.165999999999997</v>
      </c>
      <c r="J83" s="41">
        <f t="shared" si="36"/>
        <v>91.165999999999997</v>
      </c>
    </row>
    <row r="84" spans="1:11" s="5" customFormat="1" ht="18" customHeight="1" x14ac:dyDescent="0.2">
      <c r="A84" s="44" t="s">
        <v>116</v>
      </c>
      <c r="B84" s="42"/>
      <c r="C84" s="42"/>
      <c r="D84" s="42"/>
      <c r="E84" s="42"/>
      <c r="F84" s="42"/>
      <c r="G84" s="51">
        <v>1</v>
      </c>
      <c r="H84" s="45">
        <f t="shared" ref="H84" si="37">H83-F84-D84+B84</f>
        <v>9.9999999999999982</v>
      </c>
      <c r="I84" s="45">
        <f t="shared" ref="I84" si="38">I83-E84+C84</f>
        <v>81.165999999999997</v>
      </c>
      <c r="J84" s="41">
        <f t="shared" ref="J84" si="39">H84+I84</f>
        <v>91.165999999999997</v>
      </c>
    </row>
    <row r="85" spans="1:11" s="5" customFormat="1" ht="18" customHeight="1" x14ac:dyDescent="0.2">
      <c r="A85" s="44" t="s">
        <v>123</v>
      </c>
      <c r="B85" s="42">
        <v>3.75</v>
      </c>
      <c r="C85" s="42">
        <v>3.75</v>
      </c>
      <c r="D85" s="42"/>
      <c r="E85" s="42"/>
      <c r="F85" s="42"/>
      <c r="G85" s="42"/>
      <c r="H85" s="45">
        <f t="shared" ref="H85" si="40">H84-F85-D85+B85</f>
        <v>13.749999999999998</v>
      </c>
      <c r="I85" s="45">
        <f t="shared" ref="I85" si="41">I84-E85+C85</f>
        <v>84.915999999999997</v>
      </c>
      <c r="J85" s="41">
        <f t="shared" ref="J85" si="42">H85+I85</f>
        <v>98.665999999999997</v>
      </c>
    </row>
    <row r="86" spans="1:11" s="5" customFormat="1" ht="18" customHeight="1" x14ac:dyDescent="0.2">
      <c r="A86" s="44" t="s">
        <v>124</v>
      </c>
      <c r="B86" s="42"/>
      <c r="C86" s="42"/>
      <c r="D86" s="42">
        <v>8.75</v>
      </c>
      <c r="E86" s="42">
        <v>21.25</v>
      </c>
      <c r="F86" s="42"/>
      <c r="G86" s="42"/>
      <c r="H86" s="45">
        <f t="shared" ref="H86" si="43">H85-F86-D86+B86</f>
        <v>4.9999999999999982</v>
      </c>
      <c r="I86" s="45">
        <f t="shared" ref="I86" si="44">I85-E86+C86</f>
        <v>63.665999999999997</v>
      </c>
      <c r="J86" s="41">
        <f t="shared" ref="J86" si="45">H86+I86</f>
        <v>68.665999999999997</v>
      </c>
    </row>
    <row r="87" spans="1:11" s="5" customFormat="1" ht="18" customHeight="1" x14ac:dyDescent="0.2">
      <c r="A87" s="44" t="s">
        <v>125</v>
      </c>
      <c r="B87" s="42"/>
      <c r="C87" s="42"/>
      <c r="D87" s="42"/>
      <c r="E87" s="42"/>
      <c r="F87" s="59">
        <v>1</v>
      </c>
      <c r="G87" s="42"/>
      <c r="H87" s="45">
        <f t="shared" ref="H87" si="46">H86-F87-D87+B87</f>
        <v>3.9999999999999982</v>
      </c>
      <c r="I87" s="45">
        <f t="shared" ref="I87" si="47">I86-E87+C87</f>
        <v>63.665999999999997</v>
      </c>
      <c r="J87" s="41">
        <f t="shared" ref="J87" si="48">H87+I87</f>
        <v>67.665999999999997</v>
      </c>
    </row>
    <row r="88" spans="1:11" s="5" customFormat="1" ht="18" customHeight="1" x14ac:dyDescent="0.2">
      <c r="A88" s="44" t="s">
        <v>126</v>
      </c>
      <c r="B88" s="42">
        <v>2.5</v>
      </c>
      <c r="C88" s="42">
        <v>2.5</v>
      </c>
      <c r="D88" s="42"/>
      <c r="E88" s="42"/>
      <c r="F88" s="42"/>
      <c r="G88" s="42"/>
      <c r="H88" s="45">
        <f t="shared" ref="H88" si="49">H87-F88-D88+B88</f>
        <v>6.4999999999999982</v>
      </c>
      <c r="I88" s="45">
        <f t="shared" ref="I88" si="50">I87-E88+C88</f>
        <v>66.165999999999997</v>
      </c>
      <c r="J88" s="41">
        <f t="shared" ref="J88" si="51">H88+I88</f>
        <v>72.665999999999997</v>
      </c>
    </row>
    <row r="89" spans="1:11" s="5" customFormat="1" ht="18" customHeight="1" x14ac:dyDescent="0.2">
      <c r="A89" s="44" t="s">
        <v>128</v>
      </c>
      <c r="B89" s="42"/>
      <c r="C89" s="42"/>
      <c r="D89" s="42"/>
      <c r="E89" s="42"/>
      <c r="F89" s="59">
        <v>1</v>
      </c>
      <c r="G89" s="42"/>
      <c r="H89" s="45">
        <f t="shared" ref="H89" si="52">H88-F89-D89+B89</f>
        <v>5.4999999999999982</v>
      </c>
      <c r="I89" s="45">
        <f t="shared" ref="I89" si="53">I88-E89+C89</f>
        <v>66.165999999999997</v>
      </c>
      <c r="J89" s="41">
        <f t="shared" ref="J89" si="54">H89+I89</f>
        <v>71.665999999999997</v>
      </c>
      <c r="K89" s="5" t="s">
        <v>129</v>
      </c>
    </row>
    <row r="90" spans="1:11" s="5" customFormat="1" ht="18" customHeight="1" x14ac:dyDescent="0.2">
      <c r="A90" s="42" t="s">
        <v>127</v>
      </c>
      <c r="B90" s="42">
        <v>1</v>
      </c>
      <c r="C90" s="42"/>
      <c r="D90" s="42"/>
      <c r="E90" s="42"/>
      <c r="F90" s="42"/>
      <c r="G90" s="42"/>
      <c r="H90" s="45">
        <f t="shared" ref="H90" si="55">H89-F90-D90+B90</f>
        <v>6.4999999999999982</v>
      </c>
      <c r="I90" s="45">
        <f t="shared" ref="I90" si="56">I89-E90+C90</f>
        <v>66.165999999999997</v>
      </c>
      <c r="J90" s="41">
        <f t="shared" ref="J90" si="57">H90+I90</f>
        <v>72.665999999999997</v>
      </c>
    </row>
    <row r="91" spans="1:11" s="5" customFormat="1" ht="18" customHeight="1" x14ac:dyDescent="0.2">
      <c r="A91" s="42" t="s">
        <v>130</v>
      </c>
      <c r="B91" s="42">
        <v>1.25</v>
      </c>
      <c r="C91" s="42">
        <v>1.25</v>
      </c>
      <c r="D91" s="42"/>
      <c r="E91" s="42"/>
      <c r="F91" s="42"/>
      <c r="G91" s="42"/>
      <c r="H91" s="45">
        <f t="shared" ref="H91" si="58">H90-F91-D91+B91</f>
        <v>7.7499999999999982</v>
      </c>
      <c r="I91" s="45">
        <f t="shared" ref="I91" si="59">I90-E91+C91</f>
        <v>67.415999999999997</v>
      </c>
      <c r="J91" s="41">
        <f t="shared" ref="J91" si="60">H91+I91</f>
        <v>75.165999999999997</v>
      </c>
    </row>
    <row r="92" spans="1:11" s="5" customFormat="1" ht="18" customHeight="1" x14ac:dyDescent="0.2">
      <c r="A92" s="42" t="s">
        <v>133</v>
      </c>
      <c r="B92" s="42">
        <v>1</v>
      </c>
      <c r="C92" s="42"/>
      <c r="D92" s="42"/>
      <c r="E92" s="42"/>
      <c r="F92" s="42"/>
      <c r="G92" s="42"/>
      <c r="H92" s="45">
        <f t="shared" ref="H92:H94" si="61">H91-F92-D92+B92</f>
        <v>8.7499999999999982</v>
      </c>
      <c r="I92" s="45">
        <f t="shared" ref="I92:I94" si="62">I91-E92+C92</f>
        <v>67.415999999999997</v>
      </c>
      <c r="J92" s="41">
        <f t="shared" ref="J92:J94" si="63">H92+I92</f>
        <v>76.165999999999997</v>
      </c>
    </row>
    <row r="93" spans="1:11" s="5" customFormat="1" ht="18" customHeight="1" x14ac:dyDescent="0.2">
      <c r="A93" s="42" t="s">
        <v>134</v>
      </c>
      <c r="B93" s="42">
        <v>1.25</v>
      </c>
      <c r="C93" s="42">
        <v>1.25</v>
      </c>
      <c r="D93" s="42"/>
      <c r="E93" s="42"/>
      <c r="F93" s="42"/>
      <c r="G93" s="42"/>
      <c r="H93" s="45">
        <f t="shared" si="61"/>
        <v>9.9999999999999982</v>
      </c>
      <c r="I93" s="45">
        <f t="shared" si="62"/>
        <v>68.665999999999997</v>
      </c>
      <c r="J93" s="41">
        <f t="shared" si="63"/>
        <v>78.665999999999997</v>
      </c>
    </row>
    <row r="94" spans="1:11" s="5" customFormat="1" ht="18" customHeight="1" x14ac:dyDescent="0.2">
      <c r="A94" s="42" t="s">
        <v>140</v>
      </c>
      <c r="B94" s="42"/>
      <c r="C94" s="42"/>
      <c r="D94" s="42"/>
      <c r="E94" s="42"/>
      <c r="F94" s="42"/>
      <c r="G94" s="51">
        <v>2</v>
      </c>
      <c r="H94" s="45">
        <f t="shared" si="61"/>
        <v>9.9999999999999982</v>
      </c>
      <c r="I94" s="45">
        <f t="shared" si="62"/>
        <v>68.665999999999997</v>
      </c>
      <c r="J94" s="41">
        <f t="shared" si="63"/>
        <v>78.665999999999997</v>
      </c>
      <c r="K94" s="5" t="s">
        <v>141</v>
      </c>
    </row>
    <row r="95" spans="1:11" s="5" customFormat="1" ht="18" customHeight="1" x14ac:dyDescent="0.2">
      <c r="A95" s="42" t="s">
        <v>135</v>
      </c>
      <c r="B95" s="42"/>
      <c r="C95" s="42"/>
      <c r="D95" s="42"/>
      <c r="E95" s="42"/>
      <c r="F95" s="59">
        <v>3</v>
      </c>
      <c r="G95" s="42"/>
      <c r="H95" s="45">
        <f t="shared" ref="H95" si="64">H94-F95-D95+B95</f>
        <v>6.9999999999999982</v>
      </c>
      <c r="I95" s="45">
        <f t="shared" ref="I95" si="65">I94-E95+C95</f>
        <v>68.665999999999997</v>
      </c>
      <c r="J95" s="41">
        <f t="shared" ref="J95" si="66">H95+I95</f>
        <v>75.665999999999997</v>
      </c>
    </row>
    <row r="96" spans="1:11" s="108" customFormat="1" ht="18" customHeight="1" x14ac:dyDescent="0.2">
      <c r="A96" s="109" t="s">
        <v>142</v>
      </c>
      <c r="B96" s="109">
        <v>1.25</v>
      </c>
      <c r="C96" s="109">
        <v>1.25</v>
      </c>
      <c r="D96" s="109"/>
      <c r="E96" s="109"/>
      <c r="F96" s="109"/>
      <c r="G96" s="109"/>
      <c r="H96" s="45">
        <f t="shared" ref="H96" si="67">H95-F96-D96+B96</f>
        <v>8.2499999999999982</v>
      </c>
      <c r="I96" s="45">
        <f t="shared" ref="I96" si="68">I95-E96+C96</f>
        <v>69.915999999999997</v>
      </c>
      <c r="J96" s="41">
        <f t="shared" ref="J96" si="69">H96+I96</f>
        <v>78.165999999999997</v>
      </c>
    </row>
    <row r="97" spans="1:10" s="108" customFormat="1" ht="18" customHeight="1" x14ac:dyDescent="0.2">
      <c r="A97" s="105"/>
      <c r="B97" s="105"/>
      <c r="C97" s="105"/>
      <c r="D97" s="105"/>
      <c r="E97" s="105"/>
      <c r="F97" s="105"/>
      <c r="G97" s="105"/>
      <c r="H97" s="106"/>
      <c r="I97" s="106"/>
      <c r="J97" s="107"/>
    </row>
    <row r="98" spans="1:10" s="5" customFormat="1" ht="18" customHeight="1" x14ac:dyDescent="0.2">
      <c r="A98" s="46"/>
      <c r="B98" s="47"/>
      <c r="C98" s="47"/>
      <c r="D98" s="47"/>
      <c r="E98" s="47"/>
      <c r="F98" s="47"/>
      <c r="G98" s="47"/>
      <c r="H98" s="48"/>
      <c r="I98" s="48"/>
      <c r="J98" s="49"/>
    </row>
    <row r="99" spans="1:10" s="1" customFormat="1" x14ac:dyDescent="0.25">
      <c r="H99" s="1" t="s">
        <v>19</v>
      </c>
    </row>
    <row r="100" spans="1:10" s="1" customFormat="1" x14ac:dyDescent="0.25"/>
    <row r="101" spans="1:10" s="1" customFormat="1" x14ac:dyDescent="0.25">
      <c r="H101" s="43" t="s">
        <v>20</v>
      </c>
    </row>
    <row r="102" spans="1:10" s="1" customFormat="1" x14ac:dyDescent="0.25">
      <c r="H102" s="1" t="s">
        <v>21</v>
      </c>
    </row>
    <row r="103" spans="1:10" s="1" customFormat="1" x14ac:dyDescent="0.25">
      <c r="H103" s="1" t="s">
        <v>104</v>
      </c>
    </row>
  </sheetData>
  <mergeCells count="13">
    <mergeCell ref="A10:J10"/>
    <mergeCell ref="A13:J13"/>
    <mergeCell ref="A11:A12"/>
    <mergeCell ref="J11:J12"/>
    <mergeCell ref="B11:C11"/>
    <mergeCell ref="D11:F11"/>
    <mergeCell ref="H11:I11"/>
    <mergeCell ref="B7:D7"/>
    <mergeCell ref="B9:D9"/>
    <mergeCell ref="A2:J2"/>
    <mergeCell ref="A3:J3"/>
    <mergeCell ref="A4:J4"/>
    <mergeCell ref="A5:J5"/>
  </mergeCells>
  <phoneticPr fontId="5" type="noConversion"/>
  <printOptions horizontalCentered="1"/>
  <pageMargins left="0.31496062992125984" right="0.31496062992125984" top="0.59055118110236227" bottom="0.31496062992125984" header="0.31496062992125984" footer="0.31496062992125984"/>
  <pageSetup paperSize="9" scale="68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35AB8-0D32-4765-988F-9901AE535803}">
  <sheetPr>
    <pageSetUpPr fitToPage="1"/>
  </sheetPr>
  <dimension ref="A4:M36"/>
  <sheetViews>
    <sheetView topLeftCell="A14" workbookViewId="0">
      <selection activeCell="C33" sqref="C33"/>
    </sheetView>
  </sheetViews>
  <sheetFormatPr defaultRowHeight="15" x14ac:dyDescent="0.25"/>
  <cols>
    <col min="1" max="1" width="33.5703125" style="28" customWidth="1"/>
    <col min="2" max="12" width="9.140625" style="28"/>
  </cols>
  <sheetData>
    <row r="4" spans="1:12" x14ac:dyDescent="0.25">
      <c r="A4" s="29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</row>
    <row r="5" spans="1:12" x14ac:dyDescent="0.25">
      <c r="A5" s="92" t="s">
        <v>11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</row>
    <row r="6" spans="1:12" x14ac:dyDescent="0.25">
      <c r="A6" s="92" t="s">
        <v>12</v>
      </c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</row>
    <row r="7" spans="1:12" x14ac:dyDescent="0.25">
      <c r="A7" s="92" t="s">
        <v>13</v>
      </c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</row>
    <row r="8" spans="1:12" x14ac:dyDescent="0.25">
      <c r="A8" s="92" t="s">
        <v>14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</row>
    <row r="9" spans="1:12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</row>
    <row r="10" spans="1:12" x14ac:dyDescent="0.25">
      <c r="A10" s="20" t="s">
        <v>15</v>
      </c>
      <c r="B10" s="20"/>
      <c r="C10" s="21" t="s">
        <v>17</v>
      </c>
      <c r="D10" s="21"/>
      <c r="E10" s="20"/>
      <c r="F10" s="20"/>
      <c r="G10" s="21" t="s">
        <v>9</v>
      </c>
      <c r="H10" s="22"/>
      <c r="I10" s="20"/>
      <c r="J10" s="20"/>
      <c r="K10" s="20"/>
      <c r="L10" s="20"/>
    </row>
    <row r="11" spans="1:12" x14ac:dyDescent="0.25">
      <c r="A11" s="20"/>
      <c r="B11" s="20"/>
      <c r="C11" s="23"/>
      <c r="D11" s="20"/>
      <c r="E11" s="20"/>
      <c r="F11" s="20"/>
      <c r="G11" s="23"/>
      <c r="H11" s="23"/>
      <c r="I11" s="20"/>
      <c r="J11" s="20"/>
      <c r="K11" s="20"/>
      <c r="L11" s="20"/>
    </row>
    <row r="12" spans="1:12" x14ac:dyDescent="0.25">
      <c r="A12" s="20" t="s">
        <v>16</v>
      </c>
      <c r="B12" s="20"/>
      <c r="C12" s="21" t="s">
        <v>18</v>
      </c>
      <c r="D12" s="21"/>
      <c r="E12" s="20"/>
      <c r="F12" s="20"/>
      <c r="G12" s="21" t="s">
        <v>10</v>
      </c>
      <c r="H12" s="24"/>
      <c r="I12" s="20"/>
      <c r="J12" s="20"/>
      <c r="K12" s="20"/>
      <c r="L12" s="20"/>
    </row>
    <row r="13" spans="1:12" ht="21.75" thickBot="1" x14ac:dyDescent="0.3">
      <c r="A13" s="93" t="s">
        <v>28</v>
      </c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</row>
    <row r="14" spans="1:12" x14ac:dyDescent="0.25">
      <c r="A14" s="94" t="s">
        <v>4</v>
      </c>
      <c r="B14" s="96" t="s">
        <v>5</v>
      </c>
      <c r="C14" s="97"/>
      <c r="D14" s="97"/>
      <c r="E14" s="97"/>
      <c r="F14" s="97"/>
      <c r="G14" s="97"/>
      <c r="H14" s="97"/>
      <c r="I14" s="97"/>
      <c r="J14" s="97"/>
      <c r="K14" s="97"/>
      <c r="L14" s="98" t="s">
        <v>8</v>
      </c>
    </row>
    <row r="15" spans="1:12" x14ac:dyDescent="0.25">
      <c r="A15" s="95"/>
      <c r="B15" s="100" t="s">
        <v>29</v>
      </c>
      <c r="C15" s="101"/>
      <c r="D15" s="101"/>
      <c r="E15" s="102"/>
      <c r="F15" s="100" t="s">
        <v>30</v>
      </c>
      <c r="G15" s="102"/>
      <c r="H15" s="100" t="s">
        <v>31</v>
      </c>
      <c r="I15" s="102"/>
      <c r="J15" s="100" t="s">
        <v>32</v>
      </c>
      <c r="K15" s="102"/>
      <c r="L15" s="99"/>
    </row>
    <row r="16" spans="1:12" ht="32.25" hidden="1" customHeight="1" x14ac:dyDescent="0.25">
      <c r="A16" s="30" t="s">
        <v>96</v>
      </c>
      <c r="B16" s="82" t="s">
        <v>94</v>
      </c>
      <c r="C16" s="83"/>
      <c r="D16" s="83"/>
      <c r="E16" s="84"/>
      <c r="F16" s="82">
        <v>1</v>
      </c>
      <c r="G16" s="84"/>
      <c r="H16" s="82">
        <v>0</v>
      </c>
      <c r="I16" s="84"/>
      <c r="J16" s="82">
        <v>1</v>
      </c>
      <c r="K16" s="84"/>
      <c r="L16" s="35">
        <v>1</v>
      </c>
    </row>
    <row r="17" spans="1:13" ht="31.5" hidden="1" customHeight="1" x14ac:dyDescent="0.25">
      <c r="A17" s="30" t="s">
        <v>95</v>
      </c>
      <c r="B17" s="82" t="s">
        <v>94</v>
      </c>
      <c r="C17" s="83"/>
      <c r="D17" s="83"/>
      <c r="E17" s="84"/>
      <c r="F17" s="82"/>
      <c r="G17" s="84"/>
      <c r="H17" s="82">
        <v>1</v>
      </c>
      <c r="I17" s="84"/>
      <c r="J17" s="82">
        <v>0</v>
      </c>
      <c r="K17" s="84"/>
      <c r="L17" s="37">
        <v>0</v>
      </c>
    </row>
    <row r="18" spans="1:13" ht="30" hidden="1" customHeight="1" x14ac:dyDescent="0.25">
      <c r="A18" s="38" t="s">
        <v>97</v>
      </c>
      <c r="B18" s="82" t="s">
        <v>98</v>
      </c>
      <c r="C18" s="83"/>
      <c r="D18" s="83"/>
      <c r="E18" s="84"/>
      <c r="F18" s="82">
        <v>1</v>
      </c>
      <c r="G18" s="84"/>
      <c r="H18" s="82">
        <v>0</v>
      </c>
      <c r="I18" s="84"/>
      <c r="J18" s="82">
        <v>1</v>
      </c>
      <c r="K18" s="84"/>
      <c r="L18" s="39">
        <v>1</v>
      </c>
    </row>
    <row r="19" spans="1:13" ht="30" hidden="1" customHeight="1" x14ac:dyDescent="0.25">
      <c r="A19" s="38" t="s">
        <v>99</v>
      </c>
      <c r="B19" s="82" t="s">
        <v>98</v>
      </c>
      <c r="C19" s="83"/>
      <c r="D19" s="83"/>
      <c r="E19" s="84"/>
      <c r="F19" s="82"/>
      <c r="G19" s="84"/>
      <c r="H19" s="82">
        <v>1</v>
      </c>
      <c r="I19" s="84"/>
      <c r="J19" s="82">
        <v>0</v>
      </c>
      <c r="K19" s="84"/>
      <c r="L19" s="40">
        <v>0</v>
      </c>
    </row>
    <row r="20" spans="1:13" ht="30" hidden="1" customHeight="1" x14ac:dyDescent="0.25">
      <c r="A20" s="30" t="s">
        <v>100</v>
      </c>
      <c r="B20" s="82" t="s">
        <v>101</v>
      </c>
      <c r="C20" s="83"/>
      <c r="D20" s="83"/>
      <c r="E20" s="84"/>
      <c r="F20" s="82">
        <v>3</v>
      </c>
      <c r="G20" s="84"/>
      <c r="H20" s="82">
        <v>0</v>
      </c>
      <c r="I20" s="84"/>
      <c r="J20" s="82">
        <v>3</v>
      </c>
      <c r="K20" s="84"/>
      <c r="L20" s="35">
        <v>3</v>
      </c>
    </row>
    <row r="21" spans="1:13" ht="30" hidden="1" customHeight="1" x14ac:dyDescent="0.25">
      <c r="A21" s="30" t="s">
        <v>102</v>
      </c>
      <c r="B21" s="82" t="s">
        <v>101</v>
      </c>
      <c r="C21" s="83"/>
      <c r="D21" s="83"/>
      <c r="E21" s="84"/>
      <c r="F21" s="82"/>
      <c r="G21" s="84"/>
      <c r="H21" s="82">
        <v>1</v>
      </c>
      <c r="I21" s="84"/>
      <c r="J21" s="82">
        <v>2</v>
      </c>
      <c r="K21" s="84"/>
      <c r="L21" s="35">
        <v>2</v>
      </c>
    </row>
    <row r="22" spans="1:13" ht="30" hidden="1" customHeight="1" x14ac:dyDescent="0.25">
      <c r="A22" s="30" t="s">
        <v>113</v>
      </c>
      <c r="B22" s="82" t="s">
        <v>101</v>
      </c>
      <c r="C22" s="83"/>
      <c r="D22" s="83"/>
      <c r="E22" s="84"/>
      <c r="F22" s="82"/>
      <c r="G22" s="84"/>
      <c r="H22" s="82">
        <v>2</v>
      </c>
      <c r="I22" s="84"/>
      <c r="J22" s="82">
        <v>0</v>
      </c>
      <c r="K22" s="84"/>
      <c r="L22" s="37">
        <v>0</v>
      </c>
    </row>
    <row r="23" spans="1:13" s="53" customFormat="1" ht="25.5" customHeight="1" x14ac:dyDescent="0.2">
      <c r="A23" s="52" t="s">
        <v>117</v>
      </c>
      <c r="B23" s="76" t="s">
        <v>118</v>
      </c>
      <c r="C23" s="77"/>
      <c r="D23" s="77"/>
      <c r="E23" s="78"/>
      <c r="F23" s="76">
        <v>1</v>
      </c>
      <c r="G23" s="78"/>
      <c r="H23" s="76">
        <v>1</v>
      </c>
      <c r="I23" s="78"/>
      <c r="J23" s="76">
        <v>0</v>
      </c>
      <c r="K23" s="78"/>
      <c r="L23" s="35">
        <v>0</v>
      </c>
    </row>
    <row r="24" spans="1:13" s="53" customFormat="1" ht="25.5" customHeight="1" x14ac:dyDescent="0.2">
      <c r="A24" s="52" t="s">
        <v>119</v>
      </c>
      <c r="B24" s="76" t="s">
        <v>118</v>
      </c>
      <c r="C24" s="77"/>
      <c r="D24" s="77"/>
      <c r="E24" s="78"/>
      <c r="F24" s="76"/>
      <c r="G24" s="78"/>
      <c r="H24" s="76">
        <v>1</v>
      </c>
      <c r="I24" s="78"/>
      <c r="J24" s="79">
        <v>0</v>
      </c>
      <c r="K24" s="80"/>
      <c r="L24" s="37">
        <v>0</v>
      </c>
    </row>
    <row r="25" spans="1:13" s="6" customFormat="1" ht="19.5" customHeight="1" x14ac:dyDescent="0.2">
      <c r="A25" s="54" t="s">
        <v>120</v>
      </c>
      <c r="B25" s="87" t="s">
        <v>121</v>
      </c>
      <c r="C25" s="88"/>
      <c r="D25" s="88"/>
      <c r="E25" s="89"/>
      <c r="F25" s="55">
        <v>1</v>
      </c>
      <c r="G25" s="56"/>
      <c r="H25" s="87">
        <v>0</v>
      </c>
      <c r="I25" s="89"/>
      <c r="J25" s="87">
        <v>1</v>
      </c>
      <c r="K25" s="89"/>
      <c r="L25" s="57">
        <v>1</v>
      </c>
    </row>
    <row r="26" spans="1:13" s="6" customFormat="1" ht="19.5" customHeight="1" x14ac:dyDescent="0.2">
      <c r="A26" s="54" t="s">
        <v>122</v>
      </c>
      <c r="B26" s="87" t="s">
        <v>121</v>
      </c>
      <c r="C26" s="88"/>
      <c r="D26" s="88"/>
      <c r="E26" s="89"/>
      <c r="F26" s="55"/>
      <c r="G26" s="56"/>
      <c r="H26" s="87">
        <v>1</v>
      </c>
      <c r="I26" s="89"/>
      <c r="J26" s="90">
        <v>0</v>
      </c>
      <c r="K26" s="91"/>
      <c r="L26" s="58">
        <v>0</v>
      </c>
    </row>
    <row r="27" spans="1:13" s="53" customFormat="1" ht="25.5" customHeight="1" x14ac:dyDescent="0.2">
      <c r="A27" s="52" t="s">
        <v>131</v>
      </c>
      <c r="B27" s="76" t="s">
        <v>132</v>
      </c>
      <c r="C27" s="77"/>
      <c r="D27" s="77"/>
      <c r="E27" s="78"/>
      <c r="F27" s="76">
        <v>1.5</v>
      </c>
      <c r="G27" s="78"/>
      <c r="H27" s="76">
        <v>0</v>
      </c>
      <c r="I27" s="78"/>
      <c r="J27" s="76">
        <v>1.5</v>
      </c>
      <c r="K27" s="78"/>
      <c r="L27" s="35">
        <v>1.5</v>
      </c>
    </row>
    <row r="28" spans="1:13" s="53" customFormat="1" ht="25.5" customHeight="1" x14ac:dyDescent="0.2">
      <c r="A28" s="52" t="s">
        <v>138</v>
      </c>
      <c r="B28" s="76" t="s">
        <v>132</v>
      </c>
      <c r="C28" s="77"/>
      <c r="D28" s="77"/>
      <c r="E28" s="78"/>
      <c r="F28" s="76"/>
      <c r="G28" s="78"/>
      <c r="H28" s="76">
        <v>1</v>
      </c>
      <c r="I28" s="78"/>
      <c r="J28" s="76">
        <v>0.5</v>
      </c>
      <c r="K28" s="78"/>
      <c r="L28" s="35">
        <v>0.5</v>
      </c>
      <c r="M28" s="53" t="s">
        <v>139</v>
      </c>
    </row>
    <row r="29" spans="1:13" s="53" customFormat="1" ht="25.5" customHeight="1" x14ac:dyDescent="0.2">
      <c r="A29" s="52"/>
      <c r="B29" s="76" t="s">
        <v>136</v>
      </c>
      <c r="C29" s="77"/>
      <c r="D29" s="77"/>
      <c r="E29" s="78"/>
      <c r="F29" s="76">
        <v>2</v>
      </c>
      <c r="G29" s="78"/>
      <c r="H29" s="76">
        <v>0</v>
      </c>
      <c r="I29" s="78"/>
      <c r="J29" s="76">
        <v>2</v>
      </c>
      <c r="K29" s="78"/>
      <c r="L29" s="35">
        <v>2</v>
      </c>
    </row>
    <row r="30" spans="1:13" s="53" customFormat="1" ht="25.5" customHeight="1" x14ac:dyDescent="0.2">
      <c r="A30" s="52" t="s">
        <v>137</v>
      </c>
      <c r="B30" s="76" t="s">
        <v>136</v>
      </c>
      <c r="C30" s="77"/>
      <c r="D30" s="77"/>
      <c r="E30" s="78"/>
      <c r="F30" s="76"/>
      <c r="G30" s="78"/>
      <c r="H30" s="76">
        <v>2</v>
      </c>
      <c r="I30" s="78"/>
      <c r="J30" s="79">
        <v>0</v>
      </c>
      <c r="K30" s="80"/>
      <c r="L30" s="37">
        <v>0</v>
      </c>
    </row>
    <row r="31" spans="1:13" x14ac:dyDescent="0.25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</row>
    <row r="32" spans="1:13" x14ac:dyDescent="0.25">
      <c r="C32" s="27"/>
      <c r="D32" s="20"/>
      <c r="E32" s="20"/>
      <c r="F32" s="20"/>
      <c r="G32" s="20"/>
      <c r="H32" s="20" t="s">
        <v>19</v>
      </c>
      <c r="I32" s="20"/>
      <c r="J32" s="20"/>
      <c r="K32" s="20"/>
      <c r="L32" s="20"/>
    </row>
    <row r="33" spans="3:12" x14ac:dyDescent="0.25">
      <c r="C33" s="27"/>
      <c r="D33" s="20"/>
      <c r="E33" s="20"/>
      <c r="F33" s="20"/>
      <c r="G33" s="20"/>
      <c r="H33" s="20"/>
      <c r="I33" s="20"/>
      <c r="J33" s="20"/>
      <c r="K33" s="20"/>
      <c r="L33" s="20"/>
    </row>
    <row r="34" spans="3:12" x14ac:dyDescent="0.25">
      <c r="H34" s="85" t="s">
        <v>20</v>
      </c>
      <c r="I34" s="85"/>
      <c r="J34" s="85"/>
    </row>
    <row r="35" spans="3:12" x14ac:dyDescent="0.25">
      <c r="H35" s="86" t="s">
        <v>21</v>
      </c>
      <c r="I35" s="86"/>
      <c r="J35" s="86"/>
    </row>
    <row r="36" spans="3:12" x14ac:dyDescent="0.25">
      <c r="H36" s="81" t="s">
        <v>22</v>
      </c>
      <c r="I36" s="81"/>
      <c r="J36" s="81"/>
    </row>
  </sheetData>
  <mergeCells count="73">
    <mergeCell ref="A14:A15"/>
    <mergeCell ref="B14:K14"/>
    <mergeCell ref="L14:L15"/>
    <mergeCell ref="B15:E15"/>
    <mergeCell ref="F15:G15"/>
    <mergeCell ref="H15:I15"/>
    <mergeCell ref="J15:K15"/>
    <mergeCell ref="A5:L5"/>
    <mergeCell ref="A6:L6"/>
    <mergeCell ref="A7:L7"/>
    <mergeCell ref="A8:L8"/>
    <mergeCell ref="A13:L13"/>
    <mergeCell ref="B28:E28"/>
    <mergeCell ref="F28:G28"/>
    <mergeCell ref="H17:I17"/>
    <mergeCell ref="J17:K17"/>
    <mergeCell ref="B16:E16"/>
    <mergeCell ref="F16:G16"/>
    <mergeCell ref="H16:I16"/>
    <mergeCell ref="H28:I28"/>
    <mergeCell ref="J28:K28"/>
    <mergeCell ref="B18:E18"/>
    <mergeCell ref="F18:G18"/>
    <mergeCell ref="H18:I18"/>
    <mergeCell ref="J18:K18"/>
    <mergeCell ref="B17:E17"/>
    <mergeCell ref="J16:K16"/>
    <mergeCell ref="F17:G17"/>
    <mergeCell ref="B26:E26"/>
    <mergeCell ref="H26:I26"/>
    <mergeCell ref="J26:K26"/>
    <mergeCell ref="B27:E27"/>
    <mergeCell ref="F27:G27"/>
    <mergeCell ref="H27:I27"/>
    <mergeCell ref="J27:K27"/>
    <mergeCell ref="B21:E21"/>
    <mergeCell ref="F21:G21"/>
    <mergeCell ref="H21:I21"/>
    <mergeCell ref="J21:K21"/>
    <mergeCell ref="H25:I25"/>
    <mergeCell ref="J25:K25"/>
    <mergeCell ref="B19:E19"/>
    <mergeCell ref="F19:G19"/>
    <mergeCell ref="H19:I19"/>
    <mergeCell ref="J19:K19"/>
    <mergeCell ref="B20:E20"/>
    <mergeCell ref="F20:G20"/>
    <mergeCell ref="H20:I20"/>
    <mergeCell ref="J20:K20"/>
    <mergeCell ref="H36:J36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H34:J34"/>
    <mergeCell ref="H35:J35"/>
    <mergeCell ref="B25:E25"/>
    <mergeCell ref="B29:E29"/>
    <mergeCell ref="F29:G29"/>
    <mergeCell ref="H29:I29"/>
    <mergeCell ref="J29:K29"/>
    <mergeCell ref="B30:E30"/>
    <mergeCell ref="F30:G30"/>
    <mergeCell ref="H30:I30"/>
    <mergeCell ref="J30:K30"/>
  </mergeCells>
  <phoneticPr fontId="5" type="noConversion"/>
  <pageMargins left="0.7" right="0.7" top="0.75" bottom="0.75" header="0.3" footer="0.3"/>
  <pageSetup paperSize="9" scale="6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L29"/>
  <sheetViews>
    <sheetView topLeftCell="A7" workbookViewId="0">
      <selection activeCell="A22" sqref="A22:L23"/>
    </sheetView>
  </sheetViews>
  <sheetFormatPr defaultRowHeight="15" x14ac:dyDescent="0.25"/>
  <cols>
    <col min="1" max="1" width="33.5703125" style="28" customWidth="1"/>
    <col min="2" max="12" width="9.140625" style="28"/>
  </cols>
  <sheetData>
    <row r="4" spans="1:12" x14ac:dyDescent="0.25">
      <c r="A4" s="29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</row>
    <row r="5" spans="1:12" x14ac:dyDescent="0.25">
      <c r="A5" s="92" t="s">
        <v>11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</row>
    <row r="6" spans="1:12" x14ac:dyDescent="0.25">
      <c r="A6" s="92" t="s">
        <v>12</v>
      </c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</row>
    <row r="7" spans="1:12" x14ac:dyDescent="0.25">
      <c r="A7" s="92" t="s">
        <v>13</v>
      </c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</row>
    <row r="8" spans="1:12" x14ac:dyDescent="0.25">
      <c r="A8" s="92" t="s">
        <v>14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</row>
    <row r="9" spans="1:12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</row>
    <row r="10" spans="1:12" x14ac:dyDescent="0.25">
      <c r="A10" s="20" t="s">
        <v>15</v>
      </c>
      <c r="B10" s="20"/>
      <c r="C10" s="21" t="s">
        <v>17</v>
      </c>
      <c r="D10" s="21"/>
      <c r="E10" s="20"/>
      <c r="F10" s="20"/>
      <c r="G10" s="21" t="s">
        <v>9</v>
      </c>
      <c r="H10" s="22"/>
      <c r="I10" s="20"/>
      <c r="J10" s="20"/>
      <c r="K10" s="20"/>
      <c r="L10" s="20"/>
    </row>
    <row r="11" spans="1:12" x14ac:dyDescent="0.25">
      <c r="A11" s="20"/>
      <c r="B11" s="20"/>
      <c r="C11" s="23"/>
      <c r="D11" s="20"/>
      <c r="E11" s="20"/>
      <c r="F11" s="20"/>
      <c r="G11" s="23"/>
      <c r="H11" s="23"/>
      <c r="I11" s="20"/>
      <c r="J11" s="20"/>
      <c r="K11" s="20"/>
      <c r="L11" s="20"/>
    </row>
    <row r="12" spans="1:12" x14ac:dyDescent="0.25">
      <c r="A12" s="20" t="s">
        <v>16</v>
      </c>
      <c r="B12" s="20"/>
      <c r="C12" s="21" t="s">
        <v>18</v>
      </c>
      <c r="D12" s="21"/>
      <c r="E12" s="20"/>
      <c r="F12" s="20"/>
      <c r="G12" s="21" t="s">
        <v>10</v>
      </c>
      <c r="H12" s="24"/>
      <c r="I12" s="20"/>
      <c r="J12" s="20"/>
      <c r="K12" s="20"/>
      <c r="L12" s="20"/>
    </row>
    <row r="13" spans="1:12" ht="21.75" thickBot="1" x14ac:dyDescent="0.3">
      <c r="A13" s="93" t="s">
        <v>28</v>
      </c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</row>
    <row r="14" spans="1:12" x14ac:dyDescent="0.25">
      <c r="A14" s="94" t="s">
        <v>4</v>
      </c>
      <c r="B14" s="96" t="s">
        <v>5</v>
      </c>
      <c r="C14" s="97"/>
      <c r="D14" s="97"/>
      <c r="E14" s="97"/>
      <c r="F14" s="97"/>
      <c r="G14" s="97"/>
      <c r="H14" s="97"/>
      <c r="I14" s="97"/>
      <c r="J14" s="97"/>
      <c r="K14" s="97"/>
      <c r="L14" s="98" t="s">
        <v>8</v>
      </c>
    </row>
    <row r="15" spans="1:12" x14ac:dyDescent="0.25">
      <c r="A15" s="95"/>
      <c r="B15" s="100" t="s">
        <v>29</v>
      </c>
      <c r="C15" s="101"/>
      <c r="D15" s="101"/>
      <c r="E15" s="102"/>
      <c r="F15" s="100" t="s">
        <v>30</v>
      </c>
      <c r="G15" s="102"/>
      <c r="H15" s="100" t="s">
        <v>31</v>
      </c>
      <c r="I15" s="102"/>
      <c r="J15" s="100" t="s">
        <v>32</v>
      </c>
      <c r="K15" s="102"/>
      <c r="L15" s="99"/>
    </row>
    <row r="16" spans="1:12" ht="30" customHeight="1" x14ac:dyDescent="0.25">
      <c r="A16" s="25" t="s">
        <v>33</v>
      </c>
      <c r="B16" s="76" t="s">
        <v>34</v>
      </c>
      <c r="C16" s="77"/>
      <c r="D16" s="77"/>
      <c r="E16" s="78"/>
      <c r="F16" s="76">
        <v>10</v>
      </c>
      <c r="G16" s="78"/>
      <c r="H16" s="76">
        <v>0</v>
      </c>
      <c r="I16" s="78"/>
      <c r="J16" s="76">
        <v>10</v>
      </c>
      <c r="K16" s="78"/>
      <c r="L16" s="26">
        <v>10</v>
      </c>
    </row>
    <row r="17" spans="1:12" ht="30" customHeight="1" x14ac:dyDescent="0.25">
      <c r="A17" s="25" t="s">
        <v>35</v>
      </c>
      <c r="B17" s="76" t="s">
        <v>34</v>
      </c>
      <c r="C17" s="77"/>
      <c r="D17" s="77"/>
      <c r="E17" s="78"/>
      <c r="F17" s="76">
        <v>10</v>
      </c>
      <c r="G17" s="78"/>
      <c r="H17" s="76">
        <v>1</v>
      </c>
      <c r="I17" s="78"/>
      <c r="J17" s="76">
        <v>9</v>
      </c>
      <c r="K17" s="78"/>
      <c r="L17" s="26">
        <v>9</v>
      </c>
    </row>
    <row r="18" spans="1:12" ht="30" customHeight="1" x14ac:dyDescent="0.25">
      <c r="A18" s="30" t="s">
        <v>36</v>
      </c>
      <c r="B18" s="76" t="s">
        <v>34</v>
      </c>
      <c r="C18" s="77"/>
      <c r="D18" s="77"/>
      <c r="E18" s="78"/>
      <c r="F18" s="76">
        <v>9</v>
      </c>
      <c r="G18" s="78"/>
      <c r="H18" s="76">
        <v>1</v>
      </c>
      <c r="I18" s="78"/>
      <c r="J18" s="76">
        <v>8</v>
      </c>
      <c r="K18" s="78"/>
      <c r="L18" s="31">
        <v>8</v>
      </c>
    </row>
    <row r="19" spans="1:12" ht="30" customHeight="1" x14ac:dyDescent="0.25">
      <c r="A19" s="30" t="s">
        <v>37</v>
      </c>
      <c r="B19" s="82" t="s">
        <v>34</v>
      </c>
      <c r="C19" s="83"/>
      <c r="D19" s="83"/>
      <c r="E19" s="84"/>
      <c r="F19" s="82">
        <v>8</v>
      </c>
      <c r="G19" s="84"/>
      <c r="H19" s="82">
        <v>1</v>
      </c>
      <c r="I19" s="84"/>
      <c r="J19" s="82">
        <v>7</v>
      </c>
      <c r="K19" s="84"/>
      <c r="L19" s="35">
        <v>7</v>
      </c>
    </row>
    <row r="20" spans="1:12" ht="30" customHeight="1" x14ac:dyDescent="0.25">
      <c r="A20" s="30" t="s">
        <v>37</v>
      </c>
      <c r="B20" s="82" t="s">
        <v>34</v>
      </c>
      <c r="C20" s="83"/>
      <c r="D20" s="83"/>
      <c r="E20" s="84"/>
      <c r="F20" s="82">
        <v>8</v>
      </c>
      <c r="G20" s="84"/>
      <c r="H20" s="82">
        <v>1</v>
      </c>
      <c r="I20" s="84"/>
      <c r="J20" s="82">
        <v>7</v>
      </c>
      <c r="K20" s="84"/>
      <c r="L20" s="35">
        <v>7</v>
      </c>
    </row>
    <row r="21" spans="1:12" ht="30" customHeight="1" x14ac:dyDescent="0.25">
      <c r="A21" s="36" t="s">
        <v>37</v>
      </c>
      <c r="B21" s="79" t="s">
        <v>34</v>
      </c>
      <c r="C21" s="104"/>
      <c r="D21" s="104"/>
      <c r="E21" s="80"/>
      <c r="F21" s="79">
        <v>8</v>
      </c>
      <c r="G21" s="80"/>
      <c r="H21" s="79">
        <v>1</v>
      </c>
      <c r="I21" s="80"/>
      <c r="J21" s="79">
        <v>7</v>
      </c>
      <c r="K21" s="80"/>
      <c r="L21" s="37">
        <v>7</v>
      </c>
    </row>
    <row r="22" spans="1:12" ht="30" customHeight="1" x14ac:dyDescent="0.25"/>
    <row r="23" spans="1:12" ht="30" customHeight="1" x14ac:dyDescent="0.25"/>
    <row r="24" spans="1:12" x14ac:dyDescent="0.25">
      <c r="A24" s="103"/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</row>
    <row r="25" spans="1:12" x14ac:dyDescent="0.25">
      <c r="A25" s="20" t="s">
        <v>19</v>
      </c>
      <c r="B25" s="20"/>
      <c r="C25" s="27"/>
      <c r="D25" s="20"/>
      <c r="E25" s="20"/>
      <c r="F25" s="20"/>
      <c r="G25" s="20"/>
      <c r="H25" s="20"/>
      <c r="I25" s="20"/>
      <c r="J25" s="20"/>
      <c r="K25" s="20"/>
      <c r="L25" s="20"/>
    </row>
    <row r="26" spans="1:12" x14ac:dyDescent="0.25">
      <c r="A26" s="20"/>
      <c r="B26" s="20"/>
      <c r="C26" s="27"/>
      <c r="D26" s="20"/>
      <c r="E26" s="20"/>
      <c r="F26" s="20"/>
      <c r="G26" s="20"/>
      <c r="H26" s="20"/>
      <c r="I26" s="20"/>
      <c r="J26" s="20"/>
      <c r="K26" s="20"/>
      <c r="L26" s="20"/>
    </row>
    <row r="27" spans="1:12" x14ac:dyDescent="0.25">
      <c r="A27" s="85" t="s">
        <v>20</v>
      </c>
      <c r="B27" s="85"/>
    </row>
    <row r="28" spans="1:12" x14ac:dyDescent="0.25">
      <c r="A28" s="86" t="s">
        <v>21</v>
      </c>
      <c r="B28" s="86"/>
    </row>
    <row r="29" spans="1:12" x14ac:dyDescent="0.25">
      <c r="A29" s="81" t="s">
        <v>22</v>
      </c>
      <c r="B29" s="81"/>
    </row>
  </sheetData>
  <mergeCells count="40">
    <mergeCell ref="B21:E21"/>
    <mergeCell ref="F21:G21"/>
    <mergeCell ref="H21:I21"/>
    <mergeCell ref="A5:L5"/>
    <mergeCell ref="A6:L6"/>
    <mergeCell ref="A7:L7"/>
    <mergeCell ref="A8:L8"/>
    <mergeCell ref="A13:L13"/>
    <mergeCell ref="L14:L15"/>
    <mergeCell ref="B15:E15"/>
    <mergeCell ref="F15:G15"/>
    <mergeCell ref="H15:I15"/>
    <mergeCell ref="J15:K15"/>
    <mergeCell ref="A14:A15"/>
    <mergeCell ref="B14:K14"/>
    <mergeCell ref="B16:E16"/>
    <mergeCell ref="J18:K18"/>
    <mergeCell ref="B20:E20"/>
    <mergeCell ref="F20:G20"/>
    <mergeCell ref="H20:I20"/>
    <mergeCell ref="J20:K20"/>
    <mergeCell ref="B18:E18"/>
    <mergeCell ref="F18:G18"/>
    <mergeCell ref="H18:I18"/>
    <mergeCell ref="F16:G16"/>
    <mergeCell ref="H16:I16"/>
    <mergeCell ref="J16:K16"/>
    <mergeCell ref="A29:B29"/>
    <mergeCell ref="A24:L24"/>
    <mergeCell ref="A27:B27"/>
    <mergeCell ref="B17:E17"/>
    <mergeCell ref="F17:G17"/>
    <mergeCell ref="H17:I17"/>
    <mergeCell ref="J17:K17"/>
    <mergeCell ref="B19:E19"/>
    <mergeCell ref="F19:G19"/>
    <mergeCell ref="H19:I19"/>
    <mergeCell ref="J19:K19"/>
    <mergeCell ref="J21:K21"/>
    <mergeCell ref="A28:B28"/>
  </mergeCells>
  <phoneticPr fontId="5" type="noConversion"/>
  <pageMargins left="0.7" right="0.7" top="0.75" bottom="0.75" header="0.3" footer="0.3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Leave Card (NE)</vt:lpstr>
      <vt:lpstr>CTO (2)</vt:lpstr>
      <vt:lpstr>CTO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2025-12-12T05:43:23Z</cp:lastPrinted>
  <dcterms:created xsi:type="dcterms:W3CDTF">2021-10-07T06:10:16Z</dcterms:created>
  <dcterms:modified xsi:type="dcterms:W3CDTF">2026-01-14T01:56:48Z</dcterms:modified>
</cp:coreProperties>
</file>