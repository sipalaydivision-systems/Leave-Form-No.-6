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5770CF6A-137C-4686-850D-D8E20D70CE5F}" xr6:coauthVersionLast="47" xr6:coauthVersionMax="47" xr10:uidLastSave="{00000000-0000-0000-0000-000000000000}"/>
  <bookViews>
    <workbookView xWindow="0" yWindow="720" windowWidth="28800" windowHeight="15480" xr2:uid="{C532281A-DA89-4ACA-8363-B39317021647}"/>
  </bookViews>
  <sheets>
    <sheet name="Leave Card (NE)" sheetId="6" r:id="rId1"/>
    <sheet name="CTO" sheetId="7" r:id="rId2"/>
  </sheets>
  <definedNames>
    <definedName name="_xlnm.Print_Area" localSheetId="0">'Leave Card (NE)'!$A$1:$J$61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6" l="1"/>
  <c r="I54" i="6"/>
  <c r="B36" i="6"/>
  <c r="J54" i="6" l="1"/>
  <c r="B34" i="6"/>
  <c r="I13" i="6" l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H13" i="6"/>
  <c r="H14" i="6" s="1"/>
  <c r="H15" i="6" s="1"/>
  <c r="I53" i="6" l="1"/>
  <c r="H16" i="6"/>
  <c r="J15" i="6"/>
  <c r="J14" i="6"/>
  <c r="J16" i="6" l="1"/>
  <c r="H17" i="6"/>
  <c r="J13" i="6"/>
  <c r="H18" i="6" l="1"/>
  <c r="J17" i="6"/>
  <c r="J18" i="6" l="1"/>
  <c r="H19" i="6"/>
  <c r="H20" i="6" l="1"/>
  <c r="H21" i="6" s="1"/>
  <c r="J19" i="6"/>
  <c r="J21" i="6" l="1"/>
  <c r="H22" i="6"/>
  <c r="J20" i="6"/>
  <c r="J22" i="6" l="1"/>
  <c r="H23" i="6"/>
  <c r="J23" i="6" l="1"/>
  <c r="H24" i="6"/>
  <c r="J24" i="6" l="1"/>
  <c r="H25" i="6"/>
  <c r="J25" i="6" l="1"/>
  <c r="H26" i="6"/>
  <c r="J26" i="6" l="1"/>
  <c r="H27" i="6"/>
  <c r="J27" i="6" l="1"/>
  <c r="H28" i="6"/>
  <c r="J28" i="6" l="1"/>
  <c r="H29" i="6"/>
  <c r="H30" i="6" l="1"/>
  <c r="J29" i="6"/>
  <c r="J30" i="6" l="1"/>
  <c r="H31" i="6"/>
  <c r="J31" i="6" l="1"/>
  <c r="H32" i="6"/>
  <c r="J32" i="6" l="1"/>
  <c r="H33" i="6"/>
  <c r="J33" i="6" l="1"/>
  <c r="H34" i="6"/>
  <c r="H35" i="6" l="1"/>
  <c r="J34" i="6"/>
  <c r="H36" i="6" l="1"/>
  <c r="J35" i="6"/>
  <c r="J36" i="6" l="1"/>
  <c r="H37" i="6"/>
  <c r="J37" i="6" l="1"/>
  <c r="H38" i="6"/>
  <c r="H39" i="6" l="1"/>
  <c r="J38" i="6"/>
  <c r="J39" i="6" l="1"/>
  <c r="H40" i="6"/>
  <c r="H41" i="6" l="1"/>
  <c r="J40" i="6"/>
  <c r="H42" i="6" l="1"/>
  <c r="J41" i="6"/>
  <c r="J42" i="6" l="1"/>
  <c r="H43" i="6"/>
  <c r="J43" i="6" l="1"/>
  <c r="H44" i="6"/>
  <c r="J44" i="6" l="1"/>
  <c r="H45" i="6"/>
  <c r="J45" i="6" l="1"/>
  <c r="H46" i="6"/>
  <c r="H47" i="6" l="1"/>
  <c r="J46" i="6"/>
  <c r="J47" i="6" l="1"/>
  <c r="H48" i="6"/>
  <c r="H49" i="6" l="1"/>
  <c r="J48" i="6"/>
  <c r="J49" i="6" l="1"/>
  <c r="H50" i="6"/>
  <c r="J50" i="6" l="1"/>
  <c r="H51" i="6"/>
  <c r="J51" i="6" l="1"/>
  <c r="H52" i="6"/>
  <c r="H53" i="6" l="1"/>
  <c r="J53" i="6" s="1"/>
  <c r="J52" i="6"/>
</calcChain>
</file>

<file path=xl/sharedStrings.xml><?xml version="1.0" encoding="utf-8"?>
<sst xmlns="http://schemas.openxmlformats.org/spreadsheetml/2006/main" count="102" uniqueCount="80">
  <si>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</si>
  <si>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</si>
  <si>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</si>
  <si>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</si>
  <si>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</si>
  <si>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</si>
  <si>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</si>
  <si>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</si>
  <si>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</si>
  <si>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</si>
  <si>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</si>
  <si>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</si>
  <si>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ADD: 01/01/22 - 06/30/22</t>
  </si>
  <si>
    <t>LESS: 07/25 &amp; 26/22</t>
  </si>
  <si>
    <t>ADD: 07/01/22 - 07/31/22</t>
  </si>
  <si>
    <t>LESS: 08/24/22</t>
  </si>
  <si>
    <t>LESS: 08/25 &amp; 26/22</t>
  </si>
  <si>
    <t>LESS: 09/2/22</t>
  </si>
  <si>
    <t>LESS: MONETIZATION 2022</t>
  </si>
  <si>
    <t>ADD: 09/01/22 - 12/31/22</t>
  </si>
  <si>
    <t>ADD: 01/01/23 - 01/31/23</t>
  </si>
  <si>
    <t>SPECIAL</t>
  </si>
  <si>
    <t>LESS: 01, 02 &amp; 03/ 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</si>
  <si>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</si>
  <si>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</si>
  <si>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</si>
  <si>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</si>
  <si>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</si>
  <si>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</si>
  <si>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</si>
  <si>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</si>
  <si>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09/10/2019 - 09/30/2019</t>
  </si>
  <si>
    <t>ADD: 10/01/2019 - 12/31/2019</t>
  </si>
  <si>
    <t>ADD: 01/01/2021 - 02/28/2021</t>
  </si>
  <si>
    <t>ADD: 03/01/2021 - 12/31/2021</t>
  </si>
  <si>
    <t>LESS: MONETIZATION 2021</t>
  </si>
  <si>
    <t>LESS: FL 2022</t>
  </si>
  <si>
    <t>ADD: 02/01/23 - 08/31/23</t>
  </si>
  <si>
    <t>LESS: MONETIZATION 2023</t>
  </si>
  <si>
    <t>Certified Correct:</t>
  </si>
  <si>
    <t>MA. LUISA B. CATIGAN</t>
  </si>
  <si>
    <t>Administrative Officer IV</t>
  </si>
  <si>
    <t>HRMO</t>
  </si>
  <si>
    <t>COMPENSATORY TIME OFF (CTO)</t>
  </si>
  <si>
    <t>Special Order No. and Date Issued</t>
  </si>
  <si>
    <t>No. of Days Granted</t>
  </si>
  <si>
    <t>No. of Days Used</t>
  </si>
  <si>
    <t>Balance</t>
  </si>
  <si>
    <t>ADD: APRIL 12, 2023</t>
  </si>
  <si>
    <t>S.O. # 047, S. 2023. PERFORMANCE PLANNING &amp; COMMITMENT FOR SY 2023</t>
  </si>
  <si>
    <t>NOTE:  Valid for one (1) year only</t>
  </si>
  <si>
    <t>LESS: 10/31/2023 AND NOVEMBER 03, 2023</t>
  </si>
  <si>
    <t>ADD: 09/01/2023-11/30/2023</t>
  </si>
  <si>
    <t>LESS: 12/21,22,28,29/2023</t>
  </si>
  <si>
    <t>ADD: 10/17/2023</t>
  </si>
  <si>
    <t>S.O # 159, S. 2023 125TH PHILIPPINE INDEPENDENCE DAY CELEBRATION</t>
  </si>
  <si>
    <t>LESS: 01/24/2024</t>
  </si>
  <si>
    <t>ADD: 12/01/2023-12/31/2023</t>
  </si>
  <si>
    <t>ADD: 01/01/2020 - 12/31/2020</t>
  </si>
  <si>
    <t>ADD: 08/01-31/22</t>
  </si>
  <si>
    <t>ADD: 01/1/2024-10/31/2024</t>
  </si>
  <si>
    <t>LESS: 11/12-13/2024</t>
  </si>
  <si>
    <t xml:space="preserve">LESS: FEB.-MARCH 2021 </t>
  </si>
  <si>
    <t>LESS: 12/2-4/2024</t>
  </si>
  <si>
    <t>ADD: 11/1-30/2024</t>
  </si>
  <si>
    <t>LESS: 12/16-17/2024</t>
  </si>
  <si>
    <t>ADD: 12/1-31/2024</t>
  </si>
  <si>
    <t>ADD: 01/1-31/2025</t>
  </si>
  <si>
    <t>LESS: 02/13-14/2025</t>
  </si>
  <si>
    <t>ADD: 2/1/2025-03/31/2025</t>
  </si>
  <si>
    <t>LESS: 05/2/2025</t>
  </si>
  <si>
    <t>ADD: 04/1-30/2025</t>
  </si>
  <si>
    <t>LESS: 05/19-20, 26-27/2025</t>
  </si>
  <si>
    <t>ADD: 05/1/2025-07/31/2025</t>
  </si>
  <si>
    <t>LESS: 08/28/2025</t>
  </si>
  <si>
    <t>LESS:  FL 2020</t>
  </si>
  <si>
    <t>LESS: FL 2021</t>
  </si>
  <si>
    <t>LESS:  FL 2023</t>
  </si>
  <si>
    <t>NEGROS ISLAND REGION</t>
  </si>
  <si>
    <t>ADD: 08/1/2025-12/31/2025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</si>
</sst>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164" fontId="3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1" fillId="2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8" fillId="0" borderId="0" xfId="1" applyAlignment="1">
      <alignment vertical="center"/>
    </xf>
    <xf numFmtId="0" fontId="9" fillId="2" borderId="0" xfId="1" applyFont="1" applyFill="1" applyAlignment="1">
      <alignment horizontal="center" vertical="center" wrapText="1"/>
    </xf>
    <xf numFmtId="0" fontId="8" fillId="2" borderId="0" xfId="1" applyFill="1" applyAlignment="1">
      <alignment horizontal="center" vertical="center" wrapText="1"/>
    </xf>
    <xf numFmtId="0" fontId="8" fillId="2" borderId="0" xfId="1" applyFill="1" applyAlignment="1">
      <alignment horizontal="center"/>
    </xf>
    <xf numFmtId="0" fontId="8" fillId="0" borderId="0" xfId="1"/>
    <xf numFmtId="0" fontId="0" fillId="2" borderId="1" xfId="1" applyFont="1" applyFill="1" applyBorder="1" applyAlignment="1">
      <alignment horizontal="center" vertical="center" wrapText="1"/>
    </xf>
    <xf numFmtId="0" fontId="8" fillId="11" borderId="1" xfId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10" borderId="1" xfId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13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8" fillId="0" borderId="0" xfId="1" applyAlignment="1">
      <alignment horizontal="center"/>
    </xf>
    <xf numFmtId="0" fontId="8" fillId="0" borderId="0" xfId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/>
    </xf>
    <xf numFmtId="0" fontId="8" fillId="2" borderId="0" xfId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9" fillId="9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69C10BD1-6E83-45A8-8F21-0E9AEB81A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428625</xdr:colOff>
      <xdr:row>0</xdr:row>
      <xdr:rowOff>107950</xdr:rowOff>
    </xdr:from>
    <xdr:to>
      <xdr:col>4</xdr:col>
      <xdr:colOff>298580</xdr:colOff>
      <xdr:row>0</xdr:row>
      <xdr:rowOff>638175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107950"/>
          <a:ext cx="64148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23358F9-A4AB-4F1F-BE46-E315F57E3A0C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NERIO, JONATHAN J.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3355DF-3F7A-4FEA-9E91-8576CF665FE8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EPSA-II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209721-CC6E-46FE-B9A3-967165189225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183244</xdr:rowOff>
    </xdr:from>
    <xdr:to>
      <xdr:col>5</xdr:col>
      <xdr:colOff>19050</xdr:colOff>
      <xdr:row>4</xdr:row>
      <xdr:rowOff>38553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8680E-7851-44D4-B6EC-3200B730BE7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83244"/>
          <a:ext cx="642485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507267</xdr:colOff>
      <xdr:row>8</xdr:row>
      <xdr:rowOff>113811</xdr:rowOff>
    </xdr:from>
    <xdr:to>
      <xdr:col>1</xdr:col>
      <xdr:colOff>546100</xdr:colOff>
      <xdr:row>10</xdr:row>
      <xdr:rowOff>31750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2A1E62-B7F4-4E04-8782-B5B330954938}"/>
            </a:ext>
          </a:extLst>
        </xdr:cNvPr>
        <xdr:cNvSpPr txBox="1"/>
      </xdr:nvSpPr>
      <xdr:spPr>
        <a:xfrm>
          <a:off x="507267" y="163781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NERIO, JONATHAN J.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682626</xdr:colOff>
      <xdr:row>10</xdr:row>
      <xdr:rowOff>114301</xdr:rowOff>
    </xdr:from>
    <xdr:to>
      <xdr:col>0</xdr:col>
      <xdr:colOff>1749425</xdr:colOff>
      <xdr:row>12</xdr:row>
      <xdr:rowOff>19051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8F3653-C9D1-4F64-BA7A-C74D8F79B9E6}"/>
            </a:ext>
          </a:extLst>
        </xdr:cNvPr>
        <xdr:cNvSpPr txBox="1"/>
      </xdr:nvSpPr>
      <xdr:spPr>
        <a:xfrm>
          <a:off x="682626" y="201930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 II (ALS)</a:t>
          </a:r>
        </a:p>
      </xdr:txBody>
    </xdr:sp>
    <xdr:clientData/>
  </xdr:twoCellAnchor>
  <xdr:twoCellAnchor>
    <xdr:from>
      <xdr:col>3</xdr:col>
      <xdr:colOff>488723</xdr:colOff>
      <xdr:row>10</xdr:row>
      <xdr:rowOff>128135</xdr:rowOff>
    </xdr:from>
    <xdr:to>
      <xdr:col>5</xdr:col>
      <xdr:colOff>425223</xdr:colOff>
      <xdr:row>12</xdr:row>
      <xdr:rowOff>96439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ECF2113-41CA-4CF5-9134-4C962D912DC0}"/>
            </a:ext>
          </a:extLst>
        </xdr:cNvPr>
        <xdr:cNvSpPr txBox="1"/>
      </xdr:nvSpPr>
      <xdr:spPr>
        <a:xfrm>
          <a:off x="3946298" y="2033135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K70"/>
  <sheetViews>
    <sheetView tabSelected="1" view="pageBreakPreview" topLeftCell="A41" zoomScaleNormal="100" zoomScaleSheetLayoutView="100" workbookViewId="0">
      <selection activeCell="K60" sqref="K60"/>
    </sheetView>
  </sheetViews>
  <sheetFormatPr defaultRowHeight="15" x14ac:dyDescent="0.25"/>
  <cols>
    <col min="1" max="1" width="34.28515625" customWidth="1"/>
    <col min="2" max="10" width="11.5703125" customWidth="1"/>
    <col min="11" max="11" width="26.42578125" style="8" customWidth="1"/>
  </cols>
  <sheetData>
    <row r="1" spans="1:11" s="1" customFormat="1" ht="52.5" customHeight="1" x14ac:dyDescent="0.25"/>
    <row r="2" spans="1:11" s="1" customFormat="1" ht="10.5" customHeight="1" x14ac:dyDescent="0.25">
      <c r="A2" s="49" t="s">
        <v>23</v>
      </c>
      <c r="B2" s="49"/>
      <c r="C2" s="49"/>
      <c r="D2" s="49"/>
      <c r="E2" s="49"/>
      <c r="F2" s="49"/>
      <c r="G2" s="49"/>
      <c r="H2" s="49"/>
      <c r="I2" s="49"/>
      <c r="J2" s="49"/>
    </row>
    <row r="3" spans="1:11" s="1" customFormat="1" ht="15.95" customHeight="1" x14ac:dyDescent="0.25">
      <c r="A3" s="49" t="s">
        <v>24</v>
      </c>
      <c r="B3" s="49"/>
      <c r="C3" s="49"/>
      <c r="D3" s="49"/>
      <c r="E3" s="49"/>
      <c r="F3" s="49"/>
      <c r="G3" s="49"/>
      <c r="H3" s="49"/>
      <c r="I3" s="49"/>
      <c r="J3" s="49"/>
    </row>
    <row r="4" spans="1:11" s="1" customFormat="1" ht="15.95" customHeight="1" x14ac:dyDescent="0.25">
      <c r="A4" s="49" t="s">
        <v>78</v>
      </c>
      <c r="B4" s="49"/>
      <c r="C4" s="49"/>
      <c r="D4" s="49"/>
      <c r="E4" s="49"/>
      <c r="F4" s="49"/>
      <c r="G4" s="49"/>
      <c r="H4" s="49"/>
      <c r="I4" s="49"/>
      <c r="J4" s="49"/>
    </row>
    <row r="5" spans="1:11" s="1" customFormat="1" ht="15.95" customHeight="1" x14ac:dyDescent="0.25">
      <c r="A5" s="49" t="s">
        <v>26</v>
      </c>
      <c r="B5" s="49"/>
      <c r="C5" s="49"/>
      <c r="D5" s="49"/>
      <c r="E5" s="49"/>
      <c r="F5" s="49"/>
      <c r="G5" s="49"/>
      <c r="H5" s="49"/>
      <c r="I5" s="49"/>
      <c r="J5" s="49"/>
    </row>
    <row r="6" spans="1:11" s="1" customFormat="1" ht="8.25" customHeight="1" x14ac:dyDescent="0.25"/>
    <row r="7" spans="1:11" s="1" customFormat="1" ht="12" customHeight="1" x14ac:dyDescent="0.25">
      <c r="A7" s="1" t="s">
        <v>27</v>
      </c>
      <c r="B7" s="37" t="s">
        <v>28</v>
      </c>
      <c r="C7" s="37"/>
      <c r="D7" s="37"/>
      <c r="H7" s="6" t="s">
        <v>9</v>
      </c>
      <c r="I7" s="9"/>
      <c r="J7" s="6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29</v>
      </c>
      <c r="B9" s="37" t="s">
        <v>30</v>
      </c>
      <c r="C9" s="37"/>
      <c r="D9" s="37"/>
      <c r="H9" s="6" t="s">
        <v>10</v>
      </c>
      <c r="I9" s="7"/>
      <c r="J9" s="6"/>
    </row>
    <row r="10" spans="1:11" ht="16.5" customHeight="1" thickBot="1" x14ac:dyDescent="0.3">
      <c r="A10" s="38" t="s">
        <v>0</v>
      </c>
      <c r="B10" s="38"/>
      <c r="C10" s="38"/>
      <c r="D10" s="38"/>
      <c r="E10" s="38"/>
      <c r="F10" s="38"/>
      <c r="G10" s="38"/>
      <c r="H10" s="38"/>
      <c r="I10" s="38"/>
      <c r="J10" s="38"/>
      <c r="K10"/>
    </row>
    <row r="11" spans="1:11" ht="18.75" customHeight="1" x14ac:dyDescent="0.25">
      <c r="A11" s="41" t="s">
        <v>4</v>
      </c>
      <c r="B11" s="48" t="s">
        <v>5</v>
      </c>
      <c r="C11" s="48"/>
      <c r="D11" s="45" t="s">
        <v>6</v>
      </c>
      <c r="E11" s="46"/>
      <c r="F11" s="46"/>
      <c r="G11" s="47"/>
      <c r="H11" s="40" t="s">
        <v>7</v>
      </c>
      <c r="I11" s="40"/>
      <c r="J11" s="43" t="s">
        <v>8</v>
      </c>
      <c r="K11" s="39" t="s">
        <v>11</v>
      </c>
    </row>
    <row r="12" spans="1:11" ht="18.75" customHeight="1" x14ac:dyDescent="0.25">
      <c r="A12" s="42"/>
      <c r="B12" s="5" t="s">
        <v>1</v>
      </c>
      <c r="C12" s="5" t="s">
        <v>2</v>
      </c>
      <c r="D12" s="5" t="s">
        <v>1</v>
      </c>
      <c r="E12" s="5" t="s">
        <v>2</v>
      </c>
      <c r="F12" s="5" t="s">
        <v>3</v>
      </c>
      <c r="G12" s="5" t="s">
        <v>21</v>
      </c>
      <c r="H12" s="5" t="s">
        <v>1</v>
      </c>
      <c r="I12" s="5" t="s">
        <v>2</v>
      </c>
      <c r="J12" s="44"/>
      <c r="K12" s="39"/>
    </row>
    <row r="13" spans="1:11" ht="18.75" customHeight="1" x14ac:dyDescent="0.25">
      <c r="A13" s="10" t="s">
        <v>31</v>
      </c>
      <c r="B13" s="2">
        <v>0.875</v>
      </c>
      <c r="C13" s="2">
        <v>0.875</v>
      </c>
      <c r="D13" s="2"/>
      <c r="E13" s="2"/>
      <c r="F13" s="2"/>
      <c r="G13" s="2"/>
      <c r="H13" s="2">
        <f>B13</f>
        <v>0.875</v>
      </c>
      <c r="I13" s="2">
        <f>C13</f>
        <v>0.875</v>
      </c>
      <c r="J13" s="4">
        <f>SUM(H13:I13)</f>
        <v>1.75</v>
      </c>
      <c r="K13" s="11"/>
    </row>
    <row r="14" spans="1:11" ht="18.75" customHeight="1" x14ac:dyDescent="0.25">
      <c r="A14" s="10" t="s">
        <v>32</v>
      </c>
      <c r="B14" s="2">
        <v>3.75</v>
      </c>
      <c r="C14" s="2">
        <v>3.75</v>
      </c>
      <c r="D14" s="2"/>
      <c r="E14" s="2"/>
      <c r="F14" s="2"/>
      <c r="G14" s="2"/>
      <c r="H14" s="2">
        <f>H13-F14-D14+B14</f>
        <v>4.625</v>
      </c>
      <c r="I14" s="2">
        <f>I13-E14+C14</f>
        <v>4.625</v>
      </c>
      <c r="J14" s="4">
        <f>SUM(H14:I14)</f>
        <v>9.25</v>
      </c>
      <c r="K14" s="11"/>
    </row>
    <row r="15" spans="1:11" ht="18.75" customHeight="1" x14ac:dyDescent="0.25">
      <c r="A15" s="10" t="s">
        <v>58</v>
      </c>
      <c r="B15" s="2">
        <v>15</v>
      </c>
      <c r="C15" s="2">
        <v>15</v>
      </c>
      <c r="D15" s="2"/>
      <c r="E15" s="2"/>
      <c r="F15" s="2"/>
      <c r="G15" s="2"/>
      <c r="H15" s="2">
        <f t="shared" ref="H15:H20" si="0">H14-F15-D15+B15</f>
        <v>19.625</v>
      </c>
      <c r="I15" s="2">
        <f t="shared" ref="I15:I20" si="1">I14-E15+C15</f>
        <v>19.625</v>
      </c>
      <c r="J15" s="4">
        <f t="shared" ref="J15:J20" si="2">SUM(H15:I15)</f>
        <v>39.25</v>
      </c>
      <c r="K15" s="11"/>
    </row>
    <row r="16" spans="1:11" ht="18.75" customHeight="1" x14ac:dyDescent="0.25">
      <c r="A16" s="10" t="s">
        <v>75</v>
      </c>
      <c r="B16" s="2"/>
      <c r="C16" s="2"/>
      <c r="D16" s="2"/>
      <c r="E16" s="2"/>
      <c r="F16" s="2">
        <v>5</v>
      </c>
      <c r="G16" s="2"/>
      <c r="H16" s="2">
        <f t="shared" si="0"/>
        <v>14.625</v>
      </c>
      <c r="I16" s="2">
        <f t="shared" si="1"/>
        <v>19.625</v>
      </c>
      <c r="J16" s="4">
        <f t="shared" si="2"/>
        <v>34.25</v>
      </c>
      <c r="K16" s="11"/>
    </row>
    <row r="17" spans="1:11" ht="18.75" customHeight="1" x14ac:dyDescent="0.25">
      <c r="A17" s="10" t="s">
        <v>33</v>
      </c>
      <c r="B17" s="2">
        <v>2.5</v>
      </c>
      <c r="C17" s="2">
        <v>2.5</v>
      </c>
      <c r="D17" s="2"/>
      <c r="E17" s="2"/>
      <c r="F17" s="2"/>
      <c r="G17" s="2"/>
      <c r="H17" s="2">
        <f t="shared" si="0"/>
        <v>17.125</v>
      </c>
      <c r="I17" s="2">
        <f t="shared" si="1"/>
        <v>22.125</v>
      </c>
      <c r="J17" s="4">
        <f t="shared" si="2"/>
        <v>39.25</v>
      </c>
      <c r="K17" s="11"/>
    </row>
    <row r="18" spans="1:11" ht="30" customHeight="1" x14ac:dyDescent="0.25">
      <c r="A18" s="29" t="s">
        <v>62</v>
      </c>
      <c r="B18" s="30"/>
      <c r="C18" s="30"/>
      <c r="D18" s="30">
        <v>10</v>
      </c>
      <c r="E18" s="30">
        <v>10</v>
      </c>
      <c r="F18" s="2"/>
      <c r="G18" s="2"/>
      <c r="H18" s="2">
        <f t="shared" si="0"/>
        <v>7.125</v>
      </c>
      <c r="I18" s="2">
        <f t="shared" si="1"/>
        <v>12.125</v>
      </c>
      <c r="J18" s="4">
        <f t="shared" si="2"/>
        <v>19.25</v>
      </c>
      <c r="K18" s="11"/>
    </row>
    <row r="19" spans="1:11" ht="18.75" customHeight="1" x14ac:dyDescent="0.25">
      <c r="A19" s="10" t="s">
        <v>34</v>
      </c>
      <c r="B19" s="2">
        <v>12.5</v>
      </c>
      <c r="C19" s="2">
        <v>12.5</v>
      </c>
      <c r="D19" s="2"/>
      <c r="E19" s="2"/>
      <c r="F19" s="2"/>
      <c r="G19" s="2"/>
      <c r="H19" s="2">
        <f t="shared" si="0"/>
        <v>19.625</v>
      </c>
      <c r="I19" s="2">
        <f t="shared" si="1"/>
        <v>24.625</v>
      </c>
      <c r="J19" s="4">
        <f t="shared" si="2"/>
        <v>44.25</v>
      </c>
      <c r="K19" s="11"/>
    </row>
    <row r="20" spans="1:11" ht="18.75" customHeight="1" x14ac:dyDescent="0.25">
      <c r="A20" s="10" t="s">
        <v>35</v>
      </c>
      <c r="B20" s="30"/>
      <c r="C20" s="30"/>
      <c r="D20" s="30">
        <v>14</v>
      </c>
      <c r="E20" s="30">
        <v>15</v>
      </c>
      <c r="F20" s="2"/>
      <c r="G20" s="2"/>
      <c r="H20" s="2">
        <f t="shared" si="0"/>
        <v>5.625</v>
      </c>
      <c r="I20" s="2">
        <f t="shared" si="1"/>
        <v>9.625</v>
      </c>
      <c r="J20" s="4">
        <f t="shared" si="2"/>
        <v>15.25</v>
      </c>
      <c r="K20" s="11"/>
    </row>
    <row r="21" spans="1:11" ht="18.75" customHeight="1" x14ac:dyDescent="0.25">
      <c r="A21" s="10" t="s">
        <v>76</v>
      </c>
      <c r="B21" s="30"/>
      <c r="C21" s="30"/>
      <c r="D21" s="30"/>
      <c r="E21" s="30"/>
      <c r="F21" s="2">
        <v>5</v>
      </c>
      <c r="G21" s="2"/>
      <c r="H21" s="2">
        <f t="shared" ref="H21:H36" si="3">H20-F21-D21+B21</f>
        <v>0.625</v>
      </c>
      <c r="I21" s="2">
        <f t="shared" ref="I21:I36" si="4">I20-E21+C21</f>
        <v>9.625</v>
      </c>
      <c r="J21" s="4">
        <f t="shared" ref="J21:J36" si="5">SUM(H21:I21)</f>
        <v>10.25</v>
      </c>
      <c r="K21" s="11"/>
    </row>
    <row r="22" spans="1:11" ht="18.75" customHeight="1" x14ac:dyDescent="0.25">
      <c r="A22" s="10" t="s">
        <v>12</v>
      </c>
      <c r="B22" s="2">
        <v>7.5</v>
      </c>
      <c r="C22" s="2">
        <v>7.5</v>
      </c>
      <c r="D22" s="2"/>
      <c r="E22" s="2"/>
      <c r="F22" s="2"/>
      <c r="G22" s="2"/>
      <c r="H22" s="2">
        <f t="shared" si="3"/>
        <v>8.125</v>
      </c>
      <c r="I22" s="2">
        <f t="shared" si="4"/>
        <v>17.125</v>
      </c>
      <c r="J22" s="4">
        <f t="shared" si="5"/>
        <v>25.25</v>
      </c>
      <c r="K22" s="11"/>
    </row>
    <row r="23" spans="1:11" ht="18.75" customHeight="1" x14ac:dyDescent="0.25">
      <c r="A23" s="10" t="s">
        <v>13</v>
      </c>
      <c r="B23" s="2"/>
      <c r="C23" s="2"/>
      <c r="D23" s="2"/>
      <c r="E23" s="2"/>
      <c r="F23" s="2"/>
      <c r="G23" s="2">
        <v>2</v>
      </c>
      <c r="H23" s="2">
        <f t="shared" si="3"/>
        <v>8.125</v>
      </c>
      <c r="I23" s="2">
        <f t="shared" si="4"/>
        <v>17.125</v>
      </c>
      <c r="J23" s="4">
        <f t="shared" si="5"/>
        <v>25.25</v>
      </c>
      <c r="K23" s="11"/>
    </row>
    <row r="24" spans="1:11" ht="18.75" customHeight="1" x14ac:dyDescent="0.25">
      <c r="A24" s="10" t="s">
        <v>14</v>
      </c>
      <c r="B24" s="2">
        <v>1.25</v>
      </c>
      <c r="C24" s="2">
        <v>1.25</v>
      </c>
      <c r="D24" s="2"/>
      <c r="E24" s="2"/>
      <c r="F24" s="2"/>
      <c r="G24" s="2"/>
      <c r="H24" s="2">
        <f t="shared" si="3"/>
        <v>9.375</v>
      </c>
      <c r="I24" s="2">
        <f t="shared" si="4"/>
        <v>18.375</v>
      </c>
      <c r="J24" s="4">
        <f t="shared" si="5"/>
        <v>27.75</v>
      </c>
      <c r="K24" s="11"/>
    </row>
    <row r="25" spans="1:11" ht="18.75" customHeight="1" x14ac:dyDescent="0.25">
      <c r="A25" s="10" t="s">
        <v>15</v>
      </c>
      <c r="B25" s="2"/>
      <c r="C25" s="2"/>
      <c r="D25" s="2"/>
      <c r="E25" s="2"/>
      <c r="F25" s="2"/>
      <c r="G25" s="2">
        <v>1</v>
      </c>
      <c r="H25" s="2">
        <f t="shared" si="3"/>
        <v>9.375</v>
      </c>
      <c r="I25" s="2">
        <f t="shared" si="4"/>
        <v>18.375</v>
      </c>
      <c r="J25" s="4">
        <f t="shared" si="5"/>
        <v>27.75</v>
      </c>
      <c r="K25" s="11"/>
    </row>
    <row r="26" spans="1:11" ht="18.75" customHeight="1" x14ac:dyDescent="0.25">
      <c r="A26" s="10" t="s">
        <v>16</v>
      </c>
      <c r="B26" s="13"/>
      <c r="C26" s="2"/>
      <c r="D26" s="2"/>
      <c r="E26" s="2"/>
      <c r="F26" s="2">
        <v>2</v>
      </c>
      <c r="G26" s="2"/>
      <c r="H26" s="2">
        <f t="shared" si="3"/>
        <v>7.375</v>
      </c>
      <c r="I26" s="2">
        <f t="shared" si="4"/>
        <v>18.375</v>
      </c>
      <c r="J26" s="4">
        <f t="shared" si="5"/>
        <v>25.75</v>
      </c>
      <c r="K26" s="11"/>
    </row>
    <row r="27" spans="1:11" ht="18.75" customHeight="1" x14ac:dyDescent="0.25">
      <c r="A27" s="10" t="s">
        <v>59</v>
      </c>
      <c r="B27" s="2">
        <v>1.25</v>
      </c>
      <c r="C27" s="2">
        <v>1.25</v>
      </c>
      <c r="D27" s="2"/>
      <c r="E27" s="2"/>
      <c r="F27" s="2"/>
      <c r="G27" s="2"/>
      <c r="H27" s="2">
        <f t="shared" si="3"/>
        <v>8.625</v>
      </c>
      <c r="I27" s="2">
        <f t="shared" si="4"/>
        <v>19.625</v>
      </c>
      <c r="J27" s="4">
        <f t="shared" si="5"/>
        <v>28.25</v>
      </c>
      <c r="K27" s="11"/>
    </row>
    <row r="28" spans="1:11" ht="18.75" customHeight="1" x14ac:dyDescent="0.25">
      <c r="A28" s="10" t="s">
        <v>17</v>
      </c>
      <c r="B28" s="2"/>
      <c r="C28" s="2"/>
      <c r="D28" s="2"/>
      <c r="E28" s="2"/>
      <c r="F28" s="2">
        <v>1</v>
      </c>
      <c r="G28" s="2"/>
      <c r="H28" s="2">
        <f t="shared" si="3"/>
        <v>7.625</v>
      </c>
      <c r="I28" s="2">
        <f t="shared" si="4"/>
        <v>19.625</v>
      </c>
      <c r="J28" s="4">
        <f t="shared" si="5"/>
        <v>27.25</v>
      </c>
      <c r="K28" s="11"/>
    </row>
    <row r="29" spans="1:11" ht="18.75" customHeight="1" x14ac:dyDescent="0.25">
      <c r="A29" s="10" t="s">
        <v>18</v>
      </c>
      <c r="B29" s="2"/>
      <c r="C29" s="2"/>
      <c r="D29" s="2">
        <v>7</v>
      </c>
      <c r="E29" s="2">
        <v>18</v>
      </c>
      <c r="F29" s="2"/>
      <c r="G29" s="2"/>
      <c r="H29" s="2">
        <f t="shared" si="3"/>
        <v>0.625</v>
      </c>
      <c r="I29" s="2">
        <f t="shared" si="4"/>
        <v>1.625</v>
      </c>
      <c r="J29" s="4">
        <f t="shared" si="5"/>
        <v>2.25</v>
      </c>
      <c r="K29" s="11"/>
    </row>
    <row r="30" spans="1:11" ht="18.75" customHeight="1" x14ac:dyDescent="0.25">
      <c r="A30" s="10" t="s">
        <v>19</v>
      </c>
      <c r="B30" s="2">
        <v>5</v>
      </c>
      <c r="C30" s="2">
        <v>5</v>
      </c>
      <c r="D30" s="2"/>
      <c r="E30" s="2"/>
      <c r="F30" s="2"/>
      <c r="G30" s="2"/>
      <c r="H30" s="2">
        <f t="shared" si="3"/>
        <v>5.625</v>
      </c>
      <c r="I30" s="2">
        <f t="shared" si="4"/>
        <v>6.625</v>
      </c>
      <c r="J30" s="4">
        <f t="shared" si="5"/>
        <v>12.25</v>
      </c>
      <c r="K30" s="11"/>
    </row>
    <row r="31" spans="1:11" ht="18.75" customHeight="1" x14ac:dyDescent="0.25">
      <c r="A31" s="10" t="s">
        <v>36</v>
      </c>
      <c r="B31" s="2"/>
      <c r="C31" s="2"/>
      <c r="D31" s="2"/>
      <c r="E31" s="2"/>
      <c r="F31" s="2">
        <v>2</v>
      </c>
      <c r="G31" s="2"/>
      <c r="H31" s="2">
        <f t="shared" si="3"/>
        <v>3.625</v>
      </c>
      <c r="I31" s="2">
        <f t="shared" si="4"/>
        <v>6.625</v>
      </c>
      <c r="J31" s="4">
        <f t="shared" si="5"/>
        <v>10.25</v>
      </c>
      <c r="K31" s="11"/>
    </row>
    <row r="32" spans="1:11" ht="18.75" customHeight="1" x14ac:dyDescent="0.25">
      <c r="A32" s="10" t="s">
        <v>20</v>
      </c>
      <c r="B32" s="2">
        <v>1.25</v>
      </c>
      <c r="C32" s="2">
        <v>1.25</v>
      </c>
      <c r="D32" s="2"/>
      <c r="E32" s="2"/>
      <c r="F32" s="2"/>
      <c r="G32" s="2"/>
      <c r="H32" s="2">
        <f t="shared" si="3"/>
        <v>4.875</v>
      </c>
      <c r="I32" s="2">
        <f t="shared" si="4"/>
        <v>7.875</v>
      </c>
      <c r="J32" s="4">
        <f t="shared" si="5"/>
        <v>12.75</v>
      </c>
      <c r="K32" s="11"/>
    </row>
    <row r="33" spans="1:11" ht="18.75" customHeight="1" x14ac:dyDescent="0.25">
      <c r="A33" s="10" t="s">
        <v>22</v>
      </c>
      <c r="B33" s="2"/>
      <c r="C33" s="2"/>
      <c r="D33" s="2"/>
      <c r="E33" s="2"/>
      <c r="F33" s="2"/>
      <c r="G33" s="2">
        <v>3</v>
      </c>
      <c r="H33" s="2">
        <f t="shared" si="3"/>
        <v>4.875</v>
      </c>
      <c r="I33" s="2">
        <f t="shared" si="4"/>
        <v>7.875</v>
      </c>
      <c r="J33" s="4">
        <f t="shared" si="5"/>
        <v>12.75</v>
      </c>
      <c r="K33" s="11"/>
    </row>
    <row r="34" spans="1:11" ht="18.75" customHeight="1" x14ac:dyDescent="0.25">
      <c r="A34" s="10" t="s">
        <v>37</v>
      </c>
      <c r="B34" s="2">
        <f>1.25*7</f>
        <v>8.75</v>
      </c>
      <c r="C34" s="2">
        <v>8.75</v>
      </c>
      <c r="D34" s="2"/>
      <c r="E34" s="2"/>
      <c r="F34" s="2"/>
      <c r="G34" s="2"/>
      <c r="H34" s="2">
        <f t="shared" si="3"/>
        <v>13.625</v>
      </c>
      <c r="I34" s="2">
        <f t="shared" si="4"/>
        <v>16.625</v>
      </c>
      <c r="J34" s="4">
        <f t="shared" si="5"/>
        <v>30.25</v>
      </c>
      <c r="K34" s="11"/>
    </row>
    <row r="35" spans="1:11" ht="18.75" customHeight="1" x14ac:dyDescent="0.25">
      <c r="A35" s="10" t="s">
        <v>38</v>
      </c>
      <c r="B35" s="2"/>
      <c r="C35" s="2"/>
      <c r="D35" s="2">
        <v>5</v>
      </c>
      <c r="E35" s="2">
        <v>14</v>
      </c>
      <c r="F35" s="2"/>
      <c r="G35" s="2"/>
      <c r="H35" s="2">
        <f t="shared" si="3"/>
        <v>8.625</v>
      </c>
      <c r="I35" s="2">
        <f t="shared" si="4"/>
        <v>2.625</v>
      </c>
      <c r="J35" s="4">
        <f t="shared" si="5"/>
        <v>11.25</v>
      </c>
      <c r="K35" s="11"/>
    </row>
    <row r="36" spans="1:11" ht="18.75" customHeight="1" x14ac:dyDescent="0.25">
      <c r="A36" s="10" t="s">
        <v>52</v>
      </c>
      <c r="B36" s="2">
        <f>3*1.25</f>
        <v>3.75</v>
      </c>
      <c r="C36" s="2">
        <v>3.75</v>
      </c>
      <c r="D36" s="2"/>
      <c r="E36" s="2"/>
      <c r="F36" s="2"/>
      <c r="G36" s="2"/>
      <c r="H36" s="2">
        <f t="shared" si="3"/>
        <v>12.375</v>
      </c>
      <c r="I36" s="2">
        <f t="shared" si="4"/>
        <v>6.375</v>
      </c>
      <c r="J36" s="4">
        <f t="shared" si="5"/>
        <v>18.75</v>
      </c>
      <c r="K36" s="11"/>
    </row>
    <row r="37" spans="1:11" ht="18.75" customHeight="1" x14ac:dyDescent="0.25">
      <c r="A37" s="10" t="s">
        <v>53</v>
      </c>
      <c r="B37" s="2"/>
      <c r="C37" s="2"/>
      <c r="D37" s="2"/>
      <c r="E37" s="2"/>
      <c r="F37" s="2">
        <v>4</v>
      </c>
      <c r="G37" s="2"/>
      <c r="H37" s="2">
        <f t="shared" ref="H37:H40" si="6">H36-F37-D37+B37</f>
        <v>8.375</v>
      </c>
      <c r="I37" s="2">
        <f t="shared" ref="I37:I40" si="7">I36-E37+C37</f>
        <v>6.375</v>
      </c>
      <c r="J37" s="4">
        <f t="shared" ref="J37:J42" si="8">SUM(H37:I37)</f>
        <v>14.75</v>
      </c>
      <c r="K37" s="11"/>
    </row>
    <row r="38" spans="1:11" ht="18.75" customHeight="1" x14ac:dyDescent="0.25">
      <c r="A38" s="10" t="s">
        <v>77</v>
      </c>
      <c r="B38" s="2"/>
      <c r="C38" s="2"/>
      <c r="D38" s="2"/>
      <c r="E38" s="2"/>
      <c r="F38" s="2">
        <v>1</v>
      </c>
      <c r="G38" s="2"/>
      <c r="H38" s="2">
        <f t="shared" si="6"/>
        <v>7.375</v>
      </c>
      <c r="I38" s="2">
        <f t="shared" si="7"/>
        <v>6.375</v>
      </c>
      <c r="J38" s="4">
        <f t="shared" si="8"/>
        <v>13.75</v>
      </c>
      <c r="K38" s="11"/>
    </row>
    <row r="39" spans="1:11" ht="18.75" customHeight="1" x14ac:dyDescent="0.25">
      <c r="A39" s="10" t="s">
        <v>57</v>
      </c>
      <c r="B39" s="2">
        <v>1.25</v>
      </c>
      <c r="C39" s="2">
        <v>1.25</v>
      </c>
      <c r="D39" s="2"/>
      <c r="E39" s="2"/>
      <c r="F39" s="2"/>
      <c r="G39" s="2"/>
      <c r="H39" s="2">
        <f t="shared" si="6"/>
        <v>8.625</v>
      </c>
      <c r="I39" s="2">
        <f t="shared" si="7"/>
        <v>7.625</v>
      </c>
      <c r="J39" s="4">
        <f t="shared" si="8"/>
        <v>16.25</v>
      </c>
      <c r="K39" s="11"/>
    </row>
    <row r="40" spans="1:11" ht="18.75" customHeight="1" x14ac:dyDescent="0.25">
      <c r="A40" s="10" t="s">
        <v>60</v>
      </c>
      <c r="B40" s="2">
        <v>12.5</v>
      </c>
      <c r="C40" s="2">
        <v>12.5</v>
      </c>
      <c r="D40" s="2"/>
      <c r="E40" s="2"/>
      <c r="F40" s="2"/>
      <c r="G40" s="2"/>
      <c r="H40" s="2">
        <f t="shared" si="6"/>
        <v>21.125</v>
      </c>
      <c r="I40" s="2">
        <f t="shared" si="7"/>
        <v>20.125</v>
      </c>
      <c r="J40" s="4">
        <f t="shared" si="8"/>
        <v>41.25</v>
      </c>
      <c r="K40" s="11"/>
    </row>
    <row r="41" spans="1:11" ht="18.75" customHeight="1" x14ac:dyDescent="0.25">
      <c r="A41" s="10" t="s">
        <v>61</v>
      </c>
      <c r="B41" s="2"/>
      <c r="C41" s="2"/>
      <c r="D41" s="2"/>
      <c r="E41" s="2"/>
      <c r="F41" s="30"/>
      <c r="G41" s="30">
        <v>2</v>
      </c>
      <c r="H41" s="2">
        <f>H40-F41-D41+B41</f>
        <v>21.125</v>
      </c>
      <c r="I41" s="2">
        <f>I40-E41+C41</f>
        <v>20.125</v>
      </c>
      <c r="J41" s="4">
        <f t="shared" si="8"/>
        <v>41.25</v>
      </c>
      <c r="K41" s="11"/>
    </row>
    <row r="42" spans="1:11" ht="18.75" customHeight="1" x14ac:dyDescent="0.25">
      <c r="A42" s="10" t="s">
        <v>63</v>
      </c>
      <c r="B42" s="2"/>
      <c r="C42" s="2"/>
      <c r="D42" s="2"/>
      <c r="E42" s="2"/>
      <c r="F42" s="30">
        <v>3</v>
      </c>
      <c r="G42" s="30"/>
      <c r="H42" s="2">
        <f>H41-F42-D42+B42</f>
        <v>18.125</v>
      </c>
      <c r="I42" s="2">
        <f>I41-E42+C42</f>
        <v>20.125</v>
      </c>
      <c r="J42" s="4">
        <f t="shared" si="8"/>
        <v>38.25</v>
      </c>
      <c r="K42" s="11"/>
    </row>
    <row r="43" spans="1:11" ht="18.75" customHeight="1" x14ac:dyDescent="0.25">
      <c r="A43" s="32" t="s">
        <v>64</v>
      </c>
      <c r="B43" s="2">
        <v>1.25</v>
      </c>
      <c r="C43" s="2">
        <v>1.25</v>
      </c>
      <c r="D43" s="2"/>
      <c r="E43" s="2"/>
      <c r="F43" s="30"/>
      <c r="G43" s="30"/>
      <c r="H43" s="2">
        <f t="shared" ref="H43:H44" si="9">H42-F43-D43+B43</f>
        <v>19.375</v>
      </c>
      <c r="I43" s="2">
        <f t="shared" ref="I43:I44" si="10">I42-E43+C43</f>
        <v>21.375</v>
      </c>
      <c r="J43" s="4">
        <f t="shared" ref="J43:J44" si="11">SUM(H43:I43)</f>
        <v>40.75</v>
      </c>
      <c r="K43" s="11"/>
    </row>
    <row r="44" spans="1:11" ht="18.75" customHeight="1" x14ac:dyDescent="0.25">
      <c r="A44" s="32" t="s">
        <v>65</v>
      </c>
      <c r="B44" s="2"/>
      <c r="C44" s="2"/>
      <c r="D44" s="2"/>
      <c r="E44" s="2"/>
      <c r="F44" s="30">
        <v>2</v>
      </c>
      <c r="G44" s="30"/>
      <c r="H44" s="2">
        <f t="shared" si="9"/>
        <v>17.375</v>
      </c>
      <c r="I44" s="2">
        <f t="shared" si="10"/>
        <v>21.375</v>
      </c>
      <c r="J44" s="4">
        <f t="shared" si="11"/>
        <v>38.75</v>
      </c>
      <c r="K44" s="11"/>
    </row>
    <row r="45" spans="1:11" ht="18.75" customHeight="1" x14ac:dyDescent="0.25">
      <c r="A45" s="32" t="s">
        <v>66</v>
      </c>
      <c r="B45" s="30">
        <v>1.25</v>
      </c>
      <c r="C45" s="30">
        <v>1.25</v>
      </c>
      <c r="D45" s="30"/>
      <c r="E45" s="30"/>
      <c r="F45" s="30"/>
      <c r="G45" s="30"/>
      <c r="H45" s="2">
        <f t="shared" ref="H45:H47" si="12">H44-F45-D45+B45</f>
        <v>18.625</v>
      </c>
      <c r="I45" s="2">
        <f t="shared" ref="I45:I47" si="13">I44-E45+C45</f>
        <v>22.625</v>
      </c>
      <c r="J45" s="4">
        <f t="shared" ref="J45:J47" si="14">SUM(H45:I45)</f>
        <v>41.25</v>
      </c>
      <c r="K45" s="11"/>
    </row>
    <row r="46" spans="1:11" ht="18.75" customHeight="1" x14ac:dyDescent="0.25">
      <c r="A46" s="32" t="s">
        <v>67</v>
      </c>
      <c r="B46" s="30">
        <v>1.25</v>
      </c>
      <c r="C46" s="30">
        <v>1.25</v>
      </c>
      <c r="D46" s="30"/>
      <c r="E46" s="30"/>
      <c r="F46" s="30"/>
      <c r="G46" s="30"/>
      <c r="H46" s="2">
        <f t="shared" si="12"/>
        <v>19.875</v>
      </c>
      <c r="I46" s="2">
        <f t="shared" si="13"/>
        <v>23.875</v>
      </c>
      <c r="J46" s="4">
        <f t="shared" si="14"/>
        <v>43.75</v>
      </c>
      <c r="K46" s="11"/>
    </row>
    <row r="47" spans="1:11" ht="18.75" customHeight="1" x14ac:dyDescent="0.25">
      <c r="A47" s="32" t="s">
        <v>68</v>
      </c>
      <c r="B47" s="30"/>
      <c r="C47" s="30"/>
      <c r="D47" s="30"/>
      <c r="E47" s="30"/>
      <c r="F47" s="30"/>
      <c r="G47" s="31">
        <v>2</v>
      </c>
      <c r="H47" s="2">
        <f t="shared" si="12"/>
        <v>19.875</v>
      </c>
      <c r="I47" s="2">
        <f t="shared" si="13"/>
        <v>23.875</v>
      </c>
      <c r="J47" s="4">
        <f t="shared" si="14"/>
        <v>43.75</v>
      </c>
      <c r="K47" s="11"/>
    </row>
    <row r="48" spans="1:11" ht="18.75" customHeight="1" x14ac:dyDescent="0.25">
      <c r="A48" s="32" t="s">
        <v>69</v>
      </c>
      <c r="B48" s="30">
        <v>2.5</v>
      </c>
      <c r="C48" s="30">
        <v>2.5</v>
      </c>
      <c r="D48" s="30"/>
      <c r="E48" s="30"/>
      <c r="F48" s="30"/>
      <c r="G48" s="30"/>
      <c r="H48" s="2">
        <f t="shared" ref="H48:H49" si="15">H47-F48-D48+B48</f>
        <v>22.375</v>
      </c>
      <c r="I48" s="2">
        <f t="shared" ref="I48:I49" si="16">I47-E48+C48</f>
        <v>26.375</v>
      </c>
      <c r="J48" s="4">
        <f t="shared" ref="J48:J49" si="17">SUM(H48:I48)</f>
        <v>48.75</v>
      </c>
      <c r="K48" s="11"/>
    </row>
    <row r="49" spans="1:11" ht="18.75" customHeight="1" x14ac:dyDescent="0.25">
      <c r="A49" s="32" t="s">
        <v>70</v>
      </c>
      <c r="B49" s="30"/>
      <c r="C49" s="30"/>
      <c r="D49" s="30"/>
      <c r="E49" s="30"/>
      <c r="F49" s="30"/>
      <c r="G49" s="31">
        <v>1</v>
      </c>
      <c r="H49" s="2">
        <f t="shared" si="15"/>
        <v>22.375</v>
      </c>
      <c r="I49" s="2">
        <f t="shared" si="16"/>
        <v>26.375</v>
      </c>
      <c r="J49" s="4">
        <f t="shared" si="17"/>
        <v>48.75</v>
      </c>
      <c r="K49" s="11"/>
    </row>
    <row r="50" spans="1:11" ht="18.75" customHeight="1" x14ac:dyDescent="0.25">
      <c r="A50" s="32" t="s">
        <v>71</v>
      </c>
      <c r="B50" s="30">
        <v>1.25</v>
      </c>
      <c r="C50" s="30">
        <v>1.25</v>
      </c>
      <c r="D50" s="30"/>
      <c r="E50" s="30"/>
      <c r="F50" s="30"/>
      <c r="G50" s="30"/>
      <c r="H50" s="2">
        <f t="shared" ref="H50:H51" si="18">H49-F50-D50+B50</f>
        <v>23.625</v>
      </c>
      <c r="I50" s="2">
        <f t="shared" ref="I50:I51" si="19">I49-E50+C50</f>
        <v>27.625</v>
      </c>
      <c r="J50" s="4">
        <f t="shared" ref="J50:J51" si="20">SUM(H50:I50)</f>
        <v>51.25</v>
      </c>
      <c r="K50" s="11"/>
    </row>
    <row r="51" spans="1:11" ht="18.75" customHeight="1" x14ac:dyDescent="0.25">
      <c r="A51" s="32" t="s">
        <v>72</v>
      </c>
      <c r="B51" s="30"/>
      <c r="C51" s="30"/>
      <c r="D51" s="30"/>
      <c r="E51" s="30"/>
      <c r="F51" s="33">
        <v>4</v>
      </c>
      <c r="G51" s="30"/>
      <c r="H51" s="2">
        <f t="shared" si="18"/>
        <v>19.625</v>
      </c>
      <c r="I51" s="2">
        <f t="shared" si="19"/>
        <v>27.625</v>
      </c>
      <c r="J51" s="4">
        <f t="shared" si="20"/>
        <v>47.25</v>
      </c>
      <c r="K51" s="11"/>
    </row>
    <row r="52" spans="1:11" ht="18.75" customHeight="1" x14ac:dyDescent="0.25">
      <c r="A52" s="32" t="s">
        <v>73</v>
      </c>
      <c r="B52" s="30">
        <v>3.75</v>
      </c>
      <c r="C52" s="30">
        <v>3.75</v>
      </c>
      <c r="D52" s="30"/>
      <c r="E52" s="30"/>
      <c r="F52" s="30"/>
      <c r="G52" s="30"/>
      <c r="H52" s="2">
        <f t="shared" ref="H52:H53" si="21">H51-F52-D52+B52</f>
        <v>23.375</v>
      </c>
      <c r="I52" s="2">
        <f t="shared" ref="I52:I53" si="22">I51-E52+C52</f>
        <v>31.375</v>
      </c>
      <c r="J52" s="4">
        <f t="shared" ref="J52:J53" si="23">SUM(H52:I52)</f>
        <v>54.75</v>
      </c>
      <c r="K52" s="11"/>
    </row>
    <row r="53" spans="1:11" ht="18.75" customHeight="1" x14ac:dyDescent="0.25">
      <c r="A53" s="32" t="s">
        <v>74</v>
      </c>
      <c r="B53" s="30"/>
      <c r="C53" s="30"/>
      <c r="D53" s="30"/>
      <c r="E53" s="30"/>
      <c r="F53" s="33">
        <v>1</v>
      </c>
      <c r="G53" s="30"/>
      <c r="H53" s="2">
        <f t="shared" si="21"/>
        <v>22.375</v>
      </c>
      <c r="I53" s="2">
        <f t="shared" si="22"/>
        <v>31.375</v>
      </c>
      <c r="J53" s="4">
        <f t="shared" si="23"/>
        <v>53.75</v>
      </c>
      <c r="K53" s="11"/>
    </row>
    <row r="54" spans="1:11" ht="18.75" customHeight="1" x14ac:dyDescent="0.25">
      <c r="A54" s="32" t="s">
        <v>79</v>
      </c>
      <c r="B54" s="30">
        <v>6.25</v>
      </c>
      <c r="C54" s="30">
        <v>6.25</v>
      </c>
      <c r="D54" s="30"/>
      <c r="E54" s="30"/>
      <c r="F54" s="30"/>
      <c r="G54" s="30"/>
      <c r="H54" s="2">
        <f t="shared" ref="H54" si="24">H53-F54-D54+B54</f>
        <v>28.625</v>
      </c>
      <c r="I54" s="2">
        <f t="shared" ref="I54" si="25">I53-E54+C54</f>
        <v>37.625</v>
      </c>
      <c r="J54" s="4">
        <f t="shared" ref="J54" si="26">SUM(H54:I54)</f>
        <v>66.25</v>
      </c>
      <c r="K54" s="11"/>
    </row>
    <row r="55" spans="1:11" ht="18.75" customHeight="1" x14ac:dyDescent="0.25">
      <c r="A55" s="12"/>
      <c r="B55" s="34"/>
      <c r="C55" s="34"/>
      <c r="D55" s="34"/>
      <c r="E55" s="34"/>
      <c r="F55" s="34"/>
      <c r="G55" s="34"/>
      <c r="H55" s="34"/>
      <c r="I55" s="34"/>
      <c r="J55" s="34"/>
      <c r="K55" s="11"/>
    </row>
    <row r="56" spans="1:11" ht="18.75" customHeight="1" x14ac:dyDescent="0.25">
      <c r="A56" s="12"/>
      <c r="B56" s="34"/>
      <c r="C56" s="34"/>
      <c r="D56" s="34"/>
      <c r="E56" s="34"/>
      <c r="F56" s="34"/>
      <c r="G56" s="34"/>
      <c r="H56" s="35"/>
      <c r="I56" s="35"/>
      <c r="J56" s="35"/>
      <c r="K56" s="11"/>
    </row>
    <row r="57" spans="1:11" s="1" customFormat="1" ht="15" customHeight="1" x14ac:dyDescent="0.25">
      <c r="G57" s="1" t="s">
        <v>39</v>
      </c>
    </row>
    <row r="58" spans="1:11" s="1" customFormat="1" ht="15" customHeight="1" x14ac:dyDescent="0.25"/>
    <row r="59" spans="1:11" s="1" customFormat="1" ht="15" customHeight="1" x14ac:dyDescent="0.25">
      <c r="G59" s="3" t="s">
        <v>40</v>
      </c>
      <c r="H59" s="3"/>
    </row>
    <row r="60" spans="1:11" s="1" customFormat="1" ht="15" customHeight="1" x14ac:dyDescent="0.25">
      <c r="G60" s="1" t="s">
        <v>41</v>
      </c>
    </row>
    <row r="61" spans="1:11" s="1" customFormat="1" ht="15" customHeight="1" x14ac:dyDescent="0.25">
      <c r="G61" s="36" t="s">
        <v>42</v>
      </c>
      <c r="H61" s="36"/>
    </row>
    <row r="62" spans="1:11" x14ac:dyDescent="0.25">
      <c r="A62" s="12"/>
      <c r="B62" s="14"/>
      <c r="C62" s="14"/>
      <c r="D62" s="14"/>
      <c r="E62" s="14"/>
      <c r="F62" s="14"/>
      <c r="G62" s="14"/>
      <c r="H62" s="14"/>
      <c r="I62" s="14"/>
      <c r="J62" s="14"/>
      <c r="K62" s="11"/>
    </row>
    <row r="63" spans="1:11" x14ac:dyDescent="0.25">
      <c r="A63" s="12"/>
      <c r="B63" s="14"/>
      <c r="C63" s="14"/>
      <c r="D63" s="14"/>
      <c r="E63" s="14"/>
      <c r="F63" s="14"/>
      <c r="G63" s="14"/>
      <c r="H63" s="14"/>
      <c r="I63" s="14"/>
      <c r="J63" s="14"/>
      <c r="K63" s="11"/>
    </row>
    <row r="64" spans="1:11" x14ac:dyDescent="0.25">
      <c r="A64" s="12"/>
      <c r="B64" s="14"/>
      <c r="C64" s="14"/>
      <c r="D64" s="14"/>
      <c r="E64" s="14"/>
      <c r="F64" s="14"/>
      <c r="G64" s="14"/>
      <c r="H64" s="14"/>
      <c r="I64" s="14"/>
      <c r="J64" s="14"/>
      <c r="K64" s="11"/>
    </row>
    <row r="65" spans="1:1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1"/>
    </row>
    <row r="66" spans="1:1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1"/>
    </row>
    <row r="67" spans="1:1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1"/>
    </row>
    <row r="68" spans="1:1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1"/>
    </row>
    <row r="69" spans="1:1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1"/>
    </row>
    <row r="70" spans="1:1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1"/>
    </row>
  </sheetData>
  <mergeCells count="14">
    <mergeCell ref="A2:J2"/>
    <mergeCell ref="A3:J3"/>
    <mergeCell ref="A4:J4"/>
    <mergeCell ref="A5:J5"/>
    <mergeCell ref="B7:D7"/>
    <mergeCell ref="G61:H61"/>
    <mergeCell ref="B9:D9"/>
    <mergeCell ref="A10:J10"/>
    <mergeCell ref="K11:K12"/>
    <mergeCell ref="H11:I11"/>
    <mergeCell ref="A11:A12"/>
    <mergeCell ref="J11:J12"/>
    <mergeCell ref="D11:G11"/>
    <mergeCell ref="B11:C11"/>
  </mergeCells>
  <phoneticPr fontId="7" type="noConversion"/>
  <printOptions horizontalCentered="1"/>
  <pageMargins left="0.25" right="0.25" top="0.25" bottom="0.25" header="0.3" footer="0.3"/>
  <pageSetup paperSize="9"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8E8F-8AA7-4E76-8C52-9E904AF074A9}">
  <dimension ref="A1:L26"/>
  <sheetViews>
    <sheetView workbookViewId="0">
      <selection activeCell="B19" sqref="B19:E19"/>
    </sheetView>
  </sheetViews>
  <sheetFormatPr defaultRowHeight="15" x14ac:dyDescent="0.25"/>
  <cols>
    <col min="1" max="1" width="33.5703125" style="24" customWidth="1"/>
    <col min="2" max="10" width="9.140625" style="24"/>
    <col min="11" max="11" width="6" style="24" customWidth="1"/>
    <col min="12" max="12" width="9.140625" style="24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x14ac:dyDescent="0.25">
      <c r="A5" s="56" t="s">
        <v>23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 x14ac:dyDescent="0.25">
      <c r="A6" s="56" t="s">
        <v>24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2" x14ac:dyDescent="0.25">
      <c r="A7" s="56" t="s">
        <v>25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1:12" x14ac:dyDescent="0.25">
      <c r="A8" s="56" t="s">
        <v>26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</row>
    <row r="9" spans="1:12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x14ac:dyDescent="0.25">
      <c r="A10" s="15" t="s">
        <v>27</v>
      </c>
      <c r="B10" s="15"/>
      <c r="C10" s="16" t="s">
        <v>28</v>
      </c>
      <c r="D10" s="16"/>
      <c r="E10" s="15"/>
      <c r="F10" s="15"/>
      <c r="G10" s="16" t="s">
        <v>9</v>
      </c>
      <c r="H10" s="17"/>
      <c r="I10" s="15"/>
      <c r="J10" s="15"/>
      <c r="K10" s="15"/>
      <c r="L10" s="15"/>
    </row>
    <row r="11" spans="1:12" x14ac:dyDescent="0.25">
      <c r="A11" s="15"/>
      <c r="B11" s="15"/>
      <c r="C11" s="18"/>
      <c r="D11" s="15"/>
      <c r="E11" s="15"/>
      <c r="F11" s="15"/>
      <c r="G11" s="18"/>
      <c r="H11" s="18"/>
      <c r="I11" s="15"/>
      <c r="J11" s="15"/>
      <c r="K11" s="15"/>
      <c r="L11" s="15"/>
    </row>
    <row r="12" spans="1:12" x14ac:dyDescent="0.25">
      <c r="A12" s="15" t="s">
        <v>29</v>
      </c>
      <c r="B12" s="15"/>
      <c r="C12" s="16" t="s">
        <v>30</v>
      </c>
      <c r="D12" s="16"/>
      <c r="E12" s="15"/>
      <c r="F12" s="15"/>
      <c r="G12" s="16" t="s">
        <v>10</v>
      </c>
      <c r="H12" s="19"/>
      <c r="I12" s="15"/>
      <c r="J12" s="15"/>
      <c r="K12" s="15"/>
      <c r="L12" s="15"/>
    </row>
    <row r="13" spans="1:12" ht="21" x14ac:dyDescent="0.25">
      <c r="A13" s="57" t="s">
        <v>43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2" x14ac:dyDescent="0.25">
      <c r="A14" s="58" t="s">
        <v>4</v>
      </c>
      <c r="B14" s="59" t="s">
        <v>5</v>
      </c>
      <c r="C14" s="59"/>
      <c r="D14" s="59"/>
      <c r="E14" s="59"/>
      <c r="F14" s="59"/>
      <c r="G14" s="59"/>
      <c r="H14" s="59"/>
      <c r="I14" s="59"/>
      <c r="J14" s="59"/>
      <c r="K14" s="59"/>
      <c r="L14" s="58" t="s">
        <v>8</v>
      </c>
    </row>
    <row r="15" spans="1:12" x14ac:dyDescent="0.25">
      <c r="A15" s="58"/>
      <c r="B15" s="60" t="s">
        <v>44</v>
      </c>
      <c r="C15" s="60"/>
      <c r="D15" s="60"/>
      <c r="E15" s="60"/>
      <c r="F15" s="60" t="s">
        <v>45</v>
      </c>
      <c r="G15" s="60"/>
      <c r="H15" s="60" t="s">
        <v>46</v>
      </c>
      <c r="I15" s="60"/>
      <c r="J15" s="60" t="s">
        <v>47</v>
      </c>
      <c r="K15" s="60"/>
      <c r="L15" s="58"/>
    </row>
    <row r="16" spans="1:12" ht="24.75" customHeight="1" x14ac:dyDescent="0.25">
      <c r="A16" s="25" t="s">
        <v>48</v>
      </c>
      <c r="B16" s="53" t="s">
        <v>49</v>
      </c>
      <c r="C16" s="53"/>
      <c r="D16" s="53"/>
      <c r="E16" s="53"/>
      <c r="F16" s="54">
        <v>2</v>
      </c>
      <c r="G16" s="54"/>
      <c r="H16" s="54">
        <v>0</v>
      </c>
      <c r="I16" s="54"/>
      <c r="J16" s="54">
        <v>2</v>
      </c>
      <c r="K16" s="54"/>
      <c r="L16" s="27">
        <v>2</v>
      </c>
    </row>
    <row r="17" spans="1:12" ht="27" customHeight="1" x14ac:dyDescent="0.25">
      <c r="A17" s="25" t="s">
        <v>51</v>
      </c>
      <c r="B17" s="53" t="s">
        <v>49</v>
      </c>
      <c r="C17" s="53"/>
      <c r="D17" s="53"/>
      <c r="E17" s="53"/>
      <c r="F17" s="54">
        <v>2</v>
      </c>
      <c r="G17" s="54"/>
      <c r="H17" s="54">
        <v>2</v>
      </c>
      <c r="I17" s="54"/>
      <c r="J17" s="54">
        <v>0</v>
      </c>
      <c r="K17" s="54"/>
      <c r="L17" s="28">
        <v>0</v>
      </c>
    </row>
    <row r="18" spans="1:12" ht="28.5" customHeight="1" x14ac:dyDescent="0.25">
      <c r="A18" s="25" t="s">
        <v>54</v>
      </c>
      <c r="B18" s="53" t="s">
        <v>55</v>
      </c>
      <c r="C18" s="53"/>
      <c r="D18" s="53"/>
      <c r="E18" s="53"/>
      <c r="F18" s="53">
        <v>1</v>
      </c>
      <c r="G18" s="53"/>
      <c r="H18" s="53">
        <v>0</v>
      </c>
      <c r="I18" s="53"/>
      <c r="J18" s="53">
        <v>1</v>
      </c>
      <c r="K18" s="53"/>
      <c r="L18" s="26">
        <v>1</v>
      </c>
    </row>
    <row r="19" spans="1:12" ht="28.5" customHeight="1" x14ac:dyDescent="0.25">
      <c r="A19" s="25" t="s">
        <v>56</v>
      </c>
      <c r="B19" s="53" t="s">
        <v>55</v>
      </c>
      <c r="C19" s="53"/>
      <c r="D19" s="53"/>
      <c r="E19" s="53"/>
      <c r="F19" s="53">
        <v>1</v>
      </c>
      <c r="G19" s="53"/>
      <c r="H19" s="53">
        <v>1</v>
      </c>
      <c r="I19" s="53"/>
      <c r="J19" s="53">
        <v>0</v>
      </c>
      <c r="K19" s="53"/>
      <c r="L19" s="26">
        <v>0</v>
      </c>
    </row>
    <row r="20" spans="1:12" x14ac:dyDescent="0.25">
      <c r="A20" s="20" t="s">
        <v>50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</row>
    <row r="22" spans="1:12" x14ac:dyDescent="0.25">
      <c r="A22" s="15" t="s">
        <v>39</v>
      </c>
      <c r="B22" s="15"/>
      <c r="C22" s="23"/>
      <c r="D22" s="15"/>
      <c r="E22" s="15"/>
      <c r="F22" s="15"/>
      <c r="G22" s="15"/>
      <c r="H22" s="15"/>
      <c r="I22" s="15"/>
      <c r="J22" s="15"/>
      <c r="K22" s="15"/>
      <c r="L22" s="15"/>
    </row>
    <row r="23" spans="1:12" x14ac:dyDescent="0.25">
      <c r="A23" s="15"/>
      <c r="B23" s="15"/>
      <c r="C23" s="23"/>
      <c r="D23" s="15"/>
      <c r="E23" s="15"/>
      <c r="F23" s="15"/>
      <c r="G23" s="15"/>
      <c r="H23" s="15"/>
      <c r="I23" s="15"/>
      <c r="J23" s="15"/>
      <c r="K23" s="15"/>
      <c r="L23" s="15"/>
    </row>
    <row r="24" spans="1:12" x14ac:dyDescent="0.25">
      <c r="A24" s="50" t="s">
        <v>40</v>
      </c>
      <c r="B24" s="50"/>
    </row>
    <row r="25" spans="1:12" x14ac:dyDescent="0.25">
      <c r="A25" s="51" t="s">
        <v>41</v>
      </c>
      <c r="B25" s="51"/>
    </row>
    <row r="26" spans="1:12" x14ac:dyDescent="0.25">
      <c r="A26" s="52" t="s">
        <v>42</v>
      </c>
      <c r="B26" s="52"/>
    </row>
  </sheetData>
  <mergeCells count="32">
    <mergeCell ref="A14:A15"/>
    <mergeCell ref="B14:K14"/>
    <mergeCell ref="L14:L15"/>
    <mergeCell ref="B15:E15"/>
    <mergeCell ref="F15:G15"/>
    <mergeCell ref="H15:I15"/>
    <mergeCell ref="J15:K15"/>
    <mergeCell ref="A5:L5"/>
    <mergeCell ref="A6:L6"/>
    <mergeCell ref="A7:L7"/>
    <mergeCell ref="A8:L8"/>
    <mergeCell ref="A13:L13"/>
    <mergeCell ref="B16:E16"/>
    <mergeCell ref="F16:G16"/>
    <mergeCell ref="H16:I16"/>
    <mergeCell ref="J16:K16"/>
    <mergeCell ref="A21:L21"/>
    <mergeCell ref="H17:I17"/>
    <mergeCell ref="J17:K17"/>
    <mergeCell ref="H18:I18"/>
    <mergeCell ref="H19:I19"/>
    <mergeCell ref="J18:K18"/>
    <mergeCell ref="J19:K19"/>
    <mergeCell ref="A24:B24"/>
    <mergeCell ref="A25:B25"/>
    <mergeCell ref="A26:B26"/>
    <mergeCell ref="B17:E17"/>
    <mergeCell ref="F17:G17"/>
    <mergeCell ref="B18:E18"/>
    <mergeCell ref="B19:E19"/>
    <mergeCell ref="F18:G18"/>
    <mergeCell ref="F19:G19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2025-09-08T03:01:10Z</cp:lastPrinted>
  <dcterms:created xsi:type="dcterms:W3CDTF">2021-10-07T06:10:16Z</dcterms:created>
  <dcterms:modified xsi:type="dcterms:W3CDTF">2026-01-08T02:37:40Z</dcterms:modified>
</cp:coreProperties>
</file>