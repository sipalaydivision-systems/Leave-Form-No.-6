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DC1AA9F-46D7-4772-8CC3-ED2FC54B7D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8" r:id="rId2"/>
  </sheets>
  <definedNames>
    <definedName name="_xlnm.Print_Area" localSheetId="0">'Leave Card (NE)'!$A$1:$J$92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6" l="1"/>
  <c r="I86" i="6"/>
  <c r="J86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H13" i="6"/>
  <c r="J13" i="6" s="1"/>
  <c r="H14" i="6" l="1"/>
  <c r="H15" i="6" s="1"/>
  <c r="J15" i="6"/>
  <c r="H16" i="6"/>
  <c r="J14" i="6"/>
  <c r="H17" i="6" l="1"/>
  <c r="J16" i="6"/>
  <c r="J17" i="6" l="1"/>
  <c r="H18" i="6"/>
  <c r="H19" i="6" l="1"/>
  <c r="J18" i="6"/>
  <c r="J19" i="6" l="1"/>
  <c r="H20" i="6"/>
  <c r="H21" i="6" l="1"/>
  <c r="J20" i="6"/>
  <c r="J21" i="6" l="1"/>
  <c r="H22" i="6"/>
  <c r="H23" i="6" l="1"/>
  <c r="J22" i="6"/>
  <c r="J23" i="6" l="1"/>
  <c r="H24" i="6"/>
  <c r="H25" i="6" l="1"/>
  <c r="J24" i="6"/>
  <c r="J25" i="6" l="1"/>
  <c r="H26" i="6"/>
  <c r="H27" i="6" l="1"/>
  <c r="J26" i="6"/>
  <c r="J27" i="6" l="1"/>
  <c r="H28" i="6"/>
  <c r="H29" i="6" l="1"/>
  <c r="J28" i="6"/>
  <c r="J29" i="6" l="1"/>
  <c r="H30" i="6"/>
  <c r="H31" i="6" l="1"/>
  <c r="J30" i="6"/>
  <c r="J31" i="6" l="1"/>
  <c r="H32" i="6"/>
  <c r="H33" i="6" l="1"/>
  <c r="J32" i="6"/>
  <c r="J33" i="6" l="1"/>
  <c r="H34" i="6"/>
  <c r="H35" i="6" l="1"/>
  <c r="J34" i="6"/>
  <c r="J35" i="6" l="1"/>
  <c r="H36" i="6"/>
  <c r="H37" i="6" l="1"/>
  <c r="J36" i="6"/>
  <c r="J37" i="6" l="1"/>
  <c r="H38" i="6"/>
  <c r="H39" i="6" l="1"/>
  <c r="J38" i="6"/>
  <c r="J39" i="6" l="1"/>
  <c r="H40" i="6"/>
  <c r="H41" i="6" l="1"/>
  <c r="J40" i="6"/>
  <c r="J41" i="6" l="1"/>
  <c r="H42" i="6"/>
  <c r="H43" i="6" l="1"/>
  <c r="J42" i="6"/>
  <c r="J43" i="6" l="1"/>
  <c r="H44" i="6"/>
  <c r="H45" i="6" l="1"/>
  <c r="J44" i="6"/>
  <c r="J45" i="6" l="1"/>
  <c r="H46" i="6"/>
  <c r="H47" i="6" l="1"/>
  <c r="J46" i="6"/>
  <c r="J47" i="6" l="1"/>
  <c r="H48" i="6"/>
  <c r="H49" i="6" l="1"/>
  <c r="J48" i="6"/>
  <c r="J49" i="6" l="1"/>
  <c r="H50" i="6"/>
  <c r="H51" i="6" l="1"/>
  <c r="J50" i="6"/>
  <c r="J51" i="6" l="1"/>
  <c r="H52" i="6"/>
  <c r="H53" i="6" l="1"/>
  <c r="J52" i="6"/>
  <c r="J53" i="6" l="1"/>
  <c r="H54" i="6"/>
  <c r="H55" i="6" l="1"/>
  <c r="J54" i="6"/>
  <c r="J55" i="6" l="1"/>
  <c r="H56" i="6"/>
  <c r="H57" i="6" l="1"/>
  <c r="J56" i="6"/>
  <c r="J57" i="6" l="1"/>
  <c r="H58" i="6"/>
  <c r="H59" i="6" l="1"/>
  <c r="J58" i="6"/>
  <c r="J59" i="6" l="1"/>
  <c r="H60" i="6"/>
  <c r="H61" i="6" l="1"/>
  <c r="J60" i="6"/>
  <c r="J61" i="6" l="1"/>
  <c r="H62" i="6"/>
  <c r="H63" i="6" l="1"/>
  <c r="J62" i="6"/>
  <c r="J63" i="6" l="1"/>
  <c r="H64" i="6"/>
  <c r="H65" i="6" l="1"/>
  <c r="J64" i="6"/>
  <c r="J65" i="6" l="1"/>
  <c r="H66" i="6"/>
  <c r="H67" i="6" l="1"/>
  <c r="J66" i="6"/>
  <c r="J67" i="6" l="1"/>
  <c r="H68" i="6"/>
  <c r="H69" i="6" l="1"/>
  <c r="J68" i="6"/>
  <c r="J69" i="6" l="1"/>
  <c r="H70" i="6"/>
  <c r="H71" i="6" l="1"/>
  <c r="J70" i="6"/>
  <c r="J71" i="6" l="1"/>
  <c r="H72" i="6"/>
  <c r="H73" i="6" l="1"/>
  <c r="J72" i="6"/>
  <c r="J73" i="6" l="1"/>
  <c r="H74" i="6"/>
  <c r="H75" i="6" l="1"/>
  <c r="J74" i="6"/>
  <c r="J75" i="6" l="1"/>
  <c r="H76" i="6"/>
  <c r="H77" i="6" l="1"/>
  <c r="J76" i="6"/>
  <c r="J77" i="6" l="1"/>
  <c r="H78" i="6"/>
  <c r="H79" i="6" l="1"/>
  <c r="J78" i="6"/>
  <c r="J79" i="6" l="1"/>
  <c r="H80" i="6"/>
  <c r="H81" i="6" l="1"/>
  <c r="J80" i="6"/>
  <c r="J81" i="6" l="1"/>
  <c r="H82" i="6"/>
  <c r="H83" i="6" l="1"/>
  <c r="J82" i="6"/>
  <c r="J83" i="6" l="1"/>
  <c r="H84" i="6"/>
  <c r="H85" i="6" l="1"/>
  <c r="J85" i="6" s="1"/>
  <c r="J84" i="6"/>
</calcChain>
</file>

<file path=xl/sharedStrings.xml><?xml version="1.0" encoding="utf-8"?>
<sst xmlns="http://schemas.openxmlformats.org/spreadsheetml/2006/main" count="129" uniqueCount="110">
  <si>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</si>
  <si>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</si>
  <si>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</si>
  <si>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</si>
  <si>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</si>
  <si>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 xml:space="preserve">              DISTRICT: ___________________________</t>
  </si>
  <si>
    <t>EMP. NO  :</t>
  </si>
  <si>
    <t>POSITION: __________________________</t>
  </si>
  <si>
    <t xml:space="preserve">           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</si>
  <si>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</si>
  <si>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</si>
  <si>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</si>
  <si>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</si>
  <si>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</si>
  <si>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</si>
  <si>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</si>
  <si>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</si>
  <si>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</si>
  <si>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</si>
  <si>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</t>
  </si>
  <si>
    <t>ADD: 12/15/21 - 12/31/21</t>
  </si>
  <si>
    <t>ADD: 01/01/22 - 01/31/22</t>
  </si>
  <si>
    <t>ADD: 02/01/22 - 05/31/22</t>
  </si>
  <si>
    <t>LESS: 06/01/22</t>
  </si>
  <si>
    <t>LESS: 06/17/22</t>
  </si>
  <si>
    <t>ADD: 06/01/22 - 07/31/22</t>
  </si>
  <si>
    <t>LESS: 08/05/22</t>
  </si>
  <si>
    <t>LESS: 08/23/22</t>
  </si>
  <si>
    <t>ADD: 08/01/22 - 08/31/22</t>
  </si>
  <si>
    <t>ADD: 09/01/22 - 09/30/22</t>
  </si>
  <si>
    <t>LESS: 10/14/22</t>
  </si>
  <si>
    <t>LESS: 10/28/22</t>
  </si>
  <si>
    <t>ADD: 10/01/22 - 11/30/22</t>
  </si>
  <si>
    <t>LESS: 12/09/22</t>
  </si>
  <si>
    <t>LESS: 11/28/22</t>
  </si>
  <si>
    <t>LESS: MONETIZATION 2022</t>
  </si>
  <si>
    <t>LESS: 12/26/22</t>
  </si>
  <si>
    <t>ADD: 12/01/2022-12/31/2022</t>
  </si>
  <si>
    <t>LESS: 12/29/22</t>
  </si>
  <si>
    <t>ADD: DISAPPROVED FL</t>
  </si>
  <si>
    <t>LESS: 01/24/23</t>
  </si>
  <si>
    <t>ADD: 01/01/2023 - 01/31/2023</t>
  </si>
  <si>
    <t>LESS: 01/11 &amp; 13 (PM) /23</t>
  </si>
  <si>
    <t>LESS: 02/02/23</t>
  </si>
  <si>
    <t>ADD: 02/01/2023 - 02/28/2023</t>
  </si>
  <si>
    <t>LESS: 02/27, 28 &amp; 03/01/23</t>
  </si>
  <si>
    <t>ADD: 03/01/2023 - 04/30/2023</t>
  </si>
  <si>
    <t>LESS: 03/29/23</t>
  </si>
  <si>
    <t>LESS: 05/12/23</t>
  </si>
  <si>
    <t>ADD: 05/01/2023 - 05/31/2023</t>
  </si>
  <si>
    <t>LESS: 06/16/23</t>
  </si>
  <si>
    <t>ADD: 06/01/2023 - 06/30/2023</t>
  </si>
  <si>
    <t>LESS: 07/17/23</t>
  </si>
  <si>
    <t>ADD: 07/01/2023 - 08/31/2023</t>
  </si>
  <si>
    <t>LESS: MONETIZATION 2023</t>
  </si>
  <si>
    <t>LESS: UNDERTIME: 08/29/2023</t>
  </si>
  <si>
    <t>LESS: LATE: 08/30/2023</t>
  </si>
  <si>
    <t>LESS: 09/25/2023</t>
  </si>
  <si>
    <t>LESS: 09/26-27/2023</t>
  </si>
  <si>
    <t>LESS: UNDERTIME 10/27/2023 PM</t>
  </si>
  <si>
    <t>ADD: 09/01/2023-10/31/2023</t>
  </si>
  <si>
    <t>LESS: 11/09/2023</t>
  </si>
  <si>
    <t>LESS: 11/20/2023</t>
  </si>
  <si>
    <t>LESS: 11/23/2023</t>
  </si>
  <si>
    <t>ADD: 11/01/2023-11/30/2023</t>
  </si>
  <si>
    <t>LESS: 12/22/2023</t>
  </si>
  <si>
    <t>ADD: 12/01/2023-12/31/2023</t>
  </si>
  <si>
    <t>LESS: 01/05/2024</t>
  </si>
  <si>
    <t>LESS: UNDERTIME: 12/29/2023</t>
  </si>
  <si>
    <t>ADD: 01/01-02/29/2024</t>
  </si>
  <si>
    <t>LESS: 03/21/2024</t>
  </si>
  <si>
    <t>ADD: 03/1/2024-06/30/2024</t>
  </si>
  <si>
    <t>LESS: 07/02/2024</t>
  </si>
  <si>
    <t>ADD: JULY 1-31, 2024</t>
  </si>
  <si>
    <t>LESS: 08/8/2024</t>
  </si>
  <si>
    <t>ADD: 08/1/2024-09/30/2024</t>
  </si>
  <si>
    <t>LESS: 10/21/2024</t>
  </si>
  <si>
    <t>LESS: 10/28/2024</t>
  </si>
  <si>
    <t>LESS: 10/30/2024</t>
  </si>
  <si>
    <t>ADD: 10/1/2024-11/30/2024</t>
  </si>
  <si>
    <t>LESS: 12/12, 13, 23, 27/2024</t>
  </si>
  <si>
    <t>ADD: 12/1-31/2024</t>
  </si>
  <si>
    <t>ADD: 1/1-31/2025</t>
  </si>
  <si>
    <t>LESS: 02/17/2025</t>
  </si>
  <si>
    <t>ADD: 02/1/2025-03/31/2025</t>
  </si>
  <si>
    <t>LESS: 04/4/2025</t>
  </si>
  <si>
    <t>ADD: 04/1/2025-06/30/2025</t>
  </si>
  <si>
    <t>LESS: MONETIZATION 2025</t>
  </si>
  <si>
    <t>LESS: 07/11/2025</t>
  </si>
  <si>
    <t>ADD: 07/1/2025-09/30/2025</t>
  </si>
  <si>
    <t>LESS: 10/28-29/2025</t>
  </si>
  <si>
    <t>ADD: 10/1/2025-11/30/2025</t>
  </si>
  <si>
    <t>LESS: 12/10, 22/2025</t>
  </si>
  <si>
    <t>Certified Correct:</t>
  </si>
  <si>
    <t>MA. LUISA B. CATIGAN</t>
  </si>
  <si>
    <t>Administrative Officer IV</t>
  </si>
  <si>
    <t xml:space="preserve">                 HRMO</t>
  </si>
  <si>
    <t>DISTRICT: ___________________________</t>
  </si>
  <si>
    <t>SCHOOL/OFFICE:_____________________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</si>
  <si>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</si>
  <si>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</si>
  <si>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</si>
  <si>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</si>
  <si>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</si>
  <si>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ADD: 06/26/2024</t>
  </si>
  <si>
    <t>SO # 024, S. 2024 126TH PHIL. IND. DAY</t>
  </si>
  <si>
    <t>LESS: 01/31/2025</t>
  </si>
  <si>
    <t>NOTE:  Valid for one (1) year only</t>
  </si>
  <si>
    <t>HRMO</t>
  </si>
  <si>
    <t>LESS: 12/23/2025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</si>
</sst>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9" fillId="0" borderId="0"/>
  </cellStyleXfs>
  <cellXfs count="68">
    <xf numFmtId="0" fontId="0" fillId="0" borderId="0" xfId="0"/>
    <xf numFmtId="0" fontId="9" fillId="0" borderId="0" xfId="1"/>
    <xf numFmtId="0" fontId="9" fillId="2" borderId="0" xfId="1" applyFill="1"/>
    <xf numFmtId="0" fontId="1" fillId="2" borderId="0" xfId="1" applyFont="1" applyFill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1" xfId="1" applyFont="1" applyFill="1" applyBorder="1" applyAlignment="1">
      <alignment vertical="center"/>
    </xf>
    <xf numFmtId="0" fontId="9" fillId="0" borderId="6" xfId="1" applyBorder="1" applyAlignment="1">
      <alignment horizontal="center" vertical="center" wrapText="1"/>
    </xf>
    <xf numFmtId="0" fontId="9" fillId="0" borderId="10" xfId="1" applyBorder="1" applyAlignment="1">
      <alignment horizontal="center" vertical="center" wrapText="1"/>
    </xf>
    <xf numFmtId="0" fontId="9" fillId="0" borderId="0" xfId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9" fillId="2" borderId="0" xfId="1" applyFill="1" applyAlignment="1">
      <alignment horizontal="center"/>
    </xf>
    <xf numFmtId="0" fontId="9" fillId="0" borderId="13" xfId="1" applyBorder="1" applyAlignment="1">
      <alignment horizontal="center" vertical="center" wrapText="1"/>
    </xf>
    <xf numFmtId="0" fontId="9" fillId="6" borderId="10" xfId="1" applyFill="1" applyBorder="1" applyAlignment="1">
      <alignment horizontal="center" vertical="center" wrapText="1"/>
    </xf>
    <xf numFmtId="0" fontId="9" fillId="2" borderId="0" xfId="1" applyFill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7" fillId="2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8" fillId="2" borderId="18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 wrapText="1"/>
    </xf>
    <xf numFmtId="164" fontId="7" fillId="2" borderId="10" xfId="0" applyNumberFormat="1" applyFont="1" applyFill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8" fillId="11" borderId="10" xfId="0" applyFont="1" applyFill="1" applyBorder="1" applyAlignment="1">
      <alignment horizontal="center"/>
    </xf>
    <xf numFmtId="0" fontId="8" fillId="12" borderId="10" xfId="0" applyFont="1" applyFill="1" applyBorder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6" fillId="2" borderId="0" xfId="0" applyFont="1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4" fillId="5" borderId="7" xfId="1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9" fillId="0" borderId="0" xfId="1" applyAlignment="1">
      <alignment horizontal="center"/>
    </xf>
    <xf numFmtId="0" fontId="9" fillId="0" borderId="0" xfId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428626</xdr:colOff>
      <xdr:row>0</xdr:row>
      <xdr:rowOff>82550</xdr:rowOff>
    </xdr:from>
    <xdr:to>
      <xdr:col>4</xdr:col>
      <xdr:colOff>479555</xdr:colOff>
      <xdr:row>0</xdr:row>
      <xdr:rowOff>612775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85005" y="82550"/>
          <a:ext cx="8445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361950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405" y="1376045"/>
          <a:ext cx="225742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MASELLONES, MA. KATHERINE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585" y="1725930"/>
          <a:ext cx="185229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 VI - PDO I </a:t>
          </a:r>
          <a:endParaRPr lang="en-US" sz="1100"/>
        </a:p>
      </xdr:txBody>
    </xdr:sp>
    <xdr:clientData/>
  </xdr:twoCellAnchor>
  <xdr:twoCellAnchor>
    <xdr:from>
      <xdr:col>2</xdr:col>
      <xdr:colOff>586643</xdr:colOff>
      <xdr:row>7</xdr:row>
      <xdr:rowOff>33216</xdr:rowOff>
    </xdr:from>
    <xdr:to>
      <xdr:col>5</xdr:col>
      <xdr:colOff>4396</xdr:colOff>
      <xdr:row>8</xdr:row>
      <xdr:rowOff>130909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848735" y="1697990"/>
          <a:ext cx="1798955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GIL MONTILLA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272596</xdr:colOff>
      <xdr:row>0</xdr:row>
      <xdr:rowOff>29030</xdr:rowOff>
    </xdr:from>
    <xdr:ext cx="708251" cy="59444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35730" y="28575"/>
          <a:ext cx="708025" cy="594360"/>
        </a:xfrm>
        <a:prstGeom prst="rect">
          <a:avLst/>
        </a:prstGeom>
        <a:noFill/>
      </xdr:spPr>
    </xdr:pic>
    <xdr:clientData/>
  </xdr:oneCellAnchor>
  <xdr:twoCellAnchor>
    <xdr:from>
      <xdr:col>0</xdr:col>
      <xdr:colOff>381000</xdr:colOff>
      <xdr:row>6</xdr:row>
      <xdr:rowOff>170961</xdr:rowOff>
    </xdr:from>
    <xdr:to>
      <xdr:col>2</xdr:col>
      <xdr:colOff>180975</xdr:colOff>
      <xdr:row>8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81000" y="1268095"/>
          <a:ext cx="220980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MASELLONES, MA. KATHERINE</a:t>
          </a:r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54050" y="1664970"/>
          <a:ext cx="97218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PDO I</a:t>
          </a:r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562985" y="1687830"/>
          <a:ext cx="1454785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GIL MONTILLA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4"/>
  <sheetViews>
    <sheetView tabSelected="1" view="pageBreakPreview" topLeftCell="A70" zoomScaleNormal="100" workbookViewId="0">
      <selection activeCell="E79" sqref="E79"/>
    </sheetView>
  </sheetViews>
  <sheetFormatPr defaultColWidth="9" defaultRowHeight="15"/>
  <cols>
    <col min="1" max="1" width="36" customWidth="1"/>
    <col min="2" max="10" width="11.5703125" customWidth="1"/>
  </cols>
  <sheetData>
    <row r="1" spans="1:10" s="17" customFormat="1" ht="52.5" customHeight="1"/>
    <row r="2" spans="1:10" s="17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s="17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s="17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s="17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</row>
    <row r="6" spans="1:10" s="17" customFormat="1" ht="8.25" customHeight="1"/>
    <row r="7" spans="1:10" s="17" customFormat="1" ht="12" customHeight="1">
      <c r="A7" s="17" t="s">
        <v>4</v>
      </c>
      <c r="B7" s="39" t="s">
        <v>5</v>
      </c>
      <c r="C7" s="39"/>
      <c r="D7" s="39"/>
      <c r="H7" s="18" t="s">
        <v>6</v>
      </c>
      <c r="I7" s="30"/>
      <c r="J7" s="18"/>
    </row>
    <row r="8" spans="1:10" s="17" customFormat="1" ht="12" customHeight="1">
      <c r="B8" s="19"/>
      <c r="C8" s="19"/>
      <c r="H8" s="19"/>
      <c r="I8" s="19"/>
      <c r="J8" s="19"/>
    </row>
    <row r="9" spans="1:10" s="17" customFormat="1" ht="12" customHeight="1">
      <c r="A9" s="17" t="s">
        <v>7</v>
      </c>
      <c r="B9" s="39" t="s">
        <v>8</v>
      </c>
      <c r="C9" s="39"/>
      <c r="D9" s="39"/>
      <c r="H9" s="18" t="s">
        <v>9</v>
      </c>
      <c r="I9" s="31"/>
      <c r="J9" s="18"/>
    </row>
    <row r="10" spans="1:10" ht="16.5" customHeight="1">
      <c r="A10" s="40" t="s">
        <v>10</v>
      </c>
      <c r="B10" s="40"/>
      <c r="C10" s="40"/>
      <c r="D10" s="40"/>
      <c r="E10" s="40"/>
      <c r="F10" s="40"/>
      <c r="G10" s="40"/>
      <c r="H10" s="40"/>
      <c r="I10" s="40"/>
      <c r="J10" s="40"/>
    </row>
    <row r="11" spans="1:10" ht="18.75" customHeight="1">
      <c r="A11" s="46" t="s">
        <v>11</v>
      </c>
      <c r="B11" s="41" t="s">
        <v>12</v>
      </c>
      <c r="C11" s="41"/>
      <c r="D11" s="42" t="s">
        <v>13</v>
      </c>
      <c r="E11" s="43"/>
      <c r="F11" s="43"/>
      <c r="G11" s="44"/>
      <c r="H11" s="45" t="s">
        <v>14</v>
      </c>
      <c r="I11" s="45"/>
      <c r="J11" s="48" t="s">
        <v>15</v>
      </c>
    </row>
    <row r="12" spans="1:10" ht="18.75" customHeight="1">
      <c r="A12" s="47"/>
      <c r="B12" s="20" t="s">
        <v>16</v>
      </c>
      <c r="C12" s="20" t="s">
        <v>17</v>
      </c>
      <c r="D12" s="20" t="s">
        <v>16</v>
      </c>
      <c r="E12" s="20" t="s">
        <v>17</v>
      </c>
      <c r="F12" s="20" t="s">
        <v>18</v>
      </c>
      <c r="G12" s="20" t="s">
        <v>19</v>
      </c>
      <c r="H12" s="20" t="s">
        <v>16</v>
      </c>
      <c r="I12" s="20" t="s">
        <v>17</v>
      </c>
      <c r="J12" s="49"/>
    </row>
    <row r="13" spans="1:10" ht="15.95" customHeight="1">
      <c r="A13" s="21" t="s">
        <v>20</v>
      </c>
      <c r="B13" s="22">
        <v>0.70799999999999996</v>
      </c>
      <c r="C13" s="22">
        <v>0.70799999999999996</v>
      </c>
      <c r="D13" s="22"/>
      <c r="E13" s="22"/>
      <c r="F13" s="22"/>
      <c r="G13" s="22"/>
      <c r="H13" s="22">
        <f>SUM(B13)</f>
        <v>0.70799999999999996</v>
      </c>
      <c r="I13" s="22">
        <f>SUM(C13)</f>
        <v>0.70799999999999996</v>
      </c>
      <c r="J13" s="22">
        <f>SUM(H13:I13)</f>
        <v>1.4159999999999999</v>
      </c>
    </row>
    <row r="14" spans="1:10" ht="15.95" customHeight="1">
      <c r="A14" s="23" t="s">
        <v>21</v>
      </c>
      <c r="B14" s="24">
        <v>1.25</v>
      </c>
      <c r="C14" s="24">
        <v>1.25</v>
      </c>
      <c r="D14" s="24"/>
      <c r="E14" s="24"/>
      <c r="F14" s="24"/>
      <c r="G14" s="24"/>
      <c r="H14" s="24">
        <f>H13-F14-D14+B14</f>
        <v>1.958</v>
      </c>
      <c r="I14" s="24">
        <f>I13-E14+C14</f>
        <v>1.958</v>
      </c>
      <c r="J14" s="24">
        <f t="shared" ref="J14:J36" si="0">SUM(H14:I14)</f>
        <v>3.9159999999999999</v>
      </c>
    </row>
    <row r="15" spans="1:10" ht="15.95" customHeight="1">
      <c r="A15" s="23" t="s">
        <v>22</v>
      </c>
      <c r="B15" s="24">
        <v>5</v>
      </c>
      <c r="C15" s="24">
        <v>5</v>
      </c>
      <c r="D15" s="24"/>
      <c r="E15" s="24"/>
      <c r="F15" s="24"/>
      <c r="G15" s="24"/>
      <c r="H15" s="24">
        <f t="shared" ref="H15:H36" si="1">H14-F15-D15+B15</f>
        <v>6.9580000000000002</v>
      </c>
      <c r="I15" s="24">
        <f t="shared" ref="I15:I36" si="2">I14-E15+C15</f>
        <v>6.9580000000000002</v>
      </c>
      <c r="J15" s="24">
        <f t="shared" si="0"/>
        <v>13.916</v>
      </c>
    </row>
    <row r="16" spans="1:10" ht="15.95" customHeight="1">
      <c r="A16" s="23" t="s">
        <v>23</v>
      </c>
      <c r="B16" s="24"/>
      <c r="C16" s="24"/>
      <c r="D16" s="24"/>
      <c r="E16" s="24"/>
      <c r="F16" s="24"/>
      <c r="G16" s="24">
        <v>1</v>
      </c>
      <c r="H16" s="24">
        <f t="shared" si="1"/>
        <v>6.9580000000000002</v>
      </c>
      <c r="I16" s="24">
        <f t="shared" si="2"/>
        <v>6.9580000000000002</v>
      </c>
      <c r="J16" s="24">
        <f t="shared" si="0"/>
        <v>13.916</v>
      </c>
    </row>
    <row r="17" spans="1:10" ht="15.95" customHeight="1">
      <c r="A17" s="23" t="s">
        <v>24</v>
      </c>
      <c r="B17" s="25"/>
      <c r="C17" s="24"/>
      <c r="D17" s="24"/>
      <c r="E17" s="24"/>
      <c r="F17" s="24">
        <v>1</v>
      </c>
      <c r="G17" s="24"/>
      <c r="H17" s="24">
        <f t="shared" si="1"/>
        <v>5.9580000000000002</v>
      </c>
      <c r="I17" s="24">
        <f t="shared" si="2"/>
        <v>6.9580000000000002</v>
      </c>
      <c r="J17" s="24">
        <f t="shared" si="0"/>
        <v>12.916</v>
      </c>
    </row>
    <row r="18" spans="1:10" ht="15.95" customHeight="1">
      <c r="A18" s="23" t="s">
        <v>25</v>
      </c>
      <c r="B18" s="24">
        <v>2.5</v>
      </c>
      <c r="C18" s="24">
        <v>2.5</v>
      </c>
      <c r="D18" s="24"/>
      <c r="E18" s="24"/>
      <c r="F18" s="24"/>
      <c r="G18" s="24"/>
      <c r="H18" s="24">
        <f t="shared" si="1"/>
        <v>8.4580000000000002</v>
      </c>
      <c r="I18" s="24">
        <f t="shared" si="2"/>
        <v>9.4580000000000002</v>
      </c>
      <c r="J18" s="24">
        <f t="shared" si="0"/>
        <v>17.916</v>
      </c>
    </row>
    <row r="19" spans="1:10" ht="15.95" customHeight="1">
      <c r="A19" s="23" t="s">
        <v>26</v>
      </c>
      <c r="B19" s="24"/>
      <c r="C19" s="24"/>
      <c r="D19" s="24"/>
      <c r="E19" s="24"/>
      <c r="F19" s="24">
        <v>1</v>
      </c>
      <c r="G19" s="24"/>
      <c r="H19" s="24">
        <f t="shared" si="1"/>
        <v>7.4580000000000002</v>
      </c>
      <c r="I19" s="24">
        <f t="shared" si="2"/>
        <v>9.4580000000000002</v>
      </c>
      <c r="J19" s="24">
        <f t="shared" si="0"/>
        <v>16.916</v>
      </c>
    </row>
    <row r="20" spans="1:10" ht="15.95" customHeight="1">
      <c r="A20" s="23" t="s">
        <v>27</v>
      </c>
      <c r="B20" s="24"/>
      <c r="C20" s="24"/>
      <c r="D20" s="24"/>
      <c r="E20" s="24">
        <v>1</v>
      </c>
      <c r="F20" s="24"/>
      <c r="G20" s="24"/>
      <c r="H20" s="24">
        <f t="shared" si="1"/>
        <v>7.4580000000000002</v>
      </c>
      <c r="I20" s="24">
        <f t="shared" si="2"/>
        <v>8.4580000000000002</v>
      </c>
      <c r="J20" s="24">
        <f t="shared" si="0"/>
        <v>15.916</v>
      </c>
    </row>
    <row r="21" spans="1:10" ht="15.95" customHeight="1">
      <c r="A21" s="23" t="s">
        <v>28</v>
      </c>
      <c r="B21" s="24">
        <v>1.25</v>
      </c>
      <c r="C21" s="24">
        <v>1.25</v>
      </c>
      <c r="D21" s="24"/>
      <c r="E21" s="24"/>
      <c r="F21" s="24"/>
      <c r="G21" s="24"/>
      <c r="H21" s="24">
        <f t="shared" si="1"/>
        <v>8.7080000000000002</v>
      </c>
      <c r="I21" s="24">
        <f t="shared" si="2"/>
        <v>9.7080000000000002</v>
      </c>
      <c r="J21" s="24">
        <f t="shared" si="0"/>
        <v>18.416</v>
      </c>
    </row>
    <row r="22" spans="1:10" ht="15.95" customHeight="1">
      <c r="A22" s="23" t="s">
        <v>29</v>
      </c>
      <c r="B22" s="24">
        <v>1.25</v>
      </c>
      <c r="C22" s="24">
        <v>1.25</v>
      </c>
      <c r="D22" s="24"/>
      <c r="E22" s="24"/>
      <c r="F22" s="24"/>
      <c r="G22" s="24"/>
      <c r="H22" s="24">
        <f t="shared" si="1"/>
        <v>9.9580000000000002</v>
      </c>
      <c r="I22" s="24">
        <f t="shared" si="2"/>
        <v>10.958</v>
      </c>
      <c r="J22" s="24">
        <f t="shared" si="0"/>
        <v>20.916</v>
      </c>
    </row>
    <row r="23" spans="1:10" ht="15.95" customHeight="1">
      <c r="A23" s="23" t="s">
        <v>30</v>
      </c>
      <c r="B23" s="24"/>
      <c r="C23" s="24"/>
      <c r="D23" s="24"/>
      <c r="E23" s="24">
        <v>0.5</v>
      </c>
      <c r="F23" s="24"/>
      <c r="G23" s="24"/>
      <c r="H23" s="24">
        <f t="shared" si="1"/>
        <v>9.9580000000000002</v>
      </c>
      <c r="I23" s="24">
        <f t="shared" si="2"/>
        <v>10.458</v>
      </c>
      <c r="J23" s="24">
        <f t="shared" si="0"/>
        <v>20.416</v>
      </c>
    </row>
    <row r="24" spans="1:10" ht="15.95" customHeight="1">
      <c r="A24" s="23" t="s">
        <v>31</v>
      </c>
      <c r="B24" s="24"/>
      <c r="C24" s="24"/>
      <c r="D24" s="24"/>
      <c r="E24" s="24"/>
      <c r="F24" s="24"/>
      <c r="G24" s="24">
        <v>1</v>
      </c>
      <c r="H24" s="24">
        <f t="shared" si="1"/>
        <v>9.9580000000000002</v>
      </c>
      <c r="I24" s="24">
        <f t="shared" si="2"/>
        <v>10.458</v>
      </c>
      <c r="J24" s="24">
        <f t="shared" si="0"/>
        <v>20.416</v>
      </c>
    </row>
    <row r="25" spans="1:10" ht="15.95" customHeight="1">
      <c r="A25" s="23" t="s">
        <v>32</v>
      </c>
      <c r="B25" s="24">
        <v>2.5</v>
      </c>
      <c r="C25" s="24">
        <v>2.5</v>
      </c>
      <c r="D25" s="24"/>
      <c r="E25" s="24"/>
      <c r="F25" s="24"/>
      <c r="G25" s="24"/>
      <c r="H25" s="24">
        <f t="shared" si="1"/>
        <v>12.458</v>
      </c>
      <c r="I25" s="24">
        <f t="shared" si="2"/>
        <v>12.958</v>
      </c>
      <c r="J25" s="24">
        <f t="shared" si="0"/>
        <v>25.416</v>
      </c>
    </row>
    <row r="26" spans="1:10" ht="15.95" customHeight="1">
      <c r="A26" s="23" t="s">
        <v>33</v>
      </c>
      <c r="B26" s="24"/>
      <c r="C26" s="24"/>
      <c r="D26" s="24"/>
      <c r="E26" s="24"/>
      <c r="F26" s="24">
        <v>1</v>
      </c>
      <c r="G26" s="24"/>
      <c r="H26" s="24">
        <f t="shared" si="1"/>
        <v>11.458</v>
      </c>
      <c r="I26" s="24">
        <f t="shared" si="2"/>
        <v>12.958</v>
      </c>
      <c r="J26" s="24">
        <f t="shared" si="0"/>
        <v>24.416</v>
      </c>
    </row>
    <row r="27" spans="1:10" ht="15.95" customHeight="1">
      <c r="A27" s="23" t="s">
        <v>34</v>
      </c>
      <c r="B27" s="24"/>
      <c r="C27" s="24"/>
      <c r="D27" s="24"/>
      <c r="E27" s="24">
        <v>0.5</v>
      </c>
      <c r="F27" s="24"/>
      <c r="G27" s="24"/>
      <c r="H27" s="24">
        <f t="shared" si="1"/>
        <v>11.458</v>
      </c>
      <c r="I27" s="24">
        <f t="shared" si="2"/>
        <v>12.458</v>
      </c>
      <c r="J27" s="24">
        <f t="shared" si="0"/>
        <v>23.916</v>
      </c>
    </row>
    <row r="28" spans="1:10" ht="15.95" customHeight="1">
      <c r="A28" s="23" t="s">
        <v>35</v>
      </c>
      <c r="B28" s="24"/>
      <c r="C28" s="24"/>
      <c r="D28" s="24">
        <v>5</v>
      </c>
      <c r="E28" s="24">
        <v>7</v>
      </c>
      <c r="F28" s="24"/>
      <c r="G28" s="24"/>
      <c r="H28" s="24">
        <f t="shared" si="1"/>
        <v>6.4580000000000002</v>
      </c>
      <c r="I28" s="24">
        <f t="shared" si="2"/>
        <v>5.4580000000000002</v>
      </c>
      <c r="J28" s="24">
        <f t="shared" si="0"/>
        <v>11.916</v>
      </c>
    </row>
    <row r="29" spans="1:10" ht="15.95" customHeight="1">
      <c r="A29" s="23" t="s">
        <v>36</v>
      </c>
      <c r="B29" s="24"/>
      <c r="C29" s="24"/>
      <c r="D29" s="24"/>
      <c r="E29" s="24"/>
      <c r="F29" s="24">
        <v>1</v>
      </c>
      <c r="G29" s="24"/>
      <c r="H29" s="24">
        <f t="shared" si="1"/>
        <v>5.4580000000000002</v>
      </c>
      <c r="I29" s="24">
        <f t="shared" si="2"/>
        <v>5.4580000000000002</v>
      </c>
      <c r="J29" s="24">
        <f t="shared" si="0"/>
        <v>10.916</v>
      </c>
    </row>
    <row r="30" spans="1:10" ht="15.95" customHeight="1">
      <c r="A30" s="23" t="s">
        <v>37</v>
      </c>
      <c r="B30" s="24">
        <v>1.25</v>
      </c>
      <c r="C30" s="24">
        <v>1.25</v>
      </c>
      <c r="D30" s="24"/>
      <c r="E30" s="24"/>
      <c r="F30" s="24"/>
      <c r="G30" s="24"/>
      <c r="H30" s="24">
        <f t="shared" si="1"/>
        <v>6.7080000000000002</v>
      </c>
      <c r="I30" s="24">
        <f t="shared" si="2"/>
        <v>6.7080000000000002</v>
      </c>
      <c r="J30" s="24">
        <f t="shared" si="0"/>
        <v>13.416</v>
      </c>
    </row>
    <row r="31" spans="1:10" ht="15.95" customHeight="1">
      <c r="A31" s="23" t="s">
        <v>38</v>
      </c>
      <c r="B31" s="24"/>
      <c r="C31" s="24"/>
      <c r="D31" s="24"/>
      <c r="E31" s="24"/>
      <c r="F31" s="24">
        <v>1</v>
      </c>
      <c r="G31" s="24"/>
      <c r="H31" s="24">
        <f t="shared" si="1"/>
        <v>5.7080000000000002</v>
      </c>
      <c r="I31" s="24">
        <f t="shared" si="2"/>
        <v>6.7080000000000002</v>
      </c>
      <c r="J31" s="24">
        <f t="shared" si="0"/>
        <v>12.416</v>
      </c>
    </row>
    <row r="32" spans="1:10" ht="15.95" customHeight="1">
      <c r="A32" s="23" t="s">
        <v>39</v>
      </c>
      <c r="B32" s="26">
        <v>1</v>
      </c>
      <c r="C32" s="27"/>
      <c r="D32" s="27"/>
      <c r="E32" s="27"/>
      <c r="F32" s="27"/>
      <c r="G32" s="27"/>
      <c r="H32" s="24">
        <f t="shared" si="1"/>
        <v>6.7080000000000002</v>
      </c>
      <c r="I32" s="24">
        <f t="shared" si="2"/>
        <v>6.7080000000000002</v>
      </c>
      <c r="J32" s="24">
        <f t="shared" si="0"/>
        <v>13.416</v>
      </c>
    </row>
    <row r="33" spans="1:10" ht="15.95" customHeight="1">
      <c r="A33" s="23" t="s">
        <v>40</v>
      </c>
      <c r="B33" s="28"/>
      <c r="C33" s="28"/>
      <c r="D33" s="28"/>
      <c r="E33" s="28"/>
      <c r="F33" s="28">
        <v>1</v>
      </c>
      <c r="G33" s="28"/>
      <c r="H33" s="24">
        <f t="shared" si="1"/>
        <v>5.7080000000000002</v>
      </c>
      <c r="I33" s="24">
        <f t="shared" si="2"/>
        <v>6.7080000000000002</v>
      </c>
      <c r="J33" s="24">
        <f t="shared" si="0"/>
        <v>12.416</v>
      </c>
    </row>
    <row r="34" spans="1:10" ht="15.95" customHeight="1">
      <c r="A34" s="23" t="s">
        <v>41</v>
      </c>
      <c r="B34" s="24">
        <v>1.25</v>
      </c>
      <c r="C34" s="24">
        <v>1.25</v>
      </c>
      <c r="D34" s="28"/>
      <c r="E34" s="28"/>
      <c r="F34" s="28"/>
      <c r="G34" s="28"/>
      <c r="H34" s="24">
        <f t="shared" si="1"/>
        <v>6.9580000000000002</v>
      </c>
      <c r="I34" s="24">
        <f t="shared" si="2"/>
        <v>7.9580000000000002</v>
      </c>
      <c r="J34" s="24">
        <f t="shared" si="0"/>
        <v>14.916</v>
      </c>
    </row>
    <row r="35" spans="1:10" ht="15.95" customHeight="1">
      <c r="A35" s="23" t="s">
        <v>42</v>
      </c>
      <c r="B35" s="28"/>
      <c r="C35" s="28"/>
      <c r="D35" s="28"/>
      <c r="E35" s="28">
        <v>1.5</v>
      </c>
      <c r="F35" s="28"/>
      <c r="G35" s="28"/>
      <c r="H35" s="24">
        <f t="shared" si="1"/>
        <v>6.9580000000000002</v>
      </c>
      <c r="I35" s="24">
        <f t="shared" si="2"/>
        <v>6.4580000000000002</v>
      </c>
      <c r="J35" s="24">
        <f t="shared" si="0"/>
        <v>13.416</v>
      </c>
    </row>
    <row r="36" spans="1:10" ht="15.95" customHeight="1">
      <c r="A36" s="23" t="s">
        <v>43</v>
      </c>
      <c r="B36" s="28"/>
      <c r="C36" s="28"/>
      <c r="D36" s="28"/>
      <c r="E36" s="28"/>
      <c r="F36" s="28"/>
      <c r="G36" s="28">
        <v>1</v>
      </c>
      <c r="H36" s="24">
        <f t="shared" si="1"/>
        <v>6.9580000000000002</v>
      </c>
      <c r="I36" s="24">
        <f t="shared" si="2"/>
        <v>6.4580000000000002</v>
      </c>
      <c r="J36" s="24">
        <f t="shared" si="0"/>
        <v>13.416</v>
      </c>
    </row>
    <row r="37" spans="1:10" ht="15.95" customHeight="1">
      <c r="A37" s="23" t="s">
        <v>44</v>
      </c>
      <c r="B37" s="24">
        <v>1.25</v>
      </c>
      <c r="C37" s="24">
        <v>1.25</v>
      </c>
      <c r="D37" s="28"/>
      <c r="E37" s="28"/>
      <c r="F37" s="28"/>
      <c r="G37" s="28"/>
      <c r="H37" s="24">
        <f t="shared" ref="H37:H60" si="3">H36-F37-D37+B37</f>
        <v>8.2080000000000002</v>
      </c>
      <c r="I37" s="24">
        <f t="shared" ref="I37:I60" si="4">I36-E37+C37</f>
        <v>7.7080000000000002</v>
      </c>
      <c r="J37" s="24">
        <f t="shared" ref="J37:J60" si="5">SUM(H37:I37)</f>
        <v>15.916</v>
      </c>
    </row>
    <row r="38" spans="1:10" ht="15.95" customHeight="1">
      <c r="A38" s="23" t="s">
        <v>45</v>
      </c>
      <c r="B38" s="28"/>
      <c r="C38" s="28"/>
      <c r="D38" s="28"/>
      <c r="E38" s="28">
        <v>3</v>
      </c>
      <c r="F38" s="28"/>
      <c r="G38" s="28"/>
      <c r="H38" s="24">
        <f t="shared" si="3"/>
        <v>8.2080000000000002</v>
      </c>
      <c r="I38" s="24">
        <f t="shared" si="4"/>
        <v>4.7080000000000002</v>
      </c>
      <c r="J38" s="24">
        <f t="shared" si="5"/>
        <v>12.916</v>
      </c>
    </row>
    <row r="39" spans="1:10" ht="15.95" customHeight="1">
      <c r="A39" s="23" t="s">
        <v>46</v>
      </c>
      <c r="B39" s="28">
        <v>2.5</v>
      </c>
      <c r="C39" s="28">
        <v>2.5</v>
      </c>
      <c r="D39" s="28"/>
      <c r="E39" s="28"/>
      <c r="F39" s="28"/>
      <c r="G39" s="28"/>
      <c r="H39" s="24">
        <f t="shared" si="3"/>
        <v>10.708</v>
      </c>
      <c r="I39" s="24">
        <f t="shared" si="4"/>
        <v>7.2080000000000002</v>
      </c>
      <c r="J39" s="24">
        <f t="shared" si="5"/>
        <v>17.916</v>
      </c>
    </row>
    <row r="40" spans="1:10" ht="15.95" customHeight="1">
      <c r="A40" s="23" t="s">
        <v>47</v>
      </c>
      <c r="B40" s="28"/>
      <c r="C40" s="28"/>
      <c r="D40" s="28"/>
      <c r="E40" s="28">
        <v>0.5</v>
      </c>
      <c r="F40" s="28"/>
      <c r="G40" s="28"/>
      <c r="H40" s="24">
        <f t="shared" si="3"/>
        <v>10.708</v>
      </c>
      <c r="I40" s="24">
        <f t="shared" si="4"/>
        <v>6.7080000000000002</v>
      </c>
      <c r="J40" s="24">
        <f t="shared" si="5"/>
        <v>17.416</v>
      </c>
    </row>
    <row r="41" spans="1:10" ht="15.95" customHeight="1">
      <c r="A41" s="23" t="s">
        <v>48</v>
      </c>
      <c r="B41" s="28"/>
      <c r="C41" s="28"/>
      <c r="D41" s="28"/>
      <c r="E41" s="28"/>
      <c r="F41" s="28"/>
      <c r="G41" s="28">
        <v>1</v>
      </c>
      <c r="H41" s="24">
        <f t="shared" si="3"/>
        <v>10.708</v>
      </c>
      <c r="I41" s="24">
        <f t="shared" si="4"/>
        <v>6.7080000000000002</v>
      </c>
      <c r="J41" s="24">
        <f t="shared" si="5"/>
        <v>17.416</v>
      </c>
    </row>
    <row r="42" spans="1:10" ht="15.95" customHeight="1">
      <c r="A42" s="23" t="s">
        <v>49</v>
      </c>
      <c r="B42" s="24">
        <v>1.25</v>
      </c>
      <c r="C42" s="24">
        <v>1.25</v>
      </c>
      <c r="D42" s="28"/>
      <c r="E42" s="28"/>
      <c r="F42" s="28"/>
      <c r="G42" s="28"/>
      <c r="H42" s="24">
        <f t="shared" si="3"/>
        <v>11.958</v>
      </c>
      <c r="I42" s="24">
        <f t="shared" si="4"/>
        <v>7.9580000000000002</v>
      </c>
      <c r="J42" s="24">
        <f t="shared" si="5"/>
        <v>19.916</v>
      </c>
    </row>
    <row r="43" spans="1:10" ht="15.95" customHeight="1">
      <c r="A43" s="23" t="s">
        <v>50</v>
      </c>
      <c r="B43" s="28"/>
      <c r="C43" s="28"/>
      <c r="D43" s="28"/>
      <c r="E43" s="28"/>
      <c r="F43" s="28"/>
      <c r="G43" s="28">
        <v>1</v>
      </c>
      <c r="H43" s="24">
        <f t="shared" si="3"/>
        <v>11.958</v>
      </c>
      <c r="I43" s="24">
        <f t="shared" si="4"/>
        <v>7.9580000000000002</v>
      </c>
      <c r="J43" s="24">
        <f t="shared" si="5"/>
        <v>19.916</v>
      </c>
    </row>
    <row r="44" spans="1:10" ht="15.95" customHeight="1">
      <c r="A44" s="23" t="s">
        <v>51</v>
      </c>
      <c r="B44" s="24">
        <v>1.25</v>
      </c>
      <c r="C44" s="24">
        <v>1.25</v>
      </c>
      <c r="D44" s="28"/>
      <c r="E44" s="28"/>
      <c r="F44" s="28"/>
      <c r="G44" s="28"/>
      <c r="H44" s="24">
        <f t="shared" si="3"/>
        <v>13.208</v>
      </c>
      <c r="I44" s="24">
        <f t="shared" si="4"/>
        <v>9.2080000000000002</v>
      </c>
      <c r="J44" s="24">
        <f t="shared" si="5"/>
        <v>22.416</v>
      </c>
    </row>
    <row r="45" spans="1:10" ht="15.95" customHeight="1">
      <c r="A45" s="23" t="s">
        <v>52</v>
      </c>
      <c r="B45" s="29"/>
      <c r="C45" s="29"/>
      <c r="D45" s="29"/>
      <c r="E45" s="29"/>
      <c r="F45" s="28">
        <v>1</v>
      </c>
      <c r="G45" s="29"/>
      <c r="H45" s="24">
        <f t="shared" si="3"/>
        <v>12.208</v>
      </c>
      <c r="I45" s="24">
        <f t="shared" si="4"/>
        <v>9.2080000000000002</v>
      </c>
      <c r="J45" s="24">
        <f t="shared" si="5"/>
        <v>21.416</v>
      </c>
    </row>
    <row r="46" spans="1:10" ht="15.95" customHeight="1">
      <c r="A46" s="23" t="s">
        <v>53</v>
      </c>
      <c r="B46" s="28">
        <v>2.5</v>
      </c>
      <c r="C46" s="28">
        <v>2.5</v>
      </c>
      <c r="D46" s="29"/>
      <c r="E46" s="29"/>
      <c r="F46" s="29"/>
      <c r="G46" s="29"/>
      <c r="H46" s="24">
        <f t="shared" si="3"/>
        <v>14.708</v>
      </c>
      <c r="I46" s="24">
        <f t="shared" si="4"/>
        <v>11.708</v>
      </c>
      <c r="J46" s="24">
        <f t="shared" si="5"/>
        <v>26.416</v>
      </c>
    </row>
    <row r="47" spans="1:10" ht="15.95" customHeight="1">
      <c r="A47" s="23" t="s">
        <v>54</v>
      </c>
      <c r="B47" s="29"/>
      <c r="C47" s="29"/>
      <c r="D47" s="28">
        <v>7</v>
      </c>
      <c r="E47" s="28">
        <v>6</v>
      </c>
      <c r="F47" s="29"/>
      <c r="G47" s="29"/>
      <c r="H47" s="24">
        <f t="shared" si="3"/>
        <v>7.7080000000000002</v>
      </c>
      <c r="I47" s="24">
        <f t="shared" si="4"/>
        <v>5.7080000000000002</v>
      </c>
      <c r="J47" s="24">
        <f t="shared" si="5"/>
        <v>13.416</v>
      </c>
    </row>
    <row r="48" spans="1:10" ht="15.95" customHeight="1">
      <c r="A48" s="29" t="s">
        <v>55</v>
      </c>
      <c r="B48" s="29"/>
      <c r="C48" s="29"/>
      <c r="D48" s="28">
        <v>0.5</v>
      </c>
      <c r="E48" s="29"/>
      <c r="F48" s="29"/>
      <c r="G48" s="29"/>
      <c r="H48" s="24">
        <f t="shared" si="3"/>
        <v>7.2080000000000002</v>
      </c>
      <c r="I48" s="24">
        <f t="shared" si="4"/>
        <v>5.7080000000000002</v>
      </c>
      <c r="J48" s="24">
        <f t="shared" si="5"/>
        <v>12.916</v>
      </c>
    </row>
    <row r="49" spans="1:10" ht="15.95" customHeight="1">
      <c r="A49" s="29" t="s">
        <v>56</v>
      </c>
      <c r="B49" s="29"/>
      <c r="C49" s="29"/>
      <c r="D49" s="28">
        <v>0.5</v>
      </c>
      <c r="E49" s="29"/>
      <c r="F49" s="29"/>
      <c r="G49" s="29"/>
      <c r="H49" s="24">
        <f t="shared" si="3"/>
        <v>6.7080000000000002</v>
      </c>
      <c r="I49" s="24">
        <f t="shared" si="4"/>
        <v>5.7080000000000002</v>
      </c>
      <c r="J49" s="24">
        <f t="shared" si="5"/>
        <v>12.416</v>
      </c>
    </row>
    <row r="50" spans="1:10" ht="15.95" customHeight="1">
      <c r="A50" s="29" t="s">
        <v>57</v>
      </c>
      <c r="B50" s="29"/>
      <c r="C50" s="29"/>
      <c r="D50" s="28"/>
      <c r="E50" s="29"/>
      <c r="F50" s="29">
        <v>1</v>
      </c>
      <c r="G50" s="29"/>
      <c r="H50" s="24">
        <f t="shared" si="3"/>
        <v>5.7080000000000002</v>
      </c>
      <c r="I50" s="24">
        <f t="shared" si="4"/>
        <v>5.7080000000000002</v>
      </c>
      <c r="J50" s="24">
        <f t="shared" si="5"/>
        <v>11.416</v>
      </c>
    </row>
    <row r="51" spans="1:10" ht="15.95" customHeight="1">
      <c r="A51" s="29" t="s">
        <v>58</v>
      </c>
      <c r="B51" s="29"/>
      <c r="C51" s="29"/>
      <c r="D51" s="28"/>
      <c r="E51" s="29"/>
      <c r="F51" s="29">
        <v>2</v>
      </c>
      <c r="G51" s="29"/>
      <c r="H51" s="24">
        <f t="shared" si="3"/>
        <v>3.7080000000000002</v>
      </c>
      <c r="I51" s="24">
        <f t="shared" si="4"/>
        <v>5.7080000000000002</v>
      </c>
      <c r="J51" s="24">
        <f t="shared" si="5"/>
        <v>9.4160000000000004</v>
      </c>
    </row>
    <row r="52" spans="1:10" ht="15.95" customHeight="1">
      <c r="A52" s="29" t="s">
        <v>59</v>
      </c>
      <c r="B52" s="29"/>
      <c r="C52" s="29"/>
      <c r="D52" s="28">
        <v>0.5</v>
      </c>
      <c r="E52" s="29"/>
      <c r="F52" s="29"/>
      <c r="G52" s="29"/>
      <c r="H52" s="24">
        <f t="shared" si="3"/>
        <v>3.2080000000000002</v>
      </c>
      <c r="I52" s="24">
        <f t="shared" si="4"/>
        <v>5.7080000000000002</v>
      </c>
      <c r="J52" s="24">
        <f t="shared" si="5"/>
        <v>8.9160000000000004</v>
      </c>
    </row>
    <row r="53" spans="1:10" ht="15.95" customHeight="1">
      <c r="A53" s="29" t="s">
        <v>60</v>
      </c>
      <c r="B53" s="29">
        <v>2.5</v>
      </c>
      <c r="C53" s="29">
        <v>2.5</v>
      </c>
      <c r="D53" s="28"/>
      <c r="E53" s="29"/>
      <c r="F53" s="29"/>
      <c r="G53" s="29"/>
      <c r="H53" s="24">
        <f t="shared" si="3"/>
        <v>5.7080000000000002</v>
      </c>
      <c r="I53" s="24">
        <f t="shared" si="4"/>
        <v>8.2080000000000002</v>
      </c>
      <c r="J53" s="24">
        <f t="shared" si="5"/>
        <v>13.916</v>
      </c>
    </row>
    <row r="54" spans="1:10" ht="15.95" customHeight="1">
      <c r="A54" s="29" t="s">
        <v>61</v>
      </c>
      <c r="B54" s="29"/>
      <c r="C54" s="29"/>
      <c r="D54" s="28">
        <v>1</v>
      </c>
      <c r="E54" s="29"/>
      <c r="F54" s="29"/>
      <c r="G54" s="29"/>
      <c r="H54" s="24">
        <f t="shared" si="3"/>
        <v>4.7080000000000002</v>
      </c>
      <c r="I54" s="24">
        <f t="shared" si="4"/>
        <v>8.2080000000000002</v>
      </c>
      <c r="J54" s="24">
        <f t="shared" si="5"/>
        <v>12.916</v>
      </c>
    </row>
    <row r="55" spans="1:10" ht="15.95" customHeight="1">
      <c r="A55" s="29" t="s">
        <v>62</v>
      </c>
      <c r="B55" s="29"/>
      <c r="C55" s="29"/>
      <c r="D55" s="28">
        <v>1</v>
      </c>
      <c r="E55" s="29"/>
      <c r="F55" s="29"/>
      <c r="G55" s="29"/>
      <c r="H55" s="24">
        <f t="shared" si="3"/>
        <v>3.7080000000000002</v>
      </c>
      <c r="I55" s="24">
        <f t="shared" si="4"/>
        <v>8.2080000000000002</v>
      </c>
      <c r="J55" s="24">
        <f t="shared" si="5"/>
        <v>11.916</v>
      </c>
    </row>
    <row r="56" spans="1:10" ht="15.95" customHeight="1">
      <c r="A56" s="29" t="s">
        <v>63</v>
      </c>
      <c r="B56" s="29"/>
      <c r="C56" s="29"/>
      <c r="D56" s="28">
        <v>1</v>
      </c>
      <c r="E56" s="29"/>
      <c r="F56" s="29"/>
      <c r="G56" s="29"/>
      <c r="H56" s="24">
        <f t="shared" si="3"/>
        <v>2.7080000000000002</v>
      </c>
      <c r="I56" s="24">
        <f t="shared" si="4"/>
        <v>8.2080000000000002</v>
      </c>
      <c r="J56" s="24">
        <f t="shared" si="5"/>
        <v>10.916</v>
      </c>
    </row>
    <row r="57" spans="1:10" ht="15.95" customHeight="1">
      <c r="A57" s="29" t="s">
        <v>64</v>
      </c>
      <c r="B57" s="29">
        <v>1.25</v>
      </c>
      <c r="C57" s="29">
        <v>1.25</v>
      </c>
      <c r="D57" s="28"/>
      <c r="E57" s="29"/>
      <c r="F57" s="29"/>
      <c r="G57" s="29"/>
      <c r="H57" s="24">
        <f t="shared" si="3"/>
        <v>3.9580000000000002</v>
      </c>
      <c r="I57" s="24">
        <f t="shared" si="4"/>
        <v>9.4580000000000002</v>
      </c>
      <c r="J57" s="24">
        <f t="shared" si="5"/>
        <v>13.416</v>
      </c>
    </row>
    <row r="58" spans="1:10" ht="15.95" customHeight="1">
      <c r="A58" s="29" t="s">
        <v>65</v>
      </c>
      <c r="B58" s="29"/>
      <c r="C58" s="29"/>
      <c r="D58" s="28">
        <v>1</v>
      </c>
      <c r="E58" s="29"/>
      <c r="F58" s="29"/>
      <c r="G58" s="29"/>
      <c r="H58" s="24">
        <f t="shared" si="3"/>
        <v>2.9580000000000002</v>
      </c>
      <c r="I58" s="24">
        <f t="shared" si="4"/>
        <v>9.4580000000000002</v>
      </c>
      <c r="J58" s="24">
        <f t="shared" si="5"/>
        <v>12.416</v>
      </c>
    </row>
    <row r="59" spans="1:10" ht="15.95" customHeight="1">
      <c r="A59" s="29" t="s">
        <v>66</v>
      </c>
      <c r="B59" s="29">
        <v>1.25</v>
      </c>
      <c r="C59" s="29">
        <v>1.25</v>
      </c>
      <c r="D59" s="28"/>
      <c r="E59" s="29"/>
      <c r="F59" s="29"/>
      <c r="G59" s="29"/>
      <c r="H59" s="24">
        <f t="shared" si="3"/>
        <v>4.2080000000000002</v>
      </c>
      <c r="I59" s="24">
        <f t="shared" si="4"/>
        <v>10.708</v>
      </c>
      <c r="J59" s="24">
        <f t="shared" si="5"/>
        <v>14.916</v>
      </c>
    </row>
    <row r="60" spans="1:10" ht="15.95" customHeight="1">
      <c r="A60" s="29" t="s">
        <v>67</v>
      </c>
      <c r="B60" s="29"/>
      <c r="C60" s="29"/>
      <c r="D60" s="28">
        <v>1</v>
      </c>
      <c r="E60" s="29"/>
      <c r="F60" s="29"/>
      <c r="G60" s="29"/>
      <c r="H60" s="24">
        <f t="shared" si="3"/>
        <v>3.2080000000000002</v>
      </c>
      <c r="I60" s="24">
        <f t="shared" si="4"/>
        <v>10.708</v>
      </c>
      <c r="J60" s="24">
        <f t="shared" si="5"/>
        <v>13.916</v>
      </c>
    </row>
    <row r="61" spans="1:10" ht="15.95" customHeight="1">
      <c r="A61" s="29" t="s">
        <v>68</v>
      </c>
      <c r="B61" s="29"/>
      <c r="C61" s="29"/>
      <c r="D61" s="28">
        <v>0.5</v>
      </c>
      <c r="E61" s="29"/>
      <c r="F61" s="29"/>
      <c r="G61" s="29"/>
      <c r="H61" s="24">
        <f t="shared" ref="H61:H70" si="6">H60-F61-D61+B61</f>
        <v>2.7080000000000002</v>
      </c>
      <c r="I61" s="24">
        <f t="shared" ref="I61:I70" si="7">I60-E61+C61</f>
        <v>10.708</v>
      </c>
      <c r="J61" s="24">
        <f t="shared" ref="J61:J70" si="8">SUM(H61:I61)</f>
        <v>13.416</v>
      </c>
    </row>
    <row r="62" spans="1:10" s="17" customFormat="1" ht="15.95" customHeight="1">
      <c r="A62" s="29" t="s">
        <v>69</v>
      </c>
      <c r="B62" s="29">
        <v>2.5</v>
      </c>
      <c r="C62" s="29">
        <v>2.5</v>
      </c>
      <c r="D62" s="28"/>
      <c r="E62" s="29"/>
      <c r="F62" s="29"/>
      <c r="G62" s="29"/>
      <c r="H62" s="24">
        <f t="shared" si="6"/>
        <v>5.2080000000000002</v>
      </c>
      <c r="I62" s="24">
        <f t="shared" si="7"/>
        <v>13.208</v>
      </c>
      <c r="J62" s="24">
        <f t="shared" si="8"/>
        <v>18.416</v>
      </c>
    </row>
    <row r="63" spans="1:10" s="17" customFormat="1" ht="15.95" customHeight="1">
      <c r="A63" s="29" t="s">
        <v>70</v>
      </c>
      <c r="B63" s="29"/>
      <c r="C63" s="29"/>
      <c r="D63" s="28"/>
      <c r="E63" s="29"/>
      <c r="F63" s="29"/>
      <c r="G63" s="29">
        <v>1</v>
      </c>
      <c r="H63" s="24">
        <f t="shared" si="6"/>
        <v>5.2080000000000002</v>
      </c>
      <c r="I63" s="24">
        <f t="shared" si="7"/>
        <v>13.208</v>
      </c>
      <c r="J63" s="24">
        <f t="shared" si="8"/>
        <v>18.416</v>
      </c>
    </row>
    <row r="64" spans="1:10" s="17" customFormat="1" ht="15.95" customHeight="1">
      <c r="A64" s="29" t="s">
        <v>71</v>
      </c>
      <c r="B64" s="29">
        <v>5</v>
      </c>
      <c r="C64" s="29">
        <v>5</v>
      </c>
      <c r="D64" s="28"/>
      <c r="E64" s="29"/>
      <c r="F64" s="29"/>
      <c r="G64" s="29"/>
      <c r="H64" s="24">
        <f t="shared" si="6"/>
        <v>10.208</v>
      </c>
      <c r="I64" s="24">
        <f t="shared" si="7"/>
        <v>18.207999999999998</v>
      </c>
      <c r="J64" s="24">
        <f t="shared" si="8"/>
        <v>28.415999999999997</v>
      </c>
    </row>
    <row r="65" spans="1:10" s="17" customFormat="1" ht="15.95" customHeight="1">
      <c r="A65" s="29" t="s">
        <v>72</v>
      </c>
      <c r="B65" s="29"/>
      <c r="C65" s="29"/>
      <c r="D65" s="28"/>
      <c r="E65" s="29"/>
      <c r="F65" s="29"/>
      <c r="G65" s="29">
        <v>1</v>
      </c>
      <c r="H65" s="24">
        <f t="shared" si="6"/>
        <v>10.208</v>
      </c>
      <c r="I65" s="24">
        <f t="shared" si="7"/>
        <v>18.207999999999998</v>
      </c>
      <c r="J65" s="24">
        <f t="shared" si="8"/>
        <v>28.415999999999997</v>
      </c>
    </row>
    <row r="66" spans="1:10" s="17" customFormat="1" ht="15.95" customHeight="1">
      <c r="A66" s="29" t="s">
        <v>73</v>
      </c>
      <c r="B66" s="29">
        <v>1.25</v>
      </c>
      <c r="C66" s="29">
        <v>1.25</v>
      </c>
      <c r="D66" s="28"/>
      <c r="E66" s="29"/>
      <c r="F66" s="29"/>
      <c r="G66" s="29"/>
      <c r="H66" s="24">
        <f t="shared" si="6"/>
        <v>11.458</v>
      </c>
      <c r="I66" s="24">
        <f t="shared" si="7"/>
        <v>19.457999999999998</v>
      </c>
      <c r="J66" s="24">
        <f t="shared" si="8"/>
        <v>30.915999999999997</v>
      </c>
    </row>
    <row r="67" spans="1:10" s="17" customFormat="1" ht="15.95" customHeight="1">
      <c r="A67" s="29" t="s">
        <v>74</v>
      </c>
      <c r="B67" s="29"/>
      <c r="C67" s="29"/>
      <c r="D67" s="28"/>
      <c r="E67" s="29"/>
      <c r="F67" s="29"/>
      <c r="G67" s="29">
        <v>1</v>
      </c>
      <c r="H67" s="24">
        <f t="shared" si="6"/>
        <v>11.458</v>
      </c>
      <c r="I67" s="24">
        <f t="shared" si="7"/>
        <v>19.457999999999998</v>
      </c>
      <c r="J67" s="24">
        <f t="shared" si="8"/>
        <v>30.915999999999997</v>
      </c>
    </row>
    <row r="68" spans="1:10" ht="15.95" customHeight="1">
      <c r="A68" s="29" t="s">
        <v>75</v>
      </c>
      <c r="B68" s="29">
        <v>2.5</v>
      </c>
      <c r="C68" s="29">
        <v>2.5</v>
      </c>
      <c r="D68" s="28"/>
      <c r="E68" s="29"/>
      <c r="F68" s="29"/>
      <c r="G68" s="29"/>
      <c r="H68" s="24">
        <f t="shared" si="6"/>
        <v>13.958</v>
      </c>
      <c r="I68" s="24">
        <f t="shared" si="7"/>
        <v>21.957999999999998</v>
      </c>
      <c r="J68" s="24">
        <f t="shared" si="8"/>
        <v>35.915999999999997</v>
      </c>
    </row>
    <row r="69" spans="1:10" ht="15.95" customHeight="1">
      <c r="A69" s="29" t="s">
        <v>76</v>
      </c>
      <c r="B69" s="29"/>
      <c r="C69" s="29"/>
      <c r="D69" s="28"/>
      <c r="E69" s="29">
        <v>1</v>
      </c>
      <c r="F69" s="29"/>
      <c r="G69" s="29"/>
      <c r="H69" s="24">
        <f t="shared" si="6"/>
        <v>13.958</v>
      </c>
      <c r="I69" s="24">
        <f t="shared" si="7"/>
        <v>20.957999999999998</v>
      </c>
      <c r="J69" s="24">
        <f t="shared" si="8"/>
        <v>34.915999999999997</v>
      </c>
    </row>
    <row r="70" spans="1:10" ht="15.95" customHeight="1">
      <c r="A70" s="29" t="s">
        <v>77</v>
      </c>
      <c r="B70" s="29"/>
      <c r="C70" s="29"/>
      <c r="D70" s="28"/>
      <c r="E70" s="29"/>
      <c r="F70" s="29">
        <v>1</v>
      </c>
      <c r="G70" s="29"/>
      <c r="H70" s="24">
        <f t="shared" si="6"/>
        <v>12.958</v>
      </c>
      <c r="I70" s="24">
        <f t="shared" si="7"/>
        <v>20.957999999999998</v>
      </c>
      <c r="J70" s="24">
        <f t="shared" si="8"/>
        <v>33.915999999999997</v>
      </c>
    </row>
    <row r="71" spans="1:10" ht="15.95" customHeight="1">
      <c r="A71" s="29" t="s">
        <v>78</v>
      </c>
      <c r="B71" s="29"/>
      <c r="C71" s="29"/>
      <c r="D71" s="28">
        <v>1</v>
      </c>
      <c r="E71" s="29"/>
      <c r="F71" s="29"/>
      <c r="G71" s="29"/>
      <c r="H71" s="24">
        <f t="shared" ref="H71" si="9">H70-F71-D71+B71</f>
        <v>11.958</v>
      </c>
      <c r="I71" s="24">
        <f t="shared" ref="I71" si="10">I70-E71+C71</f>
        <v>20.957999999999998</v>
      </c>
      <c r="J71" s="24">
        <f t="shared" ref="J71" si="11">SUM(H71:I71)</f>
        <v>32.915999999999997</v>
      </c>
    </row>
    <row r="72" spans="1:10" ht="15.95" customHeight="1">
      <c r="A72" s="29" t="s">
        <v>79</v>
      </c>
      <c r="B72" s="29">
        <v>2.5</v>
      </c>
      <c r="C72" s="29">
        <v>2.5</v>
      </c>
      <c r="D72" s="28"/>
      <c r="E72" s="29"/>
      <c r="F72" s="29"/>
      <c r="G72" s="29"/>
      <c r="H72" s="24">
        <f t="shared" ref="H72:H73" si="12">H71-F72-D72+B72</f>
        <v>14.458</v>
      </c>
      <c r="I72" s="24">
        <f t="shared" ref="I72:I73" si="13">I71-E72+C72</f>
        <v>23.457999999999998</v>
      </c>
      <c r="J72" s="24">
        <f t="shared" ref="J72:J73" si="14">SUM(H72:I72)</f>
        <v>37.915999999999997</v>
      </c>
    </row>
    <row r="73" spans="1:10" ht="15.95" customHeight="1">
      <c r="A73" s="29" t="s">
        <v>80</v>
      </c>
      <c r="B73" s="29"/>
      <c r="C73" s="29"/>
      <c r="D73" s="28"/>
      <c r="E73" s="29"/>
      <c r="F73" s="29">
        <v>4</v>
      </c>
      <c r="G73" s="29"/>
      <c r="H73" s="24">
        <f t="shared" si="12"/>
        <v>10.458</v>
      </c>
      <c r="I73" s="24">
        <f t="shared" si="13"/>
        <v>23.457999999999998</v>
      </c>
      <c r="J73" s="24">
        <f t="shared" si="14"/>
        <v>33.915999999999997</v>
      </c>
    </row>
    <row r="74" spans="1:10" ht="15.95" customHeight="1">
      <c r="A74" s="29" t="s">
        <v>81</v>
      </c>
      <c r="B74" s="29">
        <v>1.25</v>
      </c>
      <c r="C74" s="29">
        <v>1.25</v>
      </c>
      <c r="D74" s="28"/>
      <c r="E74" s="29"/>
      <c r="F74" s="29"/>
      <c r="G74" s="29"/>
      <c r="H74" s="24">
        <f t="shared" ref="H74" si="15">H73-F74-D74+B74</f>
        <v>11.708</v>
      </c>
      <c r="I74" s="24">
        <f t="shared" ref="I74" si="16">I73-E74+C74</f>
        <v>24.707999999999998</v>
      </c>
      <c r="J74" s="24">
        <f t="shared" ref="J74" si="17">SUM(H74:I74)</f>
        <v>36.415999999999997</v>
      </c>
    </row>
    <row r="75" spans="1:10" ht="15.95" customHeight="1">
      <c r="A75" s="29" t="s">
        <v>82</v>
      </c>
      <c r="B75" s="29">
        <v>1.25</v>
      </c>
      <c r="C75" s="29">
        <v>1.25</v>
      </c>
      <c r="D75" s="28"/>
      <c r="E75" s="29"/>
      <c r="F75" s="29"/>
      <c r="G75" s="29"/>
      <c r="H75" s="24">
        <f t="shared" ref="H75:H76" si="18">H74-F75-D75+B75</f>
        <v>12.958</v>
      </c>
      <c r="I75" s="24">
        <f t="shared" ref="I75:I76" si="19">I74-E75+C75</f>
        <v>25.957999999999998</v>
      </c>
      <c r="J75" s="24">
        <f t="shared" ref="J75:J76" si="20">SUM(H75:I75)</f>
        <v>38.915999999999997</v>
      </c>
    </row>
    <row r="76" spans="1:10" ht="15.95" customHeight="1">
      <c r="A76" s="29" t="s">
        <v>83</v>
      </c>
      <c r="B76" s="29"/>
      <c r="C76" s="29"/>
      <c r="D76" s="28"/>
      <c r="E76" s="29"/>
      <c r="F76" s="29"/>
      <c r="G76" s="32">
        <v>1</v>
      </c>
      <c r="H76" s="24">
        <f t="shared" si="18"/>
        <v>12.958</v>
      </c>
      <c r="I76" s="24">
        <f t="shared" si="19"/>
        <v>25.957999999999998</v>
      </c>
      <c r="J76" s="24">
        <f t="shared" si="20"/>
        <v>38.915999999999997</v>
      </c>
    </row>
    <row r="77" spans="1:10" ht="15.95" customHeight="1">
      <c r="A77" s="29" t="s">
        <v>84</v>
      </c>
      <c r="B77" s="29">
        <v>2.5</v>
      </c>
      <c r="C77" s="29">
        <v>2.5</v>
      </c>
      <c r="D77" s="28"/>
      <c r="E77" s="29"/>
      <c r="F77" s="29"/>
      <c r="G77" s="29"/>
      <c r="H77" s="24">
        <f t="shared" ref="H77:H78" si="21">H76-F77-D77+B77</f>
        <v>15.458</v>
      </c>
      <c r="I77" s="24">
        <f t="shared" ref="I77:I78" si="22">I76-E77+C77</f>
        <v>28.457999999999998</v>
      </c>
      <c r="J77" s="24">
        <f t="shared" ref="J77:J78" si="23">SUM(H77:I77)</f>
        <v>43.915999999999997</v>
      </c>
    </row>
    <row r="78" spans="1:10" ht="15.95" customHeight="1">
      <c r="A78" s="29" t="s">
        <v>85</v>
      </c>
      <c r="B78" s="29"/>
      <c r="C78" s="29"/>
      <c r="D78" s="28"/>
      <c r="E78" s="29"/>
      <c r="F78" s="29"/>
      <c r="G78" s="32">
        <v>1</v>
      </c>
      <c r="H78" s="24">
        <f t="shared" si="21"/>
        <v>15.458</v>
      </c>
      <c r="I78" s="24">
        <f t="shared" si="22"/>
        <v>28.457999999999998</v>
      </c>
      <c r="J78" s="24">
        <f t="shared" si="23"/>
        <v>43.915999999999997</v>
      </c>
    </row>
    <row r="79" spans="1:10" ht="15.95" customHeight="1">
      <c r="A79" s="29" t="s">
        <v>86</v>
      </c>
      <c r="B79" s="29">
        <v>3.75</v>
      </c>
      <c r="C79" s="29">
        <v>3.75</v>
      </c>
      <c r="D79" s="28"/>
      <c r="E79" s="29"/>
      <c r="F79" s="29"/>
      <c r="G79" s="29"/>
      <c r="H79" s="24">
        <f t="shared" ref="H79:H80" si="24">H78-F79-D79+B79</f>
        <v>19.207999999999998</v>
      </c>
      <c r="I79" s="24">
        <f t="shared" ref="I79:I80" si="25">I78-E79+C79</f>
        <v>32.207999999999998</v>
      </c>
      <c r="J79" s="24">
        <f t="shared" ref="J79:J80" si="26">SUM(H79:I79)</f>
        <v>51.415999999999997</v>
      </c>
    </row>
    <row r="80" spans="1:10" ht="15.95" customHeight="1">
      <c r="A80" s="29" t="s">
        <v>87</v>
      </c>
      <c r="B80" s="29"/>
      <c r="C80" s="29"/>
      <c r="D80" s="28">
        <v>10</v>
      </c>
      <c r="E80" s="29"/>
      <c r="F80" s="29"/>
      <c r="G80" s="29"/>
      <c r="H80" s="24">
        <f t="shared" si="24"/>
        <v>9.2079999999999984</v>
      </c>
      <c r="I80" s="24">
        <f t="shared" si="25"/>
        <v>32.207999999999998</v>
      </c>
      <c r="J80" s="24">
        <f t="shared" si="26"/>
        <v>41.415999999999997</v>
      </c>
    </row>
    <row r="81" spans="1:10" ht="15.95" customHeight="1">
      <c r="A81" s="29" t="s">
        <v>88</v>
      </c>
      <c r="B81" s="29"/>
      <c r="C81" s="29"/>
      <c r="D81" s="28"/>
      <c r="E81" s="29"/>
      <c r="F81" s="29"/>
      <c r="G81" s="32">
        <v>1</v>
      </c>
      <c r="H81" s="24">
        <f t="shared" ref="H81" si="27">H80-F81-D81+B81</f>
        <v>9.2079999999999984</v>
      </c>
      <c r="I81" s="24">
        <f t="shared" ref="I81" si="28">I80-E81+C81</f>
        <v>32.207999999999998</v>
      </c>
      <c r="J81" s="24">
        <f t="shared" ref="J81" si="29">SUM(H81:I81)</f>
        <v>41.415999999999997</v>
      </c>
    </row>
    <row r="82" spans="1:10" ht="15.95" customHeight="1">
      <c r="A82" s="29" t="s">
        <v>89</v>
      </c>
      <c r="B82" s="29">
        <v>3.75</v>
      </c>
      <c r="C82" s="29">
        <v>3.75</v>
      </c>
      <c r="D82" s="28"/>
      <c r="E82" s="29"/>
      <c r="F82" s="29"/>
      <c r="G82" s="29"/>
      <c r="H82" s="24">
        <f t="shared" ref="H82:H83" si="30">H81-F82-D82+B82</f>
        <v>12.957999999999998</v>
      </c>
      <c r="I82" s="24">
        <f t="shared" ref="I82:I83" si="31">I81-E82+C82</f>
        <v>35.957999999999998</v>
      </c>
      <c r="J82" s="24">
        <f t="shared" ref="J82:J83" si="32">SUM(H82:I82)</f>
        <v>48.915999999999997</v>
      </c>
    </row>
    <row r="83" spans="1:10" ht="15.95" customHeight="1">
      <c r="A83" s="29" t="s">
        <v>90</v>
      </c>
      <c r="B83" s="29"/>
      <c r="C83" s="29"/>
      <c r="D83" s="28"/>
      <c r="E83" s="29"/>
      <c r="F83" s="33">
        <v>2</v>
      </c>
      <c r="G83" s="29"/>
      <c r="H83" s="24">
        <f t="shared" si="30"/>
        <v>10.957999999999998</v>
      </c>
      <c r="I83" s="24">
        <f t="shared" si="31"/>
        <v>35.957999999999998</v>
      </c>
      <c r="J83" s="24">
        <f t="shared" si="32"/>
        <v>46.915999999999997</v>
      </c>
    </row>
    <row r="84" spans="1:10" ht="15.95" customHeight="1">
      <c r="A84" s="29" t="s">
        <v>91</v>
      </c>
      <c r="B84" s="29">
        <v>2.5</v>
      </c>
      <c r="C84" s="29">
        <v>2.5</v>
      </c>
      <c r="D84" s="28"/>
      <c r="E84" s="29"/>
      <c r="F84" s="29"/>
      <c r="G84" s="29"/>
      <c r="H84" s="24">
        <f>H83-F84-D84+B84</f>
        <v>13.457999999999998</v>
      </c>
      <c r="I84" s="24">
        <f>I83-E84+C84</f>
        <v>38.457999999999998</v>
      </c>
      <c r="J84" s="24">
        <f>SUM(H84:I84)</f>
        <v>51.915999999999997</v>
      </c>
    </row>
    <row r="85" spans="1:10" ht="15.95" customHeight="1">
      <c r="A85" s="29" t="s">
        <v>92</v>
      </c>
      <c r="B85" s="29"/>
      <c r="C85" s="29"/>
      <c r="D85" s="28"/>
      <c r="E85" s="29"/>
      <c r="F85" s="33">
        <v>2</v>
      </c>
      <c r="G85" s="29"/>
      <c r="H85" s="24">
        <f>H84-F85-D85+B85</f>
        <v>11.457999999999998</v>
      </c>
      <c r="I85" s="24">
        <f>I84-E85+C85</f>
        <v>38.457999999999998</v>
      </c>
      <c r="J85" s="24">
        <f>SUM(H85:I85)</f>
        <v>49.915999999999997</v>
      </c>
    </row>
    <row r="86" spans="1:10" ht="15.95" customHeight="1">
      <c r="A86" s="29" t="s">
        <v>109</v>
      </c>
      <c r="B86" s="29"/>
      <c r="C86" s="29"/>
      <c r="D86" s="28"/>
      <c r="E86" s="29"/>
      <c r="F86" s="33">
        <v>1</v>
      </c>
      <c r="G86" s="29"/>
      <c r="H86" s="24">
        <f>H85-F86-D86+B86</f>
        <v>10.457999999999998</v>
      </c>
      <c r="I86" s="24">
        <f>I85-E86+C86</f>
        <v>38.457999999999998</v>
      </c>
      <c r="J86" s="24">
        <f>SUM(H86:I86)</f>
        <v>48.915999999999997</v>
      </c>
    </row>
    <row r="87" spans="1:10" ht="15.95" customHeight="1">
      <c r="A87" s="35"/>
      <c r="B87" s="35"/>
      <c r="C87" s="35"/>
      <c r="D87" s="36"/>
      <c r="E87" s="35"/>
      <c r="F87" s="35"/>
      <c r="G87" s="35"/>
      <c r="H87" s="34"/>
      <c r="I87" s="34"/>
      <c r="J87" s="34"/>
    </row>
    <row r="88" spans="1:10" s="17" customFormat="1">
      <c r="G88" s="17" t="s">
        <v>93</v>
      </c>
    </row>
    <row r="89" spans="1:10" s="17" customFormat="1"/>
    <row r="90" spans="1:10" s="17" customFormat="1">
      <c r="H90" s="37" t="s">
        <v>94</v>
      </c>
    </row>
    <row r="91" spans="1:10" s="17" customFormat="1">
      <c r="H91" s="17" t="s">
        <v>95</v>
      </c>
    </row>
    <row r="92" spans="1:10" s="17" customFormat="1">
      <c r="H92" s="17" t="s">
        <v>96</v>
      </c>
    </row>
    <row r="93" spans="1:10" ht="15.95" customHeight="1"/>
    <row r="94" spans="1:10" ht="15.95" customHeight="1"/>
    <row r="95" spans="1:10" ht="15.95" customHeight="1"/>
    <row r="96" spans="1:10" ht="15.95" customHeight="1"/>
    <row r="97" ht="15.95" customHeight="1"/>
    <row r="98" ht="15.95" customHeight="1"/>
    <row r="99" ht="15.95" customHeight="1"/>
    <row r="100" ht="15.95" customHeight="1"/>
    <row r="101" ht="15.95" customHeight="1"/>
    <row r="102" ht="15.95" customHeight="1"/>
    <row r="103" ht="15.95" customHeight="1"/>
    <row r="104" ht="15.95" customHeight="1"/>
    <row r="105" ht="15.95" customHeight="1"/>
    <row r="106" ht="15.95" customHeight="1"/>
    <row r="107" ht="15.95" customHeight="1"/>
    <row r="108" ht="15.95" customHeight="1"/>
    <row r="109" ht="15.95" customHeight="1"/>
    <row r="110" ht="15.95" customHeight="1"/>
    <row r="111" ht="15.95" customHeight="1"/>
    <row r="112" ht="15.95" customHeight="1"/>
    <row r="113" ht="15.95" customHeight="1"/>
    <row r="114" ht="15.95" customHeight="1"/>
    <row r="115" ht="15.95" customHeight="1"/>
    <row r="116" ht="15.95" customHeight="1"/>
    <row r="117" ht="15.95" customHeight="1"/>
    <row r="118" ht="15.95" customHeight="1"/>
    <row r="119" ht="15.95" customHeight="1"/>
    <row r="120" ht="15.95" customHeight="1"/>
    <row r="121" ht="15.95" customHeight="1"/>
    <row r="122" ht="15.95" customHeight="1"/>
    <row r="123" ht="15.95" customHeight="1"/>
    <row r="124" ht="15.95" customHeight="1"/>
    <row r="125" ht="15.95" customHeight="1"/>
    <row r="126" ht="15.95" customHeight="1"/>
    <row r="127" ht="15.95" customHeight="1"/>
    <row r="128" ht="15.95" customHeight="1"/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36" ht="15.95" customHeight="1"/>
    <row r="137" ht="15.95" customHeight="1"/>
    <row r="138" ht="15.95" customHeight="1"/>
    <row r="139" ht="15.95" customHeight="1"/>
    <row r="140" ht="15.95" customHeight="1"/>
    <row r="141" ht="15.95" customHeight="1"/>
    <row r="142" ht="15.95" customHeight="1"/>
    <row r="143" ht="15.95" customHeight="1"/>
    <row r="144" ht="15.95" customHeight="1"/>
    <row r="145" ht="15.95" customHeight="1"/>
    <row r="146" ht="15.95" customHeight="1"/>
    <row r="147" ht="15.95" customHeight="1"/>
    <row r="148" ht="15.95" customHeight="1"/>
    <row r="149" ht="15.95" customHeight="1"/>
    <row r="150" ht="15.95" customHeight="1"/>
    <row r="151" ht="15.95" customHeight="1"/>
    <row r="152" ht="15.95" customHeight="1"/>
    <row r="153" ht="15.95" customHeight="1"/>
    <row r="154" ht="15.95" customHeight="1"/>
    <row r="155" ht="15.95" customHeight="1"/>
    <row r="156" ht="15.95" customHeight="1"/>
    <row r="157" ht="15.95" customHeight="1"/>
    <row r="158" ht="15.95" customHeight="1"/>
    <row r="159" ht="15.95" customHeight="1"/>
    <row r="160" ht="15.95" customHeight="1"/>
    <row r="161" ht="15.95" customHeight="1"/>
    <row r="162" ht="15.95" customHeight="1"/>
    <row r="163" ht="15.95" customHeight="1"/>
    <row r="164" ht="15.95" customHeight="1"/>
    <row r="165" ht="15.95" customHeight="1"/>
    <row r="166" ht="15.95" customHeight="1"/>
    <row r="167" ht="15.95" customHeight="1"/>
    <row r="168" ht="15.95" customHeight="1"/>
    <row r="169" ht="15.95" customHeight="1"/>
    <row r="170" ht="15.95" customHeight="1"/>
    <row r="171" ht="15.95" customHeight="1"/>
    <row r="172" ht="15.95" customHeight="1"/>
    <row r="173" ht="15.95" customHeight="1"/>
    <row r="174" ht="15.95" customHeight="1"/>
    <row r="175" ht="15.95" customHeight="1"/>
    <row r="176" ht="15.95" customHeight="1"/>
    <row r="177" ht="15.95" customHeight="1"/>
    <row r="178" ht="15.95" customHeight="1"/>
    <row r="179" ht="15.95" customHeight="1"/>
    <row r="180" ht="15.95" customHeight="1"/>
    <row r="181" ht="15.95" customHeight="1"/>
    <row r="182" ht="15.95" customHeight="1"/>
    <row r="183" ht="15.95" customHeight="1"/>
    <row r="184" ht="15.95" customHeight="1"/>
    <row r="185" ht="15.95" customHeight="1"/>
    <row r="186" ht="15.95" customHeight="1"/>
    <row r="187" ht="15.95" customHeight="1"/>
    <row r="188" ht="15.95" customHeight="1"/>
    <row r="189" ht="15.95" customHeight="1"/>
    <row r="190" ht="15.95" customHeight="1"/>
    <row r="191" ht="15.95" customHeight="1"/>
    <row r="192" ht="15.95" customHeight="1"/>
    <row r="193" ht="15.95" customHeight="1"/>
    <row r="194" ht="15.95" customHeight="1"/>
    <row r="195" ht="15.95" customHeight="1"/>
    <row r="196" ht="15.95" customHeight="1"/>
    <row r="197" ht="15.95" customHeight="1"/>
    <row r="198" ht="15.95" customHeight="1"/>
    <row r="199" ht="15.95" customHeight="1"/>
    <row r="200" ht="15.95" customHeight="1"/>
    <row r="201" ht="15.95" customHeight="1"/>
    <row r="202" ht="15.95" customHeight="1"/>
    <row r="203" ht="15.95" customHeight="1"/>
    <row r="204" ht="15.95" customHeight="1"/>
  </sheetData>
  <mergeCells count="12"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23622047244094499" right="0.23622047244094499" top="0.59055118110236204" bottom="0.23622047244094499" header="0.31496062992126" footer="0.31496062992126"/>
  <pageSetup paperSize="9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3"/>
  <sheetViews>
    <sheetView view="pageBreakPreview" zoomScaleNormal="100" workbookViewId="0">
      <selection activeCell="F20" sqref="F20"/>
    </sheetView>
  </sheetViews>
  <sheetFormatPr defaultColWidth="9" defaultRowHeight="15"/>
  <cols>
    <col min="1" max="1" width="23.7109375" style="1" customWidth="1"/>
    <col min="2" max="2" width="11.42578125" style="1" customWidth="1"/>
    <col min="3" max="4" width="9.140625" style="1"/>
    <col min="5" max="5" width="13" style="1" customWidth="1"/>
    <col min="6" max="12" width="9.140625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50" t="s">
        <v>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>
      <c r="A5" s="50" t="s">
        <v>1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>
      <c r="A6" s="50" t="s">
        <v>2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>
      <c r="A7" s="50" t="s">
        <v>3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 t="s">
        <v>4</v>
      </c>
      <c r="B9" s="2"/>
      <c r="C9" s="3" t="s">
        <v>97</v>
      </c>
      <c r="D9" s="3"/>
      <c r="E9" s="2"/>
      <c r="F9" s="2"/>
      <c r="G9" s="3" t="s">
        <v>6</v>
      </c>
      <c r="H9" s="4"/>
      <c r="I9" s="2"/>
      <c r="J9" s="2"/>
      <c r="K9" s="2"/>
      <c r="L9" s="2"/>
    </row>
    <row r="10" spans="1:12">
      <c r="A10" s="2"/>
      <c r="B10" s="2"/>
      <c r="C10" s="5"/>
      <c r="D10" s="2"/>
      <c r="E10" s="2"/>
      <c r="F10" s="2"/>
      <c r="G10" s="5"/>
      <c r="H10" s="5"/>
      <c r="I10" s="2"/>
      <c r="J10" s="2"/>
      <c r="K10" s="2"/>
      <c r="L10" s="2"/>
    </row>
    <row r="11" spans="1:12">
      <c r="A11" s="2" t="s">
        <v>7</v>
      </c>
      <c r="B11" s="2"/>
      <c r="C11" s="3" t="s">
        <v>98</v>
      </c>
      <c r="D11" s="3"/>
      <c r="E11" s="2"/>
      <c r="F11" s="2"/>
      <c r="G11" s="3" t="s">
        <v>9</v>
      </c>
      <c r="H11" s="6"/>
      <c r="I11" s="2"/>
      <c r="J11" s="2"/>
      <c r="K11" s="2"/>
      <c r="L11" s="2"/>
    </row>
    <row r="12" spans="1:12" ht="21">
      <c r="A12" s="51" t="s">
        <v>99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2">
      <c r="A13" s="64" t="s">
        <v>11</v>
      </c>
      <c r="B13" s="52" t="s">
        <v>12</v>
      </c>
      <c r="C13" s="53"/>
      <c r="D13" s="53"/>
      <c r="E13" s="53"/>
      <c r="F13" s="53"/>
      <c r="G13" s="53"/>
      <c r="H13" s="53"/>
      <c r="I13" s="53"/>
      <c r="J13" s="53"/>
      <c r="K13" s="53"/>
      <c r="L13" s="66" t="s">
        <v>15</v>
      </c>
    </row>
    <row r="14" spans="1:12">
      <c r="A14" s="65"/>
      <c r="B14" s="54" t="s">
        <v>100</v>
      </c>
      <c r="C14" s="55"/>
      <c r="D14" s="55"/>
      <c r="E14" s="56"/>
      <c r="F14" s="54" t="s">
        <v>101</v>
      </c>
      <c r="G14" s="56"/>
      <c r="H14" s="54" t="s">
        <v>102</v>
      </c>
      <c r="I14" s="56"/>
      <c r="J14" s="54" t="s">
        <v>103</v>
      </c>
      <c r="K14" s="56"/>
      <c r="L14" s="67"/>
    </row>
    <row r="15" spans="1:12" ht="26.1" customHeight="1">
      <c r="A15" s="7" t="s">
        <v>104</v>
      </c>
      <c r="B15" s="57" t="s">
        <v>105</v>
      </c>
      <c r="C15" s="58"/>
      <c r="D15" s="58"/>
      <c r="E15" s="59"/>
      <c r="F15" s="57">
        <v>1</v>
      </c>
      <c r="G15" s="59"/>
      <c r="H15" s="57">
        <v>0</v>
      </c>
      <c r="I15" s="59"/>
      <c r="J15" s="57">
        <v>1</v>
      </c>
      <c r="K15" s="59"/>
      <c r="L15" s="12">
        <v>1</v>
      </c>
    </row>
    <row r="16" spans="1:12" ht="30" customHeight="1">
      <c r="A16" s="8" t="s">
        <v>106</v>
      </c>
      <c r="B16" s="57" t="s">
        <v>105</v>
      </c>
      <c r="C16" s="58"/>
      <c r="D16" s="58"/>
      <c r="E16" s="59"/>
      <c r="F16" s="57"/>
      <c r="G16" s="59"/>
      <c r="H16" s="57">
        <v>1</v>
      </c>
      <c r="I16" s="59"/>
      <c r="J16" s="57">
        <v>0</v>
      </c>
      <c r="K16" s="59"/>
      <c r="L16" s="13">
        <v>0</v>
      </c>
    </row>
    <row r="17" spans="1:12">
      <c r="A17" s="9" t="s">
        <v>107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4"/>
    </row>
    <row r="18" spans="1:12" ht="4.5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</row>
    <row r="19" spans="1:12">
      <c r="A19" s="2"/>
      <c r="B19" s="2"/>
      <c r="C19" s="11"/>
      <c r="D19" s="2"/>
      <c r="E19" s="2"/>
      <c r="F19" s="2"/>
      <c r="G19" s="2"/>
      <c r="H19" s="2"/>
      <c r="I19" s="2" t="s">
        <v>93</v>
      </c>
      <c r="J19" s="2"/>
      <c r="K19" s="2"/>
      <c r="L19" s="2"/>
    </row>
    <row r="20" spans="1:12" ht="12.75" customHeight="1">
      <c r="A20" s="2"/>
      <c r="B20" s="2"/>
      <c r="C20" s="11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61"/>
      <c r="B21" s="61"/>
      <c r="I21" s="15" t="s">
        <v>94</v>
      </c>
      <c r="J21" s="16"/>
    </row>
    <row r="22" spans="1:12">
      <c r="A22" s="62"/>
      <c r="B22" s="62"/>
      <c r="I22" s="1" t="s">
        <v>95</v>
      </c>
    </row>
    <row r="23" spans="1:12">
      <c r="A23" s="63"/>
      <c r="B23" s="63"/>
      <c r="I23" s="63" t="s">
        <v>108</v>
      </c>
      <c r="J23" s="63"/>
    </row>
  </sheetData>
  <mergeCells count="25">
    <mergeCell ref="A13:A14"/>
    <mergeCell ref="L13:L14"/>
    <mergeCell ref="A18:L18"/>
    <mergeCell ref="A21:B21"/>
    <mergeCell ref="A22:B22"/>
    <mergeCell ref="A23:B23"/>
    <mergeCell ref="I23:J23"/>
    <mergeCell ref="B15:E15"/>
    <mergeCell ref="F15:G15"/>
    <mergeCell ref="H15:I15"/>
    <mergeCell ref="J15:K15"/>
    <mergeCell ref="B16:E16"/>
    <mergeCell ref="F16:G16"/>
    <mergeCell ref="H16:I16"/>
    <mergeCell ref="J16:K16"/>
    <mergeCell ref="B13:K13"/>
    <mergeCell ref="B14:E14"/>
    <mergeCell ref="F14:G14"/>
    <mergeCell ref="H14:I14"/>
    <mergeCell ref="J14:K14"/>
    <mergeCell ref="A4:L4"/>
    <mergeCell ref="A5:L5"/>
    <mergeCell ref="A6:L6"/>
    <mergeCell ref="A7:L7"/>
    <mergeCell ref="A12:L12"/>
  </mergeCells>
  <pageMargins left="0.7" right="0.7" top="0.75" bottom="0.75" header="0.3" footer="0.3"/>
  <pageSetup paperSize="9"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2026-01-14T02:57:16Z</cp:lastPrinted>
  <dcterms:created xsi:type="dcterms:W3CDTF">2021-10-07T06:10:00Z</dcterms:created>
  <dcterms:modified xsi:type="dcterms:W3CDTF">2026-01-14T03:10:07Z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CB6798846F1A4222914754D551AC751E_12</vt:lpwstr>
  </property>
  <property fmtid="{D5CDD505-2E9C-101B-9397-08002B2CF9AE}" pid="3" name="KSOProductBuildVer">
    <vt:lpwstr>1033-12.2.0.23196</vt:lpwstr>
  </property>
</Properties>
</file>