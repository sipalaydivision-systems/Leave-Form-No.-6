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BD91693B-D4D2-47C3-A6AF-9BA0D1F7DF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Election &amp; NLC" sheetId="4" r:id="rId2"/>
    <sheet name="Sheet1" sheetId="1" r:id="rId3"/>
  </sheets>
  <definedNames>
    <definedName name="_xlnm.Print_Area" localSheetId="1">'Election &amp; NLC'!$A$1:$G$22</definedName>
    <definedName name="_xlnm.Print_Area" localSheetId="0">'Leave Card as TIC'!$A$1:$J$32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3" l="1"/>
  <c r="J18" i="3" s="1"/>
  <c r="I18" i="3"/>
  <c r="H19" i="3"/>
  <c r="H20" i="3" s="1"/>
  <c r="I19" i="3"/>
  <c r="I20" i="3" s="1"/>
  <c r="I21" i="3" s="1"/>
  <c r="I22" i="3" s="1"/>
  <c r="I23" i="3" s="1"/>
  <c r="I24" i="3" s="1"/>
  <c r="J19" i="3"/>
  <c r="I14" i="3"/>
  <c r="I15" i="3" s="1"/>
  <c r="I16" i="3" s="1"/>
  <c r="I17" i="3" s="1"/>
  <c r="H14" i="3"/>
  <c r="J20" i="3" l="1"/>
  <c r="H21" i="3"/>
  <c r="H15" i="3"/>
  <c r="H16" i="3" s="1"/>
  <c r="J16" i="3" s="1"/>
  <c r="J14" i="3"/>
  <c r="H22" i="3" l="1"/>
  <c r="J21" i="3"/>
  <c r="H17" i="3"/>
  <c r="J17" i="3" s="1"/>
  <c r="J15" i="3"/>
  <c r="J22" i="3" l="1"/>
  <c r="H23" i="3"/>
  <c r="H24" i="3" l="1"/>
  <c r="J24" i="3" s="1"/>
  <c r="J23" i="3"/>
</calcChain>
</file>

<file path=xl/sharedStrings.xml><?xml version="1.0" encoding="utf-8"?>
<sst xmlns="http://schemas.openxmlformats.org/spreadsheetml/2006/main" count="82" uniqueCount="61">
  <si>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</si>
  <si>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</si>
  <si>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</si>
  <si>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</si>
  <si>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</si>
  <si>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</si>
  <si>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</si>
  <si>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</si>
  <si>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</si>
  <si>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</si>
  <si>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</si>
  <si>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</si>
  <si>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</si>
  <si>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</si>
  <si>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</si>
  <si>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</si>
  <si>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</si>
  <si>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MA. LUISA B. CATIGAN</t>
  </si>
  <si>
    <t>Administrative Officer IV</t>
  </si>
  <si>
    <t xml:space="preserve">               HRMO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</si>
  <si>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</si>
  <si>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</si>
  <si>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</si>
  <si>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</si>
  <si>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</si>
  <si>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</si>
  <si>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</si>
  <si>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</si>
  <si>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</si>
  <si>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</si>
  <si>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</si>
  <si>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</si>
  <si>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</si>
  <si>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</si>
  <si>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</si>
  <si>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</si>
  <si>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</si>
  <si>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</si>
  <si>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</si>
  <si>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</si>
  <si>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</si>
  <si>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</si>
  <si>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NO.</t>
  </si>
  <si>
    <t>DATE RELEASED:</t>
  </si>
  <si>
    <t>NATIONAL LEARNING CAMP/NATIONAL &amp; LOCAL ELECTION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</si>
  <si>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SUMAEL, HOLY APRIL</t>
    </r>
  </si>
  <si>
    <t>DESIGNATED AS TIC (NON-TEACHING): EFFECTIVE JULY 29, 2024</t>
  </si>
  <si>
    <t>NAME         :PAGONZAGA, JAPETH N.</t>
  </si>
  <si>
    <t xml:space="preserve">POSITION   : </t>
  </si>
  <si>
    <t>VSC</t>
  </si>
  <si>
    <t>DEPED ACTIVITIES AND TRAININGS FOR SY 2024-2025</t>
  </si>
  <si>
    <t>BRIGADA &amp; OPLAN BALIK ESKWELA 2023</t>
  </si>
  <si>
    <t>SO # 037, S. 2024</t>
  </si>
  <si>
    <t>10/16/2024</t>
  </si>
  <si>
    <t>SO # 166, S. 2023</t>
  </si>
  <si>
    <t>26 DAYS</t>
  </si>
  <si>
    <t>ADD: 08/1/2024-12/31/2024</t>
  </si>
  <si>
    <t>ADD: 01/1-5/2025</t>
  </si>
  <si>
    <t>LESS: 11/4/2024</t>
  </si>
  <si>
    <t>JANUARY 6, 2025 -EFFECTIVE DATE OF RELIEVE</t>
  </si>
  <si>
    <r>
      <t xml:space="preserve">ADD: CONVERTED UNUSED VSC                    </t>
    </r>
    <r>
      <rPr>
        <b/>
        <sz val="11"/>
        <color rgb="FFFF0000"/>
        <rFont val="Calibri"/>
        <family val="2"/>
        <scheme val="minor"/>
      </rPr>
      <t>(26 DAYS)</t>
    </r>
    <r>
      <rPr>
        <sz val="11"/>
        <color theme="1"/>
        <rFont val="Calibri"/>
        <family val="2"/>
        <scheme val="minor"/>
      </rPr>
      <t xml:space="preserve"> FORMULA: 30Y/69/2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</si>
</sst>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4">
    <xf numFmtId="0" fontId="0" fillId="0" borderId="0"/>
    <xf numFmtId="0" fontId="14" fillId="0" borderId="0"/>
    <xf numFmtId="0" fontId="17" fillId="0" borderId="0"/>
    <xf numFmtId="0" fontId="14" fillId="0" borderId="0"/>
  </cellStyleXfs>
  <cellXfs count="1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8" fillId="0" borderId="0" xfId="0" applyFont="1"/>
    <xf numFmtId="0" fontId="9" fillId="0" borderId="0" xfId="0" applyFont="1"/>
    <xf numFmtId="0" fontId="0" fillId="2" borderId="4" xfId="0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8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16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7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17" fillId="2" borderId="0" xfId="2" applyFill="1"/>
    <xf numFmtId="0" fontId="17" fillId="2" borderId="0" xfId="2" applyFill="1" applyAlignment="1">
      <alignment horizontal="center"/>
    </xf>
    <xf numFmtId="0" fontId="18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20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7" fillId="0" borderId="0" xfId="2"/>
    <xf numFmtId="0" fontId="4" fillId="3" borderId="22" xfId="2" applyFont="1" applyFill="1" applyBorder="1" applyAlignment="1">
      <alignment horizontal="center" vertical="center" wrapText="1"/>
    </xf>
    <xf numFmtId="0" fontId="4" fillId="3" borderId="22" xfId="2" applyFont="1" applyFill="1" applyBorder="1" applyAlignment="1">
      <alignment horizontal="center" vertical="center"/>
    </xf>
    <xf numFmtId="0" fontId="6" fillId="5" borderId="25" xfId="2" applyFont="1" applyFill="1" applyBorder="1" applyAlignment="1">
      <alignment horizontal="center" vertical="center" wrapText="1"/>
    </xf>
    <xf numFmtId="0" fontId="4" fillId="3" borderId="26" xfId="2" applyFont="1" applyFill="1" applyBorder="1" applyAlignment="1">
      <alignment horizontal="center" vertical="center"/>
    </xf>
    <xf numFmtId="0" fontId="5" fillId="0" borderId="0" xfId="2" applyFont="1"/>
    <xf numFmtId="0" fontId="21" fillId="2" borderId="7" xfId="2" applyFont="1" applyFill="1" applyBorder="1" applyAlignment="1">
      <alignment horizontal="center" vertical="center" wrapText="1"/>
    </xf>
    <xf numFmtId="0" fontId="18" fillId="2" borderId="16" xfId="2" applyFont="1" applyFill="1" applyBorder="1" applyAlignment="1">
      <alignment horizontal="center" vertical="center" wrapText="1"/>
    </xf>
    <xf numFmtId="0" fontId="21" fillId="2" borderId="1" xfId="2" applyFont="1" applyFill="1" applyBorder="1" applyAlignment="1">
      <alignment horizontal="center" vertical="center" wrapText="1"/>
    </xf>
    <xf numFmtId="0" fontId="18" fillId="2" borderId="17" xfId="2" applyFont="1" applyFill="1" applyBorder="1" applyAlignment="1">
      <alignment horizontal="center" vertical="center" wrapText="1"/>
    </xf>
    <xf numFmtId="0" fontId="7" fillId="0" borderId="0" xfId="2" applyFont="1"/>
    <xf numFmtId="0" fontId="7" fillId="2" borderId="0" xfId="2" applyFont="1" applyFill="1" applyAlignment="1">
      <alignment horizontal="center" vertical="center"/>
    </xf>
    <xf numFmtId="0" fontId="17" fillId="6" borderId="0" xfId="2" applyFill="1"/>
    <xf numFmtId="0" fontId="17" fillId="7" borderId="0" xfId="2" applyFill="1"/>
    <xf numFmtId="0" fontId="6" fillId="5" borderId="11" xfId="2" applyFont="1" applyFill="1" applyBorder="1" applyAlignment="1">
      <alignment horizontal="center" vertical="center" wrapText="1"/>
    </xf>
    <xf numFmtId="0" fontId="22" fillId="2" borderId="17" xfId="2" applyFont="1" applyFill="1" applyBorder="1" applyAlignment="1">
      <alignment horizontal="center" vertical="center" wrapText="1"/>
    </xf>
    <xf numFmtId="0" fontId="0" fillId="2" borderId="18" xfId="1" applyFont="1" applyFill="1" applyBorder="1" applyAlignment="1">
      <alignment horizontal="center" vertical="center" wrapText="1"/>
    </xf>
    <xf numFmtId="0" fontId="0" fillId="2" borderId="8" xfId="1" applyFont="1" applyFill="1" applyBorder="1" applyAlignment="1">
      <alignment horizontal="center" vertical="center"/>
    </xf>
    <xf numFmtId="0" fontId="21" fillId="2" borderId="7" xfId="3" applyFont="1" applyFill="1" applyBorder="1" applyAlignment="1">
      <alignment horizontal="center" vertical="center" wrapText="1"/>
    </xf>
    <xf numFmtId="0" fontId="18" fillId="2" borderId="16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" fillId="9" borderId="22" xfId="0" applyFont="1" applyFill="1" applyBorder="1" applyAlignment="1">
      <alignment horizontal="left" vertical="center"/>
    </xf>
    <xf numFmtId="0" fontId="1" fillId="9" borderId="24" xfId="0" applyFont="1" applyFill="1" applyBorder="1" applyAlignment="1">
      <alignment horizontal="left" vertical="center"/>
    </xf>
    <xf numFmtId="0" fontId="1" fillId="9" borderId="23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11" borderId="21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8" fillId="2" borderId="27" xfId="2" applyFont="1" applyFill="1" applyBorder="1" applyAlignment="1">
      <alignment horizontal="right" vertical="center" wrapText="1"/>
    </xf>
    <xf numFmtId="0" fontId="18" fillId="2" borderId="2" xfId="2" applyFont="1" applyFill="1" applyBorder="1" applyAlignment="1">
      <alignment horizontal="right" vertical="center" wrapText="1"/>
    </xf>
    <xf numFmtId="0" fontId="18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3" fillId="2" borderId="22" xfId="2" applyFont="1" applyFill="1" applyBorder="1" applyAlignment="1">
      <alignment horizontal="center" vertical="center"/>
    </xf>
    <xf numFmtId="0" fontId="3" fillId="2" borderId="24" xfId="2" applyFont="1" applyFill="1" applyBorder="1" applyAlignment="1">
      <alignment horizontal="center" vertical="center"/>
    </xf>
    <xf numFmtId="0" fontId="3" fillId="2" borderId="23" xfId="2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2" borderId="15" xfId="1" applyFont="1" applyFill="1" applyBorder="1" applyAlignment="1">
      <alignment horizontal="center" vertical="center" wrapText="1"/>
    </xf>
    <xf numFmtId="14" fontId="0" fillId="2" borderId="8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29DC33C2-ED34-47D9-B6FD-D61DD017D699}"/>
    <cellStyle name="Normal 2 2" xfId="3" xr:uid="{8C93AFBF-AD38-45F1-B434-5493638397D7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PAGONZAGA, JAPETH N.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T-III/TEACHER-IN-CHARGE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</a:t>
          </a:r>
        </a:p>
      </xdr:txBody>
    </xdr:sp>
    <xdr:clientData/>
  </xdr:twoCellAnchor>
  <xdr:twoCellAnchor>
    <xdr:from>
      <xdr:col>5</xdr:col>
      <xdr:colOff>347452</xdr:colOff>
      <xdr:row>26</xdr:row>
      <xdr:rowOff>53914</xdr:rowOff>
    </xdr:from>
    <xdr:to>
      <xdr:col>9</xdr:col>
      <xdr:colOff>672043</xdr:colOff>
      <xdr:row>31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821410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D6D2AB-5FFD-489A-9097-837BE2F660E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9275" y="28770"/>
          <a:ext cx="619310" cy="647505"/>
        </a:xfrm>
        <a:prstGeom prst="rect">
          <a:avLst/>
        </a:prstGeom>
        <a:noFill/>
      </xdr:spPr>
    </xdr:pic>
    <xdr:clientData/>
  </xdr:twoCellAnchor>
  <xdr:twoCellAnchor>
    <xdr:from>
      <xdr:col>5</xdr:col>
      <xdr:colOff>628650</xdr:colOff>
      <xdr:row>33</xdr:row>
      <xdr:rowOff>95250</xdr:rowOff>
    </xdr:from>
    <xdr:to>
      <xdr:col>10</xdr:col>
      <xdr:colOff>295275</xdr:colOff>
      <xdr:row>34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62A3AE-C7B6-45E1-BBB7-7D6EB3D7206C}"/>
            </a:ext>
          </a:extLst>
        </xdr:cNvPr>
        <xdr:cNvSpPr txBox="1"/>
      </xdr:nvSpPr>
      <xdr:spPr>
        <a:xfrm>
          <a:off x="5667375" y="7124700"/>
          <a:ext cx="30765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938592E-C9B0-4557-86EB-4BCFC8E5DE8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30"/>
  <sheetViews>
    <sheetView tabSelected="1" view="pageBreakPreview" zoomScale="106" zoomScaleNormal="100" zoomScaleSheetLayoutView="106" workbookViewId="0">
      <selection activeCell="A25" sqref="A25:J25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33" customWidth="1"/>
    <col min="8" max="10" width="11.5703125" customWidth="1"/>
    <col min="11" max="11" width="26.42578125" style="30" customWidth="1"/>
  </cols>
  <sheetData>
    <row r="1" spans="1:11" s="1" customFormat="1" ht="52.5" customHeight="1" x14ac:dyDescent="0.25"/>
    <row r="2" spans="1:11" s="1" customFormat="1" ht="10.5" customHeight="1" x14ac:dyDescent="0.25">
      <c r="A2" s="86" t="s">
        <v>0</v>
      </c>
      <c r="B2" s="86"/>
      <c r="C2" s="86"/>
      <c r="D2" s="86"/>
      <c r="E2" s="86"/>
      <c r="F2" s="86"/>
      <c r="G2" s="86"/>
      <c r="H2" s="86"/>
      <c r="I2" s="86"/>
      <c r="J2" s="86"/>
    </row>
    <row r="3" spans="1:11" s="1" customFormat="1" ht="15.95" customHeight="1" x14ac:dyDescent="0.25">
      <c r="A3" s="86" t="s">
        <v>1</v>
      </c>
      <c r="B3" s="86"/>
      <c r="C3" s="86"/>
      <c r="D3" s="86"/>
      <c r="E3" s="86"/>
      <c r="F3" s="86"/>
      <c r="G3" s="86"/>
      <c r="H3" s="86"/>
      <c r="I3" s="86"/>
      <c r="J3" s="86"/>
    </row>
    <row r="4" spans="1:11" s="1" customFormat="1" ht="15.95" customHeight="1" x14ac:dyDescent="0.25">
      <c r="A4" s="86" t="s">
        <v>2</v>
      </c>
      <c r="B4" s="86"/>
      <c r="C4" s="86"/>
      <c r="D4" s="86"/>
      <c r="E4" s="86"/>
      <c r="F4" s="86"/>
      <c r="G4" s="86"/>
      <c r="H4" s="86"/>
      <c r="I4" s="86"/>
      <c r="J4" s="86"/>
    </row>
    <row r="5" spans="1:11" s="1" customFormat="1" ht="15.95" customHeight="1" x14ac:dyDescent="0.25">
      <c r="A5" s="86" t="s">
        <v>3</v>
      </c>
      <c r="B5" s="86"/>
      <c r="C5" s="86"/>
      <c r="D5" s="86"/>
      <c r="E5" s="86"/>
      <c r="F5" s="86"/>
      <c r="G5" s="86"/>
      <c r="H5" s="86"/>
      <c r="I5" s="86"/>
      <c r="J5" s="86"/>
    </row>
    <row r="6" spans="1:11" s="1" customFormat="1" ht="8.25" customHeight="1" x14ac:dyDescent="0.25"/>
    <row r="7" spans="1:11" s="1" customFormat="1" ht="12" customHeight="1" x14ac:dyDescent="0.25">
      <c r="A7" s="1" t="s">
        <v>20</v>
      </c>
      <c r="B7" s="85" t="s">
        <v>21</v>
      </c>
      <c r="C7" s="85"/>
      <c r="D7" s="85"/>
      <c r="H7" s="6" t="s">
        <v>22</v>
      </c>
      <c r="I7" s="22"/>
      <c r="J7" s="6"/>
    </row>
    <row r="8" spans="1:11" s="1" customFormat="1" ht="12" customHeight="1" x14ac:dyDescent="0.25">
      <c r="B8" s="7"/>
      <c r="C8" s="7"/>
      <c r="H8" s="7"/>
      <c r="I8" s="7"/>
      <c r="J8" s="7"/>
    </row>
    <row r="9" spans="1:11" s="1" customFormat="1" ht="12" customHeight="1" x14ac:dyDescent="0.25">
      <c r="A9" s="1" t="s">
        <v>23</v>
      </c>
      <c r="B9" s="85" t="s">
        <v>24</v>
      </c>
      <c r="C9" s="85"/>
      <c r="D9" s="85"/>
      <c r="H9" s="6" t="s">
        <v>25</v>
      </c>
      <c r="I9" s="23"/>
      <c r="J9" s="6"/>
    </row>
    <row r="10" spans="1:11" ht="23.25" customHeight="1" thickBot="1" x14ac:dyDescent="0.3">
      <c r="A10" s="73" t="s">
        <v>26</v>
      </c>
      <c r="B10" s="73"/>
      <c r="C10" s="73"/>
      <c r="D10" s="73"/>
      <c r="E10" s="73"/>
      <c r="F10" s="73"/>
      <c r="G10" s="73"/>
      <c r="H10" s="73"/>
      <c r="I10" s="73"/>
      <c r="J10" s="73"/>
      <c r="K10"/>
    </row>
    <row r="11" spans="1:11" ht="18.75" customHeight="1" x14ac:dyDescent="0.25">
      <c r="A11" s="74" t="s">
        <v>9</v>
      </c>
      <c r="B11" s="76" t="s">
        <v>10</v>
      </c>
      <c r="C11" s="77"/>
      <c r="D11" s="78" t="s">
        <v>27</v>
      </c>
      <c r="E11" s="79"/>
      <c r="F11" s="79"/>
      <c r="G11" s="80"/>
      <c r="H11" s="81" t="s">
        <v>28</v>
      </c>
      <c r="I11" s="82"/>
      <c r="J11" s="83" t="s">
        <v>11</v>
      </c>
      <c r="K11" s="69" t="s">
        <v>29</v>
      </c>
    </row>
    <row r="12" spans="1:11" ht="15.75" thickBot="1" x14ac:dyDescent="0.3">
      <c r="A12" s="75"/>
      <c r="B12" s="24" t="s">
        <v>30</v>
      </c>
      <c r="C12" s="24" t="s">
        <v>31</v>
      </c>
      <c r="D12" s="24" t="s">
        <v>30</v>
      </c>
      <c r="E12" s="24" t="s">
        <v>31</v>
      </c>
      <c r="F12" s="24" t="s">
        <v>32</v>
      </c>
      <c r="G12" s="24" t="s">
        <v>33</v>
      </c>
      <c r="H12" s="24" t="s">
        <v>30</v>
      </c>
      <c r="I12" s="24" t="s">
        <v>31</v>
      </c>
      <c r="J12" s="84"/>
      <c r="K12" s="69"/>
    </row>
    <row r="13" spans="1:11" ht="15.75" thickBot="1" x14ac:dyDescent="0.3">
      <c r="A13" s="70" t="s">
        <v>46</v>
      </c>
      <c r="B13" s="71"/>
      <c r="C13" s="71"/>
      <c r="D13" s="71"/>
      <c r="E13" s="71"/>
      <c r="F13" s="71"/>
      <c r="G13" s="71"/>
      <c r="H13" s="71"/>
      <c r="I13" s="71"/>
      <c r="J13" s="72"/>
      <c r="K13" s="25"/>
    </row>
    <row r="14" spans="1:11" ht="28.5" customHeight="1" x14ac:dyDescent="0.25">
      <c r="A14" s="26" t="s">
        <v>60</v>
      </c>
      <c r="B14" s="35">
        <v>5.6520000000000001</v>
      </c>
      <c r="C14" s="36">
        <v>5.6520000000000001</v>
      </c>
      <c r="D14" s="36"/>
      <c r="E14" s="35"/>
      <c r="F14" s="35"/>
      <c r="G14" s="35"/>
      <c r="H14" s="28">
        <f>B14</f>
        <v>5.6520000000000001</v>
      </c>
      <c r="I14" s="28">
        <f>C14</f>
        <v>5.6520000000000001</v>
      </c>
      <c r="J14" s="29">
        <f>SUM(H14:I14)</f>
        <v>11.304</v>
      </c>
    </row>
    <row r="15" spans="1:11" ht="17.25" customHeight="1" x14ac:dyDescent="0.25">
      <c r="A15" s="26" t="s">
        <v>35</v>
      </c>
      <c r="B15" s="35">
        <v>0.125</v>
      </c>
      <c r="C15" s="36">
        <v>0.125</v>
      </c>
      <c r="D15" s="27"/>
      <c r="E15" s="20"/>
      <c r="F15" s="20"/>
      <c r="G15" s="20"/>
      <c r="H15" s="31">
        <f>H14-F15-D15+B15</f>
        <v>5.7770000000000001</v>
      </c>
      <c r="I15" s="31">
        <f>I14-E15+C15</f>
        <v>5.7770000000000001</v>
      </c>
      <c r="J15" s="32">
        <f>SUM(H15:I15)</f>
        <v>11.554</v>
      </c>
    </row>
    <row r="16" spans="1:11" ht="17.25" customHeight="1" x14ac:dyDescent="0.25">
      <c r="A16" s="26" t="s">
        <v>56</v>
      </c>
      <c r="B16" s="35">
        <v>6.25</v>
      </c>
      <c r="C16" s="36">
        <v>6.25</v>
      </c>
      <c r="D16" s="27"/>
      <c r="E16" s="20"/>
      <c r="F16" s="20"/>
      <c r="G16" s="20"/>
      <c r="H16" s="31">
        <f t="shared" ref="H16:H23" si="0">H15-F16-D16+B16</f>
        <v>12.027000000000001</v>
      </c>
      <c r="I16" s="31">
        <f t="shared" ref="I16:I23" si="1">I15-E16+C16</f>
        <v>12.027000000000001</v>
      </c>
      <c r="J16" s="32">
        <f t="shared" ref="J16:J23" si="2">SUM(H16:I16)</f>
        <v>24.054000000000002</v>
      </c>
    </row>
    <row r="17" spans="1:10" ht="15.75" customHeight="1" x14ac:dyDescent="0.25">
      <c r="A17" s="26" t="s">
        <v>57</v>
      </c>
      <c r="B17" s="20">
        <v>0.20799999999999999</v>
      </c>
      <c r="C17" s="27">
        <v>0.20799999999999999</v>
      </c>
      <c r="D17" s="27"/>
      <c r="E17" s="20"/>
      <c r="F17" s="20"/>
      <c r="G17" s="20"/>
      <c r="H17" s="31">
        <f t="shared" si="0"/>
        <v>12.235000000000001</v>
      </c>
      <c r="I17" s="31">
        <f t="shared" si="1"/>
        <v>12.235000000000001</v>
      </c>
      <c r="J17" s="32">
        <f t="shared" si="2"/>
        <v>24.470000000000002</v>
      </c>
    </row>
    <row r="18" spans="1:10" ht="15.75" hidden="1" customHeight="1" x14ac:dyDescent="0.25">
      <c r="A18" s="26"/>
      <c r="B18" s="20"/>
      <c r="C18" s="27"/>
      <c r="D18" s="27"/>
      <c r="E18" s="20"/>
      <c r="F18" s="66"/>
      <c r="G18" s="20"/>
      <c r="H18" s="31">
        <f t="shared" ref="H18:H24" si="3">H17-F18-D18+B18</f>
        <v>12.235000000000001</v>
      </c>
      <c r="I18" s="31">
        <f t="shared" ref="I18:I24" si="4">I17-E18+C18</f>
        <v>12.235000000000001</v>
      </c>
      <c r="J18" s="32">
        <f t="shared" ref="J18:J24" si="5">SUM(H18:I18)</f>
        <v>24.470000000000002</v>
      </c>
    </row>
    <row r="19" spans="1:10" ht="17.25" hidden="1" customHeight="1" x14ac:dyDescent="0.25">
      <c r="A19" s="26"/>
      <c r="B19" s="20"/>
      <c r="C19" s="27"/>
      <c r="D19" s="27"/>
      <c r="E19" s="20"/>
      <c r="F19" s="66"/>
      <c r="G19" s="20"/>
      <c r="H19" s="31">
        <f t="shared" si="3"/>
        <v>12.235000000000001</v>
      </c>
      <c r="I19" s="31">
        <f t="shared" si="4"/>
        <v>12.235000000000001</v>
      </c>
      <c r="J19" s="32">
        <f t="shared" si="5"/>
        <v>24.470000000000002</v>
      </c>
    </row>
    <row r="20" spans="1:10" ht="17.25" hidden="1" customHeight="1" x14ac:dyDescent="0.25">
      <c r="A20" s="26"/>
      <c r="B20" s="20"/>
      <c r="C20" s="27"/>
      <c r="D20" s="27"/>
      <c r="E20" s="20"/>
      <c r="F20" s="66"/>
      <c r="G20" s="20"/>
      <c r="H20" s="31">
        <f t="shared" si="3"/>
        <v>12.235000000000001</v>
      </c>
      <c r="I20" s="31">
        <f t="shared" si="4"/>
        <v>12.235000000000001</v>
      </c>
      <c r="J20" s="32">
        <f t="shared" si="5"/>
        <v>24.470000000000002</v>
      </c>
    </row>
    <row r="21" spans="1:10" ht="13.5" hidden="1" customHeight="1" x14ac:dyDescent="0.25">
      <c r="A21" s="26"/>
      <c r="B21" s="20"/>
      <c r="C21" s="27"/>
      <c r="D21" s="27"/>
      <c r="E21" s="20"/>
      <c r="F21" s="20"/>
      <c r="G21" s="20"/>
      <c r="H21" s="31">
        <f t="shared" si="3"/>
        <v>12.235000000000001</v>
      </c>
      <c r="I21" s="31">
        <f t="shared" si="4"/>
        <v>12.235000000000001</v>
      </c>
      <c r="J21" s="32">
        <f t="shared" si="5"/>
        <v>24.470000000000002</v>
      </c>
    </row>
    <row r="22" spans="1:10" ht="12" hidden="1" customHeight="1" x14ac:dyDescent="0.25">
      <c r="A22" s="26"/>
      <c r="B22" s="20"/>
      <c r="C22" s="27"/>
      <c r="D22" s="27"/>
      <c r="E22" s="20"/>
      <c r="F22" s="20"/>
      <c r="G22" s="20"/>
      <c r="H22" s="31">
        <f t="shared" si="3"/>
        <v>12.235000000000001</v>
      </c>
      <c r="I22" s="31">
        <f t="shared" si="4"/>
        <v>12.235000000000001</v>
      </c>
      <c r="J22" s="32">
        <f t="shared" si="5"/>
        <v>24.470000000000002</v>
      </c>
    </row>
    <row r="23" spans="1:10" ht="12" hidden="1" customHeight="1" x14ac:dyDescent="0.25">
      <c r="A23" s="26"/>
      <c r="B23" s="20"/>
      <c r="C23" s="27"/>
      <c r="D23" s="27"/>
      <c r="E23" s="20"/>
      <c r="F23" s="20"/>
      <c r="G23" s="20"/>
      <c r="H23" s="31">
        <f t="shared" si="3"/>
        <v>12.235000000000001</v>
      </c>
      <c r="I23" s="31">
        <f t="shared" si="4"/>
        <v>12.235000000000001</v>
      </c>
      <c r="J23" s="32">
        <f t="shared" si="5"/>
        <v>24.470000000000002</v>
      </c>
    </row>
    <row r="24" spans="1:10" ht="15" customHeight="1" x14ac:dyDescent="0.25">
      <c r="A24" s="27" t="s">
        <v>58</v>
      </c>
      <c r="B24" s="20"/>
      <c r="C24" s="27"/>
      <c r="D24" s="27"/>
      <c r="E24" s="20">
        <v>1</v>
      </c>
      <c r="F24" s="20"/>
      <c r="G24" s="20"/>
      <c r="H24" s="31">
        <f t="shared" si="3"/>
        <v>12.235000000000001</v>
      </c>
      <c r="I24" s="31">
        <f t="shared" si="4"/>
        <v>11.235000000000001</v>
      </c>
      <c r="J24" s="32">
        <f t="shared" si="5"/>
        <v>23.470000000000002</v>
      </c>
    </row>
    <row r="25" spans="1:10" ht="15.75" customHeight="1" x14ac:dyDescent="0.25">
      <c r="A25" s="114" t="s">
        <v>59</v>
      </c>
      <c r="B25" s="115"/>
      <c r="C25" s="115"/>
      <c r="D25" s="115"/>
      <c r="E25" s="115"/>
      <c r="F25" s="115"/>
      <c r="G25" s="115"/>
      <c r="H25" s="115"/>
      <c r="I25" s="115"/>
      <c r="J25" s="116"/>
    </row>
    <row r="26" spans="1:10" x14ac:dyDescent="0.25">
      <c r="H26" s="34"/>
      <c r="I26" s="34"/>
      <c r="J26" s="34"/>
    </row>
    <row r="30" spans="1:10" x14ac:dyDescent="0.25">
      <c r="F30" s="33" t="s">
        <v>34</v>
      </c>
    </row>
  </sheetData>
  <mergeCells count="15">
    <mergeCell ref="A25:J25"/>
    <mergeCell ref="B9:D9"/>
    <mergeCell ref="A2:J2"/>
    <mergeCell ref="A3:J3"/>
    <mergeCell ref="A4:J4"/>
    <mergeCell ref="A5:J5"/>
    <mergeCell ref="B7:D7"/>
    <mergeCell ref="K11:K12"/>
    <mergeCell ref="A13:J13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2"/>
  <sheetViews>
    <sheetView view="pageBreakPreview" zoomScaleNormal="100" workbookViewId="0">
      <selection activeCell="G17" sqref="G17"/>
    </sheetView>
  </sheetViews>
  <sheetFormatPr defaultColWidth="9" defaultRowHeight="15" x14ac:dyDescent="0.25"/>
  <cols>
    <col min="1" max="1" width="23.5703125" style="46" customWidth="1"/>
    <col min="2" max="2" width="18.85546875" style="46" customWidth="1"/>
    <col min="3" max="3" width="35" style="58" customWidth="1"/>
    <col min="4" max="4" width="11.7109375" style="59" customWidth="1"/>
    <col min="5" max="5" width="11" style="46" customWidth="1"/>
    <col min="6" max="6" width="11.85546875" style="59" customWidth="1"/>
    <col min="7" max="7" width="22" style="46" customWidth="1"/>
    <col min="8" max="16384" width="9" style="46"/>
  </cols>
  <sheetData>
    <row r="1" spans="1:7" s="38" customFormat="1" ht="52.5" customHeight="1" x14ac:dyDescent="0.25">
      <c r="E1" s="39"/>
    </row>
    <row r="2" spans="1:7" s="38" customFormat="1" ht="10.5" customHeight="1" x14ac:dyDescent="0.25">
      <c r="A2" s="90" t="s">
        <v>0</v>
      </c>
      <c r="B2" s="90"/>
      <c r="C2" s="90"/>
      <c r="D2" s="90"/>
      <c r="E2" s="90"/>
      <c r="F2" s="90"/>
      <c r="G2" s="90"/>
    </row>
    <row r="3" spans="1:7" s="38" customFormat="1" ht="15.95" customHeight="1" x14ac:dyDescent="0.25">
      <c r="A3" s="90" t="s">
        <v>1</v>
      </c>
      <c r="B3" s="90"/>
      <c r="C3" s="90"/>
      <c r="D3" s="90"/>
      <c r="E3" s="90"/>
      <c r="F3" s="90"/>
      <c r="G3" s="90"/>
    </row>
    <row r="4" spans="1:7" s="38" customFormat="1" ht="15.95" customHeight="1" x14ac:dyDescent="0.25">
      <c r="A4" s="90" t="s">
        <v>2</v>
      </c>
      <c r="B4" s="90"/>
      <c r="C4" s="90"/>
      <c r="D4" s="90"/>
      <c r="E4" s="90"/>
      <c r="F4" s="90"/>
      <c r="G4" s="90"/>
    </row>
    <row r="5" spans="1:7" s="38" customFormat="1" ht="15.95" customHeight="1" x14ac:dyDescent="0.25">
      <c r="A5" s="90" t="s">
        <v>3</v>
      </c>
      <c r="B5" s="90"/>
      <c r="C5" s="90"/>
      <c r="D5" s="90"/>
      <c r="E5" s="90"/>
      <c r="F5" s="90"/>
      <c r="G5" s="90"/>
    </row>
    <row r="6" spans="1:7" s="38" customFormat="1" ht="8.25" customHeight="1" x14ac:dyDescent="0.25">
      <c r="E6" s="39"/>
    </row>
    <row r="7" spans="1:7" s="38" customFormat="1" ht="8.25" customHeight="1" x14ac:dyDescent="0.25">
      <c r="E7" s="39"/>
    </row>
    <row r="8" spans="1:7" s="38" customFormat="1" ht="17.25" customHeight="1" x14ac:dyDescent="0.25">
      <c r="A8" s="40" t="s">
        <v>45</v>
      </c>
      <c r="B8" s="40"/>
      <c r="C8" s="40" t="s">
        <v>36</v>
      </c>
      <c r="D8" s="41"/>
      <c r="E8" s="40" t="s">
        <v>37</v>
      </c>
      <c r="F8" s="41"/>
      <c r="G8" s="42"/>
    </row>
    <row r="9" spans="1:7" s="38" customFormat="1" ht="12" customHeight="1" x14ac:dyDescent="0.25">
      <c r="A9" s="43"/>
      <c r="B9" s="43"/>
      <c r="C9" s="44"/>
      <c r="E9" s="40" t="s">
        <v>38</v>
      </c>
      <c r="F9" s="45"/>
      <c r="G9" s="44"/>
    </row>
    <row r="10" spans="1:7" s="38" customFormat="1" ht="14.25" customHeight="1" x14ac:dyDescent="0.25">
      <c r="A10" s="40" t="s">
        <v>39</v>
      </c>
      <c r="B10" s="40"/>
      <c r="C10" s="40" t="s">
        <v>40</v>
      </c>
      <c r="D10" s="41"/>
      <c r="E10" s="40" t="s">
        <v>41</v>
      </c>
      <c r="F10" s="41"/>
      <c r="G10" s="42"/>
    </row>
    <row r="11" spans="1:7" s="38" customFormat="1" ht="12" customHeight="1" thickBot="1" x14ac:dyDescent="0.3">
      <c r="A11" s="42"/>
      <c r="B11" s="42"/>
      <c r="C11" s="42"/>
      <c r="F11" s="41"/>
      <c r="G11" s="42"/>
    </row>
    <row r="12" spans="1:7" ht="23.25" customHeight="1" thickBot="1" x14ac:dyDescent="0.3">
      <c r="A12" s="91" t="s">
        <v>49</v>
      </c>
      <c r="B12" s="92"/>
      <c r="C12" s="92"/>
      <c r="D12" s="92"/>
      <c r="E12" s="92"/>
      <c r="F12" s="92"/>
      <c r="G12" s="93"/>
    </row>
    <row r="13" spans="1:7" s="51" customFormat="1" ht="37.5" customHeight="1" thickBot="1" x14ac:dyDescent="0.25">
      <c r="A13" s="47" t="s">
        <v>42</v>
      </c>
      <c r="B13" s="48" t="s">
        <v>43</v>
      </c>
      <c r="C13" s="60" t="s">
        <v>44</v>
      </c>
      <c r="D13" s="60" t="s">
        <v>13</v>
      </c>
      <c r="E13" s="49" t="s">
        <v>14</v>
      </c>
      <c r="F13" s="49" t="s">
        <v>15</v>
      </c>
      <c r="G13" s="50" t="s">
        <v>11</v>
      </c>
    </row>
    <row r="14" spans="1:7" s="51" customFormat="1" ht="39.75" customHeight="1" x14ac:dyDescent="0.2">
      <c r="A14" s="112" t="s">
        <v>52</v>
      </c>
      <c r="B14" s="63" t="s">
        <v>53</v>
      </c>
      <c r="C14" s="37" t="s">
        <v>50</v>
      </c>
      <c r="D14" s="37">
        <v>15</v>
      </c>
      <c r="E14" s="52">
        <v>0</v>
      </c>
      <c r="F14" s="52">
        <v>15</v>
      </c>
      <c r="G14" s="53">
        <v>15</v>
      </c>
    </row>
    <row r="15" spans="1:7" s="51" customFormat="1" ht="21.75" customHeight="1" x14ac:dyDescent="0.2">
      <c r="A15" s="62" t="s">
        <v>54</v>
      </c>
      <c r="B15" s="113">
        <v>45088</v>
      </c>
      <c r="C15" s="37" t="s">
        <v>51</v>
      </c>
      <c r="D15" s="37">
        <v>11</v>
      </c>
      <c r="E15" s="52">
        <v>0</v>
      </c>
      <c r="F15" s="52">
        <v>11</v>
      </c>
      <c r="G15" s="53">
        <v>11</v>
      </c>
    </row>
    <row r="16" spans="1:7" s="51" customFormat="1" ht="38.25" customHeight="1" x14ac:dyDescent="0.2">
      <c r="A16" s="62"/>
      <c r="B16" s="63"/>
      <c r="C16" s="37"/>
      <c r="D16" s="37"/>
      <c r="E16" s="64"/>
      <c r="F16" s="64"/>
      <c r="G16" s="65"/>
    </row>
    <row r="17" spans="1:7" s="56" customFormat="1" ht="28.5" customHeight="1" x14ac:dyDescent="0.2">
      <c r="A17" s="21"/>
      <c r="B17" s="21"/>
      <c r="C17" s="37"/>
      <c r="D17" s="54"/>
      <c r="E17" s="54"/>
      <c r="F17" s="54"/>
      <c r="G17" s="53"/>
    </row>
    <row r="18" spans="1:7" s="56" customFormat="1" ht="15.75" x14ac:dyDescent="0.2">
      <c r="A18" s="21"/>
      <c r="B18" s="21"/>
      <c r="C18" s="37"/>
      <c r="D18" s="54"/>
      <c r="E18" s="54"/>
      <c r="F18" s="54"/>
      <c r="G18" s="55"/>
    </row>
    <row r="19" spans="1:7" s="56" customFormat="1" ht="15.75" x14ac:dyDescent="0.2">
      <c r="A19" s="87" t="s">
        <v>11</v>
      </c>
      <c r="B19" s="88"/>
      <c r="C19" s="88"/>
      <c r="D19" s="88"/>
      <c r="E19" s="88"/>
      <c r="F19" s="89"/>
      <c r="G19" s="61" t="s">
        <v>55</v>
      </c>
    </row>
    <row r="20" spans="1:7" s="38" customFormat="1" ht="75.75" customHeight="1" x14ac:dyDescent="0.25">
      <c r="A20" s="57"/>
      <c r="B20" s="57"/>
      <c r="G20" s="57"/>
    </row>
    <row r="21" spans="1:7" s="38" customFormat="1" x14ac:dyDescent="0.25"/>
    <row r="22" spans="1:7" s="38" customFormat="1" x14ac:dyDescent="0.25"/>
  </sheetData>
  <mergeCells count="6">
    <mergeCell ref="A19:F19"/>
    <mergeCell ref="A2:G2"/>
    <mergeCell ref="A3:G3"/>
    <mergeCell ref="A4:G4"/>
    <mergeCell ref="A5:G5"/>
    <mergeCell ref="A12:G12"/>
  </mergeCells>
  <phoneticPr fontId="13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opLeftCell="A20" workbookViewId="0">
      <selection activeCell="A17" sqref="A17:L32"/>
    </sheetView>
  </sheetViews>
  <sheetFormatPr defaultRowHeight="15" x14ac:dyDescent="0.25"/>
  <cols>
    <col min="1" max="1" width="29.85546875" customWidth="1"/>
    <col min="2" max="2" width="9.42578125" style="14" customWidth="1"/>
    <col min="3" max="3" width="9.28515625" style="15" customWidth="1"/>
    <col min="4" max="4" width="9"/>
    <col min="5" max="5" width="18" style="14" customWidth="1"/>
    <col min="6" max="6" width="10.85546875" style="16" customWidth="1"/>
    <col min="7" max="7" width="9.7109375" style="17" customWidth="1"/>
    <col min="8" max="8" width="10.85546875" customWidth="1"/>
    <col min="9" max="9" width="9.7109375" style="14" customWidth="1"/>
    <col min="10" max="10" width="10" style="16" customWidth="1"/>
    <col min="11" max="11" width="8.7109375" style="17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1"/>
    </row>
    <row r="6" spans="1:13" x14ac:dyDescent="0.25">
      <c r="A6" s="86" t="s">
        <v>1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1"/>
    </row>
    <row r="7" spans="1:13" x14ac:dyDescent="0.25">
      <c r="A7" s="86" t="s">
        <v>2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1"/>
    </row>
    <row r="8" spans="1:13" x14ac:dyDescent="0.25">
      <c r="A8" s="86" t="s">
        <v>3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47</v>
      </c>
      <c r="B11" s="6"/>
      <c r="C11" s="85" t="s">
        <v>4</v>
      </c>
      <c r="D11" s="85"/>
      <c r="E11" s="85"/>
      <c r="F11" s="85"/>
      <c r="G11" s="85"/>
      <c r="H11" s="1"/>
      <c r="I11" s="85" t="s">
        <v>5</v>
      </c>
      <c r="J11" s="85"/>
      <c r="K11" s="85"/>
      <c r="L11" s="6"/>
      <c r="M11" s="1"/>
    </row>
    <row r="12" spans="1:13" x14ac:dyDescent="0.25">
      <c r="A12" s="1"/>
      <c r="B12" s="7"/>
      <c r="C12" s="85" t="s">
        <v>40</v>
      </c>
      <c r="D12" s="85"/>
      <c r="E12" s="85"/>
      <c r="F12" s="85"/>
      <c r="G12" s="85"/>
      <c r="H12" s="1"/>
      <c r="I12" s="106" t="s">
        <v>6</v>
      </c>
      <c r="J12" s="106"/>
      <c r="K12" s="106"/>
      <c r="L12" s="7"/>
      <c r="M12" s="1"/>
    </row>
    <row r="13" spans="1:13" x14ac:dyDescent="0.25">
      <c r="A13" s="6" t="s">
        <v>48</v>
      </c>
      <c r="B13" s="6"/>
      <c r="C13" s="8"/>
      <c r="D13" s="7"/>
      <c r="E13" s="7"/>
      <c r="F13" s="1"/>
      <c r="G13" s="1"/>
      <c r="H13" s="1"/>
      <c r="I13" s="85" t="s">
        <v>7</v>
      </c>
      <c r="J13" s="85"/>
      <c r="K13" s="85"/>
      <c r="L13" s="6"/>
      <c r="M13" s="1"/>
    </row>
    <row r="14" spans="1:13" ht="21" x14ac:dyDescent="0.25">
      <c r="A14" s="107" t="s">
        <v>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</row>
    <row r="15" spans="1:13" x14ac:dyDescent="0.25">
      <c r="A15" s="108" t="s">
        <v>9</v>
      </c>
      <c r="B15" s="110" t="s">
        <v>10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01" t="s">
        <v>11</v>
      </c>
      <c r="M15" s="9"/>
    </row>
    <row r="16" spans="1:13" x14ac:dyDescent="0.25">
      <c r="A16" s="109"/>
      <c r="B16" s="103" t="s">
        <v>12</v>
      </c>
      <c r="C16" s="104"/>
      <c r="D16" s="104"/>
      <c r="E16" s="105"/>
      <c r="F16" s="103" t="s">
        <v>13</v>
      </c>
      <c r="G16" s="105"/>
      <c r="H16" s="103" t="s">
        <v>14</v>
      </c>
      <c r="I16" s="105"/>
      <c r="J16" s="103" t="s">
        <v>15</v>
      </c>
      <c r="K16" s="105"/>
      <c r="L16" s="102"/>
      <c r="M16" s="9"/>
    </row>
    <row r="17" spans="1:13" ht="22.5" customHeight="1" x14ac:dyDescent="0.25">
      <c r="A17" s="67"/>
      <c r="B17" s="100"/>
      <c r="C17" s="98"/>
      <c r="D17" s="98"/>
      <c r="E17" s="99"/>
      <c r="F17" s="94"/>
      <c r="G17" s="95"/>
      <c r="H17" s="94"/>
      <c r="I17" s="95"/>
      <c r="J17" s="94"/>
      <c r="K17" s="95"/>
      <c r="L17" s="68"/>
      <c r="M17" s="9"/>
    </row>
    <row r="18" spans="1:13" ht="22.5" customHeight="1" x14ac:dyDescent="0.25">
      <c r="A18" s="66"/>
      <c r="B18" s="100"/>
      <c r="C18" s="98"/>
      <c r="D18" s="98"/>
      <c r="E18" s="99"/>
      <c r="F18" s="94"/>
      <c r="G18" s="95"/>
      <c r="H18" s="94"/>
      <c r="I18" s="95"/>
      <c r="J18" s="94"/>
      <c r="K18" s="95"/>
      <c r="L18" s="68"/>
      <c r="M18" s="9"/>
    </row>
    <row r="19" spans="1:13" ht="22.5" customHeight="1" x14ac:dyDescent="0.25">
      <c r="A19" s="66"/>
      <c r="B19" s="100"/>
      <c r="C19" s="98"/>
      <c r="D19" s="98"/>
      <c r="E19" s="99"/>
      <c r="F19" s="94"/>
      <c r="G19" s="95"/>
      <c r="H19" s="94"/>
      <c r="I19" s="95"/>
      <c r="J19" s="94"/>
      <c r="K19" s="95"/>
      <c r="L19" s="68"/>
      <c r="M19" s="9"/>
    </row>
    <row r="20" spans="1:13" ht="22.5" customHeight="1" x14ac:dyDescent="0.25">
      <c r="A20" s="66"/>
      <c r="B20" s="100"/>
      <c r="C20" s="98"/>
      <c r="D20" s="98"/>
      <c r="E20" s="99"/>
      <c r="F20" s="94"/>
      <c r="G20" s="95"/>
      <c r="H20" s="94"/>
      <c r="I20" s="95"/>
      <c r="J20" s="94"/>
      <c r="K20" s="95"/>
      <c r="L20" s="68"/>
      <c r="M20" s="9"/>
    </row>
    <row r="21" spans="1:13" ht="22.5" customHeight="1" x14ac:dyDescent="0.25">
      <c r="A21" s="66"/>
      <c r="B21" s="97"/>
      <c r="C21" s="98"/>
      <c r="D21" s="98"/>
      <c r="E21" s="99"/>
      <c r="F21" s="94"/>
      <c r="G21" s="95"/>
      <c r="H21" s="94"/>
      <c r="I21" s="95"/>
      <c r="J21" s="94"/>
      <c r="K21" s="95"/>
      <c r="L21" s="68"/>
      <c r="M21" s="9"/>
    </row>
    <row r="22" spans="1:13" ht="22.5" customHeight="1" x14ac:dyDescent="0.25">
      <c r="A22" s="66"/>
      <c r="B22" s="97"/>
      <c r="C22" s="98"/>
      <c r="D22" s="98"/>
      <c r="E22" s="99"/>
      <c r="F22" s="94"/>
      <c r="G22" s="95"/>
      <c r="H22" s="94"/>
      <c r="I22" s="95"/>
      <c r="J22" s="94"/>
      <c r="K22" s="95"/>
      <c r="L22" s="68"/>
      <c r="M22" s="9"/>
    </row>
    <row r="23" spans="1:13" ht="22.5" customHeight="1" x14ac:dyDescent="0.25">
      <c r="A23" s="66"/>
      <c r="B23" s="97"/>
      <c r="C23" s="98"/>
      <c r="D23" s="98"/>
      <c r="E23" s="99"/>
      <c r="F23" s="94"/>
      <c r="G23" s="95"/>
      <c r="H23" s="94"/>
      <c r="I23" s="95"/>
      <c r="J23" s="94"/>
      <c r="K23" s="95"/>
      <c r="L23" s="68"/>
      <c r="M23" s="9"/>
    </row>
    <row r="24" spans="1:13" ht="22.5" customHeight="1" x14ac:dyDescent="0.25">
      <c r="A24" s="66"/>
      <c r="B24" s="97"/>
      <c r="C24" s="98"/>
      <c r="D24" s="98"/>
      <c r="E24" s="99"/>
      <c r="F24" s="94"/>
      <c r="G24" s="95"/>
      <c r="H24" s="94"/>
      <c r="I24" s="95"/>
      <c r="J24" s="94"/>
      <c r="K24" s="95"/>
      <c r="L24" s="68"/>
      <c r="M24" s="9"/>
    </row>
    <row r="25" spans="1:13" ht="22.5" customHeight="1" x14ac:dyDescent="0.25">
      <c r="A25" s="66"/>
      <c r="B25" s="97"/>
      <c r="C25" s="98"/>
      <c r="D25" s="98"/>
      <c r="E25" s="99"/>
      <c r="F25" s="94"/>
      <c r="G25" s="95"/>
      <c r="H25" s="94"/>
      <c r="I25" s="95"/>
      <c r="J25" s="94"/>
      <c r="K25" s="95"/>
      <c r="L25" s="68"/>
      <c r="M25" s="9"/>
    </row>
    <row r="26" spans="1:13" ht="22.5" customHeight="1" x14ac:dyDescent="0.25">
      <c r="A26" s="66"/>
      <c r="B26" s="97"/>
      <c r="C26" s="98"/>
      <c r="D26" s="98"/>
      <c r="E26" s="99"/>
      <c r="F26" s="94"/>
      <c r="G26" s="95"/>
      <c r="H26" s="94"/>
      <c r="I26" s="95"/>
      <c r="J26" s="94"/>
      <c r="K26" s="95"/>
      <c r="L26" s="68"/>
      <c r="M26" s="9"/>
    </row>
    <row r="27" spans="1:13" ht="22.5" customHeight="1" x14ac:dyDescent="0.25">
      <c r="A27" s="66"/>
      <c r="B27" s="97"/>
      <c r="C27" s="98"/>
      <c r="D27" s="98"/>
      <c r="E27" s="99"/>
      <c r="F27" s="94"/>
      <c r="G27" s="95"/>
      <c r="H27" s="94"/>
      <c r="I27" s="95"/>
      <c r="J27" s="94"/>
      <c r="K27" s="95"/>
      <c r="L27" s="68"/>
      <c r="M27" s="9"/>
    </row>
    <row r="28" spans="1:13" ht="22.5" customHeight="1" x14ac:dyDescent="0.25">
      <c r="A28" s="66"/>
      <c r="B28" s="97"/>
      <c r="C28" s="98"/>
      <c r="D28" s="98"/>
      <c r="E28" s="99"/>
      <c r="F28" s="94"/>
      <c r="G28" s="95"/>
      <c r="H28" s="94"/>
      <c r="I28" s="95"/>
      <c r="J28" s="94"/>
      <c r="K28" s="95"/>
      <c r="L28" s="68"/>
      <c r="M28" s="9"/>
    </row>
    <row r="29" spans="1:13" ht="22.5" customHeight="1" x14ac:dyDescent="0.25">
      <c r="A29" s="66"/>
      <c r="B29" s="97"/>
      <c r="C29" s="98"/>
      <c r="D29" s="98"/>
      <c r="E29" s="99"/>
      <c r="F29" s="94"/>
      <c r="G29" s="95"/>
      <c r="H29" s="94"/>
      <c r="I29" s="95"/>
      <c r="J29" s="94"/>
      <c r="K29" s="95"/>
      <c r="L29" s="68"/>
      <c r="M29" s="9"/>
    </row>
    <row r="30" spans="1:13" ht="22.5" customHeight="1" x14ac:dyDescent="0.25">
      <c r="A30" s="66"/>
      <c r="B30" s="97"/>
      <c r="C30" s="98"/>
      <c r="D30" s="98"/>
      <c r="E30" s="99"/>
      <c r="F30" s="94"/>
      <c r="G30" s="95"/>
      <c r="H30" s="94"/>
      <c r="I30" s="95"/>
      <c r="J30" s="94"/>
      <c r="K30" s="95"/>
      <c r="L30" s="68"/>
      <c r="M30" s="9"/>
    </row>
    <row r="31" spans="1:13" ht="22.5" customHeight="1" x14ac:dyDescent="0.25">
      <c r="A31" s="66"/>
      <c r="B31" s="100"/>
      <c r="C31" s="98"/>
      <c r="D31" s="98"/>
      <c r="E31" s="99"/>
      <c r="F31" s="94"/>
      <c r="G31" s="95"/>
      <c r="H31" s="94"/>
      <c r="I31" s="95"/>
      <c r="J31" s="94"/>
      <c r="K31" s="95"/>
      <c r="L31" s="68"/>
      <c r="M31" s="9"/>
    </row>
    <row r="32" spans="1:13" ht="22.5" customHeight="1" x14ac:dyDescent="0.25">
      <c r="A32" s="66"/>
      <c r="B32" s="97"/>
      <c r="C32" s="98"/>
      <c r="D32" s="98"/>
      <c r="E32" s="99"/>
      <c r="F32" s="94"/>
      <c r="G32" s="95"/>
      <c r="H32" s="94"/>
      <c r="I32" s="95"/>
      <c r="J32" s="94"/>
      <c r="K32" s="95"/>
      <c r="L32" s="68"/>
      <c r="M32" s="9"/>
    </row>
    <row r="33" spans="1:13" x14ac:dyDescent="0.25">
      <c r="A33" s="11" t="s">
        <v>16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3"/>
      <c r="M33" s="10"/>
    </row>
    <row r="34" spans="1:13" x14ac:dyDescent="0.25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9" t="s">
        <v>17</v>
      </c>
      <c r="I36" s="1"/>
      <c r="J36" s="1"/>
      <c r="K36" s="1"/>
      <c r="L36" s="1"/>
      <c r="M36" s="1"/>
    </row>
    <row r="37" spans="1:13" x14ac:dyDescent="0.25">
      <c r="B37" s="4"/>
      <c r="C37" s="1"/>
      <c r="D37" s="1"/>
      <c r="E37" s="1"/>
      <c r="F37" s="1"/>
      <c r="G37" s="1"/>
      <c r="H37" s="18" t="s">
        <v>18</v>
      </c>
      <c r="I37" s="1"/>
      <c r="J37" s="1"/>
      <c r="K37" s="1"/>
      <c r="L37" s="1"/>
    </row>
    <row r="38" spans="1:13" x14ac:dyDescent="0.25">
      <c r="B38" s="4"/>
      <c r="C38" s="1"/>
      <c r="D38" s="1"/>
      <c r="E38" s="1"/>
      <c r="F38" s="1"/>
      <c r="G38" s="1"/>
      <c r="H38" s="18" t="s">
        <v>19</v>
      </c>
      <c r="I38" s="1"/>
      <c r="J38" s="1"/>
      <c r="K38" s="1"/>
      <c r="L38" s="1"/>
    </row>
    <row r="39" spans="1:13" x14ac:dyDescent="0.25"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</sheetData>
  <mergeCells count="82">
    <mergeCell ref="B31:E31"/>
    <mergeCell ref="F31:G31"/>
    <mergeCell ref="H31:I31"/>
    <mergeCell ref="J31:K31"/>
    <mergeCell ref="B32:E32"/>
    <mergeCell ref="F32:G32"/>
    <mergeCell ref="H32:I32"/>
    <mergeCell ref="J32:K32"/>
    <mergeCell ref="H29:I29"/>
    <mergeCell ref="J29:K29"/>
    <mergeCell ref="B23:E23"/>
    <mergeCell ref="F23:G23"/>
    <mergeCell ref="H23:I23"/>
    <mergeCell ref="J23:K23"/>
    <mergeCell ref="H28:I28"/>
    <mergeCell ref="B24:E24"/>
    <mergeCell ref="F24:G24"/>
    <mergeCell ref="H24:I24"/>
    <mergeCell ref="J24:K24"/>
    <mergeCell ref="J28:K28"/>
    <mergeCell ref="B28:E28"/>
    <mergeCell ref="F28:G28"/>
    <mergeCell ref="B29:E29"/>
    <mergeCell ref="F29:G29"/>
    <mergeCell ref="F22:G22"/>
    <mergeCell ref="H22:I22"/>
    <mergeCell ref="J22:K22"/>
    <mergeCell ref="B20:E20"/>
    <mergeCell ref="F20:G20"/>
    <mergeCell ref="B17:E17"/>
    <mergeCell ref="F17:G17"/>
    <mergeCell ref="H17:I17"/>
    <mergeCell ref="J17:K17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H30:I30"/>
    <mergeCell ref="H18:I18"/>
    <mergeCell ref="J18:K18"/>
    <mergeCell ref="B19:E19"/>
    <mergeCell ref="F19:G19"/>
    <mergeCell ref="H19:I19"/>
    <mergeCell ref="J19:K19"/>
    <mergeCell ref="B18:E18"/>
    <mergeCell ref="F18:G18"/>
    <mergeCell ref="H20:I20"/>
    <mergeCell ref="J20:K20"/>
    <mergeCell ref="B21:E21"/>
    <mergeCell ref="B22:E22"/>
    <mergeCell ref="F21:G21"/>
    <mergeCell ref="H21:I21"/>
    <mergeCell ref="J21:K21"/>
    <mergeCell ref="J30:K30"/>
    <mergeCell ref="A34:L34"/>
    <mergeCell ref="B25:E25"/>
    <mergeCell ref="B26:E26"/>
    <mergeCell ref="F25:G25"/>
    <mergeCell ref="F26:G26"/>
    <mergeCell ref="H25:I25"/>
    <mergeCell ref="H26:I26"/>
    <mergeCell ref="J25:K25"/>
    <mergeCell ref="J26:K26"/>
    <mergeCell ref="B27:E27"/>
    <mergeCell ref="F27:G27"/>
    <mergeCell ref="H27:I27"/>
    <mergeCell ref="J27:K27"/>
    <mergeCell ref="B30:E30"/>
    <mergeCell ref="F30:G30"/>
  </mergeCells>
  <phoneticPr fontId="13" type="noConversion"/>
  <pageMargins left="0.7" right="0.7" top="0.75" bottom="0.75" header="0.3" footer="0.3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as TIC</vt:lpstr>
      <vt:lpstr>Election &amp; NLC</vt:lpstr>
      <vt:lpstr>Sheet1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2025-02-19T05:31:27Z</cp:lastPrinted>
  <dcterms:created xsi:type="dcterms:W3CDTF">2022-11-24T07:01:13Z</dcterms:created>
  <dcterms:modified xsi:type="dcterms:W3CDTF">2025-02-19T05:33:49Z</dcterms:modified>
</cp:coreProperties>
</file>