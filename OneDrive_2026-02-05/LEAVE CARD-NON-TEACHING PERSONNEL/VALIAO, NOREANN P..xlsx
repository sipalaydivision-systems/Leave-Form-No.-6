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55072668-B9E8-494B-8136-6B3BB497B7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 (2)" sheetId="8" r:id="rId3"/>
    <sheet name="Sheet1" sheetId="7" r:id="rId4"/>
  </sheets>
  <definedNames>
    <definedName name="_xlnm.Print_Area" localSheetId="2">'CTO (2)'!$A$1:$L$25</definedName>
    <definedName name="_xlnm.Print_Area" localSheetId="1">'Election &amp; NLC'!$A$1:$G$26</definedName>
    <definedName name="_xlnm.Print_Area" localSheetId="0">'Leave Card as TIC'!$A$1:$J$35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" l="1"/>
  <c r="J27" i="3" s="1"/>
  <c r="I27" i="3"/>
  <c r="H28" i="3"/>
  <c r="J28" i="3" s="1"/>
  <c r="I28" i="3"/>
  <c r="G23" i="4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H14" i="3"/>
  <c r="H15" i="3" l="1"/>
  <c r="H16" i="3" s="1"/>
  <c r="J16" i="3" s="1"/>
  <c r="J14" i="3"/>
  <c r="H17" i="3" l="1"/>
  <c r="H18" i="3" s="1"/>
  <c r="J15" i="3"/>
  <c r="H19" i="3" l="1"/>
  <c r="J18" i="3"/>
  <c r="J17" i="3"/>
  <c r="H20" i="3" l="1"/>
  <c r="J19" i="3"/>
  <c r="H21" i="3" l="1"/>
  <c r="J20" i="3"/>
  <c r="J21" i="3" l="1"/>
  <c r="H22" i="3"/>
  <c r="H23" i="3" l="1"/>
  <c r="J22" i="3"/>
  <c r="J23" i="3" l="1"/>
  <c r="H24" i="3"/>
  <c r="H25" i="3" l="1"/>
  <c r="J24" i="3"/>
  <c r="J25" i="3" l="1"/>
  <c r="H26" i="3"/>
  <c r="J26" i="3" l="1"/>
</calcChain>
</file>

<file path=xl/sharedStrings.xml><?xml version="1.0" encoding="utf-8"?>
<sst xmlns="http://schemas.openxmlformats.org/spreadsheetml/2006/main" count="137" uniqueCount="101">
  <si>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</si>
  <si>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</si>
  <si>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</si>
  <si>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</si>
  <si>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</si>
  <si>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</si>
  <si>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</si>
  <si>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</si>
  <si>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</si>
  <si>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</si>
  <si>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</si>
  <si>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</si>
  <si>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</si>
  <si>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</si>
  <si>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</si>
  <si>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</si>
  <si>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</si>
  <si>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LESS: 05/9-10/2024</t>
  </si>
  <si>
    <t>LESS: 06/24/2024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</si>
  <si>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</si>
  <si>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</si>
  <si>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</si>
  <si>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</si>
  <si>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</si>
  <si>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</si>
  <si>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</si>
  <si>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</si>
  <si>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</si>
  <si>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</si>
  <si>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</si>
  <si>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</si>
  <si>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</si>
  <si>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</si>
  <si>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</si>
  <si>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</si>
  <si>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</si>
  <si>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</si>
  <si>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</si>
  <si>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</si>
  <si>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</si>
  <si>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</si>
  <si>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</si>
  <si>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</si>
  <si>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</si>
  <si>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</si>
  <si>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</si>
  <si>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051, S. 2022</t>
  </si>
  <si>
    <t>JULY 01, 2022</t>
  </si>
  <si>
    <t>MAY 9, 2022 NATIONAL &amp; LOCAL ELECTION</t>
  </si>
  <si>
    <t>POSITION   : TEACHER III</t>
  </si>
  <si>
    <t>DISTRICT                : _______________________</t>
  </si>
  <si>
    <t>EMPLOYEE NO    : __________</t>
  </si>
  <si>
    <t>STATION CODE    : __________</t>
  </si>
  <si>
    <t>POSITION   : _TEACHER III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</si>
  <si>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</si>
  <si>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</si>
  <si>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</si>
  <si>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</si>
  <si>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</si>
  <si>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</si>
  <si>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</si>
  <si>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LESS: 01/05/23</t>
  </si>
  <si>
    <t xml:space="preserve"> BRIGADA ESKWELA AND OPLAN BALIK ESKWELA 2023</t>
  </si>
  <si>
    <t>NAME          : VALIAO, NOREANN P.</t>
  </si>
  <si>
    <t>SCHOOL/OFFICE :  MACARANDAN ES</t>
  </si>
  <si>
    <t>NAME         : VALIAO, NOREANN</t>
  </si>
  <si>
    <t>ADD: 10/18/2023</t>
  </si>
  <si>
    <t>LESS: 06/21/2024</t>
  </si>
  <si>
    <t xml:space="preserve"> BRIGADA &amp; OPLAN BALIK ESKWELA 2023</t>
  </si>
  <si>
    <t>S.0 #162, S.2023</t>
  </si>
  <si>
    <t>OCT. 18,2023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</si>
  <si>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VALIAO, NOREANN</t>
    </r>
  </si>
  <si>
    <t>003, S. 2024</t>
  </si>
  <si>
    <t>01/31/2024</t>
  </si>
  <si>
    <t>MTAP-WV REGIONAL TRAINING WORKSHOP &amp; CONFERENCE 2023</t>
  </si>
  <si>
    <t>064, S. 2024</t>
  </si>
  <si>
    <t>DEPED ACTIVITIES &amp; TRAININGS FOR SY 2024-2025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</si>
  <si>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28 DAYS</t>
    </r>
    <r>
      <rPr>
        <sz val="11"/>
        <color theme="1"/>
        <rFont val="Calibri"/>
        <family val="2"/>
        <scheme val="minor"/>
      </rPr>
      <t xml:space="preserve">:                         FORMULA: 30Y/69/2 </t>
    </r>
  </si>
  <si>
    <t>ADD: 08/1/2024-10/31/2024</t>
  </si>
  <si>
    <t>LESS: 11/18-19/2024</t>
  </si>
  <si>
    <t>ADD: 11/1/2024-12/31/2024</t>
  </si>
  <si>
    <t>ADD: 01/1-31/2025</t>
  </si>
  <si>
    <t>LESS: 02/3,4,5, 10, 11/2025</t>
  </si>
  <si>
    <t>ADD: 02/1/2025-03/31/2025</t>
  </si>
  <si>
    <t>LESS: MONETIZATION 2025</t>
  </si>
  <si>
    <t>ADD: 02/5/2025</t>
  </si>
  <si>
    <t>SO # 002, S. 2025 RIZAL DAY 2024</t>
  </si>
  <si>
    <t>LESS: 04/28/2025</t>
  </si>
  <si>
    <t>SCHOOL/OFFICE : NAUHANG PS</t>
  </si>
  <si>
    <t>COMELEC CERTIFICATION</t>
  </si>
  <si>
    <t>MAY 19, 2013 NATIONAL &amp; LOCAL ELECTION</t>
  </si>
  <si>
    <t>OCTOBER 28,  2013 BRGY. &amp; SK ELECTION</t>
  </si>
  <si>
    <t>MAY 9, 2016 NATIONAL &amp; LOCAL ELECTION</t>
  </si>
  <si>
    <t>MAY 14, 2018 BRGY. &amp; SK ELECTION</t>
  </si>
  <si>
    <t>MAY 13, 2019 NATIONAL &amp; LOCAL ELECTION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</si>
  <si>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25 DAYS</t>
    </r>
    <r>
      <rPr>
        <sz val="11"/>
        <color theme="1"/>
        <rFont val="Calibri"/>
        <family val="2"/>
        <scheme val="minor"/>
      </rPr>
      <t xml:space="preserve">:            EARNED FROM ELECTION             FORMULA: 30Y/69/2 </t>
    </r>
  </si>
  <si>
    <t>ADD: 04/1-30/2025</t>
  </si>
  <si>
    <t>LESS: 05/9/2025</t>
  </si>
  <si>
    <t>LESS: 05/30/2025</t>
  </si>
  <si>
    <t>ADD: 05/1/2025-06/30/2025</t>
  </si>
  <si>
    <t>LESS: 07/16/2025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</si>
</sst>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6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4" fillId="3" borderId="21" xfId="2" applyFont="1" applyFill="1" applyBorder="1" applyAlignment="1">
      <alignment horizontal="center" vertical="center" wrapText="1"/>
    </xf>
    <xf numFmtId="0" fontId="4" fillId="3" borderId="21" xfId="2" applyFont="1" applyFill="1" applyBorder="1" applyAlignment="1">
      <alignment horizontal="center" vertical="center"/>
    </xf>
    <xf numFmtId="0" fontId="6" fillId="5" borderId="2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/>
    </xf>
    <xf numFmtId="0" fontId="5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7" fillId="0" borderId="0" xfId="2" applyFont="1"/>
    <xf numFmtId="0" fontId="7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6" fillId="5" borderId="10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9" fillId="2" borderId="0" xfId="3" applyFill="1"/>
    <xf numFmtId="0" fontId="1" fillId="2" borderId="0" xfId="3" applyFont="1" applyFill="1" applyAlignment="1">
      <alignment horizontal="center" wrapText="1"/>
    </xf>
    <xf numFmtId="0" fontId="1" fillId="2" borderId="0" xfId="3" applyFont="1" applyFill="1" applyAlignment="1">
      <alignment wrapText="1"/>
    </xf>
    <xf numFmtId="0" fontId="9" fillId="2" borderId="0" xfId="3" applyFill="1" applyAlignment="1">
      <alignment horizontal="center"/>
    </xf>
    <xf numFmtId="0" fontId="2" fillId="2" borderId="0" xfId="3" applyFont="1" applyFill="1" applyAlignment="1">
      <alignment vertical="center"/>
    </xf>
    <xf numFmtId="0" fontId="1" fillId="2" borderId="0" xfId="3" applyFont="1" applyFill="1" applyAlignment="1">
      <alignment vertical="center"/>
    </xf>
    <xf numFmtId="0" fontId="1" fillId="2" borderId="0" xfId="3" applyFont="1" applyFill="1"/>
    <xf numFmtId="0" fontId="1" fillId="2" borderId="0" xfId="3" applyFont="1" applyFill="1" applyAlignment="1">
      <alignment horizontal="center"/>
    </xf>
    <xf numFmtId="0" fontId="9" fillId="0" borderId="0" xfId="3"/>
    <xf numFmtId="0" fontId="5" fillId="0" borderId="0" xfId="3" applyFont="1"/>
    <xf numFmtId="0" fontId="9" fillId="2" borderId="14" xfId="3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9" fillId="2" borderId="16" xfId="3" applyFill="1" applyBorder="1" applyAlignment="1">
      <alignment horizontal="center" vertical="center" wrapText="1"/>
    </xf>
    <xf numFmtId="0" fontId="9" fillId="2" borderId="14" xfId="3" applyFill="1" applyBorder="1" applyAlignment="1">
      <alignment horizontal="center" vertical="center" wrapText="1"/>
    </xf>
    <xf numFmtId="0" fontId="7" fillId="0" borderId="0" xfId="3" applyFont="1"/>
    <xf numFmtId="0" fontId="0" fillId="2" borderId="14" xfId="3" applyFont="1" applyFill="1" applyBorder="1" applyAlignment="1">
      <alignment horizontal="center" vertical="center" wrapText="1"/>
    </xf>
    <xf numFmtId="0" fontId="9" fillId="0" borderId="0" xfId="3" applyAlignment="1">
      <alignment vertical="center"/>
    </xf>
    <xf numFmtId="0" fontId="6" fillId="2" borderId="0" xfId="3" applyFont="1" applyFill="1" applyAlignment="1">
      <alignment horizontal="center" vertical="center" wrapText="1"/>
    </xf>
    <xf numFmtId="0" fontId="9" fillId="2" borderId="0" xfId="3" applyFill="1" applyAlignment="1">
      <alignment horizontal="center" vertical="center" wrapText="1"/>
    </xf>
    <xf numFmtId="0" fontId="9" fillId="6" borderId="0" xfId="3" applyFill="1"/>
    <xf numFmtId="0" fontId="9" fillId="0" borderId="0" xfId="3" applyAlignment="1">
      <alignment horizontal="center"/>
    </xf>
    <xf numFmtId="0" fontId="9" fillId="7" borderId="0" xfId="3" applyFill="1"/>
    <xf numFmtId="0" fontId="9" fillId="8" borderId="0" xfId="3" applyFill="1"/>
    <xf numFmtId="14" fontId="0" fillId="2" borderId="7" xfId="1" applyNumberFormat="1" applyFont="1" applyFill="1" applyBorder="1" applyAlignment="1">
      <alignment horizontal="center" vertical="center"/>
    </xf>
    <xf numFmtId="0" fontId="16" fillId="2" borderId="6" xfId="3" applyFont="1" applyFill="1" applyBorder="1" applyAlignment="1">
      <alignment horizontal="center" vertical="center" wrapText="1"/>
    </xf>
    <xf numFmtId="0" fontId="13" fillId="2" borderId="15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1" fillId="2" borderId="0" xfId="3" applyFont="1" applyFill="1" applyAlignment="1">
      <alignment horizontal="left" vertical="center"/>
    </xf>
    <xf numFmtId="0" fontId="9" fillId="14" borderId="16" xfId="3" applyFill="1" applyBorder="1" applyAlignment="1">
      <alignment horizontal="center" vertical="center" wrapText="1"/>
    </xf>
    <xf numFmtId="0" fontId="0" fillId="13" borderId="17" xfId="1" applyFont="1" applyFill="1" applyBorder="1" applyAlignment="1">
      <alignment horizontal="center" vertical="center" wrapText="1"/>
    </xf>
    <xf numFmtId="0" fontId="0" fillId="13" borderId="7" xfId="1" applyFont="1" applyFill="1" applyBorder="1" applyAlignment="1">
      <alignment horizontal="center" vertical="center"/>
    </xf>
    <xf numFmtId="0" fontId="6" fillId="13" borderId="4" xfId="1" applyFont="1" applyFill="1" applyBorder="1" applyAlignment="1">
      <alignment vertical="center" wrapText="1"/>
    </xf>
    <xf numFmtId="0" fontId="6" fillId="13" borderId="4" xfId="1" applyFont="1" applyFill="1" applyBorder="1" applyAlignment="1">
      <alignment horizontal="center" vertical="center" wrapText="1"/>
    </xf>
    <xf numFmtId="0" fontId="16" fillId="13" borderId="6" xfId="2" applyFont="1" applyFill="1" applyBorder="1" applyAlignment="1">
      <alignment horizontal="center" vertical="center" wrapText="1"/>
    </xf>
    <xf numFmtId="0" fontId="13" fillId="13" borderId="15" xfId="2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3" fillId="2" borderId="21" xfId="2" applyFont="1" applyFill="1" applyBorder="1" applyAlignment="1">
      <alignment horizontal="center" vertical="center"/>
    </xf>
    <xf numFmtId="0" fontId="3" fillId="2" borderId="23" xfId="2" applyFont="1" applyFill="1" applyBorder="1" applyAlignment="1">
      <alignment horizontal="center" vertical="center"/>
    </xf>
    <xf numFmtId="0" fontId="3" fillId="2" borderId="22" xfId="2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9" fillId="2" borderId="0" xfId="3" applyFill="1" applyAlignment="1">
      <alignment horizontal="center" vertical="center"/>
    </xf>
    <xf numFmtId="0" fontId="1" fillId="2" borderId="0" xfId="3" applyFont="1" applyFill="1" applyAlignment="1">
      <alignment horizontal="left" vertical="center"/>
    </xf>
    <xf numFmtId="0" fontId="1" fillId="2" borderId="0" xfId="3" applyFont="1" applyFill="1" applyAlignment="1">
      <alignment horizontal="left"/>
    </xf>
    <xf numFmtId="0" fontId="3" fillId="2" borderId="8" xfId="3" applyFont="1" applyFill="1" applyBorder="1" applyAlignment="1">
      <alignment horizontal="center" vertical="center"/>
    </xf>
    <xf numFmtId="0" fontId="4" fillId="3" borderId="9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4" fillId="4" borderId="18" xfId="3" applyFont="1" applyFill="1" applyBorder="1" applyAlignment="1">
      <alignment horizontal="center" vertical="center"/>
    </xf>
    <xf numFmtId="0" fontId="4" fillId="4" borderId="19" xfId="3" applyFont="1" applyFill="1" applyBorder="1" applyAlignment="1">
      <alignment horizontal="center" vertical="center"/>
    </xf>
    <xf numFmtId="0" fontId="4" fillId="3" borderId="11" xfId="3" applyFont="1" applyFill="1" applyBorder="1" applyAlignment="1">
      <alignment horizontal="center" vertical="center"/>
    </xf>
    <xf numFmtId="0" fontId="4" fillId="3" borderId="15" xfId="3" applyFont="1" applyFill="1" applyBorder="1" applyAlignment="1">
      <alignment horizontal="center" vertical="center"/>
    </xf>
    <xf numFmtId="0" fontId="6" fillId="5" borderId="1" xfId="3" applyFont="1" applyFill="1" applyBorder="1" applyAlignment="1">
      <alignment horizontal="center" vertical="center" wrapText="1"/>
    </xf>
    <xf numFmtId="0" fontId="6" fillId="5" borderId="2" xfId="3" applyFont="1" applyFill="1" applyBorder="1" applyAlignment="1">
      <alignment horizontal="center" vertical="center" wrapText="1"/>
    </xf>
    <xf numFmtId="0" fontId="6" fillId="5" borderId="3" xfId="3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4" fillId="3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VALIAO, NOREANN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NAUHANG PS</a:t>
          </a:r>
        </a:p>
      </xdr:txBody>
    </xdr:sp>
    <xdr:clientData/>
  </xdr:twoCellAnchor>
  <xdr:twoCellAnchor>
    <xdr:from>
      <xdr:col>5</xdr:col>
      <xdr:colOff>347452</xdr:colOff>
      <xdr:row>29</xdr:row>
      <xdr:rowOff>53914</xdr:rowOff>
    </xdr:from>
    <xdr:to>
      <xdr:col>9</xdr:col>
      <xdr:colOff>672043</xdr:colOff>
      <xdr:row>34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23</xdr:row>
      <xdr:rowOff>209550</xdr:rowOff>
    </xdr:from>
    <xdr:to>
      <xdr:col>2</xdr:col>
      <xdr:colOff>962025</xdr:colOff>
      <xdr:row>25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23</xdr:row>
      <xdr:rowOff>236220</xdr:rowOff>
    </xdr:from>
    <xdr:to>
      <xdr:col>6</xdr:col>
      <xdr:colOff>476250</xdr:colOff>
      <xdr:row>25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4F32AF-D4CA-4791-80F1-2EB703DED1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300" y="28770"/>
          <a:ext cx="590735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552450</xdr:colOff>
      <xdr:row>22</xdr:row>
      <xdr:rowOff>235064</xdr:rowOff>
    </xdr:from>
    <xdr:to>
      <xdr:col>11</xdr:col>
      <xdr:colOff>371815</xdr:colOff>
      <xdr:row>24</xdr:row>
      <xdr:rowOff>149339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C755B0-4933-4A06-95DC-00C2411EFEB1}"/>
            </a:ext>
          </a:extLst>
        </xdr:cNvPr>
        <xdr:cNvSpPr txBox="1"/>
      </xdr:nvSpPr>
      <xdr:spPr>
        <a:xfrm>
          <a:off x="5676900" y="5426189"/>
          <a:ext cx="308644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37448B4-AA26-45AE-B8BD-5A2080CD701B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316400</xdr:colOff>
      <xdr:row>0</xdr:row>
      <xdr:rowOff>124020</xdr:rowOff>
    </xdr:from>
    <xdr:to>
      <xdr:col>4</xdr:col>
      <xdr:colOff>298450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12F1CE-D385-4AB2-BE67-514BE04D0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64475" y="124020"/>
          <a:ext cx="10393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3</xdr:col>
      <xdr:colOff>533400</xdr:colOff>
      <xdr:row>27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181B65-04FF-4D58-A19B-63514A70E945}"/>
            </a:ext>
          </a:extLst>
        </xdr:cNvPr>
        <xdr:cNvSpPr txBox="1"/>
      </xdr:nvSpPr>
      <xdr:spPr>
        <a:xfrm>
          <a:off x="76200" y="5095875"/>
          <a:ext cx="4105275" cy="1054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296FA0-FA18-4E33-AEB1-9B85D5AED392}"/>
            </a:ext>
          </a:extLst>
        </xdr:cNvPr>
        <xdr:cNvCxnSpPr/>
      </xdr:nvCxnSpPr>
      <xdr:spPr>
        <a:xfrm>
          <a:off x="742950" y="2105025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12</xdr:row>
      <xdr:rowOff>142875</xdr:rowOff>
    </xdr:from>
    <xdr:to>
      <xdr:col>2</xdr:col>
      <xdr:colOff>28575</xdr:colOff>
      <xdr:row>12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05B4C0-4625-4460-A2BD-2017EC8F95A3}"/>
            </a:ext>
          </a:extLst>
        </xdr:cNvPr>
        <xdr:cNvCxnSpPr/>
      </xdr:nvCxnSpPr>
      <xdr:spPr>
        <a:xfrm>
          <a:off x="752475" y="2428875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33"/>
  <sheetViews>
    <sheetView tabSelected="1" view="pageBreakPreview" topLeftCell="A5" zoomScale="106" zoomScaleNormal="100" zoomScaleSheetLayoutView="106" workbookViewId="0">
      <selection activeCell="H26" sqref="H26:J28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25" customWidth="1"/>
    <col min="8" max="10" width="11.5703125" customWidth="1"/>
    <col min="11" max="11" width="26.42578125" style="22" customWidth="1"/>
  </cols>
  <sheetData>
    <row r="1" spans="1:11" s="1" customFormat="1" ht="52.5" customHeight="1" x14ac:dyDescent="0.25"/>
    <row r="2" spans="1:11" s="1" customFormat="1" ht="10.5" customHeight="1" x14ac:dyDescent="0.25">
      <c r="A2" s="118" t="s">
        <v>0</v>
      </c>
      <c r="B2" s="118"/>
      <c r="C2" s="118"/>
      <c r="D2" s="118"/>
      <c r="E2" s="118"/>
      <c r="F2" s="118"/>
      <c r="G2" s="118"/>
      <c r="H2" s="118"/>
      <c r="I2" s="118"/>
      <c r="J2" s="118"/>
    </row>
    <row r="3" spans="1:11" s="1" customFormat="1" ht="15.95" customHeight="1" x14ac:dyDescent="0.25">
      <c r="A3" s="118" t="s">
        <v>1</v>
      </c>
      <c r="B3" s="118"/>
      <c r="C3" s="118"/>
      <c r="D3" s="118"/>
      <c r="E3" s="118"/>
      <c r="F3" s="118"/>
      <c r="G3" s="118"/>
      <c r="H3" s="118"/>
      <c r="I3" s="118"/>
      <c r="J3" s="118"/>
    </row>
    <row r="4" spans="1:11" s="1" customFormat="1" ht="15.95" customHeight="1" x14ac:dyDescent="0.25">
      <c r="A4" s="118" t="s">
        <v>2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11" s="1" customFormat="1" ht="15.95" customHeight="1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</row>
    <row r="6" spans="1:11" s="1" customFormat="1" ht="8.25" customHeight="1" x14ac:dyDescent="0.25"/>
    <row r="7" spans="1:11" s="1" customFormat="1" ht="12" customHeight="1" x14ac:dyDescent="0.25">
      <c r="A7" s="1" t="s">
        <v>19</v>
      </c>
      <c r="B7" s="117" t="s">
        <v>20</v>
      </c>
      <c r="C7" s="117"/>
      <c r="D7" s="117"/>
      <c r="H7" s="5" t="s">
        <v>21</v>
      </c>
      <c r="I7" s="14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22</v>
      </c>
      <c r="B9" s="117" t="s">
        <v>23</v>
      </c>
      <c r="C9" s="117"/>
      <c r="D9" s="117"/>
      <c r="H9" s="5" t="s">
        <v>24</v>
      </c>
      <c r="I9" s="15"/>
      <c r="J9" s="5"/>
    </row>
    <row r="10" spans="1:11" ht="23.25" customHeight="1" thickBot="1" x14ac:dyDescent="0.3">
      <c r="A10" s="105" t="s">
        <v>25</v>
      </c>
      <c r="B10" s="105"/>
      <c r="C10" s="105"/>
      <c r="D10" s="105"/>
      <c r="E10" s="105"/>
      <c r="F10" s="105"/>
      <c r="G10" s="105"/>
      <c r="H10" s="105"/>
      <c r="I10" s="105"/>
      <c r="J10" s="105"/>
      <c r="K10"/>
    </row>
    <row r="11" spans="1:11" ht="18.75" customHeight="1" x14ac:dyDescent="0.25">
      <c r="A11" s="106" t="s">
        <v>9</v>
      </c>
      <c r="B11" s="108" t="s">
        <v>10</v>
      </c>
      <c r="C11" s="109"/>
      <c r="D11" s="110" t="s">
        <v>26</v>
      </c>
      <c r="E11" s="111"/>
      <c r="F11" s="111"/>
      <c r="G11" s="112"/>
      <c r="H11" s="113" t="s">
        <v>27</v>
      </c>
      <c r="I11" s="114"/>
      <c r="J11" s="115" t="s">
        <v>11</v>
      </c>
      <c r="K11" s="101" t="s">
        <v>28</v>
      </c>
    </row>
    <row r="12" spans="1:11" ht="15.75" thickBot="1" x14ac:dyDescent="0.3">
      <c r="A12" s="107"/>
      <c r="B12" s="16" t="s">
        <v>29</v>
      </c>
      <c r="C12" s="16" t="s">
        <v>30</v>
      </c>
      <c r="D12" s="16" t="s">
        <v>29</v>
      </c>
      <c r="E12" s="16" t="s">
        <v>30</v>
      </c>
      <c r="F12" s="16" t="s">
        <v>31</v>
      </c>
      <c r="G12" s="16" t="s">
        <v>32</v>
      </c>
      <c r="H12" s="16" t="s">
        <v>29</v>
      </c>
      <c r="I12" s="16" t="s">
        <v>30</v>
      </c>
      <c r="J12" s="116"/>
      <c r="K12" s="101"/>
    </row>
    <row r="13" spans="1:11" ht="15.75" thickBot="1" x14ac:dyDescent="0.3">
      <c r="A13" s="102" t="s">
        <v>45</v>
      </c>
      <c r="B13" s="103"/>
      <c r="C13" s="103"/>
      <c r="D13" s="103"/>
      <c r="E13" s="103"/>
      <c r="F13" s="103"/>
      <c r="G13" s="103"/>
      <c r="H13" s="103"/>
      <c r="I13" s="103"/>
      <c r="J13" s="104"/>
      <c r="K13" s="17"/>
    </row>
    <row r="14" spans="1:11" ht="28.5" customHeight="1" x14ac:dyDescent="0.25">
      <c r="A14" s="18" t="s">
        <v>77</v>
      </c>
      <c r="B14" s="20">
        <v>6.0860000000000003</v>
      </c>
      <c r="C14" s="90">
        <v>6.0860000000000003</v>
      </c>
      <c r="D14" s="28"/>
      <c r="E14" s="27"/>
      <c r="F14" s="27"/>
      <c r="G14" s="27"/>
      <c r="H14" s="20">
        <f>B14</f>
        <v>6.0860000000000003</v>
      </c>
      <c r="I14" s="20">
        <f>C14</f>
        <v>6.0860000000000003</v>
      </c>
      <c r="J14" s="21">
        <f>SUM(H14:I14)</f>
        <v>12.172000000000001</v>
      </c>
    </row>
    <row r="15" spans="1:11" ht="17.25" customHeight="1" x14ac:dyDescent="0.25">
      <c r="A15" s="18" t="s">
        <v>34</v>
      </c>
      <c r="B15" s="20">
        <v>0.125</v>
      </c>
      <c r="C15" s="90">
        <v>0.125</v>
      </c>
      <c r="D15" s="19"/>
      <c r="E15" s="12"/>
      <c r="F15" s="12"/>
      <c r="G15" s="12"/>
      <c r="H15" s="23">
        <f>H14-F15-D15+B15</f>
        <v>6.2110000000000003</v>
      </c>
      <c r="I15" s="23">
        <f>I14-E15+C15</f>
        <v>6.2110000000000003</v>
      </c>
      <c r="J15" s="24">
        <f>SUM(H15:I15)</f>
        <v>12.422000000000001</v>
      </c>
    </row>
    <row r="16" spans="1:11" ht="17.25" customHeight="1" x14ac:dyDescent="0.25">
      <c r="A16" s="18" t="s">
        <v>78</v>
      </c>
      <c r="B16" s="20">
        <v>3.75</v>
      </c>
      <c r="C16" s="90">
        <v>3.75</v>
      </c>
      <c r="D16" s="19"/>
      <c r="E16" s="12"/>
      <c r="F16" s="12"/>
      <c r="G16" s="12"/>
      <c r="H16" s="23">
        <f t="shared" ref="H16:H17" si="0">H15-F16-D16+B16</f>
        <v>9.9610000000000003</v>
      </c>
      <c r="I16" s="23">
        <f t="shared" ref="I16:I17" si="1">I15-E16+C16</f>
        <v>9.9610000000000003</v>
      </c>
      <c r="J16" s="24">
        <f t="shared" ref="J16:J17" si="2">SUM(H16:I16)</f>
        <v>19.922000000000001</v>
      </c>
    </row>
    <row r="17" spans="1:10" ht="15.75" customHeight="1" x14ac:dyDescent="0.25">
      <c r="A17" s="18" t="s">
        <v>79</v>
      </c>
      <c r="B17" s="23"/>
      <c r="C17" s="91"/>
      <c r="D17" s="19"/>
      <c r="E17" s="12"/>
      <c r="F17" s="89">
        <v>2</v>
      </c>
      <c r="G17" s="12"/>
      <c r="H17" s="23">
        <f t="shared" si="0"/>
        <v>7.9610000000000003</v>
      </c>
      <c r="I17" s="23">
        <f t="shared" si="1"/>
        <v>9.9610000000000003</v>
      </c>
      <c r="J17" s="24">
        <f t="shared" si="2"/>
        <v>17.922000000000001</v>
      </c>
    </row>
    <row r="18" spans="1:10" ht="15.75" customHeight="1" x14ac:dyDescent="0.25">
      <c r="A18" s="19" t="s">
        <v>80</v>
      </c>
      <c r="B18" s="23">
        <v>2.5</v>
      </c>
      <c r="C18" s="91">
        <v>2.5</v>
      </c>
      <c r="D18" s="19"/>
      <c r="E18" s="12"/>
      <c r="F18" s="89"/>
      <c r="G18" s="12"/>
      <c r="H18" s="23">
        <f t="shared" ref="H18:H26" si="3">H17-F18-D18+B18</f>
        <v>10.461</v>
      </c>
      <c r="I18" s="23">
        <f t="shared" ref="I18:I26" si="4">I17-E18+C18</f>
        <v>12.461</v>
      </c>
      <c r="J18" s="24">
        <f t="shared" ref="J18:J26" si="5">SUM(H18:I18)</f>
        <v>22.922000000000001</v>
      </c>
    </row>
    <row r="19" spans="1:10" ht="17.25" customHeight="1" x14ac:dyDescent="0.25">
      <c r="A19" s="19" t="s">
        <v>81</v>
      </c>
      <c r="B19" s="23">
        <v>1.25</v>
      </c>
      <c r="C19" s="91">
        <v>1.25</v>
      </c>
      <c r="D19" s="19"/>
      <c r="E19" s="12"/>
      <c r="F19" s="89"/>
      <c r="G19" s="12"/>
      <c r="H19" s="23">
        <f t="shared" si="3"/>
        <v>11.711</v>
      </c>
      <c r="I19" s="23">
        <f t="shared" si="4"/>
        <v>13.711</v>
      </c>
      <c r="J19" s="24">
        <f t="shared" si="5"/>
        <v>25.422000000000001</v>
      </c>
    </row>
    <row r="20" spans="1:10" ht="17.25" customHeight="1" x14ac:dyDescent="0.25">
      <c r="A20" s="19" t="s">
        <v>82</v>
      </c>
      <c r="B20" s="23"/>
      <c r="C20" s="91"/>
      <c r="D20" s="19"/>
      <c r="E20" s="12">
        <v>5</v>
      </c>
      <c r="F20" s="89"/>
      <c r="G20" s="12"/>
      <c r="H20" s="23">
        <f t="shared" si="3"/>
        <v>11.711</v>
      </c>
      <c r="I20" s="23">
        <f t="shared" si="4"/>
        <v>8.7110000000000003</v>
      </c>
      <c r="J20" s="24">
        <f t="shared" si="5"/>
        <v>20.422000000000001</v>
      </c>
    </row>
    <row r="21" spans="1:10" ht="13.5" customHeight="1" x14ac:dyDescent="0.25">
      <c r="A21" s="19" t="s">
        <v>83</v>
      </c>
      <c r="B21" s="12">
        <v>2.5</v>
      </c>
      <c r="C21" s="19">
        <v>2.5</v>
      </c>
      <c r="D21" s="19"/>
      <c r="E21" s="12"/>
      <c r="F21" s="89"/>
      <c r="G21" s="12"/>
      <c r="H21" s="23">
        <f t="shared" si="3"/>
        <v>14.211</v>
      </c>
      <c r="I21" s="23">
        <f t="shared" si="4"/>
        <v>11.211</v>
      </c>
      <c r="J21" s="24">
        <f t="shared" si="5"/>
        <v>25.422000000000001</v>
      </c>
    </row>
    <row r="22" spans="1:10" ht="17.25" customHeight="1" x14ac:dyDescent="0.25">
      <c r="A22" s="19" t="s">
        <v>84</v>
      </c>
      <c r="B22" s="12"/>
      <c r="C22" s="19"/>
      <c r="D22" s="19">
        <v>6.2110000000000003</v>
      </c>
      <c r="E22" s="12">
        <v>8.7889999999999997</v>
      </c>
      <c r="F22" s="12"/>
      <c r="G22" s="12"/>
      <c r="H22" s="23">
        <f t="shared" si="3"/>
        <v>8</v>
      </c>
      <c r="I22" s="23">
        <f t="shared" si="4"/>
        <v>2.4220000000000006</v>
      </c>
      <c r="J22" s="24">
        <f t="shared" si="5"/>
        <v>10.422000000000001</v>
      </c>
    </row>
    <row r="23" spans="1:10" ht="48" customHeight="1" x14ac:dyDescent="0.25">
      <c r="A23" s="19" t="s">
        <v>95</v>
      </c>
      <c r="B23" s="12">
        <v>5.4340000000000002</v>
      </c>
      <c r="C23" s="19">
        <v>5.4340000000000002</v>
      </c>
      <c r="D23" s="19"/>
      <c r="E23" s="12"/>
      <c r="F23" s="12"/>
      <c r="G23" s="12"/>
      <c r="H23" s="23">
        <f t="shared" si="3"/>
        <v>13.434000000000001</v>
      </c>
      <c r="I23" s="23">
        <f t="shared" si="4"/>
        <v>7.8560000000000008</v>
      </c>
      <c r="J23" s="24">
        <f t="shared" si="5"/>
        <v>21.290000000000003</v>
      </c>
    </row>
    <row r="24" spans="1:10" ht="12" customHeight="1" x14ac:dyDescent="0.25">
      <c r="A24" s="19" t="s">
        <v>96</v>
      </c>
      <c r="B24" s="12">
        <v>1.25</v>
      </c>
      <c r="C24" s="19">
        <v>1.25</v>
      </c>
      <c r="D24" s="19"/>
      <c r="E24" s="12"/>
      <c r="F24" s="12"/>
      <c r="G24" s="12"/>
      <c r="H24" s="23">
        <f t="shared" si="3"/>
        <v>14.684000000000001</v>
      </c>
      <c r="I24" s="23">
        <f t="shared" si="4"/>
        <v>9.1060000000000016</v>
      </c>
      <c r="J24" s="24">
        <f t="shared" si="5"/>
        <v>23.790000000000003</v>
      </c>
    </row>
    <row r="25" spans="1:10" ht="15" customHeight="1" x14ac:dyDescent="0.25">
      <c r="A25" s="19" t="s">
        <v>97</v>
      </c>
      <c r="B25" s="12"/>
      <c r="C25" s="19"/>
      <c r="D25" s="19"/>
      <c r="E25" s="12">
        <v>1</v>
      </c>
      <c r="F25" s="12"/>
      <c r="G25" s="12"/>
      <c r="H25" s="23">
        <f t="shared" si="3"/>
        <v>14.684000000000001</v>
      </c>
      <c r="I25" s="23">
        <f t="shared" si="4"/>
        <v>8.1060000000000016</v>
      </c>
      <c r="J25" s="24">
        <f t="shared" si="5"/>
        <v>22.790000000000003</v>
      </c>
    </row>
    <row r="26" spans="1:10" ht="13.5" customHeight="1" x14ac:dyDescent="0.25">
      <c r="A26" s="18" t="s">
        <v>98</v>
      </c>
      <c r="B26" s="23"/>
      <c r="C26" s="91"/>
      <c r="D26" s="19"/>
      <c r="E26" s="12"/>
      <c r="F26" s="100">
        <v>1</v>
      </c>
      <c r="G26" s="12"/>
      <c r="H26" s="23">
        <f t="shared" si="3"/>
        <v>13.684000000000001</v>
      </c>
      <c r="I26" s="23">
        <f t="shared" si="4"/>
        <v>8.1060000000000016</v>
      </c>
      <c r="J26" s="24">
        <f t="shared" si="5"/>
        <v>21.790000000000003</v>
      </c>
    </row>
    <row r="27" spans="1:10" ht="13.5" customHeight="1" x14ac:dyDescent="0.25">
      <c r="A27" s="19" t="s">
        <v>99</v>
      </c>
      <c r="B27" s="23">
        <v>2.5</v>
      </c>
      <c r="C27" s="91">
        <v>2.5</v>
      </c>
      <c r="D27" s="19"/>
      <c r="E27" s="12"/>
      <c r="F27" s="162"/>
      <c r="G27" s="12"/>
      <c r="H27" s="23">
        <f t="shared" ref="H27:H28" si="6">H26-F27-D27+B27</f>
        <v>16.184000000000001</v>
      </c>
      <c r="I27" s="23">
        <f t="shared" ref="I27:I28" si="7">I26-E27+C27</f>
        <v>10.606000000000002</v>
      </c>
      <c r="J27" s="24">
        <f t="shared" ref="J27:J28" si="8">SUM(H27:I27)</f>
        <v>26.790000000000003</v>
      </c>
    </row>
    <row r="28" spans="1:10" ht="13.5" customHeight="1" x14ac:dyDescent="0.25">
      <c r="A28" s="19" t="s">
        <v>100</v>
      </c>
      <c r="B28" s="23"/>
      <c r="C28" s="91"/>
      <c r="D28" s="19"/>
      <c r="E28" s="12"/>
      <c r="F28" s="100">
        <v>1</v>
      </c>
      <c r="G28" s="12"/>
      <c r="H28" s="23">
        <f t="shared" si="6"/>
        <v>15.184000000000001</v>
      </c>
      <c r="I28" s="23">
        <f t="shared" si="7"/>
        <v>10.606000000000002</v>
      </c>
      <c r="J28" s="24">
        <f t="shared" si="8"/>
        <v>25.790000000000003</v>
      </c>
    </row>
    <row r="29" spans="1:10" x14ac:dyDescent="0.25">
      <c r="H29" s="26"/>
      <c r="I29" s="26"/>
      <c r="J29" s="26"/>
    </row>
    <row r="33" spans="6:6" x14ac:dyDescent="0.25">
      <c r="F33" s="25" t="s">
        <v>33</v>
      </c>
    </row>
  </sheetData>
  <mergeCells count="14">
    <mergeCell ref="B9:D9"/>
    <mergeCell ref="A2:J2"/>
    <mergeCell ref="A3:J3"/>
    <mergeCell ref="A4:J4"/>
    <mergeCell ref="A5:J5"/>
    <mergeCell ref="B7:D7"/>
    <mergeCell ref="K11:K12"/>
    <mergeCell ref="A13:J13"/>
    <mergeCell ref="A10:J10"/>
    <mergeCell ref="A11:A12"/>
    <mergeCell ref="B11:C11"/>
    <mergeCell ref="D11:G11"/>
    <mergeCell ref="H11:I11"/>
    <mergeCell ref="J11:J12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6"/>
  <sheetViews>
    <sheetView view="pageBreakPreview" zoomScaleNormal="100" workbookViewId="0">
      <selection activeCell="A18" sqref="A18:XFD18"/>
    </sheetView>
  </sheetViews>
  <sheetFormatPr defaultColWidth="9" defaultRowHeight="15" x14ac:dyDescent="0.25"/>
  <cols>
    <col min="1" max="1" width="23.5703125" style="38" customWidth="1"/>
    <col min="2" max="2" width="17" style="38" customWidth="1"/>
    <col min="3" max="3" width="36.42578125" style="49" customWidth="1"/>
    <col min="4" max="4" width="11.7109375" style="50" customWidth="1"/>
    <col min="5" max="5" width="11" style="38" customWidth="1"/>
    <col min="6" max="6" width="11.85546875" style="50" customWidth="1"/>
    <col min="7" max="7" width="22" style="38" customWidth="1"/>
    <col min="8" max="16384" width="9" style="38"/>
  </cols>
  <sheetData>
    <row r="1" spans="1:7" s="30" customFormat="1" ht="52.5" customHeight="1" x14ac:dyDescent="0.25">
      <c r="E1" s="31"/>
    </row>
    <row r="2" spans="1:7" s="30" customFormat="1" ht="10.5" customHeight="1" x14ac:dyDescent="0.25">
      <c r="A2" s="122" t="s">
        <v>0</v>
      </c>
      <c r="B2" s="122"/>
      <c r="C2" s="122"/>
      <c r="D2" s="122"/>
      <c r="E2" s="122"/>
      <c r="F2" s="122"/>
      <c r="G2" s="122"/>
    </row>
    <row r="3" spans="1:7" s="30" customFormat="1" ht="15.95" customHeight="1" x14ac:dyDescent="0.25">
      <c r="A3" s="122" t="s">
        <v>1</v>
      </c>
      <c r="B3" s="122"/>
      <c r="C3" s="122"/>
      <c r="D3" s="122"/>
      <c r="E3" s="122"/>
      <c r="F3" s="122"/>
      <c r="G3" s="122"/>
    </row>
    <row r="4" spans="1:7" s="30" customFormat="1" ht="15.95" customHeight="1" x14ac:dyDescent="0.25">
      <c r="A4" s="122" t="s">
        <v>2</v>
      </c>
      <c r="B4" s="122"/>
      <c r="C4" s="122"/>
      <c r="D4" s="122"/>
      <c r="E4" s="122"/>
      <c r="F4" s="122"/>
      <c r="G4" s="122"/>
    </row>
    <row r="5" spans="1:7" s="30" customFormat="1" ht="15.95" customHeight="1" x14ac:dyDescent="0.25">
      <c r="A5" s="122" t="s">
        <v>3</v>
      </c>
      <c r="B5" s="122"/>
      <c r="C5" s="122"/>
      <c r="D5" s="122"/>
      <c r="E5" s="122"/>
      <c r="F5" s="122"/>
      <c r="G5" s="122"/>
    </row>
    <row r="6" spans="1:7" s="30" customFormat="1" ht="8.25" customHeight="1" x14ac:dyDescent="0.25">
      <c r="E6" s="31"/>
    </row>
    <row r="7" spans="1:7" s="30" customFormat="1" ht="8.25" customHeight="1" x14ac:dyDescent="0.25">
      <c r="E7" s="31"/>
    </row>
    <row r="8" spans="1:7" s="30" customFormat="1" ht="17.25" customHeight="1" x14ac:dyDescent="0.25">
      <c r="A8" s="32" t="s">
        <v>71</v>
      </c>
      <c r="B8" s="32"/>
      <c r="C8" s="32" t="s">
        <v>35</v>
      </c>
      <c r="D8" s="33"/>
      <c r="E8" s="32" t="s">
        <v>36</v>
      </c>
      <c r="F8" s="33"/>
      <c r="G8" s="34"/>
    </row>
    <row r="9" spans="1:7" s="30" customFormat="1" ht="12" customHeight="1" x14ac:dyDescent="0.25">
      <c r="A9" s="35"/>
      <c r="B9" s="35"/>
      <c r="C9" s="36"/>
      <c r="E9" s="32" t="s">
        <v>37</v>
      </c>
      <c r="F9" s="37"/>
      <c r="G9" s="36"/>
    </row>
    <row r="10" spans="1:7" s="30" customFormat="1" ht="14.25" customHeight="1" x14ac:dyDescent="0.25">
      <c r="A10" s="32" t="s">
        <v>38</v>
      </c>
      <c r="B10" s="32"/>
      <c r="C10" s="32" t="s">
        <v>39</v>
      </c>
      <c r="D10" s="33"/>
      <c r="E10" s="32" t="s">
        <v>40</v>
      </c>
      <c r="F10" s="33"/>
      <c r="G10" s="34"/>
    </row>
    <row r="11" spans="1:7" s="30" customFormat="1" ht="12" customHeight="1" thickBot="1" x14ac:dyDescent="0.3">
      <c r="A11" s="34"/>
      <c r="B11" s="34"/>
      <c r="C11" s="34"/>
      <c r="F11" s="33"/>
      <c r="G11" s="34"/>
    </row>
    <row r="12" spans="1:7" ht="23.25" customHeight="1" thickBot="1" x14ac:dyDescent="0.3">
      <c r="A12" s="123" t="s">
        <v>41</v>
      </c>
      <c r="B12" s="124"/>
      <c r="C12" s="124"/>
      <c r="D12" s="124"/>
      <c r="E12" s="124"/>
      <c r="F12" s="124"/>
      <c r="G12" s="125"/>
    </row>
    <row r="13" spans="1:7" s="43" customFormat="1" ht="37.5" customHeight="1" thickBot="1" x14ac:dyDescent="0.25">
      <c r="A13" s="39" t="s">
        <v>42</v>
      </c>
      <c r="B13" s="40" t="s">
        <v>43</v>
      </c>
      <c r="C13" s="51" t="s">
        <v>44</v>
      </c>
      <c r="D13" s="51" t="s">
        <v>13</v>
      </c>
      <c r="E13" s="41" t="s">
        <v>14</v>
      </c>
      <c r="F13" s="41" t="s">
        <v>15</v>
      </c>
      <c r="G13" s="42" t="s">
        <v>11</v>
      </c>
    </row>
    <row r="14" spans="1:7" s="43" customFormat="1" ht="15.75" customHeight="1" x14ac:dyDescent="0.2">
      <c r="A14" s="94" t="s">
        <v>89</v>
      </c>
      <c r="B14" s="95"/>
      <c r="C14" s="96" t="s">
        <v>90</v>
      </c>
      <c r="D14" s="97">
        <v>5</v>
      </c>
      <c r="E14" s="98">
        <v>0</v>
      </c>
      <c r="F14" s="98">
        <v>5</v>
      </c>
      <c r="G14" s="99">
        <v>5</v>
      </c>
    </row>
    <row r="15" spans="1:7" s="43" customFormat="1" ht="15.75" customHeight="1" x14ac:dyDescent="0.2">
      <c r="A15" s="94" t="s">
        <v>89</v>
      </c>
      <c r="B15" s="95"/>
      <c r="C15" s="96" t="s">
        <v>91</v>
      </c>
      <c r="D15" s="97">
        <v>5</v>
      </c>
      <c r="E15" s="98">
        <v>0</v>
      </c>
      <c r="F15" s="98">
        <v>5</v>
      </c>
      <c r="G15" s="99">
        <v>5</v>
      </c>
    </row>
    <row r="16" spans="1:7" s="43" customFormat="1" ht="15.75" customHeight="1" x14ac:dyDescent="0.2">
      <c r="A16" s="94" t="s">
        <v>89</v>
      </c>
      <c r="B16" s="95"/>
      <c r="C16" s="96" t="s">
        <v>92</v>
      </c>
      <c r="D16" s="97">
        <v>5</v>
      </c>
      <c r="E16" s="98">
        <v>0</v>
      </c>
      <c r="F16" s="98">
        <v>5</v>
      </c>
      <c r="G16" s="99">
        <v>5</v>
      </c>
    </row>
    <row r="17" spans="1:7" s="43" customFormat="1" ht="15.75" customHeight="1" x14ac:dyDescent="0.2">
      <c r="A17" s="94" t="s">
        <v>89</v>
      </c>
      <c r="B17" s="95"/>
      <c r="C17" s="96" t="s">
        <v>93</v>
      </c>
      <c r="D17" s="97">
        <v>5</v>
      </c>
      <c r="E17" s="98">
        <v>0</v>
      </c>
      <c r="F17" s="98">
        <v>5</v>
      </c>
      <c r="G17" s="99">
        <v>5</v>
      </c>
    </row>
    <row r="18" spans="1:7" s="43" customFormat="1" ht="15.75" customHeight="1" x14ac:dyDescent="0.2">
      <c r="A18" s="94" t="s">
        <v>89</v>
      </c>
      <c r="B18" s="95"/>
      <c r="C18" s="96" t="s">
        <v>94</v>
      </c>
      <c r="D18" s="97">
        <v>5</v>
      </c>
      <c r="E18" s="98">
        <v>0</v>
      </c>
      <c r="F18" s="98">
        <v>5</v>
      </c>
      <c r="G18" s="99">
        <v>5</v>
      </c>
    </row>
    <row r="19" spans="1:7" s="43" customFormat="1" ht="15.75" customHeight="1" x14ac:dyDescent="0.2">
      <c r="A19" s="55" t="s">
        <v>46</v>
      </c>
      <c r="B19" s="56" t="s">
        <v>47</v>
      </c>
      <c r="C19" s="52" t="s">
        <v>48</v>
      </c>
      <c r="D19" s="29">
        <v>5</v>
      </c>
      <c r="E19" s="44">
        <v>1</v>
      </c>
      <c r="F19" s="44">
        <v>4</v>
      </c>
      <c r="G19" s="45">
        <v>4</v>
      </c>
    </row>
    <row r="20" spans="1:7" s="47" customFormat="1" ht="27" customHeight="1" x14ac:dyDescent="0.2">
      <c r="A20" s="13" t="s">
        <v>69</v>
      </c>
      <c r="B20" s="13" t="s">
        <v>70</v>
      </c>
      <c r="C20" s="59" t="s">
        <v>62</v>
      </c>
      <c r="D20" s="46">
        <v>11</v>
      </c>
      <c r="E20" s="46">
        <v>4</v>
      </c>
      <c r="F20" s="46">
        <v>7</v>
      </c>
      <c r="G20" s="45">
        <v>7</v>
      </c>
    </row>
    <row r="21" spans="1:7" s="47" customFormat="1" ht="24" x14ac:dyDescent="0.2">
      <c r="A21" s="55" t="s">
        <v>72</v>
      </c>
      <c r="B21" s="86" t="s">
        <v>73</v>
      </c>
      <c r="C21" s="52" t="s">
        <v>74</v>
      </c>
      <c r="D21" s="29">
        <v>2</v>
      </c>
      <c r="E21" s="87">
        <v>0</v>
      </c>
      <c r="F21" s="87">
        <v>2</v>
      </c>
      <c r="G21" s="88">
        <v>2</v>
      </c>
    </row>
    <row r="22" spans="1:7" s="47" customFormat="1" ht="24" x14ac:dyDescent="0.2">
      <c r="A22" s="55" t="s">
        <v>75</v>
      </c>
      <c r="B22" s="86">
        <v>45454</v>
      </c>
      <c r="C22" s="52" t="s">
        <v>76</v>
      </c>
      <c r="D22" s="29">
        <v>15</v>
      </c>
      <c r="E22" s="87">
        <v>0</v>
      </c>
      <c r="F22" s="87">
        <v>15</v>
      </c>
      <c r="G22" s="88">
        <v>15</v>
      </c>
    </row>
    <row r="23" spans="1:7" s="47" customFormat="1" ht="15.75" x14ac:dyDescent="0.2">
      <c r="A23" s="119" t="s">
        <v>11</v>
      </c>
      <c r="B23" s="120"/>
      <c r="C23" s="120"/>
      <c r="D23" s="120"/>
      <c r="E23" s="120"/>
      <c r="F23" s="121"/>
      <c r="G23" s="54">
        <f>SUM(G14:G22)</f>
        <v>53</v>
      </c>
    </row>
    <row r="24" spans="1:7" s="30" customFormat="1" ht="75.75" customHeight="1" x14ac:dyDescent="0.25">
      <c r="A24" s="48"/>
      <c r="B24" s="48"/>
      <c r="G24" s="48"/>
    </row>
    <row r="25" spans="1:7" s="30" customFormat="1" x14ac:dyDescent="0.25"/>
    <row r="26" spans="1:7" s="30" customFormat="1" x14ac:dyDescent="0.25"/>
  </sheetData>
  <mergeCells count="6">
    <mergeCell ref="A23:F23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FB60-2859-44A4-ACB5-10FD69EC76AA}">
  <sheetPr>
    <pageSetUpPr fitToPage="1"/>
  </sheetPr>
  <dimension ref="A1:L25"/>
  <sheetViews>
    <sheetView view="pageBreakPreview" topLeftCell="A4" zoomScale="112" zoomScaleNormal="100" workbookViewId="0">
      <selection activeCell="A23" sqref="A23:L23"/>
    </sheetView>
  </sheetViews>
  <sheetFormatPr defaultColWidth="9" defaultRowHeight="15" x14ac:dyDescent="0.25"/>
  <cols>
    <col min="1" max="1" width="29.85546875" style="69" customWidth="1"/>
    <col min="2" max="2" width="9.42578125" style="82" customWidth="1"/>
    <col min="3" max="3" width="9.28515625" style="83" customWidth="1"/>
    <col min="4" max="4" width="9" style="69"/>
    <col min="5" max="5" width="8.42578125" style="82" customWidth="1"/>
    <col min="6" max="6" width="10.85546875" style="84" customWidth="1"/>
    <col min="7" max="7" width="9.7109375" style="85" customWidth="1"/>
    <col min="8" max="8" width="10.85546875" style="69" customWidth="1"/>
    <col min="9" max="9" width="9.7109375" style="82" customWidth="1"/>
    <col min="10" max="10" width="10" style="84" customWidth="1"/>
    <col min="11" max="11" width="8.7109375" style="85" customWidth="1"/>
    <col min="12" max="12" width="7.5703125" style="69" customWidth="1"/>
    <col min="13" max="16384" width="9" style="69"/>
  </cols>
  <sheetData>
    <row r="1" spans="1:12" s="61" customFormat="1" ht="52.5" customHeight="1" x14ac:dyDescent="0.25">
      <c r="C1" s="62"/>
      <c r="D1" s="63"/>
      <c r="H1" s="64"/>
    </row>
    <row r="2" spans="1:12" s="61" customFormat="1" ht="10.5" customHeight="1" x14ac:dyDescent="0.25">
      <c r="A2" s="129" t="s">
        <v>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</row>
    <row r="3" spans="1:12" s="61" customFormat="1" ht="15.95" customHeight="1" x14ac:dyDescent="0.25">
      <c r="A3" s="129" t="s">
        <v>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4" spans="1:12" s="61" customFormat="1" ht="15.95" customHeight="1" x14ac:dyDescent="0.25">
      <c r="A4" s="129" t="s">
        <v>2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</row>
    <row r="5" spans="1:12" s="61" customFormat="1" ht="15.95" customHeight="1" x14ac:dyDescent="0.25">
      <c r="A5" s="129" t="s">
        <v>3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</row>
    <row r="6" spans="1:12" s="61" customFormat="1" ht="8.25" customHeight="1" x14ac:dyDescent="0.25">
      <c r="C6" s="64"/>
      <c r="H6" s="64"/>
    </row>
    <row r="7" spans="1:12" s="61" customFormat="1" ht="8.25" customHeight="1" x14ac:dyDescent="0.25">
      <c r="C7" s="64"/>
      <c r="H7" s="64"/>
    </row>
    <row r="8" spans="1:12" s="61" customFormat="1" ht="12" customHeight="1" x14ac:dyDescent="0.25">
      <c r="A8" s="65" t="s">
        <v>65</v>
      </c>
      <c r="B8" s="66"/>
      <c r="C8" s="130" t="s">
        <v>4</v>
      </c>
      <c r="D8" s="130"/>
      <c r="E8" s="130"/>
      <c r="F8" s="130"/>
      <c r="G8" s="130"/>
      <c r="I8" s="130" t="s">
        <v>5</v>
      </c>
      <c r="J8" s="130"/>
      <c r="K8" s="130"/>
      <c r="L8" s="66"/>
    </row>
    <row r="9" spans="1:12" s="61" customFormat="1" ht="12" customHeight="1" x14ac:dyDescent="0.25">
      <c r="B9" s="67"/>
      <c r="C9" s="130" t="s">
        <v>88</v>
      </c>
      <c r="D9" s="130"/>
      <c r="E9" s="130"/>
      <c r="F9" s="130"/>
      <c r="G9" s="130"/>
      <c r="I9" s="131" t="s">
        <v>6</v>
      </c>
      <c r="J9" s="131"/>
      <c r="K9" s="131"/>
      <c r="L9" s="67"/>
    </row>
    <row r="10" spans="1:12" s="61" customFormat="1" ht="12" customHeight="1" x14ac:dyDescent="0.25">
      <c r="A10" s="66" t="s">
        <v>49</v>
      </c>
      <c r="B10" s="66"/>
      <c r="C10" s="68"/>
      <c r="D10" s="67"/>
      <c r="E10" s="67"/>
      <c r="I10" s="130" t="s">
        <v>7</v>
      </c>
      <c r="J10" s="130"/>
      <c r="K10" s="130"/>
      <c r="L10" s="66"/>
    </row>
    <row r="11" spans="1:12" s="61" customFormat="1" ht="12" customHeight="1" x14ac:dyDescent="0.25">
      <c r="A11" s="66"/>
      <c r="B11" s="66"/>
      <c r="C11" s="68"/>
      <c r="D11" s="67"/>
      <c r="E11" s="67"/>
      <c r="I11" s="92"/>
      <c r="J11" s="92"/>
      <c r="K11" s="92"/>
      <c r="L11" s="66"/>
    </row>
    <row r="12" spans="1:12" ht="16.5" customHeight="1" thickBot="1" x14ac:dyDescent="0.3">
      <c r="A12" s="132" t="s">
        <v>8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</row>
    <row r="13" spans="1:12" s="70" customFormat="1" ht="18.75" customHeight="1" x14ac:dyDescent="0.2">
      <c r="A13" s="133" t="s">
        <v>9</v>
      </c>
      <c r="B13" s="135" t="s">
        <v>10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7" t="s">
        <v>11</v>
      </c>
    </row>
    <row r="14" spans="1:12" s="70" customFormat="1" ht="24" customHeight="1" x14ac:dyDescent="0.2">
      <c r="A14" s="134"/>
      <c r="B14" s="139" t="s">
        <v>12</v>
      </c>
      <c r="C14" s="140"/>
      <c r="D14" s="140"/>
      <c r="E14" s="141"/>
      <c r="F14" s="139" t="s">
        <v>13</v>
      </c>
      <c r="G14" s="141"/>
      <c r="H14" s="139" t="s">
        <v>14</v>
      </c>
      <c r="I14" s="141"/>
      <c r="J14" s="139" t="s">
        <v>15</v>
      </c>
      <c r="K14" s="141"/>
      <c r="L14" s="138"/>
    </row>
    <row r="15" spans="1:12" s="70" customFormat="1" ht="38.1" hidden="1" customHeight="1" x14ac:dyDescent="0.2">
      <c r="A15" s="71" t="s">
        <v>66</v>
      </c>
      <c r="B15" s="126" t="s">
        <v>68</v>
      </c>
      <c r="C15" s="127"/>
      <c r="D15" s="127"/>
      <c r="E15" s="128"/>
      <c r="F15" s="126">
        <v>11</v>
      </c>
      <c r="G15" s="128"/>
      <c r="H15" s="126">
        <v>0</v>
      </c>
      <c r="I15" s="128"/>
      <c r="J15" s="126">
        <v>11</v>
      </c>
      <c r="K15" s="128"/>
      <c r="L15" s="75">
        <v>11</v>
      </c>
    </row>
    <row r="16" spans="1:12" s="77" customFormat="1" ht="39.950000000000003" hidden="1" customHeight="1" x14ac:dyDescent="0.2">
      <c r="A16" s="76" t="s">
        <v>17</v>
      </c>
      <c r="B16" s="126"/>
      <c r="C16" s="127"/>
      <c r="D16" s="127"/>
      <c r="E16" s="128"/>
      <c r="F16" s="126"/>
      <c r="G16" s="128"/>
      <c r="H16" s="126">
        <v>2</v>
      </c>
      <c r="I16" s="128"/>
      <c r="J16" s="126">
        <v>9</v>
      </c>
      <c r="K16" s="128"/>
      <c r="L16" s="75">
        <v>9</v>
      </c>
    </row>
    <row r="17" spans="1:12" s="77" customFormat="1" ht="39.950000000000003" hidden="1" customHeight="1" x14ac:dyDescent="0.2">
      <c r="A17" s="78" t="s">
        <v>67</v>
      </c>
      <c r="B17" s="72"/>
      <c r="C17" s="73"/>
      <c r="D17" s="73"/>
      <c r="E17" s="74"/>
      <c r="F17" s="72"/>
      <c r="G17" s="74"/>
      <c r="H17" s="126">
        <v>1</v>
      </c>
      <c r="I17" s="128"/>
      <c r="J17" s="126">
        <v>8</v>
      </c>
      <c r="K17" s="128"/>
      <c r="L17" s="75">
        <v>8</v>
      </c>
    </row>
    <row r="18" spans="1:12" s="77" customFormat="1" ht="39.950000000000003" hidden="1" customHeight="1" x14ac:dyDescent="0.2">
      <c r="A18" s="78" t="s">
        <v>18</v>
      </c>
      <c r="B18" s="72"/>
      <c r="C18" s="73"/>
      <c r="D18" s="73"/>
      <c r="E18" s="74"/>
      <c r="F18" s="72"/>
      <c r="G18" s="74"/>
      <c r="H18" s="126">
        <v>1</v>
      </c>
      <c r="I18" s="128"/>
      <c r="J18" s="126">
        <v>7</v>
      </c>
      <c r="K18" s="128"/>
      <c r="L18" s="75">
        <v>7</v>
      </c>
    </row>
    <row r="19" spans="1:12" s="77" customFormat="1" x14ac:dyDescent="0.2">
      <c r="A19" s="78" t="s">
        <v>85</v>
      </c>
      <c r="B19" s="126" t="s">
        <v>86</v>
      </c>
      <c r="C19" s="127"/>
      <c r="D19" s="127"/>
      <c r="E19" s="128"/>
      <c r="F19" s="126">
        <v>1</v>
      </c>
      <c r="G19" s="128"/>
      <c r="H19" s="126">
        <v>0</v>
      </c>
      <c r="I19" s="128"/>
      <c r="J19" s="126">
        <v>1</v>
      </c>
      <c r="K19" s="128"/>
      <c r="L19" s="75">
        <v>1</v>
      </c>
    </row>
    <row r="20" spans="1:12" s="77" customFormat="1" ht="15" customHeight="1" x14ac:dyDescent="0.2">
      <c r="A20" s="78" t="s">
        <v>87</v>
      </c>
      <c r="B20" s="126" t="s">
        <v>86</v>
      </c>
      <c r="C20" s="127"/>
      <c r="D20" s="127"/>
      <c r="E20" s="128"/>
      <c r="F20" s="126"/>
      <c r="G20" s="128"/>
      <c r="H20" s="126">
        <v>1</v>
      </c>
      <c r="I20" s="128"/>
      <c r="J20" s="126">
        <v>0</v>
      </c>
      <c r="K20" s="128"/>
      <c r="L20" s="93">
        <v>0</v>
      </c>
    </row>
    <row r="21" spans="1:12" s="77" customFormat="1" x14ac:dyDescent="0.2">
      <c r="A21" s="78"/>
      <c r="B21" s="126"/>
      <c r="C21" s="127"/>
      <c r="D21" s="127"/>
      <c r="E21" s="128"/>
      <c r="F21" s="126"/>
      <c r="G21" s="128"/>
      <c r="H21" s="126"/>
      <c r="I21" s="128"/>
      <c r="J21" s="126"/>
      <c r="K21" s="128"/>
      <c r="L21" s="75"/>
    </row>
    <row r="22" spans="1:12" s="77" customFormat="1" x14ac:dyDescent="0.2">
      <c r="A22" s="79" t="s">
        <v>16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ht="75.75" customHeight="1" x14ac:dyDescent="0.25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</row>
    <row r="24" spans="1:12" s="61" customFormat="1" x14ac:dyDescent="0.25">
      <c r="C24" s="64"/>
    </row>
    <row r="25" spans="1:12" s="61" customFormat="1" x14ac:dyDescent="0.25">
      <c r="C25" s="64"/>
    </row>
  </sheetData>
  <mergeCells count="42">
    <mergeCell ref="J20:K20"/>
    <mergeCell ref="B21:E21"/>
    <mergeCell ref="F21:G21"/>
    <mergeCell ref="H21:I21"/>
    <mergeCell ref="J21:K21"/>
    <mergeCell ref="B16:E16"/>
    <mergeCell ref="F16:G16"/>
    <mergeCell ref="H16:I16"/>
    <mergeCell ref="J16:K16"/>
    <mergeCell ref="A23:L23"/>
    <mergeCell ref="H17:I17"/>
    <mergeCell ref="J17:K17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H14:I14"/>
    <mergeCell ref="J14:K14"/>
    <mergeCell ref="F15:G15"/>
    <mergeCell ref="H15:I15"/>
    <mergeCell ref="J15:K15"/>
    <mergeCell ref="B15:E15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2:L12"/>
    <mergeCell ref="A13:A14"/>
    <mergeCell ref="B13:K13"/>
    <mergeCell ref="L13:L14"/>
    <mergeCell ref="B14:E14"/>
    <mergeCell ref="F14:G14"/>
  </mergeCells>
  <phoneticPr fontId="8" type="noConversion"/>
  <pageMargins left="0.25" right="0.25" top="0.75" bottom="0.75" header="0.3" footer="0.3"/>
  <pageSetup paperSize="9" scale="7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45BC-97AC-4011-9BE7-58DACA51FF85}">
  <dimension ref="A1:M241"/>
  <sheetViews>
    <sheetView topLeftCell="A7" workbookViewId="0">
      <selection activeCell="D26" sqref="D26"/>
    </sheetView>
  </sheetViews>
  <sheetFormatPr defaultRowHeight="15" x14ac:dyDescent="0.25"/>
  <cols>
    <col min="1" max="1" width="21" customWidth="1"/>
    <col min="2" max="2" width="25.5703125" customWidth="1"/>
    <col min="3" max="3" width="8.140625" style="8" customWidth="1"/>
    <col min="4" max="4" width="15.85546875" style="9" customWidth="1"/>
    <col min="6" max="6" width="6.42578125" style="8" customWidth="1"/>
    <col min="7" max="7" width="5.85546875" style="10" customWidth="1"/>
    <col min="8" max="8" width="5.5703125" style="11" customWidth="1"/>
    <col min="9" max="9" width="5.140625" customWidth="1"/>
    <col min="10" max="10" width="3.5703125" style="8" customWidth="1"/>
    <col min="11" max="11" width="10" style="10" customWidth="1"/>
    <col min="12" max="12" width="7" style="11" customWidth="1"/>
    <col min="13" max="13" width="7.5703125" customWidth="1"/>
  </cols>
  <sheetData>
    <row r="1" spans="1:13" x14ac:dyDescent="0.25">
      <c r="A1" s="1"/>
      <c r="B1" s="1"/>
      <c r="C1" s="1"/>
      <c r="D1" s="2"/>
      <c r="E1" s="3"/>
      <c r="F1" s="1"/>
      <c r="G1" s="1"/>
      <c r="H1" s="1"/>
      <c r="I1" s="4"/>
      <c r="J1" s="1"/>
      <c r="K1" s="1"/>
      <c r="L1" s="1"/>
      <c r="M1" s="1"/>
    </row>
    <row r="2" spans="1:13" x14ac:dyDescent="0.25">
      <c r="A2" s="1"/>
      <c r="B2" s="1"/>
      <c r="C2" s="1"/>
      <c r="D2" s="2"/>
      <c r="E2" s="3"/>
      <c r="F2" s="1"/>
      <c r="G2" s="1"/>
      <c r="H2" s="1"/>
      <c r="I2" s="4"/>
      <c r="J2" s="1"/>
      <c r="K2" s="1"/>
      <c r="L2" s="1"/>
      <c r="M2" s="1"/>
    </row>
    <row r="3" spans="1:13" x14ac:dyDescent="0.25">
      <c r="A3" s="1"/>
      <c r="B3" s="1"/>
      <c r="C3" s="1"/>
      <c r="D3" s="2"/>
      <c r="E3" s="3"/>
      <c r="F3" s="1"/>
      <c r="G3" s="1"/>
      <c r="H3" s="1"/>
      <c r="I3" s="4"/>
      <c r="J3" s="1"/>
      <c r="K3" s="1"/>
      <c r="L3" s="1"/>
      <c r="M3" s="1"/>
    </row>
    <row r="4" spans="1:13" x14ac:dyDescent="0.25">
      <c r="A4" s="1"/>
      <c r="B4" s="1"/>
      <c r="C4" s="1"/>
      <c r="D4" s="2"/>
      <c r="E4" s="3"/>
      <c r="F4" s="1"/>
      <c r="G4" s="1"/>
      <c r="H4" s="1"/>
      <c r="I4" s="4"/>
      <c r="J4" s="1"/>
      <c r="K4" s="1"/>
      <c r="L4" s="1"/>
      <c r="M4" s="1"/>
    </row>
    <row r="5" spans="1:13" x14ac:dyDescent="0.25">
      <c r="A5" s="118" t="s">
        <v>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1:13" x14ac:dyDescent="0.25">
      <c r="A6" s="118" t="s">
        <v>1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</row>
    <row r="8" spans="1:13" x14ac:dyDescent="0.25">
      <c r="A8" s="118" t="s">
        <v>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</row>
    <row r="9" spans="1:13" x14ac:dyDescent="0.25">
      <c r="A9" s="1"/>
      <c r="B9" s="1"/>
      <c r="C9" s="1"/>
      <c r="D9" s="4"/>
      <c r="E9" s="1"/>
      <c r="F9" s="1"/>
      <c r="G9" s="1"/>
      <c r="H9" s="1"/>
      <c r="I9" s="4"/>
      <c r="J9" s="1"/>
      <c r="K9" s="1"/>
      <c r="L9" s="1"/>
      <c r="M9" s="1"/>
    </row>
    <row r="10" spans="1:13" x14ac:dyDescent="0.25">
      <c r="A10" s="1"/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</row>
    <row r="11" spans="1:13" x14ac:dyDescent="0.25">
      <c r="A11" s="5" t="s">
        <v>63</v>
      </c>
      <c r="B11" s="5"/>
      <c r="C11" s="5"/>
      <c r="D11" s="117" t="s">
        <v>50</v>
      </c>
      <c r="E11" s="117"/>
      <c r="F11" s="117"/>
      <c r="G11" s="117"/>
      <c r="H11" s="117"/>
      <c r="I11" s="1"/>
      <c r="J11" s="117" t="s">
        <v>51</v>
      </c>
      <c r="K11" s="117"/>
      <c r="L11" s="117"/>
      <c r="M11" s="5"/>
    </row>
    <row r="12" spans="1:13" x14ac:dyDescent="0.25">
      <c r="A12" s="1"/>
      <c r="B12" s="1"/>
      <c r="C12" s="6"/>
      <c r="D12" s="117" t="s">
        <v>64</v>
      </c>
      <c r="E12" s="117"/>
      <c r="F12" s="117"/>
      <c r="G12" s="117"/>
      <c r="H12" s="117"/>
      <c r="I12" s="1"/>
      <c r="J12" s="143" t="s">
        <v>52</v>
      </c>
      <c r="K12" s="143"/>
      <c r="L12" s="143"/>
      <c r="M12" s="6"/>
    </row>
    <row r="13" spans="1:13" x14ac:dyDescent="0.25">
      <c r="A13" s="5" t="s">
        <v>53</v>
      </c>
      <c r="B13" s="5"/>
      <c r="C13" s="5"/>
      <c r="D13" s="7"/>
      <c r="E13" s="6"/>
      <c r="F13" s="6"/>
      <c r="G13" s="1"/>
      <c r="H13" s="1"/>
      <c r="I13" s="1"/>
      <c r="J13" s="117" t="s">
        <v>7</v>
      </c>
      <c r="K13" s="117"/>
      <c r="L13" s="117"/>
      <c r="M13" s="5"/>
    </row>
    <row r="14" spans="1:13" ht="21.75" thickBot="1" x14ac:dyDescent="0.3">
      <c r="A14" s="105" t="s">
        <v>54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</row>
    <row r="15" spans="1:13" x14ac:dyDescent="0.25">
      <c r="A15" s="144" t="s">
        <v>55</v>
      </c>
      <c r="B15" s="147" t="s">
        <v>9</v>
      </c>
      <c r="C15" s="150" t="s">
        <v>56</v>
      </c>
      <c r="D15" s="151"/>
      <c r="E15" s="150" t="s">
        <v>57</v>
      </c>
      <c r="F15" s="151"/>
      <c r="G15" s="150" t="s">
        <v>13</v>
      </c>
      <c r="H15" s="151"/>
      <c r="I15" s="150" t="s">
        <v>14</v>
      </c>
      <c r="J15" s="151"/>
      <c r="K15" s="150" t="s">
        <v>15</v>
      </c>
      <c r="L15" s="151"/>
      <c r="M15" s="156" t="s">
        <v>11</v>
      </c>
    </row>
    <row r="16" spans="1:13" x14ac:dyDescent="0.25">
      <c r="A16" s="145"/>
      <c r="B16" s="148"/>
      <c r="C16" s="152"/>
      <c r="D16" s="153"/>
      <c r="E16" s="152"/>
      <c r="F16" s="153"/>
      <c r="G16" s="152"/>
      <c r="H16" s="153"/>
      <c r="I16" s="152"/>
      <c r="J16" s="153"/>
      <c r="K16" s="152"/>
      <c r="L16" s="153"/>
      <c r="M16" s="157"/>
    </row>
    <row r="17" spans="1:13" x14ac:dyDescent="0.25">
      <c r="A17" s="146"/>
      <c r="B17" s="149"/>
      <c r="C17" s="154"/>
      <c r="D17" s="155"/>
      <c r="E17" s="154"/>
      <c r="F17" s="155"/>
      <c r="G17" s="154"/>
      <c r="H17" s="155"/>
      <c r="I17" s="154"/>
      <c r="J17" s="155"/>
      <c r="K17" s="154"/>
      <c r="L17" s="155"/>
      <c r="M17" s="158"/>
    </row>
    <row r="18" spans="1:13" ht="30" x14ac:dyDescent="0.25">
      <c r="A18" s="18" t="s">
        <v>58</v>
      </c>
      <c r="B18" s="27" t="s">
        <v>59</v>
      </c>
      <c r="C18" s="159" t="s">
        <v>60</v>
      </c>
      <c r="D18" s="160"/>
      <c r="E18" s="159"/>
      <c r="F18" s="160"/>
      <c r="G18" s="159">
        <v>5</v>
      </c>
      <c r="H18" s="161"/>
      <c r="I18" s="159">
        <v>0</v>
      </c>
      <c r="J18" s="161"/>
      <c r="K18" s="159">
        <v>5</v>
      </c>
      <c r="L18" s="161"/>
      <c r="M18" s="57">
        <v>5</v>
      </c>
    </row>
    <row r="19" spans="1:13" ht="31.5" customHeight="1" x14ac:dyDescent="0.25">
      <c r="A19" s="18"/>
      <c r="B19" s="28" t="s">
        <v>61</v>
      </c>
      <c r="C19" s="159" t="s">
        <v>60</v>
      </c>
      <c r="D19" s="160"/>
      <c r="E19" s="159"/>
      <c r="F19" s="160"/>
      <c r="G19" s="159">
        <v>5</v>
      </c>
      <c r="H19" s="161"/>
      <c r="I19" s="159">
        <v>1</v>
      </c>
      <c r="J19" s="161"/>
      <c r="K19" s="159">
        <v>4</v>
      </c>
      <c r="L19" s="161"/>
      <c r="M19" s="58">
        <v>4</v>
      </c>
    </row>
    <row r="20" spans="1:13" ht="31.5" customHeight="1" x14ac:dyDescent="0.25">
      <c r="A20" s="18"/>
      <c r="B20" s="28"/>
      <c r="C20" s="159"/>
      <c r="D20" s="160"/>
      <c r="E20" s="159"/>
      <c r="F20" s="160"/>
      <c r="G20" s="159"/>
      <c r="H20" s="161"/>
      <c r="I20" s="159"/>
      <c r="J20" s="161"/>
      <c r="K20" s="159"/>
      <c r="L20" s="161"/>
      <c r="M20" s="60"/>
    </row>
    <row r="21" spans="1:13" ht="31.5" customHeight="1" x14ac:dyDescent="0.25">
      <c r="A21" s="18"/>
      <c r="B21" s="28"/>
      <c r="C21" s="159"/>
      <c r="D21" s="160"/>
      <c r="E21" s="159"/>
      <c r="F21" s="160"/>
      <c r="G21" s="159"/>
      <c r="H21" s="161"/>
      <c r="I21" s="159"/>
      <c r="J21" s="161"/>
      <c r="K21" s="159"/>
      <c r="L21" s="161"/>
      <c r="M21" s="60"/>
    </row>
    <row r="22" spans="1:13" x14ac:dyDescent="0.25">
      <c r="A22" s="53"/>
      <c r="B22" s="53"/>
      <c r="C22" s="1"/>
      <c r="D22" s="4"/>
      <c r="E22" s="1"/>
      <c r="F22" s="1"/>
      <c r="G22" s="1"/>
      <c r="H22" s="1"/>
      <c r="I22" s="1"/>
      <c r="J22" s="1"/>
      <c r="K22" s="1"/>
      <c r="L22" s="1"/>
      <c r="M22" s="53"/>
    </row>
    <row r="23" spans="1:13" x14ac:dyDescent="0.25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C25" s="1"/>
      <c r="D25" s="4"/>
      <c r="E25" s="1"/>
      <c r="F25" s="1"/>
      <c r="G25" s="1"/>
      <c r="H25" s="1"/>
      <c r="I25" s="1"/>
      <c r="J25" s="1"/>
      <c r="K25" s="1"/>
      <c r="L25" s="1"/>
    </row>
    <row r="26" spans="1:13" x14ac:dyDescent="0.25">
      <c r="C26" s="1"/>
      <c r="D26" s="4"/>
      <c r="E26" s="1"/>
      <c r="F26" s="1"/>
      <c r="G26" s="1"/>
      <c r="H26" s="1"/>
      <c r="I26" s="1"/>
      <c r="J26" s="1"/>
      <c r="K26" s="1"/>
      <c r="L26" s="1"/>
    </row>
    <row r="27" spans="1:13" x14ac:dyDescent="0.25">
      <c r="C27" s="1"/>
      <c r="D27" s="4"/>
      <c r="E27" s="1"/>
      <c r="F27" s="1"/>
      <c r="G27" s="1"/>
      <c r="H27" s="1"/>
      <c r="I27" s="1"/>
      <c r="J27" s="1"/>
      <c r="K27" s="1"/>
      <c r="L27" s="1"/>
    </row>
    <row r="28" spans="1:13" x14ac:dyDescent="0.25">
      <c r="C28" s="1"/>
      <c r="D28" s="4"/>
      <c r="E28" s="1"/>
      <c r="F28" s="1"/>
      <c r="G28" s="1"/>
      <c r="H28" s="1"/>
      <c r="I28" s="1"/>
      <c r="J28" s="1"/>
      <c r="K28" s="1"/>
      <c r="L28" s="1"/>
    </row>
    <row r="29" spans="1:13" x14ac:dyDescent="0.25">
      <c r="C29" s="1"/>
      <c r="D29" s="4"/>
      <c r="E29" s="1"/>
      <c r="F29" s="1"/>
      <c r="G29" s="1"/>
      <c r="H29" s="1"/>
      <c r="I29" s="1"/>
      <c r="J29" s="1"/>
      <c r="K29" s="1"/>
      <c r="L29" s="1"/>
    </row>
    <row r="30" spans="1:13" x14ac:dyDescent="0.25">
      <c r="C30" s="1"/>
      <c r="D30" s="4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C31" s="1"/>
      <c r="D31" s="4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3:12" x14ac:dyDescent="0.25"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3:12" x14ac:dyDescent="0.25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3:12" x14ac:dyDescent="0.25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3:12" x14ac:dyDescent="0.25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3:12" x14ac:dyDescent="0.25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3:12" x14ac:dyDescent="0.25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3:12" x14ac:dyDescent="0.25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3:12" x14ac:dyDescent="0.25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3:12" x14ac:dyDescent="0.25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3:12" x14ac:dyDescent="0.25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3:12" x14ac:dyDescent="0.25">
      <c r="C43" s="1"/>
      <c r="D43" s="4"/>
      <c r="E43" s="1"/>
      <c r="F43" s="1"/>
      <c r="G43" s="1"/>
      <c r="H43" s="1"/>
      <c r="I43" s="1"/>
      <c r="J43" s="1"/>
      <c r="K43" s="1"/>
      <c r="L43" s="1"/>
    </row>
    <row r="44" spans="3:12" x14ac:dyDescent="0.25">
      <c r="C44" s="1"/>
      <c r="D44" s="4"/>
      <c r="E44" s="1"/>
      <c r="F44" s="1"/>
      <c r="G44" s="1"/>
      <c r="H44" s="1"/>
      <c r="I44" s="1"/>
      <c r="J44" s="1"/>
      <c r="K44" s="1"/>
      <c r="L44" s="1"/>
    </row>
    <row r="45" spans="3:12" x14ac:dyDescent="0.25">
      <c r="C45" s="1"/>
      <c r="D45" s="4"/>
      <c r="E45" s="1"/>
      <c r="F45" s="1"/>
      <c r="G45" s="1"/>
      <c r="H45" s="1"/>
      <c r="I45" s="1"/>
      <c r="J45" s="1"/>
      <c r="K45" s="1"/>
      <c r="L45" s="1"/>
    </row>
    <row r="46" spans="3:12" x14ac:dyDescent="0.25">
      <c r="C46" s="1"/>
      <c r="D46" s="4"/>
      <c r="E46" s="1"/>
      <c r="F46" s="1"/>
      <c r="G46" s="1"/>
      <c r="H46" s="1"/>
      <c r="I46" s="1"/>
      <c r="J46" s="1"/>
      <c r="K46" s="1"/>
      <c r="L46" s="1"/>
    </row>
    <row r="47" spans="3:12" x14ac:dyDescent="0.25">
      <c r="C47" s="1"/>
      <c r="D47" s="4"/>
      <c r="E47" s="1"/>
      <c r="F47" s="1"/>
      <c r="G47" s="1"/>
      <c r="H47" s="1"/>
      <c r="I47" s="1"/>
      <c r="J47" s="1"/>
      <c r="K47" s="1"/>
      <c r="L47" s="1"/>
    </row>
    <row r="48" spans="3:12" x14ac:dyDescent="0.25">
      <c r="C48" s="1"/>
      <c r="D48" s="4"/>
      <c r="E48" s="1"/>
      <c r="F48" s="1"/>
      <c r="G48" s="1"/>
      <c r="H48" s="1"/>
      <c r="I48" s="1"/>
      <c r="J48" s="1"/>
      <c r="K48" s="1"/>
      <c r="L48" s="1"/>
    </row>
    <row r="49" spans="3:12" x14ac:dyDescent="0.25">
      <c r="C49" s="1"/>
      <c r="D49" s="4"/>
      <c r="E49" s="1"/>
      <c r="F49" s="1"/>
      <c r="G49" s="1"/>
      <c r="H49" s="1"/>
      <c r="I49" s="1"/>
      <c r="J49" s="1"/>
      <c r="K49" s="1"/>
      <c r="L49" s="1"/>
    </row>
    <row r="50" spans="3:12" x14ac:dyDescent="0.25">
      <c r="C50" s="1"/>
      <c r="D50" s="4"/>
      <c r="E50" s="1"/>
      <c r="F50" s="1"/>
      <c r="G50" s="1"/>
      <c r="H50" s="1"/>
      <c r="I50" s="1"/>
      <c r="J50" s="1"/>
      <c r="K50" s="1"/>
      <c r="L50" s="1"/>
    </row>
    <row r="51" spans="3:12" x14ac:dyDescent="0.25">
      <c r="C51" s="1"/>
      <c r="D51" s="4"/>
      <c r="E51" s="1"/>
      <c r="F51" s="1"/>
      <c r="G51" s="1"/>
      <c r="H51" s="1"/>
      <c r="I51" s="1"/>
      <c r="J51" s="1"/>
      <c r="K51" s="1"/>
      <c r="L51" s="1"/>
    </row>
    <row r="52" spans="3:12" x14ac:dyDescent="0.25">
      <c r="C52" s="1"/>
      <c r="D52" s="4"/>
      <c r="E52" s="1"/>
      <c r="F52" s="1"/>
      <c r="G52" s="1"/>
      <c r="H52" s="1"/>
      <c r="I52" s="1"/>
      <c r="J52" s="1"/>
      <c r="K52" s="1"/>
      <c r="L52" s="1"/>
    </row>
    <row r="53" spans="3:12" x14ac:dyDescent="0.25">
      <c r="C53" s="1"/>
      <c r="D53" s="4"/>
      <c r="E53" s="1"/>
      <c r="F53" s="1"/>
      <c r="G53" s="1"/>
      <c r="H53" s="1"/>
      <c r="I53" s="1"/>
      <c r="J53" s="1"/>
      <c r="K53" s="1"/>
      <c r="L53" s="1"/>
    </row>
    <row r="54" spans="3:12" x14ac:dyDescent="0.25">
      <c r="C54" s="1"/>
      <c r="D54" s="4"/>
      <c r="E54" s="1"/>
      <c r="F54" s="1"/>
      <c r="G54" s="1"/>
      <c r="H54" s="1"/>
      <c r="I54" s="1"/>
      <c r="J54" s="1"/>
      <c r="K54" s="1"/>
      <c r="L54" s="1"/>
    </row>
    <row r="55" spans="3:12" x14ac:dyDescent="0.25">
      <c r="C55" s="1"/>
      <c r="D55" s="4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4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4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4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4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4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4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4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4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4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4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4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4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4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4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4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4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4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4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4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4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4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4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4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4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4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4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4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4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4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4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4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4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4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4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4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4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4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4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4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4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4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4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4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4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4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4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4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4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4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4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4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4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4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4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4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4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4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4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4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4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4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4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4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4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4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4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4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4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4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4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4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4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4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4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4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4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4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4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4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4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4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4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4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4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4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4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4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4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4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4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4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4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4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4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4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4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4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4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4"/>
      <c r="E154" s="1"/>
      <c r="F154" s="1"/>
      <c r="G154" s="1"/>
      <c r="H154" s="1"/>
      <c r="I154" s="1"/>
      <c r="J154" s="1"/>
      <c r="K154" s="1"/>
      <c r="L154" s="1"/>
    </row>
    <row r="155" spans="3:12" x14ac:dyDescent="0.25">
      <c r="C155" s="1"/>
      <c r="D155" s="4"/>
      <c r="E155" s="1"/>
      <c r="F155" s="1"/>
      <c r="G155" s="1"/>
      <c r="H155" s="1"/>
      <c r="I155" s="1"/>
      <c r="J155" s="1"/>
      <c r="K155" s="1"/>
      <c r="L155" s="1"/>
    </row>
    <row r="156" spans="3:12" x14ac:dyDescent="0.25">
      <c r="C156" s="1"/>
      <c r="D156" s="4"/>
      <c r="E156" s="1"/>
      <c r="F156" s="1"/>
      <c r="G156" s="1"/>
      <c r="H156" s="1"/>
      <c r="I156" s="1"/>
      <c r="J156" s="1"/>
      <c r="K156" s="1"/>
      <c r="L156" s="1"/>
    </row>
    <row r="157" spans="3:12" x14ac:dyDescent="0.25">
      <c r="C157" s="1"/>
      <c r="D157" s="4"/>
      <c r="E157" s="1"/>
      <c r="F157" s="1"/>
      <c r="G157" s="1"/>
      <c r="H157" s="1"/>
      <c r="I157" s="1"/>
      <c r="J157" s="1"/>
      <c r="K157" s="1"/>
      <c r="L157" s="1"/>
    </row>
    <row r="158" spans="3:12" x14ac:dyDescent="0.25">
      <c r="C158" s="1"/>
      <c r="D158" s="4"/>
      <c r="E158" s="1"/>
      <c r="F158" s="1"/>
      <c r="G158" s="1"/>
      <c r="H158" s="1"/>
      <c r="I158" s="1"/>
      <c r="J158" s="1"/>
      <c r="K158" s="1"/>
      <c r="L158" s="1"/>
    </row>
    <row r="159" spans="3:12" x14ac:dyDescent="0.25">
      <c r="C159" s="1"/>
      <c r="D159" s="4"/>
      <c r="E159" s="1"/>
      <c r="F159" s="1"/>
      <c r="G159" s="1"/>
      <c r="H159" s="1"/>
      <c r="I159" s="1"/>
      <c r="J159" s="1"/>
      <c r="K159" s="1"/>
      <c r="L159" s="1"/>
    </row>
    <row r="160" spans="3:12" x14ac:dyDescent="0.25">
      <c r="C160" s="1"/>
      <c r="D160" s="4"/>
      <c r="E160" s="1"/>
      <c r="F160" s="1"/>
      <c r="G160" s="1"/>
      <c r="H160" s="1"/>
      <c r="I160" s="1"/>
      <c r="J160" s="1"/>
      <c r="K160" s="1"/>
      <c r="L160" s="1"/>
    </row>
    <row r="161" spans="3:12" x14ac:dyDescent="0.25">
      <c r="C161" s="1"/>
      <c r="D161" s="4"/>
      <c r="E161" s="1"/>
      <c r="F161" s="1"/>
      <c r="G161" s="1"/>
      <c r="H161" s="1"/>
      <c r="I161" s="1"/>
      <c r="J161" s="1"/>
      <c r="K161" s="1"/>
      <c r="L161" s="1"/>
    </row>
    <row r="162" spans="3:12" x14ac:dyDescent="0.25">
      <c r="C162" s="1"/>
      <c r="D162" s="4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4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4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4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4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4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4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4"/>
      <c r="E169" s="1"/>
      <c r="F169" s="1"/>
      <c r="G169" s="1"/>
      <c r="H169" s="1"/>
      <c r="I169" s="1"/>
      <c r="J169" s="1"/>
      <c r="K169" s="1"/>
      <c r="L169" s="1"/>
    </row>
    <row r="170" spans="3:12" x14ac:dyDescent="0.25">
      <c r="C170" s="1"/>
      <c r="D170" s="4"/>
      <c r="E170" s="1"/>
      <c r="F170" s="1"/>
      <c r="G170" s="1"/>
      <c r="H170" s="1"/>
      <c r="I170" s="1"/>
      <c r="J170" s="1"/>
      <c r="K170" s="1"/>
      <c r="L170" s="1"/>
    </row>
    <row r="171" spans="3:12" x14ac:dyDescent="0.25">
      <c r="C171" s="1"/>
      <c r="D171" s="4"/>
      <c r="E171" s="1"/>
      <c r="F171" s="1"/>
      <c r="G171" s="1"/>
      <c r="H171" s="1"/>
      <c r="I171" s="1"/>
      <c r="J171" s="1"/>
      <c r="K171" s="1"/>
      <c r="L171" s="1"/>
    </row>
    <row r="172" spans="3:12" x14ac:dyDescent="0.25">
      <c r="C172" s="1"/>
      <c r="D172" s="4"/>
      <c r="E172" s="1"/>
      <c r="F172" s="1"/>
      <c r="G172" s="1"/>
      <c r="H172" s="1"/>
      <c r="I172" s="1"/>
      <c r="J172" s="1"/>
      <c r="K172" s="1"/>
      <c r="L172" s="1"/>
    </row>
    <row r="173" spans="3:12" x14ac:dyDescent="0.25">
      <c r="C173" s="1"/>
      <c r="D173" s="4"/>
      <c r="E173" s="1"/>
      <c r="F173" s="1"/>
      <c r="G173" s="1"/>
      <c r="H173" s="1"/>
      <c r="I173" s="1"/>
      <c r="J173" s="1"/>
      <c r="K173" s="1"/>
      <c r="L173" s="1"/>
    </row>
    <row r="174" spans="3:12" x14ac:dyDescent="0.25">
      <c r="C174" s="1"/>
      <c r="D174" s="4"/>
      <c r="E174" s="1"/>
      <c r="F174" s="1"/>
      <c r="G174" s="1"/>
      <c r="H174" s="1"/>
      <c r="I174" s="1"/>
      <c r="J174" s="1"/>
      <c r="K174" s="1"/>
      <c r="L174" s="1"/>
    </row>
    <row r="175" spans="3:12" x14ac:dyDescent="0.25">
      <c r="C175" s="1"/>
      <c r="D175" s="4"/>
      <c r="E175" s="1"/>
      <c r="F175" s="1"/>
      <c r="G175" s="1"/>
      <c r="H175" s="1"/>
      <c r="I175" s="1"/>
      <c r="J175" s="1"/>
      <c r="K175" s="1"/>
      <c r="L175" s="1"/>
    </row>
    <row r="176" spans="3:12" x14ac:dyDescent="0.25">
      <c r="C176" s="1"/>
      <c r="D176" s="4"/>
      <c r="E176" s="1"/>
      <c r="F176" s="1"/>
      <c r="G176" s="1"/>
      <c r="H176" s="1"/>
      <c r="I176" s="1"/>
      <c r="J176" s="1"/>
      <c r="K176" s="1"/>
      <c r="L176" s="1"/>
    </row>
    <row r="177" spans="3:12" x14ac:dyDescent="0.25">
      <c r="C177" s="1"/>
      <c r="D177" s="4"/>
      <c r="E177" s="1"/>
      <c r="F177" s="1"/>
      <c r="G177" s="1"/>
      <c r="H177" s="1"/>
      <c r="I177" s="1"/>
      <c r="J177" s="1"/>
      <c r="K177" s="1"/>
      <c r="L177" s="1"/>
    </row>
    <row r="178" spans="3:12" x14ac:dyDescent="0.25">
      <c r="C178" s="1"/>
      <c r="D178" s="4"/>
      <c r="E178" s="1"/>
      <c r="F178" s="1"/>
      <c r="G178" s="1"/>
      <c r="H178" s="1"/>
      <c r="I178" s="1"/>
      <c r="J178" s="1"/>
      <c r="K178" s="1"/>
      <c r="L178" s="1"/>
    </row>
    <row r="179" spans="3:12" x14ac:dyDescent="0.25">
      <c r="C179" s="1"/>
      <c r="D179" s="4"/>
      <c r="E179" s="1"/>
      <c r="F179" s="1"/>
      <c r="G179" s="1"/>
      <c r="H179" s="1"/>
      <c r="I179" s="1"/>
      <c r="J179" s="1"/>
      <c r="K179" s="1"/>
      <c r="L179" s="1"/>
    </row>
    <row r="180" spans="3:12" x14ac:dyDescent="0.25">
      <c r="C180" s="1"/>
      <c r="D180" s="4"/>
      <c r="E180" s="1"/>
      <c r="F180" s="1"/>
      <c r="G180" s="1"/>
      <c r="H180" s="1"/>
      <c r="I180" s="1"/>
      <c r="J180" s="1"/>
      <c r="K180" s="1"/>
      <c r="L180" s="1"/>
    </row>
    <row r="181" spans="3:12" x14ac:dyDescent="0.25">
      <c r="C181" s="1"/>
      <c r="D181" s="4"/>
      <c r="E181" s="1"/>
      <c r="F181" s="1"/>
      <c r="G181" s="1"/>
      <c r="H181" s="1"/>
      <c r="I181" s="1"/>
      <c r="J181" s="1"/>
      <c r="K181" s="1"/>
      <c r="L181" s="1"/>
    </row>
    <row r="182" spans="3:12" x14ac:dyDescent="0.25">
      <c r="C182" s="1"/>
      <c r="D182" s="4"/>
      <c r="E182" s="1"/>
      <c r="F182" s="1"/>
      <c r="G182" s="1"/>
      <c r="H182" s="1"/>
      <c r="I182" s="1"/>
      <c r="J182" s="1"/>
      <c r="K182" s="1"/>
      <c r="L182" s="1"/>
    </row>
    <row r="183" spans="3:12" x14ac:dyDescent="0.25">
      <c r="C183" s="1"/>
      <c r="D183" s="4"/>
      <c r="E183" s="1"/>
      <c r="F183" s="1"/>
      <c r="G183" s="1"/>
      <c r="H183" s="1"/>
      <c r="I183" s="1"/>
      <c r="J183" s="1"/>
      <c r="K183" s="1"/>
      <c r="L183" s="1"/>
    </row>
    <row r="184" spans="3:12" x14ac:dyDescent="0.25">
      <c r="C184" s="1"/>
      <c r="D184" s="4"/>
      <c r="E184" s="1"/>
      <c r="F184" s="1"/>
      <c r="G184" s="1"/>
      <c r="H184" s="1"/>
      <c r="I184" s="1"/>
      <c r="J184" s="1"/>
      <c r="K184" s="1"/>
      <c r="L184" s="1"/>
    </row>
    <row r="185" spans="3:12" x14ac:dyDescent="0.25">
      <c r="C185" s="1"/>
      <c r="D185" s="4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4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4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4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4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4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4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4"/>
      <c r="E192" s="1"/>
      <c r="F192" s="1"/>
      <c r="G192" s="1"/>
      <c r="H192" s="1"/>
      <c r="I192" s="1"/>
      <c r="J192" s="1"/>
      <c r="K192" s="1"/>
      <c r="L192" s="1"/>
    </row>
    <row r="193" spans="3:12" x14ac:dyDescent="0.25">
      <c r="C193" s="1"/>
      <c r="D193" s="4"/>
      <c r="E193" s="1"/>
      <c r="F193" s="1"/>
      <c r="G193" s="1"/>
      <c r="H193" s="1"/>
      <c r="I193" s="1"/>
      <c r="J193" s="1"/>
      <c r="K193" s="1"/>
      <c r="L193" s="1"/>
    </row>
    <row r="194" spans="3:12" x14ac:dyDescent="0.25">
      <c r="C194" s="1"/>
      <c r="D194" s="4"/>
      <c r="E194" s="1"/>
      <c r="F194" s="1"/>
      <c r="G194" s="1"/>
      <c r="H194" s="1"/>
      <c r="I194" s="1"/>
      <c r="J194" s="1"/>
      <c r="K194" s="1"/>
      <c r="L194" s="1"/>
    </row>
    <row r="195" spans="3:12" x14ac:dyDescent="0.25">
      <c r="C195" s="1"/>
      <c r="D195" s="4"/>
      <c r="E195" s="1"/>
      <c r="F195" s="1"/>
      <c r="G195" s="1"/>
      <c r="H195" s="1"/>
      <c r="I195" s="1"/>
      <c r="J195" s="1"/>
      <c r="K195" s="1"/>
      <c r="L195" s="1"/>
    </row>
    <row r="196" spans="3:12" x14ac:dyDescent="0.25">
      <c r="C196" s="1"/>
      <c r="D196" s="4"/>
      <c r="E196" s="1"/>
      <c r="F196" s="1"/>
      <c r="G196" s="1"/>
      <c r="H196" s="1"/>
      <c r="I196" s="1"/>
      <c r="J196" s="1"/>
      <c r="K196" s="1"/>
      <c r="L196" s="1"/>
    </row>
    <row r="197" spans="3:12" x14ac:dyDescent="0.25">
      <c r="C197" s="1"/>
      <c r="D197" s="4"/>
      <c r="E197" s="1"/>
      <c r="F197" s="1"/>
      <c r="G197" s="1"/>
      <c r="H197" s="1"/>
      <c r="I197" s="1"/>
      <c r="J197" s="1"/>
      <c r="K197" s="1"/>
      <c r="L197" s="1"/>
    </row>
    <row r="198" spans="3:12" x14ac:dyDescent="0.25">
      <c r="C198" s="1"/>
      <c r="D198" s="4"/>
      <c r="E198" s="1"/>
      <c r="F198" s="1"/>
      <c r="G198" s="1"/>
      <c r="H198" s="1"/>
      <c r="I198" s="1"/>
      <c r="J198" s="1"/>
      <c r="K198" s="1"/>
      <c r="L198" s="1"/>
    </row>
    <row r="199" spans="3:12" x14ac:dyDescent="0.25">
      <c r="C199" s="1"/>
      <c r="D199" s="4"/>
      <c r="E199" s="1"/>
      <c r="F199" s="1"/>
      <c r="G199" s="1"/>
      <c r="H199" s="1"/>
      <c r="I199" s="1"/>
      <c r="J199" s="1"/>
      <c r="K199" s="1"/>
      <c r="L199" s="1"/>
    </row>
    <row r="200" spans="3:12" x14ac:dyDescent="0.25">
      <c r="C200" s="1"/>
      <c r="D200" s="4"/>
      <c r="E200" s="1"/>
      <c r="F200" s="1"/>
      <c r="G200" s="1"/>
      <c r="H200" s="1"/>
      <c r="I200" s="1"/>
      <c r="J200" s="1"/>
      <c r="K200" s="1"/>
      <c r="L200" s="1"/>
    </row>
    <row r="201" spans="3:12" x14ac:dyDescent="0.25">
      <c r="C201" s="1"/>
      <c r="D201" s="4"/>
      <c r="E201" s="1"/>
      <c r="F201" s="1"/>
      <c r="G201" s="1"/>
      <c r="H201" s="1"/>
      <c r="I201" s="1"/>
      <c r="J201" s="1"/>
      <c r="K201" s="1"/>
      <c r="L201" s="1"/>
    </row>
    <row r="202" spans="3:12" x14ac:dyDescent="0.25">
      <c r="C202" s="1"/>
      <c r="D202" s="4"/>
      <c r="E202" s="1"/>
      <c r="F202" s="1"/>
      <c r="G202" s="1"/>
      <c r="H202" s="1"/>
      <c r="I202" s="1"/>
      <c r="J202" s="1"/>
      <c r="K202" s="1"/>
      <c r="L202" s="1"/>
    </row>
    <row r="203" spans="3:12" x14ac:dyDescent="0.25">
      <c r="C203" s="1"/>
      <c r="D203" s="4"/>
      <c r="E203" s="1"/>
      <c r="F203" s="1"/>
      <c r="G203" s="1"/>
      <c r="H203" s="1"/>
      <c r="I203" s="1"/>
      <c r="J203" s="1"/>
      <c r="K203" s="1"/>
      <c r="L203" s="1"/>
    </row>
    <row r="204" spans="3:12" x14ac:dyDescent="0.25">
      <c r="C204" s="1"/>
      <c r="D204" s="4"/>
      <c r="E204" s="1"/>
      <c r="F204" s="1"/>
      <c r="G204" s="1"/>
      <c r="H204" s="1"/>
      <c r="I204" s="1"/>
      <c r="J204" s="1"/>
      <c r="K204" s="1"/>
      <c r="L204" s="1"/>
    </row>
    <row r="205" spans="3:12" x14ac:dyDescent="0.25">
      <c r="C205" s="1"/>
      <c r="D205" s="4"/>
      <c r="E205" s="1"/>
      <c r="F205" s="1"/>
      <c r="G205" s="1"/>
      <c r="H205" s="1"/>
      <c r="I205" s="1"/>
      <c r="J205" s="1"/>
      <c r="K205" s="1"/>
      <c r="L205" s="1"/>
    </row>
    <row r="206" spans="3:12" x14ac:dyDescent="0.25">
      <c r="C206" s="1"/>
      <c r="D206" s="4"/>
      <c r="E206" s="1"/>
      <c r="F206" s="1"/>
      <c r="G206" s="1"/>
      <c r="H206" s="1"/>
      <c r="I206" s="1"/>
      <c r="J206" s="1"/>
      <c r="K206" s="1"/>
      <c r="L206" s="1"/>
    </row>
    <row r="207" spans="3:12" x14ac:dyDescent="0.25">
      <c r="C207" s="1"/>
      <c r="D207" s="4"/>
      <c r="E207" s="1"/>
      <c r="F207" s="1"/>
      <c r="G207" s="1"/>
      <c r="H207" s="1"/>
      <c r="I207" s="1"/>
      <c r="J207" s="1"/>
      <c r="K207" s="1"/>
      <c r="L207" s="1"/>
    </row>
    <row r="208" spans="3:12" x14ac:dyDescent="0.25">
      <c r="C208" s="1"/>
      <c r="D208" s="4"/>
      <c r="E208" s="1"/>
      <c r="F208" s="1"/>
      <c r="G208" s="1"/>
      <c r="H208" s="1"/>
      <c r="I208" s="1"/>
      <c r="J208" s="1"/>
      <c r="K208" s="1"/>
      <c r="L208" s="1"/>
    </row>
    <row r="209" spans="3:12" x14ac:dyDescent="0.25">
      <c r="C209" s="1"/>
      <c r="D209" s="4"/>
      <c r="E209" s="1"/>
      <c r="F209" s="1"/>
      <c r="G209" s="1"/>
      <c r="H209" s="1"/>
      <c r="I209" s="1"/>
      <c r="J209" s="1"/>
      <c r="K209" s="1"/>
      <c r="L209" s="1"/>
    </row>
    <row r="210" spans="3:12" x14ac:dyDescent="0.25">
      <c r="C210" s="1"/>
      <c r="D210" s="4"/>
      <c r="E210" s="1"/>
      <c r="F210" s="1"/>
      <c r="G210" s="1"/>
      <c r="H210" s="1"/>
      <c r="I210" s="1"/>
      <c r="J210" s="1"/>
      <c r="K210" s="1"/>
      <c r="L210" s="1"/>
    </row>
    <row r="211" spans="3:12" x14ac:dyDescent="0.25">
      <c r="C211" s="1"/>
      <c r="D211" s="4"/>
      <c r="E211" s="1"/>
      <c r="F211" s="1"/>
      <c r="G211" s="1"/>
      <c r="H211" s="1"/>
      <c r="I211" s="1"/>
      <c r="J211" s="1"/>
      <c r="K211" s="1"/>
      <c r="L211" s="1"/>
    </row>
    <row r="212" spans="3:12" x14ac:dyDescent="0.25">
      <c r="C212" s="1"/>
      <c r="D212" s="4"/>
      <c r="E212" s="1"/>
      <c r="F212" s="1"/>
      <c r="G212" s="1"/>
      <c r="H212" s="1"/>
      <c r="I212" s="1"/>
      <c r="J212" s="1"/>
      <c r="K212" s="1"/>
      <c r="L212" s="1"/>
    </row>
    <row r="213" spans="3:12" x14ac:dyDescent="0.25">
      <c r="C213" s="1"/>
      <c r="D213" s="4"/>
      <c r="E213" s="1"/>
      <c r="F213" s="1"/>
      <c r="G213" s="1"/>
      <c r="H213" s="1"/>
      <c r="I213" s="1"/>
      <c r="J213" s="1"/>
      <c r="K213" s="1"/>
      <c r="L213" s="1"/>
    </row>
    <row r="214" spans="3:12" x14ac:dyDescent="0.25">
      <c r="C214" s="1"/>
      <c r="D214" s="4"/>
      <c r="E214" s="1"/>
      <c r="F214" s="1"/>
      <c r="G214" s="1"/>
      <c r="H214" s="1"/>
      <c r="I214" s="1"/>
      <c r="J214" s="1"/>
      <c r="K214" s="1"/>
      <c r="L214" s="1"/>
    </row>
    <row r="215" spans="3:12" x14ac:dyDescent="0.25">
      <c r="C215" s="1"/>
      <c r="D215" s="4"/>
      <c r="E215" s="1"/>
      <c r="F215" s="1"/>
      <c r="G215" s="1"/>
      <c r="H215" s="1"/>
      <c r="I215" s="1"/>
      <c r="J215" s="1"/>
      <c r="K215" s="1"/>
      <c r="L215" s="1"/>
    </row>
    <row r="216" spans="3:12" x14ac:dyDescent="0.25">
      <c r="C216" s="1"/>
      <c r="D216" s="4"/>
      <c r="E216" s="1"/>
      <c r="F216" s="1"/>
      <c r="G216" s="1"/>
      <c r="H216" s="1"/>
      <c r="I216" s="1"/>
      <c r="J216" s="1"/>
      <c r="K216" s="1"/>
      <c r="L216" s="1"/>
    </row>
    <row r="217" spans="3:12" x14ac:dyDescent="0.25">
      <c r="C217" s="1"/>
      <c r="D217" s="4"/>
      <c r="E217" s="1"/>
      <c r="F217" s="1"/>
      <c r="G217" s="1"/>
      <c r="H217" s="1"/>
      <c r="I217" s="1"/>
      <c r="J217" s="1"/>
      <c r="K217" s="1"/>
      <c r="L217" s="1"/>
    </row>
    <row r="218" spans="3:12" x14ac:dyDescent="0.25">
      <c r="C218" s="1"/>
      <c r="D218" s="4"/>
      <c r="E218" s="1"/>
      <c r="F218" s="1"/>
      <c r="G218" s="1"/>
      <c r="H218" s="1"/>
      <c r="I218" s="1"/>
      <c r="J218" s="1"/>
      <c r="K218" s="1"/>
      <c r="L218" s="1"/>
    </row>
    <row r="219" spans="3:12" x14ac:dyDescent="0.25">
      <c r="C219" s="1"/>
      <c r="D219" s="4"/>
      <c r="E219" s="1"/>
      <c r="F219" s="1"/>
      <c r="G219" s="1"/>
      <c r="H219" s="1"/>
      <c r="I219" s="1"/>
      <c r="J219" s="1"/>
      <c r="K219" s="1"/>
      <c r="L219" s="1"/>
    </row>
    <row r="220" spans="3:12" x14ac:dyDescent="0.25">
      <c r="C220" s="1"/>
      <c r="D220" s="4"/>
      <c r="E220" s="1"/>
      <c r="F220" s="1"/>
      <c r="G220" s="1"/>
      <c r="H220" s="1"/>
      <c r="I220" s="1"/>
      <c r="J220" s="1"/>
      <c r="K220" s="1"/>
      <c r="L220" s="1"/>
    </row>
    <row r="221" spans="3:12" x14ac:dyDescent="0.25">
      <c r="C221" s="1"/>
      <c r="D221" s="4"/>
      <c r="E221" s="1"/>
      <c r="F221" s="1"/>
      <c r="G221" s="1"/>
      <c r="H221" s="1"/>
      <c r="I221" s="1"/>
      <c r="J221" s="1"/>
      <c r="K221" s="1"/>
      <c r="L221" s="1"/>
    </row>
    <row r="222" spans="3:12" x14ac:dyDescent="0.25">
      <c r="C222" s="1"/>
      <c r="D222" s="4"/>
      <c r="E222" s="1"/>
      <c r="F222" s="1"/>
      <c r="G222" s="1"/>
      <c r="H222" s="1"/>
      <c r="I222" s="1"/>
      <c r="J222" s="1"/>
      <c r="K222" s="1"/>
      <c r="L222" s="1"/>
    </row>
    <row r="223" spans="3:12" x14ac:dyDescent="0.25">
      <c r="C223" s="1"/>
      <c r="D223" s="4"/>
      <c r="E223" s="1"/>
      <c r="F223" s="1"/>
      <c r="G223" s="1"/>
      <c r="H223" s="1"/>
      <c r="I223" s="1"/>
      <c r="J223" s="1"/>
      <c r="K223" s="1"/>
      <c r="L223" s="1"/>
    </row>
    <row r="224" spans="3:12" x14ac:dyDescent="0.25">
      <c r="C224" s="1"/>
      <c r="D224" s="4"/>
      <c r="E224" s="1"/>
      <c r="F224" s="1"/>
      <c r="G224" s="1"/>
      <c r="H224" s="1"/>
      <c r="I224" s="1"/>
      <c r="J224" s="1"/>
      <c r="K224" s="1"/>
      <c r="L224" s="1"/>
    </row>
    <row r="225" spans="3:12" x14ac:dyDescent="0.25">
      <c r="C225" s="1"/>
      <c r="D225" s="4"/>
      <c r="E225" s="1"/>
      <c r="F225" s="1"/>
      <c r="G225" s="1"/>
      <c r="H225" s="1"/>
      <c r="I225" s="1"/>
      <c r="J225" s="1"/>
      <c r="K225" s="1"/>
      <c r="L225" s="1"/>
    </row>
    <row r="226" spans="3:12" x14ac:dyDescent="0.25">
      <c r="C226" s="1"/>
      <c r="D226" s="4"/>
      <c r="E226" s="1"/>
      <c r="F226" s="1"/>
      <c r="G226" s="1"/>
      <c r="H226" s="1"/>
      <c r="I226" s="1"/>
      <c r="J226" s="1"/>
      <c r="K226" s="1"/>
      <c r="L226" s="1"/>
    </row>
    <row r="227" spans="3:12" x14ac:dyDescent="0.25">
      <c r="C227" s="1"/>
      <c r="D227" s="4"/>
      <c r="E227" s="1"/>
      <c r="F227" s="1"/>
      <c r="G227" s="1"/>
      <c r="H227" s="1"/>
      <c r="I227" s="1"/>
      <c r="J227" s="1"/>
      <c r="K227" s="1"/>
      <c r="L227" s="1"/>
    </row>
    <row r="228" spans="3:12" x14ac:dyDescent="0.25">
      <c r="C228" s="1"/>
      <c r="D228" s="4"/>
      <c r="E228" s="1"/>
      <c r="F228" s="1"/>
      <c r="G228" s="1"/>
      <c r="H228" s="1"/>
      <c r="I228" s="1"/>
      <c r="J228" s="1"/>
      <c r="K228" s="1"/>
      <c r="L228" s="1"/>
    </row>
    <row r="229" spans="3:12" x14ac:dyDescent="0.25">
      <c r="C229" s="1"/>
      <c r="D229" s="4"/>
      <c r="E229" s="1"/>
      <c r="F229" s="1"/>
      <c r="G229" s="1"/>
      <c r="H229" s="1"/>
      <c r="I229" s="1"/>
      <c r="J229" s="1"/>
      <c r="K229" s="1"/>
      <c r="L229" s="1"/>
    </row>
    <row r="230" spans="3:12" x14ac:dyDescent="0.25">
      <c r="C230" s="1"/>
      <c r="D230" s="4"/>
      <c r="E230" s="1"/>
      <c r="F230" s="1"/>
      <c r="G230" s="1"/>
      <c r="H230" s="1"/>
      <c r="I230" s="1"/>
      <c r="J230" s="1"/>
      <c r="K230" s="1"/>
      <c r="L230" s="1"/>
    </row>
    <row r="231" spans="3:12" x14ac:dyDescent="0.25">
      <c r="C231" s="1"/>
      <c r="D231" s="4"/>
      <c r="E231" s="1"/>
      <c r="F231" s="1"/>
      <c r="G231" s="1"/>
      <c r="H231" s="1"/>
      <c r="I231" s="1"/>
      <c r="J231" s="1"/>
      <c r="K231" s="1"/>
      <c r="L231" s="1"/>
    </row>
    <row r="232" spans="3:12" x14ac:dyDescent="0.25">
      <c r="C232" s="1"/>
      <c r="D232" s="4"/>
      <c r="E232" s="1"/>
      <c r="F232" s="1"/>
      <c r="G232" s="1"/>
      <c r="H232" s="1"/>
      <c r="I232" s="1"/>
      <c r="J232" s="1"/>
      <c r="K232" s="1"/>
      <c r="L232" s="1"/>
    </row>
    <row r="233" spans="3:12" x14ac:dyDescent="0.25">
      <c r="C233" s="1"/>
      <c r="D233" s="4"/>
      <c r="E233" s="1"/>
      <c r="F233" s="1"/>
      <c r="G233" s="1"/>
      <c r="H233" s="1"/>
      <c r="I233" s="1"/>
      <c r="J233" s="1"/>
      <c r="K233" s="1"/>
      <c r="L233" s="1"/>
    </row>
    <row r="234" spans="3:12" x14ac:dyDescent="0.25">
      <c r="C234" s="1"/>
      <c r="D234" s="4"/>
      <c r="E234" s="1"/>
      <c r="F234" s="1"/>
      <c r="G234" s="1"/>
      <c r="H234" s="1"/>
      <c r="I234" s="1"/>
      <c r="J234" s="1"/>
      <c r="K234" s="1"/>
      <c r="L234" s="1"/>
    </row>
    <row r="235" spans="3:12" x14ac:dyDescent="0.25">
      <c r="C235" s="1"/>
      <c r="D235" s="4"/>
      <c r="E235" s="1"/>
      <c r="F235" s="1"/>
      <c r="G235" s="1"/>
      <c r="H235" s="1"/>
      <c r="I235" s="1"/>
      <c r="J235" s="1"/>
      <c r="K235" s="1"/>
      <c r="L235" s="1"/>
    </row>
    <row r="236" spans="3:12" x14ac:dyDescent="0.25">
      <c r="C236" s="1"/>
      <c r="D236" s="4"/>
      <c r="E236" s="1"/>
      <c r="F236" s="1"/>
      <c r="G236" s="1"/>
      <c r="H236" s="1"/>
      <c r="I236" s="1"/>
      <c r="J236" s="1"/>
      <c r="K236" s="1"/>
      <c r="L236" s="1"/>
    </row>
    <row r="237" spans="3:12" x14ac:dyDescent="0.25">
      <c r="C237" s="1"/>
      <c r="D237" s="4"/>
      <c r="E237" s="1"/>
      <c r="F237" s="1"/>
      <c r="G237" s="1"/>
      <c r="H237" s="1"/>
      <c r="I237" s="1"/>
      <c r="J237" s="1"/>
      <c r="K237" s="1"/>
      <c r="L237" s="1"/>
    </row>
    <row r="238" spans="3:12" x14ac:dyDescent="0.25">
      <c r="C238" s="1"/>
      <c r="D238" s="4"/>
      <c r="E238" s="1"/>
      <c r="F238" s="1"/>
      <c r="G238" s="1"/>
      <c r="H238" s="1"/>
      <c r="I238" s="1"/>
      <c r="J238" s="1"/>
      <c r="K238" s="1"/>
      <c r="L238" s="1"/>
    </row>
    <row r="239" spans="3:12" x14ac:dyDescent="0.25">
      <c r="C239" s="1"/>
      <c r="D239" s="4"/>
      <c r="E239" s="1"/>
      <c r="F239" s="1"/>
      <c r="G239" s="1"/>
      <c r="H239" s="1"/>
      <c r="I239" s="1"/>
      <c r="J239" s="1"/>
      <c r="K239" s="1"/>
      <c r="L239" s="1"/>
    </row>
    <row r="240" spans="3:12" x14ac:dyDescent="0.25">
      <c r="C240" s="1"/>
      <c r="D240" s="4"/>
      <c r="E240" s="1"/>
      <c r="F240" s="1"/>
      <c r="G240" s="1"/>
      <c r="H240" s="1"/>
      <c r="I240" s="1"/>
      <c r="J240" s="1"/>
      <c r="K240" s="1"/>
      <c r="L240" s="1"/>
    </row>
    <row r="241" spans="3:12" x14ac:dyDescent="0.25">
      <c r="C241" s="1"/>
      <c r="D241" s="4"/>
      <c r="E241" s="1"/>
      <c r="F241" s="1"/>
      <c r="G241" s="1"/>
      <c r="H241" s="1"/>
      <c r="I241" s="1"/>
      <c r="J241" s="1"/>
      <c r="K241" s="1"/>
      <c r="L241" s="1"/>
    </row>
  </sheetData>
  <mergeCells count="38">
    <mergeCell ref="C21:D21"/>
    <mergeCell ref="E21:F21"/>
    <mergeCell ref="G21:H21"/>
    <mergeCell ref="I21:J21"/>
    <mergeCell ref="K21:L21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18:D18"/>
    <mergeCell ref="E18:F18"/>
    <mergeCell ref="G18:H18"/>
    <mergeCell ref="I18:J18"/>
    <mergeCell ref="K18:L18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A5:M5"/>
    <mergeCell ref="A6:M6"/>
    <mergeCell ref="A7:M7"/>
    <mergeCell ref="A8:M8"/>
    <mergeCell ref="D11:H11"/>
    <mergeCell ref="J11:L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as TIC</vt:lpstr>
      <vt:lpstr>Election &amp; NLC</vt:lpstr>
      <vt:lpstr>CTO (2)</vt:lpstr>
      <vt:lpstr>Sheet1</vt:lpstr>
      <vt:lpstr>'CTO (2)'!Print_Area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2025-07-17T01:20:33Z</cp:lastPrinted>
  <dcterms:created xsi:type="dcterms:W3CDTF">2022-11-24T07:01:13Z</dcterms:created>
  <dcterms:modified xsi:type="dcterms:W3CDTF">2025-07-17T01:23:10Z</dcterms:modified>
</cp:coreProperties>
</file>