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BC6AF73-D3C1-4B46-959F-73280017996A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VALIENTE" sheetId="8" r:id="rId1"/>
    <sheet name="Sheet1" sheetId="9" r:id="rId2"/>
  </sheets>
  <definedNames>
    <definedName name="_xlnm.Print_Area" localSheetId="0">VALIENTE!$A$1:$J$76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8" l="1"/>
  <c r="I66" i="8"/>
  <c r="J66" i="8"/>
  <c r="H67" i="8"/>
  <c r="I67" i="8"/>
  <c r="J67" i="8"/>
  <c r="B15" i="8"/>
  <c r="I14" i="8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H14" i="8"/>
  <c r="H15" i="8" l="1"/>
  <c r="H16" i="8" s="1"/>
  <c r="H17" i="8" s="1"/>
  <c r="H18" i="8" s="1"/>
  <c r="H19" i="8" s="1"/>
  <c r="H20" i="8" s="1"/>
  <c r="H21" i="8" s="1"/>
  <c r="H22" i="8" s="1"/>
  <c r="H23" i="8" s="1"/>
  <c r="I30" i="8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J14" i="8"/>
  <c r="J15" i="8" l="1"/>
  <c r="J22" i="8"/>
  <c r="J16" i="8"/>
  <c r="J17" i="8"/>
  <c r="J19" i="8"/>
  <c r="J23" i="8"/>
  <c r="H24" i="8"/>
  <c r="J21" i="8"/>
  <c r="J20" i="8"/>
  <c r="J18" i="8"/>
  <c r="H25" i="8" l="1"/>
  <c r="J24" i="8"/>
  <c r="H26" i="8" l="1"/>
  <c r="J25" i="8"/>
  <c r="H27" i="8" l="1"/>
  <c r="J26" i="8"/>
  <c r="J27" i="8" l="1"/>
  <c r="H28" i="8"/>
  <c r="H29" i="8" l="1"/>
  <c r="J28" i="8"/>
  <c r="H30" i="8" l="1"/>
  <c r="J29" i="8"/>
  <c r="H31" i="8" l="1"/>
  <c r="J30" i="8"/>
  <c r="H32" i="8" l="1"/>
  <c r="J31" i="8"/>
  <c r="J32" i="8" l="1"/>
  <c r="H33" i="8"/>
  <c r="H34" i="8" l="1"/>
  <c r="J33" i="8"/>
  <c r="J34" i="8" l="1"/>
  <c r="H35" i="8"/>
  <c r="J35" i="8" l="1"/>
  <c r="H36" i="8"/>
  <c r="J36" i="8" l="1"/>
  <c r="H37" i="8"/>
  <c r="J37" i="8" l="1"/>
  <c r="H38" i="8"/>
  <c r="J38" i="8" l="1"/>
  <c r="H39" i="8"/>
  <c r="H40" i="8" l="1"/>
  <c r="J39" i="8"/>
  <c r="H41" i="8" l="1"/>
  <c r="J40" i="8"/>
  <c r="H42" i="8" l="1"/>
  <c r="J41" i="8"/>
  <c r="J42" i="8" l="1"/>
  <c r="H43" i="8"/>
  <c r="J43" i="8" l="1"/>
  <c r="H44" i="8"/>
  <c r="J44" i="8" l="1"/>
  <c r="H45" i="8"/>
  <c r="J45" i="8" l="1"/>
  <c r="H46" i="8"/>
  <c r="J46" i="8" l="1"/>
  <c r="H47" i="8"/>
  <c r="J47" i="8" l="1"/>
  <c r="H48" i="8"/>
  <c r="H49" i="8" l="1"/>
  <c r="J48" i="8"/>
  <c r="J49" i="8" l="1"/>
  <c r="H50" i="8"/>
  <c r="H51" i="8" s="1"/>
  <c r="J51" i="8" l="1"/>
  <c r="H52" i="8"/>
  <c r="J50" i="8"/>
  <c r="J52" i="8" l="1"/>
  <c r="H53" i="8"/>
  <c r="J53" i="8" l="1"/>
  <c r="H54" i="8"/>
  <c r="J54" i="8" l="1"/>
  <c r="H55" i="8"/>
  <c r="J55" i="8" l="1"/>
  <c r="H56" i="8"/>
  <c r="J56" i="8" l="1"/>
  <c r="H57" i="8"/>
  <c r="J57" i="8" l="1"/>
  <c r="H58" i="8"/>
  <c r="H59" i="8" l="1"/>
  <c r="J58" i="8"/>
  <c r="J59" i="8" l="1"/>
  <c r="H60" i="8"/>
  <c r="J60" i="8" l="1"/>
  <c r="H61" i="8"/>
  <c r="J61" i="8" l="1"/>
  <c r="H62" i="8"/>
  <c r="H63" i="8" l="1"/>
  <c r="J62" i="8"/>
  <c r="J63" i="8" l="1"/>
  <c r="H64" i="8"/>
  <c r="H65" i="8" l="1"/>
  <c r="J65" i="8" s="1"/>
  <c r="J64" i="8"/>
</calcChain>
</file>

<file path=xl/sharedStrings.xml><?xml version="1.0" encoding="utf-8"?>
<sst xmlns="http://schemas.openxmlformats.org/spreadsheetml/2006/main" count="116" uniqueCount="98">
  <si>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</si>
  <si>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</si>
  <si>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</si>
  <si>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</si>
  <si>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</si>
  <si>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</si>
  <si>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</si>
  <si>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</si>
  <si>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</si>
  <si>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</si>
  <si>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</si>
  <si>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</si>
  <si>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</si>
  <si>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APPOINTMENT: JANUARY 3, 2022</t>
  </si>
  <si>
    <t>ADD: 01/03/2022- 01/31/2022</t>
  </si>
  <si>
    <t>ADD: 02/01/2022- 07/31/2022</t>
  </si>
  <si>
    <t>LESS: 08/25 &amp; 26/2022</t>
  </si>
  <si>
    <t>ADD: 08/01/2022- 10/31/2022</t>
  </si>
  <si>
    <t>LESS: 12/01 &amp; 02/2022</t>
  </si>
  <si>
    <t>LESS: 12/ 02/2022</t>
  </si>
  <si>
    <t>ADD: 11/01/2022- 11/30/2022</t>
  </si>
  <si>
    <t>LESS: 12/ 22, 23, 28 &amp; 29/2022</t>
  </si>
  <si>
    <t>ADD: 12/01/2022- 12/31/2022</t>
  </si>
  <si>
    <t>ADD: 01/01/2023- 02/28/2023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</si>
  <si>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</si>
  <si>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</si>
  <si>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</si>
  <si>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</si>
  <si>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</si>
  <si>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</si>
  <si>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</si>
  <si>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LESS: 04/ 11 &amp; 12/2023</t>
  </si>
  <si>
    <t>LESS: 04/13 &amp; 14/2023</t>
  </si>
  <si>
    <t>ADD: 03/01/2023- 03/31/2023</t>
  </si>
  <si>
    <t>LESS: 04/17/2023</t>
  </si>
  <si>
    <t>ADD: 04/01/2023- 06/30/2023</t>
  </si>
  <si>
    <t>LESS: 06/30/2023</t>
  </si>
  <si>
    <t>ADD: 07/01/2023- 08/31/2023</t>
  </si>
  <si>
    <t>LESS: 08/11/2023</t>
  </si>
  <si>
    <t>LESS: MONETIZATION 2023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</si>
  <si>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</si>
  <si>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</si>
  <si>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</si>
  <si>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</si>
  <si>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</si>
  <si>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</si>
  <si>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</si>
  <si>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</si>
  <si>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</si>
  <si>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</si>
  <si>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10/11/2023</t>
  </si>
  <si>
    <t>SO # 108, S.2023, BRIGADA ESKWELA AND OPLAN BALIK ESKWELA 2023</t>
  </si>
  <si>
    <t>ADD: 11/17/2023</t>
  </si>
  <si>
    <t>SO # 159, S.2023, 125TH PHILIPPINE INDEPENDENCE DAY CELEBRATION</t>
  </si>
  <si>
    <t>LESS: 11/23-24/2023</t>
  </si>
  <si>
    <t>SO # 108, S.2023, BRIGADA ESKWELA AND OPLAN BALIK ESKWELA 2023 AND SO # 159, S.2023, 125TH PHILIPPINE INDEPENDENCE DAY CELEBRATION</t>
  </si>
  <si>
    <t>ADD: 09/01/2023-10/31/2023</t>
  </si>
  <si>
    <t>LESS: 11/21-22/2023</t>
  </si>
  <si>
    <t>LESS: 12/01/2023</t>
  </si>
  <si>
    <t>ADD: 11/01/2023-11/30/2023</t>
  </si>
  <si>
    <t>LESS: 12/6/2023</t>
  </si>
  <si>
    <t>ADD: 12/01/2023-12/31/2023</t>
  </si>
  <si>
    <t>ADD: 01/01/2024-01/31/2024</t>
  </si>
  <si>
    <t>LESS: 02/08/2024</t>
  </si>
  <si>
    <t>ADD: 02/01/2024-02/29/2024</t>
  </si>
  <si>
    <t>LESS: 02/16/2024</t>
  </si>
  <si>
    <t>LESS: 04/26/2024</t>
  </si>
  <si>
    <t>ADD: 04/1-30/2024</t>
  </si>
  <si>
    <t>LESS: 06/20-21/2024</t>
  </si>
  <si>
    <t>LESS: 06/18-19/2024</t>
  </si>
  <si>
    <t>ADD: 05/1-31/2024</t>
  </si>
  <si>
    <t>LESS: 06/14/2024</t>
  </si>
  <si>
    <t>ADD: 06/19/2024</t>
  </si>
  <si>
    <t>SO # 024, S.2024, 126TH PHILIPPINE INDEPENDENCE DAY CELEBRATION</t>
  </si>
  <si>
    <t>LESS: 07/18/2024</t>
  </si>
  <si>
    <t>LESS: 08/27-28/2024</t>
  </si>
  <si>
    <t>ADD: 08/1/2024-09/30/2024</t>
  </si>
  <si>
    <t>LESS: 10/10/2024</t>
  </si>
  <si>
    <t>ADD: 10/1-31/2024</t>
  </si>
  <si>
    <t>LESS: 11/25/2024</t>
  </si>
  <si>
    <t>ADD: 11/1-30/2024</t>
  </si>
  <si>
    <t>LESS: MONETIZATION 2024</t>
  </si>
  <si>
    <t>ADD: 12/1-31/2024</t>
  </si>
  <si>
    <t>LESS: 01/23/2025</t>
  </si>
  <si>
    <t>ADD: 01/1-31/2025</t>
  </si>
  <si>
    <t>LESS: 02/3-6/2025</t>
  </si>
  <si>
    <t>ADD:</t>
  </si>
  <si>
    <t>SO # 059, S.2024, DEPED ACTIVITIES &amp; TRAININGS FOR SY 2024-2025</t>
  </si>
  <si>
    <t>LESS:06/9/2025</t>
  </si>
  <si>
    <t>ADD: 02/1/2025-08/31/2025</t>
  </si>
  <si>
    <t>LESS: MONETIZATION 2025</t>
  </si>
  <si>
    <t>ADD: 03/1-31/2024</t>
  </si>
  <si>
    <t>ADD: 06/1/2024-07/31/2024</t>
  </si>
  <si>
    <t>NEGROS ISLAND REGION</t>
  </si>
  <si>
    <t>LESS: 09/1-3/2025</t>
  </si>
  <si>
    <t>LESS: 08/28-29/2025</t>
  </si>
  <si>
    <t>ADD: 09/1-30/2025</t>
  </si>
  <si>
    <t>LESS: 10/21-23/2025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</si>
</sst>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0" borderId="0" xfId="0" applyFont="1"/>
    <xf numFmtId="0" fontId="0" fillId="2" borderId="6" xfId="0" applyFill="1" applyBorder="1" applyAlignment="1">
      <alignment horizontal="center" vertical="center" wrapText="1"/>
    </xf>
    <xf numFmtId="0" fontId="5" fillId="2" borderId="0" xfId="0" applyFont="1" applyFill="1"/>
    <xf numFmtId="0" fontId="4" fillId="2" borderId="0" xfId="0" applyFont="1" applyFill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10" borderId="16" xfId="0" applyNumberForma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 wrapText="1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0</xdr:row>
      <xdr:rowOff>44450</xdr:rowOff>
    </xdr:from>
    <xdr:to>
      <xdr:col>4</xdr:col>
      <xdr:colOff>419100</xdr:colOff>
      <xdr:row>0</xdr:row>
      <xdr:rowOff>647700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2980-A22F-4F37-8F7E-84FE47C479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4450"/>
          <a:ext cx="600075" cy="6032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342900</xdr:colOff>
      <xdr:row>69</xdr:row>
      <xdr:rowOff>123825</xdr:rowOff>
    </xdr:from>
    <xdr:to>
      <xdr:col>9</xdr:col>
      <xdr:colOff>742950</xdr:colOff>
      <xdr:row>74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5467350" y="13411200"/>
          <a:ext cx="348615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788B22-3C10-4476-AA2D-002AF954B44F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ASCILA S. VALIENTE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D7255D-CFBB-4989-A435-93462448315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5AA66A-31C8-4A71-8902-3F88E388E136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45584</xdr:colOff>
      <xdr:row>0</xdr:row>
      <xdr:rowOff>179389</xdr:rowOff>
    </xdr:from>
    <xdr:to>
      <xdr:col>5</xdr:col>
      <xdr:colOff>193675</xdr:colOff>
      <xdr:row>4</xdr:row>
      <xdr:rowOff>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41B12-76D3-484A-A59E-838327243F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4634" y="17938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D29D74-7C94-46FC-8B0B-AEC14948A1D6}"/>
            </a:ext>
          </a:extLst>
        </xdr:cNvPr>
        <xdr:cNvSpPr txBox="1"/>
      </xdr:nvSpPr>
      <xdr:spPr>
        <a:xfrm>
          <a:off x="654051" y="1676401"/>
          <a:ext cx="7810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DC4DDB-1B34-4CA8-837B-8095254F87EE}"/>
            </a:ext>
          </a:extLst>
        </xdr:cNvPr>
        <xdr:cNvSpPr txBox="1"/>
      </xdr:nvSpPr>
      <xdr:spPr>
        <a:xfrm>
          <a:off x="3746273" y="169976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  <xdr:twoCellAnchor>
    <xdr:from>
      <xdr:col>0</xdr:col>
      <xdr:colOff>562183</xdr:colOff>
      <xdr:row>7</xdr:row>
      <xdr:rowOff>148618</xdr:rowOff>
    </xdr:from>
    <xdr:to>
      <xdr:col>1</xdr:col>
      <xdr:colOff>1065797</xdr:colOff>
      <xdr:row>9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458A08-D07F-40DF-A000-3F8C313A28CA}"/>
            </a:ext>
          </a:extLst>
        </xdr:cNvPr>
        <xdr:cNvSpPr txBox="1"/>
      </xdr:nvSpPr>
      <xdr:spPr>
        <a:xfrm>
          <a:off x="562183" y="1348768"/>
          <a:ext cx="1941889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VALIENTE, ASCILA 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E6E-5FD9-4E30-B981-22326D257E22}">
  <sheetPr>
    <pageSetUpPr fitToPage="1"/>
  </sheetPr>
  <dimension ref="A1:J73"/>
  <sheetViews>
    <sheetView tabSelected="1" view="pageBreakPreview" topLeftCell="A49" zoomScaleNormal="100" zoomScaleSheetLayoutView="100" workbookViewId="0">
      <selection activeCell="A66" sqref="A66:XFD66"/>
    </sheetView>
  </sheetViews>
  <sheetFormatPr defaultRowHeight="15" x14ac:dyDescent="0.25"/>
  <cols>
    <col min="1" max="1" width="30.5703125" customWidth="1"/>
    <col min="2" max="10" width="11.5703125" customWidth="1"/>
  </cols>
  <sheetData>
    <row r="1" spans="1:10" s="1" customFormat="1" ht="52.5" customHeight="1" x14ac:dyDescent="0.25">
      <c r="B1"/>
      <c r="C1"/>
      <c r="D1"/>
      <c r="E1"/>
      <c r="F1"/>
      <c r="H1"/>
      <c r="I1"/>
    </row>
    <row r="2" spans="1:10" s="1" customFormat="1" ht="10.5" customHeight="1" x14ac:dyDescent="0.25">
      <c r="A2" s="36" t="s">
        <v>9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s="1" customFormat="1" ht="15.95" customHeight="1" x14ac:dyDescent="0.25">
      <c r="A3" s="36" t="s">
        <v>10</v>
      </c>
      <c r="B3" s="36"/>
      <c r="C3" s="36"/>
      <c r="D3" s="36"/>
      <c r="E3" s="36"/>
      <c r="F3" s="36"/>
      <c r="G3" s="36"/>
      <c r="H3" s="36"/>
      <c r="I3" s="36"/>
      <c r="J3" s="36"/>
    </row>
    <row r="4" spans="1:10" s="1" customFormat="1" ht="15.95" customHeight="1" x14ac:dyDescent="0.25">
      <c r="A4" s="36" t="s">
        <v>93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s="1" customFormat="1" ht="15.95" customHeight="1" x14ac:dyDescent="0.25">
      <c r="A5" s="36" t="s">
        <v>12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s="1" customFormat="1" ht="8.25" customHeight="1" x14ac:dyDescent="0.25">
      <c r="B6"/>
      <c r="C6"/>
      <c r="D6"/>
      <c r="E6"/>
      <c r="F6"/>
      <c r="H6"/>
      <c r="I6"/>
    </row>
    <row r="7" spans="1:10" s="1" customFormat="1" ht="12" customHeight="1" x14ac:dyDescent="0.25">
      <c r="A7" s="1" t="s">
        <v>24</v>
      </c>
      <c r="B7" s="34" t="s">
        <v>25</v>
      </c>
      <c r="C7" s="34"/>
      <c r="D7" s="34"/>
      <c r="E7"/>
      <c r="F7"/>
      <c r="H7" s="20" t="s">
        <v>26</v>
      </c>
      <c r="I7" s="21"/>
      <c r="J7" s="3"/>
    </row>
    <row r="8" spans="1:10" s="1" customFormat="1" ht="12" customHeight="1" x14ac:dyDescent="0.25">
      <c r="B8" s="22"/>
      <c r="C8" s="22"/>
      <c r="D8"/>
      <c r="E8"/>
      <c r="F8"/>
      <c r="H8" s="22"/>
      <c r="I8" s="22"/>
      <c r="J8" s="2"/>
    </row>
    <row r="9" spans="1:10" s="1" customFormat="1" ht="12" customHeight="1" x14ac:dyDescent="0.25">
      <c r="A9" s="1" t="s">
        <v>27</v>
      </c>
      <c r="B9" s="34" t="s">
        <v>28</v>
      </c>
      <c r="C9" s="34"/>
      <c r="D9" s="34"/>
      <c r="E9"/>
      <c r="F9"/>
      <c r="H9" s="20" t="s">
        <v>29</v>
      </c>
      <c r="I9" s="23"/>
      <c r="J9" s="3"/>
    </row>
    <row r="10" spans="1:10" ht="16.5" customHeight="1" thickBot="1" x14ac:dyDescent="0.3">
      <c r="A10" s="35" t="s">
        <v>30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s="4" customFormat="1" ht="18.75" customHeight="1" thickBot="1" x14ac:dyDescent="0.25">
      <c r="A11" s="37" t="s">
        <v>13</v>
      </c>
      <c r="B11" s="38"/>
      <c r="C11" s="38"/>
      <c r="D11" s="38"/>
      <c r="E11" s="38"/>
      <c r="F11" s="38"/>
      <c r="G11" s="38"/>
      <c r="H11" s="38"/>
      <c r="I11" s="38"/>
      <c r="J11" s="39"/>
    </row>
    <row r="12" spans="1:10" s="4" customFormat="1" ht="15.95" customHeight="1" x14ac:dyDescent="0.2">
      <c r="A12" s="40" t="s">
        <v>3</v>
      </c>
      <c r="B12" s="42" t="s">
        <v>4</v>
      </c>
      <c r="C12" s="43"/>
      <c r="D12" s="42" t="s">
        <v>5</v>
      </c>
      <c r="E12" s="43"/>
      <c r="F12" s="43"/>
      <c r="G12" s="43"/>
      <c r="H12" s="42" t="s">
        <v>6</v>
      </c>
      <c r="I12" s="43"/>
      <c r="J12" s="44" t="s">
        <v>7</v>
      </c>
    </row>
    <row r="13" spans="1:10" s="4" customFormat="1" ht="21.75" customHeight="1" x14ac:dyDescent="0.2">
      <c r="A13" s="41"/>
      <c r="B13" s="25" t="s">
        <v>0</v>
      </c>
      <c r="C13" s="25" t="s">
        <v>1</v>
      </c>
      <c r="D13" s="25" t="s">
        <v>0</v>
      </c>
      <c r="E13" s="25" t="s">
        <v>1</v>
      </c>
      <c r="F13" s="25" t="s">
        <v>2</v>
      </c>
      <c r="G13" s="26" t="s">
        <v>8</v>
      </c>
      <c r="H13" s="25" t="s">
        <v>0</v>
      </c>
      <c r="I13" s="25" t="s">
        <v>1</v>
      </c>
      <c r="J13" s="45"/>
    </row>
    <row r="14" spans="1:10" s="6" customFormat="1" ht="15.95" customHeight="1" x14ac:dyDescent="0.2">
      <c r="A14" s="10" t="s">
        <v>14</v>
      </c>
      <c r="B14" s="18">
        <v>1.208</v>
      </c>
      <c r="C14" s="18">
        <v>1.208</v>
      </c>
      <c r="D14" s="18"/>
      <c r="E14" s="18"/>
      <c r="F14" s="18"/>
      <c r="G14" s="11"/>
      <c r="H14" s="18">
        <f>B14</f>
        <v>1.208</v>
      </c>
      <c r="I14" s="18">
        <f>C14</f>
        <v>1.208</v>
      </c>
      <c r="J14" s="11">
        <f t="shared" ref="J14:J23" si="0">H14+I14</f>
        <v>2.4159999999999999</v>
      </c>
    </row>
    <row r="15" spans="1:10" s="7" customFormat="1" ht="15.95" customHeight="1" x14ac:dyDescent="0.2">
      <c r="A15" s="10" t="s">
        <v>15</v>
      </c>
      <c r="B15" s="18">
        <f>1.25*6</f>
        <v>7.5</v>
      </c>
      <c r="C15" s="18">
        <v>7.5</v>
      </c>
      <c r="D15" s="18"/>
      <c r="E15" s="18"/>
      <c r="F15" s="18"/>
      <c r="G15" s="11"/>
      <c r="H15" s="18">
        <f>H14-F15-D15+B15</f>
        <v>8.7080000000000002</v>
      </c>
      <c r="I15" s="18">
        <f>I14-E15+C15</f>
        <v>8.7080000000000002</v>
      </c>
      <c r="J15" s="11">
        <f t="shared" si="0"/>
        <v>17.416</v>
      </c>
    </row>
    <row r="16" spans="1:10" s="7" customFormat="1" ht="15.95" customHeight="1" x14ac:dyDescent="0.2">
      <c r="A16" s="32" t="s">
        <v>16</v>
      </c>
      <c r="B16" s="18"/>
      <c r="C16" s="18"/>
      <c r="D16" s="18"/>
      <c r="E16" s="18"/>
      <c r="F16" s="18"/>
      <c r="G16" s="11">
        <v>2</v>
      </c>
      <c r="H16" s="18">
        <f t="shared" ref="H16:H23" si="1">H15-F16-D16+B16</f>
        <v>8.7080000000000002</v>
      </c>
      <c r="I16" s="18">
        <f t="shared" ref="I16:I23" si="2">I15-E16+C16</f>
        <v>8.7080000000000002</v>
      </c>
      <c r="J16" s="11">
        <f t="shared" si="0"/>
        <v>17.416</v>
      </c>
    </row>
    <row r="17" spans="1:10" s="7" customFormat="1" ht="15.95" customHeight="1" x14ac:dyDescent="0.2">
      <c r="A17" s="10" t="s">
        <v>17</v>
      </c>
      <c r="B17" s="18">
        <v>3.75</v>
      </c>
      <c r="C17" s="18">
        <v>3.75</v>
      </c>
      <c r="D17" s="18"/>
      <c r="E17" s="18"/>
      <c r="F17" s="18"/>
      <c r="G17" s="11"/>
      <c r="H17" s="18">
        <f t="shared" si="1"/>
        <v>12.458</v>
      </c>
      <c r="I17" s="18">
        <f t="shared" si="2"/>
        <v>12.458</v>
      </c>
      <c r="J17" s="11">
        <f t="shared" si="0"/>
        <v>24.916</v>
      </c>
    </row>
    <row r="18" spans="1:10" s="7" customFormat="1" ht="15.95" customHeight="1" x14ac:dyDescent="0.2">
      <c r="A18" s="32" t="s">
        <v>18</v>
      </c>
      <c r="B18" s="18"/>
      <c r="C18" s="18"/>
      <c r="D18" s="18"/>
      <c r="E18" s="18"/>
      <c r="F18" s="18"/>
      <c r="G18" s="11">
        <v>1</v>
      </c>
      <c r="H18" s="18">
        <f t="shared" si="1"/>
        <v>12.458</v>
      </c>
      <c r="I18" s="18">
        <f t="shared" si="2"/>
        <v>12.458</v>
      </c>
      <c r="J18" s="11">
        <f t="shared" si="0"/>
        <v>24.916</v>
      </c>
    </row>
    <row r="19" spans="1:10" s="7" customFormat="1" ht="15.95" customHeight="1" x14ac:dyDescent="0.2">
      <c r="A19" s="32" t="s">
        <v>19</v>
      </c>
      <c r="B19" s="18"/>
      <c r="C19" s="18"/>
      <c r="D19" s="18"/>
      <c r="E19" s="18"/>
      <c r="F19" s="18">
        <v>1</v>
      </c>
      <c r="G19" s="11"/>
      <c r="H19" s="18">
        <f t="shared" si="1"/>
        <v>11.458</v>
      </c>
      <c r="I19" s="18">
        <f t="shared" si="2"/>
        <v>12.458</v>
      </c>
      <c r="J19" s="11">
        <f t="shared" si="0"/>
        <v>23.916</v>
      </c>
    </row>
    <row r="20" spans="1:10" s="7" customFormat="1" ht="15.95" customHeight="1" x14ac:dyDescent="0.2">
      <c r="A20" s="10" t="s">
        <v>20</v>
      </c>
      <c r="B20" s="18">
        <v>1.25</v>
      </c>
      <c r="C20" s="18">
        <v>1.25</v>
      </c>
      <c r="D20" s="18"/>
      <c r="E20" s="18"/>
      <c r="F20" s="18"/>
      <c r="G20" s="11"/>
      <c r="H20" s="18">
        <f t="shared" si="1"/>
        <v>12.708</v>
      </c>
      <c r="I20" s="18">
        <f t="shared" si="2"/>
        <v>13.708</v>
      </c>
      <c r="J20" s="11">
        <f t="shared" si="0"/>
        <v>26.416</v>
      </c>
    </row>
    <row r="21" spans="1:10" s="7" customFormat="1" ht="15.95" customHeight="1" x14ac:dyDescent="0.2">
      <c r="A21" s="32" t="s">
        <v>21</v>
      </c>
      <c r="B21" s="18"/>
      <c r="C21" s="18"/>
      <c r="D21" s="18"/>
      <c r="E21" s="18"/>
      <c r="F21" s="18">
        <v>4</v>
      </c>
      <c r="G21" s="11"/>
      <c r="H21" s="18">
        <f t="shared" si="1"/>
        <v>8.7080000000000002</v>
      </c>
      <c r="I21" s="18">
        <f t="shared" si="2"/>
        <v>13.708</v>
      </c>
      <c r="J21" s="11">
        <f t="shared" si="0"/>
        <v>22.416</v>
      </c>
    </row>
    <row r="22" spans="1:10" s="7" customFormat="1" ht="15.95" customHeight="1" x14ac:dyDescent="0.2">
      <c r="A22" s="10" t="s">
        <v>22</v>
      </c>
      <c r="B22" s="18">
        <v>1.25</v>
      </c>
      <c r="C22" s="18">
        <v>1.25</v>
      </c>
      <c r="D22" s="18"/>
      <c r="E22" s="18"/>
      <c r="F22" s="18"/>
      <c r="G22" s="11"/>
      <c r="H22" s="18">
        <f t="shared" si="1"/>
        <v>9.9580000000000002</v>
      </c>
      <c r="I22" s="18">
        <f t="shared" si="2"/>
        <v>14.958</v>
      </c>
      <c r="J22" s="11">
        <f t="shared" si="0"/>
        <v>24.916</v>
      </c>
    </row>
    <row r="23" spans="1:10" s="7" customFormat="1" ht="15.95" customHeight="1" x14ac:dyDescent="0.2">
      <c r="A23" s="10" t="s">
        <v>23</v>
      </c>
      <c r="B23" s="18">
        <v>2.5</v>
      </c>
      <c r="C23" s="18">
        <v>2.5</v>
      </c>
      <c r="D23" s="18"/>
      <c r="E23" s="18"/>
      <c r="F23" s="18"/>
      <c r="G23" s="11"/>
      <c r="H23" s="18">
        <f t="shared" si="1"/>
        <v>12.458</v>
      </c>
      <c r="I23" s="18">
        <f t="shared" si="2"/>
        <v>17.457999999999998</v>
      </c>
      <c r="J23" s="11">
        <f t="shared" si="0"/>
        <v>29.915999999999997</v>
      </c>
    </row>
    <row r="24" spans="1:10" s="7" customFormat="1" ht="15.95" customHeight="1" x14ac:dyDescent="0.2">
      <c r="A24" s="32" t="s">
        <v>31</v>
      </c>
      <c r="B24" s="18"/>
      <c r="C24" s="18"/>
      <c r="D24" s="18"/>
      <c r="E24" s="18"/>
      <c r="F24" s="18"/>
      <c r="G24" s="11">
        <v>2</v>
      </c>
      <c r="H24" s="18">
        <f t="shared" ref="H24" si="3">H23-F24-D24+B24</f>
        <v>12.458</v>
      </c>
      <c r="I24" s="18">
        <f t="shared" ref="I24" si="4">I23-E24+C24</f>
        <v>17.457999999999998</v>
      </c>
      <c r="J24" s="11">
        <f t="shared" ref="J24" si="5">H24+I24</f>
        <v>29.915999999999997</v>
      </c>
    </row>
    <row r="25" spans="1:10" s="7" customFormat="1" ht="15.95" customHeight="1" x14ac:dyDescent="0.2">
      <c r="A25" s="10" t="s">
        <v>32</v>
      </c>
      <c r="B25" s="24"/>
      <c r="C25" s="18"/>
      <c r="D25" s="24"/>
      <c r="E25" s="18"/>
      <c r="F25" s="18">
        <v>2</v>
      </c>
      <c r="G25" s="11"/>
      <c r="H25" s="18">
        <f t="shared" ref="H25" si="6">H24-F25-D25+B25</f>
        <v>10.458</v>
      </c>
      <c r="I25" s="18">
        <f t="shared" ref="I25" si="7">I24-E25+C25</f>
        <v>17.457999999999998</v>
      </c>
      <c r="J25" s="11">
        <f t="shared" ref="J25" si="8">H25+I25</f>
        <v>27.915999999999997</v>
      </c>
    </row>
    <row r="26" spans="1:10" s="7" customFormat="1" ht="15.95" customHeight="1" x14ac:dyDescent="0.2">
      <c r="A26" s="10" t="s">
        <v>33</v>
      </c>
      <c r="B26" s="18">
        <v>1.25</v>
      </c>
      <c r="C26" s="18">
        <v>1.25</v>
      </c>
      <c r="D26" s="18"/>
      <c r="E26" s="18"/>
      <c r="F26" s="18"/>
      <c r="G26" s="11"/>
      <c r="H26" s="18">
        <f t="shared" ref="H26:H27" si="9">H25-F26-D26+B26</f>
        <v>11.708</v>
      </c>
      <c r="I26" s="18">
        <f t="shared" ref="I26:I27" si="10">I25-E26+C26</f>
        <v>18.707999999999998</v>
      </c>
      <c r="J26" s="11">
        <f t="shared" ref="J26:J27" si="11">H26+I26</f>
        <v>30.415999999999997</v>
      </c>
    </row>
    <row r="27" spans="1:10" s="7" customFormat="1" ht="15.95" customHeight="1" x14ac:dyDescent="0.2">
      <c r="A27" s="10" t="s">
        <v>34</v>
      </c>
      <c r="B27" s="18"/>
      <c r="C27" s="18"/>
      <c r="D27" s="18"/>
      <c r="E27" s="18"/>
      <c r="F27" s="18"/>
      <c r="G27" s="11">
        <v>1</v>
      </c>
      <c r="H27" s="18">
        <f t="shared" si="9"/>
        <v>11.708</v>
      </c>
      <c r="I27" s="18">
        <f t="shared" si="10"/>
        <v>18.707999999999998</v>
      </c>
      <c r="J27" s="11">
        <f t="shared" si="11"/>
        <v>30.415999999999997</v>
      </c>
    </row>
    <row r="28" spans="1:10" s="7" customFormat="1" ht="15.95" customHeight="1" x14ac:dyDescent="0.2">
      <c r="A28" s="10" t="s">
        <v>35</v>
      </c>
      <c r="B28" s="18">
        <v>3.75</v>
      </c>
      <c r="C28" s="18">
        <v>3.75</v>
      </c>
      <c r="D28" s="18"/>
      <c r="E28" s="18"/>
      <c r="F28" s="18"/>
      <c r="G28" s="11"/>
      <c r="H28" s="18">
        <f t="shared" ref="H28" si="12">H27-F28-D28+B28</f>
        <v>15.458</v>
      </c>
      <c r="I28" s="18">
        <f t="shared" ref="I28" si="13">I27-E28+C28</f>
        <v>22.457999999999998</v>
      </c>
      <c r="J28" s="11">
        <f t="shared" ref="J28" si="14">H28+I28</f>
        <v>37.915999999999997</v>
      </c>
    </row>
    <row r="29" spans="1:10" s="7" customFormat="1" ht="15.95" customHeight="1" x14ac:dyDescent="0.2">
      <c r="A29" s="10" t="s">
        <v>36</v>
      </c>
      <c r="B29" s="18"/>
      <c r="C29" s="18"/>
      <c r="D29" s="18"/>
      <c r="E29" s="18"/>
      <c r="F29" s="18">
        <v>1</v>
      </c>
      <c r="G29" s="11"/>
      <c r="H29" s="18">
        <f t="shared" ref="H29" si="15">H28-F29-D29+B29</f>
        <v>14.458</v>
      </c>
      <c r="I29" s="18">
        <f t="shared" ref="I29" si="16">I28-E29+C29</f>
        <v>22.457999999999998</v>
      </c>
      <c r="J29" s="11">
        <f t="shared" ref="J29" si="17">H29+I29</f>
        <v>36.915999999999997</v>
      </c>
    </row>
    <row r="30" spans="1:10" s="7" customFormat="1" ht="15.95" customHeight="1" x14ac:dyDescent="0.2">
      <c r="A30" s="10" t="s">
        <v>37</v>
      </c>
      <c r="B30" s="18">
        <v>2.5</v>
      </c>
      <c r="C30" s="18">
        <v>2.5</v>
      </c>
      <c r="D30" s="18"/>
      <c r="E30" s="18"/>
      <c r="F30" s="18"/>
      <c r="G30" s="11"/>
      <c r="H30" s="18">
        <f t="shared" ref="H30" si="18">H29-F30-D30+B30</f>
        <v>16.957999999999998</v>
      </c>
      <c r="I30" s="18">
        <f t="shared" ref="I30" si="19">I29-E30+C30</f>
        <v>24.957999999999998</v>
      </c>
      <c r="J30" s="11">
        <f t="shared" ref="J30" si="20">H30+I30</f>
        <v>41.915999999999997</v>
      </c>
    </row>
    <row r="31" spans="1:10" s="7" customFormat="1" ht="15.95" customHeight="1" x14ac:dyDescent="0.2">
      <c r="A31" s="10" t="s">
        <v>38</v>
      </c>
      <c r="B31" s="18"/>
      <c r="C31" s="18"/>
      <c r="D31" s="18"/>
      <c r="E31" s="18"/>
      <c r="F31" s="18">
        <v>1</v>
      </c>
      <c r="G31" s="11"/>
      <c r="H31" s="18">
        <f t="shared" ref="H31" si="21">H30-F31-D31+B31</f>
        <v>15.957999999999998</v>
      </c>
      <c r="I31" s="18">
        <f t="shared" ref="I31" si="22">I30-E31+C31</f>
        <v>24.957999999999998</v>
      </c>
      <c r="J31" s="11">
        <f t="shared" ref="J31" si="23">H31+I31</f>
        <v>40.915999999999997</v>
      </c>
    </row>
    <row r="32" spans="1:10" s="7" customFormat="1" ht="15.95" customHeight="1" x14ac:dyDescent="0.2">
      <c r="A32" s="10" t="s">
        <v>39</v>
      </c>
      <c r="B32" s="18"/>
      <c r="C32" s="18"/>
      <c r="D32" s="18">
        <v>10</v>
      </c>
      <c r="E32" s="18">
        <v>19</v>
      </c>
      <c r="F32" s="18"/>
      <c r="G32" s="11"/>
      <c r="H32" s="18">
        <f t="shared" ref="H32" si="24">H31-F32-D32+B32</f>
        <v>5.9579999999999984</v>
      </c>
      <c r="I32" s="18">
        <f t="shared" ref="I32" si="25">I31-E32+C32</f>
        <v>5.9579999999999984</v>
      </c>
      <c r="J32" s="11">
        <f t="shared" ref="J32" si="26">H32+I32</f>
        <v>11.915999999999997</v>
      </c>
    </row>
    <row r="33" spans="1:10" s="7" customFormat="1" ht="15.95" customHeight="1" x14ac:dyDescent="0.2">
      <c r="A33" s="10" t="s">
        <v>56</v>
      </c>
      <c r="B33" s="18">
        <v>2.5</v>
      </c>
      <c r="C33" s="18">
        <v>2.5</v>
      </c>
      <c r="D33" s="18"/>
      <c r="E33" s="18"/>
      <c r="F33" s="18"/>
      <c r="G33" s="11"/>
      <c r="H33" s="18">
        <f t="shared" ref="H33" si="27">H32-F33-D33+B33</f>
        <v>8.4579999999999984</v>
      </c>
      <c r="I33" s="18">
        <f t="shared" ref="I33" si="28">I32-E33+C33</f>
        <v>8.4579999999999984</v>
      </c>
      <c r="J33" s="11">
        <f t="shared" ref="J33" si="29">H33+I33</f>
        <v>16.915999999999997</v>
      </c>
    </row>
    <row r="34" spans="1:10" s="7" customFormat="1" ht="15.95" customHeight="1" x14ac:dyDescent="0.2">
      <c r="A34" s="10" t="s">
        <v>57</v>
      </c>
      <c r="B34" s="18"/>
      <c r="C34" s="18"/>
      <c r="D34" s="18">
        <v>1</v>
      </c>
      <c r="E34" s="18"/>
      <c r="F34" s="18">
        <v>1</v>
      </c>
      <c r="G34" s="11"/>
      <c r="H34" s="18">
        <f t="shared" ref="H34" si="30">H33-F34-D34+B34</f>
        <v>6.4579999999999984</v>
      </c>
      <c r="I34" s="18">
        <f t="shared" ref="I34" si="31">I33-E34+C34</f>
        <v>8.4579999999999984</v>
      </c>
      <c r="J34" s="11">
        <f t="shared" ref="J34" si="32">H34+I34</f>
        <v>14.915999999999997</v>
      </c>
    </row>
    <row r="35" spans="1:10" s="7" customFormat="1" ht="15.95" customHeight="1" x14ac:dyDescent="0.2">
      <c r="A35" s="10" t="s">
        <v>58</v>
      </c>
      <c r="B35" s="18"/>
      <c r="C35" s="18"/>
      <c r="D35" s="18">
        <v>1</v>
      </c>
      <c r="E35" s="18"/>
      <c r="F35" s="18"/>
      <c r="G35" s="11"/>
      <c r="H35" s="18">
        <f t="shared" ref="H35" si="33">H34-F35-D35+B35</f>
        <v>5.4579999999999984</v>
      </c>
      <c r="I35" s="18">
        <f t="shared" ref="I35" si="34">I34-E35+C35</f>
        <v>8.4579999999999984</v>
      </c>
      <c r="J35" s="11">
        <f t="shared" ref="J35" si="35">H35+I35</f>
        <v>13.915999999999997</v>
      </c>
    </row>
    <row r="36" spans="1:10" s="7" customFormat="1" ht="15.95" customHeight="1" x14ac:dyDescent="0.2">
      <c r="A36" s="10" t="s">
        <v>59</v>
      </c>
      <c r="B36" s="18">
        <v>1.25</v>
      </c>
      <c r="C36" s="18">
        <v>1.25</v>
      </c>
      <c r="D36" s="18"/>
      <c r="E36" s="18"/>
      <c r="F36" s="18"/>
      <c r="G36" s="11"/>
      <c r="H36" s="18">
        <f t="shared" ref="H36:H42" si="36">H35-F36-D36+B36</f>
        <v>6.7079999999999984</v>
      </c>
      <c r="I36" s="18">
        <f t="shared" ref="I36:I42" si="37">I35-E36+C36</f>
        <v>9.7079999999999984</v>
      </c>
      <c r="J36" s="11">
        <f t="shared" ref="J36:J42" si="38">H36+I36</f>
        <v>16.415999999999997</v>
      </c>
    </row>
    <row r="37" spans="1:10" s="7" customFormat="1" ht="15.95" customHeight="1" x14ac:dyDescent="0.2">
      <c r="A37" s="10" t="s">
        <v>60</v>
      </c>
      <c r="B37" s="18"/>
      <c r="C37" s="18"/>
      <c r="D37" s="18">
        <v>1</v>
      </c>
      <c r="E37" s="18"/>
      <c r="F37" s="18"/>
      <c r="G37" s="11"/>
      <c r="H37" s="18">
        <f t="shared" si="36"/>
        <v>5.7079999999999984</v>
      </c>
      <c r="I37" s="18">
        <f t="shared" si="37"/>
        <v>9.7079999999999984</v>
      </c>
      <c r="J37" s="11">
        <f t="shared" si="38"/>
        <v>15.415999999999997</v>
      </c>
    </row>
    <row r="38" spans="1:10" s="7" customFormat="1" ht="15.95" customHeight="1" x14ac:dyDescent="0.2">
      <c r="A38" s="10" t="s">
        <v>61</v>
      </c>
      <c r="B38" s="18">
        <v>1.25</v>
      </c>
      <c r="C38" s="18">
        <v>1.25</v>
      </c>
      <c r="D38" s="18"/>
      <c r="E38" s="18"/>
      <c r="F38" s="18"/>
      <c r="G38" s="11"/>
      <c r="H38" s="18">
        <f t="shared" si="36"/>
        <v>6.9579999999999984</v>
      </c>
      <c r="I38" s="18">
        <f t="shared" si="37"/>
        <v>10.957999999999998</v>
      </c>
      <c r="J38" s="19">
        <f t="shared" si="38"/>
        <v>17.915999999999997</v>
      </c>
    </row>
    <row r="39" spans="1:10" s="7" customFormat="1" ht="15.95" customHeight="1" x14ac:dyDescent="0.2">
      <c r="A39" s="10" t="s">
        <v>62</v>
      </c>
      <c r="B39" s="18">
        <v>1.25</v>
      </c>
      <c r="C39" s="18">
        <v>1.25</v>
      </c>
      <c r="D39" s="18"/>
      <c r="E39" s="18"/>
      <c r="F39" s="18"/>
      <c r="G39" s="11"/>
      <c r="H39" s="18">
        <f t="shared" si="36"/>
        <v>8.2079999999999984</v>
      </c>
      <c r="I39" s="18">
        <f t="shared" si="37"/>
        <v>12.207999999999998</v>
      </c>
      <c r="J39" s="11">
        <f t="shared" si="38"/>
        <v>20.415999999999997</v>
      </c>
    </row>
    <row r="40" spans="1:10" s="7" customFormat="1" ht="15.95" customHeight="1" x14ac:dyDescent="0.2">
      <c r="A40" s="10" t="s">
        <v>63</v>
      </c>
      <c r="B40" s="18"/>
      <c r="C40" s="18"/>
      <c r="D40" s="18"/>
      <c r="E40" s="18"/>
      <c r="F40" s="18">
        <v>1</v>
      </c>
      <c r="G40" s="19"/>
      <c r="H40" s="18">
        <f t="shared" si="36"/>
        <v>7.2079999999999984</v>
      </c>
      <c r="I40" s="18">
        <f t="shared" si="37"/>
        <v>12.207999999999998</v>
      </c>
      <c r="J40" s="11">
        <f t="shared" si="38"/>
        <v>19.415999999999997</v>
      </c>
    </row>
    <row r="41" spans="1:10" s="7" customFormat="1" ht="15.95" customHeight="1" x14ac:dyDescent="0.2">
      <c r="A41" s="10" t="s">
        <v>64</v>
      </c>
      <c r="B41" s="18">
        <v>1.25</v>
      </c>
      <c r="C41" s="18">
        <v>1.25</v>
      </c>
      <c r="D41" s="18"/>
      <c r="E41" s="18"/>
      <c r="F41" s="18"/>
      <c r="G41" s="19"/>
      <c r="H41" s="18">
        <f t="shared" si="36"/>
        <v>8.4579999999999984</v>
      </c>
      <c r="I41" s="18">
        <f t="shared" si="37"/>
        <v>13.457999999999998</v>
      </c>
      <c r="J41" s="11">
        <f t="shared" si="38"/>
        <v>21.915999999999997</v>
      </c>
    </row>
    <row r="42" spans="1:10" s="7" customFormat="1" ht="15.95" customHeight="1" x14ac:dyDescent="0.2">
      <c r="A42" s="10" t="s">
        <v>65</v>
      </c>
      <c r="B42" s="18"/>
      <c r="C42" s="18"/>
      <c r="D42" s="18"/>
      <c r="E42" s="18"/>
      <c r="F42" s="18">
        <v>1</v>
      </c>
      <c r="G42" s="19"/>
      <c r="H42" s="18">
        <f t="shared" si="36"/>
        <v>7.4579999999999984</v>
      </c>
      <c r="I42" s="18">
        <f t="shared" si="37"/>
        <v>13.457999999999998</v>
      </c>
      <c r="J42" s="11">
        <f t="shared" si="38"/>
        <v>20.915999999999997</v>
      </c>
    </row>
    <row r="43" spans="1:10" s="7" customFormat="1" ht="15.95" customHeight="1" x14ac:dyDescent="0.2">
      <c r="A43" s="10" t="s">
        <v>91</v>
      </c>
      <c r="B43" s="18">
        <v>1.25</v>
      </c>
      <c r="C43" s="18">
        <v>1.25</v>
      </c>
      <c r="D43" s="18"/>
      <c r="E43" s="18"/>
      <c r="F43" s="18"/>
      <c r="G43" s="19"/>
      <c r="H43" s="18">
        <f t="shared" ref="H43" si="39">H42-F43-D43+B43</f>
        <v>8.7079999999999984</v>
      </c>
      <c r="I43" s="18">
        <f t="shared" ref="I43" si="40">I42-E43+C43</f>
        <v>14.707999999999998</v>
      </c>
      <c r="J43" s="11">
        <f t="shared" ref="J43" si="41">H43+I43</f>
        <v>23.415999999999997</v>
      </c>
    </row>
    <row r="44" spans="1:10" s="7" customFormat="1" ht="15.95" customHeight="1" x14ac:dyDescent="0.2">
      <c r="A44" s="10" t="s">
        <v>66</v>
      </c>
      <c r="B44" s="18"/>
      <c r="C44" s="18"/>
      <c r="D44" s="18"/>
      <c r="E44" s="18"/>
      <c r="F44" s="18">
        <v>1</v>
      </c>
      <c r="G44" s="19"/>
      <c r="H44" s="18">
        <f t="shared" ref="H44" si="42">H43-F44-D44+B44</f>
        <v>7.7079999999999984</v>
      </c>
      <c r="I44" s="18">
        <f t="shared" ref="I44" si="43">I43-E44+C44</f>
        <v>14.707999999999998</v>
      </c>
      <c r="J44" s="11">
        <f t="shared" ref="J44" si="44">H44+I44</f>
        <v>22.415999999999997</v>
      </c>
    </row>
    <row r="45" spans="1:10" s="7" customFormat="1" ht="15.95" customHeight="1" x14ac:dyDescent="0.2">
      <c r="A45" s="10" t="s">
        <v>67</v>
      </c>
      <c r="B45" s="18">
        <v>1.25</v>
      </c>
      <c r="C45" s="18">
        <v>1.25</v>
      </c>
      <c r="D45" s="18"/>
      <c r="E45" s="18"/>
      <c r="F45" s="18"/>
      <c r="G45" s="19"/>
      <c r="H45" s="18">
        <f t="shared" ref="H45:H46" si="45">H44-F45-D45+B45</f>
        <v>8.9579999999999984</v>
      </c>
      <c r="I45" s="18">
        <f t="shared" ref="I45:I46" si="46">I44-E45+C45</f>
        <v>15.957999999999998</v>
      </c>
      <c r="J45" s="11">
        <f t="shared" ref="J45:J46" si="47">H45+I45</f>
        <v>24.915999999999997</v>
      </c>
    </row>
    <row r="46" spans="1:10" s="7" customFormat="1" ht="15.95" customHeight="1" x14ac:dyDescent="0.2">
      <c r="A46" s="10" t="s">
        <v>68</v>
      </c>
      <c r="B46" s="18"/>
      <c r="C46" s="18"/>
      <c r="D46" s="18"/>
      <c r="E46" s="18"/>
      <c r="F46" s="18"/>
      <c r="G46" s="19">
        <v>2</v>
      </c>
      <c r="H46" s="18">
        <f t="shared" si="45"/>
        <v>8.9579999999999984</v>
      </c>
      <c r="I46" s="18">
        <f t="shared" si="46"/>
        <v>15.957999999999998</v>
      </c>
      <c r="J46" s="11">
        <f t="shared" si="47"/>
        <v>24.915999999999997</v>
      </c>
    </row>
    <row r="47" spans="1:10" s="7" customFormat="1" ht="15.95" customHeight="1" x14ac:dyDescent="0.2">
      <c r="A47" s="10" t="s">
        <v>69</v>
      </c>
      <c r="B47" s="18"/>
      <c r="C47" s="18"/>
      <c r="D47" s="18"/>
      <c r="E47" s="18"/>
      <c r="F47" s="18">
        <v>2</v>
      </c>
      <c r="G47" s="19"/>
      <c r="H47" s="18">
        <f t="shared" ref="H47" si="48">H46-F47-D47+B47</f>
        <v>6.9579999999999984</v>
      </c>
      <c r="I47" s="18">
        <f t="shared" ref="I47" si="49">I46-E47+C47</f>
        <v>15.957999999999998</v>
      </c>
      <c r="J47" s="11">
        <f t="shared" ref="J47" si="50">H47+I47</f>
        <v>22.915999999999997</v>
      </c>
    </row>
    <row r="48" spans="1:10" s="7" customFormat="1" ht="15.95" customHeight="1" x14ac:dyDescent="0.2">
      <c r="A48" s="10" t="s">
        <v>70</v>
      </c>
      <c r="B48" s="18">
        <v>1.25</v>
      </c>
      <c r="C48" s="18">
        <v>1.25</v>
      </c>
      <c r="D48" s="18"/>
      <c r="E48" s="18"/>
      <c r="F48" s="18"/>
      <c r="G48" s="19"/>
      <c r="H48" s="18">
        <f t="shared" ref="H48:H49" si="51">H47-F48-D48+B48</f>
        <v>8.2079999999999984</v>
      </c>
      <c r="I48" s="18">
        <f t="shared" ref="I48:I49" si="52">I47-E48+C48</f>
        <v>17.207999999999998</v>
      </c>
      <c r="J48" s="11">
        <f t="shared" ref="J48:J49" si="53">H48+I48</f>
        <v>25.415999999999997</v>
      </c>
    </row>
    <row r="49" spans="1:10" s="7" customFormat="1" ht="15.95" customHeight="1" x14ac:dyDescent="0.2">
      <c r="A49" s="10" t="s">
        <v>71</v>
      </c>
      <c r="B49" s="18"/>
      <c r="C49" s="18"/>
      <c r="D49" s="18"/>
      <c r="E49" s="18"/>
      <c r="F49" s="18"/>
      <c r="G49" s="19">
        <v>1</v>
      </c>
      <c r="H49" s="18">
        <f t="shared" si="51"/>
        <v>8.2079999999999984</v>
      </c>
      <c r="I49" s="18">
        <f t="shared" si="52"/>
        <v>17.207999999999998</v>
      </c>
      <c r="J49" s="11">
        <f t="shared" si="53"/>
        <v>25.415999999999997</v>
      </c>
    </row>
    <row r="50" spans="1:10" s="7" customFormat="1" ht="15.95" customHeight="1" x14ac:dyDescent="0.2">
      <c r="A50" s="10" t="s">
        <v>92</v>
      </c>
      <c r="B50" s="18">
        <v>2.5</v>
      </c>
      <c r="C50" s="18">
        <v>2.5</v>
      </c>
      <c r="D50" s="18"/>
      <c r="E50" s="18"/>
      <c r="F50" s="18"/>
      <c r="G50" s="19"/>
      <c r="H50" s="18">
        <f t="shared" ref="H50" si="54">H49-F50-D50+B50</f>
        <v>10.707999999999998</v>
      </c>
      <c r="I50" s="18">
        <f t="shared" ref="I50" si="55">I49-E50+C50</f>
        <v>19.707999999999998</v>
      </c>
      <c r="J50" s="11">
        <f t="shared" ref="J50" si="56">H50+I50</f>
        <v>30.415999999999997</v>
      </c>
    </row>
    <row r="51" spans="1:10" s="7" customFormat="1" ht="15.95" customHeight="1" x14ac:dyDescent="0.2">
      <c r="A51" s="31" t="s">
        <v>75</v>
      </c>
      <c r="B51" s="18"/>
      <c r="C51" s="18"/>
      <c r="D51" s="18"/>
      <c r="E51" s="18">
        <v>2</v>
      </c>
      <c r="F51" s="18"/>
      <c r="G51" s="19"/>
      <c r="H51" s="18">
        <f t="shared" ref="H51:H55" si="57">H50-F51-D51+B51</f>
        <v>10.707999999999998</v>
      </c>
      <c r="I51" s="18">
        <f t="shared" ref="I51:I55" si="58">I50-E51+C51</f>
        <v>17.707999999999998</v>
      </c>
      <c r="J51" s="11">
        <f t="shared" ref="J51:J55" si="59">H51+I51</f>
        <v>28.415999999999997</v>
      </c>
    </row>
    <row r="52" spans="1:10" s="7" customFormat="1" ht="15.95" customHeight="1" x14ac:dyDescent="0.2">
      <c r="A52" s="31" t="s">
        <v>76</v>
      </c>
      <c r="B52" s="18">
        <v>2.5</v>
      </c>
      <c r="C52" s="18">
        <v>2.5</v>
      </c>
      <c r="D52" s="18"/>
      <c r="E52" s="18"/>
      <c r="F52" s="18"/>
      <c r="G52" s="19"/>
      <c r="H52" s="18">
        <f t="shared" si="57"/>
        <v>13.207999999999998</v>
      </c>
      <c r="I52" s="18">
        <f t="shared" si="58"/>
        <v>20.207999999999998</v>
      </c>
      <c r="J52" s="11">
        <f t="shared" si="59"/>
        <v>33.415999999999997</v>
      </c>
    </row>
    <row r="53" spans="1:10" s="7" customFormat="1" ht="15.95" customHeight="1" x14ac:dyDescent="0.2">
      <c r="A53" s="31" t="s">
        <v>77</v>
      </c>
      <c r="B53" s="18"/>
      <c r="C53" s="18"/>
      <c r="D53" s="18"/>
      <c r="E53" s="18">
        <v>1</v>
      </c>
      <c r="F53" s="18"/>
      <c r="G53" s="19"/>
      <c r="H53" s="18">
        <f t="shared" si="57"/>
        <v>13.207999999999998</v>
      </c>
      <c r="I53" s="18">
        <f t="shared" si="58"/>
        <v>19.207999999999998</v>
      </c>
      <c r="J53" s="11">
        <f t="shared" si="59"/>
        <v>32.415999999999997</v>
      </c>
    </row>
    <row r="54" spans="1:10" s="7" customFormat="1" ht="15.95" customHeight="1" x14ac:dyDescent="0.2">
      <c r="A54" s="31" t="s">
        <v>78</v>
      </c>
      <c r="B54" s="18">
        <v>1.25</v>
      </c>
      <c r="C54" s="18">
        <v>1.25</v>
      </c>
      <c r="D54" s="18"/>
      <c r="E54" s="18"/>
      <c r="F54" s="18"/>
      <c r="G54" s="19"/>
      <c r="H54" s="18">
        <f t="shared" si="57"/>
        <v>14.457999999999998</v>
      </c>
      <c r="I54" s="18">
        <f t="shared" si="58"/>
        <v>20.457999999999998</v>
      </c>
      <c r="J54" s="11">
        <f t="shared" si="59"/>
        <v>34.915999999999997</v>
      </c>
    </row>
    <row r="55" spans="1:10" s="7" customFormat="1" ht="15.95" customHeight="1" x14ac:dyDescent="0.2">
      <c r="A55" s="31" t="s">
        <v>79</v>
      </c>
      <c r="B55" s="18"/>
      <c r="C55" s="18"/>
      <c r="D55" s="18"/>
      <c r="E55" s="18">
        <v>1</v>
      </c>
      <c r="F55" s="18"/>
      <c r="G55" s="19"/>
      <c r="H55" s="18">
        <f t="shared" si="57"/>
        <v>14.457999999999998</v>
      </c>
      <c r="I55" s="18">
        <f t="shared" si="58"/>
        <v>19.457999999999998</v>
      </c>
      <c r="J55" s="11">
        <f t="shared" si="59"/>
        <v>33.915999999999997</v>
      </c>
    </row>
    <row r="56" spans="1:10" s="7" customFormat="1" ht="15.95" customHeight="1" x14ac:dyDescent="0.2">
      <c r="A56" s="31" t="s">
        <v>80</v>
      </c>
      <c r="B56" s="18">
        <v>1.25</v>
      </c>
      <c r="C56" s="18">
        <v>1.25</v>
      </c>
      <c r="D56" s="18"/>
      <c r="E56" s="18"/>
      <c r="F56" s="18"/>
      <c r="G56" s="19"/>
      <c r="H56" s="18">
        <f t="shared" ref="H56" si="60">H55-F56-D56+B56</f>
        <v>15.707999999999998</v>
      </c>
      <c r="I56" s="18">
        <f t="shared" ref="I56" si="61">I55-E56+C56</f>
        <v>20.707999999999998</v>
      </c>
      <c r="J56" s="11">
        <f t="shared" ref="J56" si="62">H56+I56</f>
        <v>36.415999999999997</v>
      </c>
    </row>
    <row r="57" spans="1:10" s="7" customFormat="1" ht="15.95" customHeight="1" x14ac:dyDescent="0.2">
      <c r="A57" s="31" t="s">
        <v>81</v>
      </c>
      <c r="B57" s="18"/>
      <c r="C57" s="18"/>
      <c r="D57" s="18">
        <v>10</v>
      </c>
      <c r="E57" s="18"/>
      <c r="F57" s="18"/>
      <c r="G57" s="19"/>
      <c r="H57" s="18">
        <f t="shared" ref="H57" si="63">H56-F57-D57+B57</f>
        <v>5.7079999999999984</v>
      </c>
      <c r="I57" s="18">
        <f t="shared" ref="I57" si="64">I56-E57+C57</f>
        <v>20.707999999999998</v>
      </c>
      <c r="J57" s="11">
        <f t="shared" ref="J57" si="65">H57+I57</f>
        <v>26.415999999999997</v>
      </c>
    </row>
    <row r="58" spans="1:10" s="7" customFormat="1" ht="15.95" customHeight="1" x14ac:dyDescent="0.2">
      <c r="A58" s="31" t="s">
        <v>82</v>
      </c>
      <c r="B58" s="18">
        <v>1.25</v>
      </c>
      <c r="C58" s="18">
        <v>1.25</v>
      </c>
      <c r="D58" s="18"/>
      <c r="E58" s="18"/>
      <c r="F58" s="18"/>
      <c r="G58" s="19"/>
      <c r="H58" s="18">
        <f t="shared" ref="H58:H59" si="66">H57-F58-D58+B58</f>
        <v>6.9579999999999984</v>
      </c>
      <c r="I58" s="18">
        <f t="shared" ref="I58:I59" si="67">I57-E58+C58</f>
        <v>21.957999999999998</v>
      </c>
      <c r="J58" s="11">
        <f t="shared" ref="J58:J59" si="68">H58+I58</f>
        <v>28.915999999999997</v>
      </c>
    </row>
    <row r="59" spans="1:10" s="7" customFormat="1" ht="15.95" customHeight="1" x14ac:dyDescent="0.2">
      <c r="A59" s="31" t="s">
        <v>83</v>
      </c>
      <c r="B59" s="18"/>
      <c r="C59" s="18"/>
      <c r="D59" s="18"/>
      <c r="E59" s="18">
        <v>1</v>
      </c>
      <c r="F59" s="18"/>
      <c r="G59" s="19"/>
      <c r="H59" s="18">
        <f t="shared" si="66"/>
        <v>6.9579999999999984</v>
      </c>
      <c r="I59" s="18">
        <f t="shared" si="67"/>
        <v>20.957999999999998</v>
      </c>
      <c r="J59" s="11">
        <f t="shared" si="68"/>
        <v>27.915999999999997</v>
      </c>
    </row>
    <row r="60" spans="1:10" s="7" customFormat="1" ht="15.95" customHeight="1" x14ac:dyDescent="0.2">
      <c r="A60" s="31" t="s">
        <v>84</v>
      </c>
      <c r="B60" s="18">
        <v>1.25</v>
      </c>
      <c r="C60" s="18">
        <v>1.25</v>
      </c>
      <c r="D60" s="18"/>
      <c r="E60" s="18"/>
      <c r="F60" s="18"/>
      <c r="G60" s="19"/>
      <c r="H60" s="18">
        <f t="shared" ref="H60:H61" si="69">H59-F60-D60+B60</f>
        <v>8.2079999999999984</v>
      </c>
      <c r="I60" s="18">
        <f t="shared" ref="I60:I61" si="70">I59-E60+C60</f>
        <v>22.207999999999998</v>
      </c>
      <c r="J60" s="11">
        <f t="shared" ref="J60:J61" si="71">H60+I60</f>
        <v>30.415999999999997</v>
      </c>
    </row>
    <row r="61" spans="1:10" s="7" customFormat="1" ht="15.95" customHeight="1" x14ac:dyDescent="0.2">
      <c r="A61" s="31" t="s">
        <v>85</v>
      </c>
      <c r="B61" s="18"/>
      <c r="C61" s="18"/>
      <c r="D61" s="18"/>
      <c r="E61" s="18">
        <v>4</v>
      </c>
      <c r="F61" s="18"/>
      <c r="G61" s="19"/>
      <c r="H61" s="18">
        <f t="shared" si="69"/>
        <v>8.2079999999999984</v>
      </c>
      <c r="I61" s="18">
        <f t="shared" si="70"/>
        <v>18.207999999999998</v>
      </c>
      <c r="J61" s="11">
        <f t="shared" si="71"/>
        <v>26.415999999999997</v>
      </c>
    </row>
    <row r="62" spans="1:10" s="7" customFormat="1" ht="15.95" customHeight="1" x14ac:dyDescent="0.2">
      <c r="A62" s="31" t="s">
        <v>89</v>
      </c>
      <c r="B62" s="18">
        <v>8.75</v>
      </c>
      <c r="C62" s="18">
        <v>8.75</v>
      </c>
      <c r="D62" s="18"/>
      <c r="E62" s="18"/>
      <c r="F62" s="18"/>
      <c r="G62" s="19"/>
      <c r="H62" s="18">
        <f t="shared" ref="H62" si="72">H61-F62-D62+B62</f>
        <v>16.957999999999998</v>
      </c>
      <c r="I62" s="18">
        <f t="shared" ref="I62" si="73">I61-E62+C62</f>
        <v>26.957999999999998</v>
      </c>
      <c r="J62" s="11">
        <f t="shared" ref="J62" si="74">H62+I62</f>
        <v>43.915999999999997</v>
      </c>
    </row>
    <row r="63" spans="1:10" s="7" customFormat="1" ht="15.95" customHeight="1" x14ac:dyDescent="0.2">
      <c r="A63" s="31" t="s">
        <v>90</v>
      </c>
      <c r="B63" s="18"/>
      <c r="C63" s="18"/>
      <c r="D63" s="18">
        <v>10</v>
      </c>
      <c r="E63" s="18"/>
      <c r="F63" s="18"/>
      <c r="G63" s="19"/>
      <c r="H63" s="18">
        <f t="shared" ref="H63" si="75">H62-F63-D63+B63</f>
        <v>6.9579999999999984</v>
      </c>
      <c r="I63" s="18">
        <f t="shared" ref="I63" si="76">I62-E63+C63</f>
        <v>26.957999999999998</v>
      </c>
      <c r="J63" s="11">
        <f t="shared" ref="J63" si="77">H63+I63</f>
        <v>33.915999999999997</v>
      </c>
    </row>
    <row r="64" spans="1:10" s="7" customFormat="1" ht="15.95" customHeight="1" x14ac:dyDescent="0.2">
      <c r="A64" s="31" t="s">
        <v>94</v>
      </c>
      <c r="B64" s="18"/>
      <c r="C64" s="18"/>
      <c r="D64" s="18"/>
      <c r="E64" s="18"/>
      <c r="F64" s="18"/>
      <c r="G64" s="33">
        <v>3</v>
      </c>
      <c r="H64" s="18">
        <f t="shared" ref="H64" si="78">H63-F64-D64+B64</f>
        <v>6.9579999999999984</v>
      </c>
      <c r="I64" s="18">
        <f t="shared" ref="I64" si="79">I63-E64+C64</f>
        <v>26.957999999999998</v>
      </c>
      <c r="J64" s="11">
        <f t="shared" ref="J64" si="80">H64+I64</f>
        <v>33.915999999999997</v>
      </c>
    </row>
    <row r="65" spans="1:10" s="7" customFormat="1" ht="15.95" customHeight="1" x14ac:dyDescent="0.2">
      <c r="A65" s="60" t="s">
        <v>95</v>
      </c>
      <c r="B65" s="61"/>
      <c r="C65" s="61"/>
      <c r="D65" s="61"/>
      <c r="E65" s="61"/>
      <c r="F65" s="62">
        <v>2</v>
      </c>
      <c r="G65" s="63"/>
      <c r="H65" s="61">
        <f t="shared" ref="H65" si="81">H64-F65-D65+B65</f>
        <v>4.9579999999999984</v>
      </c>
      <c r="I65" s="61">
        <f t="shared" ref="I65" si="82">I64-E65+C65</f>
        <v>26.957999999999998</v>
      </c>
      <c r="J65" s="64">
        <f t="shared" ref="J65" si="83">H65+I65</f>
        <v>31.915999999999997</v>
      </c>
    </row>
    <row r="66" spans="1:10" s="71" customFormat="1" ht="15.95" customHeight="1" x14ac:dyDescent="0.2">
      <c r="A66" s="65" t="s">
        <v>96</v>
      </c>
      <c r="B66" s="66">
        <v>1.25</v>
      </c>
      <c r="C66" s="66">
        <v>1.25</v>
      </c>
      <c r="D66" s="66"/>
      <c r="E66" s="66"/>
      <c r="F66" s="66"/>
      <c r="G66" s="67"/>
      <c r="H66" s="61">
        <f t="shared" ref="H66:H67" si="84">H65-F66-D66+B66</f>
        <v>6.2079999999999984</v>
      </c>
      <c r="I66" s="61">
        <f t="shared" ref="I66:I67" si="85">I65-E66+C66</f>
        <v>28.207999999999998</v>
      </c>
      <c r="J66" s="64">
        <f t="shared" ref="J66:J67" si="86">H66+I66</f>
        <v>34.415999999999997</v>
      </c>
    </row>
    <row r="67" spans="1:10" s="71" customFormat="1" ht="15.95" customHeight="1" x14ac:dyDescent="0.2">
      <c r="A67" s="65" t="s">
        <v>97</v>
      </c>
      <c r="B67" s="66"/>
      <c r="C67" s="66"/>
      <c r="D67" s="66"/>
      <c r="E67" s="66">
        <v>3</v>
      </c>
      <c r="F67" s="66"/>
      <c r="G67" s="67"/>
      <c r="H67" s="61">
        <f t="shared" si="84"/>
        <v>6.2079999999999984</v>
      </c>
      <c r="I67" s="61">
        <f t="shared" si="85"/>
        <v>25.207999999999998</v>
      </c>
      <c r="J67" s="64">
        <f t="shared" si="86"/>
        <v>31.415999999999997</v>
      </c>
    </row>
    <row r="68" spans="1:10" s="71" customFormat="1" ht="15.95" customHeight="1" x14ac:dyDescent="0.2">
      <c r="A68" s="65"/>
      <c r="B68" s="66"/>
      <c r="C68" s="66"/>
      <c r="D68" s="66"/>
      <c r="E68" s="66"/>
      <c r="F68" s="66"/>
      <c r="G68" s="67"/>
      <c r="H68" s="66"/>
      <c r="I68" s="66"/>
      <c r="J68" s="67"/>
    </row>
    <row r="69" spans="1:10" s="71" customFormat="1" ht="15.95" customHeight="1" x14ac:dyDescent="0.2">
      <c r="A69" s="68"/>
      <c r="B69" s="69"/>
      <c r="C69" s="69"/>
      <c r="D69" s="69"/>
      <c r="E69" s="69"/>
      <c r="F69" s="69"/>
      <c r="G69" s="70"/>
      <c r="H69" s="69"/>
      <c r="I69" s="69"/>
      <c r="J69" s="70"/>
    </row>
    <row r="70" spans="1:10" s="36" customFormat="1" ht="15.95" customHeight="1" x14ac:dyDescent="0.25"/>
    <row r="71" spans="1:10" s="36" customFormat="1" ht="15.95" customHeight="1" x14ac:dyDescent="0.25"/>
    <row r="72" spans="1:10" s="36" customFormat="1" ht="15.95" customHeight="1" x14ac:dyDescent="0.25"/>
    <row r="73" spans="1:10" s="36" customFormat="1" ht="15.95" customHeight="1" x14ac:dyDescent="0.25"/>
  </sheetData>
  <mergeCells count="14">
    <mergeCell ref="A11:J11"/>
    <mergeCell ref="A70:XFD73"/>
    <mergeCell ref="A12:A13"/>
    <mergeCell ref="B12:C12"/>
    <mergeCell ref="D12:G12"/>
    <mergeCell ref="H12:I12"/>
    <mergeCell ref="J12:J13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5" right="0.5" top="0.5" bottom="0.5" header="0.31496062992126" footer="0.31496062992126"/>
  <pageSetup paperSize="14" scale="71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12AC-B52B-4C2C-8CFA-83917297E4ED}">
  <sheetPr>
    <pageSetUpPr fitToPage="1"/>
  </sheetPr>
  <dimension ref="A1:M29"/>
  <sheetViews>
    <sheetView topLeftCell="A7" workbookViewId="0">
      <selection activeCell="L26" sqref="L26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36" t="s">
        <v>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1"/>
    </row>
    <row r="6" spans="1:13" x14ac:dyDescent="0.25">
      <c r="A6" s="36" t="s">
        <v>10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1"/>
    </row>
    <row r="7" spans="1:13" x14ac:dyDescent="0.25">
      <c r="A7" s="36" t="s">
        <v>11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1"/>
    </row>
    <row r="8" spans="1:13" x14ac:dyDescent="0.25">
      <c r="A8" s="36" t="s">
        <v>12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 t="s">
        <v>24</v>
      </c>
      <c r="B10" s="1"/>
      <c r="C10" s="3" t="s">
        <v>25</v>
      </c>
      <c r="D10" s="3"/>
      <c r="E10" s="1"/>
      <c r="F10" s="1"/>
      <c r="G10" s="3" t="s">
        <v>26</v>
      </c>
      <c r="H10" s="8"/>
      <c r="I10" s="1"/>
      <c r="J10" s="1"/>
      <c r="K10" s="1"/>
      <c r="L10" s="1"/>
      <c r="M10" s="1"/>
    </row>
    <row r="11" spans="1:13" x14ac:dyDescent="0.25">
      <c r="A11" s="1"/>
      <c r="B11" s="1"/>
      <c r="C11" s="2"/>
      <c r="D11" s="1"/>
      <c r="E11" s="1"/>
      <c r="F11" s="1"/>
      <c r="G11" s="2"/>
      <c r="H11" s="2"/>
      <c r="I11" s="1"/>
      <c r="J11" s="1"/>
      <c r="K11" s="1"/>
      <c r="L11" s="1"/>
      <c r="M11" s="1"/>
    </row>
    <row r="12" spans="1:13" x14ac:dyDescent="0.25">
      <c r="A12" s="1" t="s">
        <v>27</v>
      </c>
      <c r="B12" s="1"/>
      <c r="C12" s="3" t="s">
        <v>28</v>
      </c>
      <c r="D12" s="3"/>
      <c r="E12" s="1"/>
      <c r="F12" s="1"/>
      <c r="G12" s="3" t="s">
        <v>29</v>
      </c>
      <c r="H12" s="9"/>
      <c r="I12" s="1"/>
      <c r="J12" s="1"/>
      <c r="K12" s="1"/>
      <c r="L12" s="1"/>
      <c r="M12" s="1"/>
    </row>
    <row r="13" spans="1:13" ht="21.75" thickBot="1" x14ac:dyDescent="0.3">
      <c r="A13" s="35" t="s">
        <v>40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1:13" x14ac:dyDescent="0.25">
      <c r="A14" s="46" t="s">
        <v>3</v>
      </c>
      <c r="B14" s="48" t="s">
        <v>4</v>
      </c>
      <c r="C14" s="49"/>
      <c r="D14" s="49"/>
      <c r="E14" s="49"/>
      <c r="F14" s="49"/>
      <c r="G14" s="49"/>
      <c r="H14" s="49"/>
      <c r="I14" s="49"/>
      <c r="J14" s="49"/>
      <c r="K14" s="49"/>
      <c r="L14" s="50" t="s">
        <v>7</v>
      </c>
      <c r="M14" s="4"/>
    </row>
    <row r="15" spans="1:13" x14ac:dyDescent="0.25">
      <c r="A15" s="47"/>
      <c r="B15" s="52" t="s">
        <v>41</v>
      </c>
      <c r="C15" s="53"/>
      <c r="D15" s="53"/>
      <c r="E15" s="54"/>
      <c r="F15" s="52" t="s">
        <v>42</v>
      </c>
      <c r="G15" s="54"/>
      <c r="H15" s="52" t="s">
        <v>43</v>
      </c>
      <c r="I15" s="54"/>
      <c r="J15" s="52" t="s">
        <v>44</v>
      </c>
      <c r="K15" s="54"/>
      <c r="L15" s="51"/>
      <c r="M15" s="4"/>
    </row>
    <row r="16" spans="1:13" ht="30.75" customHeight="1" x14ac:dyDescent="0.25">
      <c r="A16" s="5" t="s">
        <v>50</v>
      </c>
      <c r="B16" s="55" t="s">
        <v>51</v>
      </c>
      <c r="C16" s="56"/>
      <c r="D16" s="56"/>
      <c r="E16" s="57"/>
      <c r="F16" s="55">
        <v>1</v>
      </c>
      <c r="G16" s="57"/>
      <c r="H16" s="55">
        <v>0</v>
      </c>
      <c r="I16" s="57"/>
      <c r="J16" s="55">
        <v>1</v>
      </c>
      <c r="K16" s="57"/>
      <c r="L16" s="12">
        <v>1</v>
      </c>
      <c r="M16" s="4"/>
    </row>
    <row r="17" spans="1:13" ht="30.75" customHeight="1" x14ac:dyDescent="0.25">
      <c r="A17" s="5" t="s">
        <v>52</v>
      </c>
      <c r="B17" s="55" t="s">
        <v>53</v>
      </c>
      <c r="C17" s="56"/>
      <c r="D17" s="56"/>
      <c r="E17" s="57"/>
      <c r="F17" s="55">
        <v>1</v>
      </c>
      <c r="G17" s="57"/>
      <c r="H17" s="55">
        <v>0</v>
      </c>
      <c r="I17" s="57"/>
      <c r="J17" s="55">
        <v>2</v>
      </c>
      <c r="K17" s="57"/>
      <c r="L17" s="12">
        <v>2</v>
      </c>
      <c r="M17" s="13"/>
    </row>
    <row r="18" spans="1:13" ht="43.5" customHeight="1" x14ac:dyDescent="0.25">
      <c r="A18" s="5" t="s">
        <v>54</v>
      </c>
      <c r="B18" s="55" t="s">
        <v>55</v>
      </c>
      <c r="C18" s="56"/>
      <c r="D18" s="56"/>
      <c r="E18" s="57"/>
      <c r="F18" s="55">
        <v>2</v>
      </c>
      <c r="G18" s="57"/>
      <c r="H18" s="55">
        <v>2</v>
      </c>
      <c r="I18" s="57"/>
      <c r="J18" s="55">
        <v>0</v>
      </c>
      <c r="K18" s="57"/>
      <c r="L18" s="27">
        <v>0</v>
      </c>
      <c r="M18" s="4"/>
    </row>
    <row r="19" spans="1:13" ht="29.25" customHeight="1" x14ac:dyDescent="0.25">
      <c r="A19" s="5" t="s">
        <v>72</v>
      </c>
      <c r="B19" s="55" t="s">
        <v>73</v>
      </c>
      <c r="C19" s="56"/>
      <c r="D19" s="56"/>
      <c r="E19" s="57"/>
      <c r="F19" s="55">
        <v>1</v>
      </c>
      <c r="G19" s="57"/>
      <c r="H19" s="55">
        <v>0</v>
      </c>
      <c r="I19" s="57"/>
      <c r="J19" s="55">
        <v>1</v>
      </c>
      <c r="K19" s="57"/>
      <c r="L19" s="28">
        <v>1</v>
      </c>
      <c r="M19" s="4"/>
    </row>
    <row r="20" spans="1:13" ht="30" customHeight="1" x14ac:dyDescent="0.25">
      <c r="A20" s="5" t="s">
        <v>74</v>
      </c>
      <c r="B20" s="55" t="s">
        <v>73</v>
      </c>
      <c r="C20" s="56"/>
      <c r="D20" s="56"/>
      <c r="E20" s="57"/>
      <c r="F20" s="55"/>
      <c r="G20" s="57"/>
      <c r="H20" s="55">
        <v>1</v>
      </c>
      <c r="I20" s="57"/>
      <c r="J20" s="55">
        <v>0</v>
      </c>
      <c r="K20" s="57"/>
      <c r="L20" s="27">
        <v>0</v>
      </c>
      <c r="M20" s="4"/>
    </row>
    <row r="21" spans="1:13" ht="29.25" customHeight="1" x14ac:dyDescent="0.25">
      <c r="A21" s="5" t="s">
        <v>86</v>
      </c>
      <c r="B21" s="55" t="s">
        <v>87</v>
      </c>
      <c r="C21" s="56"/>
      <c r="D21" s="56"/>
      <c r="E21" s="57"/>
      <c r="F21" s="55">
        <v>1</v>
      </c>
      <c r="G21" s="57"/>
      <c r="H21" s="55">
        <v>0</v>
      </c>
      <c r="I21" s="57"/>
      <c r="J21" s="55">
        <v>1</v>
      </c>
      <c r="K21" s="57"/>
      <c r="L21" s="28">
        <v>1</v>
      </c>
      <c r="M21" s="4"/>
    </row>
    <row r="22" spans="1:13" ht="30" customHeight="1" x14ac:dyDescent="0.25">
      <c r="A22" s="5" t="s">
        <v>88</v>
      </c>
      <c r="B22" s="55" t="s">
        <v>87</v>
      </c>
      <c r="C22" s="56"/>
      <c r="D22" s="56"/>
      <c r="E22" s="57"/>
      <c r="F22" s="55"/>
      <c r="G22" s="57"/>
      <c r="H22" s="55">
        <v>1</v>
      </c>
      <c r="I22" s="57"/>
      <c r="J22" s="55">
        <v>0</v>
      </c>
      <c r="K22" s="57"/>
      <c r="L22" s="27">
        <v>0</v>
      </c>
      <c r="M22" s="4"/>
    </row>
    <row r="23" spans="1:13" x14ac:dyDescent="0.25">
      <c r="A23" s="14" t="s">
        <v>45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6"/>
      <c r="M23" s="13"/>
    </row>
    <row r="24" spans="1:13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1:13" x14ac:dyDescent="0.25">
      <c r="C25" s="17"/>
      <c r="D25" s="1"/>
      <c r="E25" s="1"/>
      <c r="F25" s="1"/>
      <c r="G25" s="1"/>
      <c r="H25" s="1" t="s">
        <v>46</v>
      </c>
      <c r="I25" s="1"/>
      <c r="J25" s="1"/>
      <c r="K25" s="1"/>
      <c r="L25" s="1"/>
      <c r="M25" s="1"/>
    </row>
    <row r="26" spans="1:13" x14ac:dyDescent="0.25">
      <c r="C26" s="17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H27" s="30" t="s">
        <v>47</v>
      </c>
      <c r="I27" s="29"/>
    </row>
    <row r="28" spans="1:13" x14ac:dyDescent="0.25">
      <c r="H28" t="s">
        <v>48</v>
      </c>
    </row>
    <row r="29" spans="1:13" x14ac:dyDescent="0.25">
      <c r="H29" s="58" t="s">
        <v>49</v>
      </c>
      <c r="I29" s="58"/>
    </row>
  </sheetData>
  <mergeCells count="42">
    <mergeCell ref="B20:E20"/>
    <mergeCell ref="F20:G20"/>
    <mergeCell ref="H20:I20"/>
    <mergeCell ref="J20:K20"/>
    <mergeCell ref="H29:I29"/>
    <mergeCell ref="A24:L24"/>
    <mergeCell ref="B21:E21"/>
    <mergeCell ref="F21:G21"/>
    <mergeCell ref="H21:I21"/>
    <mergeCell ref="J21:K21"/>
    <mergeCell ref="B22:E22"/>
    <mergeCell ref="F22:G22"/>
    <mergeCell ref="H22:I22"/>
    <mergeCell ref="J22:K22"/>
    <mergeCell ref="B16:E16"/>
    <mergeCell ref="F16:G16"/>
    <mergeCell ref="H16:I16"/>
    <mergeCell ref="J16:K16"/>
    <mergeCell ref="B19:E19"/>
    <mergeCell ref="F19:G19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</mergeCells>
  <phoneticPr fontId="8" type="noConversion"/>
  <pageMargins left="0.7" right="0.7" top="0.75" bottom="0.75" header="0.3" footer="0.3"/>
  <pageSetup paperSize="9" scale="63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VALIENTE</vt:lpstr>
      <vt:lpstr>Sheet1</vt:lpstr>
      <vt:lpstr>VALIENTE!Print_Area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2025-10-29T06:43:00Z</cp:lastPrinted>
  <dcterms:created xsi:type="dcterms:W3CDTF">2021-10-07T06:10:16Z</dcterms:created>
  <dcterms:modified xsi:type="dcterms:W3CDTF">2025-10-29T06:43:39Z</dcterms:modified>
</cp:coreProperties>
</file>