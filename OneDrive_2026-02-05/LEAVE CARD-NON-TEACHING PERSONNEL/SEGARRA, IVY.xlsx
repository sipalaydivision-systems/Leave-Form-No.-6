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64327BB-EF54-4870-B0AA-1B7AB1976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8" r:id="rId1"/>
  </sheets>
  <definedNames>
    <definedName name="_xlnm.Print_Area" localSheetId="0">'Leave Card'!$A$1:$J$71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8" l="1"/>
  <c r="I65" i="8"/>
  <c r="J65" i="8"/>
  <c r="H66" i="8"/>
  <c r="I66" i="8"/>
  <c r="J66" i="8" s="1"/>
  <c r="B33" i="8" l="1"/>
  <c r="B31" i="8" l="1"/>
  <c r="B26" i="8" l="1"/>
  <c r="B23" i="8" l="1"/>
  <c r="C23" i="8" s="1"/>
  <c r="B19" i="8" l="1"/>
  <c r="B17" i="8"/>
  <c r="C17" i="8" l="1"/>
  <c r="I14" i="8" l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H14" i="8"/>
  <c r="H15" i="8" s="1"/>
  <c r="H16" i="8" s="1"/>
  <c r="J16" i="8" l="1"/>
  <c r="H17" i="8"/>
  <c r="J14" i="8"/>
  <c r="J17" i="8" l="1"/>
  <c r="H18" i="8"/>
  <c r="J15" i="8"/>
  <c r="J18" i="8" l="1"/>
  <c r="H19" i="8"/>
  <c r="J19" i="8" l="1"/>
  <c r="H20" i="8"/>
  <c r="J20" i="8" l="1"/>
  <c r="H21" i="8"/>
  <c r="J21" i="8" l="1"/>
  <c r="H22" i="8"/>
  <c r="J22" i="8" l="1"/>
  <c r="H23" i="8"/>
  <c r="J23" i="8" l="1"/>
  <c r="H24" i="8"/>
  <c r="J24" i="8" l="1"/>
  <c r="H25" i="8"/>
  <c r="J25" i="8" l="1"/>
  <c r="H26" i="8"/>
  <c r="H27" i="8" l="1"/>
  <c r="J26" i="8"/>
  <c r="H28" i="8" l="1"/>
  <c r="J27" i="8"/>
  <c r="J28" i="8" l="1"/>
  <c r="H29" i="8"/>
  <c r="J29" i="8" l="1"/>
  <c r="H30" i="8"/>
  <c r="H31" i="8" l="1"/>
  <c r="J30" i="8"/>
  <c r="H32" i="8" l="1"/>
  <c r="J31" i="8"/>
  <c r="H33" i="8" l="1"/>
  <c r="J32" i="8"/>
  <c r="J33" i="8" l="1"/>
  <c r="H34" i="8"/>
  <c r="H35" i="8" l="1"/>
  <c r="J34" i="8"/>
  <c r="J35" i="8" l="1"/>
  <c r="H36" i="8"/>
  <c r="J36" i="8" l="1"/>
  <c r="H37" i="8"/>
  <c r="H38" i="8" l="1"/>
  <c r="J37" i="8"/>
  <c r="J38" i="8" l="1"/>
  <c r="H39" i="8"/>
  <c r="J39" i="8" l="1"/>
  <c r="H40" i="8"/>
  <c r="J40" i="8" l="1"/>
  <c r="H41" i="8"/>
  <c r="H42" i="8" l="1"/>
  <c r="J41" i="8"/>
  <c r="J42" i="8" l="1"/>
  <c r="H43" i="8"/>
  <c r="H44" i="8" l="1"/>
  <c r="J43" i="8"/>
  <c r="H45" i="8" l="1"/>
  <c r="J44" i="8"/>
  <c r="J45" i="8" l="1"/>
  <c r="H46" i="8"/>
  <c r="J46" i="8" l="1"/>
  <c r="H47" i="8"/>
  <c r="H48" i="8" l="1"/>
  <c r="J47" i="8"/>
  <c r="H49" i="8" l="1"/>
  <c r="J48" i="8"/>
  <c r="J49" i="8" l="1"/>
  <c r="H50" i="8"/>
  <c r="J50" i="8" l="1"/>
  <c r="H51" i="8"/>
  <c r="J51" i="8" l="1"/>
  <c r="H52" i="8"/>
  <c r="H53" i="8" l="1"/>
  <c r="J52" i="8"/>
  <c r="J53" i="8" l="1"/>
  <c r="H54" i="8"/>
  <c r="J54" i="8" l="1"/>
  <c r="H55" i="8"/>
  <c r="J55" i="8" l="1"/>
  <c r="H56" i="8"/>
  <c r="H57" i="8" l="1"/>
  <c r="J56" i="8"/>
  <c r="J57" i="8" l="1"/>
  <c r="H58" i="8"/>
  <c r="H59" i="8" l="1"/>
  <c r="J58" i="8"/>
  <c r="J59" i="8" l="1"/>
  <c r="H60" i="8"/>
  <c r="H61" i="8" l="1"/>
  <c r="J60" i="8"/>
  <c r="J61" i="8" l="1"/>
  <c r="H62" i="8"/>
  <c r="H63" i="8" l="1"/>
  <c r="J62" i="8"/>
  <c r="J63" i="8" l="1"/>
  <c r="H64" i="8"/>
  <c r="J64" i="8" s="1"/>
</calcChain>
</file>

<file path=xl/sharedStrings.xml><?xml version="1.0" encoding="utf-8"?>
<sst xmlns="http://schemas.openxmlformats.org/spreadsheetml/2006/main" count="74" uniqueCount="70">
  <si>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</si>
  <si>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</si>
  <si>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</si>
  <si>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</si>
  <si>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</si>
  <si>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</si>
  <si>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</si>
  <si>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</si>
  <si>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</si>
  <si>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</si>
  <si>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</si>
  <si>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SCHOOLS DIVISION OF SIPALAY CITY</t>
  </si>
  <si>
    <t>Add: 01/06/2020 - 01/31/2020</t>
  </si>
  <si>
    <t>Add: 02/01/2020 - 12/31/2020</t>
  </si>
  <si>
    <t>Less: 15 days monetization (11/24/2021)</t>
  </si>
  <si>
    <t>Add: 11/01/2021 - 12/31/2021</t>
  </si>
  <si>
    <t>DATE OF APPOINTMENT:  JANUARY 6, 2020</t>
  </si>
  <si>
    <t>Add: 07/01/2021 - 10/31/2021</t>
  </si>
  <si>
    <t>Less: 06/30/2021</t>
  </si>
  <si>
    <t>Less: 06/30/2022</t>
  </si>
  <si>
    <t>Less: 25 days monetization (2022)</t>
  </si>
  <si>
    <t>Less: Forced Leave (2021)</t>
  </si>
  <si>
    <t>Add: 01/01/2022 - 06/30/2022</t>
  </si>
  <si>
    <t>Add: 07/01/2022 - 12/31/2022</t>
  </si>
  <si>
    <t>ADD: 01/01/23 - 06/30/23</t>
  </si>
  <si>
    <t>LESS: 06/30/23</t>
  </si>
  <si>
    <t>LESS: 07/13 &amp; 14/23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</si>
  <si>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</si>
  <si>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</si>
  <si>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</si>
  <si>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</si>
  <si>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</si>
  <si>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</si>
  <si>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</si>
  <si>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ADD: 07/01/2023-09/30/2023</t>
  </si>
  <si>
    <t>LESS: MONETIZATION 2023</t>
  </si>
  <si>
    <t>ADD: 10/01/2023-12/31/2023</t>
  </si>
  <si>
    <t>LESS: 12/28-29/2023</t>
  </si>
  <si>
    <t>ADD: 01/01/2024-03/31/2024</t>
  </si>
  <si>
    <t>LESS: 04/08/2024</t>
  </si>
  <si>
    <t>ADD: APRIL-MAY 31, 2024</t>
  </si>
  <si>
    <t>LESS: 05/28-29/2024</t>
  </si>
  <si>
    <t>ADD: JUNE-JULY 31, 2024</t>
  </si>
  <si>
    <t>LESS: FL 2022</t>
  </si>
  <si>
    <t>LESS: FL 2023</t>
  </si>
  <si>
    <t>LESS: 09/02/2024</t>
  </si>
  <si>
    <t>ADD: 08/1-31/2024</t>
  </si>
  <si>
    <t>LESS: 09/26/2024</t>
  </si>
  <si>
    <t>Add: 01/01/2021 - 06/30/2021</t>
  </si>
  <si>
    <t>ADD: 09/1/2024-11/30/2024</t>
  </si>
  <si>
    <t>LESS: 12/23 &amp; 27/2024</t>
  </si>
  <si>
    <t>LESS: 12/26/2024</t>
  </si>
  <si>
    <t>LESS: 01/2-3/2025</t>
  </si>
  <si>
    <t>ADD: 12/1-31/2024</t>
  </si>
  <si>
    <t>LESS: 01/20-22/2025</t>
  </si>
  <si>
    <t>ADD: 01/1/2025-03/31/2025</t>
  </si>
  <si>
    <t>LESS: 05/5-6/2025</t>
  </si>
  <si>
    <t>ADD: 04/1-30/2025</t>
  </si>
  <si>
    <t>LESS: 05/21-23/2025</t>
  </si>
  <si>
    <t>LESS: 05/30/2025</t>
  </si>
  <si>
    <t>ADD: 05/1/2025-06/30/2025</t>
  </si>
  <si>
    <t>LESS: FL 2020</t>
  </si>
  <si>
    <t>LESS: MONETIZATION 2025</t>
  </si>
  <si>
    <t>ADD: 07/1/2025-08/31/2025</t>
  </si>
  <si>
    <t>LESS: 09/5/2025</t>
  </si>
  <si>
    <t>LESS:  FL 2024</t>
  </si>
  <si>
    <t>NEGROS ISLAND REGION</t>
  </si>
  <si>
    <t>LESS: 09/29/2025</t>
  </si>
  <si>
    <t>ADD: 09/1/2025-10/31/2025</t>
  </si>
  <si>
    <t>LESS: 10/13-17 &amp; 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</si>
</sst>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2" borderId="6" xfId="0" quotePrefix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9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351255</xdr:colOff>
      <xdr:row>0</xdr:row>
      <xdr:rowOff>60158</xdr:rowOff>
    </xdr:from>
    <xdr:to>
      <xdr:col>4</xdr:col>
      <xdr:colOff>305302</xdr:colOff>
      <xdr:row>0</xdr:row>
      <xdr:rowOff>771358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071" y="60158"/>
          <a:ext cx="726073" cy="7112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35091</xdr:colOff>
      <xdr:row>67</xdr:row>
      <xdr:rowOff>177966</xdr:rowOff>
    </xdr:from>
    <xdr:to>
      <xdr:col>9</xdr:col>
      <xdr:colOff>541421</xdr:colOff>
      <xdr:row>70</xdr:row>
      <xdr:rowOff>180473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6471986" y="12149387"/>
          <a:ext cx="2822409" cy="1025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554A89-E80F-4B83-B528-891B0E9E92D1}"/>
            </a:ext>
          </a:extLst>
        </xdr:cNvPr>
        <xdr:cNvSpPr txBox="1"/>
      </xdr:nvSpPr>
      <xdr:spPr>
        <a:xfrm>
          <a:off x="573942" y="1377461"/>
          <a:ext cx="19706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IVY JIECHA C. SEGARRA</a:t>
          </a:r>
        </a:p>
      </xdr:txBody>
    </xdr:sp>
    <xdr:clientData/>
  </xdr:twoCellAnchor>
  <xdr:twoCellAnchor>
    <xdr:from>
      <xdr:col>0</xdr:col>
      <xdr:colOff>930841</xdr:colOff>
      <xdr:row>7</xdr:row>
      <xdr:rowOff>27636</xdr:rowOff>
    </xdr:from>
    <xdr:to>
      <xdr:col>1</xdr:col>
      <xdr:colOff>232535</xdr:colOff>
      <xdr:row>8</xdr:row>
      <xdr:rowOff>126421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D4F8D-917C-475B-87FA-313A358D43E2}"/>
            </a:ext>
          </a:extLst>
        </xdr:cNvPr>
        <xdr:cNvSpPr txBox="1"/>
      </xdr:nvSpPr>
      <xdr:spPr>
        <a:xfrm>
          <a:off x="930841" y="1685320"/>
          <a:ext cx="2008799" cy="2525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1FB0EE-114D-476B-94A8-DA7D297101A4}"/>
            </a:ext>
          </a:extLst>
        </xdr:cNvPr>
        <xdr:cNvSpPr txBox="1"/>
      </xdr:nvSpPr>
      <xdr:spPr>
        <a:xfrm>
          <a:off x="37743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 - 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view="pageBreakPreview" topLeftCell="A50" zoomScale="95" zoomScaleNormal="100" zoomScaleSheetLayoutView="95" workbookViewId="0">
      <selection activeCell="F61" sqref="F61"/>
    </sheetView>
  </sheetViews>
  <sheetFormatPr defaultRowHeight="15" x14ac:dyDescent="0.25"/>
  <cols>
    <col min="1" max="1" width="38.7109375" customWidth="1"/>
    <col min="2" max="2" width="11.5703125" style="7" customWidth="1"/>
    <col min="3" max="3" width="11.5703125" style="8" customWidth="1"/>
    <col min="4" max="4" width="11.5703125" style="7" customWidth="1"/>
    <col min="5" max="5" width="11.5703125" style="8" customWidth="1"/>
    <col min="6" max="7" width="11.5703125" customWidth="1"/>
    <col min="8" max="8" width="11.5703125" style="7" customWidth="1"/>
    <col min="9" max="9" width="11.5703125" style="8" customWidth="1"/>
    <col min="10" max="10" width="11.5703125" customWidth="1"/>
  </cols>
  <sheetData>
    <row r="1" spans="1:10" s="1" customFormat="1" ht="64.5" customHeight="1" x14ac:dyDescent="0.25">
      <c r="A1" s="10"/>
      <c r="F1"/>
    </row>
    <row r="2" spans="1:10" s="1" customFormat="1" ht="10.5" customHeight="1" x14ac:dyDescent="0.25">
      <c r="A2" s="33" t="s">
        <v>9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1" customFormat="1" ht="15.95" customHeight="1" x14ac:dyDescent="0.25">
      <c r="A3" s="33" t="s">
        <v>10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s="1" customFormat="1" ht="15.95" customHeight="1" x14ac:dyDescent="0.25">
      <c r="A4" s="33" t="s">
        <v>66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s="1" customFormat="1" ht="15.95" customHeight="1" x14ac:dyDescent="0.25">
      <c r="A5" s="33" t="s">
        <v>11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s="1" customFormat="1" ht="8.25" customHeight="1" x14ac:dyDescent="0.25">
      <c r="A6" s="10"/>
      <c r="F6"/>
    </row>
    <row r="7" spans="1:10" s="1" customFormat="1" ht="12" customHeight="1" x14ac:dyDescent="0.25">
      <c r="A7" s="10" t="s">
        <v>27</v>
      </c>
      <c r="B7" s="44" t="s">
        <v>28</v>
      </c>
      <c r="C7" s="44"/>
      <c r="D7" s="44"/>
      <c r="F7"/>
      <c r="H7" s="3" t="s">
        <v>29</v>
      </c>
      <c r="I7" s="16"/>
      <c r="J7" s="3"/>
    </row>
    <row r="8" spans="1:10" s="1" customFormat="1" ht="12" customHeight="1" x14ac:dyDescent="0.25">
      <c r="A8" s="10"/>
      <c r="B8" s="2"/>
      <c r="C8" s="2"/>
      <c r="F8"/>
      <c r="H8" s="2"/>
      <c r="I8" s="2"/>
      <c r="J8" s="2"/>
    </row>
    <row r="9" spans="1:10" s="1" customFormat="1" ht="12" customHeight="1" x14ac:dyDescent="0.25">
      <c r="A9" s="10" t="s">
        <v>30</v>
      </c>
      <c r="B9" s="44" t="s">
        <v>31</v>
      </c>
      <c r="C9" s="44"/>
      <c r="D9" s="44"/>
      <c r="F9"/>
      <c r="H9" s="3" t="s">
        <v>32</v>
      </c>
      <c r="I9" s="17"/>
      <c r="J9" s="3"/>
    </row>
    <row r="10" spans="1:10" ht="16.5" customHeight="1" thickBot="1" x14ac:dyDescent="0.3">
      <c r="A10" s="45" t="s">
        <v>33</v>
      </c>
      <c r="B10" s="45"/>
      <c r="C10" s="45"/>
      <c r="D10" s="45"/>
      <c r="E10" s="45"/>
      <c r="F10" s="45"/>
      <c r="G10" s="45"/>
      <c r="H10" s="45"/>
      <c r="I10" s="45"/>
      <c r="J10" s="45"/>
    </row>
    <row r="11" spans="1:10" s="4" customFormat="1" ht="13.5" customHeight="1" thickBot="1" x14ac:dyDescent="0.25">
      <c r="A11" s="30" t="s">
        <v>16</v>
      </c>
      <c r="B11" s="31"/>
      <c r="C11" s="31"/>
      <c r="D11" s="31"/>
      <c r="E11" s="31"/>
      <c r="F11" s="31"/>
      <c r="G11" s="31"/>
      <c r="H11" s="31"/>
      <c r="I11" s="31"/>
      <c r="J11" s="32"/>
    </row>
    <row r="12" spans="1:10" s="4" customFormat="1" ht="14.25" customHeight="1" x14ac:dyDescent="0.2">
      <c r="A12" s="34" t="s">
        <v>3</v>
      </c>
      <c r="B12" s="36" t="s">
        <v>4</v>
      </c>
      <c r="C12" s="37"/>
      <c r="D12" s="38" t="s">
        <v>5</v>
      </c>
      <c r="E12" s="39"/>
      <c r="F12" s="39"/>
      <c r="G12" s="39"/>
      <c r="H12" s="40" t="s">
        <v>6</v>
      </c>
      <c r="I12" s="41"/>
      <c r="J12" s="42" t="s">
        <v>7</v>
      </c>
    </row>
    <row r="13" spans="1:10" s="4" customFormat="1" ht="21.75" customHeight="1" x14ac:dyDescent="0.2">
      <c r="A13" s="35"/>
      <c r="B13" s="12" t="s">
        <v>0</v>
      </c>
      <c r="C13" s="13" t="s">
        <v>1</v>
      </c>
      <c r="D13" s="12" t="s">
        <v>0</v>
      </c>
      <c r="E13" s="13" t="s">
        <v>1</v>
      </c>
      <c r="F13" s="21" t="s">
        <v>2</v>
      </c>
      <c r="G13" s="14" t="s">
        <v>8</v>
      </c>
      <c r="H13" s="12" t="s">
        <v>0</v>
      </c>
      <c r="I13" s="13" t="s">
        <v>1</v>
      </c>
      <c r="J13" s="43"/>
    </row>
    <row r="14" spans="1:10" s="1" customFormat="1" ht="15.75" customHeight="1" x14ac:dyDescent="0.25">
      <c r="A14" s="5" t="s">
        <v>12</v>
      </c>
      <c r="B14" s="22">
        <v>1.083</v>
      </c>
      <c r="C14" s="22">
        <v>1.083</v>
      </c>
      <c r="D14" s="22"/>
      <c r="E14" s="22"/>
      <c r="F14" s="22"/>
      <c r="G14" s="24"/>
      <c r="H14" s="22">
        <f>B14-D14</f>
        <v>1.083</v>
      </c>
      <c r="I14" s="22">
        <f>C14-E14</f>
        <v>1.083</v>
      </c>
      <c r="J14" s="15">
        <f>SUM(H14+I14)</f>
        <v>2.1659999999999999</v>
      </c>
    </row>
    <row r="15" spans="1:10" s="1" customFormat="1" ht="15.75" customHeight="1" x14ac:dyDescent="0.25">
      <c r="A15" s="6" t="s">
        <v>13</v>
      </c>
      <c r="B15" s="22">
        <v>13.75</v>
      </c>
      <c r="C15" s="22">
        <v>13.75</v>
      </c>
      <c r="D15" s="22"/>
      <c r="E15" s="22"/>
      <c r="F15" s="22"/>
      <c r="G15" s="24"/>
      <c r="H15" s="22">
        <f>H14-F15-D15+B15</f>
        <v>14.833</v>
      </c>
      <c r="I15" s="22">
        <f>I14-E15+C15</f>
        <v>14.833</v>
      </c>
      <c r="J15" s="15">
        <f t="shared" ref="J15" si="0">H15+I15</f>
        <v>29.666</v>
      </c>
    </row>
    <row r="16" spans="1:10" s="1" customFormat="1" ht="15.75" customHeight="1" x14ac:dyDescent="0.25">
      <c r="A16" s="6" t="s">
        <v>61</v>
      </c>
      <c r="B16" s="22"/>
      <c r="C16" s="22"/>
      <c r="D16" s="22"/>
      <c r="E16" s="22"/>
      <c r="F16" s="22">
        <v>5</v>
      </c>
      <c r="G16" s="24"/>
      <c r="H16" s="22">
        <f t="shared" ref="H16:H61" si="1">H15-F16-D16+B16</f>
        <v>9.8330000000000002</v>
      </c>
      <c r="I16" s="22">
        <f t="shared" ref="I16:I61" si="2">I15-E16+C16</f>
        <v>14.833</v>
      </c>
      <c r="J16" s="15">
        <f t="shared" ref="J16:J61" si="3">H16+I16</f>
        <v>24.666</v>
      </c>
    </row>
    <row r="17" spans="1:10" s="1" customFormat="1" ht="15.75" customHeight="1" x14ac:dyDescent="0.25">
      <c r="A17" s="6" t="s">
        <v>48</v>
      </c>
      <c r="B17" s="22">
        <f>1.25*6</f>
        <v>7.5</v>
      </c>
      <c r="C17" s="22">
        <f>B17</f>
        <v>7.5</v>
      </c>
      <c r="D17" s="22"/>
      <c r="E17" s="22"/>
      <c r="F17" s="22"/>
      <c r="G17" s="24"/>
      <c r="H17" s="22">
        <f t="shared" si="1"/>
        <v>17.332999999999998</v>
      </c>
      <c r="I17" s="22">
        <f t="shared" si="2"/>
        <v>22.332999999999998</v>
      </c>
      <c r="J17" s="15">
        <f t="shared" si="3"/>
        <v>39.665999999999997</v>
      </c>
    </row>
    <row r="18" spans="1:10" s="1" customFormat="1" ht="15.75" customHeight="1" x14ac:dyDescent="0.25">
      <c r="A18" s="9" t="s">
        <v>18</v>
      </c>
      <c r="B18" s="22"/>
      <c r="C18" s="22"/>
      <c r="D18" s="22"/>
      <c r="E18" s="22"/>
      <c r="F18" s="22"/>
      <c r="G18" s="24">
        <v>1</v>
      </c>
      <c r="H18" s="22">
        <f t="shared" si="1"/>
        <v>17.332999999999998</v>
      </c>
      <c r="I18" s="22">
        <f t="shared" si="2"/>
        <v>22.332999999999998</v>
      </c>
      <c r="J18" s="15">
        <f t="shared" si="3"/>
        <v>39.665999999999997</v>
      </c>
    </row>
    <row r="19" spans="1:10" s="1" customFormat="1" ht="15.75" customHeight="1" x14ac:dyDescent="0.25">
      <c r="A19" s="9" t="s">
        <v>17</v>
      </c>
      <c r="B19" s="22">
        <f>1.25*4</f>
        <v>5</v>
      </c>
      <c r="C19" s="22">
        <v>5</v>
      </c>
      <c r="D19" s="22"/>
      <c r="E19" s="22"/>
      <c r="F19" s="22"/>
      <c r="G19" s="24"/>
      <c r="H19" s="22">
        <f t="shared" si="1"/>
        <v>22.332999999999998</v>
      </c>
      <c r="I19" s="22">
        <f t="shared" si="2"/>
        <v>27.332999999999998</v>
      </c>
      <c r="J19" s="15">
        <f t="shared" si="3"/>
        <v>49.665999999999997</v>
      </c>
    </row>
    <row r="20" spans="1:10" s="1" customFormat="1" ht="15.75" customHeight="1" x14ac:dyDescent="0.25">
      <c r="A20" s="6" t="s">
        <v>14</v>
      </c>
      <c r="B20" s="22"/>
      <c r="C20" s="22"/>
      <c r="D20" s="22">
        <v>15</v>
      </c>
      <c r="E20" s="22"/>
      <c r="F20" s="22"/>
      <c r="G20" s="24"/>
      <c r="H20" s="22">
        <f t="shared" si="1"/>
        <v>7.3329999999999984</v>
      </c>
      <c r="I20" s="22">
        <f t="shared" si="2"/>
        <v>27.332999999999998</v>
      </c>
      <c r="J20" s="15">
        <f t="shared" si="3"/>
        <v>34.665999999999997</v>
      </c>
    </row>
    <row r="21" spans="1:10" s="1" customFormat="1" ht="15.75" customHeight="1" x14ac:dyDescent="0.25">
      <c r="A21" s="6" t="s">
        <v>15</v>
      </c>
      <c r="B21" s="22">
        <v>2.5</v>
      </c>
      <c r="C21" s="22">
        <v>2.5</v>
      </c>
      <c r="D21" s="22"/>
      <c r="E21" s="22"/>
      <c r="F21" s="22"/>
      <c r="G21" s="24"/>
      <c r="H21" s="22">
        <f t="shared" si="1"/>
        <v>9.8329999999999984</v>
      </c>
      <c r="I21" s="22">
        <f t="shared" si="2"/>
        <v>29.832999999999998</v>
      </c>
      <c r="J21" s="15">
        <f t="shared" si="3"/>
        <v>39.665999999999997</v>
      </c>
    </row>
    <row r="22" spans="1:10" s="1" customFormat="1" ht="15.75" customHeight="1" x14ac:dyDescent="0.25">
      <c r="A22" s="6" t="s">
        <v>21</v>
      </c>
      <c r="B22" s="22"/>
      <c r="C22" s="22"/>
      <c r="D22" s="22"/>
      <c r="E22" s="22"/>
      <c r="F22" s="22">
        <v>5</v>
      </c>
      <c r="G22" s="24"/>
      <c r="H22" s="22">
        <f t="shared" si="1"/>
        <v>4.8329999999999984</v>
      </c>
      <c r="I22" s="22">
        <f t="shared" si="2"/>
        <v>29.832999999999998</v>
      </c>
      <c r="J22" s="15">
        <f t="shared" si="3"/>
        <v>34.665999999999997</v>
      </c>
    </row>
    <row r="23" spans="1:10" s="1" customFormat="1" ht="15.75" customHeight="1" x14ac:dyDescent="0.25">
      <c r="A23" s="6" t="s">
        <v>22</v>
      </c>
      <c r="B23" s="22">
        <f>1.25*6</f>
        <v>7.5</v>
      </c>
      <c r="C23" s="22">
        <f>B23</f>
        <v>7.5</v>
      </c>
      <c r="D23" s="22"/>
      <c r="E23" s="22"/>
      <c r="F23" s="22"/>
      <c r="G23" s="24"/>
      <c r="H23" s="22">
        <f t="shared" si="1"/>
        <v>12.332999999999998</v>
      </c>
      <c r="I23" s="22">
        <f t="shared" si="2"/>
        <v>37.332999999999998</v>
      </c>
      <c r="J23" s="15">
        <f t="shared" si="3"/>
        <v>49.665999999999997</v>
      </c>
    </row>
    <row r="24" spans="1:10" s="1" customFormat="1" ht="15.75" customHeight="1" x14ac:dyDescent="0.25">
      <c r="A24" s="6" t="s">
        <v>19</v>
      </c>
      <c r="B24" s="22"/>
      <c r="C24" s="22"/>
      <c r="D24" s="22"/>
      <c r="E24" s="22"/>
      <c r="F24" s="22"/>
      <c r="G24" s="24">
        <v>1</v>
      </c>
      <c r="H24" s="22">
        <f t="shared" si="1"/>
        <v>12.332999999999998</v>
      </c>
      <c r="I24" s="22">
        <f t="shared" si="2"/>
        <v>37.332999999999998</v>
      </c>
      <c r="J24" s="15">
        <f t="shared" si="3"/>
        <v>49.665999999999997</v>
      </c>
    </row>
    <row r="25" spans="1:10" s="1" customFormat="1" ht="15.75" customHeight="1" x14ac:dyDescent="0.25">
      <c r="A25" s="6" t="s">
        <v>20</v>
      </c>
      <c r="B25" s="22"/>
      <c r="C25" s="22"/>
      <c r="D25" s="22"/>
      <c r="E25" s="22">
        <v>25</v>
      </c>
      <c r="F25" s="22"/>
      <c r="G25" s="24"/>
      <c r="H25" s="22">
        <f t="shared" si="1"/>
        <v>12.332999999999998</v>
      </c>
      <c r="I25" s="22">
        <f t="shared" si="2"/>
        <v>12.332999999999998</v>
      </c>
      <c r="J25" s="15">
        <f t="shared" si="3"/>
        <v>24.665999999999997</v>
      </c>
    </row>
    <row r="26" spans="1:10" s="1" customFormat="1" ht="15.75" customHeight="1" x14ac:dyDescent="0.25">
      <c r="A26" s="6" t="s">
        <v>23</v>
      </c>
      <c r="B26" s="22">
        <f>1.25*6</f>
        <v>7.5</v>
      </c>
      <c r="C26" s="22">
        <v>7.5</v>
      </c>
      <c r="D26" s="22"/>
      <c r="E26" s="22"/>
      <c r="F26" s="22"/>
      <c r="G26" s="24"/>
      <c r="H26" s="22">
        <f t="shared" si="1"/>
        <v>19.832999999999998</v>
      </c>
      <c r="I26" s="22">
        <f t="shared" si="2"/>
        <v>19.832999999999998</v>
      </c>
      <c r="J26" s="15">
        <f t="shared" si="3"/>
        <v>39.665999999999997</v>
      </c>
    </row>
    <row r="27" spans="1:10" s="1" customFormat="1" ht="15.75" customHeight="1" x14ac:dyDescent="0.25">
      <c r="A27" s="6" t="s">
        <v>43</v>
      </c>
      <c r="B27" s="22"/>
      <c r="C27" s="22"/>
      <c r="D27" s="22"/>
      <c r="E27" s="22"/>
      <c r="F27" s="22">
        <v>5</v>
      </c>
      <c r="G27" s="24"/>
      <c r="H27" s="22">
        <f t="shared" si="1"/>
        <v>14.832999999999998</v>
      </c>
      <c r="I27" s="22">
        <f t="shared" si="2"/>
        <v>19.832999999999998</v>
      </c>
      <c r="J27" s="15">
        <f t="shared" si="3"/>
        <v>34.665999999999997</v>
      </c>
    </row>
    <row r="28" spans="1:10" s="1" customFormat="1" ht="15.75" customHeight="1" x14ac:dyDescent="0.25">
      <c r="A28" s="6" t="s">
        <v>24</v>
      </c>
      <c r="B28" s="22">
        <v>7.5</v>
      </c>
      <c r="C28" s="22">
        <v>7.5</v>
      </c>
      <c r="D28" s="22"/>
      <c r="E28" s="22"/>
      <c r="F28" s="22"/>
      <c r="G28" s="24"/>
      <c r="H28" s="22">
        <f t="shared" si="1"/>
        <v>22.332999999999998</v>
      </c>
      <c r="I28" s="22">
        <f t="shared" si="2"/>
        <v>27.332999999999998</v>
      </c>
      <c r="J28" s="15">
        <f t="shared" si="3"/>
        <v>49.665999999999997</v>
      </c>
    </row>
    <row r="29" spans="1:10" s="1" customFormat="1" ht="15.75" customHeight="1" x14ac:dyDescent="0.25">
      <c r="A29" s="11" t="s">
        <v>25</v>
      </c>
      <c r="B29" s="22"/>
      <c r="C29" s="22"/>
      <c r="D29" s="22"/>
      <c r="E29" s="22"/>
      <c r="F29" s="22"/>
      <c r="G29" s="24">
        <v>1</v>
      </c>
      <c r="H29" s="22">
        <f t="shared" si="1"/>
        <v>22.332999999999998</v>
      </c>
      <c r="I29" s="22">
        <f t="shared" si="2"/>
        <v>27.332999999999998</v>
      </c>
      <c r="J29" s="15">
        <f t="shared" si="3"/>
        <v>49.665999999999997</v>
      </c>
    </row>
    <row r="30" spans="1:10" s="1" customFormat="1" ht="15.75" customHeight="1" x14ac:dyDescent="0.25">
      <c r="A30" s="11" t="s">
        <v>26</v>
      </c>
      <c r="B30" s="22"/>
      <c r="C30" s="22"/>
      <c r="D30" s="22"/>
      <c r="E30" s="22"/>
      <c r="F30" s="22">
        <v>2</v>
      </c>
      <c r="G30" s="24"/>
      <c r="H30" s="22">
        <f t="shared" si="1"/>
        <v>20.332999999999998</v>
      </c>
      <c r="I30" s="22">
        <f t="shared" si="2"/>
        <v>27.332999999999998</v>
      </c>
      <c r="J30" s="15">
        <f t="shared" si="3"/>
        <v>47.665999999999997</v>
      </c>
    </row>
    <row r="31" spans="1:10" s="1" customFormat="1" ht="15.75" customHeight="1" x14ac:dyDescent="0.25">
      <c r="A31" s="11" t="s">
        <v>34</v>
      </c>
      <c r="B31" s="22">
        <f>3*1.25</f>
        <v>3.75</v>
      </c>
      <c r="C31" s="22">
        <v>3.75</v>
      </c>
      <c r="D31" s="22"/>
      <c r="E31" s="22"/>
      <c r="F31" s="22"/>
      <c r="G31" s="24"/>
      <c r="H31" s="22">
        <f t="shared" si="1"/>
        <v>24.082999999999998</v>
      </c>
      <c r="I31" s="22">
        <f t="shared" si="2"/>
        <v>31.082999999999998</v>
      </c>
      <c r="J31" s="15">
        <f t="shared" si="3"/>
        <v>55.165999999999997</v>
      </c>
    </row>
    <row r="32" spans="1:10" s="1" customFormat="1" ht="15.75" customHeight="1" x14ac:dyDescent="0.25">
      <c r="A32" s="11" t="s">
        <v>35</v>
      </c>
      <c r="B32" s="22"/>
      <c r="C32" s="22"/>
      <c r="D32" s="22">
        <v>21</v>
      </c>
      <c r="E32" s="22">
        <v>4</v>
      </c>
      <c r="F32" s="22"/>
      <c r="G32" s="24"/>
      <c r="H32" s="22">
        <f t="shared" si="1"/>
        <v>3.0829999999999984</v>
      </c>
      <c r="I32" s="22">
        <f t="shared" si="2"/>
        <v>27.082999999999998</v>
      </c>
      <c r="J32" s="15">
        <f t="shared" si="3"/>
        <v>30.165999999999997</v>
      </c>
    </row>
    <row r="33" spans="1:10" s="1" customFormat="1" ht="15.75" customHeight="1" x14ac:dyDescent="0.25">
      <c r="A33" s="18" t="s">
        <v>36</v>
      </c>
      <c r="B33" s="22">
        <f>3*1.25</f>
        <v>3.75</v>
      </c>
      <c r="C33" s="22">
        <v>3.75</v>
      </c>
      <c r="D33" s="22"/>
      <c r="E33" s="22"/>
      <c r="F33" s="22"/>
      <c r="G33" s="24"/>
      <c r="H33" s="22">
        <f t="shared" si="1"/>
        <v>6.8329999999999984</v>
      </c>
      <c r="I33" s="22">
        <f t="shared" si="2"/>
        <v>30.832999999999998</v>
      </c>
      <c r="J33" s="15">
        <f t="shared" si="3"/>
        <v>37.665999999999997</v>
      </c>
    </row>
    <row r="34" spans="1:10" s="1" customFormat="1" ht="15.75" customHeight="1" x14ac:dyDescent="0.25">
      <c r="A34" s="18" t="s">
        <v>37</v>
      </c>
      <c r="B34" s="22"/>
      <c r="C34" s="22"/>
      <c r="D34" s="22"/>
      <c r="E34" s="22">
        <v>2</v>
      </c>
      <c r="F34" s="22"/>
      <c r="G34" s="24"/>
      <c r="H34" s="22">
        <f t="shared" si="1"/>
        <v>6.8329999999999984</v>
      </c>
      <c r="I34" s="22">
        <f t="shared" si="2"/>
        <v>28.832999999999998</v>
      </c>
      <c r="J34" s="15">
        <f t="shared" si="3"/>
        <v>35.665999999999997</v>
      </c>
    </row>
    <row r="35" spans="1:10" s="1" customFormat="1" ht="15.75" customHeight="1" x14ac:dyDescent="0.25">
      <c r="A35" s="18" t="s">
        <v>44</v>
      </c>
      <c r="B35" s="22"/>
      <c r="C35" s="22"/>
      <c r="D35" s="22"/>
      <c r="E35" s="22"/>
      <c r="F35" s="22">
        <v>3</v>
      </c>
      <c r="G35" s="24"/>
      <c r="H35" s="22">
        <f t="shared" si="1"/>
        <v>3.8329999999999984</v>
      </c>
      <c r="I35" s="22">
        <f t="shared" si="2"/>
        <v>28.832999999999998</v>
      </c>
      <c r="J35" s="15">
        <f t="shared" si="3"/>
        <v>32.665999999999997</v>
      </c>
    </row>
    <row r="36" spans="1:10" s="1" customFormat="1" ht="15.75" customHeight="1" x14ac:dyDescent="0.25">
      <c r="A36" s="23" t="s">
        <v>38</v>
      </c>
      <c r="B36" s="22">
        <v>3.75</v>
      </c>
      <c r="C36" s="22">
        <v>3.75</v>
      </c>
      <c r="D36" s="22"/>
      <c r="E36" s="22"/>
      <c r="F36" s="22"/>
      <c r="G36" s="24"/>
      <c r="H36" s="22">
        <f t="shared" si="1"/>
        <v>7.5829999999999984</v>
      </c>
      <c r="I36" s="22">
        <f t="shared" si="2"/>
        <v>32.582999999999998</v>
      </c>
      <c r="J36" s="15">
        <f t="shared" si="3"/>
        <v>40.165999999999997</v>
      </c>
    </row>
    <row r="37" spans="1:10" s="1" customFormat="1" ht="15.75" customHeight="1" x14ac:dyDescent="0.25">
      <c r="A37" s="18" t="s">
        <v>39</v>
      </c>
      <c r="B37" s="22"/>
      <c r="C37" s="22"/>
      <c r="D37" s="22"/>
      <c r="E37" s="22"/>
      <c r="F37" s="22">
        <v>1</v>
      </c>
      <c r="G37" s="24"/>
      <c r="H37" s="22">
        <f t="shared" si="1"/>
        <v>6.5829999999999984</v>
      </c>
      <c r="I37" s="22">
        <f t="shared" si="2"/>
        <v>32.582999999999998</v>
      </c>
      <c r="J37" s="15">
        <f t="shared" si="3"/>
        <v>39.165999999999997</v>
      </c>
    </row>
    <row r="38" spans="1:10" s="1" customFormat="1" ht="15.75" customHeight="1" x14ac:dyDescent="0.25">
      <c r="A38" s="18" t="s">
        <v>40</v>
      </c>
      <c r="B38" s="22">
        <v>2.5</v>
      </c>
      <c r="C38" s="22">
        <v>2.5</v>
      </c>
      <c r="D38" s="22"/>
      <c r="E38" s="22"/>
      <c r="F38" s="22"/>
      <c r="G38" s="24"/>
      <c r="H38" s="22">
        <f t="shared" si="1"/>
        <v>9.0829999999999984</v>
      </c>
      <c r="I38" s="22">
        <f t="shared" si="2"/>
        <v>35.082999999999998</v>
      </c>
      <c r="J38" s="15">
        <f t="shared" si="3"/>
        <v>44.165999999999997</v>
      </c>
    </row>
    <row r="39" spans="1:10" s="1" customFormat="1" ht="15.75" customHeight="1" x14ac:dyDescent="0.25">
      <c r="A39" s="18" t="s">
        <v>41</v>
      </c>
      <c r="B39" s="22"/>
      <c r="C39" s="22"/>
      <c r="D39" s="22"/>
      <c r="E39" s="22">
        <v>2</v>
      </c>
      <c r="F39" s="22"/>
      <c r="G39" s="24"/>
      <c r="H39" s="22">
        <f t="shared" si="1"/>
        <v>9.0829999999999984</v>
      </c>
      <c r="I39" s="22">
        <f t="shared" si="2"/>
        <v>33.082999999999998</v>
      </c>
      <c r="J39" s="15">
        <f t="shared" si="3"/>
        <v>42.165999999999997</v>
      </c>
    </row>
    <row r="40" spans="1:10" s="1" customFormat="1" ht="15.75" hidden="1" customHeight="1" x14ac:dyDescent="0.25">
      <c r="A40" s="10"/>
      <c r="B40" s="19"/>
      <c r="C40" s="20"/>
      <c r="D40" s="19"/>
      <c r="E40" s="20"/>
      <c r="F40" s="25"/>
      <c r="G40" s="26"/>
      <c r="H40" s="22">
        <f t="shared" si="1"/>
        <v>9.0829999999999984</v>
      </c>
      <c r="I40" s="22">
        <f t="shared" si="2"/>
        <v>33.082999999999998</v>
      </c>
      <c r="J40" s="15">
        <f t="shared" si="3"/>
        <v>42.165999999999997</v>
      </c>
    </row>
    <row r="41" spans="1:10" s="1" customFormat="1" ht="15.75" hidden="1" customHeight="1" x14ac:dyDescent="0.25">
      <c r="A41" s="10"/>
      <c r="B41" s="19"/>
      <c r="C41" s="20"/>
      <c r="D41" s="19"/>
      <c r="E41" s="20"/>
      <c r="F41" s="25"/>
      <c r="G41" s="26"/>
      <c r="H41" s="22">
        <f t="shared" si="1"/>
        <v>9.0829999999999984</v>
      </c>
      <c r="I41" s="22">
        <f t="shared" si="2"/>
        <v>33.082999999999998</v>
      </c>
      <c r="J41" s="15">
        <f t="shared" si="3"/>
        <v>42.165999999999997</v>
      </c>
    </row>
    <row r="42" spans="1:10" s="1" customFormat="1" ht="15.75" customHeight="1" x14ac:dyDescent="0.25">
      <c r="A42" s="23" t="s">
        <v>42</v>
      </c>
      <c r="B42" s="22">
        <v>2.5</v>
      </c>
      <c r="C42" s="22">
        <v>2.5</v>
      </c>
      <c r="D42" s="22"/>
      <c r="E42" s="22"/>
      <c r="F42" s="22"/>
      <c r="G42" s="24"/>
      <c r="H42" s="22">
        <f t="shared" si="1"/>
        <v>11.582999999999998</v>
      </c>
      <c r="I42" s="22">
        <f t="shared" si="2"/>
        <v>35.582999999999998</v>
      </c>
      <c r="J42" s="15">
        <f t="shared" si="3"/>
        <v>47.165999999999997</v>
      </c>
    </row>
    <row r="43" spans="1:10" s="1" customFormat="1" ht="15.75" customHeight="1" x14ac:dyDescent="0.25">
      <c r="A43" s="23" t="s">
        <v>45</v>
      </c>
      <c r="B43" s="22"/>
      <c r="C43" s="22"/>
      <c r="D43" s="22"/>
      <c r="E43" s="22"/>
      <c r="F43" s="22"/>
      <c r="G43" s="24">
        <v>1</v>
      </c>
      <c r="H43" s="22">
        <f t="shared" si="1"/>
        <v>11.582999999999998</v>
      </c>
      <c r="I43" s="22">
        <f t="shared" si="2"/>
        <v>35.582999999999998</v>
      </c>
      <c r="J43" s="15">
        <f t="shared" si="3"/>
        <v>47.165999999999997</v>
      </c>
    </row>
    <row r="44" spans="1:10" s="1" customFormat="1" ht="15.75" hidden="1" customHeight="1" x14ac:dyDescent="0.25">
      <c r="A44" s="23"/>
      <c r="B44" s="22"/>
      <c r="C44" s="22"/>
      <c r="D44" s="22"/>
      <c r="E44" s="22"/>
      <c r="F44" s="22"/>
      <c r="G44" s="24"/>
      <c r="H44" s="22">
        <f t="shared" si="1"/>
        <v>11.582999999999998</v>
      </c>
      <c r="I44" s="22">
        <f t="shared" si="2"/>
        <v>35.582999999999998</v>
      </c>
      <c r="J44" s="15">
        <f t="shared" si="3"/>
        <v>47.165999999999997</v>
      </c>
    </row>
    <row r="45" spans="1:10" s="1" customFormat="1" ht="15.75" hidden="1" customHeight="1" x14ac:dyDescent="0.25">
      <c r="A45" s="23"/>
      <c r="B45" s="22"/>
      <c r="C45" s="22"/>
      <c r="D45" s="22"/>
      <c r="E45" s="22"/>
      <c r="F45" s="22"/>
      <c r="G45" s="24"/>
      <c r="H45" s="22">
        <f t="shared" si="1"/>
        <v>11.582999999999998</v>
      </c>
      <c r="I45" s="22">
        <f t="shared" si="2"/>
        <v>35.582999999999998</v>
      </c>
      <c r="J45" s="15">
        <f t="shared" si="3"/>
        <v>47.165999999999997</v>
      </c>
    </row>
    <row r="46" spans="1:10" s="1" customFormat="1" ht="15.75" customHeight="1" x14ac:dyDescent="0.25">
      <c r="A46" s="23" t="s">
        <v>46</v>
      </c>
      <c r="B46" s="22">
        <v>1.25</v>
      </c>
      <c r="C46" s="22">
        <v>1.25</v>
      </c>
      <c r="D46" s="22"/>
      <c r="E46" s="22"/>
      <c r="F46" s="22"/>
      <c r="G46" s="24"/>
      <c r="H46" s="22">
        <f t="shared" si="1"/>
        <v>12.832999999999998</v>
      </c>
      <c r="I46" s="22">
        <f t="shared" si="2"/>
        <v>36.832999999999998</v>
      </c>
      <c r="J46" s="15">
        <f t="shared" si="3"/>
        <v>49.665999999999997</v>
      </c>
    </row>
    <row r="47" spans="1:10" s="1" customFormat="1" ht="15.75" customHeight="1" x14ac:dyDescent="0.25">
      <c r="A47" s="23" t="s">
        <v>47</v>
      </c>
      <c r="B47" s="22"/>
      <c r="C47" s="22"/>
      <c r="D47" s="22"/>
      <c r="E47" s="22"/>
      <c r="F47" s="22">
        <v>1</v>
      </c>
      <c r="G47" s="24"/>
      <c r="H47" s="22">
        <f t="shared" si="1"/>
        <v>11.832999999999998</v>
      </c>
      <c r="I47" s="22">
        <f t="shared" si="2"/>
        <v>36.832999999999998</v>
      </c>
      <c r="J47" s="15">
        <f t="shared" si="3"/>
        <v>48.665999999999997</v>
      </c>
    </row>
    <row r="48" spans="1:10" s="1" customFormat="1" ht="15.75" customHeight="1" x14ac:dyDescent="0.25">
      <c r="A48" s="23" t="s">
        <v>49</v>
      </c>
      <c r="B48" s="22">
        <v>3.75</v>
      </c>
      <c r="C48" s="22">
        <v>3.75</v>
      </c>
      <c r="D48" s="22"/>
      <c r="E48" s="22"/>
      <c r="F48" s="22"/>
      <c r="G48" s="24"/>
      <c r="H48" s="22">
        <f t="shared" si="1"/>
        <v>15.582999999999998</v>
      </c>
      <c r="I48" s="22">
        <f t="shared" si="2"/>
        <v>40.582999999999998</v>
      </c>
      <c r="J48" s="15">
        <f t="shared" si="3"/>
        <v>56.165999999999997</v>
      </c>
    </row>
    <row r="49" spans="1:10" s="1" customFormat="1" ht="15.75" customHeight="1" x14ac:dyDescent="0.25">
      <c r="A49" s="23" t="s">
        <v>50</v>
      </c>
      <c r="B49" s="22"/>
      <c r="C49" s="22"/>
      <c r="D49" s="22"/>
      <c r="E49" s="22"/>
      <c r="F49" s="22">
        <v>2</v>
      </c>
      <c r="G49" s="24"/>
      <c r="H49" s="22">
        <f t="shared" si="1"/>
        <v>13.582999999999998</v>
      </c>
      <c r="I49" s="22">
        <f t="shared" si="2"/>
        <v>40.582999999999998</v>
      </c>
      <c r="J49" s="15">
        <f t="shared" si="3"/>
        <v>54.165999999999997</v>
      </c>
    </row>
    <row r="50" spans="1:10" s="1" customFormat="1" ht="15.75" customHeight="1" x14ac:dyDescent="0.25">
      <c r="A50" s="23" t="s">
        <v>51</v>
      </c>
      <c r="B50" s="22"/>
      <c r="C50" s="22"/>
      <c r="D50" s="22"/>
      <c r="E50" s="22"/>
      <c r="F50" s="22"/>
      <c r="G50" s="24">
        <v>1</v>
      </c>
      <c r="H50" s="22">
        <f t="shared" si="1"/>
        <v>13.582999999999998</v>
      </c>
      <c r="I50" s="22">
        <f t="shared" si="2"/>
        <v>40.582999999999998</v>
      </c>
      <c r="J50" s="15">
        <f t="shared" si="3"/>
        <v>54.165999999999997</v>
      </c>
    </row>
    <row r="51" spans="1:10" s="1" customFormat="1" ht="15.75" customHeight="1" x14ac:dyDescent="0.25">
      <c r="A51" s="23" t="s">
        <v>52</v>
      </c>
      <c r="B51" s="22"/>
      <c r="C51" s="22"/>
      <c r="D51" s="22"/>
      <c r="E51" s="22"/>
      <c r="F51" s="27">
        <v>2</v>
      </c>
      <c r="G51" s="24"/>
      <c r="H51" s="22">
        <f t="shared" si="1"/>
        <v>11.582999999999998</v>
      </c>
      <c r="I51" s="22">
        <f t="shared" si="2"/>
        <v>40.582999999999998</v>
      </c>
      <c r="J51" s="15">
        <f t="shared" si="3"/>
        <v>52.165999999999997</v>
      </c>
    </row>
    <row r="52" spans="1:10" s="1" customFormat="1" ht="15.75" customHeight="1" x14ac:dyDescent="0.25">
      <c r="A52" s="23" t="s">
        <v>53</v>
      </c>
      <c r="B52" s="22">
        <v>1.25</v>
      </c>
      <c r="C52" s="22">
        <v>1.25</v>
      </c>
      <c r="D52" s="22"/>
      <c r="E52" s="22"/>
      <c r="F52" s="22"/>
      <c r="G52" s="24"/>
      <c r="H52" s="22">
        <f t="shared" si="1"/>
        <v>12.832999999999998</v>
      </c>
      <c r="I52" s="22">
        <f t="shared" si="2"/>
        <v>41.832999999999998</v>
      </c>
      <c r="J52" s="15">
        <f t="shared" si="3"/>
        <v>54.665999999999997</v>
      </c>
    </row>
    <row r="53" spans="1:10" s="1" customFormat="1" ht="15.75" customHeight="1" x14ac:dyDescent="0.25">
      <c r="A53" s="23" t="s">
        <v>65</v>
      </c>
      <c r="B53" s="22"/>
      <c r="C53" s="22"/>
      <c r="D53" s="22"/>
      <c r="E53" s="22"/>
      <c r="F53" s="22">
        <v>1</v>
      </c>
      <c r="G53" s="24"/>
      <c r="H53" s="22">
        <f t="shared" si="1"/>
        <v>11.832999999999998</v>
      </c>
      <c r="I53" s="22">
        <f t="shared" si="2"/>
        <v>41.832999999999998</v>
      </c>
      <c r="J53" s="15">
        <f t="shared" si="3"/>
        <v>53.665999999999997</v>
      </c>
    </row>
    <row r="54" spans="1:10" s="1" customFormat="1" ht="15.75" customHeight="1" x14ac:dyDescent="0.25">
      <c r="A54" s="23" t="s">
        <v>54</v>
      </c>
      <c r="B54" s="22"/>
      <c r="C54" s="22"/>
      <c r="D54" s="22"/>
      <c r="E54" s="22">
        <v>3</v>
      </c>
      <c r="F54" s="22"/>
      <c r="G54" s="24"/>
      <c r="H54" s="22">
        <f t="shared" si="1"/>
        <v>11.832999999999998</v>
      </c>
      <c r="I54" s="22">
        <f t="shared" si="2"/>
        <v>38.832999999999998</v>
      </c>
      <c r="J54" s="15">
        <f t="shared" si="3"/>
        <v>50.665999999999997</v>
      </c>
    </row>
    <row r="55" spans="1:10" s="1" customFormat="1" ht="15.75" customHeight="1" x14ac:dyDescent="0.25">
      <c r="A55" s="23" t="s">
        <v>55</v>
      </c>
      <c r="B55" s="22">
        <v>3.75</v>
      </c>
      <c r="C55" s="22">
        <v>3.75</v>
      </c>
      <c r="D55" s="22"/>
      <c r="E55" s="22"/>
      <c r="F55" s="22"/>
      <c r="G55" s="24"/>
      <c r="H55" s="22">
        <f t="shared" si="1"/>
        <v>15.582999999999998</v>
      </c>
      <c r="I55" s="22">
        <f t="shared" si="2"/>
        <v>42.582999999999998</v>
      </c>
      <c r="J55" s="15">
        <f t="shared" si="3"/>
        <v>58.165999999999997</v>
      </c>
    </row>
    <row r="56" spans="1:10" s="1" customFormat="1" ht="15.75" customHeight="1" x14ac:dyDescent="0.25">
      <c r="A56" s="23" t="s">
        <v>56</v>
      </c>
      <c r="B56" s="22"/>
      <c r="C56" s="22"/>
      <c r="D56" s="22"/>
      <c r="E56" s="22"/>
      <c r="F56" s="27">
        <v>2</v>
      </c>
      <c r="G56" s="24"/>
      <c r="H56" s="22">
        <f t="shared" si="1"/>
        <v>13.582999999999998</v>
      </c>
      <c r="I56" s="22">
        <f t="shared" si="2"/>
        <v>42.582999999999998</v>
      </c>
      <c r="J56" s="15">
        <f t="shared" si="3"/>
        <v>56.165999999999997</v>
      </c>
    </row>
    <row r="57" spans="1:10" ht="15.75" customHeight="1" x14ac:dyDescent="0.25">
      <c r="A57" s="23" t="s">
        <v>57</v>
      </c>
      <c r="B57" s="22">
        <v>1.25</v>
      </c>
      <c r="C57" s="22">
        <v>1.25</v>
      </c>
      <c r="D57" s="22"/>
      <c r="E57" s="22"/>
      <c r="F57" s="22"/>
      <c r="G57" s="24"/>
      <c r="H57" s="22">
        <f t="shared" si="1"/>
        <v>14.832999999999998</v>
      </c>
      <c r="I57" s="22">
        <f t="shared" si="2"/>
        <v>43.832999999999998</v>
      </c>
      <c r="J57" s="15">
        <f t="shared" si="3"/>
        <v>58.665999999999997</v>
      </c>
    </row>
    <row r="58" spans="1:10" ht="15.75" customHeight="1" x14ac:dyDescent="0.25">
      <c r="A58" s="23" t="s">
        <v>58</v>
      </c>
      <c r="B58" s="22"/>
      <c r="C58" s="22"/>
      <c r="D58" s="22"/>
      <c r="E58" s="22">
        <v>3</v>
      </c>
      <c r="F58" s="22"/>
      <c r="G58" s="24"/>
      <c r="H58" s="22">
        <f t="shared" si="1"/>
        <v>14.832999999999998</v>
      </c>
      <c r="I58" s="22">
        <f t="shared" si="2"/>
        <v>40.832999999999998</v>
      </c>
      <c r="J58" s="15">
        <f t="shared" si="3"/>
        <v>55.665999999999997</v>
      </c>
    </row>
    <row r="59" spans="1:10" ht="15.75" customHeight="1" x14ac:dyDescent="0.25">
      <c r="A59" s="23" t="s">
        <v>59</v>
      </c>
      <c r="B59" s="22"/>
      <c r="C59" s="22"/>
      <c r="D59" s="22"/>
      <c r="E59" s="22"/>
      <c r="F59" s="22"/>
      <c r="G59" s="29">
        <v>1</v>
      </c>
      <c r="H59" s="22">
        <f t="shared" si="1"/>
        <v>14.832999999999998</v>
      </c>
      <c r="I59" s="22">
        <f t="shared" si="2"/>
        <v>40.832999999999998</v>
      </c>
      <c r="J59" s="15">
        <f t="shared" si="3"/>
        <v>55.665999999999997</v>
      </c>
    </row>
    <row r="60" spans="1:10" ht="15.75" customHeight="1" x14ac:dyDescent="0.25">
      <c r="A60" s="23" t="s">
        <v>60</v>
      </c>
      <c r="B60" s="22">
        <v>2.5</v>
      </c>
      <c r="C60" s="22">
        <v>2.5</v>
      </c>
      <c r="D60" s="22"/>
      <c r="E60" s="22"/>
      <c r="F60" s="22"/>
      <c r="G60" s="24"/>
      <c r="H60" s="22">
        <f t="shared" si="1"/>
        <v>17.332999999999998</v>
      </c>
      <c r="I60" s="22">
        <f t="shared" si="2"/>
        <v>43.332999999999998</v>
      </c>
      <c r="J60" s="15">
        <f t="shared" si="3"/>
        <v>60.665999999999997</v>
      </c>
    </row>
    <row r="61" spans="1:10" ht="15.75" customHeight="1" x14ac:dyDescent="0.25">
      <c r="A61" s="23" t="s">
        <v>62</v>
      </c>
      <c r="B61" s="22"/>
      <c r="C61" s="22"/>
      <c r="D61" s="22">
        <v>10</v>
      </c>
      <c r="E61" s="22"/>
      <c r="F61" s="22"/>
      <c r="G61" s="24"/>
      <c r="H61" s="22">
        <f t="shared" si="1"/>
        <v>7.3329999999999984</v>
      </c>
      <c r="I61" s="22">
        <f t="shared" si="2"/>
        <v>43.332999999999998</v>
      </c>
      <c r="J61" s="15">
        <f t="shared" si="3"/>
        <v>50.665999999999997</v>
      </c>
    </row>
    <row r="62" spans="1:10" ht="15.75" customHeight="1" x14ac:dyDescent="0.25">
      <c r="A62" s="23" t="s">
        <v>63</v>
      </c>
      <c r="B62" s="22">
        <v>2.5</v>
      </c>
      <c r="C62" s="22">
        <v>2.5</v>
      </c>
      <c r="D62" s="22"/>
      <c r="E62" s="22"/>
      <c r="F62" s="22"/>
      <c r="G62" s="24"/>
      <c r="H62" s="22">
        <f t="shared" ref="H62:H63" si="4">H61-F62-D62+B62</f>
        <v>9.8329999999999984</v>
      </c>
      <c r="I62" s="22">
        <f t="shared" ref="I62:I63" si="5">I61-E62+C62</f>
        <v>45.832999999999998</v>
      </c>
      <c r="J62" s="15">
        <f t="shared" ref="J62:J63" si="6">H62+I62</f>
        <v>55.665999999999997</v>
      </c>
    </row>
    <row r="63" spans="1:10" ht="15.75" customHeight="1" x14ac:dyDescent="0.25">
      <c r="A63" s="23" t="s">
        <v>64</v>
      </c>
      <c r="B63" s="22"/>
      <c r="C63" s="22"/>
      <c r="D63" s="22"/>
      <c r="E63" s="22"/>
      <c r="F63" s="22"/>
      <c r="G63" s="29">
        <v>1</v>
      </c>
      <c r="H63" s="22">
        <f t="shared" si="4"/>
        <v>9.8329999999999984</v>
      </c>
      <c r="I63" s="22">
        <f t="shared" si="5"/>
        <v>45.832999999999998</v>
      </c>
      <c r="J63" s="15">
        <f t="shared" si="6"/>
        <v>55.665999999999997</v>
      </c>
    </row>
    <row r="64" spans="1:10" ht="15.75" customHeight="1" x14ac:dyDescent="0.25">
      <c r="A64" s="23" t="s">
        <v>67</v>
      </c>
      <c r="B64" s="22"/>
      <c r="C64" s="22"/>
      <c r="D64" s="22"/>
      <c r="E64" s="22"/>
      <c r="F64" s="22"/>
      <c r="G64" s="29">
        <v>1</v>
      </c>
      <c r="H64" s="22">
        <f t="shared" ref="H64" si="7">H63-F64-D64+B64</f>
        <v>9.8329999999999984</v>
      </c>
      <c r="I64" s="22">
        <f t="shared" ref="I64" si="8">I63-E64+C64</f>
        <v>45.832999999999998</v>
      </c>
      <c r="J64" s="15">
        <f t="shared" ref="J64" si="9">H64+I64</f>
        <v>55.665999999999997</v>
      </c>
    </row>
    <row r="65" spans="1:10" s="46" customFormat="1" ht="15.75" customHeight="1" x14ac:dyDescent="0.25">
      <c r="A65" s="47" t="s">
        <v>68</v>
      </c>
      <c r="B65" s="48">
        <v>2.5</v>
      </c>
      <c r="C65" s="48">
        <v>2.5</v>
      </c>
      <c r="D65" s="48"/>
      <c r="E65" s="48"/>
      <c r="F65" s="48"/>
      <c r="G65" s="49"/>
      <c r="H65" s="22">
        <f t="shared" ref="H65:H66" si="10">H64-F65-D65+B65</f>
        <v>12.332999999999998</v>
      </c>
      <c r="I65" s="22">
        <f t="shared" ref="I65:I66" si="11">I64-E65+C65</f>
        <v>48.332999999999998</v>
      </c>
      <c r="J65" s="15">
        <f t="shared" ref="J65:J66" si="12">H65+I65</f>
        <v>60.665999999999997</v>
      </c>
    </row>
    <row r="66" spans="1:10" s="46" customFormat="1" ht="15.75" customHeight="1" x14ac:dyDescent="0.25">
      <c r="A66" s="47" t="s">
        <v>69</v>
      </c>
      <c r="B66" s="48"/>
      <c r="C66" s="48"/>
      <c r="D66" s="48"/>
      <c r="E66" s="48">
        <v>6</v>
      </c>
      <c r="F66" s="48"/>
      <c r="G66" s="49"/>
      <c r="H66" s="22">
        <f t="shared" si="10"/>
        <v>12.332999999999998</v>
      </c>
      <c r="I66" s="22">
        <f t="shared" si="11"/>
        <v>42.332999999999998</v>
      </c>
      <c r="J66" s="15">
        <f t="shared" si="12"/>
        <v>54.665999999999997</v>
      </c>
    </row>
    <row r="67" spans="1:10" ht="15.75" customHeight="1" x14ac:dyDescent="0.25">
      <c r="A67" s="28"/>
      <c r="B67" s="25"/>
      <c r="C67" s="25"/>
      <c r="D67" s="25"/>
      <c r="E67" s="25"/>
      <c r="F67" s="25"/>
      <c r="G67" s="26"/>
      <c r="H67" s="25"/>
      <c r="I67" s="25"/>
      <c r="J67" s="26"/>
    </row>
    <row r="68" spans="1:10" s="33" customFormat="1" ht="18.75" customHeight="1" x14ac:dyDescent="0.25"/>
    <row r="69" spans="1:10" s="33" customFormat="1" ht="18.75" customHeight="1" x14ac:dyDescent="0.25"/>
    <row r="70" spans="1:10" s="33" customFormat="1" ht="42.75" customHeight="1" x14ac:dyDescent="0.25"/>
    <row r="71" spans="1:10" s="33" customFormat="1" ht="18.75" customHeight="1" x14ac:dyDescent="0.25"/>
  </sheetData>
  <mergeCells count="14">
    <mergeCell ref="B9:D9"/>
    <mergeCell ref="A10:J10"/>
    <mergeCell ref="A2:J2"/>
    <mergeCell ref="A3:J3"/>
    <mergeCell ref="A4:J4"/>
    <mergeCell ref="A5:J5"/>
    <mergeCell ref="B7:D7"/>
    <mergeCell ref="A11:J11"/>
    <mergeCell ref="A68:XFD71"/>
    <mergeCell ref="A12:A13"/>
    <mergeCell ref="B12:C12"/>
    <mergeCell ref="D12:G12"/>
    <mergeCell ref="H12:I12"/>
    <mergeCell ref="J12:J13"/>
  </mergeCells>
  <printOptions horizontalCentered="1"/>
  <pageMargins left="0.25" right="0.25" top="0.25" bottom="0.25" header="0.118110236220472" footer="0.196850393700787"/>
  <pageSetup paperSize="9" scale="6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2025-12-11T02:46:04Z</cp:lastPrinted>
  <dcterms:created xsi:type="dcterms:W3CDTF">2021-10-07T06:10:16Z</dcterms:created>
  <dcterms:modified xsi:type="dcterms:W3CDTF">2025-12-11T02:47:44Z</dcterms:modified>
</cp:coreProperties>
</file>