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F89CD0D2-4497-4E2E-A6E0-F3B829A4D1C1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CTO" sheetId="7" r:id="rId2"/>
    <sheet name="ELECTION (2)" sheetId="9" r:id="rId3"/>
  </sheets>
  <definedNames>
    <definedName name="_xlnm.Print_Area" localSheetId="0">'Leave Card (NE)'!$A$1:$J$71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6" l="1"/>
  <c r="B15" i="6" l="1"/>
  <c r="I14" i="6"/>
  <c r="I15" i="6" s="1"/>
  <c r="I16" i="6" s="1"/>
  <c r="H14" i="6"/>
  <c r="H15" i="6" l="1"/>
  <c r="H16" i="6" s="1"/>
  <c r="H17" i="6" s="1"/>
  <c r="H18" i="6" s="1"/>
  <c r="H19" i="6" s="1"/>
  <c r="I17" i="6"/>
  <c r="J15" i="6" l="1"/>
  <c r="J16" i="6"/>
  <c r="H20" i="6"/>
  <c r="J17" i="6"/>
  <c r="I18" i="6"/>
  <c r="J14" i="6"/>
  <c r="I19" i="6" l="1"/>
  <c r="J18" i="6"/>
  <c r="H21" i="6"/>
  <c r="H22" i="6" l="1"/>
  <c r="I20" i="6"/>
  <c r="J19" i="6"/>
  <c r="I21" i="6" l="1"/>
  <c r="J20" i="6"/>
  <c r="H23" i="6"/>
  <c r="H24" i="6" l="1"/>
  <c r="I22" i="6"/>
  <c r="J21" i="6"/>
  <c r="H25" i="6" l="1"/>
  <c r="I23" i="6"/>
  <c r="J22" i="6"/>
  <c r="I24" i="6" l="1"/>
  <c r="J23" i="6"/>
  <c r="H26" i="6"/>
  <c r="I25" i="6" l="1"/>
  <c r="J24" i="6"/>
  <c r="H27" i="6"/>
  <c r="H28" i="6" l="1"/>
  <c r="I26" i="6"/>
  <c r="J25" i="6"/>
  <c r="H29" i="6" l="1"/>
  <c r="I27" i="6"/>
  <c r="J26" i="6"/>
  <c r="H30" i="6" l="1"/>
  <c r="I28" i="6"/>
  <c r="J27" i="6"/>
  <c r="I29" i="6" l="1"/>
  <c r="J28" i="6"/>
  <c r="H31" i="6"/>
  <c r="H32" i="6" l="1"/>
  <c r="I30" i="6"/>
  <c r="J29" i="6"/>
  <c r="I31" i="6" l="1"/>
  <c r="J30" i="6"/>
  <c r="H33" i="6"/>
  <c r="H34" i="6" s="1"/>
  <c r="H35" i="6" l="1"/>
  <c r="I32" i="6"/>
  <c r="J31" i="6"/>
  <c r="H36" i="6" l="1"/>
  <c r="I33" i="6"/>
  <c r="I34" i="6" s="1"/>
  <c r="J32" i="6"/>
  <c r="I35" i="6" l="1"/>
  <c r="J34" i="6"/>
  <c r="H37" i="6"/>
  <c r="J33" i="6"/>
  <c r="H38" i="6" l="1"/>
  <c r="I36" i="6"/>
  <c r="J35" i="6"/>
  <c r="I37" i="6" l="1"/>
  <c r="J36" i="6"/>
  <c r="H39" i="6"/>
  <c r="H40" i="6" l="1"/>
  <c r="I38" i="6"/>
  <c r="J37" i="6"/>
  <c r="I39" i="6" l="1"/>
  <c r="J38" i="6"/>
  <c r="H41" i="6"/>
  <c r="H42" i="6" l="1"/>
  <c r="I40" i="6"/>
  <c r="J39" i="6"/>
  <c r="I41" i="6" l="1"/>
  <c r="J40" i="6"/>
  <c r="H43" i="6"/>
  <c r="H44" i="6" l="1"/>
  <c r="I42" i="6"/>
  <c r="J41" i="6"/>
  <c r="I43" i="6" l="1"/>
  <c r="J42" i="6"/>
  <c r="H45" i="6"/>
  <c r="H46" i="6" l="1"/>
  <c r="I44" i="6"/>
  <c r="J43" i="6"/>
  <c r="I45" i="6" l="1"/>
  <c r="J44" i="6"/>
  <c r="H47" i="6"/>
  <c r="H48" i="6" l="1"/>
  <c r="I46" i="6"/>
  <c r="J45" i="6"/>
  <c r="H49" i="6" l="1"/>
  <c r="I47" i="6"/>
  <c r="J46" i="6"/>
  <c r="I48" i="6" l="1"/>
  <c r="J47" i="6"/>
  <c r="H50" i="6"/>
  <c r="H51" i="6" l="1"/>
  <c r="I49" i="6"/>
  <c r="J48" i="6"/>
  <c r="I50" i="6" l="1"/>
  <c r="J49" i="6"/>
  <c r="H52" i="6"/>
  <c r="H53" i="6" l="1"/>
  <c r="H54" i="6" s="1"/>
  <c r="H55" i="6" s="1"/>
  <c r="I51" i="6"/>
  <c r="J50" i="6"/>
  <c r="H56" i="6" l="1"/>
  <c r="H57" i="6" s="1"/>
  <c r="I52" i="6"/>
  <c r="J51" i="6"/>
  <c r="H58" i="6" l="1"/>
  <c r="I53" i="6"/>
  <c r="J52" i="6"/>
  <c r="H59" i="6" l="1"/>
  <c r="H60" i="6" s="1"/>
  <c r="J53" i="6"/>
  <c r="I54" i="6"/>
  <c r="H61" i="6" l="1"/>
  <c r="H62" i="6" s="1"/>
  <c r="J54" i="6"/>
  <c r="I55" i="6"/>
  <c r="H63" i="6" l="1"/>
  <c r="H64" i="6" s="1"/>
  <c r="I56" i="6"/>
  <c r="J55" i="6"/>
  <c r="H65" i="6" l="1"/>
  <c r="J56" i="6"/>
  <c r="I57" i="6"/>
  <c r="I58" i="6" l="1"/>
  <c r="J57" i="6"/>
  <c r="I59" i="6" l="1"/>
  <c r="J58" i="6"/>
  <c r="J59" i="6" l="1"/>
  <c r="I60" i="6"/>
  <c r="I61" i="6" l="1"/>
  <c r="J60" i="6"/>
  <c r="J61" i="6" l="1"/>
  <c r="I62" i="6"/>
  <c r="I63" i="6" l="1"/>
  <c r="J62" i="6"/>
  <c r="J63" i="6" l="1"/>
  <c r="I64" i="6"/>
  <c r="I65" i="6" l="1"/>
  <c r="J65" i="6" s="1"/>
  <c r="J64" i="6"/>
</calcChain>
</file>

<file path=xl/sharedStrings.xml><?xml version="1.0" encoding="utf-8"?>
<sst xmlns="http://schemas.openxmlformats.org/spreadsheetml/2006/main" count="198" uniqueCount="136">
  <si>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</si>
  <si>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</si>
  <si>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</si>
  <si>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</si>
  <si>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</si>
  <si>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</si>
  <si>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</si>
  <si>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</si>
  <si>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</si>
  <si>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</si>
  <si>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</si>
  <si>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LESS: 03/18/22</t>
  </si>
  <si>
    <t>LESS: 03/25/22</t>
  </si>
  <si>
    <t>ADD: 03/01/22 - 04/30/22</t>
  </si>
  <si>
    <t>LESS: 05/04 &amp; 05/22</t>
  </si>
  <si>
    <t>ADD: 05/01/22 - 05/31/22</t>
  </si>
  <si>
    <t>LESS: 06/23 &amp; 24/22</t>
  </si>
  <si>
    <t>ADD: 06/01/22 - 08/31/22</t>
  </si>
  <si>
    <t>LESS: MONETIZATION 2022</t>
  </si>
  <si>
    <t>LESS: 12/19, 23 &amp; 26/22</t>
  </si>
  <si>
    <t>LESS: 12/28/22</t>
  </si>
  <si>
    <t>Republic of the Philippines</t>
  </si>
  <si>
    <t>Department of Education</t>
  </si>
  <si>
    <t>REGION VI-WESTERN VISAYAS</t>
  </si>
  <si>
    <t>SCHOOLS DIVISION OF SIPALAY CITY</t>
  </si>
  <si>
    <t>Name: _____________________________</t>
  </si>
  <si>
    <t>DISTRICT: ____________________________</t>
  </si>
  <si>
    <t>POSITION: __________________________</t>
  </si>
  <si>
    <t>SCHOOL/OFFICE:_____________________</t>
  </si>
  <si>
    <t>SPECIAL PRIVILEGE</t>
  </si>
  <si>
    <t>DATE OF ORIGINAL APPOINTMENT: JULY 15, 2019</t>
  </si>
  <si>
    <t>ADD: 07/15/19 - 7/31/19</t>
  </si>
  <si>
    <t>ADD: 08/01/19 - 12/31/19</t>
  </si>
  <si>
    <t>ADD:1/1/20 - 6/30/20</t>
  </si>
  <si>
    <t>LESS: MONETIZATION 2020</t>
  </si>
  <si>
    <t>ADD:7/1/20 - 12/31/20</t>
  </si>
  <si>
    <t>LESS: MONETIZATION 2021</t>
  </si>
  <si>
    <t>ADD:1/1/21 - 9/30/21</t>
  </si>
  <si>
    <t>ADD:10/1/21 - 12/31/21</t>
  </si>
  <si>
    <t>LESS: 11/23, 24, 25 &amp; 26/21</t>
  </si>
  <si>
    <t>LESS: FL 2021</t>
  </si>
  <si>
    <t>ADD: 1/1/22 - 2/28/22</t>
  </si>
  <si>
    <t>ADD: 09/01/22 - 12/31/22</t>
  </si>
  <si>
    <t>HRMO</t>
  </si>
  <si>
    <t>Administrative Officer IV</t>
  </si>
  <si>
    <t>MA. LUISA B. CATIGAN</t>
  </si>
  <si>
    <t>Certified Correct:</t>
  </si>
  <si>
    <t>Balance</t>
  </si>
  <si>
    <t>No. of Days Used</t>
  </si>
  <si>
    <t>No. of Days Granted</t>
  </si>
  <si>
    <t>Special Order No. and Date Issued</t>
  </si>
  <si>
    <t>COMPENSATORY TIME OFF (CTO)</t>
  </si>
  <si>
    <t>DISTRICT: ___________________________</t>
  </si>
  <si>
    <t>ADD: JAN. 18, 2023</t>
  </si>
  <si>
    <t>LESS: JAN. 30, 2023</t>
  </si>
  <si>
    <t>S.O. # 001, S. 2023. 126TH ANNIVERSARY OF THE MARTYRDOMOF DR. JOSE P. RIZAL</t>
  </si>
  <si>
    <t>ADD: 01/01/23 - 06/30/23</t>
  </si>
  <si>
    <t>ADD: 04/17/2023</t>
  </si>
  <si>
    <t>SO # 048, S.2023, DISTRICT AND CITY SPORTS MEET 2023</t>
  </si>
  <si>
    <t>SO # 050, S.2023, PALARONG PANLALAWIGAN 2023</t>
  </si>
  <si>
    <t>SO # 049, S.2023, CHICKSAA MEET 2023</t>
  </si>
  <si>
    <t>LESS: 07/14/2023</t>
  </si>
  <si>
    <t>LESS: 07/5, 6 &amp; 7/2023</t>
  </si>
  <si>
    <t>LESS: 07/24 &amp; 25/23</t>
  </si>
  <si>
    <t>ADD: 07/01/23 - 07/31/23</t>
  </si>
  <si>
    <t>LESS: 08/04/23</t>
  </si>
  <si>
    <t>ADD: 08/01/23 - 08/31/23</t>
  </si>
  <si>
    <t>LESS: 08/11/2023</t>
  </si>
  <si>
    <t>ADD: 09/01/2023-11/30/2023</t>
  </si>
  <si>
    <t>LESS: 12/22&amp;28/2023</t>
  </si>
  <si>
    <t>LESS: 12/27&amp;29/2023</t>
  </si>
  <si>
    <t>ADD: 12/01-31/2023</t>
  </si>
  <si>
    <t>ADD: 01/01-31/2024</t>
  </si>
  <si>
    <t>ADD: 02/01/2024-02/29/2024</t>
  </si>
  <si>
    <t>LESS: 03/14,15 &amp;18,19/2024</t>
  </si>
  <si>
    <t xml:space="preserve">               HRMO</t>
  </si>
  <si>
    <t>LESS: MONETIZATION 2024</t>
  </si>
  <si>
    <t>SPECIAL ORDER FOR ELECTION (NATONAL/BARANGAY AND SK ELECTION)</t>
  </si>
  <si>
    <t>SPECIAL ORDER NO. AND DATE ISSUED</t>
  </si>
  <si>
    <t>NATIONAL ELECTION</t>
  </si>
  <si>
    <t>BARANGAY ELECTION/SK ELECTION</t>
  </si>
  <si>
    <t xml:space="preserve">            DISTRICT: ___________________________</t>
  </si>
  <si>
    <t>NO. ___, S. 1994</t>
  </si>
  <si>
    <t>MAY 9, 1994</t>
  </si>
  <si>
    <t>BRGY. &amp; SK ELECTION</t>
  </si>
  <si>
    <t>NO. 321, S. 1995</t>
  </si>
  <si>
    <t>MAY 9, 1995</t>
  </si>
  <si>
    <t>NATIONAL &amp; LOCAL ELECTION</t>
  </si>
  <si>
    <t>NO. ___, S. 1998</t>
  </si>
  <si>
    <t>MAY 11, 1998</t>
  </si>
  <si>
    <t>NO. 1163, S. 2001</t>
  </si>
  <si>
    <t>MAY 14, 2001</t>
  </si>
  <si>
    <t>NO. ___, S.2002</t>
  </si>
  <si>
    <t>JULY 15, 2002</t>
  </si>
  <si>
    <t>NO. 2135, S. 2004</t>
  </si>
  <si>
    <t>MAY 10, 2004</t>
  </si>
  <si>
    <t>COMELEC CERTIFICATION</t>
  </si>
  <si>
    <t>MAY 10, 2010</t>
  </si>
  <si>
    <t>OCTOBER 28, 2013</t>
  </si>
  <si>
    <t>MAY 09, 2016</t>
  </si>
  <si>
    <t>MAY 14, 2018</t>
  </si>
  <si>
    <t>MAY 13, 2019</t>
  </si>
  <si>
    <t>MAY 09, 2022</t>
  </si>
  <si>
    <r>
      <rPr>
        <b/>
        <sz val="12"/>
        <color rgb="FFFF0000"/>
        <rFont val="Calibri"/>
        <family val="2"/>
        <scheme val="minor"/>
      </rPr>
      <t>(CONVERTED FOR MONETIZATION 2024/CANNOT BE USED ANYMORE)</t>
    </r>
    <r>
      <rPr>
        <b/>
        <sz val="12"/>
        <color theme="1"/>
        <rFont val="Calibri"/>
        <family val="2"/>
        <scheme val="minor"/>
      </rPr>
      <t xml:space="preserve"> TOTAL UNUSED  SERVICE LEAVE CREDITS</t>
    </r>
  </si>
  <si>
    <t>ADD: 03/1/2024-07/31/2024</t>
  </si>
  <si>
    <t>LESS: MANDATORY FL 2020</t>
  </si>
  <si>
    <t>ADD: 03/12/2024</t>
  </si>
  <si>
    <t>SO # 006, S. 2024 DIVISION SPORTS MEET 2024</t>
  </si>
  <si>
    <t>LESS: 10/18/2024</t>
  </si>
  <si>
    <t>ADD: 08/1/2024-11/30/2024</t>
  </si>
  <si>
    <t>LESS: 12/23/2024</t>
  </si>
  <si>
    <t>LESS: 12/26-27/2024</t>
  </si>
  <si>
    <t>ADD: 12/1-31/2024</t>
  </si>
  <si>
    <t>LESS: 01/16/2025</t>
  </si>
  <si>
    <t>ADD: 06/26/2024</t>
  </si>
  <si>
    <t>SO # 024, S. 2024 126TH PHIL. IND. DAY</t>
  </si>
  <si>
    <t>LESS: 03/10-11/2025</t>
  </si>
  <si>
    <t>ADD: 01/1/2025-03/31/2025</t>
  </si>
  <si>
    <t>LESS: 04/22-23/2025 &amp; 04/28-29/2025</t>
  </si>
  <si>
    <t>ADD: 04/1-30/2025</t>
  </si>
  <si>
    <t>LESS: 05/14/2025</t>
  </si>
  <si>
    <t>ADD: 05/13/2025</t>
  </si>
  <si>
    <t>S.O. # 019, S. 2025 PROVINCIAL MEET 2025</t>
  </si>
  <si>
    <t>LESS: 05/30/2025</t>
  </si>
  <si>
    <r>
      <t xml:space="preserve">ADD: CONVERTED UNUSED LEAVE CREDITS EARNED FROM NATIONAL/LOCAL ELECTION        </t>
    </r>
    <r>
      <rPr>
        <b/>
        <sz val="11"/>
        <color theme="1"/>
        <rFont val="Calibri"/>
        <family val="2"/>
        <scheme val="minor"/>
      </rPr>
      <t>(30 DAYS)</t>
    </r>
    <r>
      <rPr>
        <sz val="11"/>
        <color theme="1"/>
        <rFont val="Calibri"/>
        <family val="2"/>
        <scheme val="minor"/>
      </rPr>
      <t xml:space="preserve"> FORMULA: 30Y/69/2</t>
    </r>
  </si>
  <si>
    <t>ADD: 05/1/2025-06/30/2025</t>
  </si>
  <si>
    <t>LESS: MONETIZATION 2025</t>
  </si>
  <si>
    <t>LESS: 06/16/2025</t>
  </si>
  <si>
    <t>ADD: 06/5/2025</t>
  </si>
  <si>
    <t>S.O. # 028 S. 2025 2025 WVRAA MEET</t>
  </si>
  <si>
    <t>2 DAYS &amp; 2 HRS</t>
  </si>
  <si>
    <t>2 HRS</t>
  </si>
  <si>
    <t>LESS: 07/22/2025 &amp; 08/6/2025</t>
  </si>
  <si>
    <t>ADD: 07/1/2025-08/31/2025</t>
  </si>
  <si>
    <t>LESS: 09/23/2025</t>
  </si>
  <si>
    <t>NEGROS ISLAND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</si>
</sst>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0" fillId="0" borderId="0"/>
  </cellStyleXfs>
  <cellXfs count="1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4" xfId="0" applyFont="1" applyFill="1" applyBorder="1" applyAlignment="1">
      <alignment vertical="center"/>
    </xf>
    <xf numFmtId="0" fontId="7" fillId="0" borderId="0" xfId="0" applyFont="1"/>
    <xf numFmtId="0" fontId="1" fillId="2" borderId="4" xfId="0" applyFont="1" applyFill="1" applyBorder="1" applyAlignment="1">
      <alignment horizontal="center" vertical="center"/>
    </xf>
    <xf numFmtId="0" fontId="8" fillId="0" borderId="0" xfId="0" applyFo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9" fillId="0" borderId="0" xfId="0" applyFont="1"/>
    <xf numFmtId="0" fontId="0" fillId="10" borderId="2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11" fillId="0" borderId="0" xfId="0" applyFont="1"/>
    <xf numFmtId="0" fontId="0" fillId="2" borderId="2" xfId="0" applyFill="1" applyBorder="1" applyAlignment="1">
      <alignment horizontal="center" vertical="center" wrapText="1"/>
    </xf>
    <xf numFmtId="0" fontId="14" fillId="2" borderId="0" xfId="0" applyFont="1" applyFill="1"/>
    <xf numFmtId="0" fontId="9" fillId="2" borderId="0" xfId="0" applyFont="1" applyFill="1" applyAlignment="1">
      <alignment horizontal="center" vertical="center"/>
    </xf>
    <xf numFmtId="0" fontId="16" fillId="2" borderId="1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22" xfId="0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7" fillId="2" borderId="20" xfId="0" applyFont="1" applyFill="1" applyBorder="1" applyAlignment="1">
      <alignment horizontal="center" vertical="center" wrapText="1"/>
    </xf>
    <xf numFmtId="0" fontId="17" fillId="2" borderId="21" xfId="0" applyFont="1" applyFill="1" applyBorder="1" applyAlignment="1">
      <alignment horizontal="center" vertical="center" wrapText="1"/>
    </xf>
    <xf numFmtId="0" fontId="9" fillId="0" borderId="22" xfId="0" applyFont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6" fillId="2" borderId="18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6" fillId="2" borderId="32" xfId="0" applyFont="1" applyFill="1" applyBorder="1" applyAlignment="1">
      <alignment horizontal="center" vertical="center" wrapText="1"/>
    </xf>
    <xf numFmtId="0" fontId="16" fillId="2" borderId="33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vertical="center"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14" borderId="2" xfId="0" applyFill="1" applyBorder="1" applyAlignment="1">
      <alignment horizontal="center" vertical="center" wrapText="1"/>
    </xf>
    <xf numFmtId="0" fontId="0" fillId="2" borderId="1" xfId="1" applyFont="1" applyFill="1" applyBorder="1" applyAlignment="1">
      <alignment horizontal="center" vertical="center" wrapText="1"/>
    </xf>
    <xf numFmtId="0" fontId="20" fillId="0" borderId="1" xfId="1" applyBorder="1" applyAlignment="1">
      <alignment horizontal="center" vertical="center" wrapText="1"/>
    </xf>
    <xf numFmtId="0" fontId="9" fillId="0" borderId="0" xfId="1" applyFont="1"/>
    <xf numFmtId="164" fontId="1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164" fontId="0" fillId="2" borderId="1" xfId="0" applyNumberForma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 wrapText="1"/>
    </xf>
    <xf numFmtId="164" fontId="1" fillId="0" borderId="1" xfId="0" applyNumberFormat="1" applyFont="1" applyBorder="1" applyAlignment="1">
      <alignment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0" fillId="15" borderId="1" xfId="0" applyNumberForma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4" fillId="7" borderId="35" xfId="0" applyFont="1" applyFill="1" applyBorder="1" applyAlignment="1">
      <alignment horizontal="center" vertical="center"/>
    </xf>
    <xf numFmtId="0" fontId="4" fillId="8" borderId="35" xfId="0" applyFont="1" applyFill="1" applyBorder="1" applyAlignment="1">
      <alignment horizontal="center" vertical="center"/>
    </xf>
    <xf numFmtId="0" fontId="4" fillId="9" borderId="35" xfId="0" applyFont="1" applyFill="1" applyBorder="1" applyAlignment="1">
      <alignment horizontal="center" vertical="center"/>
    </xf>
    <xf numFmtId="0" fontId="4" fillId="2" borderId="35" xfId="0" applyFont="1" applyFill="1" applyBorder="1" applyAlignment="1">
      <alignment horizontal="center" vertical="center" wrapText="1"/>
    </xf>
    <xf numFmtId="0" fontId="0" fillId="0" borderId="1" xfId="1" applyFont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6" fillId="6" borderId="34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4" fillId="6" borderId="26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 applyAlignment="1">
      <alignment horizontal="center" vertical="center"/>
    </xf>
    <xf numFmtId="0" fontId="4" fillId="6" borderId="8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10" fillId="2" borderId="13" xfId="1" applyFont="1" applyFill="1" applyBorder="1" applyAlignment="1">
      <alignment horizontal="center" vertical="center" wrapText="1"/>
    </xf>
    <xf numFmtId="0" fontId="10" fillId="2" borderId="9" xfId="1" applyFont="1" applyFill="1" applyBorder="1" applyAlignment="1">
      <alignment horizontal="center" vertical="center" wrapText="1"/>
    </xf>
    <xf numFmtId="0" fontId="10" fillId="2" borderId="7" xfId="1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0" fillId="12" borderId="13" xfId="0" applyFont="1" applyFill="1" applyBorder="1" applyAlignment="1">
      <alignment horizontal="center" vertical="center" wrapText="1"/>
    </xf>
    <xf numFmtId="0" fontId="10" fillId="12" borderId="7" xfId="0" applyFont="1" applyFill="1" applyBorder="1" applyAlignment="1">
      <alignment horizontal="center" vertical="center" wrapText="1"/>
    </xf>
    <xf numFmtId="0" fontId="12" fillId="11" borderId="5" xfId="0" applyFont="1" applyFill="1" applyBorder="1" applyAlignment="1">
      <alignment horizontal="center" vertical="center"/>
    </xf>
    <xf numFmtId="0" fontId="12" fillId="11" borderId="6" xfId="0" applyFont="1" applyFill="1" applyBorder="1" applyAlignment="1">
      <alignment horizontal="center" vertical="center"/>
    </xf>
    <xf numFmtId="0" fontId="12" fillId="13" borderId="10" xfId="0" applyFont="1" applyFill="1" applyBorder="1" applyAlignment="1">
      <alignment horizontal="center" vertical="center"/>
    </xf>
    <xf numFmtId="0" fontId="12" fillId="13" borderId="11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2" fillId="11" borderId="8" xfId="0" applyFont="1" applyFill="1" applyBorder="1" applyAlignment="1">
      <alignment horizontal="center" vertical="center"/>
    </xf>
    <xf numFmtId="0" fontId="12" fillId="11" borderId="3" xfId="0" applyFont="1" applyFill="1" applyBorder="1" applyAlignment="1">
      <alignment horizontal="center" vertical="center"/>
    </xf>
    <xf numFmtId="0" fontId="10" fillId="12" borderId="9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right" vertical="center" wrapText="1"/>
    </xf>
    <xf numFmtId="0" fontId="6" fillId="2" borderId="9" xfId="0" applyFont="1" applyFill="1" applyBorder="1" applyAlignment="1">
      <alignment horizontal="right" vertical="center" wrapText="1"/>
    </xf>
    <xf numFmtId="0" fontId="6" fillId="2" borderId="7" xfId="0" applyFont="1" applyFill="1" applyBorder="1" applyAlignment="1">
      <alignment horizontal="righ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6" fillId="2" borderId="21" xfId="0" applyFont="1" applyFill="1" applyBorder="1" applyAlignment="1">
      <alignment horizontal="center" vertical="center" wrapText="1"/>
    </xf>
    <xf numFmtId="0" fontId="16" fillId="2" borderId="13" xfId="0" applyFont="1" applyFill="1" applyBorder="1" applyAlignment="1">
      <alignment horizontal="center" vertical="center" wrapText="1"/>
    </xf>
    <xf numFmtId="0" fontId="16" fillId="2" borderId="7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4" fillId="11" borderId="5" xfId="0" applyFont="1" applyFill="1" applyBorder="1" applyAlignment="1">
      <alignment horizontal="center" vertical="center" wrapText="1"/>
    </xf>
    <xf numFmtId="0" fontId="4" fillId="11" borderId="16" xfId="0" applyFont="1" applyFill="1" applyBorder="1" applyAlignment="1">
      <alignment horizontal="center" vertical="center" wrapText="1"/>
    </xf>
    <xf numFmtId="0" fontId="4" fillId="11" borderId="26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center" vertical="center"/>
    </xf>
    <xf numFmtId="0" fontId="4" fillId="11" borderId="16" xfId="0" applyFont="1" applyFill="1" applyBorder="1" applyAlignment="1">
      <alignment horizontal="center" vertical="center"/>
    </xf>
    <xf numFmtId="0" fontId="4" fillId="11" borderId="26" xfId="0" applyFont="1" applyFill="1" applyBorder="1" applyAlignment="1">
      <alignment horizontal="center" vertical="center"/>
    </xf>
    <xf numFmtId="0" fontId="10" fillId="12" borderId="5" xfId="0" applyFont="1" applyFill="1" applyBorder="1" applyAlignment="1">
      <alignment horizontal="center" vertical="center" wrapText="1"/>
    </xf>
    <xf numFmtId="0" fontId="10" fillId="12" borderId="23" xfId="0" applyFont="1" applyFill="1" applyBorder="1" applyAlignment="1">
      <alignment horizontal="center" vertical="center" wrapText="1"/>
    </xf>
    <xf numFmtId="0" fontId="10" fillId="12" borderId="16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horizontal="center" vertical="center" wrapText="1"/>
    </xf>
    <xf numFmtId="0" fontId="10" fillId="12" borderId="26" xfId="0" applyFont="1" applyFill="1" applyBorder="1" applyAlignment="1">
      <alignment horizontal="center" vertical="center" wrapText="1"/>
    </xf>
    <xf numFmtId="0" fontId="10" fillId="12" borderId="27" xfId="0" applyFont="1" applyFill="1" applyBorder="1" applyAlignment="1">
      <alignment horizontal="center" vertical="center" wrapText="1"/>
    </xf>
    <xf numFmtId="0" fontId="10" fillId="12" borderId="24" xfId="0" applyFont="1" applyFill="1" applyBorder="1" applyAlignment="1">
      <alignment horizontal="center" vertical="center" wrapText="1"/>
    </xf>
    <xf numFmtId="0" fontId="10" fillId="12" borderId="15" xfId="0" applyFont="1" applyFill="1" applyBorder="1" applyAlignment="1">
      <alignment horizontal="center" vertical="center" wrapText="1"/>
    </xf>
    <xf numFmtId="0" fontId="10" fillId="12" borderId="0" xfId="0" applyFont="1" applyFill="1" applyAlignment="1">
      <alignment horizontal="center" vertical="center" wrapText="1"/>
    </xf>
    <xf numFmtId="0" fontId="10" fillId="12" borderId="18" xfId="0" applyFont="1" applyFill="1" applyBorder="1" applyAlignment="1">
      <alignment horizontal="center" vertical="center" wrapText="1"/>
    </xf>
    <xf numFmtId="0" fontId="10" fillId="12" borderId="12" xfId="0" applyFont="1" applyFill="1" applyBorder="1" applyAlignment="1">
      <alignment horizontal="center" vertical="center" wrapText="1"/>
    </xf>
    <xf numFmtId="0" fontId="10" fillId="12" borderId="28" xfId="0" applyFont="1" applyFill="1" applyBorder="1" applyAlignment="1">
      <alignment horizontal="center" vertical="center" wrapText="1"/>
    </xf>
    <xf numFmtId="0" fontId="10" fillId="12" borderId="14" xfId="0" applyFont="1" applyFill="1" applyBorder="1" applyAlignment="1">
      <alignment horizontal="center" vertical="center" wrapText="1"/>
    </xf>
    <xf numFmtId="0" fontId="10" fillId="12" borderId="17" xfId="0" applyFont="1" applyFill="1" applyBorder="1" applyAlignment="1">
      <alignment horizontal="center" vertical="center" wrapText="1"/>
    </xf>
    <xf numFmtId="0" fontId="10" fillId="12" borderId="29" xfId="0" applyFont="1" applyFill="1" applyBorder="1" applyAlignment="1">
      <alignment horizontal="center" vertical="center" wrapText="1"/>
    </xf>
    <xf numFmtId="0" fontId="4" fillId="11" borderId="8" xfId="0" applyFont="1" applyFill="1" applyBorder="1" applyAlignment="1">
      <alignment horizontal="center" vertical="center"/>
    </xf>
    <xf numFmtId="0" fontId="4" fillId="11" borderId="19" xfId="0" applyFont="1" applyFill="1" applyBorder="1" applyAlignment="1">
      <alignment horizontal="center" vertical="center"/>
    </xf>
    <xf numFmtId="0" fontId="4" fillId="11" borderId="30" xfId="0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 wrapText="1"/>
    </xf>
    <xf numFmtId="0" fontId="16" fillId="2" borderId="3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164" fontId="0" fillId="0" borderId="1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2 2" xfId="1" xr:uid="{261F654E-A90C-4978-9CE8-3FE59879D6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717551</xdr:colOff>
      <xdr:row>0</xdr:row>
      <xdr:rowOff>38099</xdr:rowOff>
    </xdr:from>
    <xdr:to>
      <xdr:col>3</xdr:col>
      <xdr:colOff>622301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D4BBD5-E292-44AF-9480-EC3A07AE8CBA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98951" y="38099"/>
          <a:ext cx="717550" cy="6223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14EFA1BA-42AA-4E77-87F6-6BACF73BA3DD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BLORON, REGIE S.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E11C075-7B52-42B4-8CC0-020EEE36B730}"/>
            </a:ext>
          </a:extLst>
        </xdr:cNvPr>
        <xdr:cNvSpPr txBox="1"/>
      </xdr:nvSpPr>
      <xdr:spPr>
        <a:xfrm>
          <a:off x="616683" y="1724757"/>
          <a:ext cx="2008799" cy="24374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EPSVR</a:t>
          </a:r>
        </a:p>
      </xdr:txBody>
    </xdr:sp>
    <xdr:clientData/>
  </xdr:twoCellAnchor>
  <xdr:twoCellAnchor>
    <xdr:from>
      <xdr:col>2</xdr:col>
      <xdr:colOff>415192</xdr:colOff>
      <xdr:row>7</xdr:row>
      <xdr:rowOff>50800</xdr:rowOff>
    </xdr:from>
    <xdr:to>
      <xdr:col>4</xdr:col>
      <xdr:colOff>628650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30F372A-D940-417C-A01C-409EA4353756}"/>
            </a:ext>
          </a:extLst>
        </xdr:cNvPr>
        <xdr:cNvSpPr txBox="1"/>
      </xdr:nvSpPr>
      <xdr:spPr>
        <a:xfrm>
          <a:off x="3825142" y="1708150"/>
          <a:ext cx="1756508" cy="24203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CITY-SGOD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461509</xdr:colOff>
      <xdr:row>0</xdr:row>
      <xdr:rowOff>39689</xdr:rowOff>
    </xdr:from>
    <xdr:ext cx="713241" cy="639761"/>
    <xdr:pic>
      <xdr:nvPicPr>
        <xdr:cNvPr id="2" name="Picture 1">
          <a:extLst>
            <a:ext uri="{FF2B5EF4-FFF2-40B4-BE49-F238E27FC236}">
              <a16:creationId xmlns:a16="http://schemas.microsoft.com/office/drawing/2014/main" id="{EB7DAE7B-7645-49FA-A045-53F2607A174B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90309" y="39689"/>
          <a:ext cx="713241" cy="639761"/>
        </a:xfrm>
        <a:prstGeom prst="rect">
          <a:avLst/>
        </a:prstGeom>
        <a:noFill/>
      </xdr:spPr>
    </xdr:pic>
    <xdr:clientData/>
  </xdr:oneCellAnchor>
  <xdr:twoCellAnchor>
    <xdr:from>
      <xdr:col>0</xdr:col>
      <xdr:colOff>573942</xdr:colOff>
      <xdr:row>4</xdr:row>
      <xdr:rowOff>170961</xdr:rowOff>
    </xdr:from>
    <xdr:to>
      <xdr:col>1</xdr:col>
      <xdr:colOff>946150</xdr:colOff>
      <xdr:row>6</xdr:row>
      <xdr:rowOff>88900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D24F221-8489-49E9-97A4-5DFBF0A7AAD6}"/>
            </a:ext>
          </a:extLst>
        </xdr:cNvPr>
        <xdr:cNvSpPr txBox="1"/>
      </xdr:nvSpPr>
      <xdr:spPr>
        <a:xfrm>
          <a:off x="573942" y="907561"/>
          <a:ext cx="645258" cy="2862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BLORON, REGIE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654051</xdr:colOff>
      <xdr:row>7</xdr:row>
      <xdr:rowOff>19051</xdr:rowOff>
    </xdr:from>
    <xdr:to>
      <xdr:col>0</xdr:col>
      <xdr:colOff>1720850</xdr:colOff>
      <xdr:row>8</xdr:row>
      <xdr:rowOff>114301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38B28AF-BBE4-4C61-AB33-43207867A585}"/>
            </a:ext>
          </a:extLst>
        </xdr:cNvPr>
        <xdr:cNvSpPr txBox="1"/>
      </xdr:nvSpPr>
      <xdr:spPr>
        <a:xfrm>
          <a:off x="609601" y="1308101"/>
          <a:ext cx="0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EPS</a:t>
          </a:r>
          <a:r>
            <a:rPr lang="en-US" sz="1100" baseline="0"/>
            <a:t> - SGOD</a:t>
          </a:r>
          <a:endParaRPr lang="en-US" sz="1100"/>
        </a:p>
      </xdr:txBody>
    </xdr:sp>
    <xdr:clientData/>
  </xdr:twoCellAnchor>
  <xdr:twoCellAnchor>
    <xdr:from>
      <xdr:col>3</xdr:col>
      <xdr:colOff>526823</xdr:colOff>
      <xdr:row>7</xdr:row>
      <xdr:rowOff>42410</xdr:rowOff>
    </xdr:from>
    <xdr:to>
      <xdr:col>5</xdr:col>
      <xdr:colOff>463323</xdr:colOff>
      <xdr:row>9</xdr:row>
      <xdr:rowOff>10714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848B6C-EE3B-40A6-90F6-DCFF10234001}"/>
            </a:ext>
          </a:extLst>
        </xdr:cNvPr>
        <xdr:cNvSpPr txBox="1"/>
      </xdr:nvSpPr>
      <xdr:spPr>
        <a:xfrm>
          <a:off x="2355623" y="1331460"/>
          <a:ext cx="1155700" cy="3366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SGOD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28</xdr:row>
      <xdr:rowOff>285750</xdr:rowOff>
    </xdr:from>
    <xdr:to>
      <xdr:col>12</xdr:col>
      <xdr:colOff>381000</xdr:colOff>
      <xdr:row>31</xdr:row>
      <xdr:rowOff>123825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E6EE418-E54F-4A4A-91C7-C29FB5DCF072}"/>
            </a:ext>
          </a:extLst>
        </xdr:cNvPr>
        <xdr:cNvSpPr txBox="1"/>
      </xdr:nvSpPr>
      <xdr:spPr>
        <a:xfrm>
          <a:off x="6724650" y="10010775"/>
          <a:ext cx="3086100" cy="1181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600" baseline="0"/>
        </a:p>
        <a:p>
          <a:r>
            <a:rPr lang="en-US" sz="1100" b="1" baseline="0"/>
            <a:t>	</a:t>
          </a:r>
          <a:r>
            <a:rPr lang="en-US" sz="1200" b="1" u="sng" baseline="0">
              <a:latin typeface="+mn-lt"/>
            </a:rPr>
            <a:t>MA. LUISA B. CATIGAN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 Administrative Officer IV</a:t>
          </a:r>
        </a:p>
        <a:p>
          <a:r>
            <a:rPr lang="en-US" sz="1100" baseline="0"/>
            <a:t>	                  HRMO</a:t>
          </a:r>
          <a:endParaRPr lang="en-US" sz="1100"/>
        </a:p>
      </xdr:txBody>
    </xdr:sp>
    <xdr:clientData/>
  </xdr:twoCellAnchor>
  <xdr:twoCellAnchor editAs="oneCell">
    <xdr:from>
      <xdr:col>2</xdr:col>
      <xdr:colOff>1057275</xdr:colOff>
      <xdr:row>0</xdr:row>
      <xdr:rowOff>38407</xdr:rowOff>
    </xdr:from>
    <xdr:to>
      <xdr:col>3</xdr:col>
      <xdr:colOff>464731</xdr:colOff>
      <xdr:row>0</xdr:row>
      <xdr:rowOff>659683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EADE0E2-74A5-4588-B2E8-4EABC8D469C7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0" y="38407"/>
          <a:ext cx="664756" cy="621276"/>
        </a:xfrm>
        <a:prstGeom prst="rect">
          <a:avLst/>
        </a:prstGeom>
        <a:noFill/>
      </xdr:spPr>
    </xdr:pic>
    <xdr:clientData/>
  </xdr:twoCellAnchor>
  <xdr:twoCellAnchor>
    <xdr:from>
      <xdr:col>0</xdr:col>
      <xdr:colOff>554892</xdr:colOff>
      <xdr:row>5</xdr:row>
      <xdr:rowOff>18561</xdr:rowOff>
    </xdr:from>
    <xdr:to>
      <xdr:col>1</xdr:col>
      <xdr:colOff>190500</xdr:colOff>
      <xdr:row>7</xdr:row>
      <xdr:rowOff>11235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4FB940B-4919-45B5-B2F8-8C398BC8FCF4}"/>
            </a:ext>
          </a:extLst>
        </xdr:cNvPr>
        <xdr:cNvSpPr txBox="1"/>
      </xdr:nvSpPr>
      <xdr:spPr>
        <a:xfrm>
          <a:off x="554892" y="1418736"/>
          <a:ext cx="1559658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BARGASO, VILMA</a:t>
          </a:r>
          <a:r>
            <a:rPr lang="en-US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654783</xdr:colOff>
      <xdr:row>7</xdr:row>
      <xdr:rowOff>89632</xdr:rowOff>
    </xdr:from>
    <xdr:to>
      <xdr:col>1</xdr:col>
      <xdr:colOff>34682</xdr:colOff>
      <xdr:row>11</xdr:row>
      <xdr:rowOff>28575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A7EFD32F-67B3-4ACF-A723-EA890017B5EF}"/>
            </a:ext>
          </a:extLst>
        </xdr:cNvPr>
        <xdr:cNvSpPr txBox="1"/>
      </xdr:nvSpPr>
      <xdr:spPr>
        <a:xfrm>
          <a:off x="654783" y="1746982"/>
          <a:ext cx="1303949" cy="577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PSDS</a:t>
          </a:r>
        </a:p>
      </xdr:txBody>
    </xdr:sp>
    <xdr:clientData/>
  </xdr:twoCellAnchor>
  <xdr:twoCellAnchor>
    <xdr:from>
      <xdr:col>1</xdr:col>
      <xdr:colOff>1058795</xdr:colOff>
      <xdr:row>7</xdr:row>
      <xdr:rowOff>93234</xdr:rowOff>
    </xdr:from>
    <xdr:to>
      <xdr:col>3</xdr:col>
      <xdr:colOff>411178</xdr:colOff>
      <xdr:row>11</xdr:row>
      <xdr:rowOff>20928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0EFA040-C65C-4E0C-8C88-0327F34D5A45}"/>
            </a:ext>
          </a:extLst>
        </xdr:cNvPr>
        <xdr:cNvSpPr txBox="1"/>
      </xdr:nvSpPr>
      <xdr:spPr>
        <a:xfrm>
          <a:off x="2982845" y="1750584"/>
          <a:ext cx="1914608" cy="56586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CID-SDO SIPALAY CITY</a:t>
          </a:r>
        </a:p>
      </xdr:txBody>
    </xdr:sp>
    <xdr:clientData/>
  </xdr:twoCellAnchor>
  <xdr:twoCellAnchor>
    <xdr:from>
      <xdr:col>0</xdr:col>
      <xdr:colOff>171450</xdr:colOff>
      <xdr:row>28</xdr:row>
      <xdr:rowOff>276225</xdr:rowOff>
    </xdr:from>
    <xdr:to>
      <xdr:col>2</xdr:col>
      <xdr:colOff>28575</xdr:colOff>
      <xdr:row>31</xdr:row>
      <xdr:rowOff>114300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ACB7A2F-7ECF-4763-B406-C17296058ABB}"/>
            </a:ext>
          </a:extLst>
        </xdr:cNvPr>
        <xdr:cNvSpPr txBox="1"/>
      </xdr:nvSpPr>
      <xdr:spPr>
        <a:xfrm>
          <a:off x="171450" y="10001250"/>
          <a:ext cx="3086100" cy="11811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600" baseline="0"/>
        </a:p>
        <a:p>
          <a:r>
            <a:rPr lang="en-US" sz="1100" b="1" baseline="0"/>
            <a:t>	 </a:t>
          </a:r>
          <a:r>
            <a:rPr lang="en-US" sz="1200" b="1" u="sng" baseline="0">
              <a:latin typeface="+mn-lt"/>
            </a:rPr>
            <a:t>JOCELYN M. PLOTEÑA</a:t>
          </a:r>
          <a:endParaRPr lang="en-US" sz="1100" b="1" u="sng" baseline="0">
            <a:latin typeface="+mn-lt"/>
          </a:endParaRPr>
        </a:p>
        <a:p>
          <a:r>
            <a:rPr lang="en-US" sz="1100" baseline="0"/>
            <a:t>	Administrative Assistant III</a:t>
          </a:r>
        </a:p>
        <a:p>
          <a:r>
            <a:rPr lang="en-US" sz="1100" baseline="0"/>
            <a:t>                            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K71"/>
  <sheetViews>
    <sheetView tabSelected="1" view="pageBreakPreview" topLeftCell="A53" zoomScaleNormal="100" zoomScaleSheetLayoutView="100" workbookViewId="0">
      <selection activeCell="A64" sqref="A64:XFD64"/>
    </sheetView>
  </sheetViews>
  <sheetFormatPr defaultRowHeight="15" x14ac:dyDescent="0.25"/>
  <cols>
    <col min="1" max="1" width="39.5703125" customWidth="1"/>
    <col min="2" max="3" width="11.5703125" customWidth="1"/>
    <col min="4" max="7" width="11.5703125" style="10" customWidth="1"/>
    <col min="8" max="10" width="11.5703125" customWidth="1"/>
    <col min="11" max="11" width="26.42578125" style="5" customWidth="1"/>
  </cols>
  <sheetData>
    <row r="1" spans="1:11" s="1" customFormat="1" ht="52.5" customHeight="1" x14ac:dyDescent="0.25">
      <c r="D1" s="8"/>
      <c r="E1" s="8"/>
      <c r="F1" s="8"/>
      <c r="G1" s="8"/>
    </row>
    <row r="2" spans="1:11" s="1" customFormat="1" ht="10.5" customHeight="1" x14ac:dyDescent="0.25">
      <c r="A2" s="81" t="s">
        <v>21</v>
      </c>
      <c r="B2" s="81"/>
      <c r="C2" s="81"/>
      <c r="D2" s="81"/>
      <c r="E2" s="81"/>
      <c r="F2" s="81"/>
      <c r="G2" s="81"/>
      <c r="H2" s="81"/>
      <c r="I2" s="81"/>
    </row>
    <row r="3" spans="1:11" s="1" customFormat="1" ht="15.95" customHeight="1" x14ac:dyDescent="0.25">
      <c r="A3" s="81" t="s">
        <v>22</v>
      </c>
      <c r="B3" s="81"/>
      <c r="C3" s="81"/>
      <c r="D3" s="81"/>
      <c r="E3" s="81"/>
      <c r="F3" s="81"/>
      <c r="G3" s="81"/>
      <c r="H3" s="81"/>
      <c r="I3" s="81"/>
    </row>
    <row r="4" spans="1:11" s="1" customFormat="1" ht="15.95" customHeight="1" x14ac:dyDescent="0.25">
      <c r="A4" s="81" t="s">
        <v>135</v>
      </c>
      <c r="B4" s="81"/>
      <c r="C4" s="81"/>
      <c r="D4" s="81"/>
      <c r="E4" s="81"/>
      <c r="F4" s="81"/>
      <c r="G4" s="81"/>
      <c r="H4" s="81"/>
      <c r="I4" s="81"/>
    </row>
    <row r="5" spans="1:11" s="1" customFormat="1" ht="15.95" customHeight="1" x14ac:dyDescent="0.25">
      <c r="A5" s="81" t="s">
        <v>24</v>
      </c>
      <c r="B5" s="81"/>
      <c r="C5" s="81"/>
      <c r="D5" s="81"/>
      <c r="E5" s="81"/>
      <c r="F5" s="81"/>
      <c r="G5" s="81"/>
      <c r="H5" s="81"/>
      <c r="I5" s="81"/>
    </row>
    <row r="6" spans="1:11" s="1" customFormat="1" ht="8.25" customHeight="1" x14ac:dyDescent="0.25">
      <c r="D6" s="8"/>
      <c r="E6" s="8"/>
      <c r="F6" s="8"/>
      <c r="G6" s="8"/>
    </row>
    <row r="7" spans="1:11" s="1" customFormat="1" ht="12" customHeight="1" x14ac:dyDescent="0.25">
      <c r="A7" s="1" t="s">
        <v>25</v>
      </c>
      <c r="B7" s="2" t="s">
        <v>26</v>
      </c>
      <c r="C7" s="2"/>
      <c r="D7" s="8"/>
      <c r="E7" s="8"/>
      <c r="F7" s="8"/>
      <c r="G7" s="9" t="s">
        <v>9</v>
      </c>
      <c r="H7" s="6"/>
      <c r="I7" s="2"/>
    </row>
    <row r="8" spans="1:11" s="1" customFormat="1" ht="12" customHeight="1" x14ac:dyDescent="0.25">
      <c r="B8" s="3"/>
      <c r="C8" s="3"/>
      <c r="D8" s="8"/>
      <c r="E8" s="8"/>
      <c r="F8" s="8"/>
      <c r="G8" s="9"/>
      <c r="H8" s="3"/>
      <c r="I8" s="3"/>
    </row>
    <row r="9" spans="1:11" s="1" customFormat="1" ht="12" customHeight="1" x14ac:dyDescent="0.25">
      <c r="A9" s="1" t="s">
        <v>27</v>
      </c>
      <c r="B9" s="2" t="s">
        <v>28</v>
      </c>
      <c r="C9" s="2"/>
      <c r="D9" s="8"/>
      <c r="E9" s="8"/>
      <c r="F9" s="8"/>
      <c r="G9" s="9" t="s">
        <v>10</v>
      </c>
      <c r="H9" s="4"/>
      <c r="I9" s="2"/>
    </row>
    <row r="10" spans="1:11" ht="16.5" customHeight="1" thickBot="1" x14ac:dyDescent="0.3">
      <c r="A10" s="82" t="s">
        <v>0</v>
      </c>
      <c r="B10" s="82"/>
      <c r="C10" s="82"/>
      <c r="D10" s="82"/>
      <c r="E10" s="82"/>
      <c r="F10" s="82"/>
      <c r="G10" s="82"/>
      <c r="H10" s="82"/>
      <c r="I10" s="82"/>
      <c r="J10" s="82"/>
      <c r="K10"/>
    </row>
    <row r="11" spans="1:11" s="7" customFormat="1" ht="18.75" customHeight="1" x14ac:dyDescent="0.2">
      <c r="A11" s="71" t="s">
        <v>4</v>
      </c>
      <c r="B11" s="73" t="s">
        <v>5</v>
      </c>
      <c r="C11" s="74"/>
      <c r="D11" s="75" t="s">
        <v>6</v>
      </c>
      <c r="E11" s="76"/>
      <c r="F11" s="76"/>
      <c r="G11" s="76"/>
      <c r="H11" s="77" t="s">
        <v>7</v>
      </c>
      <c r="I11" s="78"/>
      <c r="J11" s="79" t="s">
        <v>8</v>
      </c>
    </row>
    <row r="12" spans="1:11" s="7" customFormat="1" ht="28.5" customHeight="1" thickBot="1" x14ac:dyDescent="0.25">
      <c r="A12" s="72"/>
      <c r="B12" s="63" t="s">
        <v>1</v>
      </c>
      <c r="C12" s="64" t="s">
        <v>2</v>
      </c>
      <c r="D12" s="63" t="s">
        <v>1</v>
      </c>
      <c r="E12" s="64" t="s">
        <v>2</v>
      </c>
      <c r="F12" s="65" t="s">
        <v>3</v>
      </c>
      <c r="G12" s="66" t="s">
        <v>29</v>
      </c>
      <c r="H12" s="63" t="s">
        <v>1</v>
      </c>
      <c r="I12" s="64" t="s">
        <v>2</v>
      </c>
      <c r="J12" s="80"/>
    </row>
    <row r="13" spans="1:11" s="7" customFormat="1" ht="18" customHeight="1" x14ac:dyDescent="0.2">
      <c r="A13" s="68" t="s">
        <v>30</v>
      </c>
      <c r="B13" s="69"/>
      <c r="C13" s="69"/>
      <c r="D13" s="69"/>
      <c r="E13" s="69"/>
      <c r="F13" s="69"/>
      <c r="G13" s="69"/>
      <c r="H13" s="69"/>
      <c r="I13" s="69"/>
      <c r="J13" s="70"/>
    </row>
    <row r="14" spans="1:11" ht="18.75" customHeight="1" x14ac:dyDescent="0.25">
      <c r="A14" s="61" t="s">
        <v>31</v>
      </c>
      <c r="B14" s="50">
        <v>0.70799999999999996</v>
      </c>
      <c r="C14" s="50">
        <v>0.70799999999999996</v>
      </c>
      <c r="D14" s="50"/>
      <c r="E14" s="50"/>
      <c r="F14" s="50"/>
      <c r="G14" s="50"/>
      <c r="H14" s="50">
        <f>B14</f>
        <v>0.70799999999999996</v>
      </c>
      <c r="I14" s="50">
        <f>C14</f>
        <v>0.70799999999999996</v>
      </c>
      <c r="J14" s="50">
        <f>SUM(H14:I14)</f>
        <v>1.4159999999999999</v>
      </c>
    </row>
    <row r="15" spans="1:11" ht="18.75" customHeight="1" x14ac:dyDescent="0.25">
      <c r="A15" s="61" t="s">
        <v>32</v>
      </c>
      <c r="B15" s="50">
        <f>1.25*5</f>
        <v>6.25</v>
      </c>
      <c r="C15" s="50">
        <v>6.25</v>
      </c>
      <c r="D15" s="50"/>
      <c r="E15" s="50"/>
      <c r="F15" s="50"/>
      <c r="G15" s="50"/>
      <c r="H15" s="50">
        <f>H14-F15-D15+B15</f>
        <v>6.9580000000000002</v>
      </c>
      <c r="I15" s="50">
        <f>I14-E15+C15</f>
        <v>6.9580000000000002</v>
      </c>
      <c r="J15" s="50">
        <f>SUM(H15:I15)</f>
        <v>13.916</v>
      </c>
    </row>
    <row r="16" spans="1:11" ht="18.75" customHeight="1" x14ac:dyDescent="0.25">
      <c r="A16" s="61" t="s">
        <v>33</v>
      </c>
      <c r="B16" s="50">
        <v>7.5</v>
      </c>
      <c r="C16" s="50">
        <v>7.5</v>
      </c>
      <c r="D16" s="50"/>
      <c r="E16" s="50"/>
      <c r="F16" s="50"/>
      <c r="G16" s="50"/>
      <c r="H16" s="50">
        <f t="shared" ref="H16:H33" si="0">H15-F16-D16+B16</f>
        <v>14.458</v>
      </c>
      <c r="I16" s="50">
        <f t="shared" ref="I16:I33" si="1">I15-E16+C16</f>
        <v>14.458</v>
      </c>
      <c r="J16" s="50">
        <f t="shared" ref="J16:J33" si="2">SUM(H16:I16)</f>
        <v>28.916</v>
      </c>
    </row>
    <row r="17" spans="1:10" ht="18.75" customHeight="1" x14ac:dyDescent="0.25">
      <c r="A17" s="61" t="s">
        <v>34</v>
      </c>
      <c r="B17" s="50"/>
      <c r="C17" s="50"/>
      <c r="D17" s="50">
        <v>7</v>
      </c>
      <c r="E17" s="50">
        <v>8</v>
      </c>
      <c r="F17" s="50"/>
      <c r="G17" s="50"/>
      <c r="H17" s="50">
        <f t="shared" si="0"/>
        <v>7.4580000000000002</v>
      </c>
      <c r="I17" s="50">
        <f t="shared" si="1"/>
        <v>6.4580000000000002</v>
      </c>
      <c r="J17" s="50">
        <f t="shared" si="2"/>
        <v>13.916</v>
      </c>
    </row>
    <row r="18" spans="1:10" ht="18.75" customHeight="1" x14ac:dyDescent="0.25">
      <c r="A18" s="61" t="s">
        <v>35</v>
      </c>
      <c r="B18" s="50">
        <v>7.5</v>
      </c>
      <c r="C18" s="50">
        <v>7.5</v>
      </c>
      <c r="D18" s="50"/>
      <c r="E18" s="50"/>
      <c r="F18" s="50"/>
      <c r="G18" s="50"/>
      <c r="H18" s="50">
        <f t="shared" si="0"/>
        <v>14.958</v>
      </c>
      <c r="I18" s="50">
        <f t="shared" si="1"/>
        <v>13.958</v>
      </c>
      <c r="J18" s="50">
        <f t="shared" si="2"/>
        <v>28.916</v>
      </c>
    </row>
    <row r="19" spans="1:10" ht="18.75" customHeight="1" x14ac:dyDescent="0.25">
      <c r="A19" s="61" t="s">
        <v>34</v>
      </c>
      <c r="B19" s="50"/>
      <c r="C19" s="50"/>
      <c r="D19" s="51">
        <v>5</v>
      </c>
      <c r="E19" s="51">
        <v>5</v>
      </c>
      <c r="F19" s="50"/>
      <c r="G19" s="50"/>
      <c r="H19" s="50">
        <f t="shared" si="0"/>
        <v>9.9580000000000002</v>
      </c>
      <c r="I19" s="50">
        <f t="shared" si="1"/>
        <v>8.9580000000000002</v>
      </c>
      <c r="J19" s="50">
        <f t="shared" si="2"/>
        <v>18.916</v>
      </c>
    </row>
    <row r="20" spans="1:10" ht="18.75" customHeight="1" x14ac:dyDescent="0.25">
      <c r="A20" s="61" t="s">
        <v>105</v>
      </c>
      <c r="B20" s="50"/>
      <c r="C20" s="50"/>
      <c r="D20" s="51"/>
      <c r="E20" s="51"/>
      <c r="F20" s="50">
        <v>5</v>
      </c>
      <c r="G20" s="50"/>
      <c r="H20" s="50">
        <f t="shared" si="0"/>
        <v>4.9580000000000002</v>
      </c>
      <c r="I20" s="50">
        <f t="shared" si="1"/>
        <v>8.9580000000000002</v>
      </c>
      <c r="J20" s="50">
        <f t="shared" si="2"/>
        <v>13.916</v>
      </c>
    </row>
    <row r="21" spans="1:10" ht="18.75" customHeight="1" x14ac:dyDescent="0.25">
      <c r="A21" s="61" t="s">
        <v>37</v>
      </c>
      <c r="B21" s="50">
        <v>11.25</v>
      </c>
      <c r="C21" s="50">
        <v>11.25</v>
      </c>
      <c r="D21" s="51"/>
      <c r="E21" s="51"/>
      <c r="F21" s="50"/>
      <c r="G21" s="50"/>
      <c r="H21" s="50">
        <f t="shared" si="0"/>
        <v>16.207999999999998</v>
      </c>
      <c r="I21" s="50">
        <f t="shared" si="1"/>
        <v>20.207999999999998</v>
      </c>
      <c r="J21" s="50">
        <f t="shared" si="2"/>
        <v>36.415999999999997</v>
      </c>
    </row>
    <row r="22" spans="1:10" ht="18.75" customHeight="1" x14ac:dyDescent="0.25">
      <c r="A22" s="61" t="s">
        <v>36</v>
      </c>
      <c r="B22" s="50"/>
      <c r="C22" s="50"/>
      <c r="D22" s="51">
        <v>14</v>
      </c>
      <c r="E22" s="51">
        <v>15</v>
      </c>
      <c r="F22" s="50"/>
      <c r="G22" s="50"/>
      <c r="H22" s="50">
        <f t="shared" si="0"/>
        <v>2.2079999999999984</v>
      </c>
      <c r="I22" s="50">
        <f t="shared" si="1"/>
        <v>5.2079999999999984</v>
      </c>
      <c r="J22" s="50">
        <f t="shared" si="2"/>
        <v>7.4159999999999968</v>
      </c>
    </row>
    <row r="23" spans="1:10" ht="18.75" customHeight="1" x14ac:dyDescent="0.25">
      <c r="A23" s="61" t="s">
        <v>38</v>
      </c>
      <c r="B23" s="50">
        <v>3.75</v>
      </c>
      <c r="C23" s="50">
        <v>3.75</v>
      </c>
      <c r="D23" s="50"/>
      <c r="E23" s="50"/>
      <c r="F23" s="50"/>
      <c r="G23" s="50"/>
      <c r="H23" s="50">
        <f t="shared" si="0"/>
        <v>5.9579999999999984</v>
      </c>
      <c r="I23" s="50">
        <f t="shared" si="1"/>
        <v>8.9579999999999984</v>
      </c>
      <c r="J23" s="50">
        <f t="shared" si="2"/>
        <v>14.915999999999997</v>
      </c>
    </row>
    <row r="24" spans="1:10" ht="18.75" customHeight="1" x14ac:dyDescent="0.25">
      <c r="A24" s="61" t="s">
        <v>39</v>
      </c>
      <c r="B24" s="50"/>
      <c r="C24" s="50"/>
      <c r="D24" s="50"/>
      <c r="E24" s="50"/>
      <c r="F24" s="50">
        <v>4</v>
      </c>
      <c r="G24" s="50"/>
      <c r="H24" s="50">
        <f t="shared" si="0"/>
        <v>1.9579999999999984</v>
      </c>
      <c r="I24" s="50">
        <f t="shared" si="1"/>
        <v>8.9579999999999984</v>
      </c>
      <c r="J24" s="50">
        <f t="shared" si="2"/>
        <v>10.915999999999997</v>
      </c>
    </row>
    <row r="25" spans="1:10" ht="18.75" customHeight="1" x14ac:dyDescent="0.25">
      <c r="A25" s="61" t="s">
        <v>40</v>
      </c>
      <c r="B25" s="50"/>
      <c r="C25" s="50"/>
      <c r="D25" s="50"/>
      <c r="E25" s="50"/>
      <c r="F25" s="50">
        <v>1</v>
      </c>
      <c r="G25" s="50"/>
      <c r="H25" s="50">
        <f t="shared" si="0"/>
        <v>0.95799999999999841</v>
      </c>
      <c r="I25" s="50">
        <f t="shared" si="1"/>
        <v>8.9579999999999984</v>
      </c>
      <c r="J25" s="50">
        <f t="shared" si="2"/>
        <v>9.9159999999999968</v>
      </c>
    </row>
    <row r="26" spans="1:10" ht="18.75" customHeight="1" x14ac:dyDescent="0.25">
      <c r="A26" s="61" t="s">
        <v>41</v>
      </c>
      <c r="B26" s="50">
        <v>2.5</v>
      </c>
      <c r="C26" s="50">
        <v>2.5</v>
      </c>
      <c r="D26" s="50"/>
      <c r="E26" s="50"/>
      <c r="F26" s="50"/>
      <c r="G26" s="50"/>
      <c r="H26" s="50">
        <f t="shared" si="0"/>
        <v>3.4579999999999984</v>
      </c>
      <c r="I26" s="50">
        <f t="shared" si="1"/>
        <v>11.457999999999998</v>
      </c>
      <c r="J26" s="50">
        <f t="shared" si="2"/>
        <v>14.915999999999997</v>
      </c>
    </row>
    <row r="27" spans="1:10" ht="18.75" customHeight="1" x14ac:dyDescent="0.25">
      <c r="A27" s="62" t="s">
        <v>11</v>
      </c>
      <c r="B27" s="52"/>
      <c r="C27" s="52"/>
      <c r="D27" s="50"/>
      <c r="E27" s="50"/>
      <c r="F27" s="50">
        <v>1</v>
      </c>
      <c r="G27" s="50"/>
      <c r="H27" s="50">
        <f t="shared" si="0"/>
        <v>2.4579999999999984</v>
      </c>
      <c r="I27" s="50">
        <f t="shared" si="1"/>
        <v>11.457999999999998</v>
      </c>
      <c r="J27" s="50">
        <f t="shared" si="2"/>
        <v>13.915999999999997</v>
      </c>
    </row>
    <row r="28" spans="1:10" ht="18.75" customHeight="1" x14ac:dyDescent="0.25">
      <c r="A28" s="61" t="s">
        <v>12</v>
      </c>
      <c r="B28" s="50"/>
      <c r="C28" s="50"/>
      <c r="D28" s="50"/>
      <c r="E28" s="50"/>
      <c r="F28" s="50">
        <v>1</v>
      </c>
      <c r="G28" s="50"/>
      <c r="H28" s="50">
        <f t="shared" si="0"/>
        <v>1.4579999999999984</v>
      </c>
      <c r="I28" s="50">
        <f t="shared" si="1"/>
        <v>11.457999999999998</v>
      </c>
      <c r="J28" s="50">
        <f t="shared" si="2"/>
        <v>12.915999999999997</v>
      </c>
    </row>
    <row r="29" spans="1:10" ht="18.75" customHeight="1" x14ac:dyDescent="0.25">
      <c r="A29" s="61" t="s">
        <v>13</v>
      </c>
      <c r="B29" s="50">
        <v>2.5</v>
      </c>
      <c r="C29" s="50">
        <v>2.5</v>
      </c>
      <c r="D29" s="50"/>
      <c r="E29" s="50"/>
      <c r="F29" s="50"/>
      <c r="G29" s="50"/>
      <c r="H29" s="50">
        <f t="shared" si="0"/>
        <v>3.9579999999999984</v>
      </c>
      <c r="I29" s="50">
        <f t="shared" si="1"/>
        <v>13.957999999999998</v>
      </c>
      <c r="J29" s="50">
        <f t="shared" si="2"/>
        <v>17.915999999999997</v>
      </c>
    </row>
    <row r="30" spans="1:10" ht="18.75" customHeight="1" x14ac:dyDescent="0.25">
      <c r="A30" s="61" t="s">
        <v>14</v>
      </c>
      <c r="B30" s="50"/>
      <c r="C30" s="50"/>
      <c r="D30" s="50"/>
      <c r="E30" s="50">
        <v>2</v>
      </c>
      <c r="F30" s="50"/>
      <c r="G30" s="50"/>
      <c r="H30" s="50">
        <f t="shared" si="0"/>
        <v>3.9579999999999984</v>
      </c>
      <c r="I30" s="50">
        <f t="shared" si="1"/>
        <v>11.957999999999998</v>
      </c>
      <c r="J30" s="50">
        <f t="shared" si="2"/>
        <v>15.915999999999997</v>
      </c>
    </row>
    <row r="31" spans="1:10" ht="18.75" customHeight="1" x14ac:dyDescent="0.25">
      <c r="A31" s="61" t="s">
        <v>15</v>
      </c>
      <c r="B31" s="50">
        <v>1.25</v>
      </c>
      <c r="C31" s="50">
        <v>1.25</v>
      </c>
      <c r="D31" s="50"/>
      <c r="E31" s="50"/>
      <c r="F31" s="50"/>
      <c r="G31" s="50"/>
      <c r="H31" s="50">
        <f t="shared" si="0"/>
        <v>5.2079999999999984</v>
      </c>
      <c r="I31" s="50">
        <f t="shared" si="1"/>
        <v>13.207999999999998</v>
      </c>
      <c r="J31" s="50">
        <f t="shared" si="2"/>
        <v>18.415999999999997</v>
      </c>
    </row>
    <row r="32" spans="1:10" ht="18.75" customHeight="1" x14ac:dyDescent="0.25">
      <c r="A32" s="61" t="s">
        <v>16</v>
      </c>
      <c r="B32" s="52"/>
      <c r="C32" s="52"/>
      <c r="D32" s="50"/>
      <c r="E32" s="50"/>
      <c r="F32" s="50"/>
      <c r="G32" s="50">
        <v>2</v>
      </c>
      <c r="H32" s="50">
        <f t="shared" si="0"/>
        <v>5.2079999999999984</v>
      </c>
      <c r="I32" s="50">
        <f t="shared" si="1"/>
        <v>13.207999999999998</v>
      </c>
      <c r="J32" s="50">
        <f t="shared" si="2"/>
        <v>18.415999999999997</v>
      </c>
    </row>
    <row r="33" spans="1:10" ht="18.75" customHeight="1" x14ac:dyDescent="0.25">
      <c r="A33" s="61" t="s">
        <v>17</v>
      </c>
      <c r="B33" s="50">
        <v>3.75</v>
      </c>
      <c r="C33" s="50">
        <v>3.75</v>
      </c>
      <c r="D33" s="50"/>
      <c r="E33" s="50"/>
      <c r="F33" s="50"/>
      <c r="G33" s="50"/>
      <c r="H33" s="50">
        <f t="shared" si="0"/>
        <v>8.9579999999999984</v>
      </c>
      <c r="I33" s="50">
        <f t="shared" si="1"/>
        <v>16.957999999999998</v>
      </c>
      <c r="J33" s="50">
        <f t="shared" si="2"/>
        <v>25.915999999999997</v>
      </c>
    </row>
    <row r="34" spans="1:10" ht="48.75" customHeight="1" x14ac:dyDescent="0.25">
      <c r="A34" s="53" t="s">
        <v>124</v>
      </c>
      <c r="B34" s="50">
        <v>6.5220000000000002</v>
      </c>
      <c r="C34" s="50">
        <v>6.5220000000000002</v>
      </c>
      <c r="D34" s="50"/>
      <c r="E34" s="50"/>
      <c r="F34" s="50"/>
      <c r="G34" s="50"/>
      <c r="H34" s="50">
        <f t="shared" ref="H34:H41" si="3">H33-F34-D34+B34</f>
        <v>15.479999999999999</v>
      </c>
      <c r="I34" s="50">
        <f t="shared" ref="I34:I41" si="4">I33-E34+C34</f>
        <v>23.479999999999997</v>
      </c>
      <c r="J34" s="50">
        <f t="shared" ref="J34:J41" si="5">SUM(H34:I34)</f>
        <v>38.959999999999994</v>
      </c>
    </row>
    <row r="35" spans="1:10" ht="18.75" customHeight="1" x14ac:dyDescent="0.25">
      <c r="A35" s="54" t="s">
        <v>18</v>
      </c>
      <c r="B35" s="50"/>
      <c r="C35" s="50"/>
      <c r="D35" s="50">
        <v>7</v>
      </c>
      <c r="E35" s="50">
        <v>22</v>
      </c>
      <c r="F35" s="50"/>
      <c r="G35" s="50"/>
      <c r="H35" s="50">
        <f t="shared" si="3"/>
        <v>8.4799999999999986</v>
      </c>
      <c r="I35" s="50">
        <f t="shared" si="4"/>
        <v>1.4799999999999969</v>
      </c>
      <c r="J35" s="50">
        <f t="shared" si="5"/>
        <v>9.9599999999999955</v>
      </c>
    </row>
    <row r="36" spans="1:10" ht="18.75" customHeight="1" x14ac:dyDescent="0.25">
      <c r="A36" s="61" t="s">
        <v>42</v>
      </c>
      <c r="B36" s="50">
        <v>5</v>
      </c>
      <c r="C36" s="50">
        <v>5</v>
      </c>
      <c r="D36" s="50"/>
      <c r="E36" s="50"/>
      <c r="F36" s="50"/>
      <c r="G36" s="50"/>
      <c r="H36" s="50">
        <f t="shared" si="3"/>
        <v>13.479999999999999</v>
      </c>
      <c r="I36" s="50">
        <f t="shared" si="4"/>
        <v>6.4799999999999969</v>
      </c>
      <c r="J36" s="50">
        <f t="shared" si="5"/>
        <v>19.959999999999994</v>
      </c>
    </row>
    <row r="37" spans="1:10" ht="18.75" customHeight="1" x14ac:dyDescent="0.25">
      <c r="A37" s="61" t="s">
        <v>19</v>
      </c>
      <c r="B37" s="50"/>
      <c r="C37" s="50"/>
      <c r="D37" s="50"/>
      <c r="E37" s="50"/>
      <c r="F37" s="50">
        <v>3</v>
      </c>
      <c r="G37" s="50"/>
      <c r="H37" s="50">
        <f t="shared" si="3"/>
        <v>10.479999999999999</v>
      </c>
      <c r="I37" s="50">
        <f t="shared" si="4"/>
        <v>6.4799999999999969</v>
      </c>
      <c r="J37" s="50">
        <f t="shared" si="5"/>
        <v>16.959999999999994</v>
      </c>
    </row>
    <row r="38" spans="1:10" ht="18.75" customHeight="1" x14ac:dyDescent="0.25">
      <c r="A38" s="61" t="s">
        <v>20</v>
      </c>
      <c r="B38" s="50"/>
      <c r="C38" s="50"/>
      <c r="D38" s="50"/>
      <c r="E38" s="50"/>
      <c r="F38" s="50"/>
      <c r="G38" s="50">
        <v>1</v>
      </c>
      <c r="H38" s="50">
        <f t="shared" si="3"/>
        <v>10.479999999999999</v>
      </c>
      <c r="I38" s="50">
        <f t="shared" si="4"/>
        <v>6.4799999999999969</v>
      </c>
      <c r="J38" s="50">
        <f t="shared" si="5"/>
        <v>16.959999999999994</v>
      </c>
    </row>
    <row r="39" spans="1:10" ht="18.75" customHeight="1" x14ac:dyDescent="0.25">
      <c r="A39" s="54" t="s">
        <v>56</v>
      </c>
      <c r="B39" s="50">
        <f>1.25*6</f>
        <v>7.5</v>
      </c>
      <c r="C39" s="50">
        <v>7.5</v>
      </c>
      <c r="D39" s="50"/>
      <c r="E39" s="50"/>
      <c r="F39" s="50"/>
      <c r="G39" s="50"/>
      <c r="H39" s="50">
        <f t="shared" si="3"/>
        <v>17.979999999999997</v>
      </c>
      <c r="I39" s="50">
        <f t="shared" si="4"/>
        <v>13.979999999999997</v>
      </c>
      <c r="J39" s="50">
        <f t="shared" si="5"/>
        <v>31.959999999999994</v>
      </c>
    </row>
    <row r="40" spans="1:10" ht="18.75" customHeight="1" x14ac:dyDescent="0.25">
      <c r="A40" s="54" t="s">
        <v>63</v>
      </c>
      <c r="B40" s="50"/>
      <c r="C40" s="50"/>
      <c r="D40" s="50"/>
      <c r="E40" s="50"/>
      <c r="F40" s="50">
        <v>2</v>
      </c>
      <c r="G40" s="50"/>
      <c r="H40" s="50">
        <f t="shared" si="3"/>
        <v>15.979999999999997</v>
      </c>
      <c r="I40" s="50">
        <f t="shared" si="4"/>
        <v>13.979999999999997</v>
      </c>
      <c r="J40" s="50">
        <f t="shared" si="5"/>
        <v>29.959999999999994</v>
      </c>
    </row>
    <row r="41" spans="1:10" ht="18.75" customHeight="1" x14ac:dyDescent="0.25">
      <c r="A41" s="54" t="s">
        <v>64</v>
      </c>
      <c r="B41" s="50">
        <v>1.25</v>
      </c>
      <c r="C41" s="50">
        <v>1.25</v>
      </c>
      <c r="D41" s="50"/>
      <c r="E41" s="50"/>
      <c r="F41" s="50"/>
      <c r="G41" s="50"/>
      <c r="H41" s="50">
        <f t="shared" si="3"/>
        <v>17.229999999999997</v>
      </c>
      <c r="I41" s="50">
        <f t="shared" si="4"/>
        <v>15.229999999999997</v>
      </c>
      <c r="J41" s="50">
        <f t="shared" si="5"/>
        <v>32.459999999999994</v>
      </c>
    </row>
    <row r="42" spans="1:10" ht="18.75" customHeight="1" x14ac:dyDescent="0.25">
      <c r="A42" s="54" t="s">
        <v>65</v>
      </c>
      <c r="B42" s="50"/>
      <c r="C42" s="50"/>
      <c r="D42" s="50"/>
      <c r="E42" s="50"/>
      <c r="F42" s="50">
        <v>1</v>
      </c>
      <c r="G42" s="50"/>
      <c r="H42" s="50">
        <f t="shared" ref="H42:H53" si="6">H41-F42-D42+B42</f>
        <v>16.229999999999997</v>
      </c>
      <c r="I42" s="50">
        <f t="shared" ref="I42:I53" si="7">I41-E42+C42</f>
        <v>15.229999999999997</v>
      </c>
      <c r="J42" s="50">
        <f t="shared" ref="J42:J53" si="8">SUM(H42:I42)</f>
        <v>31.459999999999994</v>
      </c>
    </row>
    <row r="43" spans="1:10" ht="18.75" customHeight="1" x14ac:dyDescent="0.25">
      <c r="A43" s="54" t="s">
        <v>66</v>
      </c>
      <c r="B43" s="50">
        <v>1.25</v>
      </c>
      <c r="C43" s="50">
        <v>1.25</v>
      </c>
      <c r="D43" s="50"/>
      <c r="E43" s="50"/>
      <c r="F43" s="50"/>
      <c r="G43" s="50"/>
      <c r="H43" s="50">
        <f t="shared" si="6"/>
        <v>17.479999999999997</v>
      </c>
      <c r="I43" s="50">
        <f t="shared" si="7"/>
        <v>16.479999999999997</v>
      </c>
      <c r="J43" s="50">
        <f t="shared" si="8"/>
        <v>33.959999999999994</v>
      </c>
    </row>
    <row r="44" spans="1:10" ht="18.75" customHeight="1" x14ac:dyDescent="0.25">
      <c r="A44" s="54" t="s">
        <v>67</v>
      </c>
      <c r="B44" s="39"/>
      <c r="C44" s="39"/>
      <c r="D44" s="56"/>
      <c r="E44" s="56"/>
      <c r="F44" s="56"/>
      <c r="G44" s="55">
        <v>1</v>
      </c>
      <c r="H44" s="50">
        <f t="shared" si="6"/>
        <v>17.479999999999997</v>
      </c>
      <c r="I44" s="50">
        <f t="shared" si="7"/>
        <v>16.479999999999997</v>
      </c>
      <c r="J44" s="50">
        <f t="shared" si="8"/>
        <v>33.959999999999994</v>
      </c>
    </row>
    <row r="45" spans="1:10" ht="18.75" customHeight="1" x14ac:dyDescent="0.25">
      <c r="A45" s="54" t="s">
        <v>68</v>
      </c>
      <c r="B45" s="55">
        <v>3.75</v>
      </c>
      <c r="C45" s="55">
        <v>3.75</v>
      </c>
      <c r="D45" s="56"/>
      <c r="E45" s="56"/>
      <c r="F45" s="56"/>
      <c r="G45" s="55"/>
      <c r="H45" s="50">
        <f t="shared" si="6"/>
        <v>21.229999999999997</v>
      </c>
      <c r="I45" s="50">
        <f t="shared" si="7"/>
        <v>20.229999999999997</v>
      </c>
      <c r="J45" s="50">
        <f t="shared" si="8"/>
        <v>41.459999999999994</v>
      </c>
    </row>
    <row r="46" spans="1:10" ht="18.75" customHeight="1" x14ac:dyDescent="0.25">
      <c r="A46" s="54" t="s">
        <v>69</v>
      </c>
      <c r="B46" s="39"/>
      <c r="C46" s="39"/>
      <c r="D46" s="56"/>
      <c r="E46" s="56"/>
      <c r="F46" s="55">
        <v>2</v>
      </c>
      <c r="G46" s="55"/>
      <c r="H46" s="50">
        <f t="shared" si="6"/>
        <v>19.229999999999997</v>
      </c>
      <c r="I46" s="50">
        <f t="shared" si="7"/>
        <v>20.229999999999997</v>
      </c>
      <c r="J46" s="50">
        <f t="shared" si="8"/>
        <v>39.459999999999994</v>
      </c>
    </row>
    <row r="47" spans="1:10" ht="18.75" customHeight="1" x14ac:dyDescent="0.25">
      <c r="A47" s="54" t="s">
        <v>70</v>
      </c>
      <c r="B47" s="39"/>
      <c r="C47" s="39"/>
      <c r="D47" s="56"/>
      <c r="E47" s="56"/>
      <c r="F47" s="55"/>
      <c r="G47" s="55">
        <v>2</v>
      </c>
      <c r="H47" s="50">
        <f t="shared" si="6"/>
        <v>19.229999999999997</v>
      </c>
      <c r="I47" s="50">
        <f t="shared" si="7"/>
        <v>20.229999999999997</v>
      </c>
      <c r="J47" s="50">
        <f t="shared" si="8"/>
        <v>39.459999999999994</v>
      </c>
    </row>
    <row r="48" spans="1:10" ht="18.75" customHeight="1" x14ac:dyDescent="0.25">
      <c r="A48" s="54" t="s">
        <v>71</v>
      </c>
      <c r="B48" s="55">
        <v>1.25</v>
      </c>
      <c r="C48" s="55">
        <v>1.25</v>
      </c>
      <c r="D48" s="56"/>
      <c r="E48" s="56"/>
      <c r="F48" s="55"/>
      <c r="G48" s="55"/>
      <c r="H48" s="50">
        <f t="shared" si="6"/>
        <v>20.479999999999997</v>
      </c>
      <c r="I48" s="50">
        <f t="shared" si="7"/>
        <v>21.479999999999997</v>
      </c>
      <c r="J48" s="50">
        <f t="shared" si="8"/>
        <v>41.959999999999994</v>
      </c>
    </row>
    <row r="49" spans="1:10" ht="18.75" customHeight="1" x14ac:dyDescent="0.25">
      <c r="A49" s="54" t="s">
        <v>72</v>
      </c>
      <c r="B49" s="55">
        <v>1.25</v>
      </c>
      <c r="C49" s="55">
        <v>1.25</v>
      </c>
      <c r="D49" s="56"/>
      <c r="E49" s="56"/>
      <c r="F49" s="55"/>
      <c r="G49" s="55"/>
      <c r="H49" s="50">
        <f t="shared" si="6"/>
        <v>21.729999999999997</v>
      </c>
      <c r="I49" s="50">
        <f t="shared" si="7"/>
        <v>22.729999999999997</v>
      </c>
      <c r="J49" s="50">
        <f t="shared" si="8"/>
        <v>44.459999999999994</v>
      </c>
    </row>
    <row r="50" spans="1:10" ht="18.75" customHeight="1" x14ac:dyDescent="0.25">
      <c r="A50" s="54" t="s">
        <v>73</v>
      </c>
      <c r="B50" s="55">
        <v>1.25</v>
      </c>
      <c r="C50" s="55">
        <v>1.25</v>
      </c>
      <c r="D50" s="56"/>
      <c r="E50" s="56"/>
      <c r="F50" s="55"/>
      <c r="G50" s="55"/>
      <c r="H50" s="50">
        <f t="shared" si="6"/>
        <v>22.979999999999997</v>
      </c>
      <c r="I50" s="50">
        <f t="shared" si="7"/>
        <v>23.979999999999997</v>
      </c>
      <c r="J50" s="50">
        <f t="shared" si="8"/>
        <v>46.959999999999994</v>
      </c>
    </row>
    <row r="51" spans="1:10" ht="18.75" customHeight="1" x14ac:dyDescent="0.25">
      <c r="A51" s="54" t="s">
        <v>74</v>
      </c>
      <c r="B51" s="55"/>
      <c r="C51" s="55"/>
      <c r="D51" s="56"/>
      <c r="E51" s="56"/>
      <c r="F51" s="57">
        <v>4</v>
      </c>
      <c r="G51" s="57"/>
      <c r="H51" s="50">
        <f t="shared" si="6"/>
        <v>18.979999999999997</v>
      </c>
      <c r="I51" s="50">
        <f t="shared" si="7"/>
        <v>23.979999999999997</v>
      </c>
      <c r="J51" s="50">
        <f t="shared" si="8"/>
        <v>42.959999999999994</v>
      </c>
    </row>
    <row r="52" spans="1:10" ht="18.75" customHeight="1" x14ac:dyDescent="0.25">
      <c r="A52" s="54" t="s">
        <v>104</v>
      </c>
      <c r="B52" s="55">
        <v>6.25</v>
      </c>
      <c r="C52" s="55">
        <v>6.25</v>
      </c>
      <c r="D52" s="56"/>
      <c r="E52" s="56"/>
      <c r="F52" s="57"/>
      <c r="G52" s="57"/>
      <c r="H52" s="50">
        <f t="shared" si="6"/>
        <v>25.229999999999997</v>
      </c>
      <c r="I52" s="50">
        <f t="shared" si="7"/>
        <v>30.229999999999997</v>
      </c>
      <c r="J52" s="50">
        <f t="shared" si="8"/>
        <v>55.459999999999994</v>
      </c>
    </row>
    <row r="53" spans="1:10" ht="18.75" customHeight="1" x14ac:dyDescent="0.25">
      <c r="A53" s="54" t="s">
        <v>76</v>
      </c>
      <c r="B53" s="58"/>
      <c r="C53" s="58"/>
      <c r="D53" s="57">
        <v>10</v>
      </c>
      <c r="E53" s="59"/>
      <c r="F53" s="57"/>
      <c r="G53" s="57"/>
      <c r="H53" s="51">
        <f t="shared" si="6"/>
        <v>15.229999999999997</v>
      </c>
      <c r="I53" s="51">
        <f t="shared" si="7"/>
        <v>30.229999999999997</v>
      </c>
      <c r="J53" s="51">
        <f t="shared" si="8"/>
        <v>45.459999999999994</v>
      </c>
    </row>
    <row r="54" spans="1:10" ht="18.75" customHeight="1" x14ac:dyDescent="0.25">
      <c r="A54" s="54" t="s">
        <v>109</v>
      </c>
      <c r="B54" s="57">
        <v>5</v>
      </c>
      <c r="C54" s="57">
        <v>5</v>
      </c>
      <c r="D54" s="57"/>
      <c r="E54" s="57"/>
      <c r="F54" s="57"/>
      <c r="G54" s="57"/>
      <c r="H54" s="51">
        <f t="shared" ref="H54" si="9">H53-F54-D54+B54</f>
        <v>20.229999999999997</v>
      </c>
      <c r="I54" s="51">
        <f t="shared" ref="I54" si="10">I53-E54+C54</f>
        <v>35.229999999999997</v>
      </c>
      <c r="J54" s="51">
        <f t="shared" ref="J54" si="11">SUM(H54:I54)</f>
        <v>55.459999999999994</v>
      </c>
    </row>
    <row r="55" spans="1:10" ht="18.75" customHeight="1" x14ac:dyDescent="0.25">
      <c r="A55" s="54" t="s">
        <v>110</v>
      </c>
      <c r="B55" s="57"/>
      <c r="C55" s="57"/>
      <c r="D55" s="57"/>
      <c r="E55" s="57"/>
      <c r="F55" s="57">
        <v>1</v>
      </c>
      <c r="G55" s="57"/>
      <c r="H55" s="51">
        <f t="shared" ref="H55:H56" si="12">H54-F55-D55+B55</f>
        <v>19.229999999999997</v>
      </c>
      <c r="I55" s="51">
        <f t="shared" ref="I55:I56" si="13">I54-E55+C55</f>
        <v>35.229999999999997</v>
      </c>
      <c r="J55" s="51">
        <f t="shared" ref="J55:J56" si="14">SUM(H55:I55)</f>
        <v>54.459999999999994</v>
      </c>
    </row>
    <row r="56" spans="1:10" ht="18.75" customHeight="1" x14ac:dyDescent="0.25">
      <c r="A56" s="54" t="s">
        <v>111</v>
      </c>
      <c r="B56" s="39"/>
      <c r="C56" s="39"/>
      <c r="D56" s="56"/>
      <c r="E56" s="56"/>
      <c r="F56" s="59"/>
      <c r="G56" s="57">
        <v>2</v>
      </c>
      <c r="H56" s="51">
        <f t="shared" si="12"/>
        <v>19.229999999999997</v>
      </c>
      <c r="I56" s="51">
        <f t="shared" si="13"/>
        <v>35.229999999999997</v>
      </c>
      <c r="J56" s="51">
        <f t="shared" si="14"/>
        <v>54.459999999999994</v>
      </c>
    </row>
    <row r="57" spans="1:10" ht="18.75" customHeight="1" x14ac:dyDescent="0.25">
      <c r="A57" s="54" t="s">
        <v>112</v>
      </c>
      <c r="B57" s="57">
        <v>1.25</v>
      </c>
      <c r="C57" s="57">
        <v>1.25</v>
      </c>
      <c r="D57" s="59"/>
      <c r="E57" s="59"/>
      <c r="F57" s="59"/>
      <c r="G57" s="57"/>
      <c r="H57" s="51">
        <f t="shared" ref="H57" si="15">H56-F57-D57+B57</f>
        <v>20.479999999999997</v>
      </c>
      <c r="I57" s="51">
        <f t="shared" ref="I57" si="16">I56-E57+C57</f>
        <v>36.479999999999997</v>
      </c>
      <c r="J57" s="51">
        <f t="shared" ref="J57" si="17">SUM(H57:I57)</f>
        <v>56.959999999999994</v>
      </c>
    </row>
    <row r="58" spans="1:10" ht="18.75" customHeight="1" x14ac:dyDescent="0.25">
      <c r="A58" s="54" t="s">
        <v>117</v>
      </c>
      <c r="B58" s="57">
        <v>3.75</v>
      </c>
      <c r="C58" s="57">
        <v>3.75</v>
      </c>
      <c r="D58" s="59"/>
      <c r="E58" s="59"/>
      <c r="F58" s="59"/>
      <c r="G58" s="57"/>
      <c r="H58" s="51">
        <f t="shared" ref="H58" si="18">H57-F58-D58+B58</f>
        <v>24.229999999999997</v>
      </c>
      <c r="I58" s="51">
        <f t="shared" ref="I58" si="19">I57-E58+C58</f>
        <v>40.229999999999997</v>
      </c>
      <c r="J58" s="51">
        <f t="shared" ref="J58" si="20">SUM(H58:I58)</f>
        <v>64.459999999999994</v>
      </c>
    </row>
    <row r="59" spans="1:10" ht="18.75" customHeight="1" x14ac:dyDescent="0.25">
      <c r="A59" s="54" t="s">
        <v>118</v>
      </c>
      <c r="B59" s="57"/>
      <c r="C59" s="57"/>
      <c r="D59" s="59"/>
      <c r="E59" s="59"/>
      <c r="F59" s="60">
        <v>4</v>
      </c>
      <c r="G59" s="57"/>
      <c r="H59" s="51">
        <f t="shared" ref="H59" si="21">H58-F59-D59+B59</f>
        <v>20.229999999999997</v>
      </c>
      <c r="I59" s="51">
        <f t="shared" ref="I59" si="22">I58-E59+C59</f>
        <v>40.229999999999997</v>
      </c>
      <c r="J59" s="51">
        <f t="shared" ref="J59" si="23">SUM(H59:I59)</f>
        <v>60.459999999999994</v>
      </c>
    </row>
    <row r="60" spans="1:10" ht="18.75" customHeight="1" x14ac:dyDescent="0.25">
      <c r="A60" s="54" t="s">
        <v>119</v>
      </c>
      <c r="B60" s="57">
        <v>1.25</v>
      </c>
      <c r="C60" s="57">
        <v>1.25</v>
      </c>
      <c r="D60" s="59"/>
      <c r="E60" s="59"/>
      <c r="F60" s="57"/>
      <c r="G60" s="57"/>
      <c r="H60" s="51">
        <f t="shared" ref="H60:H61" si="24">H59-F60-D60+B60</f>
        <v>21.479999999999997</v>
      </c>
      <c r="I60" s="51">
        <f t="shared" ref="I60:I61" si="25">I59-E60+C60</f>
        <v>41.48</v>
      </c>
      <c r="J60" s="51">
        <f t="shared" ref="J60:J61" si="26">SUM(H60:I60)</f>
        <v>62.959999999999994</v>
      </c>
    </row>
    <row r="61" spans="1:10" ht="18.75" customHeight="1" x14ac:dyDescent="0.25">
      <c r="A61" s="54" t="s">
        <v>120</v>
      </c>
      <c r="B61" s="57"/>
      <c r="C61" s="57"/>
      <c r="D61" s="59"/>
      <c r="E61" s="59"/>
      <c r="F61" s="60">
        <v>1</v>
      </c>
      <c r="G61" s="57"/>
      <c r="H61" s="51">
        <f t="shared" si="24"/>
        <v>20.479999999999997</v>
      </c>
      <c r="I61" s="51">
        <f t="shared" si="25"/>
        <v>41.48</v>
      </c>
      <c r="J61" s="51">
        <f t="shared" si="26"/>
        <v>61.959999999999994</v>
      </c>
    </row>
    <row r="62" spans="1:10" ht="18.75" customHeight="1" x14ac:dyDescent="0.25">
      <c r="A62" s="54" t="s">
        <v>125</v>
      </c>
      <c r="B62" s="57">
        <v>2.5</v>
      </c>
      <c r="C62" s="57">
        <v>2.5</v>
      </c>
      <c r="D62" s="59"/>
      <c r="E62" s="59"/>
      <c r="F62" s="57"/>
      <c r="G62" s="57"/>
      <c r="H62" s="51">
        <f t="shared" ref="H62:H63" si="27">H61-F62-D62+B62</f>
        <v>22.979999999999997</v>
      </c>
      <c r="I62" s="51">
        <f t="shared" ref="I62:I63" si="28">I61-E62+C62</f>
        <v>43.98</v>
      </c>
      <c r="J62" s="51">
        <f t="shared" ref="J62:J63" si="29">SUM(H62:I62)</f>
        <v>66.959999999999994</v>
      </c>
    </row>
    <row r="63" spans="1:10" ht="18.75" customHeight="1" x14ac:dyDescent="0.25">
      <c r="A63" s="54" t="s">
        <v>126</v>
      </c>
      <c r="B63" s="57"/>
      <c r="C63" s="57"/>
      <c r="D63" s="57">
        <v>13</v>
      </c>
      <c r="E63" s="59"/>
      <c r="F63" s="57"/>
      <c r="G63" s="57"/>
      <c r="H63" s="51">
        <f t="shared" si="27"/>
        <v>9.9799999999999969</v>
      </c>
      <c r="I63" s="51">
        <f t="shared" si="28"/>
        <v>43.98</v>
      </c>
      <c r="J63" s="51">
        <f t="shared" si="29"/>
        <v>53.959999999999994</v>
      </c>
    </row>
    <row r="64" spans="1:10" ht="18.75" customHeight="1" x14ac:dyDescent="0.25">
      <c r="A64" s="54" t="s">
        <v>133</v>
      </c>
      <c r="B64" s="57">
        <v>2.5</v>
      </c>
      <c r="C64" s="57">
        <v>2.5</v>
      </c>
      <c r="D64" s="57"/>
      <c r="E64" s="59"/>
      <c r="F64" s="57"/>
      <c r="G64" s="57"/>
      <c r="H64" s="51">
        <f t="shared" ref="H64:H65" si="30">H63-F64-D64+B64</f>
        <v>12.479999999999997</v>
      </c>
      <c r="I64" s="51">
        <f t="shared" ref="I64:I65" si="31">I63-E64+C64</f>
        <v>46.48</v>
      </c>
      <c r="J64" s="51">
        <f t="shared" ref="J64:J65" si="32">SUM(H64:I64)</f>
        <v>58.959999999999994</v>
      </c>
    </row>
    <row r="65" spans="1:10" ht="18.75" customHeight="1" x14ac:dyDescent="0.25">
      <c r="A65" s="54" t="s">
        <v>134</v>
      </c>
      <c r="B65" s="57"/>
      <c r="C65" s="57"/>
      <c r="D65" s="57"/>
      <c r="E65" s="137">
        <v>1</v>
      </c>
      <c r="F65" s="57"/>
      <c r="G65" s="57"/>
      <c r="H65" s="51">
        <f t="shared" si="30"/>
        <v>12.479999999999997</v>
      </c>
      <c r="I65" s="51">
        <f t="shared" si="31"/>
        <v>45.48</v>
      </c>
      <c r="J65" s="51">
        <f t="shared" si="32"/>
        <v>57.959999999999994</v>
      </c>
    </row>
    <row r="66" spans="1:10" ht="18.75" customHeight="1" x14ac:dyDescent="0.25">
      <c r="A66" s="41"/>
      <c r="B66" s="46"/>
      <c r="C66" s="46"/>
      <c r="D66" s="47"/>
      <c r="E66" s="47"/>
      <c r="F66" s="46"/>
      <c r="G66" s="48"/>
      <c r="H66" s="49"/>
      <c r="I66" s="49"/>
      <c r="J66" s="49"/>
    </row>
    <row r="67" spans="1:10" s="1" customFormat="1" x14ac:dyDescent="0.25">
      <c r="G67" s="1" t="s">
        <v>46</v>
      </c>
    </row>
    <row r="68" spans="1:10" s="1" customFormat="1" x14ac:dyDescent="0.25"/>
    <row r="69" spans="1:10" s="1" customFormat="1" x14ac:dyDescent="0.25">
      <c r="H69" s="17" t="s">
        <v>45</v>
      </c>
    </row>
    <row r="70" spans="1:10" s="1" customFormat="1" x14ac:dyDescent="0.25">
      <c r="H70" s="1" t="s">
        <v>44</v>
      </c>
    </row>
    <row r="71" spans="1:10" s="1" customFormat="1" x14ac:dyDescent="0.25">
      <c r="H71" s="1" t="s">
        <v>75</v>
      </c>
    </row>
  </sheetData>
  <mergeCells count="11">
    <mergeCell ref="A2:I2"/>
    <mergeCell ref="A3:I3"/>
    <mergeCell ref="A4:I4"/>
    <mergeCell ref="A5:I5"/>
    <mergeCell ref="A10:J10"/>
    <mergeCell ref="A13:J13"/>
    <mergeCell ref="A11:A12"/>
    <mergeCell ref="B11:C11"/>
    <mergeCell ref="D11:G11"/>
    <mergeCell ref="H11:I11"/>
    <mergeCell ref="J11:J12"/>
  </mergeCells>
  <printOptions horizontalCentered="1"/>
  <pageMargins left="0.23622047244094491" right="0.23622047244094491" top="0.23622047244094491" bottom="0.23622047244094491" header="0.31496062992125984" footer="0.31496062992125984"/>
  <pageSetup paperSize="9" scale="62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30B972-143F-43E1-A5AE-C6831E26B7EC}">
  <sheetPr>
    <pageSetUpPr fitToPage="1"/>
  </sheetPr>
  <dimension ref="A1:L35"/>
  <sheetViews>
    <sheetView view="pageBreakPreview" topLeftCell="A8" zoomScaleNormal="100" zoomScaleSheetLayoutView="100" workbookViewId="0">
      <selection activeCell="A29" sqref="A29"/>
    </sheetView>
  </sheetViews>
  <sheetFormatPr defaultRowHeight="15" x14ac:dyDescent="0.25"/>
  <cols>
    <col min="1" max="1" width="28.85546875" customWidth="1"/>
    <col min="2" max="2" width="12.85546875" customWidth="1"/>
    <col min="3" max="3" width="11.42578125" customWidth="1"/>
  </cols>
  <sheetData>
    <row r="1" spans="1:12" s="1" customFormat="1" ht="52.5" customHeight="1" x14ac:dyDescent="0.25"/>
    <row r="2" spans="1:12" s="1" customFormat="1" ht="10.5" customHeight="1" x14ac:dyDescent="0.25">
      <c r="A2" s="81" t="s">
        <v>21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</row>
    <row r="3" spans="1:12" s="1" customFormat="1" ht="15.95" customHeight="1" x14ac:dyDescent="0.25">
      <c r="A3" s="81" t="s">
        <v>22</v>
      </c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</row>
    <row r="4" spans="1:12" s="1" customFormat="1" ht="15.95" customHeight="1" x14ac:dyDescent="0.25">
      <c r="A4" s="81" t="s">
        <v>23</v>
      </c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</row>
    <row r="5" spans="1:12" s="1" customFormat="1" ht="15.95" customHeight="1" x14ac:dyDescent="0.25">
      <c r="A5" s="81" t="s">
        <v>24</v>
      </c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</row>
    <row r="6" spans="1:12" s="1" customFormat="1" ht="8.25" customHeight="1" x14ac:dyDescent="0.25"/>
    <row r="7" spans="1:12" s="1" customFormat="1" ht="12" customHeight="1" x14ac:dyDescent="0.25">
      <c r="A7" s="1" t="s">
        <v>25</v>
      </c>
      <c r="C7" s="2" t="s">
        <v>52</v>
      </c>
      <c r="D7" s="2"/>
      <c r="G7" s="2" t="s">
        <v>9</v>
      </c>
      <c r="H7" s="6"/>
    </row>
    <row r="8" spans="1:12" s="1" customFormat="1" ht="12" customHeight="1" x14ac:dyDescent="0.25">
      <c r="C8" s="3"/>
      <c r="G8" s="3"/>
      <c r="H8" s="3"/>
    </row>
    <row r="9" spans="1:12" s="1" customFormat="1" ht="12" customHeight="1" x14ac:dyDescent="0.25">
      <c r="A9" s="1" t="s">
        <v>27</v>
      </c>
      <c r="C9" s="2" t="s">
        <v>28</v>
      </c>
      <c r="D9" s="2"/>
      <c r="G9" s="2" t="s">
        <v>10</v>
      </c>
      <c r="H9" s="4"/>
    </row>
    <row r="10" spans="1:12" ht="16.5" customHeight="1" thickBot="1" x14ac:dyDescent="0.3">
      <c r="A10" s="100" t="s">
        <v>51</v>
      </c>
      <c r="B10" s="100"/>
      <c r="C10" s="100"/>
      <c r="D10" s="100"/>
      <c r="E10" s="100"/>
      <c r="F10" s="100"/>
      <c r="G10" s="100"/>
      <c r="H10" s="100"/>
      <c r="I10" s="100"/>
      <c r="J10" s="100"/>
      <c r="K10" s="100"/>
      <c r="L10" s="100"/>
    </row>
    <row r="11" spans="1:12" s="15" customFormat="1" ht="18.75" customHeight="1" x14ac:dyDescent="0.2">
      <c r="A11" s="92" t="s">
        <v>4</v>
      </c>
      <c r="B11" s="94" t="s">
        <v>5</v>
      </c>
      <c r="C11" s="95"/>
      <c r="D11" s="95"/>
      <c r="E11" s="95"/>
      <c r="F11" s="95"/>
      <c r="G11" s="95"/>
      <c r="H11" s="95"/>
      <c r="I11" s="95"/>
      <c r="J11" s="95"/>
      <c r="K11" s="95"/>
      <c r="L11" s="97" t="s">
        <v>8</v>
      </c>
    </row>
    <row r="12" spans="1:12" s="15" customFormat="1" ht="24" customHeight="1" x14ac:dyDescent="0.2">
      <c r="A12" s="93"/>
      <c r="B12" s="90" t="s">
        <v>50</v>
      </c>
      <c r="C12" s="99"/>
      <c r="D12" s="99"/>
      <c r="E12" s="91"/>
      <c r="F12" s="90" t="s">
        <v>49</v>
      </c>
      <c r="G12" s="91"/>
      <c r="H12" s="90" t="s">
        <v>48</v>
      </c>
      <c r="I12" s="91"/>
      <c r="J12" s="90" t="s">
        <v>47</v>
      </c>
      <c r="K12" s="91"/>
      <c r="L12" s="98"/>
    </row>
    <row r="13" spans="1:12" s="15" customFormat="1" ht="20.100000000000001" hidden="1" customHeight="1" x14ac:dyDescent="0.2">
      <c r="A13" s="14" t="s">
        <v>53</v>
      </c>
      <c r="B13" s="86" t="s">
        <v>55</v>
      </c>
      <c r="C13" s="87"/>
      <c r="D13" s="87"/>
      <c r="E13" s="88"/>
      <c r="F13" s="86">
        <v>1</v>
      </c>
      <c r="G13" s="88"/>
      <c r="H13" s="86">
        <v>0</v>
      </c>
      <c r="I13" s="88"/>
      <c r="J13" s="86">
        <v>1</v>
      </c>
      <c r="K13" s="88"/>
      <c r="L13" s="16">
        <v>1</v>
      </c>
    </row>
    <row r="14" spans="1:12" s="12" customFormat="1" ht="20.100000000000001" hidden="1" customHeight="1" x14ac:dyDescent="0.2">
      <c r="A14" s="14" t="s">
        <v>54</v>
      </c>
      <c r="B14" s="86" t="s">
        <v>55</v>
      </c>
      <c r="C14" s="87"/>
      <c r="D14" s="87"/>
      <c r="E14" s="88"/>
      <c r="F14" s="86">
        <v>1</v>
      </c>
      <c r="G14" s="88"/>
      <c r="H14" s="86">
        <v>1</v>
      </c>
      <c r="I14" s="88"/>
      <c r="J14" s="86">
        <v>0</v>
      </c>
      <c r="K14" s="88"/>
      <c r="L14" s="13">
        <v>0</v>
      </c>
    </row>
    <row r="15" spans="1:12" s="15" customFormat="1" ht="20.100000000000001" hidden="1" customHeight="1" x14ac:dyDescent="0.2">
      <c r="A15" s="14" t="s">
        <v>57</v>
      </c>
      <c r="B15" s="86" t="s">
        <v>58</v>
      </c>
      <c r="C15" s="87"/>
      <c r="D15" s="87"/>
      <c r="E15" s="88"/>
      <c r="F15" s="86">
        <v>1</v>
      </c>
      <c r="G15" s="88"/>
      <c r="H15" s="86">
        <v>0</v>
      </c>
      <c r="I15" s="88"/>
      <c r="J15" s="86">
        <v>1</v>
      </c>
      <c r="K15" s="88"/>
      <c r="L15" s="16">
        <v>1</v>
      </c>
    </row>
    <row r="16" spans="1:12" s="15" customFormat="1" ht="20.100000000000001" hidden="1" customHeight="1" x14ac:dyDescent="0.2">
      <c r="A16" s="14" t="s">
        <v>57</v>
      </c>
      <c r="B16" s="86" t="s">
        <v>60</v>
      </c>
      <c r="C16" s="87"/>
      <c r="D16" s="87"/>
      <c r="E16" s="88"/>
      <c r="F16" s="86">
        <v>1</v>
      </c>
      <c r="G16" s="88"/>
      <c r="H16" s="86">
        <v>0</v>
      </c>
      <c r="I16" s="88"/>
      <c r="J16" s="86">
        <v>1</v>
      </c>
      <c r="K16" s="88"/>
      <c r="L16" s="16">
        <v>2</v>
      </c>
    </row>
    <row r="17" spans="1:12" s="15" customFormat="1" ht="20.100000000000001" hidden="1" customHeight="1" x14ac:dyDescent="0.2">
      <c r="A17" s="14" t="s">
        <v>57</v>
      </c>
      <c r="B17" s="86" t="s">
        <v>59</v>
      </c>
      <c r="C17" s="87"/>
      <c r="D17" s="87"/>
      <c r="E17" s="88"/>
      <c r="F17" s="86">
        <v>2</v>
      </c>
      <c r="G17" s="88"/>
      <c r="H17" s="86">
        <v>0</v>
      </c>
      <c r="I17" s="88"/>
      <c r="J17" s="86">
        <v>2</v>
      </c>
      <c r="K17" s="88"/>
      <c r="L17" s="16">
        <v>4</v>
      </c>
    </row>
    <row r="18" spans="1:12" s="15" customFormat="1" ht="20.100000000000001" hidden="1" customHeight="1" x14ac:dyDescent="0.2">
      <c r="A18" s="14" t="s">
        <v>62</v>
      </c>
      <c r="B18" s="86" t="s">
        <v>59</v>
      </c>
      <c r="C18" s="87"/>
      <c r="D18" s="87"/>
      <c r="E18" s="88"/>
      <c r="F18" s="86"/>
      <c r="G18" s="88"/>
      <c r="H18" s="86">
        <v>3</v>
      </c>
      <c r="I18" s="88"/>
      <c r="J18" s="86">
        <v>1</v>
      </c>
      <c r="K18" s="88"/>
      <c r="L18" s="16">
        <v>1</v>
      </c>
    </row>
    <row r="19" spans="1:12" s="15" customFormat="1" ht="20.100000000000001" hidden="1" customHeight="1" x14ac:dyDescent="0.2">
      <c r="A19" s="14" t="s">
        <v>61</v>
      </c>
      <c r="B19" s="86" t="s">
        <v>59</v>
      </c>
      <c r="C19" s="87"/>
      <c r="D19" s="87"/>
      <c r="E19" s="88"/>
      <c r="F19" s="86">
        <v>1</v>
      </c>
      <c r="G19" s="88"/>
      <c r="H19" s="86">
        <v>1</v>
      </c>
      <c r="I19" s="88"/>
      <c r="J19" s="86">
        <v>0</v>
      </c>
      <c r="K19" s="88"/>
      <c r="L19" s="13">
        <v>0</v>
      </c>
    </row>
    <row r="20" spans="1:12" s="15" customFormat="1" ht="20.100000000000001" customHeight="1" x14ac:dyDescent="0.2">
      <c r="A20" s="14" t="s">
        <v>114</v>
      </c>
      <c r="B20" s="86" t="s">
        <v>115</v>
      </c>
      <c r="C20" s="87"/>
      <c r="D20" s="87"/>
      <c r="E20" s="88"/>
      <c r="F20" s="86">
        <v>1</v>
      </c>
      <c r="G20" s="88"/>
      <c r="H20" s="86">
        <v>0</v>
      </c>
      <c r="I20" s="88"/>
      <c r="J20" s="86">
        <v>1</v>
      </c>
      <c r="K20" s="88"/>
      <c r="L20" s="16">
        <v>1</v>
      </c>
    </row>
    <row r="21" spans="1:12" s="15" customFormat="1" ht="20.100000000000001" customHeight="1" x14ac:dyDescent="0.2">
      <c r="A21" s="14" t="s">
        <v>113</v>
      </c>
      <c r="B21" s="86" t="s">
        <v>115</v>
      </c>
      <c r="C21" s="87"/>
      <c r="D21" s="87"/>
      <c r="E21" s="88"/>
      <c r="F21" s="86"/>
      <c r="G21" s="88"/>
      <c r="H21" s="86">
        <v>1</v>
      </c>
      <c r="I21" s="88"/>
      <c r="J21" s="86">
        <v>0</v>
      </c>
      <c r="K21" s="88"/>
      <c r="L21" s="42">
        <v>0</v>
      </c>
    </row>
    <row r="22" spans="1:12" s="15" customFormat="1" ht="20.100000000000001" customHeight="1" x14ac:dyDescent="0.2">
      <c r="A22" s="14" t="s">
        <v>106</v>
      </c>
      <c r="B22" s="86" t="s">
        <v>107</v>
      </c>
      <c r="C22" s="87"/>
      <c r="D22" s="87"/>
      <c r="E22" s="88"/>
      <c r="F22" s="86">
        <v>3</v>
      </c>
      <c r="G22" s="88"/>
      <c r="H22" s="86">
        <v>0</v>
      </c>
      <c r="I22" s="88"/>
      <c r="J22" s="86">
        <v>3</v>
      </c>
      <c r="K22" s="88"/>
      <c r="L22" s="16">
        <v>3</v>
      </c>
    </row>
    <row r="23" spans="1:12" s="15" customFormat="1" ht="20.100000000000001" customHeight="1" x14ac:dyDescent="0.2">
      <c r="A23" s="14" t="s">
        <v>108</v>
      </c>
      <c r="B23" s="86" t="s">
        <v>107</v>
      </c>
      <c r="C23" s="87"/>
      <c r="D23" s="87"/>
      <c r="E23" s="88"/>
      <c r="F23" s="86"/>
      <c r="G23" s="88"/>
      <c r="H23" s="86">
        <v>1</v>
      </c>
      <c r="I23" s="88"/>
      <c r="J23" s="86">
        <v>2</v>
      </c>
      <c r="K23" s="88"/>
      <c r="L23" s="16">
        <v>2</v>
      </c>
    </row>
    <row r="24" spans="1:12" s="15" customFormat="1" ht="20.100000000000001" customHeight="1" x14ac:dyDescent="0.2">
      <c r="A24" s="14" t="s">
        <v>116</v>
      </c>
      <c r="B24" s="86" t="s">
        <v>107</v>
      </c>
      <c r="C24" s="87"/>
      <c r="D24" s="87"/>
      <c r="E24" s="88"/>
      <c r="F24" s="86"/>
      <c r="G24" s="88"/>
      <c r="H24" s="86">
        <v>2</v>
      </c>
      <c r="I24" s="88"/>
      <c r="J24" s="86">
        <v>0</v>
      </c>
      <c r="K24" s="88"/>
      <c r="L24" s="42">
        <v>0</v>
      </c>
    </row>
    <row r="25" spans="1:12" s="45" customFormat="1" ht="30.75" customHeight="1" x14ac:dyDescent="0.2">
      <c r="A25" s="43" t="s">
        <v>121</v>
      </c>
      <c r="B25" s="83" t="s">
        <v>122</v>
      </c>
      <c r="C25" s="84"/>
      <c r="D25" s="84"/>
      <c r="E25" s="85"/>
      <c r="F25" s="83">
        <v>3</v>
      </c>
      <c r="G25" s="85"/>
      <c r="H25" s="83">
        <v>0</v>
      </c>
      <c r="I25" s="85"/>
      <c r="J25" s="83">
        <v>3</v>
      </c>
      <c r="K25" s="85"/>
      <c r="L25" s="44">
        <v>3</v>
      </c>
    </row>
    <row r="26" spans="1:12" s="45" customFormat="1" ht="28.5" customHeight="1" x14ac:dyDescent="0.2">
      <c r="A26" s="43" t="s">
        <v>123</v>
      </c>
      <c r="B26" s="83" t="s">
        <v>122</v>
      </c>
      <c r="C26" s="84"/>
      <c r="D26" s="84"/>
      <c r="E26" s="85"/>
      <c r="F26" s="83"/>
      <c r="G26" s="85"/>
      <c r="H26" s="83">
        <v>1</v>
      </c>
      <c r="I26" s="85"/>
      <c r="J26" s="83">
        <v>2</v>
      </c>
      <c r="K26" s="85"/>
      <c r="L26" s="44">
        <v>2</v>
      </c>
    </row>
    <row r="27" spans="1:12" s="45" customFormat="1" ht="28.5" customHeight="1" x14ac:dyDescent="0.2">
      <c r="A27" s="43" t="s">
        <v>127</v>
      </c>
      <c r="B27" s="83" t="s">
        <v>122</v>
      </c>
      <c r="C27" s="84"/>
      <c r="D27" s="84"/>
      <c r="E27" s="85"/>
      <c r="F27" s="83"/>
      <c r="G27" s="85"/>
      <c r="H27" s="83">
        <v>1</v>
      </c>
      <c r="I27" s="85"/>
      <c r="J27" s="83">
        <v>1</v>
      </c>
      <c r="K27" s="85"/>
      <c r="L27" s="44">
        <v>1</v>
      </c>
    </row>
    <row r="28" spans="1:12" s="45" customFormat="1" ht="30.75" customHeight="1" x14ac:dyDescent="0.2">
      <c r="A28" s="43" t="s">
        <v>128</v>
      </c>
      <c r="B28" s="83" t="s">
        <v>129</v>
      </c>
      <c r="C28" s="84"/>
      <c r="D28" s="84"/>
      <c r="E28" s="85"/>
      <c r="F28" s="83" t="s">
        <v>130</v>
      </c>
      <c r="G28" s="85"/>
      <c r="H28" s="83">
        <v>0</v>
      </c>
      <c r="I28" s="85"/>
      <c r="J28" s="83" t="s">
        <v>130</v>
      </c>
      <c r="K28" s="85"/>
      <c r="L28" s="67" t="s">
        <v>130</v>
      </c>
    </row>
    <row r="29" spans="1:12" s="45" customFormat="1" ht="28.5" customHeight="1" x14ac:dyDescent="0.2">
      <c r="A29" s="43" t="s">
        <v>132</v>
      </c>
      <c r="B29" s="83" t="s">
        <v>129</v>
      </c>
      <c r="C29" s="84"/>
      <c r="D29" s="84"/>
      <c r="E29" s="85"/>
      <c r="F29" s="83"/>
      <c r="G29" s="85"/>
      <c r="H29" s="83">
        <v>2</v>
      </c>
      <c r="I29" s="85"/>
      <c r="J29" s="83" t="s">
        <v>131</v>
      </c>
      <c r="K29" s="85"/>
      <c r="L29" s="67" t="s">
        <v>131</v>
      </c>
    </row>
    <row r="30" spans="1:12" ht="18.95" customHeight="1" x14ac:dyDescent="0.25">
      <c r="A30" s="96"/>
      <c r="B30" s="96"/>
      <c r="C30" s="96"/>
      <c r="D30" s="96"/>
      <c r="E30" s="96"/>
      <c r="F30" s="96"/>
      <c r="G30" s="96"/>
      <c r="H30" s="96"/>
      <c r="I30" s="96"/>
      <c r="J30" s="96"/>
      <c r="K30" s="96"/>
      <c r="L30" s="96"/>
    </row>
    <row r="31" spans="1:12" s="1" customFormat="1" x14ac:dyDescent="0.25">
      <c r="C31" s="11"/>
      <c r="I31" s="1" t="s">
        <v>46</v>
      </c>
    </row>
    <row r="32" spans="1:12" s="1" customFormat="1" x14ac:dyDescent="0.25">
      <c r="C32" s="11"/>
    </row>
    <row r="33" spans="9:10" x14ac:dyDescent="0.25">
      <c r="I33" s="40" t="s">
        <v>45</v>
      </c>
      <c r="J33" s="40"/>
    </row>
    <row r="34" spans="9:10" x14ac:dyDescent="0.25">
      <c r="I34" t="s">
        <v>44</v>
      </c>
    </row>
    <row r="35" spans="9:10" x14ac:dyDescent="0.25">
      <c r="I35" s="89" t="s">
        <v>43</v>
      </c>
      <c r="J35" s="89"/>
    </row>
  </sheetData>
  <mergeCells count="82">
    <mergeCell ref="B27:E27"/>
    <mergeCell ref="F27:G27"/>
    <mergeCell ref="H27:I27"/>
    <mergeCell ref="J27:K27"/>
    <mergeCell ref="B24:E24"/>
    <mergeCell ref="F24:G24"/>
    <mergeCell ref="H24:I24"/>
    <mergeCell ref="J24:K24"/>
    <mergeCell ref="B25:E25"/>
    <mergeCell ref="F25:G25"/>
    <mergeCell ref="H25:I25"/>
    <mergeCell ref="J25:K25"/>
    <mergeCell ref="B26:E26"/>
    <mergeCell ref="F26:G26"/>
    <mergeCell ref="H26:I26"/>
    <mergeCell ref="J26:K26"/>
    <mergeCell ref="B22:E22"/>
    <mergeCell ref="F22:G22"/>
    <mergeCell ref="H22:I22"/>
    <mergeCell ref="J22:K22"/>
    <mergeCell ref="B23:E23"/>
    <mergeCell ref="F23:G23"/>
    <mergeCell ref="H23:I23"/>
    <mergeCell ref="J23:K23"/>
    <mergeCell ref="A2:L2"/>
    <mergeCell ref="A3:L3"/>
    <mergeCell ref="A4:L4"/>
    <mergeCell ref="A5:L5"/>
    <mergeCell ref="A10:L10"/>
    <mergeCell ref="A11:A12"/>
    <mergeCell ref="B11:K11"/>
    <mergeCell ref="H16:I16"/>
    <mergeCell ref="J16:K16"/>
    <mergeCell ref="A30:L30"/>
    <mergeCell ref="L11:L12"/>
    <mergeCell ref="B12:E12"/>
    <mergeCell ref="F12:G12"/>
    <mergeCell ref="F13:G13"/>
    <mergeCell ref="F14:G14"/>
    <mergeCell ref="B15:E15"/>
    <mergeCell ref="F15:G15"/>
    <mergeCell ref="H15:I15"/>
    <mergeCell ref="B19:E19"/>
    <mergeCell ref="F19:G19"/>
    <mergeCell ref="H19:I19"/>
    <mergeCell ref="I35:J35"/>
    <mergeCell ref="H12:I12"/>
    <mergeCell ref="J12:K12"/>
    <mergeCell ref="B13:E13"/>
    <mergeCell ref="H13:I13"/>
    <mergeCell ref="J13:K13"/>
    <mergeCell ref="B14:E14"/>
    <mergeCell ref="H14:I14"/>
    <mergeCell ref="J14:K14"/>
    <mergeCell ref="J15:K15"/>
    <mergeCell ref="B17:E17"/>
    <mergeCell ref="F17:G17"/>
    <mergeCell ref="H17:I17"/>
    <mergeCell ref="J17:K17"/>
    <mergeCell ref="B16:E16"/>
    <mergeCell ref="F16:G16"/>
    <mergeCell ref="J19:K19"/>
    <mergeCell ref="B18:E18"/>
    <mergeCell ref="F18:G18"/>
    <mergeCell ref="H18:I18"/>
    <mergeCell ref="J18:K18"/>
    <mergeCell ref="B20:E20"/>
    <mergeCell ref="F20:G20"/>
    <mergeCell ref="H20:I20"/>
    <mergeCell ref="J20:K20"/>
    <mergeCell ref="B21:E21"/>
    <mergeCell ref="F21:G21"/>
    <mergeCell ref="H21:I21"/>
    <mergeCell ref="J21:K21"/>
    <mergeCell ref="B28:E28"/>
    <mergeCell ref="F28:G28"/>
    <mergeCell ref="H28:I28"/>
    <mergeCell ref="J28:K28"/>
    <mergeCell ref="B29:E29"/>
    <mergeCell ref="F29:G29"/>
    <mergeCell ref="H29:I29"/>
    <mergeCell ref="J29:K29"/>
  </mergeCells>
  <phoneticPr fontId="19" type="noConversion"/>
  <pageMargins left="0.7" right="0.7" top="0.75" bottom="0.75" header="0.3" footer="0.3"/>
  <pageSetup paperSize="9" scale="65" fitToHeight="0"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0F40-D640-466A-92D1-97EA82DC4FC3}">
  <sheetPr>
    <pageSetUpPr fitToPage="1"/>
  </sheetPr>
  <dimension ref="A1:M31"/>
  <sheetViews>
    <sheetView view="pageBreakPreview" topLeftCell="A17" zoomScaleNormal="100" zoomScaleSheetLayoutView="100" workbookViewId="0">
      <selection activeCell="A28" sqref="A28:L28"/>
    </sheetView>
  </sheetViews>
  <sheetFormatPr defaultRowHeight="15" x14ac:dyDescent="0.25"/>
  <cols>
    <col min="1" max="1" width="28.85546875" customWidth="1"/>
    <col min="2" max="2" width="19.5703125" customWidth="1"/>
    <col min="3" max="3" width="18.85546875" customWidth="1"/>
    <col min="4" max="4" width="13.140625" customWidth="1"/>
    <col min="5" max="5" width="8.7109375" customWidth="1"/>
    <col min="6" max="6" width="10.28515625" customWidth="1"/>
    <col min="8" max="8" width="9.140625" customWidth="1"/>
    <col min="9" max="9" width="7.5703125" customWidth="1"/>
    <col min="10" max="10" width="5.140625" customWidth="1"/>
    <col min="11" max="11" width="7.140625" customWidth="1"/>
    <col min="12" max="12" width="3.85546875" customWidth="1"/>
    <col min="13" max="13" width="8" customWidth="1"/>
  </cols>
  <sheetData>
    <row r="1" spans="1:13" s="1" customFormat="1" ht="52.5" customHeight="1" x14ac:dyDescent="0.25"/>
    <row r="2" spans="1:13" s="1" customFormat="1" ht="10.5" customHeight="1" x14ac:dyDescent="0.25">
      <c r="A2" s="81" t="s">
        <v>21</v>
      </c>
      <c r="B2" s="81"/>
      <c r="C2" s="81"/>
      <c r="D2" s="81"/>
      <c r="E2" s="81"/>
      <c r="F2" s="81"/>
      <c r="G2" s="81"/>
      <c r="H2" s="81"/>
      <c r="I2" s="81"/>
      <c r="J2" s="81"/>
      <c r="K2" s="81"/>
    </row>
    <row r="3" spans="1:13" s="1" customFormat="1" ht="15.95" customHeight="1" x14ac:dyDescent="0.25">
      <c r="A3" s="81" t="s">
        <v>22</v>
      </c>
      <c r="B3" s="81"/>
      <c r="C3" s="81"/>
      <c r="D3" s="81"/>
      <c r="E3" s="81"/>
      <c r="F3" s="81"/>
      <c r="G3" s="81"/>
      <c r="H3" s="81"/>
      <c r="I3" s="81"/>
      <c r="J3" s="81"/>
      <c r="K3" s="81"/>
    </row>
    <row r="4" spans="1:13" s="1" customFormat="1" ht="15.95" customHeight="1" x14ac:dyDescent="0.25">
      <c r="A4" s="81" t="s">
        <v>23</v>
      </c>
      <c r="B4" s="81"/>
      <c r="C4" s="81"/>
      <c r="D4" s="81"/>
      <c r="E4" s="81"/>
      <c r="F4" s="81"/>
      <c r="G4" s="81"/>
      <c r="H4" s="81"/>
      <c r="I4" s="81"/>
      <c r="J4" s="81"/>
      <c r="K4" s="81"/>
    </row>
    <row r="5" spans="1:13" s="1" customFormat="1" ht="15.95" customHeight="1" x14ac:dyDescent="0.25">
      <c r="A5" s="81" t="s">
        <v>24</v>
      </c>
      <c r="B5" s="81"/>
      <c r="C5" s="81"/>
      <c r="D5" s="81"/>
      <c r="E5" s="81"/>
      <c r="F5" s="81"/>
      <c r="G5" s="81"/>
      <c r="H5" s="81"/>
      <c r="I5" s="81"/>
      <c r="J5" s="81"/>
      <c r="K5" s="81"/>
    </row>
    <row r="6" spans="1:13" s="1" customFormat="1" ht="8.25" customHeight="1" x14ac:dyDescent="0.25"/>
    <row r="7" spans="1:13" s="1" customFormat="1" ht="12" customHeight="1" x14ac:dyDescent="0.25">
      <c r="A7" s="1" t="s">
        <v>25</v>
      </c>
      <c r="B7" s="109" t="s">
        <v>81</v>
      </c>
      <c r="C7" s="109"/>
      <c r="D7" s="109"/>
      <c r="H7" s="2" t="s">
        <v>9</v>
      </c>
      <c r="I7" s="136"/>
      <c r="J7" s="136"/>
      <c r="K7" s="2"/>
    </row>
    <row r="8" spans="1:13" s="1" customFormat="1" ht="12" customHeight="1" x14ac:dyDescent="0.25">
      <c r="B8" s="3"/>
      <c r="C8" s="3"/>
      <c r="H8" s="3"/>
      <c r="I8" s="3"/>
      <c r="J8" s="3"/>
      <c r="K8" s="3"/>
    </row>
    <row r="9" spans="1:13" s="1" customFormat="1" ht="14.25" customHeight="1" x14ac:dyDescent="0.25">
      <c r="A9" s="1" t="s">
        <v>27</v>
      </c>
      <c r="B9" s="109" t="s">
        <v>28</v>
      </c>
      <c r="C9" s="109"/>
      <c r="D9" s="109"/>
      <c r="H9" s="2" t="s">
        <v>10</v>
      </c>
      <c r="I9" s="4"/>
      <c r="J9" s="4"/>
      <c r="K9" s="2"/>
    </row>
    <row r="10" spans="1:13" s="1" customFormat="1" ht="12" customHeight="1" x14ac:dyDescent="0.25">
      <c r="B10" s="21"/>
      <c r="C10" s="21"/>
      <c r="D10" s="21"/>
      <c r="H10" s="2"/>
      <c r="I10" s="2"/>
      <c r="J10" s="2"/>
      <c r="K10" s="2"/>
    </row>
    <row r="11" spans="1:13" s="1" customFormat="1" ht="12" customHeight="1" x14ac:dyDescent="0.25">
      <c r="B11" s="21"/>
      <c r="C11" s="21"/>
      <c r="D11" s="21"/>
      <c r="H11" s="2"/>
      <c r="I11" s="2"/>
      <c r="J11" s="2"/>
      <c r="K11" s="2"/>
    </row>
    <row r="12" spans="1:13" ht="16.5" customHeight="1" thickBot="1" x14ac:dyDescent="0.3">
      <c r="A12" s="82" t="s">
        <v>77</v>
      </c>
      <c r="B12" s="82"/>
      <c r="C12" s="82"/>
      <c r="D12" s="82"/>
      <c r="E12" s="82"/>
      <c r="F12" s="82"/>
      <c r="G12" s="82"/>
      <c r="H12" s="82"/>
      <c r="I12" s="82"/>
      <c r="J12" s="82"/>
      <c r="K12" s="82"/>
      <c r="L12" s="82"/>
      <c r="M12" s="82"/>
    </row>
    <row r="13" spans="1:13" s="7" customFormat="1" ht="18.75" customHeight="1" x14ac:dyDescent="0.2">
      <c r="A13" s="110" t="s">
        <v>78</v>
      </c>
      <c r="B13" s="113" t="s">
        <v>4</v>
      </c>
      <c r="C13" s="116" t="s">
        <v>79</v>
      </c>
      <c r="D13" s="117"/>
      <c r="E13" s="122" t="s">
        <v>80</v>
      </c>
      <c r="F13" s="123"/>
      <c r="G13" s="128" t="s">
        <v>49</v>
      </c>
      <c r="H13" s="123"/>
      <c r="I13" s="128" t="s">
        <v>48</v>
      </c>
      <c r="J13" s="123"/>
      <c r="K13" s="128" t="s">
        <v>47</v>
      </c>
      <c r="L13" s="123"/>
      <c r="M13" s="131" t="s">
        <v>8</v>
      </c>
    </row>
    <row r="14" spans="1:13" s="7" customFormat="1" ht="18.75" customHeight="1" x14ac:dyDescent="0.2">
      <c r="A14" s="111"/>
      <c r="B14" s="114"/>
      <c r="C14" s="118"/>
      <c r="D14" s="119"/>
      <c r="E14" s="124"/>
      <c r="F14" s="125"/>
      <c r="G14" s="129"/>
      <c r="H14" s="125"/>
      <c r="I14" s="129"/>
      <c r="J14" s="125"/>
      <c r="K14" s="129"/>
      <c r="L14" s="125"/>
      <c r="M14" s="132"/>
    </row>
    <row r="15" spans="1:13" s="7" customFormat="1" ht="24" customHeight="1" thickBot="1" x14ac:dyDescent="0.25">
      <c r="A15" s="112"/>
      <c r="B15" s="115"/>
      <c r="C15" s="120"/>
      <c r="D15" s="121"/>
      <c r="E15" s="126"/>
      <c r="F15" s="127"/>
      <c r="G15" s="130"/>
      <c r="H15" s="127"/>
      <c r="I15" s="130"/>
      <c r="J15" s="127"/>
      <c r="K15" s="130"/>
      <c r="L15" s="127"/>
      <c r="M15" s="133"/>
    </row>
    <row r="16" spans="1:13" s="12" customFormat="1" ht="39" customHeight="1" x14ac:dyDescent="0.2">
      <c r="A16" s="22" t="s">
        <v>82</v>
      </c>
      <c r="B16" s="23" t="s">
        <v>83</v>
      </c>
      <c r="C16" s="104"/>
      <c r="D16" s="105"/>
      <c r="E16" s="134" t="s">
        <v>84</v>
      </c>
      <c r="F16" s="135"/>
      <c r="G16" s="26">
        <v>5</v>
      </c>
      <c r="H16" s="27"/>
      <c r="I16" s="26">
        <v>0</v>
      </c>
      <c r="J16" s="27"/>
      <c r="K16" s="26">
        <v>5</v>
      </c>
      <c r="L16" s="27"/>
      <c r="M16" s="28">
        <v>5</v>
      </c>
    </row>
    <row r="17" spans="1:13" s="12" customFormat="1" ht="39" customHeight="1" x14ac:dyDescent="0.2">
      <c r="A17" s="22" t="s">
        <v>85</v>
      </c>
      <c r="B17" s="24" t="s">
        <v>86</v>
      </c>
      <c r="C17" s="104" t="s">
        <v>87</v>
      </c>
      <c r="D17" s="105"/>
      <c r="E17" s="24"/>
      <c r="F17" s="25"/>
      <c r="G17" s="26">
        <v>5</v>
      </c>
      <c r="H17" s="27"/>
      <c r="I17" s="26">
        <v>0</v>
      </c>
      <c r="J17" s="27"/>
      <c r="K17" s="26">
        <v>5</v>
      </c>
      <c r="L17" s="27"/>
      <c r="M17" s="28">
        <v>5</v>
      </c>
    </row>
    <row r="18" spans="1:13" s="12" customFormat="1" ht="39" customHeight="1" x14ac:dyDescent="0.2">
      <c r="A18" s="22" t="s">
        <v>88</v>
      </c>
      <c r="B18" s="24" t="s">
        <v>89</v>
      </c>
      <c r="C18" s="104" t="s">
        <v>87</v>
      </c>
      <c r="D18" s="105"/>
      <c r="E18" s="24"/>
      <c r="F18" s="25"/>
      <c r="G18" s="26">
        <v>5</v>
      </c>
      <c r="H18" s="27"/>
      <c r="I18" s="26">
        <v>0</v>
      </c>
      <c r="J18" s="27"/>
      <c r="K18" s="26">
        <v>5</v>
      </c>
      <c r="L18" s="27"/>
      <c r="M18" s="28">
        <v>5</v>
      </c>
    </row>
    <row r="19" spans="1:13" s="12" customFormat="1" ht="39" customHeight="1" x14ac:dyDescent="0.2">
      <c r="A19" s="22" t="s">
        <v>90</v>
      </c>
      <c r="B19" s="24" t="s">
        <v>91</v>
      </c>
      <c r="C19" s="104" t="s">
        <v>87</v>
      </c>
      <c r="D19" s="105"/>
      <c r="E19" s="29"/>
      <c r="F19" s="30"/>
      <c r="G19" s="26">
        <v>5</v>
      </c>
      <c r="H19" s="27"/>
      <c r="I19" s="26">
        <v>0</v>
      </c>
      <c r="J19" s="27"/>
      <c r="K19" s="26">
        <v>5</v>
      </c>
      <c r="L19" s="27"/>
      <c r="M19" s="28">
        <v>5</v>
      </c>
    </row>
    <row r="20" spans="1:13" s="12" customFormat="1" ht="39" customHeight="1" x14ac:dyDescent="0.2">
      <c r="A20" s="22" t="s">
        <v>92</v>
      </c>
      <c r="B20" s="24" t="s">
        <v>93</v>
      </c>
      <c r="C20" s="24"/>
      <c r="D20" s="25"/>
      <c r="E20" s="108" t="s">
        <v>84</v>
      </c>
      <c r="F20" s="108"/>
      <c r="G20" s="26">
        <v>5</v>
      </c>
      <c r="H20" s="27"/>
      <c r="I20" s="26">
        <v>0</v>
      </c>
      <c r="J20" s="27"/>
      <c r="K20" s="26">
        <v>5</v>
      </c>
      <c r="L20" s="27"/>
      <c r="M20" s="28">
        <v>5</v>
      </c>
    </row>
    <row r="21" spans="1:13" s="12" customFormat="1" ht="39" customHeight="1" x14ac:dyDescent="0.2">
      <c r="A21" s="22" t="s">
        <v>94</v>
      </c>
      <c r="B21" s="31" t="s">
        <v>95</v>
      </c>
      <c r="C21" s="104" t="s">
        <v>87</v>
      </c>
      <c r="D21" s="105"/>
      <c r="E21" s="106"/>
      <c r="F21" s="107"/>
      <c r="G21" s="26">
        <v>5</v>
      </c>
      <c r="H21" s="27"/>
      <c r="I21" s="26">
        <v>0</v>
      </c>
      <c r="J21" s="27"/>
      <c r="K21" s="26">
        <v>5</v>
      </c>
      <c r="L21" s="27"/>
      <c r="M21" s="28">
        <v>5</v>
      </c>
    </row>
    <row r="22" spans="1:13" s="12" customFormat="1" ht="39" customHeight="1" x14ac:dyDescent="0.2">
      <c r="A22" s="22" t="s">
        <v>96</v>
      </c>
      <c r="B22" s="24" t="s">
        <v>97</v>
      </c>
      <c r="C22" s="104" t="s">
        <v>87</v>
      </c>
      <c r="D22" s="105"/>
      <c r="E22" s="108"/>
      <c r="F22" s="108"/>
      <c r="G22" s="26">
        <v>5</v>
      </c>
      <c r="H22" s="27"/>
      <c r="I22" s="26">
        <v>0</v>
      </c>
      <c r="J22" s="27"/>
      <c r="K22" s="26">
        <v>5</v>
      </c>
      <c r="L22" s="27"/>
      <c r="M22" s="28">
        <v>5</v>
      </c>
    </row>
    <row r="23" spans="1:13" s="12" customFormat="1" ht="39" customHeight="1" x14ac:dyDescent="0.2">
      <c r="A23" s="32" t="s">
        <v>96</v>
      </c>
      <c r="B23" s="19" t="s">
        <v>98</v>
      </c>
      <c r="C23" s="104"/>
      <c r="D23" s="105"/>
      <c r="E23" s="108" t="s">
        <v>84</v>
      </c>
      <c r="F23" s="108"/>
      <c r="G23" s="33">
        <v>5</v>
      </c>
      <c r="H23" s="34"/>
      <c r="I23" s="33">
        <v>0</v>
      </c>
      <c r="J23" s="34"/>
      <c r="K23" s="33">
        <v>5</v>
      </c>
      <c r="L23" s="34"/>
      <c r="M23" s="35">
        <v>5</v>
      </c>
    </row>
    <row r="24" spans="1:13" s="12" customFormat="1" ht="39" customHeight="1" x14ac:dyDescent="0.2">
      <c r="A24" s="32" t="s">
        <v>96</v>
      </c>
      <c r="B24" s="19" t="s">
        <v>99</v>
      </c>
      <c r="C24" s="104" t="s">
        <v>87</v>
      </c>
      <c r="D24" s="105"/>
      <c r="E24" s="36"/>
      <c r="F24" s="37"/>
      <c r="G24" s="33">
        <v>5</v>
      </c>
      <c r="H24" s="34"/>
      <c r="I24" s="33">
        <v>0</v>
      </c>
      <c r="J24" s="34"/>
      <c r="K24" s="33">
        <v>5</v>
      </c>
      <c r="L24" s="34"/>
      <c r="M24" s="35">
        <v>5</v>
      </c>
    </row>
    <row r="25" spans="1:13" s="12" customFormat="1" ht="39" customHeight="1" x14ac:dyDescent="0.2">
      <c r="A25" s="32" t="s">
        <v>96</v>
      </c>
      <c r="B25" s="31" t="s">
        <v>100</v>
      </c>
      <c r="C25" s="106"/>
      <c r="D25" s="107"/>
      <c r="E25" s="108" t="s">
        <v>84</v>
      </c>
      <c r="F25" s="108"/>
      <c r="G25" s="33">
        <v>5</v>
      </c>
      <c r="H25" s="34"/>
      <c r="I25" s="33">
        <v>0</v>
      </c>
      <c r="J25" s="34"/>
      <c r="K25" s="33">
        <v>5</v>
      </c>
      <c r="L25" s="34"/>
      <c r="M25" s="35">
        <v>5</v>
      </c>
    </row>
    <row r="26" spans="1:13" s="12" customFormat="1" ht="39" customHeight="1" x14ac:dyDescent="0.2">
      <c r="A26" s="32" t="s">
        <v>96</v>
      </c>
      <c r="B26" s="19" t="s">
        <v>101</v>
      </c>
      <c r="C26" s="104" t="s">
        <v>87</v>
      </c>
      <c r="D26" s="105"/>
      <c r="E26" s="19"/>
      <c r="F26" s="20"/>
      <c r="G26" s="33">
        <v>5</v>
      </c>
      <c r="H26" s="34"/>
      <c r="I26" s="33">
        <v>0</v>
      </c>
      <c r="J26" s="34"/>
      <c r="K26" s="33">
        <v>5</v>
      </c>
      <c r="L26" s="34"/>
      <c r="M26" s="35">
        <v>5</v>
      </c>
    </row>
    <row r="27" spans="1:13" s="12" customFormat="1" ht="39" customHeight="1" x14ac:dyDescent="0.2">
      <c r="A27" s="32" t="s">
        <v>96</v>
      </c>
      <c r="B27" s="19" t="s">
        <v>102</v>
      </c>
      <c r="C27" s="104" t="s">
        <v>87</v>
      </c>
      <c r="D27" s="105"/>
      <c r="E27" s="106"/>
      <c r="F27" s="107"/>
      <c r="G27" s="33">
        <v>5</v>
      </c>
      <c r="H27" s="34"/>
      <c r="I27" s="33">
        <v>0</v>
      </c>
      <c r="J27" s="34"/>
      <c r="K27" s="33">
        <v>5</v>
      </c>
      <c r="L27" s="34"/>
      <c r="M27" s="35">
        <v>5</v>
      </c>
    </row>
    <row r="28" spans="1:13" s="12" customFormat="1" ht="39" customHeight="1" x14ac:dyDescent="0.2">
      <c r="A28" s="101" t="s">
        <v>103</v>
      </c>
      <c r="B28" s="102"/>
      <c r="C28" s="102"/>
      <c r="D28" s="102"/>
      <c r="E28" s="102"/>
      <c r="F28" s="102"/>
      <c r="G28" s="102"/>
      <c r="H28" s="102"/>
      <c r="I28" s="102"/>
      <c r="J28" s="102"/>
      <c r="K28" s="102"/>
      <c r="L28" s="103"/>
      <c r="M28" s="38">
        <v>60</v>
      </c>
    </row>
    <row r="29" spans="1:13" s="1" customFormat="1" ht="75.75" customHeight="1" x14ac:dyDescent="0.25">
      <c r="A29" s="18"/>
      <c r="B29" s="18"/>
      <c r="D29" s="11"/>
      <c r="M29" s="18"/>
    </row>
    <row r="30" spans="1:13" s="1" customFormat="1" x14ac:dyDescent="0.25">
      <c r="D30" s="11"/>
    </row>
    <row r="31" spans="1:13" s="1" customFormat="1" x14ac:dyDescent="0.25">
      <c r="D31" s="11"/>
    </row>
  </sheetData>
  <mergeCells count="35">
    <mergeCell ref="A2:K2"/>
    <mergeCell ref="A3:K3"/>
    <mergeCell ref="A4:K4"/>
    <mergeCell ref="A5:K5"/>
    <mergeCell ref="B7:D7"/>
    <mergeCell ref="I7:J7"/>
    <mergeCell ref="E20:F20"/>
    <mergeCell ref="B9:D9"/>
    <mergeCell ref="A12:M12"/>
    <mergeCell ref="A13:A15"/>
    <mergeCell ref="B13:B15"/>
    <mergeCell ref="C13:D15"/>
    <mergeCell ref="E13:F15"/>
    <mergeCell ref="G13:H15"/>
    <mergeCell ref="I13:J15"/>
    <mergeCell ref="K13:L15"/>
    <mergeCell ref="M13:M15"/>
    <mergeCell ref="C16:D16"/>
    <mergeCell ref="E16:F16"/>
    <mergeCell ref="C17:D17"/>
    <mergeCell ref="C18:D18"/>
    <mergeCell ref="C19:D19"/>
    <mergeCell ref="C21:D21"/>
    <mergeCell ref="E21:F21"/>
    <mergeCell ref="C22:D22"/>
    <mergeCell ref="E22:F22"/>
    <mergeCell ref="C23:D23"/>
    <mergeCell ref="E23:F23"/>
    <mergeCell ref="A28:L28"/>
    <mergeCell ref="C24:D24"/>
    <mergeCell ref="C25:D25"/>
    <mergeCell ref="E25:F25"/>
    <mergeCell ref="C26:D26"/>
    <mergeCell ref="C27:D27"/>
    <mergeCell ref="E27:F27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63" fitToWidth="0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Leave Card (NE)</vt:lpstr>
      <vt:lpstr>CTO</vt:lpstr>
      <vt:lpstr>ELECTION (2)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2025-09-30T05:13:23Z</cp:lastPrinted>
  <dcterms:created xsi:type="dcterms:W3CDTF">2021-10-07T06:10:16Z</dcterms:created>
  <dcterms:modified xsi:type="dcterms:W3CDTF">2025-09-30T05:15:34Z</dcterms:modified>
</cp:coreProperties>
</file>