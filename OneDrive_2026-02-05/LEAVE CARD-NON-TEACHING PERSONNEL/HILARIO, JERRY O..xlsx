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8F162ADA-96E9-44E3-A02C-06DCC50A977D}" xr6:coauthVersionLast="47" xr6:coauthVersionMax="47" xr10:uidLastSave="{00000000-0000-0000-0000-000000000000}"/>
  <bookViews>
    <workbookView xWindow="-120" yWindow="-120" windowWidth="29040" windowHeight="15720" xr2:uid="{66F6A21D-95C1-4072-BAD6-02652588E043}"/>
  </bookViews>
  <sheets>
    <sheet name="Sheet1" sheetId="1" r:id="rId1"/>
    <sheet name="ELE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C41" i="1" l="1"/>
  <c r="J16" i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I16" i="1"/>
  <c r="I17" i="1" s="1"/>
  <c r="K16" i="1" l="1"/>
  <c r="K17" i="1"/>
  <c r="I18" i="1"/>
  <c r="K18" i="1" s="1"/>
  <c r="I19" i="1" l="1"/>
  <c r="K19" i="1" l="1"/>
  <c r="I20" i="1"/>
  <c r="K20" i="1" l="1"/>
  <c r="I21" i="1"/>
  <c r="K21" i="1" l="1"/>
  <c r="I22" i="1"/>
  <c r="K22" i="1" l="1"/>
  <c r="I23" i="1"/>
  <c r="I24" i="1" l="1"/>
  <c r="K23" i="1"/>
  <c r="K24" i="1" l="1"/>
  <c r="I25" i="1"/>
  <c r="K25" i="1" l="1"/>
  <c r="I26" i="1"/>
  <c r="K26" i="1" l="1"/>
  <c r="I27" i="1"/>
  <c r="K27" i="1" l="1"/>
  <c r="I28" i="1"/>
  <c r="I29" i="1" l="1"/>
  <c r="K28" i="1"/>
  <c r="I30" i="1" l="1"/>
  <c r="I31" i="1" s="1"/>
  <c r="K29" i="1"/>
  <c r="I32" i="1" l="1"/>
  <c r="K31" i="1"/>
  <c r="K30" i="1"/>
  <c r="I33" i="1" l="1"/>
  <c r="K32" i="1"/>
  <c r="K33" i="1" l="1"/>
  <c r="I34" i="1"/>
  <c r="K34" i="1" l="1"/>
  <c r="I35" i="1"/>
  <c r="K35" i="1" l="1"/>
  <c r="I36" i="1"/>
  <c r="K36" i="1" l="1"/>
  <c r="I37" i="1"/>
  <c r="K37" i="1" l="1"/>
  <c r="I38" i="1"/>
  <c r="I39" i="1" l="1"/>
  <c r="K38" i="1"/>
  <c r="I40" i="1" l="1"/>
  <c r="K39" i="1"/>
  <c r="I41" i="1" l="1"/>
  <c r="K40" i="1"/>
  <c r="K41" i="1" l="1"/>
  <c r="I42" i="1"/>
  <c r="K42" i="1" l="1"/>
  <c r="I43" i="1"/>
  <c r="K43" i="1" l="1"/>
  <c r="I44" i="1"/>
  <c r="I45" i="1" l="1"/>
  <c r="K44" i="1"/>
  <c r="K45" i="1" l="1"/>
  <c r="I46" i="1"/>
  <c r="I47" i="1" l="1"/>
  <c r="K46" i="1"/>
  <c r="K47" i="1" l="1"/>
  <c r="I48" i="1"/>
  <c r="I49" i="1" l="1"/>
  <c r="K48" i="1"/>
  <c r="K49" i="1" l="1"/>
  <c r="I50" i="1"/>
  <c r="I51" i="1" l="1"/>
  <c r="K50" i="1"/>
  <c r="K51" i="1" l="1"/>
  <c r="I52" i="1"/>
  <c r="I53" i="1" l="1"/>
  <c r="K52" i="1"/>
  <c r="I54" i="1" l="1"/>
  <c r="K53" i="1"/>
  <c r="K54" i="1" l="1"/>
  <c r="I55" i="1"/>
  <c r="I56" i="1" l="1"/>
  <c r="K55" i="1"/>
  <c r="K56" i="1" l="1"/>
  <c r="I57" i="1"/>
  <c r="K57" i="1" l="1"/>
  <c r="I58" i="1"/>
  <c r="I59" i="1" l="1"/>
  <c r="K58" i="1"/>
  <c r="K59" i="1" l="1"/>
  <c r="I60" i="1"/>
  <c r="I61" i="1" l="1"/>
  <c r="K60" i="1"/>
  <c r="K61" i="1" l="1"/>
  <c r="I62" i="1"/>
  <c r="K62" i="1" l="1"/>
  <c r="I63" i="1"/>
  <c r="K63" i="1" s="1"/>
</calcChain>
</file>

<file path=xl/sharedStrings.xml><?xml version="1.0" encoding="utf-8"?>
<sst xmlns="http://schemas.openxmlformats.org/spreadsheetml/2006/main" count="107" uniqueCount="97">
  <si>
    <t>Republic of the Philippines</t>
  </si>
  <si>
    <t>Department of Education</t>
  </si>
  <si>
    <t>REGION VI-WESTERN VISAYAS</t>
  </si>
  <si>
    <t>SCHOOLS DIVISION OF SIPALAY CITY</t>
  </si>
  <si>
    <t>DISTRICT :</t>
  </si>
  <si>
    <t xml:space="preserve">EMP. NO  : </t>
  </si>
  <si>
    <t>STATION CODE:</t>
  </si>
  <si>
    <t>SCHOOL/OFFICE:</t>
  </si>
  <si>
    <t>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</si>
  <si>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</si>
  <si>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</si>
  <si>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</si>
  <si>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</si>
  <si>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</si>
  <si>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</si>
  <si>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</si>
  <si>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</si>
  <si>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 LEAVE</t>
  </si>
  <si>
    <t>LESS: MONETIZATION 2022</t>
  </si>
  <si>
    <t>LESS: FL 2022</t>
  </si>
  <si>
    <t>LESS: MONETIZATION 2023</t>
  </si>
  <si>
    <t>Certified Correct:</t>
  </si>
  <si>
    <t>MA. LUISA B. CATIGAN</t>
  </si>
  <si>
    <t>Administrative Officer IV</t>
  </si>
  <si>
    <t>HRMO</t>
  </si>
  <si>
    <t>ADD:10/01/2015-10/31/2015</t>
  </si>
  <si>
    <t>LESS: FL 2016</t>
  </si>
  <si>
    <t>ADD: 01/01/2016-12/31/2016</t>
  </si>
  <si>
    <t>ADD: 01/01/2017-11/30/2017</t>
  </si>
  <si>
    <t>LESS: MONETIZATION 2017</t>
  </si>
  <si>
    <t>ADD: 12/01/2017-12/31/2017</t>
  </si>
  <si>
    <t>LESS: FL 2017</t>
  </si>
  <si>
    <t>ADD:01/01/2018-06/30/2018</t>
  </si>
  <si>
    <t>LESS: MONETIZATION 2018</t>
  </si>
  <si>
    <t>ADD: 07/01/2018-12/31/2018</t>
  </si>
  <si>
    <t>LESS: FL 2018</t>
  </si>
  <si>
    <t>ADD: 01/01/2019-12/31/2019</t>
  </si>
  <si>
    <t>LESS: FL 2019</t>
  </si>
  <si>
    <t>ADD: 01/01/2020-12/31/2020</t>
  </si>
  <si>
    <t>LESS: FL 2020</t>
  </si>
  <si>
    <t>LESS: MONETIZATION 2020</t>
  </si>
  <si>
    <t>ADD: 01/01/2021-08/31/2021</t>
  </si>
  <si>
    <t>LESS: 09/8-9/2021</t>
  </si>
  <si>
    <t>ADD: 09/01/2021-09/30/2021</t>
  </si>
  <si>
    <t>LESS: MONETIZATION 2021</t>
  </si>
  <si>
    <t>ADD: 10/01/2021-10/31/2021</t>
  </si>
  <si>
    <t>ADD: 11/01/2021-12/31/2021</t>
  </si>
  <si>
    <t>LESS: FL 2021</t>
  </si>
  <si>
    <t>ADD: 01/01/2022-02/08/2022</t>
  </si>
  <si>
    <t>ADD: 03/01/2022-06/30/2022</t>
  </si>
  <si>
    <t>LESS: 07/28-29/2022</t>
  </si>
  <si>
    <t>ADD: 07/01/2022-08/31/2022</t>
  </si>
  <si>
    <t>LESS: 09/01/2022-10/31/2022</t>
  </si>
  <si>
    <t>LESS: 11/16/2022</t>
  </si>
  <si>
    <t>LESS: 11/25/2022</t>
  </si>
  <si>
    <t>ADD: 11/01/2022-12/31/2022</t>
  </si>
  <si>
    <t>ADD: 01/01/2023-08/31/2023</t>
  </si>
  <si>
    <t>ADD: 09/01/2023-11/30/2023</t>
  </si>
  <si>
    <t>LESS: 12/12/2023</t>
  </si>
  <si>
    <t>ADD: 12/01/2023-12/31/2023</t>
  </si>
  <si>
    <t>ADD: 01/01/2024-02/29/2024</t>
  </si>
  <si>
    <t>LESS: 02/19/2024</t>
  </si>
  <si>
    <t xml:space="preserve">STATION   : </t>
  </si>
  <si>
    <t>DISTRICT                : _______________________</t>
  </si>
  <si>
    <t>EMPLOYEE NO    : __________</t>
  </si>
  <si>
    <t>STATION CODE    : __________</t>
  </si>
  <si>
    <t>DIVISION CODE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</si>
  <si>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</si>
  <si>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</si>
  <si>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</si>
  <si>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</si>
  <si>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No. of Days Granted</t>
  </si>
  <si>
    <t>No. of Days Used</t>
  </si>
  <si>
    <t>Balance</t>
  </si>
  <si>
    <t>NAME          :  HILARIO, JERRY O.</t>
  </si>
  <si>
    <t>POSITION   : HT-I</t>
  </si>
  <si>
    <t>SCHOOL/OFFICE : CABADIANGAN ES</t>
  </si>
  <si>
    <t>ADD: 05/10/2004</t>
  </si>
  <si>
    <t xml:space="preserve"> NATIONAL AND LOCAL ELECTION</t>
  </si>
  <si>
    <t>LESS: 12/10-11/2020</t>
  </si>
  <si>
    <t>MAY 10, 2004 ELECTION</t>
  </si>
  <si>
    <t xml:space="preserve">LESS: 03/22-23/2022 </t>
  </si>
  <si>
    <t xml:space="preserve"> MAY 14, 2007 (NATIONAL AND LOCAL ELECTION)</t>
  </si>
  <si>
    <t>ADD: 05/14/2007</t>
  </si>
  <si>
    <t>LESS: 10/17-18/2021</t>
  </si>
  <si>
    <t>ADD: 11/01/2015-12/31/2015</t>
  </si>
  <si>
    <t>ADD: 03/1/2024-11/30/2024</t>
  </si>
  <si>
    <t>LESS: 12/23, 26, 27/2024</t>
  </si>
  <si>
    <t>ADD: 12/1-31/2024</t>
  </si>
  <si>
    <t>LESS: FL 2024</t>
  </si>
  <si>
    <t>LESS: FL 2023</t>
  </si>
  <si>
    <t>ADD: 01/1/2025-08/31/2025</t>
  </si>
  <si>
    <t>LESS: MONITIZATION 2025</t>
  </si>
  <si>
    <t>NEGROS ISLAND REGION</t>
  </si>
  <si>
    <t>BUNGA-BUNGA ES</t>
  </si>
  <si>
    <t>POSITION: HEAD TEACHER II</t>
  </si>
  <si>
    <t>NAME: HILARIO, JERRY  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</si>
</sst>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2" fillId="2" borderId="1" xfId="0" applyFont="1" applyFill="1" applyBorder="1"/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2" xfId="0" applyFont="1" applyFill="1" applyBorder="1"/>
    <xf numFmtId="0" fontId="1" fillId="2" borderId="0" xfId="0" applyFont="1" applyFill="1"/>
    <xf numFmtId="0" fontId="2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5" fillId="7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0" xfId="0" applyFont="1"/>
    <xf numFmtId="0" fontId="0" fillId="2" borderId="15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9" fillId="0" borderId="0" xfId="0" applyFont="1"/>
    <xf numFmtId="0" fontId="9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6" fillId="2" borderId="6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 wrapText="1"/>
    </xf>
    <xf numFmtId="0" fontId="5" fillId="10" borderId="15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7" fillId="11" borderId="13" xfId="0" applyFont="1" applyFill="1" applyBorder="1" applyAlignment="1">
      <alignment horizontal="center" vertical="center" wrapText="1"/>
    </xf>
    <xf numFmtId="0" fontId="7" fillId="11" borderId="16" xfId="0" applyFont="1" applyFill="1" applyBorder="1" applyAlignment="1">
      <alignment horizontal="center" vertical="center" wrapText="1"/>
    </xf>
    <xf numFmtId="0" fontId="7" fillId="11" borderId="17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5" fillId="10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392726</xdr:colOff>
      <xdr:row>0</xdr:row>
      <xdr:rowOff>168683</xdr:rowOff>
    </xdr:from>
    <xdr:to>
      <xdr:col>5</xdr:col>
      <xdr:colOff>247651</xdr:colOff>
      <xdr:row>4</xdr:row>
      <xdr:rowOff>39974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B24C2E-FC5B-4B1E-801D-066420C001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8976" y="168683"/>
          <a:ext cx="626450" cy="63329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0</xdr:row>
      <xdr:rowOff>95250</xdr:rowOff>
    </xdr:from>
    <xdr:to>
      <xdr:col>5</xdr:col>
      <xdr:colOff>157835</xdr:colOff>
      <xdr:row>4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34864F-7D2D-4795-9162-C6C8780BA90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33850" y="95250"/>
          <a:ext cx="681710" cy="7175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0</xdr:rowOff>
    </xdr:from>
    <xdr:to>
      <xdr:col>3</xdr:col>
      <xdr:colOff>533400</xdr:colOff>
      <xdr:row>29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F581ECA-95AB-429F-93EB-6D440660E203}"/>
            </a:ext>
          </a:extLst>
        </xdr:cNvPr>
        <xdr:cNvSpPr txBox="1"/>
      </xdr:nvSpPr>
      <xdr:spPr>
        <a:xfrm>
          <a:off x="76200" y="4438650"/>
          <a:ext cx="3895725" cy="1266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11</xdr:row>
      <xdr:rowOff>9525</xdr:rowOff>
    </xdr:from>
    <xdr:to>
      <xdr:col>2</xdr:col>
      <xdr:colOff>19050</xdr:colOff>
      <xdr:row>11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A6F860D-7269-4F85-BFD9-4E1D09222218}"/>
            </a:ext>
          </a:extLst>
        </xdr:cNvPr>
        <xdr:cNvCxnSpPr/>
      </xdr:nvCxnSpPr>
      <xdr:spPr>
        <a:xfrm>
          <a:off x="742950" y="2105025"/>
          <a:ext cx="2105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733425</xdr:colOff>
      <xdr:row>12</xdr:row>
      <xdr:rowOff>149225</xdr:rowOff>
    </xdr:from>
    <xdr:to>
      <xdr:col>2</xdr:col>
      <xdr:colOff>9525</xdr:colOff>
      <xdr:row>12</xdr:row>
      <xdr:rowOff>149225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B886E3F-5FD2-4575-9986-65D2C3BF52FF}"/>
            </a:ext>
          </a:extLst>
        </xdr:cNvPr>
        <xdr:cNvCxnSpPr/>
      </xdr:nvCxnSpPr>
      <xdr:spPr>
        <a:xfrm>
          <a:off x="733425" y="2435225"/>
          <a:ext cx="2105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510F-4AA4-406F-A023-36C7BF3BD8F4}">
  <sheetPr>
    <pageSetUpPr fitToPage="1"/>
  </sheetPr>
  <dimension ref="B1:K111"/>
  <sheetViews>
    <sheetView tabSelected="1" topLeftCell="A46" workbookViewId="0">
      <selection activeCell="A62" sqref="A62:XFD62"/>
    </sheetView>
  </sheetViews>
  <sheetFormatPr defaultRowHeight="15" x14ac:dyDescent="0.25"/>
  <cols>
    <col min="1" max="1" width="3.28515625" customWidth="1"/>
    <col min="2" max="2" width="32.28515625" customWidth="1"/>
    <col min="3" max="3" width="11.5703125" style="21" customWidth="1"/>
    <col min="4" max="4" width="17" style="22" customWidth="1"/>
    <col min="5" max="5" width="11.5703125" style="21" customWidth="1"/>
    <col min="6" max="6" width="11.5703125" style="22" customWidth="1"/>
    <col min="7" max="7" width="11.5703125" style="23" customWidth="1"/>
    <col min="8" max="8" width="11" style="23" customWidth="1"/>
    <col min="9" max="9" width="13" style="21" customWidth="1"/>
    <col min="10" max="10" width="11.5703125" style="22" customWidth="1"/>
    <col min="11" max="11" width="11.5703125" customWidth="1"/>
  </cols>
  <sheetData>
    <row r="1" spans="2:11" x14ac:dyDescent="0.25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x14ac:dyDescent="0.25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 x14ac:dyDescent="0.25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x14ac:dyDescent="0.25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x14ac:dyDescent="0.25">
      <c r="B5" s="45" t="s">
        <v>0</v>
      </c>
      <c r="C5" s="45"/>
      <c r="D5" s="45"/>
      <c r="E5" s="45"/>
      <c r="F5" s="45"/>
      <c r="G5" s="45"/>
      <c r="H5" s="45"/>
      <c r="I5" s="45"/>
      <c r="J5" s="45"/>
      <c r="K5" s="45"/>
    </row>
    <row r="6" spans="2:11" x14ac:dyDescent="0.25">
      <c r="B6" s="45" t="s">
        <v>1</v>
      </c>
      <c r="C6" s="45"/>
      <c r="D6" s="45"/>
      <c r="E6" s="45"/>
      <c r="F6" s="45"/>
      <c r="G6" s="45"/>
      <c r="H6" s="45"/>
      <c r="I6" s="45"/>
      <c r="J6" s="45"/>
      <c r="K6" s="45"/>
    </row>
    <row r="7" spans="2:11" x14ac:dyDescent="0.25">
      <c r="B7" s="45" t="s">
        <v>93</v>
      </c>
      <c r="C7" s="45"/>
      <c r="D7" s="45"/>
      <c r="E7" s="45"/>
      <c r="F7" s="45"/>
      <c r="G7" s="45"/>
      <c r="H7" s="45"/>
      <c r="I7" s="45"/>
      <c r="J7" s="45"/>
      <c r="K7" s="45"/>
    </row>
    <row r="8" spans="2:11" x14ac:dyDescent="0.25">
      <c r="B8" s="45" t="s">
        <v>3</v>
      </c>
      <c r="C8" s="45"/>
      <c r="D8" s="45"/>
      <c r="E8" s="45"/>
      <c r="F8" s="45"/>
      <c r="G8" s="45"/>
      <c r="H8" s="45"/>
      <c r="I8" s="45"/>
      <c r="J8" s="45"/>
      <c r="K8" s="45"/>
    </row>
    <row r="9" spans="2:11" x14ac:dyDescent="0.25">
      <c r="B9" s="1"/>
      <c r="C9" s="1"/>
      <c r="D9" s="1"/>
      <c r="E9" s="1"/>
      <c r="F9" s="1"/>
      <c r="G9" s="1"/>
      <c r="H9" s="1"/>
      <c r="I9" s="1"/>
      <c r="J9" s="1"/>
      <c r="K9" s="1"/>
    </row>
    <row r="10" spans="2:11" ht="15.75" x14ac:dyDescent="0.25">
      <c r="B10" s="2" t="s">
        <v>96</v>
      </c>
      <c r="C10" s="3"/>
      <c r="D10" s="3" t="s">
        <v>4</v>
      </c>
      <c r="E10" s="4"/>
      <c r="F10" s="2"/>
      <c r="G10" s="5"/>
      <c r="H10" s="5"/>
      <c r="I10" s="6" t="s">
        <v>5</v>
      </c>
      <c r="J10" s="4"/>
      <c r="K10" s="7"/>
    </row>
    <row r="11" spans="2:11" ht="15.75" x14ac:dyDescent="0.25">
      <c r="B11" s="5"/>
      <c r="C11" s="5"/>
      <c r="D11" s="5"/>
      <c r="E11" s="5"/>
      <c r="F11" s="5"/>
      <c r="G11" s="5"/>
      <c r="H11" s="5"/>
      <c r="I11" s="5" t="s">
        <v>6</v>
      </c>
      <c r="J11" s="8"/>
      <c r="K11" s="9"/>
    </row>
    <row r="12" spans="2:11" ht="15.75" x14ac:dyDescent="0.25">
      <c r="B12" s="2" t="s">
        <v>95</v>
      </c>
      <c r="C12" s="10"/>
      <c r="D12" s="5" t="s">
        <v>7</v>
      </c>
      <c r="E12" s="2" t="s">
        <v>94</v>
      </c>
      <c r="F12" s="2"/>
      <c r="G12" s="5"/>
      <c r="H12" s="5"/>
      <c r="I12" s="6" t="s">
        <v>62</v>
      </c>
      <c r="J12" s="11"/>
      <c r="K12" s="7"/>
    </row>
    <row r="13" spans="2:11" ht="23.25" x14ac:dyDescent="0.25">
      <c r="B13" s="46" t="s">
        <v>8</v>
      </c>
      <c r="C13" s="46"/>
      <c r="D13" s="46"/>
      <c r="E13" s="46"/>
      <c r="F13" s="46"/>
      <c r="G13" s="46"/>
      <c r="H13" s="46"/>
      <c r="I13" s="46"/>
      <c r="J13" s="46"/>
      <c r="K13" s="46"/>
    </row>
    <row r="14" spans="2:11" x14ac:dyDescent="0.25">
      <c r="B14" s="47" t="s">
        <v>9</v>
      </c>
      <c r="C14" s="48" t="s">
        <v>10</v>
      </c>
      <c r="D14" s="48"/>
      <c r="E14" s="49" t="s">
        <v>11</v>
      </c>
      <c r="F14" s="50"/>
      <c r="G14" s="50"/>
      <c r="H14" s="51"/>
      <c r="I14" s="52" t="s">
        <v>12</v>
      </c>
      <c r="J14" s="52"/>
      <c r="K14" s="47" t="s">
        <v>13</v>
      </c>
    </row>
    <row r="15" spans="2:11" ht="36" x14ac:dyDescent="0.25">
      <c r="B15" s="47"/>
      <c r="C15" s="12" t="s">
        <v>14</v>
      </c>
      <c r="D15" s="13" t="s">
        <v>15</v>
      </c>
      <c r="E15" s="12" t="s">
        <v>14</v>
      </c>
      <c r="F15" s="13" t="s">
        <v>15</v>
      </c>
      <c r="G15" s="14" t="s">
        <v>16</v>
      </c>
      <c r="H15" s="15" t="s">
        <v>17</v>
      </c>
      <c r="I15" s="12" t="s">
        <v>14</v>
      </c>
      <c r="J15" s="13" t="s">
        <v>15</v>
      </c>
      <c r="K15" s="47"/>
    </row>
    <row r="16" spans="2:11" x14ac:dyDescent="0.25">
      <c r="B16" s="16" t="s">
        <v>25</v>
      </c>
      <c r="C16" s="17">
        <v>1.25</v>
      </c>
      <c r="D16" s="17">
        <v>1.25</v>
      </c>
      <c r="E16" s="17"/>
      <c r="F16" s="17"/>
      <c r="G16" s="17"/>
      <c r="H16" s="17"/>
      <c r="I16" s="17">
        <f>C16</f>
        <v>1.25</v>
      </c>
      <c r="J16" s="17">
        <f>D16</f>
        <v>1.25</v>
      </c>
      <c r="K16" s="18">
        <f>SUM(I16:J16)</f>
        <v>2.5</v>
      </c>
    </row>
    <row r="17" spans="2:11" x14ac:dyDescent="0.25">
      <c r="B17" s="19" t="s">
        <v>85</v>
      </c>
      <c r="C17" s="17">
        <v>2.5</v>
      </c>
      <c r="D17" s="17">
        <v>2.5</v>
      </c>
      <c r="E17" s="17"/>
      <c r="F17" s="17"/>
      <c r="G17" s="17"/>
      <c r="H17" s="17"/>
      <c r="I17" s="17">
        <f>I16-G17-E17+C17</f>
        <v>3.75</v>
      </c>
      <c r="J17" s="17">
        <f>J16-F17+D17</f>
        <v>3.75</v>
      </c>
      <c r="K17" s="18">
        <f t="shared" ref="K17" si="0">SUM(I17:J17)</f>
        <v>7.5</v>
      </c>
    </row>
    <row r="18" spans="2:11" x14ac:dyDescent="0.25">
      <c r="B18" s="19" t="s">
        <v>27</v>
      </c>
      <c r="C18" s="17">
        <v>15</v>
      </c>
      <c r="D18" s="17">
        <v>15</v>
      </c>
      <c r="E18" s="17"/>
      <c r="F18" s="17"/>
      <c r="G18" s="17"/>
      <c r="H18" s="17"/>
      <c r="I18" s="17">
        <f t="shared" ref="I18:I30" si="1">I17-G18-E18+C18</f>
        <v>18.75</v>
      </c>
      <c r="J18" s="17">
        <f t="shared" ref="J18:J30" si="2">J17-F18+D18</f>
        <v>18.75</v>
      </c>
      <c r="K18" s="18">
        <f t="shared" ref="K18:K30" si="3">SUM(I18:J18)</f>
        <v>37.5</v>
      </c>
    </row>
    <row r="19" spans="2:11" x14ac:dyDescent="0.25">
      <c r="B19" s="19" t="s">
        <v>26</v>
      </c>
      <c r="C19" s="17"/>
      <c r="D19" s="17"/>
      <c r="E19" s="17"/>
      <c r="F19" s="17"/>
      <c r="G19" s="17">
        <v>5</v>
      </c>
      <c r="H19" s="17"/>
      <c r="I19" s="17">
        <f t="shared" si="1"/>
        <v>13.75</v>
      </c>
      <c r="J19" s="17">
        <f t="shared" si="2"/>
        <v>18.75</v>
      </c>
      <c r="K19" s="18">
        <f t="shared" si="3"/>
        <v>32.5</v>
      </c>
    </row>
    <row r="20" spans="2:11" x14ac:dyDescent="0.25">
      <c r="B20" s="19" t="s">
        <v>28</v>
      </c>
      <c r="C20" s="17">
        <v>13.75</v>
      </c>
      <c r="D20" s="17">
        <v>13.75</v>
      </c>
      <c r="E20" s="17"/>
      <c r="F20" s="17"/>
      <c r="G20" s="17"/>
      <c r="H20" s="17"/>
      <c r="I20" s="17">
        <f t="shared" si="1"/>
        <v>27.5</v>
      </c>
      <c r="J20" s="17">
        <f t="shared" si="2"/>
        <v>32.5</v>
      </c>
      <c r="K20" s="18">
        <f t="shared" si="3"/>
        <v>60</v>
      </c>
    </row>
    <row r="21" spans="2:11" x14ac:dyDescent="0.25">
      <c r="B21" s="19" t="s">
        <v>29</v>
      </c>
      <c r="C21" s="17"/>
      <c r="D21" s="17"/>
      <c r="E21" s="17">
        <v>15</v>
      </c>
      <c r="F21" s="17"/>
      <c r="G21" s="17"/>
      <c r="H21" s="17"/>
      <c r="I21" s="17">
        <f t="shared" si="1"/>
        <v>12.5</v>
      </c>
      <c r="J21" s="17">
        <f t="shared" si="2"/>
        <v>32.5</v>
      </c>
      <c r="K21" s="18">
        <f t="shared" si="3"/>
        <v>45</v>
      </c>
    </row>
    <row r="22" spans="2:11" x14ac:dyDescent="0.25">
      <c r="B22" s="19" t="s">
        <v>30</v>
      </c>
      <c r="C22" s="17">
        <v>1.25</v>
      </c>
      <c r="D22" s="17">
        <v>1.25</v>
      </c>
      <c r="E22" s="17"/>
      <c r="F22" s="17"/>
      <c r="G22" s="17"/>
      <c r="H22" s="17"/>
      <c r="I22" s="17">
        <f t="shared" si="1"/>
        <v>13.75</v>
      </c>
      <c r="J22" s="17">
        <f t="shared" si="2"/>
        <v>33.75</v>
      </c>
      <c r="K22" s="18">
        <f t="shared" si="3"/>
        <v>47.5</v>
      </c>
    </row>
    <row r="23" spans="2:11" x14ac:dyDescent="0.25">
      <c r="B23" s="19" t="s">
        <v>31</v>
      </c>
      <c r="C23" s="17"/>
      <c r="D23" s="17"/>
      <c r="E23" s="17"/>
      <c r="F23" s="17"/>
      <c r="G23" s="17">
        <v>5</v>
      </c>
      <c r="H23" s="17"/>
      <c r="I23" s="17">
        <f t="shared" si="1"/>
        <v>8.75</v>
      </c>
      <c r="J23" s="17">
        <f t="shared" si="2"/>
        <v>33.75</v>
      </c>
      <c r="K23" s="18">
        <f t="shared" si="3"/>
        <v>42.5</v>
      </c>
    </row>
    <row r="24" spans="2:11" x14ac:dyDescent="0.25">
      <c r="B24" s="19" t="s">
        <v>32</v>
      </c>
      <c r="C24" s="17">
        <v>7.5</v>
      </c>
      <c r="D24" s="17">
        <v>7.5</v>
      </c>
      <c r="E24" s="17"/>
      <c r="F24" s="17"/>
      <c r="G24" s="17"/>
      <c r="H24" s="17"/>
      <c r="I24" s="17">
        <f t="shared" si="1"/>
        <v>16.25</v>
      </c>
      <c r="J24" s="17">
        <f t="shared" si="2"/>
        <v>41.25</v>
      </c>
      <c r="K24" s="18">
        <f t="shared" si="3"/>
        <v>57.5</v>
      </c>
    </row>
    <row r="25" spans="2:11" x14ac:dyDescent="0.25">
      <c r="B25" s="19" t="s">
        <v>33</v>
      </c>
      <c r="C25" s="17"/>
      <c r="D25" s="17"/>
      <c r="E25" s="17">
        <v>10</v>
      </c>
      <c r="F25" s="17">
        <v>19</v>
      </c>
      <c r="G25" s="17"/>
      <c r="H25" s="17"/>
      <c r="I25" s="17">
        <f t="shared" si="1"/>
        <v>6.25</v>
      </c>
      <c r="J25" s="17">
        <f t="shared" si="2"/>
        <v>22.25</v>
      </c>
      <c r="K25" s="18">
        <f t="shared" si="3"/>
        <v>28.5</v>
      </c>
    </row>
    <row r="26" spans="2:11" x14ac:dyDescent="0.25">
      <c r="B26" s="19" t="s">
        <v>34</v>
      </c>
      <c r="C26" s="17">
        <v>7.5</v>
      </c>
      <c r="D26" s="17">
        <v>7.5</v>
      </c>
      <c r="E26" s="17"/>
      <c r="F26" s="17"/>
      <c r="G26" s="17"/>
      <c r="H26" s="17"/>
      <c r="I26" s="17">
        <f t="shared" si="1"/>
        <v>13.75</v>
      </c>
      <c r="J26" s="17">
        <f t="shared" si="2"/>
        <v>29.75</v>
      </c>
      <c r="K26" s="18">
        <f t="shared" si="3"/>
        <v>43.5</v>
      </c>
    </row>
    <row r="27" spans="2:11" x14ac:dyDescent="0.25">
      <c r="B27" s="19" t="s">
        <v>35</v>
      </c>
      <c r="C27" s="17"/>
      <c r="D27" s="17"/>
      <c r="E27" s="17"/>
      <c r="F27" s="17"/>
      <c r="G27" s="17">
        <v>5</v>
      </c>
      <c r="H27" s="17"/>
      <c r="I27" s="17">
        <f t="shared" si="1"/>
        <v>8.75</v>
      </c>
      <c r="J27" s="17">
        <f t="shared" si="2"/>
        <v>29.75</v>
      </c>
      <c r="K27" s="18">
        <f t="shared" si="3"/>
        <v>38.5</v>
      </c>
    </row>
    <row r="28" spans="2:11" x14ac:dyDescent="0.25">
      <c r="B28" s="19" t="s">
        <v>36</v>
      </c>
      <c r="C28" s="17">
        <v>15</v>
      </c>
      <c r="D28" s="17">
        <v>15</v>
      </c>
      <c r="E28" s="17"/>
      <c r="F28" s="17"/>
      <c r="G28" s="17"/>
      <c r="H28" s="17"/>
      <c r="I28" s="17">
        <f t="shared" si="1"/>
        <v>23.75</v>
      </c>
      <c r="J28" s="17">
        <f t="shared" si="2"/>
        <v>44.75</v>
      </c>
      <c r="K28" s="18">
        <f t="shared" si="3"/>
        <v>68.5</v>
      </c>
    </row>
    <row r="29" spans="2:11" x14ac:dyDescent="0.25">
      <c r="B29" s="19" t="s">
        <v>37</v>
      </c>
      <c r="C29" s="17"/>
      <c r="D29" s="17"/>
      <c r="E29" s="17"/>
      <c r="F29" s="17"/>
      <c r="G29" s="17">
        <v>5</v>
      </c>
      <c r="H29" s="17"/>
      <c r="I29" s="17">
        <f t="shared" si="1"/>
        <v>18.75</v>
      </c>
      <c r="J29" s="17">
        <f t="shared" si="2"/>
        <v>44.75</v>
      </c>
      <c r="K29" s="18">
        <f t="shared" si="3"/>
        <v>63.5</v>
      </c>
    </row>
    <row r="30" spans="2:11" x14ac:dyDescent="0.25">
      <c r="B30" s="19" t="s">
        <v>38</v>
      </c>
      <c r="C30" s="17">
        <v>15</v>
      </c>
      <c r="D30" s="17">
        <v>15</v>
      </c>
      <c r="E30" s="17"/>
      <c r="F30" s="17"/>
      <c r="G30" s="17"/>
      <c r="H30" s="17"/>
      <c r="I30" s="17">
        <f t="shared" si="1"/>
        <v>33.75</v>
      </c>
      <c r="J30" s="17">
        <f t="shared" si="2"/>
        <v>59.75</v>
      </c>
      <c r="K30" s="18">
        <f t="shared" si="3"/>
        <v>93.5</v>
      </c>
    </row>
    <row r="31" spans="2:11" x14ac:dyDescent="0.25">
      <c r="B31" s="19" t="s">
        <v>39</v>
      </c>
      <c r="C31" s="17"/>
      <c r="D31" s="17"/>
      <c r="E31" s="17"/>
      <c r="F31" s="17"/>
      <c r="G31" s="17">
        <v>5</v>
      </c>
      <c r="H31" s="17"/>
      <c r="I31" s="17">
        <f t="shared" ref="I31:I55" si="4">I30-G31-E31+C31</f>
        <v>28.75</v>
      </c>
      <c r="J31" s="17">
        <f t="shared" ref="J31:J55" si="5">J30-F31+D31</f>
        <v>59.75</v>
      </c>
      <c r="K31" s="18">
        <f t="shared" ref="K31:K55" si="6">SUM(I31:J31)</f>
        <v>88.5</v>
      </c>
    </row>
    <row r="32" spans="2:11" x14ac:dyDescent="0.25">
      <c r="B32" s="19" t="s">
        <v>40</v>
      </c>
      <c r="C32" s="17"/>
      <c r="D32" s="17"/>
      <c r="E32" s="17">
        <v>8</v>
      </c>
      <c r="F32" s="17"/>
      <c r="G32" s="17"/>
      <c r="H32" s="17"/>
      <c r="I32" s="17">
        <f t="shared" si="4"/>
        <v>20.75</v>
      </c>
      <c r="J32" s="17">
        <f t="shared" si="5"/>
        <v>59.75</v>
      </c>
      <c r="K32" s="18">
        <f t="shared" si="6"/>
        <v>80.5</v>
      </c>
    </row>
    <row r="33" spans="2:11" x14ac:dyDescent="0.25">
      <c r="B33" s="19" t="s">
        <v>41</v>
      </c>
      <c r="C33" s="17">
        <v>10</v>
      </c>
      <c r="D33" s="17">
        <v>10</v>
      </c>
      <c r="E33" s="17"/>
      <c r="F33" s="17"/>
      <c r="G33" s="17"/>
      <c r="H33" s="17"/>
      <c r="I33" s="17">
        <f t="shared" si="4"/>
        <v>30.75</v>
      </c>
      <c r="J33" s="17">
        <f t="shared" si="5"/>
        <v>69.75</v>
      </c>
      <c r="K33" s="18">
        <f t="shared" si="6"/>
        <v>100.5</v>
      </c>
    </row>
    <row r="34" spans="2:11" x14ac:dyDescent="0.25">
      <c r="B34" s="16" t="s">
        <v>42</v>
      </c>
      <c r="C34" s="16"/>
      <c r="D34" s="16"/>
      <c r="E34" s="16"/>
      <c r="F34" s="16"/>
      <c r="G34" s="16">
        <v>2</v>
      </c>
      <c r="H34" s="16"/>
      <c r="I34" s="17">
        <f t="shared" si="4"/>
        <v>28.75</v>
      </c>
      <c r="J34" s="17">
        <f t="shared" si="5"/>
        <v>69.75</v>
      </c>
      <c r="K34" s="18">
        <f t="shared" si="6"/>
        <v>98.5</v>
      </c>
    </row>
    <row r="35" spans="2:11" x14ac:dyDescent="0.25">
      <c r="B35" s="16" t="s">
        <v>43</v>
      </c>
      <c r="C35" s="16">
        <v>1.25</v>
      </c>
      <c r="D35" s="16">
        <v>1.25</v>
      </c>
      <c r="E35" s="16"/>
      <c r="F35" s="16"/>
      <c r="G35" s="16"/>
      <c r="H35" s="16"/>
      <c r="I35" s="17">
        <f t="shared" si="4"/>
        <v>30</v>
      </c>
      <c r="J35" s="17">
        <f t="shared" si="5"/>
        <v>71</v>
      </c>
      <c r="K35" s="18">
        <f t="shared" si="6"/>
        <v>101</v>
      </c>
    </row>
    <row r="36" spans="2:11" x14ac:dyDescent="0.25">
      <c r="B36" s="16" t="s">
        <v>44</v>
      </c>
      <c r="C36" s="16"/>
      <c r="D36" s="16"/>
      <c r="E36" s="16">
        <v>23</v>
      </c>
      <c r="F36" s="16">
        <v>6</v>
      </c>
      <c r="G36" s="16"/>
      <c r="H36" s="16"/>
      <c r="I36" s="17">
        <f t="shared" si="4"/>
        <v>7</v>
      </c>
      <c r="J36" s="17">
        <f t="shared" si="5"/>
        <v>65</v>
      </c>
      <c r="K36" s="18">
        <f t="shared" si="6"/>
        <v>72</v>
      </c>
    </row>
    <row r="37" spans="2:11" x14ac:dyDescent="0.25">
      <c r="B37" s="16" t="s">
        <v>45</v>
      </c>
      <c r="C37" s="16">
        <v>1.25</v>
      </c>
      <c r="D37" s="16">
        <v>1.25</v>
      </c>
      <c r="E37" s="16"/>
      <c r="F37" s="16"/>
      <c r="G37" s="16"/>
      <c r="H37" s="16"/>
      <c r="I37" s="17">
        <f t="shared" si="4"/>
        <v>8.25</v>
      </c>
      <c r="J37" s="17">
        <f t="shared" si="5"/>
        <v>66.25</v>
      </c>
      <c r="K37" s="18">
        <f t="shared" si="6"/>
        <v>74.5</v>
      </c>
    </row>
    <row r="38" spans="2:11" x14ac:dyDescent="0.25">
      <c r="B38" s="16" t="s">
        <v>46</v>
      </c>
      <c r="C38" s="16">
        <v>2.5</v>
      </c>
      <c r="D38" s="16">
        <v>2.5</v>
      </c>
      <c r="E38" s="16"/>
      <c r="F38" s="16"/>
      <c r="G38" s="16"/>
      <c r="H38" s="16"/>
      <c r="I38" s="17">
        <f t="shared" si="4"/>
        <v>10.75</v>
      </c>
      <c r="J38" s="17">
        <f t="shared" si="5"/>
        <v>68.75</v>
      </c>
      <c r="K38" s="18">
        <f t="shared" si="6"/>
        <v>79.5</v>
      </c>
    </row>
    <row r="39" spans="2:11" x14ac:dyDescent="0.25">
      <c r="B39" s="16" t="s">
        <v>47</v>
      </c>
      <c r="C39" s="16"/>
      <c r="D39" s="16"/>
      <c r="E39" s="16"/>
      <c r="F39" s="16"/>
      <c r="G39" s="16">
        <v>3</v>
      </c>
      <c r="H39" s="16"/>
      <c r="I39" s="17">
        <f t="shared" si="4"/>
        <v>7.75</v>
      </c>
      <c r="J39" s="17">
        <f t="shared" si="5"/>
        <v>68.75</v>
      </c>
      <c r="K39" s="18">
        <f t="shared" si="6"/>
        <v>76.5</v>
      </c>
    </row>
    <row r="40" spans="2:11" x14ac:dyDescent="0.25">
      <c r="B40" s="16" t="s">
        <v>48</v>
      </c>
      <c r="C40" s="16">
        <v>2.5</v>
      </c>
      <c r="D40" s="16">
        <v>2.5</v>
      </c>
      <c r="E40" s="16"/>
      <c r="F40" s="16"/>
      <c r="G40" s="16"/>
      <c r="H40" s="16"/>
      <c r="I40" s="17">
        <f t="shared" si="4"/>
        <v>10.25</v>
      </c>
      <c r="J40" s="17">
        <f t="shared" si="5"/>
        <v>71.25</v>
      </c>
      <c r="K40" s="18">
        <f t="shared" si="6"/>
        <v>81.5</v>
      </c>
    </row>
    <row r="41" spans="2:11" x14ac:dyDescent="0.25">
      <c r="B41" s="16" t="s">
        <v>49</v>
      </c>
      <c r="C41" s="16">
        <f>4*1.25</f>
        <v>5</v>
      </c>
      <c r="D41" s="16">
        <v>5</v>
      </c>
      <c r="E41" s="16"/>
      <c r="F41" s="16"/>
      <c r="G41" s="16"/>
      <c r="H41" s="16"/>
      <c r="I41" s="17">
        <f t="shared" si="4"/>
        <v>15.25</v>
      </c>
      <c r="J41" s="17">
        <f t="shared" si="5"/>
        <v>76.25</v>
      </c>
      <c r="K41" s="18">
        <f t="shared" si="6"/>
        <v>91.5</v>
      </c>
    </row>
    <row r="42" spans="2:11" x14ac:dyDescent="0.25">
      <c r="B42" s="16" t="s">
        <v>50</v>
      </c>
      <c r="C42" s="16"/>
      <c r="D42" s="16"/>
      <c r="E42" s="16"/>
      <c r="F42" s="16"/>
      <c r="G42" s="16">
        <v>2</v>
      </c>
      <c r="H42" s="16"/>
      <c r="I42" s="17">
        <f t="shared" si="4"/>
        <v>13.25</v>
      </c>
      <c r="J42" s="17">
        <f t="shared" si="5"/>
        <v>76.25</v>
      </c>
      <c r="K42" s="18">
        <f t="shared" si="6"/>
        <v>89.5</v>
      </c>
    </row>
    <row r="43" spans="2:11" x14ac:dyDescent="0.25">
      <c r="B43" s="16" t="s">
        <v>51</v>
      </c>
      <c r="C43" s="16">
        <v>2.5</v>
      </c>
      <c r="D43" s="16">
        <v>2.5</v>
      </c>
      <c r="E43" s="16"/>
      <c r="F43" s="16"/>
      <c r="G43" s="16"/>
      <c r="H43" s="16"/>
      <c r="I43" s="17">
        <f t="shared" si="4"/>
        <v>15.75</v>
      </c>
      <c r="J43" s="17">
        <f t="shared" si="5"/>
        <v>78.75</v>
      </c>
      <c r="K43" s="18">
        <f t="shared" si="6"/>
        <v>94.5</v>
      </c>
    </row>
    <row r="44" spans="2:11" x14ac:dyDescent="0.25">
      <c r="B44" s="16" t="s">
        <v>18</v>
      </c>
      <c r="C44" s="16"/>
      <c r="D44" s="16"/>
      <c r="E44" s="16">
        <v>9</v>
      </c>
      <c r="F44" s="16">
        <v>20</v>
      </c>
      <c r="G44" s="16"/>
      <c r="H44" s="16"/>
      <c r="I44" s="17">
        <f t="shared" si="4"/>
        <v>6.75</v>
      </c>
      <c r="J44" s="17">
        <f t="shared" si="5"/>
        <v>58.75</v>
      </c>
      <c r="K44" s="18">
        <f t="shared" si="6"/>
        <v>65.5</v>
      </c>
    </row>
    <row r="45" spans="2:11" x14ac:dyDescent="0.25">
      <c r="B45" s="16" t="s">
        <v>52</v>
      </c>
      <c r="C45" s="16">
        <v>2.5</v>
      </c>
      <c r="D45" s="16">
        <v>2.5</v>
      </c>
      <c r="E45" s="16"/>
      <c r="F45" s="16"/>
      <c r="G45" s="16"/>
      <c r="H45" s="16"/>
      <c r="I45" s="17">
        <f t="shared" si="4"/>
        <v>9.25</v>
      </c>
      <c r="J45" s="17">
        <f t="shared" si="5"/>
        <v>61.25</v>
      </c>
      <c r="K45" s="18">
        <f t="shared" si="6"/>
        <v>70.5</v>
      </c>
    </row>
    <row r="46" spans="2:11" x14ac:dyDescent="0.25">
      <c r="B46" s="16" t="s">
        <v>53</v>
      </c>
      <c r="C46" s="16"/>
      <c r="D46" s="16"/>
      <c r="E46" s="16"/>
      <c r="F46" s="16"/>
      <c r="G46" s="16">
        <v>1</v>
      </c>
      <c r="H46" s="16"/>
      <c r="I46" s="17">
        <f t="shared" si="4"/>
        <v>8.25</v>
      </c>
      <c r="J46" s="17">
        <f t="shared" si="5"/>
        <v>61.25</v>
      </c>
      <c r="K46" s="18">
        <f t="shared" si="6"/>
        <v>69.5</v>
      </c>
    </row>
    <row r="47" spans="2:11" x14ac:dyDescent="0.25">
      <c r="B47" s="16" t="s">
        <v>54</v>
      </c>
      <c r="C47" s="16"/>
      <c r="D47" s="16"/>
      <c r="E47" s="16"/>
      <c r="F47" s="16"/>
      <c r="G47" s="16">
        <v>1</v>
      </c>
      <c r="H47" s="16"/>
      <c r="I47" s="17">
        <f t="shared" si="4"/>
        <v>7.25</v>
      </c>
      <c r="J47" s="17">
        <f t="shared" si="5"/>
        <v>61.25</v>
      </c>
      <c r="K47" s="18">
        <f t="shared" si="6"/>
        <v>68.5</v>
      </c>
    </row>
    <row r="48" spans="2:11" x14ac:dyDescent="0.25">
      <c r="B48" s="16" t="s">
        <v>55</v>
      </c>
      <c r="C48" s="16">
        <v>2.5</v>
      </c>
      <c r="D48" s="16">
        <v>2.5</v>
      </c>
      <c r="E48" s="16"/>
      <c r="F48" s="16"/>
      <c r="G48" s="16"/>
      <c r="H48" s="16"/>
      <c r="I48" s="17">
        <f t="shared" si="4"/>
        <v>9.75</v>
      </c>
      <c r="J48" s="17">
        <f t="shared" si="5"/>
        <v>63.75</v>
      </c>
      <c r="K48" s="18">
        <f t="shared" si="6"/>
        <v>73.5</v>
      </c>
    </row>
    <row r="49" spans="2:11" x14ac:dyDescent="0.25">
      <c r="B49" s="16" t="s">
        <v>19</v>
      </c>
      <c r="C49" s="16"/>
      <c r="D49" s="16"/>
      <c r="E49" s="16"/>
      <c r="F49" s="16"/>
      <c r="G49" s="16">
        <v>1</v>
      </c>
      <c r="H49" s="16"/>
      <c r="I49" s="17">
        <f t="shared" si="4"/>
        <v>8.75</v>
      </c>
      <c r="J49" s="17">
        <f t="shared" si="5"/>
        <v>63.75</v>
      </c>
      <c r="K49" s="18">
        <f t="shared" si="6"/>
        <v>72.5</v>
      </c>
    </row>
    <row r="50" spans="2:11" x14ac:dyDescent="0.25">
      <c r="B50" s="16" t="s">
        <v>56</v>
      </c>
      <c r="C50" s="16">
        <v>10</v>
      </c>
      <c r="D50" s="16">
        <v>10</v>
      </c>
      <c r="E50" s="16"/>
      <c r="F50" s="16"/>
      <c r="G50" s="16"/>
      <c r="H50" s="16"/>
      <c r="I50" s="17">
        <f t="shared" si="4"/>
        <v>18.75</v>
      </c>
      <c r="J50" s="17">
        <f t="shared" si="5"/>
        <v>73.75</v>
      </c>
      <c r="K50" s="18">
        <f t="shared" si="6"/>
        <v>92.5</v>
      </c>
    </row>
    <row r="51" spans="2:11" x14ac:dyDescent="0.25">
      <c r="B51" s="16" t="s">
        <v>20</v>
      </c>
      <c r="C51" s="16"/>
      <c r="D51" s="16"/>
      <c r="E51" s="16">
        <v>12</v>
      </c>
      <c r="F51" s="16">
        <v>17</v>
      </c>
      <c r="G51" s="16"/>
      <c r="H51" s="16"/>
      <c r="I51" s="17">
        <f t="shared" si="4"/>
        <v>6.75</v>
      </c>
      <c r="J51" s="17">
        <f t="shared" si="5"/>
        <v>56.75</v>
      </c>
      <c r="K51" s="18">
        <f t="shared" si="6"/>
        <v>63.5</v>
      </c>
    </row>
    <row r="52" spans="2:11" x14ac:dyDescent="0.25">
      <c r="B52" s="16" t="s">
        <v>57</v>
      </c>
      <c r="C52" s="16">
        <f>1.25*3</f>
        <v>3.75</v>
      </c>
      <c r="D52" s="16">
        <v>3.75</v>
      </c>
      <c r="E52" s="16"/>
      <c r="F52" s="16"/>
      <c r="G52" s="16"/>
      <c r="H52" s="16"/>
      <c r="I52" s="17">
        <f t="shared" si="4"/>
        <v>10.5</v>
      </c>
      <c r="J52" s="17">
        <f t="shared" si="5"/>
        <v>60.5</v>
      </c>
      <c r="K52" s="18">
        <f t="shared" si="6"/>
        <v>71</v>
      </c>
    </row>
    <row r="53" spans="2:11" x14ac:dyDescent="0.25">
      <c r="B53" s="16" t="s">
        <v>58</v>
      </c>
      <c r="C53" s="16"/>
      <c r="D53" s="16"/>
      <c r="E53" s="16"/>
      <c r="F53" s="16"/>
      <c r="G53" s="16">
        <v>1</v>
      </c>
      <c r="H53" s="16"/>
      <c r="I53" s="17">
        <f t="shared" si="4"/>
        <v>9.5</v>
      </c>
      <c r="J53" s="17">
        <f t="shared" si="5"/>
        <v>60.5</v>
      </c>
      <c r="K53" s="18">
        <f t="shared" si="6"/>
        <v>70</v>
      </c>
    </row>
    <row r="54" spans="2:11" x14ac:dyDescent="0.25">
      <c r="B54" s="16" t="s">
        <v>90</v>
      </c>
      <c r="C54" s="16"/>
      <c r="D54" s="16"/>
      <c r="E54" s="16"/>
      <c r="F54" s="16"/>
      <c r="G54" s="16">
        <v>4</v>
      </c>
      <c r="H54" s="16"/>
      <c r="I54" s="17">
        <f t="shared" si="4"/>
        <v>5.5</v>
      </c>
      <c r="J54" s="17">
        <f t="shared" si="5"/>
        <v>60.5</v>
      </c>
      <c r="K54" s="18">
        <f t="shared" si="6"/>
        <v>66</v>
      </c>
    </row>
    <row r="55" spans="2:11" x14ac:dyDescent="0.25">
      <c r="B55" s="16" t="s">
        <v>59</v>
      </c>
      <c r="C55" s="16">
        <v>1.25</v>
      </c>
      <c r="D55" s="16">
        <v>1.25</v>
      </c>
      <c r="E55" s="16"/>
      <c r="F55" s="16"/>
      <c r="G55" s="16"/>
      <c r="H55" s="16"/>
      <c r="I55" s="17">
        <f t="shared" si="4"/>
        <v>6.75</v>
      </c>
      <c r="J55" s="17">
        <f t="shared" si="5"/>
        <v>61.75</v>
      </c>
      <c r="K55" s="18">
        <f t="shared" si="6"/>
        <v>68.5</v>
      </c>
    </row>
    <row r="56" spans="2:11" x14ac:dyDescent="0.25">
      <c r="B56" s="16" t="s">
        <v>60</v>
      </c>
      <c r="C56" s="16">
        <v>2.5</v>
      </c>
      <c r="D56" s="16">
        <v>2.5</v>
      </c>
      <c r="E56" s="16"/>
      <c r="F56" s="16"/>
      <c r="G56" s="16"/>
      <c r="H56" s="16"/>
      <c r="I56" s="17">
        <f t="shared" ref="I56:I59" si="7">I55-G56-E56+C56</f>
        <v>9.25</v>
      </c>
      <c r="J56" s="17">
        <f t="shared" ref="J56:J59" si="8">J55-F56+D56</f>
        <v>64.25</v>
      </c>
      <c r="K56" s="18">
        <f t="shared" ref="K56:K59" si="9">SUM(I56:J56)</f>
        <v>73.5</v>
      </c>
    </row>
    <row r="57" spans="2:11" x14ac:dyDescent="0.25">
      <c r="B57" s="16" t="s">
        <v>61</v>
      </c>
      <c r="C57" s="16"/>
      <c r="D57" s="16"/>
      <c r="E57" s="16"/>
      <c r="F57" s="16"/>
      <c r="G57" s="42">
        <v>1</v>
      </c>
      <c r="H57" s="16"/>
      <c r="I57" s="17">
        <f t="shared" si="7"/>
        <v>8.25</v>
      </c>
      <c r="J57" s="17">
        <f t="shared" si="8"/>
        <v>64.25</v>
      </c>
      <c r="K57" s="18">
        <f t="shared" si="9"/>
        <v>72.5</v>
      </c>
    </row>
    <row r="58" spans="2:11" x14ac:dyDescent="0.25">
      <c r="B58" s="16" t="s">
        <v>86</v>
      </c>
      <c r="C58" s="16">
        <v>11.25</v>
      </c>
      <c r="D58" s="16">
        <v>11.25</v>
      </c>
      <c r="E58" s="16"/>
      <c r="F58" s="16"/>
      <c r="G58" s="42"/>
      <c r="H58" s="16"/>
      <c r="I58" s="17">
        <f t="shared" si="7"/>
        <v>19.5</v>
      </c>
      <c r="J58" s="17">
        <f t="shared" si="8"/>
        <v>75.5</v>
      </c>
      <c r="K58" s="18">
        <f t="shared" si="9"/>
        <v>95</v>
      </c>
    </row>
    <row r="59" spans="2:11" x14ac:dyDescent="0.25">
      <c r="B59" s="42" t="s">
        <v>87</v>
      </c>
      <c r="C59" s="42"/>
      <c r="D59" s="42"/>
      <c r="E59" s="42"/>
      <c r="F59" s="42"/>
      <c r="G59" s="42">
        <v>3</v>
      </c>
      <c r="H59" s="42"/>
      <c r="I59" s="43">
        <f t="shared" si="7"/>
        <v>16.5</v>
      </c>
      <c r="J59" s="43">
        <f t="shared" si="8"/>
        <v>75.5</v>
      </c>
      <c r="K59" s="44">
        <f t="shared" si="9"/>
        <v>92</v>
      </c>
    </row>
    <row r="60" spans="2:11" x14ac:dyDescent="0.25">
      <c r="B60" s="42" t="s">
        <v>88</v>
      </c>
      <c r="C60" s="42">
        <v>1.25</v>
      </c>
      <c r="D60" s="42">
        <v>1.25</v>
      </c>
      <c r="E60" s="42"/>
      <c r="F60" s="42"/>
      <c r="G60" s="42"/>
      <c r="H60" s="42"/>
      <c r="I60" s="43">
        <f t="shared" ref="I60:I62" si="10">I59-G60-E60+C60</f>
        <v>17.75</v>
      </c>
      <c r="J60" s="43">
        <f t="shared" ref="J60:J62" si="11">J59-F60+D60</f>
        <v>76.75</v>
      </c>
      <c r="K60" s="44">
        <f t="shared" ref="K60:K62" si="12">SUM(I60:J60)</f>
        <v>94.5</v>
      </c>
    </row>
    <row r="61" spans="2:11" x14ac:dyDescent="0.25">
      <c r="B61" s="42" t="s">
        <v>89</v>
      </c>
      <c r="C61" s="42"/>
      <c r="D61" s="42"/>
      <c r="E61" s="42"/>
      <c r="F61" s="42"/>
      <c r="G61" s="42">
        <v>1</v>
      </c>
      <c r="H61" s="42"/>
      <c r="I61" s="43">
        <f t="shared" si="10"/>
        <v>16.75</v>
      </c>
      <c r="J61" s="43">
        <f t="shared" si="11"/>
        <v>76.75</v>
      </c>
      <c r="K61" s="44">
        <f t="shared" si="12"/>
        <v>93.5</v>
      </c>
    </row>
    <row r="62" spans="2:11" x14ac:dyDescent="0.25">
      <c r="B62" s="42" t="s">
        <v>91</v>
      </c>
      <c r="C62" s="42">
        <v>10</v>
      </c>
      <c r="D62" s="42">
        <v>10</v>
      </c>
      <c r="E62" s="42"/>
      <c r="F62" s="42"/>
      <c r="G62" s="42"/>
      <c r="H62" s="42"/>
      <c r="I62" s="43">
        <f t="shared" si="10"/>
        <v>26.75</v>
      </c>
      <c r="J62" s="43">
        <f t="shared" si="11"/>
        <v>86.75</v>
      </c>
      <c r="K62" s="44">
        <f t="shared" si="12"/>
        <v>113.5</v>
      </c>
    </row>
    <row r="63" spans="2:11" x14ac:dyDescent="0.25">
      <c r="B63" s="42" t="s">
        <v>92</v>
      </c>
      <c r="C63" s="42"/>
      <c r="D63" s="42"/>
      <c r="E63" s="42">
        <v>21</v>
      </c>
      <c r="F63" s="42"/>
      <c r="G63" s="42"/>
      <c r="H63" s="42"/>
      <c r="I63" s="43">
        <f t="shared" ref="I63" si="13">I62-G63-E63+C63</f>
        <v>5.75</v>
      </c>
      <c r="J63" s="43">
        <f t="shared" ref="J63" si="14">J62-F63+D63</f>
        <v>86.75</v>
      </c>
      <c r="K63" s="44">
        <f t="shared" ref="K63" si="15">SUM(I63:J63)</f>
        <v>92.5</v>
      </c>
    </row>
    <row r="64" spans="2:11" x14ac:dyDescent="0.25">
      <c r="B64" s="24"/>
      <c r="C64" s="24"/>
      <c r="D64" s="24"/>
      <c r="E64" s="24"/>
      <c r="F64" s="24"/>
      <c r="G64" s="24"/>
      <c r="H64" s="24"/>
      <c r="I64" s="25"/>
      <c r="J64" s="25"/>
      <c r="K64" s="26"/>
    </row>
    <row r="65" spans="2:11" x14ac:dyDescent="0.25">
      <c r="B65" s="24"/>
      <c r="C65" s="24"/>
      <c r="D65" s="24"/>
      <c r="E65" s="24"/>
      <c r="F65" s="24"/>
      <c r="G65" s="24"/>
      <c r="H65" s="24"/>
      <c r="I65" s="25"/>
      <c r="J65" s="25"/>
      <c r="K65" s="26"/>
    </row>
    <row r="66" spans="2:11" x14ac:dyDescent="0.25">
      <c r="B66" s="20"/>
      <c r="C66" s="24"/>
      <c r="D66" s="24"/>
      <c r="E66" s="24"/>
      <c r="F66" s="24"/>
      <c r="G66" s="24"/>
      <c r="H66" s="24"/>
      <c r="I66" s="25"/>
      <c r="J66" s="25"/>
      <c r="K66" s="26"/>
    </row>
    <row r="67" spans="2:11" x14ac:dyDescent="0.25">
      <c r="C67" s="20"/>
      <c r="D67" s="20"/>
      <c r="E67" s="20"/>
      <c r="F67" s="20"/>
      <c r="G67" s="20"/>
      <c r="H67" s="20"/>
      <c r="I67" s="20" t="s">
        <v>21</v>
      </c>
      <c r="J67" s="20"/>
      <c r="K67" s="20"/>
    </row>
    <row r="68" spans="2:11" x14ac:dyDescent="0.25">
      <c r="C68" s="27"/>
      <c r="D68" s="27"/>
      <c r="E68" s="27"/>
      <c r="F68" s="27"/>
      <c r="G68" s="27"/>
      <c r="H68" s="27"/>
      <c r="I68" s="27"/>
      <c r="J68" s="27"/>
      <c r="K68" s="27"/>
    </row>
    <row r="69" spans="2:11" x14ac:dyDescent="0.25">
      <c r="C69" s="27"/>
      <c r="D69" s="27"/>
      <c r="E69" s="27"/>
      <c r="F69" s="27"/>
      <c r="G69" s="27"/>
      <c r="H69" s="27"/>
      <c r="I69"/>
      <c r="J69" s="41" t="s">
        <v>22</v>
      </c>
      <c r="K69" s="27"/>
    </row>
    <row r="70" spans="2:11" x14ac:dyDescent="0.25">
      <c r="C70" s="27"/>
      <c r="D70" s="27"/>
      <c r="E70" s="27"/>
      <c r="F70" s="27"/>
      <c r="G70" s="27"/>
      <c r="H70" s="27"/>
      <c r="I70"/>
      <c r="J70" s="28" t="s">
        <v>23</v>
      </c>
      <c r="K70" s="27"/>
    </row>
    <row r="71" spans="2:11" x14ac:dyDescent="0.25">
      <c r="C71"/>
      <c r="D71"/>
      <c r="E71"/>
      <c r="F71"/>
      <c r="G71"/>
      <c r="H71"/>
      <c r="I71"/>
      <c r="J71" s="28" t="s">
        <v>24</v>
      </c>
    </row>
    <row r="72" spans="2:11" x14ac:dyDescent="0.25">
      <c r="C72"/>
      <c r="D72"/>
      <c r="E72"/>
      <c r="F72"/>
      <c r="G72"/>
      <c r="H72"/>
      <c r="I72"/>
      <c r="J72"/>
    </row>
    <row r="73" spans="2:11" x14ac:dyDescent="0.25">
      <c r="C73"/>
      <c r="D73"/>
      <c r="E73"/>
      <c r="F73"/>
      <c r="G73"/>
      <c r="H73"/>
      <c r="I73"/>
      <c r="J73"/>
    </row>
    <row r="74" spans="2:11" x14ac:dyDescent="0.25">
      <c r="C74"/>
      <c r="D74"/>
      <c r="E74"/>
      <c r="F74"/>
      <c r="G74"/>
      <c r="H74"/>
      <c r="I74"/>
      <c r="J74"/>
    </row>
    <row r="75" spans="2:11" x14ac:dyDescent="0.25">
      <c r="C75"/>
      <c r="D75"/>
      <c r="E75"/>
      <c r="F75"/>
      <c r="G75"/>
      <c r="H75"/>
      <c r="I75"/>
      <c r="J75"/>
    </row>
    <row r="76" spans="2:11" x14ac:dyDescent="0.25">
      <c r="C76"/>
      <c r="D76"/>
      <c r="E76"/>
      <c r="F76"/>
      <c r="G76"/>
      <c r="H76"/>
      <c r="I76"/>
      <c r="J76"/>
    </row>
    <row r="77" spans="2:11" x14ac:dyDescent="0.25">
      <c r="C77"/>
      <c r="D77"/>
      <c r="E77"/>
      <c r="F77"/>
      <c r="G77"/>
      <c r="H77"/>
      <c r="I77"/>
      <c r="J77"/>
    </row>
    <row r="78" spans="2:11" x14ac:dyDescent="0.25">
      <c r="C78"/>
      <c r="D78"/>
      <c r="E78"/>
      <c r="F78"/>
      <c r="G78"/>
      <c r="H78"/>
      <c r="I78"/>
      <c r="J78"/>
    </row>
    <row r="79" spans="2:11" x14ac:dyDescent="0.25">
      <c r="C79"/>
      <c r="D79"/>
      <c r="E79"/>
      <c r="F79"/>
      <c r="G79"/>
      <c r="H79"/>
      <c r="I79"/>
      <c r="J79"/>
    </row>
    <row r="80" spans="2:11" x14ac:dyDescent="0.25">
      <c r="C80"/>
      <c r="D80"/>
      <c r="E80"/>
      <c r="F80"/>
      <c r="G80"/>
      <c r="H80"/>
      <c r="I80"/>
      <c r="J80"/>
    </row>
    <row r="81" spans="3:10" x14ac:dyDescent="0.25">
      <c r="C81"/>
      <c r="D81"/>
      <c r="E81"/>
      <c r="F81"/>
      <c r="G81"/>
      <c r="H81"/>
      <c r="I81"/>
      <c r="J81"/>
    </row>
    <row r="82" spans="3:10" x14ac:dyDescent="0.25">
      <c r="C82"/>
      <c r="D82"/>
      <c r="E82"/>
      <c r="F82"/>
      <c r="G82"/>
      <c r="H82"/>
      <c r="I82"/>
      <c r="J82"/>
    </row>
    <row r="83" spans="3:10" x14ac:dyDescent="0.25">
      <c r="C83"/>
      <c r="D83"/>
      <c r="E83"/>
      <c r="F83"/>
      <c r="G83"/>
      <c r="H83"/>
      <c r="I83"/>
      <c r="J83"/>
    </row>
    <row r="84" spans="3:10" x14ac:dyDescent="0.25">
      <c r="C84"/>
      <c r="D84"/>
      <c r="E84"/>
      <c r="F84"/>
      <c r="G84"/>
      <c r="H84"/>
      <c r="I84"/>
      <c r="J84"/>
    </row>
    <row r="85" spans="3:10" x14ac:dyDescent="0.25">
      <c r="C85"/>
      <c r="D85"/>
      <c r="E85"/>
      <c r="F85"/>
      <c r="G85"/>
      <c r="H85"/>
      <c r="I85"/>
      <c r="J85"/>
    </row>
    <row r="86" spans="3:10" x14ac:dyDescent="0.25">
      <c r="C86"/>
      <c r="D86"/>
      <c r="E86"/>
      <c r="F86"/>
      <c r="G86"/>
      <c r="H86"/>
      <c r="I86"/>
      <c r="J86"/>
    </row>
    <row r="87" spans="3:10" x14ac:dyDescent="0.25">
      <c r="C87"/>
      <c r="D87"/>
      <c r="E87"/>
      <c r="F87"/>
      <c r="G87"/>
      <c r="H87"/>
      <c r="I87"/>
      <c r="J87"/>
    </row>
    <row r="88" spans="3:10" x14ac:dyDescent="0.25">
      <c r="C88"/>
      <c r="D88"/>
      <c r="E88"/>
      <c r="F88"/>
      <c r="G88"/>
      <c r="H88"/>
      <c r="I88"/>
      <c r="J88"/>
    </row>
    <row r="89" spans="3:10" x14ac:dyDescent="0.25">
      <c r="C89"/>
      <c r="D89"/>
      <c r="E89"/>
      <c r="F89"/>
      <c r="G89"/>
      <c r="H89"/>
      <c r="I89"/>
      <c r="J89"/>
    </row>
    <row r="90" spans="3:10" x14ac:dyDescent="0.25">
      <c r="C90"/>
      <c r="D90"/>
      <c r="E90"/>
      <c r="F90"/>
      <c r="G90"/>
      <c r="H90"/>
      <c r="I90"/>
      <c r="J90"/>
    </row>
    <row r="91" spans="3:10" x14ac:dyDescent="0.25">
      <c r="C91"/>
      <c r="D91"/>
      <c r="E91"/>
      <c r="F91"/>
      <c r="G91"/>
      <c r="H91"/>
      <c r="I91"/>
      <c r="J91"/>
    </row>
    <row r="92" spans="3:10" x14ac:dyDescent="0.25">
      <c r="C92"/>
      <c r="D92"/>
      <c r="E92"/>
      <c r="F92"/>
      <c r="G92"/>
      <c r="H92"/>
      <c r="I92"/>
      <c r="J92"/>
    </row>
    <row r="93" spans="3:10" x14ac:dyDescent="0.25">
      <c r="C93"/>
      <c r="D93"/>
      <c r="E93"/>
      <c r="F93"/>
      <c r="G93"/>
      <c r="H93"/>
      <c r="I93"/>
      <c r="J93"/>
    </row>
    <row r="94" spans="3:10" x14ac:dyDescent="0.25">
      <c r="C94"/>
      <c r="D94"/>
      <c r="E94"/>
      <c r="F94"/>
      <c r="G94"/>
      <c r="H94"/>
      <c r="I94"/>
      <c r="J94"/>
    </row>
    <row r="95" spans="3:10" x14ac:dyDescent="0.25">
      <c r="C95"/>
      <c r="D95"/>
      <c r="E95"/>
      <c r="F95"/>
      <c r="G95"/>
      <c r="H95"/>
      <c r="I95"/>
      <c r="J95"/>
    </row>
    <row r="96" spans="3:10" x14ac:dyDescent="0.25">
      <c r="C96"/>
      <c r="D96"/>
      <c r="E96"/>
      <c r="F96"/>
      <c r="G96"/>
      <c r="H96"/>
      <c r="I96"/>
      <c r="J96"/>
    </row>
    <row r="97" spans="3:10" x14ac:dyDescent="0.25">
      <c r="C97"/>
      <c r="D97"/>
      <c r="E97"/>
      <c r="F97"/>
      <c r="G97"/>
      <c r="H97"/>
      <c r="I97"/>
      <c r="J97"/>
    </row>
    <row r="98" spans="3:10" x14ac:dyDescent="0.25">
      <c r="C98"/>
      <c r="D98"/>
      <c r="E98"/>
      <c r="F98"/>
      <c r="G98"/>
      <c r="H98"/>
      <c r="I98"/>
      <c r="J98"/>
    </row>
    <row r="99" spans="3:10" x14ac:dyDescent="0.25">
      <c r="C99"/>
      <c r="D99"/>
      <c r="E99"/>
      <c r="F99"/>
      <c r="G99"/>
      <c r="H99"/>
      <c r="I99"/>
      <c r="J99"/>
    </row>
    <row r="100" spans="3:10" x14ac:dyDescent="0.25">
      <c r="C100"/>
      <c r="D100"/>
      <c r="E100"/>
      <c r="F100"/>
      <c r="G100"/>
      <c r="H100"/>
      <c r="I100"/>
      <c r="J100"/>
    </row>
    <row r="101" spans="3:10" x14ac:dyDescent="0.25">
      <c r="C101"/>
      <c r="D101"/>
      <c r="E101"/>
      <c r="F101"/>
      <c r="G101"/>
      <c r="H101"/>
      <c r="I101"/>
      <c r="J101"/>
    </row>
    <row r="102" spans="3:10" x14ac:dyDescent="0.25">
      <c r="C102"/>
      <c r="D102"/>
      <c r="E102"/>
      <c r="F102"/>
      <c r="G102"/>
      <c r="H102"/>
      <c r="I102"/>
      <c r="J102"/>
    </row>
    <row r="103" spans="3:10" x14ac:dyDescent="0.25">
      <c r="C103"/>
      <c r="D103"/>
      <c r="E103"/>
      <c r="F103"/>
      <c r="G103"/>
      <c r="H103"/>
      <c r="I103"/>
      <c r="J103"/>
    </row>
    <row r="104" spans="3:10" x14ac:dyDescent="0.25">
      <c r="C104"/>
      <c r="D104"/>
      <c r="E104"/>
      <c r="F104"/>
      <c r="G104"/>
      <c r="H104"/>
      <c r="I104"/>
      <c r="J104"/>
    </row>
    <row r="105" spans="3:10" x14ac:dyDescent="0.25">
      <c r="C105"/>
      <c r="D105"/>
      <c r="E105"/>
      <c r="F105"/>
      <c r="G105"/>
      <c r="H105"/>
      <c r="I105"/>
      <c r="J105"/>
    </row>
    <row r="106" spans="3:10" x14ac:dyDescent="0.25">
      <c r="C106"/>
      <c r="D106"/>
      <c r="E106"/>
      <c r="F106"/>
      <c r="G106"/>
      <c r="H106"/>
      <c r="I106"/>
      <c r="J106"/>
    </row>
    <row r="107" spans="3:10" x14ac:dyDescent="0.25">
      <c r="C107"/>
      <c r="D107"/>
      <c r="E107"/>
      <c r="F107"/>
      <c r="G107"/>
      <c r="H107"/>
      <c r="I107"/>
      <c r="J107"/>
    </row>
    <row r="108" spans="3:10" x14ac:dyDescent="0.25">
      <c r="C108"/>
      <c r="D108"/>
      <c r="E108"/>
      <c r="F108"/>
      <c r="G108"/>
      <c r="H108"/>
      <c r="I108"/>
      <c r="J108"/>
    </row>
    <row r="109" spans="3:10" x14ac:dyDescent="0.25">
      <c r="C109"/>
      <c r="D109"/>
      <c r="E109"/>
      <c r="F109"/>
      <c r="G109"/>
      <c r="H109"/>
      <c r="I109"/>
      <c r="J109"/>
    </row>
    <row r="110" spans="3:10" x14ac:dyDescent="0.25">
      <c r="C110"/>
      <c r="D110"/>
      <c r="E110"/>
      <c r="F110"/>
      <c r="G110"/>
      <c r="H110"/>
      <c r="I110"/>
      <c r="J110"/>
    </row>
    <row r="111" spans="3:10" x14ac:dyDescent="0.25">
      <c r="C111"/>
      <c r="D111"/>
      <c r="E111"/>
      <c r="F111"/>
      <c r="G111"/>
      <c r="H111"/>
      <c r="I111"/>
      <c r="J111"/>
    </row>
  </sheetData>
  <mergeCells count="10">
    <mergeCell ref="B5:K5"/>
    <mergeCell ref="B6:K6"/>
    <mergeCell ref="B7:K7"/>
    <mergeCell ref="B8:K8"/>
    <mergeCell ref="B13:K13"/>
    <mergeCell ref="B14:B15"/>
    <mergeCell ref="C14:D14"/>
    <mergeCell ref="E14:H14"/>
    <mergeCell ref="I14:J14"/>
    <mergeCell ref="K14:K15"/>
  </mergeCells>
  <pageMargins left="0.23622047244094491" right="0.23622047244094491" top="0.35433070866141736" bottom="0.74803149606299213" header="0.31496062992125984" footer="0.31496062992125984"/>
  <pageSetup paperSize="9" scale="68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8DE-5B39-4475-88D7-98DF3B81F0F0}">
  <dimension ref="A1:O25"/>
  <sheetViews>
    <sheetView workbookViewId="0">
      <selection activeCell="M24" sqref="M24"/>
    </sheetView>
  </sheetViews>
  <sheetFormatPr defaultRowHeight="15" x14ac:dyDescent="0.25"/>
  <cols>
    <col min="1" max="1" width="31.5703125" customWidth="1"/>
    <col min="2" max="2" width="22.85546875" customWidth="1"/>
    <col min="6" max="6" width="7.42578125" customWidth="1"/>
    <col min="8" max="8" width="6.140625" customWidth="1"/>
    <col min="9" max="9" width="8" customWidth="1"/>
    <col min="10" max="10" width="6.5703125" customWidth="1"/>
    <col min="12" max="12" width="5.7109375" customWidth="1"/>
  </cols>
  <sheetData>
    <row r="1" spans="1:15" x14ac:dyDescent="0.25">
      <c r="A1" s="1"/>
      <c r="B1" s="1"/>
      <c r="C1" s="1"/>
      <c r="D1" s="29"/>
      <c r="E1" s="30"/>
      <c r="F1" s="1"/>
      <c r="G1" s="1"/>
      <c r="H1" s="1"/>
      <c r="I1" s="3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29"/>
      <c r="E2" s="30"/>
      <c r="F2" s="1"/>
      <c r="G2" s="1"/>
      <c r="H2" s="1"/>
      <c r="I2" s="31"/>
      <c r="J2" s="1"/>
      <c r="K2" s="1"/>
      <c r="L2" s="1"/>
      <c r="M2" s="1"/>
      <c r="N2" s="1"/>
      <c r="O2" s="1"/>
    </row>
    <row r="3" spans="1:15" x14ac:dyDescent="0.25">
      <c r="A3" s="1"/>
      <c r="B3" s="1"/>
      <c r="C3" s="1"/>
      <c r="D3" s="29"/>
      <c r="E3" s="30"/>
      <c r="F3" s="1"/>
      <c r="G3" s="1"/>
      <c r="H3" s="1"/>
      <c r="I3" s="31"/>
      <c r="J3" s="1"/>
      <c r="K3" s="1"/>
      <c r="L3" s="1"/>
      <c r="M3" s="1"/>
      <c r="N3" s="1"/>
      <c r="O3" s="1"/>
    </row>
    <row r="4" spans="1:15" x14ac:dyDescent="0.25">
      <c r="A4" s="1"/>
      <c r="B4" s="1"/>
      <c r="C4" s="1"/>
      <c r="D4" s="29"/>
      <c r="E4" s="30"/>
      <c r="F4" s="1"/>
      <c r="G4" s="1"/>
      <c r="H4" s="1"/>
      <c r="I4" s="31"/>
      <c r="J4" s="1"/>
      <c r="K4" s="1"/>
      <c r="L4" s="1"/>
      <c r="M4" s="1"/>
      <c r="N4" s="1"/>
      <c r="O4" s="1"/>
    </row>
    <row r="5" spans="1:15" x14ac:dyDescent="0.25">
      <c r="A5" s="45" t="s">
        <v>0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1"/>
      <c r="O5" s="1"/>
    </row>
    <row r="6" spans="1:15" x14ac:dyDescent="0.25">
      <c r="A6" s="45" t="s">
        <v>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1"/>
      <c r="O6" s="1"/>
    </row>
    <row r="7" spans="1:15" x14ac:dyDescent="0.25">
      <c r="A7" s="45" t="s">
        <v>2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1"/>
      <c r="O7" s="1"/>
    </row>
    <row r="8" spans="1:15" x14ac:dyDescent="0.25">
      <c r="A8" s="45" t="s">
        <v>3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1"/>
      <c r="O8" s="1"/>
    </row>
    <row r="9" spans="1:15" x14ac:dyDescent="0.25">
      <c r="A9" s="1"/>
      <c r="B9" s="1"/>
      <c r="C9" s="1"/>
      <c r="D9" s="31"/>
      <c r="E9" s="1"/>
      <c r="F9" s="1"/>
      <c r="G9" s="1"/>
      <c r="H9" s="1"/>
      <c r="I9" s="31"/>
      <c r="J9" s="1"/>
      <c r="K9" s="1"/>
      <c r="L9" s="1"/>
      <c r="M9" s="1"/>
      <c r="N9" s="1"/>
      <c r="O9" s="1"/>
    </row>
    <row r="10" spans="1:15" x14ac:dyDescent="0.25">
      <c r="A10" s="1"/>
      <c r="B10" s="1"/>
      <c r="C10" s="1"/>
      <c r="D10" s="31"/>
      <c r="E10" s="1"/>
      <c r="F10" s="1"/>
      <c r="G10" s="1"/>
      <c r="H10" s="1"/>
      <c r="I10" s="31"/>
      <c r="J10" s="1"/>
      <c r="K10" s="1"/>
      <c r="L10" s="1"/>
      <c r="M10" s="1"/>
      <c r="N10" s="1"/>
      <c r="O10" s="1"/>
    </row>
    <row r="11" spans="1:15" x14ac:dyDescent="0.25">
      <c r="A11" s="7" t="s">
        <v>74</v>
      </c>
      <c r="B11" s="7"/>
      <c r="C11" s="7"/>
      <c r="D11" s="56" t="s">
        <v>63</v>
      </c>
      <c r="E11" s="56"/>
      <c r="F11" s="56"/>
      <c r="G11" s="56"/>
      <c r="H11" s="56"/>
      <c r="I11" s="1"/>
      <c r="J11" s="56" t="s">
        <v>64</v>
      </c>
      <c r="K11" s="56"/>
      <c r="L11" s="56"/>
      <c r="M11" s="7"/>
      <c r="N11" s="1"/>
      <c r="O11" s="1"/>
    </row>
    <row r="12" spans="1:15" x14ac:dyDescent="0.25">
      <c r="A12" s="1"/>
      <c r="B12" s="1"/>
      <c r="C12" s="9"/>
      <c r="D12" s="56" t="s">
        <v>76</v>
      </c>
      <c r="E12" s="56"/>
      <c r="F12" s="56"/>
      <c r="G12" s="56"/>
      <c r="H12" s="56"/>
      <c r="I12" s="1"/>
      <c r="J12" s="57" t="s">
        <v>65</v>
      </c>
      <c r="K12" s="57"/>
      <c r="L12" s="57"/>
      <c r="M12" s="9"/>
      <c r="N12" s="1"/>
      <c r="O12" s="1"/>
    </row>
    <row r="13" spans="1:15" ht="17.25" customHeight="1" x14ac:dyDescent="0.25">
      <c r="A13" s="7" t="s">
        <v>75</v>
      </c>
      <c r="B13" s="7"/>
      <c r="C13" s="7"/>
      <c r="D13" s="32"/>
      <c r="E13" s="9"/>
      <c r="F13" s="9"/>
      <c r="G13" s="1"/>
      <c r="H13" s="1"/>
      <c r="I13" s="1"/>
      <c r="J13" s="56" t="s">
        <v>66</v>
      </c>
      <c r="K13" s="56"/>
      <c r="L13" s="56"/>
      <c r="M13" s="7"/>
      <c r="N13" s="1"/>
      <c r="O13" s="1"/>
    </row>
    <row r="14" spans="1:15" ht="21.75" thickBot="1" x14ac:dyDescent="0.3">
      <c r="A14" s="58" t="s">
        <v>67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</row>
    <row r="15" spans="1:15" x14ac:dyDescent="0.25">
      <c r="A15" s="59" t="s">
        <v>68</v>
      </c>
      <c r="B15" s="62" t="s">
        <v>9</v>
      </c>
      <c r="C15" s="65" t="s">
        <v>69</v>
      </c>
      <c r="D15" s="66"/>
      <c r="E15" s="65" t="s">
        <v>70</v>
      </c>
      <c r="F15" s="66"/>
      <c r="G15" s="65" t="s">
        <v>71</v>
      </c>
      <c r="H15" s="66"/>
      <c r="I15" s="65" t="s">
        <v>72</v>
      </c>
      <c r="J15" s="66"/>
      <c r="K15" s="65" t="s">
        <v>73</v>
      </c>
      <c r="L15" s="66"/>
      <c r="M15" s="71" t="s">
        <v>13</v>
      </c>
      <c r="N15" s="33"/>
      <c r="O15" s="33"/>
    </row>
    <row r="16" spans="1:15" x14ac:dyDescent="0.25">
      <c r="A16" s="60"/>
      <c r="B16" s="63"/>
      <c r="C16" s="67"/>
      <c r="D16" s="68"/>
      <c r="E16" s="67"/>
      <c r="F16" s="68"/>
      <c r="G16" s="67"/>
      <c r="H16" s="68"/>
      <c r="I16" s="67"/>
      <c r="J16" s="68"/>
      <c r="K16" s="67"/>
      <c r="L16" s="68"/>
      <c r="M16" s="72"/>
      <c r="N16" s="33"/>
      <c r="O16" s="33"/>
    </row>
    <row r="17" spans="1:15" x14ac:dyDescent="0.25">
      <c r="A17" s="61"/>
      <c r="B17" s="64"/>
      <c r="C17" s="69"/>
      <c r="D17" s="70"/>
      <c r="E17" s="69"/>
      <c r="F17" s="70"/>
      <c r="G17" s="69"/>
      <c r="H17" s="70"/>
      <c r="I17" s="69"/>
      <c r="J17" s="70"/>
      <c r="K17" s="69"/>
      <c r="L17" s="70"/>
      <c r="M17" s="73"/>
      <c r="N17" s="33"/>
      <c r="O17" s="33"/>
    </row>
    <row r="18" spans="1:15" ht="63" customHeight="1" x14ac:dyDescent="0.25">
      <c r="A18" s="19" t="s">
        <v>80</v>
      </c>
      <c r="B18" s="35" t="s">
        <v>77</v>
      </c>
      <c r="C18" s="53" t="s">
        <v>78</v>
      </c>
      <c r="D18" s="54"/>
      <c r="E18" s="53"/>
      <c r="F18" s="54"/>
      <c r="G18" s="53">
        <v>5</v>
      </c>
      <c r="H18" s="55"/>
      <c r="I18" s="53">
        <v>0</v>
      </c>
      <c r="J18" s="55"/>
      <c r="K18" s="53">
        <v>5</v>
      </c>
      <c r="L18" s="55"/>
      <c r="M18" s="36">
        <v>5</v>
      </c>
      <c r="N18" s="33"/>
      <c r="O18" s="33"/>
    </row>
    <row r="19" spans="1:15" ht="33.75" customHeight="1" x14ac:dyDescent="0.25">
      <c r="A19" s="34"/>
      <c r="B19" s="37" t="s">
        <v>79</v>
      </c>
      <c r="C19" s="53"/>
      <c r="D19" s="54"/>
      <c r="E19" s="53"/>
      <c r="F19" s="54"/>
      <c r="G19" s="53"/>
      <c r="H19" s="55"/>
      <c r="I19" s="53">
        <v>2</v>
      </c>
      <c r="J19" s="55"/>
      <c r="K19" s="53">
        <v>3</v>
      </c>
      <c r="L19" s="55"/>
      <c r="M19" s="38">
        <v>3</v>
      </c>
      <c r="N19" s="39"/>
      <c r="O19" s="39"/>
    </row>
    <row r="20" spans="1:15" ht="41.25" customHeight="1" x14ac:dyDescent="0.25">
      <c r="A20" s="19"/>
      <c r="B20" s="37" t="s">
        <v>81</v>
      </c>
      <c r="C20" s="53"/>
      <c r="D20" s="54"/>
      <c r="E20" s="53"/>
      <c r="F20" s="54"/>
      <c r="G20" s="53"/>
      <c r="H20" s="55"/>
      <c r="I20" s="53">
        <v>2</v>
      </c>
      <c r="J20" s="55"/>
      <c r="K20" s="53">
        <v>1</v>
      </c>
      <c r="L20" s="55"/>
      <c r="M20" s="38">
        <v>1</v>
      </c>
      <c r="N20" s="39"/>
      <c r="O20" s="39"/>
    </row>
    <row r="21" spans="1:15" ht="33.75" customHeight="1" x14ac:dyDescent="0.25">
      <c r="A21" s="19" t="s">
        <v>82</v>
      </c>
      <c r="B21" s="37" t="s">
        <v>83</v>
      </c>
      <c r="C21" s="53" t="s">
        <v>78</v>
      </c>
      <c r="D21" s="54"/>
      <c r="E21" s="53"/>
      <c r="F21" s="54"/>
      <c r="G21" s="53">
        <v>5</v>
      </c>
      <c r="H21" s="55"/>
      <c r="I21" s="53">
        <v>0</v>
      </c>
      <c r="J21" s="55"/>
      <c r="K21" s="53">
        <v>5</v>
      </c>
      <c r="L21" s="55"/>
      <c r="M21" s="38">
        <v>5</v>
      </c>
      <c r="N21" s="39"/>
      <c r="O21" s="39"/>
    </row>
    <row r="22" spans="1:15" ht="33.75" customHeight="1" x14ac:dyDescent="0.25">
      <c r="A22" s="19"/>
      <c r="B22" s="37" t="s">
        <v>84</v>
      </c>
      <c r="C22" s="53"/>
      <c r="D22" s="54"/>
      <c r="E22" s="53"/>
      <c r="F22" s="54"/>
      <c r="G22" s="53"/>
      <c r="H22" s="55"/>
      <c r="I22" s="53">
        <v>2</v>
      </c>
      <c r="J22" s="55"/>
      <c r="K22" s="53">
        <v>3</v>
      </c>
      <c r="L22" s="55"/>
      <c r="M22" s="38">
        <v>3</v>
      </c>
      <c r="N22" s="39"/>
      <c r="O22" s="39"/>
    </row>
    <row r="23" spans="1:15" x14ac:dyDescent="0.25">
      <c r="A23" s="40"/>
      <c r="B23" s="40"/>
      <c r="C23" s="1"/>
      <c r="D23" s="31"/>
      <c r="E23" s="1"/>
      <c r="F23" s="1"/>
      <c r="G23" s="1"/>
      <c r="H23" s="1"/>
      <c r="I23" s="1"/>
      <c r="J23" s="1"/>
      <c r="K23" s="1"/>
      <c r="L23" s="1"/>
      <c r="M23" s="40"/>
      <c r="N23" s="1"/>
      <c r="O23" s="1"/>
    </row>
    <row r="24" spans="1:15" x14ac:dyDescent="0.25">
      <c r="A24" s="1"/>
      <c r="B24" s="1"/>
      <c r="C24" s="1"/>
      <c r="D24" s="3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3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</sheetData>
  <mergeCells count="43">
    <mergeCell ref="A5:M5"/>
    <mergeCell ref="A6:M6"/>
    <mergeCell ref="A7:M7"/>
    <mergeCell ref="A8:M8"/>
    <mergeCell ref="D11:H11"/>
    <mergeCell ref="J11:L11"/>
    <mergeCell ref="D12:H12"/>
    <mergeCell ref="J12:L12"/>
    <mergeCell ref="J13:L13"/>
    <mergeCell ref="A14:M14"/>
    <mergeCell ref="A15:A17"/>
    <mergeCell ref="B15:B17"/>
    <mergeCell ref="C15:D17"/>
    <mergeCell ref="E15:F17"/>
    <mergeCell ref="G15:H17"/>
    <mergeCell ref="I15:J17"/>
    <mergeCell ref="K15:L17"/>
    <mergeCell ref="M15:M17"/>
    <mergeCell ref="C18:D18"/>
    <mergeCell ref="E18:F18"/>
    <mergeCell ref="G18:H18"/>
    <mergeCell ref="I18:J18"/>
    <mergeCell ref="K18:L18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22:D22"/>
    <mergeCell ref="E22:F22"/>
    <mergeCell ref="G22:H22"/>
    <mergeCell ref="I22:J22"/>
    <mergeCell ref="K22:L22"/>
    <mergeCell ref="C21:D21"/>
    <mergeCell ref="E21:F21"/>
    <mergeCell ref="G21:H21"/>
    <mergeCell ref="I21:J21"/>
    <mergeCell ref="K21:L21"/>
  </mergeCells>
  <phoneticPr fontId="10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ELECTION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2025-09-02T00:07:01Z</cp:lastPrinted>
  <dcterms:created xsi:type="dcterms:W3CDTF">2023-10-10T03:21:28Z</dcterms:created>
  <dcterms:modified xsi:type="dcterms:W3CDTF">2025-09-02T00:13:15Z</dcterms:modified>
</cp:coreProperties>
</file>