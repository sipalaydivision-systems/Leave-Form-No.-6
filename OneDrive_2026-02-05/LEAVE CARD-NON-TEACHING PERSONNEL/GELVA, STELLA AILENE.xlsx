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A36F069-EA40-4CFA-B93A-3A0964A78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I43" i="1"/>
  <c r="J43" i="1"/>
  <c r="H41" i="1"/>
  <c r="I41" i="1"/>
  <c r="I42" i="1" s="1"/>
  <c r="J41" i="1"/>
  <c r="H42" i="1"/>
  <c r="J42" i="1" l="1"/>
  <c r="B18" i="1"/>
  <c r="I17" i="1"/>
  <c r="I18" i="1" s="1"/>
  <c r="I19" i="1" s="1"/>
  <c r="H17" i="1"/>
  <c r="J17" i="1" l="1"/>
  <c r="I20" i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H18" i="1"/>
  <c r="H19" i="1" l="1"/>
  <c r="J18" i="1"/>
  <c r="H20" i="1" l="1"/>
  <c r="J19" i="1"/>
  <c r="H21" i="1" l="1"/>
  <c r="J20" i="1"/>
  <c r="J21" i="1" l="1"/>
  <c r="H22" i="1"/>
  <c r="J22" i="1" l="1"/>
  <c r="H23" i="1"/>
  <c r="H24" i="1" l="1"/>
  <c r="J23" i="1"/>
  <c r="H25" i="1" l="1"/>
  <c r="J24" i="1"/>
  <c r="J25" i="1" l="1"/>
  <c r="H26" i="1"/>
  <c r="J26" i="1" l="1"/>
  <c r="H27" i="1"/>
  <c r="J27" i="1" l="1"/>
  <c r="H28" i="1"/>
  <c r="J28" i="1" l="1"/>
  <c r="H29" i="1"/>
  <c r="H30" i="1" l="1"/>
  <c r="J29" i="1"/>
  <c r="J30" i="1" l="1"/>
  <c r="H31" i="1"/>
  <c r="H32" i="1" l="1"/>
  <c r="J31" i="1"/>
  <c r="J32" i="1" l="1"/>
  <c r="H33" i="1"/>
  <c r="J33" i="1" l="1"/>
  <c r="H34" i="1"/>
  <c r="J34" i="1" l="1"/>
  <c r="H35" i="1"/>
  <c r="J35" i="1" l="1"/>
  <c r="H36" i="1"/>
  <c r="J36" i="1" l="1"/>
  <c r="H37" i="1"/>
  <c r="H38" i="1" l="1"/>
  <c r="J37" i="1"/>
  <c r="J38" i="1" l="1"/>
  <c r="H39" i="1"/>
  <c r="J39" i="1" l="1"/>
  <c r="H40" i="1"/>
  <c r="J40" i="1" s="1"/>
</calcChain>
</file>

<file path=xl/sharedStrings.xml><?xml version="1.0" encoding="utf-8"?>
<sst xmlns="http://schemas.openxmlformats.org/spreadsheetml/2006/main" count="56" uniqueCount="52">
  <si>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</si>
  <si>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</si>
  <si>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</si>
  <si>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</si>
  <si>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</si>
  <si>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</si>
  <si>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</si>
  <si>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</si>
  <si>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</si>
  <si>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</si>
  <si>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</si>
  <si>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</si>
  <si>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</si>
  <si>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</si>
  <si>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</si>
  <si>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</si>
  <si>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</si>
  <si>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</si>
  <si>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</si>
  <si>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Certified Correct:</t>
  </si>
  <si>
    <t>MA. LUISA B. CATIGAN</t>
  </si>
  <si>
    <t>Administrative Officer IV</t>
  </si>
  <si>
    <t>DATE OF ORIGINAL APPOINTMENT: SEPTEMBER 14, 2023</t>
  </si>
  <si>
    <t>ADD: 01/01/2024-03/31/2024</t>
  </si>
  <si>
    <t>LESS: 04/08/2024</t>
  </si>
  <si>
    <t>ADD: 04/1-30/2024</t>
  </si>
  <si>
    <t>LESS: 05/17/2024</t>
  </si>
  <si>
    <t>LESS: 08/13/2024</t>
  </si>
  <si>
    <t xml:space="preserve">                   HRMO</t>
  </si>
  <si>
    <t>ADD: 09/14/2023-09/30/2023</t>
  </si>
  <si>
    <t>ADD: 10/01/2023-12/31/2023</t>
  </si>
  <si>
    <t>LESS: 01/15/2024</t>
  </si>
  <si>
    <t>ADD: 05/1/2024-07/31/2024</t>
  </si>
  <si>
    <t>ADD: 08/1-31/2024</t>
  </si>
  <si>
    <t>LESS: 09/19/2024</t>
  </si>
  <si>
    <t>LESS: 09/20/2024</t>
  </si>
  <si>
    <t>ADD: 09/1/2024-11/30/2024</t>
  </si>
  <si>
    <t>LESS: 12/26 &amp; 27/2024</t>
  </si>
  <si>
    <t>ADD: 12/1-31/2024</t>
  </si>
  <si>
    <t>LESS: 01/6-7/2025</t>
  </si>
  <si>
    <t>ADD: 01/1/2025-03/31/2025</t>
  </si>
  <si>
    <t>LESS: 05/8-9/2025</t>
  </si>
  <si>
    <t>ADD: 04/1/2025-06/30/2025</t>
  </si>
  <si>
    <t>LESS: MONETIZATION 2025</t>
  </si>
  <si>
    <t>ADD: 07/1-31/2025</t>
  </si>
  <si>
    <t>LESS: 08/6-8/2025</t>
  </si>
  <si>
    <t>NEGROS ISLAND REGION</t>
  </si>
  <si>
    <t>ADD: 08/1-31/2025</t>
  </si>
  <si>
    <t>LESS: 10/6/2025</t>
  </si>
  <si>
    <t>ADD: 09/1/2025-10/31/2025</t>
  </si>
  <si>
    <t>LESS: 12/10-11/2025</t>
  </si>
  <si>
    <t>LESS: 12/22, 23 &amp; 29/2025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</si>
</sst>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0" xfId="0" applyFont="1"/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7" fillId="0" borderId="0" xfId="0" applyFont="1"/>
    <xf numFmtId="164" fontId="0" fillId="2" borderId="8" xfId="0" applyNumberFormat="1" applyFill="1" applyBorder="1" applyAlignment="1">
      <alignment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8" xfId="0" applyBorder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8" fillId="2" borderId="0" xfId="0" applyFont="1" applyFill="1"/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10" borderId="8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361949</xdr:colOff>
      <xdr:row>0</xdr:row>
      <xdr:rowOff>152399</xdr:rowOff>
    </xdr:from>
    <xdr:to>
      <xdr:col>4</xdr:col>
      <xdr:colOff>238125</xdr:colOff>
      <xdr:row>4</xdr:row>
      <xdr:rowOff>30773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06052-1440-4100-92CF-FED214085DE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49" y="152399"/>
          <a:ext cx="647701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7</xdr:row>
      <xdr:rowOff>170961</xdr:rowOff>
    </xdr:from>
    <xdr:to>
      <xdr:col>0</xdr:col>
      <xdr:colOff>2582741</xdr:colOff>
      <xdr:row>9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DF9359-C51E-44D7-8DA4-69DF2FFDF7BA}"/>
            </a:ext>
          </a:extLst>
        </xdr:cNvPr>
        <xdr:cNvSpPr txBox="1"/>
      </xdr:nvSpPr>
      <xdr:spPr>
        <a:xfrm>
          <a:off x="573942" y="1371111"/>
          <a:ext cx="19230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GELVA, STELLA AILENE P.</a:t>
          </a:r>
        </a:p>
      </xdr:txBody>
    </xdr:sp>
    <xdr:clientData/>
  </xdr:twoCellAnchor>
  <xdr:twoCellAnchor>
    <xdr:from>
      <xdr:col>0</xdr:col>
      <xdr:colOff>616683</xdr:colOff>
      <xdr:row>10</xdr:row>
      <xdr:rowOff>61057</xdr:rowOff>
    </xdr:from>
    <xdr:to>
      <xdr:col>0</xdr:col>
      <xdr:colOff>2625482</xdr:colOff>
      <xdr:row>12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C7E80F-F2B6-4D85-B4D4-119F760E4954}"/>
            </a:ext>
          </a:extLst>
        </xdr:cNvPr>
        <xdr:cNvSpPr txBox="1"/>
      </xdr:nvSpPr>
      <xdr:spPr>
        <a:xfrm>
          <a:off x="616683" y="1718407"/>
          <a:ext cx="18754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10</xdr:row>
      <xdr:rowOff>42741</xdr:rowOff>
    </xdr:from>
    <xdr:to>
      <xdr:col>4</xdr:col>
      <xdr:colOff>604471</xdr:colOff>
      <xdr:row>11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A79494F-AE61-4D11-8FBE-4E9CC06BE714}"/>
            </a:ext>
          </a:extLst>
        </xdr:cNvPr>
        <xdr:cNvSpPr txBox="1"/>
      </xdr:nvSpPr>
      <xdr:spPr>
        <a:xfrm>
          <a:off x="368226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NNHS-IUS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"/>
  <sheetViews>
    <sheetView tabSelected="1" topLeftCell="A26" workbookViewId="0">
      <selection activeCell="C49" sqref="C49"/>
    </sheetView>
  </sheetViews>
  <sheetFormatPr defaultRowHeight="15" x14ac:dyDescent="0.25"/>
  <cols>
    <col min="1" max="1" width="37.42578125" customWidth="1"/>
    <col min="2" max="2" width="11.5703125" style="18" customWidth="1"/>
    <col min="3" max="3" width="11.5703125" style="19" customWidth="1"/>
    <col min="4" max="4" width="11.5703125" style="18" customWidth="1"/>
    <col min="5" max="5" width="11.5703125" style="19" customWidth="1"/>
    <col min="6" max="7" width="11.5703125" style="20" customWidth="1"/>
    <col min="8" max="8" width="11.5703125" style="18" customWidth="1"/>
    <col min="9" max="9" width="11.5703125" style="19" customWidth="1"/>
    <col min="10" max="10" width="11.570312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1"/>
      <c r="L5" s="1"/>
      <c r="M5" s="1"/>
      <c r="N5" s="1"/>
    </row>
    <row r="6" spans="1:14" x14ac:dyDescent="0.25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1"/>
      <c r="L6" s="1"/>
      <c r="M6" s="1"/>
      <c r="N6" s="1"/>
    </row>
    <row r="7" spans="1:14" x14ac:dyDescent="0.25">
      <c r="A7" s="32" t="s">
        <v>46</v>
      </c>
      <c r="B7" s="32"/>
      <c r="C7" s="32"/>
      <c r="D7" s="32"/>
      <c r="E7" s="32"/>
      <c r="F7" s="32"/>
      <c r="G7" s="32"/>
      <c r="H7" s="32"/>
      <c r="I7" s="32"/>
      <c r="J7" s="32"/>
      <c r="K7" s="1"/>
      <c r="L7" s="1"/>
      <c r="M7" s="1"/>
      <c r="N7" s="1"/>
    </row>
    <row r="8" spans="1:14" x14ac:dyDescent="0.25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 t="s">
        <v>3</v>
      </c>
      <c r="B10" s="31" t="s">
        <v>4</v>
      </c>
      <c r="C10" s="31"/>
      <c r="D10" s="31"/>
      <c r="E10" s="1"/>
      <c r="F10" s="1"/>
      <c r="G10" s="1"/>
      <c r="H10" s="2" t="s">
        <v>5</v>
      </c>
      <c r="I10" s="3"/>
      <c r="J10" s="2"/>
      <c r="K10" s="1"/>
      <c r="L10" s="1"/>
      <c r="M10" s="1"/>
      <c r="N10" s="1"/>
    </row>
    <row r="11" spans="1:14" x14ac:dyDescent="0.25">
      <c r="A11" s="1"/>
      <c r="B11" s="4"/>
      <c r="C11" s="4"/>
      <c r="D11" s="1"/>
      <c r="E11" s="1"/>
      <c r="F11" s="1"/>
      <c r="G11" s="1"/>
      <c r="H11" s="4"/>
      <c r="I11" s="4"/>
      <c r="J11" s="4"/>
      <c r="K11" s="1"/>
      <c r="L11" s="1"/>
      <c r="M11" s="1"/>
      <c r="N11" s="1"/>
    </row>
    <row r="12" spans="1:14" x14ac:dyDescent="0.25">
      <c r="A12" s="1" t="s">
        <v>6</v>
      </c>
      <c r="B12" s="31" t="s">
        <v>7</v>
      </c>
      <c r="C12" s="31"/>
      <c r="D12" s="31"/>
      <c r="E12" s="1"/>
      <c r="F12" s="1"/>
      <c r="G12" s="1"/>
      <c r="H12" s="2" t="s">
        <v>8</v>
      </c>
      <c r="I12" s="5"/>
      <c r="J12" s="2"/>
      <c r="K12" s="1"/>
      <c r="L12" s="1"/>
      <c r="M12" s="1"/>
      <c r="N12" s="1"/>
    </row>
    <row r="13" spans="1:14" ht="21.75" thickBot="1" x14ac:dyDescent="0.3">
      <c r="A13" s="36" t="s">
        <v>9</v>
      </c>
      <c r="B13" s="36"/>
      <c r="C13" s="36"/>
      <c r="D13" s="36"/>
      <c r="E13" s="36"/>
      <c r="F13" s="36"/>
      <c r="G13" s="36"/>
      <c r="H13" s="36"/>
      <c r="I13" s="36"/>
      <c r="J13" s="36"/>
    </row>
    <row r="14" spans="1:14" x14ac:dyDescent="0.25">
      <c r="A14" s="37" t="s">
        <v>10</v>
      </c>
      <c r="B14" s="39" t="s">
        <v>11</v>
      </c>
      <c r="C14" s="40"/>
      <c r="D14" s="41" t="s">
        <v>12</v>
      </c>
      <c r="E14" s="42"/>
      <c r="F14" s="42"/>
      <c r="G14" s="6"/>
      <c r="H14" s="43" t="s">
        <v>13</v>
      </c>
      <c r="I14" s="44"/>
      <c r="J14" s="45" t="s">
        <v>14</v>
      </c>
      <c r="K14" s="7"/>
      <c r="L14" s="7"/>
      <c r="M14" s="7"/>
      <c r="N14" s="7"/>
    </row>
    <row r="15" spans="1:14" ht="33.75" x14ac:dyDescent="0.25">
      <c r="A15" s="38"/>
      <c r="B15" s="8" t="s">
        <v>15</v>
      </c>
      <c r="C15" s="9" t="s">
        <v>16</v>
      </c>
      <c r="D15" s="8" t="s">
        <v>15</v>
      </c>
      <c r="E15" s="9" t="s">
        <v>16</v>
      </c>
      <c r="F15" s="10" t="s">
        <v>17</v>
      </c>
      <c r="G15" s="11" t="s">
        <v>18</v>
      </c>
      <c r="H15" s="8" t="s">
        <v>15</v>
      </c>
      <c r="I15" s="9" t="s">
        <v>16</v>
      </c>
      <c r="J15" s="46"/>
      <c r="K15" s="7"/>
      <c r="L15" s="7"/>
      <c r="M15" s="7"/>
      <c r="N15" s="7"/>
    </row>
    <row r="16" spans="1:14" ht="15.75" x14ac:dyDescent="0.25">
      <c r="A16" s="33" t="s">
        <v>22</v>
      </c>
      <c r="B16" s="34"/>
      <c r="C16" s="34"/>
      <c r="D16" s="34"/>
      <c r="E16" s="34"/>
      <c r="F16" s="34"/>
      <c r="G16" s="34"/>
      <c r="H16" s="34"/>
      <c r="I16" s="34"/>
      <c r="J16" s="35"/>
      <c r="K16" s="7"/>
      <c r="L16" s="7"/>
      <c r="M16" s="7"/>
      <c r="N16" s="7"/>
    </row>
    <row r="17" spans="1:14" x14ac:dyDescent="0.25">
      <c r="A17" s="12" t="s">
        <v>29</v>
      </c>
      <c r="B17" s="13">
        <v>0.70799999999999996</v>
      </c>
      <c r="C17" s="13">
        <v>0.70799999999999996</v>
      </c>
      <c r="D17" s="13"/>
      <c r="E17" s="13"/>
      <c r="F17" s="13"/>
      <c r="G17" s="13"/>
      <c r="H17" s="13">
        <f>B17</f>
        <v>0.70799999999999996</v>
      </c>
      <c r="I17" s="13">
        <f>C17</f>
        <v>0.70799999999999996</v>
      </c>
      <c r="J17" s="14">
        <f>H17+I17</f>
        <v>1.4159999999999999</v>
      </c>
      <c r="K17" s="7"/>
      <c r="L17" s="7"/>
      <c r="M17" s="7"/>
      <c r="N17" s="7"/>
    </row>
    <row r="18" spans="1:14" x14ac:dyDescent="0.25">
      <c r="A18" s="15" t="s">
        <v>30</v>
      </c>
      <c r="B18" s="13">
        <f>3*1.25</f>
        <v>3.75</v>
      </c>
      <c r="C18" s="13">
        <v>3.75</v>
      </c>
      <c r="D18" s="13"/>
      <c r="E18" s="13"/>
      <c r="F18" s="13"/>
      <c r="G18" s="13"/>
      <c r="H18" s="13">
        <f>H17-F18-D18+B18</f>
        <v>4.4580000000000002</v>
      </c>
      <c r="I18" s="13">
        <f>I17-E18+C18</f>
        <v>4.4580000000000002</v>
      </c>
      <c r="J18" s="14">
        <f t="shared" ref="J18:J19" si="0">H18+I18</f>
        <v>8.9160000000000004</v>
      </c>
      <c r="K18" s="16"/>
      <c r="L18" s="16"/>
      <c r="M18" s="16"/>
      <c r="N18" s="16"/>
    </row>
    <row r="19" spans="1:14" x14ac:dyDescent="0.25">
      <c r="A19" s="15" t="s">
        <v>31</v>
      </c>
      <c r="B19" s="13"/>
      <c r="C19" s="13"/>
      <c r="D19" s="13"/>
      <c r="E19" s="13"/>
      <c r="F19" s="26"/>
      <c r="G19" s="26">
        <v>1</v>
      </c>
      <c r="H19" s="13">
        <f>H18-F19-D19+B19</f>
        <v>4.4580000000000002</v>
      </c>
      <c r="I19" s="13">
        <f>I18-E19+C19</f>
        <v>4.4580000000000002</v>
      </c>
      <c r="J19" s="14">
        <f t="shared" si="0"/>
        <v>8.9160000000000004</v>
      </c>
      <c r="K19" s="16"/>
      <c r="L19" s="16"/>
      <c r="M19" s="16"/>
      <c r="N19" s="16"/>
    </row>
    <row r="20" spans="1:14" x14ac:dyDescent="0.25">
      <c r="A20" s="21" t="s">
        <v>23</v>
      </c>
      <c r="B20" s="13">
        <v>3.75</v>
      </c>
      <c r="C20" s="13">
        <v>3.75</v>
      </c>
      <c r="D20" s="13"/>
      <c r="E20" s="13"/>
      <c r="F20" s="26"/>
      <c r="G20" s="26"/>
      <c r="H20" s="13">
        <f>H19-F20-D20+B20</f>
        <v>8.2080000000000002</v>
      </c>
      <c r="I20" s="13">
        <f>I19-E20+C20</f>
        <v>8.2080000000000002</v>
      </c>
      <c r="J20" s="14">
        <f t="shared" ref="J20:J21" si="1">H20+I20</f>
        <v>16.416</v>
      </c>
      <c r="K20" s="16"/>
      <c r="L20" s="16"/>
      <c r="M20" s="16"/>
      <c r="N20" s="16"/>
    </row>
    <row r="21" spans="1:14" x14ac:dyDescent="0.25">
      <c r="A21" s="21" t="s">
        <v>24</v>
      </c>
      <c r="B21" s="13"/>
      <c r="C21" s="13"/>
      <c r="D21" s="13"/>
      <c r="E21" s="13"/>
      <c r="F21" s="26">
        <v>1</v>
      </c>
      <c r="G21" s="26"/>
      <c r="H21" s="13">
        <f>H20-F21-D21+B21</f>
        <v>7.2080000000000002</v>
      </c>
      <c r="I21" s="13">
        <f>I20-E21+C21</f>
        <v>8.2080000000000002</v>
      </c>
      <c r="J21" s="14">
        <f t="shared" si="1"/>
        <v>15.416</v>
      </c>
      <c r="K21" s="16"/>
      <c r="L21" s="16"/>
      <c r="M21" s="16"/>
      <c r="N21" s="16"/>
    </row>
    <row r="22" spans="1:14" x14ac:dyDescent="0.25">
      <c r="A22" s="21" t="s">
        <v>25</v>
      </c>
      <c r="B22" s="13">
        <v>1.25</v>
      </c>
      <c r="C22" s="13">
        <v>1.25</v>
      </c>
      <c r="D22" s="13"/>
      <c r="E22" s="13"/>
      <c r="F22" s="26"/>
      <c r="G22" s="26"/>
      <c r="H22" s="13">
        <f t="shared" ref="H22:H25" si="2">H21-F22-D22+B22</f>
        <v>8.4580000000000002</v>
      </c>
      <c r="I22" s="13">
        <f t="shared" ref="I22:I25" si="3">I21-E22+C22</f>
        <v>9.4580000000000002</v>
      </c>
      <c r="J22" s="14">
        <f t="shared" ref="J22:J25" si="4">H22+I22</f>
        <v>17.916</v>
      </c>
      <c r="K22" s="16"/>
      <c r="L22" s="16"/>
      <c r="M22" s="16"/>
      <c r="N22" s="16"/>
    </row>
    <row r="23" spans="1:14" x14ac:dyDescent="0.25">
      <c r="A23" s="15" t="s">
        <v>26</v>
      </c>
      <c r="B23" s="13"/>
      <c r="C23" s="13"/>
      <c r="D23" s="13"/>
      <c r="E23" s="13"/>
      <c r="F23" s="26">
        <v>1</v>
      </c>
      <c r="G23" s="26"/>
      <c r="H23" s="13">
        <f t="shared" si="2"/>
        <v>7.4580000000000002</v>
      </c>
      <c r="I23" s="13">
        <f t="shared" si="3"/>
        <v>9.4580000000000002</v>
      </c>
      <c r="J23" s="14">
        <f t="shared" si="4"/>
        <v>16.916</v>
      </c>
      <c r="K23" s="16"/>
      <c r="L23" s="16"/>
      <c r="M23" s="16"/>
      <c r="N23" s="16"/>
    </row>
    <row r="24" spans="1:14" x14ac:dyDescent="0.25">
      <c r="A24" s="12" t="s">
        <v>32</v>
      </c>
      <c r="B24" s="13">
        <v>3.75</v>
      </c>
      <c r="C24" s="13">
        <v>3.75</v>
      </c>
      <c r="D24" s="13"/>
      <c r="E24" s="13"/>
      <c r="F24" s="26"/>
      <c r="G24" s="26"/>
      <c r="H24" s="13">
        <f t="shared" si="2"/>
        <v>11.208</v>
      </c>
      <c r="I24" s="13">
        <f t="shared" si="3"/>
        <v>13.208</v>
      </c>
      <c r="J24" s="14">
        <f t="shared" si="4"/>
        <v>24.416</v>
      </c>
      <c r="K24" s="16"/>
      <c r="L24" s="16"/>
      <c r="M24" s="16"/>
      <c r="N24" s="16"/>
    </row>
    <row r="25" spans="1:14" x14ac:dyDescent="0.25">
      <c r="A25" s="12" t="s">
        <v>27</v>
      </c>
      <c r="B25" s="17"/>
      <c r="C25" s="13"/>
      <c r="D25" s="13"/>
      <c r="E25" s="13"/>
      <c r="F25" s="26"/>
      <c r="G25" s="26">
        <v>1</v>
      </c>
      <c r="H25" s="13">
        <f t="shared" si="2"/>
        <v>11.208</v>
      </c>
      <c r="I25" s="13">
        <f t="shared" si="3"/>
        <v>13.208</v>
      </c>
      <c r="J25" s="14">
        <f t="shared" si="4"/>
        <v>24.416</v>
      </c>
      <c r="K25" s="16"/>
      <c r="L25" s="16"/>
      <c r="M25" s="16"/>
      <c r="N25" s="16"/>
    </row>
    <row r="26" spans="1:14" x14ac:dyDescent="0.25">
      <c r="A26" s="25" t="s">
        <v>33</v>
      </c>
      <c r="B26" s="26">
        <v>1.25</v>
      </c>
      <c r="C26" s="26">
        <v>1.25</v>
      </c>
      <c r="D26" s="26"/>
      <c r="E26" s="26"/>
      <c r="F26" s="26"/>
      <c r="G26" s="26"/>
      <c r="H26" s="13">
        <f t="shared" ref="H26:H27" si="5">H25-F26-D26+B26</f>
        <v>12.458</v>
      </c>
      <c r="I26" s="13">
        <f t="shared" ref="I26:I27" si="6">I25-E26+C26</f>
        <v>14.458</v>
      </c>
      <c r="J26" s="14">
        <f t="shared" ref="J26:J27" si="7">H26+I26</f>
        <v>26.916</v>
      </c>
      <c r="K26" s="16"/>
      <c r="L26" s="16"/>
      <c r="M26" s="16"/>
      <c r="N26" s="16"/>
    </row>
    <row r="27" spans="1:14" x14ac:dyDescent="0.25">
      <c r="A27" s="25" t="s">
        <v>34</v>
      </c>
      <c r="B27" s="26"/>
      <c r="C27" s="26"/>
      <c r="D27" s="26"/>
      <c r="E27" s="26"/>
      <c r="F27" s="26"/>
      <c r="G27" s="26">
        <v>1</v>
      </c>
      <c r="H27" s="13">
        <f t="shared" si="5"/>
        <v>12.458</v>
      </c>
      <c r="I27" s="13">
        <f t="shared" si="6"/>
        <v>14.458</v>
      </c>
      <c r="J27" s="14">
        <f t="shared" si="7"/>
        <v>26.916</v>
      </c>
      <c r="K27" s="16"/>
      <c r="L27" s="16"/>
      <c r="M27" s="16"/>
      <c r="N27" s="16"/>
    </row>
    <row r="28" spans="1:14" x14ac:dyDescent="0.25">
      <c r="A28" s="25" t="s">
        <v>35</v>
      </c>
      <c r="B28" s="26"/>
      <c r="C28" s="26"/>
      <c r="D28" s="26"/>
      <c r="E28" s="26"/>
      <c r="F28" s="26">
        <v>1</v>
      </c>
      <c r="G28" s="26"/>
      <c r="H28" s="13">
        <f t="shared" ref="H28" si="8">H27-F28-D28+B28</f>
        <v>11.458</v>
      </c>
      <c r="I28" s="13">
        <f t="shared" ref="I28" si="9">I27-E28+C28</f>
        <v>14.458</v>
      </c>
      <c r="J28" s="14">
        <f t="shared" ref="J28" si="10">H28+I28</f>
        <v>25.916</v>
      </c>
      <c r="K28" s="16"/>
      <c r="L28" s="16"/>
      <c r="M28" s="16"/>
      <c r="N28" s="16"/>
    </row>
    <row r="29" spans="1:14" x14ac:dyDescent="0.25">
      <c r="A29" s="25" t="s">
        <v>36</v>
      </c>
      <c r="B29" s="26">
        <v>3.75</v>
      </c>
      <c r="C29" s="26">
        <v>3.75</v>
      </c>
      <c r="D29" s="26"/>
      <c r="E29" s="26"/>
      <c r="F29" s="26"/>
      <c r="G29" s="26"/>
      <c r="H29" s="13">
        <f t="shared" ref="H29:H30" si="11">H28-F29-D29+B29</f>
        <v>15.208</v>
      </c>
      <c r="I29" s="13">
        <f t="shared" ref="I29:I30" si="12">I28-E29+C29</f>
        <v>18.207999999999998</v>
      </c>
      <c r="J29" s="14">
        <f t="shared" ref="J29:J30" si="13">H29+I29</f>
        <v>33.415999999999997</v>
      </c>
      <c r="K29" s="16"/>
      <c r="L29" s="16"/>
      <c r="M29" s="16"/>
      <c r="N29" s="16"/>
    </row>
    <row r="30" spans="1:14" x14ac:dyDescent="0.25">
      <c r="A30" s="25" t="s">
        <v>37</v>
      </c>
      <c r="B30" s="26"/>
      <c r="C30" s="26"/>
      <c r="D30" s="26"/>
      <c r="E30" s="26"/>
      <c r="F30" s="26">
        <v>2</v>
      </c>
      <c r="G30" s="26"/>
      <c r="H30" s="13">
        <f t="shared" si="11"/>
        <v>13.208</v>
      </c>
      <c r="I30" s="13">
        <f t="shared" si="12"/>
        <v>18.207999999999998</v>
      </c>
      <c r="J30" s="14">
        <f t="shared" si="13"/>
        <v>31.415999999999997</v>
      </c>
      <c r="K30" s="16"/>
      <c r="L30" s="16"/>
      <c r="M30" s="16"/>
      <c r="N30" s="16"/>
    </row>
    <row r="31" spans="1:14" x14ac:dyDescent="0.25">
      <c r="A31" s="25" t="s">
        <v>38</v>
      </c>
      <c r="B31" s="26">
        <v>1.25</v>
      </c>
      <c r="C31" s="26">
        <v>1.25</v>
      </c>
      <c r="D31" s="26"/>
      <c r="E31" s="26"/>
      <c r="F31" s="26"/>
      <c r="G31" s="26"/>
      <c r="H31" s="13">
        <f t="shared" ref="H31:H32" si="14">H30-F31-D31+B31</f>
        <v>14.458</v>
      </c>
      <c r="I31" s="13">
        <f t="shared" ref="I31:I32" si="15">I30-E31+C31</f>
        <v>19.457999999999998</v>
      </c>
      <c r="J31" s="14">
        <f t="shared" ref="J31:J32" si="16">H31+I31</f>
        <v>33.915999999999997</v>
      </c>
      <c r="K31" s="16"/>
      <c r="L31" s="16"/>
      <c r="M31" s="16"/>
      <c r="N31" s="16"/>
    </row>
    <row r="32" spans="1:14" x14ac:dyDescent="0.25">
      <c r="A32" s="25" t="s">
        <v>39</v>
      </c>
      <c r="B32" s="26"/>
      <c r="C32" s="26"/>
      <c r="D32" s="26"/>
      <c r="E32" s="26">
        <v>2</v>
      </c>
      <c r="F32" s="26"/>
      <c r="G32" s="26"/>
      <c r="H32" s="13">
        <f t="shared" si="14"/>
        <v>14.458</v>
      </c>
      <c r="I32" s="13">
        <f t="shared" si="15"/>
        <v>17.457999999999998</v>
      </c>
      <c r="J32" s="14">
        <f t="shared" si="16"/>
        <v>31.915999999999997</v>
      </c>
      <c r="K32" s="16"/>
      <c r="L32" s="16"/>
      <c r="M32" s="16"/>
      <c r="N32" s="16"/>
    </row>
    <row r="33" spans="1:14" x14ac:dyDescent="0.25">
      <c r="A33" s="25" t="s">
        <v>40</v>
      </c>
      <c r="B33" s="26">
        <v>3.75</v>
      </c>
      <c r="C33" s="26">
        <v>3.75</v>
      </c>
      <c r="D33" s="26"/>
      <c r="E33" s="26"/>
      <c r="F33" s="26"/>
      <c r="G33" s="26"/>
      <c r="H33" s="13">
        <f t="shared" ref="H33:H34" si="17">H32-F33-D33+B33</f>
        <v>18.207999999999998</v>
      </c>
      <c r="I33" s="13">
        <f t="shared" ref="I33:I34" si="18">I32-E33+C33</f>
        <v>21.207999999999998</v>
      </c>
      <c r="J33" s="14">
        <f t="shared" ref="J33:J34" si="19">H33+I33</f>
        <v>39.415999999999997</v>
      </c>
      <c r="K33" s="16"/>
      <c r="L33" s="16"/>
      <c r="M33" s="16"/>
      <c r="N33" s="16"/>
    </row>
    <row r="34" spans="1:14" x14ac:dyDescent="0.25">
      <c r="A34" s="25" t="s">
        <v>41</v>
      </c>
      <c r="B34" s="26"/>
      <c r="C34" s="26"/>
      <c r="D34" s="26"/>
      <c r="E34" s="26"/>
      <c r="F34" s="27">
        <v>2</v>
      </c>
      <c r="G34" s="26"/>
      <c r="H34" s="13">
        <f t="shared" si="17"/>
        <v>16.207999999999998</v>
      </c>
      <c r="I34" s="13">
        <f t="shared" si="18"/>
        <v>21.207999999999998</v>
      </c>
      <c r="J34" s="14">
        <f t="shared" si="19"/>
        <v>37.415999999999997</v>
      </c>
      <c r="K34" s="16"/>
      <c r="L34" s="16"/>
      <c r="M34" s="16"/>
      <c r="N34" s="16"/>
    </row>
    <row r="35" spans="1:14" x14ac:dyDescent="0.25">
      <c r="A35" s="25" t="s">
        <v>42</v>
      </c>
      <c r="B35" s="26">
        <v>3.75</v>
      </c>
      <c r="C35" s="26">
        <v>3.75</v>
      </c>
      <c r="D35" s="26"/>
      <c r="E35" s="26"/>
      <c r="F35" s="26"/>
      <c r="G35" s="26"/>
      <c r="H35" s="13">
        <f t="shared" ref="H35:H36" si="20">H34-F35-D35+B35</f>
        <v>19.957999999999998</v>
      </c>
      <c r="I35" s="13">
        <f t="shared" ref="I35:I36" si="21">I34-E35+C35</f>
        <v>24.957999999999998</v>
      </c>
      <c r="J35" s="14">
        <f t="shared" ref="J35:J36" si="22">H35+I35</f>
        <v>44.915999999999997</v>
      </c>
      <c r="K35" s="16"/>
      <c r="L35" s="16"/>
      <c r="M35" s="16"/>
      <c r="N35" s="16"/>
    </row>
    <row r="36" spans="1:14" x14ac:dyDescent="0.25">
      <c r="A36" s="25" t="s">
        <v>43</v>
      </c>
      <c r="B36" s="26"/>
      <c r="C36" s="26"/>
      <c r="D36" s="26">
        <v>10</v>
      </c>
      <c r="E36" s="26"/>
      <c r="F36" s="26"/>
      <c r="G36" s="26"/>
      <c r="H36" s="13">
        <f t="shared" si="20"/>
        <v>9.9579999999999984</v>
      </c>
      <c r="I36" s="13">
        <f t="shared" si="21"/>
        <v>24.957999999999998</v>
      </c>
      <c r="J36" s="14">
        <f t="shared" si="22"/>
        <v>34.915999999999997</v>
      </c>
      <c r="K36" s="16"/>
      <c r="L36" s="16"/>
      <c r="M36" s="16"/>
      <c r="N36" s="16"/>
    </row>
    <row r="37" spans="1:14" x14ac:dyDescent="0.25">
      <c r="A37" s="25" t="s">
        <v>44</v>
      </c>
      <c r="B37" s="26">
        <v>1.25</v>
      </c>
      <c r="C37" s="26">
        <v>1.25</v>
      </c>
      <c r="D37" s="26"/>
      <c r="E37" s="26"/>
      <c r="F37" s="26"/>
      <c r="G37" s="26"/>
      <c r="H37" s="13">
        <f t="shared" ref="H37:H38" si="23">H36-F37-D37+B37</f>
        <v>11.207999999999998</v>
      </c>
      <c r="I37" s="13">
        <f t="shared" ref="I37:I38" si="24">I36-E37+C37</f>
        <v>26.207999999999998</v>
      </c>
      <c r="J37" s="14">
        <f t="shared" ref="J37:J38" si="25">H37+I37</f>
        <v>37.415999999999997</v>
      </c>
      <c r="K37" s="16"/>
      <c r="L37" s="16"/>
      <c r="M37" s="16"/>
      <c r="N37" s="16"/>
    </row>
    <row r="38" spans="1:14" x14ac:dyDescent="0.25">
      <c r="A38" s="25" t="s">
        <v>45</v>
      </c>
      <c r="B38" s="26"/>
      <c r="C38" s="26"/>
      <c r="D38" s="26"/>
      <c r="E38" s="26">
        <v>3</v>
      </c>
      <c r="F38" s="26"/>
      <c r="G38" s="26"/>
      <c r="H38" s="13">
        <f t="shared" si="23"/>
        <v>11.207999999999998</v>
      </c>
      <c r="I38" s="13">
        <f t="shared" si="24"/>
        <v>23.207999999999998</v>
      </c>
      <c r="J38" s="14">
        <f t="shared" si="25"/>
        <v>34.415999999999997</v>
      </c>
      <c r="K38" s="16"/>
      <c r="L38" s="16"/>
      <c r="M38" s="16"/>
      <c r="N38" s="16"/>
    </row>
    <row r="39" spans="1:14" x14ac:dyDescent="0.25">
      <c r="A39" s="25" t="s">
        <v>47</v>
      </c>
      <c r="B39" s="26">
        <v>1.25</v>
      </c>
      <c r="C39" s="26">
        <v>1.25</v>
      </c>
      <c r="D39" s="26"/>
      <c r="E39" s="26"/>
      <c r="F39" s="26"/>
      <c r="G39" s="26"/>
      <c r="H39" s="13">
        <f t="shared" ref="H39:H40" si="26">H38-F39-D39+B39</f>
        <v>12.457999999999998</v>
      </c>
      <c r="I39" s="13">
        <f t="shared" ref="I39:I40" si="27">I38-E39+C39</f>
        <v>24.457999999999998</v>
      </c>
      <c r="J39" s="14">
        <f t="shared" ref="J39:J40" si="28">H39+I39</f>
        <v>36.915999999999997</v>
      </c>
      <c r="K39" s="16"/>
      <c r="L39" s="16"/>
      <c r="M39" s="16"/>
      <c r="N39" s="16"/>
    </row>
    <row r="40" spans="1:14" x14ac:dyDescent="0.25">
      <c r="A40" s="25" t="s">
        <v>48</v>
      </c>
      <c r="B40" s="26"/>
      <c r="C40" s="26"/>
      <c r="D40" s="26"/>
      <c r="E40" s="26"/>
      <c r="F40" s="27">
        <v>1</v>
      </c>
      <c r="G40" s="26"/>
      <c r="H40" s="13">
        <f t="shared" si="26"/>
        <v>11.457999999999998</v>
      </c>
      <c r="I40" s="13">
        <f t="shared" si="27"/>
        <v>24.457999999999998</v>
      </c>
      <c r="J40" s="14">
        <f t="shared" si="28"/>
        <v>35.915999999999997</v>
      </c>
      <c r="K40" s="16"/>
      <c r="L40" s="16"/>
      <c r="M40" s="16"/>
      <c r="N40" s="16"/>
    </row>
    <row r="41" spans="1:14" x14ac:dyDescent="0.25">
      <c r="A41" s="25" t="s">
        <v>49</v>
      </c>
      <c r="B41" s="26">
        <v>2.5</v>
      </c>
      <c r="C41" s="26">
        <v>2.5</v>
      </c>
      <c r="D41" s="26"/>
      <c r="E41" s="26"/>
      <c r="F41" s="26"/>
      <c r="G41" s="26"/>
      <c r="H41" s="13">
        <f t="shared" ref="H41:H42" si="29">H40-F41-D41+B41</f>
        <v>13.957999999999998</v>
      </c>
      <c r="I41" s="13">
        <f t="shared" ref="I41:I42" si="30">I40-E41+C41</f>
        <v>26.957999999999998</v>
      </c>
      <c r="J41" s="14">
        <f t="shared" ref="J41:J42" si="31">H41+I41</f>
        <v>40.915999999999997</v>
      </c>
      <c r="K41" s="16"/>
      <c r="L41" s="16"/>
      <c r="M41" s="16"/>
      <c r="N41" s="16"/>
    </row>
    <row r="42" spans="1:14" x14ac:dyDescent="0.25">
      <c r="A42" s="25" t="s">
        <v>50</v>
      </c>
      <c r="B42" s="26"/>
      <c r="C42" s="26"/>
      <c r="D42" s="26"/>
      <c r="E42" s="26"/>
      <c r="F42" s="27">
        <v>2</v>
      </c>
      <c r="G42" s="26"/>
      <c r="H42" s="13">
        <f t="shared" si="29"/>
        <v>11.957999999999998</v>
      </c>
      <c r="I42" s="13">
        <f t="shared" si="30"/>
        <v>26.957999999999998</v>
      </c>
      <c r="J42" s="14">
        <f t="shared" si="31"/>
        <v>38.915999999999997</v>
      </c>
      <c r="K42" s="16"/>
      <c r="L42" s="16"/>
      <c r="M42" s="16"/>
      <c r="N42" s="16"/>
    </row>
    <row r="43" spans="1:14" x14ac:dyDescent="0.25">
      <c r="A43" s="25" t="s">
        <v>51</v>
      </c>
      <c r="B43" s="26"/>
      <c r="C43" s="26"/>
      <c r="D43" s="26"/>
      <c r="E43" s="26"/>
      <c r="F43" s="26"/>
      <c r="G43" s="30">
        <v>3</v>
      </c>
      <c r="H43" s="13">
        <f t="shared" ref="H43" si="32">H42-F43-D43+B43</f>
        <v>11.957999999999998</v>
      </c>
      <c r="I43" s="13">
        <f t="shared" ref="I43" si="33">I42-E43+C43</f>
        <v>26.957999999999998</v>
      </c>
      <c r="J43" s="14">
        <f t="shared" ref="J43" si="34">H43+I43</f>
        <v>38.915999999999997</v>
      </c>
      <c r="K43" s="16"/>
      <c r="L43" s="16"/>
      <c r="M43" s="16"/>
      <c r="N43" s="16"/>
    </row>
    <row r="44" spans="1:14" x14ac:dyDescent="0.25">
      <c r="A44" s="28"/>
      <c r="B44" s="29"/>
      <c r="C44" s="29"/>
      <c r="D44" s="29"/>
      <c r="E44" s="29"/>
      <c r="F44" s="29"/>
      <c r="G44" s="29"/>
      <c r="H44" s="22"/>
      <c r="I44" s="22"/>
      <c r="J44" s="23"/>
      <c r="K44" s="16"/>
      <c r="L44" s="16"/>
      <c r="M44" s="16"/>
      <c r="N44" s="16"/>
    </row>
    <row r="45" spans="1:14" x14ac:dyDescent="0.25">
      <c r="B45" s="1"/>
      <c r="C45" s="1"/>
      <c r="D45" s="1"/>
      <c r="E45" s="1"/>
      <c r="F45" s="1"/>
      <c r="G45" s="1"/>
      <c r="H45" s="22"/>
      <c r="I45" s="22"/>
      <c r="J45" s="23"/>
      <c r="K45" s="1"/>
      <c r="L45" s="1"/>
      <c r="M45" s="1"/>
      <c r="N45" s="1"/>
    </row>
    <row r="46" spans="1:14" x14ac:dyDescent="0.25">
      <c r="B46" s="1"/>
      <c r="C46" s="1"/>
      <c r="D46" s="1"/>
      <c r="E46" s="1"/>
      <c r="F46" s="1"/>
      <c r="G46" s="1"/>
      <c r="H46" s="1" t="s">
        <v>19</v>
      </c>
      <c r="I46" s="1"/>
      <c r="J46" s="1"/>
      <c r="K46" s="1"/>
      <c r="L46" s="1"/>
      <c r="M46" s="1"/>
      <c r="N46" s="1"/>
    </row>
    <row r="47" spans="1:14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B48" s="1"/>
      <c r="C48" s="1"/>
      <c r="D48" s="1"/>
      <c r="E48" s="1"/>
      <c r="F48" s="1"/>
      <c r="G48" s="1"/>
      <c r="H48" s="24" t="s">
        <v>20</v>
      </c>
      <c r="I48" s="1"/>
      <c r="J48" s="1"/>
      <c r="K48" s="1"/>
      <c r="L48" s="1"/>
      <c r="M48" s="1"/>
      <c r="N48" s="1"/>
    </row>
    <row r="49" spans="2:14" x14ac:dyDescent="0.25">
      <c r="B49" s="1"/>
      <c r="C49" s="1"/>
      <c r="D49" s="1"/>
      <c r="E49" s="1"/>
      <c r="F49" s="1"/>
      <c r="G49" s="1"/>
      <c r="H49" s="1" t="s">
        <v>21</v>
      </c>
      <c r="I49" s="1"/>
      <c r="J49" s="1"/>
      <c r="K49" s="1"/>
      <c r="L49" s="1"/>
      <c r="M49" s="1"/>
      <c r="N49" s="1"/>
    </row>
    <row r="50" spans="2:14" x14ac:dyDescent="0.25">
      <c r="B50"/>
      <c r="C50"/>
      <c r="D50"/>
      <c r="E50"/>
      <c r="F50"/>
      <c r="G50"/>
      <c r="H50" t="s">
        <v>28</v>
      </c>
      <c r="I50"/>
    </row>
    <row r="51" spans="2:14" x14ac:dyDescent="0.25">
      <c r="B51"/>
      <c r="C51"/>
      <c r="D51"/>
      <c r="E51"/>
      <c r="F51"/>
      <c r="G51"/>
      <c r="H51"/>
      <c r="I51"/>
    </row>
    <row r="52" spans="2:14" x14ac:dyDescent="0.25">
      <c r="B52"/>
      <c r="C52"/>
      <c r="D52"/>
      <c r="E52"/>
      <c r="F52"/>
      <c r="G52"/>
      <c r="H52"/>
      <c r="I52"/>
    </row>
    <row r="53" spans="2:14" x14ac:dyDescent="0.25">
      <c r="B53"/>
      <c r="C53"/>
      <c r="D53"/>
      <c r="E53"/>
      <c r="F53"/>
      <c r="G53"/>
      <c r="H53"/>
      <c r="I53"/>
    </row>
    <row r="54" spans="2:14" x14ac:dyDescent="0.25">
      <c r="B54"/>
      <c r="C54"/>
      <c r="D54"/>
      <c r="E54"/>
      <c r="F54"/>
      <c r="G54"/>
      <c r="H54"/>
      <c r="I54"/>
    </row>
    <row r="55" spans="2:14" x14ac:dyDescent="0.25">
      <c r="B55"/>
      <c r="C55"/>
      <c r="D55"/>
      <c r="E55"/>
      <c r="F55"/>
      <c r="G55"/>
      <c r="H55"/>
      <c r="I55"/>
    </row>
    <row r="56" spans="2:14" x14ac:dyDescent="0.25">
      <c r="B56"/>
      <c r="C56"/>
      <c r="D56"/>
      <c r="E56"/>
      <c r="F56"/>
      <c r="G56"/>
      <c r="H56"/>
      <c r="I56"/>
    </row>
    <row r="57" spans="2:14" x14ac:dyDescent="0.25">
      <c r="B57"/>
      <c r="C57"/>
      <c r="D57"/>
      <c r="E57"/>
      <c r="F57"/>
      <c r="G57"/>
      <c r="H57"/>
      <c r="I57"/>
    </row>
    <row r="58" spans="2:14" x14ac:dyDescent="0.25">
      <c r="B58"/>
      <c r="C58"/>
      <c r="D58"/>
      <c r="E58"/>
      <c r="F58"/>
      <c r="G58"/>
      <c r="H58"/>
      <c r="I58"/>
    </row>
    <row r="59" spans="2:14" x14ac:dyDescent="0.25">
      <c r="B59"/>
      <c r="C59"/>
      <c r="D59"/>
      <c r="E59"/>
      <c r="F59"/>
      <c r="G59"/>
      <c r="H59"/>
      <c r="I59"/>
    </row>
    <row r="60" spans="2:14" x14ac:dyDescent="0.25">
      <c r="B60"/>
      <c r="C60"/>
      <c r="D60"/>
      <c r="E60"/>
      <c r="F60"/>
      <c r="G60"/>
      <c r="H60"/>
      <c r="I60"/>
    </row>
    <row r="61" spans="2:14" x14ac:dyDescent="0.25">
      <c r="B61"/>
      <c r="C61"/>
      <c r="D61"/>
      <c r="E61"/>
      <c r="F61"/>
      <c r="G61"/>
      <c r="H61"/>
      <c r="I61"/>
    </row>
    <row r="62" spans="2:14" x14ac:dyDescent="0.25">
      <c r="B62"/>
      <c r="C62"/>
      <c r="D62"/>
      <c r="E62"/>
      <c r="F62"/>
      <c r="G62"/>
      <c r="H62"/>
      <c r="I62"/>
    </row>
    <row r="63" spans="2:14" x14ac:dyDescent="0.25">
      <c r="B63"/>
      <c r="C63"/>
      <c r="D63"/>
      <c r="E63"/>
      <c r="F63"/>
      <c r="G63"/>
      <c r="H63"/>
      <c r="I63"/>
    </row>
    <row r="64" spans="2:14" x14ac:dyDescent="0.25">
      <c r="B64"/>
      <c r="C64"/>
      <c r="D64"/>
      <c r="E64"/>
      <c r="F64"/>
      <c r="G64"/>
      <c r="H64"/>
      <c r="I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</sheetData>
  <mergeCells count="13">
    <mergeCell ref="A16:J16"/>
    <mergeCell ref="A13:J13"/>
    <mergeCell ref="A14:A15"/>
    <mergeCell ref="B14:C14"/>
    <mergeCell ref="D14:F14"/>
    <mergeCell ref="H14:I14"/>
    <mergeCell ref="J14:J15"/>
    <mergeCell ref="B12:D12"/>
    <mergeCell ref="A5:J5"/>
    <mergeCell ref="A6:J6"/>
    <mergeCell ref="A7:J7"/>
    <mergeCell ref="A8:J8"/>
    <mergeCell ref="B10:D10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6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2025-12-22T07:18:58Z</cp:lastPrinted>
  <dcterms:created xsi:type="dcterms:W3CDTF">2024-01-15T01:31:29Z</dcterms:created>
  <dcterms:modified xsi:type="dcterms:W3CDTF">2026-01-08T01:32:37Z</dcterms:modified>
</cp:coreProperties>
</file>