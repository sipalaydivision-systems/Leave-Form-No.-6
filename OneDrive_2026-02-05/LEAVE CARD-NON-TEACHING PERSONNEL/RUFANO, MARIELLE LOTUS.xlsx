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2CC043E6-E654-4CFD-9B8C-EAC070F864DF}" xr6:coauthVersionLast="47" xr6:coauthVersionMax="47" xr10:uidLastSave="{00000000-0000-0000-0000-000000000000}"/>
  <bookViews>
    <workbookView xWindow="-120" yWindow="-120" windowWidth="29040" windowHeight="15720" activeTab="1" xr2:uid="{C532281A-DA89-4ACA-8363-B39317021647}"/>
  </bookViews>
  <sheets>
    <sheet name="CORRECTED" sheetId="6" r:id="rId1"/>
    <sheet name="CTO (2)" sheetId="11" r:id="rId2"/>
    <sheet name="WRONG" sheetId="12" r:id="rId3"/>
    <sheet name="ELECTION" sheetId="8" r:id="rId4"/>
    <sheet name="CTO" sheetId="10" r:id="rId5"/>
    <sheet name="OTHER TYPES OF LEAVE" sheetId="9" r:id="rId6"/>
    <sheet name="Leave Card (NE)" sheetId="13" r:id="rId7"/>
  </sheets>
  <definedNames>
    <definedName name="_xlnm.Print_Area" localSheetId="0">CORRECTED!$A$1:$J$99</definedName>
    <definedName name="_xlnm.Print_Area" localSheetId="6">'Leave Card (NE)'!$A$1:$G$19</definedName>
    <definedName name="_xlnm.Print_Area" localSheetId="2">WRONG!$A$1:$J$86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1" i="6" l="1"/>
  <c r="I91" i="6"/>
  <c r="J91" i="6"/>
  <c r="H90" i="6"/>
  <c r="I90" i="6"/>
  <c r="G12" i="13"/>
  <c r="G13" i="13" s="1"/>
  <c r="H13" i="12"/>
  <c r="H14" i="12" s="1"/>
  <c r="C13" i="12"/>
  <c r="I13" i="12" s="1"/>
  <c r="I14" i="12" s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I29" i="12" s="1"/>
  <c r="I30" i="12" s="1"/>
  <c r="I31" i="12" s="1"/>
  <c r="I32" i="12" s="1"/>
  <c r="I33" i="12" s="1"/>
  <c r="I34" i="12" s="1"/>
  <c r="I35" i="12" s="1"/>
  <c r="I36" i="12" s="1"/>
  <c r="I37" i="12" s="1"/>
  <c r="I38" i="12" s="1"/>
  <c r="I39" i="12" s="1"/>
  <c r="I40" i="12" s="1"/>
  <c r="I41" i="12" s="1"/>
  <c r="I42" i="12" s="1"/>
  <c r="I43" i="12" s="1"/>
  <c r="I44" i="12" s="1"/>
  <c r="I45" i="12" s="1"/>
  <c r="I46" i="12" s="1"/>
  <c r="I47" i="12" s="1"/>
  <c r="I48" i="12" s="1"/>
  <c r="I49" i="12" s="1"/>
  <c r="I50" i="12" s="1"/>
  <c r="I51" i="12" s="1"/>
  <c r="I52" i="12" s="1"/>
  <c r="I53" i="12" s="1"/>
  <c r="I54" i="12" s="1"/>
  <c r="I55" i="12" s="1"/>
  <c r="I56" i="12" s="1"/>
  <c r="I57" i="12" s="1"/>
  <c r="I58" i="12" s="1"/>
  <c r="I59" i="12" s="1"/>
  <c r="I60" i="12" s="1"/>
  <c r="I61" i="12" s="1"/>
  <c r="I62" i="12" s="1"/>
  <c r="I63" i="12" s="1"/>
  <c r="I64" i="12" s="1"/>
  <c r="I65" i="12" s="1"/>
  <c r="I66" i="12" s="1"/>
  <c r="I67" i="12" s="1"/>
  <c r="I68" i="12" s="1"/>
  <c r="I69" i="12" s="1"/>
  <c r="I70" i="12" s="1"/>
  <c r="I71" i="12" s="1"/>
  <c r="I72" i="12" s="1"/>
  <c r="I73" i="12" s="1"/>
  <c r="I74" i="12" s="1"/>
  <c r="I75" i="12" s="1"/>
  <c r="I76" i="12" s="1"/>
  <c r="I77" i="12" s="1"/>
  <c r="I78" i="12" s="1"/>
  <c r="I79" i="12" s="1"/>
  <c r="I80" i="12" s="1"/>
  <c r="B13" i="12"/>
  <c r="J14" i="10"/>
  <c r="J90" i="6" l="1"/>
  <c r="H15" i="12"/>
  <c r="J14" i="12"/>
  <c r="J13" i="12"/>
  <c r="B13" i="6"/>
  <c r="H13" i="6" s="1"/>
  <c r="H14" i="6" s="1"/>
  <c r="H15" i="6" s="1"/>
  <c r="C13" i="6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H16" i="12" l="1"/>
  <c r="J15" i="12"/>
  <c r="H16" i="6"/>
  <c r="J15" i="6"/>
  <c r="J13" i="6"/>
  <c r="H17" i="12" l="1"/>
  <c r="J16" i="12"/>
  <c r="J16" i="6"/>
  <c r="H17" i="6"/>
  <c r="H18" i="6" s="1"/>
  <c r="J14" i="6"/>
  <c r="J18" i="6" l="1"/>
  <c r="H19" i="6"/>
  <c r="H18" i="12"/>
  <c r="J17" i="12"/>
  <c r="J17" i="6"/>
  <c r="H20" i="6" l="1"/>
  <c r="J19" i="6"/>
  <c r="H19" i="12"/>
  <c r="J18" i="12"/>
  <c r="J20" i="6" l="1"/>
  <c r="H21" i="6"/>
  <c r="H20" i="12"/>
  <c r="J19" i="12"/>
  <c r="J21" i="6" l="1"/>
  <c r="H22" i="6"/>
  <c r="J20" i="12"/>
  <c r="H21" i="12"/>
  <c r="J22" i="6" l="1"/>
  <c r="H23" i="6"/>
  <c r="H22" i="12"/>
  <c r="J21" i="12"/>
  <c r="J23" i="6" l="1"/>
  <c r="H24" i="6"/>
  <c r="J22" i="12"/>
  <c r="H23" i="12"/>
  <c r="J24" i="6" l="1"/>
  <c r="H25" i="6"/>
  <c r="H24" i="12"/>
  <c r="J23" i="12"/>
  <c r="J25" i="6" l="1"/>
  <c r="H26" i="6"/>
  <c r="H25" i="12"/>
  <c r="J24" i="12"/>
  <c r="J26" i="6" l="1"/>
  <c r="H27" i="6"/>
  <c r="H26" i="12"/>
  <c r="J25" i="12"/>
  <c r="H28" i="6" l="1"/>
  <c r="J27" i="6"/>
  <c r="J26" i="12"/>
  <c r="H27" i="12"/>
  <c r="J28" i="6" l="1"/>
  <c r="H29" i="6"/>
  <c r="H28" i="12"/>
  <c r="J27" i="12"/>
  <c r="J29" i="6" l="1"/>
  <c r="H30" i="6"/>
  <c r="J28" i="12"/>
  <c r="H29" i="12"/>
  <c r="J30" i="6" l="1"/>
  <c r="H31" i="6"/>
  <c r="H30" i="12"/>
  <c r="J29" i="12"/>
  <c r="J31" i="6" l="1"/>
  <c r="H32" i="6"/>
  <c r="H31" i="12"/>
  <c r="J30" i="12"/>
  <c r="J32" i="6" l="1"/>
  <c r="H33" i="6"/>
  <c r="H32" i="12"/>
  <c r="J31" i="12"/>
  <c r="J33" i="6" l="1"/>
  <c r="H34" i="6"/>
  <c r="H33" i="12"/>
  <c r="J32" i="12"/>
  <c r="J34" i="6" l="1"/>
  <c r="H35" i="6"/>
  <c r="H34" i="12"/>
  <c r="J33" i="12"/>
  <c r="H36" i="6" l="1"/>
  <c r="J35" i="6"/>
  <c r="J34" i="12"/>
  <c r="H35" i="12"/>
  <c r="J36" i="6" l="1"/>
  <c r="H37" i="6"/>
  <c r="H36" i="12"/>
  <c r="J35" i="12"/>
  <c r="H38" i="6" l="1"/>
  <c r="J37" i="6"/>
  <c r="H37" i="12"/>
  <c r="J36" i="12"/>
  <c r="J38" i="6" l="1"/>
  <c r="H39" i="6"/>
  <c r="H38" i="12"/>
  <c r="J37" i="12"/>
  <c r="H40" i="6" l="1"/>
  <c r="J39" i="6"/>
  <c r="J38" i="12"/>
  <c r="H39" i="12"/>
  <c r="J40" i="6" l="1"/>
  <c r="H41" i="6"/>
  <c r="H40" i="12"/>
  <c r="J39" i="12"/>
  <c r="J41" i="6" l="1"/>
  <c r="H42" i="6"/>
  <c r="H41" i="12"/>
  <c r="J40" i="12"/>
  <c r="J42" i="6" l="1"/>
  <c r="H43" i="6"/>
  <c r="H42" i="12"/>
  <c r="J41" i="12"/>
  <c r="J43" i="6" l="1"/>
  <c r="H44" i="6"/>
  <c r="J42" i="12"/>
  <c r="H43" i="12"/>
  <c r="J44" i="6" l="1"/>
  <c r="H45" i="6"/>
  <c r="H44" i="12"/>
  <c r="J43" i="12"/>
  <c r="J45" i="6" l="1"/>
  <c r="H46" i="6"/>
  <c r="H45" i="12"/>
  <c r="J44" i="12"/>
  <c r="H47" i="6" l="1"/>
  <c r="J46" i="6"/>
  <c r="H46" i="12"/>
  <c r="J45" i="12"/>
  <c r="J47" i="6" l="1"/>
  <c r="H48" i="6"/>
  <c r="J46" i="12"/>
  <c r="H47" i="12"/>
  <c r="J48" i="6" l="1"/>
  <c r="H49" i="6"/>
  <c r="H48" i="12"/>
  <c r="J47" i="12"/>
  <c r="J49" i="6" l="1"/>
  <c r="H50" i="6"/>
  <c r="H49" i="12"/>
  <c r="J48" i="12"/>
  <c r="J50" i="6" l="1"/>
  <c r="H51" i="6"/>
  <c r="H50" i="12"/>
  <c r="J49" i="12"/>
  <c r="H52" i="6" l="1"/>
  <c r="J51" i="6"/>
  <c r="H51" i="12"/>
  <c r="J50" i="12"/>
  <c r="J52" i="6" l="1"/>
  <c r="H53" i="6"/>
  <c r="H52" i="12"/>
  <c r="J51" i="12"/>
  <c r="J53" i="6" l="1"/>
  <c r="H54" i="6"/>
  <c r="H53" i="12"/>
  <c r="J52" i="12"/>
  <c r="J54" i="6" l="1"/>
  <c r="H55" i="6"/>
  <c r="H54" i="12"/>
  <c r="J53" i="12"/>
  <c r="J55" i="6" l="1"/>
  <c r="H56" i="6"/>
  <c r="H55" i="12"/>
  <c r="J54" i="12"/>
  <c r="H57" i="6" l="1"/>
  <c r="J56" i="6"/>
  <c r="H56" i="12"/>
  <c r="J55" i="12"/>
  <c r="H58" i="6" l="1"/>
  <c r="J57" i="6"/>
  <c r="H57" i="12"/>
  <c r="J56" i="12"/>
  <c r="H59" i="6" l="1"/>
  <c r="J58" i="6"/>
  <c r="H58" i="12"/>
  <c r="J57" i="12"/>
  <c r="J59" i="6" l="1"/>
  <c r="H60" i="6"/>
  <c r="J58" i="12"/>
  <c r="H59" i="12"/>
  <c r="J60" i="6" l="1"/>
  <c r="H61" i="6"/>
  <c r="H60" i="12"/>
  <c r="J59" i="12"/>
  <c r="J61" i="6" l="1"/>
  <c r="H62" i="6"/>
  <c r="H61" i="12"/>
  <c r="J60" i="12"/>
  <c r="J62" i="6" l="1"/>
  <c r="H63" i="6"/>
  <c r="H62" i="12"/>
  <c r="J61" i="12"/>
  <c r="H64" i="6" l="1"/>
  <c r="J63" i="6"/>
  <c r="H63" i="12"/>
  <c r="J62" i="12"/>
  <c r="J64" i="6" l="1"/>
  <c r="H65" i="6"/>
  <c r="H64" i="12"/>
  <c r="J63" i="12"/>
  <c r="J65" i="6" l="1"/>
  <c r="H66" i="6"/>
  <c r="H65" i="12"/>
  <c r="J64" i="12"/>
  <c r="J66" i="6" l="1"/>
  <c r="H67" i="6"/>
  <c r="H66" i="12"/>
  <c r="J65" i="12"/>
  <c r="J67" i="6" l="1"/>
  <c r="H68" i="6"/>
  <c r="H67" i="12"/>
  <c r="J66" i="12"/>
  <c r="J68" i="6" l="1"/>
  <c r="H69" i="6"/>
  <c r="H68" i="12"/>
  <c r="J67" i="12"/>
  <c r="H70" i="6" l="1"/>
  <c r="J69" i="6"/>
  <c r="H69" i="12"/>
  <c r="J68" i="12"/>
  <c r="J70" i="6" l="1"/>
  <c r="H71" i="6"/>
  <c r="H70" i="12"/>
  <c r="J69" i="12"/>
  <c r="J71" i="6" l="1"/>
  <c r="H72" i="6"/>
  <c r="H71" i="12"/>
  <c r="J70" i="12"/>
  <c r="J72" i="6" l="1"/>
  <c r="H73" i="6"/>
  <c r="H72" i="12"/>
  <c r="J71" i="12"/>
  <c r="J73" i="6" l="1"/>
  <c r="H74" i="6"/>
  <c r="H73" i="12"/>
  <c r="J72" i="12"/>
  <c r="H75" i="6" l="1"/>
  <c r="J74" i="6"/>
  <c r="H74" i="12"/>
  <c r="J73" i="12"/>
  <c r="H76" i="6" l="1"/>
  <c r="J75" i="6"/>
  <c r="J74" i="12"/>
  <c r="H75" i="12"/>
  <c r="J76" i="6" l="1"/>
  <c r="H77" i="6"/>
  <c r="H76" i="12"/>
  <c r="J75" i="12"/>
  <c r="H78" i="6" l="1"/>
  <c r="J77" i="6"/>
  <c r="H77" i="12"/>
  <c r="J76" i="12"/>
  <c r="H79" i="6" l="1"/>
  <c r="J78" i="6"/>
  <c r="H78" i="12"/>
  <c r="J77" i="12"/>
  <c r="H80" i="6" l="1"/>
  <c r="J79" i="6"/>
  <c r="J78" i="12"/>
  <c r="H79" i="12"/>
  <c r="H81" i="6" l="1"/>
  <c r="J80" i="6"/>
  <c r="H80" i="12"/>
  <c r="J80" i="12" s="1"/>
  <c r="J79" i="12"/>
  <c r="J81" i="6" l="1"/>
  <c r="H82" i="6"/>
  <c r="H83" i="6" l="1"/>
  <c r="J82" i="6"/>
  <c r="J83" i="6" l="1"/>
  <c r="H84" i="6"/>
  <c r="J84" i="6" l="1"/>
  <c r="H85" i="6"/>
  <c r="H86" i="6" l="1"/>
  <c r="J85" i="6"/>
  <c r="J86" i="6" l="1"/>
  <c r="H87" i="6"/>
  <c r="H88" i="6" l="1"/>
  <c r="J87" i="6"/>
  <c r="J88" i="6" l="1"/>
  <c r="H89" i="6"/>
  <c r="J89" i="6" s="1"/>
</calcChain>
</file>

<file path=xl/sharedStrings.xml><?xml version="1.0" encoding="utf-8"?>
<sst xmlns="http://schemas.openxmlformats.org/spreadsheetml/2006/main" count="354" uniqueCount="180">
  <si>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</si>
  <si>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</si>
  <si>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</si>
  <si>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</si>
  <si>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</si>
  <si>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</si>
  <si>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</si>
  <si>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</si>
  <si>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</si>
  <si>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</si>
  <si>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</si>
  <si>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ADD: 4/19/2021 - 4/30/2021</t>
  </si>
  <si>
    <t>ADD: 5/01/2021 - 08/31/2021</t>
  </si>
  <si>
    <t>ADD: 09/01/2021 - 11/30/2021</t>
  </si>
  <si>
    <t>LESS:12/07(.5), 15(.5), 24(.5) &amp; 29/2021</t>
  </si>
  <si>
    <t>ADD: 01/01/2022 - 02/28/2022</t>
  </si>
  <si>
    <t>LESS: 03/18/2022</t>
  </si>
  <si>
    <t>LESS: 08/11 &amp; 12/2022</t>
  </si>
  <si>
    <t>LESS: 08/15,16 &amp; 17/2022</t>
  </si>
  <si>
    <t>LESS: 05/05/2022</t>
  </si>
  <si>
    <t>ADD: 12/01/2021 - 12/31/2021</t>
  </si>
  <si>
    <t>ADD: 03/01/2022 - 04/30/2022</t>
  </si>
  <si>
    <t>ADD: 05/01/22 - 05/31/22</t>
  </si>
  <si>
    <t>ADD: 06/01/22 - 07/31/22</t>
  </si>
  <si>
    <t>ADD: 08/01/2022 - 08/31/2022</t>
  </si>
  <si>
    <t>LESS: MONETIZATION 2022</t>
  </si>
  <si>
    <t>ADD: 09/01/2022 - 09/30/2022</t>
  </si>
  <si>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</si>
  <si>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</si>
  <si>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</si>
  <si>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</si>
  <si>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</si>
  <si>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: __________</t>
  </si>
  <si>
    <t>STATION CODE    : __________</t>
  </si>
  <si>
    <t>DIVISION CODE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</si>
  <si>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</si>
  <si>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</si>
  <si>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</si>
  <si>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</si>
  <si>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No. of Days Granted</t>
  </si>
  <si>
    <t>No. of Days Used</t>
  </si>
  <si>
    <t>Balance</t>
  </si>
  <si>
    <t>NAME          :  RUFANO, MARIELLE LOTUS</t>
  </si>
  <si>
    <t>POSITION   : ADA VI</t>
  </si>
  <si>
    <t>SCHOOL/OFFICE : OSDS</t>
  </si>
  <si>
    <t>SO # 051, S. 2022, DATED MAY 09, 2022</t>
  </si>
  <si>
    <t>ADD: 05/09/2022</t>
  </si>
  <si>
    <t>MAY 09, 2022, NATIONAL AND LOCAL ELECTION</t>
  </si>
  <si>
    <t>LESS: 11/17/2022</t>
  </si>
  <si>
    <t>ADD: 10/01/2022 - 10/31/2022</t>
  </si>
  <si>
    <t>LESS: 12/05/22</t>
  </si>
  <si>
    <t>ADD: 11/01-30/2022</t>
  </si>
  <si>
    <t>ADD: 12/01-31/2022</t>
  </si>
  <si>
    <t>NAME          : _____________________</t>
  </si>
  <si>
    <t>EMPLOYEE NO     : __________</t>
  </si>
  <si>
    <t>SCHOOL/OFFICE   : _______________________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</si>
  <si>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</si>
  <si>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</si>
  <si>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</si>
  <si>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</si>
  <si>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</si>
  <si>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</si>
  <si>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</si>
  <si>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</si>
  <si>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</si>
  <si>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</si>
  <si>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</si>
  <si>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</si>
  <si>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LESS:01/18/2023</t>
  </si>
  <si>
    <t>ADD: 01/01-31/2023</t>
  </si>
  <si>
    <t>LESS: 03/23 &amp; 24/23</t>
  </si>
  <si>
    <t>LESS: 03/27/23</t>
  </si>
  <si>
    <t>LESS: 02/08(AM) &amp; 20(AM)/2023</t>
  </si>
  <si>
    <t>ADD: 02/01/2023 - 03/31/2023</t>
  </si>
  <si>
    <t>LESS: 03/28 &amp; 30(AM)/2023</t>
  </si>
  <si>
    <t>Name: _____________________________</t>
  </si>
  <si>
    <t>DISTRICT: ___________________________</t>
  </si>
  <si>
    <t>POSITION: __________________________</t>
  </si>
  <si>
    <t>SCHOOL/OFFICE:_____________________</t>
  </si>
  <si>
    <t>COMPENSATORY TIME OFF (CTO)</t>
  </si>
  <si>
    <t>Special Order No. and Date Issued</t>
  </si>
  <si>
    <t>ADD: JAN 18, 2023</t>
  </si>
  <si>
    <t>S.O. # 001, S. 2023. 126TH ANNIVERSARY OF THE MARTYRDOM OF DR. JOSE P. RIZAL</t>
  </si>
  <si>
    <t>NOTE:  Valid for one (1) year only</t>
  </si>
  <si>
    <t>Certified Correct:</t>
  </si>
  <si>
    <t>MA. LUISA B. CATIGAN</t>
  </si>
  <si>
    <t>Administrative Officer IV</t>
  </si>
  <si>
    <t>HRMO</t>
  </si>
  <si>
    <t>LESS: 05/10/23</t>
  </si>
  <si>
    <t>ADD: 04/01/2023 - 04/30/2023</t>
  </si>
  <si>
    <t>LESS: 05/18 (PM)/2023</t>
  </si>
  <si>
    <t>LESS: 05/12/2023</t>
  </si>
  <si>
    <t>ADD: 05/01/2023 - 06/30/2023</t>
  </si>
  <si>
    <t>LESS: 06/21/2023</t>
  </si>
  <si>
    <t>LESS: 07/07/2023</t>
  </si>
  <si>
    <t>LESS: 07/11/2023</t>
  </si>
  <si>
    <t>LESS: 07/31/2023</t>
  </si>
  <si>
    <t>SPECIAL</t>
  </si>
  <si>
    <t>LESS: 06/28 &amp; 29/2022</t>
  </si>
  <si>
    <t>LESS: 09/13/22</t>
  </si>
  <si>
    <t>ADD: 07/01/2023 - 08/31/2023</t>
  </si>
  <si>
    <t>LESS: 08/17/2023</t>
  </si>
  <si>
    <t>LESS: 08/18/2023</t>
  </si>
  <si>
    <t>LESS: 08/09/2023</t>
  </si>
  <si>
    <t>LESS: 08/04/2023</t>
  </si>
  <si>
    <t>ADD:009/01/2023-09/30/2023</t>
  </si>
  <si>
    <t>LESS:09/22/2023</t>
  </si>
  <si>
    <t>LESS: MONETIZATION 2023</t>
  </si>
  <si>
    <t>LESS: 10/11/2023</t>
  </si>
  <si>
    <t>LESS: UNDERTIME 10/06/2023 (PM)</t>
  </si>
  <si>
    <t>ADD: 10/01/2023-10/31/2023</t>
  </si>
  <si>
    <t>LESS: 10/27/2023</t>
  </si>
  <si>
    <t>ADD: 11/01/2023-11/30/2023</t>
  </si>
  <si>
    <t>LESS: 12/28-29/2023</t>
  </si>
  <si>
    <t>LESS: 11/03/2023</t>
  </si>
  <si>
    <t>ADD: 10/17/2023</t>
  </si>
  <si>
    <t>S.O. # 159, S. 2023. 125TH PHILIPPINE INDEPENDENCE DAY CELEBRATION</t>
  </si>
  <si>
    <t>ADD: 12/01/2023-12/31/2023</t>
  </si>
  <si>
    <t>LESS: 12/27/2023</t>
  </si>
  <si>
    <t>LESS: 01/05/2024</t>
  </si>
  <si>
    <t>LESS:01/03/2024</t>
  </si>
  <si>
    <t>ADD: 01/01/2024-01/31/2024</t>
  </si>
  <si>
    <t>LESS: 02/19-20/2024</t>
  </si>
  <si>
    <t>LESS: 02/21/2024</t>
  </si>
  <si>
    <t>ADD: 02/1/2024-04/30/2024</t>
  </si>
  <si>
    <t>LESS: 05/14/2024</t>
  </si>
  <si>
    <t>ADD: MAY 20, 2024-MAY 20, 2025</t>
  </si>
  <si>
    <t>SO# 015, S. 2024 PALARONG PANLALAWIGAN 2024</t>
  </si>
  <si>
    <t>LESS: 06/7/2024</t>
  </si>
  <si>
    <t>LESS: 06/27/2024</t>
  </si>
  <si>
    <t>ADD: 05/1/2024 - 06/30/2024</t>
  </si>
  <si>
    <t>LESS: MANDATORY FORCED LEAVE 2023</t>
  </si>
  <si>
    <t>SO # 010, S. 2024</t>
  </si>
  <si>
    <t>ADD: JUNE 26, 2024</t>
  </si>
  <si>
    <t>OCT. 30, 2023</t>
  </si>
  <si>
    <t>LESS: JULY 1-5, 2024</t>
  </si>
  <si>
    <t>LESS: FL 2021</t>
  </si>
  <si>
    <t>LESS: 08/15/2024</t>
  </si>
  <si>
    <t>LESS: 08/13-14/2024</t>
  </si>
  <si>
    <t>LESS: 10/09/2024</t>
  </si>
  <si>
    <t>ADD: 07/1-31/2024</t>
  </si>
  <si>
    <t>ADD: 08/1/2024-09/30/2024</t>
  </si>
  <si>
    <t>ADD: 10/1/2024-11/30/2024</t>
  </si>
  <si>
    <t>LESS: MONETIZATION 2024</t>
  </si>
  <si>
    <t>LESS: 12/9/2024</t>
  </si>
  <si>
    <t>LESS:12/07, 15, 24 &amp; 29/2021</t>
  </si>
  <si>
    <t>Name       :</t>
  </si>
  <si>
    <t>RUFANO, MARIELLE LOTUS</t>
  </si>
  <si>
    <t>POSITION:</t>
  </si>
  <si>
    <t>ADA VI</t>
  </si>
  <si>
    <t>SPECIAL ORDER LEAVE CREDITS</t>
  </si>
  <si>
    <t>DATE</t>
  </si>
  <si>
    <t>SPECIAL ORDER NUMBER</t>
  </si>
  <si>
    <t>DETAILS</t>
  </si>
  <si>
    <t># OF DAYS GRANTED</t>
  </si>
  <si>
    <t># OF DAYS UTILIZED</t>
  </si>
  <si>
    <t>S.O. #052, s. 2022, dated May 13, 2022</t>
  </si>
  <si>
    <t>124TH PHILIPPINE INDEPENDENCE DAY CELEBRATION</t>
  </si>
  <si>
    <t>Total Remaining Balance</t>
  </si>
  <si>
    <t>CERTIFIED CORRECT:</t>
  </si>
  <si>
    <t>ADD: 12/1-31/2024</t>
  </si>
  <si>
    <t>ADD: 01/1-31/2025</t>
  </si>
  <si>
    <t>LESS: 02/6/2025</t>
  </si>
  <si>
    <t>ADD: 02/1/2025-03/31/2025</t>
  </si>
  <si>
    <t>LESS: 05/23 &amp; 26/2025</t>
  </si>
  <si>
    <t>LESS: 07/16-17/2025</t>
  </si>
  <si>
    <t>ADD: 02/5/2025</t>
  </si>
  <si>
    <t>S.O. #002, S. 2025. RIZAL DAY 2024</t>
  </si>
  <si>
    <t>ADD: 04/1/2025-05/31/2025</t>
  </si>
  <si>
    <t>LESS: 11/21/2025</t>
  </si>
  <si>
    <t>ADD: 09/01/2023-09/30/2023</t>
  </si>
  <si>
    <t>LESS: FORCED LEAVE 2023</t>
  </si>
  <si>
    <t>LESS: FORCED LEAVE 2024</t>
  </si>
  <si>
    <t>ADD: 07/1/2025</t>
  </si>
  <si>
    <t>S.O. # 044, S. 2025. 127TH PHILIPPINE INDEPENDENCE DAY CELEBRATION</t>
  </si>
  <si>
    <t>LESS: 11/24/2025</t>
  </si>
  <si>
    <t>ORIGINAL LEAVE IS JULY 18 (WORK SUSPENSION)</t>
  </si>
  <si>
    <t>ADD: 06/1/2025-07/31/2025</t>
  </si>
  <si>
    <t>LESS: 08/13-14/2025</t>
  </si>
  <si>
    <t>LESS: 08/22/2025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</si>
</sst>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mmmm\ d\,\ yyyy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1" fillId="0" borderId="0"/>
  </cellStyleXfs>
  <cellXfs count="188">
    <xf numFmtId="0" fontId="0" fillId="0" borderId="0" xfId="0"/>
    <xf numFmtId="0" fontId="0" fillId="2" borderId="0" xfId="0" applyFill="1"/>
    <xf numFmtId="164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164" fontId="3" fillId="2" borderId="3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6" xfId="0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9" fillId="0" borderId="0" xfId="0" applyFont="1"/>
    <xf numFmtId="0" fontId="0" fillId="2" borderId="10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0" fillId="0" borderId="0" xfId="0" applyFont="1"/>
    <xf numFmtId="0" fontId="10" fillId="2" borderId="0" xfId="0" applyFont="1" applyFill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0" fontId="11" fillId="2" borderId="0" xfId="1" applyFill="1"/>
    <xf numFmtId="0" fontId="1" fillId="2" borderId="0" xfId="1" applyFont="1" applyFill="1" applyAlignment="1">
      <alignment vertical="center"/>
    </xf>
    <xf numFmtId="0" fontId="1" fillId="2" borderId="6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6" xfId="1" applyFont="1" applyFill="1" applyBorder="1" applyAlignment="1">
      <alignment vertical="center"/>
    </xf>
    <xf numFmtId="0" fontId="11" fillId="0" borderId="0" xfId="1"/>
    <xf numFmtId="0" fontId="13" fillId="0" borderId="0" xfId="1" applyFont="1"/>
    <xf numFmtId="0" fontId="0" fillId="2" borderId="10" xfId="1" applyFont="1" applyFill="1" applyBorder="1" applyAlignment="1">
      <alignment horizontal="center" vertical="center" wrapText="1"/>
    </xf>
    <xf numFmtId="0" fontId="11" fillId="2" borderId="3" xfId="1" applyFill="1" applyBorder="1" applyAlignment="1">
      <alignment horizontal="center" vertical="center" wrapText="1"/>
    </xf>
    <xf numFmtId="0" fontId="11" fillId="7" borderId="3" xfId="1" applyFill="1" applyBorder="1" applyAlignment="1">
      <alignment horizontal="center" vertical="center" wrapText="1"/>
    </xf>
    <xf numFmtId="0" fontId="15" fillId="0" borderId="0" xfId="1" applyFont="1"/>
    <xf numFmtId="0" fontId="11" fillId="0" borderId="0" xfId="1" applyAlignment="1">
      <alignment vertical="center"/>
    </xf>
    <xf numFmtId="0" fontId="14" fillId="2" borderId="0" xfId="1" applyFont="1" applyFill="1" applyAlignment="1">
      <alignment horizontal="center" vertical="center" wrapText="1"/>
    </xf>
    <xf numFmtId="0" fontId="11" fillId="2" borderId="0" xfId="1" applyFill="1" applyAlignment="1">
      <alignment horizontal="center" vertical="center" wrapText="1"/>
    </xf>
    <xf numFmtId="0" fontId="11" fillId="2" borderId="0" xfId="1" applyFill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3" fillId="2" borderId="13" xfId="0" applyNumberFormat="1" applyFont="1" applyFill="1" applyBorder="1" applyAlignment="1">
      <alignment horizontal="center" vertical="center"/>
    </xf>
    <xf numFmtId="164" fontId="4" fillId="2" borderId="30" xfId="0" applyNumberFormat="1" applyFont="1" applyFill="1" applyBorder="1" applyAlignment="1">
      <alignment horizontal="center" vertical="center" wrapText="1"/>
    </xf>
    <xf numFmtId="164" fontId="3" fillId="2" borderId="30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1" applyFont="1" applyFill="1" applyBorder="1" applyAlignment="1">
      <alignment horizontal="center" vertical="center" wrapText="1"/>
    </xf>
    <xf numFmtId="0" fontId="11" fillId="7" borderId="1" xfId="1" applyFill="1" applyBorder="1" applyAlignment="1">
      <alignment horizontal="center" vertical="center" wrapText="1"/>
    </xf>
    <xf numFmtId="0" fontId="11" fillId="2" borderId="1" xfId="1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 wrapText="1"/>
    </xf>
    <xf numFmtId="0" fontId="10" fillId="0" borderId="1" xfId="0" applyFont="1" applyBorder="1"/>
    <xf numFmtId="164" fontId="3" fillId="2" borderId="0" xfId="0" applyNumberFormat="1" applyFont="1" applyFill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30" xfId="0" applyFill="1" applyBorder="1" applyAlignment="1">
      <alignment horizontal="center" vertical="center"/>
    </xf>
    <xf numFmtId="0" fontId="0" fillId="0" borderId="10" xfId="1" applyFont="1" applyBorder="1" applyAlignment="1">
      <alignment horizontal="center" vertical="center" wrapText="1"/>
    </xf>
    <xf numFmtId="0" fontId="11" fillId="0" borderId="3" xfId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11" fillId="0" borderId="1" xfId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1" fillId="13" borderId="1" xfId="1" applyFill="1" applyBorder="1" applyAlignment="1">
      <alignment horizontal="center" vertical="center" wrapText="1"/>
    </xf>
    <xf numFmtId="0" fontId="18" fillId="0" borderId="0" xfId="1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164" fontId="3" fillId="13" borderId="1" xfId="0" applyNumberFormat="1" applyFont="1" applyFill="1" applyBorder="1" applyAlignment="1">
      <alignment horizontal="center" vertical="center"/>
    </xf>
    <xf numFmtId="14" fontId="0" fillId="13" borderId="12" xfId="0" applyNumberForma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164" fontId="1" fillId="13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2" borderId="6" xfId="0" applyFill="1" applyBorder="1"/>
    <xf numFmtId="0" fontId="0" fillId="2" borderId="0" xfId="0" applyFill="1" applyAlignment="1">
      <alignment horizontal="right"/>
    </xf>
    <xf numFmtId="0" fontId="1" fillId="2" borderId="6" xfId="0" applyFont="1" applyFill="1" applyBorder="1"/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" fontId="3" fillId="2" borderId="30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1" fontId="19" fillId="2" borderId="39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0" xfId="1" applyFont="1"/>
    <xf numFmtId="0" fontId="1" fillId="6" borderId="8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1" fillId="0" borderId="0" xfId="1" applyAlignment="1">
      <alignment horizontal="center" vertical="center"/>
    </xf>
    <xf numFmtId="0" fontId="14" fillId="0" borderId="17" xfId="1" applyFont="1" applyBorder="1" applyAlignment="1">
      <alignment horizontal="center" vertical="center" wrapText="1"/>
    </xf>
    <xf numFmtId="0" fontId="14" fillId="0" borderId="18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5" fillId="2" borderId="0" xfId="1" applyFont="1" applyFill="1" applyAlignment="1">
      <alignment horizontal="center" vertical="center"/>
    </xf>
    <xf numFmtId="0" fontId="8" fillId="2" borderId="17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11" fillId="2" borderId="0" xfId="1" applyFill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12" fillId="8" borderId="8" xfId="1" applyFont="1" applyFill="1" applyBorder="1" applyAlignment="1">
      <alignment horizontal="center" vertical="center"/>
    </xf>
    <xf numFmtId="0" fontId="12" fillId="8" borderId="10" xfId="1" applyFont="1" applyFill="1" applyBorder="1" applyAlignment="1">
      <alignment horizontal="center" vertical="center"/>
    </xf>
    <xf numFmtId="0" fontId="12" fillId="10" borderId="27" xfId="1" applyFont="1" applyFill="1" applyBorder="1" applyAlignment="1">
      <alignment horizontal="center" vertical="center"/>
    </xf>
    <xf numFmtId="0" fontId="12" fillId="10" borderId="28" xfId="1" applyFont="1" applyFill="1" applyBorder="1" applyAlignment="1">
      <alignment horizontal="center" vertical="center"/>
    </xf>
    <xf numFmtId="0" fontId="12" fillId="8" borderId="14" xfId="1" applyFont="1" applyFill="1" applyBorder="1" applyAlignment="1">
      <alignment horizontal="center" vertical="center"/>
    </xf>
    <xf numFmtId="0" fontId="12" fillId="8" borderId="5" xfId="1" applyFont="1" applyFill="1" applyBorder="1" applyAlignment="1">
      <alignment horizontal="center" vertical="center"/>
    </xf>
    <xf numFmtId="0" fontId="14" fillId="9" borderId="17" xfId="1" applyFont="1" applyFill="1" applyBorder="1" applyAlignment="1">
      <alignment horizontal="center" vertical="center" wrapText="1"/>
    </xf>
    <xf numFmtId="0" fontId="14" fillId="9" borderId="18" xfId="1" applyFont="1" applyFill="1" applyBorder="1" applyAlignment="1">
      <alignment horizontal="center" vertical="center" wrapText="1"/>
    </xf>
    <xf numFmtId="0" fontId="14" fillId="9" borderId="13" xfId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9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 wrapText="1"/>
    </xf>
    <xf numFmtId="0" fontId="7" fillId="8" borderId="21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8" fillId="9" borderId="20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8" fillId="9" borderId="22" xfId="0" applyFont="1" applyFill="1" applyBorder="1" applyAlignment="1">
      <alignment horizontal="center" vertical="center" wrapText="1"/>
    </xf>
    <xf numFmtId="0" fontId="8" fillId="9" borderId="23" xfId="0" applyFont="1" applyFill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/>
    </xf>
    <xf numFmtId="0" fontId="7" fillId="8" borderId="2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14" fillId="2" borderId="17" xfId="1" applyFont="1" applyFill="1" applyBorder="1" applyAlignment="1">
      <alignment horizontal="center" vertical="center" wrapText="1"/>
    </xf>
    <xf numFmtId="0" fontId="14" fillId="2" borderId="13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4" fillId="2" borderId="18" xfId="1" applyFont="1" applyFill="1" applyBorder="1" applyAlignment="1">
      <alignment horizontal="center" vertical="center" wrapText="1"/>
    </xf>
    <xf numFmtId="0" fontId="11" fillId="0" borderId="0" xfId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 wrapText="1"/>
    </xf>
    <xf numFmtId="165" fontId="0" fillId="0" borderId="13" xfId="0" applyNumberFormat="1" applyBorder="1" applyAlignment="1">
      <alignment horizontal="center" vertical="center" wrapText="1"/>
    </xf>
    <xf numFmtId="0" fontId="19" fillId="0" borderId="36" xfId="0" applyFont="1" applyBorder="1" applyAlignment="1">
      <alignment horizontal="right" vertical="center"/>
    </xf>
    <xf numFmtId="0" fontId="19" fillId="0" borderId="37" xfId="0" applyFont="1" applyBorder="1" applyAlignment="1">
      <alignment horizontal="right" vertical="center"/>
    </xf>
    <xf numFmtId="0" fontId="19" fillId="0" borderId="38" xfId="0" applyFont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2">
    <cellStyle name="Normal" xfId="0" builtinId="0"/>
    <cellStyle name="Normal 2 2" xfId="1" xr:uid="{41AC2902-1387-456B-B591-2DA7B13B86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311975</xdr:colOff>
      <xdr:row>0</xdr:row>
      <xdr:rowOff>140876</xdr:rowOff>
    </xdr:from>
    <xdr:to>
      <xdr:col>4</xdr:col>
      <xdr:colOff>362668</xdr:colOff>
      <xdr:row>1</xdr:row>
      <xdr:rowOff>4586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0632" y="140876"/>
          <a:ext cx="862082" cy="528108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2E74824-5DF8-4DD2-8760-78C7EE6A5B69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RUFANO, MARIELLE</a:t>
          </a:r>
          <a:r>
            <a:rPr lang="en-US" sz="1100" baseline="0"/>
            <a:t> LOTUS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FA57EE2-FA77-4B27-90B6-0801A27CFBDD}"/>
            </a:ext>
          </a:extLst>
        </xdr:cNvPr>
        <xdr:cNvSpPr txBox="1"/>
      </xdr:nvSpPr>
      <xdr:spPr>
        <a:xfrm>
          <a:off x="616683" y="1724757"/>
          <a:ext cx="20087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PDO 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475761B-0AE8-4788-B4BD-32B3E6534470}"/>
            </a:ext>
          </a:extLst>
        </xdr:cNvPr>
        <xdr:cNvSpPr txBox="1"/>
      </xdr:nvSpPr>
      <xdr:spPr>
        <a:xfrm>
          <a:off x="39775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CARTAGENA 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5669</xdr:colOff>
      <xdr:row>0</xdr:row>
      <xdr:rowOff>57378</xdr:rowOff>
    </xdr:from>
    <xdr:to>
      <xdr:col>5</xdr:col>
      <xdr:colOff>97517</xdr:colOff>
      <xdr:row>1</xdr:row>
      <xdr:rowOff>5669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7ACB19-39EF-444C-BC98-7DA65700DDF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7119" y="57378"/>
          <a:ext cx="672873" cy="61504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4C8E18F-E3AC-4E2D-8CC2-95D310AA8FAA}"/>
            </a:ext>
          </a:extLst>
        </xdr:cNvPr>
        <xdr:cNvSpPr txBox="1"/>
      </xdr:nvSpPr>
      <xdr:spPr>
        <a:xfrm>
          <a:off x="573942" y="1371111"/>
          <a:ext cx="2248633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RUFANO, MARIELLE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LOTUS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81A1B3C-6AEB-453C-98FE-E9896FD8B9B4}"/>
            </a:ext>
          </a:extLst>
        </xdr:cNvPr>
        <xdr:cNvSpPr txBox="1"/>
      </xdr:nvSpPr>
      <xdr:spPr>
        <a:xfrm>
          <a:off x="654051" y="167640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</a:t>
          </a:r>
          <a:r>
            <a:rPr lang="en-US" sz="1100" baseline="0"/>
            <a:t> VI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4C7E44-1F50-41A7-A8CC-AA40CDCD0F08}"/>
            </a:ext>
          </a:extLst>
        </xdr:cNvPr>
        <xdr:cNvSpPr txBox="1"/>
      </xdr:nvSpPr>
      <xdr:spPr>
        <a:xfrm>
          <a:off x="3927248" y="1699760"/>
          <a:ext cx="10985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311975</xdr:colOff>
      <xdr:row>0</xdr:row>
      <xdr:rowOff>140876</xdr:rowOff>
    </xdr:from>
    <xdr:to>
      <xdr:col>4</xdr:col>
      <xdr:colOff>362668</xdr:colOff>
      <xdr:row>1</xdr:row>
      <xdr:rowOff>4586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EFDCF0-3983-4FC8-9277-CA084F5C6F3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3900" y="140876"/>
          <a:ext cx="822218" cy="53046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399629-4DF3-440C-BA97-F0F27374D99A}"/>
            </a:ext>
          </a:extLst>
        </xdr:cNvPr>
        <xdr:cNvSpPr txBox="1"/>
      </xdr:nvSpPr>
      <xdr:spPr>
        <a:xfrm>
          <a:off x="573942" y="1371111"/>
          <a:ext cx="18563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RUFANO, MARIELLE</a:t>
          </a:r>
          <a:r>
            <a:rPr lang="en-US" sz="1100" baseline="0"/>
            <a:t> LOTUS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D437DBD-1E66-4395-A08E-63955B675CEE}"/>
            </a:ext>
          </a:extLst>
        </xdr:cNvPr>
        <xdr:cNvSpPr txBox="1"/>
      </xdr:nvSpPr>
      <xdr:spPr>
        <a:xfrm>
          <a:off x="616683" y="1718407"/>
          <a:ext cx="1808774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PDO 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90EDF10-4777-4FC6-B71F-72D8F1564244}"/>
            </a:ext>
          </a:extLst>
        </xdr:cNvPr>
        <xdr:cNvSpPr txBox="1"/>
      </xdr:nvSpPr>
      <xdr:spPr>
        <a:xfrm>
          <a:off x="3615593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CARTAGENA 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602150</xdr:colOff>
      <xdr:row>0</xdr:row>
      <xdr:rowOff>0</xdr:rowOff>
    </xdr:from>
    <xdr:to>
      <xdr:col>4</xdr:col>
      <xdr:colOff>586460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4B459C-4AA5-41FD-92D5-A94CB83A91F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0675" y="0"/>
          <a:ext cx="593910" cy="6667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2B1011C-26AA-4078-B375-F9C832293C2D}"/>
            </a:ext>
          </a:extLst>
        </xdr:cNvPr>
        <xdr:cNvSpPr txBox="1"/>
      </xdr:nvSpPr>
      <xdr:spPr>
        <a:xfrm>
          <a:off x="76200" y="4165600"/>
          <a:ext cx="427990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B4A9B01-E1B3-4D56-9C4A-17BB5B691C29}"/>
            </a:ext>
          </a:extLst>
        </xdr:cNvPr>
        <xdr:cNvCxnSpPr/>
      </xdr:nvCxnSpPr>
      <xdr:spPr>
        <a:xfrm>
          <a:off x="742950" y="1774825"/>
          <a:ext cx="2527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733425</xdr:colOff>
      <xdr:row>9</xdr:row>
      <xdr:rowOff>149225</xdr:rowOff>
    </xdr:from>
    <xdr:to>
      <xdr:col>2</xdr:col>
      <xdr:colOff>9525</xdr:colOff>
      <xdr:row>9</xdr:row>
      <xdr:rowOff>149225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024CE12-A34E-4712-802B-A196F48AAECC}"/>
            </a:ext>
          </a:extLst>
        </xdr:cNvPr>
        <xdr:cNvCxnSpPr/>
      </xdr:nvCxnSpPr>
      <xdr:spPr>
        <a:xfrm>
          <a:off x="733425" y="2066925"/>
          <a:ext cx="2235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5669</xdr:colOff>
      <xdr:row>0</xdr:row>
      <xdr:rowOff>57378</xdr:rowOff>
    </xdr:from>
    <xdr:to>
      <xdr:col>5</xdr:col>
      <xdr:colOff>97517</xdr:colOff>
      <xdr:row>1</xdr:row>
      <xdr:rowOff>5669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FB8051-B23C-434C-90C1-8D5D83A319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4196" y="57378"/>
          <a:ext cx="704169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93D1FA-0EF4-4689-B314-6A6BFA9EE8BE}"/>
            </a:ext>
          </a:extLst>
        </xdr:cNvPr>
        <xdr:cNvSpPr txBox="1"/>
      </xdr:nvSpPr>
      <xdr:spPr>
        <a:xfrm>
          <a:off x="573942" y="1377461"/>
          <a:ext cx="237880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RUFANO, MARIELLE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LOTUS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4F9610F-AF5D-4C9C-B098-425B6C6EA590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</a:t>
          </a:r>
          <a:r>
            <a:rPr lang="en-US" sz="1100" baseline="0"/>
            <a:t> VI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0ED9475-EE54-49AA-8B35-27EA0CDE96F1}"/>
            </a:ext>
          </a:extLst>
        </xdr:cNvPr>
        <xdr:cNvSpPr txBox="1"/>
      </xdr:nvSpPr>
      <xdr:spPr>
        <a:xfrm>
          <a:off x="40891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356571</xdr:colOff>
      <xdr:row>3</xdr:row>
      <xdr:rowOff>101989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3ABEFA-6826-4FEF-A4A5-0B009802573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3612" y="28769"/>
          <a:ext cx="700509" cy="62567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AFE840-B272-4E67-AF9D-C2C22C481D7E}"/>
            </a:ext>
          </a:extLst>
        </xdr:cNvPr>
        <xdr:cNvSpPr txBox="1"/>
      </xdr:nvSpPr>
      <xdr:spPr>
        <a:xfrm>
          <a:off x="76200" y="4756150"/>
          <a:ext cx="302895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816429</xdr:colOff>
      <xdr:row>6</xdr:row>
      <xdr:rowOff>63499</xdr:rowOff>
    </xdr:from>
    <xdr:to>
      <xdr:col>2</xdr:col>
      <xdr:colOff>252830</xdr:colOff>
      <xdr:row>7</xdr:row>
      <xdr:rowOff>101306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80A9FBC-7A4C-4B06-85E0-0CFAB7BB4A69}"/>
            </a:ext>
          </a:extLst>
        </xdr:cNvPr>
        <xdr:cNvSpPr txBox="1"/>
      </xdr:nvSpPr>
      <xdr:spPr>
        <a:xfrm>
          <a:off x="816429" y="1168399"/>
          <a:ext cx="2008151" cy="2219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RUFANO, MARIELLE</a:t>
          </a:r>
          <a:r>
            <a:rPr lang="en-US" sz="1100" baseline="0"/>
            <a:t> LOTUS</a:t>
          </a:r>
          <a:endParaRPr lang="en-US" sz="1100"/>
        </a:p>
      </xdr:txBody>
    </xdr:sp>
    <xdr:clientData/>
  </xdr:twoCellAnchor>
  <xdr:twoCellAnchor>
    <xdr:from>
      <xdr:col>0</xdr:col>
      <xdr:colOff>822908</xdr:colOff>
      <xdr:row>8</xdr:row>
      <xdr:rowOff>32398</xdr:rowOff>
    </xdr:from>
    <xdr:to>
      <xdr:col>2</xdr:col>
      <xdr:colOff>246609</xdr:colOff>
      <xdr:row>9</xdr:row>
      <xdr:rowOff>127225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4228AFF-5849-4515-904D-65A7AFB4BA29}"/>
            </a:ext>
          </a:extLst>
        </xdr:cNvPr>
        <xdr:cNvSpPr txBox="1"/>
      </xdr:nvSpPr>
      <xdr:spPr>
        <a:xfrm>
          <a:off x="822908" y="1797698"/>
          <a:ext cx="1995451" cy="247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 VI</a:t>
          </a:r>
        </a:p>
      </xdr:txBody>
    </xdr:sp>
    <xdr:clientData/>
  </xdr:twoCellAnchor>
  <xdr:twoCellAnchor>
    <xdr:from>
      <xdr:col>3</xdr:col>
      <xdr:colOff>596122</xdr:colOff>
      <xdr:row>7</xdr:row>
      <xdr:rowOff>84236</xdr:rowOff>
    </xdr:from>
    <xdr:to>
      <xdr:col>6</xdr:col>
      <xdr:colOff>21557</xdr:colOff>
      <xdr:row>9</xdr:row>
      <xdr:rowOff>23552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7481189-8D9E-46B3-BDC6-9B1CAE60EDF9}"/>
            </a:ext>
          </a:extLst>
        </xdr:cNvPr>
        <xdr:cNvSpPr txBox="1"/>
      </xdr:nvSpPr>
      <xdr:spPr>
        <a:xfrm>
          <a:off x="3840972" y="1697136"/>
          <a:ext cx="1444735" cy="2441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920752</xdr:colOff>
      <xdr:row>0</xdr:row>
      <xdr:rowOff>66674</xdr:rowOff>
    </xdr:from>
    <xdr:to>
      <xdr:col>3</xdr:col>
      <xdr:colOff>1876426</xdr:colOff>
      <xdr:row>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B069DB-E9B3-47FC-B6EC-87DE90DAEB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4952" y="66674"/>
          <a:ext cx="955674" cy="70485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sheetPr>
    <pageSetUpPr fitToPage="1"/>
  </sheetPr>
  <dimension ref="A1:K102"/>
  <sheetViews>
    <sheetView view="pageBreakPreview" topLeftCell="A60" zoomScale="108" zoomScaleNormal="100" zoomScaleSheetLayoutView="108" workbookViewId="0">
      <selection activeCell="A90" sqref="A90:XFD90"/>
    </sheetView>
  </sheetViews>
  <sheetFormatPr defaultRowHeight="15" x14ac:dyDescent="0.25"/>
  <cols>
    <col min="1" max="1" width="36.42578125" style="52" customWidth="1"/>
    <col min="2" max="7" width="11.5703125" style="73" customWidth="1"/>
    <col min="8" max="10" width="11.5703125" customWidth="1"/>
  </cols>
  <sheetData>
    <row r="1" spans="1:10" s="1" customFormat="1" ht="52.5" customHeight="1" x14ac:dyDescent="0.25">
      <c r="A1" s="48"/>
      <c r="B1" s="11"/>
      <c r="C1" s="11"/>
      <c r="D1" s="11"/>
      <c r="E1" s="11"/>
      <c r="F1" s="11"/>
      <c r="G1" s="11"/>
    </row>
    <row r="2" spans="1:10" s="1" customFormat="1" ht="10.5" customHeight="1" x14ac:dyDescent="0.25">
      <c r="A2" s="123" t="s">
        <v>27</v>
      </c>
      <c r="B2" s="123"/>
      <c r="C2" s="123"/>
      <c r="D2" s="123"/>
      <c r="E2" s="123"/>
      <c r="F2" s="123"/>
      <c r="G2" s="123"/>
      <c r="H2" s="123"/>
      <c r="I2" s="123"/>
      <c r="J2" s="123"/>
    </row>
    <row r="3" spans="1:10" s="1" customFormat="1" ht="15.95" customHeight="1" x14ac:dyDescent="0.25">
      <c r="A3" s="123" t="s">
        <v>28</v>
      </c>
      <c r="B3" s="123"/>
      <c r="C3" s="123"/>
      <c r="D3" s="123"/>
      <c r="E3" s="123"/>
      <c r="F3" s="123"/>
      <c r="G3" s="123"/>
      <c r="H3" s="123"/>
      <c r="I3" s="123"/>
      <c r="J3" s="123"/>
    </row>
    <row r="4" spans="1:10" s="1" customFormat="1" ht="15.95" customHeight="1" x14ac:dyDescent="0.25">
      <c r="A4" s="123" t="s">
        <v>29</v>
      </c>
      <c r="B4" s="123"/>
      <c r="C4" s="123"/>
      <c r="D4" s="123"/>
      <c r="E4" s="123"/>
      <c r="F4" s="123"/>
      <c r="G4" s="123"/>
      <c r="H4" s="123"/>
      <c r="I4" s="123"/>
      <c r="J4" s="123"/>
    </row>
    <row r="5" spans="1:10" s="1" customFormat="1" ht="15.95" customHeight="1" x14ac:dyDescent="0.25">
      <c r="A5" s="123" t="s">
        <v>30</v>
      </c>
      <c r="B5" s="123"/>
      <c r="C5" s="123"/>
      <c r="D5" s="123"/>
      <c r="E5" s="123"/>
      <c r="F5" s="123"/>
      <c r="G5" s="123"/>
      <c r="H5" s="123"/>
      <c r="I5" s="123"/>
      <c r="J5" s="123"/>
    </row>
    <row r="6" spans="1:10" s="1" customFormat="1" ht="8.25" customHeight="1" x14ac:dyDescent="0.25">
      <c r="A6" s="48"/>
      <c r="B6" s="11"/>
      <c r="C6" s="11"/>
      <c r="D6" s="11"/>
      <c r="E6" s="11"/>
      <c r="F6" s="11"/>
      <c r="G6" s="11"/>
    </row>
    <row r="7" spans="1:10" s="1" customFormat="1" ht="12" customHeight="1" x14ac:dyDescent="0.25">
      <c r="A7" s="48" t="s">
        <v>75</v>
      </c>
      <c r="B7" s="120" t="s">
        <v>76</v>
      </c>
      <c r="C7" s="120"/>
      <c r="D7" s="120"/>
      <c r="E7" s="11"/>
      <c r="F7" s="11"/>
      <c r="G7" s="11"/>
      <c r="H7" s="5" t="s">
        <v>9</v>
      </c>
      <c r="I7" s="47"/>
      <c r="J7" s="5"/>
    </row>
    <row r="8" spans="1:10" s="1" customFormat="1" ht="12" customHeight="1" x14ac:dyDescent="0.25">
      <c r="A8" s="48"/>
      <c r="B8" s="74"/>
      <c r="C8" s="74"/>
      <c r="D8" s="11"/>
      <c r="E8" s="11"/>
      <c r="F8" s="11"/>
      <c r="G8" s="11"/>
      <c r="H8" s="3"/>
      <c r="I8" s="3"/>
      <c r="J8" s="3"/>
    </row>
    <row r="9" spans="1:10" s="1" customFormat="1" ht="12" customHeight="1" x14ac:dyDescent="0.25">
      <c r="A9" s="48" t="s">
        <v>77</v>
      </c>
      <c r="B9" s="120" t="s">
        <v>78</v>
      </c>
      <c r="C9" s="120"/>
      <c r="D9" s="120"/>
      <c r="E9" s="11"/>
      <c r="F9" s="11"/>
      <c r="G9" s="11"/>
      <c r="H9" s="5" t="s">
        <v>10</v>
      </c>
      <c r="I9" s="6"/>
      <c r="J9" s="5"/>
    </row>
    <row r="10" spans="1:10" ht="16.5" customHeight="1" thickBot="1" x14ac:dyDescent="0.3">
      <c r="A10" s="121" t="s">
        <v>0</v>
      </c>
      <c r="B10" s="121"/>
      <c r="C10" s="121"/>
      <c r="D10" s="121"/>
      <c r="E10" s="121"/>
      <c r="F10" s="121"/>
      <c r="G10" s="121"/>
      <c r="H10" s="121"/>
      <c r="I10" s="121"/>
      <c r="J10" s="121"/>
    </row>
    <row r="11" spans="1:10" ht="18.75" customHeight="1" x14ac:dyDescent="0.25">
      <c r="A11" s="112" t="s">
        <v>4</v>
      </c>
      <c r="B11" s="122" t="s">
        <v>5</v>
      </c>
      <c r="C11" s="122"/>
      <c r="D11" s="116" t="s">
        <v>6</v>
      </c>
      <c r="E11" s="117"/>
      <c r="F11" s="117"/>
      <c r="G11" s="118"/>
      <c r="H11" s="119" t="s">
        <v>7</v>
      </c>
      <c r="I11" s="119"/>
      <c r="J11" s="114" t="s">
        <v>8</v>
      </c>
    </row>
    <row r="12" spans="1:10" ht="18.75" customHeight="1" thickBot="1" x14ac:dyDescent="0.3">
      <c r="A12" s="113"/>
      <c r="B12" s="9" t="s">
        <v>1</v>
      </c>
      <c r="C12" s="9" t="s">
        <v>2</v>
      </c>
      <c r="D12" s="9" t="s">
        <v>1</v>
      </c>
      <c r="E12" s="9" t="s">
        <v>2</v>
      </c>
      <c r="F12" s="9" t="s">
        <v>3</v>
      </c>
      <c r="G12" s="9" t="s">
        <v>97</v>
      </c>
      <c r="H12" s="9" t="s">
        <v>1</v>
      </c>
      <c r="I12" s="9" t="s">
        <v>2</v>
      </c>
      <c r="J12" s="115"/>
    </row>
    <row r="13" spans="1:10" ht="18.75" customHeight="1" x14ac:dyDescent="0.25">
      <c r="A13" s="49" t="s">
        <v>11</v>
      </c>
      <c r="B13" s="7">
        <f>SUM(1.25/30)*12</f>
        <v>0.5</v>
      </c>
      <c r="C13" s="7">
        <f>SUM(1.25/30)*12</f>
        <v>0.5</v>
      </c>
      <c r="D13" s="7"/>
      <c r="E13" s="7"/>
      <c r="F13" s="7"/>
      <c r="G13" s="7"/>
      <c r="H13" s="7">
        <f>B13</f>
        <v>0.5</v>
      </c>
      <c r="I13" s="7">
        <f>C13</f>
        <v>0.5</v>
      </c>
      <c r="J13" s="8">
        <f>SUM(H13:I13)</f>
        <v>1</v>
      </c>
    </row>
    <row r="14" spans="1:10" ht="18.75" customHeight="1" x14ac:dyDescent="0.25">
      <c r="A14" s="28" t="s">
        <v>12</v>
      </c>
      <c r="B14" s="2">
        <v>5</v>
      </c>
      <c r="C14" s="2">
        <v>5</v>
      </c>
      <c r="D14" s="2"/>
      <c r="E14" s="2"/>
      <c r="F14" s="2"/>
      <c r="G14" s="2"/>
      <c r="H14" s="2">
        <f>H13-F14-D14+B14</f>
        <v>5.5</v>
      </c>
      <c r="I14" s="2">
        <f>I13-E14+C14</f>
        <v>5.5</v>
      </c>
      <c r="J14" s="4">
        <f>SUM(H14:I14)</f>
        <v>11</v>
      </c>
    </row>
    <row r="15" spans="1:10" ht="18.75" customHeight="1" x14ac:dyDescent="0.25">
      <c r="A15" s="28" t="s">
        <v>13</v>
      </c>
      <c r="B15" s="2">
        <v>3.75</v>
      </c>
      <c r="C15" s="2">
        <v>3.75</v>
      </c>
      <c r="D15" s="2"/>
      <c r="E15" s="2"/>
      <c r="F15" s="2"/>
      <c r="G15" s="2"/>
      <c r="H15" s="2">
        <f t="shared" ref="H15:H17" si="0">H14-F15-D15+B15</f>
        <v>9.25</v>
      </c>
      <c r="I15" s="2">
        <f t="shared" ref="I15:I17" si="1">I14-E15+C15</f>
        <v>9.25</v>
      </c>
      <c r="J15" s="4">
        <f t="shared" ref="J15:J17" si="2">SUM(H15:I15)</f>
        <v>18.5</v>
      </c>
    </row>
    <row r="16" spans="1:10" ht="18.75" customHeight="1" x14ac:dyDescent="0.25">
      <c r="A16" s="28" t="s">
        <v>145</v>
      </c>
      <c r="B16" s="2"/>
      <c r="C16" s="2"/>
      <c r="D16" s="2"/>
      <c r="E16" s="2"/>
      <c r="F16" s="2">
        <v>4</v>
      </c>
      <c r="G16" s="2"/>
      <c r="H16" s="2">
        <f t="shared" si="0"/>
        <v>5.25</v>
      </c>
      <c r="I16" s="2">
        <f t="shared" si="1"/>
        <v>9.25</v>
      </c>
      <c r="J16" s="4">
        <f t="shared" si="2"/>
        <v>14.5</v>
      </c>
    </row>
    <row r="17" spans="1:10" ht="18.75" customHeight="1" x14ac:dyDescent="0.25">
      <c r="A17" s="50" t="s">
        <v>20</v>
      </c>
      <c r="B17" s="31">
        <v>1.25</v>
      </c>
      <c r="C17" s="31">
        <v>1.25</v>
      </c>
      <c r="D17" s="53"/>
      <c r="E17" s="53"/>
      <c r="F17" s="53"/>
      <c r="G17" s="53"/>
      <c r="H17" s="2">
        <f t="shared" si="0"/>
        <v>6.5</v>
      </c>
      <c r="I17" s="2">
        <f t="shared" si="1"/>
        <v>10.5</v>
      </c>
      <c r="J17" s="4">
        <f t="shared" si="2"/>
        <v>17</v>
      </c>
    </row>
    <row r="18" spans="1:10" ht="18.75" customHeight="1" x14ac:dyDescent="0.25">
      <c r="A18" s="50" t="s">
        <v>136</v>
      </c>
      <c r="B18" s="31"/>
      <c r="C18" s="31"/>
      <c r="D18" s="53"/>
      <c r="E18" s="53"/>
      <c r="F18" s="31">
        <v>1</v>
      </c>
      <c r="G18" s="53"/>
      <c r="H18" s="2">
        <f t="shared" ref="H18:H81" si="3">H17-F18-D18+B18</f>
        <v>5.5</v>
      </c>
      <c r="I18" s="2">
        <f t="shared" ref="I18:I81" si="4">I17-E18+C18</f>
        <v>10.5</v>
      </c>
      <c r="J18" s="4">
        <f t="shared" ref="J18:J81" si="5">SUM(H18:I18)</f>
        <v>16</v>
      </c>
    </row>
    <row r="19" spans="1:10" ht="18.75" customHeight="1" x14ac:dyDescent="0.25">
      <c r="A19" s="28" t="s">
        <v>15</v>
      </c>
      <c r="B19" s="2">
        <v>2.5</v>
      </c>
      <c r="C19" s="2">
        <v>2.5</v>
      </c>
      <c r="D19" s="2"/>
      <c r="E19" s="2"/>
      <c r="F19" s="2"/>
      <c r="G19" s="2"/>
      <c r="H19" s="2">
        <f t="shared" si="3"/>
        <v>8</v>
      </c>
      <c r="I19" s="2">
        <f t="shared" si="4"/>
        <v>13</v>
      </c>
      <c r="J19" s="4">
        <f t="shared" si="5"/>
        <v>21</v>
      </c>
    </row>
    <row r="20" spans="1:10" ht="18.75" customHeight="1" x14ac:dyDescent="0.25">
      <c r="A20" s="28" t="s">
        <v>16</v>
      </c>
      <c r="B20" s="2"/>
      <c r="C20" s="2"/>
      <c r="D20" s="2"/>
      <c r="E20" s="2"/>
      <c r="F20" s="2">
        <v>1</v>
      </c>
      <c r="G20" s="2"/>
      <c r="H20" s="2">
        <f t="shared" si="3"/>
        <v>7</v>
      </c>
      <c r="I20" s="2">
        <f t="shared" si="4"/>
        <v>13</v>
      </c>
      <c r="J20" s="4">
        <f t="shared" si="5"/>
        <v>20</v>
      </c>
    </row>
    <row r="21" spans="1:10" ht="18.75" customHeight="1" x14ac:dyDescent="0.25">
      <c r="A21" s="28" t="s">
        <v>21</v>
      </c>
      <c r="B21" s="2">
        <v>2.5</v>
      </c>
      <c r="C21" s="2">
        <v>2.5</v>
      </c>
      <c r="D21" s="2"/>
      <c r="E21" s="2"/>
      <c r="F21" s="2"/>
      <c r="G21" s="2"/>
      <c r="H21" s="2">
        <f t="shared" si="3"/>
        <v>9.5</v>
      </c>
      <c r="I21" s="2">
        <f t="shared" si="4"/>
        <v>15.5</v>
      </c>
      <c r="J21" s="4">
        <f t="shared" si="5"/>
        <v>25</v>
      </c>
    </row>
    <row r="22" spans="1:10" ht="18.75" customHeight="1" x14ac:dyDescent="0.25">
      <c r="A22" s="28" t="s">
        <v>19</v>
      </c>
      <c r="B22" s="2"/>
      <c r="C22" s="2"/>
      <c r="D22" s="2"/>
      <c r="E22" s="2"/>
      <c r="F22" s="2">
        <v>1</v>
      </c>
      <c r="G22" s="2"/>
      <c r="H22" s="2">
        <f t="shared" si="3"/>
        <v>8.5</v>
      </c>
      <c r="I22" s="2">
        <f t="shared" si="4"/>
        <v>15.5</v>
      </c>
      <c r="J22" s="4">
        <f t="shared" si="5"/>
        <v>24</v>
      </c>
    </row>
    <row r="23" spans="1:10" ht="18.75" customHeight="1" x14ac:dyDescent="0.25">
      <c r="A23" s="28" t="s">
        <v>22</v>
      </c>
      <c r="B23" s="31">
        <v>1.25</v>
      </c>
      <c r="C23" s="31">
        <v>1.25</v>
      </c>
      <c r="D23" s="2"/>
      <c r="E23" s="2"/>
      <c r="F23" s="2"/>
      <c r="G23" s="2"/>
      <c r="H23" s="2">
        <f t="shared" si="3"/>
        <v>9.75</v>
      </c>
      <c r="I23" s="2">
        <f t="shared" si="4"/>
        <v>16.75</v>
      </c>
      <c r="J23" s="4">
        <f t="shared" si="5"/>
        <v>26.5</v>
      </c>
    </row>
    <row r="24" spans="1:10" ht="18.75" customHeight="1" x14ac:dyDescent="0.25">
      <c r="A24" s="28" t="s">
        <v>98</v>
      </c>
      <c r="B24" s="2"/>
      <c r="C24" s="2"/>
      <c r="D24" s="2">
        <v>2</v>
      </c>
      <c r="E24" s="2"/>
      <c r="F24" s="2"/>
      <c r="G24" s="2"/>
      <c r="H24" s="2">
        <f t="shared" si="3"/>
        <v>7.75</v>
      </c>
      <c r="I24" s="2">
        <f t="shared" si="4"/>
        <v>16.75</v>
      </c>
      <c r="J24" s="4">
        <f t="shared" si="5"/>
        <v>24.5</v>
      </c>
    </row>
    <row r="25" spans="1:10" ht="18.75" customHeight="1" x14ac:dyDescent="0.25">
      <c r="A25" s="28" t="s">
        <v>23</v>
      </c>
      <c r="B25" s="2">
        <v>2.5</v>
      </c>
      <c r="C25" s="2">
        <v>2.5</v>
      </c>
      <c r="D25" s="2"/>
      <c r="E25" s="2"/>
      <c r="F25" s="2"/>
      <c r="G25" s="2"/>
      <c r="H25" s="2">
        <f t="shared" si="3"/>
        <v>10.25</v>
      </c>
      <c r="I25" s="2">
        <f t="shared" si="4"/>
        <v>19.25</v>
      </c>
      <c r="J25" s="4">
        <f t="shared" si="5"/>
        <v>29.5</v>
      </c>
    </row>
    <row r="26" spans="1:10" ht="18.75" customHeight="1" x14ac:dyDescent="0.25">
      <c r="A26" s="28" t="s">
        <v>17</v>
      </c>
      <c r="B26" s="2"/>
      <c r="C26" s="2"/>
      <c r="D26" s="2"/>
      <c r="E26" s="2"/>
      <c r="F26" s="2"/>
      <c r="G26" s="54">
        <v>2</v>
      </c>
      <c r="H26" s="2">
        <f t="shared" si="3"/>
        <v>10.25</v>
      </c>
      <c r="I26" s="2">
        <f t="shared" si="4"/>
        <v>19.25</v>
      </c>
      <c r="J26" s="4">
        <f t="shared" si="5"/>
        <v>29.5</v>
      </c>
    </row>
    <row r="27" spans="1:10" ht="18.75" customHeight="1" x14ac:dyDescent="0.25">
      <c r="A27" s="28" t="s">
        <v>18</v>
      </c>
      <c r="B27" s="2"/>
      <c r="C27" s="2"/>
      <c r="D27" s="2"/>
      <c r="E27" s="2"/>
      <c r="F27" s="2">
        <v>3</v>
      </c>
      <c r="G27" s="2"/>
      <c r="H27" s="2">
        <f t="shared" si="3"/>
        <v>7.25</v>
      </c>
      <c r="I27" s="2">
        <f t="shared" si="4"/>
        <v>19.25</v>
      </c>
      <c r="J27" s="4">
        <f t="shared" si="5"/>
        <v>26.5</v>
      </c>
    </row>
    <row r="28" spans="1:10" ht="18.75" customHeight="1" x14ac:dyDescent="0.25">
      <c r="A28" s="28" t="s">
        <v>24</v>
      </c>
      <c r="B28" s="2">
        <v>1.25</v>
      </c>
      <c r="C28" s="2">
        <v>1.25</v>
      </c>
      <c r="D28" s="2"/>
      <c r="E28" s="2"/>
      <c r="F28" s="2"/>
      <c r="G28" s="2"/>
      <c r="H28" s="2">
        <f t="shared" si="3"/>
        <v>8.5</v>
      </c>
      <c r="I28" s="2">
        <f t="shared" si="4"/>
        <v>20.5</v>
      </c>
      <c r="J28" s="4">
        <f t="shared" si="5"/>
        <v>29</v>
      </c>
    </row>
    <row r="29" spans="1:10" ht="18.75" customHeight="1" x14ac:dyDescent="0.25">
      <c r="A29" s="28" t="s">
        <v>26</v>
      </c>
      <c r="B29" s="2">
        <v>1.25</v>
      </c>
      <c r="C29" s="2">
        <v>1.25</v>
      </c>
      <c r="D29" s="2"/>
      <c r="E29" s="2"/>
      <c r="F29" s="2"/>
      <c r="G29" s="2"/>
      <c r="H29" s="2">
        <f t="shared" si="3"/>
        <v>9.75</v>
      </c>
      <c r="I29" s="2">
        <f t="shared" si="4"/>
        <v>21.75</v>
      </c>
      <c r="J29" s="4">
        <f t="shared" si="5"/>
        <v>31.5</v>
      </c>
    </row>
    <row r="30" spans="1:10" ht="18.75" customHeight="1" x14ac:dyDescent="0.25">
      <c r="A30" s="28" t="s">
        <v>99</v>
      </c>
      <c r="B30" s="2"/>
      <c r="C30" s="2"/>
      <c r="D30" s="2"/>
      <c r="E30" s="2">
        <v>1</v>
      </c>
      <c r="F30" s="2"/>
      <c r="G30" s="2"/>
      <c r="H30" s="2">
        <f t="shared" si="3"/>
        <v>9.75</v>
      </c>
      <c r="I30" s="2">
        <f t="shared" si="4"/>
        <v>20.75</v>
      </c>
      <c r="J30" s="4">
        <f t="shared" si="5"/>
        <v>30.5</v>
      </c>
    </row>
    <row r="31" spans="1:10" ht="18.75" customHeight="1" x14ac:dyDescent="0.25">
      <c r="A31" s="28" t="s">
        <v>25</v>
      </c>
      <c r="B31" s="2"/>
      <c r="C31" s="2"/>
      <c r="D31" s="2">
        <v>6</v>
      </c>
      <c r="E31" s="2">
        <v>14</v>
      </c>
      <c r="F31" s="2"/>
      <c r="G31" s="2"/>
      <c r="H31" s="2">
        <f t="shared" si="3"/>
        <v>3.75</v>
      </c>
      <c r="I31" s="2">
        <f t="shared" si="4"/>
        <v>6.75</v>
      </c>
      <c r="J31" s="4">
        <f t="shared" si="5"/>
        <v>10.5</v>
      </c>
    </row>
    <row r="32" spans="1:10" ht="18.75" customHeight="1" x14ac:dyDescent="0.25">
      <c r="A32" s="28" t="s">
        <v>49</v>
      </c>
      <c r="B32" s="2">
        <v>1.25</v>
      </c>
      <c r="C32" s="2">
        <v>1.25</v>
      </c>
      <c r="D32" s="2"/>
      <c r="E32" s="2"/>
      <c r="F32" s="2"/>
      <c r="G32" s="2"/>
      <c r="H32" s="2">
        <f t="shared" si="3"/>
        <v>5</v>
      </c>
      <c r="I32" s="2">
        <f t="shared" si="4"/>
        <v>8</v>
      </c>
      <c r="J32" s="4">
        <f t="shared" si="5"/>
        <v>13</v>
      </c>
    </row>
    <row r="33" spans="1:10" ht="18.75" customHeight="1" x14ac:dyDescent="0.25">
      <c r="A33" s="28" t="s">
        <v>51</v>
      </c>
      <c r="B33" s="2">
        <v>1.25</v>
      </c>
      <c r="C33" s="2">
        <v>1.25</v>
      </c>
      <c r="D33" s="2"/>
      <c r="E33" s="2"/>
      <c r="F33" s="2"/>
      <c r="G33" s="2"/>
      <c r="H33" s="2">
        <f t="shared" si="3"/>
        <v>6.25</v>
      </c>
      <c r="I33" s="2">
        <f t="shared" si="4"/>
        <v>9.25</v>
      </c>
      <c r="J33" s="4">
        <f t="shared" si="5"/>
        <v>15.5</v>
      </c>
    </row>
    <row r="34" spans="1:10" ht="18.75" customHeight="1" x14ac:dyDescent="0.25">
      <c r="A34" s="28" t="s">
        <v>50</v>
      </c>
      <c r="B34" s="2"/>
      <c r="C34" s="2"/>
      <c r="D34" s="2"/>
      <c r="E34" s="2">
        <v>1</v>
      </c>
      <c r="F34" s="2"/>
      <c r="G34" s="2"/>
      <c r="H34" s="2">
        <f t="shared" si="3"/>
        <v>6.25</v>
      </c>
      <c r="I34" s="2">
        <f t="shared" si="4"/>
        <v>8.25</v>
      </c>
      <c r="J34" s="4">
        <f t="shared" si="5"/>
        <v>14.5</v>
      </c>
    </row>
    <row r="35" spans="1:10" ht="18.75" customHeight="1" x14ac:dyDescent="0.25">
      <c r="A35" s="28" t="s">
        <v>52</v>
      </c>
      <c r="B35" s="2">
        <v>1.25</v>
      </c>
      <c r="C35" s="2">
        <v>1.25</v>
      </c>
      <c r="D35" s="2"/>
      <c r="E35" s="2"/>
      <c r="F35" s="2"/>
      <c r="G35" s="2"/>
      <c r="H35" s="2">
        <f t="shared" si="3"/>
        <v>7.5</v>
      </c>
      <c r="I35" s="2">
        <f t="shared" si="4"/>
        <v>9.5</v>
      </c>
      <c r="J35" s="4">
        <f t="shared" si="5"/>
        <v>17</v>
      </c>
    </row>
    <row r="36" spans="1:10" ht="18.75" customHeight="1" x14ac:dyDescent="0.25">
      <c r="A36" s="28" t="s">
        <v>25</v>
      </c>
      <c r="B36" s="2"/>
      <c r="C36" s="2"/>
      <c r="D36" s="2">
        <v>5</v>
      </c>
      <c r="E36" s="2"/>
      <c r="F36" s="2"/>
      <c r="G36" s="2"/>
      <c r="H36" s="2">
        <f t="shared" si="3"/>
        <v>2.5</v>
      </c>
      <c r="I36" s="2">
        <f t="shared" si="4"/>
        <v>9.5</v>
      </c>
      <c r="J36" s="4">
        <f t="shared" si="5"/>
        <v>12</v>
      </c>
    </row>
    <row r="37" spans="1:10" ht="18.75" customHeight="1" x14ac:dyDescent="0.25">
      <c r="A37" s="28" t="s">
        <v>69</v>
      </c>
      <c r="B37" s="2">
        <v>1.25</v>
      </c>
      <c r="C37" s="2">
        <v>1.25</v>
      </c>
      <c r="D37" s="2"/>
      <c r="E37" s="2"/>
      <c r="F37" s="2"/>
      <c r="G37" s="2"/>
      <c r="H37" s="2">
        <f t="shared" si="3"/>
        <v>3.75</v>
      </c>
      <c r="I37" s="2">
        <f t="shared" si="4"/>
        <v>10.75</v>
      </c>
      <c r="J37" s="4">
        <f t="shared" si="5"/>
        <v>14.5</v>
      </c>
    </row>
    <row r="38" spans="1:10" ht="18.75" customHeight="1" x14ac:dyDescent="0.25">
      <c r="A38" s="28" t="s">
        <v>70</v>
      </c>
      <c r="B38" s="2"/>
      <c r="C38" s="2"/>
      <c r="D38" s="2"/>
      <c r="E38" s="2"/>
      <c r="F38" s="2">
        <v>2</v>
      </c>
      <c r="G38" s="2"/>
      <c r="H38" s="2">
        <f t="shared" si="3"/>
        <v>1.75</v>
      </c>
      <c r="I38" s="2">
        <f t="shared" si="4"/>
        <v>10.75</v>
      </c>
      <c r="J38" s="4">
        <f t="shared" si="5"/>
        <v>12.5</v>
      </c>
    </row>
    <row r="39" spans="1:10" ht="18.75" customHeight="1" x14ac:dyDescent="0.25">
      <c r="A39" s="28" t="s">
        <v>71</v>
      </c>
      <c r="B39" s="2"/>
      <c r="C39" s="2"/>
      <c r="D39" s="2"/>
      <c r="E39" s="2"/>
      <c r="F39" s="2">
        <v>1</v>
      </c>
      <c r="G39" s="2"/>
      <c r="H39" s="2">
        <f t="shared" si="3"/>
        <v>0.75</v>
      </c>
      <c r="I39" s="2">
        <f t="shared" si="4"/>
        <v>10.75</v>
      </c>
      <c r="J39" s="4">
        <f t="shared" si="5"/>
        <v>11.5</v>
      </c>
    </row>
    <row r="40" spans="1:10" ht="18.75" customHeight="1" x14ac:dyDescent="0.25">
      <c r="A40" s="28" t="s">
        <v>72</v>
      </c>
      <c r="B40" s="2"/>
      <c r="C40" s="2"/>
      <c r="D40" s="2"/>
      <c r="E40" s="2">
        <v>1</v>
      </c>
      <c r="F40" s="2"/>
      <c r="G40" s="2"/>
      <c r="H40" s="2">
        <f t="shared" si="3"/>
        <v>0.75</v>
      </c>
      <c r="I40" s="2">
        <f t="shared" si="4"/>
        <v>9.75</v>
      </c>
      <c r="J40" s="4">
        <f t="shared" si="5"/>
        <v>10.5</v>
      </c>
    </row>
    <row r="41" spans="1:10" ht="18.75" customHeight="1" x14ac:dyDescent="0.25">
      <c r="A41" s="28" t="s">
        <v>73</v>
      </c>
      <c r="B41" s="2">
        <v>2.5</v>
      </c>
      <c r="C41" s="2">
        <v>2.5</v>
      </c>
      <c r="D41" s="2"/>
      <c r="E41" s="2"/>
      <c r="F41" s="2"/>
      <c r="G41" s="2"/>
      <c r="H41" s="2">
        <f t="shared" si="3"/>
        <v>3.25</v>
      </c>
      <c r="I41" s="2">
        <f t="shared" si="4"/>
        <v>12.25</v>
      </c>
      <c r="J41" s="4">
        <f t="shared" si="5"/>
        <v>15.5</v>
      </c>
    </row>
    <row r="42" spans="1:10" ht="18.75" customHeight="1" x14ac:dyDescent="0.25">
      <c r="A42" s="51" t="s">
        <v>74</v>
      </c>
      <c r="B42" s="55"/>
      <c r="C42" s="55"/>
      <c r="D42" s="55"/>
      <c r="E42" s="56">
        <v>1.5</v>
      </c>
      <c r="F42" s="55"/>
      <c r="G42" s="55"/>
      <c r="H42" s="2">
        <f t="shared" si="3"/>
        <v>3.25</v>
      </c>
      <c r="I42" s="2">
        <f t="shared" si="4"/>
        <v>10.75</v>
      </c>
      <c r="J42" s="4">
        <f t="shared" si="5"/>
        <v>14</v>
      </c>
    </row>
    <row r="43" spans="1:10" ht="15.75" x14ac:dyDescent="0.25">
      <c r="A43" s="28" t="s">
        <v>89</v>
      </c>
      <c r="B43" s="57">
        <v>1.25</v>
      </c>
      <c r="C43" s="57">
        <v>1.25</v>
      </c>
      <c r="D43" s="58"/>
      <c r="E43" s="58"/>
      <c r="F43" s="58"/>
      <c r="G43" s="59"/>
      <c r="H43" s="2">
        <f t="shared" si="3"/>
        <v>4.5</v>
      </c>
      <c r="I43" s="2">
        <f t="shared" si="4"/>
        <v>12</v>
      </c>
      <c r="J43" s="4">
        <f t="shared" si="5"/>
        <v>16.5</v>
      </c>
    </row>
    <row r="44" spans="1:10" ht="15.75" x14ac:dyDescent="0.25">
      <c r="A44" s="51" t="s">
        <v>90</v>
      </c>
      <c r="B44" s="58"/>
      <c r="C44" s="58"/>
      <c r="D44" s="58">
        <v>0.5</v>
      </c>
      <c r="E44" s="58"/>
      <c r="F44" s="57"/>
      <c r="G44" s="60"/>
      <c r="H44" s="2">
        <f t="shared" si="3"/>
        <v>4</v>
      </c>
      <c r="I44" s="2">
        <f t="shared" si="4"/>
        <v>12</v>
      </c>
      <c r="J44" s="4">
        <f t="shared" si="5"/>
        <v>16</v>
      </c>
    </row>
    <row r="45" spans="1:10" ht="15.75" x14ac:dyDescent="0.25">
      <c r="A45" s="51" t="s">
        <v>91</v>
      </c>
      <c r="B45" s="58"/>
      <c r="C45" s="58"/>
      <c r="D45" s="58"/>
      <c r="E45" s="58">
        <v>1</v>
      </c>
      <c r="F45" s="58"/>
      <c r="G45" s="59"/>
      <c r="H45" s="2">
        <f t="shared" si="3"/>
        <v>4</v>
      </c>
      <c r="I45" s="2">
        <f t="shared" si="4"/>
        <v>11</v>
      </c>
      <c r="J45" s="4">
        <f t="shared" si="5"/>
        <v>15</v>
      </c>
    </row>
    <row r="46" spans="1:10" ht="15.75" x14ac:dyDescent="0.25">
      <c r="A46" s="28" t="s">
        <v>92</v>
      </c>
      <c r="B46" s="58">
        <v>2.5</v>
      </c>
      <c r="C46" s="58">
        <v>2.5</v>
      </c>
      <c r="D46" s="58"/>
      <c r="E46" s="58"/>
      <c r="F46" s="58"/>
      <c r="G46" s="59"/>
      <c r="H46" s="2">
        <f t="shared" si="3"/>
        <v>6.5</v>
      </c>
      <c r="I46" s="2">
        <f t="shared" si="4"/>
        <v>13.5</v>
      </c>
      <c r="J46" s="4">
        <f t="shared" si="5"/>
        <v>20</v>
      </c>
    </row>
    <row r="47" spans="1:10" ht="15.75" x14ac:dyDescent="0.25">
      <c r="A47" s="51" t="s">
        <v>93</v>
      </c>
      <c r="B47" s="58"/>
      <c r="C47" s="58"/>
      <c r="D47" s="58"/>
      <c r="E47" s="58">
        <v>1</v>
      </c>
      <c r="F47" s="58"/>
      <c r="G47" s="59"/>
      <c r="H47" s="2">
        <f t="shared" si="3"/>
        <v>6.5</v>
      </c>
      <c r="I47" s="2">
        <f t="shared" si="4"/>
        <v>12.5</v>
      </c>
      <c r="J47" s="4">
        <f t="shared" si="5"/>
        <v>19</v>
      </c>
    </row>
    <row r="48" spans="1:10" ht="15.75" x14ac:dyDescent="0.25">
      <c r="A48" s="51" t="s">
        <v>94</v>
      </c>
      <c r="B48" s="58"/>
      <c r="C48" s="58"/>
      <c r="D48" s="58"/>
      <c r="E48" s="58"/>
      <c r="F48" s="58">
        <v>1</v>
      </c>
      <c r="G48" s="59"/>
      <c r="H48" s="2">
        <f t="shared" si="3"/>
        <v>5.5</v>
      </c>
      <c r="I48" s="2">
        <f t="shared" si="4"/>
        <v>12.5</v>
      </c>
      <c r="J48" s="4">
        <f t="shared" si="5"/>
        <v>18</v>
      </c>
    </row>
    <row r="49" spans="1:10" ht="15.75" x14ac:dyDescent="0.25">
      <c r="A49" s="51" t="s">
        <v>95</v>
      </c>
      <c r="B49" s="58"/>
      <c r="C49" s="58"/>
      <c r="D49" s="58"/>
      <c r="E49" s="58"/>
      <c r="F49" s="58"/>
      <c r="G49" s="59">
        <v>1</v>
      </c>
      <c r="H49" s="2">
        <f t="shared" si="3"/>
        <v>5.5</v>
      </c>
      <c r="I49" s="2">
        <f t="shared" si="4"/>
        <v>12.5</v>
      </c>
      <c r="J49" s="4">
        <f t="shared" si="5"/>
        <v>18</v>
      </c>
    </row>
    <row r="50" spans="1:10" ht="15.75" x14ac:dyDescent="0.25">
      <c r="A50" s="51" t="s">
        <v>96</v>
      </c>
      <c r="B50" s="58"/>
      <c r="C50" s="58"/>
      <c r="D50" s="58"/>
      <c r="E50" s="58">
        <v>1</v>
      </c>
      <c r="F50" s="58"/>
      <c r="G50" s="59"/>
      <c r="H50" s="2">
        <f t="shared" si="3"/>
        <v>5.5</v>
      </c>
      <c r="I50" s="2">
        <f t="shared" si="4"/>
        <v>11.5</v>
      </c>
      <c r="J50" s="4">
        <f t="shared" si="5"/>
        <v>17</v>
      </c>
    </row>
    <row r="51" spans="1:10" ht="15.75" x14ac:dyDescent="0.25">
      <c r="A51" s="28" t="s">
        <v>100</v>
      </c>
      <c r="B51" s="58">
        <v>2.5</v>
      </c>
      <c r="C51" s="58">
        <v>2.5</v>
      </c>
      <c r="D51" s="58"/>
      <c r="E51" s="58"/>
      <c r="F51" s="58"/>
      <c r="G51" s="58"/>
      <c r="H51" s="2">
        <f t="shared" si="3"/>
        <v>8</v>
      </c>
      <c r="I51" s="2">
        <f t="shared" si="4"/>
        <v>14</v>
      </c>
      <c r="J51" s="4">
        <f t="shared" si="5"/>
        <v>22</v>
      </c>
    </row>
    <row r="52" spans="1:10" ht="15.75" x14ac:dyDescent="0.25">
      <c r="A52" s="29" t="s">
        <v>101</v>
      </c>
      <c r="B52" s="58"/>
      <c r="C52" s="58"/>
      <c r="D52" s="58"/>
      <c r="E52" s="58"/>
      <c r="F52" s="58"/>
      <c r="G52" s="58">
        <v>1</v>
      </c>
      <c r="H52" s="2">
        <f t="shared" si="3"/>
        <v>8</v>
      </c>
      <c r="I52" s="2">
        <f t="shared" si="4"/>
        <v>14</v>
      </c>
      <c r="J52" s="4">
        <f t="shared" si="5"/>
        <v>22</v>
      </c>
    </row>
    <row r="53" spans="1:10" ht="15.75" x14ac:dyDescent="0.25">
      <c r="A53" s="29" t="s">
        <v>102</v>
      </c>
      <c r="B53" s="58"/>
      <c r="C53" s="58"/>
      <c r="D53" s="58"/>
      <c r="E53" s="58">
        <v>1</v>
      </c>
      <c r="F53" s="58"/>
      <c r="G53" s="58"/>
      <c r="H53" s="2">
        <f t="shared" si="3"/>
        <v>8</v>
      </c>
      <c r="I53" s="2">
        <f t="shared" si="4"/>
        <v>13</v>
      </c>
      <c r="J53" s="4">
        <f t="shared" si="5"/>
        <v>21</v>
      </c>
    </row>
    <row r="54" spans="1:10" ht="15.75" x14ac:dyDescent="0.25">
      <c r="A54" s="29" t="s">
        <v>103</v>
      </c>
      <c r="B54" s="58"/>
      <c r="C54" s="58"/>
      <c r="D54" s="58"/>
      <c r="E54" s="58">
        <v>1</v>
      </c>
      <c r="F54" s="58"/>
      <c r="G54" s="58"/>
      <c r="H54" s="2">
        <f t="shared" si="3"/>
        <v>8</v>
      </c>
      <c r="I54" s="2">
        <f t="shared" si="4"/>
        <v>12</v>
      </c>
      <c r="J54" s="4">
        <f t="shared" si="5"/>
        <v>20</v>
      </c>
    </row>
    <row r="55" spans="1:10" ht="15.75" x14ac:dyDescent="0.25">
      <c r="A55" s="29" t="s">
        <v>104</v>
      </c>
      <c r="B55" s="58"/>
      <c r="C55" s="58"/>
      <c r="D55" s="58"/>
      <c r="E55" s="58">
        <v>1</v>
      </c>
      <c r="F55" s="58"/>
      <c r="G55" s="58"/>
      <c r="H55" s="2">
        <f t="shared" si="3"/>
        <v>8</v>
      </c>
      <c r="I55" s="2">
        <f t="shared" si="4"/>
        <v>11</v>
      </c>
      <c r="J55" s="4">
        <f t="shared" si="5"/>
        <v>19</v>
      </c>
    </row>
    <row r="56" spans="1:10" ht="15.75" x14ac:dyDescent="0.25">
      <c r="A56" s="29" t="s">
        <v>170</v>
      </c>
      <c r="B56" s="58">
        <v>1.25</v>
      </c>
      <c r="C56" s="58">
        <v>1.25</v>
      </c>
      <c r="D56" s="58"/>
      <c r="E56" s="58"/>
      <c r="F56" s="58"/>
      <c r="G56" s="58"/>
      <c r="H56" s="2">
        <f t="shared" si="3"/>
        <v>9.25</v>
      </c>
      <c r="I56" s="2">
        <f t="shared" si="4"/>
        <v>12.25</v>
      </c>
      <c r="J56" s="4">
        <f t="shared" si="5"/>
        <v>21.5</v>
      </c>
    </row>
    <row r="57" spans="1:10" ht="15.75" x14ac:dyDescent="0.25">
      <c r="A57" s="29" t="s">
        <v>106</v>
      </c>
      <c r="B57" s="58"/>
      <c r="C57" s="58"/>
      <c r="D57" s="58"/>
      <c r="E57" s="58">
        <v>1</v>
      </c>
      <c r="F57" s="58"/>
      <c r="G57" s="58"/>
      <c r="H57" s="2">
        <f t="shared" si="3"/>
        <v>9.25</v>
      </c>
      <c r="I57" s="2">
        <f t="shared" si="4"/>
        <v>11.25</v>
      </c>
      <c r="J57" s="4">
        <f t="shared" si="5"/>
        <v>20.5</v>
      </c>
    </row>
    <row r="58" spans="1:10" ht="15.75" x14ac:dyDescent="0.25">
      <c r="A58" s="29" t="s">
        <v>107</v>
      </c>
      <c r="B58" s="58"/>
      <c r="C58" s="58"/>
      <c r="D58" s="58">
        <v>6</v>
      </c>
      <c r="E58" s="58">
        <v>6</v>
      </c>
      <c r="F58" s="58"/>
      <c r="G58" s="58"/>
      <c r="H58" s="2">
        <f t="shared" si="3"/>
        <v>3.25</v>
      </c>
      <c r="I58" s="2">
        <f t="shared" si="4"/>
        <v>5.25</v>
      </c>
      <c r="J58" s="4">
        <f t="shared" si="5"/>
        <v>8.5</v>
      </c>
    </row>
    <row r="59" spans="1:10" ht="15.75" x14ac:dyDescent="0.25">
      <c r="A59" s="29" t="s">
        <v>108</v>
      </c>
      <c r="B59" s="58"/>
      <c r="C59" s="58"/>
      <c r="D59" s="58"/>
      <c r="E59" s="58">
        <v>1</v>
      </c>
      <c r="F59" s="58"/>
      <c r="G59" s="58"/>
      <c r="H59" s="2">
        <f t="shared" si="3"/>
        <v>3.25</v>
      </c>
      <c r="I59" s="2">
        <f t="shared" si="4"/>
        <v>4.25</v>
      </c>
      <c r="J59" s="4">
        <f t="shared" si="5"/>
        <v>7.5</v>
      </c>
    </row>
    <row r="60" spans="1:10" ht="15.75" x14ac:dyDescent="0.25">
      <c r="A60" s="29" t="s">
        <v>109</v>
      </c>
      <c r="B60" s="58"/>
      <c r="C60" s="58"/>
      <c r="D60" s="58">
        <v>0.5</v>
      </c>
      <c r="E60" s="58"/>
      <c r="F60" s="58"/>
      <c r="G60" s="58"/>
      <c r="H60" s="2">
        <f t="shared" si="3"/>
        <v>2.75</v>
      </c>
      <c r="I60" s="2">
        <f t="shared" si="4"/>
        <v>4.25</v>
      </c>
      <c r="J60" s="4">
        <f t="shared" si="5"/>
        <v>7</v>
      </c>
    </row>
    <row r="61" spans="1:10" s="1" customFormat="1" ht="15.75" x14ac:dyDescent="0.25">
      <c r="A61" s="29" t="s">
        <v>110</v>
      </c>
      <c r="B61" s="58">
        <v>1.25</v>
      </c>
      <c r="C61" s="58">
        <v>1.25</v>
      </c>
      <c r="D61" s="58"/>
      <c r="E61" s="58"/>
      <c r="F61" s="58"/>
      <c r="G61" s="58"/>
      <c r="H61" s="2">
        <f t="shared" si="3"/>
        <v>4</v>
      </c>
      <c r="I61" s="2">
        <f t="shared" si="4"/>
        <v>5.5</v>
      </c>
      <c r="J61" s="4">
        <f t="shared" si="5"/>
        <v>9.5</v>
      </c>
    </row>
    <row r="62" spans="1:10" s="62" customFormat="1" ht="15" customHeight="1" x14ac:dyDescent="0.25">
      <c r="A62" s="29" t="s">
        <v>111</v>
      </c>
      <c r="B62" s="29"/>
      <c r="C62" s="29"/>
      <c r="D62" s="29"/>
      <c r="E62" s="29">
        <v>1</v>
      </c>
      <c r="F62" s="29"/>
      <c r="G62" s="29"/>
      <c r="H62" s="2">
        <f t="shared" si="3"/>
        <v>4</v>
      </c>
      <c r="I62" s="2">
        <f t="shared" si="4"/>
        <v>4.5</v>
      </c>
      <c r="J62" s="4">
        <f t="shared" si="5"/>
        <v>8.5</v>
      </c>
    </row>
    <row r="63" spans="1:10" s="62" customFormat="1" ht="15" customHeight="1" x14ac:dyDescent="0.25">
      <c r="A63" s="29" t="s">
        <v>112</v>
      </c>
      <c r="B63" s="29">
        <v>1.25</v>
      </c>
      <c r="C63" s="29">
        <v>1.25</v>
      </c>
      <c r="D63" s="29"/>
      <c r="E63" s="29"/>
      <c r="F63" s="29"/>
      <c r="G63" s="29"/>
      <c r="H63" s="2">
        <f t="shared" si="3"/>
        <v>5.25</v>
      </c>
      <c r="I63" s="2">
        <f t="shared" si="4"/>
        <v>5.75</v>
      </c>
      <c r="J63" s="4">
        <f t="shared" si="5"/>
        <v>11</v>
      </c>
    </row>
    <row r="64" spans="1:10" s="62" customFormat="1" ht="15" customHeight="1" x14ac:dyDescent="0.25">
      <c r="A64" s="29" t="s">
        <v>117</v>
      </c>
      <c r="B64" s="29">
        <v>1.25</v>
      </c>
      <c r="C64" s="29">
        <v>1.25</v>
      </c>
      <c r="D64" s="29"/>
      <c r="E64" s="29"/>
      <c r="F64" s="29"/>
      <c r="G64" s="29"/>
      <c r="H64" s="2">
        <f t="shared" si="3"/>
        <v>6.5</v>
      </c>
      <c r="I64" s="2">
        <f t="shared" si="4"/>
        <v>7</v>
      </c>
      <c r="J64" s="4">
        <f t="shared" si="5"/>
        <v>13.5</v>
      </c>
    </row>
    <row r="65" spans="1:11" s="62" customFormat="1" ht="15" customHeight="1" x14ac:dyDescent="0.25">
      <c r="A65" s="29" t="s">
        <v>118</v>
      </c>
      <c r="B65" s="29"/>
      <c r="C65" s="29"/>
      <c r="D65" s="29"/>
      <c r="E65" s="29">
        <v>1</v>
      </c>
      <c r="F65" s="29"/>
      <c r="G65" s="29"/>
      <c r="H65" s="2">
        <f t="shared" si="3"/>
        <v>6.5</v>
      </c>
      <c r="I65" s="2">
        <f t="shared" si="4"/>
        <v>6</v>
      </c>
      <c r="J65" s="4">
        <f t="shared" si="5"/>
        <v>12.5</v>
      </c>
    </row>
    <row r="66" spans="1:11" s="62" customFormat="1" ht="15" customHeight="1" x14ac:dyDescent="0.25">
      <c r="A66" s="85" t="s">
        <v>171</v>
      </c>
      <c r="B66" s="85"/>
      <c r="C66" s="85"/>
      <c r="D66" s="85"/>
      <c r="E66" s="85"/>
      <c r="F66" s="85">
        <v>1</v>
      </c>
      <c r="G66" s="85"/>
      <c r="H66" s="2">
        <f t="shared" si="3"/>
        <v>5.5</v>
      </c>
      <c r="I66" s="2">
        <f t="shared" si="4"/>
        <v>6</v>
      </c>
      <c r="J66" s="4">
        <f t="shared" si="5"/>
        <v>11.5</v>
      </c>
    </row>
    <row r="67" spans="1:11" s="62" customFormat="1" ht="15" customHeight="1" x14ac:dyDescent="0.25">
      <c r="A67" s="67" t="s">
        <v>119</v>
      </c>
      <c r="B67" s="67"/>
      <c r="C67" s="67"/>
      <c r="D67" s="67"/>
      <c r="E67" s="67"/>
      <c r="F67" s="85">
        <v>1</v>
      </c>
      <c r="G67" s="85"/>
      <c r="H67" s="2">
        <f t="shared" si="3"/>
        <v>4.5</v>
      </c>
      <c r="I67" s="2">
        <f t="shared" si="4"/>
        <v>6</v>
      </c>
      <c r="J67" s="4">
        <f t="shared" si="5"/>
        <v>10.5</v>
      </c>
    </row>
    <row r="68" spans="1:11" s="63" customFormat="1" ht="15" customHeight="1" x14ac:dyDescent="0.25">
      <c r="A68" s="10" t="s">
        <v>121</v>
      </c>
      <c r="B68" s="10">
        <v>1.25</v>
      </c>
      <c r="C68" s="10">
        <v>1.25</v>
      </c>
      <c r="D68" s="10"/>
      <c r="E68" s="10"/>
      <c r="F68" s="29"/>
      <c r="G68" s="29"/>
      <c r="H68" s="2">
        <f t="shared" si="3"/>
        <v>5.75</v>
      </c>
      <c r="I68" s="2">
        <f t="shared" si="4"/>
        <v>7.25</v>
      </c>
      <c r="J68" s="4">
        <f t="shared" si="5"/>
        <v>13</v>
      </c>
      <c r="K68" s="71"/>
    </row>
    <row r="69" spans="1:11" s="62" customFormat="1" ht="15" customHeight="1" x14ac:dyDescent="0.25">
      <c r="A69" s="10" t="s">
        <v>122</v>
      </c>
      <c r="B69" s="10"/>
      <c r="C69" s="10"/>
      <c r="D69" s="10"/>
      <c r="E69" s="10"/>
      <c r="F69" s="29">
        <v>2</v>
      </c>
      <c r="G69" s="29"/>
      <c r="H69" s="2">
        <f t="shared" si="3"/>
        <v>3.75</v>
      </c>
      <c r="I69" s="2">
        <f t="shared" si="4"/>
        <v>7.25</v>
      </c>
      <c r="J69" s="4">
        <f t="shared" si="5"/>
        <v>11</v>
      </c>
    </row>
    <row r="70" spans="1:11" s="62" customFormat="1" ht="15" customHeight="1" x14ac:dyDescent="0.25">
      <c r="A70" s="10" t="s">
        <v>123</v>
      </c>
      <c r="B70" s="10"/>
      <c r="C70" s="10"/>
      <c r="D70" s="10"/>
      <c r="E70" s="10"/>
      <c r="F70" s="29"/>
      <c r="G70" s="29">
        <v>1</v>
      </c>
      <c r="H70" s="2">
        <f t="shared" si="3"/>
        <v>3.75</v>
      </c>
      <c r="I70" s="2">
        <f t="shared" si="4"/>
        <v>7.25</v>
      </c>
      <c r="J70" s="4">
        <f t="shared" si="5"/>
        <v>11</v>
      </c>
    </row>
    <row r="71" spans="1:11" s="62" customFormat="1" ht="15" customHeight="1" x14ac:dyDescent="0.25">
      <c r="A71" s="10" t="s">
        <v>124</v>
      </c>
      <c r="B71" s="10">
        <v>3.75</v>
      </c>
      <c r="C71" s="10">
        <v>3.75</v>
      </c>
      <c r="D71" s="10"/>
      <c r="E71" s="10"/>
      <c r="F71" s="29"/>
      <c r="G71" s="29"/>
      <c r="H71" s="2">
        <f t="shared" si="3"/>
        <v>7.5</v>
      </c>
      <c r="I71" s="2">
        <f t="shared" si="4"/>
        <v>11</v>
      </c>
      <c r="J71" s="4">
        <f t="shared" si="5"/>
        <v>18.5</v>
      </c>
    </row>
    <row r="72" spans="1:11" s="62" customFormat="1" ht="15" customHeight="1" x14ac:dyDescent="0.25">
      <c r="A72" s="10" t="s">
        <v>125</v>
      </c>
      <c r="B72" s="10"/>
      <c r="C72" s="10"/>
      <c r="D72" s="10"/>
      <c r="E72" s="10"/>
      <c r="F72" s="29">
        <v>1</v>
      </c>
      <c r="G72" s="29"/>
      <c r="H72" s="2">
        <f t="shared" si="3"/>
        <v>6.5</v>
      </c>
      <c r="I72" s="2">
        <f t="shared" si="4"/>
        <v>11</v>
      </c>
      <c r="J72" s="4">
        <f t="shared" si="5"/>
        <v>17.5</v>
      </c>
    </row>
    <row r="73" spans="1:11" s="62" customFormat="1" ht="15" customHeight="1" x14ac:dyDescent="0.25">
      <c r="A73" s="10" t="s">
        <v>130</v>
      </c>
      <c r="B73" s="10">
        <v>2.5</v>
      </c>
      <c r="C73" s="10">
        <v>2.5</v>
      </c>
      <c r="D73" s="10"/>
      <c r="E73" s="10"/>
      <c r="F73" s="29"/>
      <c r="G73" s="29"/>
      <c r="H73" s="2">
        <f t="shared" si="3"/>
        <v>9</v>
      </c>
      <c r="I73" s="2">
        <f t="shared" si="4"/>
        <v>13.5</v>
      </c>
      <c r="J73" s="4">
        <f t="shared" si="5"/>
        <v>22.5</v>
      </c>
    </row>
    <row r="74" spans="1:11" s="62" customFormat="1" ht="15" customHeight="1" x14ac:dyDescent="0.25">
      <c r="A74" s="10" t="s">
        <v>140</v>
      </c>
      <c r="B74" s="10">
        <v>1.25</v>
      </c>
      <c r="C74" s="10">
        <v>1.25</v>
      </c>
      <c r="D74" s="10"/>
      <c r="E74" s="10"/>
      <c r="F74" s="29"/>
      <c r="G74" s="29"/>
      <c r="H74" s="2">
        <f t="shared" si="3"/>
        <v>10.25</v>
      </c>
      <c r="I74" s="2">
        <f t="shared" si="4"/>
        <v>14.75</v>
      </c>
      <c r="J74" s="4">
        <f t="shared" si="5"/>
        <v>25</v>
      </c>
    </row>
    <row r="75" spans="1:11" s="87" customFormat="1" ht="15" customHeight="1" x14ac:dyDescent="0.25">
      <c r="A75" s="29" t="s">
        <v>138</v>
      </c>
      <c r="B75" s="29"/>
      <c r="C75" s="29"/>
      <c r="D75" s="29"/>
      <c r="E75" s="29"/>
      <c r="F75" s="29"/>
      <c r="G75" s="29">
        <v>2</v>
      </c>
      <c r="H75" s="2">
        <f t="shared" si="3"/>
        <v>10.25</v>
      </c>
      <c r="I75" s="2">
        <f t="shared" si="4"/>
        <v>14.75</v>
      </c>
      <c r="J75" s="4">
        <f t="shared" si="5"/>
        <v>25</v>
      </c>
    </row>
    <row r="76" spans="1:11" s="87" customFormat="1" ht="15" customHeight="1" x14ac:dyDescent="0.25">
      <c r="A76" s="29" t="s">
        <v>141</v>
      </c>
      <c r="B76" s="29">
        <v>2.5</v>
      </c>
      <c r="C76" s="29">
        <v>2.5</v>
      </c>
      <c r="D76" s="29"/>
      <c r="E76" s="29"/>
      <c r="F76" s="29"/>
      <c r="G76" s="29"/>
      <c r="H76" s="2">
        <f t="shared" si="3"/>
        <v>12.75</v>
      </c>
      <c r="I76" s="2">
        <f t="shared" si="4"/>
        <v>17.25</v>
      </c>
      <c r="J76" s="4">
        <f t="shared" si="5"/>
        <v>30</v>
      </c>
    </row>
    <row r="77" spans="1:11" s="87" customFormat="1" ht="15" customHeight="1" x14ac:dyDescent="0.25">
      <c r="A77" s="29" t="s">
        <v>139</v>
      </c>
      <c r="B77" s="29"/>
      <c r="C77" s="29"/>
      <c r="D77" s="29"/>
      <c r="E77" s="29">
        <v>1</v>
      </c>
      <c r="F77" s="29"/>
      <c r="G77" s="29"/>
      <c r="H77" s="2">
        <f t="shared" si="3"/>
        <v>12.75</v>
      </c>
      <c r="I77" s="2">
        <f t="shared" si="4"/>
        <v>16.25</v>
      </c>
      <c r="J77" s="4">
        <f t="shared" si="5"/>
        <v>29</v>
      </c>
    </row>
    <row r="78" spans="1:11" s="87" customFormat="1" ht="15" customHeight="1" x14ac:dyDescent="0.25">
      <c r="A78" s="29" t="s">
        <v>142</v>
      </c>
      <c r="B78" s="29">
        <v>2.5</v>
      </c>
      <c r="C78" s="29">
        <v>2.5</v>
      </c>
      <c r="D78" s="29"/>
      <c r="E78" s="29"/>
      <c r="F78" s="29"/>
      <c r="G78" s="29"/>
      <c r="H78" s="2">
        <f t="shared" si="3"/>
        <v>15.25</v>
      </c>
      <c r="I78" s="2">
        <f t="shared" si="4"/>
        <v>18.75</v>
      </c>
      <c r="J78" s="4">
        <f t="shared" si="5"/>
        <v>34</v>
      </c>
    </row>
    <row r="79" spans="1:11" s="87" customFormat="1" ht="15" customHeight="1" x14ac:dyDescent="0.25">
      <c r="A79" s="29" t="s">
        <v>143</v>
      </c>
      <c r="B79" s="29"/>
      <c r="C79" s="29"/>
      <c r="D79" s="29">
        <v>10</v>
      </c>
      <c r="E79" s="29"/>
      <c r="F79" s="29"/>
      <c r="G79" s="29"/>
      <c r="H79" s="2">
        <f t="shared" si="3"/>
        <v>5.25</v>
      </c>
      <c r="I79" s="2">
        <f t="shared" si="4"/>
        <v>18.75</v>
      </c>
      <c r="J79" s="4">
        <f t="shared" si="5"/>
        <v>24</v>
      </c>
    </row>
    <row r="80" spans="1:11" s="87" customFormat="1" ht="15" customHeight="1" x14ac:dyDescent="0.25">
      <c r="A80" s="29" t="s">
        <v>144</v>
      </c>
      <c r="B80" s="29"/>
      <c r="C80" s="29"/>
      <c r="D80" s="29"/>
      <c r="E80" s="29">
        <v>1</v>
      </c>
      <c r="F80" s="29"/>
      <c r="G80" s="29"/>
      <c r="H80" s="2">
        <f t="shared" si="3"/>
        <v>5.25</v>
      </c>
      <c r="I80" s="2">
        <f t="shared" si="4"/>
        <v>17.75</v>
      </c>
      <c r="J80" s="4">
        <f t="shared" si="5"/>
        <v>23</v>
      </c>
    </row>
    <row r="81" spans="1:10" s="87" customFormat="1" ht="15" customHeight="1" x14ac:dyDescent="0.25">
      <c r="A81" s="29" t="s">
        <v>160</v>
      </c>
      <c r="B81" s="29">
        <v>1.25</v>
      </c>
      <c r="C81" s="29">
        <v>1.25</v>
      </c>
      <c r="D81" s="29"/>
      <c r="E81" s="29"/>
      <c r="F81" s="29"/>
      <c r="G81" s="29"/>
      <c r="H81" s="2">
        <f t="shared" si="3"/>
        <v>6.5</v>
      </c>
      <c r="I81" s="2">
        <f t="shared" si="4"/>
        <v>19</v>
      </c>
      <c r="J81" s="4">
        <f t="shared" si="5"/>
        <v>25.5</v>
      </c>
    </row>
    <row r="82" spans="1:10" s="87" customFormat="1" ht="15" customHeight="1" x14ac:dyDescent="0.25">
      <c r="A82" s="29" t="s">
        <v>172</v>
      </c>
      <c r="B82" s="29"/>
      <c r="C82" s="29"/>
      <c r="D82" s="29"/>
      <c r="E82" s="29"/>
      <c r="F82" s="29">
        <v>1</v>
      </c>
      <c r="G82" s="29"/>
      <c r="H82" s="2">
        <f t="shared" ref="H82:H89" si="6">H81-F82-D82+B82</f>
        <v>5.5</v>
      </c>
      <c r="I82" s="2">
        <f t="shared" ref="I82:I89" si="7">I81-E82+C82</f>
        <v>19</v>
      </c>
      <c r="J82" s="4">
        <f t="shared" ref="J82:J89" si="8">SUM(H82:I82)</f>
        <v>24.5</v>
      </c>
    </row>
    <row r="83" spans="1:10" s="87" customFormat="1" ht="15" customHeight="1" x14ac:dyDescent="0.25">
      <c r="A83" s="29" t="s">
        <v>161</v>
      </c>
      <c r="B83" s="29">
        <v>1.25</v>
      </c>
      <c r="C83" s="29">
        <v>1.25</v>
      </c>
      <c r="D83" s="29"/>
      <c r="E83" s="29"/>
      <c r="F83" s="29"/>
      <c r="G83" s="29"/>
      <c r="H83" s="2">
        <f t="shared" si="6"/>
        <v>6.75</v>
      </c>
      <c r="I83" s="2">
        <f t="shared" si="7"/>
        <v>20.25</v>
      </c>
      <c r="J83" s="4">
        <f t="shared" si="8"/>
        <v>27</v>
      </c>
    </row>
    <row r="84" spans="1:10" s="87" customFormat="1" ht="15" customHeight="1" x14ac:dyDescent="0.25">
      <c r="A84" s="29" t="s">
        <v>162</v>
      </c>
      <c r="B84" s="29"/>
      <c r="C84" s="29"/>
      <c r="D84" s="29"/>
      <c r="E84" s="29">
        <v>1</v>
      </c>
      <c r="F84" s="29"/>
      <c r="G84" s="29"/>
      <c r="H84" s="2">
        <f t="shared" si="6"/>
        <v>6.75</v>
      </c>
      <c r="I84" s="2">
        <f t="shared" si="7"/>
        <v>19.25</v>
      </c>
      <c r="J84" s="4">
        <f t="shared" si="8"/>
        <v>26</v>
      </c>
    </row>
    <row r="85" spans="1:10" s="87" customFormat="1" ht="15" customHeight="1" x14ac:dyDescent="0.25">
      <c r="A85" s="29" t="s">
        <v>163</v>
      </c>
      <c r="B85" s="29">
        <v>2.5</v>
      </c>
      <c r="C85" s="29">
        <v>2.5</v>
      </c>
      <c r="D85" s="29"/>
      <c r="E85" s="29"/>
      <c r="F85" s="29"/>
      <c r="G85" s="29"/>
      <c r="H85" s="2">
        <f t="shared" si="6"/>
        <v>9.25</v>
      </c>
      <c r="I85" s="2">
        <f t="shared" si="7"/>
        <v>21.75</v>
      </c>
      <c r="J85" s="4">
        <f t="shared" si="8"/>
        <v>31</v>
      </c>
    </row>
    <row r="86" spans="1:10" s="87" customFormat="1" ht="15" customHeight="1" x14ac:dyDescent="0.25">
      <c r="A86" s="29" t="s">
        <v>164</v>
      </c>
      <c r="B86" s="29"/>
      <c r="C86" s="29"/>
      <c r="D86" s="29"/>
      <c r="E86" s="29"/>
      <c r="F86" s="76">
        <v>2</v>
      </c>
      <c r="G86" s="29"/>
      <c r="H86" s="2">
        <f t="shared" si="6"/>
        <v>7.25</v>
      </c>
      <c r="I86" s="2">
        <f t="shared" si="7"/>
        <v>21.75</v>
      </c>
      <c r="J86" s="4">
        <f t="shared" si="8"/>
        <v>29</v>
      </c>
    </row>
    <row r="87" spans="1:10" s="87" customFormat="1" ht="15" customHeight="1" x14ac:dyDescent="0.25">
      <c r="A87" s="29" t="s">
        <v>165</v>
      </c>
      <c r="B87" s="29"/>
      <c r="C87" s="29"/>
      <c r="D87" s="29"/>
      <c r="E87" s="29"/>
      <c r="F87" s="76">
        <v>2</v>
      </c>
      <c r="G87" s="29"/>
      <c r="H87" s="2">
        <f t="shared" si="6"/>
        <v>5.25</v>
      </c>
      <c r="I87" s="2">
        <f t="shared" si="7"/>
        <v>21.75</v>
      </c>
      <c r="J87" s="4">
        <f t="shared" si="8"/>
        <v>27</v>
      </c>
    </row>
    <row r="88" spans="1:10" s="87" customFormat="1" ht="15" customHeight="1" x14ac:dyDescent="0.25">
      <c r="A88" s="29" t="s">
        <v>168</v>
      </c>
      <c r="B88" s="29">
        <v>2.5</v>
      </c>
      <c r="C88" s="29">
        <v>2.5</v>
      </c>
      <c r="D88" s="29"/>
      <c r="E88" s="29"/>
      <c r="F88" s="29"/>
      <c r="G88" s="29"/>
      <c r="H88" s="2">
        <f t="shared" si="6"/>
        <v>7.75</v>
      </c>
      <c r="I88" s="2">
        <f t="shared" si="7"/>
        <v>24.25</v>
      </c>
      <c r="J88" s="4">
        <f t="shared" si="8"/>
        <v>32</v>
      </c>
    </row>
    <row r="89" spans="1:10" s="87" customFormat="1" ht="15" customHeight="1" x14ac:dyDescent="0.25">
      <c r="A89" s="29" t="s">
        <v>169</v>
      </c>
      <c r="B89" s="29"/>
      <c r="C89" s="29"/>
      <c r="D89" s="29"/>
      <c r="E89" s="29"/>
      <c r="F89" s="76">
        <v>1</v>
      </c>
      <c r="G89" s="29"/>
      <c r="H89" s="2">
        <f t="shared" si="6"/>
        <v>6.75</v>
      </c>
      <c r="I89" s="2">
        <f t="shared" si="7"/>
        <v>24.25</v>
      </c>
      <c r="J89" s="4">
        <f t="shared" si="8"/>
        <v>31</v>
      </c>
    </row>
    <row r="90" spans="1:10" s="87" customFormat="1" ht="15" customHeight="1" x14ac:dyDescent="0.25">
      <c r="A90" s="29" t="s">
        <v>177</v>
      </c>
      <c r="B90" s="29">
        <v>2.5</v>
      </c>
      <c r="C90" s="29">
        <v>2.5</v>
      </c>
      <c r="D90" s="29"/>
      <c r="E90" s="29"/>
      <c r="F90" s="29"/>
      <c r="G90" s="29"/>
      <c r="H90" s="2">
        <f t="shared" ref="H90" si="9">H89-F90-D90+B90</f>
        <v>9.25</v>
      </c>
      <c r="I90" s="2">
        <f t="shared" ref="I90" si="10">I89-E90+C90</f>
        <v>26.75</v>
      </c>
      <c r="J90" s="4">
        <f t="shared" ref="J90" si="11">SUM(H90:I90)</f>
        <v>36</v>
      </c>
    </row>
    <row r="91" spans="1:10" s="87" customFormat="1" ht="15" customHeight="1" x14ac:dyDescent="0.25">
      <c r="A91" s="29" t="s">
        <v>178</v>
      </c>
      <c r="B91" s="29"/>
      <c r="C91" s="29"/>
      <c r="D91" s="29"/>
      <c r="E91" s="29"/>
      <c r="F91" s="29"/>
      <c r="G91" s="75">
        <v>2</v>
      </c>
      <c r="H91" s="2">
        <f t="shared" ref="H91" si="12">H90-F91-D91+B91</f>
        <v>9.25</v>
      </c>
      <c r="I91" s="2">
        <f t="shared" ref="I91" si="13">I90-E91+C91</f>
        <v>26.75</v>
      </c>
      <c r="J91" s="4">
        <f t="shared" ref="J91" si="14">SUM(H91:I91)</f>
        <v>36</v>
      </c>
    </row>
    <row r="92" spans="1:10" s="87" customFormat="1" ht="15" customHeight="1" x14ac:dyDescent="0.25">
      <c r="A92" s="29"/>
      <c r="B92" s="29"/>
      <c r="C92" s="29"/>
      <c r="D92" s="29"/>
      <c r="E92" s="29"/>
      <c r="F92" s="29"/>
      <c r="G92" s="29"/>
      <c r="H92" s="110"/>
      <c r="I92" s="110"/>
      <c r="J92" s="110"/>
    </row>
    <row r="93" spans="1:10" s="87" customFormat="1" ht="15" customHeight="1" x14ac:dyDescent="0.25">
      <c r="A93" s="52"/>
      <c r="B93" s="52"/>
      <c r="C93" s="52"/>
      <c r="D93" s="52"/>
      <c r="E93" s="52"/>
      <c r="F93" s="52"/>
      <c r="G93" s="52"/>
      <c r="H93" s="82"/>
      <c r="I93" s="82"/>
      <c r="J93" s="82"/>
    </row>
    <row r="94" spans="1:10" s="62" customFormat="1" ht="15" customHeight="1" x14ac:dyDescent="0.25">
      <c r="A94" s="48"/>
      <c r="B94" s="48"/>
      <c r="C94" s="48"/>
      <c r="D94" s="48"/>
      <c r="E94" s="48"/>
      <c r="F94" s="48"/>
      <c r="G94" s="48"/>
      <c r="H94" s="70"/>
      <c r="I94" s="70"/>
      <c r="J94" s="82"/>
    </row>
    <row r="95" spans="1:10" s="62" customFormat="1" ht="15" customHeight="1" x14ac:dyDescent="0.25">
      <c r="B95" s="48"/>
      <c r="C95" s="48"/>
      <c r="D95" s="48"/>
      <c r="E95" s="48"/>
      <c r="F95" s="48"/>
      <c r="G95" s="72" t="s">
        <v>84</v>
      </c>
      <c r="H95" s="70"/>
      <c r="I95" s="70"/>
      <c r="J95" s="70"/>
    </row>
    <row r="96" spans="1:10" s="62" customFormat="1" ht="15" customHeight="1" x14ac:dyDescent="0.25">
      <c r="B96" s="48"/>
      <c r="C96" s="48"/>
      <c r="D96" s="48"/>
      <c r="E96" s="48"/>
      <c r="F96" s="48"/>
      <c r="G96" s="48"/>
      <c r="H96" s="70"/>
      <c r="I96" s="70"/>
      <c r="J96" s="70"/>
    </row>
    <row r="97" spans="2:11" s="62" customFormat="1" ht="15" customHeight="1" x14ac:dyDescent="0.25">
      <c r="B97" s="48"/>
      <c r="C97" s="48"/>
      <c r="D97" s="48"/>
      <c r="E97" s="48"/>
      <c r="F97" s="48"/>
      <c r="H97" s="86" t="s">
        <v>85</v>
      </c>
    </row>
    <row r="98" spans="2:11" s="62" customFormat="1" ht="15" customHeight="1" x14ac:dyDescent="0.25">
      <c r="B98" s="48"/>
      <c r="C98" s="48"/>
      <c r="D98" s="48"/>
      <c r="E98" s="48"/>
      <c r="F98" s="48"/>
      <c r="H98" s="48" t="s">
        <v>86</v>
      </c>
    </row>
    <row r="99" spans="2:11" ht="15" customHeight="1" x14ac:dyDescent="0.25">
      <c r="B99" s="11"/>
      <c r="C99" s="11"/>
      <c r="D99" s="11"/>
      <c r="E99" s="11"/>
      <c r="F99" s="11"/>
      <c r="H99" s="48" t="s">
        <v>87</v>
      </c>
      <c r="I99" s="1"/>
      <c r="J99" s="1"/>
      <c r="K99" s="1"/>
    </row>
    <row r="100" spans="2:11" x14ac:dyDescent="0.25">
      <c r="B100" s="61"/>
      <c r="C100" s="61"/>
      <c r="D100" s="61"/>
      <c r="E100" s="61"/>
      <c r="F100" s="61"/>
      <c r="G100" s="61"/>
      <c r="H100" s="61"/>
      <c r="I100" s="61"/>
      <c r="J100" s="61"/>
    </row>
    <row r="101" spans="2:11" x14ac:dyDescent="0.25">
      <c r="B101" s="61"/>
      <c r="C101" s="61"/>
      <c r="D101" s="61"/>
      <c r="E101" s="61"/>
      <c r="F101" s="61"/>
      <c r="G101" s="61"/>
      <c r="H101" s="61"/>
      <c r="I101" s="61"/>
      <c r="J101" s="61"/>
    </row>
    <row r="102" spans="2:11" x14ac:dyDescent="0.25">
      <c r="B102" s="61"/>
      <c r="C102" s="61"/>
      <c r="D102" s="61"/>
      <c r="E102" s="61"/>
      <c r="F102" s="61"/>
      <c r="G102" s="61"/>
      <c r="H102" s="61"/>
      <c r="I102" s="61"/>
      <c r="J102" s="61"/>
    </row>
  </sheetData>
  <mergeCells count="12">
    <mergeCell ref="A2:J2"/>
    <mergeCell ref="A3:J3"/>
    <mergeCell ref="A4:J4"/>
    <mergeCell ref="A5:J5"/>
    <mergeCell ref="B7:D7"/>
    <mergeCell ref="A11:A12"/>
    <mergeCell ref="J11:J12"/>
    <mergeCell ref="D11:G11"/>
    <mergeCell ref="H11:I11"/>
    <mergeCell ref="B9:D9"/>
    <mergeCell ref="A10:J10"/>
    <mergeCell ref="B11:C11"/>
  </mergeCells>
  <printOptions horizontalCentered="1"/>
  <pageMargins left="0.23622047244094491" right="0.23622047244094491" top="0.62992125984251968" bottom="0.23622047244094491" header="0.31496062992125984" footer="0.31496062992125984"/>
  <pageSetup paperSize="9" scale="71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2083-EBBA-458A-8FF2-F14348CF243C}">
  <sheetPr>
    <pageSetUpPr fitToPage="1"/>
  </sheetPr>
  <dimension ref="A1:M27"/>
  <sheetViews>
    <sheetView tabSelected="1" view="pageBreakPreview" topLeftCell="A4" zoomScale="112" zoomScaleNormal="100" zoomScaleSheetLayoutView="112" workbookViewId="0">
      <selection activeCell="O22" sqref="O22"/>
    </sheetView>
  </sheetViews>
  <sheetFormatPr defaultColWidth="8.7109375" defaultRowHeight="15" x14ac:dyDescent="0.25"/>
  <cols>
    <col min="1" max="1" width="33.5703125" style="37" customWidth="1"/>
    <col min="2" max="16384" width="8.7109375" style="37"/>
  </cols>
  <sheetData>
    <row r="1" spans="1:12" s="32" customFormat="1" ht="52.5" customHeight="1" x14ac:dyDescent="0.25"/>
    <row r="2" spans="1:12" s="32" customFormat="1" ht="10.5" customHeight="1" x14ac:dyDescent="0.25">
      <c r="A2" s="132" t="s">
        <v>27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</row>
    <row r="3" spans="1:12" s="32" customFormat="1" ht="15.95" customHeight="1" x14ac:dyDescent="0.25">
      <c r="A3" s="132" t="s">
        <v>28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</row>
    <row r="4" spans="1:12" s="32" customFormat="1" ht="15.95" customHeight="1" x14ac:dyDescent="0.25">
      <c r="A4" s="132" t="s">
        <v>29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</row>
    <row r="5" spans="1:12" s="32" customFormat="1" ht="15.95" customHeight="1" x14ac:dyDescent="0.25">
      <c r="A5" s="132" t="s">
        <v>30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</row>
    <row r="6" spans="1:12" s="32" customFormat="1" ht="8.25" customHeight="1" x14ac:dyDescent="0.25"/>
    <row r="7" spans="1:12" s="32" customFormat="1" ht="12" customHeight="1" x14ac:dyDescent="0.25">
      <c r="A7" s="32" t="s">
        <v>75</v>
      </c>
      <c r="C7" s="33" t="s">
        <v>76</v>
      </c>
      <c r="D7" s="33"/>
      <c r="G7" s="33" t="s">
        <v>9</v>
      </c>
      <c r="H7" s="34"/>
    </row>
    <row r="8" spans="1:12" s="32" customFormat="1" ht="12" customHeight="1" x14ac:dyDescent="0.25">
      <c r="C8" s="35"/>
      <c r="G8" s="35"/>
      <c r="H8" s="35"/>
    </row>
    <row r="9" spans="1:12" s="32" customFormat="1" ht="12" customHeight="1" x14ac:dyDescent="0.25">
      <c r="A9" s="32" t="s">
        <v>77</v>
      </c>
      <c r="C9" s="33" t="s">
        <v>78</v>
      </c>
      <c r="D9" s="33"/>
      <c r="G9" s="33" t="s">
        <v>10</v>
      </c>
      <c r="H9" s="36"/>
    </row>
    <row r="10" spans="1:12" ht="16.5" customHeight="1" thickBot="1" x14ac:dyDescent="0.3">
      <c r="A10" s="133" t="s">
        <v>79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</row>
    <row r="11" spans="1:12" s="38" customFormat="1" ht="18.75" customHeight="1" x14ac:dyDescent="0.2">
      <c r="A11" s="134" t="s">
        <v>4</v>
      </c>
      <c r="B11" s="136" t="s">
        <v>5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8" t="s">
        <v>8</v>
      </c>
    </row>
    <row r="12" spans="1:12" s="38" customFormat="1" ht="24" customHeight="1" x14ac:dyDescent="0.2">
      <c r="A12" s="135"/>
      <c r="B12" s="140" t="s">
        <v>80</v>
      </c>
      <c r="C12" s="141"/>
      <c r="D12" s="141"/>
      <c r="E12" s="142"/>
      <c r="F12" s="140" t="s">
        <v>39</v>
      </c>
      <c r="G12" s="142"/>
      <c r="H12" s="140" t="s">
        <v>40</v>
      </c>
      <c r="I12" s="142"/>
      <c r="J12" s="140" t="s">
        <v>41</v>
      </c>
      <c r="K12" s="142"/>
      <c r="L12" s="139"/>
    </row>
    <row r="13" spans="1:12" s="38" customFormat="1" ht="24.95" customHeight="1" x14ac:dyDescent="0.2">
      <c r="A13" s="78" t="s">
        <v>126</v>
      </c>
      <c r="B13" s="125" t="s">
        <v>127</v>
      </c>
      <c r="C13" s="126"/>
      <c r="D13" s="126"/>
      <c r="E13" s="127"/>
      <c r="F13" s="125">
        <v>3</v>
      </c>
      <c r="G13" s="127"/>
      <c r="H13" s="125">
        <v>0</v>
      </c>
      <c r="I13" s="127"/>
      <c r="J13" s="125">
        <v>3</v>
      </c>
      <c r="K13" s="127"/>
      <c r="L13" s="79">
        <v>3</v>
      </c>
    </row>
    <row r="14" spans="1:12" s="42" customFormat="1" ht="25.5" customHeight="1" x14ac:dyDescent="0.2">
      <c r="A14" s="78" t="s">
        <v>128</v>
      </c>
      <c r="B14" s="125" t="s">
        <v>127</v>
      </c>
      <c r="C14" s="126"/>
      <c r="D14" s="126"/>
      <c r="E14" s="127"/>
      <c r="F14" s="125"/>
      <c r="G14" s="127"/>
      <c r="H14" s="125">
        <v>1</v>
      </c>
      <c r="I14" s="127"/>
      <c r="J14" s="125">
        <v>2</v>
      </c>
      <c r="K14" s="127"/>
      <c r="L14" s="79">
        <v>2</v>
      </c>
    </row>
    <row r="15" spans="1:12" s="42" customFormat="1" ht="25.5" customHeight="1" x14ac:dyDescent="0.2">
      <c r="A15" s="80" t="s">
        <v>129</v>
      </c>
      <c r="B15" s="125" t="s">
        <v>127</v>
      </c>
      <c r="C15" s="126"/>
      <c r="D15" s="126"/>
      <c r="E15" s="127"/>
      <c r="F15" s="125"/>
      <c r="G15" s="127"/>
      <c r="H15" s="125">
        <v>1</v>
      </c>
      <c r="I15" s="127"/>
      <c r="J15" s="125">
        <v>1</v>
      </c>
      <c r="K15" s="127"/>
      <c r="L15" s="81">
        <v>1</v>
      </c>
    </row>
    <row r="16" spans="1:12" s="42" customFormat="1" ht="25.5" customHeight="1" x14ac:dyDescent="0.2">
      <c r="A16" s="80" t="s">
        <v>137</v>
      </c>
      <c r="B16" s="125" t="s">
        <v>127</v>
      </c>
      <c r="C16" s="126"/>
      <c r="D16" s="126"/>
      <c r="E16" s="127"/>
      <c r="F16" s="125"/>
      <c r="G16" s="127"/>
      <c r="H16" s="125">
        <v>1</v>
      </c>
      <c r="I16" s="127"/>
      <c r="J16" s="125">
        <v>0</v>
      </c>
      <c r="K16" s="127"/>
      <c r="L16" s="88">
        <v>0</v>
      </c>
    </row>
    <row r="17" spans="1:13" s="42" customFormat="1" x14ac:dyDescent="0.2">
      <c r="A17" s="64" t="s">
        <v>166</v>
      </c>
      <c r="B17" s="129" t="s">
        <v>167</v>
      </c>
      <c r="C17" s="130"/>
      <c r="D17" s="130"/>
      <c r="E17" s="131"/>
      <c r="F17" s="129">
        <v>1</v>
      </c>
      <c r="G17" s="131"/>
      <c r="H17" s="129">
        <v>0</v>
      </c>
      <c r="I17" s="131"/>
      <c r="J17" s="129">
        <v>1</v>
      </c>
      <c r="K17" s="131"/>
      <c r="L17" s="40">
        <v>1</v>
      </c>
    </row>
    <row r="18" spans="1:13" ht="21.75" customHeight="1" x14ac:dyDescent="0.25">
      <c r="A18" s="64" t="s">
        <v>179</v>
      </c>
      <c r="B18" s="129" t="s">
        <v>167</v>
      </c>
      <c r="C18" s="130"/>
      <c r="D18" s="130"/>
      <c r="E18" s="131"/>
      <c r="F18" s="129"/>
      <c r="G18" s="131"/>
      <c r="H18" s="129">
        <v>1</v>
      </c>
      <c r="I18" s="131"/>
      <c r="J18" s="129">
        <v>0</v>
      </c>
      <c r="K18" s="131"/>
      <c r="L18" s="88">
        <v>0</v>
      </c>
      <c r="M18" s="111" t="s">
        <v>176</v>
      </c>
    </row>
    <row r="19" spans="1:13" customFormat="1" ht="30" customHeight="1" x14ac:dyDescent="0.25">
      <c r="A19" s="64" t="s">
        <v>173</v>
      </c>
      <c r="B19" s="129" t="s">
        <v>174</v>
      </c>
      <c r="C19" s="130"/>
      <c r="D19" s="130"/>
      <c r="E19" s="131"/>
      <c r="F19" s="129">
        <v>1</v>
      </c>
      <c r="G19" s="131"/>
      <c r="H19" s="129">
        <v>0</v>
      </c>
      <c r="I19" s="131"/>
      <c r="J19" s="129">
        <v>1</v>
      </c>
      <c r="K19" s="131"/>
      <c r="L19" s="66">
        <v>1</v>
      </c>
    </row>
    <row r="20" spans="1:13" customFormat="1" ht="20.25" customHeight="1" x14ac:dyDescent="0.25">
      <c r="A20" s="64" t="s">
        <v>175</v>
      </c>
      <c r="B20" s="129" t="s">
        <v>174</v>
      </c>
      <c r="C20" s="130"/>
      <c r="D20" s="130"/>
      <c r="E20" s="131"/>
      <c r="F20" s="129"/>
      <c r="G20" s="131"/>
      <c r="H20" s="129">
        <v>1</v>
      </c>
      <c r="I20" s="131"/>
      <c r="J20" s="129">
        <v>0</v>
      </c>
      <c r="K20" s="131"/>
      <c r="L20" s="88">
        <v>0</v>
      </c>
    </row>
    <row r="21" spans="1:13" s="32" customFormat="1" x14ac:dyDescent="0.25">
      <c r="A21" s="43" t="s">
        <v>83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5"/>
    </row>
    <row r="22" spans="1:13" s="32" customFormat="1" x14ac:dyDescent="0.25">
      <c r="A22" s="128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</row>
    <row r="23" spans="1:13" x14ac:dyDescent="0.25">
      <c r="A23" s="32"/>
      <c r="B23" s="32"/>
      <c r="C23" s="46"/>
      <c r="D23" s="32"/>
      <c r="E23" s="32"/>
      <c r="F23" s="32"/>
      <c r="G23" s="32" t="s">
        <v>84</v>
      </c>
      <c r="H23" s="32"/>
      <c r="I23" s="32"/>
      <c r="J23" s="32"/>
      <c r="K23" s="32"/>
      <c r="L23" s="32"/>
    </row>
    <row r="24" spans="1:13" x14ac:dyDescent="0.25">
      <c r="A24" s="32"/>
      <c r="B24" s="32"/>
      <c r="C24" s="46"/>
      <c r="D24" s="32"/>
      <c r="E24" s="32"/>
      <c r="F24" s="32"/>
      <c r="G24" s="32"/>
      <c r="H24" s="32"/>
      <c r="I24" s="32"/>
      <c r="J24" s="32"/>
      <c r="K24" s="32"/>
      <c r="L24" s="32"/>
    </row>
    <row r="25" spans="1:13" x14ac:dyDescent="0.25">
      <c r="H25" s="89" t="s">
        <v>85</v>
      </c>
      <c r="I25" s="89"/>
    </row>
    <row r="26" spans="1:13" x14ac:dyDescent="0.25">
      <c r="H26" s="37" t="s">
        <v>86</v>
      </c>
    </row>
    <row r="27" spans="1:13" x14ac:dyDescent="0.25">
      <c r="H27" s="124" t="s">
        <v>87</v>
      </c>
      <c r="I27" s="124"/>
    </row>
  </sheetData>
  <mergeCells count="46">
    <mergeCell ref="J19:K19"/>
    <mergeCell ref="B20:E20"/>
    <mergeCell ref="F20:G20"/>
    <mergeCell ref="H20:I20"/>
    <mergeCell ref="J20:K20"/>
    <mergeCell ref="A11:A12"/>
    <mergeCell ref="B11:K11"/>
    <mergeCell ref="L11:L12"/>
    <mergeCell ref="B12:E12"/>
    <mergeCell ref="F12:G12"/>
    <mergeCell ref="H12:I12"/>
    <mergeCell ref="J12:K12"/>
    <mergeCell ref="A2:L2"/>
    <mergeCell ref="A3:L3"/>
    <mergeCell ref="A4:L4"/>
    <mergeCell ref="A5:L5"/>
    <mergeCell ref="A10:L10"/>
    <mergeCell ref="B13:E13"/>
    <mergeCell ref="F13:G13"/>
    <mergeCell ref="H13:I13"/>
    <mergeCell ref="J13:K13"/>
    <mergeCell ref="J16:K16"/>
    <mergeCell ref="B14:E14"/>
    <mergeCell ref="F14:G14"/>
    <mergeCell ref="H14:I14"/>
    <mergeCell ref="J14:K14"/>
    <mergeCell ref="B15:E15"/>
    <mergeCell ref="F15:G15"/>
    <mergeCell ref="H15:I15"/>
    <mergeCell ref="J15:K15"/>
    <mergeCell ref="H27:I27"/>
    <mergeCell ref="B16:E16"/>
    <mergeCell ref="F16:G16"/>
    <mergeCell ref="H16:I16"/>
    <mergeCell ref="A22:L22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</mergeCells>
  <phoneticPr fontId="16" type="noConversion"/>
  <pageMargins left="0.7" right="0.7" top="0.75" bottom="0.75" header="0.3" footer="0.3"/>
  <pageSetup paperSize="9" scale="50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82B0B-D2E9-42C6-BF9E-3E3FCB2D5555}">
  <sheetPr>
    <pageSetUpPr fitToPage="1"/>
  </sheetPr>
  <dimension ref="A1:K89"/>
  <sheetViews>
    <sheetView view="pageBreakPreview" topLeftCell="A7" zoomScale="108" zoomScaleNormal="100" zoomScaleSheetLayoutView="108" workbookViewId="0">
      <selection activeCell="A18" sqref="A18:F18"/>
    </sheetView>
  </sheetViews>
  <sheetFormatPr defaultRowHeight="15" x14ac:dyDescent="0.25"/>
  <cols>
    <col min="1" max="1" width="36.42578125" style="52" customWidth="1"/>
    <col min="2" max="7" width="11.5703125" style="73" customWidth="1"/>
    <col min="8" max="10" width="11.5703125" customWidth="1"/>
  </cols>
  <sheetData>
    <row r="1" spans="1:10" s="1" customFormat="1" ht="52.5" customHeight="1" x14ac:dyDescent="0.25">
      <c r="A1" s="48"/>
      <c r="B1" s="11"/>
      <c r="C1" s="11"/>
      <c r="D1" s="11"/>
      <c r="E1" s="11"/>
      <c r="F1" s="11"/>
      <c r="G1" s="11"/>
    </row>
    <row r="2" spans="1:10" s="1" customFormat="1" ht="10.5" customHeight="1" x14ac:dyDescent="0.25">
      <c r="A2" s="123" t="s">
        <v>27</v>
      </c>
      <c r="B2" s="123"/>
      <c r="C2" s="123"/>
      <c r="D2" s="123"/>
      <c r="E2" s="123"/>
      <c r="F2" s="123"/>
      <c r="G2" s="123"/>
      <c r="H2" s="123"/>
      <c r="I2" s="123"/>
      <c r="J2" s="123"/>
    </row>
    <row r="3" spans="1:10" s="1" customFormat="1" ht="15.95" customHeight="1" x14ac:dyDescent="0.25">
      <c r="A3" s="123" t="s">
        <v>28</v>
      </c>
      <c r="B3" s="123"/>
      <c r="C3" s="123"/>
      <c r="D3" s="123"/>
      <c r="E3" s="123"/>
      <c r="F3" s="123"/>
      <c r="G3" s="123"/>
      <c r="H3" s="123"/>
      <c r="I3" s="123"/>
      <c r="J3" s="123"/>
    </row>
    <row r="4" spans="1:10" s="1" customFormat="1" ht="15.95" customHeight="1" x14ac:dyDescent="0.25">
      <c r="A4" s="123" t="s">
        <v>29</v>
      </c>
      <c r="B4" s="123"/>
      <c r="C4" s="123"/>
      <c r="D4" s="123"/>
      <c r="E4" s="123"/>
      <c r="F4" s="123"/>
      <c r="G4" s="123"/>
      <c r="H4" s="123"/>
      <c r="I4" s="123"/>
      <c r="J4" s="123"/>
    </row>
    <row r="5" spans="1:10" s="1" customFormat="1" ht="15.95" customHeight="1" x14ac:dyDescent="0.25">
      <c r="A5" s="123" t="s">
        <v>30</v>
      </c>
      <c r="B5" s="123"/>
      <c r="C5" s="123"/>
      <c r="D5" s="123"/>
      <c r="E5" s="123"/>
      <c r="F5" s="123"/>
      <c r="G5" s="123"/>
      <c r="H5" s="123"/>
      <c r="I5" s="123"/>
      <c r="J5" s="123"/>
    </row>
    <row r="6" spans="1:10" s="1" customFormat="1" ht="8.25" customHeight="1" x14ac:dyDescent="0.25">
      <c r="A6" s="48"/>
      <c r="B6" s="11"/>
      <c r="C6" s="11"/>
      <c r="D6" s="11"/>
      <c r="E6" s="11"/>
      <c r="F6" s="11"/>
      <c r="G6" s="11"/>
    </row>
    <row r="7" spans="1:10" s="1" customFormat="1" ht="12" customHeight="1" x14ac:dyDescent="0.25">
      <c r="A7" s="48" t="s">
        <v>75</v>
      </c>
      <c r="B7" s="120" t="s">
        <v>76</v>
      </c>
      <c r="C7" s="120"/>
      <c r="D7" s="120"/>
      <c r="E7" s="11"/>
      <c r="F7" s="11"/>
      <c r="G7" s="11"/>
      <c r="H7" s="5" t="s">
        <v>9</v>
      </c>
      <c r="I7" s="47"/>
      <c r="J7" s="5"/>
    </row>
    <row r="8" spans="1:10" s="1" customFormat="1" ht="12" customHeight="1" x14ac:dyDescent="0.25">
      <c r="A8" s="48"/>
      <c r="B8" s="74"/>
      <c r="C8" s="74"/>
      <c r="D8" s="11"/>
      <c r="E8" s="11"/>
      <c r="F8" s="11"/>
      <c r="G8" s="11"/>
      <c r="H8" s="3"/>
      <c r="I8" s="3"/>
      <c r="J8" s="3"/>
    </row>
    <row r="9" spans="1:10" s="1" customFormat="1" ht="12" customHeight="1" x14ac:dyDescent="0.25">
      <c r="A9" s="48" t="s">
        <v>77</v>
      </c>
      <c r="B9" s="120" t="s">
        <v>78</v>
      </c>
      <c r="C9" s="120"/>
      <c r="D9" s="120"/>
      <c r="E9" s="11"/>
      <c r="F9" s="11"/>
      <c r="G9" s="11"/>
      <c r="H9" s="5" t="s">
        <v>10</v>
      </c>
      <c r="I9" s="6"/>
      <c r="J9" s="5"/>
    </row>
    <row r="10" spans="1:10" ht="16.5" customHeight="1" thickBot="1" x14ac:dyDescent="0.3">
      <c r="A10" s="121" t="s">
        <v>0</v>
      </c>
      <c r="B10" s="121"/>
      <c r="C10" s="121"/>
      <c r="D10" s="121"/>
      <c r="E10" s="121"/>
      <c r="F10" s="121"/>
      <c r="G10" s="121"/>
      <c r="H10" s="121"/>
      <c r="I10" s="121"/>
      <c r="J10" s="121"/>
    </row>
    <row r="11" spans="1:10" ht="18.75" customHeight="1" x14ac:dyDescent="0.25">
      <c r="A11" s="112" t="s">
        <v>4</v>
      </c>
      <c r="B11" s="122" t="s">
        <v>5</v>
      </c>
      <c r="C11" s="122"/>
      <c r="D11" s="116" t="s">
        <v>6</v>
      </c>
      <c r="E11" s="117"/>
      <c r="F11" s="117"/>
      <c r="G11" s="118"/>
      <c r="H11" s="119" t="s">
        <v>7</v>
      </c>
      <c r="I11" s="119"/>
      <c r="J11" s="114" t="s">
        <v>8</v>
      </c>
    </row>
    <row r="12" spans="1:10" ht="18.75" customHeight="1" thickBot="1" x14ac:dyDescent="0.3">
      <c r="A12" s="113"/>
      <c r="B12" s="9" t="s">
        <v>1</v>
      </c>
      <c r="C12" s="9" t="s">
        <v>2</v>
      </c>
      <c r="D12" s="9" t="s">
        <v>1</v>
      </c>
      <c r="E12" s="9" t="s">
        <v>2</v>
      </c>
      <c r="F12" s="9" t="s">
        <v>3</v>
      </c>
      <c r="G12" s="9" t="s">
        <v>97</v>
      </c>
      <c r="H12" s="9" t="s">
        <v>1</v>
      </c>
      <c r="I12" s="9" t="s">
        <v>2</v>
      </c>
      <c r="J12" s="115"/>
    </row>
    <row r="13" spans="1:10" ht="18.75" customHeight="1" x14ac:dyDescent="0.25">
      <c r="A13" s="49" t="s">
        <v>11</v>
      </c>
      <c r="B13" s="7">
        <f>SUM(1.25/30)*12</f>
        <v>0.5</v>
      </c>
      <c r="C13" s="7">
        <f>SUM(1.25/30)*12</f>
        <v>0.5</v>
      </c>
      <c r="D13" s="7"/>
      <c r="E13" s="7"/>
      <c r="F13" s="7"/>
      <c r="G13" s="7"/>
      <c r="H13" s="7">
        <f>B13</f>
        <v>0.5</v>
      </c>
      <c r="I13" s="7">
        <f>C13</f>
        <v>0.5</v>
      </c>
      <c r="J13" s="8">
        <f>SUM(H13:I13)</f>
        <v>1</v>
      </c>
    </row>
    <row r="14" spans="1:10" ht="18.75" customHeight="1" x14ac:dyDescent="0.25">
      <c r="A14" s="28" t="s">
        <v>12</v>
      </c>
      <c r="B14" s="2">
        <v>5</v>
      </c>
      <c r="C14" s="2">
        <v>5</v>
      </c>
      <c r="D14" s="2"/>
      <c r="E14" s="2"/>
      <c r="F14" s="2"/>
      <c r="G14" s="2"/>
      <c r="H14" s="2">
        <f>H13-F14-D14+B14</f>
        <v>5.5</v>
      </c>
      <c r="I14" s="2">
        <f>I13-E14+C14</f>
        <v>5.5</v>
      </c>
      <c r="J14" s="4">
        <f>SUM(H14:I14)</f>
        <v>11</v>
      </c>
    </row>
    <row r="15" spans="1:10" ht="18.75" customHeight="1" x14ac:dyDescent="0.25">
      <c r="A15" s="28" t="s">
        <v>13</v>
      </c>
      <c r="B15" s="2">
        <v>3.75</v>
      </c>
      <c r="C15" s="2">
        <v>3.75</v>
      </c>
      <c r="D15" s="2"/>
      <c r="E15" s="2"/>
      <c r="F15" s="2"/>
      <c r="G15" s="2"/>
      <c r="H15" s="2">
        <f t="shared" ref="H15:H78" si="0">H14-F15-D15+B15</f>
        <v>9.25</v>
      </c>
      <c r="I15" s="2">
        <f t="shared" ref="I15:I78" si="1">I14-E15+C15</f>
        <v>9.25</v>
      </c>
      <c r="J15" s="4">
        <f t="shared" ref="J15:J78" si="2">SUM(H15:I15)</f>
        <v>18.5</v>
      </c>
    </row>
    <row r="16" spans="1:10" ht="18.75" customHeight="1" x14ac:dyDescent="0.25">
      <c r="A16" s="91" t="s">
        <v>14</v>
      </c>
      <c r="B16" s="92"/>
      <c r="C16" s="92"/>
      <c r="D16" s="92"/>
      <c r="E16" s="92"/>
      <c r="F16" s="92">
        <v>2.5</v>
      </c>
      <c r="G16" s="2"/>
      <c r="H16" s="2">
        <f t="shared" si="0"/>
        <v>6.75</v>
      </c>
      <c r="I16" s="2">
        <f t="shared" si="1"/>
        <v>9.25</v>
      </c>
      <c r="J16" s="4">
        <f t="shared" si="2"/>
        <v>16</v>
      </c>
    </row>
    <row r="17" spans="1:10" ht="18.75" customHeight="1" x14ac:dyDescent="0.25">
      <c r="A17" s="50" t="s">
        <v>20</v>
      </c>
      <c r="B17" s="31">
        <v>1.25</v>
      </c>
      <c r="C17" s="31">
        <v>1.25</v>
      </c>
      <c r="D17" s="53"/>
      <c r="E17" s="53"/>
      <c r="F17" s="53"/>
      <c r="G17" s="53"/>
      <c r="H17" s="2">
        <f t="shared" si="0"/>
        <v>8</v>
      </c>
      <c r="I17" s="2">
        <f t="shared" si="1"/>
        <v>10.5</v>
      </c>
      <c r="J17" s="4">
        <f t="shared" si="2"/>
        <v>18.5</v>
      </c>
    </row>
    <row r="18" spans="1:10" ht="18.75" customHeight="1" x14ac:dyDescent="0.25">
      <c r="A18" s="93" t="s">
        <v>136</v>
      </c>
      <c r="B18" s="94"/>
      <c r="C18" s="94"/>
      <c r="D18" s="95"/>
      <c r="E18" s="95"/>
      <c r="F18" s="94">
        <v>2.5</v>
      </c>
      <c r="G18" s="53"/>
      <c r="H18" s="2">
        <f t="shared" si="0"/>
        <v>5.5</v>
      </c>
      <c r="I18" s="2">
        <f t="shared" si="1"/>
        <v>10.5</v>
      </c>
      <c r="J18" s="4">
        <f t="shared" si="2"/>
        <v>16</v>
      </c>
    </row>
    <row r="19" spans="1:10" ht="18.75" customHeight="1" x14ac:dyDescent="0.25">
      <c r="A19" s="28" t="s">
        <v>15</v>
      </c>
      <c r="B19" s="2">
        <v>2.5</v>
      </c>
      <c r="C19" s="2">
        <v>2.5</v>
      </c>
      <c r="D19" s="2"/>
      <c r="E19" s="2"/>
      <c r="F19" s="2"/>
      <c r="G19" s="2"/>
      <c r="H19" s="2">
        <f t="shared" si="0"/>
        <v>8</v>
      </c>
      <c r="I19" s="2">
        <f t="shared" si="1"/>
        <v>13</v>
      </c>
      <c r="J19" s="4">
        <f t="shared" si="2"/>
        <v>21</v>
      </c>
    </row>
    <row r="20" spans="1:10" ht="18.75" customHeight="1" x14ac:dyDescent="0.25">
      <c r="A20" s="28" t="s">
        <v>16</v>
      </c>
      <c r="B20" s="2"/>
      <c r="C20" s="2"/>
      <c r="D20" s="2"/>
      <c r="E20" s="2"/>
      <c r="F20" s="2">
        <v>1</v>
      </c>
      <c r="G20" s="2"/>
      <c r="H20" s="2">
        <f t="shared" si="0"/>
        <v>7</v>
      </c>
      <c r="I20" s="2">
        <f t="shared" si="1"/>
        <v>13</v>
      </c>
      <c r="J20" s="4">
        <f t="shared" si="2"/>
        <v>20</v>
      </c>
    </row>
    <row r="21" spans="1:10" ht="18.75" customHeight="1" x14ac:dyDescent="0.25">
      <c r="A21" s="28" t="s">
        <v>21</v>
      </c>
      <c r="B21" s="2">
        <v>2.5</v>
      </c>
      <c r="C21" s="2">
        <v>2.5</v>
      </c>
      <c r="D21" s="2"/>
      <c r="E21" s="2"/>
      <c r="F21" s="2"/>
      <c r="G21" s="2"/>
      <c r="H21" s="2">
        <f t="shared" si="0"/>
        <v>9.5</v>
      </c>
      <c r="I21" s="2">
        <f t="shared" si="1"/>
        <v>15.5</v>
      </c>
      <c r="J21" s="4">
        <f t="shared" si="2"/>
        <v>25</v>
      </c>
    </row>
    <row r="22" spans="1:10" ht="18.75" customHeight="1" x14ac:dyDescent="0.25">
      <c r="A22" s="28" t="s">
        <v>19</v>
      </c>
      <c r="B22" s="2"/>
      <c r="C22" s="2"/>
      <c r="D22" s="2"/>
      <c r="E22" s="2"/>
      <c r="F22" s="2">
        <v>1</v>
      </c>
      <c r="G22" s="2"/>
      <c r="H22" s="2">
        <f t="shared" si="0"/>
        <v>8.5</v>
      </c>
      <c r="I22" s="2">
        <f t="shared" si="1"/>
        <v>15.5</v>
      </c>
      <c r="J22" s="4">
        <f t="shared" si="2"/>
        <v>24</v>
      </c>
    </row>
    <row r="23" spans="1:10" ht="18.75" customHeight="1" x14ac:dyDescent="0.25">
      <c r="A23" s="28" t="s">
        <v>22</v>
      </c>
      <c r="B23" s="31">
        <v>1.25</v>
      </c>
      <c r="C23" s="31">
        <v>1.25</v>
      </c>
      <c r="D23" s="2"/>
      <c r="E23" s="2"/>
      <c r="F23" s="2"/>
      <c r="G23" s="2"/>
      <c r="H23" s="2">
        <f t="shared" si="0"/>
        <v>9.75</v>
      </c>
      <c r="I23" s="2">
        <f t="shared" si="1"/>
        <v>16.75</v>
      </c>
      <c r="J23" s="4">
        <f t="shared" si="2"/>
        <v>26.5</v>
      </c>
    </row>
    <row r="24" spans="1:10" ht="18.75" customHeight="1" x14ac:dyDescent="0.25">
      <c r="A24" s="28" t="s">
        <v>98</v>
      </c>
      <c r="B24" s="2"/>
      <c r="C24" s="2"/>
      <c r="D24" s="2">
        <v>2</v>
      </c>
      <c r="E24" s="2"/>
      <c r="F24" s="2"/>
      <c r="G24" s="2"/>
      <c r="H24" s="2">
        <f t="shared" si="0"/>
        <v>7.75</v>
      </c>
      <c r="I24" s="2">
        <f t="shared" si="1"/>
        <v>16.75</v>
      </c>
      <c r="J24" s="4">
        <f t="shared" si="2"/>
        <v>24.5</v>
      </c>
    </row>
    <row r="25" spans="1:10" ht="18.75" customHeight="1" x14ac:dyDescent="0.25">
      <c r="A25" s="28" t="s">
        <v>23</v>
      </c>
      <c r="B25" s="2">
        <v>2.5</v>
      </c>
      <c r="C25" s="2">
        <v>2.5</v>
      </c>
      <c r="D25" s="2"/>
      <c r="E25" s="2"/>
      <c r="F25" s="2"/>
      <c r="G25" s="2"/>
      <c r="H25" s="2">
        <f t="shared" si="0"/>
        <v>10.25</v>
      </c>
      <c r="I25" s="2">
        <f t="shared" si="1"/>
        <v>19.25</v>
      </c>
      <c r="J25" s="4">
        <f t="shared" si="2"/>
        <v>29.5</v>
      </c>
    </row>
    <row r="26" spans="1:10" ht="18.75" customHeight="1" x14ac:dyDescent="0.25">
      <c r="A26" s="28" t="s">
        <v>17</v>
      </c>
      <c r="B26" s="2"/>
      <c r="C26" s="2"/>
      <c r="D26" s="2"/>
      <c r="E26" s="2"/>
      <c r="F26" s="2"/>
      <c r="G26" s="54">
        <v>2</v>
      </c>
      <c r="H26" s="2">
        <f t="shared" si="0"/>
        <v>10.25</v>
      </c>
      <c r="I26" s="2">
        <f t="shared" si="1"/>
        <v>19.25</v>
      </c>
      <c r="J26" s="4">
        <f t="shared" si="2"/>
        <v>29.5</v>
      </c>
    </row>
    <row r="27" spans="1:10" ht="18.75" customHeight="1" x14ac:dyDescent="0.25">
      <c r="A27" s="28" t="s">
        <v>18</v>
      </c>
      <c r="B27" s="2"/>
      <c r="C27" s="2"/>
      <c r="D27" s="2"/>
      <c r="E27" s="2"/>
      <c r="F27" s="2">
        <v>3</v>
      </c>
      <c r="G27" s="2"/>
      <c r="H27" s="2">
        <f t="shared" si="0"/>
        <v>7.25</v>
      </c>
      <c r="I27" s="2">
        <f t="shared" si="1"/>
        <v>19.25</v>
      </c>
      <c r="J27" s="4">
        <f t="shared" si="2"/>
        <v>26.5</v>
      </c>
    </row>
    <row r="28" spans="1:10" ht="18.75" customHeight="1" x14ac:dyDescent="0.25">
      <c r="A28" s="28" t="s">
        <v>24</v>
      </c>
      <c r="B28" s="2">
        <v>1.25</v>
      </c>
      <c r="C28" s="2">
        <v>1.25</v>
      </c>
      <c r="D28" s="2"/>
      <c r="E28" s="2"/>
      <c r="F28" s="2"/>
      <c r="G28" s="2"/>
      <c r="H28" s="2">
        <f t="shared" si="0"/>
        <v>8.5</v>
      </c>
      <c r="I28" s="2">
        <f t="shared" si="1"/>
        <v>20.5</v>
      </c>
      <c r="J28" s="4">
        <f t="shared" si="2"/>
        <v>29</v>
      </c>
    </row>
    <row r="29" spans="1:10" ht="18.75" customHeight="1" x14ac:dyDescent="0.25">
      <c r="A29" s="28" t="s">
        <v>26</v>
      </c>
      <c r="B29" s="2">
        <v>1.25</v>
      </c>
      <c r="C29" s="2">
        <v>1.25</v>
      </c>
      <c r="D29" s="2"/>
      <c r="E29" s="2"/>
      <c r="F29" s="2"/>
      <c r="G29" s="2"/>
      <c r="H29" s="2">
        <f t="shared" si="0"/>
        <v>9.75</v>
      </c>
      <c r="I29" s="2">
        <f t="shared" si="1"/>
        <v>21.75</v>
      </c>
      <c r="J29" s="4">
        <f t="shared" si="2"/>
        <v>31.5</v>
      </c>
    </row>
    <row r="30" spans="1:10" ht="18.75" customHeight="1" x14ac:dyDescent="0.25">
      <c r="A30" s="28" t="s">
        <v>99</v>
      </c>
      <c r="B30" s="2"/>
      <c r="C30" s="2"/>
      <c r="D30" s="2"/>
      <c r="E30" s="2">
        <v>1</v>
      </c>
      <c r="F30" s="2"/>
      <c r="G30" s="2"/>
      <c r="H30" s="2">
        <f t="shared" si="0"/>
        <v>9.75</v>
      </c>
      <c r="I30" s="2">
        <f t="shared" si="1"/>
        <v>20.75</v>
      </c>
      <c r="J30" s="4">
        <f t="shared" si="2"/>
        <v>30.5</v>
      </c>
    </row>
    <row r="31" spans="1:10" ht="18.75" customHeight="1" x14ac:dyDescent="0.25">
      <c r="A31" s="28" t="s">
        <v>25</v>
      </c>
      <c r="B31" s="2"/>
      <c r="C31" s="2"/>
      <c r="D31" s="2">
        <v>6</v>
      </c>
      <c r="E31" s="2">
        <v>14</v>
      </c>
      <c r="F31" s="2"/>
      <c r="G31" s="2"/>
      <c r="H31" s="2">
        <f t="shared" si="0"/>
        <v>3.75</v>
      </c>
      <c r="I31" s="2">
        <f t="shared" si="1"/>
        <v>6.75</v>
      </c>
      <c r="J31" s="4">
        <f t="shared" si="2"/>
        <v>10.5</v>
      </c>
    </row>
    <row r="32" spans="1:10" ht="18.75" customHeight="1" x14ac:dyDescent="0.25">
      <c r="A32" s="28" t="s">
        <v>49</v>
      </c>
      <c r="B32" s="2">
        <v>1.25</v>
      </c>
      <c r="C32" s="2">
        <v>1.25</v>
      </c>
      <c r="D32" s="2"/>
      <c r="E32" s="2"/>
      <c r="F32" s="2"/>
      <c r="G32" s="2"/>
      <c r="H32" s="2">
        <f t="shared" si="0"/>
        <v>5</v>
      </c>
      <c r="I32" s="2">
        <f t="shared" si="1"/>
        <v>8</v>
      </c>
      <c r="J32" s="4">
        <f t="shared" si="2"/>
        <v>13</v>
      </c>
    </row>
    <row r="33" spans="1:10" ht="18.75" customHeight="1" x14ac:dyDescent="0.25">
      <c r="A33" s="28" t="s">
        <v>51</v>
      </c>
      <c r="B33" s="2">
        <v>1.25</v>
      </c>
      <c r="C33" s="2">
        <v>1.25</v>
      </c>
      <c r="D33" s="2"/>
      <c r="E33" s="2"/>
      <c r="F33" s="2"/>
      <c r="G33" s="2"/>
      <c r="H33" s="2">
        <f t="shared" si="0"/>
        <v>6.25</v>
      </c>
      <c r="I33" s="2">
        <f t="shared" si="1"/>
        <v>9.25</v>
      </c>
      <c r="J33" s="4">
        <f t="shared" si="2"/>
        <v>15.5</v>
      </c>
    </row>
    <row r="34" spans="1:10" ht="18.75" customHeight="1" x14ac:dyDescent="0.25">
      <c r="A34" s="28" t="s">
        <v>50</v>
      </c>
      <c r="B34" s="2"/>
      <c r="C34" s="2"/>
      <c r="D34" s="2"/>
      <c r="E34" s="2">
        <v>1</v>
      </c>
      <c r="F34" s="2"/>
      <c r="G34" s="2"/>
      <c r="H34" s="2">
        <f t="shared" si="0"/>
        <v>6.25</v>
      </c>
      <c r="I34" s="2">
        <f t="shared" si="1"/>
        <v>8.25</v>
      </c>
      <c r="J34" s="4">
        <f t="shared" si="2"/>
        <v>14.5</v>
      </c>
    </row>
    <row r="35" spans="1:10" ht="18.75" customHeight="1" x14ac:dyDescent="0.25">
      <c r="A35" s="28" t="s">
        <v>52</v>
      </c>
      <c r="B35" s="2">
        <v>1.25</v>
      </c>
      <c r="C35" s="2">
        <v>1.25</v>
      </c>
      <c r="D35" s="2"/>
      <c r="E35" s="2"/>
      <c r="F35" s="2"/>
      <c r="G35" s="2"/>
      <c r="H35" s="2">
        <f t="shared" si="0"/>
        <v>7.5</v>
      </c>
      <c r="I35" s="2">
        <f t="shared" si="1"/>
        <v>9.5</v>
      </c>
      <c r="J35" s="4">
        <f t="shared" si="2"/>
        <v>17</v>
      </c>
    </row>
    <row r="36" spans="1:10" ht="18.75" customHeight="1" x14ac:dyDescent="0.25">
      <c r="A36" s="28" t="s">
        <v>25</v>
      </c>
      <c r="B36" s="2"/>
      <c r="C36" s="2"/>
      <c r="D36" s="2">
        <v>5</v>
      </c>
      <c r="E36" s="2"/>
      <c r="F36" s="2"/>
      <c r="G36" s="2"/>
      <c r="H36" s="2">
        <f t="shared" si="0"/>
        <v>2.5</v>
      </c>
      <c r="I36" s="2">
        <f t="shared" si="1"/>
        <v>9.5</v>
      </c>
      <c r="J36" s="4">
        <f t="shared" si="2"/>
        <v>12</v>
      </c>
    </row>
    <row r="37" spans="1:10" ht="18.75" customHeight="1" x14ac:dyDescent="0.25">
      <c r="A37" s="28" t="s">
        <v>69</v>
      </c>
      <c r="B37" s="2">
        <v>1.25</v>
      </c>
      <c r="C37" s="2">
        <v>1.25</v>
      </c>
      <c r="D37" s="2"/>
      <c r="E37" s="2"/>
      <c r="F37" s="2"/>
      <c r="G37" s="2"/>
      <c r="H37" s="2">
        <f t="shared" si="0"/>
        <v>3.75</v>
      </c>
      <c r="I37" s="2">
        <f t="shared" si="1"/>
        <v>10.75</v>
      </c>
      <c r="J37" s="4">
        <f t="shared" si="2"/>
        <v>14.5</v>
      </c>
    </row>
    <row r="38" spans="1:10" ht="18.75" customHeight="1" x14ac:dyDescent="0.25">
      <c r="A38" s="28" t="s">
        <v>70</v>
      </c>
      <c r="B38" s="2"/>
      <c r="C38" s="2"/>
      <c r="D38" s="2"/>
      <c r="E38" s="2"/>
      <c r="F38" s="2">
        <v>2</v>
      </c>
      <c r="G38" s="2"/>
      <c r="H38" s="2">
        <f t="shared" si="0"/>
        <v>1.75</v>
      </c>
      <c r="I38" s="2">
        <f t="shared" si="1"/>
        <v>10.75</v>
      </c>
      <c r="J38" s="4">
        <f t="shared" si="2"/>
        <v>12.5</v>
      </c>
    </row>
    <row r="39" spans="1:10" ht="18.75" customHeight="1" x14ac:dyDescent="0.25">
      <c r="A39" s="28" t="s">
        <v>71</v>
      </c>
      <c r="B39" s="2"/>
      <c r="C39" s="2"/>
      <c r="D39" s="2"/>
      <c r="E39" s="2"/>
      <c r="F39" s="2">
        <v>1</v>
      </c>
      <c r="G39" s="2"/>
      <c r="H39" s="2">
        <f t="shared" si="0"/>
        <v>0.75</v>
      </c>
      <c r="I39" s="2">
        <f t="shared" si="1"/>
        <v>10.75</v>
      </c>
      <c r="J39" s="4">
        <f t="shared" si="2"/>
        <v>11.5</v>
      </c>
    </row>
    <row r="40" spans="1:10" ht="18.75" customHeight="1" x14ac:dyDescent="0.25">
      <c r="A40" s="28" t="s">
        <v>72</v>
      </c>
      <c r="B40" s="2"/>
      <c r="C40" s="2"/>
      <c r="D40" s="2"/>
      <c r="E40" s="2">
        <v>1</v>
      </c>
      <c r="F40" s="2"/>
      <c r="G40" s="2"/>
      <c r="H40" s="2">
        <f t="shared" si="0"/>
        <v>0.75</v>
      </c>
      <c r="I40" s="2">
        <f t="shared" si="1"/>
        <v>9.75</v>
      </c>
      <c r="J40" s="4">
        <f t="shared" si="2"/>
        <v>10.5</v>
      </c>
    </row>
    <row r="41" spans="1:10" ht="18.75" customHeight="1" x14ac:dyDescent="0.25">
      <c r="A41" s="28" t="s">
        <v>73</v>
      </c>
      <c r="B41" s="2">
        <v>2.5</v>
      </c>
      <c r="C41" s="2">
        <v>2.5</v>
      </c>
      <c r="D41" s="2"/>
      <c r="E41" s="2"/>
      <c r="F41" s="2"/>
      <c r="G41" s="2"/>
      <c r="H41" s="2">
        <f t="shared" si="0"/>
        <v>3.25</v>
      </c>
      <c r="I41" s="2">
        <f t="shared" si="1"/>
        <v>12.25</v>
      </c>
      <c r="J41" s="4">
        <f t="shared" si="2"/>
        <v>15.5</v>
      </c>
    </row>
    <row r="42" spans="1:10" ht="18.75" customHeight="1" x14ac:dyDescent="0.25">
      <c r="A42" s="51" t="s">
        <v>74</v>
      </c>
      <c r="B42" s="55"/>
      <c r="C42" s="55"/>
      <c r="D42" s="55"/>
      <c r="E42" s="56">
        <v>1.5</v>
      </c>
      <c r="F42" s="55"/>
      <c r="G42" s="55"/>
      <c r="H42" s="2">
        <f t="shared" si="0"/>
        <v>3.25</v>
      </c>
      <c r="I42" s="2">
        <f t="shared" si="1"/>
        <v>10.75</v>
      </c>
      <c r="J42" s="4">
        <f t="shared" si="2"/>
        <v>14</v>
      </c>
    </row>
    <row r="43" spans="1:10" ht="15.75" x14ac:dyDescent="0.25">
      <c r="A43" s="28" t="s">
        <v>89</v>
      </c>
      <c r="B43" s="57">
        <v>1.25</v>
      </c>
      <c r="C43" s="57">
        <v>1.25</v>
      </c>
      <c r="D43" s="58"/>
      <c r="E43" s="58"/>
      <c r="F43" s="58"/>
      <c r="G43" s="59"/>
      <c r="H43" s="2">
        <f t="shared" si="0"/>
        <v>4.5</v>
      </c>
      <c r="I43" s="2">
        <f t="shared" si="1"/>
        <v>12</v>
      </c>
      <c r="J43" s="4">
        <f t="shared" si="2"/>
        <v>16.5</v>
      </c>
    </row>
    <row r="44" spans="1:10" ht="15.75" x14ac:dyDescent="0.25">
      <c r="A44" s="51" t="s">
        <v>90</v>
      </c>
      <c r="B44" s="58"/>
      <c r="C44" s="58"/>
      <c r="D44" s="58">
        <v>0.5</v>
      </c>
      <c r="E44" s="58"/>
      <c r="F44" s="57"/>
      <c r="G44" s="60"/>
      <c r="H44" s="2">
        <f t="shared" si="0"/>
        <v>4</v>
      </c>
      <c r="I44" s="2">
        <f t="shared" si="1"/>
        <v>12</v>
      </c>
      <c r="J44" s="4">
        <f t="shared" si="2"/>
        <v>16</v>
      </c>
    </row>
    <row r="45" spans="1:10" ht="15.75" x14ac:dyDescent="0.25">
      <c r="A45" s="51" t="s">
        <v>91</v>
      </c>
      <c r="B45" s="58"/>
      <c r="C45" s="58"/>
      <c r="D45" s="58"/>
      <c r="E45" s="58">
        <v>1</v>
      </c>
      <c r="F45" s="58"/>
      <c r="G45" s="59"/>
      <c r="H45" s="2">
        <f t="shared" si="0"/>
        <v>4</v>
      </c>
      <c r="I45" s="2">
        <f t="shared" si="1"/>
        <v>11</v>
      </c>
      <c r="J45" s="4">
        <f t="shared" si="2"/>
        <v>15</v>
      </c>
    </row>
    <row r="46" spans="1:10" ht="15.75" x14ac:dyDescent="0.25">
      <c r="A46" s="28" t="s">
        <v>92</v>
      </c>
      <c r="B46" s="58">
        <v>2.5</v>
      </c>
      <c r="C46" s="58">
        <v>2.5</v>
      </c>
      <c r="D46" s="58"/>
      <c r="E46" s="58"/>
      <c r="F46" s="58"/>
      <c r="G46" s="59"/>
      <c r="H46" s="2">
        <f t="shared" si="0"/>
        <v>6.5</v>
      </c>
      <c r="I46" s="2">
        <f t="shared" si="1"/>
        <v>13.5</v>
      </c>
      <c r="J46" s="4">
        <f t="shared" si="2"/>
        <v>20</v>
      </c>
    </row>
    <row r="47" spans="1:10" ht="15.75" x14ac:dyDescent="0.25">
      <c r="A47" s="51" t="s">
        <v>93</v>
      </c>
      <c r="B47" s="58"/>
      <c r="C47" s="58"/>
      <c r="D47" s="58"/>
      <c r="E47" s="58">
        <v>1</v>
      </c>
      <c r="F47" s="58"/>
      <c r="G47" s="59"/>
      <c r="H47" s="2">
        <f t="shared" si="0"/>
        <v>6.5</v>
      </c>
      <c r="I47" s="2">
        <f t="shared" si="1"/>
        <v>12.5</v>
      </c>
      <c r="J47" s="4">
        <f t="shared" si="2"/>
        <v>19</v>
      </c>
    </row>
    <row r="48" spans="1:10" ht="15.75" x14ac:dyDescent="0.25">
      <c r="A48" s="51" t="s">
        <v>94</v>
      </c>
      <c r="B48" s="58"/>
      <c r="C48" s="58"/>
      <c r="D48" s="58"/>
      <c r="E48" s="58"/>
      <c r="F48" s="58">
        <v>1</v>
      </c>
      <c r="G48" s="59"/>
      <c r="H48" s="2">
        <f t="shared" si="0"/>
        <v>5.5</v>
      </c>
      <c r="I48" s="2">
        <f t="shared" si="1"/>
        <v>12.5</v>
      </c>
      <c r="J48" s="4">
        <f t="shared" si="2"/>
        <v>18</v>
      </c>
    </row>
    <row r="49" spans="1:10" ht="15.75" x14ac:dyDescent="0.25">
      <c r="A49" s="51" t="s">
        <v>95</v>
      </c>
      <c r="B49" s="58"/>
      <c r="C49" s="58"/>
      <c r="D49" s="58"/>
      <c r="E49" s="58"/>
      <c r="F49" s="58"/>
      <c r="G49" s="59">
        <v>1</v>
      </c>
      <c r="H49" s="2">
        <f t="shared" si="0"/>
        <v>5.5</v>
      </c>
      <c r="I49" s="2">
        <f t="shared" si="1"/>
        <v>12.5</v>
      </c>
      <c r="J49" s="4">
        <f t="shared" si="2"/>
        <v>18</v>
      </c>
    </row>
    <row r="50" spans="1:10" ht="15.75" x14ac:dyDescent="0.25">
      <c r="A50" s="51" t="s">
        <v>96</v>
      </c>
      <c r="B50" s="58"/>
      <c r="C50" s="58"/>
      <c r="D50" s="58"/>
      <c r="E50" s="58">
        <v>1</v>
      </c>
      <c r="F50" s="58"/>
      <c r="G50" s="59"/>
      <c r="H50" s="2">
        <f t="shared" si="0"/>
        <v>5.5</v>
      </c>
      <c r="I50" s="2">
        <f t="shared" si="1"/>
        <v>11.5</v>
      </c>
      <c r="J50" s="4">
        <f t="shared" si="2"/>
        <v>17</v>
      </c>
    </row>
    <row r="51" spans="1:10" ht="15.75" x14ac:dyDescent="0.25">
      <c r="A51" s="28" t="s">
        <v>100</v>
      </c>
      <c r="B51" s="58">
        <v>2.5</v>
      </c>
      <c r="C51" s="58">
        <v>2.5</v>
      </c>
      <c r="D51" s="58"/>
      <c r="E51" s="58"/>
      <c r="F51" s="58"/>
      <c r="G51" s="58"/>
      <c r="H51" s="2">
        <f t="shared" si="0"/>
        <v>8</v>
      </c>
      <c r="I51" s="2">
        <f t="shared" si="1"/>
        <v>14</v>
      </c>
      <c r="J51" s="4">
        <f t="shared" si="2"/>
        <v>22</v>
      </c>
    </row>
    <row r="52" spans="1:10" ht="15.75" x14ac:dyDescent="0.25">
      <c r="A52" s="29" t="s">
        <v>101</v>
      </c>
      <c r="B52" s="58"/>
      <c r="C52" s="58"/>
      <c r="D52" s="58"/>
      <c r="E52" s="58"/>
      <c r="F52" s="58"/>
      <c r="G52" s="58">
        <v>1</v>
      </c>
      <c r="H52" s="2">
        <f t="shared" si="0"/>
        <v>8</v>
      </c>
      <c r="I52" s="2">
        <f t="shared" si="1"/>
        <v>14</v>
      </c>
      <c r="J52" s="4">
        <f t="shared" si="2"/>
        <v>22</v>
      </c>
    </row>
    <row r="53" spans="1:10" ht="15.75" x14ac:dyDescent="0.25">
      <c r="A53" s="29" t="s">
        <v>102</v>
      </c>
      <c r="B53" s="58"/>
      <c r="C53" s="58"/>
      <c r="D53" s="58"/>
      <c r="E53" s="58">
        <v>1</v>
      </c>
      <c r="F53" s="58"/>
      <c r="G53" s="58"/>
      <c r="H53" s="2">
        <f t="shared" si="0"/>
        <v>8</v>
      </c>
      <c r="I53" s="2">
        <f t="shared" si="1"/>
        <v>13</v>
      </c>
      <c r="J53" s="4">
        <f t="shared" si="2"/>
        <v>21</v>
      </c>
    </row>
    <row r="54" spans="1:10" ht="15.75" x14ac:dyDescent="0.25">
      <c r="A54" s="29" t="s">
        <v>103</v>
      </c>
      <c r="B54" s="58"/>
      <c r="C54" s="58"/>
      <c r="D54" s="58"/>
      <c r="E54" s="58">
        <v>1</v>
      </c>
      <c r="F54" s="58"/>
      <c r="G54" s="58"/>
      <c r="H54" s="2">
        <f t="shared" si="0"/>
        <v>8</v>
      </c>
      <c r="I54" s="2">
        <f t="shared" si="1"/>
        <v>12</v>
      </c>
      <c r="J54" s="4">
        <f t="shared" si="2"/>
        <v>20</v>
      </c>
    </row>
    <row r="55" spans="1:10" ht="15.75" x14ac:dyDescent="0.25">
      <c r="A55" s="29" t="s">
        <v>104</v>
      </c>
      <c r="B55" s="58"/>
      <c r="C55" s="58"/>
      <c r="D55" s="58"/>
      <c r="E55" s="58">
        <v>1</v>
      </c>
      <c r="F55" s="58"/>
      <c r="G55" s="58"/>
      <c r="H55" s="2">
        <f t="shared" si="0"/>
        <v>8</v>
      </c>
      <c r="I55" s="2">
        <f t="shared" si="1"/>
        <v>11</v>
      </c>
      <c r="J55" s="4">
        <f t="shared" si="2"/>
        <v>19</v>
      </c>
    </row>
    <row r="56" spans="1:10" ht="15.75" x14ac:dyDescent="0.25">
      <c r="A56" s="29" t="s">
        <v>105</v>
      </c>
      <c r="B56" s="58">
        <v>1.25</v>
      </c>
      <c r="C56" s="58">
        <v>1.25</v>
      </c>
      <c r="D56" s="58"/>
      <c r="E56" s="58"/>
      <c r="F56" s="58"/>
      <c r="G56" s="58"/>
      <c r="H56" s="2">
        <f t="shared" si="0"/>
        <v>9.25</v>
      </c>
      <c r="I56" s="2">
        <f t="shared" si="1"/>
        <v>12.25</v>
      </c>
      <c r="J56" s="4">
        <f t="shared" si="2"/>
        <v>21.5</v>
      </c>
    </row>
    <row r="57" spans="1:10" ht="15.75" x14ac:dyDescent="0.25">
      <c r="A57" s="29" t="s">
        <v>106</v>
      </c>
      <c r="B57" s="58"/>
      <c r="C57" s="58"/>
      <c r="D57" s="58"/>
      <c r="E57" s="58">
        <v>1</v>
      </c>
      <c r="F57" s="58"/>
      <c r="G57" s="58"/>
      <c r="H57" s="2">
        <f t="shared" si="0"/>
        <v>9.25</v>
      </c>
      <c r="I57" s="2">
        <f t="shared" si="1"/>
        <v>11.25</v>
      </c>
      <c r="J57" s="4">
        <f t="shared" si="2"/>
        <v>20.5</v>
      </c>
    </row>
    <row r="58" spans="1:10" ht="15.75" x14ac:dyDescent="0.25">
      <c r="A58" s="29" t="s">
        <v>107</v>
      </c>
      <c r="B58" s="58"/>
      <c r="C58" s="58"/>
      <c r="D58" s="58">
        <v>6</v>
      </c>
      <c r="E58" s="58">
        <v>6</v>
      </c>
      <c r="F58" s="58"/>
      <c r="G58" s="58"/>
      <c r="H58" s="2">
        <f t="shared" si="0"/>
        <v>3.25</v>
      </c>
      <c r="I58" s="2">
        <f t="shared" si="1"/>
        <v>5.25</v>
      </c>
      <c r="J58" s="4">
        <f t="shared" si="2"/>
        <v>8.5</v>
      </c>
    </row>
    <row r="59" spans="1:10" ht="15.75" x14ac:dyDescent="0.25">
      <c r="A59" s="29" t="s">
        <v>108</v>
      </c>
      <c r="B59" s="58"/>
      <c r="C59" s="58"/>
      <c r="D59" s="58"/>
      <c r="E59" s="58">
        <v>1</v>
      </c>
      <c r="F59" s="58"/>
      <c r="G59" s="58"/>
      <c r="H59" s="2">
        <f t="shared" si="0"/>
        <v>3.25</v>
      </c>
      <c r="I59" s="2">
        <f t="shared" si="1"/>
        <v>4.25</v>
      </c>
      <c r="J59" s="4">
        <f t="shared" si="2"/>
        <v>7.5</v>
      </c>
    </row>
    <row r="60" spans="1:10" ht="15.75" x14ac:dyDescent="0.25">
      <c r="A60" s="29" t="s">
        <v>109</v>
      </c>
      <c r="B60" s="58"/>
      <c r="C60" s="58"/>
      <c r="D60" s="58">
        <v>0.5</v>
      </c>
      <c r="E60" s="58"/>
      <c r="F60" s="58"/>
      <c r="G60" s="58"/>
      <c r="H60" s="2">
        <f t="shared" si="0"/>
        <v>2.75</v>
      </c>
      <c r="I60" s="2">
        <f t="shared" si="1"/>
        <v>4.25</v>
      </c>
      <c r="J60" s="4">
        <f t="shared" si="2"/>
        <v>7</v>
      </c>
    </row>
    <row r="61" spans="1:10" s="1" customFormat="1" ht="15.75" x14ac:dyDescent="0.25">
      <c r="A61" s="29" t="s">
        <v>110</v>
      </c>
      <c r="B61" s="58">
        <v>1.25</v>
      </c>
      <c r="C61" s="58">
        <v>1.25</v>
      </c>
      <c r="D61" s="58"/>
      <c r="E61" s="58"/>
      <c r="F61" s="58"/>
      <c r="G61" s="58"/>
      <c r="H61" s="2">
        <f t="shared" si="0"/>
        <v>4</v>
      </c>
      <c r="I61" s="2">
        <f t="shared" si="1"/>
        <v>5.5</v>
      </c>
      <c r="J61" s="4">
        <f t="shared" si="2"/>
        <v>9.5</v>
      </c>
    </row>
    <row r="62" spans="1:10" s="62" customFormat="1" ht="15" customHeight="1" x14ac:dyDescent="0.25">
      <c r="A62" s="29" t="s">
        <v>111</v>
      </c>
      <c r="B62" s="29"/>
      <c r="C62" s="29"/>
      <c r="D62" s="29"/>
      <c r="E62" s="29">
        <v>1</v>
      </c>
      <c r="F62" s="29"/>
      <c r="G62" s="29"/>
      <c r="H62" s="2">
        <f t="shared" si="0"/>
        <v>4</v>
      </c>
      <c r="I62" s="2">
        <f t="shared" si="1"/>
        <v>4.5</v>
      </c>
      <c r="J62" s="4">
        <f t="shared" si="2"/>
        <v>8.5</v>
      </c>
    </row>
    <row r="63" spans="1:10" s="62" customFormat="1" ht="15" customHeight="1" x14ac:dyDescent="0.25">
      <c r="A63" s="29" t="s">
        <v>112</v>
      </c>
      <c r="B63" s="29">
        <v>1.25</v>
      </c>
      <c r="C63" s="29">
        <v>1.25</v>
      </c>
      <c r="D63" s="29"/>
      <c r="E63" s="29"/>
      <c r="F63" s="29"/>
      <c r="G63" s="29"/>
      <c r="H63" s="2">
        <f t="shared" si="0"/>
        <v>5.25</v>
      </c>
      <c r="I63" s="2">
        <f t="shared" si="1"/>
        <v>5.75</v>
      </c>
      <c r="J63" s="4">
        <f t="shared" si="2"/>
        <v>11</v>
      </c>
    </row>
    <row r="64" spans="1:10" s="62" customFormat="1" ht="15" customHeight="1" x14ac:dyDescent="0.25">
      <c r="A64" s="29" t="s">
        <v>117</v>
      </c>
      <c r="B64" s="29">
        <v>1.25</v>
      </c>
      <c r="C64" s="29">
        <v>1.25</v>
      </c>
      <c r="D64" s="29"/>
      <c r="E64" s="29"/>
      <c r="F64" s="29"/>
      <c r="G64" s="29"/>
      <c r="H64" s="2">
        <f t="shared" si="0"/>
        <v>6.5</v>
      </c>
      <c r="I64" s="2">
        <f t="shared" si="1"/>
        <v>7</v>
      </c>
      <c r="J64" s="4">
        <f t="shared" si="2"/>
        <v>13.5</v>
      </c>
    </row>
    <row r="65" spans="1:11" s="62" customFormat="1" ht="15" customHeight="1" x14ac:dyDescent="0.25">
      <c r="A65" s="29" t="s">
        <v>118</v>
      </c>
      <c r="B65" s="29"/>
      <c r="C65" s="29"/>
      <c r="D65" s="29"/>
      <c r="E65" s="29">
        <v>1</v>
      </c>
      <c r="F65" s="29"/>
      <c r="G65" s="29"/>
      <c r="H65" s="2">
        <f t="shared" si="0"/>
        <v>6.5</v>
      </c>
      <c r="I65" s="2">
        <f t="shared" si="1"/>
        <v>6</v>
      </c>
      <c r="J65" s="4">
        <f t="shared" si="2"/>
        <v>12.5</v>
      </c>
    </row>
    <row r="66" spans="1:11" s="62" customFormat="1" ht="15" customHeight="1" x14ac:dyDescent="0.25">
      <c r="A66" s="85" t="s">
        <v>131</v>
      </c>
      <c r="B66" s="85"/>
      <c r="C66" s="85"/>
      <c r="D66" s="85"/>
      <c r="E66" s="85"/>
      <c r="F66" s="85">
        <v>1</v>
      </c>
      <c r="G66" s="85"/>
      <c r="H66" s="2">
        <f t="shared" si="0"/>
        <v>5.5</v>
      </c>
      <c r="I66" s="2">
        <f t="shared" si="1"/>
        <v>6</v>
      </c>
      <c r="J66" s="4">
        <f t="shared" si="2"/>
        <v>11.5</v>
      </c>
    </row>
    <row r="67" spans="1:11" s="62" customFormat="1" ht="15" customHeight="1" x14ac:dyDescent="0.25">
      <c r="A67" s="67" t="s">
        <v>119</v>
      </c>
      <c r="B67" s="67"/>
      <c r="C67" s="67"/>
      <c r="D67" s="67"/>
      <c r="E67" s="67"/>
      <c r="F67" s="77">
        <v>1</v>
      </c>
      <c r="G67" s="67"/>
      <c r="H67" s="2">
        <f t="shared" si="0"/>
        <v>4.5</v>
      </c>
      <c r="I67" s="2">
        <f t="shared" si="1"/>
        <v>6</v>
      </c>
      <c r="J67" s="4">
        <f t="shared" si="2"/>
        <v>10.5</v>
      </c>
    </row>
    <row r="68" spans="1:11" s="63" customFormat="1" ht="15" customHeight="1" x14ac:dyDescent="0.25">
      <c r="A68" s="10" t="s">
        <v>121</v>
      </c>
      <c r="B68" s="10">
        <v>1.25</v>
      </c>
      <c r="C68" s="10">
        <v>1.25</v>
      </c>
      <c r="D68" s="10"/>
      <c r="E68" s="10"/>
      <c r="F68" s="10"/>
      <c r="G68" s="10"/>
      <c r="H68" s="2">
        <f t="shared" si="0"/>
        <v>5.75</v>
      </c>
      <c r="I68" s="2">
        <f t="shared" si="1"/>
        <v>7.25</v>
      </c>
      <c r="J68" s="4">
        <f t="shared" si="2"/>
        <v>13</v>
      </c>
      <c r="K68" s="71"/>
    </row>
    <row r="69" spans="1:11" s="62" customFormat="1" ht="15" customHeight="1" x14ac:dyDescent="0.25">
      <c r="A69" s="10" t="s">
        <v>122</v>
      </c>
      <c r="B69" s="10"/>
      <c r="C69" s="10"/>
      <c r="D69" s="10"/>
      <c r="E69" s="10"/>
      <c r="F69" s="76">
        <v>2</v>
      </c>
      <c r="G69" s="10"/>
      <c r="H69" s="2">
        <f t="shared" si="0"/>
        <v>3.75</v>
      </c>
      <c r="I69" s="2">
        <f t="shared" si="1"/>
        <v>7.25</v>
      </c>
      <c r="J69" s="4">
        <f t="shared" si="2"/>
        <v>11</v>
      </c>
    </row>
    <row r="70" spans="1:11" s="62" customFormat="1" ht="15" customHeight="1" x14ac:dyDescent="0.25">
      <c r="A70" s="10" t="s">
        <v>123</v>
      </c>
      <c r="B70" s="10"/>
      <c r="C70" s="10"/>
      <c r="D70" s="10"/>
      <c r="E70" s="10"/>
      <c r="F70" s="10"/>
      <c r="G70" s="75">
        <v>1</v>
      </c>
      <c r="H70" s="2">
        <f t="shared" si="0"/>
        <v>3.75</v>
      </c>
      <c r="I70" s="2">
        <f t="shared" si="1"/>
        <v>7.25</v>
      </c>
      <c r="J70" s="4">
        <f t="shared" si="2"/>
        <v>11</v>
      </c>
    </row>
    <row r="71" spans="1:11" s="62" customFormat="1" ht="15" customHeight="1" x14ac:dyDescent="0.25">
      <c r="A71" s="10" t="s">
        <v>124</v>
      </c>
      <c r="B71" s="10">
        <v>3.75</v>
      </c>
      <c r="C71" s="10">
        <v>3.75</v>
      </c>
      <c r="D71" s="10"/>
      <c r="E71" s="10"/>
      <c r="F71" s="10"/>
      <c r="G71" s="29"/>
      <c r="H71" s="2">
        <f t="shared" si="0"/>
        <v>7.5</v>
      </c>
      <c r="I71" s="2">
        <f t="shared" si="1"/>
        <v>11</v>
      </c>
      <c r="J71" s="4">
        <f t="shared" si="2"/>
        <v>18.5</v>
      </c>
    </row>
    <row r="72" spans="1:11" s="62" customFormat="1" ht="15" customHeight="1" x14ac:dyDescent="0.25">
      <c r="A72" s="10" t="s">
        <v>125</v>
      </c>
      <c r="B72" s="10"/>
      <c r="C72" s="10"/>
      <c r="D72" s="10"/>
      <c r="E72" s="10"/>
      <c r="F72" s="76">
        <v>1</v>
      </c>
      <c r="G72" s="29"/>
      <c r="H72" s="2">
        <f t="shared" si="0"/>
        <v>6.5</v>
      </c>
      <c r="I72" s="2">
        <f t="shared" si="1"/>
        <v>11</v>
      </c>
      <c r="J72" s="4">
        <f t="shared" si="2"/>
        <v>17.5</v>
      </c>
    </row>
    <row r="73" spans="1:11" s="62" customFormat="1" ht="15" customHeight="1" x14ac:dyDescent="0.25">
      <c r="A73" s="10" t="s">
        <v>130</v>
      </c>
      <c r="B73" s="10">
        <v>2.5</v>
      </c>
      <c r="C73" s="10">
        <v>2.5</v>
      </c>
      <c r="D73" s="10"/>
      <c r="E73" s="10"/>
      <c r="F73" s="10"/>
      <c r="G73" s="10"/>
      <c r="H73" s="2">
        <f t="shared" si="0"/>
        <v>9</v>
      </c>
      <c r="I73" s="2">
        <f t="shared" si="1"/>
        <v>13.5</v>
      </c>
      <c r="J73" s="4">
        <f t="shared" si="2"/>
        <v>22.5</v>
      </c>
    </row>
    <row r="74" spans="1:11" s="62" customFormat="1" ht="15" customHeight="1" x14ac:dyDescent="0.25">
      <c r="A74" s="10" t="s">
        <v>140</v>
      </c>
      <c r="B74" s="10">
        <v>1.25</v>
      </c>
      <c r="C74" s="10">
        <v>1.25</v>
      </c>
      <c r="D74" s="10"/>
      <c r="E74" s="10"/>
      <c r="F74" s="10"/>
      <c r="G74" s="10"/>
      <c r="H74" s="2">
        <f t="shared" si="0"/>
        <v>10.25</v>
      </c>
      <c r="I74" s="2">
        <f t="shared" si="1"/>
        <v>14.75</v>
      </c>
      <c r="J74" s="4">
        <f t="shared" si="2"/>
        <v>25</v>
      </c>
    </row>
    <row r="75" spans="1:11" s="87" customFormat="1" ht="15" customHeight="1" x14ac:dyDescent="0.25">
      <c r="A75" s="29" t="s">
        <v>138</v>
      </c>
      <c r="B75" s="29"/>
      <c r="C75" s="29"/>
      <c r="D75" s="29"/>
      <c r="E75" s="29"/>
      <c r="F75" s="29"/>
      <c r="G75" s="75">
        <v>2</v>
      </c>
      <c r="H75" s="2">
        <f t="shared" si="0"/>
        <v>10.25</v>
      </c>
      <c r="I75" s="2">
        <f t="shared" si="1"/>
        <v>14.75</v>
      </c>
      <c r="J75" s="4">
        <f t="shared" si="2"/>
        <v>25</v>
      </c>
    </row>
    <row r="76" spans="1:11" s="87" customFormat="1" ht="15" customHeight="1" x14ac:dyDescent="0.25">
      <c r="A76" s="29" t="s">
        <v>141</v>
      </c>
      <c r="B76" s="29">
        <v>2.5</v>
      </c>
      <c r="C76" s="29">
        <v>2.5</v>
      </c>
      <c r="D76" s="29"/>
      <c r="E76" s="29"/>
      <c r="F76" s="29"/>
      <c r="G76" s="29"/>
      <c r="H76" s="2">
        <f t="shared" si="0"/>
        <v>12.75</v>
      </c>
      <c r="I76" s="2">
        <f t="shared" si="1"/>
        <v>17.25</v>
      </c>
      <c r="J76" s="4">
        <f t="shared" si="2"/>
        <v>30</v>
      </c>
    </row>
    <row r="77" spans="1:11" s="87" customFormat="1" ht="15" customHeight="1" x14ac:dyDescent="0.25">
      <c r="A77" s="29" t="s">
        <v>139</v>
      </c>
      <c r="B77" s="29"/>
      <c r="C77" s="29"/>
      <c r="D77" s="29"/>
      <c r="E77" s="29">
        <v>1</v>
      </c>
      <c r="F77" s="29"/>
      <c r="G77" s="29"/>
      <c r="H77" s="2">
        <f t="shared" si="0"/>
        <v>12.75</v>
      </c>
      <c r="I77" s="2">
        <f t="shared" si="1"/>
        <v>16.25</v>
      </c>
      <c r="J77" s="4">
        <f t="shared" si="2"/>
        <v>29</v>
      </c>
    </row>
    <row r="78" spans="1:11" s="87" customFormat="1" ht="15" customHeight="1" x14ac:dyDescent="0.25">
      <c r="A78" s="29" t="s">
        <v>142</v>
      </c>
      <c r="B78" s="29">
        <v>2.5</v>
      </c>
      <c r="C78" s="29">
        <v>2.5</v>
      </c>
      <c r="D78" s="29"/>
      <c r="E78" s="29"/>
      <c r="F78" s="29"/>
      <c r="G78" s="29"/>
      <c r="H78" s="2">
        <f t="shared" si="0"/>
        <v>15.25</v>
      </c>
      <c r="I78" s="2">
        <f t="shared" si="1"/>
        <v>18.75</v>
      </c>
      <c r="J78" s="4">
        <f t="shared" si="2"/>
        <v>34</v>
      </c>
    </row>
    <row r="79" spans="1:11" s="87" customFormat="1" ht="15" customHeight="1" x14ac:dyDescent="0.25">
      <c r="A79" s="29" t="s">
        <v>143</v>
      </c>
      <c r="B79" s="29"/>
      <c r="C79" s="29"/>
      <c r="D79" s="29">
        <v>10</v>
      </c>
      <c r="E79" s="29"/>
      <c r="F79" s="29"/>
      <c r="G79" s="29"/>
      <c r="H79" s="2">
        <f>H78-F79-D79+B79</f>
        <v>5.25</v>
      </c>
      <c r="I79" s="2">
        <f>I78-E79+C79</f>
        <v>18.75</v>
      </c>
      <c r="J79" s="4">
        <f t="shared" ref="J79:J80" si="3">SUM(H79:I79)</f>
        <v>24</v>
      </c>
    </row>
    <row r="80" spans="1:11" s="87" customFormat="1" ht="15" customHeight="1" x14ac:dyDescent="0.25">
      <c r="A80" s="29" t="s">
        <v>144</v>
      </c>
      <c r="B80" s="29"/>
      <c r="C80" s="29"/>
      <c r="D80" s="29"/>
      <c r="E80" s="29">
        <v>1</v>
      </c>
      <c r="F80" s="29"/>
      <c r="G80" s="29"/>
      <c r="H80" s="2">
        <f>H79-F80-D80+B80</f>
        <v>5.25</v>
      </c>
      <c r="I80" s="2">
        <f>I79-E80+C80</f>
        <v>17.75</v>
      </c>
      <c r="J80" s="4">
        <f t="shared" si="3"/>
        <v>23</v>
      </c>
    </row>
    <row r="81" spans="1:11" s="62" customFormat="1" ht="15" customHeight="1" x14ac:dyDescent="0.25">
      <c r="A81" s="48"/>
      <c r="B81" s="48"/>
      <c r="C81" s="48"/>
      <c r="D81" s="48"/>
      <c r="E81" s="48"/>
      <c r="F81" s="48"/>
      <c r="G81" s="48"/>
      <c r="H81" s="70"/>
      <c r="I81" s="70"/>
      <c r="J81" s="82"/>
    </row>
    <row r="82" spans="1:11" s="62" customFormat="1" ht="15" customHeight="1" x14ac:dyDescent="0.25">
      <c r="B82" s="48"/>
      <c r="C82" s="48"/>
      <c r="D82" s="48"/>
      <c r="E82" s="48"/>
      <c r="F82" s="48"/>
      <c r="G82" s="72" t="s">
        <v>84</v>
      </c>
      <c r="H82" s="70"/>
      <c r="I82" s="70"/>
      <c r="J82" s="70"/>
    </row>
    <row r="83" spans="1:11" s="62" customFormat="1" ht="15" customHeight="1" x14ac:dyDescent="0.25">
      <c r="B83" s="48"/>
      <c r="C83" s="48"/>
      <c r="D83" s="48"/>
      <c r="E83" s="48"/>
      <c r="F83" s="48"/>
      <c r="G83" s="48"/>
      <c r="H83" s="70"/>
      <c r="I83" s="70"/>
      <c r="J83" s="70"/>
    </row>
    <row r="84" spans="1:11" s="62" customFormat="1" ht="15" customHeight="1" x14ac:dyDescent="0.25">
      <c r="B84" s="48"/>
      <c r="C84" s="48"/>
      <c r="D84" s="48"/>
      <c r="E84" s="48"/>
      <c r="F84" s="48"/>
      <c r="H84" s="86" t="s">
        <v>85</v>
      </c>
    </row>
    <row r="85" spans="1:11" s="62" customFormat="1" ht="15" customHeight="1" x14ac:dyDescent="0.25">
      <c r="B85" s="48"/>
      <c r="C85" s="48"/>
      <c r="D85" s="48"/>
      <c r="E85" s="48"/>
      <c r="F85" s="48"/>
      <c r="H85" s="48" t="s">
        <v>86</v>
      </c>
    </row>
    <row r="86" spans="1:11" ht="15" customHeight="1" x14ac:dyDescent="0.25">
      <c r="B86" s="11"/>
      <c r="C86" s="11"/>
      <c r="D86" s="11"/>
      <c r="E86" s="11"/>
      <c r="F86" s="11"/>
      <c r="H86" s="48" t="s">
        <v>87</v>
      </c>
      <c r="I86" s="1"/>
      <c r="J86" s="1"/>
      <c r="K86" s="1"/>
    </row>
    <row r="87" spans="1:11" x14ac:dyDescent="0.25">
      <c r="B87" s="61"/>
      <c r="C87" s="61"/>
      <c r="D87" s="61"/>
      <c r="E87" s="61"/>
      <c r="F87" s="61"/>
      <c r="G87" s="61"/>
      <c r="H87" s="61"/>
      <c r="I87" s="61"/>
      <c r="J87" s="61"/>
    </row>
    <row r="88" spans="1:11" x14ac:dyDescent="0.25">
      <c r="B88" s="61"/>
      <c r="C88" s="61"/>
      <c r="D88" s="61"/>
      <c r="E88" s="61"/>
      <c r="F88" s="61"/>
      <c r="G88" s="61"/>
      <c r="H88" s="61"/>
      <c r="I88" s="61"/>
      <c r="J88" s="61"/>
    </row>
    <row r="89" spans="1:11" x14ac:dyDescent="0.25">
      <c r="B89" s="61"/>
      <c r="C89" s="61"/>
      <c r="D89" s="61"/>
      <c r="E89" s="61"/>
      <c r="F89" s="61"/>
      <c r="G89" s="61"/>
      <c r="H89" s="61"/>
      <c r="I89" s="61"/>
      <c r="J89" s="61"/>
    </row>
  </sheetData>
  <mergeCells count="12"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3557-0EE6-40D2-A74B-CB93B1B54952}">
  <dimension ref="A1:M24"/>
  <sheetViews>
    <sheetView view="pageBreakPreview" topLeftCell="A5" zoomScaleNormal="100" zoomScaleSheetLayoutView="100" workbookViewId="0">
      <selection activeCell="C20" sqref="C20:D20"/>
    </sheetView>
  </sheetViews>
  <sheetFormatPr defaultRowHeight="15" x14ac:dyDescent="0.25"/>
  <cols>
    <col min="1" max="1" width="19.5703125" customWidth="1"/>
    <col min="2" max="2" width="22.85546875" customWidth="1"/>
    <col min="6" max="6" width="7.42578125" customWidth="1"/>
    <col min="8" max="8" width="6.140625" customWidth="1"/>
    <col min="10" max="10" width="6.5703125" customWidth="1"/>
    <col min="12" max="12" width="7.140625" customWidth="1"/>
  </cols>
  <sheetData>
    <row r="1" spans="1:13" s="1" customFormat="1" ht="52.5" customHeight="1" x14ac:dyDescent="0.25">
      <c r="D1" s="12"/>
      <c r="E1" s="13"/>
      <c r="I1" s="11"/>
    </row>
    <row r="2" spans="1:13" s="1" customFormat="1" ht="10.5" customHeight="1" x14ac:dyDescent="0.25">
      <c r="A2" s="123" t="s">
        <v>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</row>
    <row r="3" spans="1:13" s="1" customFormat="1" ht="15.95" customHeight="1" x14ac:dyDescent="0.25">
      <c r="A3" s="123" t="s">
        <v>28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</row>
    <row r="4" spans="1:13" s="1" customFormat="1" ht="15.95" customHeight="1" x14ac:dyDescent="0.25">
      <c r="A4" s="123" t="s">
        <v>29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</row>
    <row r="5" spans="1:13" s="1" customFormat="1" ht="15.95" customHeight="1" x14ac:dyDescent="0.25">
      <c r="A5" s="123" t="s">
        <v>30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</row>
    <row r="6" spans="1:13" s="1" customFormat="1" ht="8.25" customHeight="1" x14ac:dyDescent="0.25">
      <c r="D6" s="11"/>
      <c r="I6" s="11"/>
    </row>
    <row r="7" spans="1:13" s="1" customFormat="1" ht="8.25" customHeight="1" x14ac:dyDescent="0.25">
      <c r="D7" s="11"/>
      <c r="I7" s="11"/>
    </row>
    <row r="8" spans="1:13" s="1" customFormat="1" ht="12" customHeight="1" x14ac:dyDescent="0.25">
      <c r="A8" s="14" t="s">
        <v>42</v>
      </c>
      <c r="B8" s="14"/>
      <c r="C8" s="14"/>
      <c r="D8" s="147" t="s">
        <v>31</v>
      </c>
      <c r="E8" s="147"/>
      <c r="F8" s="147"/>
      <c r="G8" s="147"/>
      <c r="H8" s="147"/>
      <c r="J8" s="147" t="s">
        <v>32</v>
      </c>
      <c r="K8" s="147"/>
      <c r="L8" s="147"/>
      <c r="M8" s="14"/>
    </row>
    <row r="9" spans="1:13" s="1" customFormat="1" ht="12" customHeight="1" x14ac:dyDescent="0.25">
      <c r="C9" s="15"/>
      <c r="D9" s="147" t="s">
        <v>44</v>
      </c>
      <c r="E9" s="147"/>
      <c r="F9" s="147"/>
      <c r="G9" s="147"/>
      <c r="H9" s="147"/>
      <c r="J9" s="148" t="s">
        <v>33</v>
      </c>
      <c r="K9" s="148"/>
      <c r="L9" s="148"/>
      <c r="M9" s="15"/>
    </row>
    <row r="10" spans="1:13" s="1" customFormat="1" ht="12" customHeight="1" x14ac:dyDescent="0.25">
      <c r="A10" s="14" t="s">
        <v>43</v>
      </c>
      <c r="B10" s="14"/>
      <c r="C10" s="14"/>
      <c r="D10" s="16"/>
      <c r="E10" s="15"/>
      <c r="F10" s="15"/>
      <c r="J10" s="147" t="s">
        <v>34</v>
      </c>
      <c r="K10" s="147"/>
      <c r="L10" s="147"/>
      <c r="M10" s="14"/>
    </row>
    <row r="11" spans="1:13" ht="16.5" customHeight="1" thickBot="1" x14ac:dyDescent="0.3">
      <c r="A11" s="149" t="s">
        <v>35</v>
      </c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</row>
    <row r="12" spans="1:13" s="17" customFormat="1" ht="18.75" customHeight="1" x14ac:dyDescent="0.2">
      <c r="A12" s="150" t="s">
        <v>36</v>
      </c>
      <c r="B12" s="153" t="s">
        <v>4</v>
      </c>
      <c r="C12" s="156" t="s">
        <v>37</v>
      </c>
      <c r="D12" s="157"/>
      <c r="E12" s="156" t="s">
        <v>38</v>
      </c>
      <c r="F12" s="157"/>
      <c r="G12" s="156" t="s">
        <v>39</v>
      </c>
      <c r="H12" s="157"/>
      <c r="I12" s="156" t="s">
        <v>40</v>
      </c>
      <c r="J12" s="157"/>
      <c r="K12" s="156" t="s">
        <v>41</v>
      </c>
      <c r="L12" s="157"/>
      <c r="M12" s="162" t="s">
        <v>8</v>
      </c>
    </row>
    <row r="13" spans="1:13" s="17" customFormat="1" ht="18.75" customHeight="1" x14ac:dyDescent="0.2">
      <c r="A13" s="151"/>
      <c r="B13" s="154"/>
      <c r="C13" s="158"/>
      <c r="D13" s="159"/>
      <c r="E13" s="158"/>
      <c r="F13" s="159"/>
      <c r="G13" s="158"/>
      <c r="H13" s="159"/>
      <c r="I13" s="158"/>
      <c r="J13" s="159"/>
      <c r="K13" s="158"/>
      <c r="L13" s="159"/>
      <c r="M13" s="163"/>
    </row>
    <row r="14" spans="1:13" s="17" customFormat="1" ht="24" customHeight="1" x14ac:dyDescent="0.2">
      <c r="A14" s="152"/>
      <c r="B14" s="155"/>
      <c r="C14" s="160"/>
      <c r="D14" s="161"/>
      <c r="E14" s="160"/>
      <c r="F14" s="161"/>
      <c r="G14" s="160"/>
      <c r="H14" s="161"/>
      <c r="I14" s="160"/>
      <c r="J14" s="161"/>
      <c r="K14" s="160"/>
      <c r="L14" s="161"/>
      <c r="M14" s="164"/>
    </row>
    <row r="15" spans="1:13" s="17" customFormat="1" ht="34.5" customHeight="1" x14ac:dyDescent="0.2">
      <c r="A15" s="18" t="s">
        <v>45</v>
      </c>
      <c r="B15" s="19" t="s">
        <v>46</v>
      </c>
      <c r="C15" s="144" t="s">
        <v>47</v>
      </c>
      <c r="D15" s="146"/>
      <c r="E15" s="144"/>
      <c r="F15" s="146"/>
      <c r="G15" s="144">
        <v>5</v>
      </c>
      <c r="H15" s="145"/>
      <c r="I15" s="144">
        <v>0</v>
      </c>
      <c r="J15" s="145"/>
      <c r="K15" s="144">
        <v>5</v>
      </c>
      <c r="L15" s="145"/>
      <c r="M15" s="20">
        <v>5</v>
      </c>
    </row>
    <row r="16" spans="1:13" s="22" customFormat="1" ht="32.25" customHeight="1" x14ac:dyDescent="0.2">
      <c r="A16" s="18"/>
      <c r="B16" s="21" t="s">
        <v>48</v>
      </c>
      <c r="C16" s="144"/>
      <c r="D16" s="146"/>
      <c r="E16" s="144"/>
      <c r="F16" s="146"/>
      <c r="G16" s="144">
        <v>5</v>
      </c>
      <c r="H16" s="145"/>
      <c r="I16" s="144">
        <v>1</v>
      </c>
      <c r="J16" s="145"/>
      <c r="K16" s="144">
        <v>4</v>
      </c>
      <c r="L16" s="145"/>
      <c r="M16" s="20">
        <v>4</v>
      </c>
    </row>
    <row r="17" spans="1:13" s="22" customFormat="1" ht="32.25" customHeight="1" x14ac:dyDescent="0.2">
      <c r="A17" s="27"/>
      <c r="B17" s="27" t="s">
        <v>113</v>
      </c>
      <c r="C17" s="144"/>
      <c r="D17" s="146"/>
      <c r="E17" s="144"/>
      <c r="F17" s="146"/>
      <c r="G17" s="144">
        <v>4</v>
      </c>
      <c r="H17" s="145"/>
      <c r="I17" s="144">
        <v>2</v>
      </c>
      <c r="J17" s="145"/>
      <c r="K17" s="144">
        <v>2</v>
      </c>
      <c r="L17" s="145"/>
      <c r="M17" s="27">
        <v>2</v>
      </c>
    </row>
    <row r="18" spans="1:13" s="22" customFormat="1" ht="32.25" customHeight="1" x14ac:dyDescent="0.2">
      <c r="A18" s="68"/>
      <c r="B18" s="68" t="s">
        <v>118</v>
      </c>
      <c r="C18" s="165"/>
      <c r="D18" s="166"/>
      <c r="E18" s="165"/>
      <c r="F18" s="166"/>
      <c r="G18" s="165">
        <v>2</v>
      </c>
      <c r="H18" s="167"/>
      <c r="I18" s="165">
        <v>1</v>
      </c>
      <c r="J18" s="167"/>
      <c r="K18" s="165">
        <v>1</v>
      </c>
      <c r="L18" s="167"/>
      <c r="M18" s="68">
        <v>1</v>
      </c>
    </row>
    <row r="19" spans="1:13" s="69" customFormat="1" ht="32.25" customHeight="1" x14ac:dyDescent="0.2">
      <c r="A19" s="27"/>
      <c r="B19" s="27" t="s">
        <v>120</v>
      </c>
      <c r="C19" s="143"/>
      <c r="D19" s="143"/>
      <c r="E19" s="144"/>
      <c r="F19" s="145"/>
      <c r="G19" s="144">
        <v>1</v>
      </c>
      <c r="H19" s="145"/>
      <c r="I19" s="144">
        <v>1</v>
      </c>
      <c r="J19" s="145"/>
      <c r="K19" s="144">
        <v>0</v>
      </c>
      <c r="L19" s="145"/>
      <c r="M19" s="83">
        <v>0</v>
      </c>
    </row>
    <row r="20" spans="1:13" s="22" customFormat="1" ht="32.25" customHeight="1" x14ac:dyDescent="0.2">
      <c r="A20" s="27" t="s">
        <v>132</v>
      </c>
      <c r="B20" s="27" t="s">
        <v>133</v>
      </c>
      <c r="C20" s="143"/>
      <c r="D20" s="143"/>
      <c r="E20" s="144" t="s">
        <v>134</v>
      </c>
      <c r="F20" s="145"/>
      <c r="G20" s="144">
        <v>5</v>
      </c>
      <c r="H20" s="145"/>
      <c r="I20" s="144">
        <v>0</v>
      </c>
      <c r="J20" s="145"/>
      <c r="K20" s="144">
        <v>5</v>
      </c>
      <c r="L20" s="145"/>
      <c r="M20" s="84">
        <v>5</v>
      </c>
    </row>
    <row r="21" spans="1:13" s="22" customFormat="1" ht="32.25" customHeight="1" x14ac:dyDescent="0.2">
      <c r="A21" s="27"/>
      <c r="B21" s="27" t="s">
        <v>135</v>
      </c>
      <c r="C21" s="143"/>
      <c r="D21" s="143"/>
      <c r="E21" s="144"/>
      <c r="F21" s="145"/>
      <c r="G21" s="144"/>
      <c r="H21" s="145"/>
      <c r="I21" s="144">
        <v>5</v>
      </c>
      <c r="J21" s="145"/>
      <c r="K21" s="144">
        <v>0</v>
      </c>
      <c r="L21" s="145"/>
      <c r="M21" s="83">
        <v>0</v>
      </c>
    </row>
    <row r="22" spans="1:13" s="1" customFormat="1" ht="75.75" customHeight="1" x14ac:dyDescent="0.25">
      <c r="A22" s="23"/>
      <c r="B22" s="23"/>
      <c r="D22" s="11"/>
      <c r="M22" s="23"/>
    </row>
    <row r="23" spans="1:13" s="1" customFormat="1" x14ac:dyDescent="0.25">
      <c r="D23" s="11"/>
    </row>
    <row r="24" spans="1:13" s="1" customFormat="1" x14ac:dyDescent="0.25">
      <c r="D24" s="11"/>
    </row>
  </sheetData>
  <mergeCells count="53"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6:D16"/>
    <mergeCell ref="E16:F16"/>
    <mergeCell ref="G16:H16"/>
    <mergeCell ref="I16:J16"/>
    <mergeCell ref="K16:L16"/>
    <mergeCell ref="C15:D15"/>
    <mergeCell ref="E15:F15"/>
    <mergeCell ref="G15:H15"/>
    <mergeCell ref="I15:J15"/>
    <mergeCell ref="K15:L15"/>
    <mergeCell ref="D9:H9"/>
    <mergeCell ref="J9:L9"/>
    <mergeCell ref="J10:L10"/>
    <mergeCell ref="A11:M11"/>
    <mergeCell ref="A12:A14"/>
    <mergeCell ref="B12:B14"/>
    <mergeCell ref="C12:D14"/>
    <mergeCell ref="E12:F14"/>
    <mergeCell ref="G12:H14"/>
    <mergeCell ref="I12:J14"/>
    <mergeCell ref="K12:L14"/>
    <mergeCell ref="M12:M14"/>
    <mergeCell ref="A2:M2"/>
    <mergeCell ref="A3:M3"/>
    <mergeCell ref="A4:M4"/>
    <mergeCell ref="A5:M5"/>
    <mergeCell ref="D8:H8"/>
    <mergeCell ref="J8:L8"/>
    <mergeCell ref="C17:D17"/>
    <mergeCell ref="E17:F17"/>
    <mergeCell ref="G17:H17"/>
    <mergeCell ref="I17:J17"/>
    <mergeCell ref="K17:L17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</mergeCells>
  <phoneticPr fontId="16" type="noConversion"/>
  <pageMargins left="0.7" right="0.7" top="0.75" bottom="0.75" header="0.3" footer="0.3"/>
  <pageSetup paperSize="9" scale="98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424B8-0A51-4FB1-931E-C764CC24A10E}">
  <dimension ref="A1:L23"/>
  <sheetViews>
    <sheetView view="pageBreakPreview" zoomScale="112" zoomScaleNormal="100" zoomScaleSheetLayoutView="112" workbookViewId="0">
      <selection activeCell="F15" sqref="F15:G15"/>
    </sheetView>
  </sheetViews>
  <sheetFormatPr defaultColWidth="8.7109375" defaultRowHeight="15" x14ac:dyDescent="0.25"/>
  <cols>
    <col min="1" max="1" width="33.5703125" style="37" customWidth="1"/>
    <col min="2" max="16384" width="8.7109375" style="37"/>
  </cols>
  <sheetData>
    <row r="1" spans="1:12" s="32" customFormat="1" ht="52.5" customHeight="1" x14ac:dyDescent="0.25"/>
    <row r="2" spans="1:12" s="32" customFormat="1" ht="10.5" customHeight="1" x14ac:dyDescent="0.25">
      <c r="A2" s="132" t="s">
        <v>27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</row>
    <row r="3" spans="1:12" s="32" customFormat="1" ht="15.95" customHeight="1" x14ac:dyDescent="0.25">
      <c r="A3" s="132" t="s">
        <v>28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</row>
    <row r="4" spans="1:12" s="32" customFormat="1" ht="15.95" customHeight="1" x14ac:dyDescent="0.25">
      <c r="A4" s="132" t="s">
        <v>29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</row>
    <row r="5" spans="1:12" s="32" customFormat="1" ht="15.95" customHeight="1" x14ac:dyDescent="0.25">
      <c r="A5" s="132" t="s">
        <v>30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</row>
    <row r="6" spans="1:12" s="32" customFormat="1" ht="8.25" customHeight="1" x14ac:dyDescent="0.25"/>
    <row r="7" spans="1:12" s="32" customFormat="1" ht="12" customHeight="1" x14ac:dyDescent="0.25">
      <c r="A7" s="32" t="s">
        <v>75</v>
      </c>
      <c r="C7" s="33" t="s">
        <v>76</v>
      </c>
      <c r="D7" s="33"/>
      <c r="G7" s="33" t="s">
        <v>9</v>
      </c>
      <c r="H7" s="34"/>
    </row>
    <row r="8" spans="1:12" s="32" customFormat="1" ht="12" customHeight="1" x14ac:dyDescent="0.25">
      <c r="C8" s="35"/>
      <c r="G8" s="35"/>
      <c r="H8" s="35"/>
    </row>
    <row r="9" spans="1:12" s="32" customFormat="1" ht="12" customHeight="1" x14ac:dyDescent="0.25">
      <c r="A9" s="32" t="s">
        <v>77</v>
      </c>
      <c r="C9" s="33" t="s">
        <v>78</v>
      </c>
      <c r="D9" s="33"/>
      <c r="G9" s="33" t="s">
        <v>10</v>
      </c>
      <c r="H9" s="36"/>
    </row>
    <row r="10" spans="1:12" ht="16.5" customHeight="1" thickBot="1" x14ac:dyDescent="0.3">
      <c r="A10" s="133" t="s">
        <v>79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</row>
    <row r="11" spans="1:12" s="38" customFormat="1" ht="18.75" customHeight="1" x14ac:dyDescent="0.2">
      <c r="A11" s="134" t="s">
        <v>4</v>
      </c>
      <c r="B11" s="136" t="s">
        <v>5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8" t="s">
        <v>8</v>
      </c>
    </row>
    <row r="12" spans="1:12" s="38" customFormat="1" ht="24" customHeight="1" x14ac:dyDescent="0.2">
      <c r="A12" s="135"/>
      <c r="B12" s="140" t="s">
        <v>80</v>
      </c>
      <c r="C12" s="141"/>
      <c r="D12" s="141"/>
      <c r="E12" s="142"/>
      <c r="F12" s="140" t="s">
        <v>39</v>
      </c>
      <c r="G12" s="142"/>
      <c r="H12" s="140" t="s">
        <v>40</v>
      </c>
      <c r="I12" s="142"/>
      <c r="J12" s="140" t="s">
        <v>41</v>
      </c>
      <c r="K12" s="142"/>
      <c r="L12" s="139"/>
    </row>
    <row r="13" spans="1:12" s="38" customFormat="1" ht="24.95" customHeight="1" x14ac:dyDescent="0.2">
      <c r="A13" s="39" t="s">
        <v>81</v>
      </c>
      <c r="B13" s="168" t="s">
        <v>82</v>
      </c>
      <c r="C13" s="171"/>
      <c r="D13" s="171"/>
      <c r="E13" s="169"/>
      <c r="F13" s="168">
        <v>1</v>
      </c>
      <c r="G13" s="169"/>
      <c r="H13" s="168">
        <v>0</v>
      </c>
      <c r="I13" s="169"/>
      <c r="J13" s="168">
        <v>1</v>
      </c>
      <c r="K13" s="169"/>
      <c r="L13" s="40">
        <v>1</v>
      </c>
    </row>
    <row r="14" spans="1:12" s="42" customFormat="1" ht="25.5" customHeight="1" x14ac:dyDescent="0.2">
      <c r="A14" s="39" t="s">
        <v>88</v>
      </c>
      <c r="B14" s="168" t="s">
        <v>82</v>
      </c>
      <c r="C14" s="171"/>
      <c r="D14" s="171"/>
      <c r="E14" s="169"/>
      <c r="F14" s="168">
        <v>1</v>
      </c>
      <c r="G14" s="169"/>
      <c r="H14" s="168">
        <v>1</v>
      </c>
      <c r="I14" s="169"/>
      <c r="J14" s="168">
        <f>F14-H14</f>
        <v>0</v>
      </c>
      <c r="K14" s="169"/>
      <c r="L14" s="41">
        <v>0</v>
      </c>
    </row>
    <row r="15" spans="1:12" s="42" customFormat="1" ht="25.5" customHeight="1" x14ac:dyDescent="0.2">
      <c r="A15" s="64" t="s">
        <v>115</v>
      </c>
      <c r="B15" s="168" t="s">
        <v>116</v>
      </c>
      <c r="C15" s="171"/>
      <c r="D15" s="171"/>
      <c r="E15" s="169"/>
      <c r="F15" s="168">
        <v>1</v>
      </c>
      <c r="G15" s="169"/>
      <c r="H15" s="168">
        <v>0</v>
      </c>
      <c r="I15" s="169"/>
      <c r="J15" s="168">
        <v>1</v>
      </c>
      <c r="K15" s="169"/>
      <c r="L15" s="66">
        <v>1</v>
      </c>
    </row>
    <row r="16" spans="1:12" s="42" customFormat="1" ht="25.5" customHeight="1" x14ac:dyDescent="0.2">
      <c r="A16" s="64" t="s">
        <v>114</v>
      </c>
      <c r="B16" s="168" t="s">
        <v>116</v>
      </c>
      <c r="C16" s="171"/>
      <c r="D16" s="171"/>
      <c r="E16" s="169"/>
      <c r="F16" s="168">
        <v>1</v>
      </c>
      <c r="G16" s="169"/>
      <c r="H16" s="168">
        <v>1</v>
      </c>
      <c r="I16" s="169"/>
      <c r="J16" s="168">
        <v>0</v>
      </c>
      <c r="K16" s="169"/>
      <c r="L16" s="65">
        <v>0</v>
      </c>
    </row>
    <row r="17" spans="1:12" s="42" customFormat="1" x14ac:dyDescent="0.2">
      <c r="A17" s="43" t="s">
        <v>83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5"/>
    </row>
    <row r="18" spans="1:12" ht="18.95" customHeight="1" x14ac:dyDescent="0.25">
      <c r="A18" s="128"/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</row>
    <row r="19" spans="1:12" s="32" customFormat="1" x14ac:dyDescent="0.25">
      <c r="A19" s="32" t="s">
        <v>84</v>
      </c>
      <c r="C19" s="46"/>
    </row>
    <row r="20" spans="1:12" s="32" customFormat="1" x14ac:dyDescent="0.25">
      <c r="C20" s="46"/>
    </row>
    <row r="21" spans="1:12" x14ac:dyDescent="0.25">
      <c r="A21" s="170" t="s">
        <v>85</v>
      </c>
      <c r="B21" s="170"/>
    </row>
    <row r="22" spans="1:12" x14ac:dyDescent="0.25">
      <c r="A22" s="172" t="s">
        <v>86</v>
      </c>
      <c r="B22" s="172"/>
    </row>
    <row r="23" spans="1:12" x14ac:dyDescent="0.25">
      <c r="A23" s="124" t="s">
        <v>87</v>
      </c>
      <c r="B23" s="124"/>
    </row>
  </sheetData>
  <mergeCells count="32">
    <mergeCell ref="A22:B22"/>
    <mergeCell ref="A23:B23"/>
    <mergeCell ref="B14:E14"/>
    <mergeCell ref="F14:G14"/>
    <mergeCell ref="H14:I14"/>
    <mergeCell ref="B15:E15"/>
    <mergeCell ref="F15:G15"/>
    <mergeCell ref="H15:I15"/>
    <mergeCell ref="B16:E16"/>
    <mergeCell ref="F16:G16"/>
    <mergeCell ref="H16:I16"/>
    <mergeCell ref="J14:K14"/>
    <mergeCell ref="A18:L18"/>
    <mergeCell ref="A21:B21"/>
    <mergeCell ref="H12:I12"/>
    <mergeCell ref="J12:K12"/>
    <mergeCell ref="B13:E13"/>
    <mergeCell ref="F13:G13"/>
    <mergeCell ref="H13:I13"/>
    <mergeCell ref="J13:K13"/>
    <mergeCell ref="A11:A12"/>
    <mergeCell ref="B11:K11"/>
    <mergeCell ref="L11:L12"/>
    <mergeCell ref="B12:E12"/>
    <mergeCell ref="F12:G12"/>
    <mergeCell ref="J15:K15"/>
    <mergeCell ref="J16:K16"/>
    <mergeCell ref="A2:L2"/>
    <mergeCell ref="A3:L3"/>
    <mergeCell ref="A4:L4"/>
    <mergeCell ref="A5:L5"/>
    <mergeCell ref="A10:L10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CE2A-C0DE-4A11-A836-3C8D52B12C9A}">
  <dimension ref="A1:Y24"/>
  <sheetViews>
    <sheetView workbookViewId="0">
      <selection activeCell="E20" sqref="E20"/>
    </sheetView>
  </sheetViews>
  <sheetFormatPr defaultRowHeight="15" x14ac:dyDescent="0.25"/>
  <cols>
    <col min="1" max="1" width="27.140625" customWidth="1"/>
    <col min="2" max="11" width="9.5703125" customWidth="1"/>
    <col min="12" max="12" width="7.5703125" customWidth="1"/>
    <col min="13" max="13" width="8.7109375" hidden="1" customWidth="1"/>
  </cols>
  <sheetData>
    <row r="1" spans="1:25" x14ac:dyDescent="0.25">
      <c r="A1" s="1"/>
      <c r="B1" s="1"/>
      <c r="C1" s="12"/>
      <c r="D1" s="13"/>
      <c r="E1" s="1"/>
      <c r="F1" s="1"/>
      <c r="G1" s="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23" t="s">
        <v>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23" t="s">
        <v>28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23" t="s">
        <v>29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23" t="s">
        <v>30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1"/>
      <c r="B6" s="1"/>
      <c r="C6" s="11"/>
      <c r="D6" s="1"/>
      <c r="E6" s="1"/>
      <c r="F6" s="1"/>
      <c r="G6" s="1"/>
      <c r="H6" s="1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1"/>
      <c r="B7" s="1"/>
      <c r="C7" s="11"/>
      <c r="D7" s="1"/>
      <c r="E7" s="1"/>
      <c r="F7" s="1"/>
      <c r="G7" s="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14" t="s">
        <v>53</v>
      </c>
      <c r="B8" s="14"/>
      <c r="C8" s="147" t="s">
        <v>31</v>
      </c>
      <c r="D8" s="147"/>
      <c r="E8" s="147"/>
      <c r="F8" s="147"/>
      <c r="G8" s="147"/>
      <c r="H8" s="1"/>
      <c r="I8" s="147" t="s">
        <v>54</v>
      </c>
      <c r="J8" s="147"/>
      <c r="K8" s="147"/>
      <c r="L8" s="1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1"/>
      <c r="B9" s="15"/>
      <c r="C9" s="147" t="s">
        <v>55</v>
      </c>
      <c r="D9" s="147"/>
      <c r="E9" s="147"/>
      <c r="F9" s="147"/>
      <c r="G9" s="147"/>
      <c r="H9" s="1"/>
      <c r="I9" s="148" t="s">
        <v>33</v>
      </c>
      <c r="J9" s="148"/>
      <c r="K9" s="148"/>
      <c r="L9" s="1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4" t="s">
        <v>56</v>
      </c>
      <c r="B10" s="14"/>
      <c r="C10" s="16"/>
      <c r="D10" s="15"/>
      <c r="E10" s="15"/>
      <c r="F10" s="1"/>
      <c r="G10" s="1"/>
      <c r="H10" s="1"/>
      <c r="I10" s="147" t="s">
        <v>34</v>
      </c>
      <c r="J10" s="147"/>
      <c r="K10" s="147"/>
      <c r="L10" s="1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.75" thickBot="1" x14ac:dyDescent="0.3">
      <c r="A11" s="149" t="s">
        <v>57</v>
      </c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</row>
    <row r="12" spans="1:25" ht="48" x14ac:dyDescent="0.25">
      <c r="A12" s="25" t="s">
        <v>4</v>
      </c>
      <c r="B12" s="26" t="s">
        <v>58</v>
      </c>
      <c r="C12" s="26" t="s">
        <v>59</v>
      </c>
      <c r="D12" s="26" t="s">
        <v>60</v>
      </c>
      <c r="E12" s="26" t="s">
        <v>61</v>
      </c>
      <c r="F12" s="26" t="s">
        <v>62</v>
      </c>
      <c r="G12" s="26" t="s">
        <v>63</v>
      </c>
      <c r="H12" s="26" t="s">
        <v>64</v>
      </c>
      <c r="I12" s="26" t="s">
        <v>65</v>
      </c>
      <c r="J12" s="26" t="s">
        <v>66</v>
      </c>
      <c r="K12" s="26" t="s">
        <v>67</v>
      </c>
      <c r="L12" s="24" t="s">
        <v>8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 x14ac:dyDescent="0.25">
      <c r="A13" s="18" t="s">
        <v>68</v>
      </c>
      <c r="B13" s="10"/>
      <c r="C13" s="27"/>
      <c r="D13" s="27">
        <v>1</v>
      </c>
      <c r="E13" s="10"/>
      <c r="F13" s="10"/>
      <c r="G13" s="10"/>
      <c r="H13" s="27"/>
      <c r="I13" s="10"/>
      <c r="J13" s="10"/>
      <c r="K13" s="10"/>
      <c r="L13" s="20">
        <v>1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25" x14ac:dyDescent="0.25">
      <c r="A14" s="18"/>
      <c r="B14" s="10"/>
      <c r="C14" s="27"/>
      <c r="D14" s="27"/>
      <c r="E14" s="10"/>
      <c r="F14" s="10"/>
      <c r="G14" s="10"/>
      <c r="H14" s="27"/>
      <c r="I14" s="10"/>
      <c r="J14" s="10"/>
      <c r="K14" s="10"/>
      <c r="L14" s="20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1:25" x14ac:dyDescent="0.25">
      <c r="A15" s="28"/>
      <c r="B15" s="10"/>
      <c r="C15" s="27"/>
      <c r="D15" s="27"/>
      <c r="E15" s="10"/>
      <c r="F15" s="10"/>
      <c r="G15" s="10"/>
      <c r="H15" s="27"/>
      <c r="I15" s="10"/>
      <c r="J15" s="10"/>
      <c r="K15" s="10"/>
      <c r="L15" s="20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x14ac:dyDescent="0.25">
      <c r="A16" s="29"/>
      <c r="B16" s="10"/>
      <c r="C16" s="27"/>
      <c r="D16" s="27"/>
      <c r="E16" s="10"/>
      <c r="F16" s="10"/>
      <c r="G16" s="10"/>
      <c r="H16" s="27"/>
      <c r="I16" s="10"/>
      <c r="J16" s="10"/>
      <c r="K16" s="10"/>
      <c r="L16" s="20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x14ac:dyDescent="0.25">
      <c r="A17" s="27"/>
      <c r="B17" s="10"/>
      <c r="C17" s="27"/>
      <c r="D17" s="27"/>
      <c r="E17" s="10"/>
      <c r="F17" s="10"/>
      <c r="G17" s="10"/>
      <c r="H17" s="27"/>
      <c r="I17" s="10"/>
      <c r="J17" s="10"/>
      <c r="K17" s="10"/>
      <c r="L17" s="20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x14ac:dyDescent="0.25">
      <c r="A18" s="18"/>
      <c r="B18" s="10"/>
      <c r="C18" s="27"/>
      <c r="D18" s="27"/>
      <c r="E18" s="10"/>
      <c r="F18" s="10"/>
      <c r="G18" s="10"/>
      <c r="H18" s="27"/>
      <c r="I18" s="10"/>
      <c r="J18" s="10"/>
      <c r="K18" s="10"/>
      <c r="L18" s="20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x14ac:dyDescent="0.25">
      <c r="A19" s="18"/>
      <c r="B19" s="10"/>
      <c r="C19" s="27"/>
      <c r="D19" s="27"/>
      <c r="E19" s="10"/>
      <c r="F19" s="10"/>
      <c r="G19" s="10"/>
      <c r="H19" s="27"/>
      <c r="I19" s="10"/>
      <c r="J19" s="10"/>
      <c r="K19" s="10"/>
      <c r="L19" s="20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x14ac:dyDescent="0.25">
      <c r="A20" s="18"/>
      <c r="B20" s="10"/>
      <c r="C20" s="27"/>
      <c r="D20" s="27"/>
      <c r="E20" s="10"/>
      <c r="F20" s="10"/>
      <c r="G20" s="10"/>
      <c r="H20" s="27"/>
      <c r="I20" s="10"/>
      <c r="J20" s="10"/>
      <c r="K20" s="10"/>
      <c r="L20" s="20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x14ac:dyDescent="0.25">
      <c r="A21" s="30"/>
      <c r="B21" s="10"/>
      <c r="C21" s="27"/>
      <c r="D21" s="27"/>
      <c r="E21" s="10"/>
      <c r="F21" s="10"/>
      <c r="G21" s="10"/>
      <c r="H21" s="27"/>
      <c r="I21" s="10"/>
      <c r="J21" s="10"/>
      <c r="K21" s="31"/>
      <c r="L21" s="20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x14ac:dyDescent="0.25">
      <c r="A22" s="173"/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</row>
    <row r="23" spans="1:25" x14ac:dyDescent="0.25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5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2:L2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80C7-71F0-4EF6-A935-DB54D87A3523}">
  <dimension ref="A1:G19"/>
  <sheetViews>
    <sheetView view="pageBreakPreview" topLeftCell="A3" zoomScaleNormal="100" zoomScaleSheetLayoutView="100" workbookViewId="0">
      <selection activeCell="F17" sqref="F17"/>
    </sheetView>
  </sheetViews>
  <sheetFormatPr defaultRowHeight="15" x14ac:dyDescent="0.25"/>
  <cols>
    <col min="2" max="2" width="18.140625" customWidth="1"/>
    <col min="3" max="3" width="19.5703125" customWidth="1"/>
    <col min="4" max="4" width="56.42578125" customWidth="1"/>
    <col min="5" max="5" width="12.42578125" customWidth="1"/>
    <col min="6" max="6" width="13.42578125" customWidth="1"/>
    <col min="7" max="7" width="15.140625" customWidth="1"/>
  </cols>
  <sheetData>
    <row r="1" spans="1:7" ht="58.5" customHeight="1" x14ac:dyDescent="0.25"/>
    <row r="2" spans="1:7" ht="15.95" customHeight="1" x14ac:dyDescent="0.25">
      <c r="A2" s="185" t="s">
        <v>27</v>
      </c>
      <c r="B2" s="186"/>
      <c r="C2" s="186"/>
      <c r="D2" s="186"/>
      <c r="E2" s="186"/>
      <c r="F2" s="186"/>
      <c r="G2" s="186"/>
    </row>
    <row r="3" spans="1:7" ht="15.95" customHeight="1" x14ac:dyDescent="0.25">
      <c r="A3" s="186" t="s">
        <v>28</v>
      </c>
      <c r="B3" s="186"/>
      <c r="C3" s="186"/>
      <c r="D3" s="186"/>
      <c r="E3" s="186"/>
      <c r="F3" s="186"/>
      <c r="G3" s="186"/>
    </row>
    <row r="4" spans="1:7" ht="15.95" customHeight="1" x14ac:dyDescent="0.25">
      <c r="A4" s="186" t="s">
        <v>29</v>
      </c>
      <c r="B4" s="186"/>
      <c r="C4" s="186"/>
      <c r="D4" s="186"/>
      <c r="E4" s="186"/>
      <c r="F4" s="186"/>
      <c r="G4" s="186"/>
    </row>
    <row r="5" spans="1:7" ht="15.95" customHeight="1" x14ac:dyDescent="0.25">
      <c r="A5" s="186" t="s">
        <v>30</v>
      </c>
      <c r="B5" s="186"/>
      <c r="C5" s="186"/>
      <c r="D5" s="186"/>
      <c r="E5" s="186"/>
      <c r="F5" s="186"/>
      <c r="G5" s="186"/>
    </row>
    <row r="6" spans="1:7" ht="19.5" customHeight="1" x14ac:dyDescent="0.25">
      <c r="A6" s="187"/>
      <c r="B6" s="187"/>
      <c r="C6" s="187"/>
      <c r="D6" s="187"/>
      <c r="E6" s="187"/>
      <c r="F6" s="187"/>
      <c r="G6" s="187"/>
    </row>
    <row r="7" spans="1:7" ht="12" customHeight="1" x14ac:dyDescent="0.25">
      <c r="A7" s="1" t="s">
        <v>146</v>
      </c>
      <c r="B7" s="47" t="s">
        <v>147</v>
      </c>
      <c r="C7" s="5"/>
      <c r="D7" s="5"/>
      <c r="E7" s="96" t="s">
        <v>9</v>
      </c>
      <c r="F7" s="6"/>
      <c r="G7" s="97"/>
    </row>
    <row r="8" spans="1:7" ht="12" customHeight="1" x14ac:dyDescent="0.25">
      <c r="A8" s="1"/>
      <c r="B8" s="90"/>
      <c r="C8" s="3"/>
      <c r="D8" s="3"/>
      <c r="E8" s="98"/>
      <c r="F8" s="1"/>
      <c r="G8" s="1"/>
    </row>
    <row r="9" spans="1:7" ht="12" customHeight="1" x14ac:dyDescent="0.25">
      <c r="A9" s="1" t="s">
        <v>148</v>
      </c>
      <c r="B9" s="47" t="s">
        <v>149</v>
      </c>
      <c r="C9" s="5"/>
      <c r="D9" s="3"/>
      <c r="E9" s="96" t="s">
        <v>10</v>
      </c>
      <c r="F9" s="99"/>
      <c r="G9" s="97"/>
    </row>
    <row r="10" spans="1:7" ht="24.75" customHeight="1" thickBot="1" x14ac:dyDescent="0.3">
      <c r="A10" s="121" t="s">
        <v>150</v>
      </c>
      <c r="B10" s="121"/>
      <c r="C10" s="121"/>
      <c r="D10" s="121"/>
      <c r="E10" s="121"/>
      <c r="F10" s="121"/>
      <c r="G10" s="121"/>
    </row>
    <row r="11" spans="1:7" s="52" customFormat="1" ht="29.25" customHeight="1" x14ac:dyDescent="0.25">
      <c r="A11" s="175" t="s">
        <v>151</v>
      </c>
      <c r="B11" s="176"/>
      <c r="C11" s="100" t="s">
        <v>152</v>
      </c>
      <c r="D11" s="101" t="s">
        <v>153</v>
      </c>
      <c r="E11" s="100" t="s">
        <v>154</v>
      </c>
      <c r="F11" s="100" t="s">
        <v>155</v>
      </c>
      <c r="G11" s="102" t="s">
        <v>7</v>
      </c>
    </row>
    <row r="12" spans="1:7" ht="44.25" customHeight="1" x14ac:dyDescent="0.25">
      <c r="A12" s="177">
        <v>44838</v>
      </c>
      <c r="B12" s="178"/>
      <c r="C12" s="103" t="s">
        <v>156</v>
      </c>
      <c r="D12" s="103" t="s">
        <v>157</v>
      </c>
      <c r="E12" s="104">
        <v>1</v>
      </c>
      <c r="F12" s="105">
        <v>1</v>
      </c>
      <c r="G12" s="106">
        <f>E12-F12</f>
        <v>0</v>
      </c>
    </row>
    <row r="13" spans="1:7" s="108" customFormat="1" ht="30" customHeight="1" thickBot="1" x14ac:dyDescent="0.3">
      <c r="A13" s="179" t="s">
        <v>158</v>
      </c>
      <c r="B13" s="180"/>
      <c r="C13" s="180"/>
      <c r="D13" s="180"/>
      <c r="E13" s="180"/>
      <c r="F13" s="181"/>
      <c r="G13" s="107">
        <f>G12</f>
        <v>0</v>
      </c>
    </row>
    <row r="14" spans="1:7" ht="10.5" customHeight="1" x14ac:dyDescent="0.25">
      <c r="A14" s="73"/>
      <c r="B14" s="73"/>
      <c r="C14" s="109"/>
      <c r="D14" s="109"/>
      <c r="E14" s="109"/>
      <c r="F14" s="109"/>
      <c r="G14" s="109"/>
    </row>
    <row r="15" spans="1:7" ht="18.75" customHeight="1" x14ac:dyDescent="0.25">
      <c r="A15" s="182" t="s">
        <v>159</v>
      </c>
      <c r="B15" s="182"/>
      <c r="C15" s="109"/>
      <c r="D15" s="109"/>
      <c r="E15" s="109"/>
      <c r="F15" s="109"/>
      <c r="G15" s="109"/>
    </row>
    <row r="16" spans="1:7" ht="18.75" customHeight="1" x14ac:dyDescent="0.25">
      <c r="A16" s="183"/>
      <c r="B16" s="183"/>
      <c r="C16" s="109"/>
      <c r="D16" s="109"/>
      <c r="E16" s="109"/>
      <c r="F16" s="109"/>
      <c r="G16" s="109"/>
    </row>
    <row r="17" spans="1:7" ht="18.75" customHeight="1" x14ac:dyDescent="0.25">
      <c r="A17" s="184" t="s">
        <v>85</v>
      </c>
      <c r="B17" s="184"/>
      <c r="C17" s="184"/>
      <c r="D17" s="109"/>
      <c r="E17" s="109"/>
      <c r="F17" s="109"/>
      <c r="G17" s="109"/>
    </row>
    <row r="18" spans="1:7" ht="18.75" customHeight="1" x14ac:dyDescent="0.25">
      <c r="A18" s="174" t="s">
        <v>86</v>
      </c>
      <c r="B18" s="174"/>
      <c r="C18" s="174"/>
      <c r="D18" s="109"/>
      <c r="E18" s="109"/>
      <c r="F18" s="109"/>
      <c r="G18" s="109"/>
    </row>
    <row r="19" spans="1:7" ht="18.75" customHeight="1" x14ac:dyDescent="0.25">
      <c r="A19" s="174" t="s">
        <v>87</v>
      </c>
      <c r="B19" s="174"/>
      <c r="C19" s="109"/>
      <c r="D19" s="109"/>
      <c r="E19" s="109"/>
      <c r="F19" s="109"/>
      <c r="G19" s="109"/>
    </row>
  </sheetData>
  <mergeCells count="14">
    <mergeCell ref="A10:G10"/>
    <mergeCell ref="A2:G2"/>
    <mergeCell ref="A3:G3"/>
    <mergeCell ref="A4:G4"/>
    <mergeCell ref="A5:G5"/>
    <mergeCell ref="A6:G6"/>
    <mergeCell ref="A18:C18"/>
    <mergeCell ref="A19:B19"/>
    <mergeCell ref="A11:B11"/>
    <mergeCell ref="A12:B12"/>
    <mergeCell ref="A13:F13"/>
    <mergeCell ref="A15:B15"/>
    <mergeCell ref="A16:B16"/>
    <mergeCell ref="A17:C17"/>
  </mergeCells>
  <printOptions horizontalCentered="1"/>
  <pageMargins left="0.23622047244094491" right="0.23622047244094491" top="0.23622047244094491" bottom="0.23622047244094491" header="0.31496062992125984" footer="0.31496062992125984"/>
  <pageSetup paperSize="9" scale="9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CORRECTED</vt:lpstr>
      <vt:lpstr>CTO (2)</vt:lpstr>
      <vt:lpstr>WRONG</vt:lpstr>
      <vt:lpstr>ELECTION</vt:lpstr>
      <vt:lpstr>CTO</vt:lpstr>
      <vt:lpstr>OTHER TYPES OF LEAVE</vt:lpstr>
      <vt:lpstr>Leave Card (NE)</vt:lpstr>
      <vt:lpstr>CORRECTED!Print_Area</vt:lpstr>
      <vt:lpstr>'Leave Card (NE)'!Print_Area</vt:lpstr>
      <vt:lpstr>WRONG!Print_Area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2025-08-05T02:52:10Z</cp:lastPrinted>
  <dcterms:created xsi:type="dcterms:W3CDTF">2021-10-07T06:10:16Z</dcterms:created>
  <dcterms:modified xsi:type="dcterms:W3CDTF">2025-08-15T06:20:15Z</dcterms:modified>
</cp:coreProperties>
</file>