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E944F7B5-A82A-47F5-9998-54A095B578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ELECTION" sheetId="9" r:id="rId2"/>
    <sheet name="CTO" sheetId="10" r:id="rId3"/>
  </sheets>
  <definedNames>
    <definedName name="_xlnm.Print_Area" localSheetId="1">ELECTION!$A$1:$M$26</definedName>
    <definedName name="_xlnm.Print_Area" localSheetId="0">'Leave Card (NE)'!$A$1:$J$95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8" i="6" l="1"/>
  <c r="I88" i="6"/>
  <c r="J88" i="6"/>
  <c r="H86" i="6"/>
  <c r="I86" i="6"/>
  <c r="I87" i="6" s="1"/>
  <c r="J86" i="6"/>
  <c r="H87" i="6"/>
  <c r="J87" i="6" l="1"/>
  <c r="B40" i="6"/>
  <c r="C13" i="6" l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B13" i="6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l="1"/>
  <c r="J41" i="6"/>
  <c r="J30" i="6"/>
  <c r="J29" i="6"/>
  <c r="J33" i="6"/>
  <c r="J28" i="6"/>
  <c r="J27" i="6"/>
  <c r="J32" i="6"/>
  <c r="J26" i="6"/>
  <c r="J31" i="6"/>
  <c r="J17" i="6"/>
  <c r="J15" i="6"/>
  <c r="J16" i="6"/>
  <c r="J13" i="6"/>
  <c r="J14" i="6"/>
  <c r="J42" i="6" l="1"/>
  <c r="H43" i="6"/>
  <c r="J34" i="6"/>
  <c r="J18" i="6"/>
  <c r="J43" i="6" l="1"/>
  <c r="H44" i="6"/>
  <c r="J35" i="6"/>
  <c r="J19" i="6"/>
  <c r="J44" i="6" l="1"/>
  <c r="H45" i="6"/>
  <c r="J36" i="6"/>
  <c r="J20" i="6"/>
  <c r="J45" i="6" l="1"/>
  <c r="H46" i="6"/>
  <c r="J37" i="6"/>
  <c r="J21" i="6"/>
  <c r="J46" i="6" l="1"/>
  <c r="H47" i="6"/>
  <c r="J38" i="6"/>
  <c r="J22" i="6"/>
  <c r="H48" i="6" l="1"/>
  <c r="J47" i="6"/>
  <c r="J39" i="6"/>
  <c r="J23" i="6"/>
  <c r="J48" i="6" l="1"/>
  <c r="H49" i="6"/>
  <c r="J40" i="6"/>
  <c r="J25" i="6"/>
  <c r="J24" i="6"/>
  <c r="J49" i="6" l="1"/>
  <c r="H50" i="6"/>
  <c r="J50" i="6" l="1"/>
  <c r="H51" i="6"/>
  <c r="H52" i="6" l="1"/>
  <c r="J51" i="6"/>
  <c r="H53" i="6" l="1"/>
  <c r="J52" i="6"/>
  <c r="J53" i="6" l="1"/>
  <c r="H54" i="6"/>
  <c r="J54" i="6" l="1"/>
  <c r="H55" i="6"/>
  <c r="J55" i="6" l="1"/>
  <c r="H56" i="6"/>
  <c r="J56" i="6" l="1"/>
  <c r="H57" i="6"/>
  <c r="J57" i="6" l="1"/>
  <c r="H58" i="6"/>
  <c r="H59" i="6" l="1"/>
  <c r="J58" i="6"/>
  <c r="J59" i="6" l="1"/>
  <c r="H60" i="6"/>
  <c r="J60" i="6" l="1"/>
  <c r="H61" i="6"/>
  <c r="J61" i="6" l="1"/>
  <c r="H62" i="6"/>
  <c r="J62" i="6" l="1"/>
  <c r="H63" i="6"/>
  <c r="J63" i="6" l="1"/>
  <c r="H64" i="6"/>
  <c r="J64" i="6" l="1"/>
  <c r="H65" i="6"/>
  <c r="J65" i="6" l="1"/>
  <c r="H66" i="6"/>
  <c r="J66" i="6" l="1"/>
  <c r="H67" i="6"/>
  <c r="J67" i="6" l="1"/>
  <c r="H68" i="6"/>
  <c r="H69" i="6" l="1"/>
  <c r="J68" i="6"/>
  <c r="H70" i="6" l="1"/>
  <c r="J69" i="6"/>
  <c r="J70" i="6" l="1"/>
  <c r="H71" i="6"/>
  <c r="J71" i="6" l="1"/>
  <c r="H72" i="6"/>
  <c r="J72" i="6" l="1"/>
  <c r="H73" i="6"/>
  <c r="H74" i="6" l="1"/>
  <c r="J73" i="6"/>
  <c r="J74" i="6" l="1"/>
  <c r="H75" i="6"/>
  <c r="H76" i="6" l="1"/>
  <c r="J75" i="6"/>
  <c r="J76" i="6" l="1"/>
  <c r="H77" i="6"/>
  <c r="H78" i="6" l="1"/>
  <c r="J77" i="6"/>
  <c r="J78" i="6" l="1"/>
  <c r="H79" i="6"/>
  <c r="J79" i="6" l="1"/>
  <c r="H80" i="6"/>
  <c r="J80" i="6" l="1"/>
  <c r="H81" i="6"/>
  <c r="H82" i="6" l="1"/>
  <c r="J81" i="6"/>
  <c r="J82" i="6" l="1"/>
  <c r="H83" i="6"/>
  <c r="H84" i="6" l="1"/>
  <c r="J83" i="6"/>
  <c r="H85" i="6" l="1"/>
  <c r="J85" i="6" s="1"/>
  <c r="J84" i="6"/>
</calcChain>
</file>

<file path=xl/sharedStrings.xml><?xml version="1.0" encoding="utf-8"?>
<sst xmlns="http://schemas.openxmlformats.org/spreadsheetml/2006/main" count="194" uniqueCount="149">
  <si>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</si>
  <si>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</si>
  <si>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</si>
  <si>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</si>
  <si>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</si>
  <si>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</si>
  <si>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</si>
  <si>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</si>
  <si>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</si>
  <si>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</si>
  <si>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</si>
  <si>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ADD: 12/15/21 - 12/31/21</t>
  </si>
  <si>
    <t>ADD: 01/01/22 - 05/31/22</t>
  </si>
  <si>
    <t>LESS: 06/24/22</t>
  </si>
  <si>
    <t>ADD: 06/01/22 - 06/30/22</t>
  </si>
  <si>
    <t>LESS: 07/05 &amp; 06/22</t>
  </si>
  <si>
    <t>ADD: 07/01/22 - 08/31/22</t>
  </si>
  <si>
    <t>LESS: 09/21/22</t>
  </si>
  <si>
    <t>LESS: 10/03/22</t>
  </si>
  <si>
    <t>ADD: 09/01/22 - 09/30/22</t>
  </si>
  <si>
    <t>LESS: 11/2 - 3/22</t>
  </si>
  <si>
    <t>ADD: 10/01/22 - 10/31/22</t>
  </si>
  <si>
    <t>LESS: 12/12/22</t>
  </si>
  <si>
    <t>Republic of the Philippines</t>
  </si>
  <si>
    <t>Department of Education</t>
  </si>
  <si>
    <t>REGION VI-WESTERN VISAYAS</t>
  </si>
  <si>
    <t>SCHOOLS DIVISION OF SIPALAY CITY</t>
  </si>
  <si>
    <t>No. of Days Granted</t>
  </si>
  <si>
    <t>No. of Days Used</t>
  </si>
  <si>
    <t>Balance</t>
  </si>
  <si>
    <t>DISTRICT                : _______________________</t>
  </si>
  <si>
    <t>EMPLOYEE NO    : __________</t>
  </si>
  <si>
    <t>STATION CODE    : __________</t>
  </si>
  <si>
    <t>DIVISION CODE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</si>
  <si>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</si>
  <si>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</si>
  <si>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</si>
  <si>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</si>
  <si>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S.0 # 051, S. 2022, JULY 1, 2022</t>
  </si>
  <si>
    <t>ADD: JULY 01, 2022</t>
  </si>
  <si>
    <t xml:space="preserve"> MAY 9, 2022 NATIONAL AND LOCAL ELECTION</t>
  </si>
  <si>
    <t>NAME          : CORDEVILLA, CHARLIE</t>
  </si>
  <si>
    <t>POSITION   : ADA VI</t>
  </si>
  <si>
    <t>SCHOOL/OFFICE : OSDS</t>
  </si>
  <si>
    <t>ADD: 11/01/22 - 12/31/22</t>
  </si>
  <si>
    <t>SPECIAL</t>
  </si>
  <si>
    <t>Name: _____________________________</t>
  </si>
  <si>
    <t>DISTRICT: ___________________________</t>
  </si>
  <si>
    <t>POSITION: __________________________</t>
  </si>
  <si>
    <t>SCHOOL/OFFICE:_____________________</t>
  </si>
  <si>
    <t>COMPENSATORY TIME OFF (CTO)</t>
  </si>
  <si>
    <t>Special Order No. and Date Issued</t>
  </si>
  <si>
    <t>ADD: JAN 18, 2023</t>
  </si>
  <si>
    <t>S.O. # 001, S. 2023. 126TH ANNIVERSARY OF THE MARTYRDOM OF DR. JOSE P. RIZAL</t>
  </si>
  <si>
    <t>NOTE:  Valid for one (1) year only</t>
  </si>
  <si>
    <t>Certified Correct:</t>
  </si>
  <si>
    <t>MA. LUISA B. CATIGAN</t>
  </si>
  <si>
    <t>Administrative Officer IV</t>
  </si>
  <si>
    <t>HRMO</t>
  </si>
  <si>
    <t>LESS: 02/08/23</t>
  </si>
  <si>
    <t>ADD: 01/01/23 - 01/31/23</t>
  </si>
  <si>
    <t>LESS: 02/13/23</t>
  </si>
  <si>
    <t>ADD: 02/01/23 - 02/28/23</t>
  </si>
  <si>
    <t>LESS: 03/08 &amp; 09/23</t>
  </si>
  <si>
    <t>ADD: 03/01/23 - 03/31/23</t>
  </si>
  <si>
    <t>LESS: 04/24/23</t>
  </si>
  <si>
    <t>ADD: 04/01/2023 - 04/30/2023</t>
  </si>
  <si>
    <t>LESS: 05/18/23</t>
  </si>
  <si>
    <t>LESS: 05/29/23</t>
  </si>
  <si>
    <t>ADD: 05/01/2023 - 06/30/2023</t>
  </si>
  <si>
    <t>LESS: 07/07/23</t>
  </si>
  <si>
    <t>LESS: JULY 24, 2023</t>
  </si>
  <si>
    <t>ADD: 07/01/23 - 08/31/2023</t>
  </si>
  <si>
    <t>LESS: AUG. 7, 2023</t>
  </si>
  <si>
    <t>LESS: MONETIZATION 2023</t>
  </si>
  <si>
    <t>LESS: SEPT. 28, 2023</t>
  </si>
  <si>
    <t>LESS: 01/08/2024</t>
  </si>
  <si>
    <t>ADD:10/17/2023</t>
  </si>
  <si>
    <t>S.O. # 159, S. 2023. 125TH PHILIPPINE INDEPENDENCE DAY CELEBRATION</t>
  </si>
  <si>
    <t>ADD:09/01/2023-12/31/2023</t>
  </si>
  <si>
    <t>ADD: 01/01-31/2024</t>
  </si>
  <si>
    <t>ADD: 02/01/2024-02/29/2024</t>
  </si>
  <si>
    <t>LESS: 02/12/2024</t>
  </si>
  <si>
    <t>LESS: 03/06/2024</t>
  </si>
  <si>
    <t>LESS:  MARCH 15 &amp; 18, 2024</t>
  </si>
  <si>
    <t>ADD: 03/1-31/2024</t>
  </si>
  <si>
    <t>LESS: 04/2/2024</t>
  </si>
  <si>
    <t>ADD: 04/1-30/2024</t>
  </si>
  <si>
    <t>LESS: 04/30/2024</t>
  </si>
  <si>
    <t>LESS: 05/24/2024</t>
  </si>
  <si>
    <t>LESS: 05/29/2024</t>
  </si>
  <si>
    <t>LESS: 05/30/2024</t>
  </si>
  <si>
    <t>ADD: 05/1-31/2024</t>
  </si>
  <si>
    <t>LESS: 06/19/2024</t>
  </si>
  <si>
    <t>LESS: 06/20/2024</t>
  </si>
  <si>
    <t>ADD: 06/26/2024</t>
  </si>
  <si>
    <t>S.O. # 024, S. 2024. 126TH PHILIPPINE INDEPENDENCE DAY CELEBRATION</t>
  </si>
  <si>
    <t>LESS: 07/15/2024</t>
  </si>
  <si>
    <t>ADD: JUNE 1-30,2024</t>
  </si>
  <si>
    <t>LESS: 07/31/2024</t>
  </si>
  <si>
    <t>ADD: JULY 1-31, 2024</t>
  </si>
  <si>
    <t xml:space="preserve">               HRMO</t>
  </si>
  <si>
    <t>LESS: MONETIZATION 2024</t>
  </si>
  <si>
    <t>LESS: 08/01/2024</t>
  </si>
  <si>
    <t>LESS: 08/13-14/2024</t>
  </si>
  <si>
    <t>S.0 # 010, S. 2024,OCT. 30, 2023</t>
  </si>
  <si>
    <t>OCT. 30, 2023 NATIONAL AND LOCAL ELECTION</t>
  </si>
  <si>
    <t>LESS: 08/27/2024</t>
  </si>
  <si>
    <t>LESS: 09/16/2024</t>
  </si>
  <si>
    <t>LESS: 10/21/2024</t>
  </si>
  <si>
    <t>ADD: 08/1/2024-09/30/2024</t>
  </si>
  <si>
    <t xml:space="preserve">LESS: 03/03/23 </t>
  </si>
  <si>
    <t>LESS: 10/31/2024</t>
  </si>
  <si>
    <t>LESS: 11/18-19/2024</t>
  </si>
  <si>
    <t>ADD: 10/1/2024-12/31/2024</t>
  </si>
  <si>
    <t>LESS: 01/20/2025</t>
  </si>
  <si>
    <t>LESS: 01/30/2025</t>
  </si>
  <si>
    <t>ADD: 1/1-31/2025</t>
  </si>
  <si>
    <t>LESS: 02/28 &amp; 03/3/2025</t>
  </si>
  <si>
    <t>ADD: 02/1-28/2025</t>
  </si>
  <si>
    <t>LESS: 03/14/2025</t>
  </si>
  <si>
    <t>LESS: 03/19/2025</t>
  </si>
  <si>
    <t>ADD: 02/5/2025</t>
  </si>
  <si>
    <t>S.O. # 002, S. 2025. RIZAL DAY 2024</t>
  </si>
  <si>
    <t>LESS: 04/14/2025</t>
  </si>
  <si>
    <t>ADD: 03/1-31/2025</t>
  </si>
  <si>
    <t>LESS: 04/21-22/2025</t>
  </si>
  <si>
    <t>ADD: 04/1-30/2025</t>
  </si>
  <si>
    <t>LESS: 05/29/2025</t>
  </si>
  <si>
    <t>ADD: 05/1-31/2025</t>
  </si>
  <si>
    <t>LESS: 05/30/2025</t>
  </si>
  <si>
    <t>ADD: 06/1-30/2025</t>
  </si>
  <si>
    <t>LESS: 07/2/2025</t>
  </si>
  <si>
    <t>LESS: 07/31/2025</t>
  </si>
  <si>
    <t>ADD: 06/5/2025</t>
  </si>
  <si>
    <t xml:space="preserve">S.O. # 024, S. 2025. A &amp; E TEST </t>
  </si>
  <si>
    <t>1.5 &amp; 3 HRS</t>
  </si>
  <si>
    <t>LESS: 08/1/2025</t>
  </si>
  <si>
    <t>.5 &amp; 3 HRS</t>
  </si>
  <si>
    <t>ADD: 07/1-31/2025</t>
  </si>
  <si>
    <t>LESS: 08/11/2025</t>
  </si>
  <si>
    <t>LESS: 08/22/2025</t>
  </si>
  <si>
    <t>ADD: 08/1-31/2025</t>
  </si>
  <si>
    <t>NEGROS ISLAND REGION</t>
  </si>
  <si>
    <t>LESS: MONETIZATION 2025 (29 DAYS)</t>
  </si>
  <si>
    <t>LESS: 09/15/2025</t>
  </si>
  <si>
    <t>ADD: 09/1-30/2025</t>
  </si>
  <si>
    <t>LESS: 10/20/2025</t>
  </si>
  <si>
    <t>LESS: 10/28-29/2025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</si>
</sst>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0" fillId="0" borderId="0"/>
  </cellStyleXfs>
  <cellXfs count="118">
    <xf numFmtId="0" fontId="0" fillId="0" borderId="0" xfId="0"/>
    <xf numFmtId="0" fontId="0" fillId="2" borderId="0" xfId="0" applyFill="1"/>
    <xf numFmtId="164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6" fillId="0" borderId="0" xfId="0" applyFont="1"/>
    <xf numFmtId="0" fontId="0" fillId="2" borderId="8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8" fillId="0" borderId="0" xfId="0" applyFont="1"/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wrapText="1"/>
    </xf>
    <xf numFmtId="0" fontId="9" fillId="2" borderId="0" xfId="0" applyFont="1" applyFill="1" applyAlignment="1">
      <alignment wrapText="1"/>
    </xf>
    <xf numFmtId="0" fontId="9" fillId="2" borderId="0" xfId="0" applyFont="1" applyFill="1" applyAlignment="1">
      <alignment vertic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0" fillId="2" borderId="21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0" fillId="2" borderId="0" xfId="1" applyFill="1"/>
    <xf numFmtId="0" fontId="1" fillId="2" borderId="0" xfId="1" applyFont="1" applyFill="1" applyAlignment="1">
      <alignment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4" xfId="1" applyFont="1" applyFill="1" applyBorder="1" applyAlignment="1">
      <alignment vertical="center"/>
    </xf>
    <xf numFmtId="0" fontId="10" fillId="0" borderId="0" xfId="1"/>
    <xf numFmtId="0" fontId="6" fillId="0" borderId="0" xfId="1" applyFont="1"/>
    <xf numFmtId="0" fontId="0" fillId="2" borderId="8" xfId="1" applyFont="1" applyFill="1" applyBorder="1" applyAlignment="1">
      <alignment horizontal="center" vertical="center" wrapText="1"/>
    </xf>
    <xf numFmtId="0" fontId="10" fillId="2" borderId="2" xfId="1" applyFill="1" applyBorder="1" applyAlignment="1">
      <alignment horizontal="center" vertical="center" wrapText="1"/>
    </xf>
    <xf numFmtId="0" fontId="8" fillId="0" borderId="0" xfId="1" applyFont="1"/>
    <xf numFmtId="0" fontId="10" fillId="0" borderId="0" xfId="1" applyAlignment="1">
      <alignment vertical="center"/>
    </xf>
    <xf numFmtId="0" fontId="7" fillId="2" borderId="0" xfId="1" applyFont="1" applyFill="1" applyAlignment="1">
      <alignment horizontal="center" vertical="center" wrapText="1"/>
    </xf>
    <xf numFmtId="0" fontId="10" fillId="2" borderId="0" xfId="1" applyFill="1" applyAlignment="1">
      <alignment horizontal="center" vertical="center" wrapText="1"/>
    </xf>
    <xf numFmtId="0" fontId="10" fillId="2" borderId="0" xfId="1" applyFill="1" applyAlignment="1">
      <alignment horizontal="center"/>
    </xf>
    <xf numFmtId="164" fontId="3" fillId="2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10" fillId="10" borderId="2" xfId="1" applyFill="1" applyBorder="1" applyAlignment="1">
      <alignment horizontal="center" vertical="center" wrapText="1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12" fillId="2" borderId="0" xfId="0" applyFont="1" applyFill="1"/>
    <xf numFmtId="0" fontId="0" fillId="0" borderId="1" xfId="0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 vertical="center" wrapText="1"/>
    </xf>
    <xf numFmtId="0" fontId="10" fillId="0" borderId="1" xfId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164" fontId="3" fillId="11" borderId="1" xfId="0" applyNumberFormat="1" applyFont="1" applyFill="1" applyBorder="1" applyAlignment="1">
      <alignment horizontal="center"/>
    </xf>
    <xf numFmtId="164" fontId="3" fillId="12" borderId="1" xfId="0" applyNumberFormat="1" applyFont="1" applyFill="1" applyBorder="1" applyAlignment="1">
      <alignment horizontal="center"/>
    </xf>
    <xf numFmtId="0" fontId="1" fillId="6" borderId="16" xfId="0" applyFont="1" applyFill="1" applyBorder="1" applyAlignment="1">
      <alignment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4" fillId="2" borderId="14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 wrapText="1"/>
    </xf>
    <xf numFmtId="0" fontId="7" fillId="8" borderId="20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7" fillId="8" borderId="12" xfId="1" applyFont="1" applyFill="1" applyBorder="1" applyAlignment="1">
      <alignment horizontal="center" vertical="center" wrapText="1"/>
    </xf>
    <xf numFmtId="0" fontId="7" fillId="8" borderId="10" xfId="1" applyFont="1" applyFill="1" applyBorder="1" applyAlignment="1">
      <alignment horizontal="center" vertical="center" wrapText="1"/>
    </xf>
    <xf numFmtId="0" fontId="5" fillId="7" borderId="6" xfId="1" applyFont="1" applyFill="1" applyBorder="1" applyAlignment="1">
      <alignment horizontal="center" vertical="center"/>
    </xf>
    <xf numFmtId="0" fontId="5" fillId="7" borderId="8" xfId="1" applyFont="1" applyFill="1" applyBorder="1" applyAlignment="1">
      <alignment horizontal="center" vertical="center"/>
    </xf>
    <xf numFmtId="0" fontId="5" fillId="9" borderId="22" xfId="1" applyFont="1" applyFill="1" applyBorder="1" applyAlignment="1">
      <alignment horizontal="center" vertical="center"/>
    </xf>
    <xf numFmtId="0" fontId="5" fillId="9" borderId="23" xfId="1" applyFont="1" applyFill="1" applyBorder="1" applyAlignment="1">
      <alignment horizontal="center" vertical="center"/>
    </xf>
    <xf numFmtId="0" fontId="5" fillId="7" borderId="11" xfId="1" applyFont="1" applyFill="1" applyBorder="1" applyAlignment="1">
      <alignment horizontal="center" vertical="center"/>
    </xf>
    <xf numFmtId="0" fontId="5" fillId="7" borderId="3" xfId="1" applyFont="1" applyFill="1" applyBorder="1" applyAlignment="1">
      <alignment horizontal="center" vertical="center"/>
    </xf>
    <xf numFmtId="0" fontId="7" fillId="8" borderId="13" xfId="1" applyFont="1" applyFill="1" applyBorder="1" applyAlignment="1">
      <alignment horizontal="center" vertical="center" wrapText="1"/>
    </xf>
    <xf numFmtId="0" fontId="10" fillId="2" borderId="0" xfId="1" applyFill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0" fillId="0" borderId="0" xfId="1" applyAlignment="1">
      <alignment horizontal="center"/>
    </xf>
    <xf numFmtId="0" fontId="10" fillId="0" borderId="0" xfId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485776</xdr:colOff>
      <xdr:row>0</xdr:row>
      <xdr:rowOff>47625</xdr:rowOff>
    </xdr:from>
    <xdr:to>
      <xdr:col>4</xdr:col>
      <xdr:colOff>305533</xdr:colOff>
      <xdr:row>0</xdr:row>
      <xdr:rowOff>650875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7D1BD9-B43D-46AB-BF95-9A4A23AAEEE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1" y="47625"/>
          <a:ext cx="591282" cy="6032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0C34AB8-B462-4D06-ADF5-5FE60C372698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CORDEVILLA,</a:t>
          </a:r>
          <a:r>
            <a:rPr lang="en-US" sz="1100" baseline="0"/>
            <a:t> CHARIE G.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5419411-FD85-42CE-A45D-26C576901686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640B002-E90F-4575-92E7-F86491CE6B53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78804</xdr:colOff>
      <xdr:row>0</xdr:row>
      <xdr:rowOff>21626</xdr:rowOff>
    </xdr:from>
    <xdr:to>
      <xdr:col>5</xdr:col>
      <xdr:colOff>251355</xdr:colOff>
      <xdr:row>0</xdr:row>
      <xdr:rowOff>654844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4C51D6-986A-4F8E-8C3D-450A6E488FE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33544" y="21626"/>
          <a:ext cx="781092" cy="633218"/>
        </a:xfrm>
        <a:prstGeom prst="rect">
          <a:avLst/>
        </a:prstGeom>
        <a:noFill/>
      </xdr:spPr>
    </xdr:pic>
    <xdr:clientData/>
  </xdr:twoCellAnchor>
  <xdr:twoCellAnchor>
    <xdr:from>
      <xdr:col>6</xdr:col>
      <xdr:colOff>403622</xdr:colOff>
      <xdr:row>24</xdr:row>
      <xdr:rowOff>103717</xdr:rowOff>
    </xdr:from>
    <xdr:to>
      <xdr:col>12</xdr:col>
      <xdr:colOff>257968</xdr:colOff>
      <xdr:row>26</xdr:row>
      <xdr:rowOff>14684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873AA93-0A9D-4B84-BDAA-FD0696ABEFE8}"/>
            </a:ext>
          </a:extLst>
        </xdr:cNvPr>
        <xdr:cNvSpPr txBox="1"/>
      </xdr:nvSpPr>
      <xdr:spPr>
        <a:xfrm>
          <a:off x="5384403" y="6523170"/>
          <a:ext cx="3237706" cy="10619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B6998F5-1A81-4ECE-9971-6E1BBDD4A01E}"/>
            </a:ext>
          </a:extLst>
        </xdr:cNvPr>
        <xdr:cNvCxnSpPr/>
      </xdr:nvCxnSpPr>
      <xdr:spPr>
        <a:xfrm>
          <a:off x="742950" y="1774825"/>
          <a:ext cx="2527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C4F7494-0CEA-46A9-BF15-7351C2812D37}"/>
            </a:ext>
          </a:extLst>
        </xdr:cNvPr>
        <xdr:cNvCxnSpPr/>
      </xdr:nvCxnSpPr>
      <xdr:spPr>
        <a:xfrm>
          <a:off x="752475" y="2060575"/>
          <a:ext cx="2527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6</xdr:col>
      <xdr:colOff>85156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1703D6-458E-44A1-9067-76484F9C28D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4315" y="40369"/>
          <a:ext cx="701448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CB6A18-AFEF-4FA7-90C3-EE5234A4BA42}"/>
            </a:ext>
          </a:extLst>
        </xdr:cNvPr>
        <xdr:cNvSpPr txBox="1"/>
      </xdr:nvSpPr>
      <xdr:spPr>
        <a:xfrm>
          <a:off x="573942" y="1377461"/>
          <a:ext cx="2378808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CORDEVILLA,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CHARIE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ABBB46D-7847-45E3-BB65-D7AF1FC4AF2F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ADAS-III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10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14D9CA3-7CF3-4012-8F68-B98BF45E23DC}"/>
            </a:ext>
          </a:extLst>
        </xdr:cNvPr>
        <xdr:cNvSpPr txBox="1"/>
      </xdr:nvSpPr>
      <xdr:spPr>
        <a:xfrm>
          <a:off x="40891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"/>
  <sheetViews>
    <sheetView tabSelected="1" view="pageBreakPreview" topLeftCell="A67" zoomScaleNormal="100" zoomScaleSheetLayoutView="100" workbookViewId="0">
      <selection activeCell="A87" sqref="A87:XFD87"/>
    </sheetView>
  </sheetViews>
  <sheetFormatPr defaultRowHeight="15" x14ac:dyDescent="0.25"/>
  <cols>
    <col min="1" max="1" width="36.42578125" customWidth="1"/>
    <col min="2" max="10" width="11.5703125" customWidth="1"/>
  </cols>
  <sheetData>
    <row r="1" spans="1:10" s="1" customFormat="1" ht="52.5" customHeight="1" x14ac:dyDescent="0.25"/>
    <row r="2" spans="1:10" s="1" customFormat="1" ht="10.5" customHeight="1" x14ac:dyDescent="0.25">
      <c r="A2" s="76" t="s">
        <v>23</v>
      </c>
      <c r="B2" s="76"/>
      <c r="C2" s="76"/>
      <c r="D2" s="76"/>
      <c r="E2" s="76"/>
      <c r="F2" s="76"/>
      <c r="G2" s="76"/>
      <c r="H2" s="76"/>
      <c r="I2" s="76"/>
      <c r="J2" s="76"/>
    </row>
    <row r="3" spans="1:10" s="1" customFormat="1" ht="15.95" customHeight="1" x14ac:dyDescent="0.25">
      <c r="A3" s="76" t="s">
        <v>24</v>
      </c>
      <c r="B3" s="76"/>
      <c r="C3" s="76"/>
      <c r="D3" s="76"/>
      <c r="E3" s="76"/>
      <c r="F3" s="76"/>
      <c r="G3" s="76"/>
      <c r="H3" s="76"/>
      <c r="I3" s="76"/>
      <c r="J3" s="76"/>
    </row>
    <row r="4" spans="1:10" s="1" customFormat="1" ht="15.95" customHeight="1" x14ac:dyDescent="0.25">
      <c r="A4" s="76" t="s">
        <v>143</v>
      </c>
      <c r="B4" s="76"/>
      <c r="C4" s="76"/>
      <c r="D4" s="76"/>
      <c r="E4" s="76"/>
      <c r="F4" s="76"/>
      <c r="G4" s="76"/>
      <c r="H4" s="76"/>
      <c r="I4" s="76"/>
      <c r="J4" s="76"/>
    </row>
    <row r="5" spans="1:10" s="1" customFormat="1" ht="15.95" customHeight="1" x14ac:dyDescent="0.25">
      <c r="A5" s="76" t="s">
        <v>26</v>
      </c>
      <c r="B5" s="76"/>
      <c r="C5" s="76"/>
      <c r="D5" s="76"/>
      <c r="E5" s="76"/>
      <c r="F5" s="76"/>
      <c r="G5" s="76"/>
      <c r="H5" s="76"/>
      <c r="I5" s="76"/>
      <c r="J5" s="76"/>
    </row>
    <row r="6" spans="1:10" s="1" customFormat="1" ht="8.25" customHeight="1" x14ac:dyDescent="0.25"/>
    <row r="7" spans="1:10" s="1" customFormat="1" ht="12" customHeight="1" x14ac:dyDescent="0.25">
      <c r="A7" s="1" t="s">
        <v>46</v>
      </c>
      <c r="B7" s="74" t="s">
        <v>47</v>
      </c>
      <c r="C7" s="74"/>
      <c r="D7" s="74"/>
      <c r="H7" s="4" t="s">
        <v>9</v>
      </c>
      <c r="I7" s="19"/>
      <c r="J7" s="4"/>
    </row>
    <row r="8" spans="1:10" s="1" customFormat="1" ht="12" customHeight="1" x14ac:dyDescent="0.25">
      <c r="B8" s="3"/>
      <c r="C8" s="3"/>
      <c r="H8" s="3"/>
      <c r="I8" s="3"/>
      <c r="J8" s="3"/>
    </row>
    <row r="9" spans="1:10" s="1" customFormat="1" ht="12" customHeight="1" x14ac:dyDescent="0.25">
      <c r="A9" s="1" t="s">
        <v>48</v>
      </c>
      <c r="B9" s="74" t="s">
        <v>49</v>
      </c>
      <c r="C9" s="74"/>
      <c r="D9" s="74"/>
      <c r="H9" s="4" t="s">
        <v>10</v>
      </c>
      <c r="I9" s="5"/>
      <c r="J9" s="4"/>
    </row>
    <row r="10" spans="1:10" ht="16.5" customHeight="1" thickBot="1" x14ac:dyDescent="0.3">
      <c r="A10" s="75" t="s">
        <v>0</v>
      </c>
      <c r="B10" s="75"/>
      <c r="C10" s="75"/>
      <c r="D10" s="75"/>
      <c r="E10" s="75"/>
      <c r="F10" s="75"/>
      <c r="G10" s="75"/>
      <c r="H10" s="75"/>
      <c r="I10" s="75"/>
      <c r="J10" s="75"/>
    </row>
    <row r="11" spans="1:10" ht="18.75" customHeight="1" x14ac:dyDescent="0.25">
      <c r="A11" s="54" t="s">
        <v>4</v>
      </c>
      <c r="B11" s="73" t="s">
        <v>5</v>
      </c>
      <c r="C11" s="73"/>
      <c r="D11" s="70" t="s">
        <v>6</v>
      </c>
      <c r="E11" s="71"/>
      <c r="F11" s="71"/>
      <c r="G11" s="72"/>
      <c r="H11" s="66" t="s">
        <v>7</v>
      </c>
      <c r="I11" s="67"/>
      <c r="J11" s="68" t="s">
        <v>8</v>
      </c>
    </row>
    <row r="12" spans="1:10" ht="18.75" customHeight="1" x14ac:dyDescent="0.25">
      <c r="A12" s="61"/>
      <c r="B12" s="62" t="s">
        <v>1</v>
      </c>
      <c r="C12" s="62" t="s">
        <v>2</v>
      </c>
      <c r="D12" s="62" t="s">
        <v>1</v>
      </c>
      <c r="E12" s="62" t="s">
        <v>2</v>
      </c>
      <c r="F12" s="62" t="s">
        <v>3</v>
      </c>
      <c r="G12" s="62" t="s">
        <v>45</v>
      </c>
      <c r="H12" s="62" t="s">
        <v>1</v>
      </c>
      <c r="I12" s="63" t="s">
        <v>2</v>
      </c>
      <c r="J12" s="69"/>
    </row>
    <row r="13" spans="1:10" ht="14.1" customHeight="1" x14ac:dyDescent="0.25">
      <c r="A13" s="35" t="s">
        <v>11</v>
      </c>
      <c r="B13" s="2">
        <f>SUM(1.25/30)*17</f>
        <v>0.70833333333333326</v>
      </c>
      <c r="C13" s="2">
        <f>SUM(1.25/30)*17</f>
        <v>0.70833333333333326</v>
      </c>
      <c r="D13" s="2"/>
      <c r="E13" s="2"/>
      <c r="F13" s="2"/>
      <c r="G13" s="2"/>
      <c r="H13" s="2">
        <f>SUM(B13)</f>
        <v>0.70833333333333326</v>
      </c>
      <c r="I13" s="2">
        <f>SUM(C13)</f>
        <v>0.70833333333333326</v>
      </c>
      <c r="J13" s="2">
        <f>SUM(H13:I13)</f>
        <v>1.4166666666666665</v>
      </c>
    </row>
    <row r="14" spans="1:10" ht="14.1" customHeight="1" x14ac:dyDescent="0.25">
      <c r="A14" s="57" t="s">
        <v>12</v>
      </c>
      <c r="B14" s="2">
        <v>6.25</v>
      </c>
      <c r="C14" s="2">
        <v>6.25</v>
      </c>
      <c r="D14" s="2"/>
      <c r="E14" s="2"/>
      <c r="F14" s="2"/>
      <c r="G14" s="2"/>
      <c r="H14" s="2">
        <f>H13-F14-D14+B14</f>
        <v>6.958333333333333</v>
      </c>
      <c r="I14" s="2">
        <f>I13-E14+C14</f>
        <v>6.958333333333333</v>
      </c>
      <c r="J14" s="2">
        <f>SUM(H14:I14)</f>
        <v>13.916666666666666</v>
      </c>
    </row>
    <row r="15" spans="1:10" ht="14.1" customHeight="1" x14ac:dyDescent="0.25">
      <c r="A15" s="57" t="s">
        <v>13</v>
      </c>
      <c r="B15" s="34"/>
      <c r="C15" s="34"/>
      <c r="D15" s="34"/>
      <c r="E15" s="34"/>
      <c r="F15" s="34"/>
      <c r="G15" s="2">
        <v>1</v>
      </c>
      <c r="H15" s="2">
        <f t="shared" ref="H15:H40" si="0">H14-F15-D15+B15</f>
        <v>6.958333333333333</v>
      </c>
      <c r="I15" s="2">
        <f t="shared" ref="I15:I40" si="1">I14-E15+C15</f>
        <v>6.958333333333333</v>
      </c>
      <c r="J15" s="2">
        <f t="shared" ref="J15:J32" si="2">SUM(H15:I15)</f>
        <v>13.916666666666666</v>
      </c>
    </row>
    <row r="16" spans="1:10" ht="14.1" customHeight="1" x14ac:dyDescent="0.25">
      <c r="A16" s="57" t="s">
        <v>14</v>
      </c>
      <c r="B16" s="2">
        <v>1.25</v>
      </c>
      <c r="C16" s="2">
        <v>1.25</v>
      </c>
      <c r="D16" s="2"/>
      <c r="E16" s="2"/>
      <c r="F16" s="2"/>
      <c r="G16" s="2"/>
      <c r="H16" s="2">
        <f t="shared" si="0"/>
        <v>8.2083333333333321</v>
      </c>
      <c r="I16" s="2">
        <f t="shared" si="1"/>
        <v>8.2083333333333321</v>
      </c>
      <c r="J16" s="2">
        <f t="shared" si="2"/>
        <v>16.416666666666664</v>
      </c>
    </row>
    <row r="17" spans="1:10" ht="14.1" customHeight="1" x14ac:dyDescent="0.25">
      <c r="A17" s="57" t="s">
        <v>15</v>
      </c>
      <c r="B17" s="34"/>
      <c r="C17" s="34"/>
      <c r="D17" s="34"/>
      <c r="E17" s="34"/>
      <c r="F17" s="34"/>
      <c r="G17" s="2">
        <v>2</v>
      </c>
      <c r="H17" s="2">
        <f t="shared" si="0"/>
        <v>8.2083333333333321</v>
      </c>
      <c r="I17" s="2">
        <f t="shared" si="1"/>
        <v>8.2083333333333321</v>
      </c>
      <c r="J17" s="2">
        <f t="shared" si="2"/>
        <v>16.416666666666664</v>
      </c>
    </row>
    <row r="18" spans="1:10" ht="14.1" customHeight="1" x14ac:dyDescent="0.25">
      <c r="A18" s="57" t="s">
        <v>16</v>
      </c>
      <c r="B18" s="2">
        <v>2.5</v>
      </c>
      <c r="C18" s="2">
        <v>2.5</v>
      </c>
      <c r="D18" s="2"/>
      <c r="E18" s="2"/>
      <c r="F18" s="2"/>
      <c r="G18" s="2"/>
      <c r="H18" s="2">
        <f t="shared" si="0"/>
        <v>10.708333333333332</v>
      </c>
      <c r="I18" s="2">
        <f t="shared" si="1"/>
        <v>10.708333333333332</v>
      </c>
      <c r="J18" s="2">
        <f t="shared" si="2"/>
        <v>21.416666666666664</v>
      </c>
    </row>
    <row r="19" spans="1:10" ht="14.1" customHeight="1" x14ac:dyDescent="0.25">
      <c r="A19" s="57" t="s">
        <v>17</v>
      </c>
      <c r="B19" s="2"/>
      <c r="C19" s="2"/>
      <c r="D19" s="2"/>
      <c r="E19" s="2"/>
      <c r="F19" s="2">
        <v>1</v>
      </c>
      <c r="G19" s="2"/>
      <c r="H19" s="2">
        <f t="shared" si="0"/>
        <v>9.7083333333333321</v>
      </c>
      <c r="I19" s="2">
        <f t="shared" si="1"/>
        <v>10.708333333333332</v>
      </c>
      <c r="J19" s="2">
        <f t="shared" si="2"/>
        <v>20.416666666666664</v>
      </c>
    </row>
    <row r="20" spans="1:10" ht="14.1" customHeight="1" x14ac:dyDescent="0.25">
      <c r="A20" s="57" t="s">
        <v>18</v>
      </c>
      <c r="B20" s="2"/>
      <c r="C20" s="2"/>
      <c r="D20" s="2"/>
      <c r="E20" s="2"/>
      <c r="F20" s="2">
        <v>1</v>
      </c>
      <c r="G20" s="2"/>
      <c r="H20" s="2">
        <f t="shared" si="0"/>
        <v>8.7083333333333321</v>
      </c>
      <c r="I20" s="2">
        <f t="shared" si="1"/>
        <v>10.708333333333332</v>
      </c>
      <c r="J20" s="2">
        <f t="shared" si="2"/>
        <v>19.416666666666664</v>
      </c>
    </row>
    <row r="21" spans="1:10" ht="14.1" customHeight="1" x14ac:dyDescent="0.25">
      <c r="A21" s="57" t="s">
        <v>19</v>
      </c>
      <c r="B21" s="2">
        <v>1.25</v>
      </c>
      <c r="C21" s="2">
        <v>1.25</v>
      </c>
      <c r="D21" s="2"/>
      <c r="E21" s="2"/>
      <c r="F21" s="2"/>
      <c r="G21" s="2"/>
      <c r="H21" s="2">
        <f t="shared" si="0"/>
        <v>9.9583333333333321</v>
      </c>
      <c r="I21" s="2">
        <f t="shared" si="1"/>
        <v>11.958333333333332</v>
      </c>
      <c r="J21" s="2">
        <f t="shared" si="2"/>
        <v>21.916666666666664</v>
      </c>
    </row>
    <row r="22" spans="1:10" ht="14.1" customHeight="1" x14ac:dyDescent="0.25">
      <c r="A22" s="57" t="s">
        <v>20</v>
      </c>
      <c r="B22" s="2"/>
      <c r="C22" s="2"/>
      <c r="D22" s="2"/>
      <c r="E22" s="2"/>
      <c r="F22" s="2">
        <v>2</v>
      </c>
      <c r="G22" s="2"/>
      <c r="H22" s="2">
        <f t="shared" si="0"/>
        <v>7.9583333333333321</v>
      </c>
      <c r="I22" s="2">
        <f t="shared" si="1"/>
        <v>11.958333333333332</v>
      </c>
      <c r="J22" s="2">
        <f t="shared" si="2"/>
        <v>19.916666666666664</v>
      </c>
    </row>
    <row r="23" spans="1:10" ht="14.1" customHeight="1" x14ac:dyDescent="0.25">
      <c r="A23" s="57" t="s">
        <v>21</v>
      </c>
      <c r="B23" s="2">
        <v>1.25</v>
      </c>
      <c r="C23" s="2">
        <v>1.25</v>
      </c>
      <c r="D23" s="2"/>
      <c r="E23" s="2"/>
      <c r="F23" s="2"/>
      <c r="G23" s="2"/>
      <c r="H23" s="2">
        <f t="shared" si="0"/>
        <v>9.2083333333333321</v>
      </c>
      <c r="I23" s="2">
        <f t="shared" si="1"/>
        <v>13.208333333333332</v>
      </c>
      <c r="J23" s="2">
        <f t="shared" si="2"/>
        <v>22.416666666666664</v>
      </c>
    </row>
    <row r="24" spans="1:10" ht="14.1" customHeight="1" x14ac:dyDescent="0.25">
      <c r="A24" s="57" t="s">
        <v>22</v>
      </c>
      <c r="B24" s="2"/>
      <c r="C24" s="2"/>
      <c r="D24" s="2"/>
      <c r="E24" s="2"/>
      <c r="F24" s="2">
        <v>1</v>
      </c>
      <c r="G24" s="2"/>
      <c r="H24" s="2">
        <f t="shared" si="0"/>
        <v>8.2083333333333321</v>
      </c>
      <c r="I24" s="2">
        <f t="shared" si="1"/>
        <v>13.208333333333332</v>
      </c>
      <c r="J24" s="2">
        <f t="shared" si="2"/>
        <v>21.416666666666664</v>
      </c>
    </row>
    <row r="25" spans="1:10" ht="14.1" customHeight="1" x14ac:dyDescent="0.25">
      <c r="A25" s="57" t="s">
        <v>44</v>
      </c>
      <c r="B25" s="2">
        <v>2.5</v>
      </c>
      <c r="C25" s="2">
        <v>2.5</v>
      </c>
      <c r="D25" s="2"/>
      <c r="E25" s="2"/>
      <c r="F25" s="2"/>
      <c r="G25" s="2"/>
      <c r="H25" s="2">
        <f t="shared" si="0"/>
        <v>10.708333333333332</v>
      </c>
      <c r="I25" s="2">
        <f t="shared" si="1"/>
        <v>15.708333333333332</v>
      </c>
      <c r="J25" s="2">
        <f t="shared" si="2"/>
        <v>26.416666666666664</v>
      </c>
    </row>
    <row r="26" spans="1:10" ht="14.1" customHeight="1" x14ac:dyDescent="0.25">
      <c r="A26" s="57" t="s">
        <v>60</v>
      </c>
      <c r="B26" s="2">
        <v>1.25</v>
      </c>
      <c r="C26" s="2">
        <v>1.25</v>
      </c>
      <c r="D26" s="2"/>
      <c r="E26" s="2"/>
      <c r="F26" s="2"/>
      <c r="G26" s="2"/>
      <c r="H26" s="2">
        <f t="shared" si="0"/>
        <v>11.958333333333332</v>
      </c>
      <c r="I26" s="2">
        <f t="shared" si="1"/>
        <v>16.958333333333332</v>
      </c>
      <c r="J26" s="2">
        <f t="shared" si="2"/>
        <v>28.916666666666664</v>
      </c>
    </row>
    <row r="27" spans="1:10" ht="14.1" customHeight="1" x14ac:dyDescent="0.25">
      <c r="A27" s="55" t="s">
        <v>61</v>
      </c>
      <c r="B27" s="2"/>
      <c r="C27" s="2"/>
      <c r="D27" s="2"/>
      <c r="E27" s="2"/>
      <c r="F27" s="2"/>
      <c r="G27" s="2">
        <v>1</v>
      </c>
      <c r="H27" s="2">
        <f t="shared" si="0"/>
        <v>11.958333333333332</v>
      </c>
      <c r="I27" s="2">
        <f t="shared" si="1"/>
        <v>16.958333333333332</v>
      </c>
      <c r="J27" s="2">
        <f t="shared" si="2"/>
        <v>28.916666666666664</v>
      </c>
    </row>
    <row r="28" spans="1:10" ht="14.1" customHeight="1" x14ac:dyDescent="0.25">
      <c r="A28" s="57" t="s">
        <v>62</v>
      </c>
      <c r="B28" s="2">
        <v>1.25</v>
      </c>
      <c r="C28" s="2">
        <v>1.25</v>
      </c>
      <c r="D28" s="2"/>
      <c r="E28" s="2"/>
      <c r="F28" s="2"/>
      <c r="G28" s="2"/>
      <c r="H28" s="2">
        <f t="shared" si="0"/>
        <v>13.208333333333332</v>
      </c>
      <c r="I28" s="2">
        <f t="shared" si="1"/>
        <v>18.208333333333332</v>
      </c>
      <c r="J28" s="2">
        <f t="shared" si="2"/>
        <v>31.416666666666664</v>
      </c>
    </row>
    <row r="29" spans="1:10" ht="14.1" customHeight="1" x14ac:dyDescent="0.25">
      <c r="A29" s="55" t="s">
        <v>111</v>
      </c>
      <c r="B29" s="2"/>
      <c r="C29" s="2"/>
      <c r="D29" s="2"/>
      <c r="E29" s="2"/>
      <c r="F29" s="2">
        <v>1</v>
      </c>
      <c r="G29" s="2"/>
      <c r="H29" s="2">
        <f t="shared" si="0"/>
        <v>12.208333333333332</v>
      </c>
      <c r="I29" s="2">
        <f t="shared" si="1"/>
        <v>18.208333333333332</v>
      </c>
      <c r="J29" s="2">
        <f t="shared" si="2"/>
        <v>30.416666666666664</v>
      </c>
    </row>
    <row r="30" spans="1:10" ht="14.1" customHeight="1" x14ac:dyDescent="0.25">
      <c r="A30" s="55" t="s">
        <v>63</v>
      </c>
      <c r="B30" s="2"/>
      <c r="C30" s="2"/>
      <c r="D30" s="2"/>
      <c r="E30" s="2"/>
      <c r="F30" s="2">
        <v>2</v>
      </c>
      <c r="G30" s="2"/>
      <c r="H30" s="2">
        <f t="shared" si="0"/>
        <v>10.208333333333332</v>
      </c>
      <c r="I30" s="2">
        <f t="shared" si="1"/>
        <v>18.208333333333332</v>
      </c>
      <c r="J30" s="2">
        <f t="shared" si="2"/>
        <v>28.416666666666664</v>
      </c>
    </row>
    <row r="31" spans="1:10" ht="14.1" customHeight="1" x14ac:dyDescent="0.25">
      <c r="A31" s="57" t="s">
        <v>64</v>
      </c>
      <c r="B31" s="2">
        <v>1.25</v>
      </c>
      <c r="C31" s="2">
        <v>1.25</v>
      </c>
      <c r="D31" s="2"/>
      <c r="E31" s="2"/>
      <c r="F31" s="2"/>
      <c r="G31" s="2"/>
      <c r="H31" s="2">
        <f t="shared" si="0"/>
        <v>11.458333333333332</v>
      </c>
      <c r="I31" s="2">
        <f t="shared" si="1"/>
        <v>19.458333333333332</v>
      </c>
      <c r="J31" s="2">
        <f t="shared" si="2"/>
        <v>30.916666666666664</v>
      </c>
    </row>
    <row r="32" spans="1:10" ht="14.1" customHeight="1" x14ac:dyDescent="0.25">
      <c r="A32" s="55" t="s">
        <v>65</v>
      </c>
      <c r="B32" s="64"/>
      <c r="C32" s="64"/>
      <c r="D32" s="64"/>
      <c r="E32" s="64"/>
      <c r="F32" s="65">
        <v>1</v>
      </c>
      <c r="G32" s="64"/>
      <c r="H32" s="2">
        <f t="shared" si="0"/>
        <v>10.458333333333332</v>
      </c>
      <c r="I32" s="2">
        <f t="shared" si="1"/>
        <v>19.458333333333332</v>
      </c>
      <c r="J32" s="2">
        <f t="shared" si="2"/>
        <v>29.916666666666664</v>
      </c>
    </row>
    <row r="33" spans="1:11" ht="14.1" customHeight="1" x14ac:dyDescent="0.25">
      <c r="A33" s="55" t="s">
        <v>66</v>
      </c>
      <c r="B33" s="2">
        <v>1.25</v>
      </c>
      <c r="C33" s="2">
        <v>1.25</v>
      </c>
      <c r="D33" s="56"/>
      <c r="E33" s="56"/>
      <c r="F33" s="56"/>
      <c r="G33" s="56"/>
      <c r="H33" s="2">
        <f t="shared" si="0"/>
        <v>11.708333333333332</v>
      </c>
      <c r="I33" s="2">
        <f t="shared" si="1"/>
        <v>20.708333333333332</v>
      </c>
      <c r="J33" s="2">
        <f t="shared" ref="J33:J36" si="3">SUM(H33:I33)</f>
        <v>32.416666666666664</v>
      </c>
    </row>
    <row r="34" spans="1:11" ht="14.1" customHeight="1" x14ac:dyDescent="0.25">
      <c r="A34" s="55" t="s">
        <v>67</v>
      </c>
      <c r="B34" s="56"/>
      <c r="C34" s="56"/>
      <c r="D34" s="56"/>
      <c r="E34" s="56"/>
      <c r="F34" s="38">
        <v>1</v>
      </c>
      <c r="G34" s="56"/>
      <c r="H34" s="2">
        <f t="shared" si="0"/>
        <v>10.708333333333332</v>
      </c>
      <c r="I34" s="2">
        <f t="shared" si="1"/>
        <v>20.708333333333332</v>
      </c>
      <c r="J34" s="2">
        <f t="shared" si="3"/>
        <v>31.416666666666664</v>
      </c>
    </row>
    <row r="35" spans="1:11" ht="14.1" customHeight="1" x14ac:dyDescent="0.25">
      <c r="A35" s="55" t="s">
        <v>68</v>
      </c>
      <c r="B35" s="56"/>
      <c r="C35" s="56"/>
      <c r="D35" s="56"/>
      <c r="E35" s="56"/>
      <c r="F35" s="56"/>
      <c r="G35" s="38">
        <v>1</v>
      </c>
      <c r="H35" s="2">
        <f t="shared" si="0"/>
        <v>10.708333333333332</v>
      </c>
      <c r="I35" s="2">
        <f t="shared" si="1"/>
        <v>20.708333333333332</v>
      </c>
      <c r="J35" s="2">
        <f t="shared" si="3"/>
        <v>31.416666666666664</v>
      </c>
    </row>
    <row r="36" spans="1:11" ht="14.1" customHeight="1" x14ac:dyDescent="0.25">
      <c r="A36" s="55" t="s">
        <v>69</v>
      </c>
      <c r="B36" s="38">
        <v>2.5</v>
      </c>
      <c r="C36" s="38">
        <v>2.5</v>
      </c>
      <c r="D36" s="56"/>
      <c r="E36" s="56"/>
      <c r="F36" s="56"/>
      <c r="G36" s="56"/>
      <c r="H36" s="2">
        <f t="shared" si="0"/>
        <v>13.208333333333332</v>
      </c>
      <c r="I36" s="2">
        <f t="shared" si="1"/>
        <v>23.208333333333332</v>
      </c>
      <c r="J36" s="2">
        <f t="shared" si="3"/>
        <v>36.416666666666664</v>
      </c>
    </row>
    <row r="37" spans="1:11" ht="14.1" customHeight="1" x14ac:dyDescent="0.25">
      <c r="A37" s="57" t="s">
        <v>70</v>
      </c>
      <c r="B37" s="56"/>
      <c r="C37" s="56"/>
      <c r="D37" s="56"/>
      <c r="E37" s="56"/>
      <c r="F37" s="56"/>
      <c r="G37" s="38">
        <v>1</v>
      </c>
      <c r="H37" s="2">
        <f t="shared" si="0"/>
        <v>13.208333333333332</v>
      </c>
      <c r="I37" s="2">
        <f t="shared" si="1"/>
        <v>23.208333333333332</v>
      </c>
      <c r="J37" s="2">
        <f t="shared" ref="J37:J38" si="4">SUM(H37:I37)</f>
        <v>36.416666666666664</v>
      </c>
    </row>
    <row r="38" spans="1:11" ht="14.1" customHeight="1" x14ac:dyDescent="0.25">
      <c r="A38" s="55" t="s">
        <v>72</v>
      </c>
      <c r="B38" s="38">
        <v>2.5</v>
      </c>
      <c r="C38" s="38">
        <v>2.5</v>
      </c>
      <c r="D38" s="38"/>
      <c r="E38" s="38"/>
      <c r="F38" s="38"/>
      <c r="G38" s="38"/>
      <c r="H38" s="2">
        <f t="shared" si="0"/>
        <v>15.708333333333332</v>
      </c>
      <c r="I38" s="2">
        <f t="shared" si="1"/>
        <v>25.708333333333332</v>
      </c>
      <c r="J38" s="38">
        <f t="shared" si="4"/>
        <v>41.416666666666664</v>
      </c>
      <c r="K38" s="36"/>
    </row>
    <row r="39" spans="1:11" ht="14.1" customHeight="1" x14ac:dyDescent="0.25">
      <c r="A39" s="57" t="s">
        <v>74</v>
      </c>
      <c r="B39" s="56"/>
      <c r="C39" s="56"/>
      <c r="D39" s="38">
        <v>11</v>
      </c>
      <c r="E39" s="38">
        <v>18</v>
      </c>
      <c r="F39" s="56"/>
      <c r="G39" s="56"/>
      <c r="H39" s="38">
        <f t="shared" si="0"/>
        <v>4.7083333333333321</v>
      </c>
      <c r="I39" s="38">
        <f t="shared" si="1"/>
        <v>7.7083333333333321</v>
      </c>
      <c r="J39" s="38">
        <f t="shared" ref="J39" si="5">SUM(H39:I39)</f>
        <v>12.416666666666664</v>
      </c>
    </row>
    <row r="40" spans="1:11" ht="14.1" customHeight="1" x14ac:dyDescent="0.25">
      <c r="A40" s="57" t="s">
        <v>79</v>
      </c>
      <c r="B40" s="58">
        <f>1.25*4</f>
        <v>5</v>
      </c>
      <c r="C40" s="58">
        <v>5</v>
      </c>
      <c r="D40" s="38"/>
      <c r="E40" s="38"/>
      <c r="F40" s="56"/>
      <c r="G40" s="56"/>
      <c r="H40" s="2">
        <f t="shared" si="0"/>
        <v>9.7083333333333321</v>
      </c>
      <c r="I40" s="2">
        <f t="shared" si="1"/>
        <v>12.708333333333332</v>
      </c>
      <c r="J40" s="38">
        <f t="shared" ref="J40" si="6">SUM(H40:I40)</f>
        <v>22.416666666666664</v>
      </c>
    </row>
    <row r="41" spans="1:11" ht="14.1" customHeight="1" x14ac:dyDescent="0.25">
      <c r="A41" s="57" t="s">
        <v>80</v>
      </c>
      <c r="B41" s="58">
        <v>1.25</v>
      </c>
      <c r="C41" s="58">
        <v>1.25</v>
      </c>
      <c r="D41" s="38"/>
      <c r="E41" s="38"/>
      <c r="F41" s="56"/>
      <c r="G41" s="56"/>
      <c r="H41" s="2">
        <f t="shared" ref="H41:H59" si="7">H40-F41-D41+B41</f>
        <v>10.958333333333332</v>
      </c>
      <c r="I41" s="2">
        <f t="shared" ref="I41:I59" si="8">I40-E41+C41</f>
        <v>13.958333333333332</v>
      </c>
      <c r="J41" s="38">
        <f t="shared" ref="J41:J59" si="9">SUM(H41:I41)</f>
        <v>24.916666666666664</v>
      </c>
    </row>
    <row r="42" spans="1:11" ht="14.1" customHeight="1" x14ac:dyDescent="0.25">
      <c r="A42" s="57" t="s">
        <v>81</v>
      </c>
      <c r="B42" s="58">
        <v>1.25</v>
      </c>
      <c r="C42" s="58">
        <v>1.25</v>
      </c>
      <c r="D42" s="38"/>
      <c r="E42" s="38"/>
      <c r="F42" s="56"/>
      <c r="G42" s="56"/>
      <c r="H42" s="2">
        <f t="shared" si="7"/>
        <v>12.208333333333332</v>
      </c>
      <c r="I42" s="2">
        <f t="shared" si="8"/>
        <v>15.208333333333332</v>
      </c>
      <c r="J42" s="38">
        <f t="shared" si="9"/>
        <v>27.416666666666664</v>
      </c>
    </row>
    <row r="43" spans="1:11" ht="14.1" customHeight="1" x14ac:dyDescent="0.25">
      <c r="A43" s="57" t="s">
        <v>82</v>
      </c>
      <c r="B43" s="58"/>
      <c r="C43" s="58"/>
      <c r="D43" s="38"/>
      <c r="E43" s="38"/>
      <c r="F43" s="58">
        <v>1</v>
      </c>
      <c r="G43" s="56"/>
      <c r="H43" s="2">
        <f t="shared" si="7"/>
        <v>11.208333333333332</v>
      </c>
      <c r="I43" s="2">
        <f t="shared" si="8"/>
        <v>15.208333333333332</v>
      </c>
      <c r="J43" s="38">
        <f t="shared" si="9"/>
        <v>26.416666666666664</v>
      </c>
    </row>
    <row r="44" spans="1:11" ht="14.1" customHeight="1" x14ac:dyDescent="0.25">
      <c r="A44" s="57" t="s">
        <v>83</v>
      </c>
      <c r="B44" s="58"/>
      <c r="C44" s="58"/>
      <c r="D44" s="38"/>
      <c r="E44" s="38">
        <v>1</v>
      </c>
      <c r="F44" s="58"/>
      <c r="G44" s="56"/>
      <c r="H44" s="2">
        <f t="shared" si="7"/>
        <v>11.208333333333332</v>
      </c>
      <c r="I44" s="2">
        <f t="shared" si="8"/>
        <v>14.208333333333332</v>
      </c>
      <c r="J44" s="38">
        <f t="shared" si="9"/>
        <v>25.416666666666664</v>
      </c>
    </row>
    <row r="45" spans="1:11" ht="14.1" customHeight="1" x14ac:dyDescent="0.25">
      <c r="A45" s="57" t="s">
        <v>85</v>
      </c>
      <c r="B45" s="58">
        <v>1.25</v>
      </c>
      <c r="C45" s="58">
        <v>1.25</v>
      </c>
      <c r="D45" s="38"/>
      <c r="E45" s="38"/>
      <c r="F45" s="58"/>
      <c r="G45" s="56"/>
      <c r="H45" s="2">
        <f t="shared" si="7"/>
        <v>12.458333333333332</v>
      </c>
      <c r="I45" s="2">
        <f t="shared" si="8"/>
        <v>15.458333333333332</v>
      </c>
      <c r="J45" s="38">
        <f t="shared" si="9"/>
        <v>27.916666666666664</v>
      </c>
    </row>
    <row r="46" spans="1:11" ht="14.1" customHeight="1" x14ac:dyDescent="0.25">
      <c r="A46" s="57" t="s">
        <v>86</v>
      </c>
      <c r="B46" s="58"/>
      <c r="C46" s="58"/>
      <c r="D46" s="38"/>
      <c r="E46" s="38">
        <v>1</v>
      </c>
      <c r="F46" s="58"/>
      <c r="G46" s="56"/>
      <c r="H46" s="2">
        <f t="shared" si="7"/>
        <v>12.458333333333332</v>
      </c>
      <c r="I46" s="2">
        <f t="shared" si="8"/>
        <v>14.458333333333332</v>
      </c>
      <c r="J46" s="38">
        <f t="shared" si="9"/>
        <v>26.916666666666664</v>
      </c>
    </row>
    <row r="47" spans="1:11" ht="14.1" customHeight="1" x14ac:dyDescent="0.25">
      <c r="A47" s="57" t="s">
        <v>87</v>
      </c>
      <c r="B47" s="58">
        <v>1.25</v>
      </c>
      <c r="C47" s="58">
        <v>1.25</v>
      </c>
      <c r="D47" s="38"/>
      <c r="E47" s="38"/>
      <c r="F47" s="58"/>
      <c r="G47" s="56"/>
      <c r="H47" s="2">
        <f t="shared" si="7"/>
        <v>13.708333333333332</v>
      </c>
      <c r="I47" s="2">
        <f t="shared" si="8"/>
        <v>15.708333333333332</v>
      </c>
      <c r="J47" s="38">
        <f t="shared" si="9"/>
        <v>29.416666666666664</v>
      </c>
    </row>
    <row r="48" spans="1:11" ht="14.1" customHeight="1" x14ac:dyDescent="0.25">
      <c r="A48" s="57" t="s">
        <v>88</v>
      </c>
      <c r="B48" s="58"/>
      <c r="C48" s="58"/>
      <c r="D48" s="38"/>
      <c r="E48" s="38">
        <v>1</v>
      </c>
      <c r="F48" s="58"/>
      <c r="G48" s="56"/>
      <c r="H48" s="2">
        <f t="shared" si="7"/>
        <v>13.708333333333332</v>
      </c>
      <c r="I48" s="2">
        <f t="shared" si="8"/>
        <v>14.708333333333332</v>
      </c>
      <c r="J48" s="38">
        <f t="shared" si="9"/>
        <v>28.416666666666664</v>
      </c>
    </row>
    <row r="49" spans="1:10" ht="14.1" customHeight="1" x14ac:dyDescent="0.25">
      <c r="A49" s="57" t="s">
        <v>89</v>
      </c>
      <c r="B49" s="58"/>
      <c r="C49" s="58"/>
      <c r="D49" s="38"/>
      <c r="E49" s="38"/>
      <c r="F49" s="58">
        <v>1</v>
      </c>
      <c r="G49" s="56"/>
      <c r="H49" s="2">
        <f t="shared" si="7"/>
        <v>12.708333333333332</v>
      </c>
      <c r="I49" s="2">
        <f t="shared" si="8"/>
        <v>14.708333333333332</v>
      </c>
      <c r="J49" s="38">
        <f t="shared" si="9"/>
        <v>27.416666666666664</v>
      </c>
    </row>
    <row r="50" spans="1:10" ht="14.1" customHeight="1" x14ac:dyDescent="0.25">
      <c r="A50" s="57" t="s">
        <v>90</v>
      </c>
      <c r="B50" s="58"/>
      <c r="C50" s="58"/>
      <c r="D50" s="38"/>
      <c r="E50" s="38"/>
      <c r="F50" s="58"/>
      <c r="G50" s="58">
        <v>1</v>
      </c>
      <c r="H50" s="2">
        <f t="shared" si="7"/>
        <v>12.708333333333332</v>
      </c>
      <c r="I50" s="2">
        <f t="shared" si="8"/>
        <v>14.708333333333332</v>
      </c>
      <c r="J50" s="38">
        <f t="shared" si="9"/>
        <v>27.416666666666664</v>
      </c>
    </row>
    <row r="51" spans="1:10" ht="14.1" customHeight="1" x14ac:dyDescent="0.25">
      <c r="A51" s="57" t="s">
        <v>91</v>
      </c>
      <c r="B51" s="58"/>
      <c r="C51" s="58"/>
      <c r="D51" s="38"/>
      <c r="E51" s="38">
        <v>1</v>
      </c>
      <c r="F51" s="58"/>
      <c r="G51" s="58"/>
      <c r="H51" s="2">
        <f t="shared" si="7"/>
        <v>12.708333333333332</v>
      </c>
      <c r="I51" s="2">
        <f t="shared" si="8"/>
        <v>13.708333333333332</v>
      </c>
      <c r="J51" s="38">
        <f t="shared" si="9"/>
        <v>26.416666666666664</v>
      </c>
    </row>
    <row r="52" spans="1:10" ht="14.1" customHeight="1" x14ac:dyDescent="0.25">
      <c r="A52" s="57" t="s">
        <v>92</v>
      </c>
      <c r="B52" s="58">
        <v>1.25</v>
      </c>
      <c r="C52" s="58">
        <v>1.25</v>
      </c>
      <c r="D52" s="38"/>
      <c r="E52" s="38"/>
      <c r="F52" s="58"/>
      <c r="G52" s="58"/>
      <c r="H52" s="2">
        <f t="shared" si="7"/>
        <v>13.958333333333332</v>
      </c>
      <c r="I52" s="2">
        <f t="shared" si="8"/>
        <v>14.958333333333332</v>
      </c>
      <c r="J52" s="38">
        <f t="shared" si="9"/>
        <v>28.916666666666664</v>
      </c>
    </row>
    <row r="53" spans="1:10" ht="14.1" customHeight="1" x14ac:dyDescent="0.25">
      <c r="A53" s="57" t="s">
        <v>93</v>
      </c>
      <c r="B53" s="58"/>
      <c r="C53" s="58"/>
      <c r="D53" s="38"/>
      <c r="E53" s="38"/>
      <c r="F53" s="58">
        <v>1</v>
      </c>
      <c r="G53" s="58"/>
      <c r="H53" s="2">
        <f t="shared" si="7"/>
        <v>12.958333333333332</v>
      </c>
      <c r="I53" s="2">
        <f t="shared" si="8"/>
        <v>14.958333333333332</v>
      </c>
      <c r="J53" s="38">
        <f t="shared" si="9"/>
        <v>27.916666666666664</v>
      </c>
    </row>
    <row r="54" spans="1:10" ht="14.1" customHeight="1" x14ac:dyDescent="0.25">
      <c r="A54" s="57" t="s">
        <v>94</v>
      </c>
      <c r="B54" s="58"/>
      <c r="C54" s="58"/>
      <c r="D54" s="38"/>
      <c r="E54" s="38">
        <v>1</v>
      </c>
      <c r="F54" s="58"/>
      <c r="G54" s="58"/>
      <c r="H54" s="2">
        <f t="shared" si="7"/>
        <v>12.958333333333332</v>
      </c>
      <c r="I54" s="2">
        <f t="shared" si="8"/>
        <v>13.958333333333332</v>
      </c>
      <c r="J54" s="38">
        <f t="shared" si="9"/>
        <v>26.916666666666664</v>
      </c>
    </row>
    <row r="55" spans="1:10" ht="14.1" customHeight="1" x14ac:dyDescent="0.25">
      <c r="A55" s="57" t="s">
        <v>98</v>
      </c>
      <c r="B55" s="58">
        <v>1.25</v>
      </c>
      <c r="C55" s="58">
        <v>1.25</v>
      </c>
      <c r="D55" s="38"/>
      <c r="E55" s="38"/>
      <c r="F55" s="58"/>
      <c r="G55" s="58"/>
      <c r="H55" s="2">
        <f t="shared" si="7"/>
        <v>14.208333333333332</v>
      </c>
      <c r="I55" s="2">
        <f t="shared" si="8"/>
        <v>15.208333333333332</v>
      </c>
      <c r="J55" s="38">
        <f t="shared" si="9"/>
        <v>29.416666666666664</v>
      </c>
    </row>
    <row r="56" spans="1:10" ht="14.1" customHeight="1" x14ac:dyDescent="0.25">
      <c r="A56" s="57" t="s">
        <v>99</v>
      </c>
      <c r="B56" s="58"/>
      <c r="C56" s="58"/>
      <c r="D56" s="38"/>
      <c r="E56" s="38"/>
      <c r="F56" s="58"/>
      <c r="G56" s="58">
        <v>1</v>
      </c>
      <c r="H56" s="2">
        <f t="shared" si="7"/>
        <v>14.208333333333332</v>
      </c>
      <c r="I56" s="2">
        <f t="shared" si="8"/>
        <v>15.208333333333332</v>
      </c>
      <c r="J56" s="38">
        <f t="shared" si="9"/>
        <v>29.416666666666664</v>
      </c>
    </row>
    <row r="57" spans="1:10" ht="15.75" customHeight="1" x14ac:dyDescent="0.25">
      <c r="A57" s="57" t="s">
        <v>100</v>
      </c>
      <c r="B57" s="58">
        <v>1.25</v>
      </c>
      <c r="C57" s="58">
        <v>1.25</v>
      </c>
      <c r="D57" s="38"/>
      <c r="E57" s="38"/>
      <c r="F57" s="58"/>
      <c r="G57" s="58"/>
      <c r="H57" s="2">
        <f t="shared" si="7"/>
        <v>15.458333333333332</v>
      </c>
      <c r="I57" s="2">
        <f t="shared" si="8"/>
        <v>16.458333333333332</v>
      </c>
      <c r="J57" s="38">
        <f t="shared" si="9"/>
        <v>31.916666666666664</v>
      </c>
    </row>
    <row r="58" spans="1:10" ht="15.75" customHeight="1" x14ac:dyDescent="0.25">
      <c r="A58" s="57" t="s">
        <v>102</v>
      </c>
      <c r="B58" s="58"/>
      <c r="C58" s="58"/>
      <c r="D58" s="38">
        <v>10</v>
      </c>
      <c r="E58" s="38"/>
      <c r="F58" s="58"/>
      <c r="G58" s="58"/>
      <c r="H58" s="2">
        <f t="shared" si="7"/>
        <v>5.4583333333333321</v>
      </c>
      <c r="I58" s="2">
        <f t="shared" si="8"/>
        <v>16.458333333333332</v>
      </c>
      <c r="J58" s="38">
        <f t="shared" si="9"/>
        <v>21.916666666666664</v>
      </c>
    </row>
    <row r="59" spans="1:10" ht="15.75" customHeight="1" x14ac:dyDescent="0.25">
      <c r="A59" s="57" t="s">
        <v>103</v>
      </c>
      <c r="B59" s="56"/>
      <c r="C59" s="56"/>
      <c r="D59" s="38"/>
      <c r="E59" s="38"/>
      <c r="F59" s="58"/>
      <c r="G59" s="58">
        <v>1</v>
      </c>
      <c r="H59" s="2">
        <f t="shared" si="7"/>
        <v>5.4583333333333321</v>
      </c>
      <c r="I59" s="2">
        <f t="shared" si="8"/>
        <v>16.458333333333332</v>
      </c>
      <c r="J59" s="38">
        <f t="shared" si="9"/>
        <v>21.916666666666664</v>
      </c>
    </row>
    <row r="60" spans="1:10" ht="15.75" customHeight="1" x14ac:dyDescent="0.25">
      <c r="A60" s="57" t="s">
        <v>104</v>
      </c>
      <c r="B60" s="56"/>
      <c r="C60" s="56"/>
      <c r="D60" s="38"/>
      <c r="E60" s="38"/>
      <c r="F60" s="58">
        <v>2</v>
      </c>
      <c r="G60" s="58"/>
      <c r="H60" s="2">
        <f t="shared" ref="H60:H61" si="10">H59-F60-D60+B60</f>
        <v>3.4583333333333321</v>
      </c>
      <c r="I60" s="2">
        <f t="shared" ref="I60:I61" si="11">I59-E60+C60</f>
        <v>16.458333333333332</v>
      </c>
      <c r="J60" s="38">
        <f t="shared" ref="J60:J61" si="12">SUM(H60:I60)</f>
        <v>19.916666666666664</v>
      </c>
    </row>
    <row r="61" spans="1:10" ht="15.75" customHeight="1" x14ac:dyDescent="0.25">
      <c r="A61" s="57" t="s">
        <v>110</v>
      </c>
      <c r="B61" s="58">
        <v>2.5</v>
      </c>
      <c r="C61" s="58">
        <v>2.5</v>
      </c>
      <c r="D61" s="38"/>
      <c r="E61" s="38"/>
      <c r="F61" s="58"/>
      <c r="G61" s="58"/>
      <c r="H61" s="2">
        <f t="shared" si="10"/>
        <v>5.9583333333333321</v>
      </c>
      <c r="I61" s="2">
        <f t="shared" si="11"/>
        <v>18.958333333333332</v>
      </c>
      <c r="J61" s="38">
        <f t="shared" si="12"/>
        <v>24.916666666666664</v>
      </c>
    </row>
    <row r="62" spans="1:10" ht="15.75" customHeight="1" x14ac:dyDescent="0.25">
      <c r="A62" s="57" t="s">
        <v>112</v>
      </c>
      <c r="B62" s="58"/>
      <c r="C62" s="58"/>
      <c r="D62" s="38">
        <v>0.5</v>
      </c>
      <c r="E62" s="38"/>
      <c r="F62" s="58"/>
      <c r="G62" s="58"/>
      <c r="H62" s="2">
        <f t="shared" ref="H62" si="13">H61-F62-D62+B62</f>
        <v>5.4583333333333321</v>
      </c>
      <c r="I62" s="2">
        <f t="shared" ref="I62" si="14">I61-E62+C62</f>
        <v>18.958333333333332</v>
      </c>
      <c r="J62" s="38">
        <f t="shared" ref="J62" si="15">SUM(H62:I62)</f>
        <v>24.416666666666664</v>
      </c>
    </row>
    <row r="63" spans="1:10" ht="15.75" customHeight="1" x14ac:dyDescent="0.25">
      <c r="A63" s="57" t="s">
        <v>114</v>
      </c>
      <c r="B63" s="58">
        <v>3.75</v>
      </c>
      <c r="C63" s="58">
        <v>3.75</v>
      </c>
      <c r="D63" s="38"/>
      <c r="E63" s="38"/>
      <c r="F63" s="58"/>
      <c r="G63" s="58"/>
      <c r="H63" s="2">
        <f t="shared" ref="H63" si="16">H62-F63-D63+B63</f>
        <v>9.2083333333333321</v>
      </c>
      <c r="I63" s="2">
        <f t="shared" ref="I63" si="17">I62-E63+C63</f>
        <v>22.708333333333332</v>
      </c>
      <c r="J63" s="38">
        <f t="shared" ref="J63" si="18">SUM(H63:I63)</f>
        <v>31.916666666666664</v>
      </c>
    </row>
    <row r="64" spans="1:10" ht="15.75" customHeight="1" x14ac:dyDescent="0.25">
      <c r="A64" s="57" t="s">
        <v>115</v>
      </c>
      <c r="B64" s="58"/>
      <c r="C64" s="58"/>
      <c r="D64" s="38"/>
      <c r="E64" s="38">
        <v>1</v>
      </c>
      <c r="F64" s="58"/>
      <c r="G64" s="58"/>
      <c r="H64" s="2">
        <f t="shared" ref="H64" si="19">H63-F64-D64+B64</f>
        <v>9.2083333333333321</v>
      </c>
      <c r="I64" s="2">
        <f t="shared" ref="I64" si="20">I63-E64+C64</f>
        <v>21.708333333333332</v>
      </c>
      <c r="J64" s="38">
        <f t="shared" ref="J64" si="21">SUM(H64:I64)</f>
        <v>30.916666666666664</v>
      </c>
    </row>
    <row r="65" spans="1:10" ht="15.75" customHeight="1" x14ac:dyDescent="0.25">
      <c r="A65" s="57" t="s">
        <v>116</v>
      </c>
      <c r="B65" s="58"/>
      <c r="C65" s="58"/>
      <c r="D65" s="38"/>
      <c r="E65" s="38"/>
      <c r="F65" s="59">
        <v>1</v>
      </c>
      <c r="G65" s="58"/>
      <c r="H65" s="2">
        <f t="shared" ref="H65" si="22">H64-F65-D65+B65</f>
        <v>8.2083333333333321</v>
      </c>
      <c r="I65" s="2">
        <f t="shared" ref="I65" si="23">I64-E65+C65</f>
        <v>21.708333333333332</v>
      </c>
      <c r="J65" s="38">
        <f t="shared" ref="J65" si="24">SUM(H65:I65)</f>
        <v>29.916666666666664</v>
      </c>
    </row>
    <row r="66" spans="1:10" ht="15.75" customHeight="1" x14ac:dyDescent="0.25">
      <c r="A66" s="57" t="s">
        <v>117</v>
      </c>
      <c r="B66" s="58">
        <v>1.25</v>
      </c>
      <c r="C66" s="58">
        <v>1.25</v>
      </c>
      <c r="D66" s="38"/>
      <c r="E66" s="38"/>
      <c r="F66" s="58"/>
      <c r="G66" s="58"/>
      <c r="H66" s="2">
        <f t="shared" ref="H66:H67" si="25">H65-F66-D66+B66</f>
        <v>9.4583333333333321</v>
      </c>
      <c r="I66" s="2">
        <f t="shared" ref="I66:I67" si="26">I65-E66+C66</f>
        <v>22.958333333333332</v>
      </c>
      <c r="J66" s="38">
        <f t="shared" ref="J66:J67" si="27">SUM(H66:I66)</f>
        <v>32.416666666666664</v>
      </c>
    </row>
    <row r="67" spans="1:10" ht="15.75" customHeight="1" x14ac:dyDescent="0.25">
      <c r="A67" s="57" t="s">
        <v>118</v>
      </c>
      <c r="B67" s="58"/>
      <c r="C67" s="58"/>
      <c r="D67" s="38"/>
      <c r="E67" s="38"/>
      <c r="F67" s="59">
        <v>2</v>
      </c>
      <c r="G67" s="58"/>
      <c r="H67" s="2">
        <f t="shared" si="25"/>
        <v>7.4583333333333321</v>
      </c>
      <c r="I67" s="2">
        <f t="shared" si="26"/>
        <v>22.958333333333332</v>
      </c>
      <c r="J67" s="38">
        <f t="shared" si="27"/>
        <v>30.416666666666664</v>
      </c>
    </row>
    <row r="68" spans="1:10" ht="15.75" customHeight="1" x14ac:dyDescent="0.25">
      <c r="A68" s="57" t="s">
        <v>119</v>
      </c>
      <c r="B68" s="58">
        <v>1.25</v>
      </c>
      <c r="C68" s="58">
        <v>1.25</v>
      </c>
      <c r="D68" s="38"/>
      <c r="E68" s="38"/>
      <c r="F68" s="58"/>
      <c r="G68" s="58"/>
      <c r="H68" s="2">
        <f t="shared" ref="H68:H70" si="28">H67-F68-D68+B68</f>
        <v>8.7083333333333321</v>
      </c>
      <c r="I68" s="2">
        <f t="shared" ref="I68:I70" si="29">I67-E68+C68</f>
        <v>24.208333333333332</v>
      </c>
      <c r="J68" s="38">
        <f t="shared" ref="J68:J70" si="30">SUM(H68:I68)</f>
        <v>32.916666666666664</v>
      </c>
    </row>
    <row r="69" spans="1:10" ht="15.75" customHeight="1" x14ac:dyDescent="0.25">
      <c r="A69" s="57" t="s">
        <v>120</v>
      </c>
      <c r="B69" s="58"/>
      <c r="C69" s="58"/>
      <c r="D69" s="38"/>
      <c r="E69" s="38">
        <v>1</v>
      </c>
      <c r="F69" s="58"/>
      <c r="G69" s="58"/>
      <c r="H69" s="2">
        <f t="shared" si="28"/>
        <v>8.7083333333333321</v>
      </c>
      <c r="I69" s="2">
        <f t="shared" si="29"/>
        <v>23.208333333333332</v>
      </c>
      <c r="J69" s="38">
        <f t="shared" si="30"/>
        <v>31.916666666666664</v>
      </c>
    </row>
    <row r="70" spans="1:10" ht="15.75" customHeight="1" x14ac:dyDescent="0.25">
      <c r="A70" s="57" t="s">
        <v>121</v>
      </c>
      <c r="B70" s="58"/>
      <c r="C70" s="58"/>
      <c r="D70" s="38"/>
      <c r="E70" s="38"/>
      <c r="F70" s="59">
        <v>1</v>
      </c>
      <c r="G70" s="58"/>
      <c r="H70" s="2">
        <f t="shared" si="28"/>
        <v>7.7083333333333321</v>
      </c>
      <c r="I70" s="2">
        <f t="shared" si="29"/>
        <v>23.208333333333332</v>
      </c>
      <c r="J70" s="38">
        <f t="shared" si="30"/>
        <v>30.916666666666664</v>
      </c>
    </row>
    <row r="71" spans="1:10" ht="15.75" customHeight="1" x14ac:dyDescent="0.25">
      <c r="A71" s="57" t="s">
        <v>125</v>
      </c>
      <c r="B71" s="58">
        <v>1.25</v>
      </c>
      <c r="C71" s="58">
        <v>1.25</v>
      </c>
      <c r="D71" s="38"/>
      <c r="E71" s="38"/>
      <c r="F71" s="58"/>
      <c r="G71" s="58"/>
      <c r="H71" s="2">
        <f t="shared" ref="H71" si="31">H70-F71-D71+B71</f>
        <v>8.9583333333333321</v>
      </c>
      <c r="I71" s="2">
        <f t="shared" ref="I71" si="32">I70-E71+C71</f>
        <v>24.458333333333332</v>
      </c>
      <c r="J71" s="38">
        <f t="shared" ref="J71" si="33">SUM(H71:I71)</f>
        <v>33.416666666666664</v>
      </c>
    </row>
    <row r="72" spans="1:10" ht="15.75" customHeight="1" x14ac:dyDescent="0.25">
      <c r="A72" s="57" t="s">
        <v>126</v>
      </c>
      <c r="B72" s="58"/>
      <c r="C72" s="58"/>
      <c r="D72" s="38"/>
      <c r="E72" s="38">
        <v>2</v>
      </c>
      <c r="F72" s="58"/>
      <c r="G72" s="58"/>
      <c r="H72" s="2">
        <f t="shared" ref="H72" si="34">H71-F72-D72+B72</f>
        <v>8.9583333333333321</v>
      </c>
      <c r="I72" s="2">
        <f t="shared" ref="I72" si="35">I71-E72+C72</f>
        <v>22.458333333333332</v>
      </c>
      <c r="J72" s="38">
        <f t="shared" ref="J72" si="36">SUM(H72:I72)</f>
        <v>31.416666666666664</v>
      </c>
    </row>
    <row r="73" spans="1:10" ht="15.75" customHeight="1" x14ac:dyDescent="0.25">
      <c r="A73" s="57" t="s">
        <v>127</v>
      </c>
      <c r="B73" s="58">
        <v>1.25</v>
      </c>
      <c r="C73" s="58">
        <v>1.25</v>
      </c>
      <c r="D73" s="38"/>
      <c r="E73" s="38"/>
      <c r="F73" s="58"/>
      <c r="G73" s="58"/>
      <c r="H73" s="2">
        <f t="shared" ref="H73:H74" si="37">H72-F73-D73+B73</f>
        <v>10.208333333333332</v>
      </c>
      <c r="I73" s="2">
        <f t="shared" ref="I73:I74" si="38">I72-E73+C73</f>
        <v>23.708333333333332</v>
      </c>
      <c r="J73" s="38">
        <f t="shared" ref="J73:J74" si="39">SUM(H73:I73)</f>
        <v>33.916666666666664</v>
      </c>
    </row>
    <row r="74" spans="1:10" ht="15.75" customHeight="1" x14ac:dyDescent="0.25">
      <c r="A74" s="57" t="s">
        <v>128</v>
      </c>
      <c r="B74" s="58"/>
      <c r="C74" s="58"/>
      <c r="D74" s="38"/>
      <c r="E74" s="38"/>
      <c r="F74" s="58"/>
      <c r="G74" s="60">
        <v>1</v>
      </c>
      <c r="H74" s="2">
        <f t="shared" si="37"/>
        <v>10.208333333333332</v>
      </c>
      <c r="I74" s="2">
        <f t="shared" si="38"/>
        <v>23.708333333333332</v>
      </c>
      <c r="J74" s="38">
        <f t="shared" si="39"/>
        <v>33.916666666666664</v>
      </c>
    </row>
    <row r="75" spans="1:10" ht="15.75" customHeight="1" x14ac:dyDescent="0.25">
      <c r="A75" s="57" t="s">
        <v>129</v>
      </c>
      <c r="B75" s="58">
        <v>1.25</v>
      </c>
      <c r="C75" s="58">
        <v>1.25</v>
      </c>
      <c r="D75" s="38"/>
      <c r="E75" s="38"/>
      <c r="F75" s="58"/>
      <c r="G75" s="58"/>
      <c r="H75" s="2">
        <f t="shared" ref="H75:H76" si="40">H74-F75-D75+B75</f>
        <v>11.458333333333332</v>
      </c>
      <c r="I75" s="2">
        <f t="shared" ref="I75:I76" si="41">I74-E75+C75</f>
        <v>24.958333333333332</v>
      </c>
      <c r="J75" s="38">
        <f t="shared" ref="J75:J76" si="42">SUM(H75:I75)</f>
        <v>36.416666666666664</v>
      </c>
    </row>
    <row r="76" spans="1:10" ht="15.75" customHeight="1" x14ac:dyDescent="0.25">
      <c r="A76" s="57" t="s">
        <v>130</v>
      </c>
      <c r="B76" s="58"/>
      <c r="C76" s="58"/>
      <c r="D76" s="38"/>
      <c r="E76" s="38">
        <v>1</v>
      </c>
      <c r="F76" s="58"/>
      <c r="G76" s="58"/>
      <c r="H76" s="2">
        <f t="shared" si="40"/>
        <v>11.458333333333332</v>
      </c>
      <c r="I76" s="2">
        <f t="shared" si="41"/>
        <v>23.958333333333332</v>
      </c>
      <c r="J76" s="38">
        <f t="shared" si="42"/>
        <v>35.416666666666664</v>
      </c>
    </row>
    <row r="77" spans="1:10" ht="15.75" customHeight="1" x14ac:dyDescent="0.25">
      <c r="A77" s="57" t="s">
        <v>131</v>
      </c>
      <c r="B77" s="58">
        <v>1.25</v>
      </c>
      <c r="C77" s="58">
        <v>1.25</v>
      </c>
      <c r="D77" s="38"/>
      <c r="E77" s="38"/>
      <c r="F77" s="58"/>
      <c r="G77" s="58"/>
      <c r="H77" s="2">
        <f t="shared" ref="H77:H78" si="43">H76-F77-D77+B77</f>
        <v>12.708333333333332</v>
      </c>
      <c r="I77" s="2">
        <f t="shared" ref="I77:I78" si="44">I76-E77+C77</f>
        <v>25.208333333333332</v>
      </c>
      <c r="J77" s="38">
        <f t="shared" ref="J77:J78" si="45">SUM(H77:I77)</f>
        <v>37.916666666666664</v>
      </c>
    </row>
    <row r="78" spans="1:10" ht="15.75" customHeight="1" x14ac:dyDescent="0.25">
      <c r="A78" s="57" t="s">
        <v>132</v>
      </c>
      <c r="B78" s="58"/>
      <c r="C78" s="58"/>
      <c r="D78" s="38"/>
      <c r="E78" s="38">
        <v>1</v>
      </c>
      <c r="F78" s="58"/>
      <c r="G78" s="58"/>
      <c r="H78" s="2">
        <f t="shared" si="43"/>
        <v>12.708333333333332</v>
      </c>
      <c r="I78" s="2">
        <f t="shared" si="44"/>
        <v>24.208333333333332</v>
      </c>
      <c r="J78" s="38">
        <f t="shared" si="45"/>
        <v>36.916666666666664</v>
      </c>
    </row>
    <row r="79" spans="1:10" ht="15.75" customHeight="1" x14ac:dyDescent="0.25">
      <c r="A79" s="57" t="s">
        <v>133</v>
      </c>
      <c r="B79" s="58"/>
      <c r="C79" s="58"/>
      <c r="D79" s="38"/>
      <c r="E79" s="38"/>
      <c r="F79" s="58"/>
      <c r="G79" s="60">
        <v>1</v>
      </c>
      <c r="H79" s="2">
        <f t="shared" ref="H79" si="46">H78-F79-D79+B79</f>
        <v>12.708333333333332</v>
      </c>
      <c r="I79" s="2">
        <f t="shared" ref="I79" si="47">I78-E79+C79</f>
        <v>24.208333333333332</v>
      </c>
      <c r="J79" s="38">
        <f t="shared" ref="J79" si="48">SUM(H79:I79)</f>
        <v>36.916666666666664</v>
      </c>
    </row>
    <row r="80" spans="1:10" ht="15.75" customHeight="1" x14ac:dyDescent="0.25">
      <c r="A80" s="57" t="s">
        <v>139</v>
      </c>
      <c r="B80" s="58">
        <v>1.25</v>
      </c>
      <c r="C80" s="58">
        <v>1.25</v>
      </c>
      <c r="D80" s="38"/>
      <c r="E80" s="38"/>
      <c r="F80" s="58"/>
      <c r="G80" s="58"/>
      <c r="H80" s="2">
        <f t="shared" ref="H80:H81" si="49">H79-F80-D80+B80</f>
        <v>13.958333333333332</v>
      </c>
      <c r="I80" s="2">
        <f t="shared" ref="I80:I81" si="50">I79-E80+C80</f>
        <v>25.458333333333332</v>
      </c>
      <c r="J80" s="38">
        <f t="shared" ref="J80:J81" si="51">SUM(H80:I80)</f>
        <v>39.416666666666664</v>
      </c>
    </row>
    <row r="81" spans="1:10" ht="15.75" customHeight="1" x14ac:dyDescent="0.25">
      <c r="A81" s="57" t="s">
        <v>140</v>
      </c>
      <c r="B81" s="58"/>
      <c r="C81" s="58"/>
      <c r="D81" s="38"/>
      <c r="E81" s="38">
        <v>1</v>
      </c>
      <c r="F81" s="58"/>
      <c r="G81" s="58"/>
      <c r="H81" s="2">
        <f t="shared" si="49"/>
        <v>13.958333333333332</v>
      </c>
      <c r="I81" s="2">
        <f t="shared" si="50"/>
        <v>24.458333333333332</v>
      </c>
      <c r="J81" s="38">
        <f t="shared" si="51"/>
        <v>38.416666666666664</v>
      </c>
    </row>
    <row r="82" spans="1:10" ht="15.75" customHeight="1" x14ac:dyDescent="0.25">
      <c r="A82" s="57" t="s">
        <v>141</v>
      </c>
      <c r="B82" s="58"/>
      <c r="C82" s="58"/>
      <c r="D82" s="38"/>
      <c r="E82" s="38"/>
      <c r="F82" s="59">
        <v>1</v>
      </c>
      <c r="G82" s="58"/>
      <c r="H82" s="2">
        <f t="shared" ref="H82" si="52">H81-F82-D82+B82</f>
        <v>12.958333333333332</v>
      </c>
      <c r="I82" s="2">
        <f t="shared" ref="I82" si="53">I81-E82+C82</f>
        <v>24.458333333333332</v>
      </c>
      <c r="J82" s="38">
        <f t="shared" ref="J82" si="54">SUM(H82:I82)</f>
        <v>37.416666666666664</v>
      </c>
    </row>
    <row r="83" spans="1:10" ht="15.75" customHeight="1" x14ac:dyDescent="0.25">
      <c r="A83" s="57" t="s">
        <v>142</v>
      </c>
      <c r="B83" s="58">
        <v>1.25</v>
      </c>
      <c r="C83" s="58">
        <v>1.25</v>
      </c>
      <c r="D83" s="38"/>
      <c r="E83" s="38"/>
      <c r="F83" s="58"/>
      <c r="G83" s="58"/>
      <c r="H83" s="2">
        <f t="shared" ref="H83:H84" si="55">H82-F83-D83+B83</f>
        <v>14.208333333333332</v>
      </c>
      <c r="I83" s="2">
        <f t="shared" ref="I83:I84" si="56">I82-E83+C83</f>
        <v>25.708333333333332</v>
      </c>
      <c r="J83" s="38">
        <f t="shared" ref="J83:J84" si="57">SUM(H83:I83)</f>
        <v>39.916666666666664</v>
      </c>
    </row>
    <row r="84" spans="1:10" ht="15.75" customHeight="1" x14ac:dyDescent="0.25">
      <c r="A84" s="57" t="s">
        <v>144</v>
      </c>
      <c r="B84" s="58"/>
      <c r="C84" s="58"/>
      <c r="D84" s="38">
        <v>9.2080000000000002</v>
      </c>
      <c r="E84" s="38">
        <v>19.792000000000002</v>
      </c>
      <c r="F84" s="58"/>
      <c r="G84" s="58"/>
      <c r="H84" s="2">
        <f t="shared" si="55"/>
        <v>5.000333333333332</v>
      </c>
      <c r="I84" s="2">
        <f t="shared" si="56"/>
        <v>5.9163333333333306</v>
      </c>
      <c r="J84" s="38">
        <f t="shared" si="57"/>
        <v>10.916666666666663</v>
      </c>
    </row>
    <row r="85" spans="1:10" ht="15.75" customHeight="1" x14ac:dyDescent="0.25">
      <c r="A85" s="57" t="s">
        <v>145</v>
      </c>
      <c r="B85" s="58"/>
      <c r="C85" s="58"/>
      <c r="D85" s="38"/>
      <c r="E85" s="38">
        <v>1</v>
      </c>
      <c r="F85" s="58"/>
      <c r="G85" s="58"/>
      <c r="H85" s="2">
        <f t="shared" ref="H85" si="58">H84-F85-D85+B85</f>
        <v>5.000333333333332</v>
      </c>
      <c r="I85" s="2">
        <f t="shared" ref="I85" si="59">I84-E85+C85</f>
        <v>4.9163333333333306</v>
      </c>
      <c r="J85" s="38">
        <f t="shared" ref="J85" si="60">SUM(H85:I85)</f>
        <v>9.9166666666666625</v>
      </c>
    </row>
    <row r="86" spans="1:10" ht="15.75" customHeight="1" x14ac:dyDescent="0.25">
      <c r="A86" s="57" t="s">
        <v>146</v>
      </c>
      <c r="B86" s="58">
        <v>1.25</v>
      </c>
      <c r="C86" s="58">
        <v>1.25</v>
      </c>
      <c r="D86" s="38"/>
      <c r="E86" s="38"/>
      <c r="F86" s="58"/>
      <c r="G86" s="58"/>
      <c r="H86" s="2">
        <f t="shared" ref="H86:H87" si="61">H85-F86-D86+B86</f>
        <v>6.250333333333332</v>
      </c>
      <c r="I86" s="2">
        <f t="shared" ref="I86:I87" si="62">I85-E86+C86</f>
        <v>6.1663333333333306</v>
      </c>
      <c r="J86" s="38">
        <f t="shared" ref="J86:J87" si="63">SUM(H86:I86)</f>
        <v>12.416666666666663</v>
      </c>
    </row>
    <row r="87" spans="1:10" ht="15.75" customHeight="1" x14ac:dyDescent="0.25">
      <c r="A87" s="57" t="s">
        <v>147</v>
      </c>
      <c r="B87" s="58"/>
      <c r="C87" s="58"/>
      <c r="D87" s="38"/>
      <c r="E87" s="38">
        <v>1</v>
      </c>
      <c r="F87" s="58"/>
      <c r="G87" s="58"/>
      <c r="H87" s="2">
        <f t="shared" si="61"/>
        <v>6.250333333333332</v>
      </c>
      <c r="I87" s="2">
        <f t="shared" si="62"/>
        <v>5.1663333333333306</v>
      </c>
      <c r="J87" s="38">
        <f t="shared" si="63"/>
        <v>11.416666666666663</v>
      </c>
    </row>
    <row r="88" spans="1:10" ht="15.75" customHeight="1" x14ac:dyDescent="0.25">
      <c r="A88" s="35" t="s">
        <v>148</v>
      </c>
      <c r="B88" s="116"/>
      <c r="C88" s="116"/>
      <c r="D88" s="117"/>
      <c r="E88" s="117">
        <v>2</v>
      </c>
      <c r="F88" s="116"/>
      <c r="G88" s="116"/>
      <c r="H88" s="2">
        <f t="shared" ref="H88" si="64">H87-F88-D88+B88</f>
        <v>6.250333333333332</v>
      </c>
      <c r="I88" s="2">
        <f t="shared" ref="I88" si="65">I87-E88+C88</f>
        <v>3.1663333333333306</v>
      </c>
      <c r="J88" s="38">
        <f t="shared" ref="J88" si="66">SUM(H88:I88)</f>
        <v>9.4166666666666625</v>
      </c>
    </row>
    <row r="89" spans="1:10" ht="15.75" customHeight="1" x14ac:dyDescent="0.25">
      <c r="A89" s="36"/>
      <c r="B89" s="52"/>
      <c r="C89" s="52"/>
      <c r="D89" s="41"/>
      <c r="E89" s="41"/>
      <c r="F89" s="52"/>
      <c r="G89" s="52"/>
      <c r="H89" s="53"/>
      <c r="I89" s="53"/>
      <c r="J89" s="41"/>
    </row>
    <row r="90" spans="1:10" ht="15.75" customHeight="1" x14ac:dyDescent="0.25">
      <c r="A90" s="36"/>
      <c r="B90" s="40"/>
      <c r="C90" s="40"/>
      <c r="D90" s="41"/>
      <c r="E90" s="41"/>
      <c r="F90" s="40"/>
      <c r="G90" s="40"/>
      <c r="H90" s="42"/>
      <c r="I90" s="42"/>
      <c r="J90" s="41"/>
    </row>
    <row r="91" spans="1:10" s="1" customFormat="1" ht="14.1" customHeight="1" x14ac:dyDescent="0.25">
      <c r="G91" s="1" t="s">
        <v>55</v>
      </c>
    </row>
    <row r="92" spans="1:10" s="1" customFormat="1" ht="14.1" customHeight="1" x14ac:dyDescent="0.25"/>
    <row r="93" spans="1:10" s="1" customFormat="1" ht="14.1" customHeight="1" x14ac:dyDescent="0.25">
      <c r="H93" s="43" t="s">
        <v>56</v>
      </c>
    </row>
    <row r="94" spans="1:10" s="1" customFormat="1" ht="14.1" customHeight="1" x14ac:dyDescent="0.25">
      <c r="H94" s="1" t="s">
        <v>57</v>
      </c>
    </row>
    <row r="95" spans="1:10" s="1" customFormat="1" x14ac:dyDescent="0.25">
      <c r="H95" s="1" t="s">
        <v>101</v>
      </c>
    </row>
  </sheetData>
  <mergeCells count="11">
    <mergeCell ref="A2:J2"/>
    <mergeCell ref="A3:J3"/>
    <mergeCell ref="A4:J4"/>
    <mergeCell ref="A5:J5"/>
    <mergeCell ref="B7:D7"/>
    <mergeCell ref="H11:I11"/>
    <mergeCell ref="J11:J12"/>
    <mergeCell ref="D11:G11"/>
    <mergeCell ref="B11:C11"/>
    <mergeCell ref="B9:D9"/>
    <mergeCell ref="A10:J10"/>
  </mergeCells>
  <phoneticPr fontId="11" type="noConversion"/>
  <printOptions horizontalCentered="1"/>
  <pageMargins left="0.23622047244094491" right="0.23622047244094491" top="0.51181102362204722" bottom="0.51181102362204722" header="0.31496062992125984" footer="0.31496062992125984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27"/>
  <sheetViews>
    <sheetView view="pageBreakPreview" topLeftCell="A11" zoomScale="96" zoomScaleNormal="100" zoomScaleSheetLayoutView="96" workbookViewId="0">
      <selection activeCell="E20" sqref="E20:F20"/>
    </sheetView>
  </sheetViews>
  <sheetFormatPr defaultRowHeight="15" x14ac:dyDescent="0.25"/>
  <cols>
    <col min="1" max="1" width="21.85546875" customWidth="1"/>
    <col min="2" max="2" width="18.7109375" customWidth="1"/>
    <col min="6" max="6" width="6.85546875" customWidth="1"/>
    <col min="8" max="8" width="7.42578125" customWidth="1"/>
    <col min="10" max="10" width="7" customWidth="1"/>
  </cols>
  <sheetData>
    <row r="1" spans="1:13" s="1" customFormat="1" ht="52.5" customHeight="1" x14ac:dyDescent="0.25">
      <c r="D1" s="12"/>
      <c r="E1" s="13"/>
      <c r="I1" s="10"/>
    </row>
    <row r="2" spans="1:13" s="1" customFormat="1" ht="10.5" customHeight="1" x14ac:dyDescent="0.25">
      <c r="A2" s="76" t="s">
        <v>23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s="1" customFormat="1" ht="15.95" customHeight="1" x14ac:dyDescent="0.25">
      <c r="A3" s="76" t="s">
        <v>24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s="1" customFormat="1" ht="15.95" customHeight="1" x14ac:dyDescent="0.25">
      <c r="A4" s="76" t="s">
        <v>25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s="1" customFormat="1" ht="15.95" customHeight="1" x14ac:dyDescent="0.25">
      <c r="A5" s="76" t="s">
        <v>26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</row>
    <row r="6" spans="1:13" s="1" customFormat="1" ht="8.25" customHeight="1" x14ac:dyDescent="0.25">
      <c r="D6" s="10"/>
      <c r="I6" s="10"/>
    </row>
    <row r="7" spans="1:13" s="1" customFormat="1" ht="8.25" customHeight="1" x14ac:dyDescent="0.25">
      <c r="D7" s="10"/>
      <c r="I7" s="10"/>
    </row>
    <row r="8" spans="1:13" s="1" customFormat="1" ht="12" customHeight="1" x14ac:dyDescent="0.25">
      <c r="A8" s="14" t="s">
        <v>41</v>
      </c>
      <c r="B8" s="14"/>
      <c r="C8" s="14"/>
      <c r="D8" s="80" t="s">
        <v>30</v>
      </c>
      <c r="E8" s="80"/>
      <c r="F8" s="80"/>
      <c r="G8" s="80"/>
      <c r="H8" s="80"/>
      <c r="J8" s="80" t="s">
        <v>31</v>
      </c>
      <c r="K8" s="80"/>
      <c r="L8" s="80"/>
      <c r="M8" s="14"/>
    </row>
    <row r="9" spans="1:13" s="1" customFormat="1" ht="12" customHeight="1" x14ac:dyDescent="0.25">
      <c r="C9" s="15"/>
      <c r="D9" s="80" t="s">
        <v>43</v>
      </c>
      <c r="E9" s="80"/>
      <c r="F9" s="80"/>
      <c r="G9" s="80"/>
      <c r="H9" s="80"/>
      <c r="J9" s="81" t="s">
        <v>32</v>
      </c>
      <c r="K9" s="81"/>
      <c r="L9" s="81"/>
      <c r="M9" s="15"/>
    </row>
    <row r="10" spans="1:13" s="1" customFormat="1" ht="12" customHeight="1" x14ac:dyDescent="0.25">
      <c r="A10" s="14" t="s">
        <v>42</v>
      </c>
      <c r="B10" s="14"/>
      <c r="C10" s="14"/>
      <c r="D10" s="16"/>
      <c r="E10" s="15"/>
      <c r="F10" s="15"/>
      <c r="J10" s="80" t="s">
        <v>33</v>
      </c>
      <c r="K10" s="80"/>
      <c r="L10" s="80"/>
      <c r="M10" s="14"/>
    </row>
    <row r="11" spans="1:13" ht="16.5" customHeight="1" thickBot="1" x14ac:dyDescent="0.3">
      <c r="A11" s="82" t="s">
        <v>34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</row>
    <row r="12" spans="1:13" s="6" customFormat="1" ht="18.75" customHeight="1" x14ac:dyDescent="0.2">
      <c r="A12" s="83" t="s">
        <v>35</v>
      </c>
      <c r="B12" s="86" t="s">
        <v>4</v>
      </c>
      <c r="C12" s="89" t="s">
        <v>36</v>
      </c>
      <c r="D12" s="90"/>
      <c r="E12" s="89" t="s">
        <v>37</v>
      </c>
      <c r="F12" s="90"/>
      <c r="G12" s="89" t="s">
        <v>27</v>
      </c>
      <c r="H12" s="90"/>
      <c r="I12" s="89" t="s">
        <v>28</v>
      </c>
      <c r="J12" s="90"/>
      <c r="K12" s="89" t="s">
        <v>29</v>
      </c>
      <c r="L12" s="90"/>
      <c r="M12" s="95" t="s">
        <v>8</v>
      </c>
    </row>
    <row r="13" spans="1:13" s="6" customFormat="1" ht="18.75" customHeight="1" x14ac:dyDescent="0.2">
      <c r="A13" s="84"/>
      <c r="B13" s="87"/>
      <c r="C13" s="91"/>
      <c r="D13" s="92"/>
      <c r="E13" s="91"/>
      <c r="F13" s="92"/>
      <c r="G13" s="91"/>
      <c r="H13" s="92"/>
      <c r="I13" s="91"/>
      <c r="J13" s="92"/>
      <c r="K13" s="91"/>
      <c r="L13" s="92"/>
      <c r="M13" s="96"/>
    </row>
    <row r="14" spans="1:13" s="6" customFormat="1" ht="24" customHeight="1" x14ac:dyDescent="0.2">
      <c r="A14" s="85"/>
      <c r="B14" s="88"/>
      <c r="C14" s="93"/>
      <c r="D14" s="94"/>
      <c r="E14" s="93"/>
      <c r="F14" s="94"/>
      <c r="G14" s="93"/>
      <c r="H14" s="94"/>
      <c r="I14" s="93"/>
      <c r="J14" s="94"/>
      <c r="K14" s="93"/>
      <c r="L14" s="94"/>
      <c r="M14" s="97"/>
    </row>
    <row r="15" spans="1:13" s="6" customFormat="1" ht="39" customHeight="1" x14ac:dyDescent="0.2">
      <c r="A15" s="7" t="s">
        <v>38</v>
      </c>
      <c r="B15" s="17" t="s">
        <v>39</v>
      </c>
      <c r="C15" s="77" t="s">
        <v>40</v>
      </c>
      <c r="D15" s="78"/>
      <c r="E15" s="77"/>
      <c r="F15" s="78"/>
      <c r="G15" s="77">
        <v>5</v>
      </c>
      <c r="H15" s="79"/>
      <c r="I15" s="77">
        <v>0</v>
      </c>
      <c r="J15" s="79"/>
      <c r="K15" s="77">
        <v>5</v>
      </c>
      <c r="L15" s="79"/>
      <c r="M15" s="8">
        <v>5</v>
      </c>
    </row>
    <row r="16" spans="1:13" s="9" customFormat="1" ht="39" customHeight="1" x14ac:dyDescent="0.2">
      <c r="A16" s="7"/>
      <c r="B16" s="18" t="s">
        <v>71</v>
      </c>
      <c r="C16" s="77" t="s">
        <v>40</v>
      </c>
      <c r="D16" s="78"/>
      <c r="E16" s="77"/>
      <c r="F16" s="78"/>
      <c r="G16" s="77"/>
      <c r="H16" s="79"/>
      <c r="I16" s="77">
        <v>1</v>
      </c>
      <c r="J16" s="79"/>
      <c r="K16" s="77">
        <v>4</v>
      </c>
      <c r="L16" s="79"/>
      <c r="M16" s="8">
        <v>4</v>
      </c>
    </row>
    <row r="17" spans="1:26" s="9" customFormat="1" ht="39" customHeight="1" x14ac:dyDescent="0.2">
      <c r="A17" s="7"/>
      <c r="B17" s="18" t="s">
        <v>73</v>
      </c>
      <c r="C17" s="77" t="s">
        <v>40</v>
      </c>
      <c r="D17" s="78"/>
      <c r="E17" s="77"/>
      <c r="F17" s="78"/>
      <c r="G17" s="77"/>
      <c r="H17" s="79"/>
      <c r="I17" s="77">
        <v>1</v>
      </c>
      <c r="J17" s="79"/>
      <c r="K17" s="77">
        <v>3</v>
      </c>
      <c r="L17" s="79"/>
      <c r="M17" s="8">
        <v>3</v>
      </c>
    </row>
    <row r="18" spans="1:26" s="9" customFormat="1" ht="39" customHeight="1" x14ac:dyDescent="0.2">
      <c r="A18" s="37"/>
      <c r="B18" s="37" t="s">
        <v>75</v>
      </c>
      <c r="C18" s="77" t="s">
        <v>40</v>
      </c>
      <c r="D18" s="78"/>
      <c r="E18" s="77"/>
      <c r="F18" s="79"/>
      <c r="G18" s="77"/>
      <c r="H18" s="79"/>
      <c r="I18" s="77">
        <v>1</v>
      </c>
      <c r="J18" s="79"/>
      <c r="K18" s="77">
        <v>2</v>
      </c>
      <c r="L18" s="79"/>
      <c r="M18" s="44">
        <v>2</v>
      </c>
    </row>
    <row r="19" spans="1:26" s="9" customFormat="1" ht="39" customHeight="1" x14ac:dyDescent="0.2">
      <c r="A19" s="37"/>
      <c r="B19" s="37" t="s">
        <v>84</v>
      </c>
      <c r="C19" s="77" t="s">
        <v>40</v>
      </c>
      <c r="D19" s="78"/>
      <c r="E19" s="77"/>
      <c r="F19" s="79"/>
      <c r="G19" s="77"/>
      <c r="H19" s="79"/>
      <c r="I19" s="77">
        <v>2</v>
      </c>
      <c r="J19" s="79"/>
      <c r="K19" s="77">
        <v>0</v>
      </c>
      <c r="L19" s="79"/>
      <c r="M19" s="45">
        <v>0</v>
      </c>
    </row>
    <row r="20" spans="1:26" s="9" customFormat="1" ht="39" customHeight="1" x14ac:dyDescent="0.2">
      <c r="A20" s="7" t="s">
        <v>105</v>
      </c>
      <c r="B20" s="17" t="s">
        <v>39</v>
      </c>
      <c r="C20" s="77" t="s">
        <v>106</v>
      </c>
      <c r="D20" s="78"/>
      <c r="E20" s="77"/>
      <c r="F20" s="78"/>
      <c r="G20" s="77">
        <v>5</v>
      </c>
      <c r="H20" s="79"/>
      <c r="I20" s="77">
        <v>0</v>
      </c>
      <c r="J20" s="79"/>
      <c r="K20" s="77">
        <v>5</v>
      </c>
      <c r="L20" s="79"/>
      <c r="M20" s="8">
        <v>5</v>
      </c>
    </row>
    <row r="21" spans="1:26" s="9" customFormat="1" ht="39" customHeight="1" x14ac:dyDescent="0.2">
      <c r="A21" s="7"/>
      <c r="B21" s="18" t="s">
        <v>107</v>
      </c>
      <c r="C21" s="77" t="s">
        <v>106</v>
      </c>
      <c r="D21" s="78"/>
      <c r="E21" s="77"/>
      <c r="F21" s="78"/>
      <c r="G21" s="77"/>
      <c r="H21" s="79"/>
      <c r="I21" s="77">
        <v>1</v>
      </c>
      <c r="J21" s="79"/>
      <c r="K21" s="77">
        <v>4</v>
      </c>
      <c r="L21" s="79"/>
      <c r="M21" s="8">
        <v>4</v>
      </c>
    </row>
    <row r="22" spans="1:26" s="9" customFormat="1" ht="39" customHeight="1" x14ac:dyDescent="0.2">
      <c r="A22" s="7"/>
      <c r="B22" s="18" t="s">
        <v>108</v>
      </c>
      <c r="C22" s="77" t="s">
        <v>106</v>
      </c>
      <c r="D22" s="78"/>
      <c r="E22" s="77"/>
      <c r="F22" s="78"/>
      <c r="G22" s="77"/>
      <c r="H22" s="79"/>
      <c r="I22" s="77">
        <v>1</v>
      </c>
      <c r="J22" s="79"/>
      <c r="K22" s="77">
        <v>3</v>
      </c>
      <c r="L22" s="79"/>
      <c r="M22" s="8">
        <v>3</v>
      </c>
    </row>
    <row r="23" spans="1:26" s="9" customFormat="1" ht="39" customHeight="1" x14ac:dyDescent="0.2">
      <c r="A23" s="7"/>
      <c r="B23" s="18" t="s">
        <v>109</v>
      </c>
      <c r="C23" s="77" t="s">
        <v>106</v>
      </c>
      <c r="D23" s="78"/>
      <c r="E23" s="77"/>
      <c r="F23" s="78"/>
      <c r="G23" s="77"/>
      <c r="H23" s="79"/>
      <c r="I23" s="77">
        <v>1</v>
      </c>
      <c r="J23" s="79"/>
      <c r="K23" s="77">
        <v>2</v>
      </c>
      <c r="L23" s="79"/>
      <c r="M23" s="8">
        <v>2</v>
      </c>
      <c r="N23" s="46"/>
      <c r="O23" s="46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6"/>
    </row>
    <row r="24" spans="1:26" s="9" customFormat="1" ht="39" customHeight="1" x14ac:dyDescent="0.2">
      <c r="A24" s="7"/>
      <c r="B24" s="18" t="s">
        <v>113</v>
      </c>
      <c r="C24" s="77" t="s">
        <v>106</v>
      </c>
      <c r="D24" s="78"/>
      <c r="E24" s="77"/>
      <c r="F24" s="78"/>
      <c r="G24" s="77"/>
      <c r="H24" s="79"/>
      <c r="I24" s="77">
        <v>2</v>
      </c>
      <c r="J24" s="79"/>
      <c r="K24" s="77">
        <v>0</v>
      </c>
      <c r="L24" s="79"/>
      <c r="M24" s="48">
        <v>0</v>
      </c>
      <c r="N24" s="46"/>
      <c r="O24" s="46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6"/>
    </row>
    <row r="25" spans="1:26" s="1" customFormat="1" ht="75.75" customHeight="1" x14ac:dyDescent="0.25">
      <c r="A25" s="11"/>
      <c r="B25" s="11"/>
      <c r="D25" s="10"/>
      <c r="M25" s="11"/>
    </row>
    <row r="26" spans="1:26" s="1" customFormat="1" x14ac:dyDescent="0.25">
      <c r="D26" s="10"/>
    </row>
    <row r="27" spans="1:26" s="1" customFormat="1" x14ac:dyDescent="0.25">
      <c r="D27" s="10"/>
    </row>
  </sheetData>
  <mergeCells count="68">
    <mergeCell ref="C22:D22"/>
    <mergeCell ref="E22:F22"/>
    <mergeCell ref="G22:H22"/>
    <mergeCell ref="I22:J22"/>
    <mergeCell ref="K22:L22"/>
    <mergeCell ref="C19:D19"/>
    <mergeCell ref="E19:F19"/>
    <mergeCell ref="G19:H19"/>
    <mergeCell ref="I19:J19"/>
    <mergeCell ref="K19:L19"/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A12:A14"/>
    <mergeCell ref="B12:B14"/>
    <mergeCell ref="C12:D14"/>
    <mergeCell ref="E12:F14"/>
    <mergeCell ref="G12:H14"/>
    <mergeCell ref="I12:J14"/>
    <mergeCell ref="K12:L14"/>
    <mergeCell ref="M12:M14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C23:D23"/>
    <mergeCell ref="E23:F23"/>
    <mergeCell ref="G23:H23"/>
    <mergeCell ref="I23:J23"/>
    <mergeCell ref="K23:L23"/>
    <mergeCell ref="C24:D24"/>
    <mergeCell ref="E24:F24"/>
    <mergeCell ref="G24:H24"/>
    <mergeCell ref="I24:J24"/>
    <mergeCell ref="K24:L24"/>
  </mergeCells>
  <phoneticPr fontId="11" type="noConversion"/>
  <pageMargins left="0.7" right="0.7" top="0.75" bottom="0.75" header="0.3" footer="0.3"/>
  <pageSetup paperSize="9" scale="65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0"/>
  <sheetViews>
    <sheetView view="pageBreakPreview" topLeftCell="A3" zoomScale="112" zoomScaleNormal="100" zoomScaleSheetLayoutView="112" workbookViewId="0">
      <selection activeCell="P28" sqref="P28"/>
    </sheetView>
  </sheetViews>
  <sheetFormatPr defaultColWidth="8.7109375" defaultRowHeight="15" x14ac:dyDescent="0.25"/>
  <cols>
    <col min="1" max="1" width="27" style="25" customWidth="1"/>
    <col min="2" max="4" width="8.7109375" style="25"/>
    <col min="5" max="5" width="0.85546875" style="25" customWidth="1"/>
    <col min="6" max="10" width="8.7109375" style="25"/>
    <col min="11" max="11" width="5.85546875" style="25" customWidth="1"/>
    <col min="12" max="12" width="12" style="25" customWidth="1"/>
    <col min="13" max="16384" width="8.7109375" style="25"/>
  </cols>
  <sheetData>
    <row r="1" spans="1:12" s="20" customFormat="1" ht="52.5" customHeight="1" x14ac:dyDescent="0.25"/>
    <row r="2" spans="1:12" s="20" customFormat="1" ht="10.5" customHeight="1" x14ac:dyDescent="0.25">
      <c r="A2" s="111" t="s">
        <v>23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</row>
    <row r="3" spans="1:12" s="20" customFormat="1" ht="15.95" customHeight="1" x14ac:dyDescent="0.25">
      <c r="A3" s="111" t="s">
        <v>24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</row>
    <row r="4" spans="1:12" s="20" customFormat="1" ht="15.95" customHeight="1" x14ac:dyDescent="0.25">
      <c r="A4" s="111" t="s">
        <v>25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</row>
    <row r="5" spans="1:12" s="20" customFormat="1" ht="15.95" customHeight="1" x14ac:dyDescent="0.25">
      <c r="A5" s="111" t="s">
        <v>26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</row>
    <row r="6" spans="1:12" s="20" customFormat="1" ht="8.25" customHeight="1" x14ac:dyDescent="0.25"/>
    <row r="7" spans="1:12" s="20" customFormat="1" ht="12" customHeight="1" x14ac:dyDescent="0.25">
      <c r="A7" s="20" t="s">
        <v>46</v>
      </c>
      <c r="C7" s="21" t="s">
        <v>47</v>
      </c>
      <c r="D7" s="21"/>
      <c r="G7" s="21" t="s">
        <v>9</v>
      </c>
      <c r="H7" s="22"/>
    </row>
    <row r="8" spans="1:12" s="20" customFormat="1" ht="12" customHeight="1" x14ac:dyDescent="0.25">
      <c r="C8" s="23"/>
      <c r="G8" s="23"/>
      <c r="H8" s="23"/>
    </row>
    <row r="9" spans="1:12" s="20" customFormat="1" ht="12" customHeight="1" x14ac:dyDescent="0.25">
      <c r="A9" s="20" t="s">
        <v>48</v>
      </c>
      <c r="C9" s="21" t="s">
        <v>49</v>
      </c>
      <c r="D9" s="21"/>
      <c r="G9" s="21" t="s">
        <v>10</v>
      </c>
      <c r="H9" s="24"/>
    </row>
    <row r="10" spans="1:12" s="20" customFormat="1" ht="12" customHeight="1" x14ac:dyDescent="0.25">
      <c r="C10" s="21"/>
      <c r="D10" s="21"/>
      <c r="G10" s="21"/>
      <c r="H10" s="21"/>
    </row>
    <row r="11" spans="1:12" ht="16.5" customHeight="1" thickBot="1" x14ac:dyDescent="0.3">
      <c r="A11" s="112" t="s">
        <v>50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</row>
    <row r="12" spans="1:12" s="26" customFormat="1" ht="18.75" customHeight="1" x14ac:dyDescent="0.2">
      <c r="A12" s="104" t="s">
        <v>4</v>
      </c>
      <c r="B12" s="106" t="s">
        <v>5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08" t="s">
        <v>8</v>
      </c>
    </row>
    <row r="13" spans="1:12" s="26" customFormat="1" ht="24" customHeight="1" x14ac:dyDescent="0.2">
      <c r="A13" s="105"/>
      <c r="B13" s="102" t="s">
        <v>51</v>
      </c>
      <c r="C13" s="110"/>
      <c r="D13" s="110"/>
      <c r="E13" s="103"/>
      <c r="F13" s="102" t="s">
        <v>27</v>
      </c>
      <c r="G13" s="103"/>
      <c r="H13" s="102" t="s">
        <v>28</v>
      </c>
      <c r="I13" s="103"/>
      <c r="J13" s="102" t="s">
        <v>29</v>
      </c>
      <c r="K13" s="103"/>
      <c r="L13" s="109"/>
    </row>
    <row r="14" spans="1:12" s="26" customFormat="1" ht="24.95" hidden="1" customHeight="1" x14ac:dyDescent="0.2">
      <c r="A14" s="27" t="s">
        <v>52</v>
      </c>
      <c r="B14" s="98" t="s">
        <v>53</v>
      </c>
      <c r="C14" s="99"/>
      <c r="D14" s="99"/>
      <c r="E14" s="100"/>
      <c r="F14" s="98">
        <v>1</v>
      </c>
      <c r="G14" s="100"/>
      <c r="H14" s="98">
        <v>0</v>
      </c>
      <c r="I14" s="100"/>
      <c r="J14" s="98">
        <v>1</v>
      </c>
      <c r="K14" s="100"/>
      <c r="L14" s="28">
        <v>1</v>
      </c>
    </row>
    <row r="15" spans="1:12" s="29" customFormat="1" ht="25.5" hidden="1" customHeight="1" x14ac:dyDescent="0.2">
      <c r="A15" s="27" t="s">
        <v>59</v>
      </c>
      <c r="B15" s="98" t="s">
        <v>53</v>
      </c>
      <c r="C15" s="99"/>
      <c r="D15" s="99"/>
      <c r="E15" s="100"/>
      <c r="F15" s="98"/>
      <c r="G15" s="100"/>
      <c r="H15" s="98">
        <v>1</v>
      </c>
      <c r="I15" s="100"/>
      <c r="J15" s="98">
        <v>0</v>
      </c>
      <c r="K15" s="100"/>
      <c r="L15" s="39">
        <v>0</v>
      </c>
    </row>
    <row r="16" spans="1:12" s="29" customFormat="1" ht="25.5" hidden="1" customHeight="1" x14ac:dyDescent="0.2">
      <c r="A16" s="27" t="s">
        <v>77</v>
      </c>
      <c r="B16" s="98" t="s">
        <v>78</v>
      </c>
      <c r="C16" s="99"/>
      <c r="D16" s="99"/>
      <c r="E16" s="100"/>
      <c r="F16" s="98">
        <v>1</v>
      </c>
      <c r="G16" s="100"/>
      <c r="H16" s="98">
        <v>0</v>
      </c>
      <c r="I16" s="100"/>
      <c r="J16" s="98">
        <v>1</v>
      </c>
      <c r="K16" s="100"/>
      <c r="L16" s="28">
        <v>1</v>
      </c>
    </row>
    <row r="17" spans="1:12" s="29" customFormat="1" ht="25.5" hidden="1" customHeight="1" x14ac:dyDescent="0.2">
      <c r="A17" s="27" t="s">
        <v>76</v>
      </c>
      <c r="B17" s="98" t="s">
        <v>78</v>
      </c>
      <c r="C17" s="99"/>
      <c r="D17" s="99"/>
      <c r="E17" s="100"/>
      <c r="F17" s="98"/>
      <c r="G17" s="100"/>
      <c r="H17" s="98">
        <v>1</v>
      </c>
      <c r="I17" s="100"/>
      <c r="J17" s="98">
        <v>0</v>
      </c>
      <c r="K17" s="100"/>
      <c r="L17" s="39">
        <v>0</v>
      </c>
    </row>
    <row r="18" spans="1:12" s="29" customFormat="1" ht="25.5" hidden="1" customHeight="1" x14ac:dyDescent="0.2">
      <c r="A18" s="27" t="s">
        <v>95</v>
      </c>
      <c r="B18" s="98" t="s">
        <v>96</v>
      </c>
      <c r="C18" s="99"/>
      <c r="D18" s="99"/>
      <c r="E18" s="100"/>
      <c r="F18" s="98">
        <v>1</v>
      </c>
      <c r="G18" s="100"/>
      <c r="H18" s="98">
        <v>0</v>
      </c>
      <c r="I18" s="100"/>
      <c r="J18" s="98">
        <v>1</v>
      </c>
      <c r="K18" s="100"/>
      <c r="L18" s="28">
        <v>1</v>
      </c>
    </row>
    <row r="19" spans="1:12" s="29" customFormat="1" ht="25.5" hidden="1" customHeight="1" x14ac:dyDescent="0.2">
      <c r="A19" s="27" t="s">
        <v>97</v>
      </c>
      <c r="B19" s="98" t="s">
        <v>96</v>
      </c>
      <c r="C19" s="99"/>
      <c r="D19" s="99"/>
      <c r="E19" s="100"/>
      <c r="F19" s="98"/>
      <c r="G19" s="100"/>
      <c r="H19" s="98">
        <v>1</v>
      </c>
      <c r="I19" s="100"/>
      <c r="J19" s="98">
        <v>0</v>
      </c>
      <c r="K19" s="100"/>
      <c r="L19" s="39">
        <v>0</v>
      </c>
    </row>
    <row r="20" spans="1:12" s="29" customFormat="1" ht="25.5" customHeight="1" x14ac:dyDescent="0.2">
      <c r="A20" s="27" t="s">
        <v>122</v>
      </c>
      <c r="B20" s="98" t="s">
        <v>123</v>
      </c>
      <c r="C20" s="99"/>
      <c r="D20" s="99"/>
      <c r="E20" s="100"/>
      <c r="F20" s="98">
        <v>1</v>
      </c>
      <c r="G20" s="100"/>
      <c r="H20" s="98">
        <v>0</v>
      </c>
      <c r="I20" s="100"/>
      <c r="J20" s="98">
        <v>1</v>
      </c>
      <c r="K20" s="100"/>
      <c r="L20" s="28">
        <v>1</v>
      </c>
    </row>
    <row r="21" spans="1:12" s="29" customFormat="1" ht="25.5" customHeight="1" x14ac:dyDescent="0.2">
      <c r="A21" s="27" t="s">
        <v>124</v>
      </c>
      <c r="B21" s="98" t="s">
        <v>123</v>
      </c>
      <c r="C21" s="99"/>
      <c r="D21" s="99"/>
      <c r="E21" s="100"/>
      <c r="F21" s="98"/>
      <c r="G21" s="100"/>
      <c r="H21" s="98">
        <v>1</v>
      </c>
      <c r="I21" s="100"/>
      <c r="J21" s="98">
        <v>0</v>
      </c>
      <c r="K21" s="100"/>
      <c r="L21" s="39">
        <v>0</v>
      </c>
    </row>
    <row r="22" spans="1:12" s="29" customFormat="1" ht="34.5" customHeight="1" x14ac:dyDescent="0.2">
      <c r="A22" s="49" t="s">
        <v>134</v>
      </c>
      <c r="B22" s="98" t="s">
        <v>135</v>
      </c>
      <c r="C22" s="99"/>
      <c r="D22" s="99"/>
      <c r="E22" s="100"/>
      <c r="F22" s="98" t="s">
        <v>136</v>
      </c>
      <c r="G22" s="100"/>
      <c r="H22" s="98">
        <v>0</v>
      </c>
      <c r="I22" s="100"/>
      <c r="J22" s="98" t="s">
        <v>136</v>
      </c>
      <c r="K22" s="100"/>
      <c r="L22" s="50" t="s">
        <v>136</v>
      </c>
    </row>
    <row r="23" spans="1:12" s="29" customFormat="1" ht="34.5" customHeight="1" x14ac:dyDescent="0.2">
      <c r="A23" s="49" t="s">
        <v>137</v>
      </c>
      <c r="B23" s="98" t="s">
        <v>135</v>
      </c>
      <c r="C23" s="99"/>
      <c r="D23" s="99"/>
      <c r="E23" s="100"/>
      <c r="F23" s="98"/>
      <c r="G23" s="100"/>
      <c r="H23" s="98">
        <v>1</v>
      </c>
      <c r="I23" s="100"/>
      <c r="J23" s="98" t="s">
        <v>138</v>
      </c>
      <c r="K23" s="100"/>
      <c r="L23" s="51" t="s">
        <v>138</v>
      </c>
    </row>
    <row r="24" spans="1:12" s="29" customFormat="1" x14ac:dyDescent="0.2">
      <c r="A24" s="30" t="s">
        <v>54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2"/>
    </row>
    <row r="25" spans="1:12" ht="18.95" customHeight="1" x14ac:dyDescent="0.25">
      <c r="A25" s="101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</row>
    <row r="26" spans="1:12" s="20" customFormat="1" x14ac:dyDescent="0.25">
      <c r="C26" s="33"/>
      <c r="I26" s="20" t="s">
        <v>55</v>
      </c>
    </row>
    <row r="27" spans="1:12" s="20" customFormat="1" x14ac:dyDescent="0.25">
      <c r="C27" s="33"/>
    </row>
    <row r="28" spans="1:12" x14ac:dyDescent="0.25">
      <c r="I28" s="113" t="s">
        <v>56</v>
      </c>
      <c r="J28" s="113"/>
      <c r="K28" s="113"/>
    </row>
    <row r="29" spans="1:12" x14ac:dyDescent="0.25">
      <c r="I29" s="114" t="s">
        <v>57</v>
      </c>
      <c r="J29" s="114"/>
      <c r="K29" s="114"/>
    </row>
    <row r="30" spans="1:12" x14ac:dyDescent="0.25">
      <c r="I30" s="115" t="s">
        <v>58</v>
      </c>
      <c r="J30" s="115"/>
      <c r="K30" s="115"/>
    </row>
  </sheetData>
  <mergeCells count="56">
    <mergeCell ref="B22:E22"/>
    <mergeCell ref="F22:G22"/>
    <mergeCell ref="H22:I22"/>
    <mergeCell ref="J22:K22"/>
    <mergeCell ref="B23:E23"/>
    <mergeCell ref="F23:G23"/>
    <mergeCell ref="H23:I23"/>
    <mergeCell ref="J23:K23"/>
    <mergeCell ref="I28:K28"/>
    <mergeCell ref="I29:K29"/>
    <mergeCell ref="I30:K30"/>
    <mergeCell ref="H20:I20"/>
    <mergeCell ref="J20:K20"/>
    <mergeCell ref="B21:E21"/>
    <mergeCell ref="F21:G21"/>
    <mergeCell ref="H21:I21"/>
    <mergeCell ref="J21:K21"/>
    <mergeCell ref="J18:K18"/>
    <mergeCell ref="B19:E19"/>
    <mergeCell ref="F19:G19"/>
    <mergeCell ref="H19:I19"/>
    <mergeCell ref="J19:K19"/>
    <mergeCell ref="B20:E20"/>
    <mergeCell ref="F20:G20"/>
    <mergeCell ref="A2:L2"/>
    <mergeCell ref="A3:L3"/>
    <mergeCell ref="A4:L4"/>
    <mergeCell ref="A5:L5"/>
    <mergeCell ref="A11:L11"/>
    <mergeCell ref="J15:K15"/>
    <mergeCell ref="A25:L25"/>
    <mergeCell ref="H13:I13"/>
    <mergeCell ref="J13:K13"/>
    <mergeCell ref="B14:E14"/>
    <mergeCell ref="F14:G14"/>
    <mergeCell ref="H14:I14"/>
    <mergeCell ref="J14:K14"/>
    <mergeCell ref="A12:A13"/>
    <mergeCell ref="B12:K12"/>
    <mergeCell ref="L12:L13"/>
    <mergeCell ref="B13:E13"/>
    <mergeCell ref="F13:G13"/>
    <mergeCell ref="J16:K16"/>
    <mergeCell ref="J17:K17"/>
    <mergeCell ref="B15:E15"/>
    <mergeCell ref="F15:G15"/>
    <mergeCell ref="H15:I15"/>
    <mergeCell ref="B16:E16"/>
    <mergeCell ref="F16:G16"/>
    <mergeCell ref="H16:I16"/>
    <mergeCell ref="B17:E17"/>
    <mergeCell ref="F17:G17"/>
    <mergeCell ref="H17:I17"/>
    <mergeCell ref="B18:E18"/>
    <mergeCell ref="F18:G18"/>
    <mergeCell ref="H18:I18"/>
  </mergeCells>
  <phoneticPr fontId="11" type="noConversion"/>
  <pageMargins left="0.7" right="0.7" top="0.75" bottom="0.75" header="0.3" footer="0.3"/>
  <pageSetup paperSize="9" scale="76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Leave Card (NE)</vt:lpstr>
      <vt:lpstr>ELECTION</vt:lpstr>
      <vt:lpstr>CTO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2025-12-03T06:51:41Z</cp:lastPrinted>
  <dcterms:created xsi:type="dcterms:W3CDTF">2021-10-07T06:10:16Z</dcterms:created>
  <dcterms:modified xsi:type="dcterms:W3CDTF">2025-12-03T06:52:51Z</dcterms:modified>
</cp:coreProperties>
</file>