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/>
  <xr:revisionPtr revIDLastSave="3" documentId="11_9EE9E902220109BC4649CC8D1BC3309BB193F53F" xr6:coauthVersionLast="47" xr6:coauthVersionMax="47" xr10:uidLastSave="{8C081BF9-F943-459A-AD99-E7095CBCCDA3}"/>
  <bookViews>
    <workbookView xWindow="0" yWindow="0" windowWidth="22188" windowHeight="9000" xr2:uid="{00000000-000D-0000-FFFF-FFFF00000000}"/>
  </bookViews>
  <sheets>
    <sheet name="Leave Card (NE)" sheetId="6" r:id="rId1"/>
    <sheet name="CTO" sheetId="7" r:id="rId2"/>
  </sheets>
  <definedNames>
    <definedName name="_xlnm.Print_Area" localSheetId="0">'Leave Card (NE)'!$A$1:$J$98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1" i="6" l="1"/>
  <c r="I91" i="6"/>
  <c r="J91" i="6"/>
  <c r="J90" i="6"/>
  <c r="I90" i="6"/>
  <c r="H90" i="6"/>
  <c r="J89" i="6"/>
  <c r="I89" i="6"/>
  <c r="H89" i="6"/>
  <c r="J88" i="6"/>
  <c r="I88" i="6"/>
  <c r="H88" i="6"/>
  <c r="J87" i="6"/>
  <c r="I87" i="6"/>
  <c r="H87" i="6"/>
  <c r="J86" i="6"/>
  <c r="I86" i="6"/>
  <c r="H86" i="6"/>
  <c r="J85" i="6"/>
  <c r="I85" i="6"/>
  <c r="H85" i="6"/>
  <c r="J84" i="6"/>
  <c r="I84" i="6"/>
  <c r="H84" i="6"/>
  <c r="J83" i="6"/>
  <c r="I83" i="6"/>
  <c r="H83" i="6"/>
  <c r="J82" i="6"/>
  <c r="I82" i="6"/>
  <c r="H82" i="6"/>
  <c r="J81" i="6"/>
  <c r="I81" i="6"/>
  <c r="H81" i="6"/>
  <c r="J80" i="6"/>
  <c r="I80" i="6"/>
  <c r="H80" i="6"/>
  <c r="J79" i="6"/>
  <c r="I79" i="6"/>
  <c r="H79" i="6"/>
  <c r="J78" i="6"/>
  <c r="I78" i="6"/>
  <c r="H78" i="6"/>
  <c r="J77" i="6"/>
  <c r="I77" i="6"/>
  <c r="H77" i="6"/>
  <c r="J76" i="6"/>
  <c r="I76" i="6"/>
  <c r="H76" i="6"/>
  <c r="J75" i="6"/>
  <c r="I75" i="6"/>
  <c r="H75" i="6"/>
  <c r="J74" i="6"/>
  <c r="I74" i="6"/>
  <c r="H74" i="6"/>
  <c r="J73" i="6"/>
  <c r="I73" i="6"/>
  <c r="H73" i="6"/>
  <c r="J72" i="6"/>
  <c r="I72" i="6"/>
  <c r="H72" i="6"/>
  <c r="J71" i="6"/>
  <c r="I71" i="6"/>
  <c r="H71" i="6"/>
  <c r="J70" i="6"/>
  <c r="I70" i="6"/>
  <c r="H70" i="6"/>
  <c r="J69" i="6"/>
  <c r="I69" i="6"/>
  <c r="H69" i="6"/>
  <c r="J68" i="6"/>
  <c r="I68" i="6"/>
  <c r="H68" i="6"/>
  <c r="J67" i="6"/>
  <c r="I67" i="6"/>
  <c r="H67" i="6"/>
  <c r="J66" i="6"/>
  <c r="I66" i="6"/>
  <c r="H66" i="6"/>
  <c r="J65" i="6"/>
  <c r="I65" i="6"/>
  <c r="H65" i="6"/>
  <c r="J64" i="6"/>
  <c r="I64" i="6"/>
  <c r="H64" i="6"/>
  <c r="J63" i="6"/>
  <c r="I63" i="6"/>
  <c r="H63" i="6"/>
  <c r="J62" i="6"/>
  <c r="I62" i="6"/>
  <c r="H62" i="6"/>
  <c r="J61" i="6"/>
  <c r="I61" i="6"/>
  <c r="H61" i="6"/>
  <c r="J60" i="6"/>
  <c r="I60" i="6"/>
  <c r="H60" i="6"/>
  <c r="J59" i="6"/>
  <c r="I59" i="6"/>
  <c r="H59" i="6"/>
  <c r="J58" i="6"/>
  <c r="I58" i="6"/>
  <c r="H58" i="6"/>
  <c r="B58" i="6"/>
  <c r="J57" i="6"/>
  <c r="I57" i="6"/>
  <c r="H57" i="6"/>
  <c r="J56" i="6"/>
  <c r="I56" i="6"/>
  <c r="H56" i="6"/>
  <c r="J55" i="6"/>
  <c r="I55" i="6"/>
  <c r="H55" i="6"/>
  <c r="J54" i="6"/>
  <c r="I54" i="6"/>
  <c r="H54" i="6"/>
  <c r="J53" i="6"/>
  <c r="I53" i="6"/>
  <c r="H53" i="6"/>
  <c r="J52" i="6"/>
  <c r="I52" i="6"/>
  <c r="H52" i="6"/>
  <c r="J51" i="6"/>
  <c r="I51" i="6"/>
  <c r="H51" i="6"/>
  <c r="J50" i="6"/>
  <c r="I50" i="6"/>
  <c r="H50" i="6"/>
  <c r="J49" i="6"/>
  <c r="I49" i="6"/>
  <c r="H49" i="6"/>
  <c r="J48" i="6"/>
  <c r="I48" i="6"/>
  <c r="H48" i="6"/>
  <c r="J47" i="6"/>
  <c r="I47" i="6"/>
  <c r="H47" i="6"/>
  <c r="J46" i="6"/>
  <c r="I46" i="6"/>
  <c r="H46" i="6"/>
  <c r="J45" i="6"/>
  <c r="I45" i="6"/>
  <c r="H45" i="6"/>
  <c r="J44" i="6"/>
  <c r="I44" i="6"/>
  <c r="H44" i="6"/>
  <c r="J43" i="6"/>
  <c r="I43" i="6"/>
  <c r="H43" i="6"/>
  <c r="J42" i="6"/>
  <c r="I42" i="6"/>
  <c r="H42" i="6"/>
  <c r="J41" i="6"/>
  <c r="I41" i="6"/>
  <c r="H41" i="6"/>
  <c r="J40" i="6"/>
  <c r="I40" i="6"/>
  <c r="H40" i="6"/>
  <c r="J39" i="6"/>
  <c r="I39" i="6"/>
  <c r="H39" i="6"/>
  <c r="J38" i="6"/>
  <c r="I38" i="6"/>
  <c r="H38" i="6"/>
  <c r="J37" i="6"/>
  <c r="I37" i="6"/>
  <c r="H37" i="6"/>
  <c r="J36" i="6"/>
  <c r="I36" i="6"/>
  <c r="H36" i="6"/>
  <c r="J35" i="6"/>
  <c r="I35" i="6"/>
  <c r="H35" i="6"/>
  <c r="J34" i="6"/>
  <c r="I34" i="6"/>
  <c r="H34" i="6"/>
  <c r="J33" i="6"/>
  <c r="I33" i="6"/>
  <c r="H33" i="6"/>
  <c r="J32" i="6"/>
  <c r="I32" i="6"/>
  <c r="H32" i="6"/>
  <c r="J31" i="6"/>
  <c r="I31" i="6"/>
  <c r="H31" i="6"/>
  <c r="J30" i="6"/>
  <c r="I30" i="6"/>
  <c r="H30" i="6"/>
  <c r="J29" i="6"/>
  <c r="I29" i="6"/>
  <c r="H29" i="6"/>
  <c r="J28" i="6"/>
  <c r="I28" i="6"/>
  <c r="H28" i="6"/>
  <c r="J27" i="6"/>
  <c r="I27" i="6"/>
  <c r="H27" i="6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J18" i="6"/>
  <c r="I18" i="6"/>
  <c r="H18" i="6"/>
  <c r="J17" i="6"/>
  <c r="I17" i="6"/>
  <c r="H17" i="6"/>
  <c r="J16" i="6"/>
  <c r="I16" i="6"/>
  <c r="H16" i="6"/>
  <c r="B16" i="6"/>
  <c r="J15" i="6"/>
  <c r="I15" i="6"/>
  <c r="H15" i="6"/>
  <c r="B15" i="6"/>
  <c r="J14" i="6"/>
  <c r="I14" i="6"/>
  <c r="H14" i="6"/>
</calcChain>
</file>

<file path=xl/sharedStrings.xml><?xml version="1.0" encoding="utf-8"?>
<sst xmlns="http://schemas.openxmlformats.org/spreadsheetml/2006/main" count="134" uniqueCount="115">
  <si>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</si>
  <si>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</si>
  <si>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</si>
  <si>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</si>
  <si>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</si>
  <si>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____________________________</t>
  </si>
  <si>
    <t>EMP. NO  :</t>
  </si>
  <si>
    <t>POSITION: __________________________</t>
  </si>
  <si>
    <r>
      <rPr>
        <b/>
        <sz val="11"/>
        <color theme="1"/>
        <rFont val="Calibri"/>
        <charset val="134"/>
        <scheme val="minor"/>
      </rPr>
      <t xml:space="preserve">SCHOOL/OFFICE: </t>
    </r>
    <r>
      <rPr>
        <u/>
        <sz val="11"/>
        <color theme="1"/>
        <rFont val="Calibri"/>
        <charset val="134"/>
        <scheme val="minor"/>
      </rPr>
      <t>CID</t>
    </r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</si>
  <si>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</si>
  <si>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</si>
  <si>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</si>
  <si>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</si>
  <si>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</si>
  <si>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</si>
  <si>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</si>
  <si>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</si>
  <si>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</si>
  <si>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</si>
  <si>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</si>
  <si>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 LEAVE</t>
  </si>
  <si>
    <t>ADD: 06/16/20 - 06/30/20</t>
  </si>
  <si>
    <t>ADD: 07/01/20 - 12/31/20</t>
  </si>
  <si>
    <t>ADD: 01/01/21 - 9/30/21</t>
  </si>
  <si>
    <t>LESS: MONETIZATION 2021</t>
  </si>
  <si>
    <t>ADD: 10/01/21 - 12/31/21</t>
  </si>
  <si>
    <t>LESS: 12/15,16,17, 29 &amp; 31/21</t>
  </si>
  <si>
    <t>LESS: 1/21/2022</t>
  </si>
  <si>
    <t>ADD: 01/01/22 - 01/31/22</t>
  </si>
  <si>
    <t>LESS: 02/17/22</t>
  </si>
  <si>
    <t>ADD: 02/01/22 - 03/31/22</t>
  </si>
  <si>
    <t>LESS: 04/08/22</t>
  </si>
  <si>
    <t>ADD: 04/01/22 - 04/30/22</t>
  </si>
  <si>
    <t>LESS: 05/20/22</t>
  </si>
  <si>
    <t>ADD: 05/01/22 - 05/31/22</t>
  </si>
  <si>
    <t>LESS: 06/03/22</t>
  </si>
  <si>
    <t>LESS: 06/17/22</t>
  </si>
  <si>
    <t>ADD: 06/01/22 - 06/30/22</t>
  </si>
  <si>
    <t>LESS: 07/01/22</t>
  </si>
  <si>
    <t>ADD: 07/01/22 - 07/31/22</t>
  </si>
  <si>
    <t>LESS: 08/01/22</t>
  </si>
  <si>
    <t>LESS: 08/25/22</t>
  </si>
  <si>
    <t>ADD: 08/01/22 - 08/31/22</t>
  </si>
  <si>
    <t>LESS: 09/01/22</t>
  </si>
  <si>
    <t>LESS: MONETIZATION 2022</t>
  </si>
  <si>
    <t>LESS: 09/14/22</t>
  </si>
  <si>
    <t>ADD: 09/01/22 - 12/31/22</t>
  </si>
  <si>
    <t>LESS: 01/11/23</t>
  </si>
  <si>
    <t>LESS: 01/06/23</t>
  </si>
  <si>
    <t>LESS: 01/12 &amp; 13/ 23</t>
  </si>
  <si>
    <t>LESS: 01/19/23</t>
  </si>
  <si>
    <t>LESS: 01/26/23</t>
  </si>
  <si>
    <t>ADD: 01/01/23 - 03/31/23</t>
  </si>
  <si>
    <t>LESS: 04/19 &amp; 20/23</t>
  </si>
  <si>
    <t>ADD: 04/01/23-05/31/23</t>
  </si>
  <si>
    <t>LESS: 05/31/2023</t>
  </si>
  <si>
    <t>LESS: 06/13/2023</t>
  </si>
  <si>
    <t>LESS: 06/21/2023</t>
  </si>
  <si>
    <t>ADD: 06/01/23-06/30/23</t>
  </si>
  <si>
    <t>LESS: 06/30/23</t>
  </si>
  <si>
    <t>LESS: 07/04/23</t>
  </si>
  <si>
    <t>LESS: 07/13/23</t>
  </si>
  <si>
    <t>LESS: 07/27 &amp; 28/23</t>
  </si>
  <si>
    <t>ADD: 07/01/23-08/31/23</t>
  </si>
  <si>
    <t>LESS: MONETIZATION 2023</t>
  </si>
  <si>
    <t>ADD: 09/01/2023-12/31/2023</t>
  </si>
  <si>
    <t>LESS: 12/29/2023</t>
  </si>
  <si>
    <t>ADD: 01/31-03/31/2024</t>
  </si>
  <si>
    <t>LESS: 01/10-11/2024</t>
  </si>
  <si>
    <t>LESS: 02/28/2024</t>
  </si>
  <si>
    <t>ADD: APRIL-JULY 31, 2024</t>
  </si>
  <si>
    <t>LESS: MONETIZATION 2024</t>
  </si>
  <si>
    <t>ADD: 08/1-31/2024</t>
  </si>
  <si>
    <t>LESS: 09/13/2024</t>
  </si>
  <si>
    <t>ADD: 09/1-30/2024</t>
  </si>
  <si>
    <t>LESS: 10/07/2024</t>
  </si>
  <si>
    <t>ADD: 10/1-31/2024</t>
  </si>
  <si>
    <t>LESS: 11/7/2024</t>
  </si>
  <si>
    <t>ADD: 11/1-30/2024</t>
  </si>
  <si>
    <t>LESS: 12/23, 26, 27/2024</t>
  </si>
  <si>
    <t>ADD: 12/1-31/2024</t>
  </si>
  <si>
    <t>LESS: 01/22-23/2025</t>
  </si>
  <si>
    <t>ADD: 01/1/2025-02/28/2025</t>
  </si>
  <si>
    <t>LESS: 03/24/2025</t>
  </si>
  <si>
    <t>ADD: 03/1-31/2025</t>
  </si>
  <si>
    <t>LESS: 04/29/2025</t>
  </si>
  <si>
    <t>ADD: 04/1-30/2025</t>
  </si>
  <si>
    <t>LESS: 05/2/2025</t>
  </si>
  <si>
    <t>LESS: 05/22/2025</t>
  </si>
  <si>
    <t>ADD: 05/1/2025-06/30/2025</t>
  </si>
  <si>
    <t>LESS:  MONETIZATION 2025 (19 DAYS)</t>
  </si>
  <si>
    <t>ADD: 07/1/2025-08/31/2025</t>
  </si>
  <si>
    <t>LESS: 09/19/2025</t>
  </si>
  <si>
    <t>ADD: 09/1/2025-10/31/2025</t>
  </si>
  <si>
    <t>LESS: 11/14/2025</t>
  </si>
  <si>
    <t>LESS: 12/1-2/2025</t>
  </si>
  <si>
    <t>LESS: 11/27-28/2025</t>
  </si>
  <si>
    <t>ADD: 11/1-30/2025</t>
  </si>
  <si>
    <t>ADD: 12/1-2/2025 EXIGENCY OF SERVICE</t>
  </si>
  <si>
    <t>Certified Correct:</t>
  </si>
  <si>
    <t>MA. LUISA B. CATIGAN</t>
  </si>
  <si>
    <t>Administrative Officer IV</t>
  </si>
  <si>
    <t xml:space="preserve">              HRMO</t>
  </si>
  <si>
    <t>DISTRICT: ___________________________</t>
  </si>
  <si>
    <t>SCHOOL/OFFICE:_____________________</t>
  </si>
  <si>
    <t>COMPENSATORY TIME OFF (CTO)</t>
  </si>
  <si>
    <t>Special Order No. and Date Issued</t>
  </si>
  <si>
    <t>No. of Days Granted</t>
  </si>
  <si>
    <t>No. of Days Used</t>
  </si>
  <si>
    <t>Balance</t>
  </si>
  <si>
    <t>ADD: JULY 13, 2022</t>
  </si>
  <si>
    <t>S.O. # 052, S. 2022. 124TH PHILIPPINE INDEPENDENCE DAY CELEBRATION</t>
  </si>
  <si>
    <t>LESS: AUGUST 11, 2022</t>
  </si>
  <si>
    <t>NOTE:  Valid for one (1) year only</t>
  </si>
  <si>
    <t>HRMO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</si>
</sst>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2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3" fillId="2" borderId="1" xfId="0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 wrapText="1"/>
    </xf>
    <xf numFmtId="0" fontId="6" fillId="2" borderId="7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7" fillId="0" borderId="0" xfId="0" applyFont="1"/>
    <xf numFmtId="0" fontId="3" fillId="2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168" fontId="8" fillId="2" borderId="15" xfId="0" applyNumberFormat="1" applyFont="1" applyFill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68" fontId="0" fillId="2" borderId="15" xfId="0" applyNumberFormat="1" applyFill="1" applyBorder="1" applyAlignment="1">
      <alignment horizontal="center" vertical="center"/>
    </xf>
    <xf numFmtId="168" fontId="3" fillId="2" borderId="15" xfId="0" applyNumberFormat="1" applyFont="1" applyFill="1" applyBorder="1" applyAlignment="1">
      <alignment horizontal="center" vertical="center" wrapText="1"/>
    </xf>
    <xf numFmtId="168" fontId="0" fillId="2" borderId="15" xfId="0" applyNumberFormat="1" applyFill="1" applyBorder="1" applyAlignment="1">
      <alignment horizontal="center" vertical="center" wrapText="1"/>
    </xf>
    <xf numFmtId="168" fontId="0" fillId="0" borderId="15" xfId="0" applyNumberFormat="1" applyBorder="1" applyAlignment="1">
      <alignment horizontal="center" vertical="center"/>
    </xf>
    <xf numFmtId="168" fontId="0" fillId="0" borderId="15" xfId="0" applyNumberFormat="1" applyBorder="1"/>
    <xf numFmtId="168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68" fontId="8" fillId="0" borderId="15" xfId="0" applyNumberFormat="1" applyFont="1" applyBorder="1" applyAlignment="1">
      <alignment horizontal="center" vertical="center"/>
    </xf>
    <xf numFmtId="168" fontId="0" fillId="8" borderId="15" xfId="0" applyNumberFormat="1" applyFill="1" applyBorder="1" applyAlignment="1">
      <alignment horizontal="center"/>
    </xf>
    <xf numFmtId="168" fontId="0" fillId="0" borderId="0" xfId="0" applyNumberFormat="1"/>
    <xf numFmtId="168" fontId="8" fillId="2" borderId="0" xfId="0" applyNumberFormat="1" applyFont="1" applyFill="1" applyAlignment="1">
      <alignment horizontal="center" vertical="center"/>
    </xf>
    <xf numFmtId="0" fontId="10" fillId="2" borderId="0" xfId="0" applyFont="1" applyFill="1"/>
    <xf numFmtId="168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3" fillId="12" borderId="1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168" fontId="0" fillId="11" borderId="15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165101</xdr:colOff>
      <xdr:row>0</xdr:row>
      <xdr:rowOff>44449</xdr:rowOff>
    </xdr:from>
    <xdr:to>
      <xdr:col>4</xdr:col>
      <xdr:colOff>69851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85640" y="43815"/>
          <a:ext cx="698500" cy="62293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73405" y="1376045"/>
          <a:ext cx="200914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BORRES, RUTH A.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16585" y="1725930"/>
          <a:ext cx="2008505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471836</xdr:colOff>
      <xdr:row>0</xdr:row>
      <xdr:rowOff>39625</xdr:rowOff>
    </xdr:from>
    <xdr:to>
      <xdr:col>4</xdr:col>
      <xdr:colOff>590102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16070" y="39370"/>
          <a:ext cx="735330" cy="62738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73405" y="1376045"/>
          <a:ext cx="245364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BORRES, RUTH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782333</xdr:colOff>
      <xdr:row>7</xdr:row>
      <xdr:rowOff>19051</xdr:rowOff>
    </xdr:from>
    <xdr:to>
      <xdr:col>0</xdr:col>
      <xdr:colOff>1849132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782320" y="1684020"/>
          <a:ext cx="10668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SEPS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170680" y="1706880"/>
          <a:ext cx="117094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49"/>
  <sheetViews>
    <sheetView tabSelected="1" view="pageBreakPreview" topLeftCell="A75" zoomScaleNormal="100" workbookViewId="0">
      <selection activeCell="K97" sqref="K97"/>
    </sheetView>
  </sheetViews>
  <sheetFormatPr defaultColWidth="9" defaultRowHeight="14.45"/>
  <cols>
    <col min="1" max="1" width="39.875" customWidth="1"/>
    <col min="2" max="10" width="11.625" customWidth="1"/>
    <col min="11" max="11" width="26.375" style="17" customWidth="1"/>
  </cols>
  <sheetData>
    <row r="1" spans="1:11" s="1" customFormat="1" ht="52.5" customHeight="1"/>
    <row r="2" spans="1:11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</row>
    <row r="3" spans="1:11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</row>
    <row r="4" spans="1:11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</row>
    <row r="5" spans="1:11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</row>
    <row r="6" spans="1:11" s="1" customFormat="1" ht="8.25" customHeight="1"/>
    <row r="7" spans="1:11" s="1" customFormat="1" ht="12" customHeight="1">
      <c r="A7" s="1" t="s">
        <v>4</v>
      </c>
      <c r="B7" s="4" t="s">
        <v>5</v>
      </c>
      <c r="C7" s="4"/>
      <c r="G7" s="4" t="s">
        <v>6</v>
      </c>
      <c r="H7" s="5"/>
      <c r="I7" s="4"/>
    </row>
    <row r="8" spans="1:11" s="1" customFormat="1" ht="12" customHeight="1">
      <c r="B8" s="6"/>
      <c r="C8" s="6"/>
      <c r="G8" s="6"/>
      <c r="H8" s="6"/>
      <c r="I8" s="6"/>
    </row>
    <row r="9" spans="1:11" s="1" customFormat="1" ht="12" customHeight="1">
      <c r="A9" s="1" t="s">
        <v>7</v>
      </c>
      <c r="B9" s="4" t="s">
        <v>8</v>
      </c>
      <c r="C9" s="4"/>
      <c r="G9" s="4" t="s">
        <v>9</v>
      </c>
      <c r="H9" s="7"/>
      <c r="I9" s="4"/>
    </row>
    <row r="10" spans="1:11" s="1" customFormat="1" ht="12" customHeight="1">
      <c r="B10" s="4"/>
      <c r="C10" s="4"/>
      <c r="G10" s="4"/>
      <c r="H10" s="4"/>
      <c r="I10" s="4"/>
    </row>
    <row r="11" spans="1:11" ht="16.5" customHeight="1">
      <c r="A11" s="37" t="s">
        <v>10</v>
      </c>
      <c r="B11" s="37"/>
      <c r="C11" s="37"/>
      <c r="D11" s="37"/>
      <c r="E11" s="37"/>
      <c r="F11" s="37"/>
      <c r="G11" s="37"/>
      <c r="H11" s="37"/>
      <c r="I11" s="37"/>
      <c r="J11" s="37"/>
      <c r="K11"/>
    </row>
    <row r="12" spans="1:11" ht="18.75" customHeight="1">
      <c r="A12" s="38" t="s">
        <v>11</v>
      </c>
      <c r="B12" s="59" t="s">
        <v>12</v>
      </c>
      <c r="C12" s="59"/>
      <c r="D12" s="60" t="s">
        <v>13</v>
      </c>
      <c r="E12" s="61"/>
      <c r="F12" s="61"/>
      <c r="G12" s="62"/>
      <c r="H12" s="63" t="s">
        <v>14</v>
      </c>
      <c r="I12" s="63"/>
      <c r="J12" s="40" t="s">
        <v>15</v>
      </c>
      <c r="K12" s="42" t="s">
        <v>16</v>
      </c>
    </row>
    <row r="13" spans="1:11" ht="30" customHeight="1">
      <c r="A13" s="39"/>
      <c r="B13" s="18" t="s">
        <v>17</v>
      </c>
      <c r="C13" s="18" t="s">
        <v>18</v>
      </c>
      <c r="D13" s="18" t="s">
        <v>17</v>
      </c>
      <c r="E13" s="18" t="s">
        <v>18</v>
      </c>
      <c r="F13" s="18" t="s">
        <v>19</v>
      </c>
      <c r="G13" s="19" t="s">
        <v>20</v>
      </c>
      <c r="H13" s="18" t="s">
        <v>17</v>
      </c>
      <c r="I13" s="18" t="s">
        <v>18</v>
      </c>
      <c r="J13" s="41"/>
      <c r="K13" s="42"/>
    </row>
    <row r="14" spans="1:11" ht="15.95" customHeight="1">
      <c r="A14" s="20" t="s">
        <v>21</v>
      </c>
      <c r="B14" s="21">
        <v>0.625</v>
      </c>
      <c r="C14" s="21">
        <v>0.625</v>
      </c>
      <c r="D14" s="21"/>
      <c r="E14" s="21"/>
      <c r="F14" s="21"/>
      <c r="G14" s="21"/>
      <c r="H14" s="21">
        <f>B14</f>
        <v>0.625</v>
      </c>
      <c r="I14" s="21">
        <f>C14</f>
        <v>0.625</v>
      </c>
      <c r="J14" s="21">
        <f>SUM(H14:I14)</f>
        <v>1.25</v>
      </c>
    </row>
    <row r="15" spans="1:11" ht="15.95" customHeight="1">
      <c r="A15" s="20" t="s">
        <v>22</v>
      </c>
      <c r="B15" s="21">
        <f>1.25*6</f>
        <v>7.5</v>
      </c>
      <c r="C15" s="21">
        <v>7.5</v>
      </c>
      <c r="D15" s="21"/>
      <c r="E15" s="21"/>
      <c r="F15" s="21"/>
      <c r="G15" s="21"/>
      <c r="H15" s="21">
        <f>H14-F15-D15+B15</f>
        <v>8.125</v>
      </c>
      <c r="I15" s="21">
        <f>I14-E15+C15</f>
        <v>8.125</v>
      </c>
      <c r="J15" s="21">
        <f>SUM(H15:I15)</f>
        <v>16.25</v>
      </c>
    </row>
    <row r="16" spans="1:11" ht="15.95" customHeight="1">
      <c r="A16" s="20" t="s">
        <v>23</v>
      </c>
      <c r="B16" s="21">
        <f>1.25*9</f>
        <v>11.25</v>
      </c>
      <c r="C16" s="21">
        <v>11.25</v>
      </c>
      <c r="D16" s="21"/>
      <c r="E16" s="21"/>
      <c r="F16" s="21"/>
      <c r="G16" s="21"/>
      <c r="H16" s="21">
        <f t="shared" ref="H16:H49" si="0">H15-F16-D16+B16</f>
        <v>19.375</v>
      </c>
      <c r="I16" s="21">
        <f t="shared" ref="I16:I49" si="1">I15-E16+C16</f>
        <v>19.375</v>
      </c>
      <c r="J16" s="21">
        <f t="shared" ref="J16:J21" si="2">SUM(H16:I16)</f>
        <v>38.75</v>
      </c>
    </row>
    <row r="17" spans="1:10" ht="15.95" customHeight="1">
      <c r="A17" s="20" t="s">
        <v>24</v>
      </c>
      <c r="B17" s="21"/>
      <c r="C17" s="21"/>
      <c r="D17" s="21">
        <v>14</v>
      </c>
      <c r="E17" s="21">
        <v>14</v>
      </c>
      <c r="F17" s="21"/>
      <c r="G17" s="21"/>
      <c r="H17" s="21">
        <f t="shared" si="0"/>
        <v>5.375</v>
      </c>
      <c r="I17" s="21">
        <f t="shared" si="1"/>
        <v>5.375</v>
      </c>
      <c r="J17" s="21">
        <f t="shared" si="2"/>
        <v>10.75</v>
      </c>
    </row>
    <row r="18" spans="1:10" ht="15.95" customHeight="1">
      <c r="A18" s="20" t="s">
        <v>25</v>
      </c>
      <c r="B18" s="21">
        <v>3.75</v>
      </c>
      <c r="C18" s="21">
        <v>3.75</v>
      </c>
      <c r="D18" s="21"/>
      <c r="E18" s="21"/>
      <c r="F18" s="21"/>
      <c r="G18" s="21"/>
      <c r="H18" s="21">
        <f t="shared" si="0"/>
        <v>9.125</v>
      </c>
      <c r="I18" s="21">
        <f t="shared" si="1"/>
        <v>9.125</v>
      </c>
      <c r="J18" s="21">
        <f t="shared" si="2"/>
        <v>18.25</v>
      </c>
    </row>
    <row r="19" spans="1:10" ht="15.95" customHeight="1">
      <c r="A19" s="20" t="s">
        <v>26</v>
      </c>
      <c r="B19" s="21"/>
      <c r="C19" s="21"/>
      <c r="D19" s="21"/>
      <c r="E19" s="21"/>
      <c r="F19" s="21">
        <v>5</v>
      </c>
      <c r="G19" s="21"/>
      <c r="H19" s="21">
        <f t="shared" si="0"/>
        <v>4.125</v>
      </c>
      <c r="I19" s="21">
        <f t="shared" si="1"/>
        <v>9.125</v>
      </c>
      <c r="J19" s="21">
        <f t="shared" si="2"/>
        <v>13.25</v>
      </c>
    </row>
    <row r="20" spans="1:10" ht="15.95" customHeight="1">
      <c r="A20" s="22" t="s">
        <v>27</v>
      </c>
      <c r="B20" s="21"/>
      <c r="C20" s="21"/>
      <c r="D20" s="21"/>
      <c r="E20" s="21"/>
      <c r="F20" s="21"/>
      <c r="G20" s="21">
        <v>1</v>
      </c>
      <c r="H20" s="21">
        <f t="shared" si="0"/>
        <v>4.125</v>
      </c>
      <c r="I20" s="21">
        <f t="shared" si="1"/>
        <v>9.125</v>
      </c>
      <c r="J20" s="21">
        <f t="shared" si="2"/>
        <v>13.25</v>
      </c>
    </row>
    <row r="21" spans="1:10" ht="15.95" customHeight="1">
      <c r="A21" s="22" t="s">
        <v>28</v>
      </c>
      <c r="B21" s="21">
        <v>1.25</v>
      </c>
      <c r="C21" s="21">
        <v>1.25</v>
      </c>
      <c r="D21" s="21"/>
      <c r="E21" s="21"/>
      <c r="F21" s="21"/>
      <c r="G21" s="21"/>
      <c r="H21" s="21">
        <f t="shared" si="0"/>
        <v>5.375</v>
      </c>
      <c r="I21" s="21">
        <f t="shared" si="1"/>
        <v>10.375</v>
      </c>
      <c r="J21" s="21">
        <f t="shared" si="2"/>
        <v>15.75</v>
      </c>
    </row>
    <row r="22" spans="1:10" ht="15.95" customHeight="1">
      <c r="A22" s="20" t="s">
        <v>29</v>
      </c>
      <c r="B22" s="23"/>
      <c r="C22" s="21"/>
      <c r="D22" s="21"/>
      <c r="E22" s="21"/>
      <c r="F22" s="21">
        <v>1</v>
      </c>
      <c r="G22" s="21"/>
      <c r="H22" s="21">
        <f t="shared" si="0"/>
        <v>4.375</v>
      </c>
      <c r="I22" s="21">
        <f t="shared" si="1"/>
        <v>10.375</v>
      </c>
      <c r="J22" s="21">
        <f t="shared" ref="J22:J38" si="3">SUM(H22:I22)</f>
        <v>14.75</v>
      </c>
    </row>
    <row r="23" spans="1:10" ht="15.95" customHeight="1">
      <c r="A23" s="22" t="s">
        <v>30</v>
      </c>
      <c r="B23" s="21">
        <v>2.5</v>
      </c>
      <c r="C23" s="21">
        <v>2.5</v>
      </c>
      <c r="D23" s="21"/>
      <c r="E23" s="21"/>
      <c r="F23" s="21"/>
      <c r="G23" s="21"/>
      <c r="H23" s="21">
        <f t="shared" si="0"/>
        <v>6.875</v>
      </c>
      <c r="I23" s="21">
        <f t="shared" si="1"/>
        <v>12.875</v>
      </c>
      <c r="J23" s="21">
        <f t="shared" si="3"/>
        <v>19.75</v>
      </c>
    </row>
    <row r="24" spans="1:10" ht="15.95" customHeight="1">
      <c r="A24" s="20" t="s">
        <v>31</v>
      </c>
      <c r="B24" s="21"/>
      <c r="C24" s="21"/>
      <c r="D24" s="21"/>
      <c r="E24" s="21"/>
      <c r="F24" s="21">
        <v>1</v>
      </c>
      <c r="G24" s="21"/>
      <c r="H24" s="21">
        <f t="shared" si="0"/>
        <v>5.875</v>
      </c>
      <c r="I24" s="21">
        <f t="shared" si="1"/>
        <v>12.875</v>
      </c>
      <c r="J24" s="21">
        <f t="shared" si="3"/>
        <v>18.75</v>
      </c>
    </row>
    <row r="25" spans="1:10" ht="15.95" customHeight="1">
      <c r="A25" s="22" t="s">
        <v>32</v>
      </c>
      <c r="B25" s="21">
        <v>1.25</v>
      </c>
      <c r="C25" s="21">
        <v>1.25</v>
      </c>
      <c r="D25" s="21"/>
      <c r="E25" s="21"/>
      <c r="F25" s="21"/>
      <c r="G25" s="21"/>
      <c r="H25" s="21">
        <f t="shared" si="0"/>
        <v>7.125</v>
      </c>
      <c r="I25" s="21">
        <f t="shared" si="1"/>
        <v>14.125</v>
      </c>
      <c r="J25" s="21">
        <f t="shared" si="3"/>
        <v>21.25</v>
      </c>
    </row>
    <row r="26" spans="1:10" ht="15.95" customHeight="1">
      <c r="A26" s="20" t="s">
        <v>33</v>
      </c>
      <c r="B26" s="21"/>
      <c r="C26" s="21"/>
      <c r="D26" s="21"/>
      <c r="E26" s="21"/>
      <c r="F26" s="21">
        <v>1</v>
      </c>
      <c r="G26" s="21"/>
      <c r="H26" s="21">
        <f t="shared" si="0"/>
        <v>6.125</v>
      </c>
      <c r="I26" s="21">
        <f t="shared" si="1"/>
        <v>14.125</v>
      </c>
      <c r="J26" s="21">
        <f t="shared" si="3"/>
        <v>20.25</v>
      </c>
    </row>
    <row r="27" spans="1:10" ht="15.95" customHeight="1">
      <c r="A27" s="22" t="s">
        <v>34</v>
      </c>
      <c r="B27" s="21">
        <v>1.25</v>
      </c>
      <c r="C27" s="21">
        <v>1.25</v>
      </c>
      <c r="D27" s="21"/>
      <c r="E27" s="21"/>
      <c r="F27" s="21"/>
      <c r="G27" s="21"/>
      <c r="H27" s="21">
        <f t="shared" si="0"/>
        <v>7.375</v>
      </c>
      <c r="I27" s="21">
        <f t="shared" si="1"/>
        <v>15.375</v>
      </c>
      <c r="J27" s="21">
        <f t="shared" si="3"/>
        <v>22.75</v>
      </c>
    </row>
    <row r="28" spans="1:10" ht="15.95" customHeight="1">
      <c r="A28" s="20" t="s">
        <v>35</v>
      </c>
      <c r="B28" s="21"/>
      <c r="C28" s="21"/>
      <c r="D28" s="21"/>
      <c r="E28" s="21"/>
      <c r="F28" s="21"/>
      <c r="G28" s="21">
        <v>1</v>
      </c>
      <c r="H28" s="21">
        <f t="shared" si="0"/>
        <v>7.375</v>
      </c>
      <c r="I28" s="21">
        <f t="shared" si="1"/>
        <v>15.375</v>
      </c>
      <c r="J28" s="21">
        <f t="shared" si="3"/>
        <v>22.75</v>
      </c>
    </row>
    <row r="29" spans="1:10" ht="15.95" customHeight="1">
      <c r="A29" s="20" t="s">
        <v>36</v>
      </c>
      <c r="B29" s="21"/>
      <c r="C29" s="21"/>
      <c r="D29" s="21"/>
      <c r="E29" s="21">
        <v>1</v>
      </c>
      <c r="F29" s="21"/>
      <c r="G29" s="21"/>
      <c r="H29" s="21">
        <f t="shared" si="0"/>
        <v>7.375</v>
      </c>
      <c r="I29" s="21">
        <f t="shared" si="1"/>
        <v>14.375</v>
      </c>
      <c r="J29" s="21">
        <f t="shared" si="3"/>
        <v>21.75</v>
      </c>
    </row>
    <row r="30" spans="1:10" ht="15.95" customHeight="1">
      <c r="A30" s="22" t="s">
        <v>37</v>
      </c>
      <c r="B30" s="21">
        <v>1.25</v>
      </c>
      <c r="C30" s="21">
        <v>1.25</v>
      </c>
      <c r="D30" s="21"/>
      <c r="E30" s="21"/>
      <c r="F30" s="21"/>
      <c r="G30" s="21"/>
      <c r="H30" s="21">
        <f t="shared" si="0"/>
        <v>8.625</v>
      </c>
      <c r="I30" s="21">
        <f t="shared" si="1"/>
        <v>15.625</v>
      </c>
      <c r="J30" s="21">
        <f t="shared" si="3"/>
        <v>24.25</v>
      </c>
    </row>
    <row r="31" spans="1:10" ht="15.95" customHeight="1">
      <c r="A31" s="20" t="s">
        <v>38</v>
      </c>
      <c r="B31" s="21"/>
      <c r="C31" s="21"/>
      <c r="D31" s="21"/>
      <c r="E31" s="21"/>
      <c r="F31" s="21">
        <v>1</v>
      </c>
      <c r="G31" s="21"/>
      <c r="H31" s="21">
        <f t="shared" si="0"/>
        <v>7.625</v>
      </c>
      <c r="I31" s="21">
        <f t="shared" si="1"/>
        <v>15.625</v>
      </c>
      <c r="J31" s="21">
        <f t="shared" si="3"/>
        <v>23.25</v>
      </c>
    </row>
    <row r="32" spans="1:10" ht="15.95" customHeight="1">
      <c r="A32" s="22" t="s">
        <v>39</v>
      </c>
      <c r="B32" s="21">
        <v>1.25</v>
      </c>
      <c r="C32" s="21">
        <v>1.25</v>
      </c>
      <c r="D32" s="21"/>
      <c r="E32" s="21"/>
      <c r="F32" s="21"/>
      <c r="G32" s="21"/>
      <c r="H32" s="21">
        <f t="shared" si="0"/>
        <v>8.875</v>
      </c>
      <c r="I32" s="21">
        <f t="shared" si="1"/>
        <v>16.875</v>
      </c>
      <c r="J32" s="21">
        <f t="shared" si="3"/>
        <v>25.75</v>
      </c>
    </row>
    <row r="33" spans="1:10" ht="15.95" customHeight="1">
      <c r="A33" s="20" t="s">
        <v>40</v>
      </c>
      <c r="B33" s="21"/>
      <c r="C33" s="21"/>
      <c r="D33" s="21"/>
      <c r="E33" s="21"/>
      <c r="F33" s="21">
        <v>1</v>
      </c>
      <c r="G33" s="21"/>
      <c r="H33" s="21">
        <f t="shared" si="0"/>
        <v>7.875</v>
      </c>
      <c r="I33" s="21">
        <f t="shared" si="1"/>
        <v>16.875</v>
      </c>
      <c r="J33" s="21">
        <f t="shared" si="3"/>
        <v>24.75</v>
      </c>
    </row>
    <row r="34" spans="1:10" ht="15.95" customHeight="1">
      <c r="A34" s="20" t="s">
        <v>41</v>
      </c>
      <c r="B34" s="21"/>
      <c r="C34" s="21"/>
      <c r="D34" s="21"/>
      <c r="E34" s="21"/>
      <c r="F34" s="21"/>
      <c r="G34" s="21">
        <v>1</v>
      </c>
      <c r="H34" s="21">
        <f t="shared" si="0"/>
        <v>7.875</v>
      </c>
      <c r="I34" s="21">
        <f t="shared" si="1"/>
        <v>16.875</v>
      </c>
      <c r="J34" s="21">
        <f t="shared" si="3"/>
        <v>24.75</v>
      </c>
    </row>
    <row r="35" spans="1:10" ht="15.95" customHeight="1">
      <c r="A35" s="22" t="s">
        <v>42</v>
      </c>
      <c r="B35" s="23">
        <v>1.25</v>
      </c>
      <c r="C35" s="23">
        <v>1.25</v>
      </c>
      <c r="D35" s="23"/>
      <c r="E35" s="23"/>
      <c r="F35" s="23"/>
      <c r="G35" s="23"/>
      <c r="H35" s="21">
        <f t="shared" si="0"/>
        <v>9.125</v>
      </c>
      <c r="I35" s="21">
        <f t="shared" si="1"/>
        <v>18.125</v>
      </c>
      <c r="J35" s="21">
        <f t="shared" si="3"/>
        <v>27.25</v>
      </c>
    </row>
    <row r="36" spans="1:10" ht="15.95" customHeight="1">
      <c r="A36" s="20" t="s">
        <v>43</v>
      </c>
      <c r="B36" s="23"/>
      <c r="C36" s="23"/>
      <c r="D36" s="23"/>
      <c r="E36" s="23">
        <v>1</v>
      </c>
      <c r="F36" s="23"/>
      <c r="G36" s="23"/>
      <c r="H36" s="21">
        <f t="shared" si="0"/>
        <v>9.125</v>
      </c>
      <c r="I36" s="21">
        <f t="shared" si="1"/>
        <v>17.125</v>
      </c>
      <c r="J36" s="21">
        <f t="shared" si="3"/>
        <v>26.25</v>
      </c>
    </row>
    <row r="37" spans="1:10" ht="15.95" customHeight="1">
      <c r="A37" s="20" t="s">
        <v>44</v>
      </c>
      <c r="B37" s="23"/>
      <c r="C37" s="23"/>
      <c r="D37" s="23">
        <v>4</v>
      </c>
      <c r="E37" s="23">
        <v>10</v>
      </c>
      <c r="F37" s="23"/>
      <c r="G37" s="23"/>
      <c r="H37" s="21">
        <f t="shared" si="0"/>
        <v>5.125</v>
      </c>
      <c r="I37" s="21">
        <f t="shared" si="1"/>
        <v>7.125</v>
      </c>
      <c r="J37" s="21">
        <f t="shared" si="3"/>
        <v>12.25</v>
      </c>
    </row>
    <row r="38" spans="1:10" ht="15.95" customHeight="1">
      <c r="A38" s="20" t="s">
        <v>45</v>
      </c>
      <c r="B38" s="24"/>
      <c r="C38" s="24"/>
      <c r="D38" s="24"/>
      <c r="E38" s="25">
        <v>1</v>
      </c>
      <c r="F38" s="24"/>
      <c r="G38" s="24"/>
      <c r="H38" s="21">
        <f t="shared" si="0"/>
        <v>5.125</v>
      </c>
      <c r="I38" s="21">
        <f t="shared" si="1"/>
        <v>6.125</v>
      </c>
      <c r="J38" s="21">
        <f t="shared" si="3"/>
        <v>11.25</v>
      </c>
    </row>
    <row r="39" spans="1:10" ht="15.95" customHeight="1">
      <c r="A39" s="22" t="s">
        <v>46</v>
      </c>
      <c r="B39" s="26">
        <v>5</v>
      </c>
      <c r="C39" s="26">
        <v>5</v>
      </c>
      <c r="D39" s="26"/>
      <c r="E39" s="26"/>
      <c r="F39" s="26"/>
      <c r="G39" s="26"/>
      <c r="H39" s="21">
        <f t="shared" si="0"/>
        <v>10.125</v>
      </c>
      <c r="I39" s="21">
        <f t="shared" si="1"/>
        <v>11.125</v>
      </c>
      <c r="J39" s="21">
        <f t="shared" ref="J39:J40" si="4">SUM(H39:I39)</f>
        <v>21.25</v>
      </c>
    </row>
    <row r="40" spans="1:10" ht="15.95" customHeight="1">
      <c r="A40" s="20" t="s">
        <v>47</v>
      </c>
      <c r="B40" s="26"/>
      <c r="C40" s="26"/>
      <c r="D40" s="26"/>
      <c r="E40" s="26"/>
      <c r="F40" s="26"/>
      <c r="G40" s="26">
        <v>1</v>
      </c>
      <c r="H40" s="21">
        <f t="shared" si="0"/>
        <v>10.125</v>
      </c>
      <c r="I40" s="21">
        <f t="shared" si="1"/>
        <v>11.125</v>
      </c>
      <c r="J40" s="21">
        <f t="shared" si="4"/>
        <v>21.25</v>
      </c>
    </row>
    <row r="41" spans="1:10" ht="15.95" customHeight="1">
      <c r="A41" s="20" t="s">
        <v>48</v>
      </c>
      <c r="B41" s="26"/>
      <c r="C41" s="26"/>
      <c r="D41" s="26"/>
      <c r="E41" s="26">
        <v>1</v>
      </c>
      <c r="F41" s="26"/>
      <c r="G41" s="26"/>
      <c r="H41" s="21">
        <f t="shared" si="0"/>
        <v>10.125</v>
      </c>
      <c r="I41" s="21">
        <f t="shared" si="1"/>
        <v>10.125</v>
      </c>
      <c r="J41" s="21">
        <f t="shared" ref="J41" si="5">SUM(H41:I41)</f>
        <v>20.25</v>
      </c>
    </row>
    <row r="42" spans="1:10" ht="15.95" customHeight="1">
      <c r="A42" s="20" t="s">
        <v>49</v>
      </c>
      <c r="B42" s="26"/>
      <c r="C42" s="26"/>
      <c r="D42" s="26"/>
      <c r="E42" s="26"/>
      <c r="F42" s="26">
        <v>2</v>
      </c>
      <c r="G42" s="26"/>
      <c r="H42" s="21">
        <f t="shared" si="0"/>
        <v>8.125</v>
      </c>
      <c r="I42" s="21">
        <f t="shared" si="1"/>
        <v>10.125</v>
      </c>
      <c r="J42" s="21">
        <f t="shared" ref="J42" si="6">SUM(H42:I42)</f>
        <v>18.25</v>
      </c>
    </row>
    <row r="43" spans="1:10" ht="15.95" customHeight="1">
      <c r="A43" s="20" t="s">
        <v>50</v>
      </c>
      <c r="B43" s="26"/>
      <c r="C43" s="26"/>
      <c r="D43" s="26"/>
      <c r="E43" s="26">
        <v>1</v>
      </c>
      <c r="F43" s="26"/>
      <c r="G43" s="26"/>
      <c r="H43" s="21">
        <f t="shared" si="0"/>
        <v>8.125</v>
      </c>
      <c r="I43" s="21">
        <f t="shared" si="1"/>
        <v>9.125</v>
      </c>
      <c r="J43" s="21">
        <f t="shared" ref="J43" si="7">SUM(H43:I43)</f>
        <v>17.25</v>
      </c>
    </row>
    <row r="44" spans="1:10" ht="15.95" customHeight="1">
      <c r="A44" s="20" t="s">
        <v>51</v>
      </c>
      <c r="B44" s="26"/>
      <c r="C44" s="26"/>
      <c r="D44" s="26"/>
      <c r="E44" s="26"/>
      <c r="F44" s="26">
        <v>1</v>
      </c>
      <c r="G44" s="26"/>
      <c r="H44" s="21">
        <f t="shared" si="0"/>
        <v>7.125</v>
      </c>
      <c r="I44" s="21">
        <f t="shared" si="1"/>
        <v>9.125</v>
      </c>
      <c r="J44" s="21">
        <f t="shared" ref="J44" si="8">SUM(H44:I44)</f>
        <v>16.25</v>
      </c>
    </row>
    <row r="45" spans="1:10" ht="15.95" customHeight="1">
      <c r="A45" s="22" t="s">
        <v>52</v>
      </c>
      <c r="B45" s="26">
        <v>3.75</v>
      </c>
      <c r="C45" s="26">
        <v>3.75</v>
      </c>
      <c r="D45" s="26"/>
      <c r="E45" s="26"/>
      <c r="F45" s="26"/>
      <c r="G45" s="26"/>
      <c r="H45" s="21">
        <f t="shared" si="0"/>
        <v>10.875</v>
      </c>
      <c r="I45" s="21">
        <f t="shared" si="1"/>
        <v>12.875</v>
      </c>
      <c r="J45" s="21">
        <f t="shared" ref="J45:J48" si="9">SUM(H45:I45)</f>
        <v>23.75</v>
      </c>
    </row>
    <row r="46" spans="1:10" ht="15.95" customHeight="1">
      <c r="A46" s="20" t="s">
        <v>53</v>
      </c>
      <c r="B46" s="26"/>
      <c r="C46" s="26"/>
      <c r="D46" s="26"/>
      <c r="E46" s="26"/>
      <c r="F46" s="26"/>
      <c r="G46" s="26">
        <v>2</v>
      </c>
      <c r="H46" s="21">
        <f t="shared" si="0"/>
        <v>10.875</v>
      </c>
      <c r="I46" s="21">
        <f t="shared" si="1"/>
        <v>12.875</v>
      </c>
      <c r="J46" s="21">
        <f t="shared" si="9"/>
        <v>23.75</v>
      </c>
    </row>
    <row r="47" spans="1:10" ht="15.95" customHeight="1">
      <c r="A47" s="20" t="s">
        <v>54</v>
      </c>
      <c r="B47" s="26">
        <v>2.5</v>
      </c>
      <c r="C47" s="26">
        <v>2.5</v>
      </c>
      <c r="D47" s="26"/>
      <c r="E47" s="26"/>
      <c r="F47" s="26"/>
      <c r="G47" s="26"/>
      <c r="H47" s="21">
        <f t="shared" si="0"/>
        <v>13.375</v>
      </c>
      <c r="I47" s="21">
        <f t="shared" si="1"/>
        <v>15.375</v>
      </c>
      <c r="J47" s="26">
        <f t="shared" si="9"/>
        <v>28.75</v>
      </c>
    </row>
    <row r="48" spans="1:10" ht="15.95" customHeight="1">
      <c r="A48" s="20" t="s">
        <v>55</v>
      </c>
      <c r="B48" s="26"/>
      <c r="C48" s="26"/>
      <c r="D48" s="26"/>
      <c r="E48" s="26">
        <v>1</v>
      </c>
      <c r="F48" s="26"/>
      <c r="G48" s="26"/>
      <c r="H48" s="21">
        <f t="shared" si="0"/>
        <v>13.375</v>
      </c>
      <c r="I48" s="21">
        <f t="shared" si="1"/>
        <v>14.375</v>
      </c>
      <c r="J48" s="26">
        <f t="shared" si="9"/>
        <v>27.75</v>
      </c>
    </row>
    <row r="49" spans="1:10" ht="15.95" customHeight="1">
      <c r="A49" s="20" t="s">
        <v>56</v>
      </c>
      <c r="B49" s="26"/>
      <c r="C49" s="26"/>
      <c r="D49" s="26"/>
      <c r="E49" s="26"/>
      <c r="F49" s="26">
        <v>1</v>
      </c>
      <c r="G49" s="26"/>
      <c r="H49" s="21">
        <f t="shared" si="0"/>
        <v>12.375</v>
      </c>
      <c r="I49" s="21">
        <f t="shared" si="1"/>
        <v>14.375</v>
      </c>
      <c r="J49" s="26">
        <f t="shared" ref="J49" si="10">SUM(H49:I49)</f>
        <v>26.75</v>
      </c>
    </row>
    <row r="50" spans="1:10" ht="15.95" customHeight="1">
      <c r="A50" s="20" t="s">
        <v>57</v>
      </c>
      <c r="B50" s="26"/>
      <c r="C50" s="26"/>
      <c r="D50" s="26"/>
      <c r="E50" s="26">
        <v>1</v>
      </c>
      <c r="F50" s="26"/>
      <c r="G50" s="26"/>
      <c r="H50" s="21">
        <f t="shared" ref="H50" si="11">H49-F50-D50+B50</f>
        <v>12.375</v>
      </c>
      <c r="I50" s="21">
        <f t="shared" ref="I50" si="12">I49-E50+C50</f>
        <v>13.375</v>
      </c>
      <c r="J50" s="26">
        <f t="shared" ref="J50" si="13">SUM(H50:I50)</f>
        <v>25.75</v>
      </c>
    </row>
    <row r="51" spans="1:10" ht="15.95" customHeight="1">
      <c r="A51" s="20" t="s">
        <v>58</v>
      </c>
      <c r="B51" s="26">
        <v>1.25</v>
      </c>
      <c r="C51" s="26">
        <v>1.25</v>
      </c>
      <c r="D51" s="26"/>
      <c r="E51" s="26"/>
      <c r="F51" s="26"/>
      <c r="G51" s="26"/>
      <c r="H51" s="21">
        <f t="shared" ref="H51" si="14">H50-F51-D51+B51</f>
        <v>13.625</v>
      </c>
      <c r="I51" s="21">
        <f t="shared" ref="I51" si="15">I50-E51+C51</f>
        <v>14.625</v>
      </c>
      <c r="J51" s="26">
        <f t="shared" ref="J51" si="16">SUM(H51:I51)</f>
        <v>28.25</v>
      </c>
    </row>
    <row r="52" spans="1:10" ht="15.95" customHeight="1">
      <c r="A52" s="20" t="s">
        <v>59</v>
      </c>
      <c r="B52" s="26"/>
      <c r="C52" s="26"/>
      <c r="D52" s="26"/>
      <c r="E52" s="26"/>
      <c r="F52" s="26">
        <v>1</v>
      </c>
      <c r="G52" s="26"/>
      <c r="H52" s="21">
        <f t="shared" ref="H52" si="17">H51-F52-D52+B52</f>
        <v>12.625</v>
      </c>
      <c r="I52" s="21">
        <f t="shared" ref="I52" si="18">I51-E52+C52</f>
        <v>14.625</v>
      </c>
      <c r="J52" s="26">
        <f t="shared" ref="J52" si="19">SUM(H52:I52)</f>
        <v>27.25</v>
      </c>
    </row>
    <row r="53" spans="1:10" ht="15.95" customHeight="1">
      <c r="A53" s="20" t="s">
        <v>60</v>
      </c>
      <c r="B53" s="27"/>
      <c r="C53" s="27"/>
      <c r="D53" s="27"/>
      <c r="E53" s="26">
        <v>1</v>
      </c>
      <c r="F53" s="27"/>
      <c r="G53" s="27"/>
      <c r="H53" s="21">
        <f t="shared" ref="H53" si="20">H52-F53-D53+B53</f>
        <v>12.625</v>
      </c>
      <c r="I53" s="21">
        <f t="shared" ref="I53" si="21">I52-E53+C53</f>
        <v>13.625</v>
      </c>
      <c r="J53" s="26">
        <f t="shared" ref="J53" si="22">SUM(H53:I53)</f>
        <v>26.25</v>
      </c>
    </row>
    <row r="54" spans="1:10" ht="15.95" customHeight="1">
      <c r="A54" s="20" t="s">
        <v>61</v>
      </c>
      <c r="B54" s="27"/>
      <c r="C54" s="27"/>
      <c r="D54" s="27"/>
      <c r="E54" s="26">
        <v>1</v>
      </c>
      <c r="F54" s="27"/>
      <c r="G54" s="27"/>
      <c r="H54" s="21">
        <f t="shared" ref="H54" si="23">H53-F54-D54+B54</f>
        <v>12.625</v>
      </c>
      <c r="I54" s="21">
        <f t="shared" ref="I54" si="24">I53-E54+C54</f>
        <v>12.625</v>
      </c>
      <c r="J54" s="26">
        <f t="shared" ref="J54" si="25">SUM(H54:I54)</f>
        <v>25.25</v>
      </c>
    </row>
    <row r="55" spans="1:10" ht="15.95" customHeight="1">
      <c r="A55" s="20" t="s">
        <v>62</v>
      </c>
      <c r="B55" s="27"/>
      <c r="C55" s="27"/>
      <c r="D55" s="27"/>
      <c r="E55" s="26">
        <v>2</v>
      </c>
      <c r="F55" s="27"/>
      <c r="G55" s="27"/>
      <c r="H55" s="21">
        <f t="shared" ref="H55" si="26">H54-F55-D55+B55</f>
        <v>12.625</v>
      </c>
      <c r="I55" s="21">
        <f t="shared" ref="I55" si="27">I54-E55+C55</f>
        <v>10.625</v>
      </c>
      <c r="J55" s="26">
        <f t="shared" ref="J55" si="28">SUM(H55:I55)</f>
        <v>23.25</v>
      </c>
    </row>
    <row r="56" spans="1:10" ht="15.95" customHeight="1">
      <c r="A56" s="20" t="s">
        <v>63</v>
      </c>
      <c r="B56" s="26">
        <v>2.5</v>
      </c>
      <c r="C56" s="26">
        <v>2.5</v>
      </c>
      <c r="D56" s="28"/>
      <c r="E56" s="28"/>
      <c r="F56" s="28"/>
      <c r="G56" s="28"/>
      <c r="H56" s="21">
        <f t="shared" ref="H56" si="29">H55-F56-D56+B56</f>
        <v>15.125</v>
      </c>
      <c r="I56" s="21">
        <f t="shared" ref="I56" si="30">I55-E56+C56</f>
        <v>13.125</v>
      </c>
      <c r="J56" s="26">
        <f t="shared" ref="J56" si="31">SUM(H56:I56)</f>
        <v>28.25</v>
      </c>
    </row>
    <row r="57" spans="1:10" ht="15.95" customHeight="1">
      <c r="A57" s="20" t="s">
        <v>64</v>
      </c>
      <c r="B57" s="28"/>
      <c r="C57" s="28"/>
      <c r="D57" s="28">
        <v>10</v>
      </c>
      <c r="E57" s="26">
        <v>8</v>
      </c>
      <c r="F57" s="26"/>
      <c r="G57" s="28"/>
      <c r="H57" s="21">
        <f t="shared" ref="H57" si="32">H56-F57-D57+B57</f>
        <v>5.125</v>
      </c>
      <c r="I57" s="21">
        <f t="shared" ref="I57" si="33">I56-E57+C57</f>
        <v>5.125</v>
      </c>
      <c r="J57" s="26">
        <f t="shared" ref="J57" si="34">SUM(H57:I57)</f>
        <v>10.25</v>
      </c>
    </row>
    <row r="58" spans="1:10" ht="15.95" customHeight="1">
      <c r="A58" s="29" t="s">
        <v>65</v>
      </c>
      <c r="B58" s="28">
        <f>4*1.25</f>
        <v>5</v>
      </c>
      <c r="C58" s="28">
        <v>5</v>
      </c>
      <c r="D58" s="28"/>
      <c r="E58" s="28"/>
      <c r="F58" s="28"/>
      <c r="G58" s="28"/>
      <c r="H58" s="21">
        <f t="shared" ref="H58:H59" si="35">H57-F58-D58+B58</f>
        <v>10.125</v>
      </c>
      <c r="I58" s="21">
        <f t="shared" ref="I58:I59" si="36">I57-E58+C58</f>
        <v>10.125</v>
      </c>
      <c r="J58" s="26">
        <f t="shared" ref="J58:J59" si="37">SUM(H58:I58)</f>
        <v>20.25</v>
      </c>
    </row>
    <row r="59" spans="1:10" ht="15.95" customHeight="1">
      <c r="A59" s="29" t="s">
        <v>66</v>
      </c>
      <c r="B59" s="28"/>
      <c r="C59" s="28"/>
      <c r="D59" s="28"/>
      <c r="E59" s="28">
        <v>1</v>
      </c>
      <c r="F59" s="28"/>
      <c r="G59" s="28"/>
      <c r="H59" s="21">
        <f t="shared" si="35"/>
        <v>10.125</v>
      </c>
      <c r="I59" s="21">
        <f t="shared" si="36"/>
        <v>9.125</v>
      </c>
      <c r="J59" s="26">
        <f t="shared" si="37"/>
        <v>19.25</v>
      </c>
    </row>
    <row r="60" spans="1:10" ht="15.95" customHeight="1">
      <c r="A60" s="29" t="s">
        <v>67</v>
      </c>
      <c r="B60" s="28">
        <v>3.75</v>
      </c>
      <c r="C60" s="28">
        <v>3.75</v>
      </c>
      <c r="D60" s="28"/>
      <c r="E60" s="28"/>
      <c r="F60" s="28"/>
      <c r="G60" s="28"/>
      <c r="H60" s="30">
        <f t="shared" ref="H60" si="38">H59-F60-D60+B60</f>
        <v>13.875</v>
      </c>
      <c r="I60" s="30">
        <f t="shared" ref="I60" si="39">I59-E60+C60</f>
        <v>12.875</v>
      </c>
      <c r="J60" s="26">
        <f t="shared" ref="J60" si="40">SUM(H60:I60)</f>
        <v>26.75</v>
      </c>
    </row>
    <row r="61" spans="1:10" ht="15.95" customHeight="1">
      <c r="A61" s="29" t="s">
        <v>68</v>
      </c>
      <c r="B61" s="28"/>
      <c r="C61" s="28"/>
      <c r="D61" s="28"/>
      <c r="E61" s="28"/>
      <c r="F61" s="28"/>
      <c r="G61" s="28">
        <v>2</v>
      </c>
      <c r="H61" s="21">
        <f t="shared" ref="H61:H62" si="41">H60-F61-D61+B61</f>
        <v>13.875</v>
      </c>
      <c r="I61" s="21">
        <f t="shared" ref="I61:I62" si="42">I60-E61+C61</f>
        <v>12.875</v>
      </c>
      <c r="J61" s="26">
        <f t="shared" ref="J61:J62" si="43">SUM(H61:I61)</f>
        <v>26.75</v>
      </c>
    </row>
    <row r="62" spans="1:10" ht="15.95" customHeight="1">
      <c r="A62" s="29" t="s">
        <v>69</v>
      </c>
      <c r="B62" s="28"/>
      <c r="C62" s="28"/>
      <c r="D62" s="28"/>
      <c r="E62" s="28"/>
      <c r="F62" s="28"/>
      <c r="G62" s="28">
        <v>1</v>
      </c>
      <c r="H62" s="21">
        <f t="shared" si="41"/>
        <v>13.875</v>
      </c>
      <c r="I62" s="21">
        <f t="shared" si="42"/>
        <v>12.875</v>
      </c>
      <c r="J62" s="26">
        <f t="shared" si="43"/>
        <v>26.75</v>
      </c>
    </row>
    <row r="63" spans="1:10" ht="15.95" customHeight="1">
      <c r="A63" s="29" t="s">
        <v>70</v>
      </c>
      <c r="B63" s="28">
        <v>5</v>
      </c>
      <c r="C63" s="28">
        <v>5</v>
      </c>
      <c r="D63" s="28"/>
      <c r="E63" s="28"/>
      <c r="F63" s="28"/>
      <c r="G63" s="28"/>
      <c r="H63" s="21">
        <f t="shared" ref="H63" si="44">H62-F63-D63+B63</f>
        <v>18.875</v>
      </c>
      <c r="I63" s="21">
        <f t="shared" ref="I63" si="45">I62-E63+C63</f>
        <v>17.875</v>
      </c>
      <c r="J63" s="26">
        <f t="shared" ref="J63" si="46">SUM(H63:I63)</f>
        <v>36.75</v>
      </c>
    </row>
    <row r="64" spans="1:10" ht="15.95" customHeight="1">
      <c r="A64" s="29" t="s">
        <v>71</v>
      </c>
      <c r="B64" s="28"/>
      <c r="C64" s="28"/>
      <c r="D64" s="28">
        <v>13</v>
      </c>
      <c r="E64" s="28"/>
      <c r="F64" s="28"/>
      <c r="G64" s="28"/>
      <c r="H64" s="30">
        <f t="shared" ref="H64" si="47">H63-F64-D64+B64</f>
        <v>5.875</v>
      </c>
      <c r="I64" s="30">
        <f t="shared" ref="I64" si="48">I63-E64+C64</f>
        <v>17.875</v>
      </c>
      <c r="J64" s="26">
        <f t="shared" ref="J64" si="49">SUM(H64:I64)</f>
        <v>23.75</v>
      </c>
    </row>
    <row r="65" spans="1:10" ht="15.95" customHeight="1">
      <c r="A65" s="29" t="s">
        <v>72</v>
      </c>
      <c r="B65" s="28">
        <v>1.25</v>
      </c>
      <c r="C65" s="28">
        <v>1.25</v>
      </c>
      <c r="D65" s="28"/>
      <c r="E65" s="28"/>
      <c r="F65" s="28"/>
      <c r="G65" s="28"/>
      <c r="H65" s="30">
        <f t="shared" ref="H65:H66" si="50">H64-F65-D65+B65</f>
        <v>7.125</v>
      </c>
      <c r="I65" s="30">
        <f t="shared" ref="I65:I66" si="51">I64-E65+C65</f>
        <v>19.125</v>
      </c>
      <c r="J65" s="26">
        <f t="shared" ref="J65:J66" si="52">SUM(H65:I65)</f>
        <v>26.25</v>
      </c>
    </row>
    <row r="66" spans="1:10" ht="15.95" customHeight="1">
      <c r="A66" s="29" t="s">
        <v>73</v>
      </c>
      <c r="B66" s="28"/>
      <c r="C66" s="28"/>
      <c r="D66" s="28"/>
      <c r="E66" s="28"/>
      <c r="F66" s="28">
        <v>1</v>
      </c>
      <c r="G66" s="28"/>
      <c r="H66" s="30">
        <f t="shared" si="50"/>
        <v>6.125</v>
      </c>
      <c r="I66" s="30">
        <f t="shared" si="51"/>
        <v>19.125</v>
      </c>
      <c r="J66" s="26">
        <f t="shared" si="52"/>
        <v>25.25</v>
      </c>
    </row>
    <row r="67" spans="1:10" ht="15.95" customHeight="1">
      <c r="A67" s="29" t="s">
        <v>74</v>
      </c>
      <c r="B67" s="28">
        <v>1.25</v>
      </c>
      <c r="C67" s="28">
        <v>1.25</v>
      </c>
      <c r="D67" s="28"/>
      <c r="E67" s="28"/>
      <c r="F67" s="28"/>
      <c r="G67" s="28"/>
      <c r="H67" s="30">
        <f t="shared" ref="H67:H68" si="53">H66-F67-D67+B67</f>
        <v>7.375</v>
      </c>
      <c r="I67" s="30">
        <f t="shared" ref="I67:I68" si="54">I66-E67+C67</f>
        <v>20.375</v>
      </c>
      <c r="J67" s="26">
        <f t="shared" ref="J67:J68" si="55">SUM(H67:I67)</f>
        <v>27.75</v>
      </c>
    </row>
    <row r="68" spans="1:10" ht="15.95" customHeight="1">
      <c r="A68" s="29" t="s">
        <v>75</v>
      </c>
      <c r="B68" s="28"/>
      <c r="C68" s="28"/>
      <c r="D68" s="28"/>
      <c r="E68" s="28">
        <v>1</v>
      </c>
      <c r="F68" s="28"/>
      <c r="G68" s="28"/>
      <c r="H68" s="30">
        <f t="shared" si="53"/>
        <v>7.375</v>
      </c>
      <c r="I68" s="30">
        <f t="shared" si="54"/>
        <v>19.375</v>
      </c>
      <c r="J68" s="26">
        <f t="shared" si="55"/>
        <v>26.75</v>
      </c>
    </row>
    <row r="69" spans="1:10" ht="15.95" customHeight="1">
      <c r="A69" s="29" t="s">
        <v>76</v>
      </c>
      <c r="B69" s="28">
        <v>1.25</v>
      </c>
      <c r="C69" s="28">
        <v>1.25</v>
      </c>
      <c r="D69" s="28"/>
      <c r="E69" s="28"/>
      <c r="F69" s="28"/>
      <c r="G69" s="28"/>
      <c r="H69" s="30">
        <f t="shared" ref="H69:H70" si="56">H68-F69-D69+B69</f>
        <v>8.625</v>
      </c>
      <c r="I69" s="30">
        <f t="shared" ref="I69:I70" si="57">I68-E69+C69</f>
        <v>20.625</v>
      </c>
      <c r="J69" s="26">
        <f t="shared" ref="J69:J70" si="58">SUM(H69:I69)</f>
        <v>29.25</v>
      </c>
    </row>
    <row r="70" spans="1:10" ht="15.95" customHeight="1">
      <c r="A70" s="29" t="s">
        <v>77</v>
      </c>
      <c r="B70" s="28"/>
      <c r="C70" s="28"/>
      <c r="D70" s="28"/>
      <c r="E70" s="28"/>
      <c r="F70" s="28">
        <v>1</v>
      </c>
      <c r="G70" s="28"/>
      <c r="H70" s="30">
        <f t="shared" si="56"/>
        <v>7.625</v>
      </c>
      <c r="I70" s="30">
        <f t="shared" si="57"/>
        <v>20.625</v>
      </c>
      <c r="J70" s="26">
        <f t="shared" si="58"/>
        <v>28.25</v>
      </c>
    </row>
    <row r="71" spans="1:10" ht="15.95" customHeight="1">
      <c r="A71" s="29" t="s">
        <v>78</v>
      </c>
      <c r="B71" s="28">
        <v>1.25</v>
      </c>
      <c r="C71" s="28">
        <v>1.25</v>
      </c>
      <c r="D71" s="28"/>
      <c r="E71" s="28"/>
      <c r="F71" s="28"/>
      <c r="G71" s="28"/>
      <c r="H71" s="30">
        <f t="shared" ref="H71:H72" si="59">H70-F71-D71+B71</f>
        <v>8.875</v>
      </c>
      <c r="I71" s="30">
        <f t="shared" ref="I71:I72" si="60">I70-E71+C71</f>
        <v>21.875</v>
      </c>
      <c r="J71" s="26">
        <f t="shared" ref="J71:J72" si="61">SUM(H71:I71)</f>
        <v>30.75</v>
      </c>
    </row>
    <row r="72" spans="1:10" ht="15.95" customHeight="1">
      <c r="A72" s="29" t="s">
        <v>79</v>
      </c>
      <c r="B72" s="28"/>
      <c r="C72" s="28"/>
      <c r="D72" s="28"/>
      <c r="E72" s="28"/>
      <c r="F72" s="28">
        <v>3</v>
      </c>
      <c r="G72" s="28"/>
      <c r="H72" s="30">
        <f t="shared" si="59"/>
        <v>5.875</v>
      </c>
      <c r="I72" s="30">
        <f t="shared" si="60"/>
        <v>21.875</v>
      </c>
      <c r="J72" s="26">
        <f t="shared" si="61"/>
        <v>27.75</v>
      </c>
    </row>
    <row r="73" spans="1:10" ht="15.95" customHeight="1">
      <c r="A73" s="29" t="s">
        <v>80</v>
      </c>
      <c r="B73" s="28">
        <v>1.25</v>
      </c>
      <c r="C73" s="28">
        <v>1.25</v>
      </c>
      <c r="D73" s="28"/>
      <c r="E73" s="28"/>
      <c r="F73" s="28"/>
      <c r="G73" s="28"/>
      <c r="H73" s="30">
        <f t="shared" ref="H73:H74" si="62">H72-F73-D73+B73</f>
        <v>7.125</v>
      </c>
      <c r="I73" s="30">
        <f t="shared" ref="I73:I74" si="63">I72-E73+C73</f>
        <v>23.125</v>
      </c>
      <c r="J73" s="26">
        <f t="shared" ref="J73:J74" si="64">SUM(H73:I73)</f>
        <v>30.25</v>
      </c>
    </row>
    <row r="74" spans="1:10" ht="15.95" customHeight="1">
      <c r="A74" s="29" t="s">
        <v>81</v>
      </c>
      <c r="B74" s="28"/>
      <c r="C74" s="28"/>
      <c r="D74" s="28"/>
      <c r="E74" s="28"/>
      <c r="F74" s="31">
        <v>2</v>
      </c>
      <c r="G74" s="28"/>
      <c r="H74" s="30">
        <f t="shared" si="62"/>
        <v>5.125</v>
      </c>
      <c r="I74" s="30">
        <f t="shared" si="63"/>
        <v>23.125</v>
      </c>
      <c r="J74" s="26">
        <f t="shared" si="64"/>
        <v>28.25</v>
      </c>
    </row>
    <row r="75" spans="1:10" ht="15.95" customHeight="1">
      <c r="A75" s="29" t="s">
        <v>82</v>
      </c>
      <c r="B75" s="28">
        <v>2.5</v>
      </c>
      <c r="C75" s="28">
        <v>2.5</v>
      </c>
      <c r="D75" s="28"/>
      <c r="E75" s="28"/>
      <c r="F75" s="28"/>
      <c r="G75" s="28"/>
      <c r="H75" s="30">
        <f t="shared" ref="H75:H76" si="65">H74-F75-D75+B75</f>
        <v>7.625</v>
      </c>
      <c r="I75" s="30">
        <f t="shared" ref="I75:I76" si="66">I74-E75+C75</f>
        <v>25.625</v>
      </c>
      <c r="J75" s="26">
        <f t="shared" ref="J75:J76" si="67">SUM(H75:I75)</f>
        <v>33.25</v>
      </c>
    </row>
    <row r="76" spans="1:10" ht="15.95" customHeight="1">
      <c r="A76" s="29" t="s">
        <v>83</v>
      </c>
      <c r="B76" s="28"/>
      <c r="C76" s="28"/>
      <c r="D76" s="28"/>
      <c r="E76" s="28">
        <v>1</v>
      </c>
      <c r="F76" s="28"/>
      <c r="G76" s="28"/>
      <c r="H76" s="30">
        <f t="shared" si="65"/>
        <v>7.625</v>
      </c>
      <c r="I76" s="30">
        <f t="shared" si="66"/>
        <v>24.625</v>
      </c>
      <c r="J76" s="26">
        <f t="shared" si="67"/>
        <v>32.25</v>
      </c>
    </row>
    <row r="77" spans="1:10" ht="15.95" customHeight="1">
      <c r="A77" s="29" t="s">
        <v>84</v>
      </c>
      <c r="B77" s="28">
        <v>1.25</v>
      </c>
      <c r="C77" s="28">
        <v>1.25</v>
      </c>
      <c r="D77" s="28"/>
      <c r="E77" s="28"/>
      <c r="F77" s="28"/>
      <c r="G77" s="28"/>
      <c r="H77" s="30">
        <f t="shared" ref="H77:H78" si="68">H76-F77-D77+B77</f>
        <v>8.875</v>
      </c>
      <c r="I77" s="30">
        <f t="shared" ref="I77:I78" si="69">I76-E77+C77</f>
        <v>25.875</v>
      </c>
      <c r="J77" s="26">
        <f t="shared" ref="J77:J78" si="70">SUM(H77:I77)</f>
        <v>34.75</v>
      </c>
    </row>
    <row r="78" spans="1:10" ht="15.95" customHeight="1">
      <c r="A78" s="29" t="s">
        <v>85</v>
      </c>
      <c r="B78" s="28"/>
      <c r="C78" s="28"/>
      <c r="D78" s="28"/>
      <c r="E78" s="28"/>
      <c r="F78" s="31">
        <v>1</v>
      </c>
      <c r="G78" s="28"/>
      <c r="H78" s="30">
        <f t="shared" si="68"/>
        <v>7.875</v>
      </c>
      <c r="I78" s="30">
        <f t="shared" si="69"/>
        <v>25.875</v>
      </c>
      <c r="J78" s="26">
        <f t="shared" si="70"/>
        <v>33.75</v>
      </c>
    </row>
    <row r="79" spans="1:10" ht="15.95" customHeight="1">
      <c r="A79" s="29" t="s">
        <v>86</v>
      </c>
      <c r="B79" s="28">
        <v>1.25</v>
      </c>
      <c r="C79" s="28">
        <v>1.25</v>
      </c>
      <c r="D79" s="28"/>
      <c r="E79" s="28"/>
      <c r="F79" s="28"/>
      <c r="G79" s="28"/>
      <c r="H79" s="30">
        <f t="shared" ref="H79:H80" si="71">H78-F79-D79+B79</f>
        <v>9.125</v>
      </c>
      <c r="I79" s="30">
        <f t="shared" ref="I79:I80" si="72">I78-E79+C79</f>
        <v>27.125</v>
      </c>
      <c r="J79" s="26">
        <f t="shared" ref="J79:J80" si="73">SUM(H79:I79)</f>
        <v>36.25</v>
      </c>
    </row>
    <row r="80" spans="1:10" ht="15.95" customHeight="1">
      <c r="A80" s="29" t="s">
        <v>87</v>
      </c>
      <c r="B80" s="28"/>
      <c r="C80" s="28"/>
      <c r="D80" s="28"/>
      <c r="E80" s="28">
        <v>1</v>
      </c>
      <c r="F80" s="28"/>
      <c r="G80" s="28"/>
      <c r="H80" s="30">
        <f t="shared" si="71"/>
        <v>9.125</v>
      </c>
      <c r="I80" s="30">
        <f t="shared" si="72"/>
        <v>26.125</v>
      </c>
      <c r="J80" s="26">
        <f t="shared" si="73"/>
        <v>35.25</v>
      </c>
    </row>
    <row r="81" spans="1:10" ht="15.95" customHeight="1">
      <c r="A81" s="29" t="s">
        <v>88</v>
      </c>
      <c r="B81" s="28"/>
      <c r="C81" s="28"/>
      <c r="D81" s="28"/>
      <c r="E81" s="28">
        <v>1</v>
      </c>
      <c r="F81" s="28"/>
      <c r="G81" s="28"/>
      <c r="H81" s="30">
        <f t="shared" ref="H81" si="74">H80-F81-D81+B81</f>
        <v>9.125</v>
      </c>
      <c r="I81" s="30">
        <f t="shared" ref="I81" si="75">I80-E81+C81</f>
        <v>25.125</v>
      </c>
      <c r="J81" s="26">
        <f t="shared" ref="J81" si="76">SUM(H81:I81)</f>
        <v>34.25</v>
      </c>
    </row>
    <row r="82" spans="1:10" ht="15.95" customHeight="1">
      <c r="A82" s="29" t="s">
        <v>89</v>
      </c>
      <c r="B82" s="28">
        <v>2.5</v>
      </c>
      <c r="C82" s="28">
        <v>2.5</v>
      </c>
      <c r="D82" s="28"/>
      <c r="E82" s="28"/>
      <c r="F82" s="28"/>
      <c r="G82" s="28"/>
      <c r="H82" s="30">
        <f t="shared" ref="H82" si="77">H81-F82-D82+B82</f>
        <v>11.625</v>
      </c>
      <c r="I82" s="30">
        <f t="shared" ref="I82" si="78">I81-E82+C82</f>
        <v>27.625</v>
      </c>
      <c r="J82" s="26">
        <f t="shared" ref="J82" si="79">SUM(H82:I82)</f>
        <v>39.25</v>
      </c>
    </row>
    <row r="83" spans="1:10" ht="15.95" customHeight="1">
      <c r="A83" s="29" t="s">
        <v>90</v>
      </c>
      <c r="B83" s="28"/>
      <c r="C83" s="28"/>
      <c r="D83" s="28">
        <v>6.625</v>
      </c>
      <c r="E83" s="28">
        <v>12.375</v>
      </c>
      <c r="F83" s="28"/>
      <c r="G83" s="28"/>
      <c r="H83" s="30">
        <f t="shared" ref="H83" si="80">H82-F83-D83+B83</f>
        <v>5</v>
      </c>
      <c r="I83" s="30">
        <f t="shared" ref="I83" si="81">I82-E83+C83</f>
        <v>15.25</v>
      </c>
      <c r="J83" s="26">
        <f t="shared" ref="J83" si="82">SUM(H83:I83)</f>
        <v>20.25</v>
      </c>
    </row>
    <row r="84" spans="1:10" ht="15.95" customHeight="1">
      <c r="A84" s="29" t="s">
        <v>91</v>
      </c>
      <c r="B84" s="28">
        <v>2.5</v>
      </c>
      <c r="C84" s="28">
        <v>2.5</v>
      </c>
      <c r="D84" s="28"/>
      <c r="E84" s="28"/>
      <c r="F84" s="28"/>
      <c r="G84" s="28"/>
      <c r="H84" s="30">
        <f t="shared" ref="H84:H85" si="83">H83-F84-D84+B84</f>
        <v>7.5</v>
      </c>
      <c r="I84" s="30">
        <f t="shared" ref="I84:I85" si="84">I83-E84+C84</f>
        <v>17.75</v>
      </c>
      <c r="J84" s="26">
        <f t="shared" ref="J84:J85" si="85">SUM(H84:I84)</f>
        <v>25.25</v>
      </c>
    </row>
    <row r="85" spans="1:10" ht="15.95" customHeight="1">
      <c r="A85" s="29" t="s">
        <v>92</v>
      </c>
      <c r="B85" s="28"/>
      <c r="C85" s="28"/>
      <c r="D85" s="28"/>
      <c r="E85" s="28">
        <v>1</v>
      </c>
      <c r="F85" s="28"/>
      <c r="G85" s="28"/>
      <c r="H85" s="30">
        <f t="shared" si="83"/>
        <v>7.5</v>
      </c>
      <c r="I85" s="30">
        <f t="shared" si="84"/>
        <v>16.75</v>
      </c>
      <c r="J85" s="26">
        <f t="shared" si="85"/>
        <v>24.25</v>
      </c>
    </row>
    <row r="86" spans="1:10" ht="15.95" customHeight="1">
      <c r="A86" s="29" t="s">
        <v>93</v>
      </c>
      <c r="B86" s="28">
        <v>2.5</v>
      </c>
      <c r="C86" s="28">
        <v>2.5</v>
      </c>
      <c r="D86" s="28"/>
      <c r="E86" s="28"/>
      <c r="F86" s="28"/>
      <c r="G86" s="28"/>
      <c r="H86" s="30">
        <f t="shared" ref="H86:H87" si="86">H85-F86-D86+B86</f>
        <v>10</v>
      </c>
      <c r="I86" s="30">
        <f t="shared" ref="I86:I87" si="87">I85-E86+C86</f>
        <v>19.25</v>
      </c>
      <c r="J86" s="26">
        <f t="shared" ref="J86:J87" si="88">SUM(H86:I86)</f>
        <v>29.25</v>
      </c>
    </row>
    <row r="87" spans="1:10" ht="15.95" customHeight="1">
      <c r="A87" s="29" t="s">
        <v>94</v>
      </c>
      <c r="B87" s="28"/>
      <c r="C87" s="28"/>
      <c r="D87" s="28"/>
      <c r="E87" s="28">
        <v>1</v>
      </c>
      <c r="F87" s="28"/>
      <c r="G87" s="28"/>
      <c r="H87" s="30">
        <f t="shared" si="86"/>
        <v>10</v>
      </c>
      <c r="I87" s="30">
        <f t="shared" si="87"/>
        <v>18.25</v>
      </c>
      <c r="J87" s="26">
        <f t="shared" si="88"/>
        <v>28.25</v>
      </c>
    </row>
    <row r="88" spans="1:10" ht="15.95" customHeight="1">
      <c r="A88" s="29" t="s">
        <v>95</v>
      </c>
      <c r="B88" s="28"/>
      <c r="C88" s="28"/>
      <c r="D88" s="28"/>
      <c r="E88" s="28"/>
      <c r="F88" s="31">
        <v>2</v>
      </c>
      <c r="G88" s="28"/>
      <c r="H88" s="30">
        <f t="shared" ref="H88" si="89">H87-F88-D88+B88</f>
        <v>8</v>
      </c>
      <c r="I88" s="30">
        <f t="shared" ref="I88" si="90">I87-E88+C88</f>
        <v>18.25</v>
      </c>
      <c r="J88" s="26">
        <f t="shared" ref="J88" si="91">SUM(H88:I88)</f>
        <v>26.25</v>
      </c>
    </row>
    <row r="89" spans="1:10" ht="15.95" customHeight="1">
      <c r="A89" s="29" t="s">
        <v>96</v>
      </c>
      <c r="B89" s="28"/>
      <c r="C89" s="28"/>
      <c r="D89" s="28"/>
      <c r="E89" s="28"/>
      <c r="F89" s="28"/>
      <c r="G89" s="64">
        <v>2</v>
      </c>
      <c r="H89" s="30">
        <f t="shared" ref="H89" si="92">H88-F89-D89+B89</f>
        <v>8</v>
      </c>
      <c r="I89" s="30">
        <f t="shared" ref="I89" si="93">I88-E89+C89</f>
        <v>18.25</v>
      </c>
      <c r="J89" s="26">
        <f t="shared" ref="J89" si="94">SUM(H89:I89)</f>
        <v>26.25</v>
      </c>
    </row>
    <row r="90" spans="1:10" ht="15.95" customHeight="1">
      <c r="A90" s="29" t="s">
        <v>97</v>
      </c>
      <c r="B90" s="28">
        <v>1.25</v>
      </c>
      <c r="C90" s="28">
        <v>1.25</v>
      </c>
      <c r="D90" s="28"/>
      <c r="E90" s="28"/>
      <c r="F90" s="28"/>
      <c r="G90" s="28"/>
      <c r="H90" s="30">
        <f>H89-F90-D90+B90</f>
        <v>9.25</v>
      </c>
      <c r="I90" s="30">
        <f>I89-E90+C90</f>
        <v>19.5</v>
      </c>
      <c r="J90" s="26">
        <f>SUM(H90:I90)</f>
        <v>28.75</v>
      </c>
    </row>
    <row r="91" spans="1:10" ht="15.95" customHeight="1">
      <c r="A91" s="29" t="s">
        <v>98</v>
      </c>
      <c r="B91" s="28">
        <v>2</v>
      </c>
      <c r="C91" s="28"/>
      <c r="D91" s="28"/>
      <c r="E91" s="28"/>
      <c r="F91" s="28"/>
      <c r="G91" s="28"/>
      <c r="H91" s="30">
        <f>H90-F91-D91+B91</f>
        <v>11.25</v>
      </c>
      <c r="I91" s="30">
        <f>I90-E91+C91</f>
        <v>19.5</v>
      </c>
      <c r="J91" s="26">
        <f>SUM(H91:I91)</f>
        <v>30.75</v>
      </c>
    </row>
    <row r="92" spans="1:10" ht="15.95" customHeight="1">
      <c r="A92" s="29"/>
      <c r="B92" s="28"/>
      <c r="C92" s="28"/>
      <c r="D92" s="28"/>
      <c r="E92" s="28"/>
      <c r="F92" s="28"/>
      <c r="G92" s="28"/>
      <c r="H92" s="30"/>
      <c r="I92" s="30"/>
      <c r="J92" s="26"/>
    </row>
    <row r="93" spans="1:10" ht="15.95" customHeight="1">
      <c r="B93" s="32"/>
      <c r="C93" s="32"/>
      <c r="D93" s="32"/>
      <c r="E93" s="32"/>
      <c r="F93" s="32"/>
      <c r="G93" s="32"/>
      <c r="H93" s="33"/>
      <c r="I93" s="33"/>
      <c r="J93" s="35"/>
    </row>
    <row r="94" spans="1:10" s="1" customFormat="1">
      <c r="G94" s="1" t="s">
        <v>99</v>
      </c>
    </row>
    <row r="95" spans="1:10" s="1" customFormat="1"/>
    <row r="96" spans="1:10" s="1" customFormat="1">
      <c r="H96" s="34" t="s">
        <v>100</v>
      </c>
    </row>
    <row r="97" spans="2:10" s="1" customFormat="1">
      <c r="H97" s="1" t="s">
        <v>101</v>
      </c>
    </row>
    <row r="98" spans="2:10" s="1" customFormat="1">
      <c r="H98" s="13" t="s">
        <v>102</v>
      </c>
    </row>
    <row r="99" spans="2:10" ht="15.95" customHeight="1">
      <c r="B99" s="32"/>
      <c r="C99" s="32"/>
      <c r="D99" s="32"/>
      <c r="E99" s="32"/>
      <c r="F99" s="32"/>
      <c r="G99" s="32"/>
      <c r="H99" s="32"/>
      <c r="I99" s="32"/>
      <c r="J99" s="32"/>
    </row>
    <row r="100" spans="2:10" ht="15.95" customHeight="1">
      <c r="B100" s="32"/>
      <c r="C100" s="32"/>
      <c r="D100" s="32"/>
      <c r="E100" s="32"/>
      <c r="F100" s="32"/>
      <c r="G100" s="32"/>
      <c r="H100" s="32"/>
      <c r="I100" s="32"/>
      <c r="J100" s="32"/>
    </row>
    <row r="101" spans="2:10" ht="15.95" customHeight="1">
      <c r="B101" s="32"/>
      <c r="C101" s="32"/>
      <c r="D101" s="32"/>
      <c r="E101" s="32"/>
      <c r="F101" s="32"/>
      <c r="G101" s="32"/>
      <c r="H101" s="32"/>
      <c r="I101" s="32"/>
      <c r="J101" s="32"/>
    </row>
    <row r="102" spans="2:10" ht="15.95" customHeight="1">
      <c r="B102" s="32"/>
      <c r="C102" s="32"/>
      <c r="D102" s="32"/>
      <c r="E102" s="32"/>
      <c r="F102" s="32"/>
      <c r="G102" s="32"/>
      <c r="H102" s="32"/>
      <c r="I102" s="32"/>
      <c r="J102" s="32"/>
    </row>
    <row r="103" spans="2:10" ht="15.95" customHeight="1">
      <c r="B103" s="32"/>
      <c r="C103" s="32"/>
      <c r="D103" s="32"/>
      <c r="E103" s="32"/>
      <c r="F103" s="32"/>
      <c r="G103" s="32"/>
      <c r="H103" s="32"/>
      <c r="I103" s="32"/>
      <c r="J103" s="32"/>
    </row>
    <row r="104" spans="2:10" ht="15.95" customHeight="1">
      <c r="B104" s="32"/>
      <c r="C104" s="32"/>
      <c r="D104" s="32"/>
      <c r="E104" s="32"/>
      <c r="F104" s="32"/>
      <c r="G104" s="32"/>
      <c r="H104" s="32"/>
      <c r="I104" s="32"/>
      <c r="J104" s="32"/>
    </row>
    <row r="105" spans="2:10" ht="15.95" customHeight="1">
      <c r="B105" s="32"/>
      <c r="C105" s="32"/>
      <c r="D105" s="32"/>
      <c r="E105" s="32"/>
      <c r="F105" s="32"/>
      <c r="G105" s="32"/>
      <c r="H105" s="32"/>
      <c r="I105" s="32"/>
      <c r="J105" s="32"/>
    </row>
    <row r="106" spans="2:10" ht="15.95" customHeight="1">
      <c r="B106" s="32"/>
      <c r="C106" s="32"/>
      <c r="D106" s="32"/>
      <c r="E106" s="32"/>
      <c r="F106" s="32"/>
      <c r="G106" s="32"/>
      <c r="H106" s="32"/>
      <c r="I106" s="32"/>
      <c r="J106" s="32"/>
    </row>
    <row r="107" spans="2:10" ht="15.95" customHeight="1">
      <c r="B107" s="32"/>
      <c r="C107" s="32"/>
      <c r="D107" s="32"/>
      <c r="E107" s="32"/>
      <c r="F107" s="32"/>
      <c r="G107" s="32"/>
      <c r="H107" s="32"/>
      <c r="I107" s="32"/>
      <c r="J107" s="32"/>
    </row>
    <row r="108" spans="2:10" ht="15.95" customHeight="1">
      <c r="B108" s="32"/>
      <c r="C108" s="32"/>
      <c r="D108" s="32"/>
      <c r="E108" s="32"/>
      <c r="F108" s="32"/>
      <c r="G108" s="32"/>
      <c r="H108" s="32"/>
      <c r="I108" s="32"/>
      <c r="J108" s="32"/>
    </row>
    <row r="109" spans="2:10" ht="15.95" customHeight="1">
      <c r="B109" s="32"/>
      <c r="C109" s="32"/>
      <c r="D109" s="32"/>
      <c r="E109" s="32"/>
      <c r="F109" s="32"/>
      <c r="G109" s="32"/>
      <c r="H109" s="32"/>
      <c r="I109" s="32"/>
      <c r="J109" s="32"/>
    </row>
    <row r="110" spans="2:10" ht="15.95" customHeight="1">
      <c r="B110" s="32"/>
      <c r="C110" s="32"/>
      <c r="D110" s="32"/>
      <c r="E110" s="32"/>
      <c r="F110" s="32"/>
      <c r="G110" s="32"/>
      <c r="H110" s="32"/>
      <c r="I110" s="32"/>
      <c r="J110" s="32"/>
    </row>
    <row r="111" spans="2:10" ht="15.95" customHeight="1"/>
    <row r="112" spans="2:10" ht="15.95" customHeight="1"/>
    <row r="113" ht="15.95" customHeight="1"/>
    <row r="114" ht="15.95" customHeight="1"/>
    <row r="115" ht="15.95" customHeight="1"/>
    <row r="116" ht="15.95" customHeight="1"/>
    <row r="117" ht="15.95" customHeight="1"/>
    <row r="118" ht="15.95" customHeight="1"/>
    <row r="119" ht="15.95" customHeight="1"/>
    <row r="120" ht="15.95" customHeight="1"/>
    <row r="121" ht="15.95" customHeight="1"/>
    <row r="122" ht="15.95" customHeight="1"/>
    <row r="123" ht="15.95" customHeight="1"/>
    <row r="124" ht="15.95" customHeight="1"/>
    <row r="125" ht="15.95" customHeight="1"/>
    <row r="126" ht="15.95" customHeight="1"/>
    <row r="127" ht="15.95" customHeight="1"/>
    <row r="128" ht="15.95" customHeight="1"/>
    <row r="129" ht="15.95" customHeight="1"/>
    <row r="130" ht="15.95" customHeight="1"/>
    <row r="131" ht="15.95" customHeight="1"/>
    <row r="132" ht="15.95" customHeight="1"/>
    <row r="133" ht="15.95" customHeight="1"/>
    <row r="134" ht="15.95" customHeight="1"/>
    <row r="135" ht="15.95" customHeight="1"/>
    <row r="136" ht="15.95" customHeight="1"/>
    <row r="137" ht="15.95" customHeight="1"/>
    <row r="138" ht="15.95" customHeight="1"/>
    <row r="139" ht="15.95" customHeight="1"/>
    <row r="140" ht="15.95" customHeight="1"/>
    <row r="141" ht="15.95" customHeight="1"/>
    <row r="142" ht="15.95" customHeight="1"/>
    <row r="143" ht="15.95" customHeight="1"/>
    <row r="144" ht="15.95" customHeight="1"/>
    <row r="145" ht="15.95" customHeight="1"/>
    <row r="146" ht="15.95" customHeight="1"/>
    <row r="147" ht="15.95" customHeight="1"/>
    <row r="148" ht="15.95" customHeight="1"/>
    <row r="149" ht="15.95" customHeight="1"/>
    <row r="150" ht="15.95" customHeight="1"/>
    <row r="151" ht="15.95" customHeight="1"/>
    <row r="152" ht="15.95" customHeight="1"/>
    <row r="153" ht="15.95" customHeight="1"/>
    <row r="154" ht="15.95" customHeight="1"/>
    <row r="155" ht="15.95" customHeight="1"/>
    <row r="156" ht="15.95" customHeight="1"/>
    <row r="157" ht="15.95" customHeight="1"/>
    <row r="158" ht="15.95" customHeight="1"/>
    <row r="159" ht="15.95" customHeight="1"/>
    <row r="160" ht="15.95" customHeight="1"/>
    <row r="161" ht="15.95" customHeight="1"/>
    <row r="162" ht="15.95" customHeight="1"/>
    <row r="163" ht="15.95" customHeight="1"/>
    <row r="164" ht="15.95" customHeight="1"/>
    <row r="165" ht="15.95" customHeight="1"/>
    <row r="166" ht="15.95" customHeight="1"/>
    <row r="167" ht="15.95" customHeight="1"/>
    <row r="168" ht="15.95" customHeight="1"/>
    <row r="169" ht="15.95" customHeight="1"/>
    <row r="170" ht="15.95" customHeight="1"/>
    <row r="171" ht="15.95" customHeight="1"/>
    <row r="172" ht="15.95" customHeight="1"/>
    <row r="173" ht="15.95" customHeight="1"/>
    <row r="174" ht="15.95" customHeight="1"/>
    <row r="175" ht="15.95" customHeight="1"/>
    <row r="176" ht="15.95" customHeight="1"/>
    <row r="177" ht="15.95" customHeight="1"/>
    <row r="178" ht="15.95" customHeight="1"/>
    <row r="179" ht="15.95" customHeight="1"/>
    <row r="180" ht="15.95" customHeight="1"/>
    <row r="181" ht="15.95" customHeight="1"/>
    <row r="182" ht="15.95" customHeight="1"/>
    <row r="183" ht="15.95" customHeight="1"/>
    <row r="184" ht="15.95" customHeight="1"/>
    <row r="185" ht="15.95" customHeight="1"/>
    <row r="186" ht="15.95" customHeight="1"/>
    <row r="187" ht="15.95" customHeight="1"/>
    <row r="188" ht="15.95" customHeight="1"/>
    <row r="189" ht="15.95" customHeight="1"/>
    <row r="190" ht="15.95" customHeight="1"/>
    <row r="191" ht="15.95" customHeight="1"/>
    <row r="192" ht="15.95" customHeight="1"/>
    <row r="193" ht="15.95" customHeight="1"/>
    <row r="194" ht="15.95" customHeight="1"/>
    <row r="195" ht="15.95" customHeight="1"/>
    <row r="196" ht="15.95" customHeight="1"/>
    <row r="197" ht="15.95" customHeight="1"/>
    <row r="198" ht="15.95" customHeight="1"/>
    <row r="199" ht="15.95" customHeight="1"/>
    <row r="200" ht="15.95" customHeight="1"/>
    <row r="201" ht="15.95" customHeight="1"/>
    <row r="202" ht="15.95" customHeight="1"/>
    <row r="203" ht="15.95" customHeight="1"/>
    <row r="204" ht="15.95" customHeight="1"/>
    <row r="205" ht="15.95" customHeight="1"/>
    <row r="206" ht="15.95" customHeight="1"/>
    <row r="207" ht="15.95" customHeight="1"/>
    <row r="208" ht="15.95" customHeight="1"/>
    <row r="209" ht="15.95" customHeight="1"/>
    <row r="210" ht="15.95" customHeight="1"/>
    <row r="211" ht="15.95" customHeight="1"/>
    <row r="212" ht="15.95" customHeight="1"/>
    <row r="213" ht="15.95" customHeight="1"/>
    <row r="214" ht="15.95" customHeight="1"/>
    <row r="215" ht="15.95" customHeight="1"/>
    <row r="216" ht="15.95" customHeight="1"/>
    <row r="217" ht="15.95" customHeight="1"/>
    <row r="218" ht="15.95" customHeight="1"/>
    <row r="219" ht="15.95" customHeight="1"/>
    <row r="220" ht="15.95" customHeight="1"/>
    <row r="221" ht="15.95" customHeight="1"/>
    <row r="222" ht="15.95" customHeight="1"/>
    <row r="223" ht="15.95" customHeight="1"/>
    <row r="224" ht="15.95" customHeight="1"/>
    <row r="225" ht="15.95" customHeight="1"/>
    <row r="226" ht="15.95" customHeight="1"/>
    <row r="227" ht="15.95" customHeight="1"/>
    <row r="228" ht="15.95" customHeight="1"/>
    <row r="229" ht="15.95" customHeight="1"/>
    <row r="230" ht="15.95" customHeight="1"/>
    <row r="231" ht="15.95" customHeight="1"/>
    <row r="232" ht="15.95" customHeight="1"/>
    <row r="233" ht="15.95" customHeight="1"/>
    <row r="234" ht="15.95" customHeight="1"/>
    <row r="235" ht="15.95" customHeight="1"/>
    <row r="236" ht="15.95" customHeight="1"/>
    <row r="237" ht="15.95" customHeight="1"/>
    <row r="238" ht="15.95" customHeight="1"/>
    <row r="239" ht="15.95" customHeight="1"/>
    <row r="240" ht="15.95" customHeight="1"/>
    <row r="241" ht="15.95" customHeight="1"/>
    <row r="242" ht="15.95" customHeight="1"/>
    <row r="243" ht="15.95" customHeight="1"/>
    <row r="244" ht="15.95" customHeight="1"/>
    <row r="245" ht="15.95" customHeight="1"/>
    <row r="246" ht="15.95" customHeight="1"/>
    <row r="247" ht="15.95" customHeight="1"/>
    <row r="248" ht="15.95" customHeight="1"/>
    <row r="249" ht="15.95" customHeight="1"/>
  </sheetData>
  <mergeCells count="11">
    <mergeCell ref="K12:K13"/>
    <mergeCell ref="B12:C12"/>
    <mergeCell ref="D12:G12"/>
    <mergeCell ref="H12:I12"/>
    <mergeCell ref="A12:A13"/>
    <mergeCell ref="J12:J13"/>
    <mergeCell ref="A2:I2"/>
    <mergeCell ref="A3:I3"/>
    <mergeCell ref="A4:I4"/>
    <mergeCell ref="A5:I5"/>
    <mergeCell ref="A11:J11"/>
  </mergeCells>
  <printOptions horizontalCentered="1"/>
  <pageMargins left="0.23622047244094499" right="0.23622047244094499" top="0.55118110236220497" bottom="0.43307086614173201" header="0.31496062992126" footer="0.31496062992126"/>
  <pageSetup paperSize="9" scale="69" fitToHeight="0" orientation="portrait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view="pageBreakPreview" topLeftCell="A4" zoomScale="99" zoomScaleNormal="100" workbookViewId="0">
      <selection activeCell="A16" sqref="A16:L16"/>
    </sheetView>
  </sheetViews>
  <sheetFormatPr defaultColWidth="9" defaultRowHeight="14.45"/>
  <cols>
    <col min="1" max="1" width="35.125" customWidth="1"/>
  </cols>
  <sheetData>
    <row r="1" spans="1:12" s="1" customFormat="1" ht="52.5" customHeight="1"/>
    <row r="2" spans="1:12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2" s="1" customFormat="1" ht="8.25" customHeight="1"/>
    <row r="7" spans="1:12" s="1" customFormat="1" ht="12" customHeight="1">
      <c r="A7" s="1" t="s">
        <v>4</v>
      </c>
      <c r="C7" s="4" t="s">
        <v>103</v>
      </c>
      <c r="D7" s="4"/>
      <c r="G7" s="4" t="s">
        <v>6</v>
      </c>
      <c r="H7" s="5"/>
    </row>
    <row r="8" spans="1:12" s="1" customFormat="1" ht="12" customHeight="1">
      <c r="C8" s="6"/>
      <c r="G8" s="6"/>
      <c r="H8" s="6"/>
    </row>
    <row r="9" spans="1:12" s="1" customFormat="1" ht="12" customHeight="1">
      <c r="A9" s="1" t="s">
        <v>7</v>
      </c>
      <c r="C9" s="4" t="s">
        <v>104</v>
      </c>
      <c r="D9" s="4"/>
      <c r="G9" s="4" t="s">
        <v>9</v>
      </c>
      <c r="H9" s="7"/>
    </row>
    <row r="10" spans="1:12" ht="16.5" customHeight="1">
      <c r="A10" s="37" t="s">
        <v>105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</row>
    <row r="11" spans="1:12" s="2" customFormat="1" ht="18.75" customHeight="1">
      <c r="A11" s="55" t="s">
        <v>11</v>
      </c>
      <c r="B11" s="43" t="s">
        <v>12</v>
      </c>
      <c r="C11" s="44"/>
      <c r="D11" s="44"/>
      <c r="E11" s="44"/>
      <c r="F11" s="44"/>
      <c r="G11" s="44"/>
      <c r="H11" s="44"/>
      <c r="I11" s="44"/>
      <c r="J11" s="44"/>
      <c r="K11" s="44"/>
      <c r="L11" s="57" t="s">
        <v>15</v>
      </c>
    </row>
    <row r="12" spans="1:12" s="2" customFormat="1" ht="24" customHeight="1">
      <c r="A12" s="56"/>
      <c r="B12" s="45" t="s">
        <v>106</v>
      </c>
      <c r="C12" s="46"/>
      <c r="D12" s="46"/>
      <c r="E12" s="47"/>
      <c r="F12" s="45" t="s">
        <v>107</v>
      </c>
      <c r="G12" s="47"/>
      <c r="H12" s="45" t="s">
        <v>108</v>
      </c>
      <c r="I12" s="47"/>
      <c r="J12" s="45" t="s">
        <v>109</v>
      </c>
      <c r="K12" s="47"/>
      <c r="L12" s="58"/>
    </row>
    <row r="13" spans="1:12" s="2" customFormat="1" ht="24.95" customHeight="1">
      <c r="A13" s="8" t="s">
        <v>110</v>
      </c>
      <c r="B13" s="48" t="s">
        <v>111</v>
      </c>
      <c r="C13" s="49"/>
      <c r="D13" s="49"/>
      <c r="E13" s="50"/>
      <c r="F13" s="9">
        <v>1</v>
      </c>
      <c r="G13" s="10"/>
      <c r="H13" s="48">
        <v>0</v>
      </c>
      <c r="I13" s="50"/>
      <c r="J13" s="48">
        <v>1</v>
      </c>
      <c r="K13" s="50"/>
      <c r="L13" s="14">
        <v>1</v>
      </c>
    </row>
    <row r="14" spans="1:12" s="3" customFormat="1" ht="25.5" customHeight="1">
      <c r="A14" s="8" t="s">
        <v>112</v>
      </c>
      <c r="B14" s="48" t="s">
        <v>111</v>
      </c>
      <c r="C14" s="49"/>
      <c r="D14" s="49"/>
      <c r="E14" s="50"/>
      <c r="F14" s="9"/>
      <c r="G14" s="10"/>
      <c r="H14" s="48">
        <v>1</v>
      </c>
      <c r="I14" s="50"/>
      <c r="J14" s="48">
        <v>0</v>
      </c>
      <c r="K14" s="50"/>
      <c r="L14" s="15">
        <v>0</v>
      </c>
    </row>
    <row r="15" spans="1:12" s="3" customFormat="1">
      <c r="A15" s="11" t="s">
        <v>113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6"/>
    </row>
    <row r="16" spans="1:12" ht="18.9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</row>
    <row r="17" spans="1:3" s="1" customFormat="1">
      <c r="A17" s="1" t="s">
        <v>99</v>
      </c>
      <c r="C17" s="13"/>
    </row>
    <row r="18" spans="1:3" s="1" customFormat="1">
      <c r="C18" s="13"/>
    </row>
    <row r="19" spans="1:3">
      <c r="A19" s="52" t="s">
        <v>100</v>
      </c>
      <c r="B19" s="52"/>
    </row>
    <row r="20" spans="1:3">
      <c r="A20" s="53" t="s">
        <v>101</v>
      </c>
      <c r="B20" s="53"/>
    </row>
    <row r="21" spans="1:3">
      <c r="A21" s="54" t="s">
        <v>114</v>
      </c>
      <c r="B21" s="54"/>
    </row>
  </sheetData>
  <mergeCells count="22">
    <mergeCell ref="A16:L16"/>
    <mergeCell ref="A19:B19"/>
    <mergeCell ref="A20:B20"/>
    <mergeCell ref="A21:B21"/>
    <mergeCell ref="A11:A12"/>
    <mergeCell ref="L11:L12"/>
    <mergeCell ref="B13:E13"/>
    <mergeCell ref="H13:I13"/>
    <mergeCell ref="J13:K13"/>
    <mergeCell ref="B14:E14"/>
    <mergeCell ref="H14:I14"/>
    <mergeCell ref="J14:K14"/>
    <mergeCell ref="B11:K11"/>
    <mergeCell ref="B12:E12"/>
    <mergeCell ref="F12:G12"/>
    <mergeCell ref="H12:I12"/>
    <mergeCell ref="J12:K12"/>
    <mergeCell ref="A2:L2"/>
    <mergeCell ref="A3:L3"/>
    <mergeCell ref="A4:L4"/>
    <mergeCell ref="A5:L5"/>
    <mergeCell ref="A10:L10"/>
  </mergeCells>
  <printOptions horizontalCentered="1"/>
  <pageMargins left="0.7" right="0.7" top="0.75" bottom="0.75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JOCELYN MAMUGAY</cp:lastModifiedBy>
  <cp:revision/>
  <dcterms:created xsi:type="dcterms:W3CDTF">2021-10-07T06:10:00Z</dcterms:created>
  <dcterms:modified xsi:type="dcterms:W3CDTF">2026-01-23T05:52:01Z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B852C53CCBD04E4C80E01F38487D3A03_12</vt:lpwstr>
  </property>
  <property fmtid="{D5CDD505-2E9C-101B-9397-08002B2CF9AE}" pid="3" name="KSOProductBuildVer">
    <vt:lpwstr>1033-12.2.0.23196</vt:lpwstr>
  </property>
</Properties>
</file>