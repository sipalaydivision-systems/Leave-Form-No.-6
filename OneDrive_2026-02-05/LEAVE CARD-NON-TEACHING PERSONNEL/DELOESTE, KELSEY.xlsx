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RITON\Desktop\LEAVE CARD-NON-TEACHING PERSONNEL\"/>
    </mc:Choice>
  </mc:AlternateContent>
  <xr:revisionPtr revIDLastSave="0" documentId="13_ncr:1_{A93F3A7E-1271-44D7-93FA-DE348854AC4A}" xr6:coauthVersionLast="47" xr6:coauthVersionMax="47" xr10:uidLastSave="{00000000-0000-0000-0000-000000000000}"/>
  <bookViews>
    <workbookView xWindow="0" yWindow="720" windowWidth="28800" windowHeight="15480" xr2:uid="{C532281A-DA89-4ACA-8363-B39317021647}"/>
  </bookViews>
  <sheets>
    <sheet name="Leave Card (NE)" sheetId="6" r:id="rId1"/>
    <sheet name="ELECTION" sheetId="9" r:id="rId2"/>
    <sheet name="CTO" sheetId="10" r:id="rId3"/>
  </sheets>
  <definedNames>
    <definedName name="_xlnm.Print_Area" localSheetId="0">'Leave Card (NE)'!$A$1:$J$83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8" i="6" l="1"/>
  <c r="I78" i="6"/>
  <c r="J78" i="6"/>
  <c r="B54" i="6"/>
  <c r="B15" i="6" l="1"/>
  <c r="I14" i="6" l="1"/>
  <c r="I15" i="6" s="1"/>
  <c r="I16" i="6" s="1"/>
  <c r="I17" i="6" s="1"/>
  <c r="I18" i="6" s="1"/>
  <c r="I19" i="6" s="1"/>
  <c r="I20" i="6" s="1"/>
  <c r="I21" i="6" s="1"/>
  <c r="I22" i="6" s="1"/>
  <c r="I23" i="6" s="1"/>
  <c r="I24" i="6" s="1"/>
  <c r="I25" i="6" s="1"/>
  <c r="I26" i="6" s="1"/>
  <c r="I27" i="6" s="1"/>
  <c r="I28" i="6" s="1"/>
  <c r="I29" i="6" s="1"/>
  <c r="I30" i="6" s="1"/>
  <c r="I31" i="6" s="1"/>
  <c r="I32" i="6" s="1"/>
  <c r="I33" i="6" s="1"/>
  <c r="I34" i="6" s="1"/>
  <c r="I35" i="6" s="1"/>
  <c r="I36" i="6" s="1"/>
  <c r="I37" i="6" s="1"/>
  <c r="I38" i="6" s="1"/>
  <c r="I39" i="6" s="1"/>
  <c r="I40" i="6" s="1"/>
  <c r="I41" i="6" s="1"/>
  <c r="I42" i="6" s="1"/>
  <c r="I43" i="6" s="1"/>
  <c r="I44" i="6" s="1"/>
  <c r="I45" i="6" s="1"/>
  <c r="I46" i="6" s="1"/>
  <c r="I47" i="6" s="1"/>
  <c r="I48" i="6" s="1"/>
  <c r="I49" i="6" s="1"/>
  <c r="I50" i="6" s="1"/>
  <c r="I51" i="6" s="1"/>
  <c r="I52" i="6" s="1"/>
  <c r="I53" i="6" s="1"/>
  <c r="I54" i="6" s="1"/>
  <c r="I55" i="6" s="1"/>
  <c r="I56" i="6" s="1"/>
  <c r="I57" i="6" s="1"/>
  <c r="I58" i="6" s="1"/>
  <c r="I59" i="6" s="1"/>
  <c r="I60" i="6" s="1"/>
  <c r="I61" i="6" s="1"/>
  <c r="I62" i="6" s="1"/>
  <c r="I63" i="6" s="1"/>
  <c r="I64" i="6" s="1"/>
  <c r="I65" i="6" s="1"/>
  <c r="I66" i="6" s="1"/>
  <c r="I67" i="6" s="1"/>
  <c r="I68" i="6" s="1"/>
  <c r="I69" i="6" s="1"/>
  <c r="I70" i="6" s="1"/>
  <c r="I71" i="6" s="1"/>
  <c r="I72" i="6" s="1"/>
  <c r="I73" i="6" s="1"/>
  <c r="I74" i="6" s="1"/>
  <c r="I75" i="6" s="1"/>
  <c r="I76" i="6" s="1"/>
  <c r="I77" i="6" s="1"/>
  <c r="H14" i="6"/>
  <c r="H15" i="6" s="1"/>
  <c r="H16" i="6" s="1"/>
  <c r="H17" i="6" l="1"/>
  <c r="J16" i="6"/>
  <c r="J15" i="6"/>
  <c r="J14" i="6"/>
  <c r="H18" i="6" l="1"/>
  <c r="J17" i="6"/>
  <c r="J18" i="6" l="1"/>
  <c r="H19" i="6"/>
  <c r="H20" i="6" l="1"/>
  <c r="J19" i="6"/>
  <c r="J20" i="6" l="1"/>
  <c r="H21" i="6"/>
  <c r="J21" i="6" l="1"/>
  <c r="H22" i="6"/>
  <c r="H23" i="6" l="1"/>
  <c r="J22" i="6"/>
  <c r="J23" i="6" l="1"/>
  <c r="H24" i="6"/>
  <c r="J24" i="6" l="1"/>
  <c r="H25" i="6"/>
  <c r="J25" i="6" l="1"/>
  <c r="H26" i="6"/>
  <c r="H27" i="6" l="1"/>
  <c r="J26" i="6"/>
  <c r="J27" i="6" l="1"/>
  <c r="H28" i="6"/>
  <c r="H29" i="6" l="1"/>
  <c r="J28" i="6"/>
  <c r="J29" i="6" l="1"/>
  <c r="H30" i="6"/>
  <c r="H31" i="6" l="1"/>
  <c r="J30" i="6"/>
  <c r="J31" i="6" l="1"/>
  <c r="H32" i="6"/>
  <c r="H33" i="6" l="1"/>
  <c r="J32" i="6"/>
  <c r="J33" i="6" l="1"/>
  <c r="H34" i="6"/>
  <c r="H35" i="6" l="1"/>
  <c r="J34" i="6"/>
  <c r="J35" i="6" l="1"/>
  <c r="H36" i="6"/>
  <c r="J36" i="6" l="1"/>
  <c r="H37" i="6"/>
  <c r="J37" i="6" l="1"/>
  <c r="H38" i="6"/>
  <c r="J38" i="6" l="1"/>
  <c r="H39" i="6"/>
  <c r="J39" i="6" l="1"/>
  <c r="H40" i="6"/>
  <c r="H41" i="6" l="1"/>
  <c r="J40" i="6"/>
  <c r="J41" i="6" l="1"/>
  <c r="H42" i="6"/>
  <c r="J42" i="6" l="1"/>
  <c r="H43" i="6"/>
  <c r="J43" i="6" l="1"/>
  <c r="H44" i="6"/>
  <c r="J44" i="6" l="1"/>
  <c r="H45" i="6"/>
  <c r="H46" i="6" l="1"/>
  <c r="J45" i="6"/>
  <c r="H47" i="6" l="1"/>
  <c r="J46" i="6"/>
  <c r="J47" i="6" l="1"/>
  <c r="H48" i="6"/>
  <c r="J48" i="6" l="1"/>
  <c r="H49" i="6"/>
  <c r="J49" i="6" l="1"/>
  <c r="H50" i="6"/>
  <c r="J50" i="6" l="1"/>
  <c r="H51" i="6"/>
  <c r="J51" i="6" l="1"/>
  <c r="H52" i="6"/>
  <c r="H53" i="6" l="1"/>
  <c r="J52" i="6"/>
  <c r="J53" i="6" l="1"/>
  <c r="H54" i="6"/>
  <c r="H55" i="6" l="1"/>
  <c r="J54" i="6"/>
  <c r="H56" i="6" l="1"/>
  <c r="J55" i="6"/>
  <c r="J56" i="6" l="1"/>
  <c r="H57" i="6"/>
  <c r="H58" i="6" l="1"/>
  <c r="J57" i="6"/>
  <c r="J58" i="6" l="1"/>
  <c r="H59" i="6"/>
  <c r="H60" i="6" l="1"/>
  <c r="J59" i="6"/>
  <c r="J60" i="6" l="1"/>
  <c r="H61" i="6"/>
  <c r="J61" i="6" l="1"/>
  <c r="H62" i="6"/>
  <c r="J62" i="6" l="1"/>
  <c r="H63" i="6"/>
  <c r="H64" i="6" l="1"/>
  <c r="J63" i="6"/>
  <c r="J64" i="6" l="1"/>
  <c r="H65" i="6"/>
  <c r="J65" i="6" l="1"/>
  <c r="H66" i="6"/>
  <c r="H67" i="6" l="1"/>
  <c r="J66" i="6"/>
  <c r="J67" i="6" l="1"/>
  <c r="H68" i="6"/>
  <c r="H69" i="6" l="1"/>
  <c r="J68" i="6"/>
  <c r="J69" i="6" l="1"/>
  <c r="H70" i="6"/>
  <c r="J70" i="6" l="1"/>
  <c r="H71" i="6"/>
  <c r="H72" i="6" l="1"/>
  <c r="J71" i="6"/>
  <c r="J72" i="6" l="1"/>
  <c r="H73" i="6"/>
  <c r="J73" i="6" l="1"/>
  <c r="H74" i="6"/>
  <c r="J74" i="6" l="1"/>
  <c r="H75" i="6"/>
  <c r="J75" i="6" l="1"/>
  <c r="H76" i="6"/>
  <c r="J76" i="6" l="1"/>
  <c r="H77" i="6"/>
  <c r="J77" i="6" s="1"/>
</calcChain>
</file>

<file path=xl/sharedStrings.xml><?xml version="1.0" encoding="utf-8"?>
<sst xmlns="http://schemas.openxmlformats.org/spreadsheetml/2006/main" count="162" uniqueCount="132">
  <si>
    <t>SERVICE LEAVE CARD</t>
  </si>
  <si>
    <t>VACATION</t>
  </si>
  <si>
    <t>SICK</t>
  </si>
  <si>
    <t>FORCED</t>
  </si>
  <si>
    <t>PERIOD COVERED</t>
  </si>
  <si>
    <t>LEAVE EARNED</t>
  </si>
  <si>
    <t>LEAVE SPENT</t>
  </si>
  <si>
    <t>BALANCE</t>
  </si>
  <si>
    <t>TOTAL</t>
  </si>
  <si>
    <t>EMP. NO  :</t>
  </si>
  <si>
    <t>STATION   :</t>
  </si>
  <si>
    <t>ADD: 01/01/22 - 02/28/22</t>
  </si>
  <si>
    <t>ADD: 03/01/22 - 04/30/22</t>
  </si>
  <si>
    <t>SPECIAL PRIVILEGE</t>
  </si>
  <si>
    <t>Republic of the Philippines</t>
  </si>
  <si>
    <t>Department of Education</t>
  </si>
  <si>
    <t>REGION VI-WESTERN VISAYAS</t>
  </si>
  <si>
    <t>SCHOOLS DIVISION OF SIPALAY CITY</t>
  </si>
  <si>
    <t>ADD: 07/01/22 - 07/31/22</t>
  </si>
  <si>
    <t>ADD: 08/01/22 - 08/31/22</t>
  </si>
  <si>
    <t xml:space="preserve">  </t>
  </si>
  <si>
    <t>Name: _____________________________</t>
  </si>
  <si>
    <t>DISTRICT: ___________________________</t>
  </si>
  <si>
    <t>POSITION: __________________________</t>
  </si>
  <si>
    <t>SCHOOL/OFFICE:_____________________</t>
  </si>
  <si>
    <t>DATE OF ORIGINAL APPOINTMENT: FEBRUARY 17, 2020</t>
  </si>
  <si>
    <t>ADD: 2/17/2020 - 2/29/2020</t>
  </si>
  <si>
    <t>ADD: 03/01/2022 - 12/31/2020</t>
  </si>
  <si>
    <t>LESS: FL 12/17, 18, 21, 22 &amp; 23/2020</t>
  </si>
  <si>
    <t>LESS: 05/21 &amp; 24/2021</t>
  </si>
  <si>
    <t>ADD: 01/01/2021 - 04/31/2021</t>
  </si>
  <si>
    <t>LESS: 05/14/2021</t>
  </si>
  <si>
    <t>ADD: 5/01/2021 - 06/30/2021</t>
  </si>
  <si>
    <t>ADD: 07/01/2021 - 08/31/2021</t>
  </si>
  <si>
    <t>LESS: 09/22, 23 &amp;24/2021</t>
  </si>
  <si>
    <t>ADD: 09/01/2021 - 09/30/2021</t>
  </si>
  <si>
    <t>LESS: MONETIZATION 2021</t>
  </si>
  <si>
    <t>ADD: 10/01/2021 - 12/31/2021</t>
  </si>
  <si>
    <t>LESS: 04/18/22</t>
  </si>
  <si>
    <t>ADD: 05/01/22 - 06/30/22</t>
  </si>
  <si>
    <t>LESS: 07/08/22</t>
  </si>
  <si>
    <t>LESS: 07/27/22</t>
  </si>
  <si>
    <t>LESS: 09/12, 13, 14 &amp; 15/22</t>
  </si>
  <si>
    <t>LESS: MONETIZATION 2022</t>
  </si>
  <si>
    <t>ADD: 09/01/22 - 12/31/22</t>
  </si>
  <si>
    <t>LESS: 01/27/2023</t>
  </si>
  <si>
    <t>LESS: 9/14/2021</t>
  </si>
  <si>
    <t>LESS: 7/19, 20 &amp; 21/2021</t>
  </si>
  <si>
    <t>LESS: 02/21/22</t>
  </si>
  <si>
    <t>LESS: 05/25/22</t>
  </si>
  <si>
    <t>ADD: 01/01/23 - 01/31/23</t>
  </si>
  <si>
    <t>LESS: 02/20 &amp; 21/2023</t>
  </si>
  <si>
    <t>ADD: 02/01/23 - 02/28/23</t>
  </si>
  <si>
    <t>LESS: 02/22/23</t>
  </si>
  <si>
    <t>ADD: 03/01/23 - 03/31/23</t>
  </si>
  <si>
    <t>LESS: 04/28 &amp; 05/02/23</t>
  </si>
  <si>
    <t>LESS: 06/09/2023</t>
  </si>
  <si>
    <t>LESS: 08/04/2023</t>
  </si>
  <si>
    <t>ADD: 08/01/23 - 08/31/23</t>
  </si>
  <si>
    <t>LESS: MONETIZATION 2023</t>
  </si>
  <si>
    <t>DISTRICT                : _______________________</t>
  </si>
  <si>
    <t>EMPLOYEE NO    : __________</t>
  </si>
  <si>
    <t>SCHOOL/OFFICE : OSDS</t>
  </si>
  <si>
    <t>STATION CODE    : __________</t>
  </si>
  <si>
    <t>DIVISION CODE   : __________</t>
  </si>
  <si>
    <t>SPECIAL ORDER FOR ELECTION (NATONAL/BARANGAY AND SK ELECTION)</t>
  </si>
  <si>
    <t>SPECIAL ORDER NO. AND DATE ISSUED</t>
  </si>
  <si>
    <t>NATIONAL ELECTION</t>
  </si>
  <si>
    <t>No. of Days Granted</t>
  </si>
  <si>
    <t>No. of Days Used</t>
  </si>
  <si>
    <t>Balance</t>
  </si>
  <si>
    <t>S.0 # 051, S. 2022, JULY 1, 2022</t>
  </si>
  <si>
    <t xml:space="preserve"> MAY 9, 2022 NATIONAL AND LOCAL ELECTION</t>
  </si>
  <si>
    <t>NAME          : KELSEY MAE V. DELOESTE</t>
  </si>
  <si>
    <t>POSITION   : AO II</t>
  </si>
  <si>
    <t>LESS: 09/22/2023</t>
  </si>
  <si>
    <t>ADD: 09/01/2023-09/30/2023</t>
  </si>
  <si>
    <t>ADD: 10/01/2023-12/31/2023</t>
  </si>
  <si>
    <t>LESS: 01/18-19/2024</t>
  </si>
  <si>
    <t>ADD: 01/01-31/2024</t>
  </si>
  <si>
    <t>ADD: 02/1/2024-03/31/2024</t>
  </si>
  <si>
    <t>LESS: 04/22/2024</t>
  </si>
  <si>
    <t>ADD: 04/1/2024-05/31/2024</t>
  </si>
  <si>
    <t>LESS: 06/27, 28 &amp; 07/01/2024</t>
  </si>
  <si>
    <t>ADD: JUNE-JULY 31, 2024</t>
  </si>
  <si>
    <t>LESS: MONETIZATION 2024</t>
  </si>
  <si>
    <t>ADD: 08/1/2024-10/31/2024</t>
  </si>
  <si>
    <t>LESS: 11/8/2024</t>
  </si>
  <si>
    <t>LESS: 11/29/2024</t>
  </si>
  <si>
    <t>ADD: 11/1/2024-12/31/2024</t>
  </si>
  <si>
    <t>LESS: 01/17/2025</t>
  </si>
  <si>
    <t>COMPENSATORY TIME OFF (CTO)</t>
  </si>
  <si>
    <t>Special Order No. and Date Issued</t>
  </si>
  <si>
    <t>ADD: 04/17/2023</t>
  </si>
  <si>
    <t>SO # 050, S.2023, PALARONG PANLALAWIGAN 2023</t>
  </si>
  <si>
    <t>LESS: 05/05/2023</t>
  </si>
  <si>
    <t>LESS: 05/15/2023</t>
  </si>
  <si>
    <t>ADD: 07/10/2023</t>
  </si>
  <si>
    <t>SO # 059, S.2023, BSP DIVISION CAMPOREE</t>
  </si>
  <si>
    <t>LESS: 08/02/2023</t>
  </si>
  <si>
    <t>LESS: 08/29/2023</t>
  </si>
  <si>
    <t>LESS: 09/07/2023</t>
  </si>
  <si>
    <t>ADD: 06/26/2024</t>
  </si>
  <si>
    <t>NOTE:  Valid for one (1) year only</t>
  </si>
  <si>
    <t>Certified Correct:</t>
  </si>
  <si>
    <t>MA. LUISA B. CATIGAN</t>
  </si>
  <si>
    <t>Administrative Officer IV</t>
  </si>
  <si>
    <t>HRMO</t>
  </si>
  <si>
    <t>SO # 024, S.2024, 126TH PHIL IND DAY</t>
  </si>
  <si>
    <t>LESS: 02/7/2025</t>
  </si>
  <si>
    <t>ADD: 1/1/2025-02/28/2025</t>
  </si>
  <si>
    <t>LESS: 03/7/2025</t>
  </si>
  <si>
    <t>LESS: 03/20-21/2025</t>
  </si>
  <si>
    <t>ADD: 02/5/2025</t>
  </si>
  <si>
    <t>SO # 002, S.2025, RIZAL DAY 2024</t>
  </si>
  <si>
    <t>LESS: 04/21/2025</t>
  </si>
  <si>
    <t>LESS: 06/2-5/2025</t>
  </si>
  <si>
    <t>S.0 # 010, S. 2024</t>
  </si>
  <si>
    <t>RELEASED DATE</t>
  </si>
  <si>
    <t>APRIL 30, 2024</t>
  </si>
  <si>
    <t>LESS: 06/9, 10, 11, 13/2025</t>
  </si>
  <si>
    <t>JULY 01, 2022</t>
  </si>
  <si>
    <t>OCTOBER 30, 2023 BRGY. &amp; SK ELECTON</t>
  </si>
  <si>
    <t>ADD: 03/1/2025-06/30/2025</t>
  </si>
  <si>
    <t>LESS: MONETIZATION 2025</t>
  </si>
  <si>
    <t>ADD: 04/01/23 - 07/31/23</t>
  </si>
  <si>
    <t>LESS: 07/8/2025</t>
  </si>
  <si>
    <t>ADD: 07/1-31/2025</t>
  </si>
  <si>
    <t>LESS: 08/20/2025</t>
  </si>
  <si>
    <t>ADD: 08/1/2025-10/31/2025</t>
  </si>
  <si>
    <t>LESS: 11/13/2025 - 12/12/2025 -BED REST</t>
  </si>
  <si>
    <t>ADD: 11/1/2025-12/31/2025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</si>
</sst>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8" fillId="0" borderId="0"/>
  </cellStyleXfs>
  <cellXfs count="116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1" fillId="2" borderId="4" xfId="0" applyFont="1" applyFill="1" applyBorder="1" applyAlignment="1">
      <alignment vertical="center"/>
    </xf>
    <xf numFmtId="0" fontId="6" fillId="0" borderId="0" xfId="0" applyFont="1"/>
    <xf numFmtId="0" fontId="7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/>
    </xf>
    <xf numFmtId="0" fontId="0" fillId="2" borderId="2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/>
    </xf>
    <xf numFmtId="0" fontId="0" fillId="7" borderId="0" xfId="0" applyFill="1"/>
    <xf numFmtId="0" fontId="0" fillId="8" borderId="0" xfId="0" applyFill="1"/>
    <xf numFmtId="0" fontId="3" fillId="8" borderId="1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0" fillId="0" borderId="1" xfId="0" applyBorder="1" applyAlignment="1">
      <alignment horizontal="center" vertical="center"/>
    </xf>
    <xf numFmtId="0" fontId="8" fillId="2" borderId="0" xfId="1" applyFill="1"/>
    <xf numFmtId="0" fontId="1" fillId="2" borderId="0" xfId="1" applyFont="1" applyFill="1" applyAlignment="1">
      <alignment horizontal="center" wrapText="1"/>
    </xf>
    <xf numFmtId="0" fontId="8" fillId="2" borderId="0" xfId="1" applyFill="1" applyAlignment="1">
      <alignment horizontal="center"/>
    </xf>
    <xf numFmtId="0" fontId="1" fillId="2" borderId="0" xfId="1" applyFont="1" applyFill="1" applyAlignment="1">
      <alignment vertical="center"/>
    </xf>
    <xf numFmtId="0" fontId="1" fillId="2" borderId="0" xfId="1" applyFont="1" applyFill="1"/>
    <xf numFmtId="0" fontId="1" fillId="2" borderId="0" xfId="1" applyFont="1" applyFill="1" applyAlignment="1">
      <alignment horizontal="center"/>
    </xf>
    <xf numFmtId="0" fontId="8" fillId="0" borderId="0" xfId="1"/>
    <xf numFmtId="0" fontId="7" fillId="0" borderId="0" xfId="1" applyFont="1"/>
    <xf numFmtId="0" fontId="8" fillId="2" borderId="6" xfId="1" applyFill="1" applyBorder="1" applyAlignment="1">
      <alignment horizontal="center" vertical="center" wrapText="1"/>
    </xf>
    <xf numFmtId="0" fontId="8" fillId="2" borderId="2" xfId="1" applyFill="1" applyBorder="1" applyAlignment="1">
      <alignment horizontal="center" vertical="center" wrapText="1"/>
    </xf>
    <xf numFmtId="0" fontId="8" fillId="2" borderId="1" xfId="1" applyFill="1" applyBorder="1" applyAlignment="1">
      <alignment horizontal="center" vertical="center" wrapText="1"/>
    </xf>
    <xf numFmtId="0" fontId="0" fillId="2" borderId="1" xfId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9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8" fillId="0" borderId="1" xfId="1" applyBorder="1" applyAlignment="1">
      <alignment horizontal="center" vertical="center" wrapText="1"/>
    </xf>
    <xf numFmtId="0" fontId="8" fillId="13" borderId="1" xfId="1" applyFill="1" applyBorder="1" applyAlignment="1">
      <alignment horizontal="center" vertical="center" wrapText="1"/>
    </xf>
    <xf numFmtId="0" fontId="0" fillId="2" borderId="6" xfId="1" applyFont="1" applyFill="1" applyBorder="1" applyAlignment="1">
      <alignment horizontal="center" vertical="center" wrapText="1"/>
    </xf>
    <xf numFmtId="0" fontId="0" fillId="2" borderId="26" xfId="1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 wrapText="1"/>
    </xf>
    <xf numFmtId="164" fontId="0" fillId="2" borderId="2" xfId="0" applyNumberForma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164" fontId="0" fillId="0" borderId="1" xfId="0" applyNumberFormat="1" applyBorder="1" applyAlignment="1">
      <alignment vertical="center"/>
    </xf>
    <xf numFmtId="164" fontId="0" fillId="2" borderId="8" xfId="0" applyNumberFormat="1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164" fontId="0" fillId="0" borderId="17" xfId="0" applyNumberFormat="1" applyBorder="1" applyAlignment="1">
      <alignment horizontal="center" vertical="center"/>
    </xf>
    <xf numFmtId="164" fontId="0" fillId="2" borderId="17" xfId="0" applyNumberForma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 wrapText="1"/>
    </xf>
    <xf numFmtId="164" fontId="0" fillId="11" borderId="1" xfId="0" applyNumberFormat="1" applyFill="1" applyBorder="1" applyAlignment="1">
      <alignment horizontal="center" vertical="center"/>
    </xf>
    <xf numFmtId="164" fontId="0" fillId="14" borderId="1" xfId="0" applyNumberForma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0" fontId="3" fillId="6" borderId="6" xfId="0" applyFont="1" applyFill="1" applyBorder="1" applyAlignment="1">
      <alignment horizontal="center" vertical="center"/>
    </xf>
    <xf numFmtId="0" fontId="3" fillId="6" borderId="9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5" borderId="11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4" fillId="6" borderId="7" xfId="0" applyFont="1" applyFill="1" applyBorder="1" applyAlignment="1">
      <alignment horizontal="center" vertical="center"/>
    </xf>
    <xf numFmtId="0" fontId="4" fillId="6" borderId="14" xfId="0" applyFont="1" applyFill="1" applyBorder="1" applyAlignment="1">
      <alignment horizontal="center" vertical="center"/>
    </xf>
    <xf numFmtId="0" fontId="4" fillId="6" borderId="15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2" fillId="2" borderId="13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9" fillId="2" borderId="10" xfId="1" applyFont="1" applyFill="1" applyBorder="1" applyAlignment="1">
      <alignment horizontal="center" vertical="center" wrapText="1"/>
    </xf>
    <xf numFmtId="0" fontId="9" fillId="2" borderId="14" xfId="1" applyFont="1" applyFill="1" applyBorder="1" applyAlignment="1">
      <alignment horizontal="center" vertical="center" wrapText="1"/>
    </xf>
    <xf numFmtId="0" fontId="9" fillId="2" borderId="8" xfId="1" applyFont="1" applyFill="1" applyBorder="1" applyAlignment="1">
      <alignment horizontal="center" vertical="center" wrapText="1"/>
    </xf>
    <xf numFmtId="0" fontId="1" fillId="2" borderId="0" xfId="1" applyFont="1" applyFill="1" applyAlignment="1">
      <alignment horizontal="left" vertical="center"/>
    </xf>
    <xf numFmtId="0" fontId="1" fillId="2" borderId="0" xfId="1" applyFont="1" applyFill="1" applyAlignment="1">
      <alignment horizontal="left"/>
    </xf>
    <xf numFmtId="0" fontId="2" fillId="2" borderId="13" xfId="1" applyFont="1" applyFill="1" applyBorder="1" applyAlignment="1">
      <alignment horizontal="center" vertical="center"/>
    </xf>
    <xf numFmtId="0" fontId="3" fillId="9" borderId="5" xfId="1" applyFont="1" applyFill="1" applyBorder="1" applyAlignment="1">
      <alignment horizontal="center" vertical="center" wrapText="1"/>
    </xf>
    <xf numFmtId="0" fontId="3" fillId="9" borderId="20" xfId="1" applyFont="1" applyFill="1" applyBorder="1" applyAlignment="1">
      <alignment horizontal="center" vertical="center" wrapText="1"/>
    </xf>
    <xf numFmtId="0" fontId="3" fillId="9" borderId="6" xfId="1" applyFont="1" applyFill="1" applyBorder="1" applyAlignment="1">
      <alignment horizontal="center" vertical="center" wrapText="1"/>
    </xf>
    <xf numFmtId="0" fontId="3" fillId="9" borderId="5" xfId="1" applyFont="1" applyFill="1" applyBorder="1" applyAlignment="1">
      <alignment horizontal="center" vertical="center"/>
    </xf>
    <xf numFmtId="0" fontId="3" fillId="9" borderId="20" xfId="1" applyFont="1" applyFill="1" applyBorder="1" applyAlignment="1">
      <alignment horizontal="center" vertical="center"/>
    </xf>
    <xf numFmtId="0" fontId="3" fillId="9" borderId="6" xfId="1" applyFont="1" applyFill="1" applyBorder="1" applyAlignment="1">
      <alignment horizontal="center" vertical="center"/>
    </xf>
    <xf numFmtId="0" fontId="9" fillId="10" borderId="18" xfId="1" applyFont="1" applyFill="1" applyBorder="1" applyAlignment="1">
      <alignment horizontal="center" vertical="center" wrapText="1"/>
    </xf>
    <xf numFmtId="0" fontId="9" fillId="10" borderId="19" xfId="1" applyFont="1" applyFill="1" applyBorder="1" applyAlignment="1">
      <alignment horizontal="center" vertical="center" wrapText="1"/>
    </xf>
    <xf numFmtId="0" fontId="9" fillId="10" borderId="21" xfId="1" applyFont="1" applyFill="1" applyBorder="1" applyAlignment="1">
      <alignment horizontal="center" vertical="center" wrapText="1"/>
    </xf>
    <xf numFmtId="0" fontId="9" fillId="10" borderId="22" xfId="1" applyFont="1" applyFill="1" applyBorder="1" applyAlignment="1">
      <alignment horizontal="center" vertical="center" wrapText="1"/>
    </xf>
    <xf numFmtId="0" fontId="9" fillId="10" borderId="24" xfId="1" applyFont="1" applyFill="1" applyBorder="1" applyAlignment="1">
      <alignment horizontal="center" vertical="center" wrapText="1"/>
    </xf>
    <xf numFmtId="0" fontId="9" fillId="10" borderId="25" xfId="1" applyFont="1" applyFill="1" applyBorder="1" applyAlignment="1">
      <alignment horizontal="center" vertical="center" wrapText="1"/>
    </xf>
    <xf numFmtId="0" fontId="3" fillId="9" borderId="9" xfId="1" applyFont="1" applyFill="1" applyBorder="1" applyAlignment="1">
      <alignment horizontal="center" vertical="center"/>
    </xf>
    <xf numFmtId="0" fontId="3" fillId="9" borderId="23" xfId="1" applyFont="1" applyFill="1" applyBorder="1" applyAlignment="1">
      <alignment horizontal="center" vertical="center"/>
    </xf>
    <xf numFmtId="0" fontId="3" fillId="9" borderId="3" xfId="1" applyFont="1" applyFill="1" applyBorder="1" applyAlignment="1">
      <alignment horizontal="center" vertical="center"/>
    </xf>
    <xf numFmtId="0" fontId="8" fillId="2" borderId="0" xfId="1" applyFill="1" applyAlignment="1">
      <alignment horizontal="center" vertical="center"/>
    </xf>
    <xf numFmtId="0" fontId="3" fillId="9" borderId="5" xfId="0" applyFont="1" applyFill="1" applyBorder="1" applyAlignment="1">
      <alignment horizontal="center" vertical="center"/>
    </xf>
    <xf numFmtId="0" fontId="3" fillId="9" borderId="6" xfId="0" applyFont="1" applyFill="1" applyBorder="1" applyAlignment="1">
      <alignment horizontal="center" vertical="center"/>
    </xf>
    <xf numFmtId="0" fontId="3" fillId="12" borderId="11" xfId="0" applyFont="1" applyFill="1" applyBorder="1" applyAlignment="1">
      <alignment horizontal="center" vertical="center"/>
    </xf>
    <xf numFmtId="0" fontId="3" fillId="12" borderId="12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3" xfId="0" applyFont="1" applyFill="1" applyBorder="1" applyAlignment="1">
      <alignment horizontal="center" vertical="center"/>
    </xf>
    <xf numFmtId="0" fontId="9" fillId="10" borderId="10" xfId="0" applyFont="1" applyFill="1" applyBorder="1" applyAlignment="1">
      <alignment horizontal="center" vertical="center" wrapText="1"/>
    </xf>
    <xf numFmtId="0" fontId="9" fillId="10" borderId="14" xfId="0" applyFont="1" applyFill="1" applyBorder="1" applyAlignment="1">
      <alignment horizontal="center" vertical="center" wrapText="1"/>
    </xf>
    <xf numFmtId="0" fontId="9" fillId="10" borderId="8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164" fontId="10" fillId="0" borderId="0" xfId="0" applyNumberFormat="1" applyFont="1" applyBorder="1" applyAlignment="1">
      <alignment horizontal="center" vertical="center"/>
    </xf>
    <xf numFmtId="164" fontId="0" fillId="0" borderId="0" xfId="0" applyNumberFormat="1" applyBorder="1" applyAlignment="1">
      <alignment horizontal="center" vertical="center"/>
    </xf>
    <xf numFmtId="164" fontId="0" fillId="0" borderId="0" xfId="0" applyNumberFormat="1" applyBorder="1" applyAlignment="1">
      <alignment horizontal="center" vertical="center" wrapText="1"/>
    </xf>
  </cellXfs>
  <cellStyles count="2">
    <cellStyle name="Normal" xfId="0" builtinId="0"/>
    <cellStyle name="Normal 3" xfId="1" xr:uid="{38C494E5-0644-457C-AD43-21DD67DCF9C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576504</xdr:colOff>
      <xdr:row>80</xdr:row>
      <xdr:rowOff>286520</xdr:rowOff>
    </xdr:from>
    <xdr:to>
      <xdr:col>9</xdr:col>
      <xdr:colOff>615758</xdr:colOff>
      <xdr:row>82</xdr:row>
      <xdr:rowOff>134698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034C7E5-6C84-4F93-BEF2-1DDD7DEFBB10}"/>
            </a:ext>
          </a:extLst>
        </xdr:cNvPr>
        <xdr:cNvSpPr txBox="1"/>
      </xdr:nvSpPr>
      <xdr:spPr>
        <a:xfrm>
          <a:off x="5983625" y="13496444"/>
          <a:ext cx="3118042" cy="100272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  HRMO</a:t>
          </a:r>
          <a:endParaRPr lang="en-US" sz="1100"/>
        </a:p>
      </xdr:txBody>
    </xdr:sp>
    <xdr:clientData/>
  </xdr:twoCellAnchor>
  <xdr:twoCellAnchor editAs="oneCell">
    <xdr:from>
      <xdr:col>3</xdr:col>
      <xdr:colOff>406623</xdr:colOff>
      <xdr:row>0</xdr:row>
      <xdr:rowOff>19049</xdr:rowOff>
    </xdr:from>
    <xdr:to>
      <xdr:col>4</xdr:col>
      <xdr:colOff>299183</xdr:colOff>
      <xdr:row>0</xdr:row>
      <xdr:rowOff>635000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795FAF2-728F-4280-887C-2A0EF8DBC73F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2851" y="19049"/>
          <a:ext cx="705806" cy="615951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4</xdr:row>
      <xdr:rowOff>170961</xdr:rowOff>
    </xdr:from>
    <xdr:to>
      <xdr:col>0</xdr:col>
      <xdr:colOff>2582741</xdr:colOff>
      <xdr:row>6</xdr:row>
      <xdr:rowOff>116010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1BEE2130-3F3F-4931-985A-368D16281278}"/>
            </a:ext>
          </a:extLst>
        </xdr:cNvPr>
        <xdr:cNvSpPr txBox="1"/>
      </xdr:nvSpPr>
      <xdr:spPr>
        <a:xfrm>
          <a:off x="573942" y="1377461"/>
          <a:ext cx="2008799" cy="2498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DELOESTE, KELSEY MAE V.</a:t>
          </a:r>
        </a:p>
      </xdr:txBody>
    </xdr:sp>
    <xdr:clientData/>
  </xdr:twoCellAnchor>
  <xdr:twoCellAnchor>
    <xdr:from>
      <xdr:col>0</xdr:col>
      <xdr:colOff>616683</xdr:colOff>
      <xdr:row>7</xdr:row>
      <xdr:rowOff>61057</xdr:rowOff>
    </xdr:from>
    <xdr:to>
      <xdr:col>0</xdr:col>
      <xdr:colOff>2625482</xdr:colOff>
      <xdr:row>9</xdr:row>
      <xdr:rowOff>6105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DB91A5C6-B046-43B5-BA36-F150056248B2}"/>
            </a:ext>
          </a:extLst>
        </xdr:cNvPr>
        <xdr:cNvSpPr txBox="1"/>
      </xdr:nvSpPr>
      <xdr:spPr>
        <a:xfrm>
          <a:off x="616683" y="1724757"/>
          <a:ext cx="1996099" cy="24984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AO II</a:t>
          </a:r>
        </a:p>
      </xdr:txBody>
    </xdr:sp>
    <xdr:clientData/>
  </xdr:twoCellAnchor>
  <xdr:twoCellAnchor>
    <xdr:from>
      <xdr:col>2</xdr:col>
      <xdr:colOff>415193</xdr:colOff>
      <xdr:row>7</xdr:row>
      <xdr:rowOff>42741</xdr:rowOff>
    </xdr:from>
    <xdr:to>
      <xdr:col>4</xdr:col>
      <xdr:colOff>604471</xdr:colOff>
      <xdr:row>8</xdr:row>
      <xdr:rowOff>140434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48D084A3-ED0D-4F8A-876C-BF45AB0C5881}"/>
            </a:ext>
          </a:extLst>
        </xdr:cNvPr>
        <xdr:cNvSpPr txBox="1"/>
      </xdr:nvSpPr>
      <xdr:spPr>
        <a:xfrm>
          <a:off x="3837843" y="1706441"/>
          <a:ext cx="1814878" cy="2500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SDO SIPALAY CITY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542925</xdr:colOff>
      <xdr:row>0</xdr:row>
      <xdr:rowOff>97826</xdr:rowOff>
    </xdr:from>
    <xdr:ext cx="781092" cy="633218"/>
    <xdr:pic>
      <xdr:nvPicPr>
        <xdr:cNvPr id="2" name="Picture 1">
          <a:extLst>
            <a:ext uri="{FF2B5EF4-FFF2-40B4-BE49-F238E27FC236}">
              <a16:creationId xmlns:a16="http://schemas.microsoft.com/office/drawing/2014/main" id="{3B1ED265-A74A-470A-AB56-B8FB387C8195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829050" y="97826"/>
          <a:ext cx="781092" cy="633218"/>
        </a:xfrm>
        <a:prstGeom prst="rect">
          <a:avLst/>
        </a:prstGeom>
        <a:noFill/>
      </xdr:spPr>
    </xdr:pic>
    <xdr:clientData/>
  </xdr:oneCellAnchor>
  <xdr:twoCellAnchor>
    <xdr:from>
      <xdr:col>6</xdr:col>
      <xdr:colOff>43127</xdr:colOff>
      <xdr:row>24</xdr:row>
      <xdr:rowOff>28045</xdr:rowOff>
    </xdr:from>
    <xdr:to>
      <xdr:col>12</xdr:col>
      <xdr:colOff>300302</xdr:colOff>
      <xdr:row>29</xdr:row>
      <xdr:rowOff>94191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5854041-F976-4150-ADAF-9563F8A91471}"/>
            </a:ext>
          </a:extLst>
        </xdr:cNvPr>
        <xdr:cNvSpPr txBox="1"/>
      </xdr:nvSpPr>
      <xdr:spPr>
        <a:xfrm>
          <a:off x="6024827" y="6114520"/>
          <a:ext cx="3743325" cy="101864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769408</xdr:colOff>
      <xdr:row>11</xdr:row>
      <xdr:rowOff>16140</xdr:rowOff>
    </xdr:from>
    <xdr:to>
      <xdr:col>2</xdr:col>
      <xdr:colOff>45508</xdr:colOff>
      <xdr:row>11</xdr:row>
      <xdr:rowOff>16140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611BB817-1238-4678-A2BE-3437B2F3A4E9}"/>
            </a:ext>
          </a:extLst>
        </xdr:cNvPr>
        <xdr:cNvCxnSpPr/>
      </xdr:nvCxnSpPr>
      <xdr:spPr>
        <a:xfrm>
          <a:off x="769408" y="1778265"/>
          <a:ext cx="19812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12</xdr:row>
      <xdr:rowOff>142875</xdr:rowOff>
    </xdr:from>
    <xdr:to>
      <xdr:col>2</xdr:col>
      <xdr:colOff>28575</xdr:colOff>
      <xdr:row>12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8D5711C4-5B4F-44DF-9D99-3809DFF9A865}"/>
            </a:ext>
          </a:extLst>
        </xdr:cNvPr>
        <xdr:cNvCxnSpPr/>
      </xdr:nvCxnSpPr>
      <xdr:spPr>
        <a:xfrm>
          <a:off x="752475" y="2057400"/>
          <a:ext cx="19812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132292</xdr:colOff>
      <xdr:row>0</xdr:row>
      <xdr:rowOff>46039</xdr:rowOff>
    </xdr:from>
    <xdr:to>
      <xdr:col>5</xdr:col>
      <xdr:colOff>222250</xdr:colOff>
      <xdr:row>0</xdr:row>
      <xdr:rowOff>635001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0668FFB-B7D2-49D5-AD6F-AB9EC134267C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1342" y="46039"/>
          <a:ext cx="699558" cy="588962"/>
        </a:xfrm>
        <a:prstGeom prst="rect">
          <a:avLst/>
        </a:prstGeom>
        <a:noFill/>
      </xdr:spPr>
    </xdr:pic>
    <xdr:clientData/>
  </xdr:twoCellAnchor>
  <xdr:twoCellAnchor>
    <xdr:from>
      <xdr:col>0</xdr:col>
      <xdr:colOff>654051</xdr:colOff>
      <xdr:row>7</xdr:row>
      <xdr:rowOff>19051</xdr:rowOff>
    </xdr:from>
    <xdr:to>
      <xdr:col>0</xdr:col>
      <xdr:colOff>1720850</xdr:colOff>
      <xdr:row>8</xdr:row>
      <xdr:rowOff>114301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0E7FF07-6C04-4CB3-83AC-154881914102}"/>
            </a:ext>
          </a:extLst>
        </xdr:cNvPr>
        <xdr:cNvSpPr txBox="1"/>
      </xdr:nvSpPr>
      <xdr:spPr>
        <a:xfrm>
          <a:off x="654051" y="1676401"/>
          <a:ext cx="781049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AO II</a:t>
          </a:r>
        </a:p>
      </xdr:txBody>
    </xdr:sp>
    <xdr:clientData/>
  </xdr:twoCellAnchor>
  <xdr:twoCellAnchor>
    <xdr:from>
      <xdr:col>3</xdr:col>
      <xdr:colOff>526823</xdr:colOff>
      <xdr:row>7</xdr:row>
      <xdr:rowOff>42410</xdr:rowOff>
    </xdr:from>
    <xdr:to>
      <xdr:col>5</xdr:col>
      <xdr:colOff>463323</xdr:colOff>
      <xdr:row>10</xdr:row>
      <xdr:rowOff>10714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2B88091-ED35-4C27-A333-9E8E6640880A}"/>
            </a:ext>
          </a:extLst>
        </xdr:cNvPr>
        <xdr:cNvSpPr txBox="1"/>
      </xdr:nvSpPr>
      <xdr:spPr>
        <a:xfrm>
          <a:off x="3746273" y="1699760"/>
          <a:ext cx="1155700" cy="42550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  <xdr:twoCellAnchor>
    <xdr:from>
      <xdr:col>0</xdr:col>
      <xdr:colOff>562183</xdr:colOff>
      <xdr:row>4</xdr:row>
      <xdr:rowOff>148618</xdr:rowOff>
    </xdr:from>
    <xdr:to>
      <xdr:col>1</xdr:col>
      <xdr:colOff>1065797</xdr:colOff>
      <xdr:row>6</xdr:row>
      <xdr:rowOff>93215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517E58C1-905B-4C2B-B043-977510900D58}"/>
            </a:ext>
          </a:extLst>
        </xdr:cNvPr>
        <xdr:cNvSpPr txBox="1"/>
      </xdr:nvSpPr>
      <xdr:spPr>
        <a:xfrm>
          <a:off x="562183" y="1348768"/>
          <a:ext cx="1941889" cy="24939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DELOESTE, KELSEY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B4019-FA1B-4FBF-AFF8-E55EE122EEA8}">
  <sheetPr>
    <pageSetUpPr fitToPage="1"/>
  </sheetPr>
  <dimension ref="A1:J83"/>
  <sheetViews>
    <sheetView tabSelected="1" view="pageBreakPreview" topLeftCell="A61" zoomScale="99" zoomScaleNormal="100" zoomScaleSheetLayoutView="99" workbookViewId="0">
      <selection activeCell="F72" sqref="F72"/>
    </sheetView>
  </sheetViews>
  <sheetFormatPr defaultRowHeight="15" x14ac:dyDescent="0.25"/>
  <cols>
    <col min="1" max="1" width="36" customWidth="1"/>
    <col min="2" max="2" width="11.5703125" style="12" customWidth="1"/>
    <col min="3" max="3" width="11.5703125" style="13" customWidth="1"/>
    <col min="4" max="4" width="11.5703125" style="12" customWidth="1"/>
    <col min="5" max="5" width="11.5703125" style="13" customWidth="1"/>
    <col min="6" max="7" width="11.5703125" customWidth="1"/>
    <col min="8" max="8" width="11.5703125" style="12" customWidth="1"/>
    <col min="9" max="9" width="11.5703125" style="13" customWidth="1"/>
    <col min="10" max="10" width="11.5703125" customWidth="1"/>
  </cols>
  <sheetData>
    <row r="1" spans="1:10" s="1" customFormat="1" ht="52.5" customHeight="1" x14ac:dyDescent="0.25">
      <c r="F1"/>
    </row>
    <row r="2" spans="1:10" s="1" customFormat="1" ht="10.5" customHeight="1" x14ac:dyDescent="0.25">
      <c r="A2" s="71" t="s">
        <v>14</v>
      </c>
      <c r="B2" s="71"/>
      <c r="C2" s="71"/>
      <c r="D2" s="71"/>
      <c r="E2" s="71"/>
      <c r="F2" s="71"/>
      <c r="G2" s="71"/>
      <c r="H2" s="71"/>
      <c r="I2" s="71"/>
      <c r="J2" s="71"/>
    </row>
    <row r="3" spans="1:10" s="1" customFormat="1" ht="15.95" customHeight="1" x14ac:dyDescent="0.25">
      <c r="A3" s="71" t="s">
        <v>15</v>
      </c>
      <c r="B3" s="71"/>
      <c r="C3" s="71"/>
      <c r="D3" s="71"/>
      <c r="E3" s="71"/>
      <c r="F3" s="71"/>
      <c r="G3" s="71"/>
      <c r="H3" s="71"/>
      <c r="I3" s="71"/>
      <c r="J3" s="71"/>
    </row>
    <row r="4" spans="1:10" s="1" customFormat="1" ht="15.95" customHeight="1" x14ac:dyDescent="0.25">
      <c r="A4" s="71" t="s">
        <v>16</v>
      </c>
      <c r="B4" s="71"/>
      <c r="C4" s="71"/>
      <c r="D4" s="71"/>
      <c r="E4" s="71"/>
      <c r="F4" s="71"/>
      <c r="G4" s="71"/>
      <c r="H4" s="71"/>
      <c r="I4" s="71"/>
      <c r="J4" s="71"/>
    </row>
    <row r="5" spans="1:10" s="1" customFormat="1" ht="15.95" customHeight="1" x14ac:dyDescent="0.25">
      <c r="A5" s="71" t="s">
        <v>17</v>
      </c>
      <c r="B5" s="71"/>
      <c r="C5" s="71"/>
      <c r="D5" s="71"/>
      <c r="E5" s="71"/>
      <c r="F5" s="71"/>
      <c r="G5" s="71"/>
      <c r="H5" s="71"/>
      <c r="I5" s="71"/>
      <c r="J5" s="71"/>
    </row>
    <row r="6" spans="1:10" s="1" customFormat="1" ht="8.25" customHeight="1" x14ac:dyDescent="0.25">
      <c r="F6"/>
    </row>
    <row r="7" spans="1:10" s="1" customFormat="1" ht="12" customHeight="1" x14ac:dyDescent="0.25">
      <c r="A7" s="1" t="s">
        <v>21</v>
      </c>
      <c r="B7" s="69" t="s">
        <v>22</v>
      </c>
      <c r="C7" s="69"/>
      <c r="D7" s="69"/>
      <c r="F7"/>
      <c r="H7" s="2" t="s">
        <v>9</v>
      </c>
      <c r="I7" s="15"/>
      <c r="J7" s="2"/>
    </row>
    <row r="8" spans="1:10" s="1" customFormat="1" ht="12" customHeight="1" x14ac:dyDescent="0.25">
      <c r="B8" s="3"/>
      <c r="C8" s="3"/>
      <c r="F8"/>
      <c r="H8" s="3"/>
      <c r="I8" s="3"/>
      <c r="J8" s="3"/>
    </row>
    <row r="9" spans="1:10" s="1" customFormat="1" ht="12" customHeight="1" x14ac:dyDescent="0.25">
      <c r="A9" s="1" t="s">
        <v>23</v>
      </c>
      <c r="B9" s="69" t="s">
        <v>24</v>
      </c>
      <c r="C9" s="69"/>
      <c r="D9" s="69"/>
      <c r="F9"/>
      <c r="H9" s="2" t="s">
        <v>10</v>
      </c>
      <c r="I9" s="4"/>
      <c r="J9" s="2"/>
    </row>
    <row r="10" spans="1:10" ht="16.5" customHeight="1" thickBot="1" x14ac:dyDescent="0.3">
      <c r="A10" s="70" t="s">
        <v>0</v>
      </c>
      <c r="B10" s="70"/>
      <c r="C10" s="70"/>
      <c r="D10" s="70"/>
      <c r="E10" s="70"/>
      <c r="F10" s="70"/>
      <c r="G10" s="70"/>
      <c r="H10" s="70"/>
      <c r="I10" s="70"/>
      <c r="J10" s="70"/>
    </row>
    <row r="11" spans="1:10" s="6" customFormat="1" ht="18.75" customHeight="1" x14ac:dyDescent="0.2">
      <c r="A11" s="56" t="s">
        <v>4</v>
      </c>
      <c r="B11" s="60" t="s">
        <v>5</v>
      </c>
      <c r="C11" s="61"/>
      <c r="D11" s="62" t="s">
        <v>6</v>
      </c>
      <c r="E11" s="63"/>
      <c r="F11" s="63"/>
      <c r="G11" s="63"/>
      <c r="H11" s="64" t="s">
        <v>7</v>
      </c>
      <c r="I11" s="65"/>
      <c r="J11" s="58" t="s">
        <v>8</v>
      </c>
    </row>
    <row r="12" spans="1:10" s="6" customFormat="1" ht="51" customHeight="1" x14ac:dyDescent="0.2">
      <c r="A12" s="57"/>
      <c r="B12" s="11" t="s">
        <v>1</v>
      </c>
      <c r="C12" s="14" t="s">
        <v>2</v>
      </c>
      <c r="D12" s="11" t="s">
        <v>1</v>
      </c>
      <c r="E12" s="14" t="s">
        <v>2</v>
      </c>
      <c r="F12" s="30" t="s">
        <v>3</v>
      </c>
      <c r="G12" s="7" t="s">
        <v>13</v>
      </c>
      <c r="H12" s="11" t="s">
        <v>1</v>
      </c>
      <c r="I12" s="14" t="s">
        <v>2</v>
      </c>
      <c r="J12" s="59"/>
    </row>
    <row r="13" spans="1:10" s="6" customFormat="1" ht="18.75" customHeight="1" x14ac:dyDescent="0.2">
      <c r="A13" s="66" t="s">
        <v>25</v>
      </c>
      <c r="B13" s="67"/>
      <c r="C13" s="67"/>
      <c r="D13" s="67"/>
      <c r="E13" s="67"/>
      <c r="F13" s="67"/>
      <c r="G13" s="67"/>
      <c r="H13" s="67"/>
      <c r="I13" s="67"/>
      <c r="J13" s="68"/>
    </row>
    <row r="14" spans="1:10" s="6" customFormat="1" ht="15.95" customHeight="1" x14ac:dyDescent="0.2">
      <c r="A14" s="41" t="s">
        <v>26</v>
      </c>
      <c r="B14" s="42">
        <v>0.54200000000000004</v>
      </c>
      <c r="C14" s="42">
        <v>0.54200000000000004</v>
      </c>
      <c r="D14" s="42"/>
      <c r="E14" s="42"/>
      <c r="F14" s="42"/>
      <c r="G14" s="43"/>
      <c r="H14" s="42">
        <f>B14</f>
        <v>0.54200000000000004</v>
      </c>
      <c r="I14" s="42">
        <f>C14</f>
        <v>0.54200000000000004</v>
      </c>
      <c r="J14" s="44">
        <f>H14+I14</f>
        <v>1.0840000000000001</v>
      </c>
    </row>
    <row r="15" spans="1:10" s="6" customFormat="1" ht="15.95" customHeight="1" x14ac:dyDescent="0.2">
      <c r="A15" s="41" t="s">
        <v>27</v>
      </c>
      <c r="B15" s="42">
        <f>1.25*10</f>
        <v>12.5</v>
      </c>
      <c r="C15" s="42">
        <v>12.5</v>
      </c>
      <c r="D15" s="42"/>
      <c r="E15" s="42"/>
      <c r="F15" s="42"/>
      <c r="G15" s="43"/>
      <c r="H15" s="42">
        <f>H14-F15-D15+B15</f>
        <v>13.042</v>
      </c>
      <c r="I15" s="42">
        <f>I14-E15+C15</f>
        <v>13.042</v>
      </c>
      <c r="J15" s="44">
        <f t="shared" ref="J15" si="0">H15+I15</f>
        <v>26.084</v>
      </c>
    </row>
    <row r="16" spans="1:10" s="6" customFormat="1" ht="15.95" customHeight="1" x14ac:dyDescent="0.2">
      <c r="A16" s="41" t="s">
        <v>28</v>
      </c>
      <c r="B16" s="42"/>
      <c r="C16" s="42"/>
      <c r="D16" s="42"/>
      <c r="E16" s="42"/>
      <c r="F16" s="42">
        <v>5</v>
      </c>
      <c r="G16" s="43"/>
      <c r="H16" s="42">
        <f t="shared" ref="H16:H53" si="1">H15-F16-D16+B16</f>
        <v>8.0419999999999998</v>
      </c>
      <c r="I16" s="42">
        <f t="shared" ref="I16:I53" si="2">I15-E16+C16</f>
        <v>13.042</v>
      </c>
      <c r="J16" s="44">
        <f t="shared" ref="J16:J53" si="3">H16+I16</f>
        <v>21.084</v>
      </c>
    </row>
    <row r="17" spans="1:10" s="6" customFormat="1" ht="15.95" customHeight="1" x14ac:dyDescent="0.2">
      <c r="A17" s="41" t="s">
        <v>29</v>
      </c>
      <c r="B17" s="42"/>
      <c r="C17" s="42"/>
      <c r="D17" s="42"/>
      <c r="E17" s="42"/>
      <c r="F17" s="42">
        <v>2</v>
      </c>
      <c r="G17" s="43"/>
      <c r="H17" s="42">
        <f t="shared" si="1"/>
        <v>6.0419999999999998</v>
      </c>
      <c r="I17" s="42">
        <f t="shared" si="2"/>
        <v>13.042</v>
      </c>
      <c r="J17" s="44">
        <f t="shared" si="3"/>
        <v>19.084</v>
      </c>
    </row>
    <row r="18" spans="1:10" s="6" customFormat="1" ht="15.95" customHeight="1" x14ac:dyDescent="0.2">
      <c r="A18" s="41" t="s">
        <v>30</v>
      </c>
      <c r="B18" s="42">
        <v>5</v>
      </c>
      <c r="C18" s="42">
        <v>5</v>
      </c>
      <c r="D18" s="42"/>
      <c r="E18" s="42"/>
      <c r="F18" s="42"/>
      <c r="G18" s="43"/>
      <c r="H18" s="42">
        <f t="shared" si="1"/>
        <v>11.042</v>
      </c>
      <c r="I18" s="42">
        <f t="shared" si="2"/>
        <v>18.042000000000002</v>
      </c>
      <c r="J18" s="44">
        <f t="shared" si="3"/>
        <v>29.084000000000003</v>
      </c>
    </row>
    <row r="19" spans="1:10" s="6" customFormat="1" ht="15.95" customHeight="1" x14ac:dyDescent="0.2">
      <c r="A19" s="41" t="s">
        <v>31</v>
      </c>
      <c r="B19" s="42"/>
      <c r="C19" s="42"/>
      <c r="D19" s="42"/>
      <c r="E19" s="42"/>
      <c r="F19" s="42">
        <v>1</v>
      </c>
      <c r="G19" s="43"/>
      <c r="H19" s="42">
        <f t="shared" si="1"/>
        <v>10.042</v>
      </c>
      <c r="I19" s="42">
        <f t="shared" si="2"/>
        <v>18.042000000000002</v>
      </c>
      <c r="J19" s="44">
        <f t="shared" si="3"/>
        <v>28.084000000000003</v>
      </c>
    </row>
    <row r="20" spans="1:10" s="5" customFormat="1" ht="15.95" customHeight="1" x14ac:dyDescent="0.2">
      <c r="A20" s="10" t="s">
        <v>32</v>
      </c>
      <c r="B20" s="42">
        <v>2.5</v>
      </c>
      <c r="C20" s="42">
        <v>2.5</v>
      </c>
      <c r="D20" s="42"/>
      <c r="E20" s="42"/>
      <c r="F20" s="42"/>
      <c r="G20" s="43"/>
      <c r="H20" s="42">
        <f t="shared" si="1"/>
        <v>12.542</v>
      </c>
      <c r="I20" s="42">
        <f t="shared" si="2"/>
        <v>20.542000000000002</v>
      </c>
      <c r="J20" s="44">
        <f t="shared" si="3"/>
        <v>33.084000000000003</v>
      </c>
    </row>
    <row r="21" spans="1:10" s="5" customFormat="1" ht="15.95" customHeight="1" x14ac:dyDescent="0.2">
      <c r="A21" s="10" t="s">
        <v>47</v>
      </c>
      <c r="B21" s="42"/>
      <c r="C21" s="42"/>
      <c r="D21" s="42">
        <v>1</v>
      </c>
      <c r="E21" s="42"/>
      <c r="F21" s="42">
        <v>2</v>
      </c>
      <c r="G21" s="43"/>
      <c r="H21" s="42">
        <f t="shared" si="1"/>
        <v>9.5419999999999998</v>
      </c>
      <c r="I21" s="42">
        <f t="shared" si="2"/>
        <v>20.542000000000002</v>
      </c>
      <c r="J21" s="44">
        <f t="shared" si="3"/>
        <v>30.084000000000003</v>
      </c>
    </row>
    <row r="22" spans="1:10" s="5" customFormat="1" ht="15.95" customHeight="1" x14ac:dyDescent="0.2">
      <c r="A22" s="10" t="s">
        <v>33</v>
      </c>
      <c r="B22" s="42">
        <v>2.5</v>
      </c>
      <c r="C22" s="42">
        <v>2.5</v>
      </c>
      <c r="D22" s="42"/>
      <c r="E22" s="42"/>
      <c r="F22" s="42"/>
      <c r="G22" s="43"/>
      <c r="H22" s="42">
        <f t="shared" si="1"/>
        <v>12.042</v>
      </c>
      <c r="I22" s="42">
        <f t="shared" si="2"/>
        <v>23.042000000000002</v>
      </c>
      <c r="J22" s="44">
        <f t="shared" si="3"/>
        <v>35.084000000000003</v>
      </c>
    </row>
    <row r="23" spans="1:10" s="5" customFormat="1" ht="15.95" customHeight="1" x14ac:dyDescent="0.2">
      <c r="A23" s="10" t="s">
        <v>46</v>
      </c>
      <c r="B23" s="42"/>
      <c r="C23" s="42"/>
      <c r="D23" s="42"/>
      <c r="E23" s="42">
        <v>1</v>
      </c>
      <c r="F23" s="42"/>
      <c r="G23" s="43"/>
      <c r="H23" s="42">
        <f t="shared" si="1"/>
        <v>12.042</v>
      </c>
      <c r="I23" s="42">
        <f t="shared" si="2"/>
        <v>22.042000000000002</v>
      </c>
      <c r="J23" s="44">
        <f t="shared" si="3"/>
        <v>34.084000000000003</v>
      </c>
    </row>
    <row r="24" spans="1:10" s="5" customFormat="1" ht="15.95" customHeight="1" x14ac:dyDescent="0.2">
      <c r="A24" s="10" t="s">
        <v>34</v>
      </c>
      <c r="B24" s="42"/>
      <c r="C24" s="42"/>
      <c r="D24" s="42">
        <v>3</v>
      </c>
      <c r="E24" s="42"/>
      <c r="F24" s="42"/>
      <c r="G24" s="43"/>
      <c r="H24" s="42">
        <f t="shared" si="1"/>
        <v>9.0419999999999998</v>
      </c>
      <c r="I24" s="42">
        <f t="shared" si="2"/>
        <v>22.042000000000002</v>
      </c>
      <c r="J24" s="44">
        <f t="shared" si="3"/>
        <v>31.084000000000003</v>
      </c>
    </row>
    <row r="25" spans="1:10" s="5" customFormat="1" ht="15.95" customHeight="1" x14ac:dyDescent="0.2">
      <c r="A25" s="10" t="s">
        <v>35</v>
      </c>
      <c r="B25" s="42">
        <v>1.25</v>
      </c>
      <c r="C25" s="42">
        <v>1.25</v>
      </c>
      <c r="D25" s="42"/>
      <c r="E25" s="42"/>
      <c r="F25" s="42"/>
      <c r="G25" s="43"/>
      <c r="H25" s="42">
        <f t="shared" si="1"/>
        <v>10.292</v>
      </c>
      <c r="I25" s="42">
        <f t="shared" si="2"/>
        <v>23.292000000000002</v>
      </c>
      <c r="J25" s="44">
        <f t="shared" si="3"/>
        <v>33.584000000000003</v>
      </c>
    </row>
    <row r="26" spans="1:10" s="5" customFormat="1" ht="15.95" customHeight="1" x14ac:dyDescent="0.2">
      <c r="A26" s="45" t="s">
        <v>36</v>
      </c>
      <c r="B26" s="42"/>
      <c r="C26" s="42"/>
      <c r="D26" s="42">
        <v>7</v>
      </c>
      <c r="E26" s="42">
        <v>13</v>
      </c>
      <c r="F26" s="42"/>
      <c r="G26" s="43"/>
      <c r="H26" s="42">
        <f t="shared" si="1"/>
        <v>3.2919999999999998</v>
      </c>
      <c r="I26" s="42">
        <f t="shared" si="2"/>
        <v>10.292000000000002</v>
      </c>
      <c r="J26" s="44">
        <f t="shared" si="3"/>
        <v>13.584000000000001</v>
      </c>
    </row>
    <row r="27" spans="1:10" s="5" customFormat="1" ht="15.95" customHeight="1" x14ac:dyDescent="0.2">
      <c r="A27" s="45" t="s">
        <v>37</v>
      </c>
      <c r="B27" s="42">
        <v>3.75</v>
      </c>
      <c r="C27" s="42">
        <v>3.75</v>
      </c>
      <c r="D27" s="42"/>
      <c r="E27" s="42"/>
      <c r="F27" s="42"/>
      <c r="G27" s="43"/>
      <c r="H27" s="42">
        <f t="shared" si="1"/>
        <v>7.0419999999999998</v>
      </c>
      <c r="I27" s="42">
        <f t="shared" si="2"/>
        <v>14.042000000000002</v>
      </c>
      <c r="J27" s="44">
        <f t="shared" si="3"/>
        <v>21.084000000000003</v>
      </c>
    </row>
    <row r="28" spans="1:10" s="5" customFormat="1" ht="15.95" customHeight="1" x14ac:dyDescent="0.2">
      <c r="A28" s="45" t="s">
        <v>11</v>
      </c>
      <c r="B28" s="42">
        <v>2.5</v>
      </c>
      <c r="C28" s="42">
        <v>2.5</v>
      </c>
      <c r="D28" s="42"/>
      <c r="E28" s="42"/>
      <c r="F28" s="42"/>
      <c r="G28" s="43"/>
      <c r="H28" s="42">
        <f t="shared" si="1"/>
        <v>9.5419999999999998</v>
      </c>
      <c r="I28" s="42">
        <f t="shared" si="2"/>
        <v>16.542000000000002</v>
      </c>
      <c r="J28" s="44">
        <f t="shared" si="3"/>
        <v>26.084000000000003</v>
      </c>
    </row>
    <row r="29" spans="1:10" s="5" customFormat="1" ht="15.95" customHeight="1" x14ac:dyDescent="0.2">
      <c r="A29" s="45" t="s">
        <v>48</v>
      </c>
      <c r="B29" s="46"/>
      <c r="C29" s="42"/>
      <c r="D29" s="42"/>
      <c r="E29" s="42"/>
      <c r="F29" s="42"/>
      <c r="G29" s="43">
        <v>1</v>
      </c>
      <c r="H29" s="42">
        <f t="shared" si="1"/>
        <v>9.5419999999999998</v>
      </c>
      <c r="I29" s="42">
        <f t="shared" si="2"/>
        <v>16.542000000000002</v>
      </c>
      <c r="J29" s="44">
        <f t="shared" si="3"/>
        <v>26.084000000000003</v>
      </c>
    </row>
    <row r="30" spans="1:10" s="5" customFormat="1" ht="15.95" customHeight="1" x14ac:dyDescent="0.2">
      <c r="A30" s="45" t="s">
        <v>12</v>
      </c>
      <c r="B30" s="42">
        <v>2.5</v>
      </c>
      <c r="C30" s="42">
        <v>2.5</v>
      </c>
      <c r="D30" s="42"/>
      <c r="E30" s="42"/>
      <c r="F30" s="42"/>
      <c r="G30" s="43"/>
      <c r="H30" s="42">
        <f t="shared" si="1"/>
        <v>12.042</v>
      </c>
      <c r="I30" s="42">
        <f t="shared" si="2"/>
        <v>19.042000000000002</v>
      </c>
      <c r="J30" s="44">
        <f t="shared" si="3"/>
        <v>31.084000000000003</v>
      </c>
    </row>
    <row r="31" spans="1:10" s="5" customFormat="1" ht="15.95" customHeight="1" x14ac:dyDescent="0.2">
      <c r="A31" s="45" t="s">
        <v>38</v>
      </c>
      <c r="B31" s="42"/>
      <c r="C31" s="42"/>
      <c r="D31" s="42"/>
      <c r="E31" s="42"/>
      <c r="F31" s="42"/>
      <c r="G31" s="43">
        <v>1</v>
      </c>
      <c r="H31" s="42">
        <f t="shared" si="1"/>
        <v>12.042</v>
      </c>
      <c r="I31" s="42">
        <f t="shared" si="2"/>
        <v>19.042000000000002</v>
      </c>
      <c r="J31" s="44">
        <f t="shared" si="3"/>
        <v>31.084000000000003</v>
      </c>
    </row>
    <row r="32" spans="1:10" s="16" customFormat="1" ht="15.95" customHeight="1" x14ac:dyDescent="0.2">
      <c r="A32" s="45" t="s">
        <v>49</v>
      </c>
      <c r="B32" s="42"/>
      <c r="C32" s="42"/>
      <c r="D32" s="42"/>
      <c r="E32" s="42">
        <v>1</v>
      </c>
      <c r="F32" s="42"/>
      <c r="G32" s="43"/>
      <c r="H32" s="42">
        <f t="shared" si="1"/>
        <v>12.042</v>
      </c>
      <c r="I32" s="42">
        <f t="shared" si="2"/>
        <v>18.042000000000002</v>
      </c>
      <c r="J32" s="44">
        <f t="shared" si="3"/>
        <v>30.084000000000003</v>
      </c>
    </row>
    <row r="33" spans="1:10" ht="15.95" customHeight="1" x14ac:dyDescent="0.25">
      <c r="A33" s="45" t="s">
        <v>39</v>
      </c>
      <c r="B33" s="42">
        <v>2.5</v>
      </c>
      <c r="C33" s="42">
        <v>2.5</v>
      </c>
      <c r="D33" s="46"/>
      <c r="E33" s="46"/>
      <c r="F33" s="46"/>
      <c r="G33" s="47"/>
      <c r="H33" s="42">
        <f t="shared" si="1"/>
        <v>14.542</v>
      </c>
      <c r="I33" s="42">
        <f t="shared" si="2"/>
        <v>20.542000000000002</v>
      </c>
      <c r="J33" s="44">
        <f t="shared" si="3"/>
        <v>35.084000000000003</v>
      </c>
    </row>
    <row r="34" spans="1:10" ht="15.95" customHeight="1" x14ac:dyDescent="0.25">
      <c r="A34" s="45" t="s">
        <v>40</v>
      </c>
      <c r="B34" s="42"/>
      <c r="C34" s="42"/>
      <c r="D34" s="46"/>
      <c r="E34" s="42"/>
      <c r="F34" s="42"/>
      <c r="G34" s="48">
        <v>1</v>
      </c>
      <c r="H34" s="42">
        <f t="shared" si="1"/>
        <v>14.542</v>
      </c>
      <c r="I34" s="42">
        <f t="shared" si="2"/>
        <v>20.542000000000002</v>
      </c>
      <c r="J34" s="44">
        <f t="shared" si="3"/>
        <v>35.084000000000003</v>
      </c>
    </row>
    <row r="35" spans="1:10" ht="15.95" customHeight="1" x14ac:dyDescent="0.25">
      <c r="A35" s="49" t="s">
        <v>41</v>
      </c>
      <c r="B35" s="50"/>
      <c r="C35" s="50"/>
      <c r="D35" s="50"/>
      <c r="E35" s="50"/>
      <c r="F35" s="50">
        <v>1</v>
      </c>
      <c r="G35" s="51"/>
      <c r="H35" s="42">
        <f t="shared" si="1"/>
        <v>13.542</v>
      </c>
      <c r="I35" s="42">
        <f t="shared" si="2"/>
        <v>20.542000000000002</v>
      </c>
      <c r="J35" s="44">
        <f t="shared" si="3"/>
        <v>34.084000000000003</v>
      </c>
    </row>
    <row r="36" spans="1:10" ht="15.95" customHeight="1" x14ac:dyDescent="0.25">
      <c r="A36" s="45" t="s">
        <v>18</v>
      </c>
      <c r="B36" s="42">
        <v>1.25</v>
      </c>
      <c r="C36" s="42">
        <v>1.25</v>
      </c>
      <c r="D36" s="50"/>
      <c r="E36" s="50"/>
      <c r="F36" s="50"/>
      <c r="G36" s="51" t="s">
        <v>20</v>
      </c>
      <c r="H36" s="42">
        <f t="shared" si="1"/>
        <v>14.792</v>
      </c>
      <c r="I36" s="42">
        <f t="shared" si="2"/>
        <v>21.792000000000002</v>
      </c>
      <c r="J36" s="44">
        <f t="shared" si="3"/>
        <v>36.584000000000003</v>
      </c>
    </row>
    <row r="37" spans="1:10" ht="15.95" customHeight="1" x14ac:dyDescent="0.25">
      <c r="A37" s="49" t="s">
        <v>42</v>
      </c>
      <c r="B37" s="50"/>
      <c r="C37" s="50"/>
      <c r="D37" s="50"/>
      <c r="E37" s="50"/>
      <c r="F37" s="50">
        <v>4</v>
      </c>
      <c r="G37" s="51"/>
      <c r="H37" s="42">
        <f t="shared" si="1"/>
        <v>10.792</v>
      </c>
      <c r="I37" s="42">
        <f t="shared" si="2"/>
        <v>21.792000000000002</v>
      </c>
      <c r="J37" s="44">
        <f t="shared" si="3"/>
        <v>32.584000000000003</v>
      </c>
    </row>
    <row r="38" spans="1:10" ht="15.95" customHeight="1" x14ac:dyDescent="0.25">
      <c r="A38" s="17" t="s">
        <v>19</v>
      </c>
      <c r="B38" s="42">
        <v>1.25</v>
      </c>
      <c r="C38" s="42">
        <v>1.25</v>
      </c>
      <c r="D38" s="42"/>
      <c r="E38" s="42"/>
      <c r="F38" s="42"/>
      <c r="G38" s="48"/>
      <c r="H38" s="42">
        <f t="shared" si="1"/>
        <v>12.042</v>
      </c>
      <c r="I38" s="42">
        <f t="shared" si="2"/>
        <v>23.042000000000002</v>
      </c>
      <c r="J38" s="44">
        <f t="shared" si="3"/>
        <v>35.084000000000003</v>
      </c>
    </row>
    <row r="39" spans="1:10" ht="15.95" customHeight="1" x14ac:dyDescent="0.25">
      <c r="A39" s="17" t="s">
        <v>43</v>
      </c>
      <c r="B39" s="42"/>
      <c r="C39" s="42"/>
      <c r="D39" s="42">
        <v>9</v>
      </c>
      <c r="E39" s="42">
        <v>17</v>
      </c>
      <c r="F39" s="42"/>
      <c r="G39" s="48"/>
      <c r="H39" s="42">
        <f t="shared" si="1"/>
        <v>3.0419999999999998</v>
      </c>
      <c r="I39" s="42">
        <f t="shared" si="2"/>
        <v>6.0420000000000016</v>
      </c>
      <c r="J39" s="44">
        <f t="shared" si="3"/>
        <v>9.0840000000000014</v>
      </c>
    </row>
    <row r="40" spans="1:10" ht="15.95" customHeight="1" x14ac:dyDescent="0.25">
      <c r="A40" s="17" t="s">
        <v>44</v>
      </c>
      <c r="B40" s="42">
        <v>5</v>
      </c>
      <c r="C40" s="42">
        <v>5</v>
      </c>
      <c r="D40" s="42"/>
      <c r="E40" s="42"/>
      <c r="F40" s="42"/>
      <c r="G40" s="48"/>
      <c r="H40" s="42">
        <f t="shared" si="1"/>
        <v>8.0419999999999998</v>
      </c>
      <c r="I40" s="42">
        <f t="shared" si="2"/>
        <v>11.042000000000002</v>
      </c>
      <c r="J40" s="44">
        <f t="shared" si="3"/>
        <v>19.084000000000003</v>
      </c>
    </row>
    <row r="41" spans="1:10" ht="15.95" customHeight="1" x14ac:dyDescent="0.25">
      <c r="A41" s="17" t="s">
        <v>45</v>
      </c>
      <c r="B41" s="42"/>
      <c r="C41" s="42"/>
      <c r="D41" s="42"/>
      <c r="E41" s="42"/>
      <c r="F41" s="42"/>
      <c r="G41" s="48">
        <v>1</v>
      </c>
      <c r="H41" s="42">
        <f t="shared" si="1"/>
        <v>8.0419999999999998</v>
      </c>
      <c r="I41" s="42">
        <f t="shared" si="2"/>
        <v>11.042000000000002</v>
      </c>
      <c r="J41" s="44">
        <f t="shared" si="3"/>
        <v>19.084000000000003</v>
      </c>
    </row>
    <row r="42" spans="1:10" ht="15.95" customHeight="1" x14ac:dyDescent="0.25">
      <c r="A42" s="17" t="s">
        <v>50</v>
      </c>
      <c r="B42" s="42">
        <v>1.25</v>
      </c>
      <c r="C42" s="42">
        <v>1.25</v>
      </c>
      <c r="D42" s="42"/>
      <c r="E42" s="42"/>
      <c r="F42" s="42"/>
      <c r="G42" s="48"/>
      <c r="H42" s="42">
        <f t="shared" si="1"/>
        <v>9.2919999999999998</v>
      </c>
      <c r="I42" s="42">
        <f t="shared" si="2"/>
        <v>12.292000000000002</v>
      </c>
      <c r="J42" s="44">
        <f t="shared" si="3"/>
        <v>21.584000000000003</v>
      </c>
    </row>
    <row r="43" spans="1:10" ht="15.95" customHeight="1" x14ac:dyDescent="0.25">
      <c r="A43" s="17" t="s">
        <v>51</v>
      </c>
      <c r="B43" s="42"/>
      <c r="C43" s="42"/>
      <c r="D43" s="42"/>
      <c r="E43" s="42"/>
      <c r="F43" s="42">
        <v>2</v>
      </c>
      <c r="G43" s="48"/>
      <c r="H43" s="42">
        <f t="shared" si="1"/>
        <v>7.2919999999999998</v>
      </c>
      <c r="I43" s="42">
        <f t="shared" si="2"/>
        <v>12.292000000000002</v>
      </c>
      <c r="J43" s="44">
        <f t="shared" si="3"/>
        <v>19.584000000000003</v>
      </c>
    </row>
    <row r="44" spans="1:10" ht="15.95" customHeight="1" x14ac:dyDescent="0.25">
      <c r="A44" s="17" t="s">
        <v>52</v>
      </c>
      <c r="B44" s="42">
        <v>1.25</v>
      </c>
      <c r="C44" s="42">
        <v>1.25</v>
      </c>
      <c r="D44" s="42"/>
      <c r="E44" s="42"/>
      <c r="F44" s="42"/>
      <c r="G44" s="48"/>
      <c r="H44" s="42">
        <f t="shared" si="1"/>
        <v>8.5419999999999998</v>
      </c>
      <c r="I44" s="42">
        <f t="shared" si="2"/>
        <v>13.542000000000002</v>
      </c>
      <c r="J44" s="44">
        <f t="shared" si="3"/>
        <v>22.084000000000003</v>
      </c>
    </row>
    <row r="45" spans="1:10" ht="15.95" customHeight="1" x14ac:dyDescent="0.25">
      <c r="A45" s="17" t="s">
        <v>53</v>
      </c>
      <c r="B45" s="42"/>
      <c r="C45" s="42"/>
      <c r="D45" s="42"/>
      <c r="E45" s="42"/>
      <c r="F45" s="42"/>
      <c r="G45" s="48">
        <v>1</v>
      </c>
      <c r="H45" s="42">
        <f t="shared" si="1"/>
        <v>8.5419999999999998</v>
      </c>
      <c r="I45" s="42">
        <f t="shared" si="2"/>
        <v>13.542000000000002</v>
      </c>
      <c r="J45" s="44">
        <f t="shared" si="3"/>
        <v>22.084000000000003</v>
      </c>
    </row>
    <row r="46" spans="1:10" ht="15.95" customHeight="1" x14ac:dyDescent="0.25">
      <c r="A46" s="17" t="s">
        <v>54</v>
      </c>
      <c r="B46" s="42">
        <v>1.25</v>
      </c>
      <c r="C46" s="42">
        <v>1.25</v>
      </c>
      <c r="D46" s="42"/>
      <c r="E46" s="42"/>
      <c r="F46" s="42"/>
      <c r="G46" s="48"/>
      <c r="H46" s="42">
        <f t="shared" si="1"/>
        <v>9.7919999999999998</v>
      </c>
      <c r="I46" s="42">
        <f t="shared" si="2"/>
        <v>14.792000000000002</v>
      </c>
      <c r="J46" s="44">
        <f t="shared" si="3"/>
        <v>24.584000000000003</v>
      </c>
    </row>
    <row r="47" spans="1:10" ht="15.95" customHeight="1" x14ac:dyDescent="0.25">
      <c r="A47" s="17" t="s">
        <v>55</v>
      </c>
      <c r="B47" s="42"/>
      <c r="C47" s="42"/>
      <c r="D47" s="42"/>
      <c r="E47" s="42"/>
      <c r="F47" s="42">
        <v>2</v>
      </c>
      <c r="G47" s="48"/>
      <c r="H47" s="42">
        <f t="shared" si="1"/>
        <v>7.7919999999999998</v>
      </c>
      <c r="I47" s="42">
        <f t="shared" si="2"/>
        <v>14.792000000000002</v>
      </c>
      <c r="J47" s="44">
        <f t="shared" si="3"/>
        <v>22.584000000000003</v>
      </c>
    </row>
    <row r="48" spans="1:10" ht="15.95" customHeight="1" x14ac:dyDescent="0.25">
      <c r="A48" s="17" t="s">
        <v>56</v>
      </c>
      <c r="B48" s="42"/>
      <c r="C48" s="42"/>
      <c r="D48" s="42"/>
      <c r="E48" s="42"/>
      <c r="F48" s="42">
        <v>1</v>
      </c>
      <c r="G48" s="48"/>
      <c r="H48" s="42">
        <f t="shared" si="1"/>
        <v>6.7919999999999998</v>
      </c>
      <c r="I48" s="42">
        <f t="shared" si="2"/>
        <v>14.792000000000002</v>
      </c>
      <c r="J48" s="44">
        <f t="shared" si="3"/>
        <v>21.584000000000003</v>
      </c>
    </row>
    <row r="49" spans="1:10" ht="15.95" customHeight="1" x14ac:dyDescent="0.25">
      <c r="A49" s="17" t="s">
        <v>125</v>
      </c>
      <c r="B49" s="42">
        <v>5</v>
      </c>
      <c r="C49" s="42">
        <v>5</v>
      </c>
      <c r="D49" s="42"/>
      <c r="E49" s="42"/>
      <c r="F49" s="42"/>
      <c r="G49" s="48"/>
      <c r="H49" s="42">
        <f t="shared" si="1"/>
        <v>11.792</v>
      </c>
      <c r="I49" s="42">
        <f t="shared" si="2"/>
        <v>19.792000000000002</v>
      </c>
      <c r="J49" s="44">
        <f t="shared" si="3"/>
        <v>31.584000000000003</v>
      </c>
    </row>
    <row r="50" spans="1:10" ht="15.95" customHeight="1" x14ac:dyDescent="0.25">
      <c r="A50" s="17" t="s">
        <v>57</v>
      </c>
      <c r="B50" s="42"/>
      <c r="C50" s="42"/>
      <c r="D50" s="42">
        <v>1</v>
      </c>
      <c r="E50" s="42"/>
      <c r="F50" s="42"/>
      <c r="G50" s="48"/>
      <c r="H50" s="42">
        <f t="shared" si="1"/>
        <v>10.792</v>
      </c>
      <c r="I50" s="42">
        <f t="shared" si="2"/>
        <v>19.792000000000002</v>
      </c>
      <c r="J50" s="44">
        <f t="shared" si="3"/>
        <v>30.584000000000003</v>
      </c>
    </row>
    <row r="51" spans="1:10" ht="15.95" customHeight="1" x14ac:dyDescent="0.25">
      <c r="A51" s="17" t="s">
        <v>58</v>
      </c>
      <c r="B51" s="42">
        <v>1.25</v>
      </c>
      <c r="C51" s="42">
        <v>1.25</v>
      </c>
      <c r="D51" s="42"/>
      <c r="E51" s="42"/>
      <c r="F51" s="42"/>
      <c r="G51" s="48"/>
      <c r="H51" s="42">
        <f t="shared" si="1"/>
        <v>12.042</v>
      </c>
      <c r="I51" s="42">
        <f t="shared" si="2"/>
        <v>21.042000000000002</v>
      </c>
      <c r="J51" s="44">
        <f t="shared" si="3"/>
        <v>33.084000000000003</v>
      </c>
    </row>
    <row r="52" spans="1:10" ht="15.95" customHeight="1" x14ac:dyDescent="0.25">
      <c r="A52" s="17" t="s">
        <v>76</v>
      </c>
      <c r="B52" s="42">
        <v>1.25</v>
      </c>
      <c r="C52" s="42">
        <v>1.25</v>
      </c>
      <c r="D52" s="42"/>
      <c r="E52" s="42"/>
      <c r="F52" s="42"/>
      <c r="G52" s="48"/>
      <c r="H52" s="42">
        <f t="shared" si="1"/>
        <v>13.292</v>
      </c>
      <c r="I52" s="42">
        <f t="shared" si="2"/>
        <v>22.292000000000002</v>
      </c>
      <c r="J52" s="44">
        <f t="shared" si="3"/>
        <v>35.584000000000003</v>
      </c>
    </row>
    <row r="53" spans="1:10" ht="15.95" customHeight="1" x14ac:dyDescent="0.25">
      <c r="A53" s="17" t="s">
        <v>59</v>
      </c>
      <c r="B53" s="42"/>
      <c r="C53" s="42"/>
      <c r="D53" s="42">
        <v>5</v>
      </c>
      <c r="E53" s="42">
        <v>14</v>
      </c>
      <c r="F53" s="42"/>
      <c r="G53" s="48"/>
      <c r="H53" s="42">
        <f t="shared" si="1"/>
        <v>8.2919999999999998</v>
      </c>
      <c r="I53" s="42">
        <f t="shared" si="2"/>
        <v>8.2920000000000016</v>
      </c>
      <c r="J53" s="44">
        <f t="shared" si="3"/>
        <v>16.584000000000003</v>
      </c>
    </row>
    <row r="54" spans="1:10" ht="15.95" customHeight="1" x14ac:dyDescent="0.25">
      <c r="A54" s="17" t="s">
        <v>77</v>
      </c>
      <c r="B54" s="42">
        <f>3*1.25</f>
        <v>3.75</v>
      </c>
      <c r="C54" s="42">
        <v>3.75</v>
      </c>
      <c r="D54" s="42"/>
      <c r="E54" s="42"/>
      <c r="F54" s="42"/>
      <c r="G54" s="48"/>
      <c r="H54" s="42">
        <f t="shared" ref="H54:H56" si="4">H53-F54-D54+B54</f>
        <v>12.042</v>
      </c>
      <c r="I54" s="42">
        <f t="shared" ref="I54:I56" si="5">I53-E54+C54</f>
        <v>12.042000000000002</v>
      </c>
      <c r="J54" s="44">
        <f t="shared" ref="J54:J56" si="6">H54+I54</f>
        <v>24.084000000000003</v>
      </c>
    </row>
    <row r="55" spans="1:10" ht="15.95" customHeight="1" x14ac:dyDescent="0.25">
      <c r="A55" s="17" t="s">
        <v>78</v>
      </c>
      <c r="B55" s="42"/>
      <c r="C55" s="42"/>
      <c r="D55" s="42"/>
      <c r="E55" s="42"/>
      <c r="F55" s="42"/>
      <c r="G55" s="42">
        <v>2</v>
      </c>
      <c r="H55" s="42">
        <f t="shared" si="4"/>
        <v>12.042</v>
      </c>
      <c r="I55" s="42">
        <f t="shared" si="5"/>
        <v>12.042000000000002</v>
      </c>
      <c r="J55" s="44">
        <f t="shared" si="6"/>
        <v>24.084000000000003</v>
      </c>
    </row>
    <row r="56" spans="1:10" ht="15.95" customHeight="1" x14ac:dyDescent="0.25">
      <c r="A56" s="17" t="s">
        <v>79</v>
      </c>
      <c r="B56" s="42">
        <v>1.25</v>
      </c>
      <c r="C56" s="42">
        <v>1.25</v>
      </c>
      <c r="D56" s="42"/>
      <c r="E56" s="42"/>
      <c r="F56" s="42"/>
      <c r="G56" s="42"/>
      <c r="H56" s="42">
        <f t="shared" si="4"/>
        <v>13.292</v>
      </c>
      <c r="I56" s="42">
        <f t="shared" si="5"/>
        <v>13.292000000000002</v>
      </c>
      <c r="J56" s="44">
        <f t="shared" si="6"/>
        <v>26.584000000000003</v>
      </c>
    </row>
    <row r="57" spans="1:10" ht="15.95" customHeight="1" x14ac:dyDescent="0.25">
      <c r="A57" s="17" t="s">
        <v>80</v>
      </c>
      <c r="B57" s="42">
        <v>2.5</v>
      </c>
      <c r="C57" s="42">
        <v>2.5</v>
      </c>
      <c r="D57" s="42"/>
      <c r="E57" s="42"/>
      <c r="F57" s="42"/>
      <c r="G57" s="42"/>
      <c r="H57" s="42">
        <f t="shared" ref="H57:H58" si="7">H56-F57-D57+B57</f>
        <v>15.792</v>
      </c>
      <c r="I57" s="42">
        <f t="shared" ref="I57:I58" si="8">I56-E57+C57</f>
        <v>15.792000000000002</v>
      </c>
      <c r="J57" s="44">
        <f t="shared" ref="J57:J58" si="9">H57+I57</f>
        <v>31.584000000000003</v>
      </c>
    </row>
    <row r="58" spans="1:10" ht="15.95" customHeight="1" x14ac:dyDescent="0.25">
      <c r="A58" s="17" t="s">
        <v>81</v>
      </c>
      <c r="B58" s="42"/>
      <c r="C58" s="42"/>
      <c r="D58" s="42"/>
      <c r="E58" s="42"/>
      <c r="F58" s="42"/>
      <c r="G58" s="42">
        <v>1</v>
      </c>
      <c r="H58" s="42">
        <f t="shared" si="7"/>
        <v>15.792</v>
      </c>
      <c r="I58" s="42">
        <f t="shared" si="8"/>
        <v>15.792000000000002</v>
      </c>
      <c r="J58" s="44">
        <f t="shared" si="9"/>
        <v>31.584000000000003</v>
      </c>
    </row>
    <row r="59" spans="1:10" ht="15.95" customHeight="1" x14ac:dyDescent="0.25">
      <c r="A59" s="17" t="s">
        <v>82</v>
      </c>
      <c r="B59" s="42">
        <v>2.5</v>
      </c>
      <c r="C59" s="42">
        <v>2.5</v>
      </c>
      <c r="D59" s="42"/>
      <c r="E59" s="42"/>
      <c r="F59" s="42"/>
      <c r="G59" s="42"/>
      <c r="H59" s="42">
        <f t="shared" ref="H59:H60" si="10">H58-F59-D59+B59</f>
        <v>18.292000000000002</v>
      </c>
      <c r="I59" s="42">
        <f t="shared" ref="I59:I60" si="11">I58-E59+C59</f>
        <v>18.292000000000002</v>
      </c>
      <c r="J59" s="44">
        <f t="shared" ref="J59:J60" si="12">H59+I59</f>
        <v>36.584000000000003</v>
      </c>
    </row>
    <row r="60" spans="1:10" ht="15.95" customHeight="1" x14ac:dyDescent="0.25">
      <c r="A60" s="17" t="s">
        <v>83</v>
      </c>
      <c r="B60" s="42"/>
      <c r="C60" s="42"/>
      <c r="D60" s="42"/>
      <c r="E60" s="42"/>
      <c r="F60" s="42">
        <v>3</v>
      </c>
      <c r="G60" s="42"/>
      <c r="H60" s="42">
        <f t="shared" si="10"/>
        <v>15.292000000000002</v>
      </c>
      <c r="I60" s="42">
        <f t="shared" si="11"/>
        <v>18.292000000000002</v>
      </c>
      <c r="J60" s="44">
        <f t="shared" si="12"/>
        <v>33.584000000000003</v>
      </c>
    </row>
    <row r="61" spans="1:10" ht="15.95" customHeight="1" x14ac:dyDescent="0.25">
      <c r="A61" s="17" t="s">
        <v>84</v>
      </c>
      <c r="B61" s="42">
        <v>2.5</v>
      </c>
      <c r="C61" s="42">
        <v>2.5</v>
      </c>
      <c r="D61" s="42"/>
      <c r="E61" s="42"/>
      <c r="F61" s="42"/>
      <c r="G61" s="42"/>
      <c r="H61" s="42">
        <f t="shared" ref="H61" si="13">H60-F61-D61+B61</f>
        <v>17.792000000000002</v>
      </c>
      <c r="I61" s="42">
        <f t="shared" ref="I61" si="14">I60-E61+C61</f>
        <v>20.792000000000002</v>
      </c>
      <c r="J61" s="52">
        <f t="shared" ref="J61" si="15">H61+I61</f>
        <v>38.584000000000003</v>
      </c>
    </row>
    <row r="62" spans="1:10" ht="15.95" customHeight="1" x14ac:dyDescent="0.25">
      <c r="A62" s="17" t="s">
        <v>85</v>
      </c>
      <c r="B62" s="42"/>
      <c r="C62" s="42"/>
      <c r="D62" s="42">
        <v>10</v>
      </c>
      <c r="E62" s="42"/>
      <c r="F62" s="42"/>
      <c r="G62" s="42"/>
      <c r="H62" s="42">
        <f t="shared" ref="H62" si="16">H61-F62-D62+B62</f>
        <v>7.7920000000000016</v>
      </c>
      <c r="I62" s="42">
        <f t="shared" ref="I62" si="17">I61-E62+C62</f>
        <v>20.792000000000002</v>
      </c>
      <c r="J62" s="52">
        <f t="shared" ref="J62" si="18">H62+I62</f>
        <v>28.584000000000003</v>
      </c>
    </row>
    <row r="63" spans="1:10" ht="15.95" customHeight="1" x14ac:dyDescent="0.25">
      <c r="A63" s="17" t="s">
        <v>86</v>
      </c>
      <c r="B63" s="42">
        <v>3.75</v>
      </c>
      <c r="C63" s="42">
        <v>3.75</v>
      </c>
      <c r="D63" s="42"/>
      <c r="E63" s="42"/>
      <c r="F63" s="42"/>
      <c r="G63" s="42"/>
      <c r="H63" s="42">
        <f t="shared" ref="H63:H64" si="19">H62-F63-D63+B63</f>
        <v>11.542000000000002</v>
      </c>
      <c r="I63" s="42">
        <f t="shared" ref="I63:I64" si="20">I62-E63+C63</f>
        <v>24.542000000000002</v>
      </c>
      <c r="J63" s="52">
        <f t="shared" ref="J63:J64" si="21">H63+I63</f>
        <v>36.084000000000003</v>
      </c>
    </row>
    <row r="64" spans="1:10" ht="15.95" customHeight="1" x14ac:dyDescent="0.25">
      <c r="A64" s="17" t="s">
        <v>87</v>
      </c>
      <c r="B64" s="42"/>
      <c r="C64" s="42"/>
      <c r="D64" s="42"/>
      <c r="E64" s="42"/>
      <c r="F64" s="42">
        <v>1</v>
      </c>
      <c r="G64" s="42"/>
      <c r="H64" s="42">
        <f t="shared" si="19"/>
        <v>10.542000000000002</v>
      </c>
      <c r="I64" s="42">
        <f t="shared" si="20"/>
        <v>24.542000000000002</v>
      </c>
      <c r="J64" s="52">
        <f t="shared" si="21"/>
        <v>35.084000000000003</v>
      </c>
    </row>
    <row r="65" spans="1:10" ht="15.95" customHeight="1" x14ac:dyDescent="0.25">
      <c r="A65" s="17" t="s">
        <v>88</v>
      </c>
      <c r="B65" s="42"/>
      <c r="C65" s="42"/>
      <c r="D65" s="42"/>
      <c r="E65" s="42"/>
      <c r="F65" s="42">
        <v>1</v>
      </c>
      <c r="G65" s="42"/>
      <c r="H65" s="42">
        <f t="shared" ref="H65" si="22">H64-F65-D65+B65</f>
        <v>9.5420000000000016</v>
      </c>
      <c r="I65" s="42">
        <f t="shared" ref="I65" si="23">I64-E65+C65</f>
        <v>24.542000000000002</v>
      </c>
      <c r="J65" s="52">
        <f t="shared" ref="J65" si="24">H65+I65</f>
        <v>34.084000000000003</v>
      </c>
    </row>
    <row r="66" spans="1:10" ht="15.95" customHeight="1" x14ac:dyDescent="0.25">
      <c r="A66" s="17" t="s">
        <v>89</v>
      </c>
      <c r="B66" s="42">
        <v>2.5</v>
      </c>
      <c r="C66" s="42">
        <v>2.5</v>
      </c>
      <c r="D66" s="42"/>
      <c r="E66" s="42"/>
      <c r="F66" s="42"/>
      <c r="G66" s="42"/>
      <c r="H66" s="42">
        <f t="shared" ref="H66:H67" si="25">H65-F66-D66+B66</f>
        <v>12.042000000000002</v>
      </c>
      <c r="I66" s="42">
        <f t="shared" ref="I66:I67" si="26">I65-E66+C66</f>
        <v>27.042000000000002</v>
      </c>
      <c r="J66" s="52">
        <f t="shared" ref="J66:J67" si="27">H66+I66</f>
        <v>39.084000000000003</v>
      </c>
    </row>
    <row r="67" spans="1:10" ht="15.95" customHeight="1" x14ac:dyDescent="0.25">
      <c r="A67" s="17" t="s">
        <v>90</v>
      </c>
      <c r="B67" s="42"/>
      <c r="C67" s="42"/>
      <c r="D67" s="42"/>
      <c r="E67" s="42"/>
      <c r="F67" s="42"/>
      <c r="G67" s="53">
        <v>1</v>
      </c>
      <c r="H67" s="42">
        <f t="shared" si="25"/>
        <v>12.042000000000002</v>
      </c>
      <c r="I67" s="42">
        <f t="shared" si="26"/>
        <v>27.042000000000002</v>
      </c>
      <c r="J67" s="52">
        <f t="shared" si="27"/>
        <v>39.084000000000003</v>
      </c>
    </row>
    <row r="68" spans="1:10" ht="15.95" customHeight="1" x14ac:dyDescent="0.25">
      <c r="A68" s="17" t="s">
        <v>110</v>
      </c>
      <c r="B68" s="42">
        <v>2.5</v>
      </c>
      <c r="C68" s="42">
        <v>2.5</v>
      </c>
      <c r="D68" s="42"/>
      <c r="E68" s="42"/>
      <c r="F68" s="42"/>
      <c r="G68" s="42"/>
      <c r="H68" s="42">
        <f t="shared" ref="H68" si="28">H67-F68-D68+B68</f>
        <v>14.542000000000002</v>
      </c>
      <c r="I68" s="42">
        <f t="shared" ref="I68" si="29">I67-E68+C68</f>
        <v>29.542000000000002</v>
      </c>
      <c r="J68" s="52">
        <f t="shared" ref="J68" si="30">H68+I68</f>
        <v>44.084000000000003</v>
      </c>
    </row>
    <row r="69" spans="1:10" ht="15.95" customHeight="1" x14ac:dyDescent="0.25">
      <c r="A69" s="17" t="s">
        <v>111</v>
      </c>
      <c r="B69" s="42"/>
      <c r="C69" s="42"/>
      <c r="D69" s="42"/>
      <c r="E69" s="42"/>
      <c r="F69" s="42"/>
      <c r="G69" s="53">
        <v>1</v>
      </c>
      <c r="H69" s="42">
        <f t="shared" ref="H69" si="31">H68-F69-D69+B69</f>
        <v>14.542000000000002</v>
      </c>
      <c r="I69" s="42">
        <f t="shared" ref="I69" si="32">I68-E69+C69</f>
        <v>29.542000000000002</v>
      </c>
      <c r="J69" s="52">
        <f t="shared" ref="J69" si="33">H69+I69</f>
        <v>44.084000000000003</v>
      </c>
    </row>
    <row r="70" spans="1:10" ht="15.95" customHeight="1" x14ac:dyDescent="0.25">
      <c r="A70" s="17" t="s">
        <v>112</v>
      </c>
      <c r="B70" s="42"/>
      <c r="C70" s="42"/>
      <c r="D70" s="42"/>
      <c r="E70" s="42"/>
      <c r="F70" s="54">
        <v>2</v>
      </c>
      <c r="G70" s="42"/>
      <c r="H70" s="42">
        <f t="shared" ref="H70" si="34">H69-F70-D70+B70</f>
        <v>12.542000000000002</v>
      </c>
      <c r="I70" s="42">
        <f t="shared" ref="I70" si="35">I69-E70+C70</f>
        <v>29.542000000000002</v>
      </c>
      <c r="J70" s="52">
        <f t="shared" ref="J70" si="36">H70+I70</f>
        <v>42.084000000000003</v>
      </c>
    </row>
    <row r="71" spans="1:10" ht="15.95" customHeight="1" x14ac:dyDescent="0.25">
      <c r="A71" s="17" t="s">
        <v>123</v>
      </c>
      <c r="B71" s="42">
        <v>5</v>
      </c>
      <c r="C71" s="42">
        <v>5</v>
      </c>
      <c r="D71" s="42"/>
      <c r="E71" s="42"/>
      <c r="F71" s="42"/>
      <c r="G71" s="42"/>
      <c r="H71" s="42">
        <f t="shared" ref="H71" si="37">H70-F71-D71+B71</f>
        <v>17.542000000000002</v>
      </c>
      <c r="I71" s="42">
        <f t="shared" ref="I71" si="38">I70-E71+C71</f>
        <v>34.542000000000002</v>
      </c>
      <c r="J71" s="52">
        <f t="shared" ref="J71" si="39">H71+I71</f>
        <v>52.084000000000003</v>
      </c>
    </row>
    <row r="72" spans="1:10" ht="15.95" customHeight="1" x14ac:dyDescent="0.25">
      <c r="A72" s="17" t="s">
        <v>124</v>
      </c>
      <c r="B72" s="31"/>
      <c r="C72" s="31"/>
      <c r="D72" s="31">
        <v>10</v>
      </c>
      <c r="E72" s="31"/>
      <c r="F72" s="31"/>
      <c r="G72" s="31"/>
      <c r="H72" s="42">
        <f t="shared" ref="H72" si="40">H71-F72-D72+B72</f>
        <v>7.5420000000000016</v>
      </c>
      <c r="I72" s="42">
        <f t="shared" ref="I72" si="41">I71-E72+C72</f>
        <v>34.542000000000002</v>
      </c>
      <c r="J72" s="52">
        <f t="shared" ref="J72" si="42">H72+I72</f>
        <v>42.084000000000003</v>
      </c>
    </row>
    <row r="73" spans="1:10" ht="15.95" customHeight="1" x14ac:dyDescent="0.25">
      <c r="A73" s="17" t="s">
        <v>126</v>
      </c>
      <c r="B73" s="31"/>
      <c r="C73" s="31"/>
      <c r="D73" s="31"/>
      <c r="E73" s="31">
        <v>1</v>
      </c>
      <c r="F73" s="31"/>
      <c r="G73" s="31"/>
      <c r="H73" s="42">
        <f t="shared" ref="H73" si="43">H72-F73-D73+B73</f>
        <v>7.5420000000000016</v>
      </c>
      <c r="I73" s="42">
        <f t="shared" ref="I73" si="44">I72-E73+C73</f>
        <v>33.542000000000002</v>
      </c>
      <c r="J73" s="52">
        <f t="shared" ref="J73" si="45">H73+I73</f>
        <v>41.084000000000003</v>
      </c>
    </row>
    <row r="74" spans="1:10" ht="15.95" customHeight="1" x14ac:dyDescent="0.25">
      <c r="A74" s="17" t="s">
        <v>127</v>
      </c>
      <c r="B74" s="31">
        <v>1.25</v>
      </c>
      <c r="C74" s="31">
        <v>1.25</v>
      </c>
      <c r="D74" s="31"/>
      <c r="E74" s="31"/>
      <c r="F74" s="31"/>
      <c r="G74" s="31"/>
      <c r="H74" s="42">
        <f t="shared" ref="H74:H75" si="46">H73-F74-D74+B74</f>
        <v>8.7920000000000016</v>
      </c>
      <c r="I74" s="42">
        <f t="shared" ref="I74:I75" si="47">I73-E74+C74</f>
        <v>34.792000000000002</v>
      </c>
      <c r="J74" s="52">
        <f t="shared" ref="J74:J75" si="48">H74+I74</f>
        <v>43.584000000000003</v>
      </c>
    </row>
    <row r="75" spans="1:10" ht="15.95" customHeight="1" x14ac:dyDescent="0.25">
      <c r="A75" s="17" t="s">
        <v>128</v>
      </c>
      <c r="B75" s="31"/>
      <c r="C75" s="31"/>
      <c r="D75" s="31"/>
      <c r="E75" s="31"/>
      <c r="F75" s="31"/>
      <c r="G75" s="53">
        <v>1</v>
      </c>
      <c r="H75" s="42">
        <f t="shared" si="46"/>
        <v>8.7920000000000016</v>
      </c>
      <c r="I75" s="42">
        <f t="shared" si="47"/>
        <v>34.792000000000002</v>
      </c>
      <c r="J75" s="52">
        <f t="shared" si="48"/>
        <v>43.584000000000003</v>
      </c>
    </row>
    <row r="76" spans="1:10" ht="15.95" customHeight="1" x14ac:dyDescent="0.25">
      <c r="A76" s="17" t="s">
        <v>129</v>
      </c>
      <c r="B76" s="31">
        <v>3.75</v>
      </c>
      <c r="C76" s="31">
        <v>3.75</v>
      </c>
      <c r="D76" s="31"/>
      <c r="E76" s="31"/>
      <c r="F76" s="31"/>
      <c r="G76" s="42"/>
      <c r="H76" s="42">
        <f t="shared" ref="H76:H77" si="49">H75-F76-D76+B76</f>
        <v>12.542000000000002</v>
      </c>
      <c r="I76" s="42">
        <f t="shared" ref="I76:I77" si="50">I75-E76+C76</f>
        <v>38.542000000000002</v>
      </c>
      <c r="J76" s="52">
        <f t="shared" ref="J76:J77" si="51">H76+I76</f>
        <v>51.084000000000003</v>
      </c>
    </row>
    <row r="77" spans="1:10" ht="15.95" customHeight="1" x14ac:dyDescent="0.25">
      <c r="A77" s="17" t="s">
        <v>130</v>
      </c>
      <c r="B77" s="31"/>
      <c r="C77" s="31"/>
      <c r="D77" s="31"/>
      <c r="E77" s="31">
        <v>21</v>
      </c>
      <c r="F77" s="31"/>
      <c r="G77" s="42"/>
      <c r="H77" s="42">
        <f t="shared" si="49"/>
        <v>12.542000000000002</v>
      </c>
      <c r="I77" s="42">
        <f t="shared" si="50"/>
        <v>17.542000000000002</v>
      </c>
      <c r="J77" s="52">
        <f t="shared" si="51"/>
        <v>30.084000000000003</v>
      </c>
    </row>
    <row r="78" spans="1:10" ht="15.95" customHeight="1" x14ac:dyDescent="0.25">
      <c r="A78" s="17" t="s">
        <v>131</v>
      </c>
      <c r="B78" s="31">
        <v>2.5</v>
      </c>
      <c r="C78" s="31">
        <v>2.5</v>
      </c>
      <c r="D78" s="31"/>
      <c r="E78" s="31"/>
      <c r="F78" s="31"/>
      <c r="G78" s="42"/>
      <c r="H78" s="42">
        <f t="shared" ref="H78" si="52">H77-F78-D78+B78</f>
        <v>15.042000000000002</v>
      </c>
      <c r="I78" s="42">
        <f t="shared" ref="I78" si="53">I77-E78+C78</f>
        <v>20.042000000000002</v>
      </c>
      <c r="J78" s="52">
        <f t="shared" ref="J78" si="54">H78+I78</f>
        <v>35.084000000000003</v>
      </c>
    </row>
    <row r="79" spans="1:10" ht="15.95" customHeight="1" x14ac:dyDescent="0.25">
      <c r="A79" s="17"/>
      <c r="B79" s="31"/>
      <c r="C79" s="31"/>
      <c r="D79" s="31"/>
      <c r="E79" s="31"/>
      <c r="F79" s="31"/>
      <c r="G79" s="42"/>
      <c r="H79" s="42"/>
      <c r="I79" s="42"/>
      <c r="J79" s="52"/>
    </row>
    <row r="80" spans="1:10" ht="15.95" customHeight="1" x14ac:dyDescent="0.25">
      <c r="A80" s="112"/>
      <c r="B80" s="113"/>
      <c r="C80" s="113"/>
      <c r="D80" s="113"/>
      <c r="E80" s="113"/>
      <c r="F80" s="113"/>
      <c r="G80" s="114"/>
      <c r="H80" s="114"/>
      <c r="I80" s="114"/>
      <c r="J80" s="115"/>
    </row>
    <row r="81" spans="1:10" ht="75.75" customHeight="1" x14ac:dyDescent="0.25">
      <c r="A81" s="55"/>
      <c r="B81" s="55"/>
      <c r="C81" s="55"/>
      <c r="D81" s="55"/>
      <c r="E81" s="55"/>
      <c r="F81" s="55"/>
      <c r="G81" s="55"/>
      <c r="H81" s="55"/>
      <c r="I81" s="55"/>
      <c r="J81" s="55"/>
    </row>
    <row r="82" spans="1:10" s="1" customFormat="1" x14ac:dyDescent="0.25">
      <c r="F82"/>
    </row>
    <row r="83" spans="1:10" s="1" customFormat="1" x14ac:dyDescent="0.25">
      <c r="F83"/>
    </row>
  </sheetData>
  <mergeCells count="14">
    <mergeCell ref="B9:D9"/>
    <mergeCell ref="A10:J10"/>
    <mergeCell ref="A2:J2"/>
    <mergeCell ref="A3:J3"/>
    <mergeCell ref="A4:J4"/>
    <mergeCell ref="A5:J5"/>
    <mergeCell ref="B7:D7"/>
    <mergeCell ref="A81:J81"/>
    <mergeCell ref="A11:A12"/>
    <mergeCell ref="J11:J12"/>
    <mergeCell ref="B11:C11"/>
    <mergeCell ref="D11:G11"/>
    <mergeCell ref="H11:I11"/>
    <mergeCell ref="A13:J13"/>
  </mergeCells>
  <phoneticPr fontId="5" type="noConversion"/>
  <printOptions horizontalCentered="1"/>
  <pageMargins left="0.25" right="0.25" top="0.25" bottom="0.25" header="0.31496062992126" footer="0.31496062992126"/>
  <pageSetup paperSize="9" scale="58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90B6B-1403-4F31-BA26-4A65F664E266}">
  <dimension ref="A1:O24"/>
  <sheetViews>
    <sheetView topLeftCell="A13" workbookViewId="0">
      <selection activeCell="D29" sqref="D29"/>
    </sheetView>
  </sheetViews>
  <sheetFormatPr defaultRowHeight="15" x14ac:dyDescent="0.25"/>
  <cols>
    <col min="1" max="1" width="21.85546875" style="24" customWidth="1"/>
    <col min="2" max="2" width="18.7109375" style="24" customWidth="1"/>
    <col min="3" max="3" width="8.7109375" style="24"/>
    <col min="4" max="4" width="20.5703125" style="24" customWidth="1"/>
    <col min="5" max="5" width="8.7109375" style="24"/>
    <col min="6" max="6" width="7.42578125" style="24" customWidth="1"/>
    <col min="7" max="7" width="8.7109375" style="24"/>
    <col min="8" max="8" width="7" style="24" customWidth="1"/>
    <col min="9" max="15" width="9.140625" style="24"/>
  </cols>
  <sheetData>
    <row r="1" spans="1:15" x14ac:dyDescent="0.25">
      <c r="A1" s="18"/>
      <c r="B1" s="18"/>
      <c r="C1" s="18"/>
      <c r="D1" s="19"/>
      <c r="E1" s="18"/>
      <c r="F1" s="18"/>
      <c r="G1" s="20"/>
      <c r="H1" s="18"/>
      <c r="I1" s="18"/>
      <c r="J1" s="18"/>
      <c r="K1" s="18"/>
      <c r="L1" s="18"/>
      <c r="M1" s="18"/>
      <c r="N1" s="18"/>
      <c r="O1" s="18"/>
    </row>
    <row r="2" spans="1:15" x14ac:dyDescent="0.25">
      <c r="A2" s="18"/>
      <c r="B2" s="18"/>
      <c r="C2" s="18"/>
      <c r="D2" s="19"/>
      <c r="E2" s="18"/>
      <c r="F2" s="18"/>
      <c r="G2" s="20"/>
      <c r="H2" s="18"/>
      <c r="I2" s="18"/>
      <c r="J2" s="18"/>
      <c r="K2" s="18"/>
      <c r="L2" s="18"/>
      <c r="M2" s="18"/>
      <c r="N2" s="18"/>
      <c r="O2" s="18"/>
    </row>
    <row r="3" spans="1:15" x14ac:dyDescent="0.25">
      <c r="A3" s="18"/>
      <c r="B3" s="18"/>
      <c r="C3" s="18"/>
      <c r="D3" s="19"/>
      <c r="E3" s="18"/>
      <c r="F3" s="18"/>
      <c r="G3" s="20"/>
      <c r="H3" s="18"/>
      <c r="I3" s="18"/>
      <c r="J3" s="18"/>
      <c r="K3" s="18"/>
      <c r="L3" s="18"/>
      <c r="M3" s="18"/>
      <c r="N3" s="18"/>
      <c r="O3" s="18"/>
    </row>
    <row r="4" spans="1:15" x14ac:dyDescent="0.25">
      <c r="A4" s="18"/>
      <c r="B4" s="18"/>
      <c r="C4" s="18"/>
      <c r="D4" s="19"/>
      <c r="E4" s="18"/>
      <c r="F4" s="18"/>
      <c r="G4" s="20"/>
      <c r="H4" s="18"/>
      <c r="I4" s="18"/>
      <c r="J4" s="18"/>
      <c r="K4" s="18"/>
      <c r="L4" s="18"/>
      <c r="M4" s="18"/>
      <c r="N4" s="18"/>
      <c r="O4" s="18"/>
    </row>
    <row r="5" spans="1:15" x14ac:dyDescent="0.25">
      <c r="A5" s="93" t="s">
        <v>14</v>
      </c>
      <c r="B5" s="93"/>
      <c r="C5" s="93"/>
      <c r="D5" s="93"/>
      <c r="E5" s="93"/>
      <c r="F5" s="93"/>
      <c r="G5" s="93"/>
      <c r="H5" s="93"/>
      <c r="I5" s="93"/>
      <c r="J5" s="93"/>
      <c r="K5" s="93"/>
      <c r="L5" s="18"/>
      <c r="M5" s="18"/>
      <c r="N5" s="18"/>
      <c r="O5" s="18"/>
    </row>
    <row r="6" spans="1:15" x14ac:dyDescent="0.25">
      <c r="A6" s="93" t="s">
        <v>15</v>
      </c>
      <c r="B6" s="93"/>
      <c r="C6" s="93"/>
      <c r="D6" s="93"/>
      <c r="E6" s="93"/>
      <c r="F6" s="93"/>
      <c r="G6" s="93"/>
      <c r="H6" s="93"/>
      <c r="I6" s="93"/>
      <c r="J6" s="93"/>
      <c r="K6" s="93"/>
      <c r="L6" s="18"/>
      <c r="M6" s="18"/>
      <c r="N6" s="18"/>
      <c r="O6" s="18"/>
    </row>
    <row r="7" spans="1:15" x14ac:dyDescent="0.25">
      <c r="A7" s="93" t="s">
        <v>16</v>
      </c>
      <c r="B7" s="93"/>
      <c r="C7" s="93"/>
      <c r="D7" s="93"/>
      <c r="E7" s="93"/>
      <c r="F7" s="93"/>
      <c r="G7" s="93"/>
      <c r="H7" s="93"/>
      <c r="I7" s="93"/>
      <c r="J7" s="93"/>
      <c r="K7" s="93"/>
      <c r="L7" s="18"/>
      <c r="M7" s="18"/>
      <c r="N7" s="18"/>
      <c r="O7" s="18"/>
    </row>
    <row r="8" spans="1:15" x14ac:dyDescent="0.25">
      <c r="A8" s="93" t="s">
        <v>17</v>
      </c>
      <c r="B8" s="93"/>
      <c r="C8" s="93"/>
      <c r="D8" s="93"/>
      <c r="E8" s="93"/>
      <c r="F8" s="93"/>
      <c r="G8" s="93"/>
      <c r="H8" s="93"/>
      <c r="I8" s="93"/>
      <c r="J8" s="93"/>
      <c r="K8" s="93"/>
      <c r="L8" s="18"/>
      <c r="M8" s="18"/>
      <c r="N8" s="18"/>
      <c r="O8" s="18"/>
    </row>
    <row r="9" spans="1:15" x14ac:dyDescent="0.25">
      <c r="A9" s="18"/>
      <c r="B9" s="18"/>
      <c r="C9" s="18"/>
      <c r="D9" s="20"/>
      <c r="E9" s="18"/>
      <c r="F9" s="18"/>
      <c r="G9" s="20"/>
      <c r="H9" s="18"/>
      <c r="I9" s="18"/>
      <c r="J9" s="18"/>
      <c r="K9" s="18"/>
      <c r="L9" s="18"/>
      <c r="M9" s="18"/>
      <c r="N9" s="18"/>
      <c r="O9" s="18"/>
    </row>
    <row r="10" spans="1:15" x14ac:dyDescent="0.25">
      <c r="A10" s="18"/>
      <c r="B10" s="18"/>
      <c r="C10" s="18"/>
      <c r="D10" s="20"/>
      <c r="E10" s="18"/>
      <c r="F10" s="18"/>
      <c r="G10" s="20"/>
      <c r="H10" s="18"/>
      <c r="I10" s="18"/>
      <c r="J10" s="18"/>
      <c r="K10" s="18"/>
      <c r="L10" s="18"/>
      <c r="M10" s="18"/>
      <c r="N10" s="18"/>
      <c r="O10" s="18"/>
    </row>
    <row r="11" spans="1:15" x14ac:dyDescent="0.25">
      <c r="A11" s="21" t="s">
        <v>73</v>
      </c>
      <c r="B11" s="21"/>
      <c r="C11" s="21"/>
      <c r="D11" s="75" t="s">
        <v>60</v>
      </c>
      <c r="E11" s="75"/>
      <c r="F11" s="75"/>
      <c r="G11" s="18"/>
      <c r="H11" s="75" t="s">
        <v>61</v>
      </c>
      <c r="I11" s="75"/>
      <c r="J11" s="75"/>
      <c r="K11" s="21"/>
      <c r="L11" s="18"/>
      <c r="M11" s="18"/>
      <c r="N11" s="18"/>
      <c r="O11" s="18"/>
    </row>
    <row r="12" spans="1:15" x14ac:dyDescent="0.25">
      <c r="A12" s="18"/>
      <c r="B12" s="18"/>
      <c r="C12" s="22"/>
      <c r="D12" s="75" t="s">
        <v>62</v>
      </c>
      <c r="E12" s="75"/>
      <c r="F12" s="75"/>
      <c r="G12" s="18"/>
      <c r="H12" s="76" t="s">
        <v>63</v>
      </c>
      <c r="I12" s="76"/>
      <c r="J12" s="76"/>
      <c r="K12" s="22"/>
      <c r="L12" s="18"/>
      <c r="M12" s="18"/>
      <c r="N12" s="18"/>
      <c r="O12" s="18"/>
    </row>
    <row r="13" spans="1:15" x14ac:dyDescent="0.25">
      <c r="A13" s="21" t="s">
        <v>74</v>
      </c>
      <c r="B13" s="21"/>
      <c r="C13" s="21"/>
      <c r="D13" s="23"/>
      <c r="E13" s="18"/>
      <c r="F13" s="18"/>
      <c r="G13" s="18"/>
      <c r="H13" s="75" t="s">
        <v>64</v>
      </c>
      <c r="I13" s="75"/>
      <c r="J13" s="75"/>
      <c r="K13" s="21"/>
      <c r="L13" s="18"/>
      <c r="M13" s="18"/>
      <c r="N13" s="18"/>
      <c r="O13" s="18"/>
    </row>
    <row r="14" spans="1:15" ht="21.75" thickBot="1" x14ac:dyDescent="0.3">
      <c r="A14" s="77" t="s">
        <v>65</v>
      </c>
      <c r="B14" s="77"/>
      <c r="C14" s="77"/>
      <c r="D14" s="77"/>
      <c r="E14" s="77"/>
      <c r="F14" s="77"/>
      <c r="G14" s="77"/>
      <c r="H14" s="77"/>
      <c r="I14" s="77"/>
      <c r="J14" s="77"/>
      <c r="K14" s="77"/>
    </row>
    <row r="15" spans="1:15" x14ac:dyDescent="0.25">
      <c r="A15" s="78" t="s">
        <v>66</v>
      </c>
      <c r="B15" s="81" t="s">
        <v>118</v>
      </c>
      <c r="C15" s="84" t="s">
        <v>67</v>
      </c>
      <c r="D15" s="85"/>
      <c r="E15" s="84" t="s">
        <v>68</v>
      </c>
      <c r="F15" s="85"/>
      <c r="G15" s="84" t="s">
        <v>69</v>
      </c>
      <c r="H15" s="85"/>
      <c r="I15" s="84" t="s">
        <v>70</v>
      </c>
      <c r="J15" s="85"/>
      <c r="K15" s="90" t="s">
        <v>8</v>
      </c>
      <c r="L15" s="25"/>
      <c r="M15" s="25"/>
      <c r="N15" s="25"/>
      <c r="O15" s="25"/>
    </row>
    <row r="16" spans="1:15" x14ac:dyDescent="0.25">
      <c r="A16" s="79"/>
      <c r="B16" s="82"/>
      <c r="C16" s="86"/>
      <c r="D16" s="87"/>
      <c r="E16" s="86"/>
      <c r="F16" s="87"/>
      <c r="G16" s="86"/>
      <c r="H16" s="87"/>
      <c r="I16" s="86"/>
      <c r="J16" s="87"/>
      <c r="K16" s="91"/>
      <c r="L16" s="25"/>
      <c r="M16" s="25"/>
      <c r="N16" s="25"/>
      <c r="O16" s="25"/>
    </row>
    <row r="17" spans="1:15" x14ac:dyDescent="0.25">
      <c r="A17" s="80"/>
      <c r="B17" s="83"/>
      <c r="C17" s="88"/>
      <c r="D17" s="89"/>
      <c r="E17" s="88"/>
      <c r="F17" s="89"/>
      <c r="G17" s="88"/>
      <c r="H17" s="89"/>
      <c r="I17" s="88"/>
      <c r="J17" s="89"/>
      <c r="K17" s="92"/>
      <c r="L17" s="25"/>
      <c r="M17" s="25"/>
      <c r="N17" s="25"/>
      <c r="O17" s="25"/>
    </row>
    <row r="18" spans="1:15" ht="37.5" customHeight="1" x14ac:dyDescent="0.25">
      <c r="A18" s="26" t="s">
        <v>71</v>
      </c>
      <c r="B18" s="40" t="s">
        <v>121</v>
      </c>
      <c r="C18" s="72" t="s">
        <v>72</v>
      </c>
      <c r="D18" s="73"/>
      <c r="E18" s="72">
        <v>5</v>
      </c>
      <c r="F18" s="74"/>
      <c r="G18" s="72">
        <v>0</v>
      </c>
      <c r="H18" s="74"/>
      <c r="I18" s="72">
        <v>5</v>
      </c>
      <c r="J18" s="74"/>
      <c r="K18" s="27">
        <v>5</v>
      </c>
      <c r="L18" s="25"/>
      <c r="M18" s="25"/>
      <c r="N18" s="25"/>
      <c r="O18" s="25"/>
    </row>
    <row r="19" spans="1:15" ht="37.5" customHeight="1" x14ac:dyDescent="0.25">
      <c r="A19" s="28"/>
      <c r="B19" s="29" t="s">
        <v>75</v>
      </c>
      <c r="C19" s="72" t="s">
        <v>72</v>
      </c>
      <c r="D19" s="74"/>
      <c r="E19" s="72"/>
      <c r="F19" s="74"/>
      <c r="G19" s="72">
        <v>1</v>
      </c>
      <c r="H19" s="74"/>
      <c r="I19" s="72">
        <v>4</v>
      </c>
      <c r="J19" s="74"/>
      <c r="K19" s="37">
        <v>4</v>
      </c>
      <c r="L19" s="18"/>
      <c r="M19" s="18"/>
      <c r="N19" s="18"/>
      <c r="O19" s="18"/>
    </row>
    <row r="20" spans="1:15" ht="37.5" customHeight="1" x14ac:dyDescent="0.25">
      <c r="A20" s="28"/>
      <c r="B20" s="29" t="s">
        <v>116</v>
      </c>
      <c r="C20" s="72" t="s">
        <v>72</v>
      </c>
      <c r="D20" s="74"/>
      <c r="E20" s="72"/>
      <c r="F20" s="74"/>
      <c r="G20" s="72">
        <v>4</v>
      </c>
      <c r="H20" s="74"/>
      <c r="I20" s="72">
        <v>0</v>
      </c>
      <c r="J20" s="74"/>
      <c r="K20" s="38">
        <v>0</v>
      </c>
      <c r="L20" s="18"/>
      <c r="M20" s="18"/>
      <c r="N20" s="18"/>
      <c r="O20" s="18"/>
    </row>
    <row r="21" spans="1:15" ht="37.5" customHeight="1" x14ac:dyDescent="0.25">
      <c r="A21" s="39" t="s">
        <v>117</v>
      </c>
      <c r="B21" s="40" t="s">
        <v>119</v>
      </c>
      <c r="C21" s="72" t="s">
        <v>122</v>
      </c>
      <c r="D21" s="73"/>
      <c r="E21" s="72">
        <v>5</v>
      </c>
      <c r="F21" s="74"/>
      <c r="G21" s="72">
        <v>0</v>
      </c>
      <c r="H21" s="74"/>
      <c r="I21" s="72">
        <v>5</v>
      </c>
      <c r="J21" s="74"/>
      <c r="K21" s="27">
        <v>5</v>
      </c>
      <c r="L21" s="25"/>
      <c r="M21" s="25"/>
      <c r="N21" s="25"/>
      <c r="O21" s="25"/>
    </row>
    <row r="22" spans="1:15" ht="37.5" customHeight="1" x14ac:dyDescent="0.25">
      <c r="A22" s="28"/>
      <c r="B22" s="29" t="s">
        <v>120</v>
      </c>
      <c r="C22" s="72" t="s">
        <v>122</v>
      </c>
      <c r="D22" s="73"/>
      <c r="E22" s="72"/>
      <c r="F22" s="74"/>
      <c r="G22" s="72">
        <v>4</v>
      </c>
      <c r="H22" s="74"/>
      <c r="I22" s="72">
        <v>1</v>
      </c>
      <c r="J22" s="74"/>
      <c r="K22" s="37">
        <v>1</v>
      </c>
      <c r="L22" s="18"/>
      <c r="M22" s="18"/>
      <c r="N22" s="18"/>
      <c r="O22" s="18"/>
    </row>
    <row r="23" spans="1:15" x14ac:dyDescent="0.25">
      <c r="A23" s="18"/>
      <c r="B23" s="18"/>
      <c r="C23" s="18"/>
      <c r="D23" s="20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</row>
    <row r="24" spans="1:15" x14ac:dyDescent="0.25">
      <c r="A24" s="18"/>
      <c r="B24" s="18"/>
      <c r="C24" s="18"/>
      <c r="D24" s="20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</row>
  </sheetData>
  <mergeCells count="37">
    <mergeCell ref="A5:K5"/>
    <mergeCell ref="A6:K6"/>
    <mergeCell ref="A7:K7"/>
    <mergeCell ref="A8:K8"/>
    <mergeCell ref="D11:F11"/>
    <mergeCell ref="H11:J11"/>
    <mergeCell ref="C18:D18"/>
    <mergeCell ref="E18:F18"/>
    <mergeCell ref="G18:H18"/>
    <mergeCell ref="I18:J18"/>
    <mergeCell ref="D12:F12"/>
    <mergeCell ref="H12:J12"/>
    <mergeCell ref="H13:J13"/>
    <mergeCell ref="A14:K14"/>
    <mergeCell ref="A15:A17"/>
    <mergeCell ref="B15:B17"/>
    <mergeCell ref="C15:D17"/>
    <mergeCell ref="E15:F17"/>
    <mergeCell ref="G15:H17"/>
    <mergeCell ref="I15:J17"/>
    <mergeCell ref="K15:K17"/>
    <mergeCell ref="C20:D20"/>
    <mergeCell ref="E20:F20"/>
    <mergeCell ref="G20:H20"/>
    <mergeCell ref="I20:J20"/>
    <mergeCell ref="C19:D19"/>
    <mergeCell ref="E19:F19"/>
    <mergeCell ref="G19:H19"/>
    <mergeCell ref="I19:J19"/>
    <mergeCell ref="C22:D22"/>
    <mergeCell ref="E22:F22"/>
    <mergeCell ref="G22:H22"/>
    <mergeCell ref="I22:J22"/>
    <mergeCell ref="C21:D21"/>
    <mergeCell ref="E21:F21"/>
    <mergeCell ref="G21:H21"/>
    <mergeCell ref="I21:J21"/>
  </mergeCells>
  <phoneticPr fontId="5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65" fitToHeight="0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5447E-840A-4DD6-9E2A-5AFC931152E8}">
  <sheetPr>
    <pageSetUpPr fitToPage="1"/>
  </sheetPr>
  <dimension ref="A1:L31"/>
  <sheetViews>
    <sheetView view="pageBreakPreview" topLeftCell="A5" zoomScale="108" zoomScaleNormal="100" zoomScaleSheetLayoutView="108" workbookViewId="0">
      <selection activeCell="A23" sqref="A23:XFD23"/>
    </sheetView>
  </sheetViews>
  <sheetFormatPr defaultRowHeight="15" x14ac:dyDescent="0.25"/>
  <cols>
    <col min="1" max="1" width="21.5703125" customWidth="1"/>
    <col min="2" max="2" width="17.5703125" customWidth="1"/>
  </cols>
  <sheetData>
    <row r="1" spans="1:12" s="1" customFormat="1" ht="52.5" customHeight="1" x14ac:dyDescent="0.25"/>
    <row r="2" spans="1:12" s="1" customFormat="1" ht="10.5" customHeight="1" x14ac:dyDescent="0.25">
      <c r="A2" s="71" t="s">
        <v>14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</row>
    <row r="3" spans="1:12" s="1" customFormat="1" ht="15.95" customHeight="1" x14ac:dyDescent="0.25">
      <c r="A3" s="71" t="s">
        <v>15</v>
      </c>
      <c r="B3" s="71"/>
      <c r="C3" s="71"/>
      <c r="D3" s="71"/>
      <c r="E3" s="71"/>
      <c r="F3" s="71"/>
      <c r="G3" s="71"/>
      <c r="H3" s="71"/>
      <c r="I3" s="71"/>
      <c r="J3" s="71"/>
      <c r="K3" s="71"/>
      <c r="L3" s="71"/>
    </row>
    <row r="4" spans="1:12" s="1" customFormat="1" ht="15.95" customHeight="1" x14ac:dyDescent="0.25">
      <c r="A4" s="71" t="s">
        <v>16</v>
      </c>
      <c r="B4" s="71"/>
      <c r="C4" s="71"/>
      <c r="D4" s="71"/>
      <c r="E4" s="71"/>
      <c r="F4" s="71"/>
      <c r="G4" s="71"/>
      <c r="H4" s="71"/>
      <c r="I4" s="71"/>
      <c r="J4" s="71"/>
      <c r="K4" s="71"/>
      <c r="L4" s="71"/>
    </row>
    <row r="5" spans="1:12" s="1" customFormat="1" ht="15.95" customHeight="1" x14ac:dyDescent="0.25">
      <c r="A5" s="71" t="s">
        <v>17</v>
      </c>
      <c r="B5" s="71"/>
      <c r="C5" s="71"/>
      <c r="D5" s="71"/>
      <c r="E5" s="71"/>
      <c r="F5" s="71"/>
      <c r="G5" s="71"/>
      <c r="H5" s="71"/>
      <c r="I5" s="71"/>
      <c r="J5" s="71"/>
      <c r="K5" s="71"/>
      <c r="L5" s="71"/>
    </row>
    <row r="6" spans="1:12" s="1" customFormat="1" ht="8.25" customHeight="1" x14ac:dyDescent="0.25"/>
    <row r="7" spans="1:12" s="1" customFormat="1" ht="12" customHeight="1" x14ac:dyDescent="0.25">
      <c r="A7" s="1" t="s">
        <v>21</v>
      </c>
      <c r="C7" s="2" t="s">
        <v>22</v>
      </c>
      <c r="D7" s="2"/>
      <c r="G7" s="2" t="s">
        <v>9</v>
      </c>
      <c r="H7" s="15"/>
    </row>
    <row r="8" spans="1:12" s="1" customFormat="1" ht="12" customHeight="1" x14ac:dyDescent="0.25">
      <c r="C8" s="3"/>
      <c r="G8" s="3"/>
      <c r="H8" s="3"/>
    </row>
    <row r="9" spans="1:12" s="1" customFormat="1" ht="12" customHeight="1" x14ac:dyDescent="0.25">
      <c r="A9" s="1" t="s">
        <v>23</v>
      </c>
      <c r="C9" s="2" t="s">
        <v>24</v>
      </c>
      <c r="D9" s="2"/>
      <c r="G9" s="2" t="s">
        <v>10</v>
      </c>
      <c r="H9" s="4"/>
    </row>
    <row r="10" spans="1:12" s="1" customFormat="1" ht="12" customHeight="1" x14ac:dyDescent="0.25">
      <c r="C10" s="2"/>
      <c r="D10" s="2"/>
      <c r="G10" s="2"/>
      <c r="H10" s="2"/>
    </row>
    <row r="11" spans="1:12" ht="16.5" customHeight="1" thickBot="1" x14ac:dyDescent="0.3">
      <c r="A11" s="70" t="s">
        <v>91</v>
      </c>
      <c r="B11" s="70"/>
      <c r="C11" s="70"/>
      <c r="D11" s="70"/>
      <c r="E11" s="70"/>
      <c r="F11" s="70"/>
      <c r="G11" s="70"/>
      <c r="H11" s="70"/>
      <c r="I11" s="70"/>
      <c r="J11" s="70"/>
      <c r="K11" s="70"/>
      <c r="L11" s="70"/>
    </row>
    <row r="12" spans="1:12" s="6" customFormat="1" ht="18.75" customHeight="1" x14ac:dyDescent="0.2">
      <c r="A12" s="94" t="s">
        <v>4</v>
      </c>
      <c r="B12" s="96" t="s">
        <v>5</v>
      </c>
      <c r="C12" s="97"/>
      <c r="D12" s="97"/>
      <c r="E12" s="97"/>
      <c r="F12" s="97"/>
      <c r="G12" s="97"/>
      <c r="H12" s="97"/>
      <c r="I12" s="97"/>
      <c r="J12" s="97"/>
      <c r="K12" s="97"/>
      <c r="L12" s="98" t="s">
        <v>8</v>
      </c>
    </row>
    <row r="13" spans="1:12" s="6" customFormat="1" ht="24" customHeight="1" x14ac:dyDescent="0.2">
      <c r="A13" s="95"/>
      <c r="B13" s="100" t="s">
        <v>92</v>
      </c>
      <c r="C13" s="101"/>
      <c r="D13" s="101"/>
      <c r="E13" s="102"/>
      <c r="F13" s="100" t="s">
        <v>68</v>
      </c>
      <c r="G13" s="102"/>
      <c r="H13" s="100" t="s">
        <v>69</v>
      </c>
      <c r="I13" s="102"/>
      <c r="J13" s="100" t="s">
        <v>70</v>
      </c>
      <c r="K13" s="102"/>
      <c r="L13" s="99"/>
    </row>
    <row r="14" spans="1:12" s="6" customFormat="1" ht="24.95" hidden="1" customHeight="1" x14ac:dyDescent="0.2">
      <c r="A14" s="10" t="s">
        <v>93</v>
      </c>
      <c r="B14" s="103" t="s">
        <v>94</v>
      </c>
      <c r="C14" s="104"/>
      <c r="D14" s="104"/>
      <c r="E14" s="105"/>
      <c r="F14" s="103">
        <v>2</v>
      </c>
      <c r="G14" s="105"/>
      <c r="H14" s="103">
        <v>0</v>
      </c>
      <c r="I14" s="105"/>
      <c r="J14" s="103">
        <v>2</v>
      </c>
      <c r="K14" s="105"/>
      <c r="L14" s="9">
        <v>2</v>
      </c>
    </row>
    <row r="15" spans="1:12" s="5" customFormat="1" ht="25.5" hidden="1" customHeight="1" x14ac:dyDescent="0.2">
      <c r="A15" s="10" t="s">
        <v>95</v>
      </c>
      <c r="B15" s="103"/>
      <c r="C15" s="104"/>
      <c r="D15" s="104"/>
      <c r="E15" s="105"/>
      <c r="F15" s="103"/>
      <c r="G15" s="105"/>
      <c r="H15" s="103">
        <v>1</v>
      </c>
      <c r="I15" s="105"/>
      <c r="J15" s="103">
        <v>1</v>
      </c>
      <c r="K15" s="105"/>
      <c r="L15" s="9">
        <v>1</v>
      </c>
    </row>
    <row r="16" spans="1:12" s="5" customFormat="1" ht="25.5" hidden="1" customHeight="1" x14ac:dyDescent="0.2">
      <c r="A16" s="10" t="s">
        <v>96</v>
      </c>
      <c r="B16" s="103"/>
      <c r="C16" s="104"/>
      <c r="D16" s="104"/>
      <c r="E16" s="105"/>
      <c r="F16" s="103"/>
      <c r="G16" s="105"/>
      <c r="H16" s="103">
        <v>1</v>
      </c>
      <c r="I16" s="105"/>
      <c r="J16" s="103">
        <v>0</v>
      </c>
      <c r="K16" s="105"/>
      <c r="L16" s="9">
        <v>0</v>
      </c>
    </row>
    <row r="17" spans="1:12" s="6" customFormat="1" ht="24.95" hidden="1" customHeight="1" x14ac:dyDescent="0.2">
      <c r="A17" s="10" t="s">
        <v>97</v>
      </c>
      <c r="B17" s="103" t="s">
        <v>98</v>
      </c>
      <c r="C17" s="104"/>
      <c r="D17" s="104"/>
      <c r="E17" s="105"/>
      <c r="F17" s="103">
        <v>3</v>
      </c>
      <c r="G17" s="105"/>
      <c r="H17" s="103">
        <v>0</v>
      </c>
      <c r="I17" s="105"/>
      <c r="J17" s="103">
        <v>3</v>
      </c>
      <c r="K17" s="105"/>
      <c r="L17" s="9">
        <v>3</v>
      </c>
    </row>
    <row r="18" spans="1:12" s="5" customFormat="1" ht="25.5" hidden="1" customHeight="1" x14ac:dyDescent="0.2">
      <c r="A18" s="10" t="s">
        <v>99</v>
      </c>
      <c r="B18" s="103"/>
      <c r="C18" s="104"/>
      <c r="D18" s="104"/>
      <c r="E18" s="105"/>
      <c r="F18" s="103"/>
      <c r="G18" s="105"/>
      <c r="H18" s="103">
        <v>1</v>
      </c>
      <c r="I18" s="105"/>
      <c r="J18" s="103">
        <v>2</v>
      </c>
      <c r="K18" s="105"/>
      <c r="L18" s="9">
        <v>2</v>
      </c>
    </row>
    <row r="19" spans="1:12" s="5" customFormat="1" ht="25.5" hidden="1" customHeight="1" x14ac:dyDescent="0.2">
      <c r="A19" s="10" t="s">
        <v>100</v>
      </c>
      <c r="B19" s="103"/>
      <c r="C19" s="104"/>
      <c r="D19" s="104"/>
      <c r="E19" s="105"/>
      <c r="F19" s="103"/>
      <c r="G19" s="105"/>
      <c r="H19" s="103">
        <v>1</v>
      </c>
      <c r="I19" s="105"/>
      <c r="J19" s="103">
        <v>1</v>
      </c>
      <c r="K19" s="105"/>
      <c r="L19" s="9">
        <v>1</v>
      </c>
    </row>
    <row r="20" spans="1:12" s="5" customFormat="1" ht="25.5" hidden="1" customHeight="1" x14ac:dyDescent="0.2">
      <c r="A20" s="32" t="s">
        <v>101</v>
      </c>
      <c r="B20" s="106"/>
      <c r="C20" s="107"/>
      <c r="D20" s="107"/>
      <c r="E20" s="108"/>
      <c r="F20" s="106"/>
      <c r="G20" s="108"/>
      <c r="H20" s="106">
        <v>1</v>
      </c>
      <c r="I20" s="108"/>
      <c r="J20" s="106">
        <v>0</v>
      </c>
      <c r="K20" s="108"/>
      <c r="L20" s="33">
        <v>0</v>
      </c>
    </row>
    <row r="21" spans="1:12" s="5" customFormat="1" ht="25.5" customHeight="1" x14ac:dyDescent="0.2">
      <c r="A21" s="32" t="s">
        <v>102</v>
      </c>
      <c r="B21" s="106" t="s">
        <v>108</v>
      </c>
      <c r="C21" s="107"/>
      <c r="D21" s="107"/>
      <c r="E21" s="108"/>
      <c r="F21" s="106">
        <v>1</v>
      </c>
      <c r="G21" s="108"/>
      <c r="H21" s="106">
        <v>0</v>
      </c>
      <c r="I21" s="108"/>
      <c r="J21" s="106">
        <v>1</v>
      </c>
      <c r="K21" s="108"/>
      <c r="L21" s="32">
        <v>1</v>
      </c>
    </row>
    <row r="22" spans="1:12" s="5" customFormat="1" ht="25.5" customHeight="1" x14ac:dyDescent="0.2">
      <c r="A22" s="32" t="s">
        <v>109</v>
      </c>
      <c r="B22" s="106" t="s">
        <v>108</v>
      </c>
      <c r="C22" s="107"/>
      <c r="D22" s="107"/>
      <c r="E22" s="108"/>
      <c r="F22" s="106"/>
      <c r="G22" s="108"/>
      <c r="H22" s="106">
        <v>1</v>
      </c>
      <c r="I22" s="108"/>
      <c r="J22" s="106">
        <v>0</v>
      </c>
      <c r="K22" s="108"/>
      <c r="L22" s="33">
        <v>0</v>
      </c>
    </row>
    <row r="23" spans="1:12" s="5" customFormat="1" ht="25.5" customHeight="1" x14ac:dyDescent="0.2">
      <c r="A23" s="32" t="s">
        <v>113</v>
      </c>
      <c r="B23" s="106" t="s">
        <v>114</v>
      </c>
      <c r="C23" s="107"/>
      <c r="D23" s="107"/>
      <c r="E23" s="108"/>
      <c r="F23" s="106">
        <v>1</v>
      </c>
      <c r="G23" s="108"/>
      <c r="H23" s="106">
        <v>0</v>
      </c>
      <c r="I23" s="108"/>
      <c r="J23" s="106">
        <v>1</v>
      </c>
      <c r="K23" s="108"/>
      <c r="L23" s="32">
        <v>1</v>
      </c>
    </row>
    <row r="24" spans="1:12" s="5" customFormat="1" ht="25.5" customHeight="1" x14ac:dyDescent="0.2">
      <c r="A24" s="32" t="s">
        <v>115</v>
      </c>
      <c r="B24" s="106" t="s">
        <v>114</v>
      </c>
      <c r="C24" s="107"/>
      <c r="D24" s="107"/>
      <c r="E24" s="108"/>
      <c r="F24" s="106"/>
      <c r="G24" s="108"/>
      <c r="H24" s="106">
        <v>1</v>
      </c>
      <c r="I24" s="108"/>
      <c r="J24" s="106">
        <v>0</v>
      </c>
      <c r="K24" s="108"/>
      <c r="L24" s="33">
        <v>0</v>
      </c>
    </row>
    <row r="25" spans="1:12" s="5" customFormat="1" x14ac:dyDescent="0.2">
      <c r="A25" s="34" t="s">
        <v>103</v>
      </c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6"/>
    </row>
    <row r="26" spans="1:12" ht="18.95" customHeight="1" x14ac:dyDescent="0.25">
      <c r="A26" s="55"/>
      <c r="B26" s="55"/>
      <c r="C26" s="55"/>
      <c r="D26" s="55"/>
      <c r="E26" s="55"/>
      <c r="F26" s="55"/>
      <c r="G26" s="55"/>
      <c r="H26" s="55"/>
      <c r="I26" s="55"/>
      <c r="J26" s="55"/>
      <c r="K26" s="55"/>
      <c r="L26" s="55"/>
    </row>
    <row r="27" spans="1:12" s="1" customFormat="1" x14ac:dyDescent="0.25">
      <c r="C27" s="8"/>
      <c r="I27" s="1" t="s">
        <v>104</v>
      </c>
    </row>
    <row r="28" spans="1:12" s="1" customFormat="1" x14ac:dyDescent="0.25">
      <c r="C28" s="8"/>
    </row>
    <row r="29" spans="1:12" x14ac:dyDescent="0.25">
      <c r="I29" s="109" t="s">
        <v>105</v>
      </c>
      <c r="J29" s="109"/>
      <c r="K29" s="109"/>
    </row>
    <row r="30" spans="1:12" x14ac:dyDescent="0.25">
      <c r="I30" s="110" t="s">
        <v>106</v>
      </c>
      <c r="J30" s="110"/>
      <c r="K30" s="110"/>
    </row>
    <row r="31" spans="1:12" x14ac:dyDescent="0.25">
      <c r="I31" s="111" t="s">
        <v>107</v>
      </c>
      <c r="J31" s="111"/>
    </row>
  </sheetData>
  <mergeCells count="60">
    <mergeCell ref="I29:K29"/>
    <mergeCell ref="I30:K30"/>
    <mergeCell ref="I31:J31"/>
    <mergeCell ref="B21:E21"/>
    <mergeCell ref="F21:G21"/>
    <mergeCell ref="H21:I21"/>
    <mergeCell ref="J21:K21"/>
    <mergeCell ref="B22:E22"/>
    <mergeCell ref="F22:G22"/>
    <mergeCell ref="H22:I22"/>
    <mergeCell ref="J22:K22"/>
    <mergeCell ref="B23:E23"/>
    <mergeCell ref="F23:G23"/>
    <mergeCell ref="H23:I23"/>
    <mergeCell ref="J23:K23"/>
    <mergeCell ref="B24:E24"/>
    <mergeCell ref="B20:E20"/>
    <mergeCell ref="F20:G20"/>
    <mergeCell ref="H20:I20"/>
    <mergeCell ref="J20:K20"/>
    <mergeCell ref="A26:L26"/>
    <mergeCell ref="F24:G24"/>
    <mergeCell ref="H24:I24"/>
    <mergeCell ref="J24:K24"/>
    <mergeCell ref="B18:E18"/>
    <mergeCell ref="F18:G18"/>
    <mergeCell ref="H18:I18"/>
    <mergeCell ref="J18:K18"/>
    <mergeCell ref="B19:E19"/>
    <mergeCell ref="F19:G19"/>
    <mergeCell ref="H19:I19"/>
    <mergeCell ref="J19:K19"/>
    <mergeCell ref="B16:E16"/>
    <mergeCell ref="F16:G16"/>
    <mergeCell ref="H16:I16"/>
    <mergeCell ref="J16:K16"/>
    <mergeCell ref="B17:E17"/>
    <mergeCell ref="F17:G17"/>
    <mergeCell ref="H17:I17"/>
    <mergeCell ref="J17:K17"/>
    <mergeCell ref="B14:E14"/>
    <mergeCell ref="F14:G14"/>
    <mergeCell ref="H14:I14"/>
    <mergeCell ref="J14:K14"/>
    <mergeCell ref="B15:E15"/>
    <mergeCell ref="F15:G15"/>
    <mergeCell ref="H15:I15"/>
    <mergeCell ref="J15:K15"/>
    <mergeCell ref="A2:L2"/>
    <mergeCell ref="A3:L3"/>
    <mergeCell ref="A4:L4"/>
    <mergeCell ref="A5:L5"/>
    <mergeCell ref="A11:L11"/>
    <mergeCell ref="A12:A13"/>
    <mergeCell ref="B12:K12"/>
    <mergeCell ref="L12:L13"/>
    <mergeCell ref="B13:E13"/>
    <mergeCell ref="F13:G13"/>
    <mergeCell ref="H13:I13"/>
    <mergeCell ref="J13:K13"/>
  </mergeCells>
  <phoneticPr fontId="5" type="noConversion"/>
  <pageMargins left="0.7" right="0.7" top="0.75" bottom="0.75" header="0.3" footer="0.3"/>
  <pageSetup paperSize="9" scale="67" fitToHeight="0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Leave Card (NE)</vt:lpstr>
      <vt:lpstr>ELECTION</vt:lpstr>
      <vt:lpstr>CTO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2025-12-11T02:25:05Z</cp:lastPrinted>
  <dcterms:created xsi:type="dcterms:W3CDTF">2021-10-07T06:10:16Z</dcterms:created>
  <dcterms:modified xsi:type="dcterms:W3CDTF">2026-01-08T06:41:44Z</dcterms:modified>
</cp:coreProperties>
</file>