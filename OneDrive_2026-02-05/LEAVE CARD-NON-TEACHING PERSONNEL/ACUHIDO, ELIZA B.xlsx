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3EBA630-B42A-45F3-8F6D-7D4F3A5B6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10" r:id="rId2"/>
    <sheet name="Other types of leave" sheetId="9" r:id="rId3"/>
    <sheet name="BLANK" sheetId="11" r:id="rId4"/>
  </sheets>
  <definedNames>
    <definedName name="_xlnm.Print_Area" localSheetId="3">BLANK!$A$1:$J$31</definedName>
    <definedName name="_xlnm.Print_Area" localSheetId="0">'Leave Card (NE)'!$A$1:$J$118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6" l="1"/>
  <c r="I110" i="6"/>
  <c r="J110" i="6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H14" i="6"/>
  <c r="H15" i="6" s="1"/>
  <c r="H16" i="6" s="1"/>
  <c r="H17" i="6" l="1"/>
  <c r="J16" i="6"/>
  <c r="J14" i="6"/>
  <c r="J15" i="6"/>
  <c r="J17" i="6" l="1"/>
  <c r="H18" i="6"/>
  <c r="H19" i="6" l="1"/>
  <c r="J18" i="6"/>
  <c r="J19" i="6" l="1"/>
  <c r="H20" i="6"/>
  <c r="H21" i="6" s="1"/>
  <c r="J21" i="6" l="1"/>
  <c r="H22" i="6"/>
  <c r="J20" i="6"/>
  <c r="H23" i="6" l="1"/>
  <c r="J22" i="6"/>
  <c r="J23" i="6" l="1"/>
  <c r="H24" i="6"/>
  <c r="H25" i="6" l="1"/>
  <c r="J24" i="6"/>
  <c r="J25" i="6" l="1"/>
  <c r="H26" i="6"/>
  <c r="H27" i="6" l="1"/>
  <c r="J26" i="6"/>
  <c r="J27" i="6" l="1"/>
  <c r="H28" i="6"/>
  <c r="H29" i="6" l="1"/>
  <c r="J28" i="6"/>
  <c r="H30" i="6" l="1"/>
  <c r="J29" i="6"/>
  <c r="H31" i="6" l="1"/>
  <c r="J30" i="6"/>
  <c r="H32" i="6" l="1"/>
  <c r="J31" i="6"/>
  <c r="H33" i="6" l="1"/>
  <c r="J32" i="6"/>
  <c r="H34" i="6" l="1"/>
  <c r="J33" i="6"/>
  <c r="H35" i="6" l="1"/>
  <c r="J34" i="6"/>
  <c r="H36" i="6" l="1"/>
  <c r="J35" i="6"/>
  <c r="J36" i="6" l="1"/>
  <c r="H37" i="6"/>
  <c r="H38" i="6" l="1"/>
  <c r="J37" i="6"/>
  <c r="J38" i="6" l="1"/>
  <c r="H39" i="6"/>
  <c r="J39" i="6" l="1"/>
  <c r="H40" i="6"/>
  <c r="J40" i="6" l="1"/>
  <c r="H41" i="6"/>
  <c r="H42" i="6" l="1"/>
  <c r="J41" i="6"/>
  <c r="J42" i="6" l="1"/>
  <c r="H43" i="6"/>
  <c r="H44" i="6" l="1"/>
  <c r="J43" i="6"/>
  <c r="H45" i="6" l="1"/>
  <c r="J44" i="6"/>
  <c r="J45" i="6" l="1"/>
  <c r="H46" i="6"/>
  <c r="H47" i="6" l="1"/>
  <c r="J46" i="6"/>
  <c r="J47" i="6" l="1"/>
  <c r="H48" i="6"/>
  <c r="H49" i="6" l="1"/>
  <c r="J48" i="6"/>
  <c r="J49" i="6" l="1"/>
  <c r="H50" i="6"/>
  <c r="J50" i="6" l="1"/>
  <c r="H51" i="6"/>
  <c r="H52" i="6" l="1"/>
  <c r="J51" i="6"/>
  <c r="J52" i="6" l="1"/>
  <c r="H53" i="6"/>
  <c r="H54" i="6" l="1"/>
  <c r="J53" i="6"/>
  <c r="J54" i="6" l="1"/>
  <c r="H55" i="6"/>
  <c r="H56" i="6" l="1"/>
  <c r="J55" i="6"/>
  <c r="H57" i="6" l="1"/>
  <c r="J56" i="6"/>
  <c r="J57" i="6" l="1"/>
  <c r="H58" i="6"/>
  <c r="J58" i="6" l="1"/>
  <c r="H59" i="6"/>
  <c r="J59" i="6" l="1"/>
  <c r="H60" i="6"/>
  <c r="J60" i="6" l="1"/>
  <c r="H61" i="6"/>
  <c r="J61" i="6" l="1"/>
  <c r="H62" i="6"/>
  <c r="J62" i="6" l="1"/>
  <c r="H63" i="6"/>
  <c r="J63" i="6" l="1"/>
  <c r="H64" i="6"/>
  <c r="H65" i="6" s="1"/>
  <c r="H66" i="6" l="1"/>
  <c r="J65" i="6"/>
  <c r="J64" i="6"/>
  <c r="H67" i="6" l="1"/>
  <c r="J66" i="6"/>
  <c r="H68" i="6" l="1"/>
  <c r="J67" i="6"/>
  <c r="H69" i="6" l="1"/>
  <c r="J68" i="6"/>
  <c r="J69" i="6" l="1"/>
  <c r="H70" i="6"/>
  <c r="H71" i="6" l="1"/>
  <c r="J70" i="6"/>
  <c r="H72" i="6" l="1"/>
  <c r="J71" i="6"/>
  <c r="J72" i="6" l="1"/>
  <c r="H73" i="6"/>
  <c r="J73" i="6" l="1"/>
  <c r="H74" i="6"/>
  <c r="H75" i="6" l="1"/>
  <c r="J74" i="6"/>
  <c r="J75" i="6" l="1"/>
  <c r="H76" i="6"/>
  <c r="H77" i="6" l="1"/>
  <c r="J76" i="6"/>
  <c r="H78" i="6" l="1"/>
  <c r="J77" i="6"/>
  <c r="H79" i="6" l="1"/>
  <c r="J78" i="6"/>
  <c r="H80" i="6" l="1"/>
  <c r="J79" i="6"/>
  <c r="H81" i="6" l="1"/>
  <c r="J80" i="6"/>
  <c r="H82" i="6" l="1"/>
  <c r="J81" i="6"/>
  <c r="J82" i="6" l="1"/>
  <c r="H83" i="6"/>
  <c r="H84" i="6" l="1"/>
  <c r="J83" i="6"/>
  <c r="J84" i="6" l="1"/>
  <c r="H85" i="6"/>
  <c r="J85" i="6" l="1"/>
  <c r="H86" i="6"/>
  <c r="H87" i="6" l="1"/>
  <c r="J86" i="6"/>
  <c r="H88" i="6" l="1"/>
  <c r="J87" i="6"/>
  <c r="J88" i="6" l="1"/>
  <c r="H89" i="6"/>
  <c r="H90" i="6" l="1"/>
  <c r="J89" i="6"/>
  <c r="J90" i="6" l="1"/>
  <c r="H91" i="6"/>
  <c r="H92" i="6" l="1"/>
  <c r="J91" i="6"/>
  <c r="H93" i="6" l="1"/>
  <c r="J92" i="6"/>
  <c r="J93" i="6" l="1"/>
  <c r="H94" i="6"/>
  <c r="J94" i="6" l="1"/>
  <c r="H95" i="6"/>
  <c r="J95" i="6" l="1"/>
  <c r="H96" i="6"/>
  <c r="H97" i="6" l="1"/>
  <c r="J96" i="6"/>
  <c r="H98" i="6" l="1"/>
  <c r="J97" i="6"/>
  <c r="J98" i="6" l="1"/>
  <c r="H99" i="6"/>
  <c r="H100" i="6" l="1"/>
  <c r="J99" i="6"/>
  <c r="J100" i="6" l="1"/>
  <c r="H101" i="6"/>
  <c r="J101" i="6" l="1"/>
  <c r="H102" i="6"/>
  <c r="H103" i="6" l="1"/>
  <c r="J102" i="6"/>
  <c r="J103" i="6" l="1"/>
  <c r="H104" i="6"/>
  <c r="J104" i="6" l="1"/>
  <c r="H105" i="6"/>
  <c r="J105" i="6" l="1"/>
  <c r="H106" i="6"/>
  <c r="J106" i="6" l="1"/>
  <c r="H107" i="6"/>
  <c r="H108" i="6" l="1"/>
  <c r="J107" i="6"/>
  <c r="J108" i="6" l="1"/>
  <c r="H109" i="6"/>
  <c r="J109" i="6" s="1"/>
</calcChain>
</file>

<file path=xl/sharedStrings.xml><?xml version="1.0" encoding="utf-8"?>
<sst xmlns="http://schemas.openxmlformats.org/spreadsheetml/2006/main" count="236" uniqueCount="170">
  <si>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</si>
  <si>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</si>
  <si>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</si>
  <si>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</si>
  <si>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</si>
  <si>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</si>
  <si>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</si>
  <si>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</si>
  <si>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</si>
  <si>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</si>
  <si>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</si>
  <si>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01/01/22 - 02/28/22</t>
  </si>
  <si>
    <t>ADD: 03/01/22 - 04/30/22</t>
  </si>
  <si>
    <t>ADD: 05/01/22 - 05/31/22</t>
  </si>
  <si>
    <t>Republic of the Philippines</t>
  </si>
  <si>
    <t>Department of Education</t>
  </si>
  <si>
    <t>REGION VI-WESTERN VISAYAS</t>
  </si>
  <si>
    <t>SCHOOLS DIVISION OF SIPALAY CITY</t>
  </si>
  <si>
    <t>ADD: 12/01/2021 - 12/31/2021</t>
  </si>
  <si>
    <t>LESS: 03/09/22</t>
  </si>
  <si>
    <t>LESS: 05/13/22</t>
  </si>
  <si>
    <t>LESS: 06/27/22</t>
  </si>
  <si>
    <t>ADD: 5/01/2021 - 10/30/2021</t>
  </si>
  <si>
    <t>LESS: 11/09/2021</t>
  </si>
  <si>
    <t>ADD: 11/01/2021 - 11/30/2021</t>
  </si>
  <si>
    <t>LESS: 12/06, 24 &amp; 29/2021</t>
  </si>
  <si>
    <t>LESS: 12/16/2021</t>
  </si>
  <si>
    <t>ADD: 06/01/22 - 06/30/22</t>
  </si>
  <si>
    <t>LESS: 07/12/22</t>
  </si>
  <si>
    <t>ADD: 07/01/22 - 07/31/22</t>
  </si>
  <si>
    <t>LESS: 07/29/22</t>
  </si>
  <si>
    <t>LESS: 08/26/22</t>
  </si>
  <si>
    <t>ADD: 08/01/22 - 08/31/22</t>
  </si>
  <si>
    <t>ADD: 4/19/2021 - 4/30/2021</t>
  </si>
  <si>
    <t>DATE OF ORIGINAL APPOINTMENT: APRIL 19, 2021</t>
  </si>
  <si>
    <t>LESS: MONETIZATION 2022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</si>
  <si>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</si>
  <si>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</si>
  <si>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</si>
  <si>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</si>
  <si>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</si>
  <si>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</si>
  <si>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</si>
  <si>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</si>
  <si>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</si>
  <si>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</si>
  <si>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</si>
  <si>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</si>
  <si>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</si>
  <si>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</si>
  <si>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</si>
  <si>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</si>
  <si>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</si>
  <si>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</si>
  <si>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05/27/2022</t>
  </si>
  <si>
    <t>LESS: 09/14/2022</t>
  </si>
  <si>
    <t>LESS: 01/05-06/22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</si>
  <si>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</si>
  <si>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</si>
  <si>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</si>
  <si>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</si>
  <si>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</si>
  <si>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</si>
  <si>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</si>
  <si>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</si>
  <si>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ADD: 09/01/22 - 10/31/22</t>
  </si>
  <si>
    <t>SPECIAL PRIVILEGE LEAVE</t>
  </si>
  <si>
    <t>LESS: 11/23/2022</t>
  </si>
  <si>
    <t>ADD: 11/01/2022- 11/30/2022</t>
  </si>
  <si>
    <t>LESS: 12/23/2022</t>
  </si>
  <si>
    <t>ADD: 12/01/2022- 12/31/2022</t>
  </si>
  <si>
    <t>LESS: 12/26/2022</t>
  </si>
  <si>
    <t>LESS: 01/16-17/2023</t>
  </si>
  <si>
    <t>LESS: 01/10(AM) &amp; 11(PM), 2023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</si>
  <si>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</si>
  <si>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</si>
  <si>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</si>
  <si>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</si>
  <si>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</si>
  <si>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</si>
  <si>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</si>
  <si>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NOTE:  Valid for one (1) year only</t>
  </si>
  <si>
    <t>LESS: 01/20/23</t>
  </si>
  <si>
    <t>ADD: 01/01/2023- 01/31/2023</t>
  </si>
  <si>
    <t>ADD: 02/01/2023- 02/28/2023</t>
  </si>
  <si>
    <t>LESS: 03/27/2023</t>
  </si>
  <si>
    <t>ADD: 03/01/2023-04/30/2023</t>
  </si>
  <si>
    <t>LESS:05/29/2023</t>
  </si>
  <si>
    <t>ADD: JAN 18, 2023</t>
  </si>
  <si>
    <t>S.O. # 001, S. 2023. 126TH ANNIVERSARY OF THE MARTYRDOM OF DR. JOSE P. RIZAL</t>
  </si>
  <si>
    <t>LESS: 06/29/23</t>
  </si>
  <si>
    <t>ADD: 05/01/2023- 05/31/2023</t>
  </si>
  <si>
    <t>LESS:06/23/2023</t>
  </si>
  <si>
    <t>ADD: 06/01/2023-06/30/2023</t>
  </si>
  <si>
    <t>LESS:06/30/2023</t>
  </si>
  <si>
    <t>LESS:07/5 &amp; 6/2023</t>
  </si>
  <si>
    <t>LESS:07/11/2023</t>
  </si>
  <si>
    <t>LESS:07/18/2023</t>
  </si>
  <si>
    <t>ADD: 07/01/2023-08/31/2023</t>
  </si>
  <si>
    <t>LESS:08/07/2023</t>
  </si>
  <si>
    <t xml:space="preserve">DATE OF ORIGINAL APPOINTMENT: </t>
  </si>
  <si>
    <t>LESS: 08/14/2023</t>
  </si>
  <si>
    <t>LESS:08/29-30/2023</t>
  </si>
  <si>
    <t>LESS: 09/25/2023</t>
  </si>
  <si>
    <t>ADD: 10/17/2023</t>
  </si>
  <si>
    <t>S.O. # 159, S. 2023. 125TH PHILIPPINE INDEPENDENCE DAY CELEBRATION</t>
  </si>
  <si>
    <t>LESS: MONETIZATION 2023</t>
  </si>
  <si>
    <t>LESS: 12/04/2023</t>
  </si>
  <si>
    <t>LESS: 03/12/24</t>
  </si>
  <si>
    <t>LESS: 03/01/2024</t>
  </si>
  <si>
    <t>ADD: 03/1/2024-05/31/2024</t>
  </si>
  <si>
    <t>LESS: 06/24/2024</t>
  </si>
  <si>
    <t>ADD: 06/1-30/2024</t>
  </si>
  <si>
    <t>LESS: 07/11/2024</t>
  </si>
  <si>
    <t>LESS: 07/12/2024</t>
  </si>
  <si>
    <t>ADD: 07/01-31/2024</t>
  </si>
  <si>
    <t>LESS: 08/01/2024</t>
  </si>
  <si>
    <t>LESS: 08/08/2024</t>
  </si>
  <si>
    <t xml:space="preserve">                 HRMO</t>
  </si>
  <si>
    <t>LESS: 08/09/2024</t>
  </si>
  <si>
    <t>ADD: 06/26/2024</t>
  </si>
  <si>
    <t>S.O. # 024, S. 2024. 126TH PHILIPPINE INDEPENDENCE DAY CELEBRATION</t>
  </si>
  <si>
    <t>LESS: 08/19-21/2024</t>
  </si>
  <si>
    <t>ADD: 08/1/2024-09/30/2024</t>
  </si>
  <si>
    <t>LESS: 10/04/2024</t>
  </si>
  <si>
    <t>LESS: 10/30/2024</t>
  </si>
  <si>
    <t>ADD: 10/1-31/2024</t>
  </si>
  <si>
    <t>LESS: MONETIZATION 2024</t>
  </si>
  <si>
    <t>ADD: 11/1-30/2024</t>
  </si>
  <si>
    <t>LESS: 12/13/2024 PM (UNDERTIME)</t>
  </si>
  <si>
    <t>LESS: 12/5 &amp; 23/2024</t>
  </si>
  <si>
    <t xml:space="preserve">LESS: 02/03/2023 </t>
  </si>
  <si>
    <t>LESS: 02/06/2023 &amp; 10, 2023</t>
  </si>
  <si>
    <t>LESS: 12/26-27/2024</t>
  </si>
  <si>
    <t>ADD: 12/1-31/2024</t>
  </si>
  <si>
    <t>LESS: 01/2-3/2025</t>
  </si>
  <si>
    <t>ADD: 01/1/2025-02/28/2025</t>
  </si>
  <si>
    <t>LESS: 03/21 &amp; 24/2025</t>
  </si>
  <si>
    <t>ADD: 03/1-31/2025</t>
  </si>
  <si>
    <t>LESS: 04/16/2025</t>
  </si>
  <si>
    <t>LESS: 04/21/2025</t>
  </si>
  <si>
    <t>ADD: 04/1-30/2025</t>
  </si>
  <si>
    <t>LESS: 05/2/2025</t>
  </si>
  <si>
    <t>LESS: 05/26/2025</t>
  </si>
  <si>
    <t>LESS: FL 2021</t>
  </si>
  <si>
    <t>ADD: 01/01/2024 -02/29/2024</t>
  </si>
  <si>
    <t>ADD: 05/1-31/2025</t>
  </si>
  <si>
    <t>LESS: 06/2/2025</t>
  </si>
  <si>
    <t>ADD: 09/01/2023-10/31/2023</t>
  </si>
  <si>
    <t>ADD: 11/01/2023-12/31/3023</t>
  </si>
  <si>
    <t>LESS: 06/25/2025</t>
  </si>
  <si>
    <t>LESS: 06/26/2025</t>
  </si>
  <si>
    <t>ADD: 02/5/2025</t>
  </si>
  <si>
    <t>S.O # 002, S. 2025 RIZAL DAY 2024</t>
  </si>
  <si>
    <t>LESS: 08/1/2025</t>
  </si>
  <si>
    <t>ADD: 06/1/2025-08/31/2025</t>
  </si>
  <si>
    <t>LESS: 09/15/2025</t>
  </si>
  <si>
    <t>ADD: 09/1-30/2025</t>
  </si>
  <si>
    <t>LESS: 10/1/2025</t>
  </si>
  <si>
    <t>LESS: 10/16/2025</t>
  </si>
  <si>
    <t>ADD: 10/1-31/2025</t>
  </si>
  <si>
    <t>LESS: MONETIZATION 2025</t>
  </si>
  <si>
    <t>NEGROS ISLAND REGION</t>
  </si>
  <si>
    <t>LESS: 12/12, 26 &amp; 29/2025</t>
  </si>
  <si>
    <t>ADD: 08/28/2025</t>
  </si>
  <si>
    <t>S.O # 114, S. 2025 PEPT</t>
  </si>
  <si>
    <t>3 DAYS &amp; 3 HRS</t>
  </si>
  <si>
    <t>LESS: 12/3-5/2025</t>
  </si>
  <si>
    <t>3 HRS</t>
  </si>
  <si>
    <t>LESS: 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</si>
</sst>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1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5" fillId="2" borderId="0" xfId="2" applyFill="1"/>
    <xf numFmtId="0" fontId="1" fillId="2" borderId="0" xfId="2" applyFont="1" applyFill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4" xfId="2" applyFont="1" applyFill="1" applyBorder="1" applyAlignment="1">
      <alignment vertical="center"/>
    </xf>
    <xf numFmtId="0" fontId="15" fillId="0" borderId="0" xfId="2"/>
    <xf numFmtId="0" fontId="12" fillId="0" borderId="0" xfId="2" applyFont="1"/>
    <xf numFmtId="0" fontId="15" fillId="2" borderId="6" xfId="2" applyFill="1" applyBorder="1" applyAlignment="1">
      <alignment horizontal="center" vertical="center" wrapText="1"/>
    </xf>
    <xf numFmtId="0" fontId="15" fillId="2" borderId="2" xfId="2" applyFill="1" applyBorder="1" applyAlignment="1">
      <alignment horizontal="center" vertical="center" wrapText="1"/>
    </xf>
    <xf numFmtId="0" fontId="13" fillId="0" borderId="0" xfId="2" applyFont="1"/>
    <xf numFmtId="0" fontId="15" fillId="0" borderId="0" xfId="2" applyAlignment="1">
      <alignment vertical="center"/>
    </xf>
    <xf numFmtId="0" fontId="11" fillId="2" borderId="0" xfId="2" applyFont="1" applyFill="1" applyAlignment="1">
      <alignment horizontal="center" vertical="center" wrapText="1"/>
    </xf>
    <xf numFmtId="0" fontId="15" fillId="2" borderId="0" xfId="2" applyFill="1" applyAlignment="1">
      <alignment horizontal="center" vertical="center" wrapText="1"/>
    </xf>
    <xf numFmtId="0" fontId="15" fillId="2" borderId="0" xfId="2" applyFill="1" applyAlignment="1">
      <alignment horizontal="center"/>
    </xf>
    <xf numFmtId="0" fontId="0" fillId="2" borderId="6" xfId="2" applyFont="1" applyFill="1" applyBorder="1" applyAlignment="1">
      <alignment horizontal="center" vertical="center" wrapText="1"/>
    </xf>
    <xf numFmtId="0" fontId="7" fillId="0" borderId="0" xfId="2" applyFont="1"/>
    <xf numFmtId="0" fontId="6" fillId="0" borderId="0" xfId="2" applyFont="1"/>
    <xf numFmtId="164" fontId="0" fillId="2" borderId="1" xfId="0" applyNumberForma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18" fillId="2" borderId="0" xfId="0" applyFont="1" applyFill="1"/>
    <xf numFmtId="0" fontId="0" fillId="2" borderId="0" xfId="2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center" wrapText="1"/>
    </xf>
    <xf numFmtId="0" fontId="15" fillId="13" borderId="2" xfId="2" applyFill="1" applyBorder="1" applyAlignment="1">
      <alignment horizontal="center" vertical="center" wrapText="1"/>
    </xf>
    <xf numFmtId="0" fontId="15" fillId="13" borderId="1" xfId="2" applyFill="1" applyBorder="1" applyAlignment="1">
      <alignment horizontal="center" vertical="center" wrapText="1"/>
    </xf>
    <xf numFmtId="0" fontId="15" fillId="0" borderId="1" xfId="2" applyBorder="1" applyAlignment="1">
      <alignment horizontal="center" vertical="center" wrapText="1"/>
    </xf>
    <xf numFmtId="0" fontId="15" fillId="0" borderId="0" xfId="2" applyAlignment="1">
      <alignment horizontal="center" vertical="center" wrapText="1"/>
    </xf>
    <xf numFmtId="0" fontId="1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5" fillId="0" borderId="2" xfId="2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2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1" fillId="2" borderId="15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6" xfId="2" applyFont="1" applyFill="1" applyBorder="1" applyAlignment="1">
      <alignment horizontal="center" vertical="center" wrapText="1"/>
    </xf>
    <xf numFmtId="0" fontId="16" fillId="2" borderId="15" xfId="2" applyFont="1" applyFill="1" applyBorder="1" applyAlignment="1">
      <alignment horizontal="center" vertical="center" wrapText="1"/>
    </xf>
    <xf numFmtId="0" fontId="16" fillId="2" borderId="16" xfId="2" applyFont="1" applyFill="1" applyBorder="1" applyAlignment="1">
      <alignment horizontal="center" vertical="center" wrapText="1"/>
    </xf>
    <xf numFmtId="0" fontId="16" fillId="2" borderId="12" xfId="2" applyFont="1" applyFill="1" applyBorder="1" applyAlignment="1">
      <alignment horizontal="center" vertical="center" wrapText="1"/>
    </xf>
    <xf numFmtId="0" fontId="15" fillId="0" borderId="0" xfId="2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5" fillId="2" borderId="0" xfId="2" applyFill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10" fillId="11" borderId="5" xfId="2" applyFont="1" applyFill="1" applyBorder="1" applyAlignment="1">
      <alignment horizontal="center" vertical="center"/>
    </xf>
    <xf numFmtId="0" fontId="10" fillId="11" borderId="6" xfId="2" applyFont="1" applyFill="1" applyBorder="1" applyAlignment="1">
      <alignment horizontal="center" vertical="center"/>
    </xf>
    <xf numFmtId="0" fontId="10" fillId="12" borderId="9" xfId="2" applyFont="1" applyFill="1" applyBorder="1" applyAlignment="1">
      <alignment horizontal="center" vertical="center"/>
    </xf>
    <xf numFmtId="0" fontId="10" fillId="12" borderId="10" xfId="2" applyFont="1" applyFill="1" applyBorder="1" applyAlignment="1">
      <alignment horizontal="center" vertical="center"/>
    </xf>
    <xf numFmtId="0" fontId="10" fillId="11" borderId="8" xfId="2" applyFont="1" applyFill="1" applyBorder="1" applyAlignment="1">
      <alignment horizontal="center" vertical="center"/>
    </xf>
    <xf numFmtId="0" fontId="10" fillId="11" borderId="3" xfId="2" applyFont="1" applyFill="1" applyBorder="1" applyAlignment="1">
      <alignment horizontal="center" vertical="center"/>
    </xf>
    <xf numFmtId="0" fontId="11" fillId="10" borderId="15" xfId="2" applyFont="1" applyFill="1" applyBorder="1" applyAlignment="1">
      <alignment horizontal="center" vertical="center" wrapText="1"/>
    </xf>
    <xf numFmtId="0" fontId="11" fillId="10" borderId="12" xfId="2" applyFont="1" applyFill="1" applyBorder="1" applyAlignment="1">
      <alignment horizontal="center" vertical="center" wrapText="1"/>
    </xf>
    <xf numFmtId="0" fontId="11" fillId="10" borderId="16" xfId="2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510886</xdr:colOff>
      <xdr:row>0</xdr:row>
      <xdr:rowOff>51955</xdr:rowOff>
    </xdr:from>
    <xdr:to>
      <xdr:col>4</xdr:col>
      <xdr:colOff>342478</xdr:colOff>
      <xdr:row>1</xdr:row>
      <xdr:rowOff>25579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977" y="51955"/>
          <a:ext cx="602251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5561F-51AF-446C-820D-8A445AE931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38FC17-1BC8-4FDC-AA37-DF3D52AC959F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ACUHIDO, ELIZA B.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E2C725-C07B-42AF-A638-53A355D8B64B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S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537473-47E9-4448-8039-E7FCA550A933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311394</xdr:colOff>
      <xdr:row>0</xdr:row>
      <xdr:rowOff>19049</xdr:rowOff>
    </xdr:from>
    <xdr:to>
      <xdr:col>4</xdr:col>
      <xdr:colOff>299183</xdr:colOff>
      <xdr:row>0</xdr:row>
      <xdr:rowOff>659423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57A7D-C1F9-4C73-91AB-648E9708A34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6844" y="19049"/>
          <a:ext cx="800589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7ADBB4-BD72-40D0-9A49-21C8E0E7A11F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419190-2E4D-42A8-B5FB-C481FA5F760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4163BB-2956-4EE3-AE28-BB2981758A01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8"/>
  <sheetViews>
    <sheetView tabSelected="1" view="pageBreakPreview" topLeftCell="A94" zoomScale="110" zoomScaleNormal="100" zoomScaleSheetLayoutView="110" workbookViewId="0">
      <selection activeCell="A109" sqref="A109:XFD109"/>
    </sheetView>
  </sheetViews>
  <sheetFormatPr defaultRowHeight="15" x14ac:dyDescent="0.25"/>
  <cols>
    <col min="1" max="1" width="32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77" t="s">
        <v>14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s="1" customFormat="1" ht="15.95" customHeight="1" x14ac:dyDescent="0.25">
      <c r="A3" s="77" t="s">
        <v>15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s="1" customFormat="1" ht="15.95" customHeight="1" x14ac:dyDescent="0.25">
      <c r="A4" s="77" t="s">
        <v>162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s="1" customFormat="1" ht="15.95" customHeight="1" x14ac:dyDescent="0.25">
      <c r="A5" s="77" t="s">
        <v>17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s="1" customFormat="1" ht="8.25" customHeight="1" x14ac:dyDescent="0.25"/>
    <row r="7" spans="1:10" s="1" customFormat="1" ht="12" customHeight="1" x14ac:dyDescent="0.25">
      <c r="A7" s="1" t="s">
        <v>57</v>
      </c>
      <c r="B7" s="76" t="s">
        <v>59</v>
      </c>
      <c r="C7" s="76"/>
      <c r="D7" s="76"/>
      <c r="H7" s="3" t="s">
        <v>9</v>
      </c>
      <c r="I7" s="34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58</v>
      </c>
      <c r="B9" s="76" t="s">
        <v>60</v>
      </c>
      <c r="C9" s="76"/>
      <c r="D9" s="76"/>
      <c r="H9" s="3" t="s">
        <v>10</v>
      </c>
      <c r="I9" s="4"/>
      <c r="J9" s="3"/>
    </row>
    <row r="10" spans="1:10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</row>
    <row r="11" spans="1:10" s="6" customFormat="1" ht="18.75" customHeight="1" x14ac:dyDescent="0.2">
      <c r="A11" s="82" t="s">
        <v>4</v>
      </c>
      <c r="B11" s="86" t="s">
        <v>5</v>
      </c>
      <c r="C11" s="87"/>
      <c r="D11" s="88" t="s">
        <v>6</v>
      </c>
      <c r="E11" s="89"/>
      <c r="F11" s="89"/>
      <c r="G11" s="33"/>
      <c r="H11" s="90" t="s">
        <v>7</v>
      </c>
      <c r="I11" s="91"/>
      <c r="J11" s="84" t="s">
        <v>8</v>
      </c>
    </row>
    <row r="12" spans="1:10" s="6" customFormat="1" ht="25.5" customHeight="1" x14ac:dyDescent="0.2">
      <c r="A12" s="83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53" t="s">
        <v>66</v>
      </c>
      <c r="H12" s="14" t="s">
        <v>1</v>
      </c>
      <c r="I12" s="17" t="s">
        <v>2</v>
      </c>
      <c r="J12" s="85"/>
    </row>
    <row r="13" spans="1:10" s="6" customFormat="1" ht="18.75" customHeight="1" x14ac:dyDescent="0.2">
      <c r="A13" s="79" t="s">
        <v>34</v>
      </c>
      <c r="B13" s="80"/>
      <c r="C13" s="80"/>
      <c r="D13" s="80"/>
      <c r="E13" s="80"/>
      <c r="F13" s="80"/>
      <c r="G13" s="80"/>
      <c r="H13" s="80"/>
      <c r="I13" s="80"/>
      <c r="J13" s="81"/>
    </row>
    <row r="14" spans="1:10" s="6" customFormat="1" ht="15.95" customHeight="1" x14ac:dyDescent="0.2">
      <c r="A14" s="8" t="s">
        <v>33</v>
      </c>
      <c r="B14" s="13">
        <v>0.5</v>
      </c>
      <c r="C14" s="13">
        <v>0.5</v>
      </c>
      <c r="D14" s="13"/>
      <c r="E14" s="13"/>
      <c r="F14" s="13"/>
      <c r="G14" s="13"/>
      <c r="H14" s="13">
        <f>B14</f>
        <v>0.5</v>
      </c>
      <c r="I14" s="13">
        <f>C14</f>
        <v>0.5</v>
      </c>
      <c r="J14" s="52">
        <f t="shared" ref="J14:J15" si="0">H14+I14</f>
        <v>1</v>
      </c>
    </row>
    <row r="15" spans="1:10" s="5" customFormat="1" ht="15.95" customHeight="1" x14ac:dyDescent="0.2">
      <c r="A15" s="10" t="s">
        <v>22</v>
      </c>
      <c r="B15" s="13">
        <v>7.5</v>
      </c>
      <c r="C15" s="13">
        <v>7.5</v>
      </c>
      <c r="D15" s="13"/>
      <c r="E15" s="13"/>
      <c r="F15" s="13"/>
      <c r="G15" s="13"/>
      <c r="H15" s="13">
        <f>H14-F15-D15+B15</f>
        <v>8</v>
      </c>
      <c r="I15" s="13">
        <f>I14-E15+C15</f>
        <v>8</v>
      </c>
      <c r="J15" s="52">
        <f t="shared" si="0"/>
        <v>16</v>
      </c>
    </row>
    <row r="16" spans="1:10" s="5" customFormat="1" ht="15.95" customHeight="1" x14ac:dyDescent="0.2">
      <c r="A16" s="10" t="s">
        <v>23</v>
      </c>
      <c r="B16" s="13"/>
      <c r="C16" s="13"/>
      <c r="D16" s="13"/>
      <c r="E16" s="13"/>
      <c r="F16" s="13">
        <v>1</v>
      </c>
      <c r="G16" s="13"/>
      <c r="H16" s="13">
        <f t="shared" ref="H16:H20" si="1">H15-F16-D16+B16</f>
        <v>7</v>
      </c>
      <c r="I16" s="13">
        <f t="shared" ref="I16:I20" si="2">I15-E16+C16</f>
        <v>8</v>
      </c>
      <c r="J16" s="52">
        <f t="shared" ref="J16:J20" si="3">H16+I16</f>
        <v>15</v>
      </c>
    </row>
    <row r="17" spans="1:10" s="5" customFormat="1" ht="15.95" customHeight="1" x14ac:dyDescent="0.2">
      <c r="A17" s="10" t="s">
        <v>24</v>
      </c>
      <c r="B17" s="13">
        <v>1.25</v>
      </c>
      <c r="C17" s="13">
        <v>1.25</v>
      </c>
      <c r="D17" s="13"/>
      <c r="E17" s="13"/>
      <c r="F17" s="13"/>
      <c r="G17" s="13"/>
      <c r="H17" s="13">
        <f t="shared" si="1"/>
        <v>8.25</v>
      </c>
      <c r="I17" s="13">
        <f t="shared" si="2"/>
        <v>9.25</v>
      </c>
      <c r="J17" s="52">
        <f t="shared" si="3"/>
        <v>17.5</v>
      </c>
    </row>
    <row r="18" spans="1:10" s="5" customFormat="1" ht="15.95" customHeight="1" x14ac:dyDescent="0.2">
      <c r="A18" s="10" t="s">
        <v>25</v>
      </c>
      <c r="B18" s="13"/>
      <c r="C18" s="13"/>
      <c r="D18" s="13"/>
      <c r="E18" s="13"/>
      <c r="F18" s="13">
        <v>3</v>
      </c>
      <c r="G18" s="13"/>
      <c r="H18" s="13">
        <f t="shared" si="1"/>
        <v>5.25</v>
      </c>
      <c r="I18" s="13">
        <f t="shared" si="2"/>
        <v>9.25</v>
      </c>
      <c r="J18" s="52">
        <f t="shared" si="3"/>
        <v>14.5</v>
      </c>
    </row>
    <row r="19" spans="1:10" s="5" customFormat="1" ht="15.95" customHeight="1" x14ac:dyDescent="0.2">
      <c r="A19" s="10" t="s">
        <v>26</v>
      </c>
      <c r="B19" s="13"/>
      <c r="C19" s="13"/>
      <c r="D19" s="13"/>
      <c r="E19" s="13"/>
      <c r="F19" s="13"/>
      <c r="G19" s="13">
        <v>1</v>
      </c>
      <c r="H19" s="13">
        <f t="shared" si="1"/>
        <v>5.25</v>
      </c>
      <c r="I19" s="13">
        <f t="shared" si="2"/>
        <v>9.25</v>
      </c>
      <c r="J19" s="52">
        <f t="shared" si="3"/>
        <v>14.5</v>
      </c>
    </row>
    <row r="20" spans="1:10" s="5" customFormat="1" ht="15.95" customHeight="1" x14ac:dyDescent="0.2">
      <c r="A20" s="10" t="s">
        <v>18</v>
      </c>
      <c r="B20" s="13">
        <v>1.25</v>
      </c>
      <c r="C20" s="13">
        <v>1.25</v>
      </c>
      <c r="D20" s="13"/>
      <c r="E20" s="13"/>
      <c r="F20" s="13"/>
      <c r="G20" s="13"/>
      <c r="H20" s="13">
        <f t="shared" si="1"/>
        <v>6.5</v>
      </c>
      <c r="I20" s="13">
        <f t="shared" si="2"/>
        <v>10.5</v>
      </c>
      <c r="J20" s="52">
        <f t="shared" si="3"/>
        <v>17</v>
      </c>
    </row>
    <row r="21" spans="1:10" s="5" customFormat="1" ht="15.95" customHeight="1" x14ac:dyDescent="0.2">
      <c r="A21" s="10" t="s">
        <v>144</v>
      </c>
      <c r="B21" s="13"/>
      <c r="C21" s="13"/>
      <c r="D21" s="13"/>
      <c r="E21" s="13"/>
      <c r="F21" s="13">
        <v>1</v>
      </c>
      <c r="G21" s="13"/>
      <c r="H21" s="13">
        <f t="shared" ref="H21:H64" si="4">H20-F21-D21+B21</f>
        <v>5.5</v>
      </c>
      <c r="I21" s="13">
        <f t="shared" ref="I21:I64" si="5">I20-E21+C21</f>
        <v>10.5</v>
      </c>
      <c r="J21" s="52">
        <f t="shared" ref="J21:J64" si="6">H21+I21</f>
        <v>16</v>
      </c>
    </row>
    <row r="22" spans="1:10" s="5" customFormat="1" ht="15.95" customHeight="1" x14ac:dyDescent="0.2">
      <c r="A22" s="8" t="s">
        <v>11</v>
      </c>
      <c r="B22" s="13">
        <v>2.5</v>
      </c>
      <c r="C22" s="13">
        <v>2.5</v>
      </c>
      <c r="D22" s="13"/>
      <c r="E22" s="13"/>
      <c r="F22" s="13"/>
      <c r="G22" s="13"/>
      <c r="H22" s="13">
        <f t="shared" si="4"/>
        <v>8</v>
      </c>
      <c r="I22" s="13">
        <f t="shared" si="5"/>
        <v>13</v>
      </c>
      <c r="J22" s="52">
        <f t="shared" si="6"/>
        <v>21</v>
      </c>
    </row>
    <row r="23" spans="1:10" s="5" customFormat="1" ht="15.95" customHeight="1" x14ac:dyDescent="0.2">
      <c r="A23" s="8" t="s">
        <v>19</v>
      </c>
      <c r="B23" s="32"/>
      <c r="C23" s="13"/>
      <c r="D23" s="13"/>
      <c r="E23" s="13"/>
      <c r="F23" s="13">
        <v>1</v>
      </c>
      <c r="G23" s="13"/>
      <c r="H23" s="13">
        <f t="shared" si="4"/>
        <v>7</v>
      </c>
      <c r="I23" s="13">
        <f t="shared" si="5"/>
        <v>13</v>
      </c>
      <c r="J23" s="52">
        <f t="shared" si="6"/>
        <v>20</v>
      </c>
    </row>
    <row r="24" spans="1:10" s="5" customFormat="1" ht="15.95" customHeight="1" x14ac:dyDescent="0.2">
      <c r="A24" s="8" t="s">
        <v>12</v>
      </c>
      <c r="B24" s="13">
        <v>2.5</v>
      </c>
      <c r="C24" s="13">
        <v>2.5</v>
      </c>
      <c r="D24" s="13"/>
      <c r="E24" s="13"/>
      <c r="F24" s="13"/>
      <c r="G24" s="13"/>
      <c r="H24" s="13">
        <f t="shared" si="4"/>
        <v>9.5</v>
      </c>
      <c r="I24" s="13">
        <f t="shared" si="5"/>
        <v>15.5</v>
      </c>
      <c r="J24" s="52">
        <f t="shared" si="6"/>
        <v>25</v>
      </c>
    </row>
    <row r="25" spans="1:10" s="5" customFormat="1" ht="15.95" customHeight="1" x14ac:dyDescent="0.2">
      <c r="A25" s="8" t="s">
        <v>20</v>
      </c>
      <c r="B25" s="13"/>
      <c r="C25" s="13"/>
      <c r="D25" s="13"/>
      <c r="E25" s="13"/>
      <c r="F25" s="13">
        <v>1</v>
      </c>
      <c r="G25" s="13"/>
      <c r="H25" s="13">
        <f t="shared" si="4"/>
        <v>8.5</v>
      </c>
      <c r="I25" s="13">
        <f t="shared" si="5"/>
        <v>15.5</v>
      </c>
      <c r="J25" s="52">
        <f t="shared" si="6"/>
        <v>24</v>
      </c>
    </row>
    <row r="26" spans="1:10" s="5" customFormat="1" ht="15.95" customHeight="1" x14ac:dyDescent="0.2">
      <c r="A26" s="8" t="s">
        <v>54</v>
      </c>
      <c r="B26" s="13"/>
      <c r="C26" s="13"/>
      <c r="D26" s="13"/>
      <c r="E26" s="13"/>
      <c r="F26" s="13"/>
      <c r="G26" s="13">
        <v>1</v>
      </c>
      <c r="H26" s="13">
        <f t="shared" si="4"/>
        <v>8.5</v>
      </c>
      <c r="I26" s="13">
        <f t="shared" si="5"/>
        <v>15.5</v>
      </c>
      <c r="J26" s="52">
        <f t="shared" si="6"/>
        <v>24</v>
      </c>
    </row>
    <row r="27" spans="1:10" ht="15.95" customHeight="1" x14ac:dyDescent="0.25">
      <c r="A27" s="8" t="s">
        <v>13</v>
      </c>
      <c r="B27" s="13">
        <v>1.25</v>
      </c>
      <c r="C27" s="13">
        <v>1.25</v>
      </c>
      <c r="D27" s="32"/>
      <c r="E27" s="32"/>
      <c r="F27" s="32"/>
      <c r="G27" s="32"/>
      <c r="H27" s="13">
        <f t="shared" si="4"/>
        <v>9.75</v>
      </c>
      <c r="I27" s="13">
        <f t="shared" si="5"/>
        <v>16.75</v>
      </c>
      <c r="J27" s="52">
        <f t="shared" si="6"/>
        <v>26.5</v>
      </c>
    </row>
    <row r="28" spans="1:10" ht="15.95" customHeight="1" x14ac:dyDescent="0.25">
      <c r="A28" s="8" t="s">
        <v>21</v>
      </c>
      <c r="B28" s="13"/>
      <c r="C28" s="13"/>
      <c r="D28" s="32"/>
      <c r="E28" s="13"/>
      <c r="F28" s="13">
        <v>1</v>
      </c>
      <c r="G28" s="13"/>
      <c r="H28" s="13">
        <f t="shared" si="4"/>
        <v>8.75</v>
      </c>
      <c r="I28" s="13">
        <f t="shared" si="5"/>
        <v>16.75</v>
      </c>
      <c r="J28" s="52">
        <f t="shared" si="6"/>
        <v>25.5</v>
      </c>
    </row>
    <row r="29" spans="1:10" ht="15.95" customHeight="1" x14ac:dyDescent="0.25">
      <c r="A29" s="8" t="s">
        <v>27</v>
      </c>
      <c r="B29" s="13">
        <v>1.25</v>
      </c>
      <c r="C29" s="13">
        <v>1.25</v>
      </c>
      <c r="D29" s="32"/>
      <c r="E29" s="13"/>
      <c r="F29" s="13"/>
      <c r="G29" s="13"/>
      <c r="H29" s="13">
        <f t="shared" si="4"/>
        <v>10</v>
      </c>
      <c r="I29" s="13">
        <f t="shared" si="5"/>
        <v>18</v>
      </c>
      <c r="J29" s="52">
        <f t="shared" si="6"/>
        <v>28</v>
      </c>
    </row>
    <row r="30" spans="1:10" ht="15.95" customHeight="1" x14ac:dyDescent="0.25">
      <c r="A30" s="8" t="s">
        <v>28</v>
      </c>
      <c r="B30" s="13"/>
      <c r="C30" s="13"/>
      <c r="D30" s="13"/>
      <c r="E30" s="13">
        <v>1</v>
      </c>
      <c r="F30" s="13"/>
      <c r="G30" s="13"/>
      <c r="H30" s="13">
        <f t="shared" si="4"/>
        <v>10</v>
      </c>
      <c r="I30" s="13">
        <f t="shared" si="5"/>
        <v>17</v>
      </c>
      <c r="J30" s="52">
        <f t="shared" si="6"/>
        <v>27</v>
      </c>
    </row>
    <row r="31" spans="1:10" ht="15.95" customHeight="1" x14ac:dyDescent="0.25">
      <c r="A31" s="8" t="s">
        <v>29</v>
      </c>
      <c r="B31" s="13">
        <v>1.25</v>
      </c>
      <c r="C31" s="13">
        <v>1.25</v>
      </c>
      <c r="D31" s="13"/>
      <c r="E31" s="13"/>
      <c r="F31" s="13"/>
      <c r="G31" s="13"/>
      <c r="H31" s="13">
        <f t="shared" si="4"/>
        <v>11.25</v>
      </c>
      <c r="I31" s="13">
        <f t="shared" si="5"/>
        <v>18.25</v>
      </c>
      <c r="J31" s="52">
        <f t="shared" si="6"/>
        <v>29.5</v>
      </c>
    </row>
    <row r="32" spans="1:10" ht="15.95" customHeight="1" x14ac:dyDescent="0.25">
      <c r="A32" s="8" t="s">
        <v>30</v>
      </c>
      <c r="B32" s="13"/>
      <c r="C32" s="13"/>
      <c r="D32" s="13"/>
      <c r="E32" s="13">
        <v>1</v>
      </c>
      <c r="F32" s="13"/>
      <c r="G32" s="13"/>
      <c r="H32" s="13">
        <f t="shared" si="4"/>
        <v>11.25</v>
      </c>
      <c r="I32" s="13">
        <f t="shared" si="5"/>
        <v>17.25</v>
      </c>
      <c r="J32" s="52">
        <f t="shared" si="6"/>
        <v>28.5</v>
      </c>
    </row>
    <row r="33" spans="1:10" ht="15.95" customHeight="1" x14ac:dyDescent="0.25">
      <c r="A33" s="8" t="s">
        <v>31</v>
      </c>
      <c r="B33" s="13"/>
      <c r="C33" s="13"/>
      <c r="D33" s="32"/>
      <c r="E33" s="13"/>
      <c r="F33" s="13">
        <v>1</v>
      </c>
      <c r="G33" s="13"/>
      <c r="H33" s="13">
        <f t="shared" si="4"/>
        <v>10.25</v>
      </c>
      <c r="I33" s="13">
        <f t="shared" si="5"/>
        <v>17.25</v>
      </c>
      <c r="J33" s="52">
        <f t="shared" si="6"/>
        <v>27.5</v>
      </c>
    </row>
    <row r="34" spans="1:10" ht="15.95" customHeight="1" x14ac:dyDescent="0.25">
      <c r="A34" s="8" t="s">
        <v>32</v>
      </c>
      <c r="B34" s="13">
        <v>1.25</v>
      </c>
      <c r="C34" s="13">
        <v>1.25</v>
      </c>
      <c r="D34" s="13"/>
      <c r="E34" s="13"/>
      <c r="F34" s="13"/>
      <c r="G34" s="13"/>
      <c r="H34" s="13">
        <f t="shared" si="4"/>
        <v>11.5</v>
      </c>
      <c r="I34" s="13">
        <f t="shared" si="5"/>
        <v>18.5</v>
      </c>
      <c r="J34" s="52">
        <f t="shared" si="6"/>
        <v>30</v>
      </c>
    </row>
    <row r="35" spans="1:10" ht="15.95" customHeight="1" x14ac:dyDescent="0.25">
      <c r="A35" s="8" t="s">
        <v>35</v>
      </c>
      <c r="B35" s="13"/>
      <c r="C35" s="13"/>
      <c r="D35" s="13">
        <v>6.25</v>
      </c>
      <c r="E35" s="13">
        <v>13.25</v>
      </c>
      <c r="F35" s="13"/>
      <c r="G35" s="13"/>
      <c r="H35" s="13">
        <f t="shared" si="4"/>
        <v>5.25</v>
      </c>
      <c r="I35" s="13">
        <f t="shared" si="5"/>
        <v>5.25</v>
      </c>
      <c r="J35" s="52">
        <f t="shared" si="6"/>
        <v>10.5</v>
      </c>
    </row>
    <row r="36" spans="1:10" ht="15.95" customHeight="1" x14ac:dyDescent="0.25">
      <c r="A36" s="8" t="s">
        <v>55</v>
      </c>
      <c r="B36" s="13"/>
      <c r="C36" s="13"/>
      <c r="D36" s="13"/>
      <c r="E36" s="13"/>
      <c r="F36" s="13"/>
      <c r="G36" s="13">
        <v>1</v>
      </c>
      <c r="H36" s="13">
        <f t="shared" si="4"/>
        <v>5.25</v>
      </c>
      <c r="I36" s="13">
        <f t="shared" si="5"/>
        <v>5.25</v>
      </c>
      <c r="J36" s="52">
        <f t="shared" si="6"/>
        <v>10.5</v>
      </c>
    </row>
    <row r="37" spans="1:10" ht="15.95" customHeight="1" x14ac:dyDescent="0.25">
      <c r="A37" s="8" t="s">
        <v>65</v>
      </c>
      <c r="B37" s="13">
        <v>2.5</v>
      </c>
      <c r="C37" s="13">
        <v>2.5</v>
      </c>
      <c r="D37" s="13"/>
      <c r="E37" s="13"/>
      <c r="F37" s="13"/>
      <c r="G37" s="13"/>
      <c r="H37" s="13">
        <f t="shared" si="4"/>
        <v>7.75</v>
      </c>
      <c r="I37" s="13">
        <f t="shared" si="5"/>
        <v>7.75</v>
      </c>
      <c r="J37" s="52">
        <f t="shared" si="6"/>
        <v>15.5</v>
      </c>
    </row>
    <row r="38" spans="1:10" ht="15.95" customHeight="1" x14ac:dyDescent="0.25">
      <c r="A38" s="8" t="s">
        <v>67</v>
      </c>
      <c r="B38" s="13"/>
      <c r="C38" s="13"/>
      <c r="D38" s="13"/>
      <c r="E38" s="13"/>
      <c r="F38" s="13">
        <v>1</v>
      </c>
      <c r="G38" s="13"/>
      <c r="H38" s="13">
        <f t="shared" si="4"/>
        <v>6.75</v>
      </c>
      <c r="I38" s="13">
        <f t="shared" si="5"/>
        <v>7.75</v>
      </c>
      <c r="J38" s="52">
        <f t="shared" si="6"/>
        <v>14.5</v>
      </c>
    </row>
    <row r="39" spans="1:10" ht="15.95" customHeight="1" x14ac:dyDescent="0.25">
      <c r="A39" s="8" t="s">
        <v>68</v>
      </c>
      <c r="B39" s="13">
        <v>1.25</v>
      </c>
      <c r="C39" s="13">
        <v>1.25</v>
      </c>
      <c r="D39" s="13"/>
      <c r="E39" s="13"/>
      <c r="F39" s="13"/>
      <c r="G39" s="13"/>
      <c r="H39" s="13">
        <f t="shared" si="4"/>
        <v>8</v>
      </c>
      <c r="I39" s="13">
        <f t="shared" si="5"/>
        <v>9</v>
      </c>
      <c r="J39" s="52">
        <f t="shared" si="6"/>
        <v>17</v>
      </c>
    </row>
    <row r="40" spans="1:10" ht="15.95" customHeight="1" x14ac:dyDescent="0.25">
      <c r="A40" s="8" t="s">
        <v>71</v>
      </c>
      <c r="B40" s="13"/>
      <c r="C40" s="13"/>
      <c r="D40" s="13"/>
      <c r="E40" s="13"/>
      <c r="F40" s="13"/>
      <c r="G40" s="13">
        <v>1</v>
      </c>
      <c r="H40" s="13">
        <f t="shared" si="4"/>
        <v>8</v>
      </c>
      <c r="I40" s="13">
        <f t="shared" si="5"/>
        <v>9</v>
      </c>
      <c r="J40" s="52">
        <f t="shared" si="6"/>
        <v>17</v>
      </c>
    </row>
    <row r="41" spans="1:10" ht="15.95" customHeight="1" x14ac:dyDescent="0.25">
      <c r="A41" s="8" t="s">
        <v>70</v>
      </c>
      <c r="B41" s="13">
        <v>1.25</v>
      </c>
      <c r="C41" s="13">
        <v>1.25</v>
      </c>
      <c r="D41" s="13"/>
      <c r="E41" s="13"/>
      <c r="F41" s="13"/>
      <c r="G41" s="13"/>
      <c r="H41" s="13">
        <f t="shared" si="4"/>
        <v>9.25</v>
      </c>
      <c r="I41" s="13">
        <f t="shared" si="5"/>
        <v>10.25</v>
      </c>
      <c r="J41" s="52">
        <f t="shared" si="6"/>
        <v>19.5</v>
      </c>
    </row>
    <row r="42" spans="1:10" ht="15.95" customHeight="1" x14ac:dyDescent="0.25">
      <c r="A42" s="8" t="s">
        <v>35</v>
      </c>
      <c r="B42" s="13"/>
      <c r="C42" s="13"/>
      <c r="D42" s="13">
        <v>5</v>
      </c>
      <c r="E42" s="13">
        <v>5</v>
      </c>
      <c r="F42" s="13"/>
      <c r="G42" s="13"/>
      <c r="H42" s="13">
        <f t="shared" si="4"/>
        <v>4.25</v>
      </c>
      <c r="I42" s="13">
        <f t="shared" si="5"/>
        <v>5.25</v>
      </c>
      <c r="J42" s="52">
        <f t="shared" si="6"/>
        <v>9.5</v>
      </c>
    </row>
    <row r="43" spans="1:10" ht="15.95" customHeight="1" x14ac:dyDescent="0.25">
      <c r="A43" s="8" t="s">
        <v>72</v>
      </c>
      <c r="B43" s="13"/>
      <c r="C43" s="13"/>
      <c r="D43" s="13"/>
      <c r="E43" s="13"/>
      <c r="F43" s="13">
        <v>2</v>
      </c>
      <c r="G43" s="13"/>
      <c r="H43" s="13">
        <f t="shared" si="4"/>
        <v>2.25</v>
      </c>
      <c r="I43" s="13">
        <f t="shared" si="5"/>
        <v>5.25</v>
      </c>
      <c r="J43" s="52">
        <f t="shared" si="6"/>
        <v>7.5</v>
      </c>
    </row>
    <row r="44" spans="1:10" ht="15.95" customHeight="1" x14ac:dyDescent="0.25">
      <c r="A44" s="8" t="s">
        <v>73</v>
      </c>
      <c r="B44" s="13"/>
      <c r="C44" s="13"/>
      <c r="D44" s="13"/>
      <c r="E44" s="13"/>
      <c r="F44" s="13">
        <v>1</v>
      </c>
      <c r="G44" s="13"/>
      <c r="H44" s="13">
        <f t="shared" si="4"/>
        <v>1.25</v>
      </c>
      <c r="I44" s="13">
        <f t="shared" si="5"/>
        <v>5.25</v>
      </c>
      <c r="J44" s="52">
        <f t="shared" si="6"/>
        <v>6.5</v>
      </c>
    </row>
    <row r="45" spans="1:10" ht="15.95" customHeight="1" x14ac:dyDescent="0.25">
      <c r="A45" s="8" t="s">
        <v>83</v>
      </c>
      <c r="B45" s="13">
        <v>1.25</v>
      </c>
      <c r="C45" s="13">
        <v>1.25</v>
      </c>
      <c r="D45" s="13"/>
      <c r="E45" s="13"/>
      <c r="F45" s="13"/>
      <c r="G45" s="13"/>
      <c r="H45" s="13">
        <f t="shared" si="4"/>
        <v>2.5</v>
      </c>
      <c r="I45" s="13">
        <f t="shared" si="5"/>
        <v>6.5</v>
      </c>
      <c r="J45" s="52">
        <f t="shared" si="6"/>
        <v>9</v>
      </c>
    </row>
    <row r="46" spans="1:10" ht="15.95" customHeight="1" x14ac:dyDescent="0.25">
      <c r="A46" s="8" t="s">
        <v>131</v>
      </c>
      <c r="B46" s="13"/>
      <c r="C46" s="13"/>
      <c r="D46" s="13"/>
      <c r="E46" s="13"/>
      <c r="F46" s="13">
        <v>1</v>
      </c>
      <c r="G46" s="13"/>
      <c r="H46" s="13">
        <f t="shared" si="4"/>
        <v>1.5</v>
      </c>
      <c r="I46" s="13">
        <f t="shared" si="5"/>
        <v>6.5</v>
      </c>
      <c r="J46" s="52">
        <f t="shared" si="6"/>
        <v>8</v>
      </c>
    </row>
    <row r="47" spans="1:10" ht="15.95" customHeight="1" x14ac:dyDescent="0.25">
      <c r="A47" s="8" t="s">
        <v>132</v>
      </c>
      <c r="B47" s="13"/>
      <c r="C47" s="13"/>
      <c r="D47" s="13"/>
      <c r="E47" s="13"/>
      <c r="F47" s="13"/>
      <c r="G47" s="13">
        <v>2</v>
      </c>
      <c r="H47" s="13">
        <f t="shared" si="4"/>
        <v>1.5</v>
      </c>
      <c r="I47" s="13">
        <f t="shared" si="5"/>
        <v>6.5</v>
      </c>
      <c r="J47" s="52">
        <f t="shared" si="6"/>
        <v>8</v>
      </c>
    </row>
    <row r="48" spans="1:10" ht="15.95" customHeight="1" x14ac:dyDescent="0.25">
      <c r="A48" s="8" t="s">
        <v>84</v>
      </c>
      <c r="B48" s="13">
        <v>1.25</v>
      </c>
      <c r="C48" s="13">
        <v>1.25</v>
      </c>
      <c r="D48" s="13"/>
      <c r="E48" s="13"/>
      <c r="F48" s="13"/>
      <c r="G48" s="13"/>
      <c r="H48" s="13">
        <f t="shared" si="4"/>
        <v>2.75</v>
      </c>
      <c r="I48" s="13">
        <f t="shared" si="5"/>
        <v>7.75</v>
      </c>
      <c r="J48" s="52">
        <f t="shared" si="6"/>
        <v>10.5</v>
      </c>
    </row>
    <row r="49" spans="1:10" ht="15.95" customHeight="1" x14ac:dyDescent="0.25">
      <c r="A49" s="8" t="s">
        <v>85</v>
      </c>
      <c r="B49" s="13"/>
      <c r="C49" s="13"/>
      <c r="D49" s="13"/>
      <c r="E49" s="13"/>
      <c r="F49" s="13"/>
      <c r="G49" s="13">
        <v>1</v>
      </c>
      <c r="H49" s="13">
        <f t="shared" si="4"/>
        <v>2.75</v>
      </c>
      <c r="I49" s="13">
        <f t="shared" si="5"/>
        <v>7.75</v>
      </c>
      <c r="J49" s="52">
        <f t="shared" si="6"/>
        <v>10.5</v>
      </c>
    </row>
    <row r="50" spans="1:10" ht="15.95" customHeight="1" x14ac:dyDescent="0.25">
      <c r="A50" s="8" t="s">
        <v>86</v>
      </c>
      <c r="B50" s="13">
        <v>2.5</v>
      </c>
      <c r="C50" s="13">
        <v>2.5</v>
      </c>
      <c r="D50" s="13"/>
      <c r="E50" s="13"/>
      <c r="F50" s="13"/>
      <c r="G50" s="13"/>
      <c r="H50" s="13">
        <f t="shared" si="4"/>
        <v>5.25</v>
      </c>
      <c r="I50" s="13">
        <f t="shared" si="5"/>
        <v>10.25</v>
      </c>
      <c r="J50" s="52">
        <f t="shared" si="6"/>
        <v>15.5</v>
      </c>
    </row>
    <row r="51" spans="1:10" ht="15.95" customHeight="1" x14ac:dyDescent="0.25">
      <c r="A51" s="8" t="s">
        <v>87</v>
      </c>
      <c r="B51" s="13"/>
      <c r="C51" s="13"/>
      <c r="D51" s="13"/>
      <c r="E51" s="13">
        <v>1</v>
      </c>
      <c r="F51" s="13"/>
      <c r="G51" s="13"/>
      <c r="H51" s="13">
        <f t="shared" si="4"/>
        <v>5.25</v>
      </c>
      <c r="I51" s="13">
        <f t="shared" si="5"/>
        <v>9.25</v>
      </c>
      <c r="J51" s="52">
        <f t="shared" si="6"/>
        <v>14.5</v>
      </c>
    </row>
    <row r="52" spans="1:10" ht="15.95" customHeight="1" x14ac:dyDescent="0.25">
      <c r="A52" s="8" t="s">
        <v>91</v>
      </c>
      <c r="B52" s="13">
        <v>1.25</v>
      </c>
      <c r="C52" s="13">
        <v>1.25</v>
      </c>
      <c r="D52" s="13"/>
      <c r="E52" s="13"/>
      <c r="F52" s="13"/>
      <c r="G52" s="13"/>
      <c r="H52" s="13">
        <f t="shared" si="4"/>
        <v>6.5</v>
      </c>
      <c r="I52" s="13">
        <f t="shared" si="5"/>
        <v>10.5</v>
      </c>
      <c r="J52" s="52">
        <f t="shared" si="6"/>
        <v>17</v>
      </c>
    </row>
    <row r="53" spans="1:10" ht="15.95" customHeight="1" x14ac:dyDescent="0.25">
      <c r="A53" s="8" t="s">
        <v>92</v>
      </c>
      <c r="B53" s="13"/>
      <c r="C53" s="13"/>
      <c r="D53" s="13"/>
      <c r="E53" s="13"/>
      <c r="F53" s="13"/>
      <c r="G53" s="13"/>
      <c r="H53" s="13">
        <f t="shared" si="4"/>
        <v>6.5</v>
      </c>
      <c r="I53" s="13">
        <f t="shared" si="5"/>
        <v>10.5</v>
      </c>
      <c r="J53" s="52">
        <f t="shared" si="6"/>
        <v>17</v>
      </c>
    </row>
    <row r="54" spans="1:10" ht="15.95" customHeight="1" x14ac:dyDescent="0.25">
      <c r="A54" s="8" t="s">
        <v>93</v>
      </c>
      <c r="B54" s="13">
        <v>1.25</v>
      </c>
      <c r="C54" s="13">
        <v>1.25</v>
      </c>
      <c r="D54" s="13"/>
      <c r="E54" s="13"/>
      <c r="F54" s="13"/>
      <c r="G54" s="13"/>
      <c r="H54" s="13">
        <f t="shared" si="4"/>
        <v>7.75</v>
      </c>
      <c r="I54" s="13">
        <f t="shared" si="5"/>
        <v>11.75</v>
      </c>
      <c r="J54" s="52">
        <f t="shared" si="6"/>
        <v>19.5</v>
      </c>
    </row>
    <row r="55" spans="1:10" ht="15.95" customHeight="1" x14ac:dyDescent="0.25">
      <c r="A55" s="8" t="s">
        <v>94</v>
      </c>
      <c r="B55" s="8"/>
      <c r="C55" s="8"/>
      <c r="D55" s="8"/>
      <c r="E55" s="13">
        <v>1</v>
      </c>
      <c r="F55" s="8"/>
      <c r="G55" s="13"/>
      <c r="H55" s="13">
        <f t="shared" si="4"/>
        <v>7.75</v>
      </c>
      <c r="I55" s="13">
        <f t="shared" si="5"/>
        <v>10.75</v>
      </c>
      <c r="J55" s="52">
        <f t="shared" si="6"/>
        <v>18.5</v>
      </c>
    </row>
    <row r="56" spans="1:10" ht="15.95" customHeight="1" x14ac:dyDescent="0.25">
      <c r="A56" s="8" t="s">
        <v>95</v>
      </c>
      <c r="B56" s="8"/>
      <c r="C56" s="8"/>
      <c r="D56" s="8"/>
      <c r="E56" s="13">
        <v>2</v>
      </c>
      <c r="F56" s="8"/>
      <c r="G56" s="8"/>
      <c r="H56" s="13">
        <f t="shared" si="4"/>
        <v>7.75</v>
      </c>
      <c r="I56" s="13">
        <f t="shared" si="5"/>
        <v>8.75</v>
      </c>
      <c r="J56" s="52">
        <f t="shared" si="6"/>
        <v>16.5</v>
      </c>
    </row>
    <row r="57" spans="1:10" ht="15.95" customHeight="1" x14ac:dyDescent="0.25">
      <c r="A57" s="8" t="s">
        <v>96</v>
      </c>
      <c r="B57" s="8"/>
      <c r="C57" s="8"/>
      <c r="D57" s="8"/>
      <c r="E57" s="8"/>
      <c r="F57" s="13">
        <v>1</v>
      </c>
      <c r="G57" s="8"/>
      <c r="H57" s="13">
        <f t="shared" si="4"/>
        <v>6.75</v>
      </c>
      <c r="I57" s="13">
        <f t="shared" si="5"/>
        <v>8.75</v>
      </c>
      <c r="J57" s="52">
        <f t="shared" si="6"/>
        <v>15.5</v>
      </c>
    </row>
    <row r="58" spans="1:10" ht="15.95" customHeight="1" x14ac:dyDescent="0.25">
      <c r="A58" s="8" t="s">
        <v>97</v>
      </c>
      <c r="B58" s="8"/>
      <c r="C58" s="8"/>
      <c r="D58" s="8"/>
      <c r="E58" s="13">
        <v>1</v>
      </c>
      <c r="F58" s="8"/>
      <c r="G58" s="8"/>
      <c r="H58" s="13">
        <f t="shared" si="4"/>
        <v>6.75</v>
      </c>
      <c r="I58" s="13">
        <f t="shared" si="5"/>
        <v>7.75</v>
      </c>
      <c r="J58" s="52">
        <f t="shared" si="6"/>
        <v>14.5</v>
      </c>
    </row>
    <row r="59" spans="1:10" ht="15.95" customHeight="1" x14ac:dyDescent="0.25">
      <c r="A59" s="8" t="s">
        <v>98</v>
      </c>
      <c r="B59" s="13">
        <v>2.5</v>
      </c>
      <c r="C59" s="13">
        <v>2.5</v>
      </c>
      <c r="D59" s="8"/>
      <c r="E59" s="8"/>
      <c r="F59" s="8"/>
      <c r="G59" s="8"/>
      <c r="H59" s="13">
        <f t="shared" si="4"/>
        <v>9.25</v>
      </c>
      <c r="I59" s="13">
        <f t="shared" si="5"/>
        <v>10.25</v>
      </c>
      <c r="J59" s="52">
        <f t="shared" si="6"/>
        <v>19.5</v>
      </c>
    </row>
    <row r="60" spans="1:10" ht="15.95" customHeight="1" x14ac:dyDescent="0.25">
      <c r="A60" s="8" t="s">
        <v>99</v>
      </c>
      <c r="B60" s="8"/>
      <c r="C60" s="8"/>
      <c r="D60" s="8"/>
      <c r="E60" s="13">
        <v>1</v>
      </c>
      <c r="F60" s="8"/>
      <c r="G60" s="8"/>
      <c r="H60" s="13">
        <f t="shared" si="4"/>
        <v>9.25</v>
      </c>
      <c r="I60" s="13">
        <f t="shared" si="5"/>
        <v>9.25</v>
      </c>
      <c r="J60" s="52">
        <f t="shared" si="6"/>
        <v>18.5</v>
      </c>
    </row>
    <row r="61" spans="1:10" ht="15.95" customHeight="1" x14ac:dyDescent="0.25">
      <c r="A61" s="8" t="s">
        <v>101</v>
      </c>
      <c r="B61" s="8"/>
      <c r="C61" s="8"/>
      <c r="D61" s="8"/>
      <c r="E61" s="13">
        <v>1</v>
      </c>
      <c r="F61" s="8"/>
      <c r="G61" s="8"/>
      <c r="H61" s="13">
        <f t="shared" si="4"/>
        <v>9.25</v>
      </c>
      <c r="I61" s="13">
        <f t="shared" si="5"/>
        <v>8.25</v>
      </c>
      <c r="J61" s="52">
        <f t="shared" si="6"/>
        <v>17.5</v>
      </c>
    </row>
    <row r="62" spans="1:10" ht="15.95" customHeight="1" x14ac:dyDescent="0.25">
      <c r="A62" s="8" t="s">
        <v>102</v>
      </c>
      <c r="B62" s="8"/>
      <c r="C62" s="8"/>
      <c r="D62" s="8"/>
      <c r="E62" s="13">
        <v>2</v>
      </c>
      <c r="F62" s="8"/>
      <c r="G62" s="8"/>
      <c r="H62" s="13">
        <f t="shared" si="4"/>
        <v>9.25</v>
      </c>
      <c r="I62" s="13">
        <f t="shared" si="5"/>
        <v>6.25</v>
      </c>
      <c r="J62" s="52">
        <f t="shared" si="6"/>
        <v>15.5</v>
      </c>
    </row>
    <row r="63" spans="1:10" ht="15.95" customHeight="1" x14ac:dyDescent="0.25">
      <c r="A63" s="8" t="s">
        <v>103</v>
      </c>
      <c r="B63" s="8"/>
      <c r="C63" s="8"/>
      <c r="D63" s="8"/>
      <c r="E63" s="13">
        <v>1</v>
      </c>
      <c r="F63" s="8"/>
      <c r="G63" s="8"/>
      <c r="H63" s="13">
        <f t="shared" si="4"/>
        <v>9.25</v>
      </c>
      <c r="I63" s="13">
        <f t="shared" si="5"/>
        <v>5.25</v>
      </c>
      <c r="J63" s="52">
        <f t="shared" si="6"/>
        <v>14.5</v>
      </c>
    </row>
    <row r="64" spans="1:10" ht="15.95" customHeight="1" x14ac:dyDescent="0.25">
      <c r="A64" s="8" t="s">
        <v>148</v>
      </c>
      <c r="B64" s="8">
        <v>2.5</v>
      </c>
      <c r="C64" s="8">
        <v>2.5</v>
      </c>
      <c r="D64" s="8"/>
      <c r="E64" s="13"/>
      <c r="F64" s="8"/>
      <c r="G64" s="8"/>
      <c r="H64" s="13">
        <f t="shared" si="4"/>
        <v>11.75</v>
      </c>
      <c r="I64" s="13">
        <f t="shared" si="5"/>
        <v>7.75</v>
      </c>
      <c r="J64" s="52">
        <f t="shared" si="6"/>
        <v>19.5</v>
      </c>
    </row>
    <row r="65" spans="1:10" ht="15.95" customHeight="1" x14ac:dyDescent="0.25">
      <c r="A65" s="8" t="s">
        <v>106</v>
      </c>
      <c r="B65" s="8"/>
      <c r="C65" s="8"/>
      <c r="D65" s="8">
        <v>8</v>
      </c>
      <c r="E65" s="13">
        <v>3</v>
      </c>
      <c r="F65" s="8"/>
      <c r="G65" s="8"/>
      <c r="H65" s="13">
        <f t="shared" ref="H65:H100" si="7">H64-F65-D65+B65</f>
        <v>3.75</v>
      </c>
      <c r="I65" s="13">
        <f t="shared" ref="I65:I100" si="8">I64-E65+C65</f>
        <v>4.75</v>
      </c>
      <c r="J65" s="52">
        <f t="shared" ref="J65:J100" si="9">H65+I65</f>
        <v>8.5</v>
      </c>
    </row>
    <row r="66" spans="1:10" ht="15.95" customHeight="1" x14ac:dyDescent="0.25">
      <c r="A66" s="8" t="s">
        <v>149</v>
      </c>
      <c r="B66" s="8">
        <v>2.5</v>
      </c>
      <c r="C66" s="8">
        <v>2.5</v>
      </c>
      <c r="D66" s="8"/>
      <c r="E66" s="13"/>
      <c r="F66" s="8"/>
      <c r="G66" s="8"/>
      <c r="H66" s="13">
        <f t="shared" si="7"/>
        <v>6.25</v>
      </c>
      <c r="I66" s="13">
        <f t="shared" si="8"/>
        <v>7.25</v>
      </c>
      <c r="J66" s="52">
        <f t="shared" si="9"/>
        <v>13.5</v>
      </c>
    </row>
    <row r="67" spans="1:10" ht="15.95" customHeight="1" x14ac:dyDescent="0.25">
      <c r="A67" s="8" t="s">
        <v>145</v>
      </c>
      <c r="B67" s="8">
        <v>2.5</v>
      </c>
      <c r="C67" s="8">
        <v>2.5</v>
      </c>
      <c r="D67" s="8"/>
      <c r="E67" s="13"/>
      <c r="F67" s="8"/>
      <c r="G67" s="8"/>
      <c r="H67" s="13">
        <f t="shared" si="7"/>
        <v>8.75</v>
      </c>
      <c r="I67" s="13">
        <f t="shared" si="8"/>
        <v>9.75</v>
      </c>
      <c r="J67" s="52">
        <f t="shared" si="9"/>
        <v>18.5</v>
      </c>
    </row>
    <row r="68" spans="1:10" ht="15.95" customHeight="1" x14ac:dyDescent="0.25">
      <c r="A68" s="8" t="s">
        <v>109</v>
      </c>
      <c r="B68" s="8"/>
      <c r="C68" s="8"/>
      <c r="D68" s="8"/>
      <c r="E68" s="13"/>
      <c r="F68" s="31">
        <v>1</v>
      </c>
      <c r="G68" s="31"/>
      <c r="H68" s="13">
        <f t="shared" si="7"/>
        <v>7.75</v>
      </c>
      <c r="I68" s="13">
        <f t="shared" si="8"/>
        <v>9.75</v>
      </c>
      <c r="J68" s="52">
        <f t="shared" si="9"/>
        <v>17.5</v>
      </c>
    </row>
    <row r="69" spans="1:10" ht="15.95" customHeight="1" x14ac:dyDescent="0.25">
      <c r="A69" s="8" t="s">
        <v>108</v>
      </c>
      <c r="B69" s="8"/>
      <c r="C69" s="8"/>
      <c r="D69" s="8"/>
      <c r="E69" s="13">
        <v>1</v>
      </c>
      <c r="F69" s="31"/>
      <c r="G69" s="31"/>
      <c r="H69" s="13">
        <f t="shared" si="7"/>
        <v>7.75</v>
      </c>
      <c r="I69" s="13">
        <f t="shared" si="8"/>
        <v>8.75</v>
      </c>
      <c r="J69" s="52">
        <f t="shared" si="9"/>
        <v>16.5</v>
      </c>
    </row>
    <row r="70" spans="1:10" ht="15.95" customHeight="1" x14ac:dyDescent="0.25">
      <c r="A70" s="8" t="s">
        <v>110</v>
      </c>
      <c r="B70" s="8">
        <v>3.75</v>
      </c>
      <c r="C70" s="8">
        <v>3.75</v>
      </c>
      <c r="D70" s="8"/>
      <c r="E70" s="13"/>
      <c r="F70" s="31"/>
      <c r="G70" s="31"/>
      <c r="H70" s="13">
        <f t="shared" si="7"/>
        <v>11.5</v>
      </c>
      <c r="I70" s="13">
        <f t="shared" si="8"/>
        <v>12.5</v>
      </c>
      <c r="J70" s="52">
        <f t="shared" si="9"/>
        <v>24</v>
      </c>
    </row>
    <row r="71" spans="1:10" ht="15.95" customHeight="1" x14ac:dyDescent="0.25">
      <c r="A71" s="8" t="s">
        <v>111</v>
      </c>
      <c r="B71" s="8"/>
      <c r="C71" s="8"/>
      <c r="D71" s="8"/>
      <c r="E71" s="13">
        <v>1</v>
      </c>
      <c r="F71" s="31"/>
      <c r="G71" s="31"/>
      <c r="H71" s="13">
        <f t="shared" si="7"/>
        <v>11.5</v>
      </c>
      <c r="I71" s="13">
        <f t="shared" si="8"/>
        <v>11.5</v>
      </c>
      <c r="J71" s="52">
        <f t="shared" si="9"/>
        <v>23</v>
      </c>
    </row>
    <row r="72" spans="1:10" ht="15.95" customHeight="1" x14ac:dyDescent="0.25">
      <c r="A72" s="8" t="s">
        <v>112</v>
      </c>
      <c r="B72" s="8">
        <v>1.25</v>
      </c>
      <c r="C72" s="8">
        <v>1.25</v>
      </c>
      <c r="D72" s="8"/>
      <c r="E72" s="13"/>
      <c r="F72" s="31"/>
      <c r="G72" s="31"/>
      <c r="H72" s="13">
        <f t="shared" si="7"/>
        <v>12.75</v>
      </c>
      <c r="I72" s="13">
        <f t="shared" si="8"/>
        <v>12.75</v>
      </c>
      <c r="J72" s="52">
        <f t="shared" si="9"/>
        <v>25.5</v>
      </c>
    </row>
    <row r="73" spans="1:10" ht="15.95" customHeight="1" x14ac:dyDescent="0.25">
      <c r="A73" s="8" t="s">
        <v>113</v>
      </c>
      <c r="B73" s="8"/>
      <c r="C73" s="8"/>
      <c r="D73" s="8"/>
      <c r="E73" s="13"/>
      <c r="F73" s="31">
        <v>1</v>
      </c>
      <c r="G73" s="31"/>
      <c r="H73" s="13">
        <f t="shared" si="7"/>
        <v>11.75</v>
      </c>
      <c r="I73" s="13">
        <f t="shared" si="8"/>
        <v>12.75</v>
      </c>
      <c r="J73" s="52">
        <f t="shared" si="9"/>
        <v>24.5</v>
      </c>
    </row>
    <row r="74" spans="1:10" ht="15.95" customHeight="1" x14ac:dyDescent="0.25">
      <c r="A74" s="31" t="s">
        <v>114</v>
      </c>
      <c r="B74" s="31"/>
      <c r="C74" s="31"/>
      <c r="D74" s="31"/>
      <c r="E74" s="69">
        <v>1</v>
      </c>
      <c r="F74" s="31"/>
      <c r="G74" s="31"/>
      <c r="H74" s="13">
        <f t="shared" si="7"/>
        <v>11.75</v>
      </c>
      <c r="I74" s="13">
        <f t="shared" si="8"/>
        <v>11.75</v>
      </c>
      <c r="J74" s="52">
        <f t="shared" si="9"/>
        <v>23.5</v>
      </c>
    </row>
    <row r="75" spans="1:10" ht="15.95" customHeight="1" x14ac:dyDescent="0.25">
      <c r="A75" s="31" t="s">
        <v>116</v>
      </c>
      <c r="B75" s="31"/>
      <c r="C75" s="31"/>
      <c r="D75" s="31"/>
      <c r="E75" s="69"/>
      <c r="F75" s="31"/>
      <c r="G75" s="31">
        <v>1</v>
      </c>
      <c r="H75" s="13">
        <f t="shared" si="7"/>
        <v>11.75</v>
      </c>
      <c r="I75" s="13">
        <f t="shared" si="8"/>
        <v>11.75</v>
      </c>
      <c r="J75" s="52">
        <f t="shared" si="9"/>
        <v>23.5</v>
      </c>
    </row>
    <row r="76" spans="1:10" ht="15.95" customHeight="1" x14ac:dyDescent="0.25">
      <c r="A76" s="31" t="s">
        <v>117</v>
      </c>
      <c r="B76" s="31"/>
      <c r="C76" s="31"/>
      <c r="D76" s="31"/>
      <c r="E76" s="69"/>
      <c r="F76" s="31">
        <v>1</v>
      </c>
      <c r="G76" s="31"/>
      <c r="H76" s="13">
        <f t="shared" si="7"/>
        <v>10.75</v>
      </c>
      <c r="I76" s="13">
        <f t="shared" si="8"/>
        <v>11.75</v>
      </c>
      <c r="J76" s="52">
        <f t="shared" si="9"/>
        <v>22.5</v>
      </c>
    </row>
    <row r="77" spans="1:10" ht="15.95" customHeight="1" x14ac:dyDescent="0.25">
      <c r="A77" s="8" t="s">
        <v>115</v>
      </c>
      <c r="B77" s="8">
        <v>1.25</v>
      </c>
      <c r="C77" s="8">
        <v>1.25</v>
      </c>
      <c r="D77" s="8"/>
      <c r="E77" s="13"/>
      <c r="F77" s="31"/>
      <c r="G77" s="31"/>
      <c r="H77" s="13">
        <f t="shared" si="7"/>
        <v>12</v>
      </c>
      <c r="I77" s="13">
        <f t="shared" si="8"/>
        <v>13</v>
      </c>
      <c r="J77" s="52">
        <f t="shared" si="9"/>
        <v>25</v>
      </c>
    </row>
    <row r="78" spans="1:10" ht="15.95" customHeight="1" x14ac:dyDescent="0.25">
      <c r="A78" s="8" t="s">
        <v>119</v>
      </c>
      <c r="B78" s="8"/>
      <c r="C78" s="8"/>
      <c r="D78" s="8"/>
      <c r="E78" s="13">
        <v>1</v>
      </c>
      <c r="F78" s="31"/>
      <c r="G78" s="31"/>
      <c r="H78" s="13">
        <f t="shared" si="7"/>
        <v>12</v>
      </c>
      <c r="I78" s="13">
        <f t="shared" si="8"/>
        <v>12</v>
      </c>
      <c r="J78" s="52">
        <f t="shared" si="9"/>
        <v>24</v>
      </c>
    </row>
    <row r="79" spans="1:10" ht="15.95" customHeight="1" x14ac:dyDescent="0.25">
      <c r="A79" s="31" t="s">
        <v>122</v>
      </c>
      <c r="B79" s="31"/>
      <c r="C79" s="31"/>
      <c r="D79" s="31"/>
      <c r="E79" s="69">
        <v>3</v>
      </c>
      <c r="F79" s="31"/>
      <c r="G79" s="31"/>
      <c r="H79" s="13">
        <f t="shared" si="7"/>
        <v>12</v>
      </c>
      <c r="I79" s="13">
        <f t="shared" si="8"/>
        <v>9</v>
      </c>
      <c r="J79" s="52">
        <f t="shared" si="9"/>
        <v>21</v>
      </c>
    </row>
    <row r="80" spans="1:10" ht="15.95" customHeight="1" x14ac:dyDescent="0.25">
      <c r="A80" s="31" t="s">
        <v>123</v>
      </c>
      <c r="B80" s="31">
        <v>2.5</v>
      </c>
      <c r="C80" s="31">
        <v>2.5</v>
      </c>
      <c r="D80" s="31"/>
      <c r="E80" s="69"/>
      <c r="F80" s="31"/>
      <c r="G80" s="31"/>
      <c r="H80" s="13">
        <f t="shared" si="7"/>
        <v>14.5</v>
      </c>
      <c r="I80" s="13">
        <f t="shared" si="8"/>
        <v>11.5</v>
      </c>
      <c r="J80" s="52">
        <f t="shared" si="9"/>
        <v>26</v>
      </c>
    </row>
    <row r="81" spans="1:10" ht="15.95" customHeight="1" x14ac:dyDescent="0.25">
      <c r="A81" s="31" t="s">
        <v>124</v>
      </c>
      <c r="B81" s="31"/>
      <c r="C81" s="31"/>
      <c r="D81" s="31"/>
      <c r="E81" s="69">
        <v>1</v>
      </c>
      <c r="F81" s="31"/>
      <c r="G81" s="31"/>
      <c r="H81" s="13">
        <f t="shared" si="7"/>
        <v>14.5</v>
      </c>
      <c r="I81" s="13">
        <f t="shared" si="8"/>
        <v>10.5</v>
      </c>
      <c r="J81" s="52">
        <f t="shared" si="9"/>
        <v>25</v>
      </c>
    </row>
    <row r="82" spans="1:10" ht="15.95" customHeight="1" x14ac:dyDescent="0.25">
      <c r="A82" s="31" t="s">
        <v>125</v>
      </c>
      <c r="B82" s="31"/>
      <c r="C82" s="31"/>
      <c r="D82" s="31"/>
      <c r="E82" s="69">
        <v>1</v>
      </c>
      <c r="F82" s="31"/>
      <c r="G82" s="31"/>
      <c r="H82" s="13">
        <f t="shared" si="7"/>
        <v>14.5</v>
      </c>
      <c r="I82" s="13">
        <f t="shared" si="8"/>
        <v>9.5</v>
      </c>
      <c r="J82" s="52">
        <f t="shared" si="9"/>
        <v>24</v>
      </c>
    </row>
    <row r="83" spans="1:10" ht="15.95" customHeight="1" x14ac:dyDescent="0.25">
      <c r="A83" s="31" t="s">
        <v>126</v>
      </c>
      <c r="B83" s="31">
        <v>1.25</v>
      </c>
      <c r="C83" s="31">
        <v>1.25</v>
      </c>
      <c r="D83" s="31"/>
      <c r="E83" s="69"/>
      <c r="F83" s="31"/>
      <c r="G83" s="31"/>
      <c r="H83" s="13">
        <f t="shared" si="7"/>
        <v>15.75</v>
      </c>
      <c r="I83" s="13">
        <f t="shared" si="8"/>
        <v>10.75</v>
      </c>
      <c r="J83" s="52">
        <f t="shared" si="9"/>
        <v>26.5</v>
      </c>
    </row>
    <row r="84" spans="1:10" ht="15.95" customHeight="1" x14ac:dyDescent="0.25">
      <c r="A84" s="31" t="s">
        <v>130</v>
      </c>
      <c r="B84" s="31"/>
      <c r="C84" s="31"/>
      <c r="D84" s="31"/>
      <c r="E84" s="69"/>
      <c r="F84" s="31"/>
      <c r="G84" s="31">
        <v>2</v>
      </c>
      <c r="H84" s="13">
        <f t="shared" si="7"/>
        <v>15.75</v>
      </c>
      <c r="I84" s="13">
        <f t="shared" si="8"/>
        <v>10.75</v>
      </c>
      <c r="J84" s="52">
        <f t="shared" si="9"/>
        <v>26.5</v>
      </c>
    </row>
    <row r="85" spans="1:10" ht="15.95" customHeight="1" x14ac:dyDescent="0.25">
      <c r="A85" s="31" t="s">
        <v>127</v>
      </c>
      <c r="B85" s="31"/>
      <c r="C85" s="31"/>
      <c r="D85" s="31">
        <v>10</v>
      </c>
      <c r="E85" s="69"/>
      <c r="F85" s="31"/>
      <c r="G85" s="31"/>
      <c r="H85" s="13">
        <f t="shared" si="7"/>
        <v>5.75</v>
      </c>
      <c r="I85" s="13">
        <f t="shared" si="8"/>
        <v>10.75</v>
      </c>
      <c r="J85" s="52">
        <f t="shared" si="9"/>
        <v>16.5</v>
      </c>
    </row>
    <row r="86" spans="1:10" ht="15.95" customHeight="1" x14ac:dyDescent="0.25">
      <c r="A86" s="31" t="s">
        <v>128</v>
      </c>
      <c r="B86" s="31">
        <v>1.25</v>
      </c>
      <c r="C86" s="31">
        <v>1.25</v>
      </c>
      <c r="D86" s="31"/>
      <c r="E86" s="69"/>
      <c r="F86" s="31"/>
      <c r="G86" s="31"/>
      <c r="H86" s="13">
        <f t="shared" si="7"/>
        <v>7</v>
      </c>
      <c r="I86" s="13">
        <f t="shared" si="8"/>
        <v>12</v>
      </c>
      <c r="J86" s="52">
        <f t="shared" si="9"/>
        <v>19</v>
      </c>
    </row>
    <row r="87" spans="1:10" ht="15.95" customHeight="1" x14ac:dyDescent="0.25">
      <c r="A87" s="31" t="s">
        <v>129</v>
      </c>
      <c r="B87" s="31"/>
      <c r="C87" s="31"/>
      <c r="D87" s="31">
        <v>0.5</v>
      </c>
      <c r="E87" s="69"/>
      <c r="F87" s="31"/>
      <c r="G87" s="31"/>
      <c r="H87" s="13">
        <f t="shared" si="7"/>
        <v>6.5</v>
      </c>
      <c r="I87" s="13">
        <f t="shared" si="8"/>
        <v>12</v>
      </c>
      <c r="J87" s="52">
        <f t="shared" si="9"/>
        <v>18.5</v>
      </c>
    </row>
    <row r="88" spans="1:10" ht="15.95" customHeight="1" x14ac:dyDescent="0.25">
      <c r="A88" s="31" t="s">
        <v>133</v>
      </c>
      <c r="B88" s="31"/>
      <c r="C88" s="31"/>
      <c r="D88" s="31"/>
      <c r="E88" s="69"/>
      <c r="F88" s="31">
        <v>2</v>
      </c>
      <c r="G88" s="31"/>
      <c r="H88" s="13">
        <f t="shared" si="7"/>
        <v>4.5</v>
      </c>
      <c r="I88" s="13">
        <f t="shared" si="8"/>
        <v>12</v>
      </c>
      <c r="J88" s="52">
        <f t="shared" si="9"/>
        <v>16.5</v>
      </c>
    </row>
    <row r="89" spans="1:10" ht="15.95" customHeight="1" x14ac:dyDescent="0.25">
      <c r="A89" s="31" t="s">
        <v>134</v>
      </c>
      <c r="B89" s="31">
        <v>1.25</v>
      </c>
      <c r="C89" s="31">
        <v>1.25</v>
      </c>
      <c r="D89" s="31"/>
      <c r="E89" s="69"/>
      <c r="F89" s="31"/>
      <c r="G89" s="31"/>
      <c r="H89" s="13">
        <f t="shared" si="7"/>
        <v>5.75</v>
      </c>
      <c r="I89" s="13">
        <f t="shared" si="8"/>
        <v>13.25</v>
      </c>
      <c r="J89" s="52">
        <f t="shared" si="9"/>
        <v>19</v>
      </c>
    </row>
    <row r="90" spans="1:10" ht="15.95" customHeight="1" x14ac:dyDescent="0.25">
      <c r="A90" s="31" t="s">
        <v>135</v>
      </c>
      <c r="B90" s="31"/>
      <c r="C90" s="31"/>
      <c r="D90" s="31"/>
      <c r="E90" s="69">
        <v>2</v>
      </c>
      <c r="F90" s="31"/>
      <c r="G90" s="31"/>
      <c r="H90" s="13">
        <f t="shared" si="7"/>
        <v>5.75</v>
      </c>
      <c r="I90" s="13">
        <f t="shared" si="8"/>
        <v>11.25</v>
      </c>
      <c r="J90" s="52">
        <f t="shared" si="9"/>
        <v>17</v>
      </c>
    </row>
    <row r="91" spans="1:10" ht="15.95" customHeight="1" x14ac:dyDescent="0.25">
      <c r="A91" s="31" t="s">
        <v>136</v>
      </c>
      <c r="B91" s="31">
        <v>2.5</v>
      </c>
      <c r="C91" s="31">
        <v>2.5</v>
      </c>
      <c r="D91" s="31"/>
      <c r="E91" s="69"/>
      <c r="F91" s="31"/>
      <c r="G91" s="31"/>
      <c r="H91" s="13">
        <f t="shared" si="7"/>
        <v>8.25</v>
      </c>
      <c r="I91" s="13">
        <f t="shared" si="8"/>
        <v>13.75</v>
      </c>
      <c r="J91" s="52">
        <f t="shared" si="9"/>
        <v>22</v>
      </c>
    </row>
    <row r="92" spans="1:10" ht="15.95" customHeight="1" x14ac:dyDescent="0.25">
      <c r="A92" s="31" t="s">
        <v>137</v>
      </c>
      <c r="B92" s="31"/>
      <c r="C92" s="31"/>
      <c r="D92" s="31"/>
      <c r="E92" s="69"/>
      <c r="F92" s="70">
        <v>2</v>
      </c>
      <c r="G92" s="31"/>
      <c r="H92" s="13">
        <f t="shared" si="7"/>
        <v>6.25</v>
      </c>
      <c r="I92" s="13">
        <f t="shared" si="8"/>
        <v>13.75</v>
      </c>
      <c r="J92" s="52">
        <f t="shared" si="9"/>
        <v>20</v>
      </c>
    </row>
    <row r="93" spans="1:10" ht="15.95" customHeight="1" x14ac:dyDescent="0.25">
      <c r="A93" s="31" t="s">
        <v>138</v>
      </c>
      <c r="B93" s="31">
        <v>1.25</v>
      </c>
      <c r="C93" s="31">
        <v>1.25</v>
      </c>
      <c r="D93" s="31"/>
      <c r="E93" s="69"/>
      <c r="F93" s="31"/>
      <c r="G93" s="31"/>
      <c r="H93" s="13">
        <f t="shared" si="7"/>
        <v>7.5</v>
      </c>
      <c r="I93" s="13">
        <f t="shared" si="8"/>
        <v>15</v>
      </c>
      <c r="J93" s="52">
        <f t="shared" si="9"/>
        <v>22.5</v>
      </c>
    </row>
    <row r="94" spans="1:10" ht="15.95" customHeight="1" x14ac:dyDescent="0.25">
      <c r="A94" s="31" t="s">
        <v>139</v>
      </c>
      <c r="B94" s="31"/>
      <c r="C94" s="31"/>
      <c r="D94" s="31"/>
      <c r="E94" s="69"/>
      <c r="F94" s="31"/>
      <c r="G94" s="71">
        <v>1</v>
      </c>
      <c r="H94" s="13">
        <f t="shared" si="7"/>
        <v>7.5</v>
      </c>
      <c r="I94" s="13">
        <f t="shared" si="8"/>
        <v>15</v>
      </c>
      <c r="J94" s="52">
        <f t="shared" si="9"/>
        <v>22.5</v>
      </c>
    </row>
    <row r="95" spans="1:10" ht="15.95" customHeight="1" x14ac:dyDescent="0.25">
      <c r="A95" s="31" t="s">
        <v>140</v>
      </c>
      <c r="B95" s="31"/>
      <c r="C95" s="31"/>
      <c r="D95" s="31"/>
      <c r="E95" s="69">
        <v>1</v>
      </c>
      <c r="F95" s="31"/>
      <c r="G95" s="31"/>
      <c r="H95" s="13">
        <f t="shared" si="7"/>
        <v>7.5</v>
      </c>
      <c r="I95" s="13">
        <f t="shared" si="8"/>
        <v>14</v>
      </c>
      <c r="J95" s="52">
        <f t="shared" si="9"/>
        <v>21.5</v>
      </c>
    </row>
    <row r="96" spans="1:10" ht="15.95" customHeight="1" x14ac:dyDescent="0.25">
      <c r="A96" s="31" t="s">
        <v>141</v>
      </c>
      <c r="B96" s="31">
        <v>1.25</v>
      </c>
      <c r="C96" s="31">
        <v>1.25</v>
      </c>
      <c r="D96" s="31"/>
      <c r="E96" s="69"/>
      <c r="F96" s="31"/>
      <c r="G96" s="31"/>
      <c r="H96" s="13">
        <f t="shared" si="7"/>
        <v>8.75</v>
      </c>
      <c r="I96" s="13">
        <f t="shared" si="8"/>
        <v>15.25</v>
      </c>
      <c r="J96" s="52">
        <f t="shared" si="9"/>
        <v>24</v>
      </c>
    </row>
    <row r="97" spans="1:10" ht="15.95" customHeight="1" x14ac:dyDescent="0.25">
      <c r="A97" s="31" t="s">
        <v>142</v>
      </c>
      <c r="B97" s="31"/>
      <c r="C97" s="31"/>
      <c r="D97" s="31"/>
      <c r="E97" s="69">
        <v>1</v>
      </c>
      <c r="F97" s="31"/>
      <c r="G97" s="31"/>
      <c r="H97" s="13">
        <f t="shared" si="7"/>
        <v>8.75</v>
      </c>
      <c r="I97" s="13">
        <f t="shared" si="8"/>
        <v>14.25</v>
      </c>
      <c r="J97" s="52">
        <f t="shared" si="9"/>
        <v>23</v>
      </c>
    </row>
    <row r="98" spans="1:10" ht="15.95" customHeight="1" x14ac:dyDescent="0.25">
      <c r="A98" s="31" t="s">
        <v>143</v>
      </c>
      <c r="B98" s="31"/>
      <c r="C98" s="31"/>
      <c r="D98" s="31"/>
      <c r="E98" s="69">
        <v>1</v>
      </c>
      <c r="F98" s="31"/>
      <c r="G98" s="31"/>
      <c r="H98" s="13">
        <f t="shared" si="7"/>
        <v>8.75</v>
      </c>
      <c r="I98" s="13">
        <f t="shared" si="8"/>
        <v>13.25</v>
      </c>
      <c r="J98" s="52">
        <f t="shared" si="9"/>
        <v>22</v>
      </c>
    </row>
    <row r="99" spans="1:10" ht="15.95" customHeight="1" x14ac:dyDescent="0.25">
      <c r="A99" s="31" t="s">
        <v>146</v>
      </c>
      <c r="B99" s="31">
        <v>1.25</v>
      </c>
      <c r="C99" s="31">
        <v>1.25</v>
      </c>
      <c r="D99" s="31"/>
      <c r="E99" s="69"/>
      <c r="F99" s="31"/>
      <c r="G99" s="31"/>
      <c r="H99" s="13">
        <f t="shared" si="7"/>
        <v>10</v>
      </c>
      <c r="I99" s="13">
        <f t="shared" si="8"/>
        <v>14.5</v>
      </c>
      <c r="J99" s="52">
        <f t="shared" si="9"/>
        <v>24.5</v>
      </c>
    </row>
    <row r="100" spans="1:10" ht="15.95" customHeight="1" x14ac:dyDescent="0.25">
      <c r="A100" s="31" t="s">
        <v>147</v>
      </c>
      <c r="B100" s="31"/>
      <c r="C100" s="31"/>
      <c r="D100" s="31"/>
      <c r="E100" s="69">
        <v>1</v>
      </c>
      <c r="F100" s="31"/>
      <c r="G100" s="31"/>
      <c r="H100" s="13">
        <f t="shared" si="7"/>
        <v>10</v>
      </c>
      <c r="I100" s="13">
        <f t="shared" si="8"/>
        <v>13.5</v>
      </c>
      <c r="J100" s="52">
        <f t="shared" si="9"/>
        <v>23.5</v>
      </c>
    </row>
    <row r="101" spans="1:10" ht="15.95" customHeight="1" x14ac:dyDescent="0.25">
      <c r="A101" s="31" t="s">
        <v>150</v>
      </c>
      <c r="B101" s="31"/>
      <c r="C101" s="31"/>
      <c r="D101" s="31"/>
      <c r="E101" s="69"/>
      <c r="F101" s="31"/>
      <c r="G101" s="71">
        <v>1</v>
      </c>
      <c r="H101" s="13">
        <f t="shared" ref="H101" si="10">H100-F101-D101+B101</f>
        <v>10</v>
      </c>
      <c r="I101" s="13">
        <f t="shared" ref="I101" si="11">I100-E101+C101</f>
        <v>13.5</v>
      </c>
      <c r="J101" s="52">
        <f t="shared" ref="J101" si="12">H101+I101</f>
        <v>23.5</v>
      </c>
    </row>
    <row r="102" spans="1:10" ht="15.95" customHeight="1" x14ac:dyDescent="0.25">
      <c r="A102" s="31" t="s">
        <v>155</v>
      </c>
      <c r="B102" s="31">
        <v>3.75</v>
      </c>
      <c r="C102" s="31">
        <v>3.75</v>
      </c>
      <c r="D102" s="31"/>
      <c r="E102" s="69"/>
      <c r="F102" s="31"/>
      <c r="G102" s="31"/>
      <c r="H102" s="13">
        <f t="shared" ref="H102" si="13">H101-F102-D102+B102</f>
        <v>13.75</v>
      </c>
      <c r="I102" s="13">
        <f t="shared" ref="I102" si="14">I101-E102+C102</f>
        <v>17.25</v>
      </c>
      <c r="J102" s="52">
        <f t="shared" ref="J102" si="15">H102+I102</f>
        <v>31</v>
      </c>
    </row>
    <row r="103" spans="1:10" ht="15.95" customHeight="1" x14ac:dyDescent="0.25">
      <c r="A103" s="31" t="s">
        <v>156</v>
      </c>
      <c r="B103" s="31"/>
      <c r="C103" s="31"/>
      <c r="D103" s="31"/>
      <c r="E103" s="69"/>
      <c r="F103" s="31"/>
      <c r="G103" s="71">
        <v>1</v>
      </c>
      <c r="H103" s="13">
        <f t="shared" ref="H103" si="16">H102-F103-D103+B103</f>
        <v>13.75</v>
      </c>
      <c r="I103" s="13">
        <f t="shared" ref="I103" si="17">I102-E103+C103</f>
        <v>17.25</v>
      </c>
      <c r="J103" s="52">
        <f t="shared" ref="J103" si="18">H103+I103</f>
        <v>31</v>
      </c>
    </row>
    <row r="104" spans="1:10" ht="15.95" customHeight="1" x14ac:dyDescent="0.25">
      <c r="A104" s="31" t="s">
        <v>157</v>
      </c>
      <c r="B104" s="31">
        <v>1.25</v>
      </c>
      <c r="C104" s="31">
        <v>1.25</v>
      </c>
      <c r="D104" s="31"/>
      <c r="E104" s="69"/>
      <c r="F104" s="31"/>
      <c r="G104" s="31"/>
      <c r="H104" s="13">
        <f t="shared" ref="H104:H105" si="19">H103-F104-D104+B104</f>
        <v>15</v>
      </c>
      <c r="I104" s="13">
        <f t="shared" ref="I104:I105" si="20">I103-E104+C104</f>
        <v>18.5</v>
      </c>
      <c r="J104" s="52">
        <f t="shared" ref="J104:J105" si="21">H104+I104</f>
        <v>33.5</v>
      </c>
    </row>
    <row r="105" spans="1:10" ht="15.95" customHeight="1" x14ac:dyDescent="0.25">
      <c r="A105" s="31" t="s">
        <v>158</v>
      </c>
      <c r="B105" s="31"/>
      <c r="C105" s="31"/>
      <c r="D105" s="31"/>
      <c r="E105" s="69">
        <v>1</v>
      </c>
      <c r="F105" s="31"/>
      <c r="G105" s="31"/>
      <c r="H105" s="13">
        <f t="shared" si="19"/>
        <v>15</v>
      </c>
      <c r="I105" s="13">
        <f t="shared" si="20"/>
        <v>17.5</v>
      </c>
      <c r="J105" s="52">
        <f t="shared" si="21"/>
        <v>32.5</v>
      </c>
    </row>
    <row r="106" spans="1:10" ht="15.95" customHeight="1" x14ac:dyDescent="0.25">
      <c r="A106" s="31" t="s">
        <v>159</v>
      </c>
      <c r="B106" s="31"/>
      <c r="C106" s="31"/>
      <c r="D106" s="31"/>
      <c r="E106" s="69">
        <v>1</v>
      </c>
      <c r="F106" s="31"/>
      <c r="G106" s="31"/>
      <c r="H106" s="13">
        <f t="shared" ref="H106" si="22">H105-F106-D106+B106</f>
        <v>15</v>
      </c>
      <c r="I106" s="13">
        <f t="shared" ref="I106" si="23">I105-E106+C106</f>
        <v>16.5</v>
      </c>
      <c r="J106" s="52">
        <f t="shared" ref="J106" si="24">H106+I106</f>
        <v>31.5</v>
      </c>
    </row>
    <row r="107" spans="1:10" ht="15.95" customHeight="1" x14ac:dyDescent="0.25">
      <c r="A107" s="31" t="s">
        <v>160</v>
      </c>
      <c r="B107" s="31">
        <v>1.25</v>
      </c>
      <c r="C107" s="31">
        <v>1.25</v>
      </c>
      <c r="D107" s="31"/>
      <c r="E107" s="69"/>
      <c r="F107" s="31"/>
      <c r="G107" s="31"/>
      <c r="H107" s="13">
        <f t="shared" ref="H107:H108" si="25">H106-F107-D107+B107</f>
        <v>16.25</v>
      </c>
      <c r="I107" s="13">
        <f t="shared" ref="I107:I108" si="26">I106-E107+C107</f>
        <v>17.75</v>
      </c>
      <c r="J107" s="52">
        <f t="shared" ref="J107:J108" si="27">H107+I107</f>
        <v>34</v>
      </c>
    </row>
    <row r="108" spans="1:10" ht="15.95" customHeight="1" x14ac:dyDescent="0.25">
      <c r="A108" s="31" t="s">
        <v>161</v>
      </c>
      <c r="B108" s="31"/>
      <c r="C108" s="31"/>
      <c r="D108" s="31">
        <v>10</v>
      </c>
      <c r="E108" s="69"/>
      <c r="F108" s="31"/>
      <c r="G108" s="31"/>
      <c r="H108" s="13">
        <f t="shared" si="25"/>
        <v>6.25</v>
      </c>
      <c r="I108" s="13">
        <f t="shared" si="26"/>
        <v>17.75</v>
      </c>
      <c r="J108" s="52">
        <f t="shared" si="27"/>
        <v>24</v>
      </c>
    </row>
    <row r="109" spans="1:10" ht="15.95" customHeight="1" x14ac:dyDescent="0.25">
      <c r="A109" s="31" t="s">
        <v>163</v>
      </c>
      <c r="B109" s="31"/>
      <c r="C109" s="31"/>
      <c r="D109" s="31"/>
      <c r="E109" s="69"/>
      <c r="F109" s="70">
        <v>3</v>
      </c>
      <c r="G109" s="31"/>
      <c r="H109" s="13">
        <f t="shared" ref="H109" si="28">H108-F109-D109+B109</f>
        <v>3.25</v>
      </c>
      <c r="I109" s="13">
        <f t="shared" ref="I109" si="29">I108-E109+C109</f>
        <v>17.75</v>
      </c>
      <c r="J109" s="52">
        <f t="shared" ref="J109" si="30">H109+I109</f>
        <v>21</v>
      </c>
    </row>
    <row r="110" spans="1:10" ht="15.95" customHeight="1" x14ac:dyDescent="0.25">
      <c r="A110" s="115" t="s">
        <v>169</v>
      </c>
      <c r="B110" s="115"/>
      <c r="C110" s="115"/>
      <c r="D110" s="115"/>
      <c r="E110" s="116">
        <v>1</v>
      </c>
      <c r="F110" s="115"/>
      <c r="G110" s="115"/>
      <c r="H110" s="13">
        <f t="shared" ref="H110" si="31">H109-F110-D110+B110</f>
        <v>3.25</v>
      </c>
      <c r="I110" s="13">
        <f t="shared" ref="I110" si="32">I109-E110+C110</f>
        <v>16.75</v>
      </c>
      <c r="J110" s="52">
        <f t="shared" ref="J110" si="33">H110+I110</f>
        <v>20</v>
      </c>
    </row>
    <row r="111" spans="1:10" ht="15.95" customHeight="1" x14ac:dyDescent="0.25">
      <c r="A111" s="73"/>
      <c r="B111" s="73"/>
      <c r="C111" s="73"/>
      <c r="D111" s="73"/>
      <c r="E111" s="74"/>
      <c r="F111" s="73"/>
      <c r="G111" s="73"/>
      <c r="H111" s="55"/>
      <c r="I111" s="55"/>
      <c r="J111" s="56"/>
    </row>
    <row r="112" spans="1:10" ht="15.95" customHeight="1" x14ac:dyDescent="0.25">
      <c r="A112" s="57"/>
      <c r="B112" s="57"/>
      <c r="C112" s="57"/>
      <c r="D112" s="58"/>
      <c r="E112" s="59"/>
      <c r="F112" s="58"/>
      <c r="G112" s="58"/>
      <c r="H112" s="55"/>
      <c r="I112" s="55"/>
      <c r="J112" s="56"/>
    </row>
    <row r="113" spans="1:10" ht="15.95" customHeight="1" x14ac:dyDescent="0.25">
      <c r="A113" s="57"/>
      <c r="B113" s="57"/>
      <c r="C113" s="57"/>
      <c r="D113" s="58"/>
      <c r="E113" s="59"/>
      <c r="F113" s="58"/>
      <c r="G113" s="1" t="s">
        <v>61</v>
      </c>
      <c r="H113" s="1"/>
      <c r="I113" s="55"/>
      <c r="J113" s="56"/>
    </row>
    <row r="114" spans="1:10" s="1" customFormat="1" x14ac:dyDescent="0.25">
      <c r="I114" s="55"/>
      <c r="J114" s="56"/>
    </row>
    <row r="115" spans="1:10" s="1" customFormat="1" x14ac:dyDescent="0.25">
      <c r="H115" s="60" t="s">
        <v>62</v>
      </c>
    </row>
    <row r="116" spans="1:10" s="1" customFormat="1" x14ac:dyDescent="0.25">
      <c r="H116" s="1" t="s">
        <v>63</v>
      </c>
    </row>
    <row r="117" spans="1:10" s="1" customFormat="1" x14ac:dyDescent="0.25">
      <c r="H117" s="7" t="s">
        <v>118</v>
      </c>
    </row>
    <row r="118" spans="1:10" s="1" customFormat="1" x14ac:dyDescent="0.25"/>
  </sheetData>
  <mergeCells count="13">
    <mergeCell ref="A10:J10"/>
    <mergeCell ref="A13:J13"/>
    <mergeCell ref="A11:A12"/>
    <mergeCell ref="J11:J12"/>
    <mergeCell ref="B11:C11"/>
    <mergeCell ref="D11:F11"/>
    <mergeCell ref="H11:I11"/>
    <mergeCell ref="B7:D7"/>
    <mergeCell ref="B9:D9"/>
    <mergeCell ref="A2:J2"/>
    <mergeCell ref="A3:J3"/>
    <mergeCell ref="A4:J4"/>
    <mergeCell ref="A5:J5"/>
  </mergeCells>
  <phoneticPr fontId="5" type="noConversion"/>
  <printOptions horizontalCentered="1"/>
  <pageMargins left="0.51181102362204722" right="0.31496062992125984" top="0.59055118110236227" bottom="0.59055118110236227" header="0.31496062992125984" footer="0.31496062992125984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view="pageBreakPreview" topLeftCell="A8" zoomScale="112" zoomScaleNormal="100" zoomScaleSheetLayoutView="112" workbookViewId="0">
      <selection activeCell="P27" sqref="P27"/>
    </sheetView>
  </sheetViews>
  <sheetFormatPr defaultColWidth="8.7109375" defaultRowHeight="15" x14ac:dyDescent="0.25"/>
  <cols>
    <col min="1" max="1" width="33.5703125" style="40" customWidth="1"/>
    <col min="2" max="6" width="8.7109375" style="40"/>
    <col min="7" max="7" width="6.42578125" style="40" customWidth="1"/>
    <col min="8" max="8" width="8.7109375" style="40"/>
    <col min="9" max="9" width="6.28515625" style="40" customWidth="1"/>
    <col min="10" max="11" width="8.7109375" style="40"/>
    <col min="12" max="12" width="14" style="40" customWidth="1"/>
    <col min="13" max="16384" width="8.7109375" style="40"/>
  </cols>
  <sheetData>
    <row r="1" spans="1:12" s="35" customFormat="1" ht="52.5" customHeight="1" x14ac:dyDescent="0.25"/>
    <row r="2" spans="1:12" s="35" customFormat="1" ht="10.5" customHeight="1" x14ac:dyDescent="0.25">
      <c r="A2" s="100" t="s">
        <v>14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2" s="35" customFormat="1" ht="15.95" customHeight="1" x14ac:dyDescent="0.25">
      <c r="A3" s="100" t="s">
        <v>15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2" s="35" customFormat="1" ht="15.95" customHeight="1" x14ac:dyDescent="0.25">
      <c r="A4" s="100" t="s">
        <v>16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2" s="35" customFormat="1" ht="15.95" customHeight="1" x14ac:dyDescent="0.25">
      <c r="A5" s="100" t="s">
        <v>17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</row>
    <row r="6" spans="1:12" s="35" customFormat="1" ht="8.25" customHeight="1" x14ac:dyDescent="0.25"/>
    <row r="7" spans="1:12" s="35" customFormat="1" ht="12" customHeight="1" x14ac:dyDescent="0.25">
      <c r="A7" s="35" t="s">
        <v>57</v>
      </c>
      <c r="C7" s="36" t="s">
        <v>59</v>
      </c>
      <c r="D7" s="36"/>
      <c r="G7" s="36" t="s">
        <v>9</v>
      </c>
      <c r="H7" s="37"/>
    </row>
    <row r="8" spans="1:12" s="35" customFormat="1" ht="12" customHeight="1" x14ac:dyDescent="0.25">
      <c r="C8" s="38"/>
      <c r="G8" s="38"/>
      <c r="H8" s="38"/>
    </row>
    <row r="9" spans="1:12" s="35" customFormat="1" ht="12" customHeight="1" x14ac:dyDescent="0.25">
      <c r="A9" s="35" t="s">
        <v>58</v>
      </c>
      <c r="C9" s="36" t="s">
        <v>60</v>
      </c>
      <c r="D9" s="36"/>
      <c r="G9" s="36" t="s">
        <v>10</v>
      </c>
      <c r="H9" s="39"/>
    </row>
    <row r="10" spans="1:12" ht="16.5" customHeight="1" thickBot="1" x14ac:dyDescent="0.3">
      <c r="A10" s="101" t="s">
        <v>74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2" s="41" customFormat="1" ht="18.75" customHeight="1" x14ac:dyDescent="0.2">
      <c r="A11" s="102" t="s">
        <v>4</v>
      </c>
      <c r="B11" s="104" t="s">
        <v>5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8</v>
      </c>
    </row>
    <row r="12" spans="1:12" s="41" customFormat="1" ht="24" customHeight="1" x14ac:dyDescent="0.2">
      <c r="A12" s="103"/>
      <c r="B12" s="108" t="s">
        <v>75</v>
      </c>
      <c r="C12" s="109"/>
      <c r="D12" s="109"/>
      <c r="E12" s="110"/>
      <c r="F12" s="108" t="s">
        <v>76</v>
      </c>
      <c r="G12" s="110"/>
      <c r="H12" s="108" t="s">
        <v>77</v>
      </c>
      <c r="I12" s="110"/>
      <c r="J12" s="108" t="s">
        <v>78</v>
      </c>
      <c r="K12" s="110"/>
      <c r="L12" s="107"/>
    </row>
    <row r="13" spans="1:12" s="41" customFormat="1" ht="24.95" hidden="1" customHeight="1" x14ac:dyDescent="0.2">
      <c r="A13" s="42" t="s">
        <v>79</v>
      </c>
      <c r="B13" s="92" t="s">
        <v>80</v>
      </c>
      <c r="C13" s="93"/>
      <c r="D13" s="93"/>
      <c r="E13" s="94"/>
      <c r="F13" s="92">
        <v>1</v>
      </c>
      <c r="G13" s="94"/>
      <c r="H13" s="92">
        <v>0</v>
      </c>
      <c r="I13" s="94"/>
      <c r="J13" s="92">
        <v>1</v>
      </c>
      <c r="K13" s="94"/>
      <c r="L13" s="43">
        <v>1</v>
      </c>
    </row>
    <row r="14" spans="1:12" s="44" customFormat="1" ht="25.5" hidden="1" customHeight="1" x14ac:dyDescent="0.2">
      <c r="A14" s="49" t="s">
        <v>82</v>
      </c>
      <c r="B14" s="92" t="s">
        <v>80</v>
      </c>
      <c r="C14" s="93"/>
      <c r="D14" s="93"/>
      <c r="E14" s="94"/>
      <c r="F14" s="92"/>
      <c r="G14" s="94"/>
      <c r="H14" s="92">
        <v>1</v>
      </c>
      <c r="I14" s="94"/>
      <c r="J14" s="92">
        <v>0</v>
      </c>
      <c r="K14" s="94"/>
      <c r="L14" s="63">
        <v>0</v>
      </c>
    </row>
    <row r="15" spans="1:12" s="50" customFormat="1" ht="24.95" hidden="1" customHeight="1" x14ac:dyDescent="0.2">
      <c r="A15" s="49" t="s">
        <v>88</v>
      </c>
      <c r="B15" s="95" t="s">
        <v>89</v>
      </c>
      <c r="C15" s="97"/>
      <c r="D15" s="97"/>
      <c r="E15" s="96"/>
      <c r="F15" s="95">
        <v>1</v>
      </c>
      <c r="G15" s="96"/>
      <c r="H15" s="95">
        <v>0</v>
      </c>
      <c r="I15" s="96"/>
      <c r="J15" s="95">
        <v>1</v>
      </c>
      <c r="K15" s="96"/>
      <c r="L15" s="43">
        <v>1</v>
      </c>
    </row>
    <row r="16" spans="1:12" s="51" customFormat="1" ht="25.5" hidden="1" customHeight="1" x14ac:dyDescent="0.2">
      <c r="A16" s="49" t="s">
        <v>90</v>
      </c>
      <c r="B16" s="95" t="s">
        <v>89</v>
      </c>
      <c r="C16" s="97"/>
      <c r="D16" s="97"/>
      <c r="E16" s="96"/>
      <c r="F16" s="95"/>
      <c r="G16" s="96"/>
      <c r="H16" s="95">
        <v>1</v>
      </c>
      <c r="I16" s="96"/>
      <c r="J16" s="95">
        <v>0</v>
      </c>
      <c r="K16" s="96"/>
      <c r="L16" s="63">
        <v>0</v>
      </c>
    </row>
    <row r="17" spans="1:12" s="51" customFormat="1" ht="25.5" hidden="1" customHeight="1" x14ac:dyDescent="0.2">
      <c r="A17" s="54" t="s">
        <v>104</v>
      </c>
      <c r="B17" s="95" t="s">
        <v>105</v>
      </c>
      <c r="C17" s="97"/>
      <c r="D17" s="97"/>
      <c r="E17" s="96"/>
      <c r="F17" s="95">
        <v>1</v>
      </c>
      <c r="G17" s="96"/>
      <c r="H17" s="95">
        <v>0</v>
      </c>
      <c r="I17" s="96"/>
      <c r="J17" s="95">
        <v>1</v>
      </c>
      <c r="K17" s="96"/>
      <c r="L17" s="43">
        <v>1</v>
      </c>
    </row>
    <row r="18" spans="1:12" s="51" customFormat="1" ht="25.5" hidden="1" customHeight="1" x14ac:dyDescent="0.2">
      <c r="A18" s="54" t="s">
        <v>107</v>
      </c>
      <c r="B18" s="95" t="s">
        <v>105</v>
      </c>
      <c r="C18" s="97"/>
      <c r="D18" s="97"/>
      <c r="E18" s="96"/>
      <c r="F18" s="95"/>
      <c r="G18" s="96"/>
      <c r="H18" s="95">
        <v>1</v>
      </c>
      <c r="I18" s="96"/>
      <c r="J18" s="95">
        <v>0</v>
      </c>
      <c r="K18" s="96"/>
      <c r="L18" s="64">
        <v>0</v>
      </c>
    </row>
    <row r="19" spans="1:12" s="51" customFormat="1" ht="25.5" customHeight="1" x14ac:dyDescent="0.2">
      <c r="A19" s="54" t="s">
        <v>120</v>
      </c>
      <c r="B19" s="92" t="s">
        <v>121</v>
      </c>
      <c r="C19" s="97"/>
      <c r="D19" s="97"/>
      <c r="E19" s="96"/>
      <c r="F19" s="95">
        <v>1</v>
      </c>
      <c r="G19" s="96"/>
      <c r="H19" s="95">
        <v>1</v>
      </c>
      <c r="I19" s="96"/>
      <c r="J19" s="95">
        <v>0</v>
      </c>
      <c r="K19" s="96"/>
      <c r="L19" s="65">
        <v>1</v>
      </c>
    </row>
    <row r="20" spans="1:12" s="51" customFormat="1" ht="25.5" customHeight="1" x14ac:dyDescent="0.2">
      <c r="A20" s="54" t="s">
        <v>151</v>
      </c>
      <c r="B20" s="92" t="s">
        <v>121</v>
      </c>
      <c r="C20" s="97"/>
      <c r="D20" s="97"/>
      <c r="E20" s="96"/>
      <c r="F20" s="95"/>
      <c r="G20" s="96"/>
      <c r="H20" s="95">
        <v>1</v>
      </c>
      <c r="I20" s="96"/>
      <c r="J20" s="95">
        <v>0</v>
      </c>
      <c r="K20" s="96"/>
      <c r="L20" s="64">
        <v>0</v>
      </c>
    </row>
    <row r="21" spans="1:12" customFormat="1" ht="26.25" customHeight="1" x14ac:dyDescent="0.25">
      <c r="A21" s="49" t="s">
        <v>152</v>
      </c>
      <c r="B21" s="92" t="s">
        <v>153</v>
      </c>
      <c r="C21" s="93"/>
      <c r="D21" s="93"/>
      <c r="E21" s="94"/>
      <c r="F21" s="92">
        <v>1</v>
      </c>
      <c r="G21" s="94"/>
      <c r="H21" s="92">
        <v>0</v>
      </c>
      <c r="I21" s="94"/>
      <c r="J21" s="92">
        <v>1</v>
      </c>
      <c r="K21" s="94"/>
      <c r="L21" s="72">
        <v>1</v>
      </c>
    </row>
    <row r="22" spans="1:12" customFormat="1" ht="26.25" customHeight="1" x14ac:dyDescent="0.25">
      <c r="A22" s="49" t="s">
        <v>154</v>
      </c>
      <c r="B22" s="92" t="s">
        <v>153</v>
      </c>
      <c r="C22" s="93"/>
      <c r="D22" s="93"/>
      <c r="E22" s="94"/>
      <c r="F22" s="92"/>
      <c r="G22" s="94"/>
      <c r="H22" s="92">
        <v>1</v>
      </c>
      <c r="I22" s="94"/>
      <c r="J22" s="92">
        <v>0</v>
      </c>
      <c r="K22" s="94"/>
      <c r="L22" s="63">
        <v>0</v>
      </c>
    </row>
    <row r="23" spans="1:12" customFormat="1" ht="26.25" customHeight="1" x14ac:dyDescent="0.25">
      <c r="A23" s="49" t="s">
        <v>164</v>
      </c>
      <c r="B23" s="92" t="s">
        <v>165</v>
      </c>
      <c r="C23" s="93"/>
      <c r="D23" s="93"/>
      <c r="E23" s="94"/>
      <c r="F23" s="92" t="s">
        <v>166</v>
      </c>
      <c r="G23" s="94"/>
      <c r="H23" s="92">
        <v>0</v>
      </c>
      <c r="I23" s="94"/>
      <c r="J23" s="92" t="s">
        <v>166</v>
      </c>
      <c r="K23" s="94"/>
      <c r="L23" s="75" t="s">
        <v>166</v>
      </c>
    </row>
    <row r="24" spans="1:12" customFormat="1" ht="26.25" customHeight="1" x14ac:dyDescent="0.25">
      <c r="A24" s="49" t="s">
        <v>167</v>
      </c>
      <c r="B24" s="92" t="s">
        <v>165</v>
      </c>
      <c r="C24" s="93"/>
      <c r="D24" s="93"/>
      <c r="E24" s="94"/>
      <c r="F24" s="92"/>
      <c r="G24" s="94"/>
      <c r="H24" s="92">
        <v>3</v>
      </c>
      <c r="I24" s="94"/>
      <c r="J24" s="92" t="s">
        <v>168</v>
      </c>
      <c r="K24" s="94"/>
      <c r="L24" s="75" t="s">
        <v>168</v>
      </c>
    </row>
    <row r="25" spans="1:12" s="51" customFormat="1" ht="25.5" customHeight="1" x14ac:dyDescent="0.2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6"/>
    </row>
    <row r="26" spans="1:12" s="44" customFormat="1" x14ac:dyDescent="0.2">
      <c r="A26" s="45" t="s">
        <v>81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ht="18.95" customHeight="1" x14ac:dyDescent="0.25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</row>
    <row r="28" spans="1:12" s="35" customFormat="1" x14ac:dyDescent="0.25">
      <c r="C28" s="48"/>
      <c r="I28" s="35" t="s">
        <v>61</v>
      </c>
    </row>
    <row r="29" spans="1:12" s="35" customFormat="1" x14ac:dyDescent="0.25">
      <c r="C29" s="48"/>
    </row>
    <row r="30" spans="1:12" x14ac:dyDescent="0.25">
      <c r="I30" s="68" t="s">
        <v>62</v>
      </c>
      <c r="J30" s="67"/>
    </row>
    <row r="31" spans="1:12" x14ac:dyDescent="0.25">
      <c r="I31" s="40" t="s">
        <v>63</v>
      </c>
    </row>
    <row r="32" spans="1:12" x14ac:dyDescent="0.25">
      <c r="I32" s="98" t="s">
        <v>64</v>
      </c>
      <c r="J32" s="98"/>
    </row>
  </sheetData>
  <mergeCells count="62">
    <mergeCell ref="B21:E21"/>
    <mergeCell ref="F21:G21"/>
    <mergeCell ref="H21:I21"/>
    <mergeCell ref="J21:K21"/>
    <mergeCell ref="B22:E22"/>
    <mergeCell ref="F22:G22"/>
    <mergeCell ref="H22:I22"/>
    <mergeCell ref="J22:K22"/>
    <mergeCell ref="B13:E13"/>
    <mergeCell ref="F13:G13"/>
    <mergeCell ref="A11:A12"/>
    <mergeCell ref="B11:K11"/>
    <mergeCell ref="L11:L12"/>
    <mergeCell ref="B12:E12"/>
    <mergeCell ref="F12:G12"/>
    <mergeCell ref="H12:I12"/>
    <mergeCell ref="J12:K12"/>
    <mergeCell ref="H13:I13"/>
    <mergeCell ref="J13:K13"/>
    <mergeCell ref="A2:L2"/>
    <mergeCell ref="A3:L3"/>
    <mergeCell ref="A4:L4"/>
    <mergeCell ref="A5:L5"/>
    <mergeCell ref="A10:L10"/>
    <mergeCell ref="I32:J32"/>
    <mergeCell ref="B14:E14"/>
    <mergeCell ref="F14:G14"/>
    <mergeCell ref="H14:I14"/>
    <mergeCell ref="H15:I15"/>
    <mergeCell ref="B18:E18"/>
    <mergeCell ref="F17:G17"/>
    <mergeCell ref="H17:I17"/>
    <mergeCell ref="B19:E19"/>
    <mergeCell ref="F19:G19"/>
    <mergeCell ref="H19:I19"/>
    <mergeCell ref="J14:K14"/>
    <mergeCell ref="A27:L27"/>
    <mergeCell ref="B15:E15"/>
    <mergeCell ref="F15:G15"/>
    <mergeCell ref="J15:K15"/>
    <mergeCell ref="J19:K19"/>
    <mergeCell ref="B20:E20"/>
    <mergeCell ref="F20:G20"/>
    <mergeCell ref="H20:I20"/>
    <mergeCell ref="J20:K20"/>
    <mergeCell ref="F18:G18"/>
    <mergeCell ref="H18:I18"/>
    <mergeCell ref="J18:K18"/>
    <mergeCell ref="B16:E16"/>
    <mergeCell ref="F16:G16"/>
    <mergeCell ref="H16:I16"/>
    <mergeCell ref="J16:K16"/>
    <mergeCell ref="J17:K17"/>
    <mergeCell ref="B17:E17"/>
    <mergeCell ref="B23:E23"/>
    <mergeCell ref="F23:G23"/>
    <mergeCell ref="H23:I23"/>
    <mergeCell ref="J23:K23"/>
    <mergeCell ref="B24:E24"/>
    <mergeCell ref="F24:G24"/>
    <mergeCell ref="H24:I24"/>
    <mergeCell ref="J24:K24"/>
  </mergeCells>
  <phoneticPr fontId="5" type="noConversion"/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topLeftCell="A8" zoomScale="98" zoomScaleNormal="100" zoomScaleSheetLayoutView="98" workbookViewId="0">
      <selection activeCell="D13" sqref="D13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77" t="s">
        <v>14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s="1" customFormat="1" ht="15.95" customHeight="1" x14ac:dyDescent="0.25">
      <c r="A3" s="77" t="s">
        <v>15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1" customFormat="1" ht="15.95" customHeight="1" x14ac:dyDescent="0.25">
      <c r="A4" s="77" t="s">
        <v>16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s="1" customFormat="1" ht="15.95" customHeight="1" x14ac:dyDescent="0.25">
      <c r="A5" s="77" t="s">
        <v>17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36</v>
      </c>
      <c r="B8" s="22"/>
      <c r="C8" s="111" t="s">
        <v>37</v>
      </c>
      <c r="D8" s="111"/>
      <c r="E8" s="111"/>
      <c r="F8" s="111"/>
      <c r="G8" s="111"/>
      <c r="I8" s="111" t="s">
        <v>38</v>
      </c>
      <c r="J8" s="111"/>
      <c r="K8" s="111"/>
      <c r="L8" s="22"/>
    </row>
    <row r="9" spans="1:12" s="1" customFormat="1" ht="12" customHeight="1" x14ac:dyDescent="0.25">
      <c r="B9" s="23"/>
      <c r="C9" s="111" t="s">
        <v>39</v>
      </c>
      <c r="D9" s="111"/>
      <c r="E9" s="111"/>
      <c r="F9" s="111"/>
      <c r="G9" s="111"/>
      <c r="I9" s="112" t="s">
        <v>40</v>
      </c>
      <c r="J9" s="112"/>
      <c r="K9" s="112"/>
      <c r="L9" s="23"/>
    </row>
    <row r="10" spans="1:12" s="1" customFormat="1" ht="12" customHeight="1" x14ac:dyDescent="0.25">
      <c r="A10" s="22" t="s">
        <v>41</v>
      </c>
      <c r="B10" s="22"/>
      <c r="C10" s="24"/>
      <c r="D10" s="23"/>
      <c r="E10" s="23"/>
      <c r="I10" s="111" t="s">
        <v>42</v>
      </c>
      <c r="J10" s="111"/>
      <c r="K10" s="111"/>
      <c r="L10" s="22"/>
    </row>
    <row r="11" spans="1:12" ht="16.5" customHeight="1" thickBot="1" x14ac:dyDescent="0.3">
      <c r="A11" s="113" t="s">
        <v>43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</row>
    <row r="12" spans="1:12" s="28" customFormat="1" ht="48" x14ac:dyDescent="0.2">
      <c r="A12" s="25" t="s">
        <v>4</v>
      </c>
      <c r="B12" s="26" t="s">
        <v>44</v>
      </c>
      <c r="C12" s="26" t="s">
        <v>45</v>
      </c>
      <c r="D12" s="26" t="s">
        <v>46</v>
      </c>
      <c r="E12" s="26" t="s">
        <v>47</v>
      </c>
      <c r="F12" s="26" t="s">
        <v>48</v>
      </c>
      <c r="G12" s="26" t="s">
        <v>49</v>
      </c>
      <c r="H12" s="26" t="s">
        <v>50</v>
      </c>
      <c r="I12" s="26" t="s">
        <v>51</v>
      </c>
      <c r="J12" s="26" t="s">
        <v>52</v>
      </c>
      <c r="K12" s="26" t="s">
        <v>53</v>
      </c>
      <c r="L12" s="27" t="s">
        <v>8</v>
      </c>
    </row>
    <row r="13" spans="1:12" s="28" customFormat="1" x14ac:dyDescent="0.2">
      <c r="A13" s="12" t="s">
        <v>26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8" customFormat="1" x14ac:dyDescent="0.2">
      <c r="A14" s="12" t="s">
        <v>56</v>
      </c>
      <c r="B14" s="8"/>
      <c r="C14" s="10"/>
      <c r="D14" s="10"/>
      <c r="E14" s="8"/>
      <c r="F14" s="8"/>
      <c r="G14" s="8"/>
      <c r="H14" s="10"/>
      <c r="I14" s="8"/>
      <c r="J14" s="8">
        <v>2</v>
      </c>
      <c r="K14" s="8"/>
      <c r="L14" s="11">
        <v>2</v>
      </c>
    </row>
    <row r="15" spans="1:12" s="29" customFormat="1" x14ac:dyDescent="0.2">
      <c r="A15" s="30" t="s">
        <v>54</v>
      </c>
      <c r="B15" s="8"/>
      <c r="C15" s="10"/>
      <c r="D15" s="10">
        <v>1</v>
      </c>
      <c r="E15" s="8"/>
      <c r="F15" s="8"/>
      <c r="G15" s="8"/>
      <c r="H15" s="10"/>
      <c r="I15" s="8"/>
      <c r="J15" s="8"/>
      <c r="K15" s="8"/>
      <c r="L15" s="11">
        <v>1</v>
      </c>
    </row>
    <row r="16" spans="1:12" s="29" customFormat="1" x14ac:dyDescent="0.2">
      <c r="A16" s="31" t="s">
        <v>55</v>
      </c>
      <c r="B16" s="8"/>
      <c r="C16" s="10"/>
      <c r="D16" s="10">
        <v>1</v>
      </c>
      <c r="E16" s="8"/>
      <c r="F16" s="8"/>
      <c r="G16" s="8"/>
      <c r="H16" s="10"/>
      <c r="I16" s="8"/>
      <c r="J16" s="8"/>
      <c r="K16" s="8"/>
      <c r="L16" s="11">
        <v>1</v>
      </c>
    </row>
    <row r="17" spans="1:12" s="29" customFormat="1" x14ac:dyDescent="0.2">
      <c r="A17" s="10" t="s">
        <v>69</v>
      </c>
      <c r="B17" s="8"/>
      <c r="C17" s="10"/>
      <c r="D17" s="10">
        <v>1</v>
      </c>
      <c r="E17" s="8"/>
      <c r="F17" s="8"/>
      <c r="G17" s="8"/>
      <c r="H17" s="10"/>
      <c r="I17" s="8"/>
      <c r="J17" s="8"/>
      <c r="K17" s="8"/>
      <c r="L17" s="11">
        <v>1</v>
      </c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view="pageBreakPreview" zoomScale="110" zoomScaleNormal="100" zoomScaleSheetLayoutView="110" workbookViewId="0">
      <selection activeCell="D30" sqref="D30"/>
    </sheetView>
  </sheetViews>
  <sheetFormatPr defaultRowHeight="15" x14ac:dyDescent="0.25"/>
  <cols>
    <col min="1" max="1" width="37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77" t="s">
        <v>14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s="1" customFormat="1" ht="15.95" customHeight="1" x14ac:dyDescent="0.25">
      <c r="A3" s="77" t="s">
        <v>15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s="1" customFormat="1" ht="15.95" customHeight="1" x14ac:dyDescent="0.25">
      <c r="A4" s="77" t="s">
        <v>16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s="1" customFormat="1" ht="15.95" customHeight="1" x14ac:dyDescent="0.25">
      <c r="A5" s="77" t="s">
        <v>17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s="1" customFormat="1" ht="8.25" customHeight="1" x14ac:dyDescent="0.25"/>
    <row r="7" spans="1:10" s="1" customFormat="1" ht="12" customHeight="1" x14ac:dyDescent="0.25">
      <c r="A7" s="1" t="s">
        <v>57</v>
      </c>
      <c r="B7" s="76" t="s">
        <v>59</v>
      </c>
      <c r="C7" s="76"/>
      <c r="D7" s="76"/>
      <c r="H7" s="3" t="s">
        <v>9</v>
      </c>
      <c r="I7" s="34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58</v>
      </c>
      <c r="B9" s="76" t="s">
        <v>60</v>
      </c>
      <c r="C9" s="76"/>
      <c r="D9" s="76"/>
      <c r="H9" s="3" t="s">
        <v>10</v>
      </c>
      <c r="I9" s="4"/>
      <c r="J9" s="3"/>
    </row>
    <row r="10" spans="1:10" ht="16.5" customHeight="1" thickBot="1" x14ac:dyDescent="0.3">
      <c r="A10" s="78" t="s">
        <v>0</v>
      </c>
      <c r="B10" s="78"/>
      <c r="C10" s="78"/>
      <c r="D10" s="78"/>
      <c r="E10" s="78"/>
      <c r="F10" s="78"/>
      <c r="G10" s="78"/>
      <c r="H10" s="78"/>
      <c r="I10" s="78"/>
      <c r="J10" s="78"/>
    </row>
    <row r="11" spans="1:10" s="6" customFormat="1" ht="18.75" customHeight="1" x14ac:dyDescent="0.2">
      <c r="A11" s="82" t="s">
        <v>4</v>
      </c>
      <c r="B11" s="86" t="s">
        <v>5</v>
      </c>
      <c r="C11" s="87"/>
      <c r="D11" s="88" t="s">
        <v>6</v>
      </c>
      <c r="E11" s="89"/>
      <c r="F11" s="89"/>
      <c r="G11" s="33"/>
      <c r="H11" s="90" t="s">
        <v>7</v>
      </c>
      <c r="I11" s="91"/>
      <c r="J11" s="84" t="s">
        <v>8</v>
      </c>
    </row>
    <row r="12" spans="1:10" s="6" customFormat="1" ht="25.5" customHeight="1" x14ac:dyDescent="0.2">
      <c r="A12" s="83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53" t="s">
        <v>66</v>
      </c>
      <c r="H12" s="14" t="s">
        <v>1</v>
      </c>
      <c r="I12" s="17" t="s">
        <v>2</v>
      </c>
      <c r="J12" s="85"/>
    </row>
    <row r="13" spans="1:10" s="6" customFormat="1" ht="18.75" customHeight="1" x14ac:dyDescent="0.2">
      <c r="A13" s="79" t="s">
        <v>100</v>
      </c>
      <c r="B13" s="80"/>
      <c r="C13" s="80"/>
      <c r="D13" s="80"/>
      <c r="E13" s="80"/>
      <c r="F13" s="80"/>
      <c r="G13" s="80"/>
      <c r="H13" s="80"/>
      <c r="I13" s="80"/>
      <c r="J13" s="81"/>
    </row>
    <row r="14" spans="1:10" s="6" customFormat="1" ht="15.95" customHeight="1" x14ac:dyDescent="0.2">
      <c r="A14" s="8"/>
      <c r="B14" s="13"/>
      <c r="C14" s="13"/>
      <c r="D14" s="13"/>
      <c r="E14" s="13"/>
      <c r="F14" s="13"/>
      <c r="G14" s="13"/>
      <c r="H14" s="13"/>
      <c r="I14" s="13"/>
      <c r="J14" s="52"/>
    </row>
    <row r="15" spans="1:10" s="5" customFormat="1" ht="15.95" customHeight="1" x14ac:dyDescent="0.2">
      <c r="A15" s="10"/>
      <c r="B15" s="13"/>
      <c r="C15" s="13"/>
      <c r="D15" s="13"/>
      <c r="E15" s="13"/>
      <c r="F15" s="13"/>
      <c r="G15" s="13"/>
      <c r="H15" s="13"/>
      <c r="I15" s="13"/>
      <c r="J15" s="52"/>
    </row>
    <row r="16" spans="1:10" s="5" customFormat="1" ht="15.95" customHeight="1" x14ac:dyDescent="0.2">
      <c r="A16" s="10"/>
      <c r="B16" s="13"/>
      <c r="C16" s="13"/>
      <c r="D16" s="13"/>
      <c r="E16" s="13"/>
      <c r="F16" s="13"/>
      <c r="G16" s="13"/>
      <c r="H16" s="13"/>
      <c r="I16" s="13"/>
      <c r="J16" s="52"/>
    </row>
    <row r="17" spans="1:10" s="5" customFormat="1" ht="15.95" customHeight="1" x14ac:dyDescent="0.2">
      <c r="A17" s="10"/>
      <c r="B17" s="13"/>
      <c r="C17" s="13"/>
      <c r="D17" s="13"/>
      <c r="E17" s="13"/>
      <c r="F17" s="13"/>
      <c r="G17" s="13"/>
      <c r="H17" s="13"/>
      <c r="I17" s="13"/>
      <c r="J17" s="52"/>
    </row>
    <row r="18" spans="1:10" s="5" customFormat="1" ht="15.95" customHeight="1" x14ac:dyDescent="0.2">
      <c r="A18" s="10"/>
      <c r="B18" s="13"/>
      <c r="C18" s="13"/>
      <c r="D18" s="13"/>
      <c r="E18" s="13"/>
      <c r="F18" s="13"/>
      <c r="G18" s="13"/>
      <c r="H18" s="13"/>
      <c r="I18" s="13"/>
      <c r="J18" s="52"/>
    </row>
    <row r="19" spans="1:10" s="5" customFormat="1" ht="15.95" customHeight="1" x14ac:dyDescent="0.2">
      <c r="A19" s="10"/>
      <c r="B19" s="13"/>
      <c r="C19" s="13"/>
      <c r="D19" s="13"/>
      <c r="E19" s="13"/>
      <c r="F19" s="13"/>
      <c r="G19" s="13"/>
      <c r="H19" s="13"/>
      <c r="I19" s="13"/>
      <c r="J19" s="52"/>
    </row>
    <row r="20" spans="1:10" s="5" customFormat="1" ht="15.95" customHeight="1" x14ac:dyDescent="0.2">
      <c r="A20" s="10"/>
      <c r="B20" s="13"/>
      <c r="C20" s="13"/>
      <c r="D20" s="13"/>
      <c r="E20" s="13"/>
      <c r="F20" s="13"/>
      <c r="G20" s="13"/>
      <c r="H20" s="13"/>
      <c r="I20" s="13"/>
      <c r="J20" s="52"/>
    </row>
    <row r="21" spans="1:10" s="5" customFormat="1" ht="15.95" customHeight="1" x14ac:dyDescent="0.2">
      <c r="A21" s="8"/>
      <c r="B21" s="13"/>
      <c r="C21" s="13"/>
      <c r="D21" s="13"/>
      <c r="E21" s="13"/>
      <c r="F21" s="13"/>
      <c r="G21" s="13"/>
      <c r="H21" s="13"/>
      <c r="I21" s="13"/>
      <c r="J21" s="52"/>
    </row>
    <row r="22" spans="1:10" s="5" customFormat="1" ht="15.95" customHeight="1" x14ac:dyDescent="0.2">
      <c r="A22" s="8"/>
      <c r="B22" s="32"/>
      <c r="C22" s="13"/>
      <c r="D22" s="13"/>
      <c r="E22" s="13"/>
      <c r="F22" s="13"/>
      <c r="G22" s="13"/>
      <c r="H22" s="13"/>
      <c r="I22" s="13"/>
      <c r="J22" s="52"/>
    </row>
    <row r="23" spans="1:10" s="5" customFormat="1" ht="15.95" customHeight="1" x14ac:dyDescent="0.2">
      <c r="A23" s="8"/>
      <c r="B23" s="13"/>
      <c r="C23" s="13"/>
      <c r="D23" s="13"/>
      <c r="E23" s="13"/>
      <c r="F23" s="13"/>
      <c r="G23" s="13"/>
      <c r="H23" s="13"/>
      <c r="I23" s="13"/>
      <c r="J23" s="52"/>
    </row>
    <row r="24" spans="1:10" s="5" customFormat="1" ht="15.95" customHeight="1" x14ac:dyDescent="0.2">
      <c r="A24" s="8"/>
      <c r="B24" s="13"/>
      <c r="C24" s="13"/>
      <c r="D24" s="13"/>
      <c r="E24" s="13"/>
      <c r="F24" s="13"/>
      <c r="G24" s="13"/>
      <c r="H24" s="13"/>
      <c r="I24" s="13"/>
      <c r="J24" s="52"/>
    </row>
    <row r="25" spans="1:10" s="5" customFormat="1" ht="15.95" customHeight="1" x14ac:dyDescent="0.2">
      <c r="A25" s="8"/>
      <c r="B25" s="13"/>
      <c r="C25" s="13"/>
      <c r="D25" s="13"/>
      <c r="E25" s="13"/>
      <c r="F25" s="13"/>
      <c r="G25" s="13"/>
      <c r="H25" s="13"/>
      <c r="I25" s="13"/>
      <c r="J25" s="52"/>
    </row>
    <row r="26" spans="1:10" ht="15.95" customHeight="1" x14ac:dyDescent="0.25">
      <c r="A26" s="8"/>
      <c r="B26" s="13"/>
      <c r="C26" s="13"/>
      <c r="D26" s="32"/>
      <c r="E26" s="32"/>
      <c r="F26" s="32"/>
      <c r="G26" s="32"/>
      <c r="H26" s="13"/>
      <c r="I26" s="13"/>
      <c r="J26" s="52"/>
    </row>
    <row r="27" spans="1:10" s="1" customFormat="1" x14ac:dyDescent="0.25">
      <c r="A27" s="1" t="s">
        <v>61</v>
      </c>
    </row>
    <row r="28" spans="1:10" s="1" customFormat="1" x14ac:dyDescent="0.25"/>
    <row r="29" spans="1:10" s="1" customFormat="1" x14ac:dyDescent="0.25">
      <c r="A29" s="1" t="s">
        <v>62</v>
      </c>
    </row>
    <row r="30" spans="1:10" s="1" customFormat="1" x14ac:dyDescent="0.25">
      <c r="A30" s="1" t="s">
        <v>63</v>
      </c>
    </row>
    <row r="31" spans="1:10" s="1" customFormat="1" x14ac:dyDescent="0.25">
      <c r="A31" s="1" t="s">
        <v>64</v>
      </c>
    </row>
  </sheetData>
  <mergeCells count="13">
    <mergeCell ref="B9:D9"/>
    <mergeCell ref="A2:J2"/>
    <mergeCell ref="A3:J3"/>
    <mergeCell ref="A4:J4"/>
    <mergeCell ref="A5:J5"/>
    <mergeCell ref="B7:D7"/>
    <mergeCell ref="A13:J13"/>
    <mergeCell ref="A10:J10"/>
    <mergeCell ref="A11:A12"/>
    <mergeCell ref="B11:C11"/>
    <mergeCell ref="D11:F11"/>
    <mergeCell ref="H11:I11"/>
    <mergeCell ref="J11:J12"/>
  </mergeCells>
  <printOptions horizontalCentered="1"/>
  <pageMargins left="0.5" right="0.5" top="0.5" bottom="0.5" header="0.31496062992126" footer="0.31496062992126"/>
  <pageSetup paperSize="9" scale="9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Leave Card (NE)</vt:lpstr>
      <vt:lpstr>CTO</vt:lpstr>
      <vt:lpstr>Other types of leave</vt:lpstr>
      <vt:lpstr>BLANK</vt:lpstr>
      <vt:lpstr>BLANK!Print_Area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2025-12-22T07:04:07Z</cp:lastPrinted>
  <dcterms:created xsi:type="dcterms:W3CDTF">2021-10-07T06:10:16Z</dcterms:created>
  <dcterms:modified xsi:type="dcterms:W3CDTF">2025-12-22T07:05:13Z</dcterms:modified>
</cp:coreProperties>
</file>