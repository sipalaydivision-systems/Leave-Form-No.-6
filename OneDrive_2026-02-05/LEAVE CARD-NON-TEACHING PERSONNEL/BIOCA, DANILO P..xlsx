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9F8FC7A-5DB3-479A-BCE5-1A71C04AC3FD}" xr6:coauthVersionLast="47" xr6:coauthVersionMax="47" xr10:uidLastSave="{00000000-0000-0000-0000-000000000000}"/>
  <bookViews>
    <workbookView xWindow="-120" yWindow="-120" windowWidth="29040" windowHeight="15720" xr2:uid="{FCB43BAD-2664-4E65-BA47-0F5C11A59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" l="1"/>
  <c r="I65" i="1"/>
  <c r="J65" i="1"/>
  <c r="B49" i="1"/>
  <c r="B40" i="1"/>
  <c r="B38" i="1"/>
  <c r="B34" i="1"/>
  <c r="B32" i="1"/>
  <c r="B25" i="1" l="1"/>
  <c r="B23" i="1"/>
  <c r="B19" i="1"/>
  <c r="H18" i="1"/>
  <c r="I18" i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J18" i="1" l="1"/>
  <c r="H19" i="1"/>
  <c r="H20" i="1" s="1"/>
  <c r="H21" i="1" s="1"/>
  <c r="H22" i="1" s="1"/>
  <c r="J21" i="1" l="1"/>
  <c r="J20" i="1"/>
  <c r="J19" i="1"/>
  <c r="H23" i="1"/>
  <c r="J22" i="1"/>
  <c r="J23" i="1" l="1"/>
  <c r="H24" i="1"/>
  <c r="J24" i="1" l="1"/>
  <c r="H25" i="1"/>
  <c r="J25" i="1" l="1"/>
  <c r="H26" i="1"/>
  <c r="H27" i="1" l="1"/>
  <c r="J26" i="1"/>
  <c r="J27" i="1" l="1"/>
  <c r="H28" i="1"/>
  <c r="J28" i="1" l="1"/>
  <c r="H29" i="1"/>
  <c r="H30" i="1" l="1"/>
  <c r="J29" i="1"/>
  <c r="J30" i="1" l="1"/>
  <c r="H31" i="1"/>
  <c r="H32" i="1" l="1"/>
  <c r="J31" i="1"/>
  <c r="J32" i="1" l="1"/>
  <c r="H33" i="1"/>
  <c r="J33" i="1" l="1"/>
  <c r="H34" i="1"/>
  <c r="J34" i="1" l="1"/>
  <c r="H35" i="1"/>
  <c r="J35" i="1" l="1"/>
  <c r="H36" i="1"/>
  <c r="H37" i="1" l="1"/>
  <c r="J36" i="1"/>
  <c r="J37" i="1" l="1"/>
  <c r="H38" i="1"/>
  <c r="J38" i="1" l="1"/>
  <c r="H39" i="1"/>
  <c r="J39" i="1" l="1"/>
  <c r="H40" i="1"/>
  <c r="J40" i="1" l="1"/>
  <c r="H41" i="1"/>
  <c r="J41" i="1" l="1"/>
  <c r="H42" i="1"/>
  <c r="J42" i="1" l="1"/>
  <c r="H43" i="1"/>
  <c r="J43" i="1" l="1"/>
  <c r="H44" i="1"/>
  <c r="J44" i="1" l="1"/>
  <c r="H45" i="1"/>
  <c r="H46" i="1" l="1"/>
  <c r="J45" i="1"/>
  <c r="J46" i="1" l="1"/>
  <c r="H47" i="1"/>
  <c r="J47" i="1" l="1"/>
  <c r="H48" i="1"/>
  <c r="J48" i="1" l="1"/>
  <c r="H49" i="1"/>
  <c r="J49" i="1" l="1"/>
  <c r="H50" i="1"/>
  <c r="J50" i="1" l="1"/>
  <c r="H51" i="1"/>
  <c r="J51" i="1" l="1"/>
  <c r="H52" i="1"/>
  <c r="J52" i="1" l="1"/>
  <c r="H53" i="1"/>
  <c r="J53" i="1" s="1"/>
  <c r="H54" i="1" l="1"/>
  <c r="H55" i="1" s="1"/>
  <c r="J55" i="1" l="1"/>
  <c r="H56" i="1"/>
  <c r="J54" i="1"/>
  <c r="J56" i="1" l="1"/>
  <c r="H57" i="1"/>
  <c r="J57" i="1" l="1"/>
  <c r="H58" i="1"/>
  <c r="J58" i="1" l="1"/>
  <c r="H59" i="1"/>
  <c r="H60" i="1" l="1"/>
  <c r="J59" i="1"/>
  <c r="J60" i="1" l="1"/>
  <c r="H61" i="1"/>
  <c r="J61" i="1" l="1"/>
  <c r="H62" i="1"/>
  <c r="H63" i="1" l="1"/>
  <c r="J62" i="1"/>
  <c r="J63" i="1" l="1"/>
  <c r="H64" i="1"/>
  <c r="J64" i="1" s="1"/>
</calcChain>
</file>

<file path=xl/sharedStrings.xml><?xml version="1.0" encoding="utf-8"?>
<sst xmlns="http://schemas.openxmlformats.org/spreadsheetml/2006/main" count="78" uniqueCount="74">
  <si>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</si>
  <si>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</si>
  <si>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</si>
  <si>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</si>
  <si>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</si>
  <si>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</si>
  <si>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</si>
  <si>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</si>
  <si>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</si>
  <si>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</si>
  <si>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</si>
  <si>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</si>
  <si>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</si>
  <si>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</si>
  <si>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</si>
  <si>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</si>
  <si>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</si>
  <si>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</si>
  <si>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</si>
  <si>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</si>
  <si>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Certified Correct:</t>
  </si>
  <si>
    <t>MA. LUISA B. CATIGAN</t>
  </si>
  <si>
    <t>Administrative Officer IV</t>
  </si>
  <si>
    <t>ADD: 12/18/2016-12/31/2016</t>
  </si>
  <si>
    <t>ADD: 01/01/2017-11/30/2017</t>
  </si>
  <si>
    <t>ADD: 12/01/2017-12/31/2017</t>
  </si>
  <si>
    <t>ADD:01/01/2018-06/30/2018</t>
  </si>
  <si>
    <t>LESS: 20DAYS MONETIZATION 2018</t>
  </si>
  <si>
    <t>ADD: 07/01/2018-12/31/2018</t>
  </si>
  <si>
    <t>ADD: 01/01/2020-12/31/2020</t>
  </si>
  <si>
    <t>LESS: 8 DAYS MONETIZATION 2020</t>
  </si>
  <si>
    <t>ADD: 01/01/2021-9/30/2021</t>
  </si>
  <si>
    <t>LESS: 29 DAYS MONETIZATION 2021</t>
  </si>
  <si>
    <t>ADD: 10/01/2021-12/31/2021</t>
  </si>
  <si>
    <t>ADD: 01/01/2022-01/31/2022</t>
  </si>
  <si>
    <t>LESS: 02/03/2022</t>
  </si>
  <si>
    <t>ADD: 02/01/2022-04/30/2022</t>
  </si>
  <si>
    <t>LESS: 05/25/2022</t>
  </si>
  <si>
    <t>ADD:05/01/2022-10/31/2022</t>
  </si>
  <si>
    <t>LESS: 29 DAYS MONETIZATION 2022</t>
  </si>
  <si>
    <t>ADD: 11/01/2022-11/30/2022</t>
  </si>
  <si>
    <t>LESS:12/13/2022</t>
  </si>
  <si>
    <t>ADD:12/01/2022-12/31/2022</t>
  </si>
  <si>
    <t>LESS: 01/19/2023</t>
  </si>
  <si>
    <t>ADD:01/01/2023-02/28/2023</t>
  </si>
  <si>
    <t>LESS: 02/23/2023</t>
  </si>
  <si>
    <t>ADD: 03/01/2023-08/31/2023</t>
  </si>
  <si>
    <t>LESS: 29DAYS MONETIZATION 2023</t>
  </si>
  <si>
    <t>ADD: 09/01/2023-09/30/2023</t>
  </si>
  <si>
    <t>LESS: 10/12,13,16/2023</t>
  </si>
  <si>
    <t xml:space="preserve">                HRMO</t>
  </si>
  <si>
    <t xml:space="preserve">LESS: 15 DAYS MONETIZATION 2017 </t>
  </si>
  <si>
    <t>DATE OF ORIGINAL APPOINTMENT: 12/18/2016</t>
  </si>
  <si>
    <t>ADD: 10/1/2023-12/31/2023</t>
  </si>
  <si>
    <t>ADD: 01/01/2024-07/31/2024</t>
  </si>
  <si>
    <t>ADD: 08/1/2024-10/31/2024</t>
  </si>
  <si>
    <t>LESS: 11/18/2024</t>
  </si>
  <si>
    <t>LESS: 11/25/2024</t>
  </si>
  <si>
    <t>PATERNITY LEAVE: 11/26/2024-12/4/2024</t>
  </si>
  <si>
    <t>ADD: 11/1-30/2024</t>
  </si>
  <si>
    <t>PROMOTED TO P-I: JANUARY 06, 2025</t>
  </si>
  <si>
    <t>ADD: 12/1-31/2024</t>
  </si>
  <si>
    <t>ADD: 01/1/2025-05/31/2025</t>
  </si>
  <si>
    <t>LESS: FL 2024</t>
  </si>
  <si>
    <t>LESS: FORCED LEAVE 2017</t>
  </si>
  <si>
    <t>LESS: FORCED LEAVE 2018</t>
  </si>
  <si>
    <t>ADD: 01/01/2019 - 12/31/2019</t>
  </si>
  <si>
    <t>LESS: FORCED LEAVE 2019</t>
  </si>
  <si>
    <t>LESS:  FORCED LEAVE 2020</t>
  </si>
  <si>
    <t>LESS:  FORCED LEAVE 2021</t>
  </si>
  <si>
    <t>LESS:  FORCED LEAVE 2022</t>
  </si>
  <si>
    <t>LESS: 06/30/2025</t>
  </si>
  <si>
    <t>LESS: MONETIZATION 2024 (30 days)</t>
  </si>
  <si>
    <t>ADD: 06/1/2025-08/31/2025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</si>
</sst>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4" fillId="0" borderId="0" xfId="0" applyFont="1"/>
    <xf numFmtId="0" fontId="3" fillId="7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 wrapText="1"/>
    </xf>
    <xf numFmtId="0" fontId="7" fillId="0" borderId="0" xfId="0" applyFont="1"/>
    <xf numFmtId="0" fontId="0" fillId="2" borderId="8" xfId="0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164" fontId="0" fillId="2" borderId="0" xfId="0" applyNumberFormat="1" applyFill="1"/>
    <xf numFmtId="164" fontId="0" fillId="0" borderId="8" xfId="0" applyNumberFormat="1" applyBorder="1" applyAlignment="1">
      <alignment horizontal="center" vertical="center"/>
    </xf>
    <xf numFmtId="0" fontId="8" fillId="2" borderId="0" xfId="0" applyFont="1" applyFill="1"/>
    <xf numFmtId="0" fontId="0" fillId="2" borderId="0" xfId="0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164" fontId="0" fillId="10" borderId="8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164" fontId="0" fillId="0" borderId="8" xfId="0" applyNumberForma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131883</xdr:rowOff>
    </xdr:from>
    <xdr:to>
      <xdr:col>4</xdr:col>
      <xdr:colOff>370498</xdr:colOff>
      <xdr:row>4</xdr:row>
      <xdr:rowOff>11477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ACAB3-33E4-4805-85A7-B2770DC663D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322383"/>
          <a:ext cx="741973" cy="64159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8</xdr:row>
      <xdr:rowOff>85236</xdr:rowOff>
    </xdr:from>
    <xdr:to>
      <xdr:col>1</xdr:col>
      <xdr:colOff>1466</xdr:colOff>
      <xdr:row>10</xdr:row>
      <xdr:rowOff>30285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3A86C7-122C-4CB0-87D1-A29A7AFD9FE0}"/>
            </a:ext>
          </a:extLst>
        </xdr:cNvPr>
        <xdr:cNvSpPr txBox="1"/>
      </xdr:nvSpPr>
      <xdr:spPr>
        <a:xfrm>
          <a:off x="573942" y="1609236"/>
          <a:ext cx="1923074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DANILO P. BIOCA</a:t>
          </a:r>
        </a:p>
      </xdr:txBody>
    </xdr:sp>
    <xdr:clientData/>
  </xdr:twoCellAnchor>
  <xdr:twoCellAnchor>
    <xdr:from>
      <xdr:col>0</xdr:col>
      <xdr:colOff>616683</xdr:colOff>
      <xdr:row>10</xdr:row>
      <xdr:rowOff>61057</xdr:rowOff>
    </xdr:from>
    <xdr:to>
      <xdr:col>0</xdr:col>
      <xdr:colOff>2625482</xdr:colOff>
      <xdr:row>12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E13BDE-7795-45DE-8C9C-361EF6AD0F5A}"/>
            </a:ext>
          </a:extLst>
        </xdr:cNvPr>
        <xdr:cNvSpPr txBox="1"/>
      </xdr:nvSpPr>
      <xdr:spPr>
        <a:xfrm>
          <a:off x="616683" y="1718407"/>
          <a:ext cx="187544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P-I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10</xdr:row>
      <xdr:rowOff>42741</xdr:rowOff>
    </xdr:from>
    <xdr:to>
      <xdr:col>4</xdr:col>
      <xdr:colOff>415193</xdr:colOff>
      <xdr:row>11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B1EC75-D16A-49AE-A607-826F952EA320}"/>
            </a:ext>
          </a:extLst>
        </xdr:cNvPr>
        <xdr:cNvSpPr txBox="1"/>
      </xdr:nvSpPr>
      <xdr:spPr>
        <a:xfrm>
          <a:off x="3682268" y="1700091"/>
          <a:ext cx="1543050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MANLUCAHOC ES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7739-E64A-42D4-B17A-A74EA35F335C}">
  <dimension ref="A1:N243"/>
  <sheetViews>
    <sheetView tabSelected="1" topLeftCell="A41" workbookViewId="0">
      <selection activeCell="Q66" sqref="Q66"/>
    </sheetView>
  </sheetViews>
  <sheetFormatPr defaultRowHeight="15" x14ac:dyDescent="0.25"/>
  <cols>
    <col min="1" max="1" width="37.42578125" customWidth="1"/>
    <col min="2" max="2" width="11.5703125" style="17" customWidth="1"/>
    <col min="3" max="3" width="11.5703125" style="18" customWidth="1"/>
    <col min="4" max="4" width="11.5703125" style="17" customWidth="1"/>
    <col min="5" max="5" width="11.5703125" style="18" customWidth="1"/>
    <col min="6" max="7" width="11.5703125" style="19" customWidth="1"/>
    <col min="8" max="8" width="11.5703125" style="17" customWidth="1"/>
    <col min="9" max="9" width="11.5703125" style="18" customWidth="1"/>
    <col min="10" max="10" width="11.570312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1"/>
      <c r="L5" s="1"/>
      <c r="M5" s="1"/>
      <c r="N5" s="1"/>
    </row>
    <row r="6" spans="1:14" x14ac:dyDescent="0.25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1"/>
      <c r="L6" s="1"/>
      <c r="M6" s="1"/>
      <c r="N6" s="1"/>
    </row>
    <row r="7" spans="1:14" x14ac:dyDescent="0.25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1"/>
      <c r="L7" s="1"/>
      <c r="M7" s="1"/>
      <c r="N7" s="1"/>
    </row>
    <row r="8" spans="1:14" x14ac:dyDescent="0.25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 t="s">
        <v>4</v>
      </c>
      <c r="B10" s="32" t="s">
        <v>5</v>
      </c>
      <c r="C10" s="32"/>
      <c r="D10" s="32"/>
      <c r="E10" s="1"/>
      <c r="F10" s="1"/>
      <c r="G10" s="1"/>
      <c r="H10" s="2" t="s">
        <v>6</v>
      </c>
      <c r="I10" s="3"/>
      <c r="J10" s="2"/>
      <c r="K10" s="1"/>
      <c r="L10" s="1"/>
      <c r="M10" s="1"/>
      <c r="N10" s="1"/>
    </row>
    <row r="11" spans="1:14" x14ac:dyDescent="0.25">
      <c r="A11" s="1"/>
      <c r="B11" s="4"/>
      <c r="C11" s="4"/>
      <c r="D11" s="1"/>
      <c r="E11" s="1"/>
      <c r="F11" s="1"/>
      <c r="G11" s="1"/>
      <c r="H11" s="4"/>
      <c r="I11" s="4"/>
      <c r="J11" s="4"/>
      <c r="K11" s="1"/>
      <c r="L11" s="1"/>
      <c r="M11" s="1"/>
      <c r="N11" s="1"/>
    </row>
    <row r="12" spans="1:14" x14ac:dyDescent="0.25">
      <c r="A12" s="1" t="s">
        <v>7</v>
      </c>
      <c r="B12" s="32" t="s">
        <v>8</v>
      </c>
      <c r="C12" s="32"/>
      <c r="D12" s="32"/>
      <c r="E12" s="1"/>
      <c r="F12" s="1"/>
      <c r="G12" s="1"/>
      <c r="H12" s="2" t="s">
        <v>9</v>
      </c>
      <c r="I12" s="5"/>
      <c r="J12" s="2"/>
      <c r="K12" s="1"/>
      <c r="L12" s="1"/>
      <c r="M12" s="1"/>
      <c r="N12" s="1"/>
    </row>
    <row r="13" spans="1:14" ht="21.75" thickBot="1" x14ac:dyDescent="0.3">
      <c r="A13" s="37" t="s">
        <v>10</v>
      </c>
      <c r="B13" s="37"/>
      <c r="C13" s="37"/>
      <c r="D13" s="37"/>
      <c r="E13" s="37"/>
      <c r="F13" s="37"/>
      <c r="G13" s="37"/>
      <c r="H13" s="37"/>
      <c r="I13" s="37"/>
      <c r="J13" s="37"/>
    </row>
    <row r="14" spans="1:14" x14ac:dyDescent="0.25">
      <c r="A14" s="38" t="s">
        <v>11</v>
      </c>
      <c r="B14" s="40" t="s">
        <v>12</v>
      </c>
      <c r="C14" s="41"/>
      <c r="D14" s="42" t="s">
        <v>13</v>
      </c>
      <c r="E14" s="43"/>
      <c r="F14" s="43"/>
      <c r="G14" s="6"/>
      <c r="H14" s="44" t="s">
        <v>14</v>
      </c>
      <c r="I14" s="45"/>
      <c r="J14" s="46" t="s">
        <v>15</v>
      </c>
      <c r="K14" s="7"/>
      <c r="L14" s="7"/>
      <c r="M14" s="7"/>
      <c r="N14" s="7"/>
    </row>
    <row r="15" spans="1:14" ht="33.75" x14ac:dyDescent="0.25">
      <c r="A15" s="39"/>
      <c r="B15" s="8" t="s">
        <v>16</v>
      </c>
      <c r="C15" s="9" t="s">
        <v>17</v>
      </c>
      <c r="D15" s="8" t="s">
        <v>16</v>
      </c>
      <c r="E15" s="9" t="s">
        <v>17</v>
      </c>
      <c r="F15" s="10" t="s">
        <v>18</v>
      </c>
      <c r="G15" s="11" t="s">
        <v>19</v>
      </c>
      <c r="H15" s="8" t="s">
        <v>16</v>
      </c>
      <c r="I15" s="9" t="s">
        <v>17</v>
      </c>
      <c r="J15" s="47"/>
      <c r="K15" s="7"/>
      <c r="L15" s="7"/>
      <c r="M15" s="7"/>
      <c r="N15" s="7"/>
    </row>
    <row r="16" spans="1:14" ht="15.75" x14ac:dyDescent="0.25">
      <c r="A16" s="34" t="s">
        <v>52</v>
      </c>
      <c r="B16" s="35"/>
      <c r="C16" s="35"/>
      <c r="D16" s="35"/>
      <c r="E16" s="35"/>
      <c r="F16" s="35"/>
      <c r="G16" s="35"/>
      <c r="H16" s="35"/>
      <c r="I16" s="35"/>
      <c r="J16" s="36"/>
      <c r="K16" s="7"/>
      <c r="L16" s="7"/>
      <c r="M16" s="7"/>
      <c r="N16" s="7"/>
    </row>
    <row r="17" spans="1:14" ht="15.75" x14ac:dyDescent="0.25">
      <c r="A17" s="30" t="s">
        <v>60</v>
      </c>
      <c r="B17" s="30"/>
      <c r="C17" s="30"/>
      <c r="D17" s="30"/>
      <c r="E17" s="30"/>
      <c r="F17" s="30"/>
      <c r="G17" s="30"/>
      <c r="H17" s="30"/>
      <c r="I17" s="30"/>
      <c r="J17" s="30"/>
      <c r="K17" s="7"/>
      <c r="L17" s="7"/>
      <c r="M17" s="7"/>
      <c r="N17" s="7"/>
    </row>
    <row r="18" spans="1:14" x14ac:dyDescent="0.25">
      <c r="A18" s="12" t="s">
        <v>23</v>
      </c>
      <c r="B18" s="13">
        <v>0.58299999999999996</v>
      </c>
      <c r="C18" s="13">
        <v>0.58299999999999996</v>
      </c>
      <c r="D18" s="13"/>
      <c r="E18" s="13"/>
      <c r="F18" s="13"/>
      <c r="G18" s="13"/>
      <c r="H18" s="13">
        <f>B18</f>
        <v>0.58299999999999996</v>
      </c>
      <c r="I18" s="13">
        <f>C18</f>
        <v>0.58299999999999996</v>
      </c>
      <c r="J18" s="14">
        <f>SUM(H18:I18)</f>
        <v>1.1659999999999999</v>
      </c>
      <c r="K18" s="7"/>
      <c r="L18" s="7"/>
      <c r="M18" s="7"/>
      <c r="N18" s="7"/>
    </row>
    <row r="19" spans="1:14" x14ac:dyDescent="0.25">
      <c r="A19" s="12" t="s">
        <v>24</v>
      </c>
      <c r="B19" s="13">
        <f>1.25*11</f>
        <v>13.75</v>
      </c>
      <c r="C19" s="13">
        <v>13.75</v>
      </c>
      <c r="D19" s="13"/>
      <c r="E19" s="13"/>
      <c r="F19" s="13"/>
      <c r="G19" s="13"/>
      <c r="H19" s="13">
        <f>H18-F19-D19+B19</f>
        <v>14.333</v>
      </c>
      <c r="I19" s="13">
        <f>I18-E19+C19</f>
        <v>14.333</v>
      </c>
      <c r="J19" s="14">
        <f t="shared" ref="J19:J27" si="0">SUM(H19:I19)</f>
        <v>28.666</v>
      </c>
      <c r="K19" s="7"/>
      <c r="L19" s="7"/>
      <c r="M19" s="7"/>
      <c r="N19" s="7"/>
    </row>
    <row r="20" spans="1:14" x14ac:dyDescent="0.25">
      <c r="A20" s="16" t="s">
        <v>51</v>
      </c>
      <c r="B20" s="13"/>
      <c r="C20" s="13"/>
      <c r="D20" s="13">
        <v>9</v>
      </c>
      <c r="E20" s="13">
        <v>6</v>
      </c>
      <c r="F20" s="13"/>
      <c r="G20" s="13"/>
      <c r="H20" s="13">
        <f t="shared" ref="H20:H27" si="1">H19-F20-D20+B20</f>
        <v>5.3330000000000002</v>
      </c>
      <c r="I20" s="13">
        <f t="shared" ref="I20:I27" si="2">I19-E20+C20</f>
        <v>8.3330000000000002</v>
      </c>
      <c r="J20" s="14">
        <f t="shared" si="0"/>
        <v>13.666</v>
      </c>
      <c r="K20" s="7"/>
      <c r="L20" s="7"/>
      <c r="M20" s="7"/>
      <c r="N20" s="7"/>
    </row>
    <row r="21" spans="1:14" x14ac:dyDescent="0.25">
      <c r="A21" s="12" t="s">
        <v>25</v>
      </c>
      <c r="B21" s="13">
        <v>1.25</v>
      </c>
      <c r="C21" s="13">
        <v>1.25</v>
      </c>
      <c r="D21" s="13"/>
      <c r="E21" s="13"/>
      <c r="F21" s="13"/>
      <c r="G21" s="13"/>
      <c r="H21" s="13">
        <f t="shared" si="1"/>
        <v>6.5830000000000002</v>
      </c>
      <c r="I21" s="13">
        <f t="shared" si="2"/>
        <v>9.5830000000000002</v>
      </c>
      <c r="J21" s="14">
        <f t="shared" si="0"/>
        <v>16.166</v>
      </c>
      <c r="K21" s="7"/>
      <c r="L21" s="7"/>
      <c r="M21" s="7"/>
      <c r="N21" s="7"/>
    </row>
    <row r="22" spans="1:14" x14ac:dyDescent="0.25">
      <c r="A22" s="12" t="s">
        <v>64</v>
      </c>
      <c r="B22" s="13"/>
      <c r="C22" s="13"/>
      <c r="D22" s="13"/>
      <c r="E22" s="13"/>
      <c r="F22" s="13">
        <v>5</v>
      </c>
      <c r="G22" s="13"/>
      <c r="H22" s="13">
        <f t="shared" si="1"/>
        <v>1.5830000000000002</v>
      </c>
      <c r="I22" s="13">
        <f t="shared" si="2"/>
        <v>9.5830000000000002</v>
      </c>
      <c r="J22" s="14">
        <f t="shared" si="0"/>
        <v>11.166</v>
      </c>
      <c r="K22" s="7"/>
      <c r="L22" s="7"/>
      <c r="M22" s="7"/>
      <c r="N22" s="7"/>
    </row>
    <row r="23" spans="1:14" x14ac:dyDescent="0.25">
      <c r="A23" s="12" t="s">
        <v>26</v>
      </c>
      <c r="B23" s="13">
        <f>1.25*6</f>
        <v>7.5</v>
      </c>
      <c r="C23" s="13">
        <v>7.5</v>
      </c>
      <c r="D23" s="13"/>
      <c r="E23" s="13"/>
      <c r="F23" s="13"/>
      <c r="G23" s="13"/>
      <c r="H23" s="13">
        <f t="shared" si="1"/>
        <v>9.0830000000000002</v>
      </c>
      <c r="I23" s="13">
        <f t="shared" si="2"/>
        <v>17.082999999999998</v>
      </c>
      <c r="J23" s="14">
        <f t="shared" si="0"/>
        <v>26.165999999999997</v>
      </c>
      <c r="K23" s="7"/>
      <c r="L23" s="7"/>
      <c r="M23" s="7"/>
      <c r="N23" s="7"/>
    </row>
    <row r="24" spans="1:14" x14ac:dyDescent="0.25">
      <c r="A24" s="12" t="s">
        <v>27</v>
      </c>
      <c r="B24" s="13"/>
      <c r="C24" s="13"/>
      <c r="D24" s="13">
        <v>9</v>
      </c>
      <c r="E24" s="13">
        <v>11</v>
      </c>
      <c r="F24" s="13"/>
      <c r="G24" s="13"/>
      <c r="H24" s="13">
        <f t="shared" si="1"/>
        <v>8.3000000000000185E-2</v>
      </c>
      <c r="I24" s="13">
        <f t="shared" si="2"/>
        <v>6.0829999999999984</v>
      </c>
      <c r="J24" s="14">
        <f t="shared" si="0"/>
        <v>6.1659999999999986</v>
      </c>
      <c r="K24" s="7"/>
      <c r="L24" s="7"/>
      <c r="M24" s="7"/>
      <c r="N24" s="7"/>
    </row>
    <row r="25" spans="1:14" x14ac:dyDescent="0.25">
      <c r="A25" s="12" t="s">
        <v>28</v>
      </c>
      <c r="B25" s="13">
        <f>6*1.25</f>
        <v>7.5</v>
      </c>
      <c r="C25" s="13">
        <v>7.5</v>
      </c>
      <c r="D25" s="13"/>
      <c r="E25" s="13"/>
      <c r="F25" s="13"/>
      <c r="G25" s="13"/>
      <c r="H25" s="13">
        <f t="shared" si="1"/>
        <v>7.5830000000000002</v>
      </c>
      <c r="I25" s="13">
        <f t="shared" si="2"/>
        <v>13.582999999999998</v>
      </c>
      <c r="J25" s="14">
        <f t="shared" si="0"/>
        <v>21.165999999999997</v>
      </c>
      <c r="K25" s="7"/>
      <c r="L25" s="7"/>
      <c r="M25" s="7"/>
      <c r="N25" s="7"/>
    </row>
    <row r="26" spans="1:14" x14ac:dyDescent="0.25">
      <c r="A26" s="12" t="s">
        <v>65</v>
      </c>
      <c r="B26" s="13"/>
      <c r="C26" s="13"/>
      <c r="D26" s="13"/>
      <c r="E26" s="13"/>
      <c r="F26" s="13">
        <v>5</v>
      </c>
      <c r="G26" s="13"/>
      <c r="H26" s="13">
        <f t="shared" si="1"/>
        <v>2.5830000000000002</v>
      </c>
      <c r="I26" s="13">
        <f t="shared" si="2"/>
        <v>13.582999999999998</v>
      </c>
      <c r="J26" s="14">
        <f t="shared" si="0"/>
        <v>16.165999999999997</v>
      </c>
      <c r="K26" s="7"/>
      <c r="L26" s="7"/>
      <c r="M26" s="7"/>
      <c r="N26" s="7"/>
    </row>
    <row r="27" spans="1:14" x14ac:dyDescent="0.25">
      <c r="A27" s="12" t="s">
        <v>66</v>
      </c>
      <c r="B27" s="13">
        <v>15</v>
      </c>
      <c r="C27" s="13">
        <v>15</v>
      </c>
      <c r="D27" s="13"/>
      <c r="E27" s="13"/>
      <c r="F27" s="13"/>
      <c r="G27" s="13"/>
      <c r="H27" s="13">
        <f t="shared" si="1"/>
        <v>17.582999999999998</v>
      </c>
      <c r="I27" s="13">
        <f t="shared" si="2"/>
        <v>28.582999999999998</v>
      </c>
      <c r="J27" s="14">
        <f t="shared" si="0"/>
        <v>46.165999999999997</v>
      </c>
      <c r="K27" s="7"/>
      <c r="L27" s="7"/>
      <c r="M27" s="7"/>
      <c r="N27" s="7"/>
    </row>
    <row r="28" spans="1:14" x14ac:dyDescent="0.25">
      <c r="A28" s="12" t="s">
        <v>67</v>
      </c>
      <c r="B28" s="13"/>
      <c r="C28" s="13"/>
      <c r="D28" s="13"/>
      <c r="E28" s="13"/>
      <c r="F28" s="13">
        <v>5</v>
      </c>
      <c r="G28" s="13"/>
      <c r="H28" s="13">
        <f t="shared" ref="H28:H33" si="3">H27-F28-D28+B28</f>
        <v>12.582999999999998</v>
      </c>
      <c r="I28" s="13">
        <f t="shared" ref="I28:I33" si="4">I27-E28+C28</f>
        <v>28.582999999999998</v>
      </c>
      <c r="J28" s="14">
        <f t="shared" ref="J28:J33" si="5">SUM(H28:I28)</f>
        <v>41.165999999999997</v>
      </c>
      <c r="K28" s="15"/>
      <c r="L28" s="15"/>
      <c r="M28" s="15"/>
      <c r="N28" s="15"/>
    </row>
    <row r="29" spans="1:14" x14ac:dyDescent="0.25">
      <c r="A29" s="16" t="s">
        <v>29</v>
      </c>
      <c r="B29" s="13">
        <v>15</v>
      </c>
      <c r="C29" s="13">
        <v>15</v>
      </c>
      <c r="D29" s="13"/>
      <c r="E29" s="13"/>
      <c r="F29" s="13"/>
      <c r="G29" s="13"/>
      <c r="H29" s="13">
        <f t="shared" si="3"/>
        <v>27.582999999999998</v>
      </c>
      <c r="I29" s="13">
        <f t="shared" si="4"/>
        <v>43.582999999999998</v>
      </c>
      <c r="J29" s="14">
        <f t="shared" si="5"/>
        <v>71.165999999999997</v>
      </c>
      <c r="K29" s="15"/>
      <c r="L29" s="15"/>
      <c r="M29" s="15"/>
      <c r="N29" s="15"/>
    </row>
    <row r="30" spans="1:14" x14ac:dyDescent="0.25">
      <c r="A30" s="12" t="s">
        <v>68</v>
      </c>
      <c r="B30" s="13"/>
      <c r="C30" s="13"/>
      <c r="D30" s="13"/>
      <c r="E30" s="13"/>
      <c r="F30" s="13">
        <v>5</v>
      </c>
      <c r="G30" s="13"/>
      <c r="H30" s="13">
        <f t="shared" si="3"/>
        <v>22.582999999999998</v>
      </c>
      <c r="I30" s="13">
        <f t="shared" si="4"/>
        <v>43.582999999999998</v>
      </c>
      <c r="J30" s="14">
        <f t="shared" si="5"/>
        <v>66.165999999999997</v>
      </c>
      <c r="K30" s="15"/>
      <c r="L30" s="15"/>
      <c r="M30" s="15"/>
      <c r="N30" s="15"/>
    </row>
    <row r="31" spans="1:14" x14ac:dyDescent="0.25">
      <c r="A31" s="16" t="s">
        <v>30</v>
      </c>
      <c r="B31" s="13"/>
      <c r="C31" s="13"/>
      <c r="D31" s="13">
        <v>8</v>
      </c>
      <c r="E31" s="13"/>
      <c r="F31" s="13"/>
      <c r="G31" s="13"/>
      <c r="H31" s="13">
        <f t="shared" si="3"/>
        <v>14.582999999999998</v>
      </c>
      <c r="I31" s="13">
        <f t="shared" si="4"/>
        <v>43.582999999999998</v>
      </c>
      <c r="J31" s="14">
        <f t="shared" si="5"/>
        <v>58.165999999999997</v>
      </c>
      <c r="K31" s="15"/>
      <c r="L31" s="15"/>
      <c r="M31" s="15"/>
      <c r="N31" s="15"/>
    </row>
    <row r="32" spans="1:14" x14ac:dyDescent="0.25">
      <c r="A32" s="16" t="s">
        <v>31</v>
      </c>
      <c r="B32" s="13">
        <f>9*1.25</f>
        <v>11.25</v>
      </c>
      <c r="C32" s="13">
        <v>11.25</v>
      </c>
      <c r="D32" s="13"/>
      <c r="E32" s="13"/>
      <c r="F32" s="13"/>
      <c r="G32" s="13"/>
      <c r="H32" s="13">
        <f t="shared" si="3"/>
        <v>25.832999999999998</v>
      </c>
      <c r="I32" s="13">
        <f t="shared" si="4"/>
        <v>54.832999999999998</v>
      </c>
      <c r="J32" s="14">
        <f t="shared" si="5"/>
        <v>80.665999999999997</v>
      </c>
      <c r="K32" s="15"/>
      <c r="L32" s="15"/>
      <c r="M32" s="15"/>
      <c r="N32" s="15"/>
    </row>
    <row r="33" spans="1:14" x14ac:dyDescent="0.25">
      <c r="A33" s="16" t="s">
        <v>32</v>
      </c>
      <c r="B33" s="13"/>
      <c r="C33" s="13"/>
      <c r="D33" s="13">
        <v>20</v>
      </c>
      <c r="E33" s="13">
        <v>9</v>
      </c>
      <c r="F33" s="13"/>
      <c r="G33" s="13"/>
      <c r="H33" s="13">
        <f t="shared" si="3"/>
        <v>5.8329999999999984</v>
      </c>
      <c r="I33" s="13">
        <f t="shared" si="4"/>
        <v>45.832999999999998</v>
      </c>
      <c r="J33" s="14">
        <f t="shared" si="5"/>
        <v>51.665999999999997</v>
      </c>
      <c r="K33" s="15"/>
      <c r="L33" s="15"/>
      <c r="M33" s="15"/>
      <c r="N33" s="15"/>
    </row>
    <row r="34" spans="1:14" x14ac:dyDescent="0.25">
      <c r="A34" s="16" t="s">
        <v>33</v>
      </c>
      <c r="B34" s="13">
        <f>3*1.25</f>
        <v>3.75</v>
      </c>
      <c r="C34" s="13">
        <v>3.75</v>
      </c>
      <c r="D34" s="13"/>
      <c r="E34" s="13"/>
      <c r="F34" s="13"/>
      <c r="G34" s="13"/>
      <c r="H34" s="13">
        <f t="shared" ref="H34:H37" si="6">H33-F34-D34+B34</f>
        <v>9.5829999999999984</v>
      </c>
      <c r="I34" s="13">
        <f t="shared" ref="I34:I37" si="7">I33-E34+C34</f>
        <v>49.582999999999998</v>
      </c>
      <c r="J34" s="14">
        <f t="shared" ref="J34:J37" si="8">SUM(H34:I34)</f>
        <v>59.165999999999997</v>
      </c>
      <c r="K34" s="15"/>
      <c r="L34" s="15"/>
      <c r="M34" s="15"/>
      <c r="N34" s="15"/>
    </row>
    <row r="35" spans="1:14" x14ac:dyDescent="0.25">
      <c r="A35" s="12" t="s">
        <v>69</v>
      </c>
      <c r="B35" s="13"/>
      <c r="C35" s="13"/>
      <c r="D35" s="13"/>
      <c r="E35" s="13"/>
      <c r="F35" s="13">
        <v>5</v>
      </c>
      <c r="G35" s="13"/>
      <c r="H35" s="13">
        <f t="shared" si="6"/>
        <v>4.5829999999999984</v>
      </c>
      <c r="I35" s="13">
        <f t="shared" si="7"/>
        <v>49.582999999999998</v>
      </c>
      <c r="J35" s="14">
        <f t="shared" si="8"/>
        <v>54.165999999999997</v>
      </c>
      <c r="K35" s="15"/>
      <c r="L35" s="15"/>
      <c r="M35" s="15"/>
      <c r="N35" s="15"/>
    </row>
    <row r="36" spans="1:14" x14ac:dyDescent="0.25">
      <c r="A36" s="16" t="s">
        <v>34</v>
      </c>
      <c r="B36" s="13">
        <v>1.25</v>
      </c>
      <c r="C36" s="13">
        <v>1.25</v>
      </c>
      <c r="D36" s="13"/>
      <c r="E36" s="13"/>
      <c r="F36" s="13"/>
      <c r="G36" s="13"/>
      <c r="H36" s="13">
        <f t="shared" si="6"/>
        <v>5.8329999999999984</v>
      </c>
      <c r="I36" s="13">
        <f t="shared" si="7"/>
        <v>50.832999999999998</v>
      </c>
      <c r="J36" s="14">
        <f t="shared" si="8"/>
        <v>56.665999999999997</v>
      </c>
      <c r="K36" s="15"/>
      <c r="L36" s="15"/>
      <c r="M36" s="15"/>
      <c r="N36" s="15"/>
    </row>
    <row r="37" spans="1:14" x14ac:dyDescent="0.25">
      <c r="A37" s="16" t="s">
        <v>35</v>
      </c>
      <c r="B37" s="13"/>
      <c r="C37" s="13"/>
      <c r="D37" s="13"/>
      <c r="E37" s="13"/>
      <c r="F37" s="13">
        <v>1</v>
      </c>
      <c r="G37" s="13"/>
      <c r="H37" s="13">
        <f t="shared" si="6"/>
        <v>4.8329999999999984</v>
      </c>
      <c r="I37" s="13">
        <f t="shared" si="7"/>
        <v>50.832999999999998</v>
      </c>
      <c r="J37" s="14">
        <f t="shared" si="8"/>
        <v>55.665999999999997</v>
      </c>
      <c r="K37" s="15"/>
      <c r="L37" s="15"/>
      <c r="M37" s="15"/>
      <c r="N37" s="15"/>
    </row>
    <row r="38" spans="1:14" x14ac:dyDescent="0.25">
      <c r="A38" s="16" t="s">
        <v>36</v>
      </c>
      <c r="B38" s="13">
        <f>3*1.25</f>
        <v>3.75</v>
      </c>
      <c r="C38" s="13">
        <v>3.75</v>
      </c>
      <c r="D38" s="13"/>
      <c r="E38" s="13"/>
      <c r="F38" s="13"/>
      <c r="G38" s="13"/>
      <c r="H38" s="13">
        <f t="shared" ref="H38:H42" si="9">H37-F38-D38+B38</f>
        <v>8.5829999999999984</v>
      </c>
      <c r="I38" s="13">
        <f t="shared" ref="I38:I42" si="10">I37-E38+C38</f>
        <v>54.582999999999998</v>
      </c>
      <c r="J38" s="14">
        <f t="shared" ref="J38:J42" si="11">SUM(H38:I38)</f>
        <v>63.165999999999997</v>
      </c>
      <c r="K38" s="15"/>
      <c r="L38" s="15"/>
      <c r="M38" s="15"/>
      <c r="N38" s="15"/>
    </row>
    <row r="39" spans="1:14" x14ac:dyDescent="0.25">
      <c r="A39" s="16" t="s">
        <v>37</v>
      </c>
      <c r="B39" s="13"/>
      <c r="C39" s="13"/>
      <c r="D39" s="13"/>
      <c r="E39" s="13"/>
      <c r="F39" s="13">
        <v>1</v>
      </c>
      <c r="G39" s="13"/>
      <c r="H39" s="13">
        <f t="shared" si="9"/>
        <v>7.5829999999999984</v>
      </c>
      <c r="I39" s="13">
        <f t="shared" si="10"/>
        <v>54.582999999999998</v>
      </c>
      <c r="J39" s="14">
        <f t="shared" si="11"/>
        <v>62.165999999999997</v>
      </c>
      <c r="K39" s="15"/>
      <c r="L39" s="15"/>
      <c r="M39" s="15"/>
      <c r="N39" s="15"/>
    </row>
    <row r="40" spans="1:14" x14ac:dyDescent="0.25">
      <c r="A40" s="16" t="s">
        <v>38</v>
      </c>
      <c r="B40" s="13">
        <f>6*1.25</f>
        <v>7.5</v>
      </c>
      <c r="C40" s="13">
        <v>7.5</v>
      </c>
      <c r="D40" s="13"/>
      <c r="E40" s="13"/>
      <c r="F40" s="13"/>
      <c r="G40" s="13"/>
      <c r="H40" s="13">
        <f t="shared" si="9"/>
        <v>15.082999999999998</v>
      </c>
      <c r="I40" s="13">
        <f t="shared" si="10"/>
        <v>62.082999999999998</v>
      </c>
      <c r="J40" s="14">
        <f t="shared" si="11"/>
        <v>77.165999999999997</v>
      </c>
      <c r="K40" s="15"/>
      <c r="L40" s="15"/>
      <c r="M40" s="15"/>
      <c r="N40" s="15"/>
    </row>
    <row r="41" spans="1:14" x14ac:dyDescent="0.25">
      <c r="A41" s="16" t="s">
        <v>39</v>
      </c>
      <c r="B41" s="13"/>
      <c r="C41" s="13"/>
      <c r="D41" s="13">
        <v>10</v>
      </c>
      <c r="E41" s="13">
        <v>19</v>
      </c>
      <c r="F41" s="13"/>
      <c r="G41" s="13"/>
      <c r="H41" s="13">
        <f t="shared" si="9"/>
        <v>5.0829999999999984</v>
      </c>
      <c r="I41" s="13">
        <f t="shared" si="10"/>
        <v>43.082999999999998</v>
      </c>
      <c r="J41" s="14">
        <f t="shared" si="11"/>
        <v>48.165999999999997</v>
      </c>
      <c r="K41" s="15"/>
      <c r="L41" s="15"/>
      <c r="M41" s="15"/>
      <c r="N41" s="15"/>
    </row>
    <row r="42" spans="1:14" x14ac:dyDescent="0.25">
      <c r="A42" s="16" t="s">
        <v>40</v>
      </c>
      <c r="B42" s="13">
        <v>1.25</v>
      </c>
      <c r="C42" s="13">
        <v>1.25</v>
      </c>
      <c r="D42" s="13"/>
      <c r="E42" s="13"/>
      <c r="F42" s="13"/>
      <c r="G42" s="13"/>
      <c r="H42" s="13">
        <f t="shared" si="9"/>
        <v>6.3329999999999984</v>
      </c>
      <c r="I42" s="13">
        <f t="shared" si="10"/>
        <v>44.332999999999998</v>
      </c>
      <c r="J42" s="14">
        <f t="shared" si="11"/>
        <v>50.665999999999997</v>
      </c>
      <c r="K42" s="15"/>
      <c r="L42" s="15"/>
      <c r="M42" s="15"/>
      <c r="N42" s="15"/>
    </row>
    <row r="43" spans="1:14" x14ac:dyDescent="0.25">
      <c r="A43" s="16" t="s">
        <v>41</v>
      </c>
      <c r="B43" s="13"/>
      <c r="C43" s="13"/>
      <c r="D43" s="13"/>
      <c r="E43" s="13"/>
      <c r="F43" s="13">
        <v>1</v>
      </c>
      <c r="G43" s="13"/>
      <c r="H43" s="13">
        <f t="shared" ref="H43:H46" si="12">H42-F43-D43+B43</f>
        <v>5.3329999999999984</v>
      </c>
      <c r="I43" s="13">
        <f t="shared" ref="I43:I46" si="13">I42-E43+C43</f>
        <v>44.332999999999998</v>
      </c>
      <c r="J43" s="14">
        <f t="shared" ref="J43:J46" si="14">SUM(H43:I43)</f>
        <v>49.665999999999997</v>
      </c>
      <c r="K43" s="15"/>
      <c r="L43" s="15"/>
      <c r="M43" s="15"/>
      <c r="N43" s="15"/>
    </row>
    <row r="44" spans="1:14" x14ac:dyDescent="0.25">
      <c r="A44" s="16" t="s">
        <v>42</v>
      </c>
      <c r="B44" s="13">
        <v>1.25</v>
      </c>
      <c r="C44" s="13">
        <v>1.25</v>
      </c>
      <c r="D44" s="13"/>
      <c r="E44" s="13"/>
      <c r="F44" s="13"/>
      <c r="G44" s="13"/>
      <c r="H44" s="13">
        <f t="shared" si="12"/>
        <v>6.5829999999999984</v>
      </c>
      <c r="I44" s="13">
        <f t="shared" si="13"/>
        <v>45.582999999999998</v>
      </c>
      <c r="J44" s="14">
        <f t="shared" si="14"/>
        <v>52.165999999999997</v>
      </c>
      <c r="K44" s="15"/>
      <c r="L44" s="15"/>
      <c r="M44" s="15"/>
      <c r="N44" s="15"/>
    </row>
    <row r="45" spans="1:14" x14ac:dyDescent="0.25">
      <c r="A45" s="16" t="s">
        <v>70</v>
      </c>
      <c r="B45" s="13"/>
      <c r="C45" s="13"/>
      <c r="D45" s="13"/>
      <c r="E45" s="13"/>
      <c r="F45" s="13">
        <v>2</v>
      </c>
      <c r="G45" s="13"/>
      <c r="H45" s="13">
        <f t="shared" si="12"/>
        <v>4.5829999999999984</v>
      </c>
      <c r="I45" s="13">
        <f t="shared" si="13"/>
        <v>45.582999999999998</v>
      </c>
      <c r="J45" s="14">
        <f t="shared" si="14"/>
        <v>50.165999999999997</v>
      </c>
      <c r="K45" s="15"/>
      <c r="L45" s="15"/>
      <c r="M45" s="15"/>
      <c r="N45" s="15"/>
    </row>
    <row r="46" spans="1:14" x14ac:dyDescent="0.25">
      <c r="A46" s="16" t="s">
        <v>43</v>
      </c>
      <c r="B46" s="13"/>
      <c r="C46" s="13"/>
      <c r="D46" s="13"/>
      <c r="E46" s="13"/>
      <c r="F46" s="21">
        <v>1</v>
      </c>
      <c r="G46" s="13"/>
      <c r="H46" s="13">
        <f t="shared" si="12"/>
        <v>3.5829999999999984</v>
      </c>
      <c r="I46" s="13">
        <f t="shared" si="13"/>
        <v>45.582999999999998</v>
      </c>
      <c r="J46" s="14">
        <f t="shared" si="14"/>
        <v>49.165999999999997</v>
      </c>
      <c r="K46" s="15"/>
      <c r="L46" s="15"/>
      <c r="M46" s="15"/>
      <c r="N46" s="15"/>
    </row>
    <row r="47" spans="1:14" x14ac:dyDescent="0.25">
      <c r="A47" s="16" t="s">
        <v>44</v>
      </c>
      <c r="B47" s="13">
        <v>2.5</v>
      </c>
      <c r="C47" s="13">
        <v>2.5</v>
      </c>
      <c r="D47" s="13"/>
      <c r="E47" s="13"/>
      <c r="F47" s="21"/>
      <c r="G47" s="13"/>
      <c r="H47" s="13">
        <f t="shared" ref="H47:H50" si="15">H46-F47-D47+B47</f>
        <v>6.0829999999999984</v>
      </c>
      <c r="I47" s="13">
        <f t="shared" ref="I47:I50" si="16">I46-E47+C47</f>
        <v>48.082999999999998</v>
      </c>
      <c r="J47" s="14">
        <f t="shared" ref="J47:J50" si="17">SUM(H47:I47)</f>
        <v>54.165999999999997</v>
      </c>
      <c r="K47" s="15"/>
      <c r="L47" s="15"/>
      <c r="M47" s="15"/>
      <c r="N47" s="15"/>
    </row>
    <row r="48" spans="1:14" x14ac:dyDescent="0.25">
      <c r="A48" s="16" t="s">
        <v>45</v>
      </c>
      <c r="B48" s="13"/>
      <c r="C48" s="13"/>
      <c r="D48" s="13"/>
      <c r="E48" s="13"/>
      <c r="F48" s="21">
        <v>1</v>
      </c>
      <c r="G48" s="13"/>
      <c r="H48" s="13">
        <f t="shared" si="15"/>
        <v>5.0829999999999984</v>
      </c>
      <c r="I48" s="13">
        <f t="shared" si="16"/>
        <v>48.082999999999998</v>
      </c>
      <c r="J48" s="14">
        <f t="shared" si="17"/>
        <v>53.165999999999997</v>
      </c>
      <c r="K48" s="15"/>
      <c r="L48" s="15"/>
      <c r="M48" s="15"/>
      <c r="N48" s="15"/>
    </row>
    <row r="49" spans="1:14" x14ac:dyDescent="0.25">
      <c r="A49" s="16" t="s">
        <v>46</v>
      </c>
      <c r="B49" s="13">
        <f>6*1.25</f>
        <v>7.5</v>
      </c>
      <c r="C49" s="13">
        <v>7.5</v>
      </c>
      <c r="D49" s="13"/>
      <c r="E49" s="13"/>
      <c r="F49" s="21"/>
      <c r="G49" s="13"/>
      <c r="H49" s="13">
        <f t="shared" si="15"/>
        <v>12.582999999999998</v>
      </c>
      <c r="I49" s="13">
        <f t="shared" si="16"/>
        <v>55.582999999999998</v>
      </c>
      <c r="J49" s="14">
        <f t="shared" si="17"/>
        <v>68.165999999999997</v>
      </c>
      <c r="K49" s="15"/>
      <c r="L49" s="15"/>
      <c r="M49" s="15"/>
      <c r="N49" s="15"/>
    </row>
    <row r="50" spans="1:14" x14ac:dyDescent="0.25">
      <c r="A50" s="16" t="s">
        <v>47</v>
      </c>
      <c r="B50" s="13"/>
      <c r="C50" s="13"/>
      <c r="D50" s="13">
        <v>5</v>
      </c>
      <c r="E50" s="13">
        <v>24</v>
      </c>
      <c r="F50" s="21"/>
      <c r="G50" s="13"/>
      <c r="H50" s="13">
        <f t="shared" si="15"/>
        <v>7.5829999999999984</v>
      </c>
      <c r="I50" s="13">
        <f t="shared" si="16"/>
        <v>31.582999999999998</v>
      </c>
      <c r="J50" s="14">
        <f t="shared" si="17"/>
        <v>39.165999999999997</v>
      </c>
      <c r="K50" s="15"/>
      <c r="L50" s="15"/>
      <c r="M50" s="15"/>
      <c r="N50" s="15"/>
    </row>
    <row r="51" spans="1:14" x14ac:dyDescent="0.25">
      <c r="A51" s="16" t="s">
        <v>48</v>
      </c>
      <c r="B51" s="13">
        <v>1.25</v>
      </c>
      <c r="C51" s="13">
        <v>1.25</v>
      </c>
      <c r="D51" s="13"/>
      <c r="E51" s="13"/>
      <c r="F51" s="21"/>
      <c r="G51" s="13"/>
      <c r="H51" s="13">
        <f t="shared" ref="H51:H52" si="18">H50-F51-D51+B51</f>
        <v>8.8329999999999984</v>
      </c>
      <c r="I51" s="13">
        <f t="shared" ref="I51:I52" si="19">I50-E51+C51</f>
        <v>32.832999999999998</v>
      </c>
      <c r="J51" s="14">
        <f t="shared" ref="J51:J54" si="20">SUM(H51:I51)</f>
        <v>41.665999999999997</v>
      </c>
      <c r="K51" s="15"/>
      <c r="L51" s="15"/>
      <c r="M51" s="15"/>
      <c r="N51" s="15"/>
    </row>
    <row r="52" spans="1:14" x14ac:dyDescent="0.25">
      <c r="A52" s="16" t="s">
        <v>49</v>
      </c>
      <c r="B52" s="13"/>
      <c r="C52" s="13"/>
      <c r="D52" s="13"/>
      <c r="E52" s="13"/>
      <c r="F52" s="21">
        <v>3</v>
      </c>
      <c r="G52" s="13"/>
      <c r="H52" s="13">
        <f t="shared" si="18"/>
        <v>5.8329999999999984</v>
      </c>
      <c r="I52" s="13">
        <f t="shared" si="19"/>
        <v>32.832999999999998</v>
      </c>
      <c r="J52" s="14">
        <f t="shared" si="20"/>
        <v>38.665999999999997</v>
      </c>
      <c r="K52" s="15"/>
      <c r="L52" s="15"/>
      <c r="M52" s="15"/>
      <c r="N52" s="15"/>
    </row>
    <row r="53" spans="1:14" x14ac:dyDescent="0.25">
      <c r="A53" s="16" t="s">
        <v>53</v>
      </c>
      <c r="B53" s="13">
        <v>3.75</v>
      </c>
      <c r="C53" s="13">
        <v>3.75</v>
      </c>
      <c r="D53" s="13"/>
      <c r="E53" s="13"/>
      <c r="F53" s="13"/>
      <c r="G53" s="13"/>
      <c r="H53" s="13">
        <f t="shared" ref="H53" si="21">H52-F53-D53+B53</f>
        <v>9.5829999999999984</v>
      </c>
      <c r="I53" s="13">
        <f t="shared" ref="I53" si="22">I52-E53+C53</f>
        <v>36.582999999999998</v>
      </c>
      <c r="J53" s="14">
        <f t="shared" si="20"/>
        <v>46.165999999999997</v>
      </c>
      <c r="K53" s="15"/>
      <c r="L53" s="15"/>
      <c r="M53" s="15"/>
      <c r="N53" s="15"/>
    </row>
    <row r="54" spans="1:14" x14ac:dyDescent="0.25">
      <c r="A54" s="16" t="s">
        <v>54</v>
      </c>
      <c r="B54" s="13">
        <v>8.75</v>
      </c>
      <c r="C54" s="13">
        <v>8.75</v>
      </c>
      <c r="D54" s="13"/>
      <c r="E54" s="13"/>
      <c r="F54" s="13"/>
      <c r="G54" s="13"/>
      <c r="H54" s="13">
        <f t="shared" ref="H54" si="23">H53-F54-D54+B54</f>
        <v>18.332999999999998</v>
      </c>
      <c r="I54" s="13">
        <f t="shared" ref="I54" si="24">I53-E54+C54</f>
        <v>45.332999999999998</v>
      </c>
      <c r="J54" s="14">
        <f t="shared" si="20"/>
        <v>63.665999999999997</v>
      </c>
      <c r="K54" s="15"/>
      <c r="L54" s="15"/>
      <c r="M54" s="15"/>
      <c r="N54" s="15"/>
    </row>
    <row r="55" spans="1:14" x14ac:dyDescent="0.25">
      <c r="A55" s="26" t="s">
        <v>55</v>
      </c>
      <c r="B55" s="21">
        <v>3.75</v>
      </c>
      <c r="C55" s="21">
        <v>3.75</v>
      </c>
      <c r="D55" s="21"/>
      <c r="E55" s="21"/>
      <c r="F55" s="21"/>
      <c r="G55" s="21"/>
      <c r="H55" s="13">
        <f t="shared" ref="H55:H58" si="25">H54-F55-D55+B55</f>
        <v>22.082999999999998</v>
      </c>
      <c r="I55" s="13">
        <f t="shared" ref="I55:I58" si="26">I54-E55+C55</f>
        <v>49.082999999999998</v>
      </c>
      <c r="J55" s="14">
        <f t="shared" ref="J55:J58" si="27">SUM(H55:I55)</f>
        <v>71.165999999999997</v>
      </c>
      <c r="K55" s="15"/>
      <c r="L55" s="15"/>
      <c r="M55" s="15"/>
      <c r="N55" s="15"/>
    </row>
    <row r="56" spans="1:14" x14ac:dyDescent="0.25">
      <c r="A56" s="26" t="s">
        <v>56</v>
      </c>
      <c r="B56" s="21"/>
      <c r="C56" s="21"/>
      <c r="D56" s="21"/>
      <c r="E56" s="21"/>
      <c r="F56" s="21">
        <v>1</v>
      </c>
      <c r="G56" s="21"/>
      <c r="H56" s="13">
        <f t="shared" si="25"/>
        <v>21.082999999999998</v>
      </c>
      <c r="I56" s="13">
        <f t="shared" si="26"/>
        <v>49.082999999999998</v>
      </c>
      <c r="J56" s="14">
        <f t="shared" si="27"/>
        <v>70.165999999999997</v>
      </c>
      <c r="K56" s="15"/>
      <c r="L56" s="15"/>
      <c r="M56" s="15"/>
      <c r="N56" s="15"/>
    </row>
    <row r="57" spans="1:14" x14ac:dyDescent="0.25">
      <c r="A57" s="26" t="s">
        <v>57</v>
      </c>
      <c r="B57" s="21"/>
      <c r="C57" s="21"/>
      <c r="D57" s="21"/>
      <c r="E57" s="21"/>
      <c r="F57" s="21">
        <v>1</v>
      </c>
      <c r="G57" s="21"/>
      <c r="H57" s="13">
        <f t="shared" si="25"/>
        <v>20.082999999999998</v>
      </c>
      <c r="I57" s="13">
        <f t="shared" si="26"/>
        <v>49.082999999999998</v>
      </c>
      <c r="J57" s="14">
        <f t="shared" si="27"/>
        <v>69.165999999999997</v>
      </c>
      <c r="K57" s="15"/>
      <c r="L57" s="15"/>
      <c r="M57" s="15"/>
      <c r="N57" s="15"/>
    </row>
    <row r="58" spans="1:14" x14ac:dyDescent="0.25">
      <c r="A58" s="26" t="s">
        <v>58</v>
      </c>
      <c r="B58" s="21"/>
      <c r="C58" s="21"/>
      <c r="D58" s="21"/>
      <c r="E58" s="21"/>
      <c r="F58" s="21"/>
      <c r="G58" s="21"/>
      <c r="H58" s="13">
        <f t="shared" si="25"/>
        <v>20.082999999999998</v>
      </c>
      <c r="I58" s="13">
        <f t="shared" si="26"/>
        <v>49.082999999999998</v>
      </c>
      <c r="J58" s="14">
        <f t="shared" si="27"/>
        <v>69.165999999999997</v>
      </c>
      <c r="K58" s="15"/>
      <c r="L58" s="15"/>
      <c r="M58" s="15"/>
      <c r="N58" s="15"/>
    </row>
    <row r="59" spans="1:14" x14ac:dyDescent="0.25">
      <c r="A59" s="26" t="s">
        <v>59</v>
      </c>
      <c r="B59" s="21">
        <v>1.25</v>
      </c>
      <c r="C59" s="21">
        <v>1.25</v>
      </c>
      <c r="D59" s="21"/>
      <c r="E59" s="21"/>
      <c r="F59" s="21"/>
      <c r="G59" s="21"/>
      <c r="H59" s="13">
        <f t="shared" ref="H59:H60" si="28">H58-F59-D59+B59</f>
        <v>21.332999999999998</v>
      </c>
      <c r="I59" s="13">
        <f t="shared" ref="I59:I60" si="29">I58-E59+C59</f>
        <v>50.332999999999998</v>
      </c>
      <c r="J59" s="14">
        <f t="shared" ref="J59:J60" si="30">SUM(H59:I59)</f>
        <v>71.665999999999997</v>
      </c>
      <c r="K59" s="15"/>
      <c r="L59" s="15"/>
      <c r="M59" s="15"/>
      <c r="N59" s="15"/>
    </row>
    <row r="60" spans="1:14" x14ac:dyDescent="0.25">
      <c r="A60" s="26" t="s">
        <v>72</v>
      </c>
      <c r="B60" s="21"/>
      <c r="C60" s="21"/>
      <c r="D60" s="21">
        <v>16.332999999999998</v>
      </c>
      <c r="E60" s="21">
        <v>13.667</v>
      </c>
      <c r="F60" s="21"/>
      <c r="G60" s="21"/>
      <c r="H60" s="13">
        <f t="shared" si="28"/>
        <v>5</v>
      </c>
      <c r="I60" s="13">
        <f t="shared" si="29"/>
        <v>36.665999999999997</v>
      </c>
      <c r="J60" s="14">
        <f t="shared" si="30"/>
        <v>41.665999999999997</v>
      </c>
      <c r="K60" s="15"/>
      <c r="L60" s="15"/>
      <c r="M60" s="15"/>
      <c r="N60" s="15"/>
    </row>
    <row r="61" spans="1:14" x14ac:dyDescent="0.25">
      <c r="A61" s="26" t="s">
        <v>61</v>
      </c>
      <c r="B61" s="21">
        <v>1.25</v>
      </c>
      <c r="C61" s="21">
        <v>1.25</v>
      </c>
      <c r="D61" s="21"/>
      <c r="E61" s="21"/>
      <c r="F61" s="21"/>
      <c r="G61" s="21"/>
      <c r="H61" s="13">
        <f t="shared" ref="H61:H63" si="31">H60-F61-D61+B61</f>
        <v>6.25</v>
      </c>
      <c r="I61" s="13">
        <f t="shared" ref="I61:I63" si="32">I60-E61+C61</f>
        <v>37.915999999999997</v>
      </c>
      <c r="J61" s="14">
        <f t="shared" ref="J61:J63" si="33">SUM(H61:I61)</f>
        <v>44.165999999999997</v>
      </c>
      <c r="K61" s="15"/>
      <c r="L61" s="15"/>
      <c r="M61" s="15"/>
      <c r="N61" s="15"/>
    </row>
    <row r="62" spans="1:14" x14ac:dyDescent="0.25">
      <c r="A62" s="26" t="s">
        <v>63</v>
      </c>
      <c r="B62" s="21"/>
      <c r="C62" s="21"/>
      <c r="D62" s="21"/>
      <c r="E62" s="21"/>
      <c r="F62" s="21">
        <v>3</v>
      </c>
      <c r="G62" s="21"/>
      <c r="H62" s="13">
        <f t="shared" si="31"/>
        <v>3.25</v>
      </c>
      <c r="I62" s="13">
        <f t="shared" si="32"/>
        <v>37.915999999999997</v>
      </c>
      <c r="J62" s="14">
        <f t="shared" si="33"/>
        <v>41.165999999999997</v>
      </c>
      <c r="K62" s="15"/>
      <c r="L62" s="15"/>
      <c r="M62" s="15"/>
      <c r="N62" s="15"/>
    </row>
    <row r="63" spans="1:14" x14ac:dyDescent="0.25">
      <c r="A63" s="26" t="s">
        <v>62</v>
      </c>
      <c r="B63" s="21">
        <v>6.25</v>
      </c>
      <c r="C63" s="21">
        <v>6.25</v>
      </c>
      <c r="D63" s="21"/>
      <c r="E63" s="21"/>
      <c r="F63" s="21"/>
      <c r="G63" s="21"/>
      <c r="H63" s="13">
        <f t="shared" si="31"/>
        <v>9.5</v>
      </c>
      <c r="I63" s="13">
        <f t="shared" si="32"/>
        <v>44.165999999999997</v>
      </c>
      <c r="J63" s="14">
        <f t="shared" si="33"/>
        <v>53.665999999999997</v>
      </c>
      <c r="K63" s="15"/>
      <c r="L63" s="15"/>
      <c r="M63" s="15"/>
      <c r="N63" s="15"/>
    </row>
    <row r="64" spans="1:14" x14ac:dyDescent="0.25">
      <c r="A64" s="26" t="s">
        <v>71</v>
      </c>
      <c r="B64" s="21"/>
      <c r="C64" s="21"/>
      <c r="D64" s="21"/>
      <c r="E64" s="21"/>
      <c r="F64" s="31">
        <v>1</v>
      </c>
      <c r="G64" s="21"/>
      <c r="H64" s="13">
        <f t="shared" ref="H64" si="34">H63-F64-D64+B64</f>
        <v>8.5</v>
      </c>
      <c r="I64" s="13">
        <f t="shared" ref="I64" si="35">I63-E64+C64</f>
        <v>44.165999999999997</v>
      </c>
      <c r="J64" s="14">
        <f t="shared" ref="J64" si="36">SUM(H64:I64)</f>
        <v>52.665999999999997</v>
      </c>
      <c r="K64" s="15"/>
      <c r="L64" s="15"/>
      <c r="M64" s="15"/>
      <c r="N64" s="15"/>
    </row>
    <row r="65" spans="1:14" x14ac:dyDescent="0.25">
      <c r="A65" s="48" t="s">
        <v>73</v>
      </c>
      <c r="B65" s="49">
        <v>3.75</v>
      </c>
      <c r="C65" s="49">
        <v>3.75</v>
      </c>
      <c r="D65" s="49"/>
      <c r="E65" s="49"/>
      <c r="F65" s="49"/>
      <c r="G65" s="49"/>
      <c r="H65" s="51">
        <f t="shared" ref="H65" si="37">H64-F65-D65+B65</f>
        <v>12.25</v>
      </c>
      <c r="I65" s="51">
        <f t="shared" ref="I65" si="38">I64-E65+C65</f>
        <v>47.915999999999997</v>
      </c>
      <c r="J65" s="52">
        <f t="shared" ref="J65" si="39">SUM(H65:I65)</f>
        <v>60.165999999999997</v>
      </c>
      <c r="K65" s="15"/>
      <c r="L65" s="15"/>
      <c r="M65" s="15"/>
      <c r="N65" s="15"/>
    </row>
    <row r="66" spans="1:14" x14ac:dyDescent="0.25">
      <c r="A66" s="48"/>
      <c r="B66" s="49"/>
      <c r="C66" s="49"/>
      <c r="D66" s="49"/>
      <c r="E66" s="49"/>
      <c r="F66" s="49"/>
      <c r="G66" s="49"/>
      <c r="H66" s="49"/>
      <c r="I66" s="49"/>
      <c r="J66" s="50"/>
      <c r="K66" s="15"/>
      <c r="L66" s="15"/>
      <c r="M66" s="15"/>
      <c r="N66" s="15"/>
    </row>
    <row r="67" spans="1:14" x14ac:dyDescent="0.25">
      <c r="A67" s="27"/>
      <c r="B67" s="28"/>
      <c r="C67" s="28"/>
      <c r="D67" s="28"/>
      <c r="E67" s="28"/>
      <c r="F67" s="28"/>
      <c r="G67" s="28"/>
      <c r="H67" s="28"/>
      <c r="I67" s="28"/>
      <c r="J67" s="29"/>
      <c r="K67" s="15"/>
      <c r="L67" s="15"/>
      <c r="M67" s="15"/>
      <c r="N67" s="15"/>
    </row>
    <row r="68" spans="1:14" x14ac:dyDescent="0.25">
      <c r="A68" s="23"/>
      <c r="B68" s="24"/>
      <c r="C68" s="24"/>
      <c r="D68" s="24"/>
      <c r="E68" s="24"/>
      <c r="F68" s="24"/>
      <c r="G68" s="24"/>
      <c r="H68" s="24"/>
      <c r="I68" s="24"/>
      <c r="J68" s="25"/>
      <c r="K68" s="15"/>
      <c r="L68" s="15"/>
      <c r="M68" s="15"/>
      <c r="N68" s="15"/>
    </row>
    <row r="69" spans="1:14" ht="14.25" customHeight="1" x14ac:dyDescent="0.25">
      <c r="B69" s="1"/>
      <c r="C69" s="1"/>
      <c r="D69" s="1"/>
      <c r="E69" s="1"/>
      <c r="F69" s="1"/>
      <c r="G69" s="1" t="s">
        <v>20</v>
      </c>
      <c r="H69" s="1"/>
      <c r="I69" s="1"/>
      <c r="J69" s="1"/>
      <c r="K69" s="1"/>
      <c r="L69" s="1"/>
      <c r="M69" s="1"/>
      <c r="N69" s="1"/>
    </row>
    <row r="70" spans="1:14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B71" s="1"/>
      <c r="C71" s="1"/>
      <c r="D71" s="1"/>
      <c r="E71" s="1"/>
      <c r="F71" s="1"/>
      <c r="G71"/>
      <c r="H71" s="22" t="s">
        <v>21</v>
      </c>
      <c r="I71" s="1"/>
      <c r="J71" s="20"/>
      <c r="K71" s="1"/>
      <c r="L71" s="1"/>
      <c r="M71" s="1"/>
      <c r="N71" s="1"/>
    </row>
    <row r="72" spans="1:14" x14ac:dyDescent="0.25">
      <c r="B72" s="1"/>
      <c r="C72" s="1"/>
      <c r="D72" s="1"/>
      <c r="E72" s="1"/>
      <c r="F72" s="1"/>
      <c r="G72"/>
      <c r="H72" s="1" t="s">
        <v>22</v>
      </c>
      <c r="I72" s="1"/>
      <c r="J72" s="1"/>
      <c r="K72" s="1"/>
      <c r="L72" s="1"/>
      <c r="M72" s="1"/>
      <c r="N72" s="1"/>
    </row>
    <row r="73" spans="1:14" x14ac:dyDescent="0.25">
      <c r="B73" s="1"/>
      <c r="C73" s="1"/>
      <c r="D73" s="1"/>
      <c r="E73" s="1"/>
      <c r="F73" s="1"/>
      <c r="G73"/>
      <c r="H73" s="1" t="s">
        <v>50</v>
      </c>
      <c r="I73" s="1"/>
      <c r="J73" s="1"/>
      <c r="K73" s="1"/>
      <c r="L73" s="1"/>
      <c r="M73" s="1"/>
      <c r="N73" s="1"/>
    </row>
    <row r="74" spans="1:14" x14ac:dyDescent="0.25">
      <c r="B74"/>
      <c r="C74"/>
      <c r="D74"/>
      <c r="E74"/>
      <c r="F74"/>
      <c r="G74"/>
      <c r="H74"/>
      <c r="I74"/>
    </row>
    <row r="75" spans="1:14" x14ac:dyDescent="0.25">
      <c r="B75"/>
      <c r="C75"/>
      <c r="D75"/>
      <c r="E75"/>
      <c r="F75"/>
      <c r="G75"/>
      <c r="H75"/>
      <c r="I75"/>
    </row>
    <row r="76" spans="1:14" x14ac:dyDescent="0.25">
      <c r="B76"/>
      <c r="C76"/>
      <c r="D76"/>
      <c r="E76"/>
      <c r="F76"/>
      <c r="G76"/>
      <c r="H76"/>
      <c r="I76"/>
    </row>
    <row r="77" spans="1:14" x14ac:dyDescent="0.25">
      <c r="B77"/>
      <c r="C77"/>
      <c r="D77"/>
      <c r="E77"/>
      <c r="F77"/>
      <c r="G77"/>
      <c r="H77"/>
      <c r="I77"/>
    </row>
    <row r="78" spans="1:14" x14ac:dyDescent="0.25">
      <c r="B78"/>
      <c r="C78"/>
      <c r="D78"/>
      <c r="E78"/>
      <c r="F78"/>
      <c r="G78"/>
      <c r="H78"/>
      <c r="I78"/>
    </row>
    <row r="79" spans="1:14" x14ac:dyDescent="0.25">
      <c r="B79"/>
      <c r="C79"/>
      <c r="D79"/>
      <c r="E79"/>
      <c r="F79"/>
      <c r="G79"/>
      <c r="H79"/>
      <c r="I79"/>
    </row>
    <row r="80" spans="1:14" x14ac:dyDescent="0.25">
      <c r="B80"/>
      <c r="C80"/>
      <c r="D80"/>
      <c r="E80"/>
      <c r="F80"/>
      <c r="G80"/>
      <c r="H80"/>
      <c r="I80"/>
    </row>
    <row r="81" spans="2:9" x14ac:dyDescent="0.25">
      <c r="B81"/>
      <c r="C81"/>
      <c r="D81"/>
      <c r="E81"/>
      <c r="F81"/>
      <c r="G81"/>
      <c r="H81"/>
      <c r="I81"/>
    </row>
    <row r="82" spans="2:9" x14ac:dyDescent="0.25">
      <c r="B82"/>
      <c r="C82"/>
      <c r="D82"/>
      <c r="E82"/>
      <c r="F82"/>
      <c r="G82"/>
      <c r="H82"/>
      <c r="I82"/>
    </row>
    <row r="83" spans="2:9" x14ac:dyDescent="0.25">
      <c r="B83"/>
      <c r="C83"/>
      <c r="D83"/>
      <c r="E83"/>
      <c r="F83"/>
      <c r="G83"/>
      <c r="H83"/>
      <c r="I83"/>
    </row>
    <row r="84" spans="2:9" x14ac:dyDescent="0.25">
      <c r="B84"/>
      <c r="C84"/>
      <c r="D84"/>
      <c r="E84"/>
      <c r="F84"/>
      <c r="G84"/>
      <c r="H84"/>
      <c r="I84"/>
    </row>
    <row r="85" spans="2:9" x14ac:dyDescent="0.25">
      <c r="B85"/>
      <c r="C85"/>
      <c r="D85"/>
      <c r="E85"/>
      <c r="F85"/>
      <c r="G85"/>
      <c r="H85"/>
      <c r="I85"/>
    </row>
    <row r="86" spans="2:9" x14ac:dyDescent="0.25">
      <c r="B86"/>
      <c r="C86"/>
      <c r="D86"/>
      <c r="E86"/>
      <c r="F86"/>
      <c r="G86"/>
      <c r="H86"/>
      <c r="I86"/>
    </row>
    <row r="87" spans="2:9" x14ac:dyDescent="0.25">
      <c r="B87"/>
      <c r="C87"/>
      <c r="D87"/>
      <c r="E87"/>
      <c r="F87"/>
      <c r="G87"/>
      <c r="H87"/>
      <c r="I87"/>
    </row>
    <row r="88" spans="2:9" x14ac:dyDescent="0.25">
      <c r="B88"/>
      <c r="C88"/>
      <c r="D88"/>
      <c r="E88"/>
      <c r="F88"/>
      <c r="G88"/>
      <c r="H88"/>
      <c r="I88"/>
    </row>
    <row r="89" spans="2:9" x14ac:dyDescent="0.25">
      <c r="B89"/>
      <c r="C89"/>
      <c r="D89"/>
      <c r="E89"/>
      <c r="F89"/>
      <c r="G89"/>
      <c r="H89"/>
      <c r="I89"/>
    </row>
    <row r="90" spans="2:9" x14ac:dyDescent="0.25">
      <c r="B90"/>
      <c r="C90"/>
      <c r="D90"/>
      <c r="E90"/>
      <c r="F90"/>
      <c r="G90"/>
      <c r="H90"/>
      <c r="I90"/>
    </row>
    <row r="91" spans="2:9" x14ac:dyDescent="0.25">
      <c r="B91"/>
      <c r="C91"/>
      <c r="D91"/>
      <c r="E91"/>
      <c r="F91"/>
      <c r="G91"/>
      <c r="H91"/>
      <c r="I91"/>
    </row>
    <row r="92" spans="2:9" x14ac:dyDescent="0.25">
      <c r="B92"/>
      <c r="C92"/>
      <c r="D92"/>
      <c r="E92"/>
      <c r="F92"/>
      <c r="G92"/>
      <c r="H92"/>
      <c r="I92"/>
    </row>
    <row r="93" spans="2:9" x14ac:dyDescent="0.25">
      <c r="B93"/>
      <c r="C93"/>
      <c r="D93"/>
      <c r="E93"/>
      <c r="F93"/>
      <c r="G93"/>
      <c r="H93"/>
      <c r="I93"/>
    </row>
    <row r="94" spans="2:9" x14ac:dyDescent="0.25">
      <c r="B94"/>
      <c r="C94"/>
      <c r="D94"/>
      <c r="E94"/>
      <c r="F94"/>
      <c r="G94"/>
      <c r="H94"/>
      <c r="I94"/>
    </row>
    <row r="95" spans="2:9" x14ac:dyDescent="0.25">
      <c r="B95"/>
      <c r="C95"/>
      <c r="D95"/>
      <c r="E95"/>
      <c r="F95"/>
      <c r="G95"/>
      <c r="H95"/>
      <c r="I95"/>
    </row>
    <row r="96" spans="2:9" x14ac:dyDescent="0.25">
      <c r="B96"/>
      <c r="C96"/>
      <c r="D96"/>
      <c r="E96"/>
      <c r="F96"/>
      <c r="G96"/>
      <c r="H96"/>
      <c r="I96"/>
    </row>
    <row r="97" spans="2:9" x14ac:dyDescent="0.25">
      <c r="B97"/>
      <c r="C97"/>
      <c r="D97"/>
      <c r="E97"/>
      <c r="F97"/>
      <c r="G97"/>
      <c r="H97"/>
      <c r="I97"/>
    </row>
    <row r="98" spans="2:9" x14ac:dyDescent="0.25">
      <c r="B98"/>
      <c r="C98"/>
      <c r="D98"/>
      <c r="E98"/>
      <c r="F98"/>
      <c r="G98"/>
      <c r="H98"/>
      <c r="I98"/>
    </row>
    <row r="99" spans="2:9" x14ac:dyDescent="0.25">
      <c r="B99"/>
      <c r="C99"/>
      <c r="D99"/>
      <c r="E99"/>
      <c r="F99"/>
      <c r="G99"/>
      <c r="H99"/>
      <c r="I99"/>
    </row>
    <row r="100" spans="2:9" x14ac:dyDescent="0.25">
      <c r="B100"/>
      <c r="C100"/>
      <c r="D100"/>
      <c r="E100"/>
      <c r="F100"/>
      <c r="G100"/>
      <c r="H100"/>
      <c r="I100"/>
    </row>
    <row r="101" spans="2:9" x14ac:dyDescent="0.25">
      <c r="B101"/>
      <c r="C101"/>
      <c r="D101"/>
      <c r="E101"/>
      <c r="F101"/>
      <c r="G101"/>
      <c r="H101"/>
      <c r="I101"/>
    </row>
    <row r="102" spans="2:9" x14ac:dyDescent="0.25">
      <c r="B102"/>
      <c r="C102"/>
      <c r="D102"/>
      <c r="E102"/>
      <c r="F102"/>
      <c r="G102"/>
      <c r="H102"/>
      <c r="I102"/>
    </row>
    <row r="103" spans="2:9" x14ac:dyDescent="0.25">
      <c r="B103"/>
      <c r="C103"/>
      <c r="D103"/>
      <c r="E103"/>
      <c r="F103"/>
      <c r="G103"/>
      <c r="H103"/>
      <c r="I103"/>
    </row>
    <row r="104" spans="2:9" x14ac:dyDescent="0.25">
      <c r="B104"/>
      <c r="C104"/>
      <c r="D104"/>
      <c r="E104"/>
      <c r="F104"/>
      <c r="G104"/>
      <c r="H104"/>
      <c r="I104"/>
    </row>
    <row r="105" spans="2:9" x14ac:dyDescent="0.25">
      <c r="B105"/>
      <c r="C105"/>
      <c r="D105"/>
      <c r="E105"/>
      <c r="F105"/>
      <c r="G105"/>
      <c r="H105"/>
      <c r="I105"/>
    </row>
    <row r="106" spans="2:9" x14ac:dyDescent="0.25">
      <c r="B106"/>
      <c r="C106"/>
      <c r="D106"/>
      <c r="E106"/>
      <c r="F106"/>
      <c r="G106"/>
      <c r="H106"/>
      <c r="I106"/>
    </row>
    <row r="107" spans="2:9" x14ac:dyDescent="0.25">
      <c r="B107"/>
      <c r="C107"/>
      <c r="D107"/>
      <c r="E107"/>
      <c r="F107"/>
      <c r="G107"/>
      <c r="H107"/>
      <c r="I107"/>
    </row>
    <row r="108" spans="2:9" x14ac:dyDescent="0.25">
      <c r="B108"/>
      <c r="C108"/>
      <c r="D108"/>
      <c r="E108"/>
      <c r="F108"/>
      <c r="G108"/>
      <c r="H108"/>
      <c r="I108"/>
    </row>
    <row r="109" spans="2:9" x14ac:dyDescent="0.25">
      <c r="B109"/>
      <c r="C109"/>
      <c r="D109"/>
      <c r="E109"/>
      <c r="F109"/>
      <c r="G109"/>
      <c r="H109"/>
      <c r="I109"/>
    </row>
    <row r="110" spans="2:9" x14ac:dyDescent="0.25">
      <c r="B110"/>
      <c r="C110"/>
      <c r="D110"/>
      <c r="E110"/>
      <c r="F110"/>
      <c r="G110"/>
      <c r="H110"/>
      <c r="I110"/>
    </row>
    <row r="111" spans="2:9" x14ac:dyDescent="0.25">
      <c r="B111"/>
      <c r="C111"/>
      <c r="D111"/>
      <c r="E111"/>
      <c r="F111"/>
      <c r="G111"/>
      <c r="H111"/>
      <c r="I111"/>
    </row>
    <row r="112" spans="2:9" x14ac:dyDescent="0.25">
      <c r="B112"/>
      <c r="C112"/>
      <c r="D112"/>
      <c r="E112"/>
      <c r="F112"/>
      <c r="G112"/>
      <c r="H112"/>
      <c r="I112"/>
    </row>
    <row r="113" spans="2:9" x14ac:dyDescent="0.25">
      <c r="B113"/>
      <c r="C113"/>
      <c r="D113"/>
      <c r="E113"/>
      <c r="F113"/>
      <c r="G113"/>
      <c r="H113"/>
      <c r="I113"/>
    </row>
    <row r="114" spans="2:9" x14ac:dyDescent="0.25">
      <c r="B114"/>
      <c r="C114"/>
      <c r="D114"/>
      <c r="E114"/>
      <c r="F114"/>
      <c r="G114"/>
      <c r="H114"/>
      <c r="I114"/>
    </row>
    <row r="115" spans="2:9" x14ac:dyDescent="0.25">
      <c r="B115"/>
      <c r="C115"/>
      <c r="D115"/>
      <c r="E115"/>
      <c r="F115"/>
      <c r="G115"/>
      <c r="H115"/>
      <c r="I115"/>
    </row>
    <row r="116" spans="2:9" x14ac:dyDescent="0.25">
      <c r="B116"/>
      <c r="C116"/>
      <c r="D116"/>
      <c r="E116"/>
      <c r="F116"/>
      <c r="G116"/>
      <c r="H116"/>
      <c r="I116"/>
    </row>
    <row r="117" spans="2:9" x14ac:dyDescent="0.25">
      <c r="B117"/>
      <c r="C117"/>
      <c r="D117"/>
      <c r="E117"/>
      <c r="F117"/>
      <c r="G117"/>
      <c r="H117"/>
      <c r="I117"/>
    </row>
    <row r="118" spans="2:9" x14ac:dyDescent="0.25">
      <c r="B118"/>
      <c r="C118"/>
      <c r="D118"/>
      <c r="E118"/>
      <c r="F118"/>
      <c r="G118"/>
      <c r="H118"/>
      <c r="I118"/>
    </row>
    <row r="119" spans="2:9" x14ac:dyDescent="0.25">
      <c r="B119"/>
      <c r="C119"/>
      <c r="D119"/>
      <c r="E119"/>
      <c r="F119"/>
      <c r="G119"/>
      <c r="H119"/>
      <c r="I119"/>
    </row>
    <row r="120" spans="2:9" x14ac:dyDescent="0.25">
      <c r="B120"/>
      <c r="C120"/>
      <c r="D120"/>
      <c r="E120"/>
      <c r="F120"/>
      <c r="G120"/>
      <c r="H120"/>
      <c r="I120"/>
    </row>
    <row r="121" spans="2:9" x14ac:dyDescent="0.25">
      <c r="B121"/>
      <c r="C121"/>
      <c r="D121"/>
      <c r="E121"/>
      <c r="F121"/>
      <c r="G121"/>
      <c r="H121"/>
      <c r="I121"/>
    </row>
    <row r="122" spans="2:9" x14ac:dyDescent="0.25">
      <c r="B122"/>
      <c r="C122"/>
      <c r="D122"/>
      <c r="E122"/>
      <c r="F122"/>
      <c r="G122"/>
      <c r="H122"/>
      <c r="I122"/>
    </row>
    <row r="123" spans="2:9" x14ac:dyDescent="0.25">
      <c r="B123"/>
      <c r="C123"/>
      <c r="D123"/>
      <c r="E123"/>
      <c r="F123"/>
      <c r="G123"/>
      <c r="H123"/>
      <c r="I123"/>
    </row>
    <row r="124" spans="2:9" x14ac:dyDescent="0.25">
      <c r="B124"/>
      <c r="C124"/>
      <c r="D124"/>
      <c r="E124"/>
      <c r="F124"/>
      <c r="G124"/>
      <c r="H124"/>
      <c r="I124"/>
    </row>
    <row r="125" spans="2:9" x14ac:dyDescent="0.25">
      <c r="B125"/>
      <c r="C125"/>
      <c r="D125"/>
      <c r="E125"/>
      <c r="F125"/>
      <c r="G125"/>
      <c r="H125"/>
      <c r="I125"/>
    </row>
    <row r="126" spans="2:9" x14ac:dyDescent="0.25">
      <c r="B126"/>
      <c r="C126"/>
      <c r="D126"/>
      <c r="E126"/>
      <c r="F126"/>
      <c r="G126"/>
      <c r="H126"/>
      <c r="I126"/>
    </row>
    <row r="127" spans="2:9" x14ac:dyDescent="0.25">
      <c r="B127"/>
      <c r="C127"/>
      <c r="D127"/>
      <c r="E127"/>
      <c r="F127"/>
      <c r="G127"/>
      <c r="H127"/>
      <c r="I127"/>
    </row>
    <row r="128" spans="2:9" x14ac:dyDescent="0.25">
      <c r="B128"/>
      <c r="C128"/>
      <c r="D128"/>
      <c r="E128"/>
      <c r="F128"/>
      <c r="G128"/>
      <c r="H128"/>
      <c r="I128"/>
    </row>
    <row r="129" spans="2:9" x14ac:dyDescent="0.25">
      <c r="B129"/>
      <c r="C129"/>
      <c r="D129"/>
      <c r="E129"/>
      <c r="F129"/>
      <c r="G129"/>
      <c r="H129"/>
      <c r="I129"/>
    </row>
    <row r="130" spans="2:9" x14ac:dyDescent="0.25">
      <c r="B130"/>
      <c r="C130"/>
      <c r="D130"/>
      <c r="E130"/>
      <c r="F130"/>
      <c r="G130"/>
      <c r="H130"/>
      <c r="I130"/>
    </row>
    <row r="131" spans="2:9" x14ac:dyDescent="0.25">
      <c r="B131"/>
      <c r="C131"/>
      <c r="D131"/>
      <c r="E131"/>
      <c r="F131"/>
      <c r="G131"/>
      <c r="H131"/>
      <c r="I131"/>
    </row>
    <row r="132" spans="2:9" x14ac:dyDescent="0.25">
      <c r="B132"/>
      <c r="C132"/>
      <c r="D132"/>
      <c r="E132"/>
      <c r="F132"/>
      <c r="G132"/>
      <c r="H132"/>
      <c r="I132"/>
    </row>
    <row r="133" spans="2:9" x14ac:dyDescent="0.25">
      <c r="B133"/>
      <c r="C133"/>
      <c r="D133"/>
      <c r="E133"/>
      <c r="F133"/>
      <c r="G133"/>
      <c r="H133"/>
      <c r="I133"/>
    </row>
    <row r="134" spans="2:9" x14ac:dyDescent="0.25">
      <c r="B134"/>
      <c r="C134"/>
      <c r="D134"/>
      <c r="E134"/>
      <c r="F134"/>
      <c r="G134"/>
      <c r="H134"/>
      <c r="I134"/>
    </row>
    <row r="135" spans="2:9" x14ac:dyDescent="0.25">
      <c r="B135"/>
      <c r="C135"/>
      <c r="D135"/>
      <c r="E135"/>
      <c r="F135"/>
      <c r="G135"/>
      <c r="H135"/>
      <c r="I135"/>
    </row>
    <row r="136" spans="2:9" x14ac:dyDescent="0.25">
      <c r="B136"/>
      <c r="C136"/>
      <c r="D136"/>
      <c r="E136"/>
      <c r="F136"/>
      <c r="G136"/>
      <c r="H136"/>
      <c r="I136"/>
    </row>
    <row r="137" spans="2:9" x14ac:dyDescent="0.25">
      <c r="B137"/>
      <c r="C137"/>
      <c r="D137"/>
      <c r="E137"/>
      <c r="F137"/>
      <c r="G137"/>
      <c r="H137"/>
      <c r="I137"/>
    </row>
    <row r="138" spans="2:9" x14ac:dyDescent="0.25">
      <c r="B138"/>
      <c r="C138"/>
      <c r="D138"/>
      <c r="E138"/>
      <c r="F138"/>
      <c r="G138"/>
      <c r="H138"/>
      <c r="I138"/>
    </row>
    <row r="139" spans="2:9" x14ac:dyDescent="0.25">
      <c r="B139"/>
      <c r="C139"/>
      <c r="D139"/>
      <c r="E139"/>
      <c r="F139"/>
      <c r="G139"/>
      <c r="H139"/>
      <c r="I139"/>
    </row>
    <row r="140" spans="2:9" x14ac:dyDescent="0.25">
      <c r="B140"/>
      <c r="C140"/>
      <c r="D140"/>
      <c r="E140"/>
      <c r="F140"/>
      <c r="G140"/>
      <c r="H140"/>
      <c r="I140"/>
    </row>
    <row r="141" spans="2:9" x14ac:dyDescent="0.25">
      <c r="B141"/>
      <c r="C141"/>
      <c r="D141"/>
      <c r="E141"/>
      <c r="F141"/>
      <c r="G141"/>
      <c r="H141"/>
      <c r="I141"/>
    </row>
    <row r="142" spans="2:9" x14ac:dyDescent="0.25">
      <c r="B142"/>
      <c r="C142"/>
      <c r="D142"/>
      <c r="E142"/>
      <c r="F142"/>
      <c r="G142"/>
      <c r="H142"/>
      <c r="I142"/>
    </row>
    <row r="143" spans="2:9" x14ac:dyDescent="0.25">
      <c r="B143"/>
      <c r="C143"/>
      <c r="D143"/>
      <c r="E143"/>
      <c r="F143"/>
      <c r="G143"/>
      <c r="H143"/>
      <c r="I143"/>
    </row>
    <row r="144" spans="2:9" x14ac:dyDescent="0.25">
      <c r="B144"/>
      <c r="C144"/>
      <c r="D144"/>
      <c r="E144"/>
      <c r="F144"/>
      <c r="G144"/>
      <c r="H144"/>
      <c r="I144"/>
    </row>
    <row r="145" spans="2:9" x14ac:dyDescent="0.25">
      <c r="B145"/>
      <c r="C145"/>
      <c r="D145"/>
      <c r="E145"/>
      <c r="F145"/>
      <c r="G145"/>
      <c r="H145"/>
      <c r="I145"/>
    </row>
    <row r="146" spans="2:9" x14ac:dyDescent="0.25">
      <c r="B146"/>
      <c r="C146"/>
      <c r="D146"/>
      <c r="E146"/>
      <c r="F146"/>
      <c r="G146"/>
      <c r="H146"/>
      <c r="I146"/>
    </row>
    <row r="147" spans="2:9" x14ac:dyDescent="0.25">
      <c r="B147"/>
      <c r="C147"/>
      <c r="D147"/>
      <c r="E147"/>
      <c r="F147"/>
      <c r="G147"/>
      <c r="H147"/>
      <c r="I147"/>
    </row>
    <row r="148" spans="2:9" x14ac:dyDescent="0.25">
      <c r="B148"/>
      <c r="C148"/>
      <c r="D148"/>
      <c r="E148"/>
      <c r="F148"/>
      <c r="G148"/>
      <c r="H148"/>
      <c r="I148"/>
    </row>
    <row r="149" spans="2:9" x14ac:dyDescent="0.25">
      <c r="B149"/>
      <c r="C149"/>
      <c r="D149"/>
      <c r="E149"/>
      <c r="F149"/>
      <c r="G149"/>
      <c r="H149"/>
      <c r="I149"/>
    </row>
    <row r="150" spans="2:9" x14ac:dyDescent="0.25">
      <c r="B150"/>
      <c r="C150"/>
      <c r="D150"/>
      <c r="E150"/>
      <c r="F150"/>
      <c r="G150"/>
      <c r="H150"/>
      <c r="I150"/>
    </row>
    <row r="151" spans="2:9" x14ac:dyDescent="0.25">
      <c r="B151"/>
      <c r="C151"/>
      <c r="D151"/>
      <c r="E151"/>
      <c r="F151"/>
      <c r="G151"/>
      <c r="H151"/>
      <c r="I151"/>
    </row>
    <row r="152" spans="2:9" x14ac:dyDescent="0.25">
      <c r="B152"/>
      <c r="C152"/>
      <c r="D152"/>
      <c r="E152"/>
      <c r="F152"/>
      <c r="G152"/>
      <c r="H152"/>
      <c r="I152"/>
    </row>
    <row r="153" spans="2:9" x14ac:dyDescent="0.25">
      <c r="B153"/>
      <c r="C153"/>
      <c r="D153"/>
      <c r="E153"/>
      <c r="F153"/>
      <c r="G153"/>
      <c r="H153"/>
      <c r="I153"/>
    </row>
    <row r="154" spans="2:9" x14ac:dyDescent="0.25">
      <c r="B154"/>
      <c r="C154"/>
      <c r="D154"/>
      <c r="E154"/>
      <c r="F154"/>
      <c r="G154"/>
      <c r="H154"/>
      <c r="I154"/>
    </row>
    <row r="155" spans="2:9" x14ac:dyDescent="0.25">
      <c r="B155"/>
      <c r="C155"/>
      <c r="D155"/>
      <c r="E155"/>
      <c r="F155"/>
      <c r="G155"/>
      <c r="H155"/>
      <c r="I155"/>
    </row>
    <row r="156" spans="2:9" x14ac:dyDescent="0.25">
      <c r="B156"/>
      <c r="C156"/>
      <c r="D156"/>
      <c r="E156"/>
      <c r="F156"/>
      <c r="G156"/>
      <c r="H156"/>
      <c r="I156"/>
    </row>
    <row r="157" spans="2:9" x14ac:dyDescent="0.25">
      <c r="B157"/>
      <c r="C157"/>
      <c r="D157"/>
      <c r="E157"/>
      <c r="F157"/>
      <c r="G157"/>
      <c r="H157"/>
      <c r="I157"/>
    </row>
    <row r="158" spans="2:9" x14ac:dyDescent="0.25">
      <c r="B158"/>
      <c r="C158"/>
      <c r="D158"/>
      <c r="E158"/>
      <c r="F158"/>
      <c r="G158"/>
      <c r="H158"/>
      <c r="I158"/>
    </row>
    <row r="159" spans="2:9" x14ac:dyDescent="0.25">
      <c r="B159"/>
      <c r="C159"/>
      <c r="D159"/>
      <c r="E159"/>
      <c r="F159"/>
      <c r="G159"/>
      <c r="H159"/>
      <c r="I159"/>
    </row>
    <row r="160" spans="2:9" x14ac:dyDescent="0.25">
      <c r="B160"/>
      <c r="C160"/>
      <c r="D160"/>
      <c r="E160"/>
      <c r="F160"/>
      <c r="G160"/>
      <c r="H160"/>
      <c r="I160"/>
    </row>
    <row r="161" spans="2:9" x14ac:dyDescent="0.25">
      <c r="B161"/>
      <c r="C161"/>
      <c r="D161"/>
      <c r="E161"/>
      <c r="F161"/>
      <c r="G161"/>
      <c r="H161"/>
      <c r="I161"/>
    </row>
    <row r="162" spans="2:9" x14ac:dyDescent="0.25">
      <c r="B162"/>
      <c r="C162"/>
      <c r="D162"/>
      <c r="E162"/>
      <c r="F162"/>
      <c r="G162"/>
      <c r="H162"/>
      <c r="I162"/>
    </row>
    <row r="163" spans="2:9" x14ac:dyDescent="0.25">
      <c r="B163"/>
      <c r="C163"/>
      <c r="D163"/>
      <c r="E163"/>
      <c r="F163"/>
      <c r="G163"/>
      <c r="H163"/>
      <c r="I163"/>
    </row>
    <row r="164" spans="2:9" x14ac:dyDescent="0.25">
      <c r="B164"/>
      <c r="C164"/>
      <c r="D164"/>
      <c r="E164"/>
      <c r="F164"/>
      <c r="G164"/>
      <c r="H164"/>
      <c r="I164"/>
    </row>
    <row r="165" spans="2:9" x14ac:dyDescent="0.25">
      <c r="B165"/>
      <c r="C165"/>
      <c r="D165"/>
      <c r="E165"/>
      <c r="F165"/>
      <c r="G165"/>
      <c r="H165"/>
      <c r="I165"/>
    </row>
    <row r="166" spans="2:9" x14ac:dyDescent="0.25">
      <c r="B166"/>
      <c r="C166"/>
      <c r="D166"/>
      <c r="E166"/>
      <c r="F166"/>
      <c r="G166"/>
      <c r="H166"/>
      <c r="I166"/>
    </row>
    <row r="167" spans="2:9" x14ac:dyDescent="0.25">
      <c r="B167"/>
      <c r="C167"/>
      <c r="D167"/>
      <c r="E167"/>
      <c r="F167"/>
      <c r="G167"/>
      <c r="H167"/>
      <c r="I167"/>
    </row>
    <row r="168" spans="2:9" x14ac:dyDescent="0.25">
      <c r="B168"/>
      <c r="C168"/>
      <c r="D168"/>
      <c r="E168"/>
      <c r="F168"/>
      <c r="G168"/>
      <c r="H168"/>
      <c r="I168"/>
    </row>
    <row r="169" spans="2:9" x14ac:dyDescent="0.25">
      <c r="B169"/>
      <c r="C169"/>
      <c r="D169"/>
      <c r="E169"/>
      <c r="F169"/>
      <c r="G169"/>
      <c r="H169"/>
      <c r="I169"/>
    </row>
    <row r="170" spans="2:9" x14ac:dyDescent="0.25">
      <c r="B170"/>
      <c r="C170"/>
      <c r="D170"/>
      <c r="E170"/>
      <c r="F170"/>
      <c r="G170"/>
      <c r="H170"/>
      <c r="I170"/>
    </row>
    <row r="171" spans="2:9" x14ac:dyDescent="0.25">
      <c r="B171"/>
      <c r="C171"/>
      <c r="D171"/>
      <c r="E171"/>
      <c r="F171"/>
      <c r="G171"/>
      <c r="H171"/>
      <c r="I171"/>
    </row>
    <row r="172" spans="2:9" x14ac:dyDescent="0.25">
      <c r="B172"/>
      <c r="C172"/>
      <c r="D172"/>
      <c r="E172"/>
      <c r="F172"/>
      <c r="G172"/>
      <c r="H172"/>
      <c r="I172"/>
    </row>
    <row r="173" spans="2:9" x14ac:dyDescent="0.25">
      <c r="B173"/>
      <c r="C173"/>
      <c r="D173"/>
      <c r="E173"/>
      <c r="F173"/>
      <c r="G173"/>
      <c r="H173"/>
      <c r="I173"/>
    </row>
    <row r="174" spans="2:9" x14ac:dyDescent="0.25">
      <c r="B174"/>
      <c r="C174"/>
      <c r="D174"/>
      <c r="E174"/>
      <c r="F174"/>
      <c r="G174"/>
      <c r="H174"/>
      <c r="I174"/>
    </row>
    <row r="175" spans="2:9" x14ac:dyDescent="0.25">
      <c r="B175"/>
      <c r="C175"/>
      <c r="D175"/>
      <c r="E175"/>
      <c r="F175"/>
      <c r="G175"/>
      <c r="H175"/>
      <c r="I175"/>
    </row>
    <row r="176" spans="2:9" x14ac:dyDescent="0.25">
      <c r="B176"/>
      <c r="C176"/>
      <c r="D176"/>
      <c r="E176"/>
      <c r="F176"/>
      <c r="G176"/>
      <c r="H176"/>
      <c r="I176"/>
    </row>
    <row r="177" spans="2:9" x14ac:dyDescent="0.25">
      <c r="B177"/>
      <c r="C177"/>
      <c r="D177"/>
      <c r="E177"/>
      <c r="F177"/>
      <c r="G177"/>
      <c r="H177"/>
      <c r="I177"/>
    </row>
    <row r="178" spans="2:9" x14ac:dyDescent="0.25">
      <c r="B178"/>
      <c r="C178"/>
      <c r="D178"/>
      <c r="E178"/>
      <c r="F178"/>
      <c r="G178"/>
      <c r="H178"/>
      <c r="I178"/>
    </row>
    <row r="179" spans="2:9" x14ac:dyDescent="0.25">
      <c r="B179"/>
      <c r="C179"/>
      <c r="D179"/>
      <c r="E179"/>
      <c r="F179"/>
      <c r="G179"/>
      <c r="H179"/>
      <c r="I179"/>
    </row>
    <row r="180" spans="2:9" x14ac:dyDescent="0.25">
      <c r="B180"/>
      <c r="C180"/>
      <c r="D180"/>
      <c r="E180"/>
      <c r="F180"/>
      <c r="G180"/>
      <c r="H180"/>
      <c r="I180"/>
    </row>
    <row r="181" spans="2:9" x14ac:dyDescent="0.25">
      <c r="B181"/>
      <c r="C181"/>
      <c r="D181"/>
      <c r="E181"/>
      <c r="F181"/>
      <c r="G181"/>
      <c r="H181"/>
      <c r="I181"/>
    </row>
    <row r="182" spans="2:9" x14ac:dyDescent="0.25">
      <c r="B182"/>
      <c r="C182"/>
      <c r="D182"/>
      <c r="E182"/>
      <c r="F182"/>
      <c r="G182"/>
      <c r="H182"/>
      <c r="I182"/>
    </row>
    <row r="183" spans="2:9" x14ac:dyDescent="0.25">
      <c r="B183"/>
      <c r="C183"/>
      <c r="D183"/>
      <c r="E183"/>
      <c r="F183"/>
      <c r="G183"/>
      <c r="H183"/>
      <c r="I183"/>
    </row>
    <row r="184" spans="2:9" x14ac:dyDescent="0.25">
      <c r="B184"/>
      <c r="C184"/>
      <c r="D184"/>
      <c r="E184"/>
      <c r="F184"/>
      <c r="G184"/>
      <c r="H184"/>
      <c r="I184"/>
    </row>
    <row r="185" spans="2:9" x14ac:dyDescent="0.25">
      <c r="B185"/>
      <c r="C185"/>
      <c r="D185"/>
      <c r="E185"/>
      <c r="F185"/>
      <c r="G185"/>
      <c r="H185"/>
      <c r="I185"/>
    </row>
    <row r="186" spans="2:9" x14ac:dyDescent="0.25">
      <c r="B186"/>
      <c r="C186"/>
      <c r="D186"/>
      <c r="E186"/>
      <c r="F186"/>
      <c r="G186"/>
      <c r="H186"/>
      <c r="I186"/>
    </row>
    <row r="187" spans="2:9" x14ac:dyDescent="0.25">
      <c r="B187"/>
      <c r="C187"/>
      <c r="D187"/>
      <c r="E187"/>
      <c r="F187"/>
      <c r="G187"/>
      <c r="H187"/>
      <c r="I187"/>
    </row>
    <row r="188" spans="2:9" x14ac:dyDescent="0.25">
      <c r="B188"/>
      <c r="C188"/>
      <c r="D188"/>
      <c r="E188"/>
      <c r="F188"/>
      <c r="G188"/>
      <c r="H188"/>
      <c r="I188"/>
    </row>
    <row r="189" spans="2:9" x14ac:dyDescent="0.25">
      <c r="B189"/>
      <c r="C189"/>
      <c r="D189"/>
      <c r="E189"/>
      <c r="F189"/>
      <c r="G189"/>
      <c r="H189"/>
      <c r="I189"/>
    </row>
    <row r="190" spans="2:9" x14ac:dyDescent="0.25">
      <c r="B190"/>
      <c r="C190"/>
      <c r="D190"/>
      <c r="E190"/>
      <c r="F190"/>
      <c r="G190"/>
      <c r="H190"/>
      <c r="I190"/>
    </row>
    <row r="191" spans="2:9" x14ac:dyDescent="0.25">
      <c r="B191"/>
      <c r="C191"/>
      <c r="D191"/>
      <c r="E191"/>
      <c r="F191"/>
      <c r="G191"/>
      <c r="H191"/>
      <c r="I191"/>
    </row>
    <row r="192" spans="2:9" x14ac:dyDescent="0.25">
      <c r="B192"/>
      <c r="C192"/>
      <c r="D192"/>
      <c r="E192"/>
      <c r="F192"/>
      <c r="G192"/>
      <c r="H192"/>
      <c r="I192"/>
    </row>
    <row r="193" spans="2:9" x14ac:dyDescent="0.25">
      <c r="B193"/>
      <c r="C193"/>
      <c r="D193"/>
      <c r="E193"/>
      <c r="F193"/>
      <c r="G193"/>
      <c r="H193"/>
      <c r="I193"/>
    </row>
    <row r="194" spans="2:9" x14ac:dyDescent="0.25">
      <c r="B194"/>
      <c r="C194"/>
      <c r="D194"/>
      <c r="E194"/>
      <c r="F194"/>
      <c r="G194"/>
      <c r="H194"/>
      <c r="I194"/>
    </row>
    <row r="195" spans="2:9" x14ac:dyDescent="0.25">
      <c r="B195"/>
      <c r="C195"/>
      <c r="D195"/>
      <c r="E195"/>
      <c r="F195"/>
      <c r="G195"/>
      <c r="H195"/>
      <c r="I195"/>
    </row>
    <row r="196" spans="2:9" x14ac:dyDescent="0.25">
      <c r="B196"/>
      <c r="C196"/>
      <c r="D196"/>
      <c r="E196"/>
      <c r="F196"/>
      <c r="G196"/>
      <c r="H196"/>
      <c r="I196"/>
    </row>
    <row r="197" spans="2:9" x14ac:dyDescent="0.25">
      <c r="B197"/>
      <c r="C197"/>
      <c r="D197"/>
      <c r="E197"/>
      <c r="F197"/>
      <c r="G197"/>
      <c r="H197"/>
      <c r="I197"/>
    </row>
    <row r="198" spans="2:9" x14ac:dyDescent="0.25">
      <c r="B198"/>
      <c r="C198"/>
      <c r="D198"/>
      <c r="E198"/>
      <c r="F198"/>
      <c r="G198"/>
      <c r="H198"/>
      <c r="I198"/>
    </row>
    <row r="199" spans="2:9" x14ac:dyDescent="0.25">
      <c r="B199"/>
      <c r="C199"/>
      <c r="D199"/>
      <c r="E199"/>
      <c r="F199"/>
      <c r="G199"/>
      <c r="H199"/>
      <c r="I199"/>
    </row>
    <row r="200" spans="2:9" x14ac:dyDescent="0.25">
      <c r="B200"/>
      <c r="C200"/>
      <c r="D200"/>
      <c r="E200"/>
      <c r="F200"/>
      <c r="G200"/>
      <c r="H200"/>
      <c r="I200"/>
    </row>
    <row r="201" spans="2:9" x14ac:dyDescent="0.25">
      <c r="B201"/>
      <c r="C201"/>
      <c r="D201"/>
      <c r="E201"/>
      <c r="F201"/>
      <c r="G201"/>
      <c r="H201"/>
      <c r="I201"/>
    </row>
    <row r="202" spans="2:9" x14ac:dyDescent="0.25">
      <c r="B202"/>
      <c r="C202"/>
      <c r="D202"/>
      <c r="E202"/>
      <c r="F202"/>
      <c r="G202"/>
      <c r="H202"/>
      <c r="I202"/>
    </row>
    <row r="203" spans="2:9" x14ac:dyDescent="0.25">
      <c r="B203"/>
      <c r="C203"/>
      <c r="D203"/>
      <c r="E203"/>
      <c r="F203"/>
      <c r="G203"/>
      <c r="H203"/>
      <c r="I203"/>
    </row>
    <row r="204" spans="2:9" x14ac:dyDescent="0.25">
      <c r="B204"/>
      <c r="C204"/>
      <c r="D204"/>
      <c r="E204"/>
      <c r="F204"/>
      <c r="G204"/>
      <c r="H204"/>
      <c r="I204"/>
    </row>
    <row r="205" spans="2:9" x14ac:dyDescent="0.25">
      <c r="B205"/>
      <c r="C205"/>
      <c r="D205"/>
      <c r="E205"/>
      <c r="F205"/>
      <c r="G205"/>
      <c r="H205"/>
      <c r="I205"/>
    </row>
    <row r="206" spans="2:9" x14ac:dyDescent="0.25">
      <c r="B206"/>
      <c r="C206"/>
      <c r="D206"/>
      <c r="E206"/>
      <c r="F206"/>
      <c r="G206"/>
      <c r="H206"/>
      <c r="I206"/>
    </row>
    <row r="207" spans="2:9" x14ac:dyDescent="0.25">
      <c r="B207"/>
      <c r="C207"/>
      <c r="D207"/>
      <c r="E207"/>
      <c r="F207"/>
      <c r="G207"/>
      <c r="H207"/>
      <c r="I207"/>
    </row>
    <row r="208" spans="2:9" x14ac:dyDescent="0.25">
      <c r="B208"/>
      <c r="C208"/>
      <c r="D208"/>
      <c r="E208"/>
      <c r="F208"/>
      <c r="G208"/>
      <c r="H208"/>
      <c r="I208"/>
    </row>
    <row r="209" spans="2:9" x14ac:dyDescent="0.25">
      <c r="B209"/>
      <c r="C209"/>
      <c r="D209"/>
      <c r="E209"/>
      <c r="F209"/>
      <c r="G209"/>
      <c r="H209"/>
      <c r="I209"/>
    </row>
    <row r="210" spans="2:9" x14ac:dyDescent="0.25">
      <c r="B210"/>
      <c r="C210"/>
      <c r="D210"/>
      <c r="E210"/>
      <c r="F210"/>
      <c r="G210"/>
      <c r="H210"/>
      <c r="I210"/>
    </row>
    <row r="211" spans="2:9" x14ac:dyDescent="0.25">
      <c r="B211"/>
      <c r="C211"/>
      <c r="D211"/>
      <c r="E211"/>
      <c r="F211"/>
      <c r="G211"/>
      <c r="H211"/>
      <c r="I211"/>
    </row>
    <row r="212" spans="2:9" x14ac:dyDescent="0.25">
      <c r="B212"/>
      <c r="C212"/>
      <c r="D212"/>
      <c r="E212"/>
      <c r="F212"/>
      <c r="G212"/>
      <c r="H212"/>
      <c r="I212"/>
    </row>
    <row r="213" spans="2:9" x14ac:dyDescent="0.25">
      <c r="B213"/>
      <c r="C213"/>
      <c r="D213"/>
      <c r="E213"/>
      <c r="F213"/>
      <c r="G213"/>
      <c r="H213"/>
      <c r="I213"/>
    </row>
    <row r="214" spans="2:9" x14ac:dyDescent="0.25">
      <c r="B214"/>
      <c r="C214"/>
      <c r="D214"/>
      <c r="E214"/>
      <c r="F214"/>
      <c r="G214"/>
      <c r="H214"/>
      <c r="I214"/>
    </row>
    <row r="215" spans="2:9" x14ac:dyDescent="0.25">
      <c r="B215"/>
      <c r="C215"/>
      <c r="D215"/>
      <c r="E215"/>
      <c r="F215"/>
      <c r="G215"/>
      <c r="H215"/>
      <c r="I215"/>
    </row>
    <row r="216" spans="2:9" x14ac:dyDescent="0.25">
      <c r="B216"/>
      <c r="C216"/>
      <c r="D216"/>
      <c r="E216"/>
      <c r="F216"/>
      <c r="G216"/>
      <c r="H216"/>
      <c r="I216"/>
    </row>
    <row r="217" spans="2:9" x14ac:dyDescent="0.25">
      <c r="B217"/>
      <c r="C217"/>
      <c r="D217"/>
      <c r="E217"/>
      <c r="F217"/>
      <c r="G217"/>
      <c r="H217"/>
      <c r="I217"/>
    </row>
    <row r="218" spans="2:9" x14ac:dyDescent="0.25">
      <c r="B218"/>
      <c r="C218"/>
      <c r="D218"/>
      <c r="E218"/>
      <c r="F218"/>
      <c r="G218"/>
      <c r="H218"/>
      <c r="I218"/>
    </row>
    <row r="219" spans="2:9" x14ac:dyDescent="0.25">
      <c r="B219"/>
      <c r="C219"/>
      <c r="D219"/>
      <c r="E219"/>
      <c r="F219"/>
      <c r="G219"/>
      <c r="H219"/>
      <c r="I219"/>
    </row>
    <row r="220" spans="2:9" x14ac:dyDescent="0.25">
      <c r="B220"/>
      <c r="C220"/>
      <c r="D220"/>
      <c r="E220"/>
      <c r="F220"/>
      <c r="G220"/>
      <c r="H220"/>
      <c r="I220"/>
    </row>
    <row r="221" spans="2:9" x14ac:dyDescent="0.25">
      <c r="B221"/>
      <c r="C221"/>
      <c r="D221"/>
      <c r="E221"/>
      <c r="F221"/>
      <c r="G221"/>
      <c r="H221"/>
      <c r="I221"/>
    </row>
    <row r="222" spans="2:9" x14ac:dyDescent="0.25">
      <c r="B222"/>
      <c r="C222"/>
      <c r="D222"/>
      <c r="E222"/>
      <c r="F222"/>
      <c r="G222"/>
      <c r="H222"/>
      <c r="I222"/>
    </row>
    <row r="223" spans="2:9" x14ac:dyDescent="0.25">
      <c r="B223"/>
      <c r="C223"/>
      <c r="D223"/>
      <c r="E223"/>
      <c r="F223"/>
      <c r="G223"/>
      <c r="H223"/>
      <c r="I223"/>
    </row>
    <row r="224" spans="2:9" x14ac:dyDescent="0.25">
      <c r="B224"/>
      <c r="C224"/>
      <c r="D224"/>
      <c r="E224"/>
      <c r="F224"/>
      <c r="G224"/>
      <c r="H224"/>
      <c r="I224"/>
    </row>
    <row r="225" spans="2:9" x14ac:dyDescent="0.25">
      <c r="B225"/>
      <c r="C225"/>
      <c r="D225"/>
      <c r="E225"/>
      <c r="F225"/>
      <c r="G225"/>
      <c r="H225"/>
      <c r="I225"/>
    </row>
    <row r="226" spans="2:9" x14ac:dyDescent="0.25">
      <c r="B226"/>
      <c r="C226"/>
      <c r="D226"/>
      <c r="E226"/>
      <c r="F226"/>
      <c r="G226"/>
      <c r="H226"/>
      <c r="I226"/>
    </row>
    <row r="227" spans="2:9" x14ac:dyDescent="0.25">
      <c r="B227"/>
      <c r="C227"/>
      <c r="D227"/>
      <c r="E227"/>
      <c r="F227"/>
      <c r="G227"/>
      <c r="H227"/>
      <c r="I227"/>
    </row>
    <row r="228" spans="2:9" x14ac:dyDescent="0.25">
      <c r="B228"/>
      <c r="C228"/>
      <c r="D228"/>
      <c r="E228"/>
      <c r="F228"/>
      <c r="G228"/>
      <c r="H228"/>
      <c r="I228"/>
    </row>
    <row r="229" spans="2:9" x14ac:dyDescent="0.25">
      <c r="B229"/>
      <c r="C229"/>
      <c r="D229"/>
      <c r="E229"/>
      <c r="F229"/>
      <c r="G229"/>
      <c r="H229"/>
      <c r="I229"/>
    </row>
    <row r="230" spans="2:9" x14ac:dyDescent="0.25">
      <c r="B230"/>
      <c r="C230"/>
      <c r="D230"/>
      <c r="E230"/>
      <c r="F230"/>
      <c r="G230"/>
      <c r="H230"/>
      <c r="I230"/>
    </row>
    <row r="231" spans="2:9" x14ac:dyDescent="0.25">
      <c r="B231"/>
      <c r="C231"/>
      <c r="D231"/>
      <c r="E231"/>
      <c r="F231"/>
      <c r="G231"/>
      <c r="H231"/>
      <c r="I231"/>
    </row>
    <row r="232" spans="2:9" x14ac:dyDescent="0.25">
      <c r="B232"/>
      <c r="C232"/>
      <c r="D232"/>
      <c r="E232"/>
      <c r="F232"/>
      <c r="G232"/>
      <c r="H232"/>
      <c r="I232"/>
    </row>
    <row r="233" spans="2:9" x14ac:dyDescent="0.25">
      <c r="B233"/>
      <c r="C233"/>
      <c r="D233"/>
      <c r="E233"/>
      <c r="F233"/>
      <c r="G233"/>
      <c r="H233"/>
      <c r="I233"/>
    </row>
    <row r="234" spans="2:9" x14ac:dyDescent="0.25">
      <c r="B234"/>
      <c r="C234"/>
      <c r="D234"/>
      <c r="E234"/>
      <c r="F234"/>
      <c r="G234"/>
      <c r="H234"/>
      <c r="I234"/>
    </row>
    <row r="235" spans="2:9" x14ac:dyDescent="0.25">
      <c r="B235"/>
      <c r="C235"/>
      <c r="D235"/>
      <c r="E235"/>
      <c r="F235"/>
      <c r="G235"/>
      <c r="H235"/>
      <c r="I235"/>
    </row>
    <row r="236" spans="2:9" x14ac:dyDescent="0.25">
      <c r="B236"/>
      <c r="C236"/>
      <c r="D236"/>
      <c r="E236"/>
      <c r="F236"/>
      <c r="G236"/>
      <c r="H236"/>
      <c r="I236"/>
    </row>
    <row r="237" spans="2:9" x14ac:dyDescent="0.25">
      <c r="B237"/>
      <c r="C237"/>
      <c r="D237"/>
      <c r="E237"/>
      <c r="F237"/>
      <c r="G237"/>
      <c r="H237"/>
      <c r="I237"/>
    </row>
    <row r="238" spans="2:9" x14ac:dyDescent="0.25">
      <c r="B238"/>
      <c r="C238"/>
      <c r="D238"/>
      <c r="E238"/>
      <c r="F238"/>
      <c r="G238"/>
      <c r="H238"/>
      <c r="I238"/>
    </row>
    <row r="239" spans="2:9" x14ac:dyDescent="0.25">
      <c r="B239"/>
      <c r="C239"/>
      <c r="D239"/>
      <c r="E239"/>
      <c r="F239"/>
      <c r="G239"/>
      <c r="H239"/>
      <c r="I239"/>
    </row>
    <row r="240" spans="2:9" x14ac:dyDescent="0.25">
      <c r="B240"/>
      <c r="C240"/>
      <c r="D240"/>
      <c r="E240"/>
      <c r="F240"/>
      <c r="G240"/>
      <c r="H240"/>
      <c r="I240"/>
    </row>
    <row r="241" spans="2:9" x14ac:dyDescent="0.25">
      <c r="B241"/>
      <c r="C241"/>
      <c r="D241"/>
      <c r="E241"/>
      <c r="F241"/>
      <c r="G241"/>
      <c r="H241"/>
      <c r="I241"/>
    </row>
    <row r="242" spans="2:9" x14ac:dyDescent="0.25">
      <c r="B242"/>
      <c r="C242"/>
      <c r="D242"/>
      <c r="E242"/>
      <c r="F242"/>
      <c r="G242"/>
      <c r="H242"/>
      <c r="I242"/>
    </row>
    <row r="243" spans="2:9" x14ac:dyDescent="0.25">
      <c r="B243"/>
      <c r="C243"/>
      <c r="D243"/>
      <c r="E243"/>
      <c r="F243"/>
      <c r="G243"/>
      <c r="H243"/>
      <c r="I243"/>
    </row>
  </sheetData>
  <mergeCells count="13">
    <mergeCell ref="A16:J16"/>
    <mergeCell ref="A13:J13"/>
    <mergeCell ref="A14:A15"/>
    <mergeCell ref="B14:C14"/>
    <mergeCell ref="D14:F14"/>
    <mergeCell ref="H14:I14"/>
    <mergeCell ref="J14:J15"/>
    <mergeCell ref="B12:D12"/>
    <mergeCell ref="A5:J5"/>
    <mergeCell ref="A6:J6"/>
    <mergeCell ref="A7:J7"/>
    <mergeCell ref="A8:J8"/>
    <mergeCell ref="B10:D10"/>
  </mergeCells>
  <printOptions horizontalCentered="1"/>
  <pageMargins left="0.23622047244094491" right="0.23622047244094491" top="0.35433070866141736" bottom="0.74803149606299213" header="0.31496062992125984" footer="0.31496062992125984"/>
  <pageSetup paperSize="9" scale="63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2025-07-02T05:42:09Z</cp:lastPrinted>
  <dcterms:created xsi:type="dcterms:W3CDTF">2023-09-29T06:22:08Z</dcterms:created>
  <dcterms:modified xsi:type="dcterms:W3CDTF">2025-08-20T02:42:05Z</dcterms:modified>
</cp:coreProperties>
</file>