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as TIC" sheetId="3" r:id="rId1"/>
    <sheet name="Sheet1" sheetId="1" r:id="rId2"/>
  </sheets>
  <definedNames>
    <definedName name="_xlnm.Print_Area" localSheetId="0">'Leave Card as TIC'!$A$1:$J$70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<sst xmlns="http://schemas.openxmlformats.org/spreadsheetml/2006/main" count="70" uniqueCount="60">
  <si>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</si>
  <si>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</si>
  <si>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</si>
  <si>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</si>
  <si>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</si>
  <si>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</si>
  <si>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</si>
  <si>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</si>
  <si>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</si>
  <si>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</si>
  <si>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</si>
  <si>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</si>
  <si>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</si>
  <si>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</si>
  <si>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</si>
  <si>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</si>
  <si>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</si>
  <si>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</si>
  <si>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</si>
  <si>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</si>
  <si>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</si>
  <si>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11/19-30/2024</t>
  </si>
  <si>
    <t>ADD: 12/1-31/2024</t>
  </si>
  <si>
    <t>LESS: 01/3/2025</t>
  </si>
  <si>
    <t>ADD: 01/1/2025-03/31/2025</t>
  </si>
  <si>
    <t>LESS: 03/31/2025</t>
  </si>
  <si>
    <t>LESS: 04/10/2025</t>
  </si>
  <si>
    <t>ADD: 04/1-30/2025</t>
  </si>
  <si>
    <t>LESS: 04/22/2025</t>
  </si>
  <si>
    <t>ADD: 05/1/2025-06/30/2025</t>
  </si>
  <si>
    <t>LESS: 06/30/2025</t>
  </si>
  <si>
    <t>ADD: 07/1-31/2025</t>
  </si>
  <si>
    <t>LESS: 08/1/2025</t>
  </si>
  <si>
    <t>LESS: 08/22/2025</t>
  </si>
  <si>
    <t>ADD: 08/1-31/2025</t>
  </si>
  <si>
    <t>LESS: 09/16/2025</t>
  </si>
  <si>
    <t>ADD: 09/1/2025-11/30/2025</t>
  </si>
  <si>
    <t>LESS: 11/24/2025 &amp; 12/01/2025</t>
  </si>
  <si>
    <t>LESS: 12/22, 23, 26/2025</t>
  </si>
  <si>
    <t>DATE FILED: 12, 22,23,26,29</t>
  </si>
  <si>
    <t>LESS: 12/15,16,19/2025</t>
  </si>
  <si>
    <t>LESS: 12/9/2025</t>
  </si>
  <si>
    <t xml:space="preserve">  </t>
  </si>
  <si>
    <t>REGION VI-WESTERN VISAYAS</t>
  </si>
  <si>
    <t>NAME         :.</t>
  </si>
  <si>
    <t>DISTRICT             : _______________________</t>
  </si>
  <si>
    <t>EMPLOYEE NO   : __________</t>
  </si>
  <si>
    <t xml:space="preserve">SCHOOL/OFFICE : </t>
  </si>
  <si>
    <t>STATION CODE   : __________</t>
  </si>
  <si>
    <t>POSITION   :</t>
  </si>
  <si>
    <t>DIVISION CODE   : __________</t>
  </si>
  <si>
    <t>VSC</t>
  </si>
  <si>
    <t>Special Order No. and Date Issued</t>
  </si>
  <si>
    <t>No. of Days Granted</t>
  </si>
  <si>
    <t>No. of Days Used</t>
  </si>
  <si>
    <t>Balance</t>
  </si>
  <si>
    <t>NOTE:  Valid for one (1) year only</t>
  </si>
  <si>
    <t>MA. LUISA B. CATIGAN</t>
  </si>
  <si>
    <t>Administrative Officer IV</t>
  </si>
  <si>
    <t xml:space="preserve">               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</si>
</sst>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16" applyNumberFormat="0" applyAlignment="0" applyProtection="0">
      <alignment vertical="center"/>
    </xf>
    <xf numFmtId="0" fontId="23" fillId="17" borderId="17" applyNumberFormat="0" applyAlignment="0" applyProtection="0">
      <alignment vertical="center"/>
    </xf>
    <xf numFmtId="0" fontId="24" fillId="17" borderId="16" applyNumberFormat="0" applyAlignment="0" applyProtection="0">
      <alignment vertical="center"/>
    </xf>
    <xf numFmtId="0" fontId="25" fillId="18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" fillId="5" borderId="0" xfId="0" applyFont="1" applyFill="1" applyAlignment="1">
      <alignment horizontal="left"/>
    </xf>
    <xf numFmtId="0" fontId="4" fillId="6" borderId="7" xfId="0" applyFont="1" applyFill="1" applyBorder="1" applyAlignment="1">
      <alignment horizontal="center" vertical="center"/>
    </xf>
    <xf numFmtId="0" fontId="10" fillId="0" borderId="0" xfId="0" applyFont="1"/>
    <xf numFmtId="0" fontId="4" fillId="6" borderId="8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7" fillId="0" borderId="0" xfId="0" applyFont="1"/>
    <xf numFmtId="0" fontId="0" fillId="0" borderId="0" xfId="0" applyFill="1"/>
    <xf numFmtId="0" fontId="0" fillId="0" borderId="0" xfId="0" applyAlignment="1">
      <alignment horizontal="center" vertical="center"/>
    </xf>
    <xf numFmtId="0" fontId="11" fillId="0" borderId="0" xfId="0" applyFont="1"/>
    <xf numFmtId="0" fontId="1" fillId="9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2" fontId="0" fillId="5" borderId="8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14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12" xfId="0" applyNumberForma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Fill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JACULBE, QUEENIE ROSE A.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 VI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64</xdr:row>
      <xdr:rowOff>53914</xdr:rowOff>
    </xdr:from>
    <xdr:to>
      <xdr:col>9</xdr:col>
      <xdr:colOff>672043</xdr:colOff>
      <xdr:row>69</xdr:row>
      <xdr:rowOff>170731</xdr:rowOff>
    </xdr:to>
    <xdr:sp>
      <xdr:nvSpPr>
        <xdr:cNvPr id="6" name="TextBox 5"/>
        <xdr:cNvSpPr txBox="1"/>
      </xdr:nvSpPr>
      <xdr:spPr>
        <a:xfrm>
          <a:off x="6030595" y="701421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821410</xdr:colOff>
      <xdr:row>3</xdr:row>
      <xdr:rowOff>123825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571500" cy="643890"/>
        </a:xfrm>
        <a:prstGeom prst="rect">
          <a:avLst/>
        </a:prstGeom>
        <a:noFill/>
      </xdr:spPr>
    </xdr:pic>
    <xdr:clientData/>
  </xdr:twoCellAnchor>
  <xdr:twoCellAnchor>
    <xdr:from>
      <xdr:col>5</xdr:col>
      <xdr:colOff>628650</xdr:colOff>
      <xdr:row>33</xdr:row>
      <xdr:rowOff>95250</xdr:rowOff>
    </xdr:from>
    <xdr:to>
      <xdr:col>10</xdr:col>
      <xdr:colOff>295275</xdr:colOff>
      <xdr:row>34</xdr:row>
      <xdr:rowOff>95250</xdr:rowOff>
    </xdr:to>
    <xdr:sp>
      <xdr:nvSpPr>
        <xdr:cNvPr id="3" name="TextBox 2"/>
        <xdr:cNvSpPr txBox="1"/>
      </xdr:nvSpPr>
      <xdr:spPr>
        <a:xfrm>
          <a:off x="5810885" y="7860030"/>
          <a:ext cx="3173095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37807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68"/>
  <sheetViews>
    <sheetView tabSelected="1" view="pageBreakPreview" zoomScale="106" zoomScaleNormal="100" topLeftCell="A46" workbookViewId="0">
      <selection activeCell="C53" sqref="C53"/>
    </sheetView>
  </sheetViews>
  <sheetFormatPr defaultColWidth="9" defaultRowHeight="14.4"/>
  <cols>
    <col min="1" max="1" width="36.5740740740741" customWidth="1"/>
    <col min="2" max="5" width="11.5740740740741" customWidth="1"/>
    <col min="6" max="7" width="11.5740740740741" style="43" customWidth="1"/>
    <col min="8" max="10" width="11.5740740740741" customWidth="1"/>
    <col min="11" max="11" width="26.4259259259259" style="44" customWidth="1"/>
  </cols>
  <sheetData>
    <row r="1" s="5" customFormat="1" ht="52.5" customHeight="1"/>
    <row r="2" s="5" customFormat="1" ht="10.5" customHeight="1" spans="1:10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="5" customFormat="1" ht="15.95" customHeight="1" spans="1:10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</row>
    <row r="4" s="5" customFormat="1" ht="15.95" customHeight="1" spans="1:10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</row>
    <row r="5" s="5" customFormat="1" ht="15.95" customHeight="1" spans="1:10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</row>
    <row r="6" s="5" customFormat="1" ht="8.25" customHeight="1"/>
    <row r="7" s="5" customFormat="1" ht="12" customHeight="1" spans="1:10">
      <c r="A7" s="5" t="s">
        <v>4</v>
      </c>
      <c r="B7" s="12" t="s">
        <v>5</v>
      </c>
      <c r="C7" s="12"/>
      <c r="D7" s="12"/>
      <c r="H7" s="11" t="s">
        <v>6</v>
      </c>
      <c r="I7" s="74"/>
      <c r="J7" s="11"/>
    </row>
    <row r="8" s="5" customFormat="1" ht="12" customHeight="1" spans="2:10">
      <c r="B8" s="13"/>
      <c r="C8" s="13"/>
      <c r="H8" s="13"/>
      <c r="I8" s="13"/>
      <c r="J8" s="13"/>
    </row>
    <row r="9" s="5" customFormat="1" ht="12" customHeight="1" spans="1:10">
      <c r="A9" s="5" t="s">
        <v>7</v>
      </c>
      <c r="B9" s="12" t="s">
        <v>8</v>
      </c>
      <c r="C9" s="12"/>
      <c r="D9" s="12"/>
      <c r="H9" s="11" t="s">
        <v>9</v>
      </c>
      <c r="I9" s="75"/>
      <c r="J9" s="11"/>
    </row>
    <row r="10" ht="23.25" customHeight="1" spans="1:11">
      <c r="A10" s="15" t="s">
        <v>10</v>
      </c>
      <c r="B10" s="15"/>
      <c r="C10" s="15"/>
      <c r="D10" s="15"/>
      <c r="E10" s="15"/>
      <c r="F10" s="15"/>
      <c r="G10" s="15"/>
      <c r="H10" s="15"/>
      <c r="I10" s="15"/>
      <c r="J10" s="15"/>
      <c r="K10"/>
    </row>
    <row r="11" ht="18.75" customHeight="1" spans="1:11">
      <c r="A11" s="45" t="s">
        <v>11</v>
      </c>
      <c r="B11" s="46" t="s">
        <v>12</v>
      </c>
      <c r="C11" s="46"/>
      <c r="D11" s="47" t="s">
        <v>13</v>
      </c>
      <c r="E11" s="47"/>
      <c r="F11" s="47"/>
      <c r="G11" s="47"/>
      <c r="H11" s="48" t="s">
        <v>14</v>
      </c>
      <c r="I11" s="48"/>
      <c r="J11" s="45" t="s">
        <v>15</v>
      </c>
      <c r="K11" s="76" t="s">
        <v>16</v>
      </c>
    </row>
    <row r="12" spans="1:11">
      <c r="A12" s="45"/>
      <c r="B12" s="49" t="s">
        <v>17</v>
      </c>
      <c r="C12" s="49" t="s">
        <v>18</v>
      </c>
      <c r="D12" s="49" t="s">
        <v>17</v>
      </c>
      <c r="E12" s="49" t="s">
        <v>18</v>
      </c>
      <c r="F12" s="49" t="s">
        <v>19</v>
      </c>
      <c r="G12" s="49" t="s">
        <v>20</v>
      </c>
      <c r="H12" s="49" t="s">
        <v>17</v>
      </c>
      <c r="I12" s="49" t="s">
        <v>18</v>
      </c>
      <c r="J12" s="45"/>
      <c r="K12" s="76"/>
    </row>
    <row r="13" ht="28.5" customHeight="1" spans="1:10">
      <c r="A13" s="50" t="s">
        <v>21</v>
      </c>
      <c r="B13" s="51">
        <v>0.5</v>
      </c>
      <c r="C13" s="52">
        <v>0.5</v>
      </c>
      <c r="D13" s="53"/>
      <c r="E13" s="54"/>
      <c r="F13" s="54"/>
      <c r="G13" s="54"/>
      <c r="H13" s="55">
        <f>B13</f>
        <v>0.5</v>
      </c>
      <c r="I13" s="55">
        <f>C13</f>
        <v>0.5</v>
      </c>
      <c r="J13" s="77">
        <f>SUM(H13:I13)</f>
        <v>1</v>
      </c>
    </row>
    <row r="14" ht="17.25" customHeight="1" spans="1:10">
      <c r="A14" s="56" t="s">
        <v>22</v>
      </c>
      <c r="B14" s="57">
        <v>1.25</v>
      </c>
      <c r="C14" s="58">
        <v>1.25</v>
      </c>
      <c r="D14" s="59"/>
      <c r="E14" s="29"/>
      <c r="F14" s="29"/>
      <c r="G14" s="60"/>
      <c r="H14" s="61">
        <f>H13-F14-D14+B14</f>
        <v>1.75</v>
      </c>
      <c r="I14" s="61">
        <f>I13-E14+C14</f>
        <v>1.75</v>
      </c>
      <c r="J14" s="78">
        <f>SUM(H14:I14)</f>
        <v>3.5</v>
      </c>
    </row>
    <row r="15" ht="17.25" customHeight="1" spans="1:10">
      <c r="A15" s="56" t="s">
        <v>23</v>
      </c>
      <c r="B15" s="57"/>
      <c r="C15" s="58"/>
      <c r="D15" s="59"/>
      <c r="E15" s="29"/>
      <c r="F15" s="62">
        <v>1</v>
      </c>
      <c r="G15" s="60"/>
      <c r="H15" s="61">
        <f t="shared" ref="H15" si="0">H14-F15-D15+B15</f>
        <v>0.75</v>
      </c>
      <c r="I15" s="61">
        <f t="shared" ref="I15" si="1">I14-E15+C15</f>
        <v>1.75</v>
      </c>
      <c r="J15" s="78">
        <f t="shared" ref="J15" si="2">SUM(H15:I15)</f>
        <v>2.5</v>
      </c>
    </row>
    <row r="16" ht="15.75" hidden="1" customHeight="1" spans="1:10">
      <c r="A16" s="56"/>
      <c r="B16" s="29"/>
      <c r="C16" s="59"/>
      <c r="D16" s="59"/>
      <c r="E16" s="29"/>
      <c r="F16" s="29"/>
      <c r="G16" s="60"/>
      <c r="H16" s="61">
        <f t="shared" ref="H16:H49" si="3">H15-F16-D16+B16</f>
        <v>0.75</v>
      </c>
      <c r="I16" s="61">
        <f t="shared" ref="I16:I49" si="4">I15-E16+C16</f>
        <v>1.75</v>
      </c>
      <c r="J16" s="78">
        <f t="shared" ref="J16:J49" si="5">SUM(H16:I16)</f>
        <v>2.5</v>
      </c>
    </row>
    <row r="17" ht="15.75" hidden="1" customHeight="1" spans="1:10">
      <c r="A17" s="56"/>
      <c r="B17" s="29"/>
      <c r="C17" s="59"/>
      <c r="D17" s="59"/>
      <c r="E17" s="29"/>
      <c r="F17" s="29"/>
      <c r="G17" s="60"/>
      <c r="H17" s="61">
        <f t="shared" si="3"/>
        <v>0.75</v>
      </c>
      <c r="I17" s="61">
        <f t="shared" si="4"/>
        <v>1.75</v>
      </c>
      <c r="J17" s="78">
        <f t="shared" si="5"/>
        <v>2.5</v>
      </c>
    </row>
    <row r="18" ht="17.25" hidden="1" customHeight="1" spans="1:10">
      <c r="A18" s="56"/>
      <c r="B18" s="29"/>
      <c r="C18" s="59"/>
      <c r="D18" s="59"/>
      <c r="E18" s="29"/>
      <c r="F18" s="29"/>
      <c r="G18" s="60"/>
      <c r="H18" s="61">
        <f t="shared" si="3"/>
        <v>0.75</v>
      </c>
      <c r="I18" s="61">
        <f t="shared" si="4"/>
        <v>1.75</v>
      </c>
      <c r="J18" s="78">
        <f t="shared" si="5"/>
        <v>2.5</v>
      </c>
    </row>
    <row r="19" ht="17.25" hidden="1" customHeight="1" spans="1:10">
      <c r="A19" s="56"/>
      <c r="B19" s="29"/>
      <c r="C19" s="59"/>
      <c r="D19" s="59"/>
      <c r="E19" s="29"/>
      <c r="F19" s="29"/>
      <c r="G19" s="60"/>
      <c r="H19" s="61">
        <f t="shared" si="3"/>
        <v>0.75</v>
      </c>
      <c r="I19" s="61">
        <f t="shared" si="4"/>
        <v>1.75</v>
      </c>
      <c r="J19" s="78">
        <f t="shared" si="5"/>
        <v>2.5</v>
      </c>
    </row>
    <row r="20" ht="13.5" hidden="1" customHeight="1" spans="1:10">
      <c r="A20" s="56"/>
      <c r="B20" s="29"/>
      <c r="C20" s="59"/>
      <c r="D20" s="59"/>
      <c r="E20" s="29"/>
      <c r="F20" s="29"/>
      <c r="G20" s="60"/>
      <c r="H20" s="61">
        <f t="shared" si="3"/>
        <v>0.75</v>
      </c>
      <c r="I20" s="61">
        <f t="shared" si="4"/>
        <v>1.75</v>
      </c>
      <c r="J20" s="78">
        <f t="shared" si="5"/>
        <v>2.5</v>
      </c>
    </row>
    <row r="21" ht="12" hidden="1" customHeight="1" spans="1:10">
      <c r="A21" s="56"/>
      <c r="B21" s="29"/>
      <c r="C21" s="59"/>
      <c r="D21" s="59"/>
      <c r="E21" s="29"/>
      <c r="F21" s="29"/>
      <c r="G21" s="60"/>
      <c r="H21" s="61">
        <f t="shared" si="3"/>
        <v>0.75</v>
      </c>
      <c r="I21" s="61">
        <f t="shared" si="4"/>
        <v>1.75</v>
      </c>
      <c r="J21" s="78">
        <f t="shared" si="5"/>
        <v>2.5</v>
      </c>
    </row>
    <row r="22" ht="12" hidden="1" customHeight="1" spans="1:10">
      <c r="A22" s="56"/>
      <c r="B22" s="29"/>
      <c r="C22" s="59"/>
      <c r="D22" s="59"/>
      <c r="E22" s="29"/>
      <c r="F22" s="29"/>
      <c r="G22" s="60"/>
      <c r="H22" s="61">
        <f t="shared" si="3"/>
        <v>0.75</v>
      </c>
      <c r="I22" s="61">
        <f t="shared" si="4"/>
        <v>1.75</v>
      </c>
      <c r="J22" s="78">
        <f t="shared" si="5"/>
        <v>2.5</v>
      </c>
    </row>
    <row r="23" ht="12" hidden="1" customHeight="1" spans="1:10">
      <c r="A23" s="56"/>
      <c r="B23" s="29"/>
      <c r="C23" s="59"/>
      <c r="D23" s="59"/>
      <c r="E23" s="29"/>
      <c r="F23" s="29"/>
      <c r="G23" s="60"/>
      <c r="H23" s="61">
        <f t="shared" si="3"/>
        <v>0.75</v>
      </c>
      <c r="I23" s="61">
        <f t="shared" si="4"/>
        <v>1.75</v>
      </c>
      <c r="J23" s="78">
        <f t="shared" si="5"/>
        <v>2.5</v>
      </c>
    </row>
    <row r="24" ht="12" hidden="1" customHeight="1" spans="1:10">
      <c r="A24" s="50"/>
      <c r="B24" s="60"/>
      <c r="C24" s="63"/>
      <c r="D24" s="63"/>
      <c r="E24" s="60"/>
      <c r="F24" s="60"/>
      <c r="G24" s="60"/>
      <c r="H24" s="61">
        <f t="shared" si="3"/>
        <v>0.75</v>
      </c>
      <c r="I24" s="61">
        <f t="shared" si="4"/>
        <v>1.75</v>
      </c>
      <c r="J24" s="78">
        <f t="shared" si="5"/>
        <v>2.5</v>
      </c>
    </row>
    <row r="25" ht="12" hidden="1" customHeight="1" spans="1:10">
      <c r="A25" s="50"/>
      <c r="B25" s="60"/>
      <c r="C25" s="63"/>
      <c r="D25" s="63"/>
      <c r="E25" s="60"/>
      <c r="F25" s="60"/>
      <c r="G25" s="60"/>
      <c r="H25" s="61">
        <f t="shared" si="3"/>
        <v>0.75</v>
      </c>
      <c r="I25" s="61">
        <f t="shared" si="4"/>
        <v>1.75</v>
      </c>
      <c r="J25" s="78">
        <f t="shared" si="5"/>
        <v>2.5</v>
      </c>
    </row>
    <row r="26" ht="12" hidden="1" customHeight="1" spans="1:10">
      <c r="A26" s="50"/>
      <c r="B26" s="60"/>
      <c r="C26" s="63"/>
      <c r="D26" s="63"/>
      <c r="E26" s="60"/>
      <c r="F26" s="60"/>
      <c r="G26" s="60"/>
      <c r="H26" s="61">
        <f t="shared" si="3"/>
        <v>0.75</v>
      </c>
      <c r="I26" s="61">
        <f t="shared" si="4"/>
        <v>1.75</v>
      </c>
      <c r="J26" s="78">
        <f t="shared" si="5"/>
        <v>2.5</v>
      </c>
    </row>
    <row r="27" ht="16.5" hidden="1" customHeight="1" spans="1:10">
      <c r="A27" s="50"/>
      <c r="B27" s="60"/>
      <c r="C27" s="63"/>
      <c r="D27" s="63"/>
      <c r="E27" s="60"/>
      <c r="F27" s="60"/>
      <c r="G27" s="60"/>
      <c r="H27" s="61">
        <f t="shared" si="3"/>
        <v>0.75</v>
      </c>
      <c r="I27" s="61">
        <f t="shared" si="4"/>
        <v>1.75</v>
      </c>
      <c r="J27" s="78">
        <f t="shared" si="5"/>
        <v>2.5</v>
      </c>
    </row>
    <row r="28" ht="12" hidden="1" customHeight="1" spans="1:10">
      <c r="A28" s="50"/>
      <c r="B28" s="60"/>
      <c r="C28" s="63"/>
      <c r="D28" s="63"/>
      <c r="E28" s="60"/>
      <c r="F28" s="60"/>
      <c r="G28" s="60"/>
      <c r="H28" s="61">
        <f t="shared" si="3"/>
        <v>0.75</v>
      </c>
      <c r="I28" s="61">
        <f t="shared" si="4"/>
        <v>1.75</v>
      </c>
      <c r="J28" s="78">
        <f t="shared" si="5"/>
        <v>2.5</v>
      </c>
    </row>
    <row r="29" ht="12" hidden="1" customHeight="1" spans="1:10">
      <c r="A29" s="50"/>
      <c r="B29" s="60"/>
      <c r="C29" s="63"/>
      <c r="D29" s="63"/>
      <c r="E29" s="60"/>
      <c r="F29" s="60"/>
      <c r="G29" s="60"/>
      <c r="H29" s="61">
        <f t="shared" si="3"/>
        <v>0.75</v>
      </c>
      <c r="I29" s="61">
        <f t="shared" si="4"/>
        <v>1.75</v>
      </c>
      <c r="J29" s="78">
        <f t="shared" si="5"/>
        <v>2.5</v>
      </c>
    </row>
    <row r="30" ht="12" hidden="1" customHeight="1" spans="1:10">
      <c r="A30" s="50"/>
      <c r="B30" s="60"/>
      <c r="C30" s="63"/>
      <c r="D30" s="63"/>
      <c r="E30" s="60"/>
      <c r="F30" s="60"/>
      <c r="G30" s="60"/>
      <c r="H30" s="61">
        <f t="shared" si="3"/>
        <v>0.75</v>
      </c>
      <c r="I30" s="61">
        <f t="shared" si="4"/>
        <v>1.75</v>
      </c>
      <c r="J30" s="78">
        <f t="shared" si="5"/>
        <v>2.5</v>
      </c>
    </row>
    <row r="31" ht="12" hidden="1" customHeight="1" spans="1:10">
      <c r="A31" s="50"/>
      <c r="B31" s="60"/>
      <c r="C31" s="63"/>
      <c r="D31" s="63"/>
      <c r="E31" s="60"/>
      <c r="F31" s="60"/>
      <c r="G31" s="60"/>
      <c r="H31" s="61">
        <f t="shared" si="3"/>
        <v>0.75</v>
      </c>
      <c r="I31" s="61">
        <f t="shared" si="4"/>
        <v>1.75</v>
      </c>
      <c r="J31" s="78">
        <f t="shared" si="5"/>
        <v>2.5</v>
      </c>
    </row>
    <row r="32" ht="12" hidden="1" customHeight="1" spans="1:10">
      <c r="A32" s="50"/>
      <c r="B32" s="60"/>
      <c r="C32" s="63"/>
      <c r="D32" s="63"/>
      <c r="E32" s="60"/>
      <c r="F32" s="60"/>
      <c r="G32" s="60"/>
      <c r="H32" s="61">
        <f t="shared" si="3"/>
        <v>0.75</v>
      </c>
      <c r="I32" s="61">
        <f t="shared" si="4"/>
        <v>1.75</v>
      </c>
      <c r="J32" s="78">
        <f t="shared" si="5"/>
        <v>2.5</v>
      </c>
    </row>
    <row r="33" ht="12" hidden="1" customHeight="1" spans="1:10">
      <c r="A33" s="50"/>
      <c r="B33" s="60"/>
      <c r="C33" s="60"/>
      <c r="D33" s="63"/>
      <c r="E33" s="60"/>
      <c r="F33" s="60"/>
      <c r="G33" s="60"/>
      <c r="H33" s="61">
        <f t="shared" si="3"/>
        <v>0.75</v>
      </c>
      <c r="I33" s="61">
        <f t="shared" si="4"/>
        <v>1.75</v>
      </c>
      <c r="J33" s="78">
        <f t="shared" si="5"/>
        <v>2.5</v>
      </c>
    </row>
    <row r="34" s="30" customFormat="1" ht="12" hidden="1" customHeight="1" spans="1:11">
      <c r="A34" s="50"/>
      <c r="B34" s="60"/>
      <c r="C34" s="63"/>
      <c r="D34" s="63"/>
      <c r="E34" s="60"/>
      <c r="F34" s="60"/>
      <c r="G34" s="60"/>
      <c r="H34" s="61">
        <f t="shared" si="3"/>
        <v>0.75</v>
      </c>
      <c r="I34" s="61">
        <f t="shared" si="4"/>
        <v>1.75</v>
      </c>
      <c r="J34" s="78">
        <f t="shared" si="5"/>
        <v>2.5</v>
      </c>
      <c r="K34" s="79"/>
    </row>
    <row r="35" s="30" customFormat="1" ht="12" hidden="1" customHeight="1" spans="1:11">
      <c r="A35" s="50"/>
      <c r="B35" s="60"/>
      <c r="C35" s="60"/>
      <c r="D35" s="63"/>
      <c r="E35" s="60"/>
      <c r="F35" s="60"/>
      <c r="G35" s="60"/>
      <c r="H35" s="61">
        <f t="shared" si="3"/>
        <v>0.75</v>
      </c>
      <c r="I35" s="61">
        <f t="shared" si="4"/>
        <v>1.75</v>
      </c>
      <c r="J35" s="78">
        <f t="shared" si="5"/>
        <v>2.5</v>
      </c>
      <c r="K35" s="79"/>
    </row>
    <row r="36" s="30" customFormat="1" ht="12" hidden="1" customHeight="1" spans="1:11">
      <c r="A36" s="50"/>
      <c r="B36" s="60"/>
      <c r="C36" s="63"/>
      <c r="D36" s="63"/>
      <c r="E36" s="60"/>
      <c r="F36" s="60"/>
      <c r="G36" s="60"/>
      <c r="H36" s="61">
        <f t="shared" si="3"/>
        <v>0.75</v>
      </c>
      <c r="I36" s="61">
        <f t="shared" si="4"/>
        <v>1.75</v>
      </c>
      <c r="J36" s="78">
        <f t="shared" si="5"/>
        <v>2.5</v>
      </c>
      <c r="K36" s="79"/>
    </row>
    <row r="37" s="30" customFormat="1" ht="12.75" hidden="1" customHeight="1" spans="1:11">
      <c r="A37" s="50"/>
      <c r="B37" s="60"/>
      <c r="C37" s="63"/>
      <c r="D37" s="63"/>
      <c r="E37" s="60"/>
      <c r="F37" s="60"/>
      <c r="G37" s="60"/>
      <c r="H37" s="61">
        <f t="shared" si="3"/>
        <v>0.75</v>
      </c>
      <c r="I37" s="61">
        <f t="shared" si="4"/>
        <v>1.75</v>
      </c>
      <c r="J37" s="78">
        <f t="shared" si="5"/>
        <v>2.5</v>
      </c>
      <c r="K37" s="79"/>
    </row>
    <row r="38" ht="12" hidden="1" customHeight="1" spans="1:10">
      <c r="A38" s="50"/>
      <c r="B38" s="60"/>
      <c r="C38" s="63"/>
      <c r="D38" s="63"/>
      <c r="E38" s="60"/>
      <c r="F38" s="60"/>
      <c r="G38" s="60"/>
      <c r="H38" s="61">
        <f t="shared" si="3"/>
        <v>0.75</v>
      </c>
      <c r="I38" s="61">
        <f t="shared" si="4"/>
        <v>1.75</v>
      </c>
      <c r="J38" s="78">
        <f t="shared" si="5"/>
        <v>2.5</v>
      </c>
    </row>
    <row r="39" s="30" customFormat="1" ht="12" hidden="1" customHeight="1" spans="1:11">
      <c r="A39" s="50"/>
      <c r="B39" s="60"/>
      <c r="C39" s="63"/>
      <c r="D39" s="63"/>
      <c r="E39" s="60"/>
      <c r="F39" s="60"/>
      <c r="G39" s="60"/>
      <c r="H39" s="61">
        <f t="shared" si="3"/>
        <v>0.75</v>
      </c>
      <c r="I39" s="61">
        <f t="shared" si="4"/>
        <v>1.75</v>
      </c>
      <c r="J39" s="78">
        <f t="shared" si="5"/>
        <v>2.5</v>
      </c>
      <c r="K39" s="79"/>
    </row>
    <row r="40" s="30" customFormat="1" ht="15" hidden="1" customHeight="1" spans="1:11">
      <c r="A40" s="50"/>
      <c r="B40" s="60"/>
      <c r="C40" s="63"/>
      <c r="D40" s="63"/>
      <c r="E40" s="60"/>
      <c r="F40" s="60"/>
      <c r="G40" s="60"/>
      <c r="H40" s="61">
        <f t="shared" si="3"/>
        <v>0.75</v>
      </c>
      <c r="I40" s="61">
        <f t="shared" si="4"/>
        <v>1.75</v>
      </c>
      <c r="J40" s="78">
        <f t="shared" si="5"/>
        <v>2.5</v>
      </c>
      <c r="K40" s="79"/>
    </row>
    <row r="41" s="30" customFormat="1" ht="16.5" hidden="1" customHeight="1" spans="1:11">
      <c r="A41" s="50"/>
      <c r="B41" s="60"/>
      <c r="C41" s="63"/>
      <c r="D41" s="63"/>
      <c r="E41" s="60"/>
      <c r="F41" s="60"/>
      <c r="G41" s="60"/>
      <c r="H41" s="61">
        <f t="shared" si="3"/>
        <v>0.75</v>
      </c>
      <c r="I41" s="61">
        <f t="shared" si="4"/>
        <v>1.75</v>
      </c>
      <c r="J41" s="78">
        <f t="shared" si="5"/>
        <v>2.5</v>
      </c>
      <c r="K41" s="79"/>
    </row>
    <row r="42" s="30" customFormat="1" ht="16.5" hidden="1" customHeight="1" spans="1:11">
      <c r="A42" s="50"/>
      <c r="B42" s="60"/>
      <c r="C42" s="63"/>
      <c r="D42" s="63"/>
      <c r="E42" s="60"/>
      <c r="F42" s="60"/>
      <c r="G42" s="60"/>
      <c r="H42" s="61">
        <f t="shared" si="3"/>
        <v>0.75</v>
      </c>
      <c r="I42" s="61">
        <f t="shared" si="4"/>
        <v>1.75</v>
      </c>
      <c r="J42" s="78">
        <f t="shared" si="5"/>
        <v>2.5</v>
      </c>
      <c r="K42" s="79"/>
    </row>
    <row r="43" hidden="1" spans="1:10">
      <c r="A43" s="50"/>
      <c r="B43" s="60"/>
      <c r="C43" s="63"/>
      <c r="D43" s="63"/>
      <c r="E43" s="60"/>
      <c r="F43" s="60"/>
      <c r="G43" s="60"/>
      <c r="H43" s="61">
        <f t="shared" si="3"/>
        <v>0.75</v>
      </c>
      <c r="I43" s="61">
        <f t="shared" si="4"/>
        <v>1.75</v>
      </c>
      <c r="J43" s="78">
        <f t="shared" si="5"/>
        <v>2.5</v>
      </c>
    </row>
    <row r="44" hidden="1" spans="1:10">
      <c r="A44" s="50"/>
      <c r="B44" s="60"/>
      <c r="C44" s="63"/>
      <c r="D44" s="63"/>
      <c r="E44" s="60"/>
      <c r="F44" s="60"/>
      <c r="G44" s="60"/>
      <c r="H44" s="61">
        <f t="shared" si="3"/>
        <v>0.75</v>
      </c>
      <c r="I44" s="61">
        <f t="shared" si="4"/>
        <v>1.75</v>
      </c>
      <c r="J44" s="78">
        <f t="shared" si="5"/>
        <v>2.5</v>
      </c>
    </row>
    <row r="45" hidden="1" spans="1:10">
      <c r="A45" s="50"/>
      <c r="B45" s="60"/>
      <c r="C45" s="63"/>
      <c r="D45" s="63"/>
      <c r="E45" s="60"/>
      <c r="F45" s="60"/>
      <c r="G45" s="60"/>
      <c r="H45" s="61">
        <f t="shared" si="3"/>
        <v>0.75</v>
      </c>
      <c r="I45" s="61">
        <f t="shared" si="4"/>
        <v>1.75</v>
      </c>
      <c r="J45" s="78">
        <f t="shared" si="5"/>
        <v>2.5</v>
      </c>
    </row>
    <row r="46" spans="1:10">
      <c r="A46" s="63" t="s">
        <v>24</v>
      </c>
      <c r="B46" s="60">
        <v>3.75</v>
      </c>
      <c r="C46" s="63">
        <v>3.75</v>
      </c>
      <c r="D46" s="63"/>
      <c r="E46" s="60"/>
      <c r="F46" s="60"/>
      <c r="G46" s="60"/>
      <c r="H46" s="61">
        <f t="shared" si="3"/>
        <v>4.5</v>
      </c>
      <c r="I46" s="61">
        <f t="shared" si="4"/>
        <v>5.5</v>
      </c>
      <c r="J46" s="78">
        <f t="shared" si="5"/>
        <v>10</v>
      </c>
    </row>
    <row r="47" spans="1:10">
      <c r="A47" s="63" t="s">
        <v>25</v>
      </c>
      <c r="B47" s="60"/>
      <c r="C47" s="63"/>
      <c r="D47" s="63"/>
      <c r="E47" s="60">
        <v>1</v>
      </c>
      <c r="F47" s="60"/>
      <c r="G47" s="60"/>
      <c r="H47" s="61">
        <f t="shared" si="3"/>
        <v>4.5</v>
      </c>
      <c r="I47" s="61">
        <f t="shared" si="4"/>
        <v>4.5</v>
      </c>
      <c r="J47" s="78">
        <f t="shared" si="5"/>
        <v>9</v>
      </c>
    </row>
    <row r="48" spans="1:10">
      <c r="A48" s="63" t="s">
        <v>26</v>
      </c>
      <c r="B48" s="60"/>
      <c r="C48" s="63"/>
      <c r="D48" s="63"/>
      <c r="E48" s="60">
        <v>1</v>
      </c>
      <c r="F48" s="60"/>
      <c r="G48" s="60"/>
      <c r="H48" s="61">
        <f t="shared" si="3"/>
        <v>4.5</v>
      </c>
      <c r="I48" s="61">
        <f t="shared" si="4"/>
        <v>3.5</v>
      </c>
      <c r="J48" s="78">
        <f t="shared" si="5"/>
        <v>8</v>
      </c>
    </row>
    <row r="49" spans="1:10">
      <c r="A49" s="63" t="s">
        <v>27</v>
      </c>
      <c r="B49" s="60">
        <v>1.25</v>
      </c>
      <c r="C49" s="63">
        <v>1.25</v>
      </c>
      <c r="D49" s="63"/>
      <c r="E49" s="60"/>
      <c r="F49" s="60"/>
      <c r="G49" s="60"/>
      <c r="H49" s="61">
        <f t="shared" si="3"/>
        <v>5.75</v>
      </c>
      <c r="I49" s="61">
        <f t="shared" si="4"/>
        <v>4.75</v>
      </c>
      <c r="J49" s="78">
        <f t="shared" si="5"/>
        <v>10.5</v>
      </c>
    </row>
    <row r="50" spans="1:10">
      <c r="A50" s="64" t="s">
        <v>28</v>
      </c>
      <c r="B50" s="64"/>
      <c r="C50" s="64"/>
      <c r="D50" s="64"/>
      <c r="E50" s="64">
        <v>1</v>
      </c>
      <c r="F50" s="29"/>
      <c r="G50" s="29"/>
      <c r="H50" s="61">
        <f t="shared" ref="H50" si="6">H49-F50-D50+B50</f>
        <v>5.75</v>
      </c>
      <c r="I50" s="61">
        <f t="shared" ref="I50" si="7">I49-E50+C50</f>
        <v>3.75</v>
      </c>
      <c r="J50" s="78">
        <f t="shared" ref="J50" si="8">SUM(H50:I50)</f>
        <v>9.5</v>
      </c>
    </row>
    <row r="51" spans="1:10">
      <c r="A51" s="64" t="s">
        <v>29</v>
      </c>
      <c r="B51" s="64">
        <v>2.5</v>
      </c>
      <c r="C51" s="64">
        <v>2.5</v>
      </c>
      <c r="D51" s="64"/>
      <c r="E51" s="64"/>
      <c r="F51" s="29"/>
      <c r="G51" s="29"/>
      <c r="H51" s="61">
        <f t="shared" ref="H51:H52" si="9">H50-F51-D51+B51</f>
        <v>8.25</v>
      </c>
      <c r="I51" s="61">
        <f t="shared" ref="I51:I52" si="10">I50-E51+C51</f>
        <v>6.25</v>
      </c>
      <c r="J51" s="78">
        <f t="shared" ref="J51:J52" si="11">SUM(H51:I51)</f>
        <v>14.5</v>
      </c>
    </row>
    <row r="52" spans="1:10">
      <c r="A52" s="64" t="s">
        <v>30</v>
      </c>
      <c r="B52" s="64"/>
      <c r="C52" s="64"/>
      <c r="D52" s="64"/>
      <c r="E52" s="64">
        <v>1</v>
      </c>
      <c r="F52" s="29"/>
      <c r="G52" s="29"/>
      <c r="H52" s="61">
        <f t="shared" si="9"/>
        <v>8.25</v>
      </c>
      <c r="I52" s="61">
        <f t="shared" si="10"/>
        <v>5.25</v>
      </c>
      <c r="J52" s="78">
        <f t="shared" si="11"/>
        <v>13.5</v>
      </c>
    </row>
    <row r="53" spans="1:10">
      <c r="A53" s="64" t="s">
        <v>31</v>
      </c>
      <c r="B53" s="64">
        <v>1.25</v>
      </c>
      <c r="C53" s="64">
        <v>1.25</v>
      </c>
      <c r="D53" s="64"/>
      <c r="E53" s="64"/>
      <c r="F53" s="29"/>
      <c r="G53" s="29"/>
      <c r="H53" s="61">
        <f t="shared" ref="H53:H54" si="12">H52-F53-D53+B53</f>
        <v>9.5</v>
      </c>
      <c r="I53" s="61">
        <f t="shared" ref="I53:I54" si="13">I52-E53+C53</f>
        <v>6.5</v>
      </c>
      <c r="J53" s="78">
        <f t="shared" ref="J53:J54" si="14">SUM(H53:I53)</f>
        <v>16</v>
      </c>
    </row>
    <row r="54" spans="1:10">
      <c r="A54" s="64" t="s">
        <v>32</v>
      </c>
      <c r="B54" s="64"/>
      <c r="C54" s="64"/>
      <c r="D54" s="64"/>
      <c r="E54" s="64">
        <v>1</v>
      </c>
      <c r="F54" s="29"/>
      <c r="G54" s="29"/>
      <c r="H54" s="61">
        <f t="shared" si="12"/>
        <v>9.5</v>
      </c>
      <c r="I54" s="61">
        <f t="shared" si="13"/>
        <v>5.5</v>
      </c>
      <c r="J54" s="78">
        <f t="shared" si="14"/>
        <v>15</v>
      </c>
    </row>
    <row r="55" spans="1:10">
      <c r="A55" s="64" t="s">
        <v>33</v>
      </c>
      <c r="B55" s="64"/>
      <c r="C55" s="64"/>
      <c r="D55" s="64"/>
      <c r="E55" s="64">
        <v>1</v>
      </c>
      <c r="F55" s="29"/>
      <c r="G55" s="29"/>
      <c r="H55" s="61">
        <f t="shared" ref="H55" si="15">H54-F55-D55+B55</f>
        <v>9.5</v>
      </c>
      <c r="I55" s="61">
        <f t="shared" ref="I55" si="16">I54-E55+C55</f>
        <v>4.5</v>
      </c>
      <c r="J55" s="78">
        <f t="shared" ref="J55" si="17">SUM(H55:I55)</f>
        <v>14</v>
      </c>
    </row>
    <row r="56" spans="1:10">
      <c r="A56" s="64" t="s">
        <v>34</v>
      </c>
      <c r="B56" s="64">
        <v>1.25</v>
      </c>
      <c r="C56" s="64">
        <v>1.25</v>
      </c>
      <c r="D56" s="64"/>
      <c r="E56" s="64"/>
      <c r="F56" s="29"/>
      <c r="G56" s="29"/>
      <c r="H56" s="61">
        <f t="shared" ref="H56:H61" si="18">H55-F56-D56+B56</f>
        <v>10.75</v>
      </c>
      <c r="I56" s="61">
        <f t="shared" ref="I56:I61" si="19">I55-E56+C56</f>
        <v>5.75</v>
      </c>
      <c r="J56" s="78">
        <f t="shared" ref="J56:J61" si="20">SUM(H56:I56)</f>
        <v>16.5</v>
      </c>
    </row>
    <row r="57" spans="1:10">
      <c r="A57" s="64" t="s">
        <v>35</v>
      </c>
      <c r="B57" s="64"/>
      <c r="C57" s="64"/>
      <c r="D57" s="64"/>
      <c r="E57" s="64">
        <v>1</v>
      </c>
      <c r="F57" s="29"/>
      <c r="G57" s="29"/>
      <c r="H57" s="61">
        <f t="shared" si="18"/>
        <v>10.75</v>
      </c>
      <c r="I57" s="61">
        <f t="shared" si="19"/>
        <v>4.75</v>
      </c>
      <c r="J57" s="78">
        <f t="shared" si="20"/>
        <v>15.5</v>
      </c>
    </row>
    <row r="58" spans="1:10">
      <c r="A58" s="64" t="s">
        <v>36</v>
      </c>
      <c r="B58" s="64">
        <v>3.75</v>
      </c>
      <c r="C58" s="64">
        <v>3.75</v>
      </c>
      <c r="D58" s="64"/>
      <c r="E58" s="64"/>
      <c r="F58" s="29"/>
      <c r="G58" s="29"/>
      <c r="H58" s="61">
        <f t="shared" si="18"/>
        <v>14.5</v>
      </c>
      <c r="I58" s="61">
        <f t="shared" si="19"/>
        <v>8.5</v>
      </c>
      <c r="J58" s="78">
        <f t="shared" si="20"/>
        <v>23</v>
      </c>
    </row>
    <row r="59" spans="1:10">
      <c r="A59" s="64" t="s">
        <v>37</v>
      </c>
      <c r="B59" s="64"/>
      <c r="C59" s="64"/>
      <c r="D59" s="64"/>
      <c r="E59" s="64">
        <v>2</v>
      </c>
      <c r="F59" s="29"/>
      <c r="G59" s="29"/>
      <c r="H59" s="61">
        <f t="shared" si="18"/>
        <v>14.5</v>
      </c>
      <c r="I59" s="61">
        <f t="shared" si="19"/>
        <v>6.5</v>
      </c>
      <c r="J59" s="78">
        <f t="shared" si="20"/>
        <v>21</v>
      </c>
    </row>
    <row r="60" spans="1:11">
      <c r="A60" s="64" t="s">
        <v>38</v>
      </c>
      <c r="B60" s="64"/>
      <c r="C60" s="64"/>
      <c r="D60" s="64"/>
      <c r="E60" s="64"/>
      <c r="F60" s="62">
        <v>3</v>
      </c>
      <c r="G60" s="29"/>
      <c r="H60" s="61">
        <f t="shared" si="18"/>
        <v>11.5</v>
      </c>
      <c r="I60" s="61">
        <f t="shared" si="19"/>
        <v>6.5</v>
      </c>
      <c r="J60" s="78">
        <f t="shared" si="20"/>
        <v>18</v>
      </c>
      <c r="K60" s="80" t="s">
        <v>39</v>
      </c>
    </row>
    <row r="61" spans="1:10">
      <c r="A61" s="64" t="s">
        <v>40</v>
      </c>
      <c r="B61" s="64"/>
      <c r="C61" s="64"/>
      <c r="D61" s="64"/>
      <c r="E61" s="64"/>
      <c r="F61" s="29"/>
      <c r="G61" s="65">
        <v>3</v>
      </c>
      <c r="H61" s="61">
        <f t="shared" si="18"/>
        <v>11.5</v>
      </c>
      <c r="I61" s="61">
        <f t="shared" si="19"/>
        <v>6.5</v>
      </c>
      <c r="J61" s="78">
        <f t="shared" si="20"/>
        <v>18</v>
      </c>
    </row>
    <row r="62" s="42" customFormat="1" spans="1:11">
      <c r="A62" s="66" t="s">
        <v>41</v>
      </c>
      <c r="B62" s="66"/>
      <c r="C62" s="66"/>
      <c r="D62" s="66"/>
      <c r="E62" s="66">
        <v>1</v>
      </c>
      <c r="F62" s="67"/>
      <c r="G62" s="68"/>
      <c r="H62" s="61">
        <f>H61-F62-D62+B62</f>
        <v>11.5</v>
      </c>
      <c r="I62" s="61">
        <f>I61-E62+C62</f>
        <v>5.5</v>
      </c>
      <c r="J62" s="78">
        <f>SUM(H62:I62)</f>
        <v>17</v>
      </c>
      <c r="K62" s="81"/>
    </row>
    <row r="63" s="42" customFormat="1" spans="1:11">
      <c r="A63" s="69"/>
      <c r="B63" s="69"/>
      <c r="C63" s="69"/>
      <c r="D63" s="69"/>
      <c r="E63" s="69"/>
      <c r="F63" s="70"/>
      <c r="G63" s="71"/>
      <c r="H63" s="72"/>
      <c r="I63" s="72"/>
      <c r="J63" s="72"/>
      <c r="K63" s="81"/>
    </row>
    <row r="64" spans="8:10">
      <c r="H64" s="73"/>
      <c r="I64" s="73"/>
      <c r="J64" s="73"/>
    </row>
    <row r="68" spans="6:6">
      <c r="F68" s="43" t="s">
        <v>42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topLeftCell="A9" workbookViewId="0">
      <selection activeCell="B19" sqref="B19:E19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18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8.71296296296296" style="4"/>
    <col min="12" max="12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43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44</v>
      </c>
      <c r="B11" s="11"/>
      <c r="C11" s="12" t="s">
        <v>45</v>
      </c>
      <c r="D11" s="12"/>
      <c r="E11" s="12"/>
      <c r="F11" s="12"/>
      <c r="G11" s="12"/>
      <c r="H11" s="5"/>
      <c r="I11" s="12" t="s">
        <v>46</v>
      </c>
      <c r="J11" s="12"/>
      <c r="K11" s="12"/>
      <c r="L11" s="11"/>
      <c r="M11" s="5"/>
    </row>
    <row r="12" spans="1:13">
      <c r="A12" s="5"/>
      <c r="B12" s="13"/>
      <c r="C12" s="12" t="s">
        <v>47</v>
      </c>
      <c r="D12" s="12"/>
      <c r="E12" s="12"/>
      <c r="F12" s="12"/>
      <c r="G12" s="12"/>
      <c r="H12" s="5"/>
      <c r="I12" s="35" t="s">
        <v>48</v>
      </c>
      <c r="J12" s="35"/>
      <c r="K12" s="35"/>
      <c r="L12" s="13"/>
      <c r="M12" s="5"/>
    </row>
    <row r="13" spans="1:13">
      <c r="A13" s="11" t="s">
        <v>49</v>
      </c>
      <c r="B13" s="11"/>
      <c r="C13" s="14"/>
      <c r="D13" s="13"/>
      <c r="E13" s="13"/>
      <c r="F13" s="5"/>
      <c r="G13" s="5"/>
      <c r="H13" s="5"/>
      <c r="I13" s="12" t="s">
        <v>50</v>
      </c>
      <c r="J13" s="12"/>
      <c r="K13" s="12"/>
      <c r="L13" s="11"/>
      <c r="M13" s="5"/>
    </row>
    <row r="14" ht="21" spans="1:12">
      <c r="A14" s="15" t="s">
        <v>51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3">
      <c r="A15" s="16" t="s">
        <v>11</v>
      </c>
      <c r="B15" s="17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36" t="s">
        <v>15</v>
      </c>
      <c r="M15" s="37"/>
    </row>
    <row r="16" spans="1:13">
      <c r="A16" s="19"/>
      <c r="B16" s="20" t="s">
        <v>52</v>
      </c>
      <c r="C16" s="21"/>
      <c r="D16" s="21"/>
      <c r="E16" s="22"/>
      <c r="F16" s="20" t="s">
        <v>53</v>
      </c>
      <c r="G16" s="22"/>
      <c r="H16" s="20" t="s">
        <v>54</v>
      </c>
      <c r="I16" s="22"/>
      <c r="J16" s="20" t="s">
        <v>55</v>
      </c>
      <c r="K16" s="22"/>
      <c r="L16" s="38"/>
      <c r="M16" s="37"/>
    </row>
    <row r="17" ht="22.5" customHeight="1" spans="1:13">
      <c r="A17" s="23"/>
      <c r="B17" s="24"/>
      <c r="C17" s="25"/>
      <c r="D17" s="25"/>
      <c r="E17" s="26"/>
      <c r="F17" s="27"/>
      <c r="G17" s="28"/>
      <c r="H17" s="27"/>
      <c r="I17" s="28"/>
      <c r="J17" s="27"/>
      <c r="K17" s="28"/>
      <c r="L17" s="39"/>
      <c r="M17" s="37"/>
    </row>
    <row r="18" ht="22.5" customHeight="1" spans="1:13">
      <c r="A18" s="29"/>
      <c r="B18" s="24"/>
      <c r="C18" s="25"/>
      <c r="D18" s="25"/>
      <c r="E18" s="26"/>
      <c r="F18" s="27"/>
      <c r="G18" s="28"/>
      <c r="H18" s="27"/>
      <c r="I18" s="28"/>
      <c r="J18" s="27"/>
      <c r="K18" s="28"/>
      <c r="L18" s="39"/>
      <c r="M18" s="37"/>
    </row>
    <row r="19" ht="22.5" customHeight="1" spans="1:13">
      <c r="A19" s="29"/>
      <c r="B19" s="24"/>
      <c r="C19" s="25"/>
      <c r="D19" s="25"/>
      <c r="E19" s="26"/>
      <c r="F19" s="27"/>
      <c r="G19" s="28"/>
      <c r="H19" s="27"/>
      <c r="I19" s="28"/>
      <c r="J19" s="27"/>
      <c r="K19" s="28"/>
      <c r="L19" s="39"/>
      <c r="M19" s="37"/>
    </row>
    <row r="20" ht="22.5" customHeight="1" spans="1:13">
      <c r="A20" s="29"/>
      <c r="B20" s="24"/>
      <c r="C20" s="25"/>
      <c r="D20" s="25"/>
      <c r="E20" s="26"/>
      <c r="F20" s="27"/>
      <c r="G20" s="28"/>
      <c r="H20" s="27"/>
      <c r="I20" s="28"/>
      <c r="J20" s="27"/>
      <c r="K20" s="28"/>
      <c r="L20" s="39"/>
      <c r="M20" s="37"/>
    </row>
    <row r="21" ht="22.5" customHeight="1" spans="1:13">
      <c r="A21" s="29"/>
      <c r="B21" s="24"/>
      <c r="C21" s="25"/>
      <c r="D21" s="25"/>
      <c r="E21" s="26"/>
      <c r="F21" s="27"/>
      <c r="G21" s="28"/>
      <c r="H21" s="27"/>
      <c r="I21" s="28"/>
      <c r="J21" s="27"/>
      <c r="K21" s="28"/>
      <c r="L21" s="39"/>
      <c r="M21" s="37"/>
    </row>
    <row r="22" ht="22.5" customHeight="1" spans="1:13">
      <c r="A22" s="29"/>
      <c r="B22" s="24"/>
      <c r="C22" s="25"/>
      <c r="D22" s="25"/>
      <c r="E22" s="26"/>
      <c r="F22" s="27"/>
      <c r="G22" s="28"/>
      <c r="H22" s="27"/>
      <c r="I22" s="28"/>
      <c r="J22" s="27"/>
      <c r="K22" s="28"/>
      <c r="L22" s="39"/>
      <c r="M22" s="37"/>
    </row>
    <row r="23" ht="22.5" customHeight="1" spans="1:13">
      <c r="A23" s="29"/>
      <c r="B23" s="24"/>
      <c r="C23" s="25"/>
      <c r="D23" s="25"/>
      <c r="E23" s="26"/>
      <c r="F23" s="27"/>
      <c r="G23" s="28"/>
      <c r="H23" s="27"/>
      <c r="I23" s="28"/>
      <c r="J23" s="27"/>
      <c r="K23" s="28"/>
      <c r="L23" s="39"/>
      <c r="M23" s="37"/>
    </row>
    <row r="24" ht="22.5" customHeight="1" spans="1:13">
      <c r="A24" s="29"/>
      <c r="B24" s="24"/>
      <c r="C24" s="25"/>
      <c r="D24" s="25"/>
      <c r="E24" s="26"/>
      <c r="F24" s="27"/>
      <c r="G24" s="28"/>
      <c r="H24" s="27"/>
      <c r="I24" s="28"/>
      <c r="J24" s="27"/>
      <c r="K24" s="28"/>
      <c r="L24" s="39"/>
      <c r="M24" s="37"/>
    </row>
    <row r="25" ht="22.5" customHeight="1" spans="1:13">
      <c r="A25" s="29"/>
      <c r="B25" s="24"/>
      <c r="C25" s="25"/>
      <c r="D25" s="25"/>
      <c r="E25" s="26"/>
      <c r="F25" s="27"/>
      <c r="G25" s="28"/>
      <c r="H25" s="27"/>
      <c r="I25" s="28"/>
      <c r="J25" s="27"/>
      <c r="K25" s="28"/>
      <c r="L25" s="39"/>
      <c r="M25" s="37"/>
    </row>
    <row r="26" ht="22.5" customHeight="1" spans="1:13">
      <c r="A26" s="29"/>
      <c r="B26" s="24"/>
      <c r="C26" s="25"/>
      <c r="D26" s="25"/>
      <c r="E26" s="26"/>
      <c r="F26" s="27"/>
      <c r="G26" s="28"/>
      <c r="H26" s="27"/>
      <c r="I26" s="28"/>
      <c r="J26" s="27"/>
      <c r="K26" s="28"/>
      <c r="L26" s="39"/>
      <c r="M26" s="37"/>
    </row>
    <row r="27" ht="22.5" customHeight="1" spans="1:13">
      <c r="A27" s="29"/>
      <c r="B27" s="24"/>
      <c r="C27" s="25"/>
      <c r="D27" s="25"/>
      <c r="E27" s="26"/>
      <c r="F27" s="27"/>
      <c r="G27" s="28"/>
      <c r="H27" s="27"/>
      <c r="I27" s="28"/>
      <c r="J27" s="27"/>
      <c r="K27" s="28"/>
      <c r="L27" s="39"/>
      <c r="M27" s="37"/>
    </row>
    <row r="28" ht="22.5" customHeight="1" spans="1:13">
      <c r="A28" s="29"/>
      <c r="B28" s="24"/>
      <c r="C28" s="25"/>
      <c r="D28" s="25"/>
      <c r="E28" s="26"/>
      <c r="F28" s="27"/>
      <c r="G28" s="28"/>
      <c r="H28" s="27"/>
      <c r="I28" s="28"/>
      <c r="J28" s="27"/>
      <c r="K28" s="28"/>
      <c r="L28" s="39"/>
      <c r="M28" s="37"/>
    </row>
    <row r="29" ht="22.5" customHeight="1" spans="1:13">
      <c r="A29" s="29"/>
      <c r="B29" s="24"/>
      <c r="C29" s="25"/>
      <c r="D29" s="25"/>
      <c r="E29" s="26"/>
      <c r="F29" s="27"/>
      <c r="G29" s="28"/>
      <c r="H29" s="27"/>
      <c r="I29" s="28"/>
      <c r="J29" s="27"/>
      <c r="K29" s="28"/>
      <c r="L29" s="39"/>
      <c r="M29" s="37"/>
    </row>
    <row r="30" ht="22.5" customHeight="1" spans="1:13">
      <c r="A30" s="29"/>
      <c r="B30" s="24"/>
      <c r="C30" s="25"/>
      <c r="D30" s="25"/>
      <c r="E30" s="26"/>
      <c r="F30" s="27"/>
      <c r="G30" s="28"/>
      <c r="H30" s="27"/>
      <c r="I30" s="28"/>
      <c r="J30" s="27"/>
      <c r="K30" s="28"/>
      <c r="L30" s="39"/>
      <c r="M30" s="37"/>
    </row>
    <row r="31" ht="22.5" customHeight="1" spans="1:13">
      <c r="A31" s="29"/>
      <c r="B31" s="24"/>
      <c r="C31" s="25"/>
      <c r="D31" s="25"/>
      <c r="E31" s="26"/>
      <c r="F31" s="27"/>
      <c r="G31" s="28"/>
      <c r="H31" s="27"/>
      <c r="I31" s="28"/>
      <c r="J31" s="27"/>
      <c r="K31" s="28"/>
      <c r="L31" s="39"/>
      <c r="M31" s="37"/>
    </row>
    <row r="32" ht="22.5" customHeight="1" spans="1:13">
      <c r="A32" s="29"/>
      <c r="B32" s="24"/>
      <c r="C32" s="25"/>
      <c r="D32" s="25"/>
      <c r="E32" s="26"/>
      <c r="F32" s="27"/>
      <c r="G32" s="28"/>
      <c r="H32" s="27"/>
      <c r="I32" s="28"/>
      <c r="J32" s="27"/>
      <c r="K32" s="28"/>
      <c r="L32" s="39"/>
      <c r="M32" s="37"/>
    </row>
    <row r="33" spans="1:13">
      <c r="A33" s="30" t="s">
        <v>56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40"/>
      <c r="M33" s="41"/>
    </row>
    <row r="34" spans="1:1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3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8"/>
      <c r="D36" s="5"/>
      <c r="E36" s="5"/>
      <c r="F36" s="5"/>
      <c r="G36" s="5"/>
      <c r="H36" s="33" t="s">
        <v>57</v>
      </c>
      <c r="I36" s="5"/>
      <c r="J36" s="5"/>
      <c r="K36" s="5"/>
      <c r="L36" s="5"/>
      <c r="M36" s="5"/>
    </row>
    <row r="37" spans="2:12">
      <c r="B37" s="8"/>
      <c r="C37" s="5"/>
      <c r="D37" s="5"/>
      <c r="E37" s="5"/>
      <c r="F37" s="5"/>
      <c r="G37" s="5"/>
      <c r="H37" s="34" t="s">
        <v>58</v>
      </c>
      <c r="I37" s="5"/>
      <c r="J37" s="5"/>
      <c r="K37" s="5"/>
      <c r="L37" s="5"/>
    </row>
    <row r="38" spans="2:12">
      <c r="B38" s="8"/>
      <c r="C38" s="5"/>
      <c r="D38" s="5"/>
      <c r="E38" s="5"/>
      <c r="F38" s="5"/>
      <c r="G38" s="5"/>
      <c r="H38" s="34" t="s">
        <v>59</v>
      </c>
      <c r="I38" s="5"/>
      <c r="J38" s="5"/>
      <c r="K38" s="5"/>
      <c r="L38" s="5"/>
    </row>
    <row r="39" spans="2:12">
      <c r="B39" s="8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3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</row>
  </sheetData>
  <mergeCells count="82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A34:L34"/>
    <mergeCell ref="A15:A16"/>
    <mergeCell ref="L15:L16"/>
  </mergeCells>
  <pageMargins left="0.7" right="0.7" top="0.75" bottom="0.75" header="0.3" footer="0.3"/>
  <pageSetup paperSize="9" scale="9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as TIC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2022-11-24T07:01:00Z</dcterms:created>
  <cp:lastPrinted>2025-09-18T06:37:00Z</cp:lastPrinted>
  <dcterms:modified xsi:type="dcterms:W3CDTF">2026-01-02T09:00:33Z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5151506FCE724CA1B22C827044BF3098_12</vt:lpwstr>
  </property>
  <property fmtid="{D5CDD505-2E9C-101B-9397-08002B2CF9AE}" pid="3" name="KSOProductBuildVer">
    <vt:lpwstr>1033-12.2.0.23196</vt:lpwstr>
  </property>
</Properties>
</file>