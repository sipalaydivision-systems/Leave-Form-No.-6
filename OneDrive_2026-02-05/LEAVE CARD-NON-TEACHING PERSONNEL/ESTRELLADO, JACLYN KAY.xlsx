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F204BAFC-D76E-465C-A26B-535C317577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CTO" sheetId="10" r:id="rId2"/>
    <sheet name="Other types of leave" sheetId="9" r:id="rId3"/>
  </sheets>
  <definedNames>
    <definedName name="_xlnm.Print_Area" localSheetId="0">'Leave Card (NE)'!$A$1:$J$71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5" i="6" l="1"/>
  <c r="J65" i="6" s="1"/>
  <c r="I65" i="6"/>
  <c r="H64" i="6"/>
  <c r="I64" i="6"/>
  <c r="I13" i="6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H13" i="6"/>
  <c r="H14" i="6" s="1"/>
  <c r="H15" i="6" s="1"/>
  <c r="H16" i="6" s="1"/>
  <c r="J64" i="6" l="1"/>
  <c r="I51" i="6"/>
  <c r="I52" i="6" s="1"/>
  <c r="I53" i="6" s="1"/>
  <c r="I54" i="6" s="1"/>
  <c r="I55" i="6" s="1"/>
  <c r="I56" i="6" s="1"/>
  <c r="I57" i="6" s="1"/>
  <c r="J16" i="6"/>
  <c r="J15" i="6"/>
  <c r="H17" i="6"/>
  <c r="J17" i="6" s="1"/>
  <c r="J14" i="6"/>
  <c r="J13" i="6"/>
  <c r="I58" i="6" l="1"/>
  <c r="I59" i="6" s="1"/>
  <c r="I60" i="6" s="1"/>
  <c r="I61" i="6" s="1"/>
  <c r="I62" i="6" s="1"/>
  <c r="I63" i="6" s="1"/>
  <c r="H18" i="6"/>
  <c r="H19" i="6" s="1"/>
  <c r="J18" i="6" l="1"/>
  <c r="J19" i="6"/>
  <c r="H20" i="6"/>
  <c r="J20" i="6" l="1"/>
  <c r="H21" i="6"/>
  <c r="J21" i="6" l="1"/>
  <c r="H22" i="6"/>
  <c r="J22" i="6" l="1"/>
  <c r="H23" i="6"/>
  <c r="J23" i="6" l="1"/>
  <c r="H24" i="6"/>
  <c r="J24" i="6" l="1"/>
  <c r="H25" i="6"/>
  <c r="J25" i="6" l="1"/>
  <c r="H26" i="6"/>
  <c r="J26" i="6" l="1"/>
  <c r="H27" i="6"/>
  <c r="J27" i="6" l="1"/>
  <c r="H28" i="6"/>
  <c r="H29" i="6" l="1"/>
  <c r="J28" i="6"/>
  <c r="H30" i="6" l="1"/>
  <c r="J29" i="6"/>
  <c r="H31" i="6" l="1"/>
  <c r="J30" i="6"/>
  <c r="H32" i="6" l="1"/>
  <c r="J31" i="6"/>
  <c r="J32" i="6" l="1"/>
  <c r="H33" i="6"/>
  <c r="J33" i="6" l="1"/>
  <c r="H34" i="6"/>
  <c r="H35" i="6" l="1"/>
  <c r="J34" i="6"/>
  <c r="J35" i="6" l="1"/>
  <c r="H36" i="6"/>
  <c r="J36" i="6" l="1"/>
  <c r="H37" i="6"/>
  <c r="J37" i="6" l="1"/>
  <c r="H38" i="6"/>
  <c r="J38" i="6" l="1"/>
  <c r="H39" i="6"/>
  <c r="J39" i="6" l="1"/>
  <c r="H40" i="6"/>
  <c r="J40" i="6" l="1"/>
  <c r="H41" i="6"/>
  <c r="J41" i="6" l="1"/>
  <c r="H42" i="6"/>
  <c r="J42" i="6" l="1"/>
  <c r="H43" i="6"/>
  <c r="J43" i="6" l="1"/>
  <c r="H44" i="6"/>
  <c r="J44" i="6" l="1"/>
  <c r="H45" i="6"/>
  <c r="J45" i="6" l="1"/>
  <c r="H46" i="6"/>
  <c r="J46" i="6" l="1"/>
  <c r="H47" i="6"/>
  <c r="J47" i="6" l="1"/>
  <c r="H48" i="6"/>
  <c r="J48" i="6" l="1"/>
  <c r="H49" i="6"/>
  <c r="H50" i="6" l="1"/>
  <c r="J49" i="6"/>
  <c r="H51" i="6" l="1"/>
  <c r="J50" i="6"/>
  <c r="J51" i="6" l="1"/>
  <c r="H52" i="6"/>
  <c r="H53" i="6" l="1"/>
  <c r="J52" i="6"/>
  <c r="J53" i="6" l="1"/>
  <c r="H54" i="6"/>
  <c r="J54" i="6" l="1"/>
  <c r="H55" i="6"/>
  <c r="J55" i="6" l="1"/>
  <c r="H56" i="6"/>
  <c r="J56" i="6" l="1"/>
  <c r="H57" i="6"/>
  <c r="H58" i="6" l="1"/>
  <c r="J57" i="6"/>
  <c r="J58" i="6" l="1"/>
  <c r="H59" i="6"/>
  <c r="J59" i="6" l="1"/>
  <c r="H60" i="6"/>
  <c r="J60" i="6" l="1"/>
  <c r="H61" i="6"/>
  <c r="J61" i="6" l="1"/>
  <c r="H62" i="6"/>
  <c r="H63" i="6" l="1"/>
  <c r="J63" i="6" s="1"/>
  <c r="J62" i="6"/>
</calcChain>
</file>

<file path=xl/sharedStrings.xml><?xml version="1.0" encoding="utf-8"?>
<sst xmlns="http://schemas.openxmlformats.org/spreadsheetml/2006/main" count="192" uniqueCount="149">
  <si>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</si>
  <si>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</si>
  <si>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</si>
  <si>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</si>
  <si>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</si>
  <si>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</si>
  <si>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</si>
  <si>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</si>
  <si>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</si>
  <si>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</si>
  <si>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</si>
  <si>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</si>
  <si>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</si>
  <si>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</si>
  <si>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</si>
  <si>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</si>
  <si>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</si>
  <si>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</si>
  <si>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</si>
  <si>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</si>
  <si>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</si>
  <si>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</si>
  <si>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</si>
  <si>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</si>
  <si>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</si>
  <si>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</si>
  <si>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</si>
  <si>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</si>
  <si>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</si>
  <si>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</si>
  <si>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</si>
  <si>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</si>
  <si>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</si>
  <si>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Name: _____________________________</t>
  </si>
  <si>
    <t>POSITION: __________________________</t>
  </si>
  <si>
    <t>DISTRICT: ___________________________</t>
  </si>
  <si>
    <t>SCHOOL/OFFICE:_____________________</t>
  </si>
  <si>
    <t>Certified Correct:</t>
  </si>
  <si>
    <t>MA. LUISA B. CATIGAN</t>
  </si>
  <si>
    <t>Administrative Officer IV</t>
  </si>
  <si>
    <t>HRMO</t>
  </si>
  <si>
    <t>SPECIAL PRIVILEGE LEAVE</t>
  </si>
  <si>
    <t>COMPENSATORY TIME OFF (CTO)</t>
  </si>
  <si>
    <t>Special Order No. and Date Issued</t>
  </si>
  <si>
    <t>No. of Days Granted</t>
  </si>
  <si>
    <t>No. of Days Used</t>
  </si>
  <si>
    <t>Balance</t>
  </si>
  <si>
    <t>ADD: 03/21/2023 - 03/31/2023</t>
  </si>
  <si>
    <t>ADD: 04/01/2023 - 04/30/2023</t>
  </si>
  <si>
    <t>LESS: 04/12/2023</t>
  </si>
  <si>
    <t>LESS: 04/14/2023</t>
  </si>
  <si>
    <t>ADD: 04/17/2023</t>
  </si>
  <si>
    <t>SO # 050, S.2023, PALARONG PANLALAWIGAN 2023</t>
  </si>
  <si>
    <t>LESS: 05/02/2023</t>
  </si>
  <si>
    <t>ADD: 05/01/2023-05/31/2023</t>
  </si>
  <si>
    <t>LESS: 05/08/2023</t>
  </si>
  <si>
    <t>LESS: 05/26 &amp; 31/2023</t>
  </si>
  <si>
    <t>LESS: 06/09 &amp; 14/2023</t>
  </si>
  <si>
    <t>LESS: 07/07/2023</t>
  </si>
  <si>
    <t>ADD: 06/01/2023-06/30/2023</t>
  </si>
  <si>
    <t>ADD: 07/13/2023</t>
  </si>
  <si>
    <t>SO # 059, S.2023, BSP DIVISION CAMPOREE</t>
  </si>
  <si>
    <t>LESS: 08/04/2023</t>
  </si>
  <si>
    <t>ADD: 07/01/2023-08/31/2023</t>
  </si>
  <si>
    <t>LES: 08/22/2023</t>
  </si>
  <si>
    <t>LESS:09/18/2023</t>
  </si>
  <si>
    <t>ADD: 09/01/2023-09/30/2023</t>
  </si>
  <si>
    <t>LESS: 10/03/2023</t>
  </si>
  <si>
    <t>LESS: 10/17/2023</t>
  </si>
  <si>
    <t>LESS: 10/23-26/2023</t>
  </si>
  <si>
    <t>ADD: 10/01/2023-11/30/2023</t>
  </si>
  <si>
    <t>LESS: 11/28/2023</t>
  </si>
  <si>
    <t>ADD: 12/01/2023-12/31/2023</t>
  </si>
  <si>
    <t>LESS: 01/15-17/2024</t>
  </si>
  <si>
    <t>LESS: 01/22/2024</t>
  </si>
  <si>
    <t>ADD: 01/01/2024-01/31/2024</t>
  </si>
  <si>
    <t>LESS: 01/23-25/2024</t>
  </si>
  <si>
    <t>LESS: 01/26,29/2024</t>
  </si>
  <si>
    <t>ADD: 02/01/2024-02/29/2024</t>
  </si>
  <si>
    <t>LESS: 02/26/2024</t>
  </si>
  <si>
    <t>SO # 004, S. 2024, 2024 DISTRICT MEET</t>
  </si>
  <si>
    <t>ADD: 03/12/2024</t>
  </si>
  <si>
    <t>LESS: 03/08 &amp; 03/14/24</t>
  </si>
  <si>
    <t>LESS: 04/22/2024</t>
  </si>
  <si>
    <t>ADD: 03/1-31/2024</t>
  </si>
  <si>
    <t>SO # 005, S. 2024, 2024 DISTRICT MEET</t>
  </si>
  <si>
    <t>LESS: 05/9,10,13/2024</t>
  </si>
  <si>
    <t>SO # 006, S. 2024, 2024 DIVISION SPORTS MEET</t>
  </si>
  <si>
    <t>LESS: 05/14/2024</t>
  </si>
  <si>
    <t>LESS: 05/23-24/2024</t>
  </si>
  <si>
    <t>ADD: 05/20/2024</t>
  </si>
  <si>
    <t>SO# 015, S. 2024 PALARONG PANLALAWIGAN 2024</t>
  </si>
  <si>
    <t>LESS: 06/6-7/2024</t>
  </si>
  <si>
    <t xml:space="preserve">                   HRMO</t>
  </si>
  <si>
    <t>LESS: 08/06/2024</t>
  </si>
  <si>
    <t>LESS: 08/05/2024</t>
  </si>
  <si>
    <t>SO# 017, S. 2024 WVRAA 2024</t>
  </si>
  <si>
    <t>LESS: 08/7-9/2024</t>
  </si>
  <si>
    <t>ADD: 07/1/2024-09/30/2024</t>
  </si>
  <si>
    <t>LESS: 09/9/2024</t>
  </si>
  <si>
    <t>LESS: 11/4/2024</t>
  </si>
  <si>
    <t>LESS: 11/27/2024</t>
  </si>
  <si>
    <t>ADD: 10/1-31/2024</t>
  </si>
  <si>
    <t>ADD: 11/1-30/2024</t>
  </si>
  <si>
    <t>LESS: 12/27/2024</t>
  </si>
  <si>
    <t>ADD: 06/26/2024</t>
  </si>
  <si>
    <t>SO# 024, S. 2024 126TH PHIL. IND. DAY</t>
  </si>
  <si>
    <t>LESS: 01/03/2025</t>
  </si>
  <si>
    <t>ADD: 12/1-31/2024</t>
  </si>
  <si>
    <t>LESS: 01/6/2025</t>
  </si>
  <si>
    <t>ADD: 01/1-31/2025</t>
  </si>
  <si>
    <t>LESS: 02/06/2025</t>
  </si>
  <si>
    <t>LESS: 02/17/2025</t>
  </si>
  <si>
    <t>ADD: 02/1-28/2025</t>
  </si>
  <si>
    <t>LESS: 03/10/2025</t>
  </si>
  <si>
    <t>ADD: 03/1-31/2025</t>
  </si>
  <si>
    <t>LESS: 04/11/2025</t>
  </si>
  <si>
    <t>LESS: 04/21/2025</t>
  </si>
  <si>
    <t>LESS: 04/28/2025</t>
  </si>
  <si>
    <t>6 HOURS</t>
  </si>
  <si>
    <t>6 HRS</t>
  </si>
  <si>
    <t>ADD: 05/23/2024</t>
  </si>
  <si>
    <t>SO # 005, S. 2025 DIVISION WORKSHOP ON CAMPUS JOURNALISM</t>
  </si>
  <si>
    <t>ADD: 03/21/2025</t>
  </si>
  <si>
    <t>LESS: 06/13/2025</t>
  </si>
  <si>
    <t xml:space="preserve">SO # 018, S.2024, SCREENING AND OCULAR INSPECTION OF ATHLETES, COACHES FOR PROVINCIAL SPORTS MEET 2024          </t>
  </si>
  <si>
    <t>2 HRS</t>
  </si>
  <si>
    <t>12 HRS/1.5 DAYS</t>
  </si>
  <si>
    <t>10 HRS/1.2 DAYS</t>
  </si>
  <si>
    <t>10  HRS/1.2 DAYS</t>
  </si>
  <si>
    <t>ADD: 04/1/2024-06/30/2024</t>
  </si>
  <si>
    <t>ADD: 04/1/2025-06/30/2025</t>
  </si>
  <si>
    <t>LESS: MONETIZATION 2025</t>
  </si>
  <si>
    <t>LESS: 06/16-19/2025</t>
  </si>
  <si>
    <t>LESS: 06/20/2025</t>
  </si>
  <si>
    <t>LESS: 07/15/2025</t>
  </si>
  <si>
    <t>ADD: 05/13/2025</t>
  </si>
  <si>
    <t>S.O. # 019, S. 2025 PROVINCIAL MEET 2025</t>
  </si>
  <si>
    <t>LESS: 08/8/2025</t>
  </si>
  <si>
    <t>ADD: 07/1-31/2025</t>
  </si>
  <si>
    <t>LESS: 08/11/2025</t>
  </si>
  <si>
    <t>LESS: 09/19/2025</t>
  </si>
  <si>
    <t>ADD: 06/5/2025</t>
  </si>
  <si>
    <t>S.O. # 028 S. 2025 WVRAA MEET 2025 &amp; SO # 114, S. 2025 PEPT 2024</t>
  </si>
  <si>
    <t>ADD: 08/1/2025-09/30/2025</t>
  </si>
  <si>
    <t>DATE FILED NOV. 3, 2025</t>
  </si>
  <si>
    <t>LESS: 10/7, 8 &amp; 12/22/2025</t>
  </si>
  <si>
    <t>DATE FILED: OCT. 30, 2025</t>
  </si>
  <si>
    <t>LESS: 11/03/2025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</si>
</sst>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4" fillId="0" borderId="0"/>
    <xf numFmtId="0" fontId="14" fillId="0" borderId="0"/>
  </cellStyleXfs>
  <cellXfs count="9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5" fillId="0" borderId="0" xfId="0" applyFont="1"/>
    <xf numFmtId="0" fontId="6" fillId="0" borderId="0" xfId="0" applyFont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0" xfId="0" applyFill="1"/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wrapText="1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9" fillId="11" borderId="13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13" fillId="2" borderId="0" xfId="0" applyFont="1" applyFill="1"/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0" fillId="2" borderId="1" xfId="2" applyFont="1" applyFill="1" applyBorder="1" applyAlignment="1">
      <alignment horizontal="center" vertical="center" wrapText="1"/>
    </xf>
    <xf numFmtId="0" fontId="14" fillId="0" borderId="1" xfId="2" applyBorder="1" applyAlignment="1">
      <alignment horizontal="center" vertical="center" wrapText="1"/>
    </xf>
    <xf numFmtId="0" fontId="5" fillId="0" borderId="0" xfId="2" applyFont="1"/>
    <xf numFmtId="0" fontId="14" fillId="13" borderId="1" xfId="2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0" fillId="2" borderId="14" xfId="2" applyFont="1" applyFill="1" applyBorder="1" applyAlignment="1">
      <alignment horizontal="center" vertical="center" wrapText="1"/>
    </xf>
    <xf numFmtId="0" fontId="10" fillId="2" borderId="12" xfId="2" applyFont="1" applyFill="1" applyBorder="1" applyAlignment="1">
      <alignment horizontal="center" vertical="center" wrapText="1"/>
    </xf>
    <xf numFmtId="0" fontId="10" fillId="2" borderId="15" xfId="2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9" fillId="11" borderId="5" xfId="0" applyFont="1" applyFill="1" applyBorder="1" applyAlignment="1">
      <alignment horizontal="center" vertical="center"/>
    </xf>
    <xf numFmtId="0" fontId="9" fillId="11" borderId="6" xfId="0" applyFont="1" applyFill="1" applyBorder="1" applyAlignment="1">
      <alignment horizontal="center" vertical="center"/>
    </xf>
    <xf numFmtId="0" fontId="9" fillId="12" borderId="9" xfId="0" applyFont="1" applyFill="1" applyBorder="1" applyAlignment="1">
      <alignment horizontal="center" vertical="center"/>
    </xf>
    <xf numFmtId="0" fontId="9" fillId="12" borderId="10" xfId="0" applyFont="1" applyFill="1" applyBorder="1" applyAlignment="1">
      <alignment horizontal="center" vertical="center"/>
    </xf>
    <xf numFmtId="0" fontId="9" fillId="11" borderId="8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 wrapText="1"/>
    </xf>
    <xf numFmtId="0" fontId="10" fillId="10" borderId="12" xfId="0" applyFont="1" applyFill="1" applyBorder="1" applyAlignment="1">
      <alignment horizontal="center" vertical="center" wrapText="1"/>
    </xf>
    <xf numFmtId="0" fontId="10" fillId="10" borderId="15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12" fillId="2" borderId="0" xfId="0" applyFont="1" applyFill="1" applyAlignment="1">
      <alignment horizontal="center" vertical="center"/>
    </xf>
  </cellXfs>
  <cellStyles count="3">
    <cellStyle name="Normal" xfId="0" builtinId="0"/>
    <cellStyle name="Normal 2" xfId="1" xr:uid="{FFBB7E9A-566B-4936-A9BE-985BC4A4A4CF}"/>
    <cellStyle name="Normal 2 2" xfId="2" xr:uid="{BCED6FA9-58F1-4F44-AC7F-B7FFF956E1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357187</xdr:colOff>
      <xdr:row>0</xdr:row>
      <xdr:rowOff>82428</xdr:rowOff>
    </xdr:from>
    <xdr:to>
      <xdr:col>4</xdr:col>
      <xdr:colOff>192331</xdr:colOff>
      <xdr:row>0</xdr:row>
      <xdr:rowOff>668581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6995" y="82428"/>
          <a:ext cx="604471" cy="586153"/>
        </a:xfrm>
        <a:prstGeom prst="rect">
          <a:avLst/>
        </a:prstGeom>
        <a:noFill/>
      </xdr:spPr>
    </xdr:pic>
    <xdr:clientData/>
  </xdr:twoCellAnchor>
  <xdr:twoCellAnchor>
    <xdr:from>
      <xdr:col>0</xdr:col>
      <xdr:colOff>491511</xdr:colOff>
      <xdr:row>5</xdr:row>
      <xdr:rowOff>15265</xdr:rowOff>
    </xdr:from>
    <xdr:to>
      <xdr:col>0</xdr:col>
      <xdr:colOff>2414585</xdr:colOff>
      <xdr:row>7</xdr:row>
      <xdr:rowOff>6108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AD164D0-8D7D-4CCD-AD41-8A4D617563EE}"/>
            </a:ext>
          </a:extLst>
        </xdr:cNvPr>
        <xdr:cNvSpPr txBox="1"/>
      </xdr:nvSpPr>
      <xdr:spPr>
        <a:xfrm>
          <a:off x="491511" y="1425698"/>
          <a:ext cx="1923074" cy="2472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ESTRELLADO, JACLYN KAY 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01795DB-4861-48A2-B4B7-D3A3C38DC620}"/>
            </a:ext>
          </a:extLst>
        </xdr:cNvPr>
        <xdr:cNvSpPr txBox="1"/>
      </xdr:nvSpPr>
      <xdr:spPr>
        <a:xfrm>
          <a:off x="616683" y="1721826"/>
          <a:ext cx="2008799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MO</a:t>
          </a:r>
          <a:r>
            <a:rPr lang="en-US" sz="1100" baseline="0"/>
            <a:t> III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2901F2D-D8D6-4A1B-AEB7-8CA9472FA25B}"/>
            </a:ext>
          </a:extLst>
        </xdr:cNvPr>
        <xdr:cNvSpPr txBox="1"/>
      </xdr:nvSpPr>
      <xdr:spPr>
        <a:xfrm>
          <a:off x="3693991" y="1703510"/>
          <a:ext cx="1532547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74159</xdr:colOff>
      <xdr:row>0</xdr:row>
      <xdr:rowOff>46039</xdr:rowOff>
    </xdr:from>
    <xdr:to>
      <xdr:col>5</xdr:col>
      <xdr:colOff>222250</xdr:colOff>
      <xdr:row>0</xdr:row>
      <xdr:rowOff>635001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AB6D44-7A2C-46B6-A959-6A3F4F840D9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0209" y="46039"/>
          <a:ext cx="757691" cy="588962"/>
        </a:xfrm>
        <a:prstGeom prst="rect">
          <a:avLst/>
        </a:prstGeom>
        <a:noFill/>
      </xdr:spPr>
    </xdr:pic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362FEBA-0B05-46E3-8AC1-612C0DC4D245}"/>
            </a:ext>
          </a:extLst>
        </xdr:cNvPr>
        <xdr:cNvSpPr txBox="1"/>
      </xdr:nvSpPr>
      <xdr:spPr>
        <a:xfrm>
          <a:off x="654051" y="168275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MO</a:t>
          </a:r>
          <a:r>
            <a:rPr lang="en-US" sz="1100" baseline="0"/>
            <a:t> III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474E457-228D-4AC5-905C-1428DC2A77C3}"/>
            </a:ext>
          </a:extLst>
        </xdr:cNvPr>
        <xdr:cNvSpPr txBox="1"/>
      </xdr:nvSpPr>
      <xdr:spPr>
        <a:xfrm>
          <a:off x="3517673" y="1706110"/>
          <a:ext cx="172085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</a:t>
          </a:r>
        </a:p>
      </xdr:txBody>
    </xdr:sp>
    <xdr:clientData/>
  </xdr:twoCellAnchor>
  <xdr:twoCellAnchor>
    <xdr:from>
      <xdr:col>0</xdr:col>
      <xdr:colOff>562183</xdr:colOff>
      <xdr:row>4</xdr:row>
      <xdr:rowOff>148618</xdr:rowOff>
    </xdr:from>
    <xdr:to>
      <xdr:col>1</xdr:col>
      <xdr:colOff>1065797</xdr:colOff>
      <xdr:row>6</xdr:row>
      <xdr:rowOff>93215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0647917-6E09-4614-A0E3-38096DABEA5C}"/>
            </a:ext>
          </a:extLst>
        </xdr:cNvPr>
        <xdr:cNvSpPr txBox="1"/>
      </xdr:nvSpPr>
      <xdr:spPr>
        <a:xfrm>
          <a:off x="562183" y="1359822"/>
          <a:ext cx="2008799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ESTRELLADO, JACLYN KAY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265662</xdr:colOff>
      <xdr:row>0</xdr:row>
      <xdr:rowOff>28769</xdr:rowOff>
    </xdr:from>
    <xdr:to>
      <xdr:col>5</xdr:col>
      <xdr:colOff>293071</xdr:colOff>
      <xdr:row>0</xdr:row>
      <xdr:rowOff>654439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018324-BFF7-40F7-A2A6-A3C57F9EBAF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85815" y="28769"/>
          <a:ext cx="701287" cy="62567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960ACA0-01C7-4F83-8414-400905B9AA46}"/>
            </a:ext>
          </a:extLst>
        </xdr:cNvPr>
        <xdr:cNvSpPr txBox="1"/>
      </xdr:nvSpPr>
      <xdr:spPr>
        <a:xfrm>
          <a:off x="76200" y="4572000"/>
          <a:ext cx="3200400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777551</xdr:colOff>
      <xdr:row>5</xdr:row>
      <xdr:rowOff>77755</xdr:rowOff>
    </xdr:from>
    <xdr:to>
      <xdr:col>1</xdr:col>
      <xdr:colOff>414694</xdr:colOff>
      <xdr:row>7</xdr:row>
      <xdr:rowOff>116633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8590F94-5A67-4EF1-9799-27AD06F93477}"/>
            </a:ext>
          </a:extLst>
        </xdr:cNvPr>
        <xdr:cNvSpPr txBox="1"/>
      </xdr:nvSpPr>
      <xdr:spPr>
        <a:xfrm>
          <a:off x="777551" y="1483826"/>
          <a:ext cx="1535663" cy="24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0</xdr:col>
      <xdr:colOff>751632</xdr:colOff>
      <xdr:row>8</xdr:row>
      <xdr:rowOff>38877</xdr:rowOff>
    </xdr:from>
    <xdr:to>
      <xdr:col>1</xdr:col>
      <xdr:colOff>213827</xdr:colOff>
      <xdr:row>9</xdr:row>
      <xdr:rowOff>116632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EE1833C-B7ED-4F2A-89E4-F9B86B46FCDC}"/>
            </a:ext>
          </a:extLst>
        </xdr:cNvPr>
        <xdr:cNvSpPr txBox="1"/>
      </xdr:nvSpPr>
      <xdr:spPr>
        <a:xfrm>
          <a:off x="751632" y="1807806"/>
          <a:ext cx="1360715" cy="2332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3</xdr:col>
      <xdr:colOff>498928</xdr:colOff>
      <xdr:row>7</xdr:row>
      <xdr:rowOff>97194</xdr:rowOff>
    </xdr:from>
    <xdr:to>
      <xdr:col>6</xdr:col>
      <xdr:colOff>9843</xdr:colOff>
      <xdr:row>9</xdr:row>
      <xdr:rowOff>36510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C8F4098-C390-4FBD-9886-1524C985E894}"/>
            </a:ext>
          </a:extLst>
        </xdr:cNvPr>
        <xdr:cNvSpPr txBox="1"/>
      </xdr:nvSpPr>
      <xdr:spPr>
        <a:xfrm>
          <a:off x="3745204" y="1710612"/>
          <a:ext cx="1532547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1"/>
  <sheetViews>
    <sheetView tabSelected="1" view="pageBreakPreview" topLeftCell="A49" zoomScale="104" zoomScaleNormal="100" zoomScaleSheetLayoutView="104" workbookViewId="0">
      <selection activeCell="A67" sqref="A67"/>
    </sheetView>
  </sheetViews>
  <sheetFormatPr defaultRowHeight="15" x14ac:dyDescent="0.25"/>
  <cols>
    <col min="1" max="1" width="31" customWidth="1"/>
    <col min="2" max="2" width="11.5703125" style="15" customWidth="1"/>
    <col min="3" max="3" width="11.5703125" style="16" customWidth="1"/>
    <col min="4" max="4" width="11.5703125" style="15" customWidth="1"/>
    <col min="5" max="5" width="11.5703125" style="16" customWidth="1"/>
    <col min="6" max="7" width="11.5703125" style="19" customWidth="1"/>
    <col min="8" max="8" width="11.5703125" style="15" customWidth="1"/>
    <col min="9" max="9" width="11.5703125" style="16" customWidth="1"/>
    <col min="10" max="10" width="11.5703125" customWidth="1"/>
  </cols>
  <sheetData>
    <row r="1" spans="1:10" s="1" customFormat="1" ht="52.5" customHeight="1" x14ac:dyDescent="0.25"/>
    <row r="2" spans="1:10" s="1" customFormat="1" ht="10.5" customHeight="1" x14ac:dyDescent="0.25">
      <c r="A2" s="68" t="s">
        <v>11</v>
      </c>
      <c r="B2" s="68"/>
      <c r="C2" s="68"/>
      <c r="D2" s="68"/>
      <c r="E2" s="68"/>
      <c r="F2" s="68"/>
      <c r="G2" s="68"/>
      <c r="H2" s="68"/>
      <c r="I2" s="68"/>
      <c r="J2" s="68"/>
    </row>
    <row r="3" spans="1:10" s="1" customFormat="1" ht="15.95" customHeight="1" x14ac:dyDescent="0.25">
      <c r="A3" s="68" t="s">
        <v>12</v>
      </c>
      <c r="B3" s="68"/>
      <c r="C3" s="68"/>
      <c r="D3" s="68"/>
      <c r="E3" s="68"/>
      <c r="F3" s="68"/>
      <c r="G3" s="68"/>
      <c r="H3" s="68"/>
      <c r="I3" s="68"/>
      <c r="J3" s="68"/>
    </row>
    <row r="4" spans="1:10" s="1" customFormat="1" ht="15.95" customHeight="1" x14ac:dyDescent="0.25">
      <c r="A4" s="68" t="s">
        <v>13</v>
      </c>
      <c r="B4" s="68"/>
      <c r="C4" s="68"/>
      <c r="D4" s="68"/>
      <c r="E4" s="68"/>
      <c r="F4" s="68"/>
      <c r="G4" s="68"/>
      <c r="H4" s="68"/>
      <c r="I4" s="68"/>
      <c r="J4" s="68"/>
    </row>
    <row r="5" spans="1:10" s="1" customFormat="1" ht="15.95" customHeight="1" x14ac:dyDescent="0.25">
      <c r="A5" s="68" t="s">
        <v>14</v>
      </c>
      <c r="B5" s="68"/>
      <c r="C5" s="68"/>
      <c r="D5" s="68"/>
      <c r="E5" s="68"/>
      <c r="F5" s="68"/>
      <c r="G5" s="68"/>
      <c r="H5" s="68"/>
      <c r="I5" s="68"/>
      <c r="J5" s="68"/>
    </row>
    <row r="6" spans="1:10" s="1" customFormat="1" ht="8.25" customHeight="1" x14ac:dyDescent="0.25"/>
    <row r="7" spans="1:10" s="1" customFormat="1" ht="12" customHeight="1" x14ac:dyDescent="0.25">
      <c r="A7" s="1" t="s">
        <v>33</v>
      </c>
      <c r="B7" s="67" t="s">
        <v>35</v>
      </c>
      <c r="C7" s="67"/>
      <c r="D7" s="67"/>
      <c r="H7" s="3" t="s">
        <v>9</v>
      </c>
      <c r="I7" s="34"/>
      <c r="J7" s="3"/>
    </row>
    <row r="8" spans="1:10" s="1" customFormat="1" ht="12" customHeight="1" x14ac:dyDescent="0.25">
      <c r="B8" s="2"/>
      <c r="C8" s="2"/>
      <c r="H8" s="2"/>
      <c r="I8" s="2"/>
      <c r="J8" s="2"/>
    </row>
    <row r="9" spans="1:10" s="1" customFormat="1" ht="12" customHeight="1" x14ac:dyDescent="0.25">
      <c r="A9" s="1" t="s">
        <v>34</v>
      </c>
      <c r="B9" s="67" t="s">
        <v>36</v>
      </c>
      <c r="C9" s="67"/>
      <c r="D9" s="67"/>
      <c r="H9" s="3" t="s">
        <v>10</v>
      </c>
      <c r="I9" s="4"/>
      <c r="J9" s="3"/>
    </row>
    <row r="10" spans="1:10" ht="16.5" customHeight="1" thickBot="1" x14ac:dyDescent="0.3">
      <c r="A10" s="56" t="s">
        <v>0</v>
      </c>
      <c r="B10" s="56"/>
      <c r="C10" s="56"/>
      <c r="D10" s="56"/>
      <c r="E10" s="56"/>
      <c r="F10" s="56"/>
      <c r="G10" s="56"/>
      <c r="H10" s="56"/>
      <c r="I10" s="56"/>
      <c r="J10" s="56"/>
    </row>
    <row r="11" spans="1:10" s="6" customFormat="1" ht="18.75" customHeight="1" x14ac:dyDescent="0.2">
      <c r="A11" s="57" t="s">
        <v>4</v>
      </c>
      <c r="B11" s="61" t="s">
        <v>5</v>
      </c>
      <c r="C11" s="62"/>
      <c r="D11" s="63" t="s">
        <v>6</v>
      </c>
      <c r="E11" s="64"/>
      <c r="F11" s="64"/>
      <c r="G11" s="32"/>
      <c r="H11" s="65" t="s">
        <v>7</v>
      </c>
      <c r="I11" s="66"/>
      <c r="J11" s="59" t="s">
        <v>8</v>
      </c>
    </row>
    <row r="12" spans="1:10" s="6" customFormat="1" ht="51" customHeight="1" x14ac:dyDescent="0.2">
      <c r="A12" s="58"/>
      <c r="B12" s="14" t="s">
        <v>1</v>
      </c>
      <c r="C12" s="17" t="s">
        <v>2</v>
      </c>
      <c r="D12" s="14" t="s">
        <v>1</v>
      </c>
      <c r="E12" s="17" t="s">
        <v>2</v>
      </c>
      <c r="F12" s="18" t="s">
        <v>3</v>
      </c>
      <c r="G12" s="33" t="s">
        <v>41</v>
      </c>
      <c r="H12" s="14" t="s">
        <v>1</v>
      </c>
      <c r="I12" s="17" t="s">
        <v>2</v>
      </c>
      <c r="J12" s="60"/>
    </row>
    <row r="13" spans="1:10" s="6" customFormat="1" ht="15.95" customHeight="1" x14ac:dyDescent="0.2">
      <c r="A13" s="8" t="s">
        <v>47</v>
      </c>
      <c r="B13" s="13">
        <v>0.45800000000000002</v>
      </c>
      <c r="C13" s="13">
        <v>0.45800000000000002</v>
      </c>
      <c r="D13" s="13"/>
      <c r="E13" s="13"/>
      <c r="F13" s="13"/>
      <c r="G13" s="13"/>
      <c r="H13" s="13">
        <f>B13</f>
        <v>0.45800000000000002</v>
      </c>
      <c r="I13" s="13">
        <f>C13</f>
        <v>0.45800000000000002</v>
      </c>
      <c r="J13" s="46">
        <f t="shared" ref="J13:J14" si="0">H13+I13</f>
        <v>0.91600000000000004</v>
      </c>
    </row>
    <row r="14" spans="1:10" s="5" customFormat="1" ht="15.95" customHeight="1" x14ac:dyDescent="0.2">
      <c r="A14" s="10" t="s">
        <v>48</v>
      </c>
      <c r="B14" s="13">
        <v>1.25</v>
      </c>
      <c r="C14" s="13">
        <v>1.25</v>
      </c>
      <c r="D14" s="13"/>
      <c r="E14" s="13"/>
      <c r="F14" s="13"/>
      <c r="G14" s="13"/>
      <c r="H14" s="13">
        <f>H13-F14-D14+B14</f>
        <v>1.708</v>
      </c>
      <c r="I14" s="13">
        <f>I13-E14+C14</f>
        <v>1.708</v>
      </c>
      <c r="J14" s="46">
        <f t="shared" si="0"/>
        <v>3.4159999999999999</v>
      </c>
    </row>
    <row r="15" spans="1:10" s="5" customFormat="1" ht="15.95" customHeight="1" x14ac:dyDescent="0.2">
      <c r="A15" s="10" t="s">
        <v>49</v>
      </c>
      <c r="B15" s="13"/>
      <c r="C15" s="13"/>
      <c r="D15" s="13"/>
      <c r="E15" s="13"/>
      <c r="F15" s="13"/>
      <c r="G15" s="13">
        <v>1</v>
      </c>
      <c r="H15" s="13">
        <f t="shared" ref="H15:H27" si="1">H14-F15-D15+B15</f>
        <v>1.708</v>
      </c>
      <c r="I15" s="13">
        <f t="shared" ref="I15:I27" si="2">I14-E15+C15</f>
        <v>1.708</v>
      </c>
      <c r="J15" s="46">
        <f t="shared" ref="J15:J27" si="3">H15+I15</f>
        <v>3.4159999999999999</v>
      </c>
    </row>
    <row r="16" spans="1:10" s="5" customFormat="1" ht="15.95" customHeight="1" x14ac:dyDescent="0.2">
      <c r="A16" s="10" t="s">
        <v>54</v>
      </c>
      <c r="B16" s="13">
        <v>1.25</v>
      </c>
      <c r="C16" s="13">
        <v>1.25</v>
      </c>
      <c r="D16" s="13"/>
      <c r="E16" s="13"/>
      <c r="F16" s="13"/>
      <c r="G16" s="13"/>
      <c r="H16" s="13">
        <f t="shared" si="1"/>
        <v>2.9580000000000002</v>
      </c>
      <c r="I16" s="13">
        <f t="shared" si="2"/>
        <v>2.9580000000000002</v>
      </c>
      <c r="J16" s="46">
        <f t="shared" si="3"/>
        <v>5.9160000000000004</v>
      </c>
    </row>
    <row r="17" spans="1:10" s="5" customFormat="1" ht="15.95" customHeight="1" x14ac:dyDescent="0.2">
      <c r="A17" s="10" t="s">
        <v>55</v>
      </c>
      <c r="B17" s="13"/>
      <c r="C17" s="13"/>
      <c r="D17" s="13"/>
      <c r="E17" s="13"/>
      <c r="F17" s="13"/>
      <c r="G17" s="13">
        <v>1</v>
      </c>
      <c r="H17" s="13">
        <f t="shared" si="1"/>
        <v>2.9580000000000002</v>
      </c>
      <c r="I17" s="13">
        <f t="shared" si="2"/>
        <v>2.9580000000000002</v>
      </c>
      <c r="J17" s="46">
        <f t="shared" si="3"/>
        <v>5.9160000000000004</v>
      </c>
    </row>
    <row r="18" spans="1:10" s="5" customFormat="1" ht="15.95" customHeight="1" x14ac:dyDescent="0.2">
      <c r="A18" s="10" t="s">
        <v>56</v>
      </c>
      <c r="B18" s="13"/>
      <c r="C18" s="13"/>
      <c r="D18" s="13"/>
      <c r="E18" s="13">
        <v>2</v>
      </c>
      <c r="F18" s="13"/>
      <c r="G18" s="13"/>
      <c r="H18" s="13">
        <f t="shared" si="1"/>
        <v>2.9580000000000002</v>
      </c>
      <c r="I18" s="13">
        <f t="shared" si="2"/>
        <v>0.95800000000000018</v>
      </c>
      <c r="J18" s="46">
        <f t="shared" si="3"/>
        <v>3.9160000000000004</v>
      </c>
    </row>
    <row r="19" spans="1:10" s="5" customFormat="1" ht="15.95" customHeight="1" x14ac:dyDescent="0.2">
      <c r="A19" s="10" t="s">
        <v>57</v>
      </c>
      <c r="B19" s="13"/>
      <c r="C19" s="13"/>
      <c r="D19" s="13">
        <v>1</v>
      </c>
      <c r="E19" s="13"/>
      <c r="F19" s="13">
        <v>1</v>
      </c>
      <c r="G19" s="13"/>
      <c r="H19" s="13">
        <f t="shared" si="1"/>
        <v>0.95800000000000018</v>
      </c>
      <c r="I19" s="13">
        <f t="shared" si="2"/>
        <v>0.95800000000000018</v>
      </c>
      <c r="J19" s="46">
        <f t="shared" si="3"/>
        <v>1.9160000000000004</v>
      </c>
    </row>
    <row r="20" spans="1:10" s="5" customFormat="1" ht="15.95" customHeight="1" x14ac:dyDescent="0.2">
      <c r="A20" s="10" t="s">
        <v>59</v>
      </c>
      <c r="B20" s="13">
        <v>1.25</v>
      </c>
      <c r="C20" s="13">
        <v>1.25</v>
      </c>
      <c r="D20" s="13"/>
      <c r="E20" s="13"/>
      <c r="F20" s="13"/>
      <c r="G20" s="13"/>
      <c r="H20" s="13">
        <f t="shared" si="1"/>
        <v>2.2080000000000002</v>
      </c>
      <c r="I20" s="13">
        <f t="shared" si="2"/>
        <v>2.2080000000000002</v>
      </c>
      <c r="J20" s="46">
        <f t="shared" si="3"/>
        <v>4.4160000000000004</v>
      </c>
    </row>
    <row r="21" spans="1:10" s="5" customFormat="1" ht="15.95" customHeight="1" x14ac:dyDescent="0.2">
      <c r="A21" s="10" t="s">
        <v>58</v>
      </c>
      <c r="B21" s="13"/>
      <c r="C21" s="13"/>
      <c r="D21" s="13"/>
      <c r="E21" s="13"/>
      <c r="F21" s="13"/>
      <c r="G21" s="13">
        <v>1</v>
      </c>
      <c r="H21" s="13">
        <f t="shared" si="1"/>
        <v>2.2080000000000002</v>
      </c>
      <c r="I21" s="13">
        <f t="shared" si="2"/>
        <v>2.2080000000000002</v>
      </c>
      <c r="J21" s="46">
        <f t="shared" si="3"/>
        <v>4.4160000000000004</v>
      </c>
    </row>
    <row r="22" spans="1:10" s="5" customFormat="1" ht="15.95" customHeight="1" x14ac:dyDescent="0.2">
      <c r="A22" s="10" t="s">
        <v>63</v>
      </c>
      <c r="B22" s="13">
        <v>2.5</v>
      </c>
      <c r="C22" s="13">
        <v>2.5</v>
      </c>
      <c r="D22" s="13"/>
      <c r="E22" s="13"/>
      <c r="F22" s="13"/>
      <c r="G22" s="13"/>
      <c r="H22" s="13">
        <f t="shared" si="1"/>
        <v>4.7080000000000002</v>
      </c>
      <c r="I22" s="13">
        <f t="shared" si="2"/>
        <v>4.7080000000000002</v>
      </c>
      <c r="J22" s="46">
        <f t="shared" si="3"/>
        <v>9.4160000000000004</v>
      </c>
    </row>
    <row r="23" spans="1:10" s="5" customFormat="1" ht="15.95" customHeight="1" x14ac:dyDescent="0.2">
      <c r="A23" s="8" t="s">
        <v>64</v>
      </c>
      <c r="B23" s="8"/>
      <c r="C23" s="8"/>
      <c r="D23" s="8"/>
      <c r="E23" s="13">
        <v>1</v>
      </c>
      <c r="F23" s="8"/>
      <c r="G23" s="8"/>
      <c r="H23" s="13">
        <f t="shared" si="1"/>
        <v>4.7080000000000002</v>
      </c>
      <c r="I23" s="13">
        <f t="shared" si="2"/>
        <v>3.7080000000000002</v>
      </c>
      <c r="J23" s="46">
        <f t="shared" si="3"/>
        <v>8.4160000000000004</v>
      </c>
    </row>
    <row r="24" spans="1:10" s="5" customFormat="1" ht="15.95" customHeight="1" x14ac:dyDescent="0.2">
      <c r="A24" s="8" t="s">
        <v>65</v>
      </c>
      <c r="B24" s="8"/>
      <c r="C24" s="8"/>
      <c r="D24" s="8"/>
      <c r="E24" s="13">
        <v>1</v>
      </c>
      <c r="F24" s="8"/>
      <c r="G24" s="8"/>
      <c r="H24" s="13">
        <f t="shared" si="1"/>
        <v>4.7080000000000002</v>
      </c>
      <c r="I24" s="13">
        <f t="shared" si="2"/>
        <v>2.7080000000000002</v>
      </c>
      <c r="J24" s="46">
        <f t="shared" si="3"/>
        <v>7.4160000000000004</v>
      </c>
    </row>
    <row r="25" spans="1:10" ht="15.95" customHeight="1" x14ac:dyDescent="0.25">
      <c r="A25" s="8" t="s">
        <v>66</v>
      </c>
      <c r="B25" s="8">
        <v>1.25</v>
      </c>
      <c r="C25" s="8">
        <v>1.25</v>
      </c>
      <c r="D25" s="8"/>
      <c r="E25" s="8"/>
      <c r="F25" s="8"/>
      <c r="G25" s="8"/>
      <c r="H25" s="13">
        <f t="shared" si="1"/>
        <v>5.9580000000000002</v>
      </c>
      <c r="I25" s="13">
        <f t="shared" si="2"/>
        <v>3.9580000000000002</v>
      </c>
      <c r="J25" s="46">
        <f t="shared" si="3"/>
        <v>9.9160000000000004</v>
      </c>
    </row>
    <row r="26" spans="1:10" ht="18.95" customHeight="1" x14ac:dyDescent="0.25">
      <c r="A26" s="8" t="s">
        <v>67</v>
      </c>
      <c r="B26" s="8"/>
      <c r="C26" s="8"/>
      <c r="D26" s="8"/>
      <c r="E26" s="8">
        <v>1</v>
      </c>
      <c r="F26" s="8"/>
      <c r="G26" s="8"/>
      <c r="H26" s="13">
        <f t="shared" si="1"/>
        <v>5.9580000000000002</v>
      </c>
      <c r="I26" s="13">
        <f t="shared" si="2"/>
        <v>2.9580000000000002</v>
      </c>
      <c r="J26" s="46">
        <f t="shared" si="3"/>
        <v>8.9160000000000004</v>
      </c>
    </row>
    <row r="27" spans="1:10" ht="18.95" customHeight="1" x14ac:dyDescent="0.25">
      <c r="A27" s="8" t="s">
        <v>69</v>
      </c>
      <c r="B27" s="8"/>
      <c r="C27" s="8"/>
      <c r="D27" s="8"/>
      <c r="E27" s="8"/>
      <c r="F27" s="8">
        <v>4</v>
      </c>
      <c r="G27" s="8"/>
      <c r="H27" s="13">
        <f t="shared" si="1"/>
        <v>1.9580000000000002</v>
      </c>
      <c r="I27" s="13">
        <f t="shared" si="2"/>
        <v>2.9580000000000002</v>
      </c>
      <c r="J27" s="46">
        <f t="shared" si="3"/>
        <v>4.9160000000000004</v>
      </c>
    </row>
    <row r="28" spans="1:10" ht="18.95" customHeight="1" x14ac:dyDescent="0.25">
      <c r="A28" s="8" t="s">
        <v>70</v>
      </c>
      <c r="B28" s="8">
        <v>2.5</v>
      </c>
      <c r="C28" s="8">
        <v>2.5</v>
      </c>
      <c r="D28" s="8"/>
      <c r="E28" s="8"/>
      <c r="F28" s="8"/>
      <c r="G28" s="8"/>
      <c r="H28" s="13">
        <f t="shared" ref="H28:H29" si="4">H27-F28-D28+B28</f>
        <v>4.4580000000000002</v>
      </c>
      <c r="I28" s="13">
        <f t="shared" ref="I28:I29" si="5">I27-E28+C28</f>
        <v>5.4580000000000002</v>
      </c>
      <c r="J28" s="46">
        <f t="shared" ref="J28:J29" si="6">H28+I28</f>
        <v>9.9160000000000004</v>
      </c>
    </row>
    <row r="29" spans="1:10" ht="18.95" customHeight="1" x14ac:dyDescent="0.25">
      <c r="A29" s="8" t="s">
        <v>71</v>
      </c>
      <c r="B29" s="8"/>
      <c r="C29" s="8"/>
      <c r="D29" s="8"/>
      <c r="E29" s="8">
        <v>1</v>
      </c>
      <c r="F29" s="8"/>
      <c r="G29" s="8"/>
      <c r="H29" s="13">
        <f t="shared" si="4"/>
        <v>4.4580000000000002</v>
      </c>
      <c r="I29" s="13">
        <f t="shared" si="5"/>
        <v>4.4580000000000002</v>
      </c>
      <c r="J29" s="46">
        <f t="shared" si="6"/>
        <v>8.9160000000000004</v>
      </c>
    </row>
    <row r="30" spans="1:10" ht="18.95" customHeight="1" x14ac:dyDescent="0.25">
      <c r="A30" s="8" t="s">
        <v>72</v>
      </c>
      <c r="B30" s="8">
        <v>1.25</v>
      </c>
      <c r="C30" s="8">
        <v>1.25</v>
      </c>
      <c r="D30" s="8"/>
      <c r="E30" s="8"/>
      <c r="F30" s="8"/>
      <c r="G30" s="8"/>
      <c r="H30" s="13">
        <f t="shared" ref="H30:H36" si="7">H29-F30-D30+B30</f>
        <v>5.7080000000000002</v>
      </c>
      <c r="I30" s="13">
        <f t="shared" ref="I30:I36" si="8">I29-E30+C30</f>
        <v>5.7080000000000002</v>
      </c>
      <c r="J30" s="46">
        <f t="shared" ref="J30:J36" si="9">H30+I30</f>
        <v>11.416</v>
      </c>
    </row>
    <row r="31" spans="1:10" ht="18.95" customHeight="1" x14ac:dyDescent="0.25">
      <c r="A31" s="8" t="s">
        <v>73</v>
      </c>
      <c r="B31" s="8"/>
      <c r="C31" s="8"/>
      <c r="D31" s="8">
        <v>3</v>
      </c>
      <c r="E31" s="8"/>
      <c r="F31" s="8"/>
      <c r="G31" s="8"/>
      <c r="H31" s="13">
        <f>H30-F31-D31+B31</f>
        <v>2.7080000000000002</v>
      </c>
      <c r="I31" s="13">
        <f>I30-E31+C31</f>
        <v>5.7080000000000002</v>
      </c>
      <c r="J31" s="46">
        <f t="shared" si="9"/>
        <v>8.4160000000000004</v>
      </c>
    </row>
    <row r="32" spans="1:10" ht="18.95" customHeight="1" x14ac:dyDescent="0.25">
      <c r="A32" s="8" t="s">
        <v>75</v>
      </c>
      <c r="B32" s="13">
        <v>1.25</v>
      </c>
      <c r="C32" s="13">
        <v>1.25</v>
      </c>
      <c r="D32" s="8"/>
      <c r="E32" s="8"/>
      <c r="F32" s="8"/>
      <c r="G32" s="8"/>
      <c r="H32" s="13">
        <f t="shared" si="7"/>
        <v>3.9580000000000002</v>
      </c>
      <c r="I32" s="13">
        <f t="shared" si="8"/>
        <v>6.9580000000000002</v>
      </c>
      <c r="J32" s="47">
        <f t="shared" si="9"/>
        <v>10.916</v>
      </c>
    </row>
    <row r="33" spans="1:10" ht="18.95" customHeight="1" x14ac:dyDescent="0.25">
      <c r="A33" s="8" t="s">
        <v>76</v>
      </c>
      <c r="B33" s="13"/>
      <c r="C33" s="13"/>
      <c r="D33" s="8"/>
      <c r="E33" s="8"/>
      <c r="F33" s="31">
        <v>3</v>
      </c>
      <c r="G33" s="31"/>
      <c r="H33" s="13">
        <f t="shared" si="7"/>
        <v>0.95800000000000018</v>
      </c>
      <c r="I33" s="13">
        <f t="shared" si="8"/>
        <v>6.9580000000000002</v>
      </c>
      <c r="J33" s="47">
        <f t="shared" si="9"/>
        <v>7.9160000000000004</v>
      </c>
    </row>
    <row r="34" spans="1:10" ht="18.95" customHeight="1" x14ac:dyDescent="0.25">
      <c r="A34" s="8" t="s">
        <v>77</v>
      </c>
      <c r="B34" s="13"/>
      <c r="C34" s="13"/>
      <c r="D34" s="8"/>
      <c r="E34" s="8">
        <v>2</v>
      </c>
      <c r="F34" s="31"/>
      <c r="G34" s="31"/>
      <c r="H34" s="13">
        <f t="shared" si="7"/>
        <v>0.95800000000000018</v>
      </c>
      <c r="I34" s="13">
        <f t="shared" si="8"/>
        <v>4.9580000000000002</v>
      </c>
      <c r="J34" s="47">
        <f t="shared" si="9"/>
        <v>5.9160000000000004</v>
      </c>
    </row>
    <row r="35" spans="1:10" ht="18.95" customHeight="1" x14ac:dyDescent="0.25">
      <c r="A35" s="8" t="s">
        <v>78</v>
      </c>
      <c r="B35" s="13">
        <v>1.25</v>
      </c>
      <c r="C35" s="13">
        <v>1.25</v>
      </c>
      <c r="D35" s="8"/>
      <c r="E35" s="8"/>
      <c r="F35" s="31"/>
      <c r="G35" s="31"/>
      <c r="H35" s="13">
        <f t="shared" si="7"/>
        <v>2.2080000000000002</v>
      </c>
      <c r="I35" s="13">
        <f t="shared" si="8"/>
        <v>6.2080000000000002</v>
      </c>
      <c r="J35" s="47">
        <f t="shared" si="9"/>
        <v>8.4160000000000004</v>
      </c>
    </row>
    <row r="36" spans="1:10" ht="18.95" customHeight="1" x14ac:dyDescent="0.25">
      <c r="A36" s="8" t="s">
        <v>79</v>
      </c>
      <c r="B36" s="13"/>
      <c r="C36" s="13"/>
      <c r="D36" s="8"/>
      <c r="E36" s="8">
        <v>1</v>
      </c>
      <c r="F36" s="31"/>
      <c r="G36" s="31"/>
      <c r="H36" s="13">
        <f t="shared" si="7"/>
        <v>2.2080000000000002</v>
      </c>
      <c r="I36" s="13">
        <f t="shared" si="8"/>
        <v>5.2080000000000002</v>
      </c>
      <c r="J36" s="47">
        <f t="shared" si="9"/>
        <v>7.4160000000000004</v>
      </c>
    </row>
    <row r="37" spans="1:10" ht="18.95" customHeight="1" x14ac:dyDescent="0.25">
      <c r="A37" s="8" t="s">
        <v>84</v>
      </c>
      <c r="B37" s="13">
        <v>1.25</v>
      </c>
      <c r="C37" s="13">
        <v>1.25</v>
      </c>
      <c r="D37" s="8"/>
      <c r="E37" s="8"/>
      <c r="F37" s="31"/>
      <c r="G37" s="31"/>
      <c r="H37" s="13">
        <f t="shared" ref="H37" si="10">H36-F37-D37+B37</f>
        <v>3.4580000000000002</v>
      </c>
      <c r="I37" s="13">
        <f t="shared" ref="I37" si="11">I36-E37+C37</f>
        <v>6.4580000000000002</v>
      </c>
      <c r="J37" s="47">
        <f t="shared" ref="J37" si="12">H37+I37</f>
        <v>9.9160000000000004</v>
      </c>
    </row>
    <row r="38" spans="1:10" ht="18.95" customHeight="1" x14ac:dyDescent="0.25">
      <c r="A38" s="8" t="s">
        <v>130</v>
      </c>
      <c r="B38" s="13">
        <v>3.75</v>
      </c>
      <c r="C38" s="13">
        <v>3.75</v>
      </c>
      <c r="D38" s="8"/>
      <c r="E38" s="8"/>
      <c r="F38" s="31"/>
      <c r="G38" s="31"/>
      <c r="H38" s="13">
        <f t="shared" ref="H38" si="13">H37-F38-D38+B38</f>
        <v>7.2080000000000002</v>
      </c>
      <c r="I38" s="13">
        <f t="shared" ref="I38" si="14">I37-E38+C38</f>
        <v>10.208</v>
      </c>
      <c r="J38" s="47">
        <f t="shared" ref="J38" si="15">H38+I38</f>
        <v>17.416</v>
      </c>
    </row>
    <row r="39" spans="1:10" ht="18.95" customHeight="1" x14ac:dyDescent="0.25">
      <c r="A39" s="8" t="s">
        <v>94</v>
      </c>
      <c r="B39" s="13"/>
      <c r="C39" s="13"/>
      <c r="D39" s="8"/>
      <c r="E39" s="8"/>
      <c r="F39" s="31">
        <v>1</v>
      </c>
      <c r="G39" s="31"/>
      <c r="H39" s="13">
        <f t="shared" ref="H39" si="16">H38-F39-D39+B39</f>
        <v>6.2080000000000002</v>
      </c>
      <c r="I39" s="13">
        <f t="shared" ref="I39" si="17">I38-E39+C39</f>
        <v>10.208</v>
      </c>
      <c r="J39" s="47">
        <f t="shared" ref="J39" si="18">H39+I39</f>
        <v>16.416</v>
      </c>
    </row>
    <row r="40" spans="1:10" ht="18.95" customHeight="1" x14ac:dyDescent="0.25">
      <c r="A40" s="31" t="s">
        <v>98</v>
      </c>
      <c r="B40" s="48">
        <v>3.75</v>
      </c>
      <c r="C40" s="48">
        <v>3.75</v>
      </c>
      <c r="D40" s="31"/>
      <c r="E40" s="31"/>
      <c r="F40" s="31"/>
      <c r="G40" s="31"/>
      <c r="H40" s="13">
        <f t="shared" ref="H40" si="19">H39-F40-D40+B40</f>
        <v>9.9580000000000002</v>
      </c>
      <c r="I40" s="13">
        <f t="shared" ref="I40" si="20">I39-E40+C40</f>
        <v>13.958</v>
      </c>
      <c r="J40" s="47">
        <f t="shared" ref="J40" si="21">H40+I40</f>
        <v>23.916</v>
      </c>
    </row>
    <row r="41" spans="1:10" ht="18.95" customHeight="1" x14ac:dyDescent="0.25">
      <c r="A41" s="31" t="s">
        <v>99</v>
      </c>
      <c r="B41" s="48"/>
      <c r="C41" s="48"/>
      <c r="D41" s="31"/>
      <c r="E41" s="31">
        <v>1</v>
      </c>
      <c r="F41" s="31"/>
      <c r="G41" s="31"/>
      <c r="H41" s="13">
        <f t="shared" ref="H41" si="22">H40-F41-D41+B41</f>
        <v>9.9580000000000002</v>
      </c>
      <c r="I41" s="13">
        <f t="shared" ref="I41" si="23">I40-E41+C41</f>
        <v>12.958</v>
      </c>
      <c r="J41" s="47">
        <f t="shared" ref="J41" si="24">H41+I41</f>
        <v>22.916</v>
      </c>
    </row>
    <row r="42" spans="1:10" ht="18.95" customHeight="1" x14ac:dyDescent="0.25">
      <c r="A42" s="31" t="s">
        <v>102</v>
      </c>
      <c r="B42" s="48">
        <v>1.25</v>
      </c>
      <c r="C42" s="48">
        <v>1.25</v>
      </c>
      <c r="D42" s="31"/>
      <c r="E42" s="31"/>
      <c r="F42" s="31"/>
      <c r="G42" s="31"/>
      <c r="H42" s="13">
        <f t="shared" ref="H42:H43" si="25">H41-F42-D42+B42</f>
        <v>11.208</v>
      </c>
      <c r="I42" s="13">
        <f t="shared" ref="I42:I43" si="26">I41-E42+C42</f>
        <v>14.208</v>
      </c>
      <c r="J42" s="47">
        <f t="shared" ref="J42:J43" si="27">H42+I42</f>
        <v>25.416</v>
      </c>
    </row>
    <row r="43" spans="1:10" ht="18.95" customHeight="1" x14ac:dyDescent="0.25">
      <c r="A43" s="31" t="s">
        <v>100</v>
      </c>
      <c r="B43" s="48"/>
      <c r="C43" s="48"/>
      <c r="D43" s="31"/>
      <c r="E43" s="31">
        <v>1</v>
      </c>
      <c r="F43" s="31"/>
      <c r="G43" s="31"/>
      <c r="H43" s="13">
        <f t="shared" si="25"/>
        <v>11.208</v>
      </c>
      <c r="I43" s="13">
        <f t="shared" si="26"/>
        <v>13.208</v>
      </c>
      <c r="J43" s="47">
        <f t="shared" si="27"/>
        <v>24.416</v>
      </c>
    </row>
    <row r="44" spans="1:10" ht="18.95" customHeight="1" x14ac:dyDescent="0.25">
      <c r="A44" s="31" t="s">
        <v>101</v>
      </c>
      <c r="B44" s="48"/>
      <c r="C44" s="48"/>
      <c r="D44" s="31"/>
      <c r="E44" s="31"/>
      <c r="F44" s="31">
        <v>1</v>
      </c>
      <c r="G44" s="31"/>
      <c r="H44" s="13">
        <f t="shared" ref="H44" si="28">H43-F44-D44+B44</f>
        <v>10.208</v>
      </c>
      <c r="I44" s="13">
        <f t="shared" ref="I44" si="29">I43-E44+C44</f>
        <v>13.208</v>
      </c>
      <c r="J44" s="47">
        <f t="shared" ref="J44" si="30">H44+I44</f>
        <v>23.416</v>
      </c>
    </row>
    <row r="45" spans="1:10" ht="18.95" customHeight="1" x14ac:dyDescent="0.25">
      <c r="A45" s="31" t="s">
        <v>103</v>
      </c>
      <c r="B45" s="48">
        <v>1.25</v>
      </c>
      <c r="C45" s="48">
        <v>1.25</v>
      </c>
      <c r="D45" s="31"/>
      <c r="E45" s="31"/>
      <c r="F45" s="31"/>
      <c r="G45" s="31"/>
      <c r="H45" s="13">
        <f t="shared" ref="H45:H46" si="31">H44-F45-D45+B45</f>
        <v>11.458</v>
      </c>
      <c r="I45" s="13">
        <f t="shared" ref="I45:I46" si="32">I44-E45+C45</f>
        <v>14.458</v>
      </c>
      <c r="J45" s="47">
        <f t="shared" ref="J45:J46" si="33">H45+I45</f>
        <v>25.916</v>
      </c>
    </row>
    <row r="46" spans="1:10" ht="18.95" customHeight="1" x14ac:dyDescent="0.25">
      <c r="A46" s="31" t="s">
        <v>104</v>
      </c>
      <c r="B46" s="48"/>
      <c r="C46" s="48"/>
      <c r="D46" s="31"/>
      <c r="E46" s="31"/>
      <c r="F46" s="31"/>
      <c r="G46" s="31">
        <v>1</v>
      </c>
      <c r="H46" s="13">
        <f t="shared" si="31"/>
        <v>11.458</v>
      </c>
      <c r="I46" s="13">
        <f t="shared" si="32"/>
        <v>14.458</v>
      </c>
      <c r="J46" s="47">
        <f t="shared" si="33"/>
        <v>25.916</v>
      </c>
    </row>
    <row r="47" spans="1:10" ht="18.95" customHeight="1" x14ac:dyDescent="0.25">
      <c r="A47" s="31" t="s">
        <v>108</v>
      </c>
      <c r="B47" s="48">
        <v>1.25</v>
      </c>
      <c r="C47" s="48">
        <v>1.25</v>
      </c>
      <c r="D47" s="31"/>
      <c r="E47" s="31"/>
      <c r="F47" s="31"/>
      <c r="G47" s="31"/>
      <c r="H47" s="13">
        <f t="shared" ref="H47:H48" si="34">H46-F47-D47+B47</f>
        <v>12.708</v>
      </c>
      <c r="I47" s="13">
        <f t="shared" ref="I47:I48" si="35">I46-E47+C47</f>
        <v>15.708</v>
      </c>
      <c r="J47" s="47">
        <f t="shared" ref="J47:J48" si="36">H47+I47</f>
        <v>28.416</v>
      </c>
    </row>
    <row r="48" spans="1:10" ht="18.95" customHeight="1" x14ac:dyDescent="0.25">
      <c r="A48" s="31" t="s">
        <v>109</v>
      </c>
      <c r="B48" s="48"/>
      <c r="C48" s="48"/>
      <c r="D48" s="31"/>
      <c r="E48" s="31">
        <v>1</v>
      </c>
      <c r="F48" s="31"/>
      <c r="G48" s="31"/>
      <c r="H48" s="13">
        <f t="shared" si="34"/>
        <v>12.708</v>
      </c>
      <c r="I48" s="13">
        <f t="shared" si="35"/>
        <v>14.708</v>
      </c>
      <c r="J48" s="47">
        <f t="shared" si="36"/>
        <v>27.416</v>
      </c>
    </row>
    <row r="49" spans="1:10" ht="18.95" customHeight="1" x14ac:dyDescent="0.25">
      <c r="A49" s="31" t="s">
        <v>110</v>
      </c>
      <c r="B49" s="48">
        <v>1.25</v>
      </c>
      <c r="C49" s="48">
        <v>1.25</v>
      </c>
      <c r="D49" s="31"/>
      <c r="E49" s="31"/>
      <c r="F49" s="31"/>
      <c r="G49" s="31"/>
      <c r="H49" s="13">
        <f t="shared" ref="H49:H50" si="37">H48-F49-D49+B49</f>
        <v>13.958</v>
      </c>
      <c r="I49" s="13">
        <f t="shared" ref="I49:I50" si="38">I48-E49+C49</f>
        <v>15.958</v>
      </c>
      <c r="J49" s="47">
        <f t="shared" ref="J49:J50" si="39">H49+I49</f>
        <v>29.916</v>
      </c>
    </row>
    <row r="50" spans="1:10" ht="18.95" customHeight="1" x14ac:dyDescent="0.25">
      <c r="A50" s="31" t="s">
        <v>111</v>
      </c>
      <c r="B50" s="48"/>
      <c r="C50" s="48"/>
      <c r="D50" s="31"/>
      <c r="E50" s="31"/>
      <c r="F50" s="31"/>
      <c r="G50" s="49">
        <v>1</v>
      </c>
      <c r="H50" s="13">
        <f t="shared" si="37"/>
        <v>13.958</v>
      </c>
      <c r="I50" s="13">
        <f t="shared" si="38"/>
        <v>15.958</v>
      </c>
      <c r="J50" s="47">
        <f t="shared" si="39"/>
        <v>29.916</v>
      </c>
    </row>
    <row r="51" spans="1:10" ht="18.95" customHeight="1" x14ac:dyDescent="0.25">
      <c r="A51" s="31" t="s">
        <v>112</v>
      </c>
      <c r="B51" s="48"/>
      <c r="C51" s="48"/>
      <c r="D51" s="31"/>
      <c r="E51" s="31"/>
      <c r="F51" s="50">
        <v>1</v>
      </c>
      <c r="G51" s="31"/>
      <c r="H51" s="13">
        <f t="shared" ref="H51" si="40">H50-F51-D51+B51</f>
        <v>12.958</v>
      </c>
      <c r="I51" s="13">
        <f t="shared" ref="I51" si="41">I50-E51+C51</f>
        <v>15.958</v>
      </c>
      <c r="J51" s="47">
        <f t="shared" ref="J51" si="42">H51+I51</f>
        <v>28.916</v>
      </c>
    </row>
    <row r="52" spans="1:10" ht="18.95" customHeight="1" x14ac:dyDescent="0.25">
      <c r="A52" s="31" t="s">
        <v>113</v>
      </c>
      <c r="B52" s="48">
        <v>1.25</v>
      </c>
      <c r="C52" s="48">
        <v>1.25</v>
      </c>
      <c r="D52" s="31"/>
      <c r="E52" s="31"/>
      <c r="F52" s="31"/>
      <c r="G52" s="31"/>
      <c r="H52" s="13">
        <f t="shared" ref="H52:H53" si="43">H51-F52-D52+B52</f>
        <v>14.208</v>
      </c>
      <c r="I52" s="13">
        <f t="shared" ref="I52:I53" si="44">I51-E52+C52</f>
        <v>17.207999999999998</v>
      </c>
      <c r="J52" s="47">
        <f t="shared" ref="J52:J53" si="45">H52+I52</f>
        <v>31.415999999999997</v>
      </c>
    </row>
    <row r="53" spans="1:10" ht="18.95" customHeight="1" x14ac:dyDescent="0.25">
      <c r="A53" s="31" t="s">
        <v>114</v>
      </c>
      <c r="B53" s="48"/>
      <c r="C53" s="48"/>
      <c r="D53" s="31"/>
      <c r="E53" s="31">
        <v>1</v>
      </c>
      <c r="F53" s="31"/>
      <c r="G53" s="31"/>
      <c r="H53" s="13">
        <f t="shared" si="43"/>
        <v>14.208</v>
      </c>
      <c r="I53" s="13">
        <f t="shared" si="44"/>
        <v>16.207999999999998</v>
      </c>
      <c r="J53" s="47">
        <f t="shared" si="45"/>
        <v>30.415999999999997</v>
      </c>
    </row>
    <row r="54" spans="1:10" ht="18.95" customHeight="1" x14ac:dyDescent="0.25">
      <c r="A54" s="31" t="s">
        <v>115</v>
      </c>
      <c r="B54" s="48">
        <v>1.25</v>
      </c>
      <c r="C54" s="48">
        <v>1.25</v>
      </c>
      <c r="D54" s="31"/>
      <c r="E54" s="31"/>
      <c r="F54" s="31"/>
      <c r="G54" s="31"/>
      <c r="H54" s="13">
        <f t="shared" ref="H54:H55" si="46">H53-F54-D54+B54</f>
        <v>15.458</v>
      </c>
      <c r="I54" s="13">
        <f t="shared" ref="I54:I55" si="47">I53-E54+C54</f>
        <v>17.457999999999998</v>
      </c>
      <c r="J54" s="47">
        <f t="shared" ref="J54:J55" si="48">H54+I54</f>
        <v>32.915999999999997</v>
      </c>
    </row>
    <row r="55" spans="1:10" ht="18.95" customHeight="1" x14ac:dyDescent="0.25">
      <c r="A55" s="31" t="s">
        <v>116</v>
      </c>
      <c r="B55" s="48"/>
      <c r="C55" s="48"/>
      <c r="D55" s="31"/>
      <c r="E55" s="31"/>
      <c r="F55" s="50">
        <v>1</v>
      </c>
      <c r="G55" s="31"/>
      <c r="H55" s="13">
        <f t="shared" si="46"/>
        <v>14.458</v>
      </c>
      <c r="I55" s="13">
        <f t="shared" si="47"/>
        <v>17.457999999999998</v>
      </c>
      <c r="J55" s="47">
        <f t="shared" si="48"/>
        <v>31.915999999999997</v>
      </c>
    </row>
    <row r="56" spans="1:10" ht="18.95" customHeight="1" x14ac:dyDescent="0.25">
      <c r="A56" s="31" t="s">
        <v>117</v>
      </c>
      <c r="B56" s="48"/>
      <c r="C56" s="48"/>
      <c r="D56" s="31"/>
      <c r="E56" s="31">
        <v>1</v>
      </c>
      <c r="F56" s="31"/>
      <c r="G56" s="31"/>
      <c r="H56" s="13">
        <f t="shared" ref="H56:H57" si="49">H55-F56-D56+B56</f>
        <v>14.458</v>
      </c>
      <c r="I56" s="13">
        <f t="shared" ref="I56:I57" si="50">I55-E56+C56</f>
        <v>16.457999999999998</v>
      </c>
      <c r="J56" s="47">
        <f t="shared" ref="J56:J57" si="51">H56+I56</f>
        <v>30.915999999999997</v>
      </c>
    </row>
    <row r="57" spans="1:10" ht="18.95" customHeight="1" x14ac:dyDescent="0.25">
      <c r="A57" s="31" t="s">
        <v>118</v>
      </c>
      <c r="B57" s="48"/>
      <c r="C57" s="48"/>
      <c r="D57" s="31"/>
      <c r="E57" s="31">
        <v>1</v>
      </c>
      <c r="F57" s="31"/>
      <c r="G57" s="31"/>
      <c r="H57" s="13">
        <f t="shared" si="49"/>
        <v>14.458</v>
      </c>
      <c r="I57" s="13">
        <f t="shared" si="50"/>
        <v>15.457999999999998</v>
      </c>
      <c r="J57" s="47">
        <f t="shared" si="51"/>
        <v>29.915999999999997</v>
      </c>
    </row>
    <row r="58" spans="1:10" ht="18.95" customHeight="1" x14ac:dyDescent="0.25">
      <c r="A58" s="31" t="s">
        <v>131</v>
      </c>
      <c r="B58" s="48">
        <v>3.75</v>
      </c>
      <c r="C58" s="48">
        <v>3.75</v>
      </c>
      <c r="D58" s="31"/>
      <c r="E58" s="31"/>
      <c r="F58" s="31"/>
      <c r="G58" s="31"/>
      <c r="H58" s="13">
        <f t="shared" ref="H58" si="52">H57-F58-D58+B58</f>
        <v>18.207999999999998</v>
      </c>
      <c r="I58" s="13">
        <f t="shared" ref="I58" si="53">I57-E58+C58</f>
        <v>19.207999999999998</v>
      </c>
      <c r="J58" s="47">
        <f t="shared" ref="J58" si="54">H58+I58</f>
        <v>37.415999999999997</v>
      </c>
    </row>
    <row r="59" spans="1:10" ht="18.95" customHeight="1" x14ac:dyDescent="0.25">
      <c r="A59" s="31" t="s">
        <v>132</v>
      </c>
      <c r="B59" s="48"/>
      <c r="C59" s="48"/>
      <c r="D59" s="31">
        <v>13</v>
      </c>
      <c r="E59" s="31"/>
      <c r="F59" s="31"/>
      <c r="G59" s="31"/>
      <c r="H59" s="13">
        <f t="shared" ref="H59" si="55">H58-F59-D59+B59</f>
        <v>5.2079999999999984</v>
      </c>
      <c r="I59" s="13">
        <f t="shared" ref="I59" si="56">I58-E59+C59</f>
        <v>19.207999999999998</v>
      </c>
      <c r="J59" s="47">
        <f t="shared" ref="J59" si="57">H59+I59</f>
        <v>24.415999999999997</v>
      </c>
    </row>
    <row r="60" spans="1:10" ht="18.95" customHeight="1" x14ac:dyDescent="0.25">
      <c r="A60" s="31" t="s">
        <v>133</v>
      </c>
      <c r="B60" s="48"/>
      <c r="C60" s="48"/>
      <c r="D60" s="31"/>
      <c r="E60" s="31">
        <v>4</v>
      </c>
      <c r="F60" s="31"/>
      <c r="G60" s="31"/>
      <c r="H60" s="13">
        <f t="shared" ref="H60" si="58">H59-F60-D60+B60</f>
        <v>5.2079999999999984</v>
      </c>
      <c r="I60" s="13">
        <f t="shared" ref="I60" si="59">I59-E60+C60</f>
        <v>15.207999999999998</v>
      </c>
      <c r="J60" s="47">
        <f t="shared" ref="J60" si="60">H60+I60</f>
        <v>20.415999999999997</v>
      </c>
    </row>
    <row r="61" spans="1:10" ht="18.95" customHeight="1" x14ac:dyDescent="0.25">
      <c r="A61" s="31" t="s">
        <v>135</v>
      </c>
      <c r="B61" s="48"/>
      <c r="C61" s="48"/>
      <c r="D61" s="31"/>
      <c r="E61" s="31">
        <v>1</v>
      </c>
      <c r="F61" s="31"/>
      <c r="G61" s="31"/>
      <c r="H61" s="13">
        <f t="shared" ref="H61" si="61">H60-F61-D61+B61</f>
        <v>5.2079999999999984</v>
      </c>
      <c r="I61" s="13">
        <f t="shared" ref="I61" si="62">I60-E61+C61</f>
        <v>14.207999999999998</v>
      </c>
      <c r="J61" s="47">
        <f t="shared" ref="J61" si="63">H61+I61</f>
        <v>19.415999999999997</v>
      </c>
    </row>
    <row r="62" spans="1:10" ht="18.95" customHeight="1" x14ac:dyDescent="0.25">
      <c r="A62" s="31" t="s">
        <v>139</v>
      </c>
      <c r="B62" s="48">
        <v>1.25</v>
      </c>
      <c r="C62" s="48">
        <v>1.25</v>
      </c>
      <c r="D62" s="31"/>
      <c r="E62" s="31"/>
      <c r="F62" s="31"/>
      <c r="G62" s="31"/>
      <c r="H62" s="13">
        <f t="shared" ref="H62:H63" si="64">H61-F62-D62+B62</f>
        <v>6.4579999999999984</v>
      </c>
      <c r="I62" s="13">
        <f t="shared" ref="I62:I63" si="65">I61-E62+C62</f>
        <v>15.457999999999998</v>
      </c>
      <c r="J62" s="47">
        <f t="shared" ref="J62:J63" si="66">H62+I62</f>
        <v>21.915999999999997</v>
      </c>
    </row>
    <row r="63" spans="1:10" ht="18.95" customHeight="1" x14ac:dyDescent="0.25">
      <c r="A63" s="31" t="s">
        <v>140</v>
      </c>
      <c r="B63" s="48"/>
      <c r="C63" s="48"/>
      <c r="D63" s="31"/>
      <c r="E63" s="31">
        <v>1</v>
      </c>
      <c r="F63" s="31"/>
      <c r="G63" s="31"/>
      <c r="H63" s="13">
        <f t="shared" si="64"/>
        <v>6.4579999999999984</v>
      </c>
      <c r="I63" s="13">
        <f t="shared" si="65"/>
        <v>14.457999999999998</v>
      </c>
      <c r="J63" s="47">
        <f t="shared" si="66"/>
        <v>20.915999999999997</v>
      </c>
    </row>
    <row r="64" spans="1:10" ht="18.95" customHeight="1" x14ac:dyDescent="0.25">
      <c r="A64" s="31" t="s">
        <v>144</v>
      </c>
      <c r="B64" s="48">
        <v>2.5</v>
      </c>
      <c r="C64" s="48">
        <v>2.5</v>
      </c>
      <c r="D64" s="31"/>
      <c r="E64" s="31"/>
      <c r="F64" s="31"/>
      <c r="G64" s="31"/>
      <c r="H64" s="13">
        <f t="shared" ref="H64" si="67">H63-F64-D64+B64</f>
        <v>8.9579999999999984</v>
      </c>
      <c r="I64" s="13">
        <f t="shared" ref="I64" si="68">I63-E64+C64</f>
        <v>16.957999999999998</v>
      </c>
      <c r="J64" s="47">
        <f t="shared" ref="J64" si="69">H64+I64</f>
        <v>25.915999999999997</v>
      </c>
    </row>
    <row r="65" spans="1:11" ht="18.95" customHeight="1" x14ac:dyDescent="0.25">
      <c r="A65" s="31" t="s">
        <v>148</v>
      </c>
      <c r="B65" s="48"/>
      <c r="C65" s="48"/>
      <c r="D65" s="31"/>
      <c r="E65" s="31"/>
      <c r="F65" s="50">
        <v>1</v>
      </c>
      <c r="G65" s="31"/>
      <c r="H65" s="13">
        <f t="shared" ref="H65" si="70">H64-F65-D65+B65</f>
        <v>7.9579999999999984</v>
      </c>
      <c r="I65" s="13">
        <f t="shared" ref="I65" si="71">I64-E65+C65</f>
        <v>16.957999999999998</v>
      </c>
      <c r="J65" s="47">
        <f t="shared" ref="J65" si="72">H65+I65</f>
        <v>24.915999999999997</v>
      </c>
      <c r="K65" t="s">
        <v>147</v>
      </c>
    </row>
    <row r="66" spans="1:11" ht="18.95" customHeight="1" x14ac:dyDescent="0.25">
      <c r="A66" s="38"/>
      <c r="B66" s="39"/>
      <c r="C66" s="39"/>
      <c r="D66" s="38"/>
      <c r="E66" s="38"/>
      <c r="F66" s="38"/>
      <c r="G66" s="38"/>
      <c r="H66" s="39"/>
      <c r="I66" s="39"/>
      <c r="J66" s="40"/>
    </row>
    <row r="67" spans="1:11" s="1" customFormat="1" x14ac:dyDescent="0.25">
      <c r="H67" s="1" t="s">
        <v>37</v>
      </c>
    </row>
    <row r="68" spans="1:11" s="1" customFormat="1" x14ac:dyDescent="0.25"/>
    <row r="69" spans="1:11" s="1" customFormat="1" x14ac:dyDescent="0.25">
      <c r="H69" s="41" t="s">
        <v>38</v>
      </c>
    </row>
    <row r="70" spans="1:11" s="1" customFormat="1" x14ac:dyDescent="0.25">
      <c r="H70" s="1" t="s">
        <v>39</v>
      </c>
    </row>
    <row r="71" spans="1:11" s="1" customFormat="1" x14ac:dyDescent="0.25">
      <c r="H71" s="7" t="s">
        <v>93</v>
      </c>
      <c r="I71" s="7"/>
    </row>
  </sheetData>
  <mergeCells count="12">
    <mergeCell ref="B7:D7"/>
    <mergeCell ref="B9:D9"/>
    <mergeCell ref="A2:J2"/>
    <mergeCell ref="A3:J3"/>
    <mergeCell ref="A4:J4"/>
    <mergeCell ref="A5:J5"/>
    <mergeCell ref="A10:J10"/>
    <mergeCell ref="A11:A12"/>
    <mergeCell ref="J11:J12"/>
    <mergeCell ref="B11:C11"/>
    <mergeCell ref="D11:F11"/>
    <mergeCell ref="H11:I11"/>
  </mergeCells>
  <phoneticPr fontId="4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73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"/>
  <sheetViews>
    <sheetView view="pageBreakPreview" topLeftCell="A35" zoomScale="108" zoomScaleNormal="100" zoomScaleSheetLayoutView="108" workbookViewId="0">
      <selection activeCell="A48" sqref="A48"/>
    </sheetView>
  </sheetViews>
  <sheetFormatPr defaultRowHeight="15" x14ac:dyDescent="0.25"/>
  <cols>
    <col min="1" max="1" width="21.5703125" customWidth="1"/>
    <col min="2" max="2" width="17.5703125" customWidth="1"/>
    <col min="7" max="7" width="6.7109375" customWidth="1"/>
    <col min="9" max="9" width="3" customWidth="1"/>
    <col min="11" max="11" width="6" customWidth="1"/>
    <col min="12" max="12" width="17.28515625" customWidth="1"/>
  </cols>
  <sheetData>
    <row r="1" spans="1:12" s="1" customFormat="1" ht="52.5" customHeight="1" x14ac:dyDescent="0.25"/>
    <row r="2" spans="1:12" s="1" customFormat="1" ht="10.5" customHeight="1" x14ac:dyDescent="0.25">
      <c r="A2" s="68" t="s">
        <v>11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3" spans="1:12" s="1" customFormat="1" ht="15.95" customHeight="1" x14ac:dyDescent="0.25">
      <c r="A3" s="68" t="s">
        <v>12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</row>
    <row r="4" spans="1:12" s="1" customFormat="1" ht="15.95" customHeight="1" x14ac:dyDescent="0.25">
      <c r="A4" s="68" t="s">
        <v>13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</row>
    <row r="5" spans="1:12" s="1" customFormat="1" ht="15.95" customHeight="1" x14ac:dyDescent="0.25">
      <c r="A5" s="68" t="s">
        <v>14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</row>
    <row r="6" spans="1:12" s="1" customFormat="1" ht="8.25" customHeight="1" x14ac:dyDescent="0.25"/>
    <row r="7" spans="1:12" s="1" customFormat="1" ht="12" customHeight="1" x14ac:dyDescent="0.25">
      <c r="A7" s="1" t="s">
        <v>33</v>
      </c>
      <c r="C7" s="3" t="s">
        <v>35</v>
      </c>
      <c r="D7" s="3"/>
      <c r="G7" s="3" t="s">
        <v>9</v>
      </c>
      <c r="H7" s="34"/>
    </row>
    <row r="8" spans="1:12" s="1" customFormat="1" ht="12" customHeight="1" x14ac:dyDescent="0.25">
      <c r="C8" s="2"/>
      <c r="G8" s="2"/>
      <c r="H8" s="2"/>
    </row>
    <row r="9" spans="1:12" s="1" customFormat="1" ht="12" customHeight="1" x14ac:dyDescent="0.25">
      <c r="A9" s="1" t="s">
        <v>34</v>
      </c>
      <c r="C9" s="3" t="s">
        <v>36</v>
      </c>
      <c r="D9" s="3"/>
      <c r="G9" s="3" t="s">
        <v>10</v>
      </c>
      <c r="H9" s="4"/>
    </row>
    <row r="10" spans="1:12" ht="16.5" customHeight="1" thickBot="1" x14ac:dyDescent="0.3">
      <c r="A10" s="90" t="s">
        <v>42</v>
      </c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</row>
    <row r="11" spans="1:12" s="28" customFormat="1" ht="18.75" customHeight="1" x14ac:dyDescent="0.2">
      <c r="A11" s="81" t="s">
        <v>4</v>
      </c>
      <c r="B11" s="83" t="s">
        <v>5</v>
      </c>
      <c r="C11" s="84"/>
      <c r="D11" s="84"/>
      <c r="E11" s="84"/>
      <c r="F11" s="84"/>
      <c r="G11" s="84"/>
      <c r="H11" s="84"/>
      <c r="I11" s="84"/>
      <c r="J11" s="84"/>
      <c r="K11" s="84"/>
      <c r="L11" s="85" t="s">
        <v>8</v>
      </c>
    </row>
    <row r="12" spans="1:12" s="28" customFormat="1" ht="24" customHeight="1" x14ac:dyDescent="0.2">
      <c r="A12" s="82"/>
      <c r="B12" s="87" t="s">
        <v>43</v>
      </c>
      <c r="C12" s="88"/>
      <c r="D12" s="88"/>
      <c r="E12" s="89"/>
      <c r="F12" s="87" t="s">
        <v>44</v>
      </c>
      <c r="G12" s="89"/>
      <c r="H12" s="87" t="s">
        <v>45</v>
      </c>
      <c r="I12" s="89"/>
      <c r="J12" s="87" t="s">
        <v>46</v>
      </c>
      <c r="K12" s="89"/>
      <c r="L12" s="86"/>
    </row>
    <row r="13" spans="1:12" s="28" customFormat="1" ht="24.95" hidden="1" customHeight="1" x14ac:dyDescent="0.2">
      <c r="A13" s="12" t="s">
        <v>51</v>
      </c>
      <c r="B13" s="75" t="s">
        <v>52</v>
      </c>
      <c r="C13" s="76"/>
      <c r="D13" s="76"/>
      <c r="E13" s="77"/>
      <c r="F13" s="75">
        <v>2</v>
      </c>
      <c r="G13" s="77"/>
      <c r="H13" s="75">
        <v>0</v>
      </c>
      <c r="I13" s="77"/>
      <c r="J13" s="75">
        <v>2</v>
      </c>
      <c r="K13" s="77"/>
      <c r="L13" s="11">
        <v>2</v>
      </c>
    </row>
    <row r="14" spans="1:12" s="29" customFormat="1" ht="25.5" hidden="1" customHeight="1" x14ac:dyDescent="0.2">
      <c r="A14" s="12" t="s">
        <v>50</v>
      </c>
      <c r="B14" s="75"/>
      <c r="C14" s="76"/>
      <c r="D14" s="76"/>
      <c r="E14" s="77"/>
      <c r="F14" s="75"/>
      <c r="G14" s="77"/>
      <c r="H14" s="75">
        <v>1</v>
      </c>
      <c r="I14" s="77"/>
      <c r="J14" s="75">
        <v>1</v>
      </c>
      <c r="K14" s="77"/>
      <c r="L14" s="11">
        <v>1</v>
      </c>
    </row>
    <row r="15" spans="1:12" s="29" customFormat="1" ht="25.5" hidden="1" customHeight="1" x14ac:dyDescent="0.2">
      <c r="A15" s="12" t="s">
        <v>53</v>
      </c>
      <c r="B15" s="75"/>
      <c r="C15" s="76"/>
      <c r="D15" s="76"/>
      <c r="E15" s="77"/>
      <c r="F15" s="75"/>
      <c r="G15" s="77"/>
      <c r="H15" s="75">
        <v>1</v>
      </c>
      <c r="I15" s="77"/>
      <c r="J15" s="75">
        <v>0</v>
      </c>
      <c r="K15" s="77"/>
      <c r="L15" s="36">
        <v>0</v>
      </c>
    </row>
    <row r="16" spans="1:12" s="29" customFormat="1" ht="25.5" hidden="1" customHeight="1" x14ac:dyDescent="0.2">
      <c r="A16" s="12" t="s">
        <v>60</v>
      </c>
      <c r="B16" s="75" t="s">
        <v>61</v>
      </c>
      <c r="C16" s="76"/>
      <c r="D16" s="76"/>
      <c r="E16" s="77"/>
      <c r="F16" s="75">
        <v>3</v>
      </c>
      <c r="G16" s="77"/>
      <c r="H16" s="75">
        <v>0</v>
      </c>
      <c r="I16" s="77"/>
      <c r="J16" s="75">
        <v>3</v>
      </c>
      <c r="K16" s="77"/>
      <c r="L16" s="11">
        <v>3</v>
      </c>
    </row>
    <row r="17" spans="1:12" s="29" customFormat="1" ht="25.5" hidden="1" customHeight="1" x14ac:dyDescent="0.2">
      <c r="A17" s="12" t="s">
        <v>62</v>
      </c>
      <c r="B17" s="75"/>
      <c r="C17" s="76"/>
      <c r="D17" s="76"/>
      <c r="E17" s="77"/>
      <c r="F17" s="75"/>
      <c r="G17" s="77"/>
      <c r="H17" s="75">
        <v>1</v>
      </c>
      <c r="I17" s="77"/>
      <c r="J17" s="75">
        <v>2</v>
      </c>
      <c r="K17" s="77"/>
      <c r="L17" s="11">
        <v>2</v>
      </c>
    </row>
    <row r="18" spans="1:12" s="29" customFormat="1" ht="25.5" hidden="1" customHeight="1" x14ac:dyDescent="0.2">
      <c r="A18" s="10" t="s">
        <v>68</v>
      </c>
      <c r="B18" s="75"/>
      <c r="C18" s="76"/>
      <c r="D18" s="76"/>
      <c r="E18" s="77"/>
      <c r="F18" s="75"/>
      <c r="G18" s="77"/>
      <c r="H18" s="75">
        <v>1</v>
      </c>
      <c r="I18" s="77"/>
      <c r="J18" s="75">
        <v>1</v>
      </c>
      <c r="K18" s="77"/>
      <c r="L18" s="10">
        <v>1</v>
      </c>
    </row>
    <row r="19" spans="1:12" s="29" customFormat="1" ht="25.5" hidden="1" customHeight="1" x14ac:dyDescent="0.2">
      <c r="A19" s="10" t="s">
        <v>74</v>
      </c>
      <c r="B19" s="75"/>
      <c r="C19" s="76"/>
      <c r="D19" s="76"/>
      <c r="E19" s="77"/>
      <c r="F19" s="75"/>
      <c r="G19" s="77"/>
      <c r="H19" s="75">
        <v>1</v>
      </c>
      <c r="I19" s="77"/>
      <c r="J19" s="75">
        <v>0</v>
      </c>
      <c r="K19" s="77"/>
      <c r="L19" s="37">
        <v>0</v>
      </c>
    </row>
    <row r="20" spans="1:12" s="29" customFormat="1" ht="25.5" hidden="1" customHeight="1" x14ac:dyDescent="0.2">
      <c r="A20" s="10" t="s">
        <v>81</v>
      </c>
      <c r="B20" s="75" t="s">
        <v>80</v>
      </c>
      <c r="C20" s="76"/>
      <c r="D20" s="76"/>
      <c r="E20" s="77"/>
      <c r="F20" s="75">
        <v>3</v>
      </c>
      <c r="G20" s="77"/>
      <c r="H20" s="75">
        <v>0</v>
      </c>
      <c r="I20" s="77"/>
      <c r="J20" s="75">
        <v>3</v>
      </c>
      <c r="K20" s="77"/>
      <c r="L20" s="35">
        <v>3</v>
      </c>
    </row>
    <row r="21" spans="1:12" s="29" customFormat="1" ht="25.5" hidden="1" customHeight="1" x14ac:dyDescent="0.2">
      <c r="A21" s="35" t="s">
        <v>82</v>
      </c>
      <c r="B21" s="78"/>
      <c r="C21" s="79"/>
      <c r="D21" s="79"/>
      <c r="E21" s="80"/>
      <c r="F21" s="78"/>
      <c r="G21" s="80"/>
      <c r="H21" s="78">
        <v>2</v>
      </c>
      <c r="I21" s="80"/>
      <c r="J21" s="78">
        <v>1</v>
      </c>
      <c r="K21" s="80"/>
      <c r="L21" s="35">
        <v>1</v>
      </c>
    </row>
    <row r="22" spans="1:12" s="29" customFormat="1" ht="25.5" hidden="1" customHeight="1" x14ac:dyDescent="0.2">
      <c r="A22" s="35" t="s">
        <v>83</v>
      </c>
      <c r="B22" s="78"/>
      <c r="C22" s="79"/>
      <c r="D22" s="79"/>
      <c r="E22" s="80"/>
      <c r="F22" s="78"/>
      <c r="G22" s="80"/>
      <c r="H22" s="78">
        <v>1</v>
      </c>
      <c r="I22" s="80"/>
      <c r="J22" s="78">
        <v>0</v>
      </c>
      <c r="K22" s="80"/>
      <c r="L22" s="37">
        <v>0</v>
      </c>
    </row>
    <row r="23" spans="1:12" s="29" customFormat="1" ht="25.5" hidden="1" customHeight="1" x14ac:dyDescent="0.2">
      <c r="A23" s="35" t="s">
        <v>81</v>
      </c>
      <c r="B23" s="78" t="s">
        <v>85</v>
      </c>
      <c r="C23" s="79"/>
      <c r="D23" s="79"/>
      <c r="E23" s="80"/>
      <c r="F23" s="78">
        <v>3</v>
      </c>
      <c r="G23" s="80"/>
      <c r="H23" s="78">
        <v>0</v>
      </c>
      <c r="I23" s="80"/>
      <c r="J23" s="78">
        <v>3</v>
      </c>
      <c r="K23" s="80"/>
      <c r="L23" s="35">
        <v>3</v>
      </c>
    </row>
    <row r="24" spans="1:12" s="29" customFormat="1" ht="25.5" hidden="1" customHeight="1" x14ac:dyDescent="0.2">
      <c r="A24" s="35" t="s">
        <v>86</v>
      </c>
      <c r="B24" s="78"/>
      <c r="C24" s="79"/>
      <c r="D24" s="79"/>
      <c r="E24" s="80"/>
      <c r="F24" s="78"/>
      <c r="G24" s="80"/>
      <c r="H24" s="78">
        <v>3</v>
      </c>
      <c r="I24" s="80"/>
      <c r="J24" s="78">
        <v>0</v>
      </c>
      <c r="K24" s="80"/>
      <c r="L24" s="37">
        <v>0</v>
      </c>
    </row>
    <row r="25" spans="1:12" s="29" customFormat="1" ht="25.5" hidden="1" customHeight="1" x14ac:dyDescent="0.2">
      <c r="A25" s="35" t="s">
        <v>81</v>
      </c>
      <c r="B25" s="78" t="s">
        <v>87</v>
      </c>
      <c r="C25" s="79"/>
      <c r="D25" s="79"/>
      <c r="E25" s="80"/>
      <c r="F25" s="78">
        <v>3</v>
      </c>
      <c r="G25" s="80"/>
      <c r="H25" s="78">
        <v>0</v>
      </c>
      <c r="I25" s="80"/>
      <c r="J25" s="78">
        <v>3</v>
      </c>
      <c r="K25" s="80"/>
      <c r="L25" s="35">
        <v>3</v>
      </c>
    </row>
    <row r="26" spans="1:12" s="29" customFormat="1" ht="25.5" hidden="1" customHeight="1" x14ac:dyDescent="0.2">
      <c r="A26" s="35" t="s">
        <v>88</v>
      </c>
      <c r="B26" s="78"/>
      <c r="C26" s="79"/>
      <c r="D26" s="79"/>
      <c r="E26" s="80"/>
      <c r="F26" s="78"/>
      <c r="G26" s="80"/>
      <c r="H26" s="78">
        <v>1</v>
      </c>
      <c r="I26" s="80"/>
      <c r="J26" s="78">
        <v>2</v>
      </c>
      <c r="K26" s="80"/>
      <c r="L26" s="35">
        <v>2</v>
      </c>
    </row>
    <row r="27" spans="1:12" s="29" customFormat="1" ht="25.5" hidden="1" customHeight="1" x14ac:dyDescent="0.2">
      <c r="A27" s="35" t="s">
        <v>89</v>
      </c>
      <c r="B27" s="78"/>
      <c r="C27" s="79"/>
      <c r="D27" s="79"/>
      <c r="E27" s="80"/>
      <c r="F27" s="78"/>
      <c r="G27" s="80"/>
      <c r="H27" s="78">
        <v>2</v>
      </c>
      <c r="I27" s="80"/>
      <c r="J27" s="78">
        <v>0</v>
      </c>
      <c r="K27" s="80"/>
      <c r="L27" s="37">
        <v>0</v>
      </c>
    </row>
    <row r="28" spans="1:12" s="29" customFormat="1" ht="25.5" hidden="1" customHeight="1" x14ac:dyDescent="0.2">
      <c r="A28" s="35" t="s">
        <v>90</v>
      </c>
      <c r="B28" s="78" t="s">
        <v>91</v>
      </c>
      <c r="C28" s="79"/>
      <c r="D28" s="79"/>
      <c r="E28" s="80"/>
      <c r="F28" s="78">
        <v>3</v>
      </c>
      <c r="G28" s="80"/>
      <c r="H28" s="78">
        <v>0</v>
      </c>
      <c r="I28" s="80"/>
      <c r="J28" s="78">
        <v>3</v>
      </c>
      <c r="K28" s="80"/>
      <c r="L28" s="35">
        <v>3</v>
      </c>
    </row>
    <row r="29" spans="1:12" s="29" customFormat="1" ht="25.5" hidden="1" customHeight="1" x14ac:dyDescent="0.2">
      <c r="A29" s="35" t="s">
        <v>92</v>
      </c>
      <c r="B29" s="78"/>
      <c r="C29" s="79"/>
      <c r="D29" s="79"/>
      <c r="E29" s="80"/>
      <c r="F29" s="78"/>
      <c r="G29" s="80"/>
      <c r="H29" s="78">
        <v>2</v>
      </c>
      <c r="I29" s="80"/>
      <c r="J29" s="78">
        <v>1</v>
      </c>
      <c r="K29" s="80"/>
      <c r="L29" s="35">
        <v>1</v>
      </c>
    </row>
    <row r="30" spans="1:12" s="29" customFormat="1" ht="25.5" hidden="1" customHeight="1" x14ac:dyDescent="0.2">
      <c r="A30" s="35" t="s">
        <v>95</v>
      </c>
      <c r="B30" s="78"/>
      <c r="C30" s="79"/>
      <c r="D30" s="79"/>
      <c r="E30" s="80"/>
      <c r="F30" s="78"/>
      <c r="G30" s="80"/>
      <c r="H30" s="78">
        <v>1</v>
      </c>
      <c r="I30" s="80"/>
      <c r="J30" s="78">
        <v>1</v>
      </c>
      <c r="K30" s="80"/>
      <c r="L30" s="37">
        <v>0</v>
      </c>
    </row>
    <row r="31" spans="1:12" s="29" customFormat="1" ht="25.5" hidden="1" customHeight="1" x14ac:dyDescent="0.2">
      <c r="A31" s="35" t="s">
        <v>90</v>
      </c>
      <c r="B31" s="78" t="s">
        <v>96</v>
      </c>
      <c r="C31" s="79"/>
      <c r="D31" s="79"/>
      <c r="E31" s="80"/>
      <c r="F31" s="78">
        <v>3</v>
      </c>
      <c r="G31" s="80"/>
      <c r="H31" s="78">
        <v>0</v>
      </c>
      <c r="I31" s="80"/>
      <c r="J31" s="78">
        <v>3</v>
      </c>
      <c r="K31" s="80"/>
      <c r="L31" s="35">
        <v>3</v>
      </c>
    </row>
    <row r="32" spans="1:12" s="29" customFormat="1" ht="25.5" hidden="1" customHeight="1" x14ac:dyDescent="0.2">
      <c r="A32" s="35" t="s">
        <v>97</v>
      </c>
      <c r="B32" s="78"/>
      <c r="C32" s="79"/>
      <c r="D32" s="79"/>
      <c r="E32" s="80"/>
      <c r="F32" s="78"/>
      <c r="G32" s="80"/>
      <c r="H32" s="78">
        <v>3</v>
      </c>
      <c r="I32" s="80"/>
      <c r="J32" s="78">
        <v>0</v>
      </c>
      <c r="K32" s="80"/>
      <c r="L32" s="37">
        <v>0</v>
      </c>
    </row>
    <row r="33" spans="1:13" s="1" customFormat="1" ht="17.25" customHeight="1" x14ac:dyDescent="0.25">
      <c r="A33" s="35" t="s">
        <v>105</v>
      </c>
      <c r="B33" s="78" t="s">
        <v>106</v>
      </c>
      <c r="C33" s="79"/>
      <c r="D33" s="79"/>
      <c r="E33" s="80"/>
      <c r="F33" s="78">
        <v>1</v>
      </c>
      <c r="G33" s="80"/>
      <c r="H33" s="78">
        <v>0</v>
      </c>
      <c r="I33" s="80"/>
      <c r="J33" s="78">
        <v>1</v>
      </c>
      <c r="K33" s="80"/>
      <c r="L33" s="35">
        <v>1</v>
      </c>
    </row>
    <row r="34" spans="1:13" s="1" customFormat="1" ht="19.5" customHeight="1" x14ac:dyDescent="0.25">
      <c r="A34" s="35" t="s">
        <v>107</v>
      </c>
      <c r="B34" s="78" t="s">
        <v>106</v>
      </c>
      <c r="C34" s="79"/>
      <c r="D34" s="79"/>
      <c r="E34" s="80"/>
      <c r="F34" s="78"/>
      <c r="G34" s="80"/>
      <c r="H34" s="78">
        <v>1</v>
      </c>
      <c r="I34" s="80"/>
      <c r="J34" s="78">
        <v>0</v>
      </c>
      <c r="K34" s="80"/>
      <c r="L34" s="37">
        <v>0</v>
      </c>
    </row>
    <row r="35" spans="1:13" s="5" customFormat="1" ht="35.25" customHeight="1" x14ac:dyDescent="0.2">
      <c r="A35" s="10" t="s">
        <v>121</v>
      </c>
      <c r="B35" s="75" t="s">
        <v>125</v>
      </c>
      <c r="C35" s="76"/>
      <c r="D35" s="76"/>
      <c r="E35" s="77"/>
      <c r="F35" s="75" t="s">
        <v>119</v>
      </c>
      <c r="G35" s="77"/>
      <c r="H35" s="75">
        <v>0</v>
      </c>
      <c r="I35" s="77"/>
      <c r="J35" s="75" t="s">
        <v>119</v>
      </c>
      <c r="K35" s="77"/>
      <c r="L35" s="43" t="s">
        <v>120</v>
      </c>
    </row>
    <row r="36" spans="1:13" s="5" customFormat="1" ht="29.25" customHeight="1" x14ac:dyDescent="0.2">
      <c r="A36" s="10" t="s">
        <v>124</v>
      </c>
      <c r="B36" s="75" t="s">
        <v>125</v>
      </c>
      <c r="C36" s="76"/>
      <c r="D36" s="76"/>
      <c r="E36" s="77"/>
      <c r="F36" s="75"/>
      <c r="G36" s="77"/>
      <c r="H36" s="75" t="s">
        <v>120</v>
      </c>
      <c r="I36" s="77"/>
      <c r="J36" s="75">
        <v>0</v>
      </c>
      <c r="K36" s="77"/>
      <c r="L36" s="36">
        <v>0</v>
      </c>
    </row>
    <row r="37" spans="1:13" s="5" customFormat="1" ht="25.5" customHeight="1" x14ac:dyDescent="0.2">
      <c r="A37" s="10" t="s">
        <v>123</v>
      </c>
      <c r="B37" s="75" t="s">
        <v>122</v>
      </c>
      <c r="C37" s="76"/>
      <c r="D37" s="76"/>
      <c r="E37" s="77"/>
      <c r="F37" s="75" t="s">
        <v>127</v>
      </c>
      <c r="G37" s="77"/>
      <c r="H37" s="75">
        <v>0</v>
      </c>
      <c r="I37" s="77"/>
      <c r="J37" s="75" t="s">
        <v>127</v>
      </c>
      <c r="K37" s="77"/>
      <c r="L37" s="43" t="s">
        <v>127</v>
      </c>
    </row>
    <row r="38" spans="1:13" s="5" customFormat="1" ht="25.5" customHeight="1" x14ac:dyDescent="0.2">
      <c r="A38" s="10" t="s">
        <v>124</v>
      </c>
      <c r="B38" s="75" t="s">
        <v>122</v>
      </c>
      <c r="C38" s="76"/>
      <c r="D38" s="76"/>
      <c r="E38" s="77"/>
      <c r="F38" s="75"/>
      <c r="G38" s="77"/>
      <c r="H38" s="75" t="s">
        <v>126</v>
      </c>
      <c r="I38" s="77"/>
      <c r="J38" s="75" t="s">
        <v>128</v>
      </c>
      <c r="K38" s="77"/>
      <c r="L38" s="43" t="s">
        <v>129</v>
      </c>
    </row>
    <row r="39" spans="1:13" s="5" customFormat="1" ht="25.5" customHeight="1" x14ac:dyDescent="0.2">
      <c r="A39" s="10" t="s">
        <v>134</v>
      </c>
      <c r="B39" s="75" t="s">
        <v>122</v>
      </c>
      <c r="C39" s="76"/>
      <c r="D39" s="76"/>
      <c r="E39" s="77"/>
      <c r="F39" s="75"/>
      <c r="G39" s="77"/>
      <c r="H39" s="75">
        <v>1</v>
      </c>
      <c r="I39" s="77"/>
      <c r="J39" s="75" t="s">
        <v>126</v>
      </c>
      <c r="K39" s="77"/>
      <c r="L39" s="51" t="s">
        <v>126</v>
      </c>
    </row>
    <row r="40" spans="1:13" s="54" customFormat="1" ht="30.75" customHeight="1" x14ac:dyDescent="0.2">
      <c r="A40" s="52" t="s">
        <v>136</v>
      </c>
      <c r="B40" s="72" t="s">
        <v>137</v>
      </c>
      <c r="C40" s="73"/>
      <c r="D40" s="73"/>
      <c r="E40" s="74"/>
      <c r="F40" s="72">
        <v>3</v>
      </c>
      <c r="G40" s="74"/>
      <c r="H40" s="72">
        <v>0</v>
      </c>
      <c r="I40" s="74"/>
      <c r="J40" s="72">
        <v>3</v>
      </c>
      <c r="K40" s="74"/>
      <c r="L40" s="53">
        <v>3</v>
      </c>
    </row>
    <row r="41" spans="1:13" s="54" customFormat="1" ht="28.5" customHeight="1" x14ac:dyDescent="0.2">
      <c r="A41" s="52" t="s">
        <v>138</v>
      </c>
      <c r="B41" s="72" t="s">
        <v>137</v>
      </c>
      <c r="C41" s="73"/>
      <c r="D41" s="73"/>
      <c r="E41" s="74"/>
      <c r="F41" s="72"/>
      <c r="G41" s="74"/>
      <c r="H41" s="72">
        <v>1</v>
      </c>
      <c r="I41" s="74"/>
      <c r="J41" s="72">
        <v>2</v>
      </c>
      <c r="K41" s="74"/>
      <c r="L41" s="53">
        <v>2</v>
      </c>
    </row>
    <row r="42" spans="1:13" s="54" customFormat="1" ht="28.5" customHeight="1" x14ac:dyDescent="0.2">
      <c r="A42" s="52" t="s">
        <v>141</v>
      </c>
      <c r="B42" s="72" t="s">
        <v>137</v>
      </c>
      <c r="C42" s="73"/>
      <c r="D42" s="73"/>
      <c r="E42" s="74"/>
      <c r="F42" s="72"/>
      <c r="G42" s="74"/>
      <c r="H42" s="72">
        <v>1</v>
      </c>
      <c r="I42" s="74"/>
      <c r="J42" s="72">
        <v>1</v>
      </c>
      <c r="K42" s="74"/>
      <c r="L42" s="53">
        <v>1</v>
      </c>
    </row>
    <row r="43" spans="1:13" s="54" customFormat="1" ht="30.75" customHeight="1" x14ac:dyDescent="0.2">
      <c r="A43" s="52" t="s">
        <v>142</v>
      </c>
      <c r="B43" s="72" t="s">
        <v>143</v>
      </c>
      <c r="C43" s="73"/>
      <c r="D43" s="73"/>
      <c r="E43" s="74"/>
      <c r="F43" s="72">
        <v>3</v>
      </c>
      <c r="G43" s="74"/>
      <c r="H43" s="72">
        <v>0</v>
      </c>
      <c r="I43" s="74"/>
      <c r="J43" s="72">
        <v>3</v>
      </c>
      <c r="K43" s="74"/>
      <c r="L43" s="53">
        <v>3</v>
      </c>
    </row>
    <row r="44" spans="1:13" s="54" customFormat="1" ht="28.5" customHeight="1" x14ac:dyDescent="0.2">
      <c r="A44" s="52" t="s">
        <v>146</v>
      </c>
      <c r="B44" s="72" t="s">
        <v>143</v>
      </c>
      <c r="C44" s="73"/>
      <c r="D44" s="73"/>
      <c r="E44" s="74"/>
      <c r="F44" s="72"/>
      <c r="G44" s="74"/>
      <c r="H44" s="72">
        <v>3</v>
      </c>
      <c r="I44" s="74"/>
      <c r="J44" s="72">
        <v>0</v>
      </c>
      <c r="K44" s="74"/>
      <c r="L44" s="55">
        <v>0</v>
      </c>
      <c r="M44" s="54" t="s">
        <v>145</v>
      </c>
    </row>
    <row r="45" spans="1:13" s="5" customFormat="1" ht="25.5" customHeight="1" x14ac:dyDescent="0.2">
      <c r="A45" s="44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2"/>
    </row>
    <row r="46" spans="1:13" x14ac:dyDescent="0.25">
      <c r="A46" s="1"/>
      <c r="B46" s="1"/>
      <c r="C46" s="7"/>
      <c r="D46" s="1"/>
      <c r="E46" s="1"/>
      <c r="F46" s="1"/>
      <c r="G46" s="1"/>
      <c r="H46" s="1"/>
      <c r="I46" s="1" t="s">
        <v>37</v>
      </c>
      <c r="J46" s="1"/>
      <c r="K46" s="1"/>
      <c r="L46" s="1"/>
    </row>
    <row r="47" spans="1:13" x14ac:dyDescent="0.25">
      <c r="A47" s="1"/>
      <c r="B47" s="1"/>
      <c r="C47" s="7"/>
      <c r="D47" s="1"/>
      <c r="E47" s="1"/>
      <c r="F47" s="1"/>
      <c r="G47" s="1"/>
      <c r="H47" s="1"/>
      <c r="I47" s="1"/>
      <c r="J47" s="1"/>
      <c r="K47" s="1"/>
      <c r="L47" s="1"/>
    </row>
    <row r="48" spans="1:13" x14ac:dyDescent="0.25">
      <c r="I48" s="69" t="s">
        <v>38</v>
      </c>
      <c r="J48" s="69"/>
      <c r="K48" s="69"/>
      <c r="L48" s="69"/>
    </row>
    <row r="49" spans="9:12" x14ac:dyDescent="0.25">
      <c r="I49" s="70" t="s">
        <v>39</v>
      </c>
      <c r="J49" s="70"/>
      <c r="K49" s="70"/>
      <c r="L49" s="70"/>
    </row>
    <row r="50" spans="9:12" x14ac:dyDescent="0.25">
      <c r="I50" s="71" t="s">
        <v>40</v>
      </c>
      <c r="J50" s="71"/>
      <c r="K50" s="71"/>
      <c r="L50" s="71"/>
    </row>
  </sheetData>
  <mergeCells count="143">
    <mergeCell ref="B33:E33"/>
    <mergeCell ref="F33:G33"/>
    <mergeCell ref="H33:I33"/>
    <mergeCell ref="J33:K33"/>
    <mergeCell ref="B34:E34"/>
    <mergeCell ref="F34:G34"/>
    <mergeCell ref="H34:I34"/>
    <mergeCell ref="J34:K34"/>
    <mergeCell ref="F28:G28"/>
    <mergeCell ref="H28:I28"/>
    <mergeCell ref="J28:K28"/>
    <mergeCell ref="B29:E29"/>
    <mergeCell ref="F29:G29"/>
    <mergeCell ref="H29:I29"/>
    <mergeCell ref="J29:K29"/>
    <mergeCell ref="B31:E31"/>
    <mergeCell ref="F31:G31"/>
    <mergeCell ref="H31:I31"/>
    <mergeCell ref="J31:K31"/>
    <mergeCell ref="B32:E32"/>
    <mergeCell ref="F32:G32"/>
    <mergeCell ref="H32:I32"/>
    <mergeCell ref="J32:K32"/>
    <mergeCell ref="B28:E28"/>
    <mergeCell ref="A11:A12"/>
    <mergeCell ref="B11:K11"/>
    <mergeCell ref="L11:L12"/>
    <mergeCell ref="B12:E12"/>
    <mergeCell ref="F12:G12"/>
    <mergeCell ref="H12:I12"/>
    <mergeCell ref="J12:K12"/>
    <mergeCell ref="A2:L2"/>
    <mergeCell ref="A3:L3"/>
    <mergeCell ref="A4:L4"/>
    <mergeCell ref="A5:L5"/>
    <mergeCell ref="A10:L10"/>
    <mergeCell ref="H13:I13"/>
    <mergeCell ref="J13:K13"/>
    <mergeCell ref="F13:G13"/>
    <mergeCell ref="F14:G14"/>
    <mergeCell ref="B14:E14"/>
    <mergeCell ref="H14:I14"/>
    <mergeCell ref="J14:K14"/>
    <mergeCell ref="B13:E13"/>
    <mergeCell ref="B15:E15"/>
    <mergeCell ref="F15:G15"/>
    <mergeCell ref="H15:I15"/>
    <mergeCell ref="J15:K15"/>
    <mergeCell ref="F17:G17"/>
    <mergeCell ref="H17:I17"/>
    <mergeCell ref="J17:K17"/>
    <mergeCell ref="B16:E16"/>
    <mergeCell ref="F16:G16"/>
    <mergeCell ref="H16:I16"/>
    <mergeCell ref="J16:K16"/>
    <mergeCell ref="B17:E17"/>
    <mergeCell ref="F20:G20"/>
    <mergeCell ref="H20:I20"/>
    <mergeCell ref="J20:K20"/>
    <mergeCell ref="B30:E30"/>
    <mergeCell ref="F18:G18"/>
    <mergeCell ref="H18:I18"/>
    <mergeCell ref="J18:K18"/>
    <mergeCell ref="F19:G19"/>
    <mergeCell ref="H19:I19"/>
    <mergeCell ref="J19:K19"/>
    <mergeCell ref="F30:G30"/>
    <mergeCell ref="H30:I30"/>
    <mergeCell ref="J30:K30"/>
    <mergeCell ref="F21:G21"/>
    <mergeCell ref="F27:G27"/>
    <mergeCell ref="H27:I27"/>
    <mergeCell ref="J27:K27"/>
    <mergeCell ref="F25:G25"/>
    <mergeCell ref="H25:I25"/>
    <mergeCell ref="J25:K25"/>
    <mergeCell ref="F26:G26"/>
    <mergeCell ref="H26:I26"/>
    <mergeCell ref="J26:K26"/>
    <mergeCell ref="B18:E18"/>
    <mergeCell ref="B19:E19"/>
    <mergeCell ref="B20:E20"/>
    <mergeCell ref="B21:E21"/>
    <mergeCell ref="B22:E22"/>
    <mergeCell ref="B23:E23"/>
    <mergeCell ref="B25:E25"/>
    <mergeCell ref="B27:E27"/>
    <mergeCell ref="B24:E24"/>
    <mergeCell ref="B26:E26"/>
    <mergeCell ref="H21:I21"/>
    <mergeCell ref="J21:K21"/>
    <mergeCell ref="F24:G24"/>
    <mergeCell ref="H24:I24"/>
    <mergeCell ref="J24:K24"/>
    <mergeCell ref="F22:G22"/>
    <mergeCell ref="H22:I22"/>
    <mergeCell ref="J22:K22"/>
    <mergeCell ref="F23:G23"/>
    <mergeCell ref="H23:I23"/>
    <mergeCell ref="J23:K23"/>
    <mergeCell ref="B39:E39"/>
    <mergeCell ref="F39:G39"/>
    <mergeCell ref="H39:I39"/>
    <mergeCell ref="J39:K39"/>
    <mergeCell ref="B38:E38"/>
    <mergeCell ref="F38:G38"/>
    <mergeCell ref="H38:I38"/>
    <mergeCell ref="J38:K38"/>
    <mergeCell ref="B35:E35"/>
    <mergeCell ref="F35:G35"/>
    <mergeCell ref="H35:I35"/>
    <mergeCell ref="J35:K35"/>
    <mergeCell ref="B36:E36"/>
    <mergeCell ref="F36:G36"/>
    <mergeCell ref="H36:I36"/>
    <mergeCell ref="J36:K36"/>
    <mergeCell ref="B37:E37"/>
    <mergeCell ref="F37:G37"/>
    <mergeCell ref="H37:I37"/>
    <mergeCell ref="J37:K37"/>
    <mergeCell ref="I48:L48"/>
    <mergeCell ref="I49:L49"/>
    <mergeCell ref="I50:L50"/>
    <mergeCell ref="B42:E42"/>
    <mergeCell ref="F42:G42"/>
    <mergeCell ref="H42:I42"/>
    <mergeCell ref="J42:K42"/>
    <mergeCell ref="B40:E40"/>
    <mergeCell ref="F40:G40"/>
    <mergeCell ref="H40:I40"/>
    <mergeCell ref="J40:K40"/>
    <mergeCell ref="B41:E41"/>
    <mergeCell ref="F41:G41"/>
    <mergeCell ref="H41:I41"/>
    <mergeCell ref="J41:K41"/>
    <mergeCell ref="B43:E43"/>
    <mergeCell ref="F43:G43"/>
    <mergeCell ref="H43:I43"/>
    <mergeCell ref="J43:K43"/>
    <mergeCell ref="B44:E44"/>
    <mergeCell ref="F44:G44"/>
    <mergeCell ref="H44:I44"/>
    <mergeCell ref="J44:K44"/>
  </mergeCells>
  <phoneticPr fontId="4" type="noConversion"/>
  <pageMargins left="0.51181102362204722" right="0.31496062992125984" top="0.74803149606299213" bottom="0.74803149606299213" header="0.31496062992125984" footer="0.31496062992125984"/>
  <pageSetup paperSize="9" scale="70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zoomScale="98" zoomScaleNormal="100" zoomScaleSheetLayoutView="98" workbookViewId="0">
      <selection activeCell="A13" sqref="A13:L18"/>
    </sheetView>
  </sheetViews>
  <sheetFormatPr defaultRowHeight="15" x14ac:dyDescent="0.25"/>
  <cols>
    <col min="1" max="1" width="27.140625" customWidth="1"/>
    <col min="2" max="11" width="9.5703125" customWidth="1"/>
    <col min="12" max="12" width="7.5703125" customWidth="1"/>
    <col min="13" max="13" width="8.7109375" hidden="1" customWidth="1"/>
  </cols>
  <sheetData>
    <row r="1" spans="1:12" s="1" customFormat="1" ht="52.5" customHeight="1" x14ac:dyDescent="0.25">
      <c r="C1" s="20"/>
      <c r="D1" s="21"/>
      <c r="H1" s="7"/>
    </row>
    <row r="2" spans="1:12" s="1" customFormat="1" ht="10.5" customHeight="1" x14ac:dyDescent="0.25">
      <c r="A2" s="68" t="s">
        <v>11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3" spans="1:12" s="1" customFormat="1" ht="15.95" customHeight="1" x14ac:dyDescent="0.25">
      <c r="A3" s="68" t="s">
        <v>12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</row>
    <row r="4" spans="1:12" s="1" customFormat="1" ht="15.95" customHeight="1" x14ac:dyDescent="0.25">
      <c r="A4" s="68" t="s">
        <v>13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</row>
    <row r="5" spans="1:12" s="1" customFormat="1" ht="15.95" customHeight="1" x14ac:dyDescent="0.25">
      <c r="A5" s="68" t="s">
        <v>14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</row>
    <row r="6" spans="1:12" s="1" customFormat="1" ht="8.25" customHeight="1" x14ac:dyDescent="0.25">
      <c r="C6" s="7"/>
      <c r="H6" s="7"/>
    </row>
    <row r="7" spans="1:12" s="1" customFormat="1" ht="8.25" customHeight="1" x14ac:dyDescent="0.25">
      <c r="C7" s="7"/>
      <c r="H7" s="7"/>
    </row>
    <row r="8" spans="1:12" s="1" customFormat="1" ht="12" customHeight="1" x14ac:dyDescent="0.25">
      <c r="A8" s="22" t="s">
        <v>15</v>
      </c>
      <c r="B8" s="22"/>
      <c r="C8" s="91" t="s">
        <v>16</v>
      </c>
      <c r="D8" s="91"/>
      <c r="E8" s="91"/>
      <c r="F8" s="91"/>
      <c r="G8" s="91"/>
      <c r="I8" s="91" t="s">
        <v>17</v>
      </c>
      <c r="J8" s="91"/>
      <c r="K8" s="91"/>
      <c r="L8" s="22"/>
    </row>
    <row r="9" spans="1:12" s="1" customFormat="1" ht="12" customHeight="1" x14ac:dyDescent="0.25">
      <c r="B9" s="23"/>
      <c r="C9" s="91" t="s">
        <v>18</v>
      </c>
      <c r="D9" s="91"/>
      <c r="E9" s="91"/>
      <c r="F9" s="91"/>
      <c r="G9" s="91"/>
      <c r="I9" s="92" t="s">
        <v>19</v>
      </c>
      <c r="J9" s="92"/>
      <c r="K9" s="92"/>
      <c r="L9" s="23"/>
    </row>
    <row r="10" spans="1:12" s="1" customFormat="1" ht="12" customHeight="1" x14ac:dyDescent="0.25">
      <c r="A10" s="22" t="s">
        <v>20</v>
      </c>
      <c r="B10" s="22"/>
      <c r="C10" s="24"/>
      <c r="D10" s="23"/>
      <c r="E10" s="23"/>
      <c r="I10" s="91" t="s">
        <v>21</v>
      </c>
      <c r="J10" s="91"/>
      <c r="K10" s="91"/>
      <c r="L10" s="22"/>
    </row>
    <row r="11" spans="1:12" ht="16.5" customHeight="1" thickBot="1" x14ac:dyDescent="0.3">
      <c r="A11" s="90" t="s">
        <v>22</v>
      </c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</row>
    <row r="12" spans="1:12" s="28" customFormat="1" ht="48" x14ac:dyDescent="0.2">
      <c r="A12" s="25" t="s">
        <v>4</v>
      </c>
      <c r="B12" s="26" t="s">
        <v>23</v>
      </c>
      <c r="C12" s="26" t="s">
        <v>24</v>
      </c>
      <c r="D12" s="26" t="s">
        <v>25</v>
      </c>
      <c r="E12" s="26" t="s">
        <v>26</v>
      </c>
      <c r="F12" s="26" t="s">
        <v>27</v>
      </c>
      <c r="G12" s="26" t="s">
        <v>28</v>
      </c>
      <c r="H12" s="26" t="s">
        <v>29</v>
      </c>
      <c r="I12" s="26" t="s">
        <v>30</v>
      </c>
      <c r="J12" s="26" t="s">
        <v>31</v>
      </c>
      <c r="K12" s="26" t="s">
        <v>32</v>
      </c>
      <c r="L12" s="27" t="s">
        <v>8</v>
      </c>
    </row>
    <row r="13" spans="1:12" s="28" customFormat="1" x14ac:dyDescent="0.2">
      <c r="A13" s="12"/>
      <c r="B13" s="8"/>
      <c r="C13" s="10"/>
      <c r="D13" s="10"/>
      <c r="E13" s="8"/>
      <c r="F13" s="8"/>
      <c r="G13" s="8"/>
      <c r="H13" s="10"/>
      <c r="I13" s="8"/>
      <c r="J13" s="8"/>
      <c r="K13" s="8"/>
      <c r="L13" s="11"/>
    </row>
    <row r="14" spans="1:12" s="28" customFormat="1" x14ac:dyDescent="0.2">
      <c r="A14" s="12"/>
      <c r="B14" s="8"/>
      <c r="C14" s="10"/>
      <c r="D14" s="10"/>
      <c r="E14" s="8"/>
      <c r="F14" s="8"/>
      <c r="G14" s="8"/>
      <c r="H14" s="10"/>
      <c r="I14" s="8"/>
      <c r="J14" s="8"/>
      <c r="K14" s="8"/>
      <c r="L14" s="11"/>
    </row>
    <row r="15" spans="1:12" s="29" customFormat="1" x14ac:dyDescent="0.2">
      <c r="A15" s="30"/>
      <c r="B15" s="8"/>
      <c r="C15" s="10"/>
      <c r="D15" s="10"/>
      <c r="E15" s="8"/>
      <c r="F15" s="8"/>
      <c r="G15" s="8"/>
      <c r="H15" s="10"/>
      <c r="I15" s="8"/>
      <c r="J15" s="8"/>
      <c r="K15" s="8"/>
      <c r="L15" s="11"/>
    </row>
    <row r="16" spans="1:12" s="29" customFormat="1" x14ac:dyDescent="0.2">
      <c r="A16" s="31"/>
      <c r="B16" s="8"/>
      <c r="C16" s="10"/>
      <c r="D16" s="10"/>
      <c r="E16" s="8"/>
      <c r="F16" s="8"/>
      <c r="G16" s="8"/>
      <c r="H16" s="10"/>
      <c r="I16" s="8"/>
      <c r="J16" s="8"/>
      <c r="K16" s="8"/>
      <c r="L16" s="11"/>
    </row>
    <row r="17" spans="1:12" s="29" customFormat="1" x14ac:dyDescent="0.2">
      <c r="A17" s="10"/>
      <c r="B17" s="8"/>
      <c r="C17" s="10"/>
      <c r="D17" s="10"/>
      <c r="E17" s="8"/>
      <c r="F17" s="8"/>
      <c r="G17" s="8"/>
      <c r="H17" s="10"/>
      <c r="I17" s="8"/>
      <c r="J17" s="8"/>
      <c r="K17" s="8"/>
      <c r="L17" s="11"/>
    </row>
    <row r="18" spans="1:12" s="29" customFormat="1" x14ac:dyDescent="0.2">
      <c r="A18" s="12"/>
      <c r="B18" s="8"/>
      <c r="C18" s="10"/>
      <c r="D18" s="10"/>
      <c r="E18" s="8"/>
      <c r="F18" s="8"/>
      <c r="G18" s="8"/>
      <c r="H18" s="10"/>
      <c r="I18" s="8"/>
      <c r="J18" s="8"/>
      <c r="K18" s="8"/>
      <c r="L18" s="11"/>
    </row>
    <row r="19" spans="1:12" s="29" customFormat="1" x14ac:dyDescent="0.2">
      <c r="A19" s="12"/>
      <c r="B19" s="8"/>
      <c r="C19" s="10"/>
      <c r="D19" s="10"/>
      <c r="E19" s="8"/>
      <c r="F19" s="8"/>
      <c r="G19" s="8"/>
      <c r="H19" s="10"/>
      <c r="I19" s="8"/>
      <c r="J19" s="8"/>
      <c r="K19" s="8"/>
      <c r="L19" s="11"/>
    </row>
    <row r="20" spans="1:12" s="29" customFormat="1" x14ac:dyDescent="0.2">
      <c r="A20" s="12"/>
      <c r="B20" s="8"/>
      <c r="C20" s="10"/>
      <c r="D20" s="10"/>
      <c r="E20" s="8"/>
      <c r="F20" s="8"/>
      <c r="G20" s="8"/>
      <c r="H20" s="10"/>
      <c r="I20" s="8"/>
      <c r="J20" s="8"/>
      <c r="K20" s="8"/>
      <c r="L20" s="11"/>
    </row>
    <row r="21" spans="1:12" s="29" customFormat="1" x14ac:dyDescent="0.2">
      <c r="A21" s="9"/>
      <c r="B21" s="8"/>
      <c r="C21" s="10"/>
      <c r="D21" s="10"/>
      <c r="E21" s="8"/>
      <c r="F21" s="8"/>
      <c r="G21" s="8"/>
      <c r="H21" s="10"/>
      <c r="I21" s="8"/>
      <c r="J21" s="8"/>
      <c r="K21" s="13"/>
      <c r="L21" s="11"/>
    </row>
    <row r="22" spans="1:12" ht="75.75" customHeight="1" x14ac:dyDescent="0.25">
      <c r="A22" s="93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</row>
    <row r="23" spans="1:12" s="1" customFormat="1" x14ac:dyDescent="0.25">
      <c r="C23" s="7"/>
    </row>
    <row r="24" spans="1:12" s="1" customFormat="1" x14ac:dyDescent="0.25">
      <c r="C24" s="7"/>
    </row>
  </sheetData>
  <mergeCells count="11">
    <mergeCell ref="C9:G9"/>
    <mergeCell ref="I9:K9"/>
    <mergeCell ref="I10:K10"/>
    <mergeCell ref="A11:L11"/>
    <mergeCell ref="A22:L22"/>
    <mergeCell ref="A2:L2"/>
    <mergeCell ref="A3:L3"/>
    <mergeCell ref="A4:L4"/>
    <mergeCell ref="A5:L5"/>
    <mergeCell ref="C8:G8"/>
    <mergeCell ref="I8:K8"/>
  </mergeCells>
  <printOptions horizontalCentered="1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Leave Card (NE)</vt:lpstr>
      <vt:lpstr>CTO</vt:lpstr>
      <vt:lpstr>Other types of leave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2025-10-17T02:29:12Z</cp:lastPrinted>
  <dcterms:created xsi:type="dcterms:W3CDTF">2021-10-07T06:10:16Z</dcterms:created>
  <dcterms:modified xsi:type="dcterms:W3CDTF">2025-12-15T04:19:31Z</dcterms:modified>
</cp:coreProperties>
</file>