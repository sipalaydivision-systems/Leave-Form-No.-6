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F8B82FA-0353-454A-9E5A-064381436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Sheet1!$A$1:$J$129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" i="1" l="1"/>
  <c r="J120" i="1" s="1"/>
  <c r="I120" i="1"/>
  <c r="I121" i="1"/>
  <c r="B86" i="1"/>
  <c r="H121" i="1" l="1"/>
  <c r="J121" i="1" s="1"/>
  <c r="C15" i="1"/>
  <c r="I15" i="1" s="1"/>
  <c r="B15" i="1"/>
  <c r="H15" i="1" s="1"/>
  <c r="H16" i="1" s="1"/>
  <c r="I16" i="1" l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J15" i="1"/>
  <c r="I80" i="1" l="1"/>
  <c r="I81" i="1" s="1"/>
  <c r="I82" i="1" s="1"/>
  <c r="I83" i="1" s="1"/>
  <c r="I84" i="1" s="1"/>
  <c r="J16" i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I85" i="1" l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J77" i="1"/>
  <c r="H78" i="1"/>
  <c r="J17" i="1"/>
  <c r="I119" i="1" l="1"/>
  <c r="H79" i="1"/>
  <c r="J78" i="1"/>
  <c r="J18" i="1"/>
  <c r="H80" i="1" l="1"/>
  <c r="J79" i="1"/>
  <c r="J19" i="1"/>
  <c r="J80" i="1" l="1"/>
  <c r="H81" i="1"/>
  <c r="J20" i="1"/>
  <c r="J81" i="1" l="1"/>
  <c r="H82" i="1"/>
  <c r="J21" i="1"/>
  <c r="H83" i="1" l="1"/>
  <c r="J82" i="1"/>
  <c r="J22" i="1"/>
  <c r="H84" i="1" l="1"/>
  <c r="J83" i="1"/>
  <c r="J23" i="1"/>
  <c r="H85" i="1" l="1"/>
  <c r="J84" i="1"/>
  <c r="J24" i="1"/>
  <c r="J85" i="1" l="1"/>
  <c r="H86" i="1"/>
  <c r="J25" i="1"/>
  <c r="J86" i="1" l="1"/>
  <c r="H87" i="1"/>
  <c r="J26" i="1"/>
  <c r="J87" i="1" l="1"/>
  <c r="H88" i="1"/>
  <c r="H89" i="1" s="1"/>
  <c r="J27" i="1"/>
  <c r="J89" i="1" l="1"/>
  <c r="H90" i="1"/>
  <c r="J88" i="1"/>
  <c r="J29" i="1"/>
  <c r="J28" i="1"/>
  <c r="J90" i="1" l="1"/>
  <c r="H91" i="1"/>
  <c r="J30" i="1"/>
  <c r="J91" i="1" l="1"/>
  <c r="H92" i="1"/>
  <c r="J31" i="1"/>
  <c r="J92" i="1" l="1"/>
  <c r="H93" i="1"/>
  <c r="J32" i="1"/>
  <c r="J93" i="1" l="1"/>
  <c r="H94" i="1"/>
  <c r="J33" i="1"/>
  <c r="J94" i="1" l="1"/>
  <c r="H95" i="1"/>
  <c r="J34" i="1"/>
  <c r="J95" i="1" l="1"/>
  <c r="H96" i="1"/>
  <c r="J35" i="1"/>
  <c r="H97" i="1" l="1"/>
  <c r="J96" i="1"/>
  <c r="J36" i="1"/>
  <c r="J97" i="1" l="1"/>
  <c r="H98" i="1"/>
  <c r="J37" i="1"/>
  <c r="J98" i="1" l="1"/>
  <c r="H99" i="1"/>
  <c r="J38" i="1"/>
  <c r="J99" i="1" l="1"/>
  <c r="H100" i="1"/>
  <c r="J39" i="1"/>
  <c r="H101" i="1" l="1"/>
  <c r="J100" i="1"/>
  <c r="J40" i="1"/>
  <c r="J101" i="1" l="1"/>
  <c r="H102" i="1"/>
  <c r="J41" i="1"/>
  <c r="J102" i="1" l="1"/>
  <c r="H103" i="1"/>
  <c r="J42" i="1"/>
  <c r="J103" i="1" l="1"/>
  <c r="H104" i="1"/>
  <c r="J43" i="1"/>
  <c r="H105" i="1" l="1"/>
  <c r="J104" i="1"/>
  <c r="J44" i="1"/>
  <c r="H106" i="1" l="1"/>
  <c r="J105" i="1"/>
  <c r="J45" i="1"/>
  <c r="J106" i="1" l="1"/>
  <c r="H107" i="1"/>
  <c r="J46" i="1"/>
  <c r="H108" i="1" l="1"/>
  <c r="J107" i="1"/>
  <c r="J47" i="1"/>
  <c r="H109" i="1" l="1"/>
  <c r="J108" i="1"/>
  <c r="J48" i="1"/>
  <c r="J109" i="1" l="1"/>
  <c r="H110" i="1"/>
  <c r="J49" i="1"/>
  <c r="J110" i="1" l="1"/>
  <c r="H111" i="1"/>
  <c r="J50" i="1"/>
  <c r="J111" i="1" l="1"/>
  <c r="H112" i="1"/>
  <c r="J51" i="1"/>
  <c r="J112" i="1" l="1"/>
  <c r="H113" i="1"/>
  <c r="J52" i="1"/>
  <c r="J113" i="1" l="1"/>
  <c r="H114" i="1"/>
  <c r="J53" i="1"/>
  <c r="J114" i="1" l="1"/>
  <c r="H115" i="1"/>
  <c r="J54" i="1"/>
  <c r="J115" i="1" l="1"/>
  <c r="H116" i="1"/>
  <c r="J55" i="1"/>
  <c r="J116" i="1" l="1"/>
  <c r="H117" i="1"/>
  <c r="J56" i="1"/>
  <c r="H118" i="1" l="1"/>
  <c r="J117" i="1"/>
  <c r="J57" i="1"/>
  <c r="H119" i="1" l="1"/>
  <c r="J119" i="1" s="1"/>
  <c r="J118" i="1"/>
  <c r="J58" i="1"/>
  <c r="J59" i="1" l="1"/>
  <c r="J60" i="1" l="1"/>
  <c r="J61" i="1" l="1"/>
  <c r="J62" i="1" l="1"/>
  <c r="J63" i="1" l="1"/>
  <c r="J64" i="1" l="1"/>
  <c r="J65" i="1" l="1"/>
  <c r="J66" i="1" l="1"/>
  <c r="J67" i="1" l="1"/>
  <c r="J68" i="1" l="1"/>
  <c r="J69" i="1" l="1"/>
  <c r="J70" i="1" l="1"/>
  <c r="J71" i="1" l="1"/>
  <c r="J72" i="1" l="1"/>
  <c r="J73" i="1" l="1"/>
  <c r="J74" i="1" l="1"/>
  <c r="J75" i="1" l="1"/>
  <c r="J76" i="1"/>
</calcChain>
</file>

<file path=xl/sharedStrings.xml><?xml version="1.0" encoding="utf-8"?>
<sst xmlns="http://schemas.openxmlformats.org/spreadsheetml/2006/main" count="138" uniqueCount="134">
  <si>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</si>
  <si>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</si>
  <si>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</si>
  <si>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</si>
  <si>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</si>
  <si>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</si>
  <si>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</si>
  <si>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</si>
  <si>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</si>
  <si>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</si>
  <si>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</si>
  <si>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</si>
  <si>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</si>
  <si>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LESS: FL 2019</t>
  </si>
  <si>
    <t>ADD: 08/01/1998 - 12/31/1998</t>
  </si>
  <si>
    <t>ADD: 01/01/1999 - 12/31/1999</t>
  </si>
  <si>
    <t>LESS: FL 1999</t>
  </si>
  <si>
    <t>ADD: 01/01/2000 - 12/31/2000</t>
  </si>
  <si>
    <t>LESS: FL 2000</t>
  </si>
  <si>
    <t>ADD: 01/01/2001 - 12/31/2001</t>
  </si>
  <si>
    <t>LESS: FL 2001</t>
  </si>
  <si>
    <t>ADD: 01/01/2002 - 12/31/2002</t>
  </si>
  <si>
    <t>LESS: FL 2002</t>
  </si>
  <si>
    <t>ADD: 01/01/2003 - 12/31/2003</t>
  </si>
  <si>
    <t>LESS: FL 2003</t>
  </si>
  <si>
    <t>ADD: 01/01/2004 - 12/31/2004</t>
  </si>
  <si>
    <t>LESS: FL 2004</t>
  </si>
  <si>
    <t>LESS: MONETIZATION 2004</t>
  </si>
  <si>
    <t>ADD: 01/01/2005 - 12/31/2005</t>
  </si>
  <si>
    <t>LESS: FL 2005</t>
  </si>
  <si>
    <t>LESS: MONETIZATION 2005</t>
  </si>
  <si>
    <t>ADD: 01/01/2006 - 12/31/2006</t>
  </si>
  <si>
    <t>LESS: FL 2006</t>
  </si>
  <si>
    <t>ADD: 01/01/2007 - 12/31/2007</t>
  </si>
  <si>
    <t>LESS: FL 2007</t>
  </si>
  <si>
    <t>ADD: 01/01/2008 - 12/31/2008</t>
  </si>
  <si>
    <t>LESS: FL 2008</t>
  </si>
  <si>
    <t>ADD: 01/01/2009 - 12/31/2009</t>
  </si>
  <si>
    <t>LESS: FL 2009</t>
  </si>
  <si>
    <t>ADD: 01/01/2010 - 12/31/2010</t>
  </si>
  <si>
    <t>LESS: FL 2010</t>
  </si>
  <si>
    <t>ADD: 01/01/2011 - 12/31/2011</t>
  </si>
  <si>
    <t>LESS: FL 2011</t>
  </si>
  <si>
    <t>LESS: MONETIZATION 2011</t>
  </si>
  <si>
    <t>ADD: 01/01/2012 - 12/31/2012</t>
  </si>
  <si>
    <t>LESS: FL 2012</t>
  </si>
  <si>
    <t>LESS: MONETIZATION 2012</t>
  </si>
  <si>
    <t>ADD: 01/01/2013 - 12/31/2013</t>
  </si>
  <si>
    <t>LESS: FL 2013</t>
  </si>
  <si>
    <t>LESS: MONETIZATION 2013</t>
  </si>
  <si>
    <t>ADD: 01/01/2014 - 12/31/2014</t>
  </si>
  <si>
    <t>LESS: FL 2014</t>
  </si>
  <si>
    <t>LESS: MONETIZATION 2014</t>
  </si>
  <si>
    <t>ADD: 01/01/2015 - 12/31/2015</t>
  </si>
  <si>
    <t>LESS: FL 2015</t>
  </si>
  <si>
    <t>LESS: MONETIZATION 2015</t>
  </si>
  <si>
    <t>ADD: 01/01/2016 - 12/31/2016</t>
  </si>
  <si>
    <t>LESS: FL 2016</t>
  </si>
  <si>
    <t>LESS: MONETIZATION 2016</t>
  </si>
  <si>
    <t>ADD: 01/01/2017 - 12/31/2017</t>
  </si>
  <si>
    <t>LESS: FL 2017</t>
  </si>
  <si>
    <t>LESS: MONETIZATION 2017</t>
  </si>
  <si>
    <t>ADD: 01/01/2018 - 12/31/2018</t>
  </si>
  <si>
    <t>LESS: FL 2018</t>
  </si>
  <si>
    <t>LESS: MONETIZATION 2018</t>
  </si>
  <si>
    <t>ADD: 01/01/2019 - 12/31/2019</t>
  </si>
  <si>
    <t>LESS: MONETIZATION 2019</t>
  </si>
  <si>
    <t>ADD: 01/01/2020 - 12/31/2020</t>
  </si>
  <si>
    <t>LESS: FL 2020</t>
  </si>
  <si>
    <t>LESS: MONETIZATION 2020</t>
  </si>
  <si>
    <t>ADD: 01/01/2021 - 12/31/2021</t>
  </si>
  <si>
    <t>LESS: FL 2021</t>
  </si>
  <si>
    <t>LESS: MONETIZATION 2021</t>
  </si>
  <si>
    <t>DATE OF ORIGINAL APPOINTMENT: 08/01/1998</t>
  </si>
  <si>
    <t xml:space="preserve">
	MA. LUISA B. CATIGAN
	Administrative Officer IV
	HRMO</t>
  </si>
  <si>
    <t>Certified Correct:</t>
  </si>
  <si>
    <t>MA. LUISA B. CATIGAN</t>
  </si>
  <si>
    <t>Administrative Officer IV</t>
  </si>
  <si>
    <t>LESS: MONETIZATION 2022</t>
  </si>
  <si>
    <t>ADD: 10/01/2022 - 10/31/2022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</si>
  <si>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</si>
  <si>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</si>
  <si>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</si>
  <si>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</si>
  <si>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</si>
  <si>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</si>
  <si>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</si>
  <si>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ADD: 11/01/2022 - 12/31/2022</t>
  </si>
  <si>
    <t>ADD: 01/01/2022 - 09/30/2022</t>
  </si>
  <si>
    <t>LESS: FL 2022</t>
  </si>
  <si>
    <t>ADD: 01/01/2023 - 03/31/2023</t>
  </si>
  <si>
    <t>LESS: 01/09-10/2023</t>
  </si>
  <si>
    <t>ADD: 04/01/2023 - 05/31/2023</t>
  </si>
  <si>
    <t>LESS: 06/14 &amp; 15/23</t>
  </si>
  <si>
    <t>ADD: 06/01/2023 - 08/31/2023</t>
  </si>
  <si>
    <t>LESS: MONETIZATION 2023</t>
  </si>
  <si>
    <t>ADD: 09/01/2023-11/30/2023</t>
  </si>
  <si>
    <t>LESS: 12/07/2023</t>
  </si>
  <si>
    <t>LESS: 12/28/2023</t>
  </si>
  <si>
    <t>ADD: 01/01-02/29/2024</t>
  </si>
  <si>
    <t>LESS: 03/22/2024</t>
  </si>
  <si>
    <t>LESS: FL 2023</t>
  </si>
  <si>
    <t>ADD: MARCH-JULY 31, 2024</t>
  </si>
  <si>
    <t xml:space="preserve">               HRMO</t>
  </si>
  <si>
    <t>LESS: MONETIZATION 2024</t>
  </si>
  <si>
    <t>ADD: 12/1-31/2023</t>
  </si>
  <si>
    <t>LESS: 08/09/2024</t>
  </si>
  <si>
    <t>ADD: 08/1-31/2024</t>
  </si>
  <si>
    <t>LESS: 09/13/2024</t>
  </si>
  <si>
    <t>ADD: 09/1/2024-10/31/2024</t>
  </si>
  <si>
    <t>LESS: 11/15/2024</t>
  </si>
  <si>
    <t>ADD: 11/1-30/2024</t>
  </si>
  <si>
    <t>LESS: 11/29/2024</t>
  </si>
  <si>
    <t>LESS: 12/13/2024</t>
  </si>
  <si>
    <t>LESS: 12/23-24, 26-27/2024</t>
  </si>
  <si>
    <t>ADD: 12/1-31/2024</t>
  </si>
  <si>
    <t>ADD: 01/1-31/2025</t>
  </si>
  <si>
    <t>LESS: 01/20-21/2025</t>
  </si>
  <si>
    <t>ADD: 02/1-28/2025</t>
  </si>
  <si>
    <t>LESS: 03/10, 14, 17/2025</t>
  </si>
  <si>
    <t>LESS: 03/21/2025</t>
  </si>
  <si>
    <t>ADD: 03/1/2025-04/30/2025</t>
  </si>
  <si>
    <t>LESS: 05/9 &amp; 19/2025</t>
  </si>
  <si>
    <t>ADD: 05/1/2025-06/30/2025</t>
  </si>
  <si>
    <t>LESS: MONETIZATION 2025</t>
  </si>
  <si>
    <t>DATE OF APPOINTMENT: 08/01/1998</t>
  </si>
  <si>
    <t>LESS: 07/1-2/2025</t>
  </si>
  <si>
    <t>LESS: 07/17/2025</t>
  </si>
  <si>
    <t>ADD: 07/1/2025-09/30/2025</t>
  </si>
  <si>
    <t>LESS: 10/10/2025</t>
  </si>
  <si>
    <t>ADD: 10/1-31/2025</t>
  </si>
  <si>
    <t>LESS: 11/19/2025</t>
  </si>
  <si>
    <t>ADD: 11/1-30/2025</t>
  </si>
  <si>
    <t>LESS: 12/22,23,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</si>
</sst>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2" borderId="0" xfId="0" applyNumberFormat="1" applyFill="1"/>
    <xf numFmtId="164" fontId="1" fillId="2" borderId="0" xfId="0" applyNumberFormat="1" applyFont="1" applyFill="1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4" fillId="7" borderId="11" xfId="0" applyNumberFormat="1" applyFont="1" applyFill="1" applyBorder="1" applyAlignment="1">
      <alignment horizontal="center" vertical="center"/>
    </xf>
    <xf numFmtId="164" fontId="4" fillId="8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/>
    <xf numFmtId="164" fontId="0" fillId="7" borderId="0" xfId="0" applyNumberFormat="1" applyFill="1"/>
    <xf numFmtId="164" fontId="0" fillId="8" borderId="0" xfId="0" applyNumberFormat="1" applyFill="1"/>
    <xf numFmtId="164" fontId="0" fillId="2" borderId="0" xfId="0" applyNumberFormat="1" applyFill="1" applyAlignment="1">
      <alignment vertical="center"/>
    </xf>
    <xf numFmtId="164" fontId="0" fillId="2" borderId="0" xfId="0" applyNumberFormat="1" applyFill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4" fillId="9" borderId="1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9" borderId="0" xfId="0" applyFill="1"/>
    <xf numFmtId="0" fontId="4" fillId="7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7" borderId="0" xfId="0" applyFill="1"/>
    <xf numFmtId="0" fontId="0" fillId="8" borderId="0" xfId="0" applyFill="1"/>
    <xf numFmtId="164" fontId="7" fillId="2" borderId="0" xfId="0" applyNumberFormat="1" applyFont="1" applyFill="1" applyAlignment="1">
      <alignment vertical="center"/>
    </xf>
    <xf numFmtId="164" fontId="5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/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0" borderId="0" xfId="0" applyNumberFormat="1" applyFont="1" applyFill="1"/>
    <xf numFmtId="164" fontId="8" fillId="0" borderId="11" xfId="0" applyNumberFormat="1" applyFont="1" applyFill="1" applyBorder="1" applyAlignment="1">
      <alignment horizontal="center" vertical="center" wrapText="1"/>
    </xf>
    <xf numFmtId="164" fontId="8" fillId="0" borderId="11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22679</xdr:colOff>
      <xdr:row>0</xdr:row>
      <xdr:rowOff>49287</xdr:rowOff>
    </xdr:from>
    <xdr:to>
      <xdr:col>3</xdr:col>
      <xdr:colOff>790206</xdr:colOff>
      <xdr:row>0</xdr:row>
      <xdr:rowOff>839107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4A818-D2F6-49E1-AD61-FB18CF970B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1131" y="49287"/>
          <a:ext cx="808869" cy="7898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49E819-CBF8-4D42-A4FF-55190C95BC6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JEAN C. CALDERON-ANABO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ACDC52-BA1B-4C15-A698-50E624C2A48E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III (CASUAL)</a:t>
          </a:r>
        </a:p>
      </xdr:txBody>
    </xdr:sp>
    <xdr:clientData/>
  </xdr:twoCellAnchor>
  <xdr:twoCellAnchor>
    <xdr:from>
      <xdr:col>2</xdr:col>
      <xdr:colOff>415193</xdr:colOff>
      <xdr:row>7</xdr:row>
      <xdr:rowOff>75595</xdr:rowOff>
    </xdr:from>
    <xdr:to>
      <xdr:col>5</xdr:col>
      <xdr:colOff>226786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3E592A-1E34-4637-94DE-C008F43FB61E}"/>
            </a:ext>
          </a:extLst>
        </xdr:cNvPr>
        <xdr:cNvSpPr txBox="1"/>
      </xdr:nvSpPr>
      <xdr:spPr>
        <a:xfrm>
          <a:off x="3922812" y="1738690"/>
          <a:ext cx="2034093" cy="216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 - JHS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view="pageBreakPreview" topLeftCell="A99" zoomScale="106" zoomScaleNormal="80" zoomScaleSheetLayoutView="106" workbookViewId="0">
      <selection activeCell="A120" sqref="A120:XFD120"/>
    </sheetView>
  </sheetViews>
  <sheetFormatPr defaultColWidth="9.140625" defaultRowHeight="15" x14ac:dyDescent="0.25"/>
  <cols>
    <col min="1" max="1" width="33.5703125" style="3" customWidth="1"/>
    <col min="2" max="2" width="12.42578125" style="9" customWidth="1"/>
    <col min="3" max="3" width="10.5703125" style="10" customWidth="1"/>
    <col min="4" max="4" width="12.42578125" style="23" customWidth="1"/>
    <col min="5" max="5" width="10.5703125" style="24" customWidth="1"/>
    <col min="6" max="6" width="10.5703125" style="19" customWidth="1"/>
    <col min="7" max="7" width="11.28515625" style="3" customWidth="1"/>
    <col min="8" max="8" width="10.5703125" style="9" customWidth="1"/>
    <col min="9" max="9" width="10.5703125" style="10" customWidth="1"/>
    <col min="10" max="10" width="10.5703125" style="3" customWidth="1"/>
    <col min="11" max="16384" width="9.140625" style="3"/>
  </cols>
  <sheetData>
    <row r="1" spans="1:10" s="13" customFormat="1" ht="67.5" customHeight="1" x14ac:dyDescent="0.25"/>
    <row r="2" spans="1:10" s="13" customFormat="1" ht="10.5" customHeight="1" x14ac:dyDescent="0.25">
      <c r="A2" s="58" t="s">
        <v>0</v>
      </c>
      <c r="B2" s="58"/>
      <c r="C2" s="58"/>
      <c r="D2" s="58"/>
      <c r="E2" s="58"/>
      <c r="F2" s="58"/>
      <c r="G2" s="58"/>
      <c r="H2" s="58"/>
      <c r="I2" s="58"/>
      <c r="J2" s="58"/>
    </row>
    <row r="3" spans="1:10" s="13" customFormat="1" ht="15.95" customHeight="1" x14ac:dyDescent="0.25">
      <c r="A3" s="58" t="s">
        <v>1</v>
      </c>
      <c r="B3" s="58"/>
      <c r="C3" s="58"/>
      <c r="D3" s="58"/>
      <c r="E3" s="58"/>
      <c r="F3" s="58"/>
      <c r="G3" s="58"/>
      <c r="H3" s="58"/>
      <c r="I3" s="58"/>
      <c r="J3" s="58"/>
    </row>
    <row r="4" spans="1:10" s="13" customFormat="1" ht="15.95" customHeight="1" x14ac:dyDescent="0.25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s="13" customFormat="1" ht="15.95" customHeight="1" x14ac:dyDescent="0.25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</row>
    <row r="6" spans="1:10" s="13" customFormat="1" ht="8.25" customHeight="1" x14ac:dyDescent="0.25"/>
    <row r="7" spans="1:10" s="13" customFormat="1" ht="12" customHeight="1" x14ac:dyDescent="0.25">
      <c r="A7" s="13" t="s">
        <v>80</v>
      </c>
      <c r="B7" s="56" t="s">
        <v>81</v>
      </c>
      <c r="C7" s="56"/>
      <c r="D7" s="56"/>
      <c r="H7" s="14" t="s">
        <v>82</v>
      </c>
      <c r="I7" s="59"/>
      <c r="J7" s="59"/>
    </row>
    <row r="8" spans="1:10" s="13" customFormat="1" ht="12" customHeight="1" x14ac:dyDescent="0.25">
      <c r="B8" s="15"/>
      <c r="C8" s="15"/>
      <c r="H8" s="15"/>
      <c r="I8" s="15"/>
      <c r="J8" s="15"/>
    </row>
    <row r="9" spans="1:10" s="13" customFormat="1" ht="12" customHeight="1" x14ac:dyDescent="0.25">
      <c r="A9" s="13" t="s">
        <v>83</v>
      </c>
      <c r="B9" s="56" t="s">
        <v>84</v>
      </c>
      <c r="C9" s="56"/>
      <c r="D9" s="56"/>
      <c r="H9" s="14" t="s">
        <v>85</v>
      </c>
      <c r="I9" s="16">
        <v>529</v>
      </c>
      <c r="J9" s="16"/>
    </row>
    <row r="10" spans="1:10" customFormat="1" ht="16.5" customHeight="1" thickBot="1" x14ac:dyDescent="0.3">
      <c r="A10" s="57" t="s">
        <v>86</v>
      </c>
      <c r="B10" s="57"/>
      <c r="C10" s="57"/>
      <c r="D10" s="57"/>
      <c r="E10" s="57"/>
      <c r="F10" s="57"/>
      <c r="G10" s="57"/>
      <c r="H10" s="57"/>
      <c r="I10" s="57"/>
      <c r="J10" s="57"/>
    </row>
    <row r="11" spans="1:10" s="4" customFormat="1" ht="18.75" customHeight="1" thickBot="1" x14ac:dyDescent="0.25">
      <c r="A11" s="43" t="s">
        <v>125</v>
      </c>
      <c r="B11" s="44"/>
      <c r="C11" s="44"/>
      <c r="D11" s="44"/>
      <c r="E11" s="44"/>
      <c r="F11" s="44"/>
      <c r="G11" s="44"/>
      <c r="H11" s="44"/>
      <c r="I11" s="44"/>
      <c r="J11" s="45"/>
    </row>
    <row r="12" spans="1:10" s="4" customFormat="1" ht="15.95" customHeight="1" x14ac:dyDescent="0.2">
      <c r="A12" s="46" t="s">
        <v>4</v>
      </c>
      <c r="B12" s="48" t="s">
        <v>5</v>
      </c>
      <c r="C12" s="49"/>
      <c r="D12" s="50" t="s">
        <v>6</v>
      </c>
      <c r="E12" s="51"/>
      <c r="F12" s="51"/>
      <c r="G12" s="51"/>
      <c r="H12" s="52" t="s">
        <v>7</v>
      </c>
      <c r="I12" s="53"/>
      <c r="J12" s="54" t="s">
        <v>8</v>
      </c>
    </row>
    <row r="13" spans="1:10" s="4" customFormat="1" ht="26.45" customHeight="1" x14ac:dyDescent="0.2">
      <c r="A13" s="47"/>
      <c r="B13" s="5" t="s">
        <v>9</v>
      </c>
      <c r="C13" s="6" t="s">
        <v>10</v>
      </c>
      <c r="D13" s="20" t="s">
        <v>9</v>
      </c>
      <c r="E13" s="21" t="s">
        <v>10</v>
      </c>
      <c r="F13" s="17" t="s">
        <v>11</v>
      </c>
      <c r="G13" s="7" t="s">
        <v>12</v>
      </c>
      <c r="H13" s="5" t="s">
        <v>9</v>
      </c>
      <c r="I13" s="6" t="s">
        <v>10</v>
      </c>
      <c r="J13" s="55"/>
    </row>
    <row r="14" spans="1:10" s="4" customFormat="1" ht="15.95" customHeight="1" x14ac:dyDescent="0.2">
      <c r="A14" s="40" t="s">
        <v>73</v>
      </c>
      <c r="B14" s="41"/>
      <c r="C14" s="41"/>
      <c r="D14" s="41"/>
      <c r="E14" s="41"/>
      <c r="F14" s="41"/>
      <c r="G14" s="41"/>
      <c r="H14" s="41"/>
      <c r="I14" s="41"/>
      <c r="J14" s="42"/>
    </row>
    <row r="15" spans="1:10" s="8" customFormat="1" ht="15.95" customHeight="1" x14ac:dyDescent="0.2">
      <c r="A15" s="31" t="s">
        <v>14</v>
      </c>
      <c r="B15" s="32">
        <f>5*1.25</f>
        <v>6.25</v>
      </c>
      <c r="C15" s="32">
        <f>5*1.25</f>
        <v>6.25</v>
      </c>
      <c r="D15" s="33"/>
      <c r="E15" s="33"/>
      <c r="F15" s="33"/>
      <c r="G15" s="31"/>
      <c r="H15" s="32">
        <f>B15-D15</f>
        <v>6.25</v>
      </c>
      <c r="I15" s="32">
        <f>C15-E15</f>
        <v>6.25</v>
      </c>
      <c r="J15" s="31">
        <f>H15+I15</f>
        <v>12.5</v>
      </c>
    </row>
    <row r="16" spans="1:10" s="8" customFormat="1" ht="15.95" customHeight="1" x14ac:dyDescent="0.2">
      <c r="A16" s="31" t="s">
        <v>15</v>
      </c>
      <c r="B16" s="32">
        <v>15</v>
      </c>
      <c r="C16" s="32">
        <v>15</v>
      </c>
      <c r="D16" s="33"/>
      <c r="E16" s="33"/>
      <c r="F16" s="33"/>
      <c r="G16" s="31"/>
      <c r="H16" s="32">
        <f>H15-F16-D16+B16</f>
        <v>21.25</v>
      </c>
      <c r="I16" s="32">
        <f>I15-E16+C16</f>
        <v>21.25</v>
      </c>
      <c r="J16" s="31">
        <f t="shared" ref="J16:J77" si="0">H16+I16</f>
        <v>42.5</v>
      </c>
    </row>
    <row r="17" spans="1:10" s="8" customFormat="1" ht="15.95" customHeight="1" x14ac:dyDescent="0.2">
      <c r="A17" s="31" t="s">
        <v>16</v>
      </c>
      <c r="B17" s="32"/>
      <c r="C17" s="32"/>
      <c r="D17" s="33"/>
      <c r="E17" s="33"/>
      <c r="F17" s="33">
        <v>5</v>
      </c>
      <c r="G17" s="31"/>
      <c r="H17" s="32">
        <f>H16-F17-D17+B17</f>
        <v>16.25</v>
      </c>
      <c r="I17" s="32">
        <f>I16-E17+C17</f>
        <v>21.25</v>
      </c>
      <c r="J17" s="31">
        <f t="shared" si="0"/>
        <v>37.5</v>
      </c>
    </row>
    <row r="18" spans="1:10" s="8" customFormat="1" ht="15.95" customHeight="1" x14ac:dyDescent="0.2">
      <c r="A18" s="31" t="s">
        <v>17</v>
      </c>
      <c r="B18" s="32">
        <v>15</v>
      </c>
      <c r="C18" s="32">
        <v>15</v>
      </c>
      <c r="D18" s="33"/>
      <c r="E18" s="33"/>
      <c r="F18" s="33"/>
      <c r="G18" s="31"/>
      <c r="H18" s="32">
        <f t="shared" ref="H18:H77" si="1">H17-F18-D18+B18</f>
        <v>31.25</v>
      </c>
      <c r="I18" s="32">
        <f t="shared" ref="I18:I77" si="2">I17-E18+C18</f>
        <v>36.25</v>
      </c>
      <c r="J18" s="31">
        <f t="shared" si="0"/>
        <v>67.5</v>
      </c>
    </row>
    <row r="19" spans="1:10" s="8" customFormat="1" ht="15.95" customHeight="1" x14ac:dyDescent="0.2">
      <c r="A19" s="31" t="s">
        <v>18</v>
      </c>
      <c r="B19" s="32"/>
      <c r="C19" s="32"/>
      <c r="D19" s="33"/>
      <c r="E19" s="33"/>
      <c r="F19" s="33">
        <v>5</v>
      </c>
      <c r="G19" s="31"/>
      <c r="H19" s="32">
        <f t="shared" si="1"/>
        <v>26.25</v>
      </c>
      <c r="I19" s="32">
        <f t="shared" si="2"/>
        <v>36.25</v>
      </c>
      <c r="J19" s="31">
        <f t="shared" si="0"/>
        <v>62.5</v>
      </c>
    </row>
    <row r="20" spans="1:10" s="8" customFormat="1" ht="15.95" customHeight="1" x14ac:dyDescent="0.2">
      <c r="A20" s="31" t="s">
        <v>19</v>
      </c>
      <c r="B20" s="32">
        <v>15</v>
      </c>
      <c r="C20" s="32">
        <v>15</v>
      </c>
      <c r="D20" s="33"/>
      <c r="E20" s="33"/>
      <c r="F20" s="33"/>
      <c r="G20" s="31"/>
      <c r="H20" s="32">
        <f t="shared" si="1"/>
        <v>41.25</v>
      </c>
      <c r="I20" s="32">
        <f t="shared" si="2"/>
        <v>51.25</v>
      </c>
      <c r="J20" s="31">
        <f t="shared" si="0"/>
        <v>92.5</v>
      </c>
    </row>
    <row r="21" spans="1:10" s="8" customFormat="1" ht="15.95" customHeight="1" x14ac:dyDescent="0.2">
      <c r="A21" s="31" t="s">
        <v>20</v>
      </c>
      <c r="B21" s="32"/>
      <c r="C21" s="32"/>
      <c r="D21" s="33"/>
      <c r="E21" s="33"/>
      <c r="F21" s="33">
        <v>5</v>
      </c>
      <c r="G21" s="31"/>
      <c r="H21" s="32">
        <f t="shared" si="1"/>
        <v>36.25</v>
      </c>
      <c r="I21" s="32">
        <f t="shared" si="2"/>
        <v>51.25</v>
      </c>
      <c r="J21" s="31">
        <f t="shared" si="0"/>
        <v>87.5</v>
      </c>
    </row>
    <row r="22" spans="1:10" s="8" customFormat="1" ht="15.95" customHeight="1" x14ac:dyDescent="0.2">
      <c r="A22" s="31" t="s">
        <v>21</v>
      </c>
      <c r="B22" s="32">
        <v>15</v>
      </c>
      <c r="C22" s="32">
        <v>15</v>
      </c>
      <c r="D22" s="33"/>
      <c r="E22" s="33"/>
      <c r="F22" s="33"/>
      <c r="G22" s="31"/>
      <c r="H22" s="32">
        <f t="shared" si="1"/>
        <v>51.25</v>
      </c>
      <c r="I22" s="32">
        <f t="shared" si="2"/>
        <v>66.25</v>
      </c>
      <c r="J22" s="31">
        <f t="shared" si="0"/>
        <v>117.5</v>
      </c>
    </row>
    <row r="23" spans="1:10" s="8" customFormat="1" ht="15.95" customHeight="1" x14ac:dyDescent="0.2">
      <c r="A23" s="31" t="s">
        <v>22</v>
      </c>
      <c r="B23" s="32"/>
      <c r="C23" s="32"/>
      <c r="D23" s="33"/>
      <c r="E23" s="33"/>
      <c r="F23" s="33">
        <v>5</v>
      </c>
      <c r="G23" s="31"/>
      <c r="H23" s="32">
        <f t="shared" si="1"/>
        <v>46.25</v>
      </c>
      <c r="I23" s="32">
        <f t="shared" si="2"/>
        <v>66.25</v>
      </c>
      <c r="J23" s="31">
        <f t="shared" si="0"/>
        <v>112.5</v>
      </c>
    </row>
    <row r="24" spans="1:10" s="8" customFormat="1" ht="15.95" customHeight="1" x14ac:dyDescent="0.2">
      <c r="A24" s="31" t="s">
        <v>23</v>
      </c>
      <c r="B24" s="32">
        <v>15</v>
      </c>
      <c r="C24" s="32">
        <v>15</v>
      </c>
      <c r="D24" s="33"/>
      <c r="E24" s="33"/>
      <c r="F24" s="33"/>
      <c r="G24" s="31"/>
      <c r="H24" s="32">
        <f t="shared" si="1"/>
        <v>61.25</v>
      </c>
      <c r="I24" s="32">
        <f t="shared" si="2"/>
        <v>81.25</v>
      </c>
      <c r="J24" s="31">
        <f t="shared" si="0"/>
        <v>142.5</v>
      </c>
    </row>
    <row r="25" spans="1:10" s="8" customFormat="1" ht="15.95" customHeight="1" x14ac:dyDescent="0.2">
      <c r="A25" s="31" t="s">
        <v>24</v>
      </c>
      <c r="B25" s="32"/>
      <c r="C25" s="32"/>
      <c r="D25" s="33"/>
      <c r="E25" s="33"/>
      <c r="F25" s="33">
        <v>5</v>
      </c>
      <c r="G25" s="31"/>
      <c r="H25" s="32">
        <f t="shared" si="1"/>
        <v>56.25</v>
      </c>
      <c r="I25" s="32">
        <f t="shared" si="2"/>
        <v>81.25</v>
      </c>
      <c r="J25" s="31">
        <f t="shared" si="0"/>
        <v>137.5</v>
      </c>
    </row>
    <row r="26" spans="1:10" s="8" customFormat="1" ht="15.95" customHeight="1" x14ac:dyDescent="0.2">
      <c r="A26" s="31" t="s">
        <v>25</v>
      </c>
      <c r="B26" s="32">
        <v>15</v>
      </c>
      <c r="C26" s="32">
        <v>15</v>
      </c>
      <c r="D26" s="33"/>
      <c r="E26" s="33"/>
      <c r="F26" s="33"/>
      <c r="G26" s="31"/>
      <c r="H26" s="32">
        <f t="shared" si="1"/>
        <v>71.25</v>
      </c>
      <c r="I26" s="32">
        <f t="shared" si="2"/>
        <v>96.25</v>
      </c>
      <c r="J26" s="31">
        <f t="shared" si="0"/>
        <v>167.5</v>
      </c>
    </row>
    <row r="27" spans="1:10" s="8" customFormat="1" ht="15.95" customHeight="1" x14ac:dyDescent="0.2">
      <c r="A27" s="31" t="s">
        <v>26</v>
      </c>
      <c r="B27" s="32"/>
      <c r="C27" s="32"/>
      <c r="D27" s="33"/>
      <c r="E27" s="33"/>
      <c r="F27" s="33">
        <v>5</v>
      </c>
      <c r="G27" s="31"/>
      <c r="H27" s="32">
        <f t="shared" si="1"/>
        <v>66.25</v>
      </c>
      <c r="I27" s="32">
        <f t="shared" si="2"/>
        <v>96.25</v>
      </c>
      <c r="J27" s="31">
        <f t="shared" si="0"/>
        <v>162.5</v>
      </c>
    </row>
    <row r="28" spans="1:10" s="8" customFormat="1" ht="15.75" customHeight="1" x14ac:dyDescent="0.2">
      <c r="A28" s="31" t="s">
        <v>27</v>
      </c>
      <c r="B28" s="32"/>
      <c r="C28" s="32"/>
      <c r="D28" s="33">
        <v>10</v>
      </c>
      <c r="E28" s="33"/>
      <c r="F28" s="33"/>
      <c r="G28" s="31"/>
      <c r="H28" s="32">
        <f t="shared" si="1"/>
        <v>56.25</v>
      </c>
      <c r="I28" s="32">
        <f t="shared" si="2"/>
        <v>96.25</v>
      </c>
      <c r="J28" s="31">
        <f t="shared" si="0"/>
        <v>152.5</v>
      </c>
    </row>
    <row r="29" spans="1:10" s="8" customFormat="1" ht="15.75" customHeight="1" x14ac:dyDescent="0.2">
      <c r="A29" s="31" t="s">
        <v>28</v>
      </c>
      <c r="B29" s="32">
        <v>15</v>
      </c>
      <c r="C29" s="32">
        <v>15</v>
      </c>
      <c r="D29" s="33"/>
      <c r="E29" s="33"/>
      <c r="F29" s="33"/>
      <c r="G29" s="31"/>
      <c r="H29" s="32">
        <f t="shared" si="1"/>
        <v>71.25</v>
      </c>
      <c r="I29" s="32">
        <f t="shared" si="2"/>
        <v>111.25</v>
      </c>
      <c r="J29" s="31">
        <f t="shared" si="0"/>
        <v>182.5</v>
      </c>
    </row>
    <row r="30" spans="1:10" s="8" customFormat="1" ht="15.95" customHeight="1" x14ac:dyDescent="0.2">
      <c r="A30" s="31" t="s">
        <v>29</v>
      </c>
      <c r="B30" s="32"/>
      <c r="C30" s="32"/>
      <c r="D30" s="33"/>
      <c r="E30" s="33"/>
      <c r="F30" s="33">
        <v>5</v>
      </c>
      <c r="G30" s="31"/>
      <c r="H30" s="32">
        <f t="shared" si="1"/>
        <v>66.25</v>
      </c>
      <c r="I30" s="32">
        <f t="shared" si="2"/>
        <v>111.25</v>
      </c>
      <c r="J30" s="31">
        <f t="shared" si="0"/>
        <v>177.5</v>
      </c>
    </row>
    <row r="31" spans="1:10" s="8" customFormat="1" ht="15.95" customHeight="1" x14ac:dyDescent="0.2">
      <c r="A31" s="31" t="s">
        <v>30</v>
      </c>
      <c r="B31" s="32"/>
      <c r="C31" s="32"/>
      <c r="D31" s="33">
        <v>5</v>
      </c>
      <c r="E31" s="33">
        <v>10</v>
      </c>
      <c r="F31" s="33"/>
      <c r="G31" s="31"/>
      <c r="H31" s="32">
        <f t="shared" si="1"/>
        <v>61.25</v>
      </c>
      <c r="I31" s="32">
        <f t="shared" si="2"/>
        <v>101.25</v>
      </c>
      <c r="J31" s="31">
        <f t="shared" si="0"/>
        <v>162.5</v>
      </c>
    </row>
    <row r="32" spans="1:10" s="8" customFormat="1" ht="15.95" customHeight="1" x14ac:dyDescent="0.2">
      <c r="A32" s="31" t="s">
        <v>31</v>
      </c>
      <c r="B32" s="32">
        <v>15</v>
      </c>
      <c r="C32" s="32">
        <v>15</v>
      </c>
      <c r="D32" s="33"/>
      <c r="E32" s="33"/>
      <c r="F32" s="33"/>
      <c r="G32" s="31"/>
      <c r="H32" s="32">
        <f t="shared" si="1"/>
        <v>76.25</v>
      </c>
      <c r="I32" s="32">
        <f t="shared" si="2"/>
        <v>116.25</v>
      </c>
      <c r="J32" s="31">
        <f t="shared" si="0"/>
        <v>192.5</v>
      </c>
    </row>
    <row r="33" spans="1:10" s="8" customFormat="1" ht="15.95" customHeight="1" x14ac:dyDescent="0.2">
      <c r="A33" s="31" t="s">
        <v>32</v>
      </c>
      <c r="B33" s="32"/>
      <c r="C33" s="32"/>
      <c r="D33" s="33"/>
      <c r="E33" s="33"/>
      <c r="F33" s="33">
        <v>5</v>
      </c>
      <c r="G33" s="31"/>
      <c r="H33" s="32">
        <f t="shared" si="1"/>
        <v>71.25</v>
      </c>
      <c r="I33" s="32">
        <f t="shared" si="2"/>
        <v>116.25</v>
      </c>
      <c r="J33" s="31">
        <f t="shared" si="0"/>
        <v>187.5</v>
      </c>
    </row>
    <row r="34" spans="1:10" s="8" customFormat="1" ht="15.95" customHeight="1" x14ac:dyDescent="0.2">
      <c r="A34" s="31" t="s">
        <v>33</v>
      </c>
      <c r="B34" s="32">
        <v>15</v>
      </c>
      <c r="C34" s="32">
        <v>15</v>
      </c>
      <c r="D34" s="33"/>
      <c r="E34" s="33"/>
      <c r="F34" s="33"/>
      <c r="G34" s="31"/>
      <c r="H34" s="32">
        <f t="shared" si="1"/>
        <v>86.25</v>
      </c>
      <c r="I34" s="32">
        <f t="shared" si="2"/>
        <v>131.25</v>
      </c>
      <c r="J34" s="31">
        <f t="shared" si="0"/>
        <v>217.5</v>
      </c>
    </row>
    <row r="35" spans="1:10" s="8" customFormat="1" ht="15.95" customHeight="1" x14ac:dyDescent="0.2">
      <c r="A35" s="31" t="s">
        <v>34</v>
      </c>
      <c r="B35" s="32"/>
      <c r="C35" s="32"/>
      <c r="D35" s="33"/>
      <c r="E35" s="33"/>
      <c r="F35" s="33">
        <v>5</v>
      </c>
      <c r="G35" s="31"/>
      <c r="H35" s="32">
        <f t="shared" si="1"/>
        <v>81.25</v>
      </c>
      <c r="I35" s="32">
        <f t="shared" si="2"/>
        <v>131.25</v>
      </c>
      <c r="J35" s="31">
        <f t="shared" si="0"/>
        <v>212.5</v>
      </c>
    </row>
    <row r="36" spans="1:10" s="8" customFormat="1" ht="15.95" customHeight="1" x14ac:dyDescent="0.2">
      <c r="A36" s="31" t="s">
        <v>35</v>
      </c>
      <c r="B36" s="32">
        <v>15</v>
      </c>
      <c r="C36" s="32">
        <v>15</v>
      </c>
      <c r="D36" s="33"/>
      <c r="E36" s="33"/>
      <c r="F36" s="33"/>
      <c r="G36" s="31"/>
      <c r="H36" s="32">
        <f t="shared" si="1"/>
        <v>96.25</v>
      </c>
      <c r="I36" s="32">
        <f t="shared" si="2"/>
        <v>146.25</v>
      </c>
      <c r="J36" s="31">
        <f t="shared" si="0"/>
        <v>242.5</v>
      </c>
    </row>
    <row r="37" spans="1:10" s="8" customFormat="1" ht="15.95" customHeight="1" x14ac:dyDescent="0.2">
      <c r="A37" s="31" t="s">
        <v>36</v>
      </c>
      <c r="B37" s="32"/>
      <c r="C37" s="32"/>
      <c r="D37" s="33"/>
      <c r="E37" s="33"/>
      <c r="F37" s="33">
        <v>5</v>
      </c>
      <c r="G37" s="31"/>
      <c r="H37" s="32">
        <f t="shared" si="1"/>
        <v>91.25</v>
      </c>
      <c r="I37" s="32">
        <f t="shared" si="2"/>
        <v>146.25</v>
      </c>
      <c r="J37" s="31">
        <f t="shared" si="0"/>
        <v>237.5</v>
      </c>
    </row>
    <row r="38" spans="1:10" s="8" customFormat="1" ht="15.95" customHeight="1" x14ac:dyDescent="0.2">
      <c r="A38" s="31" t="s">
        <v>37</v>
      </c>
      <c r="B38" s="32">
        <v>15</v>
      </c>
      <c r="C38" s="32">
        <v>15</v>
      </c>
      <c r="D38" s="33"/>
      <c r="E38" s="33"/>
      <c r="F38" s="33"/>
      <c r="G38" s="31"/>
      <c r="H38" s="32">
        <f t="shared" si="1"/>
        <v>106.25</v>
      </c>
      <c r="I38" s="32">
        <f t="shared" si="2"/>
        <v>161.25</v>
      </c>
      <c r="J38" s="31">
        <f t="shared" si="0"/>
        <v>267.5</v>
      </c>
    </row>
    <row r="39" spans="1:10" s="8" customFormat="1" ht="15.95" customHeight="1" x14ac:dyDescent="0.2">
      <c r="A39" s="31" t="s">
        <v>38</v>
      </c>
      <c r="B39" s="32"/>
      <c r="C39" s="32"/>
      <c r="D39" s="33"/>
      <c r="E39" s="33"/>
      <c r="F39" s="33">
        <v>5</v>
      </c>
      <c r="G39" s="31"/>
      <c r="H39" s="32">
        <f t="shared" si="1"/>
        <v>101.25</v>
      </c>
      <c r="I39" s="32">
        <f t="shared" si="2"/>
        <v>161.25</v>
      </c>
      <c r="J39" s="31">
        <f t="shared" si="0"/>
        <v>262.5</v>
      </c>
    </row>
    <row r="40" spans="1:10" s="8" customFormat="1" ht="15.95" customHeight="1" x14ac:dyDescent="0.2">
      <c r="A40" s="31" t="s">
        <v>39</v>
      </c>
      <c r="B40" s="32">
        <v>15</v>
      </c>
      <c r="C40" s="32">
        <v>15</v>
      </c>
      <c r="D40" s="33"/>
      <c r="E40" s="33"/>
      <c r="F40" s="33"/>
      <c r="G40" s="31"/>
      <c r="H40" s="32">
        <f t="shared" si="1"/>
        <v>116.25</v>
      </c>
      <c r="I40" s="32">
        <f t="shared" si="2"/>
        <v>176.25</v>
      </c>
      <c r="J40" s="31">
        <f t="shared" si="0"/>
        <v>292.5</v>
      </c>
    </row>
    <row r="41" spans="1:10" s="8" customFormat="1" ht="15.95" customHeight="1" x14ac:dyDescent="0.2">
      <c r="A41" s="31" t="s">
        <v>40</v>
      </c>
      <c r="B41" s="32"/>
      <c r="C41" s="32"/>
      <c r="D41" s="33"/>
      <c r="E41" s="33"/>
      <c r="F41" s="33">
        <v>5</v>
      </c>
      <c r="G41" s="31"/>
      <c r="H41" s="32">
        <f t="shared" si="1"/>
        <v>111.25</v>
      </c>
      <c r="I41" s="32">
        <f t="shared" si="2"/>
        <v>176.25</v>
      </c>
      <c r="J41" s="31">
        <f t="shared" si="0"/>
        <v>287.5</v>
      </c>
    </row>
    <row r="42" spans="1:10" s="8" customFormat="1" ht="15.95" customHeight="1" x14ac:dyDescent="0.2">
      <c r="A42" s="31" t="s">
        <v>41</v>
      </c>
      <c r="B42" s="32">
        <v>15</v>
      </c>
      <c r="C42" s="32">
        <v>15</v>
      </c>
      <c r="D42" s="33"/>
      <c r="E42" s="33"/>
      <c r="F42" s="33"/>
      <c r="G42" s="31"/>
      <c r="H42" s="32">
        <f t="shared" si="1"/>
        <v>126.25</v>
      </c>
      <c r="I42" s="32">
        <f t="shared" si="2"/>
        <v>191.25</v>
      </c>
      <c r="J42" s="31">
        <f t="shared" si="0"/>
        <v>317.5</v>
      </c>
    </row>
    <row r="43" spans="1:10" s="8" customFormat="1" ht="15.95" customHeight="1" x14ac:dyDescent="0.2">
      <c r="A43" s="31" t="s">
        <v>42</v>
      </c>
      <c r="B43" s="32"/>
      <c r="C43" s="32"/>
      <c r="D43" s="33"/>
      <c r="E43" s="33"/>
      <c r="F43" s="33">
        <v>5</v>
      </c>
      <c r="G43" s="31"/>
      <c r="H43" s="32">
        <f t="shared" si="1"/>
        <v>121.25</v>
      </c>
      <c r="I43" s="32">
        <f t="shared" si="2"/>
        <v>191.25</v>
      </c>
      <c r="J43" s="31">
        <f t="shared" si="0"/>
        <v>312.5</v>
      </c>
    </row>
    <row r="44" spans="1:10" s="8" customFormat="1" ht="15.95" customHeight="1" x14ac:dyDescent="0.2">
      <c r="A44" s="31" t="s">
        <v>43</v>
      </c>
      <c r="B44" s="32"/>
      <c r="C44" s="32"/>
      <c r="D44" s="33">
        <v>60</v>
      </c>
      <c r="E44" s="33"/>
      <c r="F44" s="33"/>
      <c r="G44" s="31"/>
      <c r="H44" s="32">
        <f t="shared" si="1"/>
        <v>61.25</v>
      </c>
      <c r="I44" s="32">
        <f t="shared" si="2"/>
        <v>191.25</v>
      </c>
      <c r="J44" s="31">
        <f t="shared" si="0"/>
        <v>252.5</v>
      </c>
    </row>
    <row r="45" spans="1:10" s="8" customFormat="1" ht="15.95" customHeight="1" x14ac:dyDescent="0.2">
      <c r="A45" s="31" t="s">
        <v>44</v>
      </c>
      <c r="B45" s="32">
        <v>15</v>
      </c>
      <c r="C45" s="32">
        <v>15</v>
      </c>
      <c r="D45" s="33"/>
      <c r="E45" s="33"/>
      <c r="F45" s="33"/>
      <c r="G45" s="31"/>
      <c r="H45" s="32">
        <f t="shared" si="1"/>
        <v>76.25</v>
      </c>
      <c r="I45" s="32">
        <f t="shared" si="2"/>
        <v>206.25</v>
      </c>
      <c r="J45" s="31">
        <f t="shared" si="0"/>
        <v>282.5</v>
      </c>
    </row>
    <row r="46" spans="1:10" s="8" customFormat="1" ht="15.95" customHeight="1" x14ac:dyDescent="0.2">
      <c r="A46" s="31" t="s">
        <v>45</v>
      </c>
      <c r="B46" s="32"/>
      <c r="C46" s="32"/>
      <c r="D46" s="33"/>
      <c r="E46" s="33"/>
      <c r="F46" s="33">
        <v>5</v>
      </c>
      <c r="G46" s="31"/>
      <c r="H46" s="32">
        <f t="shared" si="1"/>
        <v>71.25</v>
      </c>
      <c r="I46" s="32">
        <f t="shared" si="2"/>
        <v>206.25</v>
      </c>
      <c r="J46" s="31">
        <f t="shared" si="0"/>
        <v>277.5</v>
      </c>
    </row>
    <row r="47" spans="1:10" s="8" customFormat="1" ht="15.95" customHeight="1" x14ac:dyDescent="0.2">
      <c r="A47" s="31" t="s">
        <v>46</v>
      </c>
      <c r="B47" s="32"/>
      <c r="C47" s="32"/>
      <c r="D47" s="33">
        <v>45</v>
      </c>
      <c r="E47" s="33"/>
      <c r="F47" s="33"/>
      <c r="G47" s="31"/>
      <c r="H47" s="32">
        <f t="shared" si="1"/>
        <v>26.25</v>
      </c>
      <c r="I47" s="32">
        <f t="shared" si="2"/>
        <v>206.25</v>
      </c>
      <c r="J47" s="31">
        <f t="shared" si="0"/>
        <v>232.5</v>
      </c>
    </row>
    <row r="48" spans="1:10" s="8" customFormat="1" ht="15.95" customHeight="1" x14ac:dyDescent="0.2">
      <c r="A48" s="31" t="s">
        <v>47</v>
      </c>
      <c r="B48" s="32">
        <v>15</v>
      </c>
      <c r="C48" s="32">
        <v>15</v>
      </c>
      <c r="D48" s="33"/>
      <c r="E48" s="33"/>
      <c r="F48" s="33"/>
      <c r="G48" s="31"/>
      <c r="H48" s="32">
        <f t="shared" si="1"/>
        <v>41.25</v>
      </c>
      <c r="I48" s="32">
        <f t="shared" si="2"/>
        <v>221.25</v>
      </c>
      <c r="J48" s="31">
        <f t="shared" si="0"/>
        <v>262.5</v>
      </c>
    </row>
    <row r="49" spans="1:10" s="8" customFormat="1" ht="15.95" customHeight="1" x14ac:dyDescent="0.2">
      <c r="A49" s="31" t="s">
        <v>48</v>
      </c>
      <c r="B49" s="32"/>
      <c r="C49" s="32"/>
      <c r="D49" s="33"/>
      <c r="E49" s="33"/>
      <c r="F49" s="33">
        <v>5</v>
      </c>
      <c r="G49" s="31"/>
      <c r="H49" s="32">
        <f t="shared" si="1"/>
        <v>36.25</v>
      </c>
      <c r="I49" s="32">
        <f t="shared" si="2"/>
        <v>221.25</v>
      </c>
      <c r="J49" s="31">
        <f t="shared" si="0"/>
        <v>257.5</v>
      </c>
    </row>
    <row r="50" spans="1:10" s="8" customFormat="1" ht="15.95" customHeight="1" x14ac:dyDescent="0.2">
      <c r="A50" s="31" t="s">
        <v>49</v>
      </c>
      <c r="B50" s="32"/>
      <c r="C50" s="32"/>
      <c r="D50" s="33">
        <v>30</v>
      </c>
      <c r="E50" s="33"/>
      <c r="F50" s="33"/>
      <c r="G50" s="31"/>
      <c r="H50" s="32">
        <f t="shared" si="1"/>
        <v>6.25</v>
      </c>
      <c r="I50" s="32">
        <f t="shared" si="2"/>
        <v>221.25</v>
      </c>
      <c r="J50" s="31">
        <f t="shared" si="0"/>
        <v>227.5</v>
      </c>
    </row>
    <row r="51" spans="1:10" s="8" customFormat="1" ht="15.95" customHeight="1" x14ac:dyDescent="0.2">
      <c r="A51" s="31" t="s">
        <v>50</v>
      </c>
      <c r="B51" s="32">
        <v>15</v>
      </c>
      <c r="C51" s="32">
        <v>15</v>
      </c>
      <c r="D51" s="33"/>
      <c r="E51" s="33"/>
      <c r="F51" s="33"/>
      <c r="G51" s="31"/>
      <c r="H51" s="32">
        <f t="shared" si="1"/>
        <v>21.25</v>
      </c>
      <c r="I51" s="32">
        <f t="shared" si="2"/>
        <v>236.25</v>
      </c>
      <c r="J51" s="31">
        <f t="shared" si="0"/>
        <v>257.5</v>
      </c>
    </row>
    <row r="52" spans="1:10" s="8" customFormat="1" ht="15.95" customHeight="1" x14ac:dyDescent="0.2">
      <c r="A52" s="31" t="s">
        <v>51</v>
      </c>
      <c r="B52" s="32"/>
      <c r="C52" s="32"/>
      <c r="D52" s="33"/>
      <c r="E52" s="33"/>
      <c r="F52" s="33">
        <v>5</v>
      </c>
      <c r="G52" s="31"/>
      <c r="H52" s="32">
        <f t="shared" si="1"/>
        <v>16.25</v>
      </c>
      <c r="I52" s="32">
        <f t="shared" si="2"/>
        <v>236.25</v>
      </c>
      <c r="J52" s="31">
        <f t="shared" si="0"/>
        <v>252.5</v>
      </c>
    </row>
    <row r="53" spans="1:10" s="8" customFormat="1" ht="15.95" customHeight="1" x14ac:dyDescent="0.2">
      <c r="A53" s="31" t="s">
        <v>52</v>
      </c>
      <c r="B53" s="32"/>
      <c r="C53" s="32"/>
      <c r="D53" s="34">
        <v>6</v>
      </c>
      <c r="E53" s="34">
        <v>22</v>
      </c>
      <c r="F53" s="33"/>
      <c r="G53" s="31"/>
      <c r="H53" s="32">
        <f t="shared" si="1"/>
        <v>10.25</v>
      </c>
      <c r="I53" s="32">
        <f t="shared" si="2"/>
        <v>214.25</v>
      </c>
      <c r="J53" s="31">
        <f t="shared" si="0"/>
        <v>224.5</v>
      </c>
    </row>
    <row r="54" spans="1:10" s="8" customFormat="1" ht="15.95" customHeight="1" x14ac:dyDescent="0.2">
      <c r="A54" s="31" t="s">
        <v>53</v>
      </c>
      <c r="B54" s="32">
        <v>15</v>
      </c>
      <c r="C54" s="32">
        <v>15</v>
      </c>
      <c r="D54" s="34"/>
      <c r="E54" s="34"/>
      <c r="F54" s="33"/>
      <c r="G54" s="31"/>
      <c r="H54" s="32">
        <f t="shared" si="1"/>
        <v>25.25</v>
      </c>
      <c r="I54" s="32">
        <f t="shared" si="2"/>
        <v>229.25</v>
      </c>
      <c r="J54" s="31">
        <f t="shared" si="0"/>
        <v>254.5</v>
      </c>
    </row>
    <row r="55" spans="1:10" s="8" customFormat="1" ht="15.95" customHeight="1" x14ac:dyDescent="0.2">
      <c r="A55" s="31" t="s">
        <v>54</v>
      </c>
      <c r="B55" s="32"/>
      <c r="C55" s="32"/>
      <c r="D55" s="34"/>
      <c r="E55" s="34"/>
      <c r="F55" s="33">
        <v>5</v>
      </c>
      <c r="G55" s="31"/>
      <c r="H55" s="32">
        <f t="shared" si="1"/>
        <v>20.25</v>
      </c>
      <c r="I55" s="32">
        <f t="shared" si="2"/>
        <v>229.25</v>
      </c>
      <c r="J55" s="31">
        <f t="shared" si="0"/>
        <v>249.5</v>
      </c>
    </row>
    <row r="56" spans="1:10" s="8" customFormat="1" ht="15.95" customHeight="1" x14ac:dyDescent="0.2">
      <c r="A56" s="31" t="s">
        <v>55</v>
      </c>
      <c r="B56" s="32"/>
      <c r="C56" s="32"/>
      <c r="D56" s="34"/>
      <c r="E56" s="34">
        <v>28</v>
      </c>
      <c r="F56" s="33"/>
      <c r="G56" s="31"/>
      <c r="H56" s="32">
        <f t="shared" si="1"/>
        <v>20.25</v>
      </c>
      <c r="I56" s="32">
        <f t="shared" si="2"/>
        <v>201.25</v>
      </c>
      <c r="J56" s="31">
        <f t="shared" si="0"/>
        <v>221.5</v>
      </c>
    </row>
    <row r="57" spans="1:10" s="8" customFormat="1" ht="15.95" customHeight="1" x14ac:dyDescent="0.2">
      <c r="A57" s="31" t="s">
        <v>56</v>
      </c>
      <c r="B57" s="32">
        <v>15</v>
      </c>
      <c r="C57" s="32">
        <v>15</v>
      </c>
      <c r="D57" s="34"/>
      <c r="E57" s="34"/>
      <c r="F57" s="33"/>
      <c r="G57" s="31"/>
      <c r="H57" s="32">
        <f t="shared" si="1"/>
        <v>35.25</v>
      </c>
      <c r="I57" s="32">
        <f t="shared" si="2"/>
        <v>216.25</v>
      </c>
      <c r="J57" s="31">
        <f t="shared" si="0"/>
        <v>251.5</v>
      </c>
    </row>
    <row r="58" spans="1:10" s="8" customFormat="1" ht="15.95" customHeight="1" x14ac:dyDescent="0.2">
      <c r="A58" s="31" t="s">
        <v>57</v>
      </c>
      <c r="B58" s="32"/>
      <c r="C58" s="32"/>
      <c r="D58" s="34"/>
      <c r="E58" s="34"/>
      <c r="F58" s="33">
        <v>5</v>
      </c>
      <c r="G58" s="31"/>
      <c r="H58" s="32">
        <f t="shared" si="1"/>
        <v>30.25</v>
      </c>
      <c r="I58" s="32">
        <f t="shared" si="2"/>
        <v>216.25</v>
      </c>
      <c r="J58" s="31">
        <f t="shared" si="0"/>
        <v>246.5</v>
      </c>
    </row>
    <row r="59" spans="1:10" s="8" customFormat="1" ht="15.95" customHeight="1" x14ac:dyDescent="0.2">
      <c r="A59" s="31" t="s">
        <v>58</v>
      </c>
      <c r="B59" s="32"/>
      <c r="C59" s="32"/>
      <c r="D59" s="34">
        <v>20</v>
      </c>
      <c r="E59" s="34">
        <v>9</v>
      </c>
      <c r="F59" s="33"/>
      <c r="G59" s="31"/>
      <c r="H59" s="32">
        <f t="shared" si="1"/>
        <v>10.25</v>
      </c>
      <c r="I59" s="32">
        <f t="shared" si="2"/>
        <v>207.25</v>
      </c>
      <c r="J59" s="31">
        <f t="shared" si="0"/>
        <v>217.5</v>
      </c>
    </row>
    <row r="60" spans="1:10" s="8" customFormat="1" ht="15.95" customHeight="1" x14ac:dyDescent="0.2">
      <c r="A60" s="31" t="s">
        <v>59</v>
      </c>
      <c r="B60" s="32">
        <v>15</v>
      </c>
      <c r="C60" s="32">
        <v>15</v>
      </c>
      <c r="D60" s="34"/>
      <c r="E60" s="34"/>
      <c r="F60" s="33"/>
      <c r="G60" s="31"/>
      <c r="H60" s="32">
        <f t="shared" si="1"/>
        <v>25.25</v>
      </c>
      <c r="I60" s="32">
        <f t="shared" si="2"/>
        <v>222.25</v>
      </c>
      <c r="J60" s="31">
        <f t="shared" si="0"/>
        <v>247.5</v>
      </c>
    </row>
    <row r="61" spans="1:10" s="8" customFormat="1" ht="15.95" customHeight="1" x14ac:dyDescent="0.2">
      <c r="A61" s="31" t="s">
        <v>60</v>
      </c>
      <c r="B61" s="32"/>
      <c r="C61" s="32"/>
      <c r="D61" s="34"/>
      <c r="E61" s="34"/>
      <c r="F61" s="33">
        <v>5</v>
      </c>
      <c r="G61" s="31"/>
      <c r="H61" s="32">
        <f t="shared" si="1"/>
        <v>20.25</v>
      </c>
      <c r="I61" s="32">
        <f t="shared" si="2"/>
        <v>222.25</v>
      </c>
      <c r="J61" s="31">
        <f t="shared" si="0"/>
        <v>242.5</v>
      </c>
    </row>
    <row r="62" spans="1:10" s="8" customFormat="1" ht="15.95" customHeight="1" x14ac:dyDescent="0.2">
      <c r="A62" s="31" t="s">
        <v>61</v>
      </c>
      <c r="B62" s="32"/>
      <c r="C62" s="32"/>
      <c r="D62" s="34">
        <v>15</v>
      </c>
      <c r="E62" s="34">
        <v>14</v>
      </c>
      <c r="F62" s="33"/>
      <c r="G62" s="31"/>
      <c r="H62" s="32">
        <f t="shared" si="1"/>
        <v>5.25</v>
      </c>
      <c r="I62" s="32">
        <f t="shared" si="2"/>
        <v>208.25</v>
      </c>
      <c r="J62" s="31">
        <f t="shared" si="0"/>
        <v>213.5</v>
      </c>
    </row>
    <row r="63" spans="1:10" s="8" customFormat="1" ht="15.95" customHeight="1" x14ac:dyDescent="0.2">
      <c r="A63" s="31" t="s">
        <v>62</v>
      </c>
      <c r="B63" s="32">
        <v>15</v>
      </c>
      <c r="C63" s="32">
        <v>15</v>
      </c>
      <c r="D63" s="34"/>
      <c r="E63" s="34"/>
      <c r="F63" s="33"/>
      <c r="G63" s="31"/>
      <c r="H63" s="32">
        <f t="shared" si="1"/>
        <v>20.25</v>
      </c>
      <c r="I63" s="32">
        <f t="shared" si="2"/>
        <v>223.25</v>
      </c>
      <c r="J63" s="31">
        <f t="shared" si="0"/>
        <v>243.5</v>
      </c>
    </row>
    <row r="64" spans="1:10" s="8" customFormat="1" ht="15.95" customHeight="1" x14ac:dyDescent="0.2">
      <c r="A64" s="31" t="s">
        <v>63</v>
      </c>
      <c r="B64" s="32"/>
      <c r="C64" s="32"/>
      <c r="D64" s="34"/>
      <c r="E64" s="34"/>
      <c r="F64" s="33">
        <v>5</v>
      </c>
      <c r="G64" s="31"/>
      <c r="H64" s="32">
        <f t="shared" si="1"/>
        <v>15.25</v>
      </c>
      <c r="I64" s="32">
        <f t="shared" si="2"/>
        <v>223.25</v>
      </c>
      <c r="J64" s="31">
        <f t="shared" si="0"/>
        <v>238.5</v>
      </c>
    </row>
    <row r="65" spans="1:10" s="8" customFormat="1" ht="15.95" customHeight="1" x14ac:dyDescent="0.2">
      <c r="A65" s="31" t="s">
        <v>64</v>
      </c>
      <c r="B65" s="32"/>
      <c r="C65" s="32"/>
      <c r="D65" s="34">
        <v>5</v>
      </c>
      <c r="E65" s="34">
        <v>24</v>
      </c>
      <c r="F65" s="33"/>
      <c r="G65" s="31"/>
      <c r="H65" s="32">
        <f t="shared" si="1"/>
        <v>10.25</v>
      </c>
      <c r="I65" s="32">
        <f t="shared" si="2"/>
        <v>199.25</v>
      </c>
      <c r="J65" s="31">
        <f t="shared" si="0"/>
        <v>209.5</v>
      </c>
    </row>
    <row r="66" spans="1:10" s="8" customFormat="1" ht="15.95" customHeight="1" x14ac:dyDescent="0.2">
      <c r="A66" s="31" t="s">
        <v>65</v>
      </c>
      <c r="B66" s="32">
        <v>15</v>
      </c>
      <c r="C66" s="32">
        <v>15</v>
      </c>
      <c r="D66" s="33"/>
      <c r="E66" s="33"/>
      <c r="F66" s="33"/>
      <c r="G66" s="31"/>
      <c r="H66" s="32">
        <f t="shared" si="1"/>
        <v>25.25</v>
      </c>
      <c r="I66" s="32">
        <f t="shared" si="2"/>
        <v>214.25</v>
      </c>
      <c r="J66" s="31">
        <f t="shared" si="0"/>
        <v>239.5</v>
      </c>
    </row>
    <row r="67" spans="1:10" s="8" customFormat="1" ht="15.95" customHeight="1" x14ac:dyDescent="0.2">
      <c r="A67" s="31" t="s">
        <v>13</v>
      </c>
      <c r="B67" s="32"/>
      <c r="C67" s="32"/>
      <c r="D67" s="33"/>
      <c r="E67" s="33"/>
      <c r="F67" s="33">
        <v>5</v>
      </c>
      <c r="G67" s="31"/>
      <c r="H67" s="32">
        <f t="shared" si="1"/>
        <v>20.25</v>
      </c>
      <c r="I67" s="32">
        <f t="shared" si="2"/>
        <v>214.25</v>
      </c>
      <c r="J67" s="31">
        <f t="shared" si="0"/>
        <v>234.5</v>
      </c>
    </row>
    <row r="68" spans="1:10" s="8" customFormat="1" ht="15.95" customHeight="1" x14ac:dyDescent="0.2">
      <c r="A68" s="31" t="s">
        <v>66</v>
      </c>
      <c r="B68" s="32"/>
      <c r="C68" s="32"/>
      <c r="D68" s="33">
        <v>12</v>
      </c>
      <c r="E68" s="33">
        <v>17</v>
      </c>
      <c r="F68" s="33"/>
      <c r="G68" s="31"/>
      <c r="H68" s="32">
        <f t="shared" si="1"/>
        <v>8.25</v>
      </c>
      <c r="I68" s="32">
        <f t="shared" si="2"/>
        <v>197.25</v>
      </c>
      <c r="J68" s="31">
        <f t="shared" si="0"/>
        <v>205.5</v>
      </c>
    </row>
    <row r="69" spans="1:10" s="8" customFormat="1" ht="15.95" customHeight="1" x14ac:dyDescent="0.2">
      <c r="A69" s="31" t="s">
        <v>67</v>
      </c>
      <c r="B69" s="32">
        <v>15</v>
      </c>
      <c r="C69" s="32">
        <v>15</v>
      </c>
      <c r="D69" s="33"/>
      <c r="E69" s="33"/>
      <c r="F69" s="33"/>
      <c r="G69" s="31"/>
      <c r="H69" s="32">
        <f t="shared" si="1"/>
        <v>23.25</v>
      </c>
      <c r="I69" s="32">
        <f t="shared" si="2"/>
        <v>212.25</v>
      </c>
      <c r="J69" s="31">
        <f t="shared" si="0"/>
        <v>235.5</v>
      </c>
    </row>
    <row r="70" spans="1:10" s="8" customFormat="1" ht="15.95" customHeight="1" x14ac:dyDescent="0.2">
      <c r="A70" s="31" t="s">
        <v>68</v>
      </c>
      <c r="B70" s="32"/>
      <c r="C70" s="32"/>
      <c r="D70" s="33"/>
      <c r="E70" s="33"/>
      <c r="F70" s="33">
        <v>5</v>
      </c>
      <c r="G70" s="31"/>
      <c r="H70" s="32">
        <f t="shared" si="1"/>
        <v>18.25</v>
      </c>
      <c r="I70" s="32">
        <f t="shared" si="2"/>
        <v>212.25</v>
      </c>
      <c r="J70" s="31">
        <f t="shared" si="0"/>
        <v>230.5</v>
      </c>
    </row>
    <row r="71" spans="1:10" s="8" customFormat="1" ht="15.95" customHeight="1" x14ac:dyDescent="0.2">
      <c r="A71" s="31" t="s">
        <v>69</v>
      </c>
      <c r="B71" s="32"/>
      <c r="C71" s="32"/>
      <c r="D71" s="33">
        <v>14</v>
      </c>
      <c r="E71" s="33">
        <v>15</v>
      </c>
      <c r="F71" s="33"/>
      <c r="G71" s="31"/>
      <c r="H71" s="32">
        <f t="shared" si="1"/>
        <v>4.25</v>
      </c>
      <c r="I71" s="32">
        <f t="shared" si="2"/>
        <v>197.25</v>
      </c>
      <c r="J71" s="31">
        <f t="shared" si="0"/>
        <v>201.5</v>
      </c>
    </row>
    <row r="72" spans="1:10" s="8" customFormat="1" ht="15.95" customHeight="1" x14ac:dyDescent="0.2">
      <c r="A72" s="31" t="s">
        <v>70</v>
      </c>
      <c r="B72" s="32">
        <v>15</v>
      </c>
      <c r="C72" s="32">
        <v>15</v>
      </c>
      <c r="D72" s="33"/>
      <c r="E72" s="33"/>
      <c r="F72" s="33"/>
      <c r="G72" s="31"/>
      <c r="H72" s="32">
        <f t="shared" si="1"/>
        <v>19.25</v>
      </c>
      <c r="I72" s="32">
        <f t="shared" si="2"/>
        <v>212.25</v>
      </c>
      <c r="J72" s="31">
        <f t="shared" si="0"/>
        <v>231.5</v>
      </c>
    </row>
    <row r="73" spans="1:10" s="8" customFormat="1" ht="15.95" customHeight="1" x14ac:dyDescent="0.2">
      <c r="A73" s="31" t="s">
        <v>71</v>
      </c>
      <c r="B73" s="32"/>
      <c r="C73" s="32"/>
      <c r="D73" s="33"/>
      <c r="E73" s="33"/>
      <c r="F73" s="33">
        <v>5</v>
      </c>
      <c r="G73" s="31"/>
      <c r="H73" s="32">
        <f t="shared" si="1"/>
        <v>14.25</v>
      </c>
      <c r="I73" s="32">
        <f t="shared" si="2"/>
        <v>212.25</v>
      </c>
      <c r="J73" s="31">
        <f t="shared" si="0"/>
        <v>226.5</v>
      </c>
    </row>
    <row r="74" spans="1:10" s="8" customFormat="1" ht="15.95" customHeight="1" x14ac:dyDescent="0.2">
      <c r="A74" s="31" t="s">
        <v>72</v>
      </c>
      <c r="B74" s="32"/>
      <c r="C74" s="32"/>
      <c r="D74" s="33">
        <v>14</v>
      </c>
      <c r="E74" s="33">
        <v>15</v>
      </c>
      <c r="F74" s="33"/>
      <c r="G74" s="31"/>
      <c r="H74" s="32">
        <f t="shared" si="1"/>
        <v>0.25</v>
      </c>
      <c r="I74" s="32">
        <f t="shared" si="2"/>
        <v>197.25</v>
      </c>
      <c r="J74" s="31">
        <f t="shared" si="0"/>
        <v>197.5</v>
      </c>
    </row>
    <row r="75" spans="1:10" s="8" customFormat="1" ht="15.95" customHeight="1" x14ac:dyDescent="0.2">
      <c r="A75" s="31" t="s">
        <v>88</v>
      </c>
      <c r="B75" s="32">
        <v>11.25</v>
      </c>
      <c r="C75" s="32">
        <v>11.25</v>
      </c>
      <c r="D75" s="33"/>
      <c r="E75" s="33"/>
      <c r="F75" s="33"/>
      <c r="G75" s="31"/>
      <c r="H75" s="32">
        <f t="shared" si="1"/>
        <v>11.5</v>
      </c>
      <c r="I75" s="32">
        <f t="shared" si="2"/>
        <v>208.5</v>
      </c>
      <c r="J75" s="31">
        <f t="shared" si="0"/>
        <v>220</v>
      </c>
    </row>
    <row r="76" spans="1:10" s="8" customFormat="1" ht="15.95" customHeight="1" x14ac:dyDescent="0.2">
      <c r="A76" s="31" t="s">
        <v>78</v>
      </c>
      <c r="B76" s="32"/>
      <c r="C76" s="32"/>
      <c r="D76" s="33">
        <v>3</v>
      </c>
      <c r="E76" s="33">
        <v>26</v>
      </c>
      <c r="F76" s="33"/>
      <c r="G76" s="31"/>
      <c r="H76" s="32">
        <f t="shared" si="1"/>
        <v>8.5</v>
      </c>
      <c r="I76" s="32">
        <f t="shared" si="2"/>
        <v>182.5</v>
      </c>
      <c r="J76" s="31">
        <f t="shared" si="0"/>
        <v>191</v>
      </c>
    </row>
    <row r="77" spans="1:10" s="8" customFormat="1" ht="15.95" customHeight="1" x14ac:dyDescent="0.2">
      <c r="A77" s="31" t="s">
        <v>79</v>
      </c>
      <c r="B77" s="32">
        <v>1.25</v>
      </c>
      <c r="C77" s="32">
        <v>1.25</v>
      </c>
      <c r="D77" s="33"/>
      <c r="E77" s="33"/>
      <c r="F77" s="33"/>
      <c r="G77" s="31"/>
      <c r="H77" s="32">
        <f t="shared" si="1"/>
        <v>9.75</v>
      </c>
      <c r="I77" s="32">
        <f t="shared" si="2"/>
        <v>183.75</v>
      </c>
      <c r="J77" s="31">
        <f t="shared" si="0"/>
        <v>193.5</v>
      </c>
    </row>
    <row r="78" spans="1:10" s="8" customFormat="1" ht="15.95" customHeight="1" x14ac:dyDescent="0.2">
      <c r="A78" s="31" t="s">
        <v>87</v>
      </c>
      <c r="B78" s="32">
        <v>2.5</v>
      </c>
      <c r="C78" s="32">
        <v>2.5</v>
      </c>
      <c r="D78" s="33"/>
      <c r="E78" s="33"/>
      <c r="F78" s="33"/>
      <c r="G78" s="31"/>
      <c r="H78" s="32">
        <f t="shared" ref="H78" si="3">H77-F78-D78+B78</f>
        <v>12.25</v>
      </c>
      <c r="I78" s="32">
        <f t="shared" ref="I78" si="4">I77-E78+C78</f>
        <v>186.25</v>
      </c>
      <c r="J78" s="31">
        <f t="shared" ref="J78" si="5">H78+I78</f>
        <v>198.5</v>
      </c>
    </row>
    <row r="79" spans="1:10" s="8" customFormat="1" ht="15.95" customHeight="1" x14ac:dyDescent="0.2">
      <c r="A79" s="31" t="s">
        <v>89</v>
      </c>
      <c r="B79" s="32"/>
      <c r="C79" s="32"/>
      <c r="D79" s="33"/>
      <c r="E79" s="33"/>
      <c r="F79" s="33">
        <v>5</v>
      </c>
      <c r="G79" s="31"/>
      <c r="H79" s="32">
        <f t="shared" ref="H79:H81" si="6">H78-F79-D79+B79</f>
        <v>7.25</v>
      </c>
      <c r="I79" s="32">
        <f t="shared" ref="I79:I81" si="7">I78-E79+C79</f>
        <v>186.25</v>
      </c>
      <c r="J79" s="31">
        <f t="shared" ref="J79:J81" si="8">H79+I79</f>
        <v>193.5</v>
      </c>
    </row>
    <row r="80" spans="1:10" s="8" customFormat="1" ht="15.95" customHeight="1" x14ac:dyDescent="0.2">
      <c r="A80" s="31" t="s">
        <v>90</v>
      </c>
      <c r="B80" s="32">
        <v>3.75</v>
      </c>
      <c r="C80" s="32">
        <v>3.75</v>
      </c>
      <c r="D80" s="33"/>
      <c r="E80" s="33"/>
      <c r="F80" s="33"/>
      <c r="G80" s="31"/>
      <c r="H80" s="32">
        <f t="shared" si="6"/>
        <v>11</v>
      </c>
      <c r="I80" s="32">
        <f t="shared" si="7"/>
        <v>190</v>
      </c>
      <c r="J80" s="31">
        <f t="shared" si="8"/>
        <v>201</v>
      </c>
    </row>
    <row r="81" spans="1:10" s="8" customFormat="1" ht="15.95" customHeight="1" x14ac:dyDescent="0.2">
      <c r="A81" s="31" t="s">
        <v>91</v>
      </c>
      <c r="B81" s="32"/>
      <c r="C81" s="32"/>
      <c r="D81" s="33"/>
      <c r="E81" s="33">
        <v>2</v>
      </c>
      <c r="F81" s="33"/>
      <c r="G81" s="31"/>
      <c r="H81" s="32">
        <f t="shared" si="6"/>
        <v>11</v>
      </c>
      <c r="I81" s="32">
        <f t="shared" si="7"/>
        <v>188</v>
      </c>
      <c r="J81" s="31">
        <f t="shared" si="8"/>
        <v>199</v>
      </c>
    </row>
    <row r="82" spans="1:10" s="8" customFormat="1" ht="15.95" customHeight="1" x14ac:dyDescent="0.2">
      <c r="A82" s="31" t="s">
        <v>92</v>
      </c>
      <c r="B82" s="32">
        <v>2.5</v>
      </c>
      <c r="C82" s="32">
        <v>2.5</v>
      </c>
      <c r="D82" s="33"/>
      <c r="E82" s="33"/>
      <c r="F82" s="33"/>
      <c r="G82" s="31"/>
      <c r="H82" s="32">
        <f t="shared" ref="H82:H83" si="9">H81-F82-D82+B82</f>
        <v>13.5</v>
      </c>
      <c r="I82" s="32">
        <f t="shared" ref="I82:I83" si="10">I81-E82+C82</f>
        <v>190.5</v>
      </c>
      <c r="J82" s="31">
        <f t="shared" ref="J82:J83" si="11">H82+I82</f>
        <v>204</v>
      </c>
    </row>
    <row r="83" spans="1:10" s="8" customFormat="1" ht="15.95" customHeight="1" x14ac:dyDescent="0.2">
      <c r="A83" s="31" t="s">
        <v>93</v>
      </c>
      <c r="B83" s="32"/>
      <c r="C83" s="32"/>
      <c r="D83" s="33"/>
      <c r="E83" s="33">
        <v>2</v>
      </c>
      <c r="F83" s="33"/>
      <c r="G83" s="31"/>
      <c r="H83" s="32">
        <f t="shared" si="9"/>
        <v>13.5</v>
      </c>
      <c r="I83" s="32">
        <f t="shared" si="10"/>
        <v>188.5</v>
      </c>
      <c r="J83" s="31">
        <f t="shared" si="11"/>
        <v>202</v>
      </c>
    </row>
    <row r="84" spans="1:10" s="8" customFormat="1" ht="15.95" customHeight="1" x14ac:dyDescent="0.2">
      <c r="A84" s="31" t="s">
        <v>94</v>
      </c>
      <c r="B84" s="32">
        <v>3.75</v>
      </c>
      <c r="C84" s="32">
        <v>3.75</v>
      </c>
      <c r="D84" s="33"/>
      <c r="E84" s="33"/>
      <c r="F84" s="33"/>
      <c r="G84" s="31"/>
      <c r="H84" s="32">
        <f t="shared" ref="H84:H85" si="12">H83-F84-D84+B84</f>
        <v>17.25</v>
      </c>
      <c r="I84" s="32">
        <f t="shared" ref="I84:I85" si="13">I83-E84+C84</f>
        <v>192.25</v>
      </c>
      <c r="J84" s="31">
        <f t="shared" ref="J84:J85" si="14">H84+I84</f>
        <v>209.5</v>
      </c>
    </row>
    <row r="85" spans="1:10" s="8" customFormat="1" ht="15.95" customHeight="1" x14ac:dyDescent="0.2">
      <c r="A85" s="31" t="s">
        <v>95</v>
      </c>
      <c r="B85" s="32"/>
      <c r="C85" s="32"/>
      <c r="D85" s="33">
        <v>7</v>
      </c>
      <c r="E85" s="33">
        <v>22</v>
      </c>
      <c r="F85" s="33"/>
      <c r="G85" s="31"/>
      <c r="H85" s="32">
        <f t="shared" si="12"/>
        <v>10.25</v>
      </c>
      <c r="I85" s="32">
        <f t="shared" si="13"/>
        <v>170.25</v>
      </c>
      <c r="J85" s="31">
        <f t="shared" si="14"/>
        <v>180.5</v>
      </c>
    </row>
    <row r="86" spans="1:10" s="8" customFormat="1" ht="15.95" customHeight="1" x14ac:dyDescent="0.2">
      <c r="A86" s="31" t="s">
        <v>96</v>
      </c>
      <c r="B86" s="32">
        <f>3*1.25</f>
        <v>3.75</v>
      </c>
      <c r="C86" s="32">
        <v>3.75</v>
      </c>
      <c r="D86" s="33"/>
      <c r="E86" s="33"/>
      <c r="F86" s="33"/>
      <c r="G86" s="31"/>
      <c r="H86" s="32">
        <f t="shared" ref="H86:H87" si="15">H85-F86-D86+B86</f>
        <v>14</v>
      </c>
      <c r="I86" s="32">
        <f t="shared" ref="I86:I87" si="16">I85-E86+C86</f>
        <v>174</v>
      </c>
      <c r="J86" s="31">
        <f t="shared" ref="J86:J87" si="17">H86+I86</f>
        <v>188</v>
      </c>
    </row>
    <row r="87" spans="1:10" s="8" customFormat="1" ht="15.95" customHeight="1" x14ac:dyDescent="0.2">
      <c r="A87" s="31" t="s">
        <v>97</v>
      </c>
      <c r="B87" s="32"/>
      <c r="C87" s="32"/>
      <c r="D87" s="33"/>
      <c r="E87" s="33"/>
      <c r="F87" s="33">
        <v>1</v>
      </c>
      <c r="G87" s="31"/>
      <c r="H87" s="32">
        <f t="shared" si="15"/>
        <v>13</v>
      </c>
      <c r="I87" s="32">
        <f t="shared" si="16"/>
        <v>174</v>
      </c>
      <c r="J87" s="31">
        <f t="shared" si="17"/>
        <v>187</v>
      </c>
    </row>
    <row r="88" spans="1:10" s="8" customFormat="1" ht="15.95" customHeight="1" x14ac:dyDescent="0.2">
      <c r="A88" s="31" t="s">
        <v>98</v>
      </c>
      <c r="B88" s="32"/>
      <c r="C88" s="32"/>
      <c r="D88" s="33"/>
      <c r="E88" s="33"/>
      <c r="F88" s="33">
        <v>1</v>
      </c>
      <c r="G88" s="31"/>
      <c r="H88" s="32">
        <f t="shared" ref="H88" si="18">H87-F88-D88+B88</f>
        <v>12</v>
      </c>
      <c r="I88" s="32">
        <f t="shared" ref="I88" si="19">I87-E88+C88</f>
        <v>174</v>
      </c>
      <c r="J88" s="31">
        <f t="shared" ref="J88" si="20">H88+I88</f>
        <v>186</v>
      </c>
    </row>
    <row r="89" spans="1:10" s="8" customFormat="1" ht="15.95" customHeight="1" x14ac:dyDescent="0.2">
      <c r="A89" s="31" t="s">
        <v>105</v>
      </c>
      <c r="B89" s="32">
        <v>1.25</v>
      </c>
      <c r="C89" s="32">
        <v>1.25</v>
      </c>
      <c r="D89" s="33"/>
      <c r="E89" s="33"/>
      <c r="F89" s="33"/>
      <c r="G89" s="31"/>
      <c r="H89" s="32">
        <f t="shared" ref="H89:H94" si="21">H88-F89-D89+B89</f>
        <v>13.25</v>
      </c>
      <c r="I89" s="32">
        <f t="shared" ref="I89:I94" si="22">I88-E89+C89</f>
        <v>175.25</v>
      </c>
      <c r="J89" s="31">
        <f t="shared" ref="J89:J94" si="23">H89+I89</f>
        <v>188.5</v>
      </c>
    </row>
    <row r="90" spans="1:10" s="8" customFormat="1" ht="15.95" customHeight="1" x14ac:dyDescent="0.2">
      <c r="A90" s="31" t="s">
        <v>101</v>
      </c>
      <c r="B90" s="32"/>
      <c r="C90" s="32"/>
      <c r="D90" s="33"/>
      <c r="E90" s="33"/>
      <c r="F90" s="33">
        <v>3</v>
      </c>
      <c r="G90" s="31"/>
      <c r="H90" s="32">
        <f t="shared" si="21"/>
        <v>10.25</v>
      </c>
      <c r="I90" s="32">
        <f t="shared" si="22"/>
        <v>175.25</v>
      </c>
      <c r="J90" s="31">
        <f t="shared" si="23"/>
        <v>185.5</v>
      </c>
    </row>
    <row r="91" spans="1:10" s="8" customFormat="1" ht="15.95" customHeight="1" x14ac:dyDescent="0.2">
      <c r="A91" s="31" t="s">
        <v>99</v>
      </c>
      <c r="B91" s="32">
        <v>2.5</v>
      </c>
      <c r="C91" s="32">
        <v>2.5</v>
      </c>
      <c r="D91" s="33"/>
      <c r="E91" s="33"/>
      <c r="F91" s="33"/>
      <c r="G91" s="31"/>
      <c r="H91" s="32">
        <f t="shared" si="21"/>
        <v>12.75</v>
      </c>
      <c r="I91" s="32">
        <f t="shared" si="22"/>
        <v>177.75</v>
      </c>
      <c r="J91" s="31">
        <f t="shared" si="23"/>
        <v>190.5</v>
      </c>
    </row>
    <row r="92" spans="1:10" s="8" customFormat="1" ht="15.95" customHeight="1" x14ac:dyDescent="0.2">
      <c r="A92" s="31" t="s">
        <v>100</v>
      </c>
      <c r="B92" s="32"/>
      <c r="C92" s="32"/>
      <c r="D92" s="33">
        <v>1</v>
      </c>
      <c r="E92" s="33"/>
      <c r="F92" s="33"/>
      <c r="G92" s="31"/>
      <c r="H92" s="32">
        <f t="shared" si="21"/>
        <v>11.75</v>
      </c>
      <c r="I92" s="32">
        <f t="shared" si="22"/>
        <v>177.75</v>
      </c>
      <c r="J92" s="31">
        <f t="shared" si="23"/>
        <v>189.5</v>
      </c>
    </row>
    <row r="93" spans="1:10" s="8" customFormat="1" ht="15.95" customHeight="1" x14ac:dyDescent="0.2">
      <c r="A93" s="31" t="s">
        <v>102</v>
      </c>
      <c r="B93" s="32">
        <v>6.25</v>
      </c>
      <c r="C93" s="32">
        <v>6.25</v>
      </c>
      <c r="D93" s="33"/>
      <c r="E93" s="33"/>
      <c r="F93" s="33"/>
      <c r="G93" s="31"/>
      <c r="H93" s="32">
        <f t="shared" si="21"/>
        <v>18</v>
      </c>
      <c r="I93" s="32">
        <f t="shared" si="22"/>
        <v>184</v>
      </c>
      <c r="J93" s="31">
        <f t="shared" si="23"/>
        <v>202</v>
      </c>
    </row>
    <row r="94" spans="1:10" s="30" customFormat="1" ht="15.95" customHeight="1" x14ac:dyDescent="0.2">
      <c r="A94" s="35" t="s">
        <v>104</v>
      </c>
      <c r="B94" s="36"/>
      <c r="C94" s="36"/>
      <c r="D94" s="34">
        <v>10</v>
      </c>
      <c r="E94" s="34"/>
      <c r="F94" s="34"/>
      <c r="G94" s="35"/>
      <c r="H94" s="36">
        <f t="shared" si="21"/>
        <v>8</v>
      </c>
      <c r="I94" s="36">
        <f t="shared" si="22"/>
        <v>184</v>
      </c>
      <c r="J94" s="35">
        <f t="shared" si="23"/>
        <v>192</v>
      </c>
    </row>
    <row r="95" spans="1:10" s="30" customFormat="1" ht="15.95" customHeight="1" x14ac:dyDescent="0.2">
      <c r="A95" s="35" t="s">
        <v>106</v>
      </c>
      <c r="B95" s="36"/>
      <c r="C95" s="36"/>
      <c r="D95" s="34"/>
      <c r="E95" s="34">
        <v>1</v>
      </c>
      <c r="F95" s="34"/>
      <c r="G95" s="35"/>
      <c r="H95" s="36">
        <f t="shared" ref="H95" si="24">H94-F95-D95+B95</f>
        <v>8</v>
      </c>
      <c r="I95" s="36">
        <f t="shared" ref="I95" si="25">I94-E95+C95</f>
        <v>183</v>
      </c>
      <c r="J95" s="35">
        <f t="shared" ref="J95" si="26">H95+I95</f>
        <v>191</v>
      </c>
    </row>
    <row r="96" spans="1:10" s="30" customFormat="1" ht="15.95" customHeight="1" x14ac:dyDescent="0.2">
      <c r="A96" s="35" t="s">
        <v>107</v>
      </c>
      <c r="B96" s="36">
        <v>1.25</v>
      </c>
      <c r="C96" s="36">
        <v>1.25</v>
      </c>
      <c r="D96" s="34"/>
      <c r="E96" s="34"/>
      <c r="F96" s="34"/>
      <c r="G96" s="35"/>
      <c r="H96" s="36">
        <f t="shared" ref="H96:H97" si="27">H95-F96-D96+B96</f>
        <v>9.25</v>
      </c>
      <c r="I96" s="36">
        <f t="shared" ref="I96:I97" si="28">I95-E96+C96</f>
        <v>184.25</v>
      </c>
      <c r="J96" s="35">
        <f t="shared" ref="J96:J97" si="29">H96+I96</f>
        <v>193.5</v>
      </c>
    </row>
    <row r="97" spans="1:10" s="30" customFormat="1" ht="15.95" customHeight="1" x14ac:dyDescent="0.2">
      <c r="A97" s="35" t="s">
        <v>108</v>
      </c>
      <c r="B97" s="36"/>
      <c r="C97" s="36"/>
      <c r="D97" s="34"/>
      <c r="E97" s="34">
        <v>1</v>
      </c>
      <c r="F97" s="34"/>
      <c r="G97" s="35"/>
      <c r="H97" s="36">
        <f t="shared" si="27"/>
        <v>9.25</v>
      </c>
      <c r="I97" s="36">
        <f t="shared" si="28"/>
        <v>183.25</v>
      </c>
      <c r="J97" s="35">
        <f t="shared" si="29"/>
        <v>192.5</v>
      </c>
    </row>
    <row r="98" spans="1:10" s="30" customFormat="1" ht="15.95" customHeight="1" x14ac:dyDescent="0.2">
      <c r="A98" s="35" t="s">
        <v>109</v>
      </c>
      <c r="B98" s="36">
        <v>2.5</v>
      </c>
      <c r="C98" s="36">
        <v>2.5</v>
      </c>
      <c r="D98" s="34"/>
      <c r="E98" s="34"/>
      <c r="F98" s="34"/>
      <c r="G98" s="35"/>
      <c r="H98" s="36">
        <f t="shared" ref="H98:H99" si="30">H97-F98-D98+B98</f>
        <v>11.75</v>
      </c>
      <c r="I98" s="36">
        <f t="shared" ref="I98:I99" si="31">I97-E98+C98</f>
        <v>185.75</v>
      </c>
      <c r="J98" s="35">
        <f t="shared" ref="J98:J99" si="32">H98+I98</f>
        <v>197.5</v>
      </c>
    </row>
    <row r="99" spans="1:10" s="30" customFormat="1" ht="15.95" customHeight="1" x14ac:dyDescent="0.2">
      <c r="A99" s="35" t="s">
        <v>110</v>
      </c>
      <c r="B99" s="36"/>
      <c r="C99" s="36"/>
      <c r="D99" s="34"/>
      <c r="E99" s="34">
        <v>1</v>
      </c>
      <c r="F99" s="34"/>
      <c r="G99" s="35"/>
      <c r="H99" s="36">
        <f t="shared" si="30"/>
        <v>11.75</v>
      </c>
      <c r="I99" s="36">
        <f t="shared" si="31"/>
        <v>184.75</v>
      </c>
      <c r="J99" s="35">
        <f t="shared" si="32"/>
        <v>196.5</v>
      </c>
    </row>
    <row r="100" spans="1:10" s="30" customFormat="1" ht="15.95" customHeight="1" x14ac:dyDescent="0.2">
      <c r="A100" s="35" t="s">
        <v>111</v>
      </c>
      <c r="B100" s="36">
        <v>1.25</v>
      </c>
      <c r="C100" s="36">
        <v>1.25</v>
      </c>
      <c r="D100" s="34"/>
      <c r="E100" s="34"/>
      <c r="F100" s="34"/>
      <c r="G100" s="35"/>
      <c r="H100" s="36">
        <f t="shared" ref="H100:H101" si="33">H99-F100-D100+B100</f>
        <v>13</v>
      </c>
      <c r="I100" s="36">
        <f t="shared" ref="I100:I101" si="34">I99-E100+C100</f>
        <v>186</v>
      </c>
      <c r="J100" s="35">
        <f t="shared" ref="J100:J101" si="35">H100+I100</f>
        <v>199</v>
      </c>
    </row>
    <row r="101" spans="1:10" s="30" customFormat="1" ht="15.95" customHeight="1" x14ac:dyDescent="0.2">
      <c r="A101" s="35" t="s">
        <v>112</v>
      </c>
      <c r="B101" s="36"/>
      <c r="C101" s="36"/>
      <c r="D101" s="34"/>
      <c r="E101" s="34">
        <v>1</v>
      </c>
      <c r="F101" s="34"/>
      <c r="G101" s="35"/>
      <c r="H101" s="36">
        <f t="shared" si="33"/>
        <v>13</v>
      </c>
      <c r="I101" s="36">
        <f t="shared" si="34"/>
        <v>185</v>
      </c>
      <c r="J101" s="35">
        <f t="shared" si="35"/>
        <v>198</v>
      </c>
    </row>
    <row r="102" spans="1:10" s="30" customFormat="1" ht="15.95" customHeight="1" x14ac:dyDescent="0.2">
      <c r="A102" s="35" t="s">
        <v>113</v>
      </c>
      <c r="B102" s="36"/>
      <c r="C102" s="36"/>
      <c r="D102" s="34"/>
      <c r="E102" s="34"/>
      <c r="F102" s="34">
        <v>1</v>
      </c>
      <c r="G102" s="35"/>
      <c r="H102" s="36">
        <f t="shared" ref="H102" si="36">H101-F102-D102+B102</f>
        <v>12</v>
      </c>
      <c r="I102" s="36">
        <f t="shared" ref="I102" si="37">I101-E102+C102</f>
        <v>185</v>
      </c>
      <c r="J102" s="35">
        <f t="shared" ref="J102" si="38">H102+I102</f>
        <v>197</v>
      </c>
    </row>
    <row r="103" spans="1:10" s="30" customFormat="1" ht="15.95" customHeight="1" x14ac:dyDescent="0.2">
      <c r="A103" s="35" t="s">
        <v>114</v>
      </c>
      <c r="B103" s="36"/>
      <c r="C103" s="36"/>
      <c r="D103" s="34"/>
      <c r="E103" s="34"/>
      <c r="F103" s="34">
        <v>4</v>
      </c>
      <c r="G103" s="35"/>
      <c r="H103" s="36">
        <f t="shared" ref="H103" si="39">H102-F103-D103+B103</f>
        <v>8</v>
      </c>
      <c r="I103" s="36">
        <f t="shared" ref="I103" si="40">I102-E103+C103</f>
        <v>185</v>
      </c>
      <c r="J103" s="35">
        <f t="shared" ref="J103" si="41">H103+I103</f>
        <v>193</v>
      </c>
    </row>
    <row r="104" spans="1:10" s="30" customFormat="1" ht="15.95" customHeight="1" x14ac:dyDescent="0.2">
      <c r="A104" s="35" t="s">
        <v>115</v>
      </c>
      <c r="B104" s="36">
        <v>1.25</v>
      </c>
      <c r="C104" s="36">
        <v>1.25</v>
      </c>
      <c r="D104" s="34"/>
      <c r="E104" s="34"/>
      <c r="F104" s="34"/>
      <c r="G104" s="35"/>
      <c r="H104" s="36">
        <f t="shared" ref="H104:H106" si="42">H103-F104-D104+B104</f>
        <v>9.25</v>
      </c>
      <c r="I104" s="36">
        <f t="shared" ref="I104:I106" si="43">I103-E104+C104</f>
        <v>186.25</v>
      </c>
      <c r="J104" s="35">
        <f t="shared" ref="J104:J106" si="44">H104+I104</f>
        <v>195.5</v>
      </c>
    </row>
    <row r="105" spans="1:10" s="30" customFormat="1" ht="15.95" customHeight="1" x14ac:dyDescent="0.2">
      <c r="A105" s="35" t="s">
        <v>116</v>
      </c>
      <c r="B105" s="36">
        <v>1.25</v>
      </c>
      <c r="C105" s="36">
        <v>1.25</v>
      </c>
      <c r="D105" s="34"/>
      <c r="E105" s="34"/>
      <c r="F105" s="34"/>
      <c r="G105" s="35"/>
      <c r="H105" s="36">
        <f t="shared" si="42"/>
        <v>10.5</v>
      </c>
      <c r="I105" s="36">
        <f t="shared" si="43"/>
        <v>187.5</v>
      </c>
      <c r="J105" s="35">
        <f t="shared" si="44"/>
        <v>198</v>
      </c>
    </row>
    <row r="106" spans="1:10" s="30" customFormat="1" ht="15.95" customHeight="1" x14ac:dyDescent="0.2">
      <c r="A106" s="35" t="s">
        <v>117</v>
      </c>
      <c r="B106" s="36"/>
      <c r="C106" s="36"/>
      <c r="D106" s="34"/>
      <c r="E106" s="34">
        <v>2</v>
      </c>
      <c r="F106" s="34"/>
      <c r="G106" s="35"/>
      <c r="H106" s="36">
        <f t="shared" si="42"/>
        <v>10.5</v>
      </c>
      <c r="I106" s="36">
        <f t="shared" si="43"/>
        <v>185.5</v>
      </c>
      <c r="J106" s="35">
        <f t="shared" si="44"/>
        <v>196</v>
      </c>
    </row>
    <row r="107" spans="1:10" s="30" customFormat="1" ht="15.95" customHeight="1" x14ac:dyDescent="0.2">
      <c r="A107" s="35" t="s">
        <v>118</v>
      </c>
      <c r="B107" s="36">
        <v>1.25</v>
      </c>
      <c r="C107" s="36">
        <v>1.25</v>
      </c>
      <c r="D107" s="34"/>
      <c r="E107" s="34"/>
      <c r="F107" s="34"/>
      <c r="G107" s="35"/>
      <c r="H107" s="36">
        <f t="shared" ref="H107:H108" si="45">H106-F107-D107+B107</f>
        <v>11.75</v>
      </c>
      <c r="I107" s="36">
        <f t="shared" ref="I107:I108" si="46">I106-E107+C107</f>
        <v>186.75</v>
      </c>
      <c r="J107" s="35">
        <f t="shared" ref="J107:J108" si="47">H107+I107</f>
        <v>198.5</v>
      </c>
    </row>
    <row r="108" spans="1:10" s="30" customFormat="1" ht="15.95" customHeight="1" x14ac:dyDescent="0.2">
      <c r="A108" s="35" t="s">
        <v>119</v>
      </c>
      <c r="B108" s="36"/>
      <c r="C108" s="36"/>
      <c r="D108" s="34"/>
      <c r="E108" s="34">
        <v>3</v>
      </c>
      <c r="F108" s="34"/>
      <c r="G108" s="35"/>
      <c r="H108" s="36">
        <f t="shared" si="45"/>
        <v>11.75</v>
      </c>
      <c r="I108" s="36">
        <f t="shared" si="46"/>
        <v>183.75</v>
      </c>
      <c r="J108" s="35">
        <f t="shared" si="47"/>
        <v>195.5</v>
      </c>
    </row>
    <row r="109" spans="1:10" s="30" customFormat="1" ht="15.95" customHeight="1" x14ac:dyDescent="0.2">
      <c r="A109" s="35" t="s">
        <v>120</v>
      </c>
      <c r="B109" s="36"/>
      <c r="C109" s="36"/>
      <c r="D109" s="34"/>
      <c r="E109" s="34">
        <v>1</v>
      </c>
      <c r="F109" s="34"/>
      <c r="G109" s="35"/>
      <c r="H109" s="36">
        <f t="shared" ref="H109" si="48">H108-F109-D109+B109</f>
        <v>11.75</v>
      </c>
      <c r="I109" s="36">
        <f t="shared" ref="I109" si="49">I108-E109+C109</f>
        <v>182.75</v>
      </c>
      <c r="J109" s="35">
        <f t="shared" ref="J109" si="50">H109+I109</f>
        <v>194.5</v>
      </c>
    </row>
    <row r="110" spans="1:10" s="30" customFormat="1" ht="15.95" customHeight="1" x14ac:dyDescent="0.2">
      <c r="A110" s="35" t="s">
        <v>121</v>
      </c>
      <c r="B110" s="36">
        <v>2.5</v>
      </c>
      <c r="C110" s="36">
        <v>2.5</v>
      </c>
      <c r="D110" s="34"/>
      <c r="E110" s="34"/>
      <c r="F110" s="34"/>
      <c r="G110" s="35"/>
      <c r="H110" s="36">
        <f t="shared" ref="H110" si="51">H109-F110-D110+B110</f>
        <v>14.25</v>
      </c>
      <c r="I110" s="36">
        <f t="shared" ref="I110" si="52">I109-E110+C110</f>
        <v>185.25</v>
      </c>
      <c r="J110" s="35">
        <f t="shared" ref="J110" si="53">H110+I110</f>
        <v>199.5</v>
      </c>
    </row>
    <row r="111" spans="1:10" s="30" customFormat="1" ht="15.95" customHeight="1" x14ac:dyDescent="0.2">
      <c r="A111" s="35" t="s">
        <v>122</v>
      </c>
      <c r="B111" s="36"/>
      <c r="C111" s="36"/>
      <c r="D111" s="34"/>
      <c r="E111" s="34">
        <v>2</v>
      </c>
      <c r="F111" s="34"/>
      <c r="G111" s="35"/>
      <c r="H111" s="36">
        <f t="shared" ref="H111" si="54">H110-F111-D111+B111</f>
        <v>14.25</v>
      </c>
      <c r="I111" s="36">
        <f t="shared" ref="I111" si="55">I110-E111+C111</f>
        <v>183.25</v>
      </c>
      <c r="J111" s="35">
        <f t="shared" ref="J111" si="56">H111+I111</f>
        <v>197.5</v>
      </c>
    </row>
    <row r="112" spans="1:10" s="30" customFormat="1" ht="15.95" customHeight="1" x14ac:dyDescent="0.2">
      <c r="A112" s="35" t="s">
        <v>123</v>
      </c>
      <c r="B112" s="36">
        <v>2.5</v>
      </c>
      <c r="C112" s="36">
        <v>2.5</v>
      </c>
      <c r="D112" s="34"/>
      <c r="E112" s="34"/>
      <c r="F112" s="34"/>
      <c r="G112" s="35"/>
      <c r="H112" s="36">
        <f t="shared" ref="H112:H113" si="57">H111-F112-D112+B112</f>
        <v>16.75</v>
      </c>
      <c r="I112" s="36">
        <f t="shared" ref="I112:I113" si="58">I111-E112+C112</f>
        <v>185.75</v>
      </c>
      <c r="J112" s="35">
        <f t="shared" ref="J112:J113" si="59">H112+I112</f>
        <v>202.5</v>
      </c>
    </row>
    <row r="113" spans="1:10" s="30" customFormat="1" ht="15.95" customHeight="1" x14ac:dyDescent="0.2">
      <c r="A113" s="35" t="s">
        <v>124</v>
      </c>
      <c r="B113" s="36"/>
      <c r="C113" s="36"/>
      <c r="D113" s="34">
        <v>10</v>
      </c>
      <c r="E113" s="34"/>
      <c r="F113" s="34"/>
      <c r="G113" s="35"/>
      <c r="H113" s="36">
        <f t="shared" si="57"/>
        <v>6.75</v>
      </c>
      <c r="I113" s="36">
        <f t="shared" si="58"/>
        <v>185.75</v>
      </c>
      <c r="J113" s="37">
        <f t="shared" si="59"/>
        <v>192.5</v>
      </c>
    </row>
    <row r="114" spans="1:10" s="30" customFormat="1" ht="15.95" customHeight="1" x14ac:dyDescent="0.2">
      <c r="A114" s="35" t="s">
        <v>126</v>
      </c>
      <c r="B114" s="36"/>
      <c r="C114" s="36"/>
      <c r="D114" s="34"/>
      <c r="E114" s="34">
        <v>2</v>
      </c>
      <c r="F114" s="34"/>
      <c r="G114" s="35"/>
      <c r="H114" s="36">
        <f t="shared" ref="H114" si="60">H113-F114-D114+B114</f>
        <v>6.75</v>
      </c>
      <c r="I114" s="36">
        <f t="shared" ref="I114" si="61">I113-E114+C114</f>
        <v>183.75</v>
      </c>
      <c r="J114" s="37">
        <f t="shared" ref="J114" si="62">H114+I114</f>
        <v>190.5</v>
      </c>
    </row>
    <row r="115" spans="1:10" s="30" customFormat="1" ht="15.95" customHeight="1" x14ac:dyDescent="0.2">
      <c r="A115" s="35" t="s">
        <v>127</v>
      </c>
      <c r="B115" s="36"/>
      <c r="C115" s="36"/>
      <c r="D115" s="34"/>
      <c r="E115" s="34">
        <v>1</v>
      </c>
      <c r="F115" s="34"/>
      <c r="G115" s="35"/>
      <c r="H115" s="36">
        <f t="shared" ref="H115" si="63">H114-F115-D115+B115</f>
        <v>6.75</v>
      </c>
      <c r="I115" s="36">
        <f t="shared" ref="I115" si="64">I114-E115+C115</f>
        <v>182.75</v>
      </c>
      <c r="J115" s="37">
        <f t="shared" ref="J115" si="65">H115+I115</f>
        <v>189.5</v>
      </c>
    </row>
    <row r="116" spans="1:10" s="30" customFormat="1" ht="15.95" customHeight="1" x14ac:dyDescent="0.2">
      <c r="A116" s="35" t="s">
        <v>128</v>
      </c>
      <c r="B116" s="36">
        <v>3.75</v>
      </c>
      <c r="C116" s="36">
        <v>3.75</v>
      </c>
      <c r="D116" s="34"/>
      <c r="E116" s="34"/>
      <c r="F116" s="34"/>
      <c r="G116" s="35"/>
      <c r="H116" s="36">
        <f t="shared" ref="H116:H117" si="66">H115-F116-D116+B116</f>
        <v>10.5</v>
      </c>
      <c r="I116" s="36">
        <f t="shared" ref="I116:I117" si="67">I115-E116+C116</f>
        <v>186.5</v>
      </c>
      <c r="J116" s="37">
        <f t="shared" ref="J116:J117" si="68">H116+I116</f>
        <v>197</v>
      </c>
    </row>
    <row r="117" spans="1:10" s="30" customFormat="1" ht="15.95" customHeight="1" x14ac:dyDescent="0.2">
      <c r="A117" s="35" t="s">
        <v>129</v>
      </c>
      <c r="B117" s="36"/>
      <c r="C117" s="36"/>
      <c r="D117" s="34"/>
      <c r="E117" s="34">
        <v>1</v>
      </c>
      <c r="F117" s="34"/>
      <c r="G117" s="35"/>
      <c r="H117" s="36">
        <f t="shared" si="66"/>
        <v>10.5</v>
      </c>
      <c r="I117" s="36">
        <f t="shared" si="67"/>
        <v>185.5</v>
      </c>
      <c r="J117" s="37">
        <f t="shared" si="68"/>
        <v>196</v>
      </c>
    </row>
    <row r="118" spans="1:10" s="30" customFormat="1" ht="15.95" customHeight="1" x14ac:dyDescent="0.2">
      <c r="A118" s="35" t="s">
        <v>130</v>
      </c>
      <c r="B118" s="36">
        <v>1.25</v>
      </c>
      <c r="C118" s="36">
        <v>1.25</v>
      </c>
      <c r="D118" s="34"/>
      <c r="E118" s="34"/>
      <c r="F118" s="34"/>
      <c r="G118" s="35"/>
      <c r="H118" s="36">
        <f t="shared" ref="H118:H119" si="69">H117-F118-D118+B118</f>
        <v>11.75</v>
      </c>
      <c r="I118" s="36">
        <f t="shared" ref="I118:I119" si="70">I117-E118+C118</f>
        <v>186.75</v>
      </c>
      <c r="J118" s="37">
        <f t="shared" ref="J118:J119" si="71">H118+I118</f>
        <v>198.5</v>
      </c>
    </row>
    <row r="119" spans="1:10" s="30" customFormat="1" ht="15.95" customHeight="1" x14ac:dyDescent="0.2">
      <c r="A119" s="35" t="s">
        <v>131</v>
      </c>
      <c r="B119" s="36"/>
      <c r="C119" s="36"/>
      <c r="D119" s="34"/>
      <c r="E119" s="34"/>
      <c r="F119" s="38">
        <v>1</v>
      </c>
      <c r="G119" s="35"/>
      <c r="H119" s="36">
        <f t="shared" si="69"/>
        <v>10.75</v>
      </c>
      <c r="I119" s="36">
        <f t="shared" si="70"/>
        <v>186.75</v>
      </c>
      <c r="J119" s="37">
        <f t="shared" si="71"/>
        <v>197.5</v>
      </c>
    </row>
    <row r="120" spans="1:10" s="60" customFormat="1" ht="15.95" customHeight="1" x14ac:dyDescent="0.2">
      <c r="A120" s="61" t="s">
        <v>132</v>
      </c>
      <c r="B120" s="62">
        <v>1.25</v>
      </c>
      <c r="C120" s="62">
        <v>1.25</v>
      </c>
      <c r="D120" s="63"/>
      <c r="E120" s="63"/>
      <c r="F120" s="63"/>
      <c r="G120" s="61"/>
      <c r="H120" s="36">
        <f t="shared" ref="H120:H121" si="72">H119-F120-D120+B120</f>
        <v>12</v>
      </c>
      <c r="I120" s="36">
        <f t="shared" ref="I120:I121" si="73">I119-E120+C120</f>
        <v>188</v>
      </c>
      <c r="J120" s="37">
        <f t="shared" ref="J120:J121" si="74">H120+I120</f>
        <v>200</v>
      </c>
    </row>
    <row r="121" spans="1:10" s="60" customFormat="1" ht="15.95" customHeight="1" x14ac:dyDescent="0.2">
      <c r="A121" s="61" t="s">
        <v>133</v>
      </c>
      <c r="B121" s="62"/>
      <c r="C121" s="62"/>
      <c r="D121" s="63"/>
      <c r="E121" s="63"/>
      <c r="F121" s="38">
        <v>3</v>
      </c>
      <c r="G121" s="61"/>
      <c r="H121" s="36">
        <f t="shared" si="72"/>
        <v>9</v>
      </c>
      <c r="I121" s="36">
        <f t="shared" si="73"/>
        <v>188</v>
      </c>
      <c r="J121" s="37">
        <f t="shared" si="74"/>
        <v>197</v>
      </c>
    </row>
    <row r="122" spans="1:10" s="60" customFormat="1" ht="15.95" customHeight="1" x14ac:dyDescent="0.2">
      <c r="A122" s="61"/>
      <c r="B122" s="62"/>
      <c r="C122" s="62"/>
      <c r="D122" s="63"/>
      <c r="E122" s="63"/>
      <c r="F122" s="63"/>
      <c r="G122" s="61"/>
      <c r="H122" s="62"/>
      <c r="I122" s="62"/>
      <c r="J122" s="61"/>
    </row>
    <row r="123" spans="1:10" s="30" customFormat="1" ht="15.95" customHeight="1" x14ac:dyDescent="0.2">
      <c r="A123" s="26"/>
      <c r="B123" s="27"/>
      <c r="C123" s="27"/>
      <c r="D123" s="28"/>
      <c r="E123" s="28"/>
      <c r="F123" s="28"/>
      <c r="G123" s="29"/>
      <c r="H123" s="27"/>
      <c r="I123" s="27"/>
      <c r="J123" s="29"/>
    </row>
    <row r="124" spans="1:10" s="11" customFormat="1" ht="18.75" customHeight="1" x14ac:dyDescent="0.25">
      <c r="A124" s="12"/>
      <c r="D124" s="18"/>
      <c r="E124" s="22" t="s">
        <v>74</v>
      </c>
      <c r="F124" s="18"/>
      <c r="G124" s="39" t="s">
        <v>75</v>
      </c>
      <c r="H124" s="39"/>
    </row>
    <row r="125" spans="1:10" s="11" customFormat="1" ht="15" customHeight="1" x14ac:dyDescent="0.25">
      <c r="D125" s="18"/>
      <c r="E125" s="18"/>
      <c r="F125" s="18"/>
    </row>
    <row r="126" spans="1:10" s="11" customFormat="1" ht="13.5" customHeight="1" x14ac:dyDescent="0.25">
      <c r="A126" s="2"/>
      <c r="D126" s="18"/>
      <c r="E126" s="18"/>
      <c r="F126" s="18"/>
      <c r="H126" s="25" t="s">
        <v>76</v>
      </c>
    </row>
    <row r="127" spans="1:10" s="11" customFormat="1" ht="17.25" customHeight="1" x14ac:dyDescent="0.25">
      <c r="D127" s="18"/>
      <c r="E127" s="18"/>
      <c r="F127" s="18"/>
      <c r="H127" s="11" t="s">
        <v>77</v>
      </c>
    </row>
    <row r="128" spans="1:10" s="1" customFormat="1" x14ac:dyDescent="0.25">
      <c r="D128" s="13"/>
      <c r="E128" s="13"/>
      <c r="F128" s="13"/>
      <c r="H128" s="1" t="s">
        <v>103</v>
      </c>
    </row>
    <row r="129" spans="4:6" s="1" customFormat="1" x14ac:dyDescent="0.25">
      <c r="D129" s="13"/>
      <c r="E129" s="13"/>
      <c r="F129" s="13"/>
    </row>
  </sheetData>
  <mergeCells count="16">
    <mergeCell ref="B9:D9"/>
    <mergeCell ref="A10:J10"/>
    <mergeCell ref="A2:J2"/>
    <mergeCell ref="A3:J3"/>
    <mergeCell ref="A4:J4"/>
    <mergeCell ref="A5:J5"/>
    <mergeCell ref="B7:D7"/>
    <mergeCell ref="I7:J7"/>
    <mergeCell ref="G124:H124"/>
    <mergeCell ref="A14:J14"/>
    <mergeCell ref="A11:J11"/>
    <mergeCell ref="A12:A13"/>
    <mergeCell ref="B12:C12"/>
    <mergeCell ref="D12:G12"/>
    <mergeCell ref="H12:I12"/>
    <mergeCell ref="J12:J13"/>
  </mergeCells>
  <printOptions horizontalCentered="1"/>
  <pageMargins left="0.43307086614173229" right="0.43307086614173229" top="0.51181102362204722" bottom="0.39370078740157483" header="0.31496062992125984" footer="0.31496062992125984"/>
  <pageSetup paperSize="9" scale="70" fitToHeight="0" orientation="portrait" horizontalDpi="0" verticalDpi="0" r:id="rId1"/>
  <rowBreaks count="1" manualBreakCount="1">
    <brk id="6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JOCELYN MAMUGAY</cp:lastModifiedBy>
  <cp:lastPrinted>2026-01-07T07:23:53Z</cp:lastPrinted>
  <dcterms:created xsi:type="dcterms:W3CDTF">2022-10-11T08:36:20Z</dcterms:created>
  <dcterms:modified xsi:type="dcterms:W3CDTF">2026-01-07T07:26:02Z</dcterms:modified>
</cp:coreProperties>
</file>