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FEDC735C-8B8C-4224-99FA-4916662C6162}" xr6:coauthVersionLast="47" xr6:coauthVersionMax="47" xr10:uidLastSave="{00000000-0000-0000-0000-000000000000}"/>
  <bookViews>
    <workbookView xWindow="-120" yWindow="-120" windowWidth="29040" windowHeight="15720" xr2:uid="{6E383361-7C65-43F6-A7CA-FAE05BCE8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1" l="1"/>
  <c r="H65" i="1" s="1"/>
  <c r="I64" i="1"/>
  <c r="I65" i="1" s="1"/>
  <c r="I66" i="1" s="1"/>
  <c r="J64" i="1"/>
  <c r="I17" i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H17" i="1"/>
  <c r="H66" i="1" l="1"/>
  <c r="J66" i="1" s="1"/>
  <c r="J65" i="1"/>
  <c r="J17" i="1"/>
  <c r="H18" i="1"/>
  <c r="J18" i="1" s="1"/>
  <c r="H19" i="1" l="1"/>
  <c r="H20" i="1" s="1"/>
  <c r="J19" i="1" l="1"/>
  <c r="J20" i="1"/>
  <c r="H21" i="1"/>
  <c r="J21" i="1" l="1"/>
  <c r="H22" i="1"/>
  <c r="J22" i="1" l="1"/>
  <c r="H23" i="1"/>
  <c r="J23" i="1" l="1"/>
  <c r="H24" i="1"/>
  <c r="J24" i="1" l="1"/>
  <c r="H25" i="1"/>
  <c r="J25" i="1" l="1"/>
  <c r="H26" i="1"/>
  <c r="H27" i="1" l="1"/>
  <c r="J26" i="1"/>
  <c r="J27" i="1" l="1"/>
  <c r="H28" i="1"/>
  <c r="J28" i="1" l="1"/>
  <c r="H29" i="1"/>
  <c r="H30" i="1" l="1"/>
  <c r="J29" i="1"/>
  <c r="H31" i="1" l="1"/>
  <c r="J30" i="1"/>
  <c r="J31" i="1" l="1"/>
  <c r="H32" i="1"/>
  <c r="J32" i="1" l="1"/>
  <c r="H33" i="1"/>
  <c r="J33" i="1" l="1"/>
  <c r="H34" i="1"/>
  <c r="J34" i="1" l="1"/>
  <c r="H35" i="1"/>
  <c r="J35" i="1" l="1"/>
  <c r="H36" i="1"/>
  <c r="J36" i="1" l="1"/>
  <c r="H37" i="1"/>
  <c r="J37" i="1" l="1"/>
  <c r="H38" i="1"/>
  <c r="J38" i="1" l="1"/>
  <c r="H39" i="1"/>
  <c r="J39" i="1" l="1"/>
  <c r="H40" i="1"/>
  <c r="J40" i="1" l="1"/>
  <c r="H41" i="1"/>
  <c r="J41" i="1" l="1"/>
  <c r="H42" i="1"/>
  <c r="J42" i="1" l="1"/>
  <c r="H43" i="1"/>
  <c r="H44" i="1" l="1"/>
  <c r="J43" i="1"/>
  <c r="J44" i="1" l="1"/>
  <c r="H45" i="1"/>
  <c r="H46" i="1" l="1"/>
  <c r="J45" i="1"/>
  <c r="J46" i="1" l="1"/>
  <c r="H47" i="1"/>
  <c r="J47" i="1" l="1"/>
  <c r="H48" i="1"/>
  <c r="H49" i="1" s="1"/>
  <c r="J49" i="1" l="1"/>
  <c r="H50" i="1"/>
  <c r="J48" i="1"/>
  <c r="J50" i="1" l="1"/>
  <c r="H51" i="1"/>
  <c r="J51" i="1" l="1"/>
  <c r="H52" i="1"/>
  <c r="J52" i="1" l="1"/>
  <c r="H53" i="1"/>
  <c r="J53" i="1" l="1"/>
  <c r="H54" i="1"/>
  <c r="J54" i="1" l="1"/>
  <c r="H55" i="1"/>
  <c r="J55" i="1" l="1"/>
  <c r="H56" i="1"/>
  <c r="J56" i="1" l="1"/>
  <c r="H57" i="1"/>
  <c r="H58" i="1" l="1"/>
  <c r="J57" i="1"/>
  <c r="J58" i="1" l="1"/>
  <c r="H59" i="1"/>
  <c r="J59" i="1" l="1"/>
  <c r="H60" i="1"/>
  <c r="H61" i="1" l="1"/>
  <c r="J60" i="1"/>
  <c r="J61" i="1" l="1"/>
  <c r="H62" i="1"/>
  <c r="J62" i="1" l="1"/>
  <c r="H63" i="1"/>
  <c r="J63" i="1" s="1"/>
</calcChain>
</file>

<file path=xl/sharedStrings.xml><?xml version="1.0" encoding="utf-8"?>
<sst xmlns="http://schemas.openxmlformats.org/spreadsheetml/2006/main" count="75" uniqueCount="71">
  <si>
    <t>Republic of the Philippines</t>
  </si>
  <si>
    <t>Department of Education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</si>
  <si>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</si>
  <si>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</si>
  <si>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</si>
  <si>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</si>
  <si>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</si>
  <si>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</si>
  <si>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</si>
  <si>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</si>
  <si>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</si>
  <si>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</si>
  <si>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</si>
  <si>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</si>
  <si>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</si>
  <si>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</si>
  <si>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</si>
  <si>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</si>
  <si>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</si>
  <si>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LESS: MONETIZATION 2020</t>
  </si>
  <si>
    <t>LESS: MONETIZATION 2021</t>
  </si>
  <si>
    <t>LESS: MONETIZATION 2022</t>
  </si>
  <si>
    <t>LESS: MONETIZATION 2023</t>
  </si>
  <si>
    <t>ADD: 12/02/2015-12/31/2015</t>
  </si>
  <si>
    <t>ADD: 01/01/2016-12/31/2016</t>
  </si>
  <si>
    <t>ADD: 01/01/2017-11/30/2017</t>
  </si>
  <si>
    <t>LESS: MONETIZATION 2017</t>
  </si>
  <si>
    <t>LESS: FL 2016</t>
  </si>
  <si>
    <t>ADD: 12/01/2017-12/31/2017</t>
  </si>
  <si>
    <t>LESS: FL 2017</t>
  </si>
  <si>
    <t>ADD: 01/01/2018-06/30/2018</t>
  </si>
  <si>
    <t>LESS: MONETIZATION 2018</t>
  </si>
  <si>
    <t>ADD: 07/01/2018-12/31/2018</t>
  </si>
  <si>
    <t>LESS: FL 2018</t>
  </si>
  <si>
    <t>ADD: 01/01/2019-12/31/2019</t>
  </si>
  <si>
    <t>LESS: FL 2019</t>
  </si>
  <si>
    <t>ADD: 01/01/2020-06/30/2020</t>
  </si>
  <si>
    <t>ADD: 07/01/2020-12/31/2020</t>
  </si>
  <si>
    <t>LESS: FL 2020</t>
  </si>
  <si>
    <t>ADD: 01/01/2021-9/30/2021</t>
  </si>
  <si>
    <t>ADD: 10/01/2021-12/31/2021</t>
  </si>
  <si>
    <t>LESS: FL 2021</t>
  </si>
  <si>
    <t>ADD: 01/01/2022-08/31/2022</t>
  </si>
  <si>
    <t>ADD: 09/01/2022-12/31/2022</t>
  </si>
  <si>
    <t>LESS: FL 2022</t>
  </si>
  <si>
    <t>ADD: 01/01/2023-08/31/2023</t>
  </si>
  <si>
    <t>ADD: 09/01/2023-10/31/2023</t>
  </si>
  <si>
    <t>LESS: 11/29,30/2023, 12/01/2023</t>
  </si>
  <si>
    <t>ADD: 11/01/2023-11/30/2023</t>
  </si>
  <si>
    <t>LESS: 12/07/2023</t>
  </si>
  <si>
    <t>ADD: 12/1-31/2023</t>
  </si>
  <si>
    <t>ADD: 01/1/2024-04/30/2024</t>
  </si>
  <si>
    <t>LESS: 05/13-14/2024</t>
  </si>
  <si>
    <t>ADD: 05/1-31/2024</t>
  </si>
  <si>
    <t>LESS: 06/24/2024 &amp; 07/01/2024</t>
  </si>
  <si>
    <t>LESS: FL 2023</t>
  </si>
  <si>
    <t>LESS: MONETIZATION 2024</t>
  </si>
  <si>
    <t>ADD: 06/1/2024-10/31/2024</t>
  </si>
  <si>
    <t>ADD: 11/1/2024-12/31/2024</t>
  </si>
  <si>
    <t>ADD: 01/1/2025-03/31/2025</t>
  </si>
  <si>
    <t>LESS: 04/28/2025</t>
  </si>
  <si>
    <t>LESS:  FL 2024</t>
  </si>
  <si>
    <t>ADD: 04/1/2025-06/30/2025</t>
  </si>
  <si>
    <t>APPOINTMENT DATE: DECEMBER 02, 2015 (HEAD TEACHER I)</t>
  </si>
  <si>
    <t>LESS: 07/28/2025</t>
  </si>
  <si>
    <t>NEGROS ISLAND REGION</t>
  </si>
  <si>
    <t>ADD: 07/1/2025-08/31/2025</t>
  </si>
  <si>
    <t>LESS: MONETIZATION 2025 (30 DAYS)</t>
  </si>
  <si>
    <t>ADD: 09/1/2025-11/30/2025</t>
  </si>
  <si>
    <t>LESS: 12/12, 22/2025</t>
  </si>
  <si>
    <t>LESS: 12/23,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</si>
</sst>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0</xdr:row>
      <xdr:rowOff>104775</xdr:rowOff>
    </xdr:from>
    <xdr:to>
      <xdr:col>4</xdr:col>
      <xdr:colOff>447675</xdr:colOff>
      <xdr:row>3</xdr:row>
      <xdr:rowOff>171451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4199A3-9FA8-4D72-92AA-9C003E9C38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104775"/>
          <a:ext cx="666750" cy="6381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8</xdr:row>
      <xdr:rowOff>94761</xdr:rowOff>
    </xdr:from>
    <xdr:to>
      <xdr:col>0</xdr:col>
      <xdr:colOff>2582741</xdr:colOff>
      <xdr:row>10</xdr:row>
      <xdr:rowOff>39810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1B8FA0-370B-4558-835B-A5FD503E3736}"/>
            </a:ext>
          </a:extLst>
        </xdr:cNvPr>
        <xdr:cNvSpPr txBox="1"/>
      </xdr:nvSpPr>
      <xdr:spPr>
        <a:xfrm>
          <a:off x="573942" y="1618761"/>
          <a:ext cx="2008799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TIA, MA. RIOLA R.</a:t>
          </a:r>
        </a:p>
      </xdr:txBody>
    </xdr:sp>
    <xdr:clientData/>
  </xdr:twoCellAnchor>
  <xdr:twoCellAnchor>
    <xdr:from>
      <xdr:col>0</xdr:col>
      <xdr:colOff>616683</xdr:colOff>
      <xdr:row>10</xdr:row>
      <xdr:rowOff>61057</xdr:rowOff>
    </xdr:from>
    <xdr:to>
      <xdr:col>0</xdr:col>
      <xdr:colOff>2625482</xdr:colOff>
      <xdr:row>12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658B87-D4AB-4AE2-9C8E-4C3332C6F6AE}"/>
            </a:ext>
          </a:extLst>
        </xdr:cNvPr>
        <xdr:cNvSpPr txBox="1"/>
      </xdr:nvSpPr>
      <xdr:spPr>
        <a:xfrm>
          <a:off x="616683" y="171840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HT-III</a:t>
          </a:r>
        </a:p>
      </xdr:txBody>
    </xdr:sp>
    <xdr:clientData/>
  </xdr:twoCellAnchor>
  <xdr:twoCellAnchor>
    <xdr:from>
      <xdr:col>2</xdr:col>
      <xdr:colOff>415193</xdr:colOff>
      <xdr:row>10</xdr:row>
      <xdr:rowOff>42741</xdr:rowOff>
    </xdr:from>
    <xdr:to>
      <xdr:col>4</xdr:col>
      <xdr:colOff>604471</xdr:colOff>
      <xdr:row>11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F0DBEC-4C25-4CAE-B713-8D1276EAAFA0}"/>
            </a:ext>
          </a:extLst>
        </xdr:cNvPr>
        <xdr:cNvSpPr txBox="1"/>
      </xdr:nvSpPr>
      <xdr:spPr>
        <a:xfrm>
          <a:off x="459666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CANTURAY ES</a:t>
          </a:r>
        </a:p>
      </xdr:txBody>
    </xdr:sp>
    <xdr:clientData/>
  </xdr:twoCellAnchor>
  <xdr:twoCellAnchor>
    <xdr:from>
      <xdr:col>5</xdr:col>
      <xdr:colOff>669925</xdr:colOff>
      <xdr:row>68</xdr:row>
      <xdr:rowOff>168275</xdr:rowOff>
    </xdr:from>
    <xdr:to>
      <xdr:col>9</xdr:col>
      <xdr:colOff>704850</xdr:colOff>
      <xdr:row>74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E3791E-C52E-45C3-8578-7ABD5DF52CCD}"/>
            </a:ext>
          </a:extLst>
        </xdr:cNvPr>
        <xdr:cNvSpPr txBox="1"/>
      </xdr:nvSpPr>
      <xdr:spPr>
        <a:xfrm>
          <a:off x="6575425" y="10264775"/>
          <a:ext cx="3121025" cy="1041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E5B7-36F7-4978-9F47-594566406A0B}">
  <sheetPr>
    <pageSetUpPr fitToPage="1"/>
  </sheetPr>
  <dimension ref="A1:J74"/>
  <sheetViews>
    <sheetView tabSelected="1" topLeftCell="A44" workbookViewId="0">
      <selection activeCell="A64" sqref="A64:XFD64"/>
    </sheetView>
  </sheetViews>
  <sheetFormatPr defaultRowHeight="15" x14ac:dyDescent="0.25"/>
  <cols>
    <col min="1" max="1" width="33.7109375" customWidth="1"/>
    <col min="2" max="6" width="11.5703125" customWidth="1"/>
    <col min="7" max="7" width="11.5703125" style="1" customWidth="1"/>
    <col min="8" max="10" width="11.5703125" customWidth="1"/>
  </cols>
  <sheetData>
    <row r="1" spans="1:10" x14ac:dyDescent="0.25">
      <c r="A1" s="1"/>
      <c r="B1" s="1"/>
      <c r="C1" s="1"/>
      <c r="D1" s="1"/>
      <c r="E1" s="1"/>
      <c r="F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H4" s="1"/>
      <c r="I4" s="1"/>
      <c r="J4" s="1"/>
    </row>
    <row r="5" spans="1:10" x14ac:dyDescent="0.25">
      <c r="A5" s="26" t="s">
        <v>0</v>
      </c>
      <c r="B5" s="26"/>
      <c r="C5" s="26"/>
      <c r="D5" s="26"/>
      <c r="E5" s="26"/>
      <c r="F5" s="26"/>
      <c r="G5" s="26"/>
      <c r="H5" s="26"/>
      <c r="I5" s="26"/>
      <c r="J5" s="26"/>
    </row>
    <row r="6" spans="1:10" x14ac:dyDescent="0.25">
      <c r="A6" s="26" t="s">
        <v>1</v>
      </c>
      <c r="B6" s="26"/>
      <c r="C6" s="26"/>
      <c r="D6" s="26"/>
      <c r="E6" s="26"/>
      <c r="F6" s="26"/>
      <c r="G6" s="26"/>
      <c r="H6" s="26"/>
      <c r="I6" s="26"/>
      <c r="J6" s="26"/>
    </row>
    <row r="7" spans="1:10" x14ac:dyDescent="0.25">
      <c r="A7" s="26" t="s">
        <v>65</v>
      </c>
      <c r="B7" s="26"/>
      <c r="C7" s="26"/>
      <c r="D7" s="26"/>
      <c r="E7" s="26"/>
      <c r="F7" s="26"/>
      <c r="G7" s="26"/>
      <c r="H7" s="26"/>
      <c r="I7" s="26"/>
      <c r="J7" s="26"/>
    </row>
    <row r="8" spans="1:10" x14ac:dyDescent="0.25">
      <c r="A8" s="26" t="s">
        <v>2</v>
      </c>
      <c r="B8" s="26"/>
      <c r="C8" s="26"/>
      <c r="D8" s="26"/>
      <c r="E8" s="26"/>
      <c r="F8" s="26"/>
      <c r="G8" s="26"/>
      <c r="H8" s="26"/>
      <c r="I8" s="26"/>
      <c r="J8" s="26"/>
    </row>
    <row r="9" spans="1:10" x14ac:dyDescent="0.25">
      <c r="A9" s="1"/>
      <c r="B9" s="1"/>
      <c r="C9" s="1"/>
      <c r="D9" s="1"/>
      <c r="E9" s="1"/>
      <c r="F9" s="1"/>
      <c r="H9" s="1"/>
      <c r="I9" s="1"/>
      <c r="J9" s="1"/>
    </row>
    <row r="10" spans="1:10" x14ac:dyDescent="0.25">
      <c r="A10" s="1" t="s">
        <v>3</v>
      </c>
      <c r="B10" s="25" t="s">
        <v>4</v>
      </c>
      <c r="C10" s="25"/>
      <c r="D10" s="25"/>
      <c r="E10" s="1"/>
      <c r="F10" s="1"/>
      <c r="H10" s="2" t="s">
        <v>5</v>
      </c>
      <c r="I10" s="3"/>
      <c r="J10" s="2"/>
    </row>
    <row r="11" spans="1:10" x14ac:dyDescent="0.25">
      <c r="A11" s="1"/>
      <c r="B11" s="4"/>
      <c r="C11" s="4"/>
      <c r="D11" s="1"/>
      <c r="E11" s="1"/>
      <c r="F11" s="1"/>
      <c r="H11" s="4"/>
      <c r="I11" s="4"/>
      <c r="J11" s="4"/>
    </row>
    <row r="12" spans="1:10" x14ac:dyDescent="0.25">
      <c r="A12" s="1" t="s">
        <v>6</v>
      </c>
      <c r="B12" s="25" t="s">
        <v>7</v>
      </c>
      <c r="C12" s="25"/>
      <c r="D12" s="25"/>
      <c r="E12" s="1"/>
      <c r="F12" s="1"/>
      <c r="H12" s="2" t="s">
        <v>8</v>
      </c>
      <c r="I12" s="5"/>
      <c r="J12" s="2"/>
    </row>
    <row r="13" spans="1:10" ht="21.75" thickBot="1" x14ac:dyDescent="0.3">
      <c r="A13" s="30" t="s">
        <v>9</v>
      </c>
      <c r="B13" s="30"/>
      <c r="C13" s="30"/>
      <c r="D13" s="30"/>
      <c r="E13" s="30"/>
      <c r="F13" s="30"/>
      <c r="G13" s="30"/>
      <c r="H13" s="30"/>
      <c r="I13" s="30"/>
      <c r="J13" s="30"/>
    </row>
    <row r="14" spans="1:10" x14ac:dyDescent="0.25">
      <c r="A14" s="31" t="s">
        <v>10</v>
      </c>
      <c r="B14" s="33" t="s">
        <v>11</v>
      </c>
      <c r="C14" s="33"/>
      <c r="D14" s="34" t="s">
        <v>12</v>
      </c>
      <c r="E14" s="34"/>
      <c r="F14" s="34"/>
      <c r="G14" s="34"/>
      <c r="H14" s="35" t="s">
        <v>13</v>
      </c>
      <c r="I14" s="35"/>
      <c r="J14" s="36" t="s">
        <v>14</v>
      </c>
    </row>
    <row r="15" spans="1:10" ht="24.75" thickBot="1" x14ac:dyDescent="0.3">
      <c r="A15" s="32"/>
      <c r="B15" s="23" t="s">
        <v>15</v>
      </c>
      <c r="C15" s="23" t="s">
        <v>16</v>
      </c>
      <c r="D15" s="23" t="s">
        <v>15</v>
      </c>
      <c r="E15" s="23" t="s">
        <v>16</v>
      </c>
      <c r="F15" s="23" t="s">
        <v>17</v>
      </c>
      <c r="G15" s="24" t="s">
        <v>18</v>
      </c>
      <c r="H15" s="23" t="s">
        <v>15</v>
      </c>
      <c r="I15" s="23" t="s">
        <v>16</v>
      </c>
      <c r="J15" s="37"/>
    </row>
    <row r="16" spans="1:10" x14ac:dyDescent="0.25">
      <c r="A16" s="27" t="s">
        <v>63</v>
      </c>
      <c r="B16" s="28"/>
      <c r="C16" s="28"/>
      <c r="D16" s="28"/>
      <c r="E16" s="28"/>
      <c r="F16" s="28"/>
      <c r="G16" s="28"/>
      <c r="H16" s="28"/>
      <c r="I16" s="28"/>
      <c r="J16" s="29"/>
    </row>
    <row r="17" spans="1:10" x14ac:dyDescent="0.25">
      <c r="A17" s="17" t="s">
        <v>23</v>
      </c>
      <c r="B17" s="6">
        <v>1.25</v>
      </c>
      <c r="C17" s="6">
        <v>1.25</v>
      </c>
      <c r="D17" s="6"/>
      <c r="E17" s="6"/>
      <c r="F17" s="6"/>
      <c r="G17" s="7"/>
      <c r="H17" s="6">
        <f>B17</f>
        <v>1.25</v>
      </c>
      <c r="I17" s="6">
        <f>C17</f>
        <v>1.25</v>
      </c>
      <c r="J17" s="7">
        <f>SUM(H17:I17)</f>
        <v>2.5</v>
      </c>
    </row>
    <row r="18" spans="1:10" x14ac:dyDescent="0.25">
      <c r="A18" s="17" t="s">
        <v>24</v>
      </c>
      <c r="B18" s="6">
        <v>15</v>
      </c>
      <c r="C18" s="6">
        <v>15</v>
      </c>
      <c r="D18" s="6"/>
      <c r="E18" s="6"/>
      <c r="F18" s="6"/>
      <c r="G18" s="7"/>
      <c r="H18" s="6">
        <f>H17-F18-D18+B18</f>
        <v>16.25</v>
      </c>
      <c r="I18" s="6">
        <f>I17-E18+C18</f>
        <v>16.25</v>
      </c>
      <c r="J18" s="7">
        <f>SUM(H18:I18)</f>
        <v>32.5</v>
      </c>
    </row>
    <row r="19" spans="1:10" x14ac:dyDescent="0.25">
      <c r="A19" s="17" t="s">
        <v>27</v>
      </c>
      <c r="B19" s="6"/>
      <c r="C19" s="6"/>
      <c r="D19" s="6"/>
      <c r="E19" s="6"/>
      <c r="F19" s="6">
        <v>5</v>
      </c>
      <c r="G19" s="7"/>
      <c r="H19" s="6">
        <f t="shared" ref="H19:H42" si="0">H18-F19-D19+B19</f>
        <v>11.25</v>
      </c>
      <c r="I19" s="6">
        <f t="shared" ref="I19:I42" si="1">I18-E19+C19</f>
        <v>16.25</v>
      </c>
      <c r="J19" s="7">
        <f t="shared" ref="J19:J42" si="2">SUM(H19:I19)</f>
        <v>27.5</v>
      </c>
    </row>
    <row r="20" spans="1:10" x14ac:dyDescent="0.25">
      <c r="A20" s="17" t="s">
        <v>25</v>
      </c>
      <c r="B20" s="6">
        <v>13.75</v>
      </c>
      <c r="C20" s="6">
        <v>13.75</v>
      </c>
      <c r="D20" s="6"/>
      <c r="E20" s="6"/>
      <c r="F20" s="6"/>
      <c r="G20" s="7"/>
      <c r="H20" s="6">
        <f t="shared" si="0"/>
        <v>25</v>
      </c>
      <c r="I20" s="6">
        <f t="shared" si="1"/>
        <v>30</v>
      </c>
      <c r="J20" s="7">
        <f t="shared" si="2"/>
        <v>55</v>
      </c>
    </row>
    <row r="21" spans="1:10" x14ac:dyDescent="0.25">
      <c r="A21" s="17" t="s">
        <v>26</v>
      </c>
      <c r="B21" s="6"/>
      <c r="C21" s="6"/>
      <c r="D21" s="6">
        <v>15</v>
      </c>
      <c r="E21" s="6"/>
      <c r="F21" s="6"/>
      <c r="G21" s="7"/>
      <c r="H21" s="6">
        <f t="shared" si="0"/>
        <v>10</v>
      </c>
      <c r="I21" s="6">
        <f t="shared" si="1"/>
        <v>30</v>
      </c>
      <c r="J21" s="7">
        <f t="shared" si="2"/>
        <v>40</v>
      </c>
    </row>
    <row r="22" spans="1:10" x14ac:dyDescent="0.25">
      <c r="A22" s="17" t="s">
        <v>28</v>
      </c>
      <c r="B22" s="6">
        <v>1.25</v>
      </c>
      <c r="C22" s="6">
        <v>1.25</v>
      </c>
      <c r="D22" s="6"/>
      <c r="E22" s="6"/>
      <c r="F22" s="6"/>
      <c r="G22" s="7"/>
      <c r="H22" s="6">
        <f t="shared" si="0"/>
        <v>11.25</v>
      </c>
      <c r="I22" s="6">
        <f t="shared" si="1"/>
        <v>31.25</v>
      </c>
      <c r="J22" s="7">
        <f t="shared" si="2"/>
        <v>42.5</v>
      </c>
    </row>
    <row r="23" spans="1:10" x14ac:dyDescent="0.25">
      <c r="A23" s="17" t="s">
        <v>29</v>
      </c>
      <c r="B23" s="6"/>
      <c r="C23" s="6"/>
      <c r="D23" s="6"/>
      <c r="E23" s="6"/>
      <c r="F23" s="6">
        <v>5</v>
      </c>
      <c r="G23" s="7"/>
      <c r="H23" s="6">
        <f t="shared" si="0"/>
        <v>6.25</v>
      </c>
      <c r="I23" s="6">
        <f t="shared" si="1"/>
        <v>31.25</v>
      </c>
      <c r="J23" s="7">
        <f t="shared" si="2"/>
        <v>37.5</v>
      </c>
    </row>
    <row r="24" spans="1:10" x14ac:dyDescent="0.25">
      <c r="A24" s="17" t="s">
        <v>30</v>
      </c>
      <c r="B24" s="6">
        <v>7.5</v>
      </c>
      <c r="C24" s="6">
        <v>7.5</v>
      </c>
      <c r="D24" s="6"/>
      <c r="E24" s="6"/>
      <c r="F24" s="6"/>
      <c r="G24" s="7"/>
      <c r="H24" s="6">
        <f t="shared" si="0"/>
        <v>13.75</v>
      </c>
      <c r="I24" s="6">
        <f t="shared" si="1"/>
        <v>38.75</v>
      </c>
      <c r="J24" s="7">
        <f t="shared" si="2"/>
        <v>52.5</v>
      </c>
    </row>
    <row r="25" spans="1:10" x14ac:dyDescent="0.25">
      <c r="A25" s="17" t="s">
        <v>31</v>
      </c>
      <c r="B25" s="6"/>
      <c r="C25" s="6"/>
      <c r="D25" s="6">
        <v>10</v>
      </c>
      <c r="E25" s="6"/>
      <c r="F25" s="6"/>
      <c r="G25" s="7"/>
      <c r="H25" s="6">
        <f t="shared" si="0"/>
        <v>3.75</v>
      </c>
      <c r="I25" s="6">
        <f t="shared" si="1"/>
        <v>38.75</v>
      </c>
      <c r="J25" s="7">
        <f t="shared" si="2"/>
        <v>42.5</v>
      </c>
    </row>
    <row r="26" spans="1:10" x14ac:dyDescent="0.25">
      <c r="A26" s="17" t="s">
        <v>32</v>
      </c>
      <c r="B26" s="6">
        <v>7.5</v>
      </c>
      <c r="C26" s="6">
        <v>7.5</v>
      </c>
      <c r="D26" s="6"/>
      <c r="E26" s="6"/>
      <c r="F26" s="6"/>
      <c r="G26" s="7"/>
      <c r="H26" s="6">
        <f t="shared" si="0"/>
        <v>11.25</v>
      </c>
      <c r="I26" s="6">
        <f t="shared" si="1"/>
        <v>46.25</v>
      </c>
      <c r="J26" s="7">
        <f t="shared" si="2"/>
        <v>57.5</v>
      </c>
    </row>
    <row r="27" spans="1:10" x14ac:dyDescent="0.25">
      <c r="A27" s="17" t="s">
        <v>33</v>
      </c>
      <c r="B27" s="6"/>
      <c r="C27" s="6"/>
      <c r="D27" s="6"/>
      <c r="E27" s="6"/>
      <c r="F27" s="6">
        <v>5</v>
      </c>
      <c r="G27" s="7"/>
      <c r="H27" s="6">
        <f t="shared" si="0"/>
        <v>6.25</v>
      </c>
      <c r="I27" s="6">
        <f t="shared" si="1"/>
        <v>46.25</v>
      </c>
      <c r="J27" s="7">
        <f t="shared" si="2"/>
        <v>52.5</v>
      </c>
    </row>
    <row r="28" spans="1:10" x14ac:dyDescent="0.25">
      <c r="A28" s="17" t="s">
        <v>34</v>
      </c>
      <c r="B28" s="6">
        <v>15</v>
      </c>
      <c r="C28" s="6">
        <v>15</v>
      </c>
      <c r="D28" s="6"/>
      <c r="E28" s="6"/>
      <c r="F28" s="6"/>
      <c r="G28" s="7"/>
      <c r="H28" s="6">
        <f t="shared" si="0"/>
        <v>21.25</v>
      </c>
      <c r="I28" s="6">
        <f t="shared" si="1"/>
        <v>61.25</v>
      </c>
      <c r="J28" s="7">
        <f t="shared" si="2"/>
        <v>82.5</v>
      </c>
    </row>
    <row r="29" spans="1:10" x14ac:dyDescent="0.25">
      <c r="A29" s="18" t="s">
        <v>35</v>
      </c>
      <c r="B29" s="6"/>
      <c r="C29" s="6"/>
      <c r="D29" s="6"/>
      <c r="E29" s="6"/>
      <c r="F29" s="6">
        <v>5</v>
      </c>
      <c r="G29" s="6"/>
      <c r="H29" s="6">
        <f t="shared" si="0"/>
        <v>16.25</v>
      </c>
      <c r="I29" s="6">
        <f t="shared" si="1"/>
        <v>61.25</v>
      </c>
      <c r="J29" s="7">
        <f t="shared" si="2"/>
        <v>77.5</v>
      </c>
    </row>
    <row r="30" spans="1:10" x14ac:dyDescent="0.25">
      <c r="A30" s="19" t="s">
        <v>36</v>
      </c>
      <c r="B30" s="6">
        <v>7.5</v>
      </c>
      <c r="C30" s="6">
        <v>7.5</v>
      </c>
      <c r="D30" s="6"/>
      <c r="E30" s="6"/>
      <c r="F30" s="6"/>
      <c r="G30" s="6"/>
      <c r="H30" s="6">
        <f t="shared" si="0"/>
        <v>23.75</v>
      </c>
      <c r="I30" s="6">
        <f t="shared" si="1"/>
        <v>68.75</v>
      </c>
      <c r="J30" s="7">
        <f t="shared" si="2"/>
        <v>92.5</v>
      </c>
    </row>
    <row r="31" spans="1:10" x14ac:dyDescent="0.25">
      <c r="A31" s="18" t="s">
        <v>19</v>
      </c>
      <c r="B31" s="6"/>
      <c r="C31" s="6"/>
      <c r="D31" s="6">
        <v>8</v>
      </c>
      <c r="E31" s="6"/>
      <c r="F31" s="6"/>
      <c r="G31" s="6"/>
      <c r="H31" s="6">
        <f t="shared" si="0"/>
        <v>15.75</v>
      </c>
      <c r="I31" s="6">
        <f t="shared" si="1"/>
        <v>68.75</v>
      </c>
      <c r="J31" s="7">
        <f t="shared" si="2"/>
        <v>84.5</v>
      </c>
    </row>
    <row r="32" spans="1:10" x14ac:dyDescent="0.25">
      <c r="A32" s="18" t="s">
        <v>37</v>
      </c>
      <c r="B32" s="6">
        <v>7.5</v>
      </c>
      <c r="C32" s="6">
        <v>7.5</v>
      </c>
      <c r="D32" s="6"/>
      <c r="E32" s="6"/>
      <c r="F32" s="6"/>
      <c r="G32" s="6"/>
      <c r="H32" s="6">
        <f t="shared" si="0"/>
        <v>23.25</v>
      </c>
      <c r="I32" s="6">
        <f t="shared" si="1"/>
        <v>76.25</v>
      </c>
      <c r="J32" s="7">
        <f t="shared" si="2"/>
        <v>99.5</v>
      </c>
    </row>
    <row r="33" spans="1:10" x14ac:dyDescent="0.25">
      <c r="A33" s="18" t="s">
        <v>38</v>
      </c>
      <c r="B33" s="6"/>
      <c r="C33" s="6"/>
      <c r="D33" s="6"/>
      <c r="E33" s="6"/>
      <c r="F33" s="6">
        <v>5</v>
      </c>
      <c r="G33" s="6"/>
      <c r="H33" s="6">
        <f t="shared" si="0"/>
        <v>18.25</v>
      </c>
      <c r="I33" s="6">
        <f t="shared" si="1"/>
        <v>76.25</v>
      </c>
      <c r="J33" s="7">
        <f t="shared" si="2"/>
        <v>94.5</v>
      </c>
    </row>
    <row r="34" spans="1:10" x14ac:dyDescent="0.25">
      <c r="A34" s="18" t="s">
        <v>39</v>
      </c>
      <c r="B34" s="6">
        <v>11.25</v>
      </c>
      <c r="C34" s="6">
        <v>11.25</v>
      </c>
      <c r="D34" s="6"/>
      <c r="E34" s="6"/>
      <c r="F34" s="6"/>
      <c r="G34" s="6"/>
      <c r="H34" s="6">
        <f t="shared" si="0"/>
        <v>29.5</v>
      </c>
      <c r="I34" s="6">
        <f t="shared" si="1"/>
        <v>87.5</v>
      </c>
      <c r="J34" s="7">
        <f t="shared" si="2"/>
        <v>117</v>
      </c>
    </row>
    <row r="35" spans="1:10" x14ac:dyDescent="0.25">
      <c r="A35" s="18" t="s">
        <v>20</v>
      </c>
      <c r="B35" s="6"/>
      <c r="C35" s="6"/>
      <c r="D35" s="8">
        <v>24</v>
      </c>
      <c r="E35" s="8">
        <v>5</v>
      </c>
      <c r="F35" s="8"/>
      <c r="G35" s="6"/>
      <c r="H35" s="6">
        <f t="shared" si="0"/>
        <v>5.5</v>
      </c>
      <c r="I35" s="6">
        <f t="shared" si="1"/>
        <v>82.5</v>
      </c>
      <c r="J35" s="7">
        <f t="shared" si="2"/>
        <v>88</v>
      </c>
    </row>
    <row r="36" spans="1:10" x14ac:dyDescent="0.25">
      <c r="A36" s="20" t="s">
        <v>40</v>
      </c>
      <c r="B36" s="8">
        <v>3.75</v>
      </c>
      <c r="C36" s="8">
        <v>3.75</v>
      </c>
      <c r="D36" s="8"/>
      <c r="E36" s="8"/>
      <c r="F36" s="8"/>
      <c r="G36" s="6"/>
      <c r="H36" s="6">
        <f t="shared" si="0"/>
        <v>9.25</v>
      </c>
      <c r="I36" s="6">
        <f t="shared" si="1"/>
        <v>86.25</v>
      </c>
      <c r="J36" s="7">
        <f t="shared" si="2"/>
        <v>95.5</v>
      </c>
    </row>
    <row r="37" spans="1:10" x14ac:dyDescent="0.25">
      <c r="A37" s="18" t="s">
        <v>41</v>
      </c>
      <c r="B37" s="8"/>
      <c r="C37" s="8"/>
      <c r="D37" s="8"/>
      <c r="E37" s="8"/>
      <c r="F37" s="8">
        <v>5</v>
      </c>
      <c r="G37" s="6"/>
      <c r="H37" s="6">
        <f t="shared" si="0"/>
        <v>4.25</v>
      </c>
      <c r="I37" s="6">
        <f t="shared" si="1"/>
        <v>86.25</v>
      </c>
      <c r="J37" s="7">
        <f t="shared" si="2"/>
        <v>90.5</v>
      </c>
    </row>
    <row r="38" spans="1:10" x14ac:dyDescent="0.25">
      <c r="A38" s="19" t="s">
        <v>42</v>
      </c>
      <c r="B38" s="8">
        <v>10</v>
      </c>
      <c r="C38" s="8">
        <v>10</v>
      </c>
      <c r="D38" s="8"/>
      <c r="E38" s="8"/>
      <c r="F38" s="8"/>
      <c r="G38" s="6"/>
      <c r="H38" s="6">
        <f t="shared" si="0"/>
        <v>14.25</v>
      </c>
      <c r="I38" s="6">
        <f t="shared" si="1"/>
        <v>96.25</v>
      </c>
      <c r="J38" s="7">
        <f t="shared" si="2"/>
        <v>110.5</v>
      </c>
    </row>
    <row r="39" spans="1:10" x14ac:dyDescent="0.25">
      <c r="A39" s="20" t="s">
        <v>21</v>
      </c>
      <c r="B39" s="8"/>
      <c r="C39" s="8"/>
      <c r="D39" s="8">
        <v>9</v>
      </c>
      <c r="E39" s="8">
        <v>20</v>
      </c>
      <c r="F39" s="8"/>
      <c r="G39" s="6"/>
      <c r="H39" s="6">
        <f t="shared" si="0"/>
        <v>5.25</v>
      </c>
      <c r="I39" s="6">
        <f t="shared" si="1"/>
        <v>76.25</v>
      </c>
      <c r="J39" s="7">
        <f t="shared" si="2"/>
        <v>81.5</v>
      </c>
    </row>
    <row r="40" spans="1:10" x14ac:dyDescent="0.25">
      <c r="A40" s="20" t="s">
        <v>43</v>
      </c>
      <c r="B40" s="8">
        <v>5</v>
      </c>
      <c r="C40" s="8">
        <v>5</v>
      </c>
      <c r="D40" s="8"/>
      <c r="E40" s="8"/>
      <c r="F40" s="8"/>
      <c r="G40" s="6"/>
      <c r="H40" s="6">
        <f t="shared" si="0"/>
        <v>10.25</v>
      </c>
      <c r="I40" s="6">
        <f t="shared" si="1"/>
        <v>81.25</v>
      </c>
      <c r="J40" s="7">
        <f t="shared" si="2"/>
        <v>91.5</v>
      </c>
    </row>
    <row r="41" spans="1:10" x14ac:dyDescent="0.25">
      <c r="A41" s="20" t="s">
        <v>44</v>
      </c>
      <c r="B41" s="8"/>
      <c r="C41" s="8"/>
      <c r="D41" s="8"/>
      <c r="E41" s="8"/>
      <c r="F41" s="8">
        <v>5</v>
      </c>
      <c r="G41" s="6"/>
      <c r="H41" s="6">
        <f t="shared" si="0"/>
        <v>5.25</v>
      </c>
      <c r="I41" s="6">
        <f t="shared" si="1"/>
        <v>81.25</v>
      </c>
      <c r="J41" s="7">
        <f t="shared" si="2"/>
        <v>86.5</v>
      </c>
    </row>
    <row r="42" spans="1:10" x14ac:dyDescent="0.25">
      <c r="A42" s="20" t="s">
        <v>45</v>
      </c>
      <c r="B42" s="20">
        <v>10</v>
      </c>
      <c r="C42" s="20">
        <v>10</v>
      </c>
      <c r="D42" s="8"/>
      <c r="E42" s="20"/>
      <c r="F42" s="20"/>
      <c r="G42" s="18"/>
      <c r="H42" s="6">
        <f t="shared" si="0"/>
        <v>15.25</v>
      </c>
      <c r="I42" s="6">
        <f t="shared" si="1"/>
        <v>91.25</v>
      </c>
      <c r="J42" s="7">
        <f t="shared" si="2"/>
        <v>106.5</v>
      </c>
    </row>
    <row r="43" spans="1:10" x14ac:dyDescent="0.25">
      <c r="A43" s="20" t="s">
        <v>22</v>
      </c>
      <c r="B43" s="20"/>
      <c r="C43" s="20"/>
      <c r="D43" s="8">
        <v>10</v>
      </c>
      <c r="E43" s="20">
        <v>19</v>
      </c>
      <c r="F43" s="20"/>
      <c r="G43" s="18"/>
      <c r="H43" s="6">
        <f t="shared" ref="H43" si="3">H42-F43-D43+B43</f>
        <v>5.25</v>
      </c>
      <c r="I43" s="6">
        <f t="shared" ref="I43" si="4">I42-E43+C43</f>
        <v>72.25</v>
      </c>
      <c r="J43" s="7">
        <f t="shared" ref="J43" si="5">SUM(H43:I43)</f>
        <v>77.5</v>
      </c>
    </row>
    <row r="44" spans="1:10" x14ac:dyDescent="0.25">
      <c r="A44" s="20" t="s">
        <v>46</v>
      </c>
      <c r="B44" s="20">
        <v>2.5</v>
      </c>
      <c r="C44" s="20">
        <v>2.5</v>
      </c>
      <c r="D44" s="8"/>
      <c r="E44" s="20"/>
      <c r="F44" s="20"/>
      <c r="G44" s="18"/>
      <c r="H44" s="6">
        <f t="shared" ref="H44:H45" si="6">H43-F44-D44+B44</f>
        <v>7.75</v>
      </c>
      <c r="I44" s="6">
        <f t="shared" ref="I44:I45" si="7">I43-E44+C44</f>
        <v>74.75</v>
      </c>
      <c r="J44" s="7">
        <f t="shared" ref="J44:J45" si="8">SUM(H44:I44)</f>
        <v>82.5</v>
      </c>
    </row>
    <row r="45" spans="1:10" x14ac:dyDescent="0.25">
      <c r="A45" s="20" t="s">
        <v>47</v>
      </c>
      <c r="B45" s="20"/>
      <c r="C45" s="20"/>
      <c r="D45" s="8"/>
      <c r="E45" s="20"/>
      <c r="F45" s="20">
        <v>3</v>
      </c>
      <c r="G45" s="18"/>
      <c r="H45" s="6">
        <f t="shared" si="6"/>
        <v>4.75</v>
      </c>
      <c r="I45" s="6">
        <f t="shared" si="7"/>
        <v>74.75</v>
      </c>
      <c r="J45" s="7">
        <f t="shared" si="8"/>
        <v>79.5</v>
      </c>
    </row>
    <row r="46" spans="1:10" x14ac:dyDescent="0.25">
      <c r="A46" s="20" t="s">
        <v>48</v>
      </c>
      <c r="B46" s="20">
        <v>1.25</v>
      </c>
      <c r="C46" s="20">
        <v>1.25</v>
      </c>
      <c r="D46" s="8"/>
      <c r="E46" s="20"/>
      <c r="F46" s="20"/>
      <c r="G46" s="18"/>
      <c r="H46" s="6">
        <f t="shared" ref="H46:H47" si="9">H45-F46-D46+B46</f>
        <v>6</v>
      </c>
      <c r="I46" s="6">
        <f t="shared" ref="I46:I47" si="10">I45-E46+C46</f>
        <v>76</v>
      </c>
      <c r="J46" s="7">
        <f t="shared" ref="J46:J47" si="11">SUM(H46:I46)</f>
        <v>82</v>
      </c>
    </row>
    <row r="47" spans="1:10" x14ac:dyDescent="0.25">
      <c r="A47" s="20" t="s">
        <v>49</v>
      </c>
      <c r="B47" s="20"/>
      <c r="C47" s="20"/>
      <c r="D47" s="8"/>
      <c r="E47" s="20"/>
      <c r="F47" s="20">
        <v>1</v>
      </c>
      <c r="G47" s="18"/>
      <c r="H47" s="6">
        <f t="shared" si="9"/>
        <v>5</v>
      </c>
      <c r="I47" s="6">
        <f t="shared" si="10"/>
        <v>76</v>
      </c>
      <c r="J47" s="7">
        <f t="shared" si="11"/>
        <v>81</v>
      </c>
    </row>
    <row r="48" spans="1:10" x14ac:dyDescent="0.25">
      <c r="A48" s="20" t="s">
        <v>50</v>
      </c>
      <c r="B48" s="20">
        <v>1.25</v>
      </c>
      <c r="C48" s="20">
        <v>1.25</v>
      </c>
      <c r="D48" s="8"/>
      <c r="E48" s="20"/>
      <c r="F48" s="20"/>
      <c r="G48" s="18"/>
      <c r="H48" s="6">
        <f t="shared" ref="H48" si="12">H47-F48-D48+B48</f>
        <v>6.25</v>
      </c>
      <c r="I48" s="6">
        <f t="shared" ref="I48" si="13">I47-E48+C48</f>
        <v>77.25</v>
      </c>
      <c r="J48" s="7">
        <f t="shared" ref="J48" si="14">SUM(H48:I48)</f>
        <v>83.5</v>
      </c>
    </row>
    <row r="49" spans="1:10" x14ac:dyDescent="0.25">
      <c r="A49" s="20" t="s">
        <v>55</v>
      </c>
      <c r="B49" s="20"/>
      <c r="C49" s="20"/>
      <c r="D49" s="8"/>
      <c r="E49" s="20"/>
      <c r="F49" s="20">
        <v>1</v>
      </c>
      <c r="G49" s="18"/>
      <c r="H49" s="6">
        <f t="shared" ref="H49:H54" si="15">H48-F49-D49+B49</f>
        <v>5.25</v>
      </c>
      <c r="I49" s="6">
        <f t="shared" ref="I49:I54" si="16">I48-E49+C49</f>
        <v>77.25</v>
      </c>
      <c r="J49" s="7">
        <f t="shared" ref="J49:J54" si="17">SUM(H49:I49)</f>
        <v>82.5</v>
      </c>
    </row>
    <row r="50" spans="1:10" x14ac:dyDescent="0.25">
      <c r="A50" s="20" t="s">
        <v>51</v>
      </c>
      <c r="B50" s="20">
        <v>5</v>
      </c>
      <c r="C50" s="20">
        <v>5</v>
      </c>
      <c r="D50" s="8"/>
      <c r="E50" s="20"/>
      <c r="F50" s="20"/>
      <c r="G50" s="18"/>
      <c r="H50" s="6">
        <f t="shared" si="15"/>
        <v>10.25</v>
      </c>
      <c r="I50" s="6">
        <f t="shared" si="16"/>
        <v>82.25</v>
      </c>
      <c r="J50" s="7">
        <f t="shared" si="17"/>
        <v>92.5</v>
      </c>
    </row>
    <row r="51" spans="1:10" x14ac:dyDescent="0.25">
      <c r="A51" s="20" t="s">
        <v>52</v>
      </c>
      <c r="B51" s="20"/>
      <c r="C51" s="20"/>
      <c r="D51" s="8"/>
      <c r="E51" s="20"/>
      <c r="F51" s="20"/>
      <c r="G51" s="20">
        <v>2</v>
      </c>
      <c r="H51" s="6">
        <f t="shared" si="15"/>
        <v>10.25</v>
      </c>
      <c r="I51" s="6">
        <f t="shared" si="16"/>
        <v>82.25</v>
      </c>
      <c r="J51" s="7">
        <f t="shared" si="17"/>
        <v>92.5</v>
      </c>
    </row>
    <row r="52" spans="1:10" x14ac:dyDescent="0.25">
      <c r="A52" s="20" t="s">
        <v>53</v>
      </c>
      <c r="B52" s="20">
        <v>1.25</v>
      </c>
      <c r="C52" s="20">
        <v>1.25</v>
      </c>
      <c r="D52" s="8"/>
      <c r="E52" s="20"/>
      <c r="F52" s="20"/>
      <c r="G52" s="20"/>
      <c r="H52" s="6">
        <f t="shared" si="15"/>
        <v>11.5</v>
      </c>
      <c r="I52" s="6">
        <f t="shared" si="16"/>
        <v>83.5</v>
      </c>
      <c r="J52" s="7">
        <f t="shared" si="17"/>
        <v>95</v>
      </c>
    </row>
    <row r="53" spans="1:10" x14ac:dyDescent="0.25">
      <c r="A53" s="20" t="s">
        <v>54</v>
      </c>
      <c r="B53" s="20"/>
      <c r="C53" s="20"/>
      <c r="D53" s="8"/>
      <c r="E53" s="20"/>
      <c r="F53" s="20">
        <v>2</v>
      </c>
      <c r="G53" s="20"/>
      <c r="H53" s="6">
        <f t="shared" si="15"/>
        <v>9.5</v>
      </c>
      <c r="I53" s="6">
        <f t="shared" si="16"/>
        <v>83.5</v>
      </c>
      <c r="J53" s="7">
        <f t="shared" si="17"/>
        <v>93</v>
      </c>
    </row>
    <row r="54" spans="1:10" x14ac:dyDescent="0.25">
      <c r="A54" s="20" t="s">
        <v>57</v>
      </c>
      <c r="B54" s="20">
        <v>6.25</v>
      </c>
      <c r="C54" s="20">
        <v>6.25</v>
      </c>
      <c r="D54" s="8"/>
      <c r="E54" s="20"/>
      <c r="F54" s="20"/>
      <c r="G54" s="20"/>
      <c r="H54" s="6">
        <f t="shared" si="15"/>
        <v>15.75</v>
      </c>
      <c r="I54" s="6">
        <f t="shared" si="16"/>
        <v>89.75</v>
      </c>
      <c r="J54" s="7">
        <f t="shared" si="17"/>
        <v>105.5</v>
      </c>
    </row>
    <row r="55" spans="1:10" x14ac:dyDescent="0.25">
      <c r="A55" s="20" t="s">
        <v>56</v>
      </c>
      <c r="B55" s="20"/>
      <c r="C55" s="20"/>
      <c r="D55" s="8">
        <v>10</v>
      </c>
      <c r="E55" s="20"/>
      <c r="F55" s="20"/>
      <c r="G55" s="20"/>
      <c r="H55" s="8">
        <f t="shared" ref="H55" si="18">H54-F55-D55+B55</f>
        <v>5.75</v>
      </c>
      <c r="I55" s="8">
        <f t="shared" ref="I55" si="19">I54-E55+C55</f>
        <v>89.75</v>
      </c>
      <c r="J55" s="14">
        <f t="shared" ref="J55" si="20">SUM(H55:I55)</f>
        <v>95.5</v>
      </c>
    </row>
    <row r="56" spans="1:10" x14ac:dyDescent="0.25">
      <c r="A56" s="20" t="s">
        <v>58</v>
      </c>
      <c r="B56" s="20">
        <v>2.5</v>
      </c>
      <c r="C56" s="20">
        <v>2.5</v>
      </c>
      <c r="D56" s="8"/>
      <c r="E56" s="20"/>
      <c r="F56" s="20"/>
      <c r="G56" s="20"/>
      <c r="H56" s="8">
        <f t="shared" ref="H56:H59" si="21">H55-F56-D56+B56</f>
        <v>8.25</v>
      </c>
      <c r="I56" s="8">
        <f t="shared" ref="I56:I59" si="22">I55-E56+C56</f>
        <v>92.25</v>
      </c>
      <c r="J56" s="14">
        <f t="shared" ref="J56:J59" si="23">SUM(H56:I56)</f>
        <v>100.5</v>
      </c>
    </row>
    <row r="57" spans="1:10" x14ac:dyDescent="0.25">
      <c r="A57" s="20" t="s">
        <v>61</v>
      </c>
      <c r="B57" s="20"/>
      <c r="C57" s="20"/>
      <c r="D57" s="8"/>
      <c r="E57" s="20"/>
      <c r="F57" s="20">
        <v>3</v>
      </c>
      <c r="G57" s="20"/>
      <c r="H57" s="8">
        <f t="shared" si="21"/>
        <v>5.25</v>
      </c>
      <c r="I57" s="8">
        <f t="shared" si="22"/>
        <v>92.25</v>
      </c>
      <c r="J57" s="14">
        <f t="shared" si="23"/>
        <v>97.5</v>
      </c>
    </row>
    <row r="58" spans="1:10" x14ac:dyDescent="0.25">
      <c r="A58" s="20" t="s">
        <v>59</v>
      </c>
      <c r="B58" s="20">
        <v>3.75</v>
      </c>
      <c r="C58" s="20">
        <v>3.75</v>
      </c>
      <c r="D58" s="8"/>
      <c r="E58" s="20"/>
      <c r="F58" s="20"/>
      <c r="G58" s="20"/>
      <c r="H58" s="8">
        <f t="shared" si="21"/>
        <v>9</v>
      </c>
      <c r="I58" s="8">
        <f t="shared" si="22"/>
        <v>96</v>
      </c>
      <c r="J58" s="14">
        <f t="shared" si="23"/>
        <v>105</v>
      </c>
    </row>
    <row r="59" spans="1:10" x14ac:dyDescent="0.25">
      <c r="A59" s="21" t="s">
        <v>60</v>
      </c>
      <c r="B59" s="21"/>
      <c r="C59" s="21"/>
      <c r="D59" s="15"/>
      <c r="E59" s="21"/>
      <c r="F59" s="22">
        <v>1</v>
      </c>
      <c r="G59" s="21"/>
      <c r="H59" s="15">
        <f t="shared" si="21"/>
        <v>8</v>
      </c>
      <c r="I59" s="15">
        <f t="shared" si="22"/>
        <v>96</v>
      </c>
      <c r="J59" s="16">
        <f t="shared" si="23"/>
        <v>104</v>
      </c>
    </row>
    <row r="60" spans="1:10" x14ac:dyDescent="0.25">
      <c r="A60" s="20" t="s">
        <v>62</v>
      </c>
      <c r="B60" s="20">
        <v>3.75</v>
      </c>
      <c r="C60" s="20">
        <v>3.75</v>
      </c>
      <c r="D60" s="8"/>
      <c r="E60" s="20"/>
      <c r="F60" s="20"/>
      <c r="G60" s="20"/>
      <c r="H60" s="15">
        <f t="shared" ref="H60:H61" si="24">H59-F60-D60+B60</f>
        <v>11.75</v>
      </c>
      <c r="I60" s="15">
        <f t="shared" ref="I60:I61" si="25">I59-E60+C60</f>
        <v>99.75</v>
      </c>
      <c r="J60" s="16">
        <f t="shared" ref="J60:J61" si="26">SUM(H60:I60)</f>
        <v>111.5</v>
      </c>
    </row>
    <row r="61" spans="1:10" x14ac:dyDescent="0.25">
      <c r="A61" s="20" t="s">
        <v>64</v>
      </c>
      <c r="B61" s="20"/>
      <c r="C61" s="20"/>
      <c r="D61" s="8"/>
      <c r="E61" s="20"/>
      <c r="F61" s="22">
        <v>1</v>
      </c>
      <c r="G61" s="20"/>
      <c r="H61" s="15">
        <f t="shared" si="24"/>
        <v>10.75</v>
      </c>
      <c r="I61" s="15">
        <f t="shared" si="25"/>
        <v>99.75</v>
      </c>
      <c r="J61" s="16">
        <f t="shared" si="26"/>
        <v>110.5</v>
      </c>
    </row>
    <row r="62" spans="1:10" x14ac:dyDescent="0.25">
      <c r="A62" s="20" t="s">
        <v>66</v>
      </c>
      <c r="B62" s="20">
        <v>2.5</v>
      </c>
      <c r="C62" s="20">
        <v>2.5</v>
      </c>
      <c r="D62" s="8"/>
      <c r="E62" s="20"/>
      <c r="F62" s="21"/>
      <c r="G62" s="20"/>
      <c r="H62" s="15">
        <f t="shared" ref="H62:H63" si="27">H61-F62-D62+B62</f>
        <v>13.25</v>
      </c>
      <c r="I62" s="15">
        <f t="shared" ref="I62:I63" si="28">I61-E62+C62</f>
        <v>102.25</v>
      </c>
      <c r="J62" s="16">
        <f t="shared" ref="J62:J63" si="29">SUM(H62:I62)</f>
        <v>115.5</v>
      </c>
    </row>
    <row r="63" spans="1:10" x14ac:dyDescent="0.25">
      <c r="A63" s="20" t="s">
        <v>67</v>
      </c>
      <c r="B63" s="20"/>
      <c r="C63" s="20"/>
      <c r="D63" s="8">
        <v>8.25</v>
      </c>
      <c r="E63" s="20">
        <v>21.75</v>
      </c>
      <c r="F63" s="20"/>
      <c r="G63" s="20"/>
      <c r="H63" s="8">
        <f t="shared" si="27"/>
        <v>5</v>
      </c>
      <c r="I63" s="8">
        <f t="shared" si="28"/>
        <v>80.5</v>
      </c>
      <c r="J63" s="14">
        <f t="shared" si="29"/>
        <v>85.5</v>
      </c>
    </row>
    <row r="64" spans="1:10" x14ac:dyDescent="0.25">
      <c r="A64" s="20" t="s">
        <v>68</v>
      </c>
      <c r="B64" s="20">
        <v>3.75</v>
      </c>
      <c r="C64" s="20">
        <v>3.75</v>
      </c>
      <c r="D64" s="8"/>
      <c r="E64" s="20"/>
      <c r="F64" s="20"/>
      <c r="G64" s="20"/>
      <c r="H64" s="8">
        <f t="shared" ref="H64:H66" si="30">H63-F64-D64+B64</f>
        <v>8.75</v>
      </c>
      <c r="I64" s="8">
        <f t="shared" ref="I64:I66" si="31">I63-E64+C64</f>
        <v>84.25</v>
      </c>
      <c r="J64" s="14">
        <f t="shared" ref="J64:J66" si="32">SUM(H64:I64)</f>
        <v>93</v>
      </c>
    </row>
    <row r="65" spans="1:10" x14ac:dyDescent="0.25">
      <c r="A65" s="20" t="s">
        <v>69</v>
      </c>
      <c r="B65" s="20"/>
      <c r="C65" s="20"/>
      <c r="D65" s="8"/>
      <c r="E65" s="20"/>
      <c r="F65" s="22">
        <v>2</v>
      </c>
      <c r="G65" s="20"/>
      <c r="H65" s="8">
        <f t="shared" si="30"/>
        <v>6.75</v>
      </c>
      <c r="I65" s="8">
        <f t="shared" si="31"/>
        <v>84.25</v>
      </c>
      <c r="J65" s="14">
        <f t="shared" si="32"/>
        <v>91</v>
      </c>
    </row>
    <row r="66" spans="1:10" x14ac:dyDescent="0.25">
      <c r="A66" s="20" t="s">
        <v>70</v>
      </c>
      <c r="B66" s="20"/>
      <c r="C66" s="20"/>
      <c r="D66" s="8"/>
      <c r="E66" s="20"/>
      <c r="F66" s="20"/>
      <c r="G66" s="41">
        <v>2</v>
      </c>
      <c r="H66" s="8">
        <f t="shared" si="30"/>
        <v>6.75</v>
      </c>
      <c r="I66" s="8">
        <f t="shared" si="31"/>
        <v>84.25</v>
      </c>
      <c r="J66" s="14">
        <f t="shared" si="32"/>
        <v>91</v>
      </c>
    </row>
    <row r="67" spans="1:10" x14ac:dyDescent="0.25">
      <c r="A67" s="38"/>
      <c r="B67" s="38"/>
      <c r="C67" s="38"/>
      <c r="D67" s="39"/>
      <c r="E67" s="38"/>
      <c r="F67" s="38"/>
      <c r="G67" s="38"/>
      <c r="H67" s="39"/>
      <c r="I67" s="39"/>
      <c r="J67" s="40"/>
    </row>
    <row r="68" spans="1:10" x14ac:dyDescent="0.25">
      <c r="A68" s="9"/>
      <c r="B68" s="9"/>
      <c r="C68" s="9"/>
      <c r="D68" s="11"/>
      <c r="E68" s="9"/>
      <c r="F68" s="9"/>
      <c r="G68" s="9"/>
      <c r="H68" s="12"/>
      <c r="I68" s="12"/>
      <c r="J68" s="13"/>
    </row>
    <row r="69" spans="1:10" x14ac:dyDescent="0.25">
      <c r="A69" s="1"/>
      <c r="B69" s="1"/>
      <c r="C69" s="1"/>
      <c r="D69" s="1"/>
      <c r="E69" s="1"/>
      <c r="F69" s="1"/>
      <c r="G69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H73" s="1"/>
      <c r="I73" s="1"/>
      <c r="J73" s="1"/>
    </row>
    <row r="74" spans="1:10" x14ac:dyDescent="0.25">
      <c r="A74" s="9"/>
      <c r="B74" s="9"/>
      <c r="C74" s="9"/>
      <c r="D74" s="9"/>
      <c r="E74" s="9"/>
      <c r="F74" s="9"/>
      <c r="G74" s="10"/>
      <c r="H74" s="9"/>
      <c r="I74" s="9"/>
      <c r="J74" s="9"/>
    </row>
  </sheetData>
  <mergeCells count="13">
    <mergeCell ref="A16:J16"/>
    <mergeCell ref="A13:J13"/>
    <mergeCell ref="A14:A15"/>
    <mergeCell ref="B14:C14"/>
    <mergeCell ref="D14:G14"/>
    <mergeCell ref="H14:I14"/>
    <mergeCell ref="J14:J15"/>
    <mergeCell ref="B12:D12"/>
    <mergeCell ref="A5:J5"/>
    <mergeCell ref="A6:J6"/>
    <mergeCell ref="A7:J7"/>
    <mergeCell ref="A8:J8"/>
    <mergeCell ref="B10:D10"/>
  </mergeCells>
  <printOptions horizontalCentered="1"/>
  <pageMargins left="0.70866141732283472" right="0.70866141732283472" top="0.35433070866141736" bottom="0.74803149606299213" header="0.31496062992125984" footer="0.31496062992125984"/>
  <pageSetup paperSize="9" scale="63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2026-01-14T02:05:06Z</cp:lastPrinted>
  <dcterms:created xsi:type="dcterms:W3CDTF">2023-10-10T05:23:14Z</dcterms:created>
  <dcterms:modified xsi:type="dcterms:W3CDTF">2026-01-14T02:07:07Z</dcterms:modified>
</cp:coreProperties>
</file>