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5BD4D9A2-5E0F-4CA4-B6ED-07EF42D958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(NE)" sheetId="6" r:id="rId1"/>
    <sheet name="Sheet1" sheetId="7" r:id="rId2"/>
  </sheets>
  <definedNames>
    <definedName name="_xlnm.Print_Area" localSheetId="0">'Leave Card (NE)'!$A$1:$J$97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8" i="6" l="1"/>
  <c r="J88" i="6" s="1"/>
  <c r="I88" i="6"/>
  <c r="H89" i="6"/>
  <c r="H90" i="6" s="1"/>
  <c r="I89" i="6"/>
  <c r="I90" i="6" s="1"/>
  <c r="B49" i="6"/>
  <c r="J90" i="6" l="1"/>
  <c r="J89" i="6"/>
  <c r="I13" i="6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I79" i="6" s="1"/>
  <c r="I80" i="6" s="1"/>
  <c r="I81" i="6" s="1"/>
  <c r="I82" i="6" s="1"/>
  <c r="I83" i="6" s="1"/>
  <c r="I84" i="6" s="1"/>
  <c r="I85" i="6" s="1"/>
  <c r="I86" i="6" s="1"/>
  <c r="I87" i="6" s="1"/>
  <c r="H13" i="6"/>
  <c r="H14" i="6" s="1"/>
  <c r="H15" i="6" s="1"/>
  <c r="H16" i="6" s="1"/>
  <c r="H17" i="6" l="1"/>
  <c r="J16" i="6"/>
  <c r="J15" i="6"/>
  <c r="J14" i="6"/>
  <c r="J17" i="6" l="1"/>
  <c r="H18" i="6"/>
  <c r="J13" i="6"/>
  <c r="J18" i="6" l="1"/>
  <c r="H19" i="6"/>
  <c r="H20" i="6" l="1"/>
  <c r="J19" i="6"/>
  <c r="J20" i="6" l="1"/>
  <c r="H21" i="6"/>
  <c r="H22" i="6" l="1"/>
  <c r="J21" i="6"/>
  <c r="H23" i="6" l="1"/>
  <c r="J22" i="6"/>
  <c r="H24" i="6" l="1"/>
  <c r="J23" i="6"/>
  <c r="H25" i="6" l="1"/>
  <c r="J24" i="6"/>
  <c r="J25" i="6" l="1"/>
  <c r="H26" i="6"/>
  <c r="H27" i="6" l="1"/>
  <c r="J26" i="6"/>
  <c r="J27" i="6" l="1"/>
  <c r="H28" i="6"/>
  <c r="H29" i="6" l="1"/>
  <c r="J28" i="6"/>
  <c r="J29" i="6" l="1"/>
  <c r="H30" i="6"/>
  <c r="J30" i="6" l="1"/>
  <c r="H31" i="6"/>
  <c r="J31" i="6" l="1"/>
  <c r="H32" i="6"/>
  <c r="J32" i="6" l="1"/>
  <c r="H33" i="6"/>
  <c r="H34" i="6" l="1"/>
  <c r="J33" i="6"/>
  <c r="J34" i="6" l="1"/>
  <c r="H35" i="6"/>
  <c r="J35" i="6" l="1"/>
  <c r="H36" i="6"/>
  <c r="J36" i="6" l="1"/>
  <c r="H37" i="6"/>
  <c r="J37" i="6" l="1"/>
  <c r="H38" i="6"/>
  <c r="J38" i="6" l="1"/>
  <c r="H39" i="6"/>
  <c r="H40" i="6" l="1"/>
  <c r="J39" i="6"/>
  <c r="J40" i="6" l="1"/>
  <c r="H41" i="6"/>
  <c r="H42" i="6" l="1"/>
  <c r="J41" i="6"/>
  <c r="J42" i="6" l="1"/>
  <c r="H43" i="6"/>
  <c r="J43" i="6" l="1"/>
  <c r="H44" i="6"/>
  <c r="H45" i="6" l="1"/>
  <c r="J44" i="6"/>
  <c r="J45" i="6" l="1"/>
  <c r="H46" i="6"/>
  <c r="J46" i="6" l="1"/>
  <c r="H47" i="6"/>
  <c r="J47" i="6" l="1"/>
  <c r="H48" i="6"/>
  <c r="J48" i="6" l="1"/>
  <c r="H49" i="6"/>
  <c r="J49" i="6" l="1"/>
  <c r="H50" i="6"/>
  <c r="J50" i="6" l="1"/>
  <c r="H51" i="6"/>
  <c r="H52" i="6" l="1"/>
  <c r="J51" i="6"/>
  <c r="H53" i="6" l="1"/>
  <c r="J52" i="6"/>
  <c r="J53" i="6" l="1"/>
  <c r="H54" i="6"/>
  <c r="J54" i="6" l="1"/>
  <c r="H55" i="6"/>
  <c r="H56" i="6" l="1"/>
  <c r="J55" i="6"/>
  <c r="J56" i="6" l="1"/>
  <c r="H57" i="6"/>
  <c r="J57" i="6" l="1"/>
  <c r="H58" i="6"/>
  <c r="J58" i="6" l="1"/>
  <c r="H59" i="6"/>
  <c r="J59" i="6" l="1"/>
  <c r="H60" i="6"/>
  <c r="H61" i="6" l="1"/>
  <c r="J60" i="6"/>
  <c r="H62" i="6" l="1"/>
  <c r="J61" i="6"/>
  <c r="H63" i="6" l="1"/>
  <c r="J62" i="6"/>
  <c r="H64" i="6" l="1"/>
  <c r="J63" i="6"/>
  <c r="H65" i="6" l="1"/>
  <c r="J64" i="6"/>
  <c r="H66" i="6" l="1"/>
  <c r="J65" i="6"/>
  <c r="H67" i="6" l="1"/>
  <c r="J66" i="6"/>
  <c r="H68" i="6" l="1"/>
  <c r="J67" i="6"/>
  <c r="J68" i="6" l="1"/>
  <c r="H69" i="6"/>
  <c r="J69" i="6" l="1"/>
  <c r="H70" i="6"/>
  <c r="H71" i="6" l="1"/>
  <c r="J70" i="6"/>
  <c r="J71" i="6" l="1"/>
  <c r="H72" i="6"/>
  <c r="H73" i="6" l="1"/>
  <c r="J72" i="6"/>
  <c r="J73" i="6" l="1"/>
  <c r="H74" i="6"/>
  <c r="H75" i="6" l="1"/>
  <c r="J74" i="6"/>
  <c r="J75" i="6" l="1"/>
  <c r="H76" i="6"/>
  <c r="H77" i="6" l="1"/>
  <c r="J76" i="6"/>
  <c r="H78" i="6" l="1"/>
  <c r="J77" i="6"/>
  <c r="J78" i="6" l="1"/>
  <c r="H79" i="6"/>
  <c r="J79" i="6" l="1"/>
  <c r="H80" i="6"/>
  <c r="J80" i="6" l="1"/>
  <c r="H81" i="6"/>
  <c r="J81" i="6" l="1"/>
  <c r="H82" i="6"/>
  <c r="J82" i="6" l="1"/>
  <c r="H83" i="6"/>
  <c r="H84" i="6" l="1"/>
  <c r="J83" i="6"/>
  <c r="J84" i="6" l="1"/>
  <c r="H85" i="6"/>
  <c r="J85" i="6" l="1"/>
  <c r="H86" i="6"/>
  <c r="J86" i="6" l="1"/>
  <c r="H87" i="6"/>
  <c r="J87" i="6" s="1"/>
</calcChain>
</file>

<file path=xl/sharedStrings.xml><?xml version="1.0" encoding="utf-8"?>
<sst xmlns="http://schemas.openxmlformats.org/spreadsheetml/2006/main" count="141" uniqueCount="118">
  <si>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</si>
  <si>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</si>
  <si>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</si>
  <si>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</si>
  <si>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</si>
  <si>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</si>
  <si>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</si>
  <si>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</si>
  <si>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</si>
  <si>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</si>
  <si>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</si>
  <si>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DATE FILED/RECEIVED</t>
  </si>
  <si>
    <t>LESS: 05/20/22</t>
  </si>
  <si>
    <t>ADD: 01/01/22 - 04/30/22</t>
  </si>
  <si>
    <t>ADD: 05/01/22 - 05/31/22</t>
  </si>
  <si>
    <t>LESS: 06/17/22</t>
  </si>
  <si>
    <t>ADD: 06/01/22 - 07/31/22</t>
  </si>
  <si>
    <t>LESS: 07/27-29/22 &amp; 08/01 - 05/22</t>
  </si>
  <si>
    <t>ADD: 08/01/22 - 08/31/22</t>
  </si>
  <si>
    <t>LESS: 09/09/2022</t>
  </si>
  <si>
    <t>LESS: MONETIZATION 2022</t>
  </si>
  <si>
    <t>ADD: 09/01/22 - 10/31/22</t>
  </si>
  <si>
    <t>ADD: 11/01/22 - 11/30/22</t>
  </si>
  <si>
    <t>LESS: 12/ 28 &amp; 29/ 2022</t>
  </si>
  <si>
    <t>LESS: 11/15/ 2022</t>
  </si>
  <si>
    <t>ADD: 12/01/22 - 12/31/22</t>
  </si>
  <si>
    <t>ADD: 01/01/23 - 01/31/23</t>
  </si>
  <si>
    <t>SPECIAL</t>
  </si>
  <si>
    <t>LESS: 03/08/23</t>
  </si>
  <si>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</si>
  <si>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</si>
  <si>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</si>
  <si>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</si>
  <si>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</si>
  <si>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</si>
  <si>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POSITION: __________________________</t>
  </si>
  <si>
    <t>SCHOOL/OFFICE:_____________________</t>
  </si>
  <si>
    <t>ADD: 03/27/2019 - 03/31/2019</t>
  </si>
  <si>
    <t>LESS: 08/02/20219</t>
  </si>
  <si>
    <t>LESS: 11/15/2019</t>
  </si>
  <si>
    <t>ADD: 01/01/2020 - 12/31/2020</t>
  </si>
  <si>
    <t>LESS: 01/02 &amp; 03/2020</t>
  </si>
  <si>
    <t>LESS: 01/13/2020</t>
  </si>
  <si>
    <t>LESS: FL 2020</t>
  </si>
  <si>
    <t>LESS: 02/2 -5/2021</t>
  </si>
  <si>
    <t>ADD: 01/01/2021 - 09/30/2021</t>
  </si>
  <si>
    <t>LESS: MONETIZATION 2021</t>
  </si>
  <si>
    <t>LESS: 12/23,24,28 &amp; 31/2021</t>
  </si>
  <si>
    <t>ADD: 10/01/2021 - 12/31/2021</t>
  </si>
  <si>
    <t>LESS: FL 2021</t>
  </si>
  <si>
    <t>LESS: FL 2022</t>
  </si>
  <si>
    <t>ADD: 02/01/23 - 06/30/23</t>
  </si>
  <si>
    <t>LESS: 07/20-21/23</t>
  </si>
  <si>
    <t>ADD: 07/01/23 - 08/31/23</t>
  </si>
  <si>
    <t>LESS: MONETIZATION 2023</t>
  </si>
  <si>
    <t>Certified Correct:</t>
  </si>
  <si>
    <t>MA. LUISA B. CATIGAN</t>
  </si>
  <si>
    <t>Administrative Officer IV</t>
  </si>
  <si>
    <t>HRMO</t>
  </si>
  <si>
    <t>LESS: 09/07/2023</t>
  </si>
  <si>
    <t>LESS: 11/15/2023</t>
  </si>
  <si>
    <t>COMPENSATORY TIME OFF (CTO)</t>
  </si>
  <si>
    <t>Special Order No. and Date Issued</t>
  </si>
  <si>
    <t>No. of Days Granted</t>
  </si>
  <si>
    <t>No. of Days Used</t>
  </si>
  <si>
    <t>Balance</t>
  </si>
  <si>
    <t>NOTE:  Valid for one (1) year only</t>
  </si>
  <si>
    <t>ADD: 10/17/2023</t>
  </si>
  <si>
    <t xml:space="preserve">SO # 159, S.2023, 125TH PHILIPPINE INDEPENDENCE DAY CELEBRATION </t>
  </si>
  <si>
    <t>LESS: 11/14/2023</t>
  </si>
  <si>
    <t>ADD: 11/01/23-11/30/23</t>
  </si>
  <si>
    <t>LESS: 12/27/2023</t>
  </si>
  <si>
    <t>LESS: 12/28-29/2023</t>
  </si>
  <si>
    <t>ADD: 12/01-31/2023</t>
  </si>
  <si>
    <t>ADD: 01/01- 02/29/2024</t>
  </si>
  <si>
    <t>LESS: 03/01/2024</t>
  </si>
  <si>
    <t>LESS: 03/20/2024</t>
  </si>
  <si>
    <t>ADD: 03/1/2024-05/31/2024</t>
  </si>
  <si>
    <t>LESS: 06/18/2024</t>
  </si>
  <si>
    <t>LESS: 06/21/2024</t>
  </si>
  <si>
    <t>ADD: 06/1-30/2024</t>
  </si>
  <si>
    <t>LESS: 07/02/2024</t>
  </si>
  <si>
    <t>LESS: MANDATORY FORCED LEAVE 2023</t>
  </si>
  <si>
    <t>ADD: 9/1/2023- 10/31/23</t>
  </si>
  <si>
    <t xml:space="preserve">                  HRMO</t>
  </si>
  <si>
    <t>LESS: FL 2019</t>
  </si>
  <si>
    <t>ADD: 07/1/2024-10/31/2024</t>
  </si>
  <si>
    <t>LESS: 11/15/2024</t>
  </si>
  <si>
    <t>ADD: 04/01/2019 - 07/31/2019</t>
  </si>
  <si>
    <t>ADD: 08/1/2019-09/30/2019</t>
  </si>
  <si>
    <t>LESS: 10/1-2/2019</t>
  </si>
  <si>
    <t>ADD: 10/1-31/2019</t>
  </si>
  <si>
    <t>ADD: 11/1/2019-12/31/2019</t>
  </si>
  <si>
    <t>LESS: MONETIZATION 2024</t>
  </si>
  <si>
    <t>ADD: 11/1-30/2024</t>
  </si>
  <si>
    <t>LESS: 12/17 &amp; 27/2024</t>
  </si>
  <si>
    <t>LESS: 12/23/2024</t>
  </si>
  <si>
    <t>ADD: 12/1-31/2024</t>
  </si>
  <si>
    <t>ADD: 01/1-31/2025</t>
  </si>
  <si>
    <t>LESS: 02/6/2025</t>
  </si>
  <si>
    <t>ADD: 06/26/2024</t>
  </si>
  <si>
    <t>S.O. # 024, S. 2024. 126TH PHILIPPINE INDEPENDENCE DAY CELEBRATION</t>
  </si>
  <si>
    <t>LESS: 04/28/2025</t>
  </si>
  <si>
    <t>ADD: 02/1/2025-06/30/2025</t>
  </si>
  <si>
    <t>LESS: MONETIZATION 2025 (30 DAYS)</t>
  </si>
  <si>
    <t>06/2-15/2025 (SPECIAL LEAVE BENEFITS FOR WOMEN)</t>
  </si>
  <si>
    <t>LESS: 06/24/2025</t>
  </si>
  <si>
    <t>ADD: 07/1-31/2025</t>
  </si>
  <si>
    <t>LESS: 08/12/2025</t>
  </si>
  <si>
    <t>ADD: 08/1/2025-09/30/2025</t>
  </si>
  <si>
    <t>LESS: 10/8-9/2025</t>
  </si>
  <si>
    <t>LESS: 11/17/2025</t>
  </si>
  <si>
    <t>ADD: 07/01/2025</t>
  </si>
  <si>
    <t>SO # 044, S. 2025 127th PHIL. INDEPENCE DAY</t>
  </si>
  <si>
    <t>LESS: 11/20/2025</t>
  </si>
  <si>
    <t>ADD: 10/1/2025-11/30/2025</t>
  </si>
  <si>
    <t>LESS: 12/22, 26/2025</t>
  </si>
  <si>
    <t>LESS: 12/23/2025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</si>
</sst>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84">
    <xf numFmtId="0" fontId="0" fillId="0" borderId="0" xfId="0"/>
    <xf numFmtId="0" fontId="0" fillId="2" borderId="0" xfId="0" applyFill="1"/>
    <xf numFmtId="164" fontId="3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5" fillId="0" borderId="0" xfId="0" applyFont="1"/>
    <xf numFmtId="0" fontId="1" fillId="2" borderId="4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10" fillId="2" borderId="0" xfId="0" applyFont="1" applyFill="1"/>
    <xf numFmtId="164" fontId="0" fillId="0" borderId="0" xfId="0" applyNumberFormat="1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0" fontId="0" fillId="2" borderId="7" xfId="1" applyFont="1" applyFill="1" applyBorder="1" applyAlignment="1">
      <alignment horizontal="center" vertical="center" wrapText="1"/>
    </xf>
    <xf numFmtId="0" fontId="11" fillId="2" borderId="2" xfId="1" applyFill="1" applyBorder="1" applyAlignment="1">
      <alignment horizontal="center" vertical="center" wrapText="1"/>
    </xf>
    <xf numFmtId="0" fontId="11" fillId="11" borderId="2" xfId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164" fontId="12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/>
    </xf>
    <xf numFmtId="164" fontId="3" fillId="13" borderId="1" xfId="0" applyNumberFormat="1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8" fillId="0" borderId="15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13" fillId="0" borderId="0" xfId="0" applyFont="1"/>
    <xf numFmtId="0" fontId="0" fillId="11" borderId="2" xfId="0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2" fillId="2" borderId="14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8" fillId="2" borderId="16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8" borderId="12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8" fillId="9" borderId="15" xfId="0" applyFont="1" applyFill="1" applyBorder="1" applyAlignment="1">
      <alignment horizontal="center" vertical="center" wrapText="1"/>
    </xf>
    <xf numFmtId="0" fontId="8" fillId="9" borderId="16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8" fillId="2" borderId="16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5" fillId="0" borderId="0" xfId="0" applyFont="1" applyFill="1"/>
    <xf numFmtId="0" fontId="0" fillId="0" borderId="0" xfId="0" applyFill="1"/>
    <xf numFmtId="0" fontId="3" fillId="0" borderId="1" xfId="0" applyFont="1" applyFill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</cellXfs>
  <cellStyles count="2">
    <cellStyle name="Normal" xfId="0" builtinId="0"/>
    <cellStyle name="Normal 2 2" xfId="1" xr:uid="{92F4E859-8FD5-4798-9986-DD39179DF5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231776</xdr:colOff>
      <xdr:row>0</xdr:row>
      <xdr:rowOff>76200</xdr:rowOff>
    </xdr:from>
    <xdr:to>
      <xdr:col>4</xdr:col>
      <xdr:colOff>358905</xdr:colOff>
      <xdr:row>0</xdr:row>
      <xdr:rowOff>606425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4676" y="76200"/>
          <a:ext cx="863729" cy="5302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5</xdr:row>
      <xdr:rowOff>56661</xdr:rowOff>
    </xdr:from>
    <xdr:to>
      <xdr:col>1</xdr:col>
      <xdr:colOff>1466</xdr:colOff>
      <xdr:row>7</xdr:row>
      <xdr:rowOff>49335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999AC4B-DCF8-4EB8-9113-E50AC51DD373}"/>
            </a:ext>
          </a:extLst>
        </xdr:cNvPr>
        <xdr:cNvSpPr txBox="1"/>
      </xdr:nvSpPr>
      <xdr:spPr>
        <a:xfrm>
          <a:off x="573942" y="1456836"/>
          <a:ext cx="198974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u="sng"/>
            <a:t>GABAYERON, JESSICA L.</a:t>
          </a:r>
        </a:p>
      </xdr:txBody>
    </xdr:sp>
    <xdr:clientData/>
  </xdr:twoCellAnchor>
  <xdr:twoCellAnchor>
    <xdr:from>
      <xdr:col>0</xdr:col>
      <xdr:colOff>784958</xdr:colOff>
      <xdr:row>7</xdr:row>
      <xdr:rowOff>102332</xdr:rowOff>
    </xdr:from>
    <xdr:to>
      <xdr:col>1</xdr:col>
      <xdr:colOff>114057</xdr:colOff>
      <xdr:row>9</xdr:row>
      <xdr:rowOff>47380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527FBAB-AE92-4471-86C3-9694B1D127AD}"/>
            </a:ext>
          </a:extLst>
        </xdr:cNvPr>
        <xdr:cNvSpPr txBox="1"/>
      </xdr:nvSpPr>
      <xdr:spPr>
        <a:xfrm>
          <a:off x="784958" y="1759682"/>
          <a:ext cx="1891324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u="sng"/>
            <a:t>AO II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645BC9C-A1E1-428D-B793-E7FD064F8CF1}"/>
            </a:ext>
          </a:extLst>
        </xdr:cNvPr>
        <xdr:cNvSpPr txBox="1"/>
      </xdr:nvSpPr>
      <xdr:spPr>
        <a:xfrm>
          <a:off x="3837843" y="1706441"/>
          <a:ext cx="181487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CAMINDANGAN 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38100</xdr:colOff>
      <xdr:row>0</xdr:row>
      <xdr:rowOff>169864</xdr:rowOff>
    </xdr:from>
    <xdr:to>
      <xdr:col>5</xdr:col>
      <xdr:colOff>146050</xdr:colOff>
      <xdr:row>3</xdr:row>
      <xdr:rowOff>187326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0C7BA9-E49F-4162-B3AA-30DD98FCBF5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7150" y="169864"/>
          <a:ext cx="717550" cy="588962"/>
        </a:xfrm>
        <a:prstGeom prst="rect">
          <a:avLst/>
        </a:prstGeom>
        <a:noFill/>
      </xdr:spPr>
    </xdr:pic>
    <xdr:clientData/>
  </xdr:twoCellAnchor>
  <xdr:twoCellAnchor>
    <xdr:from>
      <xdr:col>0</xdr:col>
      <xdr:colOff>654051</xdr:colOff>
      <xdr:row>10</xdr:row>
      <xdr:rowOff>19051</xdr:rowOff>
    </xdr:from>
    <xdr:to>
      <xdr:col>0</xdr:col>
      <xdr:colOff>1720850</xdr:colOff>
      <xdr:row>11</xdr:row>
      <xdr:rowOff>114301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4E02599-3FF6-42D7-8D10-104D0FE17827}"/>
            </a:ext>
          </a:extLst>
        </xdr:cNvPr>
        <xdr:cNvSpPr txBox="1"/>
      </xdr:nvSpPr>
      <xdr:spPr>
        <a:xfrm>
          <a:off x="654051" y="1676401"/>
          <a:ext cx="78104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AO II</a:t>
          </a:r>
        </a:p>
      </xdr:txBody>
    </xdr:sp>
    <xdr:clientData/>
  </xdr:twoCellAnchor>
  <xdr:twoCellAnchor>
    <xdr:from>
      <xdr:col>3</xdr:col>
      <xdr:colOff>526823</xdr:colOff>
      <xdr:row>10</xdr:row>
      <xdr:rowOff>42410</xdr:rowOff>
    </xdr:from>
    <xdr:to>
      <xdr:col>5</xdr:col>
      <xdr:colOff>463323</xdr:colOff>
      <xdr:row>12</xdr:row>
      <xdr:rowOff>10714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81EFE18-F758-4845-82B4-A9543F667AC9}"/>
            </a:ext>
          </a:extLst>
        </xdr:cNvPr>
        <xdr:cNvSpPr txBox="1"/>
      </xdr:nvSpPr>
      <xdr:spPr>
        <a:xfrm>
          <a:off x="3746273" y="1699760"/>
          <a:ext cx="115570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endParaRPr lang="en-US" sz="1100"/>
        </a:p>
      </xdr:txBody>
    </xdr:sp>
    <xdr:clientData/>
  </xdr:twoCellAnchor>
  <xdr:twoCellAnchor>
    <xdr:from>
      <xdr:col>0</xdr:col>
      <xdr:colOff>562183</xdr:colOff>
      <xdr:row>7</xdr:row>
      <xdr:rowOff>148618</xdr:rowOff>
    </xdr:from>
    <xdr:to>
      <xdr:col>1</xdr:col>
      <xdr:colOff>1065797</xdr:colOff>
      <xdr:row>9</xdr:row>
      <xdr:rowOff>93215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7E48327-1A0C-4B79-BB92-616DDB3CEE52}"/>
            </a:ext>
          </a:extLst>
        </xdr:cNvPr>
        <xdr:cNvSpPr txBox="1"/>
      </xdr:nvSpPr>
      <xdr:spPr>
        <a:xfrm>
          <a:off x="562183" y="1348768"/>
          <a:ext cx="1941889" cy="2493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GABAYERON, JESSICA L.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"/>
  <sheetViews>
    <sheetView tabSelected="1" view="pageBreakPreview" topLeftCell="A77" zoomScaleNormal="100" zoomScaleSheetLayoutView="100" workbookViewId="0">
      <selection activeCell="B88" sqref="A88:XFD88"/>
    </sheetView>
  </sheetViews>
  <sheetFormatPr defaultRowHeight="15" x14ac:dyDescent="0.25"/>
  <cols>
    <col min="1" max="1" width="38.42578125" style="10" customWidth="1"/>
    <col min="2" max="9" width="10.5703125" customWidth="1"/>
    <col min="10" max="10" width="13.5703125" customWidth="1"/>
    <col min="11" max="11" width="26.42578125" style="7" customWidth="1"/>
  </cols>
  <sheetData>
    <row r="1" spans="1:11" s="1" customFormat="1" ht="52.5" customHeight="1" x14ac:dyDescent="0.25">
      <c r="A1" s="9"/>
    </row>
    <row r="2" spans="1:11" s="1" customFormat="1" ht="10.5" customHeight="1" x14ac:dyDescent="0.25">
      <c r="A2" s="45" t="s">
        <v>29</v>
      </c>
      <c r="B2" s="45"/>
      <c r="C2" s="45"/>
      <c r="D2" s="45"/>
      <c r="E2" s="45"/>
      <c r="F2" s="45"/>
      <c r="G2" s="45"/>
      <c r="H2" s="45"/>
      <c r="I2" s="45"/>
      <c r="J2" s="45"/>
    </row>
    <row r="3" spans="1:11" s="1" customFormat="1" ht="15.95" customHeight="1" x14ac:dyDescent="0.25">
      <c r="A3" s="45" t="s">
        <v>30</v>
      </c>
      <c r="B3" s="45"/>
      <c r="C3" s="45"/>
      <c r="D3" s="45"/>
      <c r="E3" s="45"/>
      <c r="F3" s="45"/>
      <c r="G3" s="45"/>
      <c r="H3" s="45"/>
      <c r="I3" s="45"/>
      <c r="J3" s="45"/>
    </row>
    <row r="4" spans="1:11" s="1" customFormat="1" ht="15.95" customHeight="1" x14ac:dyDescent="0.25">
      <c r="A4" s="45" t="s">
        <v>31</v>
      </c>
      <c r="B4" s="45"/>
      <c r="C4" s="45"/>
      <c r="D4" s="45"/>
      <c r="E4" s="45"/>
      <c r="F4" s="45"/>
      <c r="G4" s="45"/>
      <c r="H4" s="45"/>
      <c r="I4" s="45"/>
      <c r="J4" s="45"/>
    </row>
    <row r="5" spans="1:11" s="1" customFormat="1" ht="15.95" customHeight="1" x14ac:dyDescent="0.25">
      <c r="A5" s="45" t="s">
        <v>32</v>
      </c>
      <c r="B5" s="45"/>
      <c r="C5" s="45"/>
      <c r="D5" s="45"/>
      <c r="E5" s="45"/>
      <c r="F5" s="45"/>
      <c r="G5" s="45"/>
      <c r="H5" s="45"/>
      <c r="I5" s="45"/>
      <c r="J5" s="45"/>
    </row>
    <row r="6" spans="1:11" s="1" customFormat="1" ht="8.25" customHeight="1" x14ac:dyDescent="0.25">
      <c r="A6" s="9"/>
    </row>
    <row r="7" spans="1:11" s="1" customFormat="1" ht="12" customHeight="1" x14ac:dyDescent="0.25">
      <c r="A7" s="9" t="s">
        <v>33</v>
      </c>
      <c r="B7" s="43" t="s">
        <v>34</v>
      </c>
      <c r="C7" s="43"/>
      <c r="D7" s="43"/>
      <c r="H7" s="5" t="s">
        <v>9</v>
      </c>
      <c r="I7" s="8"/>
      <c r="J7" s="5"/>
    </row>
    <row r="8" spans="1:11" s="1" customFormat="1" ht="12" customHeight="1" x14ac:dyDescent="0.25">
      <c r="A8" s="9"/>
      <c r="B8" s="3"/>
      <c r="C8" s="3"/>
      <c r="H8" s="3"/>
      <c r="I8" s="3"/>
      <c r="J8" s="3"/>
    </row>
    <row r="9" spans="1:11" s="1" customFormat="1" ht="12" customHeight="1" x14ac:dyDescent="0.25">
      <c r="A9" s="9" t="s">
        <v>35</v>
      </c>
      <c r="B9" s="43" t="s">
        <v>36</v>
      </c>
      <c r="C9" s="43"/>
      <c r="D9" s="43"/>
      <c r="H9" s="5" t="s">
        <v>10</v>
      </c>
      <c r="I9" s="6"/>
      <c r="J9" s="5"/>
    </row>
    <row r="10" spans="1:11" ht="16.5" customHeight="1" thickBot="1" x14ac:dyDescent="0.3">
      <c r="A10" s="44" t="s">
        <v>0</v>
      </c>
      <c r="B10" s="44"/>
      <c r="C10" s="44"/>
      <c r="D10" s="44"/>
      <c r="E10" s="44"/>
      <c r="F10" s="44"/>
      <c r="G10" s="44"/>
      <c r="H10" s="44"/>
      <c r="I10" s="44"/>
      <c r="J10" s="44"/>
      <c r="K10"/>
    </row>
    <row r="11" spans="1:11" ht="18.75" customHeight="1" x14ac:dyDescent="0.25">
      <c r="A11" s="46" t="s">
        <v>4</v>
      </c>
      <c r="B11" s="50" t="s">
        <v>5</v>
      </c>
      <c r="C11" s="50"/>
      <c r="D11" s="51" t="s">
        <v>6</v>
      </c>
      <c r="E11" s="52"/>
      <c r="F11" s="52"/>
      <c r="G11" s="53"/>
      <c r="H11" s="55" t="s">
        <v>7</v>
      </c>
      <c r="I11" s="55"/>
      <c r="J11" s="48" t="s">
        <v>8</v>
      </c>
      <c r="K11" s="54" t="s">
        <v>11</v>
      </c>
    </row>
    <row r="12" spans="1:11" ht="18.75" customHeight="1" x14ac:dyDescent="0.25">
      <c r="A12" s="47"/>
      <c r="B12" s="4" t="s">
        <v>1</v>
      </c>
      <c r="C12" s="4" t="s">
        <v>2</v>
      </c>
      <c r="D12" s="4" t="s">
        <v>1</v>
      </c>
      <c r="E12" s="4" t="s">
        <v>2</v>
      </c>
      <c r="F12" s="4" t="s">
        <v>3</v>
      </c>
      <c r="G12" s="4" t="s">
        <v>27</v>
      </c>
      <c r="H12" s="4" t="s">
        <v>1</v>
      </c>
      <c r="I12" s="4" t="s">
        <v>2</v>
      </c>
      <c r="J12" s="49"/>
      <c r="K12" s="54"/>
    </row>
    <row r="13" spans="1:11" ht="18.75" customHeight="1" x14ac:dyDescent="0.25">
      <c r="A13" s="25" t="s">
        <v>37</v>
      </c>
      <c r="B13" s="2">
        <v>0.20799999999999999</v>
      </c>
      <c r="C13" s="2">
        <v>0.20799999999999999</v>
      </c>
      <c r="D13" s="2"/>
      <c r="E13" s="2"/>
      <c r="F13" s="2"/>
      <c r="G13" s="2"/>
      <c r="H13" s="2">
        <f>B13</f>
        <v>0.20799999999999999</v>
      </c>
      <c r="I13" s="2">
        <f>C13</f>
        <v>0.20799999999999999</v>
      </c>
      <c r="J13" s="2">
        <f>SUM(H13:I13)</f>
        <v>0.41599999999999998</v>
      </c>
    </row>
    <row r="14" spans="1:11" ht="18.75" customHeight="1" x14ac:dyDescent="0.25">
      <c r="A14" s="25" t="s">
        <v>88</v>
      </c>
      <c r="B14" s="2">
        <v>5</v>
      </c>
      <c r="C14" s="2">
        <v>5</v>
      </c>
      <c r="D14" s="2"/>
      <c r="E14" s="2"/>
      <c r="F14" s="2"/>
      <c r="G14" s="2"/>
      <c r="H14" s="2">
        <f>H13-F14-D14+B14</f>
        <v>5.2080000000000002</v>
      </c>
      <c r="I14" s="2">
        <f>I13-E14+C14</f>
        <v>5.2080000000000002</v>
      </c>
      <c r="J14" s="2">
        <f t="shared" ref="J14" si="0">SUM(H14:I14)</f>
        <v>10.416</v>
      </c>
    </row>
    <row r="15" spans="1:11" ht="18.75" customHeight="1" x14ac:dyDescent="0.25">
      <c r="A15" s="25" t="s">
        <v>38</v>
      </c>
      <c r="B15" s="2"/>
      <c r="C15" s="2"/>
      <c r="D15" s="2"/>
      <c r="E15" s="2"/>
      <c r="F15" s="2">
        <v>1</v>
      </c>
      <c r="G15" s="2"/>
      <c r="H15" s="2">
        <f t="shared" ref="H15" si="1">H14-F15-D15+B15</f>
        <v>4.2080000000000002</v>
      </c>
      <c r="I15" s="2">
        <f t="shared" ref="I15" si="2">I14-E15+C15</f>
        <v>5.2080000000000002</v>
      </c>
      <c r="J15" s="2">
        <f t="shared" ref="J15" si="3">SUM(H15:I15)</f>
        <v>9.4160000000000004</v>
      </c>
    </row>
    <row r="16" spans="1:11" ht="18.75" customHeight="1" x14ac:dyDescent="0.25">
      <c r="A16" s="25" t="s">
        <v>89</v>
      </c>
      <c r="B16" s="2">
        <v>2.5</v>
      </c>
      <c r="C16" s="2">
        <v>2.5</v>
      </c>
      <c r="D16" s="2"/>
      <c r="E16" s="2"/>
      <c r="F16" s="2"/>
      <c r="G16" s="2"/>
      <c r="H16" s="2">
        <f t="shared" ref="H16:H27" si="4">H15-F16-D16+B16</f>
        <v>6.7080000000000002</v>
      </c>
      <c r="I16" s="2">
        <f t="shared" ref="I16:I27" si="5">I15-E16+C16</f>
        <v>7.7080000000000002</v>
      </c>
      <c r="J16" s="2">
        <f t="shared" ref="J16:J27" si="6">SUM(H16:I16)</f>
        <v>14.416</v>
      </c>
    </row>
    <row r="17" spans="1:10" ht="18.75" customHeight="1" x14ac:dyDescent="0.25">
      <c r="A17" s="25" t="s">
        <v>90</v>
      </c>
      <c r="B17" s="2"/>
      <c r="C17" s="2"/>
      <c r="D17" s="2"/>
      <c r="E17" s="2"/>
      <c r="F17" s="2">
        <v>2</v>
      </c>
      <c r="G17" s="2"/>
      <c r="H17" s="2">
        <f t="shared" si="4"/>
        <v>4.7080000000000002</v>
      </c>
      <c r="I17" s="2">
        <f t="shared" si="5"/>
        <v>7.7080000000000002</v>
      </c>
      <c r="J17" s="2">
        <f t="shared" si="6"/>
        <v>12.416</v>
      </c>
    </row>
    <row r="18" spans="1:10" ht="18.75" customHeight="1" x14ac:dyDescent="0.25">
      <c r="A18" s="25" t="s">
        <v>91</v>
      </c>
      <c r="B18" s="2">
        <v>1.25</v>
      </c>
      <c r="C18" s="2">
        <v>1.25</v>
      </c>
      <c r="D18" s="2"/>
      <c r="E18" s="2"/>
      <c r="F18" s="2"/>
      <c r="G18" s="2"/>
      <c r="H18" s="2">
        <f t="shared" si="4"/>
        <v>5.9580000000000002</v>
      </c>
      <c r="I18" s="2">
        <f t="shared" si="5"/>
        <v>8.9580000000000002</v>
      </c>
      <c r="J18" s="2">
        <f t="shared" si="6"/>
        <v>14.916</v>
      </c>
    </row>
    <row r="19" spans="1:10" ht="18.75" customHeight="1" x14ac:dyDescent="0.25">
      <c r="A19" s="25" t="s">
        <v>39</v>
      </c>
      <c r="B19" s="2"/>
      <c r="C19" s="2"/>
      <c r="D19" s="2"/>
      <c r="E19" s="2"/>
      <c r="F19" s="2">
        <v>1</v>
      </c>
      <c r="G19" s="2"/>
      <c r="H19" s="2">
        <f t="shared" si="4"/>
        <v>4.9580000000000002</v>
      </c>
      <c r="I19" s="2">
        <f t="shared" si="5"/>
        <v>8.9580000000000002</v>
      </c>
      <c r="J19" s="2">
        <f t="shared" si="6"/>
        <v>13.916</v>
      </c>
    </row>
    <row r="20" spans="1:10" ht="18.75" customHeight="1" x14ac:dyDescent="0.25">
      <c r="A20" s="25" t="s">
        <v>92</v>
      </c>
      <c r="B20" s="2">
        <v>2.5</v>
      </c>
      <c r="C20" s="2">
        <v>2.5</v>
      </c>
      <c r="D20" s="2"/>
      <c r="E20" s="2"/>
      <c r="F20" s="2"/>
      <c r="G20" s="2"/>
      <c r="H20" s="2">
        <f t="shared" si="4"/>
        <v>7.4580000000000002</v>
      </c>
      <c r="I20" s="2">
        <f t="shared" si="5"/>
        <v>11.458</v>
      </c>
      <c r="J20" s="2">
        <f t="shared" si="6"/>
        <v>18.916</v>
      </c>
    </row>
    <row r="21" spans="1:10" ht="18.75" customHeight="1" x14ac:dyDescent="0.25">
      <c r="A21" s="25" t="s">
        <v>85</v>
      </c>
      <c r="B21" s="2"/>
      <c r="C21" s="2"/>
      <c r="D21" s="2"/>
      <c r="E21" s="2"/>
      <c r="F21" s="2">
        <v>1</v>
      </c>
      <c r="G21" s="2"/>
      <c r="H21" s="2">
        <f t="shared" si="4"/>
        <v>6.4580000000000002</v>
      </c>
      <c r="I21" s="2">
        <f t="shared" si="5"/>
        <v>11.458</v>
      </c>
      <c r="J21" s="2">
        <f t="shared" si="6"/>
        <v>17.916</v>
      </c>
    </row>
    <row r="22" spans="1:10" ht="18.75" customHeight="1" x14ac:dyDescent="0.25">
      <c r="A22" s="25" t="s">
        <v>40</v>
      </c>
      <c r="B22" s="2">
        <v>15</v>
      </c>
      <c r="C22" s="2">
        <v>15</v>
      </c>
      <c r="D22" s="2"/>
      <c r="E22" s="2"/>
      <c r="F22" s="2"/>
      <c r="G22" s="2"/>
      <c r="H22" s="2">
        <f t="shared" si="4"/>
        <v>21.457999999999998</v>
      </c>
      <c r="I22" s="2">
        <f t="shared" si="5"/>
        <v>26.457999999999998</v>
      </c>
      <c r="J22" s="2">
        <f t="shared" si="6"/>
        <v>47.915999999999997</v>
      </c>
    </row>
    <row r="23" spans="1:10" ht="18.75" customHeight="1" x14ac:dyDescent="0.25">
      <c r="A23" s="25" t="s">
        <v>41</v>
      </c>
      <c r="B23" s="2"/>
      <c r="C23" s="2"/>
      <c r="D23" s="2"/>
      <c r="E23" s="2"/>
      <c r="F23" s="2">
        <v>2</v>
      </c>
      <c r="G23" s="2"/>
      <c r="H23" s="2">
        <f t="shared" si="4"/>
        <v>19.457999999999998</v>
      </c>
      <c r="I23" s="2">
        <f t="shared" si="5"/>
        <v>26.457999999999998</v>
      </c>
      <c r="J23" s="2">
        <f t="shared" si="6"/>
        <v>45.915999999999997</v>
      </c>
    </row>
    <row r="24" spans="1:10" ht="18.75" customHeight="1" x14ac:dyDescent="0.25">
      <c r="A24" s="25" t="s">
        <v>42</v>
      </c>
      <c r="B24" s="2"/>
      <c r="C24" s="2"/>
      <c r="D24" s="2"/>
      <c r="E24" s="2"/>
      <c r="F24" s="2">
        <v>1</v>
      </c>
      <c r="G24" s="2"/>
      <c r="H24" s="2">
        <f t="shared" si="4"/>
        <v>18.457999999999998</v>
      </c>
      <c r="I24" s="2">
        <f t="shared" si="5"/>
        <v>26.457999999999998</v>
      </c>
      <c r="J24" s="2">
        <f t="shared" si="6"/>
        <v>44.915999999999997</v>
      </c>
    </row>
    <row r="25" spans="1:10" ht="18.75" customHeight="1" x14ac:dyDescent="0.25">
      <c r="A25" s="25" t="s">
        <v>43</v>
      </c>
      <c r="B25" s="2"/>
      <c r="C25" s="2"/>
      <c r="D25" s="2"/>
      <c r="E25" s="2"/>
      <c r="F25" s="2">
        <v>2</v>
      </c>
      <c r="G25" s="2"/>
      <c r="H25" s="2">
        <f t="shared" si="4"/>
        <v>16.457999999999998</v>
      </c>
      <c r="I25" s="2">
        <f t="shared" si="5"/>
        <v>26.457999999999998</v>
      </c>
      <c r="J25" s="2">
        <f t="shared" si="6"/>
        <v>42.915999999999997</v>
      </c>
    </row>
    <row r="26" spans="1:10" ht="18.75" customHeight="1" x14ac:dyDescent="0.25">
      <c r="A26" s="25" t="s">
        <v>44</v>
      </c>
      <c r="B26" s="2"/>
      <c r="C26" s="2"/>
      <c r="D26" s="2"/>
      <c r="E26" s="2">
        <v>4</v>
      </c>
      <c r="F26" s="2"/>
      <c r="G26" s="2"/>
      <c r="H26" s="2">
        <f t="shared" si="4"/>
        <v>16.457999999999998</v>
      </c>
      <c r="I26" s="2">
        <f t="shared" si="5"/>
        <v>22.457999999999998</v>
      </c>
      <c r="J26" s="2">
        <f t="shared" si="6"/>
        <v>38.915999999999997</v>
      </c>
    </row>
    <row r="27" spans="1:10" ht="18.75" customHeight="1" x14ac:dyDescent="0.25">
      <c r="A27" s="25" t="s">
        <v>45</v>
      </c>
      <c r="B27" s="2">
        <v>11.25</v>
      </c>
      <c r="C27" s="2">
        <v>11.25</v>
      </c>
      <c r="D27" s="2"/>
      <c r="E27" s="2"/>
      <c r="F27" s="2"/>
      <c r="G27" s="2"/>
      <c r="H27" s="2">
        <f t="shared" si="4"/>
        <v>27.707999999999998</v>
      </c>
      <c r="I27" s="2">
        <f t="shared" si="5"/>
        <v>33.707999999999998</v>
      </c>
      <c r="J27" s="2">
        <f t="shared" si="6"/>
        <v>61.415999999999997</v>
      </c>
    </row>
    <row r="28" spans="1:10" ht="18.75" customHeight="1" x14ac:dyDescent="0.25">
      <c r="A28" s="25" t="s">
        <v>46</v>
      </c>
      <c r="B28" s="2"/>
      <c r="C28" s="2"/>
      <c r="D28" s="2">
        <v>20</v>
      </c>
      <c r="E28" s="2"/>
      <c r="F28" s="2"/>
      <c r="G28" s="2"/>
      <c r="H28" s="2">
        <f t="shared" ref="H28:H52" si="7">H27-F28-D28+B28</f>
        <v>7.7079999999999984</v>
      </c>
      <c r="I28" s="2">
        <f t="shared" ref="I28:I52" si="8">I27-E28+C28</f>
        <v>33.707999999999998</v>
      </c>
      <c r="J28" s="2">
        <f t="shared" ref="J28:J52" si="9">SUM(H28:I28)</f>
        <v>41.415999999999997</v>
      </c>
    </row>
    <row r="29" spans="1:10" ht="18.75" customHeight="1" x14ac:dyDescent="0.25">
      <c r="A29" s="25" t="s">
        <v>47</v>
      </c>
      <c r="B29" s="2"/>
      <c r="C29" s="2"/>
      <c r="D29" s="2"/>
      <c r="E29" s="2"/>
      <c r="F29" s="2">
        <v>4</v>
      </c>
      <c r="G29" s="2"/>
      <c r="H29" s="2">
        <f t="shared" si="7"/>
        <v>3.7079999999999984</v>
      </c>
      <c r="I29" s="2">
        <f t="shared" si="8"/>
        <v>33.707999999999998</v>
      </c>
      <c r="J29" s="2">
        <f t="shared" si="9"/>
        <v>37.415999999999997</v>
      </c>
    </row>
    <row r="30" spans="1:10" ht="18.75" customHeight="1" x14ac:dyDescent="0.25">
      <c r="A30" s="25" t="s">
        <v>48</v>
      </c>
      <c r="B30" s="2">
        <v>3.75</v>
      </c>
      <c r="C30" s="2">
        <v>3.75</v>
      </c>
      <c r="D30" s="2"/>
      <c r="E30" s="2"/>
      <c r="F30" s="2"/>
      <c r="G30" s="2"/>
      <c r="H30" s="2">
        <f t="shared" si="7"/>
        <v>7.4579999999999984</v>
      </c>
      <c r="I30" s="2">
        <f t="shared" si="8"/>
        <v>37.457999999999998</v>
      </c>
      <c r="J30" s="2">
        <f t="shared" si="9"/>
        <v>44.915999999999997</v>
      </c>
    </row>
    <row r="31" spans="1:10" ht="18.75" customHeight="1" x14ac:dyDescent="0.25">
      <c r="A31" s="25" t="s">
        <v>49</v>
      </c>
      <c r="B31" s="2"/>
      <c r="C31" s="2"/>
      <c r="D31" s="2"/>
      <c r="E31" s="2"/>
      <c r="F31" s="2">
        <v>1</v>
      </c>
      <c r="G31" s="2"/>
      <c r="H31" s="2">
        <f t="shared" si="7"/>
        <v>6.4579999999999984</v>
      </c>
      <c r="I31" s="2">
        <f t="shared" si="8"/>
        <v>37.457999999999998</v>
      </c>
      <c r="J31" s="2">
        <f t="shared" si="9"/>
        <v>43.915999999999997</v>
      </c>
    </row>
    <row r="32" spans="1:10" ht="18.75" customHeight="1" x14ac:dyDescent="0.25">
      <c r="A32" s="25" t="s">
        <v>13</v>
      </c>
      <c r="B32" s="2">
        <v>5</v>
      </c>
      <c r="C32" s="2">
        <v>5</v>
      </c>
      <c r="D32" s="2"/>
      <c r="E32" s="2"/>
      <c r="F32" s="2"/>
      <c r="G32" s="2"/>
      <c r="H32" s="2">
        <f t="shared" si="7"/>
        <v>11.457999999999998</v>
      </c>
      <c r="I32" s="2">
        <f t="shared" si="8"/>
        <v>42.457999999999998</v>
      </c>
      <c r="J32" s="2">
        <f t="shared" si="9"/>
        <v>53.915999999999997</v>
      </c>
    </row>
    <row r="33" spans="1:10" ht="18.75" customHeight="1" x14ac:dyDescent="0.25">
      <c r="A33" s="31" t="s">
        <v>12</v>
      </c>
      <c r="B33" s="2"/>
      <c r="C33" s="2"/>
      <c r="D33" s="2"/>
      <c r="E33" s="2"/>
      <c r="F33" s="2"/>
      <c r="G33" s="2">
        <v>1</v>
      </c>
      <c r="H33" s="2">
        <f t="shared" si="7"/>
        <v>11.457999999999998</v>
      </c>
      <c r="I33" s="2">
        <f t="shared" si="8"/>
        <v>42.457999999999998</v>
      </c>
      <c r="J33" s="2">
        <f t="shared" si="9"/>
        <v>53.915999999999997</v>
      </c>
    </row>
    <row r="34" spans="1:10" ht="18.75" customHeight="1" x14ac:dyDescent="0.25">
      <c r="A34" s="25" t="s">
        <v>14</v>
      </c>
      <c r="B34" s="2">
        <v>1.25</v>
      </c>
      <c r="C34" s="2">
        <v>1.25</v>
      </c>
      <c r="D34" s="2"/>
      <c r="E34" s="2"/>
      <c r="F34" s="2"/>
      <c r="G34" s="2"/>
      <c r="H34" s="2">
        <f t="shared" si="7"/>
        <v>12.707999999999998</v>
      </c>
      <c r="I34" s="2">
        <f t="shared" si="8"/>
        <v>43.707999999999998</v>
      </c>
      <c r="J34" s="2">
        <f t="shared" si="9"/>
        <v>56.415999999999997</v>
      </c>
    </row>
    <row r="35" spans="1:10" ht="18.75" customHeight="1" x14ac:dyDescent="0.25">
      <c r="A35" s="31" t="s">
        <v>15</v>
      </c>
      <c r="B35" s="2"/>
      <c r="C35" s="2"/>
      <c r="D35" s="2"/>
      <c r="E35" s="2"/>
      <c r="F35" s="2">
        <v>1</v>
      </c>
      <c r="G35" s="2"/>
      <c r="H35" s="2">
        <f t="shared" si="7"/>
        <v>11.707999999999998</v>
      </c>
      <c r="I35" s="2">
        <f t="shared" si="8"/>
        <v>43.707999999999998</v>
      </c>
      <c r="J35" s="2">
        <f t="shared" si="9"/>
        <v>55.415999999999997</v>
      </c>
    </row>
    <row r="36" spans="1:10" ht="18.75" customHeight="1" x14ac:dyDescent="0.25">
      <c r="A36" s="25" t="s">
        <v>16</v>
      </c>
      <c r="B36" s="2">
        <v>2.5</v>
      </c>
      <c r="C36" s="2">
        <v>2.5</v>
      </c>
      <c r="D36" s="2"/>
      <c r="E36" s="2"/>
      <c r="F36" s="2"/>
      <c r="G36" s="2"/>
      <c r="H36" s="2">
        <f t="shared" si="7"/>
        <v>14.207999999999998</v>
      </c>
      <c r="I36" s="2">
        <f t="shared" si="8"/>
        <v>46.207999999999998</v>
      </c>
      <c r="J36" s="2">
        <f t="shared" si="9"/>
        <v>60.415999999999997</v>
      </c>
    </row>
    <row r="37" spans="1:10" ht="18.75" customHeight="1" x14ac:dyDescent="0.25">
      <c r="A37" s="31" t="s">
        <v>17</v>
      </c>
      <c r="B37" s="2"/>
      <c r="C37" s="2"/>
      <c r="D37" s="2"/>
      <c r="E37" s="2">
        <v>8</v>
      </c>
      <c r="F37" s="2"/>
      <c r="G37" s="2"/>
      <c r="H37" s="2">
        <f t="shared" si="7"/>
        <v>14.207999999999998</v>
      </c>
      <c r="I37" s="2">
        <f t="shared" si="8"/>
        <v>38.207999999999998</v>
      </c>
      <c r="J37" s="2">
        <f t="shared" si="9"/>
        <v>52.415999999999997</v>
      </c>
    </row>
    <row r="38" spans="1:10" ht="18.75" customHeight="1" x14ac:dyDescent="0.25">
      <c r="A38" s="25" t="s">
        <v>18</v>
      </c>
      <c r="B38" s="2">
        <v>1.25</v>
      </c>
      <c r="C38" s="2">
        <v>1.25</v>
      </c>
      <c r="D38" s="2"/>
      <c r="E38" s="2"/>
      <c r="F38" s="2"/>
      <c r="G38" s="2"/>
      <c r="H38" s="2">
        <f t="shared" si="7"/>
        <v>15.457999999999998</v>
      </c>
      <c r="I38" s="2">
        <f t="shared" si="8"/>
        <v>39.457999999999998</v>
      </c>
      <c r="J38" s="2">
        <f t="shared" si="9"/>
        <v>54.915999999999997</v>
      </c>
    </row>
    <row r="39" spans="1:10" ht="18.75" customHeight="1" x14ac:dyDescent="0.25">
      <c r="A39" s="25" t="s">
        <v>19</v>
      </c>
      <c r="B39" s="2"/>
      <c r="C39" s="2"/>
      <c r="D39" s="2"/>
      <c r="E39" s="2"/>
      <c r="F39" s="2">
        <v>1</v>
      </c>
      <c r="G39" s="2"/>
      <c r="H39" s="2">
        <f t="shared" si="7"/>
        <v>14.457999999999998</v>
      </c>
      <c r="I39" s="2">
        <f t="shared" si="8"/>
        <v>39.457999999999998</v>
      </c>
      <c r="J39" s="2">
        <f t="shared" si="9"/>
        <v>53.915999999999997</v>
      </c>
    </row>
    <row r="40" spans="1:10" ht="18.75" customHeight="1" x14ac:dyDescent="0.25">
      <c r="A40" s="25" t="s">
        <v>20</v>
      </c>
      <c r="B40" s="2"/>
      <c r="C40" s="2"/>
      <c r="D40" s="2">
        <v>10</v>
      </c>
      <c r="E40" s="2">
        <v>15</v>
      </c>
      <c r="F40" s="2"/>
      <c r="G40" s="2"/>
      <c r="H40" s="2">
        <f t="shared" si="7"/>
        <v>4.4579999999999984</v>
      </c>
      <c r="I40" s="2">
        <f t="shared" si="8"/>
        <v>24.457999999999998</v>
      </c>
      <c r="J40" s="2">
        <f t="shared" si="9"/>
        <v>28.915999999999997</v>
      </c>
    </row>
    <row r="41" spans="1:10" ht="18.75" customHeight="1" x14ac:dyDescent="0.25">
      <c r="A41" s="25" t="s">
        <v>21</v>
      </c>
      <c r="B41" s="2">
        <v>2.5</v>
      </c>
      <c r="C41" s="2">
        <v>2.5</v>
      </c>
      <c r="D41" s="2"/>
      <c r="E41" s="2"/>
      <c r="F41" s="2"/>
      <c r="G41" s="2"/>
      <c r="H41" s="2">
        <f t="shared" si="7"/>
        <v>6.9579999999999984</v>
      </c>
      <c r="I41" s="2">
        <f t="shared" si="8"/>
        <v>26.957999999999998</v>
      </c>
      <c r="J41" s="2">
        <f t="shared" si="9"/>
        <v>33.915999999999997</v>
      </c>
    </row>
    <row r="42" spans="1:10" ht="18.75" customHeight="1" x14ac:dyDescent="0.25">
      <c r="A42" s="25" t="s">
        <v>24</v>
      </c>
      <c r="B42" s="2"/>
      <c r="C42" s="2"/>
      <c r="D42" s="2"/>
      <c r="E42" s="2"/>
      <c r="F42" s="2"/>
      <c r="G42" s="2">
        <v>1</v>
      </c>
      <c r="H42" s="2">
        <f t="shared" si="7"/>
        <v>6.9579999999999984</v>
      </c>
      <c r="I42" s="2">
        <f t="shared" si="8"/>
        <v>26.957999999999998</v>
      </c>
      <c r="J42" s="2">
        <f t="shared" si="9"/>
        <v>33.915999999999997</v>
      </c>
    </row>
    <row r="43" spans="1:10" ht="18.75" customHeight="1" x14ac:dyDescent="0.25">
      <c r="A43" s="25" t="s">
        <v>22</v>
      </c>
      <c r="B43" s="2">
        <v>1.25</v>
      </c>
      <c r="C43" s="2">
        <v>1.25</v>
      </c>
      <c r="D43" s="2"/>
      <c r="E43" s="2"/>
      <c r="F43" s="2"/>
      <c r="G43" s="2"/>
      <c r="H43" s="2">
        <f t="shared" si="7"/>
        <v>8.2079999999999984</v>
      </c>
      <c r="I43" s="2">
        <f t="shared" si="8"/>
        <v>28.207999999999998</v>
      </c>
      <c r="J43" s="2">
        <f t="shared" si="9"/>
        <v>36.415999999999997</v>
      </c>
    </row>
    <row r="44" spans="1:10" ht="18.75" customHeight="1" x14ac:dyDescent="0.25">
      <c r="A44" s="25" t="s">
        <v>23</v>
      </c>
      <c r="B44" s="2"/>
      <c r="C44" s="2"/>
      <c r="D44" s="2"/>
      <c r="E44" s="2"/>
      <c r="F44" s="2">
        <v>2</v>
      </c>
      <c r="G44" s="2"/>
      <c r="H44" s="2">
        <f t="shared" si="7"/>
        <v>6.2079999999999984</v>
      </c>
      <c r="I44" s="2">
        <f t="shared" si="8"/>
        <v>28.207999999999998</v>
      </c>
      <c r="J44" s="2">
        <f t="shared" si="9"/>
        <v>34.415999999999997</v>
      </c>
    </row>
    <row r="45" spans="1:10" ht="18.75" customHeight="1" x14ac:dyDescent="0.25">
      <c r="A45" s="25" t="s">
        <v>25</v>
      </c>
      <c r="B45" s="2">
        <v>1.25</v>
      </c>
      <c r="C45" s="2">
        <v>1.25</v>
      </c>
      <c r="D45" s="2"/>
      <c r="E45" s="2"/>
      <c r="F45" s="2"/>
      <c r="G45" s="2"/>
      <c r="H45" s="2">
        <f t="shared" si="7"/>
        <v>7.4579999999999984</v>
      </c>
      <c r="I45" s="2">
        <f t="shared" si="8"/>
        <v>29.457999999999998</v>
      </c>
      <c r="J45" s="2">
        <f t="shared" si="9"/>
        <v>36.915999999999997</v>
      </c>
    </row>
    <row r="46" spans="1:10" ht="18.75" customHeight="1" x14ac:dyDescent="0.25">
      <c r="A46" s="25" t="s">
        <v>50</v>
      </c>
      <c r="B46" s="2"/>
      <c r="C46" s="2"/>
      <c r="D46" s="2"/>
      <c r="E46" s="2"/>
      <c r="F46" s="2">
        <v>1</v>
      </c>
      <c r="G46" s="2"/>
      <c r="H46" s="2">
        <f t="shared" si="7"/>
        <v>6.4579999999999984</v>
      </c>
      <c r="I46" s="2">
        <f t="shared" si="8"/>
        <v>29.457999999999998</v>
      </c>
      <c r="J46" s="2">
        <f t="shared" si="9"/>
        <v>35.915999999999997</v>
      </c>
    </row>
    <row r="47" spans="1:10" ht="18.75" customHeight="1" x14ac:dyDescent="0.25">
      <c r="A47" s="25" t="s">
        <v>26</v>
      </c>
      <c r="B47" s="2">
        <v>1.25</v>
      </c>
      <c r="C47" s="2">
        <v>1.25</v>
      </c>
      <c r="D47" s="2"/>
      <c r="E47" s="2"/>
      <c r="F47" s="2"/>
      <c r="G47" s="2"/>
      <c r="H47" s="2">
        <f t="shared" si="7"/>
        <v>7.7079999999999984</v>
      </c>
      <c r="I47" s="2">
        <f t="shared" si="8"/>
        <v>30.707999999999998</v>
      </c>
      <c r="J47" s="2">
        <f t="shared" si="9"/>
        <v>38.415999999999997</v>
      </c>
    </row>
    <row r="48" spans="1:10" ht="18.75" customHeight="1" x14ac:dyDescent="0.25">
      <c r="A48" s="25" t="s">
        <v>28</v>
      </c>
      <c r="B48" s="2"/>
      <c r="C48" s="2"/>
      <c r="D48" s="2"/>
      <c r="E48" s="2"/>
      <c r="F48" s="2"/>
      <c r="G48" s="2">
        <v>1</v>
      </c>
      <c r="H48" s="2">
        <f t="shared" si="7"/>
        <v>7.7079999999999984</v>
      </c>
      <c r="I48" s="2">
        <f t="shared" si="8"/>
        <v>30.707999999999998</v>
      </c>
      <c r="J48" s="2">
        <f t="shared" si="9"/>
        <v>38.415999999999997</v>
      </c>
    </row>
    <row r="49" spans="1:10" ht="18.75" customHeight="1" x14ac:dyDescent="0.25">
      <c r="A49" s="25" t="s">
        <v>51</v>
      </c>
      <c r="B49" s="2">
        <f>5*1.25</f>
        <v>6.25</v>
      </c>
      <c r="C49" s="2">
        <v>6.25</v>
      </c>
      <c r="D49" s="2"/>
      <c r="E49" s="2"/>
      <c r="F49" s="2"/>
      <c r="G49" s="2"/>
      <c r="H49" s="2">
        <f t="shared" si="7"/>
        <v>13.957999999999998</v>
      </c>
      <c r="I49" s="2">
        <f t="shared" si="8"/>
        <v>36.957999999999998</v>
      </c>
      <c r="J49" s="2">
        <f t="shared" si="9"/>
        <v>50.915999999999997</v>
      </c>
    </row>
    <row r="50" spans="1:10" ht="18.75" customHeight="1" x14ac:dyDescent="0.25">
      <c r="A50" s="25" t="s">
        <v>52</v>
      </c>
      <c r="B50" s="32"/>
      <c r="C50" s="32"/>
      <c r="D50" s="32"/>
      <c r="E50" s="32"/>
      <c r="F50" s="33">
        <v>2</v>
      </c>
      <c r="G50" s="32"/>
      <c r="H50" s="2">
        <f t="shared" si="7"/>
        <v>11.957999999999998</v>
      </c>
      <c r="I50" s="2">
        <f t="shared" si="8"/>
        <v>36.957999999999998</v>
      </c>
      <c r="J50" s="2">
        <f t="shared" si="9"/>
        <v>48.915999999999997</v>
      </c>
    </row>
    <row r="51" spans="1:10" ht="15.75" x14ac:dyDescent="0.25">
      <c r="A51" s="25" t="s">
        <v>53</v>
      </c>
      <c r="B51" s="24">
        <v>2.5</v>
      </c>
      <c r="C51" s="24">
        <v>2.5</v>
      </c>
      <c r="D51" s="24"/>
      <c r="E51" s="24"/>
      <c r="F51" s="24"/>
      <c r="G51" s="24"/>
      <c r="H51" s="2">
        <f t="shared" si="7"/>
        <v>14.457999999999998</v>
      </c>
      <c r="I51" s="2">
        <f t="shared" si="8"/>
        <v>39.457999999999998</v>
      </c>
      <c r="J51" s="2">
        <f t="shared" si="9"/>
        <v>53.915999999999997</v>
      </c>
    </row>
    <row r="52" spans="1:10" ht="15.75" x14ac:dyDescent="0.25">
      <c r="A52" s="25" t="s">
        <v>54</v>
      </c>
      <c r="B52" s="24"/>
      <c r="C52" s="24"/>
      <c r="D52" s="24">
        <v>8</v>
      </c>
      <c r="E52" s="24">
        <v>21</v>
      </c>
      <c r="F52" s="24"/>
      <c r="G52" s="24"/>
      <c r="H52" s="2">
        <f t="shared" si="7"/>
        <v>6.4579999999999984</v>
      </c>
      <c r="I52" s="2">
        <f t="shared" si="8"/>
        <v>18.457999999999998</v>
      </c>
      <c r="J52" s="2">
        <f t="shared" si="9"/>
        <v>24.915999999999997</v>
      </c>
    </row>
    <row r="53" spans="1:10" ht="15.75" x14ac:dyDescent="0.25">
      <c r="A53" s="25" t="s">
        <v>59</v>
      </c>
      <c r="B53" s="24"/>
      <c r="C53" s="24"/>
      <c r="D53" s="24"/>
      <c r="E53" s="24"/>
      <c r="F53" s="24">
        <v>1</v>
      </c>
      <c r="G53" s="24"/>
      <c r="H53" s="2">
        <f t="shared" ref="H53:H70" si="10">H52-F53-D53+B53</f>
        <v>5.4579999999999984</v>
      </c>
      <c r="I53" s="2">
        <f t="shared" ref="I53:I70" si="11">I52-E53+C53</f>
        <v>18.457999999999998</v>
      </c>
      <c r="J53" s="2">
        <f t="shared" ref="J53:J70" si="12">SUM(H53:I53)</f>
        <v>23.915999999999997</v>
      </c>
    </row>
    <row r="54" spans="1:10" ht="15.75" x14ac:dyDescent="0.25">
      <c r="A54" s="25" t="s">
        <v>83</v>
      </c>
      <c r="B54" s="24">
        <v>2.5</v>
      </c>
      <c r="C54" s="24">
        <v>2.5</v>
      </c>
      <c r="D54" s="26"/>
      <c r="E54" s="26"/>
      <c r="F54" s="26"/>
      <c r="G54" s="26"/>
      <c r="H54" s="2">
        <f t="shared" si="10"/>
        <v>7.9579999999999984</v>
      </c>
      <c r="I54" s="2">
        <f t="shared" si="11"/>
        <v>20.957999999999998</v>
      </c>
      <c r="J54" s="2">
        <f t="shared" si="12"/>
        <v>28.915999999999997</v>
      </c>
    </row>
    <row r="55" spans="1:10" ht="15.75" x14ac:dyDescent="0.25">
      <c r="A55" s="25" t="s">
        <v>60</v>
      </c>
      <c r="B55" s="24"/>
      <c r="C55" s="24"/>
      <c r="D55" s="26"/>
      <c r="E55" s="26"/>
      <c r="F55" s="26"/>
      <c r="G55" s="24">
        <v>1</v>
      </c>
      <c r="H55" s="2">
        <f t="shared" si="10"/>
        <v>7.9579999999999984</v>
      </c>
      <c r="I55" s="2">
        <f t="shared" si="11"/>
        <v>20.957999999999998</v>
      </c>
      <c r="J55" s="2">
        <f t="shared" si="12"/>
        <v>28.915999999999997</v>
      </c>
    </row>
    <row r="56" spans="1:10" ht="15.75" x14ac:dyDescent="0.25">
      <c r="A56" s="25" t="s">
        <v>70</v>
      </c>
      <c r="B56" s="24">
        <v>1.25</v>
      </c>
      <c r="C56" s="24">
        <v>1.25</v>
      </c>
      <c r="D56" s="26"/>
      <c r="E56" s="26"/>
      <c r="F56" s="26"/>
      <c r="G56" s="24"/>
      <c r="H56" s="2">
        <f t="shared" si="10"/>
        <v>9.2079999999999984</v>
      </c>
      <c r="I56" s="2">
        <f t="shared" si="11"/>
        <v>22.207999999999998</v>
      </c>
      <c r="J56" s="2">
        <f t="shared" si="12"/>
        <v>31.415999999999997</v>
      </c>
    </row>
    <row r="57" spans="1:10" ht="15.75" x14ac:dyDescent="0.25">
      <c r="A57" s="25" t="s">
        <v>71</v>
      </c>
      <c r="B57" s="24"/>
      <c r="C57" s="24"/>
      <c r="D57" s="26"/>
      <c r="E57" s="26"/>
      <c r="F57" s="26"/>
      <c r="G57" s="24">
        <v>1</v>
      </c>
      <c r="H57" s="2">
        <f t="shared" si="10"/>
        <v>9.2079999999999984</v>
      </c>
      <c r="I57" s="2">
        <f t="shared" si="11"/>
        <v>22.207999999999998</v>
      </c>
      <c r="J57" s="2">
        <f t="shared" si="12"/>
        <v>31.415999999999997</v>
      </c>
    </row>
    <row r="58" spans="1:10" ht="15.75" x14ac:dyDescent="0.25">
      <c r="A58" s="25" t="s">
        <v>72</v>
      </c>
      <c r="B58" s="24"/>
      <c r="C58" s="24"/>
      <c r="D58" s="26"/>
      <c r="E58" s="26"/>
      <c r="F58" s="27">
        <v>1</v>
      </c>
      <c r="G58" s="24"/>
      <c r="H58" s="2">
        <f t="shared" si="10"/>
        <v>8.2079999999999984</v>
      </c>
      <c r="I58" s="2">
        <f t="shared" si="11"/>
        <v>22.207999999999998</v>
      </c>
      <c r="J58" s="2">
        <f t="shared" si="12"/>
        <v>30.415999999999997</v>
      </c>
    </row>
    <row r="59" spans="1:10" ht="15.75" x14ac:dyDescent="0.25">
      <c r="A59" s="25" t="s">
        <v>73</v>
      </c>
      <c r="B59" s="24">
        <v>1.25</v>
      </c>
      <c r="C59" s="24">
        <v>1.25</v>
      </c>
      <c r="D59" s="26"/>
      <c r="E59" s="26"/>
      <c r="F59" s="27"/>
      <c r="G59" s="24"/>
      <c r="H59" s="2">
        <f t="shared" si="10"/>
        <v>9.4579999999999984</v>
      </c>
      <c r="I59" s="2">
        <f t="shared" si="11"/>
        <v>23.457999999999998</v>
      </c>
      <c r="J59" s="2">
        <f t="shared" si="12"/>
        <v>32.915999999999997</v>
      </c>
    </row>
    <row r="60" spans="1:10" ht="15.75" x14ac:dyDescent="0.25">
      <c r="A60" s="25" t="s">
        <v>82</v>
      </c>
      <c r="B60" s="24"/>
      <c r="C60" s="24"/>
      <c r="D60" s="26"/>
      <c r="E60" s="26"/>
      <c r="F60" s="27">
        <v>1</v>
      </c>
      <c r="G60" s="24"/>
      <c r="H60" s="2">
        <f t="shared" si="10"/>
        <v>8.4579999999999984</v>
      </c>
      <c r="I60" s="2">
        <f t="shared" si="11"/>
        <v>23.457999999999998</v>
      </c>
      <c r="J60" s="2">
        <f t="shared" si="12"/>
        <v>31.915999999999997</v>
      </c>
    </row>
    <row r="61" spans="1:10" ht="15.75" x14ac:dyDescent="0.25">
      <c r="A61" s="25" t="s">
        <v>74</v>
      </c>
      <c r="B61" s="24">
        <v>2.5</v>
      </c>
      <c r="C61" s="24">
        <v>2.5</v>
      </c>
      <c r="D61" s="26"/>
      <c r="E61" s="26"/>
      <c r="F61" s="26"/>
      <c r="G61" s="24"/>
      <c r="H61" s="2">
        <f t="shared" si="10"/>
        <v>10.957999999999998</v>
      </c>
      <c r="I61" s="2">
        <f t="shared" si="11"/>
        <v>25.957999999999998</v>
      </c>
      <c r="J61" s="2">
        <f t="shared" si="12"/>
        <v>36.915999999999997</v>
      </c>
    </row>
    <row r="62" spans="1:10" ht="15.75" x14ac:dyDescent="0.25">
      <c r="A62" s="25" t="s">
        <v>75</v>
      </c>
      <c r="B62" s="24"/>
      <c r="C62" s="24"/>
      <c r="D62" s="27"/>
      <c r="E62" s="27"/>
      <c r="F62" s="27">
        <v>1</v>
      </c>
      <c r="G62" s="24"/>
      <c r="H62" s="2">
        <f t="shared" si="10"/>
        <v>9.9579999999999984</v>
      </c>
      <c r="I62" s="2">
        <f t="shared" si="11"/>
        <v>25.957999999999998</v>
      </c>
      <c r="J62" s="2">
        <f t="shared" si="12"/>
        <v>35.915999999999997</v>
      </c>
    </row>
    <row r="63" spans="1:10" ht="15.75" x14ac:dyDescent="0.25">
      <c r="A63" s="25" t="s">
        <v>76</v>
      </c>
      <c r="B63" s="24"/>
      <c r="C63" s="24"/>
      <c r="D63" s="27">
        <v>1</v>
      </c>
      <c r="E63" s="27"/>
      <c r="F63" s="27"/>
      <c r="G63" s="24"/>
      <c r="H63" s="2">
        <f t="shared" si="10"/>
        <v>8.9579999999999984</v>
      </c>
      <c r="I63" s="2">
        <f t="shared" si="11"/>
        <v>25.957999999999998</v>
      </c>
      <c r="J63" s="2">
        <f t="shared" si="12"/>
        <v>34.915999999999997</v>
      </c>
    </row>
    <row r="64" spans="1:10" ht="15.75" x14ac:dyDescent="0.25">
      <c r="A64" s="25" t="s">
        <v>77</v>
      </c>
      <c r="B64" s="24">
        <v>3.75</v>
      </c>
      <c r="C64" s="24">
        <v>3.75</v>
      </c>
      <c r="D64" s="27"/>
      <c r="E64" s="27"/>
      <c r="F64" s="27"/>
      <c r="G64" s="24"/>
      <c r="H64" s="2">
        <f t="shared" si="10"/>
        <v>12.707999999999998</v>
      </c>
      <c r="I64" s="2">
        <f t="shared" si="11"/>
        <v>29.707999999999998</v>
      </c>
      <c r="J64" s="2">
        <f t="shared" si="12"/>
        <v>42.415999999999997</v>
      </c>
    </row>
    <row r="65" spans="1:10" ht="15.75" x14ac:dyDescent="0.25">
      <c r="A65" s="25" t="s">
        <v>78</v>
      </c>
      <c r="B65" s="24"/>
      <c r="C65" s="24"/>
      <c r="D65" s="27"/>
      <c r="E65" s="27"/>
      <c r="F65" s="27">
        <v>1</v>
      </c>
      <c r="G65" s="24"/>
      <c r="H65" s="2">
        <f t="shared" si="10"/>
        <v>11.707999999999998</v>
      </c>
      <c r="I65" s="2">
        <f t="shared" si="11"/>
        <v>29.707999999999998</v>
      </c>
      <c r="J65" s="2">
        <f t="shared" si="12"/>
        <v>41.415999999999997</v>
      </c>
    </row>
    <row r="66" spans="1:10" ht="15.75" x14ac:dyDescent="0.25">
      <c r="A66" s="25" t="s">
        <v>79</v>
      </c>
      <c r="B66" s="24"/>
      <c r="C66" s="24"/>
      <c r="D66" s="27"/>
      <c r="E66" s="27"/>
      <c r="F66" s="27">
        <v>1</v>
      </c>
      <c r="G66" s="24"/>
      <c r="H66" s="2">
        <f t="shared" si="10"/>
        <v>10.707999999999998</v>
      </c>
      <c r="I66" s="2">
        <f t="shared" si="11"/>
        <v>29.707999999999998</v>
      </c>
      <c r="J66" s="2">
        <f t="shared" si="12"/>
        <v>40.415999999999997</v>
      </c>
    </row>
    <row r="67" spans="1:10" ht="15.75" x14ac:dyDescent="0.25">
      <c r="A67" s="25" t="s">
        <v>80</v>
      </c>
      <c r="B67" s="24">
        <v>1.25</v>
      </c>
      <c r="C67" s="24">
        <v>1.25</v>
      </c>
      <c r="D67" s="27"/>
      <c r="E67" s="27"/>
      <c r="F67" s="27"/>
      <c r="G67" s="24"/>
      <c r="H67" s="2">
        <f t="shared" si="10"/>
        <v>11.957999999999998</v>
      </c>
      <c r="I67" s="2">
        <f t="shared" si="11"/>
        <v>30.957999999999998</v>
      </c>
      <c r="J67" s="2">
        <f t="shared" si="12"/>
        <v>42.915999999999997</v>
      </c>
    </row>
    <row r="68" spans="1:10" ht="15.75" x14ac:dyDescent="0.25">
      <c r="A68" s="25" t="s">
        <v>81</v>
      </c>
      <c r="B68" s="24"/>
      <c r="C68" s="24"/>
      <c r="D68" s="27"/>
      <c r="E68" s="27"/>
      <c r="F68" s="27">
        <v>1</v>
      </c>
      <c r="G68" s="24"/>
      <c r="H68" s="2">
        <f t="shared" si="10"/>
        <v>10.957999999999998</v>
      </c>
      <c r="I68" s="2">
        <f t="shared" si="11"/>
        <v>30.957999999999998</v>
      </c>
      <c r="J68" s="2">
        <f t="shared" si="12"/>
        <v>41.915999999999997</v>
      </c>
    </row>
    <row r="69" spans="1:10" ht="15.75" x14ac:dyDescent="0.25">
      <c r="A69" s="25" t="s">
        <v>86</v>
      </c>
      <c r="B69" s="24">
        <v>5</v>
      </c>
      <c r="C69" s="24">
        <v>5</v>
      </c>
      <c r="D69" s="27"/>
      <c r="E69" s="27"/>
      <c r="F69" s="27"/>
      <c r="G69" s="24"/>
      <c r="H69" s="2">
        <f t="shared" si="10"/>
        <v>15.957999999999998</v>
      </c>
      <c r="I69" s="2">
        <f t="shared" si="11"/>
        <v>35.957999999999998</v>
      </c>
      <c r="J69" s="2">
        <f t="shared" si="12"/>
        <v>51.915999999999997</v>
      </c>
    </row>
    <row r="70" spans="1:10" ht="15.75" x14ac:dyDescent="0.25">
      <c r="A70" s="25" t="s">
        <v>87</v>
      </c>
      <c r="B70" s="24"/>
      <c r="C70" s="24"/>
      <c r="D70" s="27"/>
      <c r="E70" s="27"/>
      <c r="F70" s="27"/>
      <c r="G70" s="24">
        <v>1</v>
      </c>
      <c r="H70" s="2">
        <f t="shared" si="10"/>
        <v>15.957999999999998</v>
      </c>
      <c r="I70" s="2">
        <f t="shared" si="11"/>
        <v>35.957999999999998</v>
      </c>
      <c r="J70" s="2">
        <f t="shared" si="12"/>
        <v>51.915999999999997</v>
      </c>
    </row>
    <row r="71" spans="1:10" ht="15.75" x14ac:dyDescent="0.25">
      <c r="A71" s="25" t="s">
        <v>93</v>
      </c>
      <c r="B71" s="24"/>
      <c r="C71" s="24"/>
      <c r="D71" s="27">
        <v>10</v>
      </c>
      <c r="E71" s="27"/>
      <c r="F71" s="27"/>
      <c r="G71" s="24"/>
      <c r="H71" s="2">
        <f t="shared" ref="H71" si="13">H70-F71-D71+B71</f>
        <v>5.9579999999999984</v>
      </c>
      <c r="I71" s="2">
        <f t="shared" ref="I71" si="14">I70-E71+C71</f>
        <v>35.957999999999998</v>
      </c>
      <c r="J71" s="2">
        <f t="shared" ref="J71" si="15">SUM(H71:I71)</f>
        <v>41.915999999999997</v>
      </c>
    </row>
    <row r="72" spans="1:10" ht="15.75" hidden="1" x14ac:dyDescent="0.25">
      <c r="A72" s="25"/>
      <c r="B72" s="24"/>
      <c r="C72" s="24"/>
      <c r="D72" s="27"/>
      <c r="E72" s="27"/>
      <c r="F72" s="27"/>
      <c r="G72" s="24"/>
      <c r="H72" s="2">
        <f t="shared" ref="H72:H75" si="16">H71-F72-D72+B72</f>
        <v>5.9579999999999984</v>
      </c>
      <c r="I72" s="2">
        <f t="shared" ref="I72:I75" si="17">I71-E72+C72</f>
        <v>35.957999999999998</v>
      </c>
      <c r="J72" s="2">
        <f t="shared" ref="J72:J75" si="18">SUM(H72:I72)</f>
        <v>41.915999999999997</v>
      </c>
    </row>
    <row r="73" spans="1:10" ht="15.75" x14ac:dyDescent="0.25">
      <c r="A73" s="25" t="s">
        <v>94</v>
      </c>
      <c r="B73" s="24">
        <v>1.25</v>
      </c>
      <c r="C73" s="24">
        <v>1.25</v>
      </c>
      <c r="D73" s="27"/>
      <c r="E73" s="27"/>
      <c r="F73" s="27"/>
      <c r="G73" s="24"/>
      <c r="H73" s="2">
        <f t="shared" si="16"/>
        <v>7.2079999999999984</v>
      </c>
      <c r="I73" s="2">
        <f t="shared" si="17"/>
        <v>37.207999999999998</v>
      </c>
      <c r="J73" s="2">
        <f t="shared" si="18"/>
        <v>44.415999999999997</v>
      </c>
    </row>
    <row r="74" spans="1:10" ht="15.75" x14ac:dyDescent="0.25">
      <c r="A74" s="25" t="s">
        <v>95</v>
      </c>
      <c r="B74" s="24"/>
      <c r="C74" s="24"/>
      <c r="D74" s="27"/>
      <c r="E74" s="27"/>
      <c r="F74" s="27"/>
      <c r="G74" s="24">
        <v>2</v>
      </c>
      <c r="H74" s="2">
        <f t="shared" si="16"/>
        <v>7.2079999999999984</v>
      </c>
      <c r="I74" s="2">
        <f t="shared" si="17"/>
        <v>37.207999999999998</v>
      </c>
      <c r="J74" s="2">
        <f t="shared" si="18"/>
        <v>44.415999999999997</v>
      </c>
    </row>
    <row r="75" spans="1:10" ht="15.75" x14ac:dyDescent="0.25">
      <c r="A75" s="25" t="s">
        <v>96</v>
      </c>
      <c r="B75" s="24"/>
      <c r="C75" s="24"/>
      <c r="D75" s="27"/>
      <c r="E75" s="27"/>
      <c r="F75" s="27">
        <v>1</v>
      </c>
      <c r="G75" s="24"/>
      <c r="H75" s="2">
        <f t="shared" si="16"/>
        <v>6.2079999999999984</v>
      </c>
      <c r="I75" s="2">
        <f t="shared" si="17"/>
        <v>37.207999999999998</v>
      </c>
      <c r="J75" s="2">
        <f t="shared" si="18"/>
        <v>43.415999999999997</v>
      </c>
    </row>
    <row r="76" spans="1:10" ht="15.75" x14ac:dyDescent="0.25">
      <c r="A76" s="25" t="s">
        <v>97</v>
      </c>
      <c r="B76" s="24">
        <v>1.25</v>
      </c>
      <c r="C76" s="24">
        <v>1.25</v>
      </c>
      <c r="D76" s="27"/>
      <c r="E76" s="27"/>
      <c r="F76" s="27"/>
      <c r="G76" s="24"/>
      <c r="H76" s="2">
        <f t="shared" ref="H76:H78" si="19">H75-F76-D76+B76</f>
        <v>7.4579999999999984</v>
      </c>
      <c r="I76" s="2">
        <f t="shared" ref="I76:I78" si="20">I75-E76+C76</f>
        <v>38.457999999999998</v>
      </c>
      <c r="J76" s="2">
        <f t="shared" ref="J76:J78" si="21">SUM(H76:I76)</f>
        <v>45.915999999999997</v>
      </c>
    </row>
    <row r="77" spans="1:10" ht="15.75" x14ac:dyDescent="0.25">
      <c r="A77" s="25" t="s">
        <v>98</v>
      </c>
      <c r="B77" s="24">
        <v>1.25</v>
      </c>
      <c r="C77" s="24">
        <v>1.25</v>
      </c>
      <c r="D77" s="27"/>
      <c r="E77" s="27"/>
      <c r="F77" s="27"/>
      <c r="G77" s="24"/>
      <c r="H77" s="2">
        <f t="shared" si="19"/>
        <v>8.7079999999999984</v>
      </c>
      <c r="I77" s="2">
        <f t="shared" si="20"/>
        <v>39.707999999999998</v>
      </c>
      <c r="J77" s="2">
        <f t="shared" si="21"/>
        <v>48.415999999999997</v>
      </c>
    </row>
    <row r="78" spans="1:10" ht="15.75" x14ac:dyDescent="0.25">
      <c r="A78" s="25" t="s">
        <v>99</v>
      </c>
      <c r="B78" s="24"/>
      <c r="C78" s="24"/>
      <c r="D78" s="27"/>
      <c r="E78" s="27">
        <v>1</v>
      </c>
      <c r="F78" s="27"/>
      <c r="G78" s="24"/>
      <c r="H78" s="2">
        <f t="shared" si="19"/>
        <v>8.7079999999999984</v>
      </c>
      <c r="I78" s="2">
        <f t="shared" si="20"/>
        <v>38.707999999999998</v>
      </c>
      <c r="J78" s="2">
        <f t="shared" si="21"/>
        <v>47.415999999999997</v>
      </c>
    </row>
    <row r="79" spans="1:10" ht="15.75" x14ac:dyDescent="0.25">
      <c r="A79" s="25" t="s">
        <v>103</v>
      </c>
      <c r="B79" s="24">
        <v>5</v>
      </c>
      <c r="C79" s="24">
        <v>5</v>
      </c>
      <c r="D79" s="27"/>
      <c r="E79" s="27"/>
      <c r="F79" s="27"/>
      <c r="G79" s="24"/>
      <c r="H79" s="2">
        <f t="shared" ref="H79" si="22">H78-F79-D79+B79</f>
        <v>13.707999999999998</v>
      </c>
      <c r="I79" s="2">
        <f t="shared" ref="I79" si="23">I78-E79+C79</f>
        <v>43.707999999999998</v>
      </c>
      <c r="J79" s="2">
        <f t="shared" ref="J79" si="24">SUM(H79:I79)</f>
        <v>57.415999999999997</v>
      </c>
    </row>
    <row r="80" spans="1:10" ht="15.75" x14ac:dyDescent="0.25">
      <c r="A80" s="25" t="s">
        <v>104</v>
      </c>
      <c r="B80" s="24"/>
      <c r="C80" s="24"/>
      <c r="D80" s="27">
        <v>8.7080000000000002</v>
      </c>
      <c r="E80" s="27">
        <v>21.292000000000002</v>
      </c>
      <c r="F80" s="27"/>
      <c r="G80" s="24"/>
      <c r="H80" s="2">
        <f t="shared" ref="H80" si="25">H79-F80-D80+B80</f>
        <v>4.9999999999999982</v>
      </c>
      <c r="I80" s="2">
        <f t="shared" ref="I80" si="26">I79-E80+C80</f>
        <v>22.415999999999997</v>
      </c>
      <c r="J80" s="2">
        <f t="shared" ref="J80" si="27">SUM(H80:I80)</f>
        <v>27.415999999999997</v>
      </c>
    </row>
    <row r="81" spans="1:11" ht="31.5" x14ac:dyDescent="0.25">
      <c r="A81" s="34" t="s">
        <v>105</v>
      </c>
      <c r="B81" s="24"/>
      <c r="C81" s="24"/>
      <c r="D81" s="27"/>
      <c r="E81" s="27"/>
      <c r="F81" s="27"/>
      <c r="G81" s="24"/>
      <c r="H81" s="2">
        <f t="shared" ref="H81" si="28">H80-F81-D81+B81</f>
        <v>4.9999999999999982</v>
      </c>
      <c r="I81" s="2">
        <f t="shared" ref="I81" si="29">I80-E81+C81</f>
        <v>22.415999999999997</v>
      </c>
      <c r="J81" s="2">
        <f t="shared" ref="J81" si="30">SUM(H81:I81)</f>
        <v>27.415999999999997</v>
      </c>
    </row>
    <row r="82" spans="1:11" ht="15.75" x14ac:dyDescent="0.25">
      <c r="A82" s="34" t="s">
        <v>106</v>
      </c>
      <c r="B82" s="24"/>
      <c r="C82" s="24"/>
      <c r="D82" s="27"/>
      <c r="E82" s="27"/>
      <c r="F82" s="35">
        <v>1</v>
      </c>
      <c r="G82" s="24"/>
      <c r="H82" s="2">
        <f t="shared" ref="H82" si="31">H81-F82-D82+B82</f>
        <v>3.9999999999999982</v>
      </c>
      <c r="I82" s="2">
        <f t="shared" ref="I82" si="32">I81-E82+C82</f>
        <v>22.415999999999997</v>
      </c>
      <c r="J82" s="2">
        <f t="shared" ref="J82" si="33">SUM(H82:I82)</f>
        <v>26.415999999999997</v>
      </c>
    </row>
    <row r="83" spans="1:11" ht="15.75" x14ac:dyDescent="0.25">
      <c r="A83" s="34" t="s">
        <v>107</v>
      </c>
      <c r="B83" s="24">
        <v>1.25</v>
      </c>
      <c r="C83" s="24">
        <v>1.25</v>
      </c>
      <c r="D83" s="27"/>
      <c r="E83" s="27"/>
      <c r="F83" s="27"/>
      <c r="G83" s="24"/>
      <c r="H83" s="2">
        <f t="shared" ref="H83:H84" si="34">H82-F83-D83+B83</f>
        <v>5.2499999999999982</v>
      </c>
      <c r="I83" s="2">
        <f t="shared" ref="I83:I84" si="35">I82-E83+C83</f>
        <v>23.665999999999997</v>
      </c>
      <c r="J83" s="2">
        <f t="shared" ref="J83:J84" si="36">SUM(H83:I83)</f>
        <v>28.915999999999997</v>
      </c>
    </row>
    <row r="84" spans="1:11" ht="15.75" x14ac:dyDescent="0.25">
      <c r="A84" s="34" t="s">
        <v>108</v>
      </c>
      <c r="B84" s="24"/>
      <c r="C84" s="24"/>
      <c r="D84" s="27"/>
      <c r="E84" s="27">
        <v>1</v>
      </c>
      <c r="F84" s="27"/>
      <c r="G84" s="24"/>
      <c r="H84" s="2">
        <f t="shared" si="34"/>
        <v>5.2499999999999982</v>
      </c>
      <c r="I84" s="2">
        <f t="shared" si="35"/>
        <v>22.665999999999997</v>
      </c>
      <c r="J84" s="2">
        <f t="shared" si="36"/>
        <v>27.915999999999997</v>
      </c>
    </row>
    <row r="85" spans="1:11" ht="15.75" x14ac:dyDescent="0.25">
      <c r="A85" s="34" t="s">
        <v>109</v>
      </c>
      <c r="B85" s="24">
        <v>2.5</v>
      </c>
      <c r="C85" s="24">
        <v>2.5</v>
      </c>
      <c r="D85" s="27"/>
      <c r="E85" s="27"/>
      <c r="F85" s="27"/>
      <c r="G85" s="24"/>
      <c r="H85" s="2">
        <f t="shared" ref="H85:H86" si="37">H84-F85-D85+B85</f>
        <v>7.7499999999999982</v>
      </c>
      <c r="I85" s="2">
        <f t="shared" ref="I85:I86" si="38">I84-E85+C85</f>
        <v>25.165999999999997</v>
      </c>
      <c r="J85" s="2">
        <f t="shared" ref="J85:J86" si="39">SUM(H85:I85)</f>
        <v>32.915999999999997</v>
      </c>
    </row>
    <row r="86" spans="1:11" ht="15.75" x14ac:dyDescent="0.25">
      <c r="A86" s="34" t="s">
        <v>110</v>
      </c>
      <c r="B86" s="24"/>
      <c r="C86" s="24"/>
      <c r="D86" s="27"/>
      <c r="E86" s="27"/>
      <c r="F86" s="35">
        <v>2</v>
      </c>
      <c r="G86" s="24"/>
      <c r="H86" s="2">
        <f t="shared" si="37"/>
        <v>5.7499999999999982</v>
      </c>
      <c r="I86" s="2">
        <f t="shared" si="38"/>
        <v>25.165999999999997</v>
      </c>
      <c r="J86" s="2">
        <f t="shared" si="39"/>
        <v>30.915999999999997</v>
      </c>
    </row>
    <row r="87" spans="1:11" ht="15.75" x14ac:dyDescent="0.25">
      <c r="A87" s="34" t="s">
        <v>111</v>
      </c>
      <c r="B87" s="24"/>
      <c r="C87" s="24"/>
      <c r="D87" s="27"/>
      <c r="E87" s="27"/>
      <c r="F87" s="27"/>
      <c r="G87" s="36">
        <v>1</v>
      </c>
      <c r="H87" s="2">
        <f t="shared" ref="H87" si="40">H86-F87-D87+B87</f>
        <v>5.7499999999999982</v>
      </c>
      <c r="I87" s="2">
        <f t="shared" ref="I87" si="41">I86-E87+C87</f>
        <v>25.165999999999997</v>
      </c>
      <c r="J87" s="2">
        <f t="shared" ref="J87" si="42">SUM(H87:I87)</f>
        <v>30.915999999999997</v>
      </c>
    </row>
    <row r="88" spans="1:11" s="80" customFormat="1" ht="15.75" x14ac:dyDescent="0.25">
      <c r="A88" s="81" t="s">
        <v>115</v>
      </c>
      <c r="B88" s="82">
        <v>2.5</v>
      </c>
      <c r="C88" s="82">
        <v>2.5</v>
      </c>
      <c r="D88" s="83"/>
      <c r="E88" s="83"/>
      <c r="F88" s="83"/>
      <c r="G88" s="82"/>
      <c r="H88" s="2">
        <f t="shared" ref="H88:H90" si="43">H87-F88-D88+B88</f>
        <v>8.2499999999999982</v>
      </c>
      <c r="I88" s="2">
        <f t="shared" ref="I88:I90" si="44">I87-E88+C88</f>
        <v>27.665999999999997</v>
      </c>
      <c r="J88" s="2">
        <f t="shared" ref="J88:J90" si="45">SUM(H88:I88)</f>
        <v>35.915999999999997</v>
      </c>
      <c r="K88" s="79"/>
    </row>
    <row r="89" spans="1:11" s="80" customFormat="1" ht="15.75" x14ac:dyDescent="0.25">
      <c r="A89" s="81" t="s">
        <v>116</v>
      </c>
      <c r="B89" s="82"/>
      <c r="C89" s="82"/>
      <c r="D89" s="83"/>
      <c r="E89" s="83"/>
      <c r="F89" s="35">
        <v>2</v>
      </c>
      <c r="G89" s="82"/>
      <c r="H89" s="2">
        <f t="shared" si="43"/>
        <v>6.2499999999999982</v>
      </c>
      <c r="I89" s="2">
        <f t="shared" si="44"/>
        <v>27.665999999999997</v>
      </c>
      <c r="J89" s="2">
        <f t="shared" si="45"/>
        <v>33.915999999999997</v>
      </c>
      <c r="K89" s="79"/>
    </row>
    <row r="90" spans="1:11" s="80" customFormat="1" ht="15.75" x14ac:dyDescent="0.25">
      <c r="A90" s="81" t="s">
        <v>117</v>
      </c>
      <c r="B90" s="82"/>
      <c r="C90" s="82"/>
      <c r="D90" s="83"/>
      <c r="E90" s="83"/>
      <c r="F90" s="83"/>
      <c r="G90" s="36">
        <v>1</v>
      </c>
      <c r="H90" s="2">
        <f t="shared" si="43"/>
        <v>6.2499999999999982</v>
      </c>
      <c r="I90" s="2">
        <f t="shared" si="44"/>
        <v>27.665999999999997</v>
      </c>
      <c r="J90" s="2">
        <f t="shared" si="45"/>
        <v>33.915999999999997</v>
      </c>
      <c r="K90" s="79"/>
    </row>
    <row r="91" spans="1:11" ht="15.75" x14ac:dyDescent="0.25">
      <c r="A91" s="28"/>
      <c r="B91" s="29"/>
      <c r="C91" s="29"/>
      <c r="D91" s="30"/>
      <c r="E91" s="30"/>
      <c r="F91" s="30"/>
      <c r="G91" s="29"/>
      <c r="H91" s="20"/>
      <c r="I91" s="20"/>
      <c r="J91" s="20"/>
    </row>
    <row r="92" spans="1:11" ht="15.75" x14ac:dyDescent="0.25">
      <c r="B92" s="19"/>
      <c r="C92" s="19"/>
      <c r="G92" s="19"/>
      <c r="H92" s="20"/>
      <c r="I92" s="20"/>
      <c r="J92" s="20"/>
    </row>
    <row r="93" spans="1:11" s="1" customFormat="1" ht="15.95" customHeight="1" x14ac:dyDescent="0.25">
      <c r="G93" s="1" t="s">
        <v>55</v>
      </c>
    </row>
    <row r="94" spans="1:11" s="1" customFormat="1" ht="15.95" customHeight="1" x14ac:dyDescent="0.25"/>
    <row r="95" spans="1:11" s="1" customFormat="1" ht="15.95" customHeight="1" x14ac:dyDescent="0.25">
      <c r="H95" s="18" t="s">
        <v>56</v>
      </c>
    </row>
    <row r="96" spans="1:11" s="1" customFormat="1" ht="15.95" customHeight="1" x14ac:dyDescent="0.25">
      <c r="H96" s="1" t="s">
        <v>57</v>
      </c>
    </row>
    <row r="97" spans="8:8" s="1" customFormat="1" ht="15.95" customHeight="1" x14ac:dyDescent="0.25">
      <c r="H97" s="1" t="s">
        <v>84</v>
      </c>
    </row>
  </sheetData>
  <mergeCells count="13">
    <mergeCell ref="A11:A12"/>
    <mergeCell ref="J11:J12"/>
    <mergeCell ref="B11:C11"/>
    <mergeCell ref="D11:G11"/>
    <mergeCell ref="K11:K12"/>
    <mergeCell ref="H11:I11"/>
    <mergeCell ref="B9:D9"/>
    <mergeCell ref="A10:J10"/>
    <mergeCell ref="A2:J2"/>
    <mergeCell ref="A3:J3"/>
    <mergeCell ref="A4:J4"/>
    <mergeCell ref="A5:J5"/>
    <mergeCell ref="B7:D7"/>
  </mergeCells>
  <printOptions horizontalCentered="1"/>
  <pageMargins left="0.19685039370078741" right="0.19685039370078741" top="0.62992125984251968" bottom="0.43307086614173229" header="0.31496062992125984" footer="0.31496062992125984"/>
  <pageSetup paperSize="9" scale="70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8"/>
  <sheetViews>
    <sheetView workbookViewId="0">
      <selection activeCell="D27" sqref="D27"/>
    </sheetView>
  </sheetViews>
  <sheetFormatPr defaultRowHeight="15" x14ac:dyDescent="0.25"/>
  <cols>
    <col min="1" max="1" width="21.5703125" customWidth="1"/>
    <col min="2" max="2" width="17.570312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45" t="s">
        <v>29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</row>
    <row r="6" spans="1:12" x14ac:dyDescent="0.25">
      <c r="A6" s="45" t="s">
        <v>30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</row>
    <row r="7" spans="1:12" x14ac:dyDescent="0.25">
      <c r="A7" s="45" t="s">
        <v>31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</row>
    <row r="8" spans="1:12" x14ac:dyDescent="0.25">
      <c r="A8" s="45" t="s">
        <v>32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 t="s">
        <v>33</v>
      </c>
      <c r="B10" s="1"/>
      <c r="C10" s="5" t="s">
        <v>34</v>
      </c>
      <c r="D10" s="5"/>
      <c r="E10" s="1"/>
      <c r="F10" s="1"/>
      <c r="G10" s="5" t="s">
        <v>9</v>
      </c>
      <c r="H10" s="8"/>
      <c r="I10" s="1"/>
      <c r="J10" s="1"/>
      <c r="K10" s="1"/>
      <c r="L10" s="1"/>
    </row>
    <row r="11" spans="1:12" x14ac:dyDescent="0.25">
      <c r="A11" s="1"/>
      <c r="B11" s="1"/>
      <c r="C11" s="3"/>
      <c r="D11" s="1"/>
      <c r="E11" s="1"/>
      <c r="F11" s="1"/>
      <c r="G11" s="3"/>
      <c r="H11" s="3"/>
      <c r="I11" s="1"/>
      <c r="J11" s="1"/>
      <c r="K11" s="1"/>
      <c r="L11" s="1"/>
    </row>
    <row r="12" spans="1:12" x14ac:dyDescent="0.25">
      <c r="A12" s="1" t="s">
        <v>35</v>
      </c>
      <c r="B12" s="1"/>
      <c r="C12" s="5" t="s">
        <v>36</v>
      </c>
      <c r="D12" s="5"/>
      <c r="E12" s="1"/>
      <c r="F12" s="1"/>
      <c r="G12" s="5" t="s">
        <v>10</v>
      </c>
      <c r="H12" s="6"/>
      <c r="I12" s="1"/>
      <c r="J12" s="1"/>
      <c r="K12" s="1"/>
      <c r="L12" s="1"/>
    </row>
    <row r="13" spans="1:12" ht="21.75" thickBot="1" x14ac:dyDescent="0.3">
      <c r="A13" s="64" t="s">
        <v>61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</row>
    <row r="14" spans="1:12" x14ac:dyDescent="0.25">
      <c r="A14" s="65" t="s">
        <v>4</v>
      </c>
      <c r="B14" s="67" t="s">
        <v>5</v>
      </c>
      <c r="C14" s="68"/>
      <c r="D14" s="68"/>
      <c r="E14" s="68"/>
      <c r="F14" s="68"/>
      <c r="G14" s="68"/>
      <c r="H14" s="68"/>
      <c r="I14" s="68"/>
      <c r="J14" s="68"/>
      <c r="K14" s="68"/>
      <c r="L14" s="69" t="s">
        <v>8</v>
      </c>
    </row>
    <row r="15" spans="1:12" x14ac:dyDescent="0.25">
      <c r="A15" s="66"/>
      <c r="B15" s="71" t="s">
        <v>62</v>
      </c>
      <c r="C15" s="72"/>
      <c r="D15" s="72"/>
      <c r="E15" s="73"/>
      <c r="F15" s="71" t="s">
        <v>63</v>
      </c>
      <c r="G15" s="73"/>
      <c r="H15" s="71" t="s">
        <v>64</v>
      </c>
      <c r="I15" s="73"/>
      <c r="J15" s="71" t="s">
        <v>65</v>
      </c>
      <c r="K15" s="73"/>
      <c r="L15" s="70"/>
    </row>
    <row r="16" spans="1:12" ht="29.25" hidden="1" customHeight="1" x14ac:dyDescent="0.25">
      <c r="A16" s="11" t="s">
        <v>67</v>
      </c>
      <c r="B16" s="59" t="s">
        <v>68</v>
      </c>
      <c r="C16" s="77"/>
      <c r="D16" s="77"/>
      <c r="E16" s="60"/>
      <c r="F16" s="59">
        <v>1</v>
      </c>
      <c r="G16" s="60"/>
      <c r="H16" s="59">
        <v>0</v>
      </c>
      <c r="I16" s="60"/>
      <c r="J16" s="59">
        <v>1</v>
      </c>
      <c r="K16" s="60"/>
      <c r="L16" s="12">
        <v>1</v>
      </c>
    </row>
    <row r="17" spans="1:12" ht="29.25" hidden="1" customHeight="1" x14ac:dyDescent="0.25">
      <c r="A17" s="11" t="s">
        <v>69</v>
      </c>
      <c r="B17" s="59" t="s">
        <v>68</v>
      </c>
      <c r="C17" s="77"/>
      <c r="D17" s="77"/>
      <c r="E17" s="60"/>
      <c r="F17" s="59">
        <v>1</v>
      </c>
      <c r="G17" s="60"/>
      <c r="H17" s="59">
        <v>1</v>
      </c>
      <c r="I17" s="60"/>
      <c r="J17" s="59">
        <v>0</v>
      </c>
      <c r="K17" s="60"/>
      <c r="L17" s="13">
        <v>0</v>
      </c>
    </row>
    <row r="18" spans="1:12" ht="21.75" customHeight="1" x14ac:dyDescent="0.25">
      <c r="A18" s="21" t="s">
        <v>100</v>
      </c>
      <c r="B18" s="61" t="s">
        <v>101</v>
      </c>
      <c r="C18" s="62"/>
      <c r="D18" s="62"/>
      <c r="E18" s="63"/>
      <c r="F18" s="61">
        <v>1</v>
      </c>
      <c r="G18" s="63"/>
      <c r="H18" s="61">
        <v>0</v>
      </c>
      <c r="I18" s="63"/>
      <c r="J18" s="61">
        <v>1</v>
      </c>
      <c r="K18" s="63"/>
      <c r="L18" s="22">
        <v>1</v>
      </c>
    </row>
    <row r="19" spans="1:12" ht="31.5" customHeight="1" x14ac:dyDescent="0.25">
      <c r="A19" s="21" t="s">
        <v>102</v>
      </c>
      <c r="B19" s="61" t="s">
        <v>101</v>
      </c>
      <c r="C19" s="62"/>
      <c r="D19" s="62"/>
      <c r="E19" s="63"/>
      <c r="F19" s="61"/>
      <c r="G19" s="63"/>
      <c r="H19" s="61">
        <v>1</v>
      </c>
      <c r="I19" s="63"/>
      <c r="J19" s="61">
        <v>0</v>
      </c>
      <c r="K19" s="63"/>
      <c r="L19" s="23">
        <v>0</v>
      </c>
    </row>
    <row r="20" spans="1:12" s="41" customFormat="1" ht="19.5" customHeight="1" x14ac:dyDescent="0.2">
      <c r="A20" s="37" t="s">
        <v>112</v>
      </c>
      <c r="B20" s="56" t="s">
        <v>113</v>
      </c>
      <c r="C20" s="57"/>
      <c r="D20" s="57"/>
      <c r="E20" s="58"/>
      <c r="F20" s="38">
        <v>1</v>
      </c>
      <c r="G20" s="39"/>
      <c r="H20" s="56">
        <v>0</v>
      </c>
      <c r="I20" s="58"/>
      <c r="J20" s="56">
        <v>1</v>
      </c>
      <c r="K20" s="58"/>
      <c r="L20" s="40">
        <v>1</v>
      </c>
    </row>
    <row r="21" spans="1:12" s="41" customFormat="1" ht="21" customHeight="1" x14ac:dyDescent="0.2">
      <c r="A21" s="37" t="s">
        <v>114</v>
      </c>
      <c r="B21" s="56" t="s">
        <v>113</v>
      </c>
      <c r="C21" s="57"/>
      <c r="D21" s="57"/>
      <c r="E21" s="58"/>
      <c r="F21" s="38"/>
      <c r="G21" s="39"/>
      <c r="H21" s="56">
        <v>1</v>
      </c>
      <c r="I21" s="58"/>
      <c r="J21" s="56">
        <v>0</v>
      </c>
      <c r="K21" s="58"/>
      <c r="L21" s="42">
        <v>0</v>
      </c>
    </row>
    <row r="22" spans="1:12" x14ac:dyDescent="0.25">
      <c r="A22" s="14" t="s">
        <v>66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x14ac:dyDescent="0.25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</row>
    <row r="24" spans="1:12" x14ac:dyDescent="0.25">
      <c r="C24" s="17"/>
      <c r="D24" s="1"/>
      <c r="E24" s="1"/>
      <c r="F24" s="1"/>
      <c r="G24" s="1"/>
      <c r="H24" s="1"/>
      <c r="I24" s="1" t="s">
        <v>55</v>
      </c>
      <c r="J24" s="1"/>
      <c r="K24" s="1"/>
      <c r="L24" s="1"/>
    </row>
    <row r="25" spans="1:12" x14ac:dyDescent="0.25">
      <c r="C25" s="17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I26" s="74" t="s">
        <v>56</v>
      </c>
      <c r="J26" s="74"/>
      <c r="K26" s="74"/>
    </row>
    <row r="27" spans="1:12" x14ac:dyDescent="0.25">
      <c r="I27" s="75" t="s">
        <v>57</v>
      </c>
      <c r="J27" s="75"/>
      <c r="K27" s="75"/>
    </row>
    <row r="28" spans="1:12" x14ac:dyDescent="0.25">
      <c r="I28" s="76" t="s">
        <v>58</v>
      </c>
      <c r="J28" s="76"/>
      <c r="K28" s="76"/>
    </row>
  </sheetData>
  <mergeCells count="38">
    <mergeCell ref="F19:G19"/>
    <mergeCell ref="I26:K26"/>
    <mergeCell ref="I27:K27"/>
    <mergeCell ref="I28:K28"/>
    <mergeCell ref="B16:E16"/>
    <mergeCell ref="F16:G16"/>
    <mergeCell ref="H16:I16"/>
    <mergeCell ref="J16:K16"/>
    <mergeCell ref="A23:L23"/>
    <mergeCell ref="H17:I17"/>
    <mergeCell ref="J17:K17"/>
    <mergeCell ref="H18:I18"/>
    <mergeCell ref="J18:K18"/>
    <mergeCell ref="H19:I19"/>
    <mergeCell ref="J19:K19"/>
    <mergeCell ref="B17:E17"/>
    <mergeCell ref="F17:G17"/>
    <mergeCell ref="B18:E18"/>
    <mergeCell ref="F18:G18"/>
    <mergeCell ref="B19:E19"/>
    <mergeCell ref="A5:L5"/>
    <mergeCell ref="A6:L6"/>
    <mergeCell ref="A7:L7"/>
    <mergeCell ref="A8:L8"/>
    <mergeCell ref="A13:L13"/>
    <mergeCell ref="A14:A15"/>
    <mergeCell ref="B14:K14"/>
    <mergeCell ref="L14:L15"/>
    <mergeCell ref="B15:E15"/>
    <mergeCell ref="F15:G15"/>
    <mergeCell ref="H15:I15"/>
    <mergeCell ref="J15:K15"/>
    <mergeCell ref="B20:E20"/>
    <mergeCell ref="H20:I20"/>
    <mergeCell ref="J20:K20"/>
    <mergeCell ref="B21:E21"/>
    <mergeCell ref="H21:I21"/>
    <mergeCell ref="J21:K21"/>
  </mergeCells>
  <pageMargins left="0.7" right="0.7" top="0.75" bottom="0.75" header="0.3" footer="0.3"/>
  <pageSetup paperSize="9" scale="67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Leave Card (NE)</vt:lpstr>
      <vt:lpstr>Sheet1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2026-01-14T02:08:39Z</cp:lastPrinted>
  <dcterms:created xsi:type="dcterms:W3CDTF">2021-10-07T06:10:16Z</dcterms:created>
  <dcterms:modified xsi:type="dcterms:W3CDTF">2026-01-14T02:10:37Z</dcterms:modified>
</cp:coreProperties>
</file>