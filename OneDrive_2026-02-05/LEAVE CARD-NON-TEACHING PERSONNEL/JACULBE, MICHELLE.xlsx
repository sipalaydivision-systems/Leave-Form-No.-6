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666A54AB-2A95-4652-A9D6-2B0E99C1BCE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8" r:id="rId2"/>
  </sheets>
  <definedNames>
    <definedName name="_xlnm.Print_Area" localSheetId="0">'Leave Card (NE)'!$A$1:$J$102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5" i="6" l="1"/>
  <c r="I95" i="6"/>
  <c r="J95" i="6"/>
  <c r="H93" i="6" l="1"/>
  <c r="J93" i="6" s="1"/>
  <c r="I93" i="6"/>
  <c r="I94" i="6" s="1"/>
  <c r="B65" i="6"/>
  <c r="H94" i="6" l="1"/>
  <c r="J94" i="6" s="1"/>
  <c r="I13" i="6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I86" i="6" s="1"/>
  <c r="I87" i="6" s="1"/>
  <c r="I88" i="6" s="1"/>
  <c r="I89" i="6" s="1"/>
  <c r="I90" i="6" s="1"/>
  <c r="I91" i="6" s="1"/>
  <c r="I92" i="6" s="1"/>
  <c r="H13" i="6"/>
  <c r="H14" i="6" s="1"/>
  <c r="H15" i="6" s="1"/>
  <c r="H16" i="6" s="1"/>
  <c r="H17" i="6" s="1"/>
  <c r="J16" i="6" l="1"/>
  <c r="H18" i="6"/>
  <c r="J17" i="6"/>
  <c r="J14" i="6"/>
  <c r="J15" i="6"/>
  <c r="J18" i="6" l="1"/>
  <c r="H19" i="6"/>
  <c r="H20" i="6" l="1"/>
  <c r="H21" i="6" s="1"/>
  <c r="J19" i="6"/>
  <c r="J21" i="6" l="1"/>
  <c r="H22" i="6"/>
  <c r="J20" i="6"/>
  <c r="H23" i="6" l="1"/>
  <c r="J22" i="6"/>
  <c r="J13" i="6"/>
  <c r="H24" i="6" l="1"/>
  <c r="J23" i="6"/>
  <c r="H25" i="6" l="1"/>
  <c r="J24" i="6"/>
  <c r="J25" i="6" l="1"/>
  <c r="H26" i="6"/>
  <c r="H27" i="6" l="1"/>
  <c r="J26" i="6"/>
  <c r="J27" i="6" l="1"/>
  <c r="H28" i="6"/>
  <c r="H29" i="6" l="1"/>
  <c r="J28" i="6"/>
  <c r="J29" i="6" l="1"/>
  <c r="H30" i="6"/>
  <c r="H31" i="6" l="1"/>
  <c r="J30" i="6"/>
  <c r="J31" i="6" l="1"/>
  <c r="H32" i="6"/>
  <c r="H33" i="6" l="1"/>
  <c r="J32" i="6"/>
  <c r="J33" i="6" l="1"/>
  <c r="H34" i="6"/>
  <c r="H35" i="6" l="1"/>
  <c r="J34" i="6"/>
  <c r="J35" i="6" l="1"/>
  <c r="H36" i="6"/>
  <c r="H37" i="6" l="1"/>
  <c r="J36" i="6"/>
  <c r="J37" i="6" l="1"/>
  <c r="H38" i="6"/>
  <c r="H39" i="6" l="1"/>
  <c r="J38" i="6"/>
  <c r="J39" i="6" l="1"/>
  <c r="H40" i="6"/>
  <c r="H41" i="6" l="1"/>
  <c r="J40" i="6"/>
  <c r="J41" i="6" l="1"/>
  <c r="H42" i="6"/>
  <c r="H43" i="6" l="1"/>
  <c r="J42" i="6"/>
  <c r="J43" i="6" l="1"/>
  <c r="H44" i="6"/>
  <c r="H45" i="6" l="1"/>
  <c r="J44" i="6"/>
  <c r="J45" i="6" l="1"/>
  <c r="H46" i="6"/>
  <c r="H47" i="6" l="1"/>
  <c r="J46" i="6"/>
  <c r="J47" i="6" l="1"/>
  <c r="H48" i="6"/>
  <c r="H49" i="6" l="1"/>
  <c r="J48" i="6"/>
  <c r="H50" i="6" l="1"/>
  <c r="J49" i="6"/>
  <c r="H51" i="6" l="1"/>
  <c r="J50" i="6"/>
  <c r="H52" i="6" l="1"/>
  <c r="J51" i="6"/>
  <c r="H53" i="6" l="1"/>
  <c r="J52" i="6"/>
  <c r="J53" i="6" l="1"/>
  <c r="H54" i="6"/>
  <c r="J54" i="6" l="1"/>
  <c r="H55" i="6"/>
  <c r="H56" i="6" l="1"/>
  <c r="J55" i="6"/>
  <c r="J56" i="6" l="1"/>
  <c r="H57" i="6"/>
  <c r="H58" i="6" l="1"/>
  <c r="J57" i="6"/>
  <c r="H59" i="6" l="1"/>
  <c r="J58" i="6"/>
  <c r="H60" i="6" l="1"/>
  <c r="J59" i="6"/>
  <c r="H61" i="6" l="1"/>
  <c r="J60" i="6"/>
  <c r="J61" i="6" l="1"/>
  <c r="H62" i="6"/>
  <c r="J62" i="6" l="1"/>
  <c r="H63" i="6"/>
  <c r="J63" i="6" l="1"/>
  <c r="H64" i="6"/>
  <c r="J64" i="6" l="1"/>
  <c r="H65" i="6"/>
  <c r="H66" i="6" l="1"/>
  <c r="J65" i="6"/>
  <c r="H67" i="6" l="1"/>
  <c r="J66" i="6"/>
  <c r="H68" i="6" l="1"/>
  <c r="J67" i="6"/>
  <c r="H69" i="6" l="1"/>
  <c r="J68" i="6"/>
  <c r="H70" i="6" l="1"/>
  <c r="J69" i="6"/>
  <c r="H71" i="6" l="1"/>
  <c r="J70" i="6"/>
  <c r="H72" i="6" l="1"/>
  <c r="J71" i="6"/>
  <c r="H73" i="6" l="1"/>
  <c r="J72" i="6"/>
  <c r="J73" i="6" l="1"/>
  <c r="H74" i="6"/>
  <c r="J74" i="6" l="1"/>
  <c r="H75" i="6"/>
  <c r="J75" i="6" l="1"/>
  <c r="H76" i="6"/>
  <c r="H77" i="6" l="1"/>
  <c r="J76" i="6"/>
  <c r="H78" i="6" l="1"/>
  <c r="J77" i="6"/>
  <c r="H79" i="6" l="1"/>
  <c r="J78" i="6"/>
  <c r="H80" i="6" l="1"/>
  <c r="J79" i="6"/>
  <c r="J80" i="6" l="1"/>
  <c r="H81" i="6"/>
  <c r="H82" i="6" l="1"/>
  <c r="J81" i="6"/>
  <c r="H83" i="6" l="1"/>
  <c r="J82" i="6"/>
  <c r="J83" i="6" l="1"/>
  <c r="H84" i="6"/>
  <c r="J84" i="6" l="1"/>
  <c r="H85" i="6"/>
  <c r="J85" i="6" l="1"/>
  <c r="H86" i="6"/>
  <c r="H87" i="6" l="1"/>
  <c r="J86" i="6"/>
  <c r="J87" i="6" l="1"/>
  <c r="H88" i="6"/>
  <c r="H89" i="6" l="1"/>
  <c r="J88" i="6"/>
  <c r="J89" i="6" l="1"/>
  <c r="H90" i="6"/>
  <c r="J90" i="6" l="1"/>
  <c r="H91" i="6"/>
  <c r="J91" i="6" l="1"/>
  <c r="H92" i="6"/>
  <c r="J92" i="6" s="1"/>
</calcChain>
</file>

<file path=xl/sharedStrings.xml><?xml version="1.0" encoding="utf-8"?>
<sst xmlns="http://schemas.openxmlformats.org/spreadsheetml/2006/main" count="165" uniqueCount="135">
  <si>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</si>
  <si>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</si>
  <si>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</si>
  <si>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</si>
  <si>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</si>
  <si>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</si>
  <si>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</si>
  <si>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</si>
  <si>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</si>
  <si>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</si>
  <si>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</si>
  <si>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ADD: 01/01/22 - 01/31/22</t>
  </si>
  <si>
    <t>LESS: 02/16/22</t>
  </si>
  <si>
    <t>ADD: 02/01/22 - 05/31/22</t>
  </si>
  <si>
    <t>LESS: 06/30/22</t>
  </si>
  <si>
    <t>ADD: 06/01/22 - 06/30/22</t>
  </si>
  <si>
    <t>LESS: 07/22/22</t>
  </si>
  <si>
    <t>ADD: 07/01/22 - 08/31/22</t>
  </si>
  <si>
    <t>LESS: MONETIZATION 2022</t>
  </si>
  <si>
    <t>ADD: 09/01/22 - 10/31/22</t>
  </si>
  <si>
    <t>LESS: 11/11/22</t>
  </si>
  <si>
    <t>LESS: 11/21/22</t>
  </si>
  <si>
    <t>ADD: 11/01/22 - 11/30/22</t>
  </si>
  <si>
    <t>LESS: 12/14/22</t>
  </si>
  <si>
    <t>SPECIAL</t>
  </si>
  <si>
    <t>LESS: 12/29/22</t>
  </si>
  <si>
    <t>ADD: 12/01/22 - 12/31/22</t>
  </si>
  <si>
    <t>LESS: 01/12/23</t>
  </si>
  <si>
    <t>LESS: 01/27/23</t>
  </si>
  <si>
    <t>ADD: 01/01/23 - 01/31/23</t>
  </si>
  <si>
    <t>LESS: 02/14/2023</t>
  </si>
  <si>
    <t>ADD: 02/01/23 - 03/31/23</t>
  </si>
  <si>
    <t>LESS: 03/24/2023</t>
  </si>
  <si>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</si>
  <si>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</si>
  <si>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</si>
  <si>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</si>
  <si>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</si>
  <si>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</si>
  <si>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POSITION: __________________________</t>
  </si>
  <si>
    <t>SCHOOL/OFFICE:_____________________</t>
  </si>
  <si>
    <t>ADD: 03/27/2019 - 03/31/2019</t>
  </si>
  <si>
    <t>LESS: 07/19/2019</t>
  </si>
  <si>
    <t>LESS: 10/30(PM) &amp; 31/2019</t>
  </si>
  <si>
    <t>LESS: 12/26 &amp; 27/2019</t>
  </si>
  <si>
    <t>ADD: 01/01/2020 - 12/31/2020</t>
  </si>
  <si>
    <t>LESS: FL 2020</t>
  </si>
  <si>
    <t>LESS: 01/09 - 10/2020</t>
  </si>
  <si>
    <t>LESS: 09/20-21/2021</t>
  </si>
  <si>
    <t>LESS: MONETIZATION 2021</t>
  </si>
  <si>
    <t>LESS: 12/27, 28 &amp; 31/2021</t>
  </si>
  <si>
    <t>LESS: 1/27/2022</t>
  </si>
  <si>
    <t>ADD: 04/01/23 - 04/30/23</t>
  </si>
  <si>
    <t>LESS: 05/19/2023</t>
  </si>
  <si>
    <t>COMPENSATORY TIME OFF (CTO)</t>
  </si>
  <si>
    <t>Special Order No. and Date Issued</t>
  </si>
  <si>
    <t>No. of Days Granted</t>
  </si>
  <si>
    <t>No. of Days Used</t>
  </si>
  <si>
    <t>Balance</t>
  </si>
  <si>
    <t>ADD: 04/17/2023</t>
  </si>
  <si>
    <t>NOTE:  Valid for one (1) year only</t>
  </si>
  <si>
    <t>Certified Correct:</t>
  </si>
  <si>
    <t>MA. LUISA B. CATIGAN</t>
  </si>
  <si>
    <t>Administrative Officer IV</t>
  </si>
  <si>
    <t>HRMO</t>
  </si>
  <si>
    <t>SO # 048, S.2023, DISTRICT AND CITY SPORTS MEET 2023</t>
  </si>
  <si>
    <t>LESS: 05/24 &amp; 26/2023</t>
  </si>
  <si>
    <t>LESS:05/31/23</t>
  </si>
  <si>
    <t>ADD: 05/01/23 - 05/31/23</t>
  </si>
  <si>
    <t>LESS: 06/08/2023</t>
  </si>
  <si>
    <t>ADD: 06/01/23 - 06/30/23</t>
  </si>
  <si>
    <t>LESS: 07/05 &amp; 10/2023</t>
  </si>
  <si>
    <t>LESS: 07/19/2023</t>
  </si>
  <si>
    <t>LESS: 07/25/2023</t>
  </si>
  <si>
    <t>ADD: 07/01/23 - 08/31/23</t>
  </si>
  <si>
    <t>LESS: MONETIZATION 2023</t>
  </si>
  <si>
    <t>ADD: 09/01/2023-11/30/2023</t>
  </si>
  <si>
    <t>LESS: 12/06/2023</t>
  </si>
  <si>
    <t>LESS: 01/17/2024</t>
  </si>
  <si>
    <t>ADD: 12/01-31/2023</t>
  </si>
  <si>
    <t>ADD: 01/01/2024- 02/29/2024</t>
  </si>
  <si>
    <t>ADD: 03/12/2024</t>
  </si>
  <si>
    <t>SO # 004, S. 2024, REFRESHER COURSE FOR OFFICIATING OFFICIALS &amp; COACHES FOR THE 2024 DISTRICT MEET</t>
  </si>
  <si>
    <t>LESS: 05/24 &amp; 30/2024</t>
  </si>
  <si>
    <t>SO# 005, S. 2024 DISTRICT SPORTS MEET 2024</t>
  </si>
  <si>
    <t>LESS: 07/04 &amp; 19/2024</t>
  </si>
  <si>
    <t>LESS: 08/06/2024</t>
  </si>
  <si>
    <t>LESS: 07/18/2024</t>
  </si>
  <si>
    <t>LESS: MONETIZATION 2024</t>
  </si>
  <si>
    <t xml:space="preserve">           HRMO</t>
  </si>
  <si>
    <t>ADD: 03/1/2024-06/30/2024</t>
  </si>
  <si>
    <t>LESS: FL 2021</t>
  </si>
  <si>
    <t>LESS: FL 2022</t>
  </si>
  <si>
    <t>LESS: 10/30/2024 &amp; 11/7/2024</t>
  </si>
  <si>
    <t>ADD: 04/01/2019 - 06/30/2019</t>
  </si>
  <si>
    <t>ADD: 07/1/2019-09/30/2019</t>
  </si>
  <si>
    <t>ADD: 10/1/2019-11/30/2019</t>
  </si>
  <si>
    <t>ADD: 12/1-31/2019</t>
  </si>
  <si>
    <t>ADD: 01/01/2021 - 08/31/2021</t>
  </si>
  <si>
    <t>ADD: 09/1/2021-11/30/2021</t>
  </si>
  <si>
    <t>ADD: 12/1-31/2021</t>
  </si>
  <si>
    <t xml:space="preserve">LESS: 03/22/2024 </t>
  </si>
  <si>
    <t>ADD: 10/1-31/2024</t>
  </si>
  <si>
    <t>LESS: 12/4/2024</t>
  </si>
  <si>
    <t>ADD: 07/1/2024-08/31/2024</t>
  </si>
  <si>
    <t>ADD: 09/1-30/2024</t>
  </si>
  <si>
    <t>ADD: 12/4/2024 EXIGENCY OF SERVICE</t>
  </si>
  <si>
    <t>ADD: 11/1/2024-12/31/2024</t>
  </si>
  <si>
    <t>LESS: 01/17/2025</t>
  </si>
  <si>
    <t>SO# 006, S. 2024 DIVISION  SPORTS MEET 2024</t>
  </si>
  <si>
    <t>LESS: 02/28/2025</t>
  </si>
  <si>
    <t>ADD: 01/1/2025-02/28/2025</t>
  </si>
  <si>
    <t>LESS: 03/6/2025</t>
  </si>
  <si>
    <t>ADD: 03/1-31/2025</t>
  </si>
  <si>
    <t>LESS: 05/22-23/2025</t>
  </si>
  <si>
    <t>ADD: 04/1-30/2025</t>
  </si>
  <si>
    <t>LESS: 05/16/2025</t>
  </si>
  <si>
    <t>SO # 005, 2025 DIVISION WORKSHOP ON CAMPUS JOURNALISM</t>
  </si>
  <si>
    <t>ADD: 03/21/2025</t>
  </si>
  <si>
    <t>LESS: FL 2019</t>
  </si>
  <si>
    <t>LESS: 08/6/2025</t>
  </si>
  <si>
    <t>LESS:  FL 2024</t>
  </si>
  <si>
    <t>NEGROS ISLAND REGION</t>
  </si>
  <si>
    <t>ADD: 05/1/2025-07/31/2025</t>
  </si>
  <si>
    <t>LESS: 08/13/2025</t>
  </si>
  <si>
    <t>ADD: 08/1-31/2025</t>
  </si>
  <si>
    <t>LESS: MONETIZATION 2025</t>
  </si>
  <si>
    <t>LESS: 09/10/2025</t>
  </si>
  <si>
    <t>ADD: 09/1-30/2025</t>
  </si>
  <si>
    <t>LESS: 10/24 &amp; 30/2025</t>
  </si>
  <si>
    <t>ADD: 10/1-30/2025</t>
  </si>
  <si>
    <t>ADD: 07/01/2025</t>
  </si>
  <si>
    <t>SO # 044, S. 2025 127th PHIL. INDEPENCE DAY</t>
  </si>
  <si>
    <t>DATE FILED: 11/21/2025 / 12/29/2025</t>
  </si>
  <si>
    <t>LESS: 02/13/2026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</si>
</sst>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7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6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64" fontId="0" fillId="2" borderId="5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0" borderId="0" xfId="0" applyFont="1"/>
    <xf numFmtId="0" fontId="0" fillId="2" borderId="9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7" fillId="0" borderId="0" xfId="0" applyFont="1"/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9" fillId="2" borderId="0" xfId="0" applyFont="1" applyFill="1"/>
    <xf numFmtId="0" fontId="0" fillId="10" borderId="3" xfId="0" applyFill="1" applyBorder="1" applyAlignment="1">
      <alignment horizontal="center" vertical="center" wrapText="1"/>
    </xf>
    <xf numFmtId="164" fontId="0" fillId="11" borderId="1" xfId="0" applyNumberFormat="1" applyFill="1" applyBorder="1" applyAlignment="1">
      <alignment horizontal="center" vertical="center"/>
    </xf>
    <xf numFmtId="0" fontId="11" fillId="2" borderId="9" xfId="1" applyFont="1" applyFill="1" applyBorder="1" applyAlignment="1">
      <alignment horizontal="center" vertical="center" wrapText="1"/>
    </xf>
    <xf numFmtId="0" fontId="7" fillId="0" borderId="0" xfId="1" applyFont="1"/>
    <xf numFmtId="14" fontId="0" fillId="0" borderId="1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/>
    </xf>
    <xf numFmtId="0" fontId="6" fillId="0" borderId="17" xfId="0" applyFont="1" applyBorder="1" applyAlignment="1">
      <alignment vertical="center" wrapText="1"/>
    </xf>
    <xf numFmtId="0" fontId="6" fillId="0" borderId="19" xfId="0" applyFont="1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1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2" fillId="2" borderId="17" xfId="1" applyFont="1" applyFill="1" applyBorder="1" applyAlignment="1">
      <alignment horizontal="center" vertical="center" wrapText="1"/>
    </xf>
    <xf numFmtId="0" fontId="12" fillId="2" borderId="18" xfId="1" applyFont="1" applyFill="1" applyBorder="1" applyAlignment="1">
      <alignment horizontal="center" vertical="center" wrapText="1"/>
    </xf>
    <xf numFmtId="0" fontId="12" fillId="2" borderId="19" xfId="1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6" fillId="9" borderId="17" xfId="0" applyFont="1" applyFill="1" applyBorder="1" applyAlignment="1">
      <alignment horizontal="center" vertical="center" wrapText="1"/>
    </xf>
    <xf numFmtId="0" fontId="6" fillId="9" borderId="18" xfId="0" applyFont="1" applyFill="1" applyBorder="1" applyAlignment="1">
      <alignment horizontal="center" vertical="center" wrapText="1"/>
    </xf>
    <xf numFmtId="0" fontId="6" fillId="9" borderId="19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11475153-B331-4ABA-8D01-DC9598A0DD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476250</xdr:colOff>
      <xdr:row>0</xdr:row>
      <xdr:rowOff>43011</xdr:rowOff>
    </xdr:from>
    <xdr:to>
      <xdr:col>4</xdr:col>
      <xdr:colOff>324460</xdr:colOff>
      <xdr:row>1</xdr:row>
      <xdr:rowOff>11981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1AFB87-D0C2-4005-85AF-7E9BEDE6872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5094" y="43011"/>
          <a:ext cx="620993" cy="633923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E155BB0-1E3F-4515-9CD9-78DAF7BB3403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JACULBE, MICHELLE E.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9AF7F90-DD90-4FE5-88CC-21560365719B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NURSE</a:t>
          </a:r>
          <a:r>
            <a:rPr lang="en-US" sz="1100" baseline="0"/>
            <a:t> </a:t>
          </a:r>
          <a:r>
            <a:rPr lang="en-US" sz="1100"/>
            <a:t>II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2532E7A-640E-421A-9DBE-B6200A9303CD}"/>
            </a:ext>
          </a:extLst>
        </xdr:cNvPr>
        <xdr:cNvSpPr txBox="1"/>
      </xdr:nvSpPr>
      <xdr:spPr>
        <a:xfrm>
          <a:off x="38378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SGOD - SDO SIPALAY CITY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74159</xdr:colOff>
      <xdr:row>0</xdr:row>
      <xdr:rowOff>46039</xdr:rowOff>
    </xdr:from>
    <xdr:to>
      <xdr:col>4</xdr:col>
      <xdr:colOff>830792</xdr:colOff>
      <xdr:row>0</xdr:row>
      <xdr:rowOff>635001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DF4C76-D514-4A09-BAFD-2330F5546B8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0209" y="46039"/>
          <a:ext cx="757691" cy="588962"/>
        </a:xfrm>
        <a:prstGeom prst="rect">
          <a:avLst/>
        </a:prstGeom>
        <a:noFill/>
      </xdr:spPr>
    </xdr:pic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CEC19DB-75A6-40B1-8348-B89E563E3B02}"/>
            </a:ext>
          </a:extLst>
        </xdr:cNvPr>
        <xdr:cNvSpPr txBox="1"/>
      </xdr:nvSpPr>
      <xdr:spPr>
        <a:xfrm>
          <a:off x="654051" y="1682751"/>
          <a:ext cx="8508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NURSE</a:t>
          </a:r>
          <a:r>
            <a:rPr lang="en-US" sz="1100" baseline="0"/>
            <a:t> II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475033D-2486-4BA7-B4CA-893D84FF9EC1}"/>
            </a:ext>
          </a:extLst>
        </xdr:cNvPr>
        <xdr:cNvSpPr txBox="1"/>
      </xdr:nvSpPr>
      <xdr:spPr>
        <a:xfrm>
          <a:off x="3873273" y="1706110"/>
          <a:ext cx="115570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SGOD</a:t>
          </a:r>
        </a:p>
      </xdr:txBody>
    </xdr:sp>
    <xdr:clientData/>
  </xdr:twoCellAnchor>
  <xdr:twoCellAnchor>
    <xdr:from>
      <xdr:col>0</xdr:col>
      <xdr:colOff>562183</xdr:colOff>
      <xdr:row>4</xdr:row>
      <xdr:rowOff>148618</xdr:rowOff>
    </xdr:from>
    <xdr:to>
      <xdr:col>1</xdr:col>
      <xdr:colOff>1065797</xdr:colOff>
      <xdr:row>6</xdr:row>
      <xdr:rowOff>93215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0082EAF-7C0D-4899-9CC5-27E8EE4FE34D}"/>
            </a:ext>
          </a:extLst>
        </xdr:cNvPr>
        <xdr:cNvSpPr txBox="1"/>
      </xdr:nvSpPr>
      <xdr:spPr>
        <a:xfrm>
          <a:off x="562183" y="1355118"/>
          <a:ext cx="2008564" cy="2493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JACULBE, MICHELLE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"/>
  <sheetViews>
    <sheetView view="pageBreakPreview" topLeftCell="A76" zoomScale="106" zoomScaleNormal="100" zoomScaleSheetLayoutView="106" workbookViewId="0">
      <selection activeCell="A96" sqref="A96"/>
    </sheetView>
  </sheetViews>
  <sheetFormatPr defaultRowHeight="15" x14ac:dyDescent="0.25"/>
  <cols>
    <col min="1" max="1" width="35.42578125" customWidth="1"/>
    <col min="2" max="10" width="11.5703125" customWidth="1"/>
  </cols>
  <sheetData>
    <row r="1" spans="1:10" s="1" customFormat="1" ht="52.5" customHeight="1" x14ac:dyDescent="0.25"/>
    <row r="2" spans="1:10" s="1" customFormat="1" ht="10.5" customHeight="1" x14ac:dyDescent="0.25">
      <c r="A2" s="41" t="s">
        <v>33</v>
      </c>
      <c r="B2" s="41"/>
      <c r="C2" s="41"/>
      <c r="D2" s="41"/>
      <c r="E2" s="41"/>
      <c r="F2" s="41"/>
      <c r="G2" s="41"/>
      <c r="H2" s="41"/>
      <c r="I2" s="41"/>
      <c r="J2" s="41"/>
    </row>
    <row r="3" spans="1:10" s="1" customFormat="1" ht="15.95" customHeight="1" x14ac:dyDescent="0.25">
      <c r="A3" s="41" t="s">
        <v>34</v>
      </c>
      <c r="B3" s="41"/>
      <c r="C3" s="41"/>
      <c r="D3" s="41"/>
      <c r="E3" s="41"/>
      <c r="F3" s="41"/>
      <c r="G3" s="41"/>
      <c r="H3" s="41"/>
      <c r="I3" s="41"/>
      <c r="J3" s="41"/>
    </row>
    <row r="4" spans="1:10" s="1" customFormat="1" ht="15.95" customHeight="1" x14ac:dyDescent="0.25">
      <c r="A4" s="41" t="s">
        <v>122</v>
      </c>
      <c r="B4" s="41"/>
      <c r="C4" s="41"/>
      <c r="D4" s="41"/>
      <c r="E4" s="41"/>
      <c r="F4" s="41"/>
      <c r="G4" s="41"/>
      <c r="H4" s="41"/>
      <c r="I4" s="41"/>
      <c r="J4" s="41"/>
    </row>
    <row r="5" spans="1:10" s="1" customFormat="1" ht="15.95" customHeight="1" x14ac:dyDescent="0.25">
      <c r="A5" s="41" t="s">
        <v>36</v>
      </c>
      <c r="B5" s="41"/>
      <c r="C5" s="41"/>
      <c r="D5" s="41"/>
      <c r="E5" s="41"/>
      <c r="F5" s="41"/>
      <c r="G5" s="41"/>
      <c r="H5" s="41"/>
      <c r="I5" s="41"/>
      <c r="J5" s="41"/>
    </row>
    <row r="6" spans="1:10" s="1" customFormat="1" ht="8.25" customHeight="1" x14ac:dyDescent="0.25"/>
    <row r="7" spans="1:10" s="1" customFormat="1" ht="12" customHeight="1" x14ac:dyDescent="0.25">
      <c r="A7" s="1" t="s">
        <v>37</v>
      </c>
      <c r="B7" s="42" t="s">
        <v>38</v>
      </c>
      <c r="C7" s="42"/>
      <c r="D7" s="42"/>
      <c r="H7" s="2" t="s">
        <v>9</v>
      </c>
      <c r="I7" s="6"/>
      <c r="J7" s="2"/>
    </row>
    <row r="8" spans="1:10" s="1" customFormat="1" ht="12" customHeight="1" x14ac:dyDescent="0.25">
      <c r="B8" s="3"/>
      <c r="C8" s="3"/>
      <c r="H8" s="3"/>
      <c r="I8" s="3"/>
      <c r="J8" s="3"/>
    </row>
    <row r="9" spans="1:10" s="1" customFormat="1" ht="12" customHeight="1" x14ac:dyDescent="0.25">
      <c r="A9" s="1" t="s">
        <v>39</v>
      </c>
      <c r="B9" s="42" t="s">
        <v>40</v>
      </c>
      <c r="C9" s="42"/>
      <c r="D9" s="42"/>
      <c r="H9" s="2" t="s">
        <v>10</v>
      </c>
      <c r="I9" s="4"/>
      <c r="J9" s="2"/>
    </row>
    <row r="10" spans="1:10" ht="16.5" customHeight="1" thickBot="1" x14ac:dyDescent="0.3">
      <c r="A10" s="43" t="s">
        <v>0</v>
      </c>
      <c r="B10" s="43"/>
      <c r="C10" s="43"/>
      <c r="D10" s="43"/>
      <c r="E10" s="43"/>
      <c r="F10" s="43"/>
      <c r="G10" s="43"/>
      <c r="H10" s="43"/>
      <c r="I10" s="43"/>
      <c r="J10" s="43"/>
    </row>
    <row r="11" spans="1:10" ht="15.95" customHeight="1" x14ac:dyDescent="0.25">
      <c r="A11" s="45" t="s">
        <v>4</v>
      </c>
      <c r="B11" s="37" t="s">
        <v>5</v>
      </c>
      <c r="C11" s="37"/>
      <c r="D11" s="38" t="s">
        <v>6</v>
      </c>
      <c r="E11" s="39"/>
      <c r="F11" s="39"/>
      <c r="G11" s="40"/>
      <c r="H11" s="44" t="s">
        <v>7</v>
      </c>
      <c r="I11" s="44"/>
      <c r="J11" s="47" t="s">
        <v>8</v>
      </c>
    </row>
    <row r="12" spans="1:10" ht="15.95" customHeight="1" thickBot="1" x14ac:dyDescent="0.3">
      <c r="A12" s="46"/>
      <c r="B12" s="5" t="s">
        <v>1</v>
      </c>
      <c r="C12" s="5" t="s">
        <v>2</v>
      </c>
      <c r="D12" s="5" t="s">
        <v>1</v>
      </c>
      <c r="E12" s="5" t="s">
        <v>2</v>
      </c>
      <c r="F12" s="5" t="s">
        <v>3</v>
      </c>
      <c r="G12" s="5" t="s">
        <v>24</v>
      </c>
      <c r="H12" s="5" t="s">
        <v>1</v>
      </c>
      <c r="I12" s="5" t="s">
        <v>2</v>
      </c>
      <c r="J12" s="48"/>
    </row>
    <row r="13" spans="1:10" ht="15.95" customHeight="1" x14ac:dyDescent="0.25">
      <c r="A13" s="7" t="s">
        <v>41</v>
      </c>
      <c r="B13" s="8">
        <v>0.20799999999999999</v>
      </c>
      <c r="C13" s="8">
        <v>0.20799999999999999</v>
      </c>
      <c r="D13" s="8"/>
      <c r="E13" s="8"/>
      <c r="F13" s="8"/>
      <c r="G13" s="8"/>
      <c r="H13" s="8">
        <f>B13</f>
        <v>0.20799999999999999</v>
      </c>
      <c r="I13" s="8">
        <f>C13</f>
        <v>0.20799999999999999</v>
      </c>
      <c r="J13" s="9">
        <f>SUM(H13:I13)</f>
        <v>0.41599999999999998</v>
      </c>
    </row>
    <row r="14" spans="1:10" ht="15.95" customHeight="1" x14ac:dyDescent="0.25">
      <c r="A14" s="11" t="s">
        <v>94</v>
      </c>
      <c r="B14" s="10">
        <v>3.75</v>
      </c>
      <c r="C14" s="10">
        <v>3.75</v>
      </c>
      <c r="D14" s="10"/>
      <c r="E14" s="10"/>
      <c r="F14" s="10"/>
      <c r="G14" s="10"/>
      <c r="H14" s="10">
        <f>H13-F14-D14+B14</f>
        <v>3.9580000000000002</v>
      </c>
      <c r="I14" s="10">
        <f>I13-E14+C14</f>
        <v>3.9580000000000002</v>
      </c>
      <c r="J14" s="10">
        <f>SUM(H14:I14)</f>
        <v>7.9160000000000004</v>
      </c>
    </row>
    <row r="15" spans="1:10" ht="15.95" customHeight="1" x14ac:dyDescent="0.25">
      <c r="A15" s="11" t="s">
        <v>42</v>
      </c>
      <c r="B15" s="10"/>
      <c r="C15" s="10"/>
      <c r="D15" s="10"/>
      <c r="E15" s="10"/>
      <c r="F15" s="10">
        <v>1</v>
      </c>
      <c r="G15" s="10"/>
      <c r="H15" s="10">
        <f t="shared" ref="H15" si="0">H14-F15-D15+B15</f>
        <v>2.9580000000000002</v>
      </c>
      <c r="I15" s="10">
        <f t="shared" ref="I15" si="1">I14-E15+C15</f>
        <v>3.9580000000000002</v>
      </c>
      <c r="J15" s="10">
        <f t="shared" ref="J15" si="2">SUM(H15:I15)</f>
        <v>6.9160000000000004</v>
      </c>
    </row>
    <row r="16" spans="1:10" ht="15.95" customHeight="1" x14ac:dyDescent="0.25">
      <c r="A16" s="11" t="s">
        <v>95</v>
      </c>
      <c r="B16" s="10">
        <v>3.75</v>
      </c>
      <c r="C16" s="10">
        <v>3.75</v>
      </c>
      <c r="D16" s="10"/>
      <c r="E16" s="10"/>
      <c r="F16" s="10"/>
      <c r="G16" s="10"/>
      <c r="H16" s="10">
        <f t="shared" ref="H16:H20" si="3">H15-F16-D16+B16</f>
        <v>6.7080000000000002</v>
      </c>
      <c r="I16" s="10">
        <f t="shared" ref="I16:I20" si="4">I15-E16+C16</f>
        <v>7.7080000000000002</v>
      </c>
      <c r="J16" s="10">
        <f t="shared" ref="J16:J20" si="5">SUM(H16:I16)</f>
        <v>14.416</v>
      </c>
    </row>
    <row r="17" spans="1:10" ht="15.95" customHeight="1" x14ac:dyDescent="0.25">
      <c r="A17" s="11" t="s">
        <v>43</v>
      </c>
      <c r="B17" s="10"/>
      <c r="C17" s="10"/>
      <c r="D17" s="10"/>
      <c r="E17" s="10">
        <v>0.5</v>
      </c>
      <c r="F17" s="10">
        <v>1</v>
      </c>
      <c r="G17" s="10"/>
      <c r="H17" s="10">
        <f t="shared" si="3"/>
        <v>5.7080000000000002</v>
      </c>
      <c r="I17" s="10">
        <f t="shared" si="4"/>
        <v>7.2080000000000002</v>
      </c>
      <c r="J17" s="10">
        <f t="shared" si="5"/>
        <v>12.916</v>
      </c>
    </row>
    <row r="18" spans="1:10" ht="15.95" customHeight="1" x14ac:dyDescent="0.25">
      <c r="A18" s="11" t="s">
        <v>96</v>
      </c>
      <c r="B18" s="10">
        <v>2.5</v>
      </c>
      <c r="C18" s="10">
        <v>2.5</v>
      </c>
      <c r="D18" s="10"/>
      <c r="E18" s="10"/>
      <c r="F18" s="10"/>
      <c r="G18" s="10"/>
      <c r="H18" s="10">
        <f t="shared" si="3"/>
        <v>8.2080000000000002</v>
      </c>
      <c r="I18" s="10">
        <f t="shared" si="4"/>
        <v>9.7080000000000002</v>
      </c>
      <c r="J18" s="10">
        <f t="shared" si="5"/>
        <v>17.916</v>
      </c>
    </row>
    <row r="19" spans="1:10" ht="15.95" customHeight="1" x14ac:dyDescent="0.25">
      <c r="A19" s="11" t="s">
        <v>44</v>
      </c>
      <c r="B19" s="10"/>
      <c r="C19" s="10"/>
      <c r="D19" s="10"/>
      <c r="E19" s="10"/>
      <c r="F19" s="10">
        <v>2</v>
      </c>
      <c r="G19" s="10"/>
      <c r="H19" s="10">
        <f t="shared" si="3"/>
        <v>6.2080000000000002</v>
      </c>
      <c r="I19" s="10">
        <f t="shared" si="4"/>
        <v>9.7080000000000002</v>
      </c>
      <c r="J19" s="10">
        <f t="shared" si="5"/>
        <v>15.916</v>
      </c>
    </row>
    <row r="20" spans="1:10" ht="15.95" customHeight="1" x14ac:dyDescent="0.25">
      <c r="A20" s="11" t="s">
        <v>97</v>
      </c>
      <c r="B20" s="10">
        <v>1.25</v>
      </c>
      <c r="C20" s="10">
        <v>1.25</v>
      </c>
      <c r="D20" s="10"/>
      <c r="E20" s="10"/>
      <c r="F20" s="10"/>
      <c r="G20" s="10"/>
      <c r="H20" s="10">
        <f t="shared" si="3"/>
        <v>7.4580000000000002</v>
      </c>
      <c r="I20" s="10">
        <f t="shared" si="4"/>
        <v>10.958</v>
      </c>
      <c r="J20" s="10">
        <f t="shared" si="5"/>
        <v>18.416</v>
      </c>
    </row>
    <row r="21" spans="1:10" ht="15.95" customHeight="1" x14ac:dyDescent="0.25">
      <c r="A21" s="11" t="s">
        <v>119</v>
      </c>
      <c r="B21" s="10"/>
      <c r="C21" s="10"/>
      <c r="D21" s="10"/>
      <c r="E21" s="10"/>
      <c r="F21" s="10">
        <v>1</v>
      </c>
      <c r="G21" s="10"/>
      <c r="H21" s="10">
        <f t="shared" ref="H21:H84" si="6">H20-F21-D21+B21</f>
        <v>6.4580000000000002</v>
      </c>
      <c r="I21" s="10">
        <f t="shared" ref="I21:I84" si="7">I20-E21+C21</f>
        <v>10.958</v>
      </c>
      <c r="J21" s="10">
        <f t="shared" ref="J21:J84" si="8">SUM(H21:I21)</f>
        <v>17.416</v>
      </c>
    </row>
    <row r="22" spans="1:10" ht="15.95" customHeight="1" x14ac:dyDescent="0.25">
      <c r="A22" s="11" t="s">
        <v>47</v>
      </c>
      <c r="B22" s="10"/>
      <c r="C22" s="10"/>
      <c r="D22" s="10"/>
      <c r="E22" s="10"/>
      <c r="F22" s="10">
        <v>2</v>
      </c>
      <c r="G22" s="10"/>
      <c r="H22" s="10">
        <f t="shared" si="6"/>
        <v>4.4580000000000002</v>
      </c>
      <c r="I22" s="10">
        <f t="shared" si="7"/>
        <v>10.958</v>
      </c>
      <c r="J22" s="10">
        <f t="shared" si="8"/>
        <v>15.416</v>
      </c>
    </row>
    <row r="23" spans="1:10" ht="15.95" customHeight="1" x14ac:dyDescent="0.25">
      <c r="A23" s="11" t="s">
        <v>45</v>
      </c>
      <c r="B23" s="10">
        <v>15</v>
      </c>
      <c r="C23" s="10">
        <v>15</v>
      </c>
      <c r="D23" s="10"/>
      <c r="E23" s="10"/>
      <c r="F23" s="10"/>
      <c r="G23" s="10"/>
      <c r="H23" s="10">
        <f t="shared" si="6"/>
        <v>19.457999999999998</v>
      </c>
      <c r="I23" s="10">
        <f t="shared" si="7"/>
        <v>25.957999999999998</v>
      </c>
      <c r="J23" s="10">
        <f t="shared" si="8"/>
        <v>45.415999999999997</v>
      </c>
    </row>
    <row r="24" spans="1:10" ht="15.95" customHeight="1" x14ac:dyDescent="0.25">
      <c r="A24" s="11" t="s">
        <v>46</v>
      </c>
      <c r="B24" s="10"/>
      <c r="C24" s="10"/>
      <c r="D24" s="10"/>
      <c r="E24" s="10"/>
      <c r="F24" s="10">
        <v>3</v>
      </c>
      <c r="G24" s="10"/>
      <c r="H24" s="10">
        <f t="shared" si="6"/>
        <v>16.457999999999998</v>
      </c>
      <c r="I24" s="10">
        <f t="shared" si="7"/>
        <v>25.957999999999998</v>
      </c>
      <c r="J24" s="10">
        <f t="shared" si="8"/>
        <v>42.415999999999997</v>
      </c>
    </row>
    <row r="25" spans="1:10" ht="15.95" customHeight="1" x14ac:dyDescent="0.25">
      <c r="A25" s="11" t="s">
        <v>98</v>
      </c>
      <c r="B25" s="10">
        <v>10</v>
      </c>
      <c r="C25" s="10">
        <v>10</v>
      </c>
      <c r="D25" s="10"/>
      <c r="E25" s="10"/>
      <c r="F25" s="10"/>
      <c r="G25" s="10"/>
      <c r="H25" s="10">
        <f t="shared" si="6"/>
        <v>26.457999999999998</v>
      </c>
      <c r="I25" s="10">
        <f t="shared" si="7"/>
        <v>35.957999999999998</v>
      </c>
      <c r="J25" s="10">
        <f t="shared" si="8"/>
        <v>62.415999999999997</v>
      </c>
    </row>
    <row r="26" spans="1:10" ht="15.95" customHeight="1" x14ac:dyDescent="0.25">
      <c r="A26" s="11" t="s">
        <v>48</v>
      </c>
      <c r="B26" s="10"/>
      <c r="C26" s="10"/>
      <c r="D26" s="10"/>
      <c r="E26" s="10">
        <v>2</v>
      </c>
      <c r="F26" s="10"/>
      <c r="G26" s="10"/>
      <c r="H26" s="10">
        <f t="shared" si="6"/>
        <v>26.457999999999998</v>
      </c>
      <c r="I26" s="10">
        <f t="shared" si="7"/>
        <v>33.957999999999998</v>
      </c>
      <c r="J26" s="10">
        <f t="shared" si="8"/>
        <v>60.415999999999997</v>
      </c>
    </row>
    <row r="27" spans="1:10" ht="15.95" customHeight="1" x14ac:dyDescent="0.25">
      <c r="A27" s="11" t="s">
        <v>49</v>
      </c>
      <c r="B27" s="10"/>
      <c r="C27" s="10"/>
      <c r="D27" s="10">
        <v>25</v>
      </c>
      <c r="E27" s="10"/>
      <c r="F27" s="10"/>
      <c r="G27" s="10"/>
      <c r="H27" s="10">
        <f t="shared" si="6"/>
        <v>1.4579999999999984</v>
      </c>
      <c r="I27" s="10">
        <f t="shared" si="7"/>
        <v>33.957999999999998</v>
      </c>
      <c r="J27" s="10">
        <f t="shared" si="8"/>
        <v>35.415999999999997</v>
      </c>
    </row>
    <row r="28" spans="1:10" ht="15.95" customHeight="1" x14ac:dyDescent="0.25">
      <c r="A28" s="11" t="s">
        <v>99</v>
      </c>
      <c r="B28" s="10">
        <v>3.75</v>
      </c>
      <c r="C28" s="10">
        <v>3.75</v>
      </c>
      <c r="D28" s="10"/>
      <c r="E28" s="10"/>
      <c r="F28" s="10"/>
      <c r="G28" s="10"/>
      <c r="H28" s="10">
        <f t="shared" si="6"/>
        <v>5.2079999999999984</v>
      </c>
      <c r="I28" s="10">
        <f t="shared" si="7"/>
        <v>37.707999999999998</v>
      </c>
      <c r="J28" s="10">
        <f t="shared" si="8"/>
        <v>42.915999999999997</v>
      </c>
    </row>
    <row r="29" spans="1:10" ht="15.95" customHeight="1" x14ac:dyDescent="0.25">
      <c r="A29" s="11" t="s">
        <v>50</v>
      </c>
      <c r="B29" s="10"/>
      <c r="C29" s="10"/>
      <c r="D29" s="10"/>
      <c r="E29" s="10">
        <v>3</v>
      </c>
      <c r="F29" s="10"/>
      <c r="G29" s="10"/>
      <c r="H29" s="10">
        <f t="shared" si="6"/>
        <v>5.2079999999999984</v>
      </c>
      <c r="I29" s="10">
        <f t="shared" si="7"/>
        <v>34.707999999999998</v>
      </c>
      <c r="J29" s="10">
        <f t="shared" si="8"/>
        <v>39.915999999999997</v>
      </c>
    </row>
    <row r="30" spans="1:10" ht="15.95" customHeight="1" x14ac:dyDescent="0.25">
      <c r="A30" s="11" t="s">
        <v>100</v>
      </c>
      <c r="B30" s="10">
        <v>1.25</v>
      </c>
      <c r="C30" s="10">
        <v>1.25</v>
      </c>
      <c r="D30" s="10"/>
      <c r="E30" s="10"/>
      <c r="F30" s="10"/>
      <c r="G30" s="10"/>
      <c r="H30" s="10">
        <f t="shared" si="6"/>
        <v>6.4579999999999984</v>
      </c>
      <c r="I30" s="10">
        <f t="shared" si="7"/>
        <v>35.957999999999998</v>
      </c>
      <c r="J30" s="10">
        <f t="shared" si="8"/>
        <v>42.415999999999997</v>
      </c>
    </row>
    <row r="31" spans="1:10" ht="15.95" customHeight="1" x14ac:dyDescent="0.25">
      <c r="A31" s="11" t="s">
        <v>91</v>
      </c>
      <c r="B31" s="10"/>
      <c r="C31" s="10"/>
      <c r="D31" s="10"/>
      <c r="E31" s="10"/>
      <c r="F31" s="10">
        <v>5</v>
      </c>
      <c r="G31" s="10"/>
      <c r="H31" s="10">
        <f t="shared" si="6"/>
        <v>1.4579999999999984</v>
      </c>
      <c r="I31" s="10">
        <f t="shared" si="7"/>
        <v>35.957999999999998</v>
      </c>
      <c r="J31" s="10">
        <f t="shared" si="8"/>
        <v>37.415999999999997</v>
      </c>
    </row>
    <row r="32" spans="1:10" ht="15.95" customHeight="1" x14ac:dyDescent="0.25">
      <c r="A32" s="31" t="s">
        <v>11</v>
      </c>
      <c r="B32" s="10">
        <v>1.25</v>
      </c>
      <c r="C32" s="10">
        <v>1.25</v>
      </c>
      <c r="D32" s="10"/>
      <c r="E32" s="10"/>
      <c r="F32" s="10"/>
      <c r="G32" s="10"/>
      <c r="H32" s="10">
        <f t="shared" si="6"/>
        <v>2.7079999999999984</v>
      </c>
      <c r="I32" s="10">
        <f t="shared" si="7"/>
        <v>37.207999999999998</v>
      </c>
      <c r="J32" s="10">
        <f t="shared" si="8"/>
        <v>39.915999999999997</v>
      </c>
    </row>
    <row r="33" spans="1:10" ht="15.95" customHeight="1" x14ac:dyDescent="0.25">
      <c r="A33" s="31" t="s">
        <v>51</v>
      </c>
      <c r="B33" s="10"/>
      <c r="C33" s="10"/>
      <c r="D33" s="10"/>
      <c r="E33" s="10"/>
      <c r="F33" s="10"/>
      <c r="G33" s="10">
        <v>1</v>
      </c>
      <c r="H33" s="10">
        <f t="shared" si="6"/>
        <v>2.7079999999999984</v>
      </c>
      <c r="I33" s="10">
        <f t="shared" si="7"/>
        <v>37.207999999999998</v>
      </c>
      <c r="J33" s="10">
        <f t="shared" si="8"/>
        <v>39.915999999999997</v>
      </c>
    </row>
    <row r="34" spans="1:10" ht="15.95" customHeight="1" x14ac:dyDescent="0.25">
      <c r="A34" s="11" t="s">
        <v>12</v>
      </c>
      <c r="B34" s="10"/>
      <c r="C34" s="10"/>
      <c r="D34" s="10"/>
      <c r="E34" s="10"/>
      <c r="F34" s="10">
        <v>1</v>
      </c>
      <c r="G34" s="10"/>
      <c r="H34" s="10">
        <f t="shared" si="6"/>
        <v>1.7079999999999984</v>
      </c>
      <c r="I34" s="10">
        <f t="shared" si="7"/>
        <v>37.207999999999998</v>
      </c>
      <c r="J34" s="10">
        <f t="shared" si="8"/>
        <v>38.915999999999997</v>
      </c>
    </row>
    <row r="35" spans="1:10" ht="15.95" customHeight="1" x14ac:dyDescent="0.25">
      <c r="A35" s="31" t="s">
        <v>13</v>
      </c>
      <c r="B35" s="10">
        <v>5</v>
      </c>
      <c r="C35" s="10">
        <v>5</v>
      </c>
      <c r="D35" s="10"/>
      <c r="E35" s="10"/>
      <c r="F35" s="10"/>
      <c r="G35" s="10"/>
      <c r="H35" s="10">
        <f t="shared" si="6"/>
        <v>6.7079999999999984</v>
      </c>
      <c r="I35" s="10">
        <f t="shared" si="7"/>
        <v>42.207999999999998</v>
      </c>
      <c r="J35" s="10">
        <f t="shared" si="8"/>
        <v>48.915999999999997</v>
      </c>
    </row>
    <row r="36" spans="1:10" ht="15.95" customHeight="1" x14ac:dyDescent="0.25">
      <c r="A36" s="11" t="s">
        <v>14</v>
      </c>
      <c r="B36" s="10"/>
      <c r="C36" s="10"/>
      <c r="D36" s="10"/>
      <c r="E36" s="10"/>
      <c r="F36" s="10">
        <v>1</v>
      </c>
      <c r="G36" s="10"/>
      <c r="H36" s="10">
        <f t="shared" si="6"/>
        <v>5.7079999999999984</v>
      </c>
      <c r="I36" s="10">
        <f t="shared" si="7"/>
        <v>42.207999999999998</v>
      </c>
      <c r="J36" s="10">
        <f t="shared" si="8"/>
        <v>47.915999999999997</v>
      </c>
    </row>
    <row r="37" spans="1:10" ht="15.95" customHeight="1" x14ac:dyDescent="0.25">
      <c r="A37" s="31" t="s">
        <v>15</v>
      </c>
      <c r="B37" s="10">
        <v>1.25</v>
      </c>
      <c r="C37" s="10">
        <v>1.25</v>
      </c>
      <c r="D37" s="10"/>
      <c r="E37" s="10"/>
      <c r="F37" s="10"/>
      <c r="G37" s="10"/>
      <c r="H37" s="10">
        <f t="shared" si="6"/>
        <v>6.9579999999999984</v>
      </c>
      <c r="I37" s="10">
        <f t="shared" si="7"/>
        <v>43.457999999999998</v>
      </c>
      <c r="J37" s="10">
        <f t="shared" si="8"/>
        <v>50.415999999999997</v>
      </c>
    </row>
    <row r="38" spans="1:10" ht="15.95" customHeight="1" x14ac:dyDescent="0.25">
      <c r="A38" s="11" t="s">
        <v>16</v>
      </c>
      <c r="B38" s="10"/>
      <c r="C38" s="10"/>
      <c r="D38" s="10"/>
      <c r="E38" s="10">
        <v>1</v>
      </c>
      <c r="F38" s="10"/>
      <c r="G38" s="10"/>
      <c r="H38" s="10">
        <f t="shared" si="6"/>
        <v>6.9579999999999984</v>
      </c>
      <c r="I38" s="10">
        <f t="shared" si="7"/>
        <v>42.457999999999998</v>
      </c>
      <c r="J38" s="10">
        <f t="shared" si="8"/>
        <v>49.415999999999997</v>
      </c>
    </row>
    <row r="39" spans="1:10" ht="15.95" customHeight="1" x14ac:dyDescent="0.25">
      <c r="A39" s="31" t="s">
        <v>17</v>
      </c>
      <c r="B39" s="10">
        <v>2.5</v>
      </c>
      <c r="C39" s="10">
        <v>2.5</v>
      </c>
      <c r="D39" s="10"/>
      <c r="E39" s="10"/>
      <c r="F39" s="10"/>
      <c r="G39" s="10"/>
      <c r="H39" s="10">
        <f t="shared" si="6"/>
        <v>9.4579999999999984</v>
      </c>
      <c r="I39" s="10">
        <f t="shared" si="7"/>
        <v>44.957999999999998</v>
      </c>
      <c r="J39" s="10">
        <f t="shared" si="8"/>
        <v>54.415999999999997</v>
      </c>
    </row>
    <row r="40" spans="1:10" ht="15.95" customHeight="1" x14ac:dyDescent="0.25">
      <c r="A40" s="11" t="s">
        <v>18</v>
      </c>
      <c r="B40" s="10"/>
      <c r="C40" s="10"/>
      <c r="D40" s="10">
        <v>6</v>
      </c>
      <c r="E40" s="10">
        <v>23</v>
      </c>
      <c r="F40" s="10"/>
      <c r="G40" s="10"/>
      <c r="H40" s="10">
        <f t="shared" si="6"/>
        <v>3.4579999999999984</v>
      </c>
      <c r="I40" s="10">
        <f t="shared" si="7"/>
        <v>21.957999999999998</v>
      </c>
      <c r="J40" s="10">
        <f t="shared" si="8"/>
        <v>25.415999999999997</v>
      </c>
    </row>
    <row r="41" spans="1:10" ht="15.95" customHeight="1" x14ac:dyDescent="0.25">
      <c r="A41" s="31" t="s">
        <v>19</v>
      </c>
      <c r="B41" s="10">
        <v>2.5</v>
      </c>
      <c r="C41" s="10">
        <v>2.5</v>
      </c>
      <c r="D41" s="10"/>
      <c r="E41" s="10"/>
      <c r="F41" s="10"/>
      <c r="G41" s="10"/>
      <c r="H41" s="10">
        <f t="shared" si="6"/>
        <v>5.9579999999999984</v>
      </c>
      <c r="I41" s="10">
        <f t="shared" si="7"/>
        <v>24.457999999999998</v>
      </c>
      <c r="J41" s="10">
        <f t="shared" si="8"/>
        <v>30.415999999999997</v>
      </c>
    </row>
    <row r="42" spans="1:10" ht="15.95" customHeight="1" x14ac:dyDescent="0.25">
      <c r="A42" s="11" t="s">
        <v>20</v>
      </c>
      <c r="B42" s="10"/>
      <c r="C42" s="10"/>
      <c r="D42" s="10"/>
      <c r="E42" s="10"/>
      <c r="F42" s="10"/>
      <c r="G42" s="10">
        <v>1</v>
      </c>
      <c r="H42" s="10">
        <f t="shared" si="6"/>
        <v>5.9579999999999984</v>
      </c>
      <c r="I42" s="10">
        <f t="shared" si="7"/>
        <v>24.457999999999998</v>
      </c>
      <c r="J42" s="10">
        <f t="shared" si="8"/>
        <v>30.415999999999997</v>
      </c>
    </row>
    <row r="43" spans="1:10" ht="15.95" customHeight="1" x14ac:dyDescent="0.25">
      <c r="A43" s="11" t="s">
        <v>21</v>
      </c>
      <c r="B43" s="10"/>
      <c r="C43" s="10"/>
      <c r="D43" s="10"/>
      <c r="E43" s="10">
        <v>1</v>
      </c>
      <c r="F43" s="10"/>
      <c r="G43" s="10"/>
      <c r="H43" s="10">
        <f t="shared" si="6"/>
        <v>5.9579999999999984</v>
      </c>
      <c r="I43" s="10">
        <f t="shared" si="7"/>
        <v>23.457999999999998</v>
      </c>
      <c r="J43" s="10">
        <f t="shared" si="8"/>
        <v>29.415999999999997</v>
      </c>
    </row>
    <row r="44" spans="1:10" ht="15.95" customHeight="1" x14ac:dyDescent="0.25">
      <c r="A44" s="31" t="s">
        <v>22</v>
      </c>
      <c r="B44" s="10">
        <v>1.25</v>
      </c>
      <c r="C44" s="10">
        <v>1.25</v>
      </c>
      <c r="D44" s="10"/>
      <c r="E44" s="10"/>
      <c r="F44" s="10"/>
      <c r="G44" s="10"/>
      <c r="H44" s="10">
        <f t="shared" si="6"/>
        <v>7.2079999999999984</v>
      </c>
      <c r="I44" s="10">
        <f t="shared" si="7"/>
        <v>24.707999999999998</v>
      </c>
      <c r="J44" s="10">
        <f t="shared" si="8"/>
        <v>31.915999999999997</v>
      </c>
    </row>
    <row r="45" spans="1:10" ht="15.95" customHeight="1" x14ac:dyDescent="0.25">
      <c r="A45" s="11" t="s">
        <v>23</v>
      </c>
      <c r="B45" s="10"/>
      <c r="C45" s="10"/>
      <c r="D45" s="10"/>
      <c r="E45" s="10"/>
      <c r="F45" s="10">
        <v>1</v>
      </c>
      <c r="G45" s="10"/>
      <c r="H45" s="10">
        <f t="shared" si="6"/>
        <v>6.2079999999999984</v>
      </c>
      <c r="I45" s="10">
        <f t="shared" si="7"/>
        <v>24.707999999999998</v>
      </c>
      <c r="J45" s="10">
        <f t="shared" si="8"/>
        <v>30.915999999999997</v>
      </c>
    </row>
    <row r="46" spans="1:10" ht="15.95" customHeight="1" x14ac:dyDescent="0.25">
      <c r="A46" s="11" t="s">
        <v>25</v>
      </c>
      <c r="B46" s="10"/>
      <c r="C46" s="10"/>
      <c r="D46" s="10"/>
      <c r="E46" s="10"/>
      <c r="F46" s="10"/>
      <c r="G46" s="10">
        <v>1</v>
      </c>
      <c r="H46" s="10">
        <f t="shared" si="6"/>
        <v>6.2079999999999984</v>
      </c>
      <c r="I46" s="10">
        <f t="shared" si="7"/>
        <v>24.707999999999998</v>
      </c>
      <c r="J46" s="10">
        <f t="shared" si="8"/>
        <v>30.915999999999997</v>
      </c>
    </row>
    <row r="47" spans="1:10" ht="15.95" customHeight="1" x14ac:dyDescent="0.25">
      <c r="A47" s="31" t="s">
        <v>26</v>
      </c>
      <c r="B47" s="10">
        <v>1.25</v>
      </c>
      <c r="C47" s="10">
        <v>1.25</v>
      </c>
      <c r="D47" s="10"/>
      <c r="E47" s="10"/>
      <c r="F47" s="10"/>
      <c r="G47" s="10"/>
      <c r="H47" s="10">
        <f t="shared" si="6"/>
        <v>7.4579999999999984</v>
      </c>
      <c r="I47" s="10">
        <f t="shared" si="7"/>
        <v>25.957999999999998</v>
      </c>
      <c r="J47" s="10">
        <f t="shared" si="8"/>
        <v>33.415999999999997</v>
      </c>
    </row>
    <row r="48" spans="1:10" ht="15.95" customHeight="1" x14ac:dyDescent="0.25">
      <c r="A48" s="31" t="s">
        <v>92</v>
      </c>
      <c r="B48" s="10"/>
      <c r="C48" s="10"/>
      <c r="D48" s="10"/>
      <c r="E48" s="10"/>
      <c r="F48" s="10">
        <v>2</v>
      </c>
      <c r="G48" s="10"/>
      <c r="H48" s="10">
        <f t="shared" si="6"/>
        <v>5.4579999999999984</v>
      </c>
      <c r="I48" s="10">
        <f t="shared" si="7"/>
        <v>25.957999999999998</v>
      </c>
      <c r="J48" s="10">
        <f t="shared" si="8"/>
        <v>31.415999999999997</v>
      </c>
    </row>
    <row r="49" spans="1:10" ht="15.95" customHeight="1" x14ac:dyDescent="0.25">
      <c r="A49" s="11" t="s">
        <v>27</v>
      </c>
      <c r="B49" s="10"/>
      <c r="C49" s="10"/>
      <c r="D49" s="10"/>
      <c r="E49" s="10"/>
      <c r="F49" s="10">
        <v>1</v>
      </c>
      <c r="G49" s="10"/>
      <c r="H49" s="10">
        <f t="shared" si="6"/>
        <v>4.4579999999999984</v>
      </c>
      <c r="I49" s="10">
        <f t="shared" si="7"/>
        <v>25.957999999999998</v>
      </c>
      <c r="J49" s="10">
        <f t="shared" si="8"/>
        <v>30.415999999999997</v>
      </c>
    </row>
    <row r="50" spans="1:10" ht="15.95" customHeight="1" x14ac:dyDescent="0.25">
      <c r="A50" s="11" t="s">
        <v>28</v>
      </c>
      <c r="B50" s="10"/>
      <c r="C50" s="10"/>
      <c r="D50" s="10"/>
      <c r="E50" s="10"/>
      <c r="F50" s="10"/>
      <c r="G50" s="10">
        <v>1</v>
      </c>
      <c r="H50" s="10">
        <f t="shared" si="6"/>
        <v>4.4579999999999984</v>
      </c>
      <c r="I50" s="10">
        <f t="shared" si="7"/>
        <v>25.957999999999998</v>
      </c>
      <c r="J50" s="10">
        <f t="shared" si="8"/>
        <v>30.415999999999997</v>
      </c>
    </row>
    <row r="51" spans="1:10" ht="15.95" customHeight="1" x14ac:dyDescent="0.25">
      <c r="A51" s="31" t="s">
        <v>29</v>
      </c>
      <c r="B51" s="10">
        <v>1.25</v>
      </c>
      <c r="C51" s="10">
        <v>1.25</v>
      </c>
      <c r="D51" s="10"/>
      <c r="E51" s="10"/>
      <c r="F51" s="10"/>
      <c r="G51" s="10"/>
      <c r="H51" s="10">
        <f t="shared" si="6"/>
        <v>5.7079999999999984</v>
      </c>
      <c r="I51" s="10">
        <f t="shared" si="7"/>
        <v>27.207999999999998</v>
      </c>
      <c r="J51" s="10">
        <f t="shared" si="8"/>
        <v>32.915999999999997</v>
      </c>
    </row>
    <row r="52" spans="1:10" ht="15.95" customHeight="1" x14ac:dyDescent="0.25">
      <c r="A52" s="11" t="s">
        <v>30</v>
      </c>
      <c r="B52" s="32"/>
      <c r="C52" s="32"/>
      <c r="D52" s="32"/>
      <c r="E52" s="32"/>
      <c r="F52" s="32">
        <v>1</v>
      </c>
      <c r="G52" s="32"/>
      <c r="H52" s="10">
        <f t="shared" si="6"/>
        <v>4.7079999999999984</v>
      </c>
      <c r="I52" s="10">
        <f t="shared" si="7"/>
        <v>27.207999999999998</v>
      </c>
      <c r="J52" s="10">
        <f t="shared" si="8"/>
        <v>31.915999999999997</v>
      </c>
    </row>
    <row r="53" spans="1:10" ht="15.95" customHeight="1" x14ac:dyDescent="0.25">
      <c r="A53" s="31" t="s">
        <v>31</v>
      </c>
      <c r="B53" s="10">
        <v>2.5</v>
      </c>
      <c r="C53" s="10">
        <v>2.5</v>
      </c>
      <c r="D53" s="13"/>
      <c r="E53" s="13"/>
      <c r="F53" s="13"/>
      <c r="G53" s="13"/>
      <c r="H53" s="10">
        <f t="shared" si="6"/>
        <v>7.2079999999999984</v>
      </c>
      <c r="I53" s="10">
        <f t="shared" si="7"/>
        <v>29.707999999999998</v>
      </c>
      <c r="J53" s="10">
        <f t="shared" si="8"/>
        <v>36.915999999999997</v>
      </c>
    </row>
    <row r="54" spans="1:10" ht="15.95" customHeight="1" x14ac:dyDescent="0.25">
      <c r="A54" s="11" t="s">
        <v>32</v>
      </c>
      <c r="B54" s="13"/>
      <c r="C54" s="13"/>
      <c r="D54" s="13"/>
      <c r="E54" s="13"/>
      <c r="F54" s="13">
        <v>1</v>
      </c>
      <c r="G54" s="13"/>
      <c r="H54" s="10">
        <f t="shared" si="6"/>
        <v>6.2079999999999984</v>
      </c>
      <c r="I54" s="10">
        <f t="shared" si="7"/>
        <v>29.707999999999998</v>
      </c>
      <c r="J54" s="10">
        <f t="shared" si="8"/>
        <v>35.915999999999997</v>
      </c>
    </row>
    <row r="55" spans="1:10" ht="15.95" customHeight="1" x14ac:dyDescent="0.25">
      <c r="A55" s="31" t="s">
        <v>52</v>
      </c>
      <c r="B55" s="10">
        <v>1.25</v>
      </c>
      <c r="C55" s="10">
        <v>1.25</v>
      </c>
      <c r="D55" s="13"/>
      <c r="E55" s="13"/>
      <c r="F55" s="13"/>
      <c r="G55" s="13"/>
      <c r="H55" s="10">
        <f t="shared" si="6"/>
        <v>7.4579999999999984</v>
      </c>
      <c r="I55" s="10">
        <f t="shared" si="7"/>
        <v>30.957999999999998</v>
      </c>
      <c r="J55" s="10">
        <f t="shared" si="8"/>
        <v>38.415999999999997</v>
      </c>
    </row>
    <row r="56" spans="1:10" ht="15.95" customHeight="1" x14ac:dyDescent="0.25">
      <c r="A56" s="11" t="s">
        <v>66</v>
      </c>
      <c r="B56" s="13"/>
      <c r="C56" s="13"/>
      <c r="D56" s="13"/>
      <c r="E56" s="13"/>
      <c r="F56" s="13">
        <v>2</v>
      </c>
      <c r="G56" s="13"/>
      <c r="H56" s="10">
        <f t="shared" si="6"/>
        <v>5.4579999999999984</v>
      </c>
      <c r="I56" s="10">
        <f t="shared" si="7"/>
        <v>30.957999999999998</v>
      </c>
      <c r="J56" s="10">
        <f t="shared" si="8"/>
        <v>36.415999999999997</v>
      </c>
    </row>
    <row r="57" spans="1:10" ht="15.95" customHeight="1" x14ac:dyDescent="0.25">
      <c r="A57" s="31" t="s">
        <v>68</v>
      </c>
      <c r="B57" s="10">
        <v>1.25</v>
      </c>
      <c r="C57" s="10">
        <v>1.25</v>
      </c>
      <c r="D57" s="13"/>
      <c r="E57" s="13"/>
      <c r="F57" s="13"/>
      <c r="G57" s="13"/>
      <c r="H57" s="10">
        <f t="shared" si="6"/>
        <v>6.7079999999999984</v>
      </c>
      <c r="I57" s="10">
        <f t="shared" si="7"/>
        <v>32.207999999999998</v>
      </c>
      <c r="J57" s="10">
        <f t="shared" si="8"/>
        <v>38.915999999999997</v>
      </c>
    </row>
    <row r="58" spans="1:10" ht="15.95" customHeight="1" x14ac:dyDescent="0.25">
      <c r="A58" s="11" t="s">
        <v>69</v>
      </c>
      <c r="B58" s="13"/>
      <c r="C58" s="13"/>
      <c r="D58" s="13"/>
      <c r="E58" s="13">
        <v>1</v>
      </c>
      <c r="F58" s="13"/>
      <c r="G58" s="13"/>
      <c r="H58" s="10">
        <f t="shared" si="6"/>
        <v>6.7079999999999984</v>
      </c>
      <c r="I58" s="10">
        <f t="shared" si="7"/>
        <v>31.207999999999998</v>
      </c>
      <c r="J58" s="10">
        <f t="shared" si="8"/>
        <v>37.915999999999997</v>
      </c>
    </row>
    <row r="59" spans="1:10" ht="15.95" customHeight="1" x14ac:dyDescent="0.25">
      <c r="A59" s="31" t="s">
        <v>70</v>
      </c>
      <c r="B59" s="10">
        <v>1.25</v>
      </c>
      <c r="C59" s="10">
        <v>1.25</v>
      </c>
      <c r="D59" s="13"/>
      <c r="E59" s="13"/>
      <c r="F59" s="13"/>
      <c r="G59" s="13"/>
      <c r="H59" s="10">
        <f t="shared" si="6"/>
        <v>7.9579999999999984</v>
      </c>
      <c r="I59" s="10">
        <f t="shared" si="7"/>
        <v>32.457999999999998</v>
      </c>
      <c r="J59" s="10">
        <f t="shared" si="8"/>
        <v>40.415999999999997</v>
      </c>
    </row>
    <row r="60" spans="1:10" ht="15.95" customHeight="1" x14ac:dyDescent="0.25">
      <c r="A60" s="11" t="s">
        <v>71</v>
      </c>
      <c r="B60" s="13"/>
      <c r="C60" s="13"/>
      <c r="D60" s="13"/>
      <c r="E60" s="13"/>
      <c r="F60" s="13"/>
      <c r="G60" s="13">
        <v>2</v>
      </c>
      <c r="H60" s="10">
        <f t="shared" si="6"/>
        <v>7.9579999999999984</v>
      </c>
      <c r="I60" s="10">
        <f t="shared" si="7"/>
        <v>32.457999999999998</v>
      </c>
      <c r="J60" s="10">
        <f t="shared" si="8"/>
        <v>40.415999999999997</v>
      </c>
    </row>
    <row r="61" spans="1:10" ht="15.95" customHeight="1" x14ac:dyDescent="0.25">
      <c r="A61" s="11" t="s">
        <v>72</v>
      </c>
      <c r="B61" s="13"/>
      <c r="C61" s="13"/>
      <c r="D61" s="13"/>
      <c r="E61" s="13">
        <v>1</v>
      </c>
      <c r="F61" s="13"/>
      <c r="G61" s="13"/>
      <c r="H61" s="10">
        <f t="shared" si="6"/>
        <v>7.9579999999999984</v>
      </c>
      <c r="I61" s="10">
        <f t="shared" si="7"/>
        <v>31.457999999999998</v>
      </c>
      <c r="J61" s="10">
        <f t="shared" si="8"/>
        <v>39.415999999999997</v>
      </c>
    </row>
    <row r="62" spans="1:10" ht="15.95" customHeight="1" x14ac:dyDescent="0.25">
      <c r="A62" s="11" t="s">
        <v>73</v>
      </c>
      <c r="B62" s="13"/>
      <c r="C62" s="13"/>
      <c r="D62" s="13"/>
      <c r="E62" s="13">
        <v>1</v>
      </c>
      <c r="F62" s="13"/>
      <c r="G62" s="13"/>
      <c r="H62" s="10">
        <f t="shared" si="6"/>
        <v>7.9579999999999984</v>
      </c>
      <c r="I62" s="10">
        <f t="shared" si="7"/>
        <v>30.457999999999998</v>
      </c>
      <c r="J62" s="10">
        <f t="shared" si="8"/>
        <v>38.415999999999997</v>
      </c>
    </row>
    <row r="63" spans="1:10" ht="15.95" customHeight="1" x14ac:dyDescent="0.25">
      <c r="A63" s="31" t="s">
        <v>74</v>
      </c>
      <c r="B63" s="13">
        <v>2.5</v>
      </c>
      <c r="C63" s="13">
        <v>2.5</v>
      </c>
      <c r="D63" s="13"/>
      <c r="E63" s="13"/>
      <c r="F63" s="13"/>
      <c r="G63" s="13"/>
      <c r="H63" s="10">
        <f t="shared" si="6"/>
        <v>10.457999999999998</v>
      </c>
      <c r="I63" s="10">
        <f t="shared" si="7"/>
        <v>32.957999999999998</v>
      </c>
      <c r="J63" s="10">
        <f t="shared" si="8"/>
        <v>43.415999999999997</v>
      </c>
    </row>
    <row r="64" spans="1:10" ht="15.95" customHeight="1" x14ac:dyDescent="0.25">
      <c r="A64" s="11" t="s">
        <v>75</v>
      </c>
      <c r="B64" s="13"/>
      <c r="C64" s="13"/>
      <c r="D64" s="13">
        <v>9</v>
      </c>
      <c r="E64" s="13">
        <v>20</v>
      </c>
      <c r="F64" s="13"/>
      <c r="G64" s="13"/>
      <c r="H64" s="10">
        <f t="shared" si="6"/>
        <v>1.4579999999999984</v>
      </c>
      <c r="I64" s="10">
        <f t="shared" si="7"/>
        <v>12.957999999999998</v>
      </c>
      <c r="J64" s="10">
        <f t="shared" si="8"/>
        <v>14.415999999999997</v>
      </c>
    </row>
    <row r="65" spans="1:10" ht="15.95" customHeight="1" x14ac:dyDescent="0.25">
      <c r="A65" s="11" t="s">
        <v>76</v>
      </c>
      <c r="B65" s="13">
        <f>1.25*3</f>
        <v>3.75</v>
      </c>
      <c r="C65" s="13">
        <v>3.75</v>
      </c>
      <c r="D65" s="13"/>
      <c r="E65" s="13"/>
      <c r="F65" s="13"/>
      <c r="G65" s="13"/>
      <c r="H65" s="10">
        <f t="shared" si="6"/>
        <v>5.2079999999999984</v>
      </c>
      <c r="I65" s="10">
        <f t="shared" si="7"/>
        <v>16.707999999999998</v>
      </c>
      <c r="J65" s="10">
        <f t="shared" si="8"/>
        <v>21.915999999999997</v>
      </c>
    </row>
    <row r="66" spans="1:10" ht="15.95" customHeight="1" x14ac:dyDescent="0.25">
      <c r="A66" s="11" t="s">
        <v>77</v>
      </c>
      <c r="B66" s="13"/>
      <c r="C66" s="13"/>
      <c r="D66" s="13"/>
      <c r="E66" s="13">
        <v>1</v>
      </c>
      <c r="F66" s="13"/>
      <c r="G66" s="13"/>
      <c r="H66" s="10">
        <f t="shared" si="6"/>
        <v>5.2079999999999984</v>
      </c>
      <c r="I66" s="10">
        <f t="shared" si="7"/>
        <v>15.707999999999998</v>
      </c>
      <c r="J66" s="10">
        <f t="shared" si="8"/>
        <v>20.915999999999997</v>
      </c>
    </row>
    <row r="67" spans="1:10" ht="15.95" customHeight="1" x14ac:dyDescent="0.25">
      <c r="A67" s="11" t="s">
        <v>78</v>
      </c>
      <c r="B67" s="13"/>
      <c r="C67" s="13"/>
      <c r="D67" s="13"/>
      <c r="E67" s="13"/>
      <c r="F67" s="13"/>
      <c r="G67" s="13">
        <v>1</v>
      </c>
      <c r="H67" s="10">
        <f t="shared" si="6"/>
        <v>5.2079999999999984</v>
      </c>
      <c r="I67" s="10">
        <f t="shared" si="7"/>
        <v>15.707999999999998</v>
      </c>
      <c r="J67" s="10">
        <f t="shared" si="8"/>
        <v>20.915999999999997</v>
      </c>
    </row>
    <row r="68" spans="1:10" ht="15.95" customHeight="1" x14ac:dyDescent="0.25">
      <c r="A68" s="11" t="s">
        <v>79</v>
      </c>
      <c r="B68" s="13">
        <v>1.25</v>
      </c>
      <c r="C68" s="13">
        <v>1.25</v>
      </c>
      <c r="D68" s="13"/>
      <c r="E68" s="13"/>
      <c r="F68" s="13"/>
      <c r="G68" s="13"/>
      <c r="H68" s="10">
        <f t="shared" si="6"/>
        <v>6.4579999999999984</v>
      </c>
      <c r="I68" s="10">
        <f t="shared" si="7"/>
        <v>16.957999999999998</v>
      </c>
      <c r="J68" s="10">
        <f t="shared" si="8"/>
        <v>23.415999999999997</v>
      </c>
    </row>
    <row r="69" spans="1:10" ht="15.95" customHeight="1" x14ac:dyDescent="0.25">
      <c r="A69" s="11" t="s">
        <v>80</v>
      </c>
      <c r="B69" s="13">
        <v>2.5</v>
      </c>
      <c r="C69" s="13">
        <v>2.5</v>
      </c>
      <c r="D69" s="13"/>
      <c r="E69" s="13"/>
      <c r="F69" s="13"/>
      <c r="G69" s="13"/>
      <c r="H69" s="10">
        <f t="shared" si="6"/>
        <v>8.9579999999999984</v>
      </c>
      <c r="I69" s="10">
        <f t="shared" si="7"/>
        <v>19.457999999999998</v>
      </c>
      <c r="J69" s="10">
        <f t="shared" si="8"/>
        <v>28.415999999999997</v>
      </c>
    </row>
    <row r="70" spans="1:10" ht="15.95" customHeight="1" x14ac:dyDescent="0.25">
      <c r="A70" s="11" t="s">
        <v>101</v>
      </c>
      <c r="B70" s="13"/>
      <c r="C70" s="13"/>
      <c r="D70" s="13"/>
      <c r="E70" s="13"/>
      <c r="F70" s="13">
        <v>1</v>
      </c>
      <c r="G70" s="13"/>
      <c r="H70" s="10">
        <f t="shared" si="6"/>
        <v>7.9579999999999984</v>
      </c>
      <c r="I70" s="10">
        <f t="shared" si="7"/>
        <v>19.457999999999998</v>
      </c>
      <c r="J70" s="10">
        <f t="shared" si="8"/>
        <v>27.415999999999997</v>
      </c>
    </row>
    <row r="71" spans="1:10" ht="15.95" customHeight="1" x14ac:dyDescent="0.25">
      <c r="A71" s="11" t="s">
        <v>90</v>
      </c>
      <c r="B71" s="13">
        <v>5</v>
      </c>
      <c r="C71" s="13">
        <v>5</v>
      </c>
      <c r="D71" s="13"/>
      <c r="E71" s="13"/>
      <c r="F71" s="13"/>
      <c r="G71" s="13"/>
      <c r="H71" s="10">
        <f t="shared" si="6"/>
        <v>12.957999999999998</v>
      </c>
      <c r="I71" s="10">
        <f t="shared" si="7"/>
        <v>24.457999999999998</v>
      </c>
      <c r="J71" s="10">
        <f t="shared" si="8"/>
        <v>37.415999999999997</v>
      </c>
    </row>
    <row r="72" spans="1:10" ht="15.95" customHeight="1" x14ac:dyDescent="0.25">
      <c r="A72" s="11" t="s">
        <v>104</v>
      </c>
      <c r="B72" s="13">
        <v>2.5</v>
      </c>
      <c r="C72" s="13">
        <v>2.5</v>
      </c>
      <c r="D72" s="13"/>
      <c r="E72" s="13"/>
      <c r="F72" s="13"/>
      <c r="G72" s="13"/>
      <c r="H72" s="10">
        <f t="shared" si="6"/>
        <v>15.457999999999998</v>
      </c>
      <c r="I72" s="10">
        <f t="shared" si="7"/>
        <v>26.957999999999998</v>
      </c>
      <c r="J72" s="10">
        <f t="shared" si="8"/>
        <v>42.415999999999997</v>
      </c>
    </row>
    <row r="73" spans="1:10" ht="15.95" customHeight="1" x14ac:dyDescent="0.25">
      <c r="A73" s="11" t="s">
        <v>88</v>
      </c>
      <c r="B73" s="13"/>
      <c r="C73" s="13"/>
      <c r="D73" s="13">
        <v>10</v>
      </c>
      <c r="E73" s="13"/>
      <c r="F73" s="13"/>
      <c r="G73" s="13"/>
      <c r="H73" s="10">
        <f t="shared" si="6"/>
        <v>5.4579999999999984</v>
      </c>
      <c r="I73" s="10">
        <f t="shared" si="7"/>
        <v>26.957999999999998</v>
      </c>
      <c r="J73" s="10">
        <f t="shared" si="8"/>
        <v>32.415999999999997</v>
      </c>
    </row>
    <row r="74" spans="1:10" ht="15.95" customHeight="1" x14ac:dyDescent="0.25">
      <c r="A74" s="11" t="s">
        <v>105</v>
      </c>
      <c r="B74" s="13">
        <v>1.25</v>
      </c>
      <c r="C74" s="13">
        <v>1.25</v>
      </c>
      <c r="D74" s="13"/>
      <c r="E74" s="13"/>
      <c r="F74" s="13"/>
      <c r="G74" s="13"/>
      <c r="H74" s="10">
        <f t="shared" si="6"/>
        <v>6.7079999999999984</v>
      </c>
      <c r="I74" s="10">
        <f t="shared" si="7"/>
        <v>28.207999999999998</v>
      </c>
      <c r="J74" s="10">
        <f t="shared" si="8"/>
        <v>34.915999999999997</v>
      </c>
    </row>
    <row r="75" spans="1:10" ht="15.95" customHeight="1" x14ac:dyDescent="0.25">
      <c r="A75" s="11" t="s">
        <v>93</v>
      </c>
      <c r="B75" s="13"/>
      <c r="C75" s="13"/>
      <c r="D75" s="13"/>
      <c r="E75" s="13"/>
      <c r="F75" s="13"/>
      <c r="G75" s="13">
        <v>2</v>
      </c>
      <c r="H75" s="10">
        <f t="shared" si="6"/>
        <v>6.7079999999999984</v>
      </c>
      <c r="I75" s="10">
        <f t="shared" si="7"/>
        <v>28.207999999999998</v>
      </c>
      <c r="J75" s="10">
        <f t="shared" si="8"/>
        <v>34.915999999999997</v>
      </c>
    </row>
    <row r="76" spans="1:10" ht="15.95" customHeight="1" x14ac:dyDescent="0.25">
      <c r="A76" s="11" t="s">
        <v>102</v>
      </c>
      <c r="B76" s="13">
        <v>1.25</v>
      </c>
      <c r="C76" s="13">
        <v>1.25</v>
      </c>
      <c r="D76" s="13"/>
      <c r="E76" s="13"/>
      <c r="F76" s="13"/>
      <c r="G76" s="13"/>
      <c r="H76" s="10">
        <f t="shared" si="6"/>
        <v>7.9579999999999984</v>
      </c>
      <c r="I76" s="10">
        <f t="shared" si="7"/>
        <v>29.457999999999998</v>
      </c>
      <c r="J76" s="10">
        <f t="shared" si="8"/>
        <v>37.415999999999997</v>
      </c>
    </row>
    <row r="77" spans="1:10" ht="15.95" customHeight="1" x14ac:dyDescent="0.25">
      <c r="A77" s="11" t="s">
        <v>103</v>
      </c>
      <c r="B77" s="13"/>
      <c r="C77" s="13"/>
      <c r="D77" s="13"/>
      <c r="E77" s="13"/>
      <c r="F77" s="13">
        <v>1</v>
      </c>
      <c r="G77" s="13"/>
      <c r="H77" s="10">
        <f t="shared" si="6"/>
        <v>6.9579999999999984</v>
      </c>
      <c r="I77" s="10">
        <f t="shared" si="7"/>
        <v>29.457999999999998</v>
      </c>
      <c r="J77" s="10">
        <f t="shared" si="8"/>
        <v>36.415999999999997</v>
      </c>
    </row>
    <row r="78" spans="1:10" ht="15.95" customHeight="1" x14ac:dyDescent="0.25">
      <c r="A78" s="11" t="s">
        <v>106</v>
      </c>
      <c r="B78" s="13">
        <v>1</v>
      </c>
      <c r="C78" s="13"/>
      <c r="D78" s="13"/>
      <c r="E78" s="13"/>
      <c r="F78" s="13"/>
      <c r="G78" s="13"/>
      <c r="H78" s="10">
        <f t="shared" si="6"/>
        <v>7.9579999999999984</v>
      </c>
      <c r="I78" s="10">
        <f t="shared" si="7"/>
        <v>29.457999999999998</v>
      </c>
      <c r="J78" s="10">
        <f t="shared" si="8"/>
        <v>37.415999999999997</v>
      </c>
    </row>
    <row r="79" spans="1:10" ht="15.95" customHeight="1" x14ac:dyDescent="0.25">
      <c r="A79" s="11" t="s">
        <v>107</v>
      </c>
      <c r="B79" s="13">
        <v>2.5</v>
      </c>
      <c r="C79" s="13">
        <v>2.5</v>
      </c>
      <c r="D79" s="13"/>
      <c r="E79" s="13"/>
      <c r="F79" s="13"/>
      <c r="G79" s="13"/>
      <c r="H79" s="10">
        <f t="shared" si="6"/>
        <v>10.457999999999998</v>
      </c>
      <c r="I79" s="10">
        <f t="shared" si="7"/>
        <v>31.957999999999998</v>
      </c>
      <c r="J79" s="10">
        <f t="shared" si="8"/>
        <v>42.415999999999997</v>
      </c>
    </row>
    <row r="80" spans="1:10" ht="15.95" customHeight="1" x14ac:dyDescent="0.25">
      <c r="A80" s="11" t="s">
        <v>121</v>
      </c>
      <c r="B80" s="13"/>
      <c r="C80" s="13"/>
      <c r="D80" s="13"/>
      <c r="E80" s="13"/>
      <c r="F80" s="13">
        <v>3</v>
      </c>
      <c r="G80" s="13"/>
      <c r="H80" s="10">
        <f t="shared" si="6"/>
        <v>7.4579999999999984</v>
      </c>
      <c r="I80" s="10">
        <f t="shared" si="7"/>
        <v>31.957999999999998</v>
      </c>
      <c r="J80" s="10">
        <f t="shared" si="8"/>
        <v>39.415999999999997</v>
      </c>
    </row>
    <row r="81" spans="1:10" ht="15.95" customHeight="1" x14ac:dyDescent="0.25">
      <c r="A81" s="11" t="s">
        <v>108</v>
      </c>
      <c r="B81" s="13"/>
      <c r="C81" s="13"/>
      <c r="D81" s="13"/>
      <c r="E81" s="13">
        <v>1</v>
      </c>
      <c r="F81" s="13"/>
      <c r="G81" s="13"/>
      <c r="H81" s="10">
        <f t="shared" si="6"/>
        <v>7.4579999999999984</v>
      </c>
      <c r="I81" s="10">
        <f t="shared" si="7"/>
        <v>30.957999999999998</v>
      </c>
      <c r="J81" s="10">
        <f t="shared" si="8"/>
        <v>38.415999999999997</v>
      </c>
    </row>
    <row r="82" spans="1:10" ht="15.95" customHeight="1" x14ac:dyDescent="0.25">
      <c r="A82" s="11" t="s">
        <v>111</v>
      </c>
      <c r="B82" s="13">
        <v>2.5</v>
      </c>
      <c r="C82" s="13">
        <v>2.5</v>
      </c>
      <c r="D82" s="13"/>
      <c r="E82" s="13"/>
      <c r="F82" s="13"/>
      <c r="G82" s="13"/>
      <c r="H82" s="10">
        <f t="shared" si="6"/>
        <v>9.9579999999999984</v>
      </c>
      <c r="I82" s="10">
        <f t="shared" si="7"/>
        <v>33.457999999999998</v>
      </c>
      <c r="J82" s="10">
        <f t="shared" si="8"/>
        <v>43.415999999999997</v>
      </c>
    </row>
    <row r="83" spans="1:10" ht="15.95" customHeight="1" x14ac:dyDescent="0.25">
      <c r="A83" s="11" t="s">
        <v>112</v>
      </c>
      <c r="B83" s="13"/>
      <c r="C83" s="13"/>
      <c r="D83" s="13"/>
      <c r="E83" s="13">
        <v>1</v>
      </c>
      <c r="F83" s="13"/>
      <c r="G83" s="13"/>
      <c r="H83" s="10">
        <f t="shared" si="6"/>
        <v>9.9579999999999984</v>
      </c>
      <c r="I83" s="10">
        <f t="shared" si="7"/>
        <v>32.457999999999998</v>
      </c>
      <c r="J83" s="10">
        <f t="shared" si="8"/>
        <v>42.415999999999997</v>
      </c>
    </row>
    <row r="84" spans="1:10" ht="15.95" customHeight="1" x14ac:dyDescent="0.25">
      <c r="A84" s="11" t="s">
        <v>113</v>
      </c>
      <c r="B84" s="13">
        <v>1.25</v>
      </c>
      <c r="C84" s="13">
        <v>1.25</v>
      </c>
      <c r="D84" s="13"/>
      <c r="E84" s="13"/>
      <c r="F84" s="13"/>
      <c r="G84" s="13"/>
      <c r="H84" s="10">
        <f t="shared" si="6"/>
        <v>11.207999999999998</v>
      </c>
      <c r="I84" s="10">
        <f t="shared" si="7"/>
        <v>33.707999999999998</v>
      </c>
      <c r="J84" s="10">
        <f t="shared" si="8"/>
        <v>44.915999999999997</v>
      </c>
    </row>
    <row r="85" spans="1:10" ht="15.95" customHeight="1" x14ac:dyDescent="0.25">
      <c r="A85" s="11" t="s">
        <v>114</v>
      </c>
      <c r="B85" s="13"/>
      <c r="C85" s="13"/>
      <c r="D85" s="13"/>
      <c r="E85" s="13"/>
      <c r="F85" s="28">
        <v>2</v>
      </c>
      <c r="G85" s="13"/>
      <c r="H85" s="10">
        <f t="shared" ref="H85:H87" si="9">H84-F85-D85+B85</f>
        <v>9.2079999999999984</v>
      </c>
      <c r="I85" s="10">
        <f t="shared" ref="I85:I87" si="10">I84-E85+C85</f>
        <v>33.707999999999998</v>
      </c>
      <c r="J85" s="10">
        <f t="shared" ref="J85:J87" si="11">SUM(H85:I85)</f>
        <v>42.915999999999997</v>
      </c>
    </row>
    <row r="86" spans="1:10" ht="15.95" customHeight="1" x14ac:dyDescent="0.25">
      <c r="A86" s="11" t="s">
        <v>115</v>
      </c>
      <c r="B86" s="13">
        <v>1.25</v>
      </c>
      <c r="C86" s="13">
        <v>1.25</v>
      </c>
      <c r="D86" s="13"/>
      <c r="E86" s="13"/>
      <c r="F86" s="13"/>
      <c r="G86" s="13"/>
      <c r="H86" s="10">
        <f t="shared" si="9"/>
        <v>10.457999999999998</v>
      </c>
      <c r="I86" s="10">
        <f t="shared" si="10"/>
        <v>34.957999999999998</v>
      </c>
      <c r="J86" s="10">
        <f t="shared" si="11"/>
        <v>45.415999999999997</v>
      </c>
    </row>
    <row r="87" spans="1:10" ht="15.95" customHeight="1" x14ac:dyDescent="0.25">
      <c r="A87" s="11" t="s">
        <v>116</v>
      </c>
      <c r="B87" s="13"/>
      <c r="C87" s="13"/>
      <c r="D87" s="13"/>
      <c r="E87" s="13">
        <v>1</v>
      </c>
      <c r="F87" s="13"/>
      <c r="G87" s="13"/>
      <c r="H87" s="10">
        <f t="shared" si="9"/>
        <v>10.457999999999998</v>
      </c>
      <c r="I87" s="10">
        <f t="shared" si="10"/>
        <v>33.957999999999998</v>
      </c>
      <c r="J87" s="10">
        <f t="shared" si="11"/>
        <v>44.415999999999997</v>
      </c>
    </row>
    <row r="88" spans="1:10" ht="15.95" customHeight="1" x14ac:dyDescent="0.25">
      <c r="A88" s="11" t="s">
        <v>123</v>
      </c>
      <c r="B88" s="13">
        <v>3.75</v>
      </c>
      <c r="C88" s="13">
        <v>3.75</v>
      </c>
      <c r="D88" s="13"/>
      <c r="E88" s="13"/>
      <c r="F88" s="13"/>
      <c r="G88" s="13"/>
      <c r="H88" s="10">
        <f t="shared" ref="H88" si="12">H87-F88-D88+B88</f>
        <v>14.207999999999998</v>
      </c>
      <c r="I88" s="10">
        <f t="shared" ref="I88" si="13">I87-E88+C88</f>
        <v>37.707999999999998</v>
      </c>
      <c r="J88" s="10">
        <f t="shared" ref="J88" si="14">SUM(H88:I88)</f>
        <v>51.915999999999997</v>
      </c>
    </row>
    <row r="89" spans="1:10" ht="15.95" customHeight="1" x14ac:dyDescent="0.25">
      <c r="A89" s="11" t="s">
        <v>124</v>
      </c>
      <c r="B89" s="13"/>
      <c r="C89" s="13"/>
      <c r="D89" s="13"/>
      <c r="E89" s="13">
        <v>1</v>
      </c>
      <c r="F89" s="13"/>
      <c r="G89" s="13"/>
      <c r="H89" s="10">
        <f t="shared" ref="H89" si="15">H88-F89-D89+B89</f>
        <v>14.207999999999998</v>
      </c>
      <c r="I89" s="10">
        <f t="shared" ref="I89" si="16">I88-E89+C89</f>
        <v>36.707999999999998</v>
      </c>
      <c r="J89" s="10">
        <f t="shared" ref="J89" si="17">SUM(H89:I89)</f>
        <v>50.915999999999997</v>
      </c>
    </row>
    <row r="90" spans="1:10" ht="15.95" customHeight="1" x14ac:dyDescent="0.25">
      <c r="A90" s="11" t="s">
        <v>125</v>
      </c>
      <c r="B90" s="13">
        <v>1.25</v>
      </c>
      <c r="C90" s="13">
        <v>1.25</v>
      </c>
      <c r="D90" s="13"/>
      <c r="E90" s="13"/>
      <c r="F90" s="13"/>
      <c r="G90" s="13"/>
      <c r="H90" s="10">
        <f t="shared" ref="H90:H91" si="18">H89-F90-D90+B90</f>
        <v>15.457999999999998</v>
      </c>
      <c r="I90" s="10">
        <f t="shared" ref="I90:I91" si="19">I89-E90+C90</f>
        <v>37.957999999999998</v>
      </c>
      <c r="J90" s="10">
        <f t="shared" ref="J90:J91" si="20">SUM(H90:I90)</f>
        <v>53.415999999999997</v>
      </c>
    </row>
    <row r="91" spans="1:10" ht="15.95" customHeight="1" x14ac:dyDescent="0.25">
      <c r="A91" s="11" t="s">
        <v>126</v>
      </c>
      <c r="B91" s="13"/>
      <c r="C91" s="13"/>
      <c r="D91" s="13">
        <v>10</v>
      </c>
      <c r="E91" s="13"/>
      <c r="F91" s="13"/>
      <c r="G91" s="13"/>
      <c r="H91" s="10">
        <f t="shared" si="18"/>
        <v>5.4579999999999984</v>
      </c>
      <c r="I91" s="10">
        <f t="shared" si="19"/>
        <v>37.957999999999998</v>
      </c>
      <c r="J91" s="10">
        <f t="shared" si="20"/>
        <v>43.415999999999997</v>
      </c>
    </row>
    <row r="92" spans="1:10" ht="15.95" customHeight="1" x14ac:dyDescent="0.25">
      <c r="A92" s="11" t="s">
        <v>127</v>
      </c>
      <c r="B92" s="13"/>
      <c r="C92" s="13"/>
      <c r="D92" s="13"/>
      <c r="E92" s="13">
        <v>1</v>
      </c>
      <c r="F92" s="13"/>
      <c r="G92" s="13"/>
      <c r="H92" s="10">
        <f t="shared" ref="H92" si="21">H91-F92-D92+B92</f>
        <v>5.4579999999999984</v>
      </c>
      <c r="I92" s="10">
        <f t="shared" ref="I92" si="22">I91-E92+C92</f>
        <v>36.957999999999998</v>
      </c>
      <c r="J92" s="10">
        <f t="shared" ref="J92" si="23">SUM(H92:I92)</f>
        <v>42.415999999999997</v>
      </c>
    </row>
    <row r="93" spans="1:10" ht="15.95" customHeight="1" x14ac:dyDescent="0.25">
      <c r="A93" s="11" t="s">
        <v>128</v>
      </c>
      <c r="B93" s="13">
        <v>1.25</v>
      </c>
      <c r="C93" s="13">
        <v>1.25</v>
      </c>
      <c r="D93" s="13"/>
      <c r="E93" s="13"/>
      <c r="F93" s="13"/>
      <c r="G93" s="13"/>
      <c r="H93" s="10">
        <f t="shared" ref="H93:H94" si="24">H92-F93-D93+B93</f>
        <v>6.7079999999999984</v>
      </c>
      <c r="I93" s="10">
        <f t="shared" ref="I93:I94" si="25">I92-E93+C93</f>
        <v>38.207999999999998</v>
      </c>
      <c r="J93" s="10">
        <f t="shared" ref="J93:J94" si="26">SUM(H93:I93)</f>
        <v>44.915999999999997</v>
      </c>
    </row>
    <row r="94" spans="1:10" ht="15.95" customHeight="1" x14ac:dyDescent="0.25">
      <c r="A94" s="11" t="s">
        <v>129</v>
      </c>
      <c r="B94" s="13"/>
      <c r="C94" s="13"/>
      <c r="D94" s="13"/>
      <c r="E94" s="13"/>
      <c r="F94" s="28">
        <v>2</v>
      </c>
      <c r="G94" s="13"/>
      <c r="H94" s="10">
        <f t="shared" si="24"/>
        <v>4.7079999999999984</v>
      </c>
      <c r="I94" s="10">
        <f t="shared" si="25"/>
        <v>38.207999999999998</v>
      </c>
      <c r="J94" s="10">
        <f t="shared" si="26"/>
        <v>42.915999999999997</v>
      </c>
    </row>
    <row r="95" spans="1:10" ht="15.95" customHeight="1" x14ac:dyDescent="0.25">
      <c r="A95" s="11" t="s">
        <v>130</v>
      </c>
      <c r="B95" s="13">
        <v>1.25</v>
      </c>
      <c r="C95" s="13">
        <v>1.25</v>
      </c>
      <c r="D95" s="13"/>
      <c r="E95" s="13"/>
      <c r="F95" s="13"/>
      <c r="G95" s="13"/>
      <c r="H95" s="10">
        <f t="shared" ref="H95" si="27">H94-F95-D95+B95</f>
        <v>5.9579999999999984</v>
      </c>
      <c r="I95" s="10">
        <f t="shared" ref="I95" si="28">I94-E95+C95</f>
        <v>39.457999999999998</v>
      </c>
      <c r="J95" s="10">
        <f t="shared" ref="J95" si="29">SUM(H95:I95)</f>
        <v>45.415999999999997</v>
      </c>
    </row>
    <row r="96" spans="1:10" ht="15.95" customHeight="1" x14ac:dyDescent="0.25">
      <c r="A96" s="12"/>
      <c r="B96" s="14"/>
      <c r="C96" s="14"/>
      <c r="D96" s="14"/>
      <c r="E96" s="14"/>
      <c r="F96" s="14"/>
      <c r="G96" s="14"/>
      <c r="H96" s="33"/>
      <c r="I96" s="33"/>
      <c r="J96" s="33"/>
    </row>
    <row r="97" spans="1:10" ht="15.95" customHeight="1" x14ac:dyDescent="0.25">
      <c r="A97" s="12"/>
      <c r="B97" s="14"/>
      <c r="C97" s="14"/>
      <c r="D97" s="14"/>
      <c r="E97" s="14"/>
      <c r="F97" s="14"/>
      <c r="G97" s="14"/>
      <c r="H97" s="14"/>
      <c r="I97" s="14"/>
      <c r="J97" s="14"/>
    </row>
    <row r="98" spans="1:10" s="1" customFormat="1" ht="15.95" customHeight="1" x14ac:dyDescent="0.25">
      <c r="G98" s="1" t="s">
        <v>61</v>
      </c>
    </row>
    <row r="99" spans="1:10" s="1" customFormat="1" ht="15.95" customHeight="1" x14ac:dyDescent="0.25"/>
    <row r="100" spans="1:10" s="1" customFormat="1" ht="15.95" customHeight="1" x14ac:dyDescent="0.25">
      <c r="H100" s="26" t="s">
        <v>62</v>
      </c>
    </row>
    <row r="101" spans="1:10" s="1" customFormat="1" ht="15.95" customHeight="1" x14ac:dyDescent="0.25">
      <c r="H101" s="1" t="s">
        <v>63</v>
      </c>
    </row>
    <row r="102" spans="1:10" s="1" customFormat="1" ht="15.95" customHeight="1" x14ac:dyDescent="0.25">
      <c r="H102" s="1" t="s">
        <v>89</v>
      </c>
    </row>
    <row r="103" spans="1:10" ht="15.95" customHeight="1" x14ac:dyDescent="0.25">
      <c r="A103" s="12"/>
      <c r="B103" s="14"/>
      <c r="C103" s="14"/>
      <c r="D103" s="14"/>
      <c r="E103" s="14"/>
      <c r="F103" s="14"/>
      <c r="G103" s="14"/>
      <c r="H103" s="14"/>
      <c r="I103" s="14"/>
      <c r="J103" s="14"/>
    </row>
    <row r="104" spans="1:10" ht="15.95" customHeight="1" x14ac:dyDescent="0.25">
      <c r="A104" s="12"/>
      <c r="B104" s="14"/>
      <c r="C104" s="14"/>
      <c r="D104" s="14"/>
      <c r="E104" s="14"/>
      <c r="F104" s="14"/>
      <c r="G104" s="14"/>
      <c r="H104" s="14"/>
      <c r="I104" s="14"/>
      <c r="J104" s="14"/>
    </row>
    <row r="105" spans="1:10" ht="15.95" customHeight="1" x14ac:dyDescent="0.25">
      <c r="A105" s="12"/>
      <c r="B105" s="14"/>
      <c r="C105" s="14"/>
      <c r="D105" s="14"/>
      <c r="E105" s="14"/>
      <c r="F105" s="14"/>
      <c r="G105" s="14"/>
      <c r="H105" s="14"/>
      <c r="I105" s="14"/>
      <c r="J105" s="14"/>
    </row>
    <row r="106" spans="1:10" ht="15.95" customHeight="1" x14ac:dyDescent="0.25">
      <c r="A106" s="12"/>
      <c r="B106" s="14"/>
      <c r="C106" s="14"/>
      <c r="D106" s="14"/>
      <c r="E106" s="14"/>
      <c r="F106" s="14"/>
      <c r="G106" s="14"/>
      <c r="H106" s="14"/>
      <c r="I106" s="14"/>
      <c r="J106" s="14"/>
    </row>
    <row r="107" spans="1:10" ht="15.95" customHeight="1" x14ac:dyDescent="0.25">
      <c r="A107" s="12"/>
      <c r="B107" s="14"/>
      <c r="C107" s="14"/>
      <c r="D107" s="14"/>
      <c r="E107" s="14"/>
      <c r="F107" s="14"/>
      <c r="G107" s="14"/>
      <c r="H107" s="14"/>
      <c r="I107" s="14"/>
      <c r="J107" s="14"/>
    </row>
    <row r="108" spans="1:10" ht="15.95" customHeight="1" x14ac:dyDescent="0.25">
      <c r="A108" s="12"/>
      <c r="B108" s="14"/>
      <c r="C108" s="14"/>
      <c r="D108" s="14"/>
      <c r="E108" s="14"/>
      <c r="F108" s="14"/>
      <c r="G108" s="14"/>
      <c r="H108" s="14"/>
      <c r="I108" s="14"/>
      <c r="J108" s="14"/>
    </row>
    <row r="109" spans="1:10" ht="15.95" customHeight="1" x14ac:dyDescent="0.25">
      <c r="A109" s="12"/>
      <c r="B109" s="14"/>
      <c r="C109" s="14"/>
      <c r="D109" s="14"/>
      <c r="E109" s="14"/>
      <c r="F109" s="14"/>
      <c r="G109" s="14"/>
      <c r="H109" s="14"/>
      <c r="I109" s="14"/>
      <c r="J109" s="14"/>
    </row>
    <row r="110" spans="1:10" ht="15.95" customHeight="1" x14ac:dyDescent="0.25">
      <c r="A110" s="12"/>
      <c r="B110" s="14"/>
      <c r="C110" s="14"/>
      <c r="D110" s="14"/>
      <c r="E110" s="14"/>
      <c r="F110" s="14"/>
      <c r="G110" s="14"/>
      <c r="H110" s="14"/>
      <c r="I110" s="14"/>
      <c r="J110" s="14"/>
    </row>
    <row r="111" spans="1:10" ht="15.95" customHeight="1" x14ac:dyDescent="0.25">
      <c r="A111" s="12"/>
      <c r="B111" s="14"/>
      <c r="C111" s="14"/>
      <c r="D111" s="14"/>
      <c r="E111" s="14"/>
      <c r="F111" s="14"/>
      <c r="G111" s="14"/>
      <c r="H111" s="14"/>
      <c r="I111" s="14"/>
      <c r="J111" s="14"/>
    </row>
    <row r="112" spans="1:10" ht="15.95" customHeight="1" x14ac:dyDescent="0.25">
      <c r="A112" s="12"/>
      <c r="B112" s="14"/>
      <c r="C112" s="14"/>
      <c r="D112" s="14"/>
      <c r="E112" s="14"/>
      <c r="F112" s="14"/>
      <c r="G112" s="14"/>
      <c r="H112" s="14"/>
      <c r="I112" s="14"/>
      <c r="J112" s="14"/>
    </row>
    <row r="113" spans="1:10" ht="15.95" customHeight="1" x14ac:dyDescent="0.25">
      <c r="A113" s="12"/>
      <c r="B113" s="14"/>
      <c r="C113" s="14"/>
      <c r="D113" s="14"/>
      <c r="E113" s="14"/>
      <c r="F113" s="14"/>
      <c r="G113" s="14"/>
      <c r="H113" s="14"/>
      <c r="I113" s="14"/>
      <c r="J113" s="14"/>
    </row>
    <row r="114" spans="1:10" ht="15.95" customHeight="1" x14ac:dyDescent="0.25">
      <c r="A114" s="12"/>
      <c r="B114" s="14"/>
      <c r="C114" s="14"/>
      <c r="D114" s="14"/>
      <c r="E114" s="14"/>
      <c r="F114" s="14"/>
      <c r="G114" s="14"/>
      <c r="H114" s="14"/>
      <c r="I114" s="14"/>
      <c r="J114" s="14"/>
    </row>
    <row r="115" spans="1:10" ht="15.95" customHeight="1" x14ac:dyDescent="0.25">
      <c r="A115" s="12"/>
      <c r="B115" s="14"/>
      <c r="C115" s="14"/>
      <c r="D115" s="14"/>
      <c r="E115" s="14"/>
      <c r="F115" s="14"/>
      <c r="G115" s="14"/>
      <c r="H115" s="14"/>
      <c r="I115" s="14"/>
      <c r="J115" s="14"/>
    </row>
    <row r="116" spans="1:10" ht="15.95" customHeight="1" x14ac:dyDescent="0.25">
      <c r="A116" s="12"/>
      <c r="B116" s="14"/>
      <c r="C116" s="14"/>
      <c r="D116" s="14"/>
      <c r="E116" s="14"/>
      <c r="F116" s="14"/>
      <c r="G116" s="14"/>
      <c r="H116" s="14"/>
      <c r="I116" s="14"/>
      <c r="J116" s="14"/>
    </row>
    <row r="117" spans="1:10" ht="15.95" customHeight="1" x14ac:dyDescent="0.25">
      <c r="A117" s="12"/>
      <c r="B117" s="14"/>
      <c r="C117" s="14"/>
      <c r="D117" s="14"/>
      <c r="E117" s="14"/>
      <c r="F117" s="14"/>
      <c r="G117" s="14"/>
      <c r="H117" s="14"/>
      <c r="I117" s="14"/>
      <c r="J117" s="14"/>
    </row>
    <row r="118" spans="1:10" ht="15.95" customHeight="1" x14ac:dyDescent="0.25">
      <c r="A118" s="12"/>
      <c r="B118" s="14"/>
      <c r="C118" s="14"/>
      <c r="D118" s="14"/>
      <c r="E118" s="14"/>
      <c r="F118" s="14"/>
      <c r="G118" s="14"/>
      <c r="H118" s="14"/>
      <c r="I118" s="14"/>
      <c r="J118" s="14"/>
    </row>
    <row r="119" spans="1:10" ht="15.95" customHeight="1" x14ac:dyDescent="0.25"/>
    <row r="120" spans="1:10" ht="15.95" customHeight="1" x14ac:dyDescent="0.25"/>
  </sheetData>
  <mergeCells count="12">
    <mergeCell ref="B11:C11"/>
    <mergeCell ref="D11:G11"/>
    <mergeCell ref="A2:J2"/>
    <mergeCell ref="A3:J3"/>
    <mergeCell ref="A4:J4"/>
    <mergeCell ref="A5:J5"/>
    <mergeCell ref="B7:D7"/>
    <mergeCell ref="B9:D9"/>
    <mergeCell ref="A10:J10"/>
    <mergeCell ref="H11:I11"/>
    <mergeCell ref="A11:A12"/>
    <mergeCell ref="J11:J12"/>
  </mergeCells>
  <printOptions horizontalCentered="1"/>
  <pageMargins left="0.23622047244094491" right="0.23622047244094491" top="0.51181102362204722" bottom="0.59055118110236227" header="0.31496062992125984" footer="0.31496062992125984"/>
  <pageSetup paperSize="9" scale="70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4"/>
  <sheetViews>
    <sheetView tabSelected="1" view="pageBreakPreview" zoomScale="108" zoomScaleNormal="100" zoomScaleSheetLayoutView="108" workbookViewId="0">
      <selection activeCell="C32" sqref="C32"/>
    </sheetView>
  </sheetViews>
  <sheetFormatPr defaultRowHeight="15" x14ac:dyDescent="0.25"/>
  <cols>
    <col min="1" max="1" width="24.42578125" customWidth="1"/>
    <col min="2" max="2" width="17.5703125" customWidth="1"/>
    <col min="5" max="5" width="13.28515625" customWidth="1"/>
  </cols>
  <sheetData>
    <row r="1" spans="1:12" s="1" customFormat="1" ht="52.5" customHeight="1" x14ac:dyDescent="0.25"/>
    <row r="2" spans="1:12" s="1" customFormat="1" ht="10.5" customHeight="1" x14ac:dyDescent="0.25">
      <c r="A2" s="41" t="s">
        <v>33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s="1" customFormat="1" ht="15.95" customHeight="1" x14ac:dyDescent="0.25">
      <c r="A3" s="41" t="s">
        <v>34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2" s="1" customFormat="1" ht="15.95" customHeight="1" x14ac:dyDescent="0.25">
      <c r="A4" s="41" t="s">
        <v>35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2" s="1" customFormat="1" ht="15.95" customHeight="1" x14ac:dyDescent="0.25">
      <c r="A5" s="41" t="s">
        <v>36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</row>
    <row r="6" spans="1:12" s="1" customFormat="1" ht="8.25" customHeight="1" x14ac:dyDescent="0.25"/>
    <row r="7" spans="1:12" s="1" customFormat="1" ht="12" customHeight="1" x14ac:dyDescent="0.25">
      <c r="A7" s="1" t="s">
        <v>37</v>
      </c>
      <c r="C7" s="2" t="s">
        <v>38</v>
      </c>
      <c r="D7" s="2"/>
      <c r="G7" s="2" t="s">
        <v>9</v>
      </c>
      <c r="H7" s="6"/>
    </row>
    <row r="8" spans="1:12" s="1" customFormat="1" ht="12" customHeight="1" x14ac:dyDescent="0.25">
      <c r="C8" s="3"/>
      <c r="G8" s="3"/>
      <c r="H8" s="3"/>
    </row>
    <row r="9" spans="1:12" s="1" customFormat="1" ht="12" customHeight="1" x14ac:dyDescent="0.25">
      <c r="A9" s="1" t="s">
        <v>39</v>
      </c>
      <c r="C9" s="2" t="s">
        <v>40</v>
      </c>
      <c r="D9" s="2"/>
      <c r="G9" s="2" t="s">
        <v>10</v>
      </c>
      <c r="H9" s="4"/>
    </row>
    <row r="10" spans="1:12" ht="16.5" customHeight="1" thickBot="1" x14ac:dyDescent="0.3">
      <c r="A10" s="54" t="s">
        <v>54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</row>
    <row r="11" spans="1:12" s="15" customFormat="1" ht="18.75" customHeight="1" x14ac:dyDescent="0.2">
      <c r="A11" s="55" t="s">
        <v>4</v>
      </c>
      <c r="B11" s="57" t="s">
        <v>5</v>
      </c>
      <c r="C11" s="58"/>
      <c r="D11" s="58"/>
      <c r="E11" s="58"/>
      <c r="F11" s="58"/>
      <c r="G11" s="58"/>
      <c r="H11" s="58"/>
      <c r="I11" s="58"/>
      <c r="J11" s="58"/>
      <c r="K11" s="58"/>
      <c r="L11" s="59" t="s">
        <v>8</v>
      </c>
    </row>
    <row r="12" spans="1:12" s="15" customFormat="1" ht="24" customHeight="1" x14ac:dyDescent="0.2">
      <c r="A12" s="56"/>
      <c r="B12" s="61" t="s">
        <v>55</v>
      </c>
      <c r="C12" s="62"/>
      <c r="D12" s="62"/>
      <c r="E12" s="63"/>
      <c r="F12" s="61" t="s">
        <v>56</v>
      </c>
      <c r="G12" s="63"/>
      <c r="H12" s="61" t="s">
        <v>57</v>
      </c>
      <c r="I12" s="63"/>
      <c r="J12" s="61" t="s">
        <v>58</v>
      </c>
      <c r="K12" s="63"/>
      <c r="L12" s="60"/>
    </row>
    <row r="13" spans="1:12" s="15" customFormat="1" ht="24.95" hidden="1" customHeight="1" x14ac:dyDescent="0.2">
      <c r="A13" s="16" t="s">
        <v>59</v>
      </c>
      <c r="B13" s="64" t="s">
        <v>65</v>
      </c>
      <c r="C13" s="65"/>
      <c r="D13" s="65"/>
      <c r="E13" s="66"/>
      <c r="F13" s="64">
        <v>2</v>
      </c>
      <c r="G13" s="66"/>
      <c r="H13" s="64">
        <v>0</v>
      </c>
      <c r="I13" s="66"/>
      <c r="J13" s="64">
        <v>2</v>
      </c>
      <c r="K13" s="66"/>
      <c r="L13" s="17">
        <v>2</v>
      </c>
    </row>
    <row r="14" spans="1:12" s="18" customFormat="1" ht="25.5" hidden="1" customHeight="1" x14ac:dyDescent="0.2">
      <c r="A14" s="16" t="s">
        <v>53</v>
      </c>
      <c r="B14" s="64" t="s">
        <v>65</v>
      </c>
      <c r="C14" s="65"/>
      <c r="D14" s="65"/>
      <c r="E14" s="66"/>
      <c r="F14" s="64"/>
      <c r="G14" s="66"/>
      <c r="H14" s="64">
        <v>1</v>
      </c>
      <c r="I14" s="66"/>
      <c r="J14" s="64">
        <v>1</v>
      </c>
      <c r="K14" s="66"/>
      <c r="L14" s="27">
        <v>1</v>
      </c>
    </row>
    <row r="15" spans="1:12" s="18" customFormat="1" ht="25.5" hidden="1" customHeight="1" x14ac:dyDescent="0.2">
      <c r="A15" s="23" t="s">
        <v>67</v>
      </c>
      <c r="B15" s="64" t="s">
        <v>65</v>
      </c>
      <c r="C15" s="65"/>
      <c r="D15" s="65"/>
      <c r="E15" s="66"/>
      <c r="F15" s="52"/>
      <c r="G15" s="53"/>
      <c r="H15" s="52">
        <v>1</v>
      </c>
      <c r="I15" s="53"/>
      <c r="J15" s="52">
        <v>0</v>
      </c>
      <c r="K15" s="53"/>
      <c r="L15" s="24">
        <v>0</v>
      </c>
    </row>
    <row r="16" spans="1:12" s="18" customFormat="1" ht="25.5" hidden="1" customHeight="1" x14ac:dyDescent="0.2">
      <c r="A16" s="23" t="s">
        <v>81</v>
      </c>
      <c r="B16" s="52" t="s">
        <v>82</v>
      </c>
      <c r="C16" s="67"/>
      <c r="D16" s="67"/>
      <c r="E16" s="53"/>
      <c r="F16" s="52">
        <v>3</v>
      </c>
      <c r="G16" s="53"/>
      <c r="H16" s="52">
        <v>0</v>
      </c>
      <c r="I16" s="53"/>
      <c r="J16" s="52">
        <v>3</v>
      </c>
      <c r="K16" s="53"/>
      <c r="L16" s="23">
        <v>3</v>
      </c>
    </row>
    <row r="17" spans="1:13" s="18" customFormat="1" ht="25.5" hidden="1" customHeight="1" x14ac:dyDescent="0.2">
      <c r="A17" s="23" t="s">
        <v>83</v>
      </c>
      <c r="B17" s="52" t="s">
        <v>82</v>
      </c>
      <c r="C17" s="67"/>
      <c r="D17" s="67"/>
      <c r="E17" s="53"/>
      <c r="F17" s="52"/>
      <c r="G17" s="53"/>
      <c r="H17" s="52">
        <v>2</v>
      </c>
      <c r="I17" s="53"/>
      <c r="J17" s="52">
        <v>1</v>
      </c>
      <c r="K17" s="53"/>
      <c r="L17" s="23">
        <v>1</v>
      </c>
    </row>
    <row r="18" spans="1:13" s="18" customFormat="1" ht="25.5" hidden="1" customHeight="1" x14ac:dyDescent="0.2">
      <c r="A18" s="23" t="s">
        <v>87</v>
      </c>
      <c r="B18" s="52" t="s">
        <v>82</v>
      </c>
      <c r="C18" s="67"/>
      <c r="D18" s="67"/>
      <c r="E18" s="53"/>
      <c r="F18" s="52"/>
      <c r="G18" s="53"/>
      <c r="H18" s="52">
        <v>1</v>
      </c>
      <c r="I18" s="53"/>
      <c r="J18" s="52">
        <v>1</v>
      </c>
      <c r="K18" s="53"/>
      <c r="L18" s="24">
        <v>0</v>
      </c>
    </row>
    <row r="19" spans="1:13" s="18" customFormat="1" ht="25.5" hidden="1" customHeight="1" x14ac:dyDescent="0.2">
      <c r="A19" s="23" t="s">
        <v>81</v>
      </c>
      <c r="B19" s="52" t="s">
        <v>84</v>
      </c>
      <c r="C19" s="67"/>
      <c r="D19" s="67"/>
      <c r="E19" s="53"/>
      <c r="F19" s="52">
        <v>3</v>
      </c>
      <c r="G19" s="53"/>
      <c r="H19" s="52">
        <v>0</v>
      </c>
      <c r="I19" s="53"/>
      <c r="J19" s="52">
        <v>3</v>
      </c>
      <c r="K19" s="53"/>
      <c r="L19" s="23">
        <v>3</v>
      </c>
    </row>
    <row r="20" spans="1:13" s="18" customFormat="1" ht="25.5" hidden="1" customHeight="1" x14ac:dyDescent="0.2">
      <c r="A20" s="23" t="s">
        <v>85</v>
      </c>
      <c r="B20" s="52" t="s">
        <v>84</v>
      </c>
      <c r="C20" s="67"/>
      <c r="D20" s="67"/>
      <c r="E20" s="53"/>
      <c r="F20" s="52"/>
      <c r="G20" s="53"/>
      <c r="H20" s="52">
        <v>2</v>
      </c>
      <c r="I20" s="53"/>
      <c r="J20" s="52">
        <v>1</v>
      </c>
      <c r="K20" s="53"/>
      <c r="L20" s="23">
        <v>1</v>
      </c>
    </row>
    <row r="21" spans="1:13" s="18" customFormat="1" ht="25.5" hidden="1" customHeight="1" x14ac:dyDescent="0.2">
      <c r="A21" s="23" t="s">
        <v>86</v>
      </c>
      <c r="B21" s="52" t="s">
        <v>84</v>
      </c>
      <c r="C21" s="67"/>
      <c r="D21" s="67"/>
      <c r="E21" s="53"/>
      <c r="F21" s="52"/>
      <c r="G21" s="53"/>
      <c r="H21" s="52">
        <v>1</v>
      </c>
      <c r="I21" s="53"/>
      <c r="J21" s="52">
        <v>0</v>
      </c>
      <c r="K21" s="53"/>
      <c r="L21" s="24">
        <v>0</v>
      </c>
    </row>
    <row r="22" spans="1:13" s="18" customFormat="1" ht="25.5" customHeight="1" x14ac:dyDescent="0.2">
      <c r="A22" s="23" t="s">
        <v>81</v>
      </c>
      <c r="B22" s="52" t="s">
        <v>109</v>
      </c>
      <c r="C22" s="67"/>
      <c r="D22" s="67"/>
      <c r="E22" s="53"/>
      <c r="F22" s="52">
        <v>3</v>
      </c>
      <c r="G22" s="53"/>
      <c r="H22" s="52">
        <v>0</v>
      </c>
      <c r="I22" s="53"/>
      <c r="J22" s="52">
        <v>3</v>
      </c>
      <c r="K22" s="53"/>
      <c r="L22" s="23">
        <v>3</v>
      </c>
    </row>
    <row r="23" spans="1:13" s="18" customFormat="1" ht="25.5" customHeight="1" x14ac:dyDescent="0.2">
      <c r="A23" s="23" t="s">
        <v>110</v>
      </c>
      <c r="B23" s="52" t="s">
        <v>109</v>
      </c>
      <c r="C23" s="67"/>
      <c r="D23" s="67"/>
      <c r="E23" s="53"/>
      <c r="F23" s="52"/>
      <c r="G23" s="53"/>
      <c r="H23" s="52">
        <v>1</v>
      </c>
      <c r="I23" s="53"/>
      <c r="J23" s="52">
        <v>2</v>
      </c>
      <c r="K23" s="53"/>
      <c r="L23" s="23">
        <v>2</v>
      </c>
    </row>
    <row r="24" spans="1:13" s="30" customFormat="1" ht="31.5" customHeight="1" x14ac:dyDescent="0.2">
      <c r="A24" s="29" t="s">
        <v>118</v>
      </c>
      <c r="B24" s="49" t="s">
        <v>117</v>
      </c>
      <c r="C24" s="50"/>
      <c r="D24" s="50"/>
      <c r="E24" s="51"/>
      <c r="F24" s="52">
        <v>1.5</v>
      </c>
      <c r="G24" s="53"/>
      <c r="H24" s="52">
        <v>0</v>
      </c>
      <c r="I24" s="53"/>
      <c r="J24" s="52">
        <v>1.5</v>
      </c>
      <c r="K24" s="53"/>
      <c r="L24" s="23">
        <v>1.5</v>
      </c>
    </row>
    <row r="25" spans="1:13" s="30" customFormat="1" ht="30" customHeight="1" x14ac:dyDescent="0.2">
      <c r="A25" s="29" t="s">
        <v>120</v>
      </c>
      <c r="B25" s="49" t="s">
        <v>117</v>
      </c>
      <c r="C25" s="50"/>
      <c r="D25" s="50"/>
      <c r="E25" s="51"/>
      <c r="F25" s="52"/>
      <c r="G25" s="53"/>
      <c r="H25" s="52">
        <v>1</v>
      </c>
      <c r="I25" s="53"/>
      <c r="J25" s="52">
        <v>0.5</v>
      </c>
      <c r="K25" s="53"/>
      <c r="L25" s="23">
        <v>0.5</v>
      </c>
    </row>
    <row r="26" spans="1:13" s="15" customFormat="1" ht="19.5" customHeight="1" x14ac:dyDescent="0.2">
      <c r="A26" s="7" t="s">
        <v>131</v>
      </c>
      <c r="B26" s="52" t="s">
        <v>132</v>
      </c>
      <c r="C26" s="67"/>
      <c r="D26" s="67"/>
      <c r="E26" s="53"/>
      <c r="F26" s="34">
        <v>1</v>
      </c>
      <c r="G26" s="35"/>
      <c r="H26" s="52">
        <v>0</v>
      </c>
      <c r="I26" s="53"/>
      <c r="J26" s="52">
        <v>1</v>
      </c>
      <c r="K26" s="53"/>
      <c r="L26" s="36">
        <v>1</v>
      </c>
    </row>
    <row r="27" spans="1:13" s="15" customFormat="1" ht="19.5" customHeight="1" x14ac:dyDescent="0.2">
      <c r="A27" s="7" t="s">
        <v>134</v>
      </c>
      <c r="B27" s="52" t="s">
        <v>132</v>
      </c>
      <c r="C27" s="67"/>
      <c r="D27" s="67"/>
      <c r="E27" s="53"/>
      <c r="F27" s="34"/>
      <c r="G27" s="35"/>
      <c r="H27" s="52">
        <v>1</v>
      </c>
      <c r="I27" s="53"/>
      <c r="J27" s="52">
        <v>0</v>
      </c>
      <c r="K27" s="53"/>
      <c r="L27" s="27">
        <v>0</v>
      </c>
      <c r="M27" s="15" t="s">
        <v>133</v>
      </c>
    </row>
    <row r="28" spans="1:13" s="18" customFormat="1" x14ac:dyDescent="0.2">
      <c r="A28" s="19" t="s">
        <v>60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1"/>
    </row>
    <row r="29" spans="1:13" ht="18.95" customHeight="1" x14ac:dyDescent="0.25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</row>
    <row r="30" spans="1:13" s="1" customFormat="1" x14ac:dyDescent="0.25">
      <c r="C30" s="22"/>
      <c r="H30" s="1" t="s">
        <v>61</v>
      </c>
    </row>
    <row r="31" spans="1:13" s="1" customFormat="1" x14ac:dyDescent="0.25">
      <c r="C31" s="22"/>
    </row>
    <row r="32" spans="1:13" x14ac:dyDescent="0.25">
      <c r="H32" s="25" t="s">
        <v>62</v>
      </c>
      <c r="I32" s="25"/>
    </row>
    <row r="33" spans="8:9" x14ac:dyDescent="0.25">
      <c r="H33" t="s">
        <v>63</v>
      </c>
    </row>
    <row r="34" spans="8:9" x14ac:dyDescent="0.25">
      <c r="H34" s="68" t="s">
        <v>64</v>
      </c>
      <c r="I34" s="68"/>
    </row>
  </sheetData>
  <mergeCells count="72">
    <mergeCell ref="B26:E26"/>
    <mergeCell ref="H26:I26"/>
    <mergeCell ref="J26:K26"/>
    <mergeCell ref="B27:E27"/>
    <mergeCell ref="H27:I27"/>
    <mergeCell ref="J27:K27"/>
    <mergeCell ref="H34:I34"/>
    <mergeCell ref="B21:E21"/>
    <mergeCell ref="F21:G21"/>
    <mergeCell ref="H21:I21"/>
    <mergeCell ref="J21:K21"/>
    <mergeCell ref="A29:L29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19:I19"/>
    <mergeCell ref="J19:K19"/>
    <mergeCell ref="H18:I18"/>
    <mergeCell ref="J18:K18"/>
    <mergeCell ref="H17:I17"/>
    <mergeCell ref="J17:K17"/>
    <mergeCell ref="B20:E20"/>
    <mergeCell ref="B17:E17"/>
    <mergeCell ref="F17:G17"/>
    <mergeCell ref="B18:E18"/>
    <mergeCell ref="F18:G18"/>
    <mergeCell ref="F20:G20"/>
    <mergeCell ref="B19:E19"/>
    <mergeCell ref="F19:G19"/>
    <mergeCell ref="H13:I13"/>
    <mergeCell ref="J13:K13"/>
    <mergeCell ref="B16:E16"/>
    <mergeCell ref="F16:G16"/>
    <mergeCell ref="H16:I16"/>
    <mergeCell ref="J16:K16"/>
    <mergeCell ref="B14:E14"/>
    <mergeCell ref="F14:G14"/>
    <mergeCell ref="H14:I14"/>
    <mergeCell ref="H15:I15"/>
    <mergeCell ref="B15:E15"/>
    <mergeCell ref="F15:G15"/>
    <mergeCell ref="J15:K15"/>
    <mergeCell ref="J14:K14"/>
    <mergeCell ref="H20:I20"/>
    <mergeCell ref="J20:K20"/>
    <mergeCell ref="A2:L2"/>
    <mergeCell ref="A3:L3"/>
    <mergeCell ref="A4:L4"/>
    <mergeCell ref="A5:L5"/>
    <mergeCell ref="A10:L10"/>
    <mergeCell ref="A11:A12"/>
    <mergeCell ref="B11:K11"/>
    <mergeCell ref="L11:L12"/>
    <mergeCell ref="B12:E12"/>
    <mergeCell ref="F12:G12"/>
    <mergeCell ref="H12:I12"/>
    <mergeCell ref="J12:K12"/>
    <mergeCell ref="B13:E13"/>
    <mergeCell ref="F13:G13"/>
    <mergeCell ref="B25:E25"/>
    <mergeCell ref="H24:I24"/>
    <mergeCell ref="J24:K24"/>
    <mergeCell ref="F25:G25"/>
    <mergeCell ref="H25:I25"/>
    <mergeCell ref="J25:K25"/>
  </mergeCells>
  <phoneticPr fontId="8" type="noConversion"/>
  <pageMargins left="0.7" right="0.7" top="0.75" bottom="0.75" header="0.3" footer="0.3"/>
  <pageSetup paperSize="9" scale="53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Leave Card (NE)</vt:lpstr>
      <vt:lpstr>CTO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2025-12-05T02:34:36Z</cp:lastPrinted>
  <dcterms:created xsi:type="dcterms:W3CDTF">2021-10-07T06:10:16Z</dcterms:created>
  <dcterms:modified xsi:type="dcterms:W3CDTF">2026-01-15T04:48:15Z</dcterms:modified>
</cp:coreProperties>
</file>