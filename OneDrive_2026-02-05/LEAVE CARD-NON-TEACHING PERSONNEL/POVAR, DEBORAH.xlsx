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</sheets>
  <definedNames>
    <definedName name="_xlnm.Print_Area" localSheetId="0">'Leave Card (NE)'!$A$1:$J$78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<sst xmlns="http://schemas.openxmlformats.org/spreadsheetml/2006/main" count="89" uniqueCount="85">
  <si>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</si>
  <si>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</si>
  <si>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</si>
  <si>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</si>
  <si>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</si>
  <si>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</si>
  <si>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</si>
  <si>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</si>
  <si>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</si>
  <si>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</si>
  <si>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</si>
  <si>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</si>
  <si>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</si>
  <si>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</si>
  <si>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</si>
  <si>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</si>
  <si>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</si>
  <si>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</si>
  <si>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</si>
  <si>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</si>
  <si>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</si>
  <si>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03/2/20 - 03/31/20</t>
  </si>
  <si>
    <t>ADD: 04/1/20 - 12/31/20</t>
  </si>
  <si>
    <t>LESS: 12/21-23, 28 &amp; 29/20</t>
  </si>
  <si>
    <t>ADD: 01/1/2021- 12/31/21</t>
  </si>
  <si>
    <t>LESS: 05/14/2021</t>
  </si>
  <si>
    <t>LESS: 12/22 &amp; 29/21</t>
  </si>
  <si>
    <t>LESS: 12/21,23, 24 &amp; 27/21</t>
  </si>
  <si>
    <t>LESS: MONETIZATION 2021</t>
  </si>
  <si>
    <t>ADD: 01/01/22 - 03/31/22</t>
  </si>
  <si>
    <t>LESS: 04/21&amp;22, 2022</t>
  </si>
  <si>
    <t>ADD: 04/01/22 - 04/30/22</t>
  </si>
  <si>
    <t>LESS: 05/18/ 22</t>
  </si>
  <si>
    <t>ADD: 05/01/22 - 08/31/22</t>
  </si>
  <si>
    <t>LESS: 09/05/ 22</t>
  </si>
  <si>
    <t>LESS: MONETIZATION 2022</t>
  </si>
  <si>
    <t>ADD: 09/01/22 - 09/30/22</t>
  </si>
  <si>
    <t>LESS: 10/18/ 22</t>
  </si>
  <si>
    <t>ADD: 10/01/22 - 11/30/22</t>
  </si>
  <si>
    <t>LESS: 12/22 &amp; 29/22</t>
  </si>
  <si>
    <t>LESS: 11/11/ 22</t>
  </si>
  <si>
    <t>ADD: 12/01/22 - 12/31/22</t>
  </si>
  <si>
    <t>ADD: 01/01/23 - 02/28/23</t>
  </si>
  <si>
    <t>LESS: 03/08 &amp; 09/ 23</t>
  </si>
  <si>
    <t>LESS: 03/13 &amp; 14/23</t>
  </si>
  <si>
    <t>ADD: 03/01/23 - 04/20/23</t>
  </si>
  <si>
    <t>LESS: 05/18/ 23</t>
  </si>
  <si>
    <t>ADD: 05/01/23 - 08/31/23</t>
  </si>
  <si>
    <t>LESS: MONETIZATION 2023</t>
  </si>
  <si>
    <t>ADD: 09/01/23 - 10/31/23</t>
  </si>
  <si>
    <t>LESS: 11/16/2023</t>
  </si>
  <si>
    <t>ADD: 11/01/2023-11/30/2023</t>
  </si>
  <si>
    <t>LESS: 12/21,22,29/2023</t>
  </si>
  <si>
    <t>LESS: 12/27-28/2023</t>
  </si>
  <si>
    <t>ADD: 12/01/2023-12/31/2023</t>
  </si>
  <si>
    <t>LESS: 01/19/2024</t>
  </si>
  <si>
    <t>ADD: 01/01/2024-02/29/2024</t>
  </si>
  <si>
    <t>LESS: 02/15-16/2024</t>
  </si>
  <si>
    <t>LESS: 03/07-08/2024</t>
  </si>
  <si>
    <t>LESS: 03/25-26/2024</t>
  </si>
  <si>
    <t>ADD: 03/1/2024-05/31/2024</t>
  </si>
  <si>
    <t>LESS: 06/25/2024</t>
  </si>
  <si>
    <t>ADD: JUNE-JULY 31, 2024</t>
  </si>
  <si>
    <t>LESS: MONETIZATION 2024</t>
  </si>
  <si>
    <t>ADD: 08/1/2024-10/31/2024</t>
  </si>
  <si>
    <t>LESS: 10/31/2024 (HALF DAY)</t>
  </si>
  <si>
    <t>ADD: 11/1/2024-12/31/2024</t>
  </si>
  <si>
    <t>LESS: MANDATORY FL 2024</t>
  </si>
  <si>
    <t>LESS: 01/13/2025</t>
  </si>
  <si>
    <t>ADD: 1/1-31/2025</t>
  </si>
  <si>
    <t>LESS: 02/21/2025</t>
  </si>
  <si>
    <t>LESS: 02/28/2025</t>
  </si>
  <si>
    <t>ADD: 02/1/2025-06/30/2025</t>
  </si>
  <si>
    <t>LESS: MONETIZATION 2025</t>
  </si>
  <si>
    <t>ADD: 07/1-31/2025</t>
  </si>
  <si>
    <t>LESS: 08/14/2025</t>
  </si>
  <si>
    <t>ADD: 08/1-31/2025</t>
  </si>
  <si>
    <t>LESS: 09/23-24/2025</t>
  </si>
  <si>
    <t>ADD: 09/1/2025-11/30/2025</t>
  </si>
  <si>
    <t>LESS: 12/22/2025</t>
  </si>
  <si>
    <t>LESS: 12/23/2025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</si>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</sst>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2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20" applyNumberFormat="0" applyAlignment="0" applyProtection="0">
      <alignment vertical="center"/>
    </xf>
    <xf numFmtId="0" fontId="20" fillId="11" borderId="21" applyNumberFormat="0" applyAlignment="0" applyProtection="0">
      <alignment vertical="center"/>
    </xf>
    <xf numFmtId="0" fontId="21" fillId="11" borderId="20" applyNumberFormat="0" applyAlignment="0" applyProtection="0">
      <alignment vertical="center"/>
    </xf>
    <xf numFmtId="0" fontId="22" fillId="12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vertical="center"/>
    </xf>
    <xf numFmtId="0" fontId="2" fillId="0" borderId="0" xfId="0" applyFo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76" fontId="5" fillId="2" borderId="10" xfId="0" applyNumberFormat="1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176" fontId="5" fillId="2" borderId="10" xfId="0" applyNumberFormat="1" applyFont="1" applyFill="1" applyBorder="1" applyAlignment="1">
      <alignment horizontal="center" vertical="center"/>
    </xf>
    <xf numFmtId="17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176" fontId="5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176" fontId="5" fillId="7" borderId="8" xfId="0" applyNumberFormat="1" applyFont="1" applyFill="1" applyBorder="1" applyAlignment="1">
      <alignment horizontal="center" vertical="center"/>
    </xf>
    <xf numFmtId="176" fontId="5" fillId="8" borderId="8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76" fontId="5" fillId="2" borderId="15" xfId="0" applyNumberFormat="1" applyFont="1" applyFill="1" applyBorder="1" applyAlignment="1">
      <alignment horizontal="center" vertical="center"/>
    </xf>
    <xf numFmtId="176" fontId="5" fillId="2" borderId="16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176" fontId="9" fillId="0" borderId="8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1" fillId="0" borderId="8" xfId="0" applyFont="1" applyFill="1" applyBorder="1"/>
    <xf numFmtId="0" fontId="1" fillId="0" borderId="8" xfId="0" applyFont="1" applyFill="1" applyBorder="1" applyAlignment="1">
      <alignment horizontal="center"/>
    </xf>
    <xf numFmtId="0" fontId="1" fillId="0" borderId="8" xfId="0" applyFont="1" applyFill="1" applyBorder="1"/>
    <xf numFmtId="176" fontId="5" fillId="0" borderId="8" xfId="0" applyNumberFormat="1" applyFont="1" applyFill="1" applyBorder="1" applyAlignment="1">
      <alignment horizontal="center" vertical="center"/>
    </xf>
    <xf numFmtId="176" fontId="9" fillId="0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5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314324</xdr:colOff>
      <xdr:row>0</xdr:row>
      <xdr:rowOff>69851</xdr:rowOff>
    </xdr:from>
    <xdr:to>
      <xdr:col>4</xdr:col>
      <xdr:colOff>212854</xdr:colOff>
      <xdr:row>1</xdr:row>
      <xdr:rowOff>25401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05020" y="69850"/>
          <a:ext cx="69278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8" name="TextBox 7"/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POVAR, DEBORAH C.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9" name="TextBox 8"/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10" name="TextBox 9"/>
        <xdr:cNvSpPr txBox="1"/>
      </xdr:nvSpPr>
      <xdr:spPr>
        <a:xfrm>
          <a:off x="391223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8"/>
  <sheetViews>
    <sheetView tabSelected="1" view="pageBreakPreview" zoomScaleNormal="100" topLeftCell="A56" workbookViewId="0">
      <selection activeCell="B74" sqref="B74"/>
    </sheetView>
  </sheetViews>
  <sheetFormatPr defaultColWidth="9" defaultRowHeight="14.4"/>
  <cols>
    <col min="1" max="1" width="39.4259259259259" customWidth="1"/>
    <col min="2" max="10" width="11.5740740740741" customWidth="1"/>
    <col min="11" max="11" width="26.4259259259259" style="4" customWidth="1"/>
  </cols>
  <sheetData>
    <row r="1" s="1" customFormat="1" ht="52.5" customHeight="1"/>
    <row r="2" s="1" customFormat="1" ht="10.5" customHeight="1" spans="1:10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5.95" customHeight="1" spans="1:1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15.95" customHeight="1" spans="1:10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 s="1" customFormat="1" ht="15.95" customHeight="1" spans="1:10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s="1" customFormat="1" ht="8.25" customHeight="1"/>
    <row r="7" s="1" customFormat="1" ht="12" customHeight="1" spans="1:10">
      <c r="A7" s="1" t="s">
        <v>4</v>
      </c>
      <c r="B7" s="6" t="s">
        <v>5</v>
      </c>
      <c r="C7" s="6"/>
      <c r="D7" s="6"/>
      <c r="H7" s="7" t="s">
        <v>6</v>
      </c>
      <c r="I7" s="34"/>
      <c r="J7" s="7"/>
    </row>
    <row r="8" s="1" customFormat="1" ht="12" customHeight="1" spans="2:10">
      <c r="B8" s="8"/>
      <c r="C8" s="8"/>
      <c r="H8" s="8"/>
      <c r="I8" s="8"/>
      <c r="J8" s="8"/>
    </row>
    <row r="9" s="1" customFormat="1" ht="12" customHeight="1" spans="1:10">
      <c r="A9" s="1" t="s">
        <v>7</v>
      </c>
      <c r="B9" s="6" t="s">
        <v>8</v>
      </c>
      <c r="C9" s="6"/>
      <c r="D9" s="6"/>
      <c r="H9" s="7" t="s">
        <v>9</v>
      </c>
      <c r="I9" s="35"/>
      <c r="J9" s="7"/>
    </row>
    <row r="10" ht="16.5" customHeight="1" spans="1:11">
      <c r="A10" s="9" t="s">
        <v>10</v>
      </c>
      <c r="B10" s="9"/>
      <c r="C10" s="9"/>
      <c r="D10" s="9"/>
      <c r="E10" s="9"/>
      <c r="F10" s="9"/>
      <c r="G10" s="9"/>
      <c r="H10" s="9"/>
      <c r="I10" s="9"/>
      <c r="J10" s="9"/>
      <c r="K10"/>
    </row>
    <row r="11" ht="18.75" customHeight="1" spans="1:11">
      <c r="A11" s="10" t="s">
        <v>11</v>
      </c>
      <c r="B11" s="11" t="s">
        <v>12</v>
      </c>
      <c r="C11" s="11"/>
      <c r="D11" s="12" t="s">
        <v>13</v>
      </c>
      <c r="E11" s="13"/>
      <c r="F11" s="13"/>
      <c r="G11" s="14"/>
      <c r="H11" s="15" t="s">
        <v>14</v>
      </c>
      <c r="I11" s="15"/>
      <c r="J11" s="36" t="s">
        <v>15</v>
      </c>
      <c r="K11" s="37" t="s">
        <v>16</v>
      </c>
    </row>
    <row r="12" ht="18.75" customHeight="1" spans="1:11">
      <c r="A12" s="16"/>
      <c r="B12" s="17" t="s">
        <v>17</v>
      </c>
      <c r="C12" s="17" t="s">
        <v>18</v>
      </c>
      <c r="D12" s="17" t="s">
        <v>17</v>
      </c>
      <c r="E12" s="17" t="s">
        <v>18</v>
      </c>
      <c r="F12" s="17" t="s">
        <v>19</v>
      </c>
      <c r="G12" s="17" t="s">
        <v>20</v>
      </c>
      <c r="H12" s="17" t="s">
        <v>17</v>
      </c>
      <c r="I12" s="17" t="s">
        <v>18</v>
      </c>
      <c r="J12" s="38"/>
      <c r="K12" s="37"/>
    </row>
    <row r="13" ht="18.75" customHeight="1" spans="1:10">
      <c r="A13" s="18" t="s">
        <v>21</v>
      </c>
      <c r="B13" s="19">
        <v>1.25</v>
      </c>
      <c r="C13" s="19">
        <v>1.25</v>
      </c>
      <c r="D13" s="19"/>
      <c r="E13" s="19"/>
      <c r="F13" s="19"/>
      <c r="G13" s="19"/>
      <c r="H13" s="19">
        <f>B13</f>
        <v>1.25</v>
      </c>
      <c r="I13" s="19">
        <f>C13</f>
        <v>1.25</v>
      </c>
      <c r="J13" s="39">
        <f>SUM(H13:I13)</f>
        <v>2.5</v>
      </c>
    </row>
    <row r="14" ht="18.75" customHeight="1" spans="1:10">
      <c r="A14" s="18" t="s">
        <v>22</v>
      </c>
      <c r="B14" s="19">
        <v>11.25</v>
      </c>
      <c r="C14" s="19">
        <v>11.25</v>
      </c>
      <c r="D14" s="19"/>
      <c r="E14" s="19"/>
      <c r="F14" s="19"/>
      <c r="G14" s="19"/>
      <c r="H14" s="19">
        <f>H13-F14-D14+B14</f>
        <v>12.5</v>
      </c>
      <c r="I14" s="19">
        <f>I13-E14+C14</f>
        <v>12.5</v>
      </c>
      <c r="J14" s="39">
        <f t="shared" ref="J14" si="0">SUM(H14:I14)</f>
        <v>25</v>
      </c>
    </row>
    <row r="15" ht="18.75" customHeight="1" spans="1:10">
      <c r="A15" s="18" t="s">
        <v>23</v>
      </c>
      <c r="B15" s="19"/>
      <c r="C15" s="19"/>
      <c r="D15" s="19"/>
      <c r="E15" s="19"/>
      <c r="F15" s="19">
        <v>5</v>
      </c>
      <c r="G15" s="19"/>
      <c r="H15" s="19">
        <f t="shared" ref="H15:H39" si="1">H14-F15-D15+B15</f>
        <v>7.5</v>
      </c>
      <c r="I15" s="19">
        <f t="shared" ref="I15:I39" si="2">I14-E15+C15</f>
        <v>12.5</v>
      </c>
      <c r="J15" s="39">
        <f t="shared" ref="J15:J39" si="3">SUM(H15:I15)</f>
        <v>20</v>
      </c>
    </row>
    <row r="16" ht="18.75" customHeight="1" spans="1:10">
      <c r="A16" s="18" t="s">
        <v>24</v>
      </c>
      <c r="B16" s="19">
        <v>15</v>
      </c>
      <c r="C16" s="19">
        <v>15</v>
      </c>
      <c r="D16" s="19"/>
      <c r="E16" s="19"/>
      <c r="F16" s="19"/>
      <c r="G16" s="19"/>
      <c r="H16" s="19">
        <f t="shared" si="1"/>
        <v>22.5</v>
      </c>
      <c r="I16" s="19">
        <f t="shared" si="2"/>
        <v>27.5</v>
      </c>
      <c r="J16" s="39">
        <f t="shared" si="3"/>
        <v>50</v>
      </c>
    </row>
    <row r="17" ht="18.75" customHeight="1" spans="1:10">
      <c r="A17" s="18" t="s">
        <v>25</v>
      </c>
      <c r="B17" s="19"/>
      <c r="C17" s="19"/>
      <c r="D17" s="19"/>
      <c r="E17" s="19"/>
      <c r="F17" s="19">
        <v>1</v>
      </c>
      <c r="G17" s="19"/>
      <c r="H17" s="19">
        <f t="shared" si="1"/>
        <v>21.5</v>
      </c>
      <c r="I17" s="19">
        <f t="shared" si="2"/>
        <v>27.5</v>
      </c>
      <c r="J17" s="39">
        <f t="shared" si="3"/>
        <v>49</v>
      </c>
    </row>
    <row r="18" ht="18.75" customHeight="1" spans="1:10">
      <c r="A18" s="18" t="s">
        <v>26</v>
      </c>
      <c r="B18" s="19"/>
      <c r="C18" s="19"/>
      <c r="D18" s="19"/>
      <c r="E18" s="19"/>
      <c r="F18" s="19"/>
      <c r="G18" s="19">
        <v>2</v>
      </c>
      <c r="H18" s="19">
        <f t="shared" si="1"/>
        <v>21.5</v>
      </c>
      <c r="I18" s="19">
        <f t="shared" si="2"/>
        <v>27.5</v>
      </c>
      <c r="J18" s="39">
        <f t="shared" si="3"/>
        <v>49</v>
      </c>
    </row>
    <row r="19" ht="18.75" customHeight="1" spans="1:10">
      <c r="A19" s="18" t="s">
        <v>27</v>
      </c>
      <c r="B19" s="19"/>
      <c r="C19" s="19"/>
      <c r="D19" s="19"/>
      <c r="E19" s="19"/>
      <c r="F19" s="19">
        <v>4</v>
      </c>
      <c r="G19" s="19"/>
      <c r="H19" s="19">
        <f t="shared" si="1"/>
        <v>17.5</v>
      </c>
      <c r="I19" s="19">
        <f t="shared" si="2"/>
        <v>27.5</v>
      </c>
      <c r="J19" s="39">
        <f t="shared" si="3"/>
        <v>45</v>
      </c>
    </row>
    <row r="20" ht="18.75" customHeight="1" spans="1:10">
      <c r="A20" s="18" t="s">
        <v>28</v>
      </c>
      <c r="B20" s="19"/>
      <c r="C20" s="19"/>
      <c r="D20" s="19">
        <v>14</v>
      </c>
      <c r="E20" s="19">
        <v>6</v>
      </c>
      <c r="F20" s="19"/>
      <c r="G20" s="19"/>
      <c r="H20" s="19">
        <f t="shared" si="1"/>
        <v>3.5</v>
      </c>
      <c r="I20" s="19">
        <f t="shared" si="2"/>
        <v>21.5</v>
      </c>
      <c r="J20" s="39">
        <f t="shared" si="3"/>
        <v>25</v>
      </c>
    </row>
    <row r="21" ht="18.75" customHeight="1" spans="1:10">
      <c r="A21" s="18" t="s">
        <v>29</v>
      </c>
      <c r="B21" s="19">
        <v>3.75</v>
      </c>
      <c r="C21" s="19">
        <v>3.75</v>
      </c>
      <c r="D21" s="19"/>
      <c r="E21" s="19"/>
      <c r="F21" s="19"/>
      <c r="G21" s="19"/>
      <c r="H21" s="19">
        <f t="shared" si="1"/>
        <v>7.25</v>
      </c>
      <c r="I21" s="19">
        <f t="shared" si="2"/>
        <v>25.25</v>
      </c>
      <c r="J21" s="39">
        <f t="shared" si="3"/>
        <v>32.5</v>
      </c>
    </row>
    <row r="22" ht="18.75" customHeight="1" spans="1:10">
      <c r="A22" s="18" t="s">
        <v>30</v>
      </c>
      <c r="B22" s="19"/>
      <c r="C22" s="19"/>
      <c r="D22" s="19"/>
      <c r="E22" s="19"/>
      <c r="F22" s="19">
        <v>2</v>
      </c>
      <c r="G22" s="19"/>
      <c r="H22" s="19">
        <f t="shared" si="1"/>
        <v>5.25</v>
      </c>
      <c r="I22" s="19">
        <f t="shared" si="2"/>
        <v>25.25</v>
      </c>
      <c r="J22" s="39">
        <f t="shared" si="3"/>
        <v>30.5</v>
      </c>
    </row>
    <row r="23" ht="18.75" customHeight="1" spans="1:10">
      <c r="A23" s="20" t="s">
        <v>31</v>
      </c>
      <c r="B23" s="19">
        <v>1.25</v>
      </c>
      <c r="C23" s="19">
        <v>1.25</v>
      </c>
      <c r="D23" s="19"/>
      <c r="E23" s="19"/>
      <c r="F23" s="19"/>
      <c r="G23" s="19"/>
      <c r="H23" s="19">
        <f t="shared" si="1"/>
        <v>6.5</v>
      </c>
      <c r="I23" s="19">
        <f t="shared" si="2"/>
        <v>26.5</v>
      </c>
      <c r="J23" s="39">
        <f t="shared" si="3"/>
        <v>33</v>
      </c>
    </row>
    <row r="24" ht="18.75" customHeight="1" spans="1:10">
      <c r="A24" s="20" t="s">
        <v>32</v>
      </c>
      <c r="B24" s="21"/>
      <c r="C24" s="19"/>
      <c r="D24" s="19"/>
      <c r="E24" s="19"/>
      <c r="F24" s="19">
        <v>1</v>
      </c>
      <c r="G24" s="19"/>
      <c r="H24" s="19">
        <f t="shared" si="1"/>
        <v>5.5</v>
      </c>
      <c r="I24" s="19">
        <f t="shared" si="2"/>
        <v>26.5</v>
      </c>
      <c r="J24" s="39">
        <f t="shared" si="3"/>
        <v>32</v>
      </c>
    </row>
    <row r="25" ht="18.75" customHeight="1" spans="1:10">
      <c r="A25" s="20" t="s">
        <v>33</v>
      </c>
      <c r="B25" s="19">
        <v>5</v>
      </c>
      <c r="C25" s="19">
        <v>5</v>
      </c>
      <c r="D25" s="19"/>
      <c r="E25" s="19"/>
      <c r="F25" s="19"/>
      <c r="G25" s="19"/>
      <c r="H25" s="19">
        <f t="shared" si="1"/>
        <v>10.5</v>
      </c>
      <c r="I25" s="19">
        <f t="shared" si="2"/>
        <v>31.5</v>
      </c>
      <c r="J25" s="39">
        <f t="shared" si="3"/>
        <v>42</v>
      </c>
    </row>
    <row r="26" ht="18.75" customHeight="1" spans="1:10">
      <c r="A26" s="20" t="s">
        <v>34</v>
      </c>
      <c r="B26" s="19"/>
      <c r="C26" s="19"/>
      <c r="D26" s="19"/>
      <c r="E26" s="19"/>
      <c r="F26" s="19">
        <v>1</v>
      </c>
      <c r="G26" s="19"/>
      <c r="H26" s="19">
        <f t="shared" si="1"/>
        <v>9.5</v>
      </c>
      <c r="I26" s="19">
        <f t="shared" si="2"/>
        <v>31.5</v>
      </c>
      <c r="J26" s="39">
        <f t="shared" si="3"/>
        <v>41</v>
      </c>
    </row>
    <row r="27" ht="18.75" customHeight="1" spans="1:10">
      <c r="A27" s="20" t="s">
        <v>35</v>
      </c>
      <c r="B27" s="19"/>
      <c r="C27" s="19"/>
      <c r="D27" s="19">
        <v>3</v>
      </c>
      <c r="E27" s="19">
        <v>26</v>
      </c>
      <c r="F27" s="19"/>
      <c r="G27" s="19"/>
      <c r="H27" s="19">
        <f t="shared" si="1"/>
        <v>6.5</v>
      </c>
      <c r="I27" s="19">
        <f t="shared" si="2"/>
        <v>5.5</v>
      </c>
      <c r="J27" s="39">
        <f t="shared" si="3"/>
        <v>12</v>
      </c>
    </row>
    <row r="28" ht="18.75" customHeight="1" spans="1:10">
      <c r="A28" s="20" t="s">
        <v>36</v>
      </c>
      <c r="B28" s="19">
        <v>1.25</v>
      </c>
      <c r="C28" s="19">
        <v>1.25</v>
      </c>
      <c r="D28" s="19"/>
      <c r="E28" s="19"/>
      <c r="F28" s="19"/>
      <c r="G28" s="19"/>
      <c r="H28" s="19">
        <f t="shared" si="1"/>
        <v>7.75</v>
      </c>
      <c r="I28" s="19">
        <f t="shared" si="2"/>
        <v>6.75</v>
      </c>
      <c r="J28" s="39">
        <f t="shared" si="3"/>
        <v>14.5</v>
      </c>
    </row>
    <row r="29" ht="18.75" customHeight="1" spans="1:10">
      <c r="A29" s="20" t="s">
        <v>37</v>
      </c>
      <c r="B29" s="19"/>
      <c r="C29" s="19"/>
      <c r="D29" s="19"/>
      <c r="E29" s="19"/>
      <c r="F29" s="19">
        <v>1</v>
      </c>
      <c r="G29" s="19"/>
      <c r="H29" s="19">
        <f t="shared" si="1"/>
        <v>6.75</v>
      </c>
      <c r="I29" s="19">
        <f t="shared" si="2"/>
        <v>6.75</v>
      </c>
      <c r="J29" s="39">
        <f t="shared" si="3"/>
        <v>13.5</v>
      </c>
    </row>
    <row r="30" ht="18.75" customHeight="1" spans="1:10">
      <c r="A30" s="20" t="s">
        <v>38</v>
      </c>
      <c r="B30" s="19">
        <v>2.5</v>
      </c>
      <c r="C30" s="19">
        <v>2.5</v>
      </c>
      <c r="D30" s="19"/>
      <c r="E30" s="19"/>
      <c r="F30" s="19"/>
      <c r="G30" s="19"/>
      <c r="H30" s="19">
        <f t="shared" si="1"/>
        <v>9.25</v>
      </c>
      <c r="I30" s="19">
        <f t="shared" si="2"/>
        <v>9.25</v>
      </c>
      <c r="J30" s="39">
        <f t="shared" si="3"/>
        <v>18.5</v>
      </c>
    </row>
    <row r="31" ht="18.75" customHeight="1" spans="1:10">
      <c r="A31" s="22" t="s">
        <v>39</v>
      </c>
      <c r="B31" s="19"/>
      <c r="C31" s="19"/>
      <c r="D31" s="19"/>
      <c r="E31" s="19"/>
      <c r="F31" s="19"/>
      <c r="G31" s="19">
        <v>2</v>
      </c>
      <c r="H31" s="19">
        <f t="shared" si="1"/>
        <v>9.25</v>
      </c>
      <c r="I31" s="19">
        <f t="shared" si="2"/>
        <v>9.25</v>
      </c>
      <c r="J31" s="39">
        <f t="shared" si="3"/>
        <v>18.5</v>
      </c>
    </row>
    <row r="32" ht="18.75" customHeight="1" spans="1:10">
      <c r="A32" s="20" t="s">
        <v>40</v>
      </c>
      <c r="B32" s="19"/>
      <c r="C32" s="19"/>
      <c r="D32" s="19"/>
      <c r="E32" s="19">
        <v>1</v>
      </c>
      <c r="F32" s="19"/>
      <c r="G32" s="19"/>
      <c r="H32" s="19">
        <f t="shared" si="1"/>
        <v>9.25</v>
      </c>
      <c r="I32" s="19">
        <f t="shared" si="2"/>
        <v>8.25</v>
      </c>
      <c r="J32" s="39">
        <f t="shared" si="3"/>
        <v>17.5</v>
      </c>
    </row>
    <row r="33" ht="18.75" customHeight="1" spans="1:10">
      <c r="A33" s="20" t="s">
        <v>41</v>
      </c>
      <c r="B33" s="19">
        <v>1.25</v>
      </c>
      <c r="C33" s="19">
        <v>1.25</v>
      </c>
      <c r="D33" s="19"/>
      <c r="E33" s="19"/>
      <c r="F33" s="19"/>
      <c r="G33" s="19"/>
      <c r="H33" s="19">
        <f t="shared" si="1"/>
        <v>10.5</v>
      </c>
      <c r="I33" s="19">
        <f t="shared" si="2"/>
        <v>9.5</v>
      </c>
      <c r="J33" s="39">
        <f t="shared" si="3"/>
        <v>20</v>
      </c>
    </row>
    <row r="34" ht="18.75" customHeight="1" spans="1:10">
      <c r="A34" s="20" t="s">
        <v>42</v>
      </c>
      <c r="B34" s="19">
        <v>2.5</v>
      </c>
      <c r="C34" s="19">
        <v>2.5</v>
      </c>
      <c r="D34" s="19"/>
      <c r="E34" s="19"/>
      <c r="F34" s="19"/>
      <c r="G34" s="19"/>
      <c r="H34" s="19">
        <f t="shared" si="1"/>
        <v>13</v>
      </c>
      <c r="I34" s="19">
        <f t="shared" si="2"/>
        <v>12</v>
      </c>
      <c r="J34" s="39">
        <f t="shared" si="3"/>
        <v>25</v>
      </c>
    </row>
    <row r="35" ht="18.75" customHeight="1" spans="1:10">
      <c r="A35" s="20" t="s">
        <v>43</v>
      </c>
      <c r="B35" s="19"/>
      <c r="C35" s="19"/>
      <c r="D35" s="19"/>
      <c r="E35" s="19"/>
      <c r="F35" s="19">
        <v>2</v>
      </c>
      <c r="G35" s="19"/>
      <c r="H35" s="19">
        <f t="shared" si="1"/>
        <v>11</v>
      </c>
      <c r="I35" s="19">
        <f t="shared" si="2"/>
        <v>12</v>
      </c>
      <c r="J35" s="39">
        <f t="shared" si="3"/>
        <v>23</v>
      </c>
    </row>
    <row r="36" ht="18.75" customHeight="1" spans="1:10">
      <c r="A36" s="22" t="s">
        <v>44</v>
      </c>
      <c r="B36" s="19"/>
      <c r="C36" s="19"/>
      <c r="D36" s="19"/>
      <c r="E36" s="19">
        <v>2</v>
      </c>
      <c r="F36" s="19"/>
      <c r="G36" s="19"/>
      <c r="H36" s="19">
        <f t="shared" si="1"/>
        <v>11</v>
      </c>
      <c r="I36" s="19">
        <f t="shared" si="2"/>
        <v>10</v>
      </c>
      <c r="J36" s="39">
        <f t="shared" si="3"/>
        <v>21</v>
      </c>
    </row>
    <row r="37" ht="18.75" customHeight="1" spans="1:10">
      <c r="A37" s="20" t="s">
        <v>45</v>
      </c>
      <c r="B37" s="19">
        <v>2.5</v>
      </c>
      <c r="C37" s="19">
        <v>2.5</v>
      </c>
      <c r="D37" s="19"/>
      <c r="E37" s="19"/>
      <c r="F37" s="19"/>
      <c r="G37" s="19"/>
      <c r="H37" s="19">
        <f t="shared" si="1"/>
        <v>13.5</v>
      </c>
      <c r="I37" s="19">
        <f t="shared" si="2"/>
        <v>12.5</v>
      </c>
      <c r="J37" s="39">
        <f t="shared" si="3"/>
        <v>26</v>
      </c>
    </row>
    <row r="38" ht="18.75" customHeight="1" spans="1:10">
      <c r="A38" s="20" t="s">
        <v>46</v>
      </c>
      <c r="B38" s="19"/>
      <c r="C38" s="19"/>
      <c r="D38" s="19"/>
      <c r="E38" s="19">
        <v>1</v>
      </c>
      <c r="F38" s="19"/>
      <c r="G38" s="19"/>
      <c r="H38" s="19">
        <f t="shared" si="1"/>
        <v>13.5</v>
      </c>
      <c r="I38" s="19">
        <f t="shared" si="2"/>
        <v>11.5</v>
      </c>
      <c r="J38" s="39">
        <f t="shared" si="3"/>
        <v>25</v>
      </c>
    </row>
    <row r="39" ht="18.75" customHeight="1" spans="1:10">
      <c r="A39" s="20" t="s">
        <v>47</v>
      </c>
      <c r="B39" s="23">
        <v>5</v>
      </c>
      <c r="C39" s="23">
        <v>5</v>
      </c>
      <c r="D39" s="24"/>
      <c r="E39" s="24"/>
      <c r="F39" s="24"/>
      <c r="G39" s="24"/>
      <c r="H39" s="25">
        <f t="shared" si="1"/>
        <v>18.5</v>
      </c>
      <c r="I39" s="25">
        <f t="shared" si="2"/>
        <v>16.5</v>
      </c>
      <c r="J39" s="40">
        <f t="shared" si="3"/>
        <v>35</v>
      </c>
    </row>
    <row r="40" ht="15.6" spans="1:10">
      <c r="A40" s="22" t="s">
        <v>48</v>
      </c>
      <c r="B40" s="26"/>
      <c r="C40" s="26"/>
      <c r="D40" s="26">
        <v>9</v>
      </c>
      <c r="E40" s="26">
        <v>10</v>
      </c>
      <c r="F40" s="26"/>
      <c r="G40" s="26"/>
      <c r="H40" s="25">
        <f t="shared" ref="H40:H42" si="4">H39-F40-D40+B40</f>
        <v>9.5</v>
      </c>
      <c r="I40" s="25">
        <f t="shared" ref="I40:I42" si="5">I39-E40+C40</f>
        <v>6.5</v>
      </c>
      <c r="J40" s="40">
        <f t="shared" ref="J40:J42" si="6">SUM(H40:I40)</f>
        <v>16</v>
      </c>
    </row>
    <row r="41" ht="15.6" spans="1:10">
      <c r="A41" s="22" t="s">
        <v>49</v>
      </c>
      <c r="B41" s="23">
        <v>2.5</v>
      </c>
      <c r="C41" s="23">
        <v>2.5</v>
      </c>
      <c r="D41" s="27"/>
      <c r="E41" s="27"/>
      <c r="F41" s="27"/>
      <c r="G41" s="27"/>
      <c r="H41" s="25">
        <f t="shared" si="4"/>
        <v>12</v>
      </c>
      <c r="I41" s="25">
        <f t="shared" si="5"/>
        <v>9</v>
      </c>
      <c r="J41" s="40">
        <f t="shared" si="6"/>
        <v>21</v>
      </c>
    </row>
    <row r="42" ht="15.6" spans="1:10">
      <c r="A42" s="22" t="s">
        <v>50</v>
      </c>
      <c r="B42" s="27"/>
      <c r="C42" s="27"/>
      <c r="D42" s="27"/>
      <c r="E42" s="27"/>
      <c r="F42" s="19">
        <v>1</v>
      </c>
      <c r="G42" s="19"/>
      <c r="H42" s="25">
        <f t="shared" si="4"/>
        <v>11</v>
      </c>
      <c r="I42" s="25">
        <f t="shared" si="5"/>
        <v>9</v>
      </c>
      <c r="J42" s="40">
        <f t="shared" si="6"/>
        <v>20</v>
      </c>
    </row>
    <row r="43" ht="15.6" spans="1:10">
      <c r="A43" s="22" t="s">
        <v>51</v>
      </c>
      <c r="B43" s="22">
        <v>1.25</v>
      </c>
      <c r="C43" s="22">
        <v>1.25</v>
      </c>
      <c r="D43" s="27"/>
      <c r="E43" s="27"/>
      <c r="F43" s="19"/>
      <c r="G43" s="19"/>
      <c r="H43" s="25">
        <f t="shared" ref="H43:H44" si="7">H42-F43-D43+B43</f>
        <v>12.25</v>
      </c>
      <c r="I43" s="25">
        <f t="shared" ref="I43:I44" si="8">I42-E43+C43</f>
        <v>10.25</v>
      </c>
      <c r="J43" s="40">
        <f t="shared" ref="J43:J44" si="9">SUM(H43:I43)</f>
        <v>22.5</v>
      </c>
    </row>
    <row r="44" ht="15.6" spans="1:10">
      <c r="A44" s="22" t="s">
        <v>52</v>
      </c>
      <c r="B44" s="22"/>
      <c r="C44" s="22"/>
      <c r="D44" s="27"/>
      <c r="E44" s="27"/>
      <c r="F44" s="19"/>
      <c r="G44" s="19">
        <v>3</v>
      </c>
      <c r="H44" s="25">
        <f t="shared" si="7"/>
        <v>12.25</v>
      </c>
      <c r="I44" s="25">
        <f t="shared" si="8"/>
        <v>10.25</v>
      </c>
      <c r="J44" s="40">
        <f t="shared" si="9"/>
        <v>22.5</v>
      </c>
    </row>
    <row r="45" ht="15.6" spans="1:10">
      <c r="A45" s="22" t="s">
        <v>53</v>
      </c>
      <c r="B45" s="28"/>
      <c r="C45" s="28"/>
      <c r="D45" s="29"/>
      <c r="E45" s="29"/>
      <c r="F45" s="25">
        <v>2</v>
      </c>
      <c r="G45" s="25"/>
      <c r="H45" s="25">
        <f t="shared" ref="H45" si="10">H44-F45-D45+B45</f>
        <v>10.25</v>
      </c>
      <c r="I45" s="25">
        <f t="shared" ref="I45" si="11">I44-E45+C45</f>
        <v>10.25</v>
      </c>
      <c r="J45" s="40">
        <f t="shared" ref="J45" si="12">SUM(H45:I45)</f>
        <v>20.5</v>
      </c>
    </row>
    <row r="46" ht="15.6" spans="1:10">
      <c r="A46" s="22" t="s">
        <v>54</v>
      </c>
      <c r="B46" s="22">
        <v>1.25</v>
      </c>
      <c r="C46" s="22">
        <v>1.25</v>
      </c>
      <c r="D46" s="27"/>
      <c r="E46" s="27"/>
      <c r="F46" s="19"/>
      <c r="G46" s="19"/>
      <c r="H46" s="25">
        <f t="shared" ref="H46:H48" si="13">H45-F46-D46+B46</f>
        <v>11.5</v>
      </c>
      <c r="I46" s="25">
        <f t="shared" ref="I46:I48" si="14">I45-E46+C46</f>
        <v>11.5</v>
      </c>
      <c r="J46" s="40">
        <f t="shared" ref="J46:J48" si="15">SUM(H46:I46)</f>
        <v>23</v>
      </c>
    </row>
    <row r="47" ht="15.6" spans="1:10">
      <c r="A47" s="22" t="s">
        <v>55</v>
      </c>
      <c r="B47" s="22"/>
      <c r="C47" s="22"/>
      <c r="D47" s="27"/>
      <c r="E47" s="27"/>
      <c r="F47" s="30"/>
      <c r="G47" s="30">
        <v>1</v>
      </c>
      <c r="H47" s="19">
        <f t="shared" si="13"/>
        <v>11.5</v>
      </c>
      <c r="I47" s="19">
        <f t="shared" si="14"/>
        <v>11.5</v>
      </c>
      <c r="J47" s="19">
        <f t="shared" si="15"/>
        <v>23</v>
      </c>
    </row>
    <row r="48" ht="15.6" spans="1:10">
      <c r="A48" s="22" t="s">
        <v>56</v>
      </c>
      <c r="B48" s="22">
        <v>2.5</v>
      </c>
      <c r="C48" s="22">
        <v>2.5</v>
      </c>
      <c r="D48" s="27"/>
      <c r="E48" s="27"/>
      <c r="F48" s="30"/>
      <c r="G48" s="30"/>
      <c r="H48" s="19">
        <f t="shared" si="13"/>
        <v>14</v>
      </c>
      <c r="I48" s="19">
        <f t="shared" si="14"/>
        <v>14</v>
      </c>
      <c r="J48" s="30">
        <f t="shared" si="15"/>
        <v>28</v>
      </c>
    </row>
    <row r="49" ht="15.6" spans="1:10">
      <c r="A49" s="22" t="s">
        <v>57</v>
      </c>
      <c r="B49" s="22"/>
      <c r="C49" s="22"/>
      <c r="D49" s="27"/>
      <c r="E49" s="27"/>
      <c r="F49" s="30">
        <v>2</v>
      </c>
      <c r="G49" s="30"/>
      <c r="H49" s="19">
        <f t="shared" ref="H49:H53" si="16">H48-F49-D49+B49</f>
        <v>12</v>
      </c>
      <c r="I49" s="19">
        <f t="shared" ref="I49:I53" si="17">I48-E49+C49</f>
        <v>14</v>
      </c>
      <c r="J49" s="30">
        <f t="shared" ref="J49:J53" si="18">SUM(H49:I49)</f>
        <v>26</v>
      </c>
    </row>
    <row r="50" ht="15.6" spans="1:10">
      <c r="A50" s="22" t="s">
        <v>58</v>
      </c>
      <c r="B50" s="22"/>
      <c r="C50" s="22"/>
      <c r="D50" s="27"/>
      <c r="E50" s="27"/>
      <c r="F50" s="30">
        <v>2</v>
      </c>
      <c r="G50" s="30"/>
      <c r="H50" s="19">
        <f t="shared" si="16"/>
        <v>10</v>
      </c>
      <c r="I50" s="19">
        <f t="shared" si="17"/>
        <v>14</v>
      </c>
      <c r="J50" s="30">
        <f t="shared" si="18"/>
        <v>24</v>
      </c>
    </row>
    <row r="51" ht="15.6" spans="1:10">
      <c r="A51" s="22" t="s">
        <v>59</v>
      </c>
      <c r="B51" s="22"/>
      <c r="C51" s="22"/>
      <c r="D51" s="27"/>
      <c r="E51" s="22">
        <v>2</v>
      </c>
      <c r="F51" s="30"/>
      <c r="G51" s="30"/>
      <c r="H51" s="19">
        <f t="shared" si="16"/>
        <v>10</v>
      </c>
      <c r="I51" s="19">
        <f t="shared" si="17"/>
        <v>12</v>
      </c>
      <c r="J51" s="30">
        <f t="shared" si="18"/>
        <v>22</v>
      </c>
    </row>
    <row r="52" ht="15.6" spans="1:10">
      <c r="A52" s="22" t="s">
        <v>60</v>
      </c>
      <c r="B52" s="22">
        <v>3.75</v>
      </c>
      <c r="C52" s="22">
        <v>3.75</v>
      </c>
      <c r="D52" s="27"/>
      <c r="E52" s="27"/>
      <c r="F52" s="30"/>
      <c r="G52" s="30"/>
      <c r="H52" s="19">
        <f t="shared" si="16"/>
        <v>13.75</v>
      </c>
      <c r="I52" s="19">
        <f t="shared" si="17"/>
        <v>15.75</v>
      </c>
      <c r="J52" s="30">
        <f t="shared" si="18"/>
        <v>29.5</v>
      </c>
    </row>
    <row r="53" ht="15.6" spans="1:10">
      <c r="A53" s="22" t="s">
        <v>61</v>
      </c>
      <c r="B53" s="22"/>
      <c r="C53" s="22"/>
      <c r="D53" s="27"/>
      <c r="E53" s="27"/>
      <c r="F53" s="30"/>
      <c r="G53" s="30">
        <v>1</v>
      </c>
      <c r="H53" s="19">
        <f t="shared" si="16"/>
        <v>13.75</v>
      </c>
      <c r="I53" s="19">
        <f t="shared" si="17"/>
        <v>15.75</v>
      </c>
      <c r="J53" s="30">
        <f t="shared" si="18"/>
        <v>29.5</v>
      </c>
    </row>
    <row r="54" ht="15.6" spans="1:10">
      <c r="A54" s="31" t="s">
        <v>62</v>
      </c>
      <c r="B54" s="22">
        <v>2.5</v>
      </c>
      <c r="C54" s="22">
        <v>2.5</v>
      </c>
      <c r="D54" s="27"/>
      <c r="E54" s="27"/>
      <c r="F54" s="30"/>
      <c r="G54" s="30"/>
      <c r="H54" s="19">
        <f t="shared" ref="H54" si="19">H53-F54-D54+B54</f>
        <v>16.25</v>
      </c>
      <c r="I54" s="19">
        <f t="shared" ref="I54" si="20">I53-E54+C54</f>
        <v>18.25</v>
      </c>
      <c r="J54" s="30">
        <f t="shared" ref="J54" si="21">SUM(H54:I54)</f>
        <v>34.5</v>
      </c>
    </row>
    <row r="55" ht="15.6" spans="1:10">
      <c r="A55" s="31" t="s">
        <v>63</v>
      </c>
      <c r="B55" s="22"/>
      <c r="C55" s="22"/>
      <c r="D55" s="22">
        <v>10</v>
      </c>
      <c r="E55" s="27"/>
      <c r="F55" s="30"/>
      <c r="G55" s="30"/>
      <c r="H55" s="30">
        <f t="shared" ref="H55" si="22">H54-F55-D55+B55</f>
        <v>6.25</v>
      </c>
      <c r="I55" s="30">
        <f t="shared" ref="I55" si="23">I54-E55+C55</f>
        <v>18.25</v>
      </c>
      <c r="J55" s="30">
        <f t="shared" ref="J55" si="24">SUM(H55:I55)</f>
        <v>24.5</v>
      </c>
    </row>
    <row r="56" ht="15.6" spans="1:10">
      <c r="A56" s="31" t="s">
        <v>64</v>
      </c>
      <c r="B56" s="22">
        <v>3.75</v>
      </c>
      <c r="C56" s="22">
        <v>3.75</v>
      </c>
      <c r="D56" s="22"/>
      <c r="E56" s="27"/>
      <c r="F56" s="30"/>
      <c r="G56" s="30"/>
      <c r="H56" s="30">
        <f t="shared" ref="H56:H57" si="25">H55-F56-D56+B56</f>
        <v>10</v>
      </c>
      <c r="I56" s="30">
        <f t="shared" ref="I56:I57" si="26">I55-E56+C56</f>
        <v>22</v>
      </c>
      <c r="J56" s="30">
        <f t="shared" ref="J56:J57" si="27">SUM(H56:I56)</f>
        <v>32</v>
      </c>
    </row>
    <row r="57" ht="15.6" spans="1:10">
      <c r="A57" s="31" t="s">
        <v>65</v>
      </c>
      <c r="B57" s="22"/>
      <c r="C57" s="22"/>
      <c r="D57" s="22">
        <v>0.5</v>
      </c>
      <c r="E57" s="27"/>
      <c r="F57" s="30"/>
      <c r="G57" s="30"/>
      <c r="H57" s="30">
        <f t="shared" si="25"/>
        <v>9.5</v>
      </c>
      <c r="I57" s="30">
        <f t="shared" si="26"/>
        <v>22</v>
      </c>
      <c r="J57" s="30">
        <f t="shared" si="27"/>
        <v>31.5</v>
      </c>
    </row>
    <row r="58" ht="15.6" spans="1:10">
      <c r="A58" s="31" t="s">
        <v>66</v>
      </c>
      <c r="B58" s="22">
        <v>2.5</v>
      </c>
      <c r="C58" s="22">
        <v>2.5</v>
      </c>
      <c r="D58" s="22"/>
      <c r="E58" s="27"/>
      <c r="F58" s="30"/>
      <c r="G58" s="30"/>
      <c r="H58" s="30">
        <f t="shared" ref="H58:H60" si="28">H57-F58-D58+B58</f>
        <v>12</v>
      </c>
      <c r="I58" s="30">
        <f t="shared" ref="I58:I60" si="29">I57-E58+C58</f>
        <v>24.5</v>
      </c>
      <c r="J58" s="30">
        <f t="shared" ref="J58:J60" si="30">SUM(H58:I58)</f>
        <v>36.5</v>
      </c>
    </row>
    <row r="59" ht="15.6" spans="1:10">
      <c r="A59" s="31" t="s">
        <v>67</v>
      </c>
      <c r="B59" s="22"/>
      <c r="C59" s="22"/>
      <c r="D59" s="22"/>
      <c r="E59" s="27"/>
      <c r="F59" s="30">
        <v>1</v>
      </c>
      <c r="G59" s="30"/>
      <c r="H59" s="30">
        <f t="shared" si="28"/>
        <v>11</v>
      </c>
      <c r="I59" s="30">
        <f t="shared" si="29"/>
        <v>24.5</v>
      </c>
      <c r="J59" s="30">
        <f t="shared" si="30"/>
        <v>35.5</v>
      </c>
    </row>
    <row r="60" ht="15.6" spans="1:10">
      <c r="A60" s="31" t="s">
        <v>68</v>
      </c>
      <c r="B60" s="22"/>
      <c r="C60" s="22"/>
      <c r="D60" s="22"/>
      <c r="E60" s="27"/>
      <c r="F60" s="30"/>
      <c r="G60" s="32">
        <v>1</v>
      </c>
      <c r="H60" s="30">
        <f t="shared" si="28"/>
        <v>11</v>
      </c>
      <c r="I60" s="30">
        <f t="shared" si="29"/>
        <v>24.5</v>
      </c>
      <c r="J60" s="30">
        <f t="shared" si="30"/>
        <v>35.5</v>
      </c>
    </row>
    <row r="61" ht="15.6" spans="1:10">
      <c r="A61" s="31" t="s">
        <v>69</v>
      </c>
      <c r="B61" s="22">
        <v>1.25</v>
      </c>
      <c r="C61" s="22">
        <v>1.25</v>
      </c>
      <c r="D61" s="22"/>
      <c r="E61" s="27"/>
      <c r="F61" s="30"/>
      <c r="G61" s="30"/>
      <c r="H61" s="30">
        <f t="shared" ref="H61:H62" si="31">H60-F61-D61+B61</f>
        <v>12.25</v>
      </c>
      <c r="I61" s="30">
        <f t="shared" ref="I61:I62" si="32">I60-E61+C61</f>
        <v>25.75</v>
      </c>
      <c r="J61" s="30">
        <f t="shared" ref="J61:J62" si="33">SUM(H61:I61)</f>
        <v>38</v>
      </c>
    </row>
    <row r="62" ht="15.6" spans="1:10">
      <c r="A62" s="31" t="s">
        <v>70</v>
      </c>
      <c r="B62" s="22"/>
      <c r="C62" s="22"/>
      <c r="D62" s="22"/>
      <c r="E62" s="27"/>
      <c r="F62" s="33">
        <v>1</v>
      </c>
      <c r="G62" s="30"/>
      <c r="H62" s="30">
        <f t="shared" si="31"/>
        <v>11.25</v>
      </c>
      <c r="I62" s="30">
        <f t="shared" si="32"/>
        <v>25.75</v>
      </c>
      <c r="J62" s="30">
        <f t="shared" si="33"/>
        <v>37</v>
      </c>
    </row>
    <row r="63" ht="15.6" spans="1:10">
      <c r="A63" s="31" t="s">
        <v>71</v>
      </c>
      <c r="B63" s="22"/>
      <c r="C63" s="22"/>
      <c r="D63" s="22"/>
      <c r="E63" s="27"/>
      <c r="F63" s="33">
        <v>1</v>
      </c>
      <c r="G63" s="30"/>
      <c r="H63" s="30">
        <f t="shared" ref="H63" si="34">H62-F63-D63+B63</f>
        <v>10.25</v>
      </c>
      <c r="I63" s="30">
        <f t="shared" ref="I63" si="35">I62-E63+C63</f>
        <v>25.75</v>
      </c>
      <c r="J63" s="30">
        <f t="shared" ref="J63" si="36">SUM(H63:I63)</f>
        <v>36</v>
      </c>
    </row>
    <row r="64" ht="15.6" spans="1:10">
      <c r="A64" s="31" t="s">
        <v>72</v>
      </c>
      <c r="B64" s="22">
        <v>6.25</v>
      </c>
      <c r="C64" s="22">
        <v>6.25</v>
      </c>
      <c r="D64" s="22"/>
      <c r="E64" s="27"/>
      <c r="F64" s="30"/>
      <c r="G64" s="30"/>
      <c r="H64" s="30">
        <f t="shared" ref="H64:H65" si="37">H63-F64-D64+B64</f>
        <v>16.5</v>
      </c>
      <c r="I64" s="30">
        <f t="shared" ref="I64:I65" si="38">I63-E64+C64</f>
        <v>32</v>
      </c>
      <c r="J64" s="30">
        <f t="shared" ref="J64:J65" si="39">SUM(H64:I64)</f>
        <v>48.5</v>
      </c>
    </row>
    <row r="65" ht="15.6" spans="1:10">
      <c r="A65" s="31" t="s">
        <v>73</v>
      </c>
      <c r="B65" s="22"/>
      <c r="C65" s="22"/>
      <c r="D65" s="22">
        <v>10</v>
      </c>
      <c r="E65" s="27"/>
      <c r="F65" s="30"/>
      <c r="G65" s="30"/>
      <c r="H65" s="30">
        <f t="shared" si="37"/>
        <v>6.5</v>
      </c>
      <c r="I65" s="30">
        <f t="shared" si="38"/>
        <v>32</v>
      </c>
      <c r="J65" s="30">
        <f t="shared" si="39"/>
        <v>38.5</v>
      </c>
    </row>
    <row r="66" ht="15.6" spans="1:10">
      <c r="A66" s="31" t="s">
        <v>74</v>
      </c>
      <c r="B66" s="22">
        <v>1.25</v>
      </c>
      <c r="C66" s="22">
        <v>1.25</v>
      </c>
      <c r="D66" s="22"/>
      <c r="E66" s="27"/>
      <c r="F66" s="30"/>
      <c r="G66" s="30"/>
      <c r="H66" s="30">
        <f t="shared" ref="H66:H67" si="40">H65-F66-D66+B66</f>
        <v>7.75</v>
      </c>
      <c r="I66" s="30">
        <f t="shared" ref="I66:I67" si="41">I65-E66+C66</f>
        <v>33.25</v>
      </c>
      <c r="J66" s="30">
        <f t="shared" ref="J66:J67" si="42">SUM(H66:I66)</f>
        <v>41</v>
      </c>
    </row>
    <row r="67" ht="15.6" spans="1:10">
      <c r="A67" s="31" t="s">
        <v>75</v>
      </c>
      <c r="B67" s="22"/>
      <c r="C67" s="22"/>
      <c r="D67" s="22"/>
      <c r="E67" s="27"/>
      <c r="F67" s="30"/>
      <c r="G67" s="32">
        <v>1</v>
      </c>
      <c r="H67" s="30">
        <f t="shared" si="40"/>
        <v>7.75</v>
      </c>
      <c r="I67" s="30">
        <f t="shared" si="41"/>
        <v>33.25</v>
      </c>
      <c r="J67" s="30">
        <f t="shared" si="42"/>
        <v>41</v>
      </c>
    </row>
    <row r="68" s="2" customFormat="1" ht="15.6" spans="1:10">
      <c r="A68" s="41" t="s">
        <v>76</v>
      </c>
      <c r="B68" s="41">
        <v>1.25</v>
      </c>
      <c r="C68" s="41">
        <v>1.25</v>
      </c>
      <c r="D68" s="42"/>
      <c r="E68" s="42"/>
      <c r="F68" s="42"/>
      <c r="G68" s="43"/>
      <c r="H68" s="30">
        <f t="shared" ref="H68:H69" si="43">H67-F68-D68+B68</f>
        <v>9</v>
      </c>
      <c r="I68" s="30">
        <f t="shared" ref="I68:I69" si="44">I67-E68+C68</f>
        <v>34.5</v>
      </c>
      <c r="J68" s="30">
        <f t="shared" ref="J68:J69" si="45">SUM(H68:I68)</f>
        <v>43.5</v>
      </c>
    </row>
    <row r="69" s="2" customFormat="1" ht="15.6" spans="1:10">
      <c r="A69" s="44" t="s">
        <v>77</v>
      </c>
      <c r="B69" s="44"/>
      <c r="C69" s="44"/>
      <c r="D69" s="44"/>
      <c r="E69" s="45"/>
      <c r="F69" s="33">
        <v>2</v>
      </c>
      <c r="G69" s="43"/>
      <c r="H69" s="30">
        <f t="shared" si="43"/>
        <v>7</v>
      </c>
      <c r="I69" s="30">
        <f t="shared" si="44"/>
        <v>34.5</v>
      </c>
      <c r="J69" s="30">
        <f t="shared" si="45"/>
        <v>41.5</v>
      </c>
    </row>
    <row r="70" s="2" customFormat="1" ht="15.6" spans="1:10">
      <c r="A70" s="46" t="s">
        <v>78</v>
      </c>
      <c r="B70" s="46">
        <v>3.75</v>
      </c>
      <c r="C70" s="46">
        <v>3.75</v>
      </c>
      <c r="D70" s="46"/>
      <c r="E70" s="47"/>
      <c r="F70" s="48"/>
      <c r="G70" s="49"/>
      <c r="H70" s="30">
        <f>H69-F70-D70+B70</f>
        <v>10.75</v>
      </c>
      <c r="I70" s="30">
        <f>I69-E70+C70</f>
        <v>38.25</v>
      </c>
      <c r="J70" s="30">
        <f>SUM(H70:I70)</f>
        <v>49</v>
      </c>
    </row>
    <row r="71" s="2" customFormat="1" ht="15.6" spans="1:10">
      <c r="A71" s="46" t="s">
        <v>79</v>
      </c>
      <c r="B71" s="46"/>
      <c r="C71" s="46"/>
      <c r="D71" s="46"/>
      <c r="E71" s="47"/>
      <c r="F71" s="48"/>
      <c r="G71" s="32">
        <v>1</v>
      </c>
      <c r="H71" s="30">
        <f>H70-F71-D71+B71</f>
        <v>10.75</v>
      </c>
      <c r="I71" s="30">
        <f>I70-E71+C71</f>
        <v>38.25</v>
      </c>
      <c r="J71" s="30">
        <f>SUM(H71:I71)</f>
        <v>49</v>
      </c>
    </row>
    <row r="72" s="2" customFormat="1" ht="15.6" spans="1:10">
      <c r="A72" s="46" t="s">
        <v>80</v>
      </c>
      <c r="B72" s="46"/>
      <c r="C72" s="46"/>
      <c r="D72" s="46"/>
      <c r="E72" s="47"/>
      <c r="F72" s="33">
        <v>1</v>
      </c>
      <c r="G72" s="49"/>
      <c r="H72" s="30">
        <f>H71-F72-D72+B72</f>
        <v>9.75</v>
      </c>
      <c r="I72" s="30">
        <f>I71-E72+C72</f>
        <v>38.25</v>
      </c>
      <c r="J72" s="30">
        <f>SUM(H72:I72)</f>
        <v>48</v>
      </c>
    </row>
    <row r="73" ht="15.6" spans="1:10">
      <c r="A73" s="50"/>
      <c r="F73" s="51"/>
      <c r="G73" s="51"/>
      <c r="H73" s="51"/>
      <c r="I73" s="51"/>
      <c r="J73" s="51"/>
    </row>
    <row r="74" s="3" customFormat="1" ht="15" customHeight="1" spans="7:7">
      <c r="G74" s="3" t="s">
        <v>81</v>
      </c>
    </row>
    <row r="75" s="3" customFormat="1" ht="15" customHeight="1"/>
    <row r="76" s="3" customFormat="1" ht="15" customHeight="1" spans="8:8">
      <c r="H76" s="52" t="s">
        <v>82</v>
      </c>
    </row>
    <row r="77" s="3" customFormat="1" ht="15" customHeight="1" spans="8:8">
      <c r="H77" s="5" t="s">
        <v>83</v>
      </c>
    </row>
    <row r="78" ht="15" customHeight="1" spans="2:11">
      <c r="B78" s="1"/>
      <c r="C78" s="1"/>
      <c r="D78" s="1"/>
      <c r="E78" s="1"/>
      <c r="G78" s="1"/>
      <c r="H78" s="5" t="s">
        <v>84</v>
      </c>
      <c r="I78" s="1"/>
      <c r="J78" s="1"/>
      <c r="K78" s="1"/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 verticalCentered="1"/>
  <pageMargins left="0.25" right="0.25" top="0.25" bottom="0.25" header="0.3" footer="0.3"/>
  <pageSetup paperSize="9" scale="61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Leave Card (NE)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2025-09-17T06:11:00Z</cp:lastPrinted>
  <dcterms:modified xsi:type="dcterms:W3CDTF">2026-01-01T03:38:36Z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4489EFAE2E6A47D39F1BBE6064F89EDB</vt:lpwstr>
  </property>
  <property fmtid="{D5CDD505-2E9C-101B-9397-08002B2CF9AE}" pid="3" name="KSOProductBuildVer">
    <vt:lpwstr>1033-12.2.0.23196</vt:lpwstr>
  </property>
</Properties>
</file>