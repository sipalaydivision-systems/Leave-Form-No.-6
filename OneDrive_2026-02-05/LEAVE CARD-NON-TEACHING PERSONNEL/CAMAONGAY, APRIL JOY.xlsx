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7C0F75D-8D15-4BE6-A7DB-6B3D26573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7" r:id="rId1"/>
    <sheet name="CTO" sheetId="8" r:id="rId2"/>
  </sheets>
  <definedNames>
    <definedName name="_xlnm.Print_Area" localSheetId="0">CORRECTED!$A$1:$J$92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7" l="1"/>
  <c r="I80" i="7"/>
  <c r="J80" i="7"/>
  <c r="C34" i="7" l="1"/>
  <c r="B34" i="7"/>
  <c r="I13" i="7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H13" i="7"/>
  <c r="H14" i="7" s="1"/>
  <c r="H15" i="7" l="1"/>
  <c r="H16" i="7" s="1"/>
  <c r="J14" i="7"/>
  <c r="J13" i="7"/>
  <c r="H17" i="7" l="1"/>
  <c r="J16" i="7"/>
  <c r="J15" i="7"/>
  <c r="H18" i="7" l="1"/>
  <c r="J17" i="7"/>
  <c r="J18" i="7" l="1"/>
  <c r="H19" i="7"/>
  <c r="H20" i="7" l="1"/>
  <c r="J19" i="7"/>
  <c r="H21" i="7" l="1"/>
  <c r="J20" i="7"/>
  <c r="H22" i="7" l="1"/>
  <c r="J21" i="7"/>
  <c r="J22" i="7" l="1"/>
  <c r="H23" i="7"/>
  <c r="H24" i="7" l="1"/>
  <c r="J23" i="7"/>
  <c r="H25" i="7" l="1"/>
  <c r="J24" i="7"/>
  <c r="H26" i="7" l="1"/>
  <c r="J25" i="7"/>
  <c r="H27" i="7" l="1"/>
  <c r="J26" i="7"/>
  <c r="H28" i="7" l="1"/>
  <c r="J27" i="7"/>
  <c r="J28" i="7" l="1"/>
  <c r="H29" i="7"/>
  <c r="J29" i="7" l="1"/>
  <c r="H30" i="7"/>
  <c r="H31" i="7" l="1"/>
  <c r="J30" i="7"/>
  <c r="H32" i="7" l="1"/>
  <c r="J31" i="7"/>
  <c r="H33" i="7" l="1"/>
  <c r="J32" i="7"/>
  <c r="H34" i="7" l="1"/>
  <c r="J33" i="7"/>
  <c r="H35" i="7" l="1"/>
  <c r="J34" i="7"/>
  <c r="J35" i="7" l="1"/>
  <c r="H36" i="7"/>
  <c r="H37" i="7" l="1"/>
  <c r="J36" i="7"/>
  <c r="H38" i="7" l="1"/>
  <c r="J37" i="7"/>
  <c r="J38" i="7" l="1"/>
  <c r="H39" i="7"/>
  <c r="H40" i="7" l="1"/>
  <c r="J39" i="7"/>
  <c r="J40" i="7" l="1"/>
  <c r="H41" i="7"/>
  <c r="J41" i="7" l="1"/>
  <c r="H42" i="7"/>
  <c r="J42" i="7" l="1"/>
  <c r="H43" i="7"/>
  <c r="H44" i="7" l="1"/>
  <c r="J43" i="7"/>
  <c r="J44" i="7" l="1"/>
  <c r="H45" i="7"/>
  <c r="H46" i="7" l="1"/>
  <c r="J45" i="7"/>
  <c r="J46" i="7" l="1"/>
  <c r="H47" i="7"/>
  <c r="H48" i="7" l="1"/>
  <c r="J47" i="7"/>
  <c r="J48" i="7" l="1"/>
  <c r="H49" i="7"/>
  <c r="H50" i="7" l="1"/>
  <c r="J49" i="7"/>
  <c r="J50" i="7" l="1"/>
  <c r="H51" i="7"/>
  <c r="H52" i="7" l="1"/>
  <c r="J51" i="7"/>
  <c r="J52" i="7" l="1"/>
  <c r="H53" i="7"/>
  <c r="H54" i="7" l="1"/>
  <c r="J53" i="7"/>
  <c r="J54" i="7" l="1"/>
  <c r="H55" i="7"/>
  <c r="H56" i="7" l="1"/>
  <c r="J55" i="7"/>
  <c r="J56" i="7" l="1"/>
  <c r="H57" i="7"/>
  <c r="J57" i="7" l="1"/>
  <c r="H58" i="7"/>
  <c r="J58" i="7" l="1"/>
  <c r="H59" i="7"/>
  <c r="H60" i="7" l="1"/>
  <c r="J59" i="7"/>
  <c r="J60" i="7" l="1"/>
  <c r="H61" i="7"/>
  <c r="H62" i="7" l="1"/>
  <c r="J61" i="7"/>
  <c r="J62" i="7" l="1"/>
  <c r="H63" i="7"/>
  <c r="H64" i="7" l="1"/>
  <c r="J63" i="7"/>
  <c r="J64" i="7" l="1"/>
  <c r="H65" i="7"/>
  <c r="H66" i="7" l="1"/>
  <c r="J65" i="7"/>
  <c r="J66" i="7" l="1"/>
  <c r="H67" i="7"/>
  <c r="H68" i="7" l="1"/>
  <c r="J67" i="7"/>
  <c r="J68" i="7" l="1"/>
  <c r="H69" i="7"/>
  <c r="J69" i="7" l="1"/>
  <c r="H70" i="7"/>
  <c r="J70" i="7" l="1"/>
  <c r="H71" i="7"/>
  <c r="J71" i="7" l="1"/>
  <c r="H72" i="7"/>
  <c r="J72" i="7" l="1"/>
  <c r="H73" i="7"/>
  <c r="H74" i="7" l="1"/>
  <c r="J73" i="7"/>
  <c r="H75" i="7" l="1"/>
  <c r="J74" i="7"/>
  <c r="J75" i="7" l="1"/>
  <c r="H76" i="7"/>
  <c r="J76" i="7" l="1"/>
  <c r="H77" i="7"/>
  <c r="H78" i="7" l="1"/>
  <c r="J77" i="7"/>
  <c r="J78" i="7" l="1"/>
  <c r="H79" i="7"/>
  <c r="J79" i="7" s="1"/>
</calcChain>
</file>

<file path=xl/sharedStrings.xml><?xml version="1.0" encoding="utf-8"?>
<sst xmlns="http://schemas.openxmlformats.org/spreadsheetml/2006/main" count="123" uniqueCount="104">
  <si>
    <t>STATION   :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</si>
  <si>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</si>
  <si>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</si>
  <si>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</si>
  <si>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</si>
  <si>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</si>
  <si>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</si>
  <si>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</si>
  <si>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</si>
  <si>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</si>
  <si>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ADD: 01/01/22 - 01/31/22</t>
  </si>
  <si>
    <t>LESS: 12/09/2022</t>
  </si>
  <si>
    <t>ADD:11/01/22 - 11/30/22</t>
  </si>
  <si>
    <t>LESS: 12/19/22</t>
  </si>
  <si>
    <t>LESS: 11/23/2022</t>
  </si>
  <si>
    <t>SPECIAL</t>
  </si>
  <si>
    <t>LESS: 11/02, 03 &amp; 04/22</t>
  </si>
  <si>
    <t>Republic of the Philippines</t>
  </si>
  <si>
    <t>Department of Education</t>
  </si>
  <si>
    <t>REGION VI-WESTERN VISAYAS</t>
  </si>
  <si>
    <t>SCHOOLS DIVISION OF SIPALAY CITY</t>
  </si>
  <si>
    <t>DISTRICT: ___________________________</t>
  </si>
  <si>
    <t>SCHOOL/OFFICE:_____________________</t>
  </si>
  <si>
    <t>LESS: 12/23 &amp; 27/22</t>
  </si>
  <si>
    <t>ADD:12/01/22 - 12/31/22</t>
  </si>
  <si>
    <t>ADD:01/01/23 - 01/31/23</t>
  </si>
  <si>
    <t>ADD:02/01/23 - 02/28/23</t>
  </si>
  <si>
    <t>LESS: 03/27/2023</t>
  </si>
  <si>
    <t>ADD:03/01/23 - 03/31/23</t>
  </si>
  <si>
    <t>LESS: 04/14/2023</t>
  </si>
  <si>
    <t>LESS: 2/15/23</t>
  </si>
  <si>
    <t>ADD: 04/01/2023-05/31/2023</t>
  </si>
  <si>
    <t>LESS: 06/02/2023</t>
  </si>
  <si>
    <t>LESS: 06/09/2023</t>
  </si>
  <si>
    <t>LESS: 06/21 - 23/23</t>
  </si>
  <si>
    <t>LESS: 06/26, 27, 29 &amp; 30/23</t>
  </si>
  <si>
    <t>Certified Correct:</t>
  </si>
  <si>
    <t>MA. LUISA B. CATIGAN</t>
  </si>
  <si>
    <t>Administrative Officer IV</t>
  </si>
  <si>
    <t>HRMO</t>
  </si>
  <si>
    <t>ADD:06/01/2023-08/31/2023</t>
  </si>
  <si>
    <t>LESS: SEPT. 13-15, 2023</t>
  </si>
  <si>
    <t>ADD: 09/01/2023-09/30/2023</t>
  </si>
  <si>
    <t>LESS: 10/6&amp;9/2023</t>
  </si>
  <si>
    <t>LESS:10/20/2023</t>
  </si>
  <si>
    <t>ADD: 01/01-02/29/2024</t>
  </si>
  <si>
    <t>LESS: 03/08/2024</t>
  </si>
  <si>
    <t>ADD: MARCH 31, 2024</t>
  </si>
  <si>
    <t>ADD: OCTOBER-DECEMBER 31, 2023</t>
  </si>
  <si>
    <t>LESS: 04/30/2024</t>
  </si>
  <si>
    <t>Name: _____________________________</t>
  </si>
  <si>
    <t>EMP. NO  :</t>
  </si>
  <si>
    <t>POSITION: __________________________</t>
  </si>
  <si>
    <t>SERVICE LEAVE CARD</t>
  </si>
  <si>
    <t xml:space="preserve">  </t>
  </si>
  <si>
    <t>LESS: 05/2-3/2024</t>
  </si>
  <si>
    <t>ADD: 04/1-30/2024</t>
  </si>
  <si>
    <t>LESS: 05/13/2024</t>
  </si>
  <si>
    <t>ADD: 05/01/2024-06/30/2024</t>
  </si>
  <si>
    <t>LESS: 07/05/2024</t>
  </si>
  <si>
    <t>LESS: 07/22-26/2024</t>
  </si>
  <si>
    <t>ADD: 07/01-31/2024</t>
  </si>
  <si>
    <t>LESS: 07/29-30/2024</t>
  </si>
  <si>
    <t>COMPENSATORY TIME OFF (CTO)</t>
  </si>
  <si>
    <t>Special Order No. and Date Issued</t>
  </si>
  <si>
    <t>No. of Days Granted</t>
  </si>
  <si>
    <t>No. of Days Used</t>
  </si>
  <si>
    <t>Balance</t>
  </si>
  <si>
    <t>ADD: 06/26/2024</t>
  </si>
  <si>
    <t>S.O. # 024, S. 2024. 126TH PHILIPPINE INDEPENDENCE DAY CELEBRATION</t>
  </si>
  <si>
    <t>LESS: 08/16/2024</t>
  </si>
  <si>
    <t>LESS: 08/22/2024</t>
  </si>
  <si>
    <t>LESS: 08/30/2024</t>
  </si>
  <si>
    <t>ADD: 08/1-31/2024</t>
  </si>
  <si>
    <t>LESS: 09/20/2024</t>
  </si>
  <si>
    <t>ADD: 12/15/21 - 12/31/21</t>
  </si>
  <si>
    <t>ADD: 09/1/2024-12/31/2024</t>
  </si>
  <si>
    <t>LESS: 01/22/2025</t>
  </si>
  <si>
    <t>LESS: 01/15-16/2025</t>
  </si>
  <si>
    <t>ADD: 01/1-31/2025</t>
  </si>
  <si>
    <t>LESS: 02/3/2025</t>
  </si>
  <si>
    <t>LESS: 02/21/2025</t>
  </si>
  <si>
    <t>LESS: 02/17-18/2025</t>
  </si>
  <si>
    <t>LESS: 02/19-20/2025</t>
  </si>
  <si>
    <t>LESS: 02/25/2025</t>
  </si>
  <si>
    <t>ADD: 02/1-28/2025</t>
  </si>
  <si>
    <t>LESS: 03/20-21/2025</t>
  </si>
  <si>
    <t>ADD: 03/1-31/2025</t>
  </si>
  <si>
    <t>LESS: 04/3/2025</t>
  </si>
  <si>
    <t>LESS: 04/14/2025</t>
  </si>
  <si>
    <t>LESS: 04/22-25/2025</t>
  </si>
  <si>
    <t>ADD: 04/1-30/2025</t>
  </si>
  <si>
    <t>LESS: 05/14-16, 19-20/2025</t>
  </si>
  <si>
    <t>ADD: 05/1-31/2025</t>
  </si>
  <si>
    <t>LESS: 05/29-30/2025</t>
  </si>
  <si>
    <t>ADD: 02/01/22 - 10/31/22</t>
  </si>
  <si>
    <t>LESS: 06/11, 13, 16/2025</t>
  </si>
  <si>
    <t>ADD: 06/1/2025-07/31/2025</t>
  </si>
  <si>
    <t>LESS: 08/7/2025</t>
  </si>
  <si>
    <t>LESS: 08/20 &amp; 22/2025</t>
  </si>
  <si>
    <t>ADD: 02/5/2025</t>
  </si>
  <si>
    <t>SO # 002, S. 2025 RIZAL DAY 2024 CELEBRATION</t>
  </si>
  <si>
    <t>LESS: 12/26/2025</t>
  </si>
  <si>
    <t>ADD: 08/1/2025-11/30/2025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</si>
</sst>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6" fillId="0" borderId="0"/>
    <xf numFmtId="0" fontId="19" fillId="0" borderId="0"/>
  </cellStyleXfs>
  <cellXfs count="120">
    <xf numFmtId="0" fontId="0" fillId="0" borderId="0" xfId="0"/>
    <xf numFmtId="0" fontId="26" fillId="2" borderId="0" xfId="1" applyFill="1"/>
    <xf numFmtId="0" fontId="30" fillId="2" borderId="0" xfId="1" applyFont="1" applyFill="1" applyAlignment="1">
      <alignment vertical="center"/>
    </xf>
    <xf numFmtId="0" fontId="30" fillId="2" borderId="5" xfId="1" applyFont="1" applyFill="1" applyBorder="1" applyAlignment="1">
      <alignment horizontal="center" vertical="center"/>
    </xf>
    <xf numFmtId="0" fontId="30" fillId="2" borderId="0" xfId="1" applyFont="1" applyFill="1"/>
    <xf numFmtId="0" fontId="30" fillId="2" borderId="5" xfId="1" applyFont="1" applyFill="1" applyBorder="1" applyAlignment="1">
      <alignment vertical="center"/>
    </xf>
    <xf numFmtId="0" fontId="26" fillId="0" borderId="0" xfId="1"/>
    <xf numFmtId="0" fontId="30" fillId="2" borderId="3" xfId="1" applyFont="1" applyFill="1" applyBorder="1" applyAlignment="1">
      <alignment horizontal="center" vertical="center"/>
    </xf>
    <xf numFmtId="164" fontId="26" fillId="2" borderId="1" xfId="1" applyNumberFormat="1" applyFill="1" applyBorder="1" applyAlignment="1">
      <alignment horizontal="center" vertical="center"/>
    </xf>
    <xf numFmtId="164" fontId="26" fillId="2" borderId="4" xfId="1" applyNumberFormat="1" applyFill="1" applyBorder="1" applyAlignment="1">
      <alignment horizontal="center" vertical="center"/>
    </xf>
    <xf numFmtId="0" fontId="31" fillId="0" borderId="0" xfId="1" applyFont="1"/>
    <xf numFmtId="0" fontId="26" fillId="0" borderId="9" xfId="1" applyBorder="1" applyAlignment="1">
      <alignment horizontal="center" vertical="center"/>
    </xf>
    <xf numFmtId="164" fontId="26" fillId="2" borderId="2" xfId="1" applyNumberFormat="1" applyFill="1" applyBorder="1" applyAlignment="1">
      <alignment horizontal="center" vertical="center"/>
    </xf>
    <xf numFmtId="164" fontId="26" fillId="2" borderId="17" xfId="1" applyNumberFormat="1" applyFill="1" applyBorder="1" applyAlignment="1">
      <alignment horizontal="center" vertical="center"/>
    </xf>
    <xf numFmtId="0" fontId="26" fillId="0" borderId="9" xfId="1" applyBorder="1" applyAlignment="1">
      <alignment horizontal="center"/>
    </xf>
    <xf numFmtId="0" fontId="26" fillId="0" borderId="2" xfId="1" applyBorder="1" applyAlignment="1">
      <alignment horizontal="center"/>
    </xf>
    <xf numFmtId="164" fontId="26" fillId="2" borderId="2" xfId="1" applyNumberFormat="1" applyFill="1" applyBorder="1" applyAlignment="1">
      <alignment horizontal="center" vertical="center" wrapText="1"/>
    </xf>
    <xf numFmtId="164" fontId="26" fillId="0" borderId="2" xfId="1" applyNumberFormat="1" applyBorder="1" applyAlignment="1">
      <alignment horizontal="center" vertical="center"/>
    </xf>
    <xf numFmtId="0" fontId="31" fillId="0" borderId="0" xfId="1" applyFont="1" applyAlignment="1">
      <alignment vertical="center"/>
    </xf>
    <xf numFmtId="0" fontId="26" fillId="0" borderId="0" xfId="1" applyAlignment="1">
      <alignment vertical="center"/>
    </xf>
    <xf numFmtId="164" fontId="26" fillId="0" borderId="19" xfId="1" applyNumberFormat="1" applyBorder="1" applyAlignment="1">
      <alignment horizontal="center" vertical="center"/>
    </xf>
    <xf numFmtId="0" fontId="26" fillId="0" borderId="2" xfId="1" applyBorder="1" applyAlignment="1">
      <alignment horizontal="center" vertical="center"/>
    </xf>
    <xf numFmtId="0" fontId="26" fillId="0" borderId="2" xfId="1" applyBorder="1"/>
    <xf numFmtId="0" fontId="26" fillId="0" borderId="0" xfId="1" applyAlignment="1">
      <alignment horizontal="center" vertical="center"/>
    </xf>
    <xf numFmtId="0" fontId="25" fillId="0" borderId="18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19" fillId="2" borderId="0" xfId="2" applyFill="1"/>
    <xf numFmtId="0" fontId="27" fillId="2" borderId="0" xfId="2" applyFont="1" applyFill="1" applyAlignment="1">
      <alignment vertical="center"/>
    </xf>
    <xf numFmtId="0" fontId="27" fillId="2" borderId="5" xfId="2" applyFont="1" applyFill="1" applyBorder="1" applyAlignment="1">
      <alignment horizontal="center" vertical="center"/>
    </xf>
    <xf numFmtId="0" fontId="27" fillId="2" borderId="0" xfId="2" applyFont="1" applyFill="1"/>
    <xf numFmtId="0" fontId="27" fillId="2" borderId="5" xfId="2" applyFont="1" applyFill="1" applyBorder="1" applyAlignment="1">
      <alignment vertical="center"/>
    </xf>
    <xf numFmtId="0" fontId="19" fillId="0" borderId="0" xfId="2"/>
    <xf numFmtId="0" fontId="34" fillId="0" borderId="0" xfId="2" applyFont="1"/>
    <xf numFmtId="0" fontId="0" fillId="2" borderId="8" xfId="2" applyFont="1" applyFill="1" applyBorder="1" applyAlignment="1">
      <alignment horizontal="center" vertical="center" wrapText="1"/>
    </xf>
    <xf numFmtId="0" fontId="19" fillId="2" borderId="17" xfId="2" applyFill="1" applyBorder="1" applyAlignment="1">
      <alignment horizontal="center" vertical="center" wrapText="1"/>
    </xf>
    <xf numFmtId="0" fontId="19" fillId="11" borderId="17" xfId="2" applyFill="1" applyBorder="1" applyAlignment="1">
      <alignment horizontal="center" vertical="center" wrapText="1"/>
    </xf>
    <xf numFmtId="0" fontId="36" fillId="0" borderId="0" xfId="2" applyFont="1"/>
    <xf numFmtId="0" fontId="19" fillId="2" borderId="0" xfId="2" applyFill="1" applyAlignment="1">
      <alignment horizontal="center"/>
    </xf>
    <xf numFmtId="0" fontId="27" fillId="0" borderId="0" xfId="2" applyFont="1" applyAlignment="1">
      <alignment vertical="center"/>
    </xf>
    <xf numFmtId="0" fontId="37" fillId="0" borderId="0" xfId="2" applyFont="1" applyAlignment="1">
      <alignment vertical="center"/>
    </xf>
    <xf numFmtId="0" fontId="18" fillId="0" borderId="2" xfId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5" fillId="0" borderId="8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/>
    </xf>
    <xf numFmtId="0" fontId="26" fillId="8" borderId="2" xfId="1" applyFill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26" fillId="12" borderId="2" xfId="1" applyFill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26" fillId="0" borderId="0" xfId="1" applyAlignment="1">
      <alignment horizontal="center"/>
    </xf>
    <xf numFmtId="164" fontId="26" fillId="2" borderId="0" xfId="1" applyNumberFormat="1" applyFill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9" fillId="0" borderId="11" xfId="1" applyFont="1" applyBorder="1" applyAlignment="1">
      <alignment horizontal="center" vertical="center"/>
    </xf>
    <xf numFmtId="0" fontId="32" fillId="2" borderId="16" xfId="1" applyFont="1" applyFill="1" applyBorder="1" applyAlignment="1">
      <alignment horizontal="center" vertical="center"/>
    </xf>
    <xf numFmtId="0" fontId="30" fillId="6" borderId="6" xfId="1" applyFont="1" applyFill="1" applyBorder="1" applyAlignment="1">
      <alignment horizontal="center" vertical="center"/>
    </xf>
    <xf numFmtId="0" fontId="30" fillId="6" borderId="7" xfId="1" applyFont="1" applyFill="1" applyBorder="1" applyAlignment="1">
      <alignment horizontal="center" vertical="center"/>
    </xf>
    <xf numFmtId="0" fontId="30" fillId="4" borderId="13" xfId="1" applyFont="1" applyFill="1" applyBorder="1" applyAlignment="1">
      <alignment horizontal="center" vertical="center"/>
    </xf>
    <xf numFmtId="0" fontId="30" fillId="4" borderId="14" xfId="1" applyFont="1" applyFill="1" applyBorder="1" applyAlignment="1">
      <alignment horizontal="center" vertical="center"/>
    </xf>
    <xf numFmtId="0" fontId="30" fillId="7" borderId="13" xfId="1" applyFont="1" applyFill="1" applyBorder="1" applyAlignment="1">
      <alignment horizontal="center" vertical="center"/>
    </xf>
    <xf numFmtId="0" fontId="30" fillId="7" borderId="14" xfId="1" applyFont="1" applyFill="1" applyBorder="1" applyAlignment="1">
      <alignment horizontal="center" vertical="center"/>
    </xf>
    <xf numFmtId="0" fontId="30" fillId="7" borderId="15" xfId="1" applyFont="1" applyFill="1" applyBorder="1" applyAlignment="1">
      <alignment horizontal="center" vertical="center"/>
    </xf>
    <xf numFmtId="0" fontId="30" fillId="5" borderId="13" xfId="1" applyFont="1" applyFill="1" applyBorder="1" applyAlignment="1">
      <alignment horizontal="center" vertical="center"/>
    </xf>
    <xf numFmtId="0" fontId="30" fillId="5" borderId="14" xfId="1" applyFont="1" applyFill="1" applyBorder="1" applyAlignment="1">
      <alignment horizontal="center" vertical="center"/>
    </xf>
    <xf numFmtId="0" fontId="30" fillId="6" borderId="10" xfId="1" applyFont="1" applyFill="1" applyBorder="1" applyAlignment="1">
      <alignment horizontal="center" vertical="center"/>
    </xf>
    <xf numFmtId="0" fontId="30" fillId="6" borderId="12" xfId="1" applyFont="1" applyFill="1" applyBorder="1" applyAlignment="1">
      <alignment horizontal="center" vertical="center"/>
    </xf>
    <xf numFmtId="0" fontId="30" fillId="2" borderId="0" xfId="1" applyFont="1" applyFill="1" applyAlignment="1">
      <alignment horizontal="left" vertical="center"/>
    </xf>
    <xf numFmtId="0" fontId="26" fillId="2" borderId="0" xfId="1" applyFill="1" applyAlignment="1">
      <alignment horizontal="center" vertical="center"/>
    </xf>
    <xf numFmtId="0" fontId="33" fillId="3" borderId="6" xfId="2" applyFont="1" applyFill="1" applyBorder="1" applyAlignment="1">
      <alignment horizontal="center" vertical="center"/>
    </xf>
    <xf numFmtId="0" fontId="33" fillId="3" borderId="8" xfId="2" applyFont="1" applyFill="1" applyBorder="1" applyAlignment="1">
      <alignment horizontal="center" vertical="center"/>
    </xf>
    <xf numFmtId="0" fontId="33" fillId="9" borderId="13" xfId="2" applyFont="1" applyFill="1" applyBorder="1" applyAlignment="1">
      <alignment horizontal="center" vertical="center"/>
    </xf>
    <xf numFmtId="0" fontId="33" fillId="9" borderId="14" xfId="2" applyFont="1" applyFill="1" applyBorder="1" applyAlignment="1">
      <alignment horizontal="center" vertical="center"/>
    </xf>
    <xf numFmtId="0" fontId="33" fillId="3" borderId="10" xfId="2" applyFont="1" applyFill="1" applyBorder="1" applyAlignment="1">
      <alignment horizontal="center" vertical="center"/>
    </xf>
    <xf numFmtId="0" fontId="33" fillId="3" borderId="4" xfId="2" applyFont="1" applyFill="1" applyBorder="1" applyAlignment="1">
      <alignment horizontal="center" vertical="center"/>
    </xf>
    <xf numFmtId="0" fontId="35" fillId="10" borderId="20" xfId="2" applyFont="1" applyFill="1" applyBorder="1" applyAlignment="1">
      <alignment horizontal="center" vertical="center" wrapText="1"/>
    </xf>
    <xf numFmtId="0" fontId="35" fillId="10" borderId="18" xfId="2" applyFont="1" applyFill="1" applyBorder="1" applyAlignment="1">
      <alignment horizontal="center" vertical="center" wrapText="1"/>
    </xf>
    <xf numFmtId="0" fontId="35" fillId="10" borderId="21" xfId="2" applyFont="1" applyFill="1" applyBorder="1" applyAlignment="1">
      <alignment horizontal="center" vertical="center" wrapText="1"/>
    </xf>
    <xf numFmtId="0" fontId="19" fillId="2" borderId="0" xfId="2" applyFill="1" applyAlignment="1">
      <alignment horizontal="center" vertical="center"/>
    </xf>
    <xf numFmtId="0" fontId="28" fillId="2" borderId="16" xfId="2" applyFont="1" applyFill="1" applyBorder="1" applyAlignment="1">
      <alignment horizontal="center" vertical="center"/>
    </xf>
    <xf numFmtId="0" fontId="35" fillId="2" borderId="20" xfId="2" applyFont="1" applyFill="1" applyBorder="1" applyAlignment="1">
      <alignment horizontal="center" vertical="center" wrapText="1"/>
    </xf>
    <xf numFmtId="0" fontId="35" fillId="2" borderId="18" xfId="2" applyFont="1" applyFill="1" applyBorder="1" applyAlignment="1">
      <alignment horizontal="center" vertical="center" wrapText="1"/>
    </xf>
    <xf numFmtId="0" fontId="35" fillId="2" borderId="21" xfId="2" applyFont="1" applyFill="1" applyBorder="1" applyAlignment="1">
      <alignment horizontal="center" vertical="center" wrapText="1"/>
    </xf>
    <xf numFmtId="0" fontId="19" fillId="0" borderId="0" xfId="2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5" fillId="0" borderId="20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20" xfId="0" applyFont="1" applyBorder="1" applyAlignment="1">
      <alignment vertical="center" wrapText="1"/>
    </xf>
    <xf numFmtId="0" fontId="35" fillId="0" borderId="21" xfId="0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34" fillId="0" borderId="0" xfId="0" applyFont="1"/>
    <xf numFmtId="0" fontId="0" fillId="11" borderId="17" xfId="0" applyFill="1" applyBorder="1" applyAlignment="1">
      <alignment horizontal="center" vertical="center" wrapText="1"/>
    </xf>
    <xf numFmtId="0" fontId="35" fillId="11" borderId="20" xfId="2" applyFont="1" applyFill="1" applyBorder="1" applyAlignment="1">
      <alignment horizontal="center" vertical="center" wrapText="1"/>
    </xf>
    <xf numFmtId="0" fontId="35" fillId="11" borderId="21" xfId="2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 wrapText="1"/>
    </xf>
    <xf numFmtId="0" fontId="35" fillId="11" borderId="21" xfId="0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/>
    </xf>
    <xf numFmtId="0" fontId="26" fillId="0" borderId="0" xfId="1" applyBorder="1" applyAlignment="1">
      <alignment horizontal="center"/>
    </xf>
    <xf numFmtId="0" fontId="26" fillId="0" borderId="0" xfId="1" applyBorder="1" applyAlignment="1">
      <alignment horizontal="center" vertical="center"/>
    </xf>
    <xf numFmtId="164" fontId="26" fillId="2" borderId="0" xfId="1" applyNumberFormat="1" applyFill="1" applyBorder="1" applyAlignment="1">
      <alignment horizontal="center" vertical="center"/>
    </xf>
    <xf numFmtId="0" fontId="1" fillId="0" borderId="2" xfId="1" applyFont="1" applyBorder="1" applyAlignment="1">
      <alignment horizontal="center"/>
    </xf>
  </cellXfs>
  <cellStyles count="3">
    <cellStyle name="Normal" xfId="0" builtinId="0"/>
    <cellStyle name="Normal 2" xfId="1" xr:uid="{2321965B-8DF3-486E-883B-B1C94B6EFC4A}"/>
    <cellStyle name="Normal 2 2" xfId="2" xr:uid="{64F0EB04-F0A6-4CBB-9C3D-FEABC9DF7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B5E7A-7192-438D-AD4A-57DCE74DEA7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E441EF-A0AB-4575-BADD-5BD5E74DCBED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CAMAONGAY, APRIL JOY T.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31427A-DF38-4D1B-9932-F37D40CB4D83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FAA323-069C-4B67-819C-6330A98A1985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5</xdr:col>
      <xdr:colOff>356438</xdr:colOff>
      <xdr:row>84</xdr:row>
      <xdr:rowOff>116815</xdr:rowOff>
    </xdr:from>
    <xdr:to>
      <xdr:col>9</xdr:col>
      <xdr:colOff>681029</xdr:colOff>
      <xdr:row>89</xdr:row>
      <xdr:rowOff>152760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08239D-8662-40FA-93FF-2EC0A854D678}"/>
            </a:ext>
          </a:extLst>
        </xdr:cNvPr>
        <xdr:cNvSpPr txBox="1"/>
      </xdr:nvSpPr>
      <xdr:spPr>
        <a:xfrm>
          <a:off x="5882735" y="13981980"/>
          <a:ext cx="3415723" cy="9794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21361-1242-491A-ACEC-E3F23647BC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DCAE07-D9D9-4E17-81F8-245DCAE3E05D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CAMAONGAY,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APRIL JOY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A5A145-76CE-4937-91F4-32EF6A7D5FE8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001AAD-24B8-4016-BD19-84B2ADDF0E8E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3614-DD3B-4CDC-B179-CC5323C364EA}">
  <sheetPr>
    <pageSetUpPr fitToPage="1"/>
  </sheetPr>
  <dimension ref="A1:K90"/>
  <sheetViews>
    <sheetView tabSelected="1" view="pageBreakPreview" topLeftCell="A61" zoomScale="106" zoomScaleNormal="100" zoomScaleSheetLayoutView="106" workbookViewId="0">
      <selection activeCell="A80" sqref="A80:XFD80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23" customWidth="1"/>
    <col min="8" max="10" width="11.5703125" style="6" customWidth="1"/>
    <col min="11" max="11" width="26.42578125" style="10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86" t="s">
        <v>17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s="1" customFormat="1" ht="15.95" customHeight="1">
      <c r="A3" s="86" t="s">
        <v>18</v>
      </c>
      <c r="B3" s="86"/>
      <c r="C3" s="86"/>
      <c r="D3" s="86"/>
      <c r="E3" s="86"/>
      <c r="F3" s="86"/>
      <c r="G3" s="86"/>
      <c r="H3" s="86"/>
      <c r="I3" s="86"/>
      <c r="J3" s="86"/>
    </row>
    <row r="4" spans="1:11" s="1" customFormat="1" ht="15.95" customHeight="1">
      <c r="A4" s="86" t="s">
        <v>19</v>
      </c>
      <c r="B4" s="86"/>
      <c r="C4" s="86"/>
      <c r="D4" s="86"/>
      <c r="E4" s="86"/>
      <c r="F4" s="86"/>
      <c r="G4" s="86"/>
      <c r="H4" s="86"/>
      <c r="I4" s="86"/>
      <c r="J4" s="86"/>
    </row>
    <row r="5" spans="1:11" s="1" customFormat="1" ht="15.95" customHeight="1">
      <c r="A5" s="86" t="s">
        <v>20</v>
      </c>
      <c r="B5" s="86"/>
      <c r="C5" s="86"/>
      <c r="D5" s="86"/>
      <c r="E5" s="86"/>
      <c r="F5" s="86"/>
      <c r="G5" s="86"/>
      <c r="H5" s="86"/>
      <c r="I5" s="86"/>
      <c r="J5" s="86"/>
    </row>
    <row r="6" spans="1:11" s="1" customFormat="1" ht="8.25" customHeight="1"/>
    <row r="7" spans="1:11" s="1" customFormat="1" ht="12" customHeight="1">
      <c r="A7" s="1" t="s">
        <v>50</v>
      </c>
      <c r="B7" s="85" t="s">
        <v>21</v>
      </c>
      <c r="C7" s="85"/>
      <c r="D7" s="85"/>
      <c r="H7" s="2" t="s">
        <v>51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52</v>
      </c>
      <c r="B9" s="85" t="s">
        <v>22</v>
      </c>
      <c r="C9" s="85"/>
      <c r="D9" s="85"/>
      <c r="H9" s="2" t="s">
        <v>0</v>
      </c>
      <c r="I9" s="5"/>
      <c r="J9" s="2"/>
    </row>
    <row r="10" spans="1:11" ht="23.25" customHeight="1" thickBot="1">
      <c r="A10" s="73" t="s">
        <v>53</v>
      </c>
      <c r="B10" s="73"/>
      <c r="C10" s="73"/>
      <c r="D10" s="73"/>
      <c r="E10" s="73"/>
      <c r="F10" s="73"/>
      <c r="G10" s="73"/>
      <c r="H10" s="73"/>
      <c r="I10" s="73"/>
      <c r="J10" s="73"/>
      <c r="K10" s="6"/>
    </row>
    <row r="11" spans="1:11" ht="18.75" customHeight="1">
      <c r="A11" s="74" t="s">
        <v>1</v>
      </c>
      <c r="B11" s="76" t="s">
        <v>2</v>
      </c>
      <c r="C11" s="77"/>
      <c r="D11" s="78" t="s">
        <v>3</v>
      </c>
      <c r="E11" s="79"/>
      <c r="F11" s="79"/>
      <c r="G11" s="80"/>
      <c r="H11" s="81" t="s">
        <v>4</v>
      </c>
      <c r="I11" s="82"/>
      <c r="J11" s="83" t="s">
        <v>5</v>
      </c>
      <c r="K11" s="72" t="s">
        <v>6</v>
      </c>
    </row>
    <row r="12" spans="1:11" ht="18.75" customHeight="1" thickBot="1">
      <c r="A12" s="75"/>
      <c r="B12" s="7" t="s">
        <v>7</v>
      </c>
      <c r="C12" s="7" t="s">
        <v>8</v>
      </c>
      <c r="D12" s="7" t="s">
        <v>7</v>
      </c>
      <c r="E12" s="7" t="s">
        <v>8</v>
      </c>
      <c r="F12" s="7" t="s">
        <v>9</v>
      </c>
      <c r="G12" s="7" t="s">
        <v>15</v>
      </c>
      <c r="H12" s="7" t="s">
        <v>7</v>
      </c>
      <c r="I12" s="7" t="s">
        <v>8</v>
      </c>
      <c r="J12" s="84"/>
      <c r="K12" s="72"/>
    </row>
    <row r="13" spans="1:11" ht="16.5" customHeight="1">
      <c r="A13" s="49" t="s">
        <v>75</v>
      </c>
      <c r="B13" s="8">
        <v>0.70799999999999996</v>
      </c>
      <c r="C13" s="8">
        <v>0.70799999999999996</v>
      </c>
      <c r="D13" s="8"/>
      <c r="E13" s="8"/>
      <c r="F13" s="8"/>
      <c r="G13" s="8"/>
      <c r="H13" s="8">
        <f>B13</f>
        <v>0.70799999999999996</v>
      </c>
      <c r="I13" s="8">
        <f>C13</f>
        <v>0.70799999999999996</v>
      </c>
      <c r="J13" s="9">
        <f>SUM(H13:I13)</f>
        <v>1.4159999999999999</v>
      </c>
    </row>
    <row r="14" spans="1:11" ht="12" customHeight="1">
      <c r="A14" s="11" t="s">
        <v>10</v>
      </c>
      <c r="B14" s="12">
        <v>1.25</v>
      </c>
      <c r="C14" s="12">
        <v>1.25</v>
      </c>
      <c r="D14" s="12"/>
      <c r="E14" s="12"/>
      <c r="F14" s="12"/>
      <c r="G14" s="12"/>
      <c r="H14" s="12">
        <f>H13-F14-D14+B14</f>
        <v>1.958</v>
      </c>
      <c r="I14" s="12">
        <f>I13-E14+C14</f>
        <v>1.958</v>
      </c>
      <c r="J14" s="13">
        <f>SUM(H14:I14)</f>
        <v>3.9159999999999999</v>
      </c>
    </row>
    <row r="15" spans="1:11" ht="12" customHeight="1">
      <c r="A15" s="66" t="s">
        <v>95</v>
      </c>
      <c r="B15" s="12">
        <v>11.25</v>
      </c>
      <c r="C15" s="12">
        <v>11.25</v>
      </c>
      <c r="D15" s="12"/>
      <c r="E15" s="12"/>
      <c r="F15" s="12"/>
      <c r="G15" s="12"/>
      <c r="H15" s="12">
        <f t="shared" ref="H15" si="0">H14-F15-D15+B15</f>
        <v>13.208</v>
      </c>
      <c r="I15" s="12">
        <f t="shared" ref="I15" si="1">I14-E15+C15</f>
        <v>13.208</v>
      </c>
      <c r="J15" s="13">
        <f t="shared" ref="J15" si="2">SUM(H15:I15)</f>
        <v>26.416</v>
      </c>
    </row>
    <row r="16" spans="1:11" ht="12" customHeight="1">
      <c r="A16" s="11" t="s">
        <v>16</v>
      </c>
      <c r="B16" s="12"/>
      <c r="C16" s="12"/>
      <c r="D16" s="12"/>
      <c r="E16" s="12"/>
      <c r="F16" s="12"/>
      <c r="G16" s="12">
        <v>3</v>
      </c>
      <c r="H16" s="12">
        <f t="shared" ref="H16:H75" si="3">H15-F16-D16+B16</f>
        <v>13.208</v>
      </c>
      <c r="I16" s="12">
        <f t="shared" ref="I16:I75" si="4">I15-E16+C16</f>
        <v>13.208</v>
      </c>
      <c r="J16" s="13">
        <f t="shared" ref="J16:J75" si="5">SUM(H16:I16)</f>
        <v>26.416</v>
      </c>
    </row>
    <row r="17" spans="1:11" ht="12" customHeight="1">
      <c r="A17" s="11" t="s">
        <v>14</v>
      </c>
      <c r="B17" s="12"/>
      <c r="C17" s="12"/>
      <c r="D17" s="12"/>
      <c r="E17" s="12"/>
      <c r="F17" s="12">
        <v>1</v>
      </c>
      <c r="G17" s="12"/>
      <c r="H17" s="12">
        <f t="shared" si="3"/>
        <v>12.208</v>
      </c>
      <c r="I17" s="12">
        <f t="shared" si="4"/>
        <v>13.208</v>
      </c>
      <c r="J17" s="13">
        <f t="shared" si="5"/>
        <v>25.416</v>
      </c>
    </row>
    <row r="18" spans="1:11" ht="12" customHeight="1">
      <c r="A18" s="11" t="s">
        <v>11</v>
      </c>
      <c r="B18" s="12"/>
      <c r="C18" s="12"/>
      <c r="D18" s="12"/>
      <c r="E18" s="12"/>
      <c r="F18" s="12">
        <v>1</v>
      </c>
      <c r="G18" s="12"/>
      <c r="H18" s="12">
        <f t="shared" si="3"/>
        <v>11.208</v>
      </c>
      <c r="I18" s="12">
        <f t="shared" si="4"/>
        <v>13.208</v>
      </c>
      <c r="J18" s="13">
        <f t="shared" si="5"/>
        <v>24.416</v>
      </c>
    </row>
    <row r="19" spans="1:11" ht="12" customHeight="1">
      <c r="A19" s="11" t="s">
        <v>12</v>
      </c>
      <c r="B19" s="12">
        <v>1.25</v>
      </c>
      <c r="C19" s="12">
        <v>1.25</v>
      </c>
      <c r="D19" s="12"/>
      <c r="E19" s="12"/>
      <c r="F19" s="12"/>
      <c r="G19" s="12"/>
      <c r="H19" s="12">
        <f t="shared" si="3"/>
        <v>12.458</v>
      </c>
      <c r="I19" s="12">
        <f t="shared" si="4"/>
        <v>14.458</v>
      </c>
      <c r="J19" s="13">
        <f t="shared" si="5"/>
        <v>26.916</v>
      </c>
    </row>
    <row r="20" spans="1:11" ht="15.75" customHeight="1">
      <c r="A20" s="14" t="s">
        <v>13</v>
      </c>
      <c r="B20" s="12"/>
      <c r="C20" s="12"/>
      <c r="D20" s="12"/>
      <c r="E20" s="12"/>
      <c r="F20" s="12">
        <v>1</v>
      </c>
      <c r="G20" s="12"/>
      <c r="H20" s="12">
        <f t="shared" si="3"/>
        <v>11.458</v>
      </c>
      <c r="I20" s="12">
        <f t="shared" si="4"/>
        <v>14.458</v>
      </c>
      <c r="J20" s="13">
        <f t="shared" si="5"/>
        <v>25.916</v>
      </c>
    </row>
    <row r="21" spans="1:11" ht="16.5" customHeight="1">
      <c r="A21" s="14" t="s">
        <v>23</v>
      </c>
      <c r="B21" s="12"/>
      <c r="C21" s="12"/>
      <c r="D21" s="12"/>
      <c r="E21" s="12"/>
      <c r="F21" s="12">
        <v>2</v>
      </c>
      <c r="G21" s="12"/>
      <c r="H21" s="12">
        <f t="shared" si="3"/>
        <v>9.4580000000000002</v>
      </c>
      <c r="I21" s="12">
        <f t="shared" si="4"/>
        <v>14.458</v>
      </c>
      <c r="J21" s="13">
        <f t="shared" si="5"/>
        <v>23.916</v>
      </c>
    </row>
    <row r="22" spans="1:11" ht="15.75" customHeight="1">
      <c r="A22" s="11" t="s">
        <v>24</v>
      </c>
      <c r="B22" s="12">
        <v>1.25</v>
      </c>
      <c r="C22" s="12">
        <v>1.25</v>
      </c>
      <c r="D22" s="12"/>
      <c r="E22" s="12"/>
      <c r="F22" s="12"/>
      <c r="G22" s="12"/>
      <c r="H22" s="12">
        <f t="shared" si="3"/>
        <v>10.708</v>
      </c>
      <c r="I22" s="12">
        <f t="shared" si="4"/>
        <v>15.708</v>
      </c>
      <c r="J22" s="13">
        <f t="shared" si="5"/>
        <v>26.416</v>
      </c>
    </row>
    <row r="23" spans="1:11" ht="15.75" customHeight="1">
      <c r="A23" s="11" t="s">
        <v>25</v>
      </c>
      <c r="B23" s="12">
        <v>1.25</v>
      </c>
      <c r="C23" s="12">
        <v>1.25</v>
      </c>
      <c r="D23" s="12"/>
      <c r="E23" s="12"/>
      <c r="F23" s="12"/>
      <c r="G23" s="12"/>
      <c r="H23" s="12">
        <f t="shared" si="3"/>
        <v>11.958</v>
      </c>
      <c r="I23" s="12">
        <f t="shared" si="4"/>
        <v>16.957999999999998</v>
      </c>
      <c r="J23" s="13">
        <f t="shared" si="5"/>
        <v>28.915999999999997</v>
      </c>
    </row>
    <row r="24" spans="1:11" ht="12" customHeight="1">
      <c r="A24" s="11" t="s">
        <v>30</v>
      </c>
      <c r="B24" s="12"/>
      <c r="C24" s="12"/>
      <c r="D24" s="12"/>
      <c r="E24" s="12"/>
      <c r="F24" s="12"/>
      <c r="G24" s="12">
        <v>1</v>
      </c>
      <c r="H24" s="12">
        <f t="shared" si="3"/>
        <v>11.958</v>
      </c>
      <c r="I24" s="12">
        <f t="shared" si="4"/>
        <v>16.957999999999998</v>
      </c>
      <c r="J24" s="13">
        <f t="shared" si="5"/>
        <v>28.915999999999997</v>
      </c>
    </row>
    <row r="25" spans="1:11" ht="12" customHeight="1">
      <c r="A25" s="11" t="s">
        <v>26</v>
      </c>
      <c r="B25" s="12">
        <v>1.25</v>
      </c>
      <c r="C25" s="12">
        <v>1.25</v>
      </c>
      <c r="D25" s="12"/>
      <c r="E25" s="12"/>
      <c r="F25" s="12"/>
      <c r="G25" s="12"/>
      <c r="H25" s="12">
        <f t="shared" si="3"/>
        <v>13.208</v>
      </c>
      <c r="I25" s="12">
        <f t="shared" si="4"/>
        <v>18.207999999999998</v>
      </c>
      <c r="J25" s="13">
        <f t="shared" si="5"/>
        <v>31.415999999999997</v>
      </c>
    </row>
    <row r="26" spans="1:11" ht="12" customHeight="1">
      <c r="A26" s="14" t="s">
        <v>27</v>
      </c>
      <c r="B26" s="12"/>
      <c r="C26" s="12"/>
      <c r="D26" s="12"/>
      <c r="E26" s="12"/>
      <c r="F26" s="12">
        <v>1</v>
      </c>
      <c r="G26" s="12"/>
      <c r="H26" s="12">
        <f t="shared" si="3"/>
        <v>12.208</v>
      </c>
      <c r="I26" s="12">
        <f t="shared" si="4"/>
        <v>18.207999999999998</v>
      </c>
      <c r="J26" s="13">
        <f t="shared" si="5"/>
        <v>30.415999999999997</v>
      </c>
    </row>
    <row r="27" spans="1:11" ht="12" customHeight="1">
      <c r="A27" s="11" t="s">
        <v>28</v>
      </c>
      <c r="B27" s="12">
        <v>1.25</v>
      </c>
      <c r="C27" s="12">
        <v>1.25</v>
      </c>
      <c r="D27" s="12"/>
      <c r="E27" s="12"/>
      <c r="F27" s="12"/>
      <c r="G27" s="12"/>
      <c r="H27" s="12">
        <f t="shared" si="3"/>
        <v>13.458</v>
      </c>
      <c r="I27" s="12">
        <f t="shared" si="4"/>
        <v>19.457999999999998</v>
      </c>
      <c r="J27" s="13">
        <f t="shared" si="5"/>
        <v>32.915999999999997</v>
      </c>
    </row>
    <row r="28" spans="1:11" ht="12" customHeight="1">
      <c r="A28" s="14" t="s">
        <v>29</v>
      </c>
      <c r="B28" s="12"/>
      <c r="C28" s="12"/>
      <c r="D28" s="12"/>
      <c r="E28" s="12"/>
      <c r="F28" s="12"/>
      <c r="G28" s="12">
        <v>1</v>
      </c>
      <c r="H28" s="12">
        <f t="shared" si="3"/>
        <v>13.458</v>
      </c>
      <c r="I28" s="12">
        <f t="shared" si="4"/>
        <v>19.457999999999998</v>
      </c>
      <c r="J28" s="13">
        <f t="shared" si="5"/>
        <v>32.915999999999997</v>
      </c>
    </row>
    <row r="29" spans="1:11" ht="12" customHeight="1">
      <c r="A29" s="15" t="s">
        <v>31</v>
      </c>
      <c r="B29" s="16">
        <v>2.5</v>
      </c>
      <c r="C29" s="16">
        <v>2.5</v>
      </c>
      <c r="D29" s="16"/>
      <c r="E29" s="16"/>
      <c r="F29" s="16"/>
      <c r="G29" s="16"/>
      <c r="H29" s="12">
        <f t="shared" si="3"/>
        <v>15.958</v>
      </c>
      <c r="I29" s="12">
        <f t="shared" si="4"/>
        <v>21.957999999999998</v>
      </c>
      <c r="J29" s="13">
        <f t="shared" si="5"/>
        <v>37.915999999999997</v>
      </c>
    </row>
    <row r="30" spans="1:11" s="19" customFormat="1" ht="12" customHeight="1">
      <c r="A30" s="15" t="s">
        <v>32</v>
      </c>
      <c r="B30" s="17"/>
      <c r="C30" s="17"/>
      <c r="D30" s="17"/>
      <c r="E30" s="17"/>
      <c r="F30" s="17">
        <v>1</v>
      </c>
      <c r="G30" s="17"/>
      <c r="H30" s="12">
        <f t="shared" si="3"/>
        <v>14.958</v>
      </c>
      <c r="I30" s="12">
        <f t="shared" si="4"/>
        <v>21.957999999999998</v>
      </c>
      <c r="J30" s="13">
        <f t="shared" si="5"/>
        <v>36.915999999999997</v>
      </c>
      <c r="K30" s="18"/>
    </row>
    <row r="31" spans="1:11" s="19" customFormat="1" ht="12" customHeight="1">
      <c r="A31" s="15" t="s">
        <v>33</v>
      </c>
      <c r="B31" s="17"/>
      <c r="C31" s="17"/>
      <c r="D31" s="17"/>
      <c r="E31" s="17"/>
      <c r="F31" s="17"/>
      <c r="G31" s="17">
        <v>1</v>
      </c>
      <c r="H31" s="12">
        <f t="shared" si="3"/>
        <v>14.958</v>
      </c>
      <c r="I31" s="12">
        <f t="shared" si="4"/>
        <v>21.957999999999998</v>
      </c>
      <c r="J31" s="13">
        <f t="shared" si="5"/>
        <v>36.915999999999997</v>
      </c>
      <c r="K31" s="18"/>
    </row>
    <row r="32" spans="1:11" ht="12" customHeight="1">
      <c r="A32" s="15" t="s">
        <v>34</v>
      </c>
      <c r="B32" s="17"/>
      <c r="C32" s="17"/>
      <c r="D32" s="17"/>
      <c r="E32" s="17"/>
      <c r="F32" s="17">
        <v>3</v>
      </c>
      <c r="G32" s="17"/>
      <c r="H32" s="12">
        <f t="shared" si="3"/>
        <v>11.958</v>
      </c>
      <c r="I32" s="12">
        <f t="shared" si="4"/>
        <v>21.957999999999998</v>
      </c>
      <c r="J32" s="13">
        <f t="shared" si="5"/>
        <v>33.915999999999997</v>
      </c>
    </row>
    <row r="33" spans="1:11" s="19" customFormat="1" ht="12" customHeight="1">
      <c r="A33" s="15" t="s">
        <v>35</v>
      </c>
      <c r="B33" s="17"/>
      <c r="C33" s="17"/>
      <c r="D33" s="17">
        <v>4</v>
      </c>
      <c r="E33" s="17"/>
      <c r="F33" s="17"/>
      <c r="G33" s="17"/>
      <c r="H33" s="12">
        <f t="shared" si="3"/>
        <v>7.9580000000000002</v>
      </c>
      <c r="I33" s="12">
        <f t="shared" si="4"/>
        <v>21.957999999999998</v>
      </c>
      <c r="J33" s="13">
        <f t="shared" si="5"/>
        <v>29.915999999999997</v>
      </c>
      <c r="K33" s="18"/>
    </row>
    <row r="34" spans="1:11" s="19" customFormat="1" ht="12" customHeight="1">
      <c r="A34" s="15" t="s">
        <v>40</v>
      </c>
      <c r="B34" s="17">
        <f>1.25*3</f>
        <v>3.75</v>
      </c>
      <c r="C34" s="17">
        <f>1.25*3</f>
        <v>3.75</v>
      </c>
      <c r="D34" s="17"/>
      <c r="E34" s="17"/>
      <c r="F34" s="17"/>
      <c r="G34" s="17"/>
      <c r="H34" s="12">
        <f t="shared" si="3"/>
        <v>11.708</v>
      </c>
      <c r="I34" s="12">
        <f t="shared" si="4"/>
        <v>25.707999999999998</v>
      </c>
      <c r="J34" s="13">
        <f t="shared" si="5"/>
        <v>37.415999999999997</v>
      </c>
      <c r="K34" s="18"/>
    </row>
    <row r="35" spans="1:11" ht="12" customHeight="1">
      <c r="A35" s="15" t="s">
        <v>41</v>
      </c>
      <c r="B35" s="17"/>
      <c r="C35" s="17"/>
      <c r="D35" s="17">
        <v>3</v>
      </c>
      <c r="E35" s="17"/>
      <c r="F35" s="17"/>
      <c r="G35" s="17"/>
      <c r="H35" s="12">
        <f t="shared" si="3"/>
        <v>8.7080000000000002</v>
      </c>
      <c r="I35" s="12">
        <f t="shared" si="4"/>
        <v>25.707999999999998</v>
      </c>
      <c r="J35" s="13">
        <f t="shared" si="5"/>
        <v>34.415999999999997</v>
      </c>
    </row>
    <row r="36" spans="1:11" ht="12" customHeight="1">
      <c r="A36" s="15" t="s">
        <v>42</v>
      </c>
      <c r="B36" s="17">
        <v>1.25</v>
      </c>
      <c r="C36" s="17">
        <v>1.25</v>
      </c>
      <c r="D36" s="17"/>
      <c r="E36" s="17"/>
      <c r="F36" s="17"/>
      <c r="G36" s="17"/>
      <c r="H36" s="12">
        <f t="shared" si="3"/>
        <v>9.9580000000000002</v>
      </c>
      <c r="I36" s="12">
        <f t="shared" si="4"/>
        <v>26.957999999999998</v>
      </c>
      <c r="J36" s="13">
        <f t="shared" si="5"/>
        <v>36.915999999999997</v>
      </c>
    </row>
    <row r="37" spans="1:11" ht="12" customHeight="1">
      <c r="A37" s="15" t="s">
        <v>43</v>
      </c>
      <c r="B37" s="17"/>
      <c r="C37" s="17"/>
      <c r="D37" s="17">
        <v>2</v>
      </c>
      <c r="E37" s="17"/>
      <c r="F37" s="17"/>
      <c r="G37" s="17"/>
      <c r="H37" s="12">
        <f t="shared" si="3"/>
        <v>7.9580000000000002</v>
      </c>
      <c r="I37" s="12">
        <f t="shared" si="4"/>
        <v>26.957999999999998</v>
      </c>
      <c r="J37" s="13">
        <f t="shared" si="5"/>
        <v>34.915999999999997</v>
      </c>
    </row>
    <row r="38" spans="1:11" ht="12" customHeight="1">
      <c r="A38" s="15" t="s">
        <v>44</v>
      </c>
      <c r="B38" s="17"/>
      <c r="C38" s="17"/>
      <c r="D38" s="17">
        <v>1</v>
      </c>
      <c r="E38" s="17"/>
      <c r="F38" s="17"/>
      <c r="G38" s="17"/>
      <c r="H38" s="12">
        <f t="shared" si="3"/>
        <v>6.9580000000000002</v>
      </c>
      <c r="I38" s="12">
        <f t="shared" si="4"/>
        <v>26.957999999999998</v>
      </c>
      <c r="J38" s="13">
        <f t="shared" si="5"/>
        <v>33.915999999999997</v>
      </c>
    </row>
    <row r="39" spans="1:11" ht="12" customHeight="1">
      <c r="A39" s="15" t="s">
        <v>48</v>
      </c>
      <c r="B39" s="17">
        <v>3.75</v>
      </c>
      <c r="C39" s="17">
        <v>3.75</v>
      </c>
      <c r="D39" s="17"/>
      <c r="E39" s="17"/>
      <c r="F39" s="17"/>
      <c r="G39" s="17"/>
      <c r="H39" s="12">
        <f t="shared" si="3"/>
        <v>10.708</v>
      </c>
      <c r="I39" s="12">
        <f t="shared" si="4"/>
        <v>30.707999999999998</v>
      </c>
      <c r="J39" s="13">
        <f t="shared" si="5"/>
        <v>41.415999999999997</v>
      </c>
    </row>
    <row r="40" spans="1:11" ht="12" customHeight="1">
      <c r="A40" s="15" t="s">
        <v>45</v>
      </c>
      <c r="B40" s="17">
        <v>2.5</v>
      </c>
      <c r="C40" s="17">
        <v>2.5</v>
      </c>
      <c r="D40" s="17"/>
      <c r="E40" s="17"/>
      <c r="F40" s="17"/>
      <c r="G40" s="17"/>
      <c r="H40" s="12">
        <f t="shared" si="3"/>
        <v>13.208</v>
      </c>
      <c r="I40" s="12">
        <f t="shared" si="4"/>
        <v>33.207999999999998</v>
      </c>
      <c r="J40" s="13">
        <f t="shared" si="5"/>
        <v>46.415999999999997</v>
      </c>
    </row>
    <row r="41" spans="1:11" ht="12" customHeight="1">
      <c r="A41" s="15" t="s">
        <v>46</v>
      </c>
      <c r="B41" s="17"/>
      <c r="C41" s="17"/>
      <c r="D41" s="17">
        <v>1</v>
      </c>
      <c r="E41" s="17"/>
      <c r="F41" s="17"/>
      <c r="G41" s="17"/>
      <c r="H41" s="12">
        <f t="shared" si="3"/>
        <v>12.208</v>
      </c>
      <c r="I41" s="12">
        <f t="shared" si="4"/>
        <v>33.207999999999998</v>
      </c>
      <c r="J41" s="13">
        <f t="shared" si="5"/>
        <v>45.415999999999997</v>
      </c>
    </row>
    <row r="42" spans="1:11" ht="12" customHeight="1">
      <c r="A42" s="15" t="s">
        <v>47</v>
      </c>
      <c r="B42" s="17">
        <v>1.25</v>
      </c>
      <c r="C42" s="17">
        <v>1.25</v>
      </c>
      <c r="D42" s="17"/>
      <c r="E42" s="17"/>
      <c r="F42" s="17"/>
      <c r="G42" s="17"/>
      <c r="H42" s="12">
        <f t="shared" si="3"/>
        <v>13.458</v>
      </c>
      <c r="I42" s="12">
        <f t="shared" si="4"/>
        <v>34.457999999999998</v>
      </c>
      <c r="J42" s="13">
        <f t="shared" si="5"/>
        <v>47.915999999999997</v>
      </c>
    </row>
    <row r="43" spans="1:11" ht="12" customHeight="1">
      <c r="A43" s="15" t="s">
        <v>49</v>
      </c>
      <c r="B43" s="17"/>
      <c r="C43" s="17"/>
      <c r="D43" s="17"/>
      <c r="E43" s="17"/>
      <c r="F43" s="17"/>
      <c r="G43" s="17">
        <v>1</v>
      </c>
      <c r="H43" s="12">
        <f t="shared" si="3"/>
        <v>13.458</v>
      </c>
      <c r="I43" s="12">
        <f t="shared" si="4"/>
        <v>34.457999999999998</v>
      </c>
      <c r="J43" s="13">
        <f t="shared" si="5"/>
        <v>47.915999999999997</v>
      </c>
    </row>
    <row r="44" spans="1:11" ht="12" customHeight="1">
      <c r="A44" s="24" t="s">
        <v>55</v>
      </c>
      <c r="B44" s="17"/>
      <c r="C44" s="17"/>
      <c r="D44" s="17"/>
      <c r="E44" s="17"/>
      <c r="F44" s="17">
        <v>2</v>
      </c>
      <c r="G44" s="17"/>
      <c r="H44" s="12">
        <f t="shared" si="3"/>
        <v>11.458</v>
      </c>
      <c r="I44" s="12">
        <f t="shared" si="4"/>
        <v>34.457999999999998</v>
      </c>
      <c r="J44" s="13">
        <f t="shared" si="5"/>
        <v>45.915999999999997</v>
      </c>
    </row>
    <row r="45" spans="1:11" ht="12" customHeight="1">
      <c r="A45" s="25" t="s">
        <v>56</v>
      </c>
      <c r="B45" s="20">
        <v>1.25</v>
      </c>
      <c r="C45" s="20">
        <v>1.25</v>
      </c>
      <c r="D45" s="17"/>
      <c r="E45" s="17"/>
      <c r="F45" s="17"/>
      <c r="G45" s="17"/>
      <c r="H45" s="12">
        <f t="shared" si="3"/>
        <v>12.708</v>
      </c>
      <c r="I45" s="12">
        <f t="shared" si="4"/>
        <v>35.707999999999998</v>
      </c>
      <c r="J45" s="13">
        <f t="shared" si="5"/>
        <v>48.415999999999997</v>
      </c>
    </row>
    <row r="46" spans="1:11" ht="15.75" customHeight="1">
      <c r="A46" s="26" t="s">
        <v>57</v>
      </c>
      <c r="B46" s="17"/>
      <c r="C46" s="17"/>
      <c r="D46" s="17"/>
      <c r="E46" s="17"/>
      <c r="F46" s="17">
        <v>1</v>
      </c>
      <c r="G46" s="17"/>
      <c r="H46" s="12">
        <f t="shared" si="3"/>
        <v>11.708</v>
      </c>
      <c r="I46" s="12">
        <f t="shared" si="4"/>
        <v>35.707999999999998</v>
      </c>
      <c r="J46" s="13">
        <f t="shared" si="5"/>
        <v>47.415999999999997</v>
      </c>
    </row>
    <row r="47" spans="1:11" ht="13.5" customHeight="1">
      <c r="A47" s="27" t="s">
        <v>58</v>
      </c>
      <c r="B47" s="17">
        <v>2.5</v>
      </c>
      <c r="C47" s="17">
        <v>2.5</v>
      </c>
      <c r="D47" s="17"/>
      <c r="E47" s="17"/>
      <c r="F47" s="17"/>
      <c r="G47" s="17"/>
      <c r="H47" s="12">
        <f t="shared" si="3"/>
        <v>14.208</v>
      </c>
      <c r="I47" s="12">
        <f t="shared" si="4"/>
        <v>38.207999999999998</v>
      </c>
      <c r="J47" s="13">
        <f t="shared" si="5"/>
        <v>52.415999999999997</v>
      </c>
    </row>
    <row r="48" spans="1:11" ht="15" customHeight="1">
      <c r="A48" s="28" t="s">
        <v>59</v>
      </c>
      <c r="B48" s="17"/>
      <c r="C48" s="17"/>
      <c r="D48" s="17"/>
      <c r="E48" s="17"/>
      <c r="F48" s="17"/>
      <c r="G48" s="17">
        <v>1</v>
      </c>
      <c r="H48" s="12">
        <f t="shared" si="3"/>
        <v>14.208</v>
      </c>
      <c r="I48" s="12">
        <f t="shared" si="4"/>
        <v>38.207999999999998</v>
      </c>
      <c r="J48" s="13">
        <f t="shared" si="5"/>
        <v>52.415999999999997</v>
      </c>
    </row>
    <row r="49" spans="1:10" ht="15" customHeight="1">
      <c r="A49" s="29" t="s">
        <v>60</v>
      </c>
      <c r="B49" s="17"/>
      <c r="C49" s="17"/>
      <c r="D49" s="17">
        <v>5</v>
      </c>
      <c r="E49" s="17"/>
      <c r="F49" s="17"/>
      <c r="G49" s="17"/>
      <c r="H49" s="12">
        <f t="shared" si="3"/>
        <v>9.2080000000000002</v>
      </c>
      <c r="I49" s="12">
        <f t="shared" si="4"/>
        <v>38.207999999999998</v>
      </c>
      <c r="J49" s="13">
        <f t="shared" si="5"/>
        <v>47.415999999999997</v>
      </c>
    </row>
    <row r="50" spans="1:10">
      <c r="A50" s="30" t="s">
        <v>61</v>
      </c>
      <c r="B50" s="15">
        <v>1.25</v>
      </c>
      <c r="C50" s="15">
        <v>1.25</v>
      </c>
      <c r="D50" s="15"/>
      <c r="E50" s="22"/>
      <c r="F50" s="21"/>
      <c r="G50" s="21"/>
      <c r="H50" s="12">
        <f t="shared" si="3"/>
        <v>10.458</v>
      </c>
      <c r="I50" s="12">
        <f t="shared" si="4"/>
        <v>39.457999999999998</v>
      </c>
      <c r="J50" s="13">
        <f t="shared" si="5"/>
        <v>49.915999999999997</v>
      </c>
    </row>
    <row r="51" spans="1:10">
      <c r="A51" s="31" t="s">
        <v>62</v>
      </c>
      <c r="B51" s="22"/>
      <c r="C51" s="22"/>
      <c r="D51" s="22"/>
      <c r="E51" s="15">
        <v>2</v>
      </c>
      <c r="F51" s="21"/>
      <c r="G51" s="21"/>
      <c r="H51" s="12">
        <f t="shared" si="3"/>
        <v>10.458</v>
      </c>
      <c r="I51" s="12">
        <f t="shared" si="4"/>
        <v>37.457999999999998</v>
      </c>
      <c r="J51" s="13">
        <f t="shared" si="5"/>
        <v>47.915999999999997</v>
      </c>
    </row>
    <row r="52" spans="1:10" hidden="1">
      <c r="A52" s="31"/>
      <c r="B52" s="22"/>
      <c r="C52" s="22"/>
      <c r="D52" s="22"/>
      <c r="E52" s="15"/>
      <c r="F52" s="21"/>
      <c r="G52" s="21"/>
      <c r="H52" s="12">
        <f t="shared" si="3"/>
        <v>10.458</v>
      </c>
      <c r="I52" s="12">
        <f t="shared" si="4"/>
        <v>37.457999999999998</v>
      </c>
      <c r="J52" s="13">
        <f t="shared" si="5"/>
        <v>47.915999999999997</v>
      </c>
    </row>
    <row r="53" spans="1:10">
      <c r="A53" s="46" t="s">
        <v>71</v>
      </c>
      <c r="B53" s="22"/>
      <c r="C53" s="22"/>
      <c r="D53" s="22"/>
      <c r="E53" s="15"/>
      <c r="F53" s="17">
        <v>1</v>
      </c>
      <c r="G53" s="21"/>
      <c r="H53" s="12">
        <f t="shared" si="3"/>
        <v>9.4580000000000002</v>
      </c>
      <c r="I53" s="12">
        <f t="shared" si="4"/>
        <v>37.457999999999998</v>
      </c>
      <c r="J53" s="13">
        <f t="shared" si="5"/>
        <v>46.915999999999997</v>
      </c>
    </row>
    <row r="54" spans="1:10">
      <c r="A54" s="47" t="s">
        <v>72</v>
      </c>
      <c r="B54" s="22"/>
      <c r="C54" s="22"/>
      <c r="D54" s="22"/>
      <c r="E54" s="15"/>
      <c r="F54" s="17">
        <v>1</v>
      </c>
      <c r="G54" s="21"/>
      <c r="H54" s="12">
        <f t="shared" si="3"/>
        <v>8.4580000000000002</v>
      </c>
      <c r="I54" s="12">
        <f t="shared" si="4"/>
        <v>37.457999999999998</v>
      </c>
      <c r="J54" s="13">
        <f t="shared" si="5"/>
        <v>45.915999999999997</v>
      </c>
    </row>
    <row r="55" spans="1:10">
      <c r="A55" s="48" t="s">
        <v>73</v>
      </c>
      <c r="B55" s="15">
        <v>1.25</v>
      </c>
      <c r="C55" s="15">
        <v>1.25</v>
      </c>
      <c r="D55" s="22"/>
      <c r="E55" s="15"/>
      <c r="F55" s="17"/>
      <c r="G55" s="21"/>
      <c r="H55" s="12">
        <f t="shared" si="3"/>
        <v>9.7080000000000002</v>
      </c>
      <c r="I55" s="12">
        <f t="shared" si="4"/>
        <v>38.707999999999998</v>
      </c>
      <c r="J55" s="13">
        <f t="shared" si="5"/>
        <v>48.415999999999997</v>
      </c>
    </row>
    <row r="56" spans="1:10">
      <c r="A56" s="48" t="s">
        <v>74</v>
      </c>
      <c r="B56" s="15"/>
      <c r="C56" s="15"/>
      <c r="D56" s="22"/>
      <c r="E56" s="15"/>
      <c r="F56" s="17"/>
      <c r="G56" s="17">
        <v>1</v>
      </c>
      <c r="H56" s="12">
        <f t="shared" si="3"/>
        <v>9.7080000000000002</v>
      </c>
      <c r="I56" s="12">
        <f t="shared" si="4"/>
        <v>38.707999999999998</v>
      </c>
      <c r="J56" s="13">
        <f t="shared" si="5"/>
        <v>48.415999999999997</v>
      </c>
    </row>
    <row r="57" spans="1:10">
      <c r="A57" s="50" t="s">
        <v>76</v>
      </c>
      <c r="B57" s="15">
        <v>5</v>
      </c>
      <c r="C57" s="15">
        <v>5</v>
      </c>
      <c r="D57" s="22"/>
      <c r="E57" s="15"/>
      <c r="F57" s="17"/>
      <c r="G57" s="17"/>
      <c r="H57" s="12">
        <f t="shared" si="3"/>
        <v>14.708</v>
      </c>
      <c r="I57" s="12">
        <f t="shared" si="4"/>
        <v>43.707999999999998</v>
      </c>
      <c r="J57" s="13">
        <f t="shared" si="5"/>
        <v>58.415999999999997</v>
      </c>
    </row>
    <row r="58" spans="1:10">
      <c r="A58" s="50" t="s">
        <v>77</v>
      </c>
      <c r="B58" s="15"/>
      <c r="C58" s="15"/>
      <c r="D58" s="22"/>
      <c r="E58" s="15"/>
      <c r="F58" s="51">
        <v>1</v>
      </c>
      <c r="G58" s="21"/>
      <c r="H58" s="12">
        <f t="shared" si="3"/>
        <v>13.708</v>
      </c>
      <c r="I58" s="12">
        <f t="shared" si="4"/>
        <v>43.707999999999998</v>
      </c>
      <c r="J58" s="13">
        <f t="shared" si="5"/>
        <v>57.415999999999997</v>
      </c>
    </row>
    <row r="59" spans="1:10">
      <c r="A59" s="52" t="s">
        <v>78</v>
      </c>
      <c r="B59" s="15"/>
      <c r="C59" s="15"/>
      <c r="D59" s="22"/>
      <c r="E59" s="15">
        <v>2</v>
      </c>
      <c r="F59" s="21"/>
      <c r="G59" s="21"/>
      <c r="H59" s="12">
        <f t="shared" si="3"/>
        <v>13.708</v>
      </c>
      <c r="I59" s="12">
        <f t="shared" si="4"/>
        <v>41.707999999999998</v>
      </c>
      <c r="J59" s="13">
        <f t="shared" si="5"/>
        <v>55.415999999999997</v>
      </c>
    </row>
    <row r="60" spans="1:10">
      <c r="A60" s="53" t="s">
        <v>79</v>
      </c>
      <c r="B60" s="15">
        <v>1.25</v>
      </c>
      <c r="C60" s="15">
        <v>1.25</v>
      </c>
      <c r="D60" s="22"/>
      <c r="E60" s="15"/>
      <c r="F60" s="21"/>
      <c r="G60" s="21"/>
      <c r="H60" s="12">
        <f t="shared" si="3"/>
        <v>14.958</v>
      </c>
      <c r="I60" s="12">
        <f t="shared" si="4"/>
        <v>42.957999999999998</v>
      </c>
      <c r="J60" s="13">
        <f t="shared" si="5"/>
        <v>57.915999999999997</v>
      </c>
    </row>
    <row r="61" spans="1:10">
      <c r="A61" s="53" t="s">
        <v>80</v>
      </c>
      <c r="B61" s="15"/>
      <c r="C61" s="15"/>
      <c r="D61" s="22"/>
      <c r="E61" s="15">
        <v>1</v>
      </c>
      <c r="F61" s="21"/>
      <c r="G61" s="21"/>
      <c r="H61" s="12">
        <f t="shared" si="3"/>
        <v>14.958</v>
      </c>
      <c r="I61" s="12">
        <f t="shared" si="4"/>
        <v>41.957999999999998</v>
      </c>
      <c r="J61" s="13">
        <f t="shared" si="5"/>
        <v>56.915999999999997</v>
      </c>
    </row>
    <row r="62" spans="1:10">
      <c r="A62" s="54" t="s">
        <v>81</v>
      </c>
      <c r="B62" s="15"/>
      <c r="C62" s="15"/>
      <c r="D62" s="22"/>
      <c r="E62" s="15"/>
      <c r="F62" s="21"/>
      <c r="G62" s="55">
        <v>1</v>
      </c>
      <c r="H62" s="12">
        <f t="shared" si="3"/>
        <v>14.958</v>
      </c>
      <c r="I62" s="12">
        <f t="shared" si="4"/>
        <v>41.957999999999998</v>
      </c>
      <c r="J62" s="13">
        <f t="shared" si="5"/>
        <v>56.915999999999997</v>
      </c>
    </row>
    <row r="63" spans="1:10">
      <c r="A63" s="56" t="s">
        <v>82</v>
      </c>
      <c r="B63" s="15"/>
      <c r="C63" s="15"/>
      <c r="D63" s="22"/>
      <c r="E63" s="15"/>
      <c r="F63" s="21"/>
      <c r="G63" s="55">
        <v>2</v>
      </c>
      <c r="H63" s="12">
        <f t="shared" si="3"/>
        <v>14.958</v>
      </c>
      <c r="I63" s="12">
        <f t="shared" si="4"/>
        <v>41.957999999999998</v>
      </c>
      <c r="J63" s="13">
        <f t="shared" si="5"/>
        <v>56.915999999999997</v>
      </c>
    </row>
    <row r="64" spans="1:10">
      <c r="A64" s="56" t="s">
        <v>83</v>
      </c>
      <c r="B64" s="15"/>
      <c r="C64" s="15"/>
      <c r="D64" s="22"/>
      <c r="E64" s="15">
        <v>2</v>
      </c>
      <c r="F64" s="21"/>
      <c r="G64" s="21"/>
      <c r="H64" s="12">
        <f t="shared" si="3"/>
        <v>14.958</v>
      </c>
      <c r="I64" s="12">
        <f t="shared" si="4"/>
        <v>39.957999999999998</v>
      </c>
      <c r="J64" s="13">
        <f t="shared" si="5"/>
        <v>54.915999999999997</v>
      </c>
    </row>
    <row r="65" spans="1:10">
      <c r="A65" s="57" t="s">
        <v>84</v>
      </c>
      <c r="B65" s="15"/>
      <c r="C65" s="15"/>
      <c r="D65" s="22"/>
      <c r="E65" s="15">
        <v>1</v>
      </c>
      <c r="F65" s="21"/>
      <c r="G65" s="21"/>
      <c r="H65" s="12">
        <f t="shared" si="3"/>
        <v>14.958</v>
      </c>
      <c r="I65" s="12">
        <f t="shared" si="4"/>
        <v>38.957999999999998</v>
      </c>
      <c r="J65" s="13">
        <f t="shared" si="5"/>
        <v>53.915999999999997</v>
      </c>
    </row>
    <row r="66" spans="1:10">
      <c r="A66" s="61" t="s">
        <v>85</v>
      </c>
      <c r="B66" s="15">
        <v>1.25</v>
      </c>
      <c r="C66" s="15">
        <v>1.25</v>
      </c>
      <c r="D66" s="22"/>
      <c r="E66" s="15"/>
      <c r="F66" s="21"/>
      <c r="G66" s="21"/>
      <c r="H66" s="12">
        <f t="shared" si="3"/>
        <v>16.207999999999998</v>
      </c>
      <c r="I66" s="12">
        <f t="shared" si="4"/>
        <v>40.207999999999998</v>
      </c>
      <c r="J66" s="13">
        <f t="shared" si="5"/>
        <v>56.415999999999997</v>
      </c>
    </row>
    <row r="67" spans="1:10">
      <c r="A67" s="61" t="s">
        <v>86</v>
      </c>
      <c r="B67" s="15"/>
      <c r="C67" s="15"/>
      <c r="D67" s="22"/>
      <c r="E67" s="15"/>
      <c r="F67" s="51">
        <v>2</v>
      </c>
      <c r="G67" s="21"/>
      <c r="H67" s="12">
        <f t="shared" si="3"/>
        <v>14.207999999999998</v>
      </c>
      <c r="I67" s="12">
        <f t="shared" si="4"/>
        <v>40.207999999999998</v>
      </c>
      <c r="J67" s="13">
        <f t="shared" si="5"/>
        <v>54.415999999999997</v>
      </c>
    </row>
    <row r="68" spans="1:10">
      <c r="A68" s="62" t="s">
        <v>87</v>
      </c>
      <c r="B68" s="15">
        <v>1.25</v>
      </c>
      <c r="C68" s="15">
        <v>1.25</v>
      </c>
      <c r="D68" s="22"/>
      <c r="E68" s="15"/>
      <c r="F68" s="21"/>
      <c r="G68" s="21"/>
      <c r="H68" s="12">
        <f t="shared" si="3"/>
        <v>15.457999999999998</v>
      </c>
      <c r="I68" s="12">
        <f t="shared" si="4"/>
        <v>41.457999999999998</v>
      </c>
      <c r="J68" s="13">
        <f t="shared" si="5"/>
        <v>56.915999999999997</v>
      </c>
    </row>
    <row r="69" spans="1:10">
      <c r="A69" s="62" t="s">
        <v>88</v>
      </c>
      <c r="B69" s="15"/>
      <c r="C69" s="15"/>
      <c r="D69" s="22"/>
      <c r="E69" s="15">
        <v>1</v>
      </c>
      <c r="F69" s="21"/>
      <c r="G69" s="21"/>
      <c r="H69" s="12">
        <f t="shared" si="3"/>
        <v>15.457999999999998</v>
      </c>
      <c r="I69" s="12">
        <f t="shared" si="4"/>
        <v>40.457999999999998</v>
      </c>
      <c r="J69" s="13">
        <f t="shared" si="5"/>
        <v>55.915999999999997</v>
      </c>
    </row>
    <row r="70" spans="1:10">
      <c r="A70" s="62" t="s">
        <v>89</v>
      </c>
      <c r="B70" s="15"/>
      <c r="C70" s="15"/>
      <c r="D70" s="22"/>
      <c r="E70" s="15"/>
      <c r="F70" s="51">
        <v>1</v>
      </c>
      <c r="G70" s="21"/>
      <c r="H70" s="12">
        <f t="shared" si="3"/>
        <v>14.457999999999998</v>
      </c>
      <c r="I70" s="12">
        <f t="shared" si="4"/>
        <v>40.457999999999998</v>
      </c>
      <c r="J70" s="13">
        <f t="shared" si="5"/>
        <v>54.915999999999997</v>
      </c>
    </row>
    <row r="71" spans="1:10">
      <c r="A71" s="62" t="s">
        <v>90</v>
      </c>
      <c r="B71" s="15"/>
      <c r="C71" s="15"/>
      <c r="D71" s="15">
        <v>4</v>
      </c>
      <c r="E71" s="15"/>
      <c r="F71" s="21"/>
      <c r="G71" s="21"/>
      <c r="H71" s="12">
        <f t="shared" si="3"/>
        <v>10.457999999999998</v>
      </c>
      <c r="I71" s="12">
        <f t="shared" si="4"/>
        <v>40.457999999999998</v>
      </c>
      <c r="J71" s="13">
        <f t="shared" si="5"/>
        <v>50.915999999999997</v>
      </c>
    </row>
    <row r="72" spans="1:10">
      <c r="A72" s="63" t="s">
        <v>91</v>
      </c>
      <c r="B72" s="15">
        <v>1.25</v>
      </c>
      <c r="C72" s="15">
        <v>1.25</v>
      </c>
      <c r="D72" s="15"/>
      <c r="E72" s="15"/>
      <c r="F72" s="21"/>
      <c r="G72" s="21"/>
      <c r="H72" s="12">
        <f t="shared" si="3"/>
        <v>11.707999999999998</v>
      </c>
      <c r="I72" s="12">
        <f t="shared" si="4"/>
        <v>41.707999999999998</v>
      </c>
      <c r="J72" s="13">
        <f t="shared" si="5"/>
        <v>53.415999999999997</v>
      </c>
    </row>
    <row r="73" spans="1:10">
      <c r="A73" s="63" t="s">
        <v>92</v>
      </c>
      <c r="B73" s="15"/>
      <c r="C73" s="15"/>
      <c r="D73" s="15">
        <v>5</v>
      </c>
      <c r="E73" s="15"/>
      <c r="F73" s="21"/>
      <c r="G73" s="21"/>
      <c r="H73" s="12">
        <f t="shared" si="3"/>
        <v>6.7079999999999984</v>
      </c>
      <c r="I73" s="12">
        <f t="shared" si="4"/>
        <v>41.707999999999998</v>
      </c>
      <c r="J73" s="13">
        <f t="shared" si="5"/>
        <v>48.415999999999997</v>
      </c>
    </row>
    <row r="74" spans="1:10">
      <c r="A74" s="65" t="s">
        <v>93</v>
      </c>
      <c r="B74" s="15">
        <v>1.25</v>
      </c>
      <c r="C74" s="15">
        <v>1.25</v>
      </c>
      <c r="D74" s="15"/>
      <c r="E74" s="15"/>
      <c r="F74" s="21"/>
      <c r="G74" s="21"/>
      <c r="H74" s="12">
        <f t="shared" si="3"/>
        <v>7.9579999999999984</v>
      </c>
      <c r="I74" s="12">
        <f t="shared" si="4"/>
        <v>42.957999999999998</v>
      </c>
      <c r="J74" s="13">
        <f t="shared" si="5"/>
        <v>50.915999999999997</v>
      </c>
    </row>
    <row r="75" spans="1:10">
      <c r="A75" s="65" t="s">
        <v>94</v>
      </c>
      <c r="B75" s="15"/>
      <c r="C75" s="15"/>
      <c r="D75" s="15"/>
      <c r="E75" s="15">
        <v>2</v>
      </c>
      <c r="F75" s="21"/>
      <c r="G75" s="21"/>
      <c r="H75" s="12">
        <f t="shared" si="3"/>
        <v>7.9579999999999984</v>
      </c>
      <c r="I75" s="12">
        <f t="shared" si="4"/>
        <v>40.957999999999998</v>
      </c>
      <c r="J75" s="13">
        <f t="shared" si="5"/>
        <v>48.915999999999997</v>
      </c>
    </row>
    <row r="76" spans="1:10">
      <c r="A76" s="67" t="s">
        <v>96</v>
      </c>
      <c r="B76" s="15"/>
      <c r="C76" s="15"/>
      <c r="D76" s="15">
        <v>3</v>
      </c>
      <c r="E76" s="15"/>
      <c r="F76" s="21"/>
      <c r="G76" s="21"/>
      <c r="H76" s="12">
        <f t="shared" ref="H76" si="6">H75-F76-D76+B76</f>
        <v>4.9579999999999984</v>
      </c>
      <c r="I76" s="12">
        <f t="shared" ref="I76" si="7">I75-E76+C76</f>
        <v>40.957999999999998</v>
      </c>
      <c r="J76" s="13">
        <f t="shared" ref="J76" si="8">SUM(H76:I76)</f>
        <v>45.915999999999997</v>
      </c>
    </row>
    <row r="77" spans="1:10">
      <c r="A77" s="69" t="s">
        <v>97</v>
      </c>
      <c r="B77" s="15">
        <v>2.5</v>
      </c>
      <c r="C77" s="15">
        <v>2.5</v>
      </c>
      <c r="D77" s="15"/>
      <c r="E77" s="15"/>
      <c r="F77" s="21"/>
      <c r="G77" s="21"/>
      <c r="H77" s="12">
        <f t="shared" ref="H77:H78" si="9">H76-F77-D77+B77</f>
        <v>7.4579999999999984</v>
      </c>
      <c r="I77" s="12">
        <f t="shared" ref="I77:I78" si="10">I76-E77+C77</f>
        <v>43.457999999999998</v>
      </c>
      <c r="J77" s="13">
        <f t="shared" ref="J77:J78" si="11">SUM(H77:I77)</f>
        <v>50.915999999999997</v>
      </c>
    </row>
    <row r="78" spans="1:10">
      <c r="A78" s="69" t="s">
        <v>98</v>
      </c>
      <c r="B78" s="15"/>
      <c r="C78" s="15"/>
      <c r="D78" s="15"/>
      <c r="E78" s="15">
        <v>1</v>
      </c>
      <c r="F78" s="21"/>
      <c r="G78" s="21"/>
      <c r="H78" s="12">
        <f t="shared" si="9"/>
        <v>7.4579999999999984</v>
      </c>
      <c r="I78" s="12">
        <f t="shared" si="10"/>
        <v>42.457999999999998</v>
      </c>
      <c r="J78" s="13">
        <f t="shared" si="11"/>
        <v>49.915999999999997</v>
      </c>
    </row>
    <row r="79" spans="1:10">
      <c r="A79" s="70" t="s">
        <v>99</v>
      </c>
      <c r="B79" s="15"/>
      <c r="C79" s="15"/>
      <c r="D79" s="15"/>
      <c r="E79" s="15">
        <v>2</v>
      </c>
      <c r="F79" s="21"/>
      <c r="G79" s="21"/>
      <c r="H79" s="12">
        <f t="shared" ref="H79" si="12">H78-F79-D79+B79</f>
        <v>7.4579999999999984</v>
      </c>
      <c r="I79" s="12">
        <f t="shared" ref="I79" si="13">I78-E79+C79</f>
        <v>40.457999999999998</v>
      </c>
      <c r="J79" s="13">
        <f t="shared" ref="J79" si="14">SUM(H79:I79)</f>
        <v>47.915999999999997</v>
      </c>
    </row>
    <row r="80" spans="1:10">
      <c r="A80" s="119" t="s">
        <v>103</v>
      </c>
      <c r="B80" s="15">
        <v>5</v>
      </c>
      <c r="C80" s="15">
        <v>5</v>
      </c>
      <c r="D80" s="15"/>
      <c r="E80" s="15"/>
      <c r="F80" s="21"/>
      <c r="G80" s="21"/>
      <c r="H80" s="12">
        <f t="shared" ref="H80" si="15">H79-F80-D80+B80</f>
        <v>12.457999999999998</v>
      </c>
      <c r="I80" s="12">
        <f t="shared" ref="I80" si="16">I79-E80+C80</f>
        <v>45.457999999999998</v>
      </c>
      <c r="J80" s="13">
        <f t="shared" ref="J80" si="17">SUM(H80:I80)</f>
        <v>57.915999999999997</v>
      </c>
    </row>
    <row r="81" spans="1:10">
      <c r="A81" s="70"/>
      <c r="B81" s="15"/>
      <c r="C81" s="15"/>
      <c r="D81" s="15"/>
      <c r="E81" s="15"/>
      <c r="F81" s="21"/>
      <c r="G81" s="21"/>
      <c r="H81" s="12"/>
      <c r="I81" s="12"/>
      <c r="J81" s="12"/>
    </row>
    <row r="82" spans="1:10">
      <c r="A82" s="115"/>
      <c r="B82" s="116"/>
      <c r="C82" s="116"/>
      <c r="D82" s="116"/>
      <c r="E82" s="116"/>
      <c r="F82" s="117"/>
      <c r="G82" s="117"/>
      <c r="H82" s="118"/>
      <c r="I82" s="118"/>
      <c r="J82" s="118"/>
    </row>
    <row r="83" spans="1:10">
      <c r="A83" s="68"/>
      <c r="B83" s="59"/>
      <c r="C83" s="59"/>
      <c r="D83" s="59"/>
      <c r="E83" s="59"/>
      <c r="H83" s="60"/>
      <c r="I83" s="60"/>
      <c r="J83" s="60"/>
    </row>
    <row r="84" spans="1:10">
      <c r="A84" s="64"/>
      <c r="B84" s="59"/>
      <c r="C84" s="59"/>
      <c r="D84" s="71"/>
      <c r="E84" s="59"/>
      <c r="H84" s="60"/>
      <c r="I84" s="60"/>
      <c r="J84" s="60"/>
    </row>
    <row r="85" spans="1:10">
      <c r="A85" s="58"/>
      <c r="B85" s="59"/>
      <c r="C85" s="59"/>
      <c r="E85" s="59"/>
      <c r="H85" s="60"/>
      <c r="I85" s="60"/>
      <c r="J85" s="60"/>
    </row>
    <row r="90" spans="1:10">
      <c r="F90" s="23" t="s">
        <v>54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63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3B89-588E-442B-AD79-BE6729AC6CBC}">
  <sheetPr>
    <pageSetUpPr fitToPage="1"/>
  </sheetPr>
  <dimension ref="A1:L21"/>
  <sheetViews>
    <sheetView view="pageBreakPreview" zoomScale="112" zoomScaleNormal="100" zoomScaleSheetLayoutView="112" workbookViewId="0">
      <selection activeCell="A16" sqref="A16"/>
    </sheetView>
  </sheetViews>
  <sheetFormatPr defaultColWidth="8.7109375" defaultRowHeight="15"/>
  <cols>
    <col min="1" max="1" width="33.5703125" style="37" customWidth="1"/>
    <col min="2" max="16384" width="8.7109375" style="37"/>
  </cols>
  <sheetData>
    <row r="1" spans="1:12" s="32" customFormat="1" ht="52.5" customHeight="1"/>
    <row r="2" spans="1:12" s="32" customFormat="1" ht="10.5" customHeight="1">
      <c r="A2" s="96" t="s">
        <v>17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32" customFormat="1" ht="15.95" customHeight="1">
      <c r="A3" s="96" t="s">
        <v>18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s="32" customFormat="1" ht="15.95" customHeight="1">
      <c r="A4" s="96" t="s">
        <v>19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s="32" customFormat="1" ht="15.95" customHeight="1">
      <c r="A5" s="96" t="s">
        <v>20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s="32" customFormat="1" ht="8.25" customHeight="1"/>
    <row r="7" spans="1:12" s="32" customFormat="1" ht="12" customHeight="1">
      <c r="A7" s="32" t="s">
        <v>50</v>
      </c>
      <c r="C7" s="33" t="s">
        <v>21</v>
      </c>
      <c r="D7" s="33"/>
      <c r="G7" s="33" t="s">
        <v>51</v>
      </c>
      <c r="H7" s="34"/>
    </row>
    <row r="8" spans="1:12" s="32" customFormat="1" ht="12" customHeight="1">
      <c r="C8" s="35"/>
      <c r="G8" s="35"/>
      <c r="H8" s="35"/>
    </row>
    <row r="9" spans="1:12" s="32" customFormat="1" ht="12" customHeight="1">
      <c r="A9" s="32" t="s">
        <v>52</v>
      </c>
      <c r="C9" s="33" t="s">
        <v>22</v>
      </c>
      <c r="D9" s="33"/>
      <c r="G9" s="33" t="s">
        <v>0</v>
      </c>
      <c r="H9" s="36"/>
    </row>
    <row r="10" spans="1:12" ht="16.5" customHeight="1" thickBot="1">
      <c r="A10" s="97" t="s">
        <v>63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s="38" customFormat="1" ht="18.75" customHeight="1">
      <c r="A11" s="87" t="s">
        <v>1</v>
      </c>
      <c r="B11" s="89" t="s">
        <v>2</v>
      </c>
      <c r="C11" s="90"/>
      <c r="D11" s="90"/>
      <c r="E11" s="90"/>
      <c r="F11" s="90"/>
      <c r="G11" s="90"/>
      <c r="H11" s="90"/>
      <c r="I11" s="90"/>
      <c r="J11" s="90"/>
      <c r="K11" s="90"/>
      <c r="L11" s="91" t="s">
        <v>5</v>
      </c>
    </row>
    <row r="12" spans="1:12" s="38" customFormat="1" ht="24" customHeight="1">
      <c r="A12" s="88"/>
      <c r="B12" s="93" t="s">
        <v>64</v>
      </c>
      <c r="C12" s="94"/>
      <c r="D12" s="94"/>
      <c r="E12" s="95"/>
      <c r="F12" s="93" t="s">
        <v>65</v>
      </c>
      <c r="G12" s="95"/>
      <c r="H12" s="93" t="s">
        <v>66</v>
      </c>
      <c r="I12" s="95"/>
      <c r="J12" s="93" t="s">
        <v>67</v>
      </c>
      <c r="K12" s="95"/>
      <c r="L12" s="92"/>
    </row>
    <row r="13" spans="1:12" s="42" customFormat="1" ht="25.5" customHeight="1">
      <c r="A13" s="39" t="s">
        <v>68</v>
      </c>
      <c r="B13" s="98" t="s">
        <v>69</v>
      </c>
      <c r="C13" s="99"/>
      <c r="D13" s="99"/>
      <c r="E13" s="100"/>
      <c r="F13" s="98">
        <v>1</v>
      </c>
      <c r="G13" s="100"/>
      <c r="H13" s="98">
        <v>0</v>
      </c>
      <c r="I13" s="100"/>
      <c r="J13" s="98">
        <v>1</v>
      </c>
      <c r="K13" s="100"/>
      <c r="L13" s="40">
        <v>1</v>
      </c>
    </row>
    <row r="14" spans="1:12" s="42" customFormat="1" ht="25.5" customHeight="1">
      <c r="A14" s="39" t="s">
        <v>70</v>
      </c>
      <c r="B14" s="98" t="s">
        <v>69</v>
      </c>
      <c r="C14" s="99"/>
      <c r="D14" s="99"/>
      <c r="E14" s="100"/>
      <c r="F14" s="98"/>
      <c r="G14" s="100"/>
      <c r="H14" s="98">
        <v>1</v>
      </c>
      <c r="I14" s="100"/>
      <c r="J14" s="111">
        <v>0</v>
      </c>
      <c r="K14" s="112"/>
      <c r="L14" s="41">
        <v>0</v>
      </c>
    </row>
    <row r="15" spans="1:12" s="109" customFormat="1" ht="19.5" customHeight="1">
      <c r="A15" s="102" t="s">
        <v>100</v>
      </c>
      <c r="B15" s="103" t="s">
        <v>101</v>
      </c>
      <c r="C15" s="104"/>
      <c r="D15" s="104"/>
      <c r="E15" s="105"/>
      <c r="F15" s="106">
        <v>1</v>
      </c>
      <c r="G15" s="107"/>
      <c r="H15" s="103">
        <v>0</v>
      </c>
      <c r="I15" s="105"/>
      <c r="J15" s="103">
        <v>1</v>
      </c>
      <c r="K15" s="105"/>
      <c r="L15" s="108">
        <v>1</v>
      </c>
    </row>
    <row r="16" spans="1:12" s="109" customFormat="1" ht="19.5" customHeight="1">
      <c r="A16" s="102" t="s">
        <v>102</v>
      </c>
      <c r="B16" s="103" t="s">
        <v>101</v>
      </c>
      <c r="C16" s="104"/>
      <c r="D16" s="104"/>
      <c r="E16" s="105"/>
      <c r="F16" s="106"/>
      <c r="G16" s="107"/>
      <c r="H16" s="103">
        <v>1</v>
      </c>
      <c r="I16" s="105"/>
      <c r="J16" s="113">
        <v>0</v>
      </c>
      <c r="K16" s="114"/>
      <c r="L16" s="110">
        <v>0</v>
      </c>
    </row>
    <row r="17" spans="3:11" s="32" customFormat="1">
      <c r="C17" s="43"/>
      <c r="H17" s="32" t="s">
        <v>36</v>
      </c>
    </row>
    <row r="18" spans="3:11" s="32" customFormat="1">
      <c r="C18" s="43"/>
    </row>
    <row r="19" spans="3:11">
      <c r="J19" s="45" t="s">
        <v>37</v>
      </c>
      <c r="K19" s="44"/>
    </row>
    <row r="20" spans="3:11">
      <c r="J20" s="37" t="s">
        <v>38</v>
      </c>
    </row>
    <row r="21" spans="3:11">
      <c r="J21" s="101" t="s">
        <v>39</v>
      </c>
      <c r="K21" s="101"/>
    </row>
  </sheetData>
  <mergeCells count="27">
    <mergeCell ref="J21:K21"/>
    <mergeCell ref="B14:E14"/>
    <mergeCell ref="F14:G14"/>
    <mergeCell ref="H14:I14"/>
    <mergeCell ref="J14:K14"/>
    <mergeCell ref="B15:E15"/>
    <mergeCell ref="H15:I15"/>
    <mergeCell ref="J15:K15"/>
    <mergeCell ref="B16:E16"/>
    <mergeCell ref="H16:I16"/>
    <mergeCell ref="J16:K16"/>
    <mergeCell ref="B13:E13"/>
    <mergeCell ref="F13:G13"/>
    <mergeCell ref="H13:I13"/>
    <mergeCell ref="J13:K13"/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</mergeCells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CORRECTED</vt:lpstr>
      <vt:lpstr>CTO</vt:lpstr>
      <vt:lpstr>CORRECTED!Print_Area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2026-01-07T07:17:03Z</cp:lastPrinted>
  <dcterms:created xsi:type="dcterms:W3CDTF">2021-10-07T06:10:00Z</dcterms:created>
  <dcterms:modified xsi:type="dcterms:W3CDTF">2026-01-07T07:18:56Z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CD2CADA7F5C14F0EA72745CE763945EF</vt:lpwstr>
  </property>
  <property fmtid="{D5CDD505-2E9C-101B-9397-08002B2CF9AE}" pid="3" name="KSOProductBuildVer">
    <vt:lpwstr>1033-11.2.0.11341</vt:lpwstr>
  </property>
</Properties>
</file>