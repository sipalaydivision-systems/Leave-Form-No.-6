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/>
  </bookViews>
  <sheets>
    <sheet name="Leave Card (NE)" sheetId="7" r:id="rId1"/>
    <sheet name="CTO" sheetId="6" r:id="rId2"/>
    <sheet name="ELECTION1" sheetId="9" r:id="rId3"/>
  </sheets>
  <definedNames>
    <definedName name="_xlnm.Print_Area" localSheetId="1">CTO!$A$1:$G$21</definedName>
    <definedName name="_xlnm.Print_Area" localSheetId="0">'Leave Card (NE)'!$A$1:$J$86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<sst xmlns="http://schemas.openxmlformats.org/spreadsheetml/2006/main" count="182" uniqueCount="141">
  <si>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</si>
  <si>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</si>
  <si>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</si>
  <si>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</si>
  <si>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</si>
  <si>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</si>
  <si>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</si>
  <si>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</si>
  <si>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</si>
  <si>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</si>
  <si>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</si>
  <si>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</si>
  <si>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</si>
  <si>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</si>
  <si>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</si>
  <si>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</si>
  <si>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</si>
  <si>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</si>
  <si>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</si>
  <si>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</si>
  <si>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3/04/2013 - 3/31/2013</t>
  </si>
  <si>
    <t>ADD: 4/01/2013 - 12/31/2013</t>
  </si>
  <si>
    <t>LESS: FL 2013</t>
  </si>
  <si>
    <t>ADD: 1/01/2014 - 12/31/2014</t>
  </si>
  <si>
    <t>LESS: MONETIZATION 2014</t>
  </si>
  <si>
    <t>LESS: FL 2014</t>
  </si>
  <si>
    <t>ADD: 1/01/2015 - 12/31/2015</t>
  </si>
  <si>
    <t>LESS: MONETIZATION 2015</t>
  </si>
  <si>
    <t>LESS: FL 2015</t>
  </si>
  <si>
    <t>ADD: 1/01/2016 - 12/31/2016</t>
  </si>
  <si>
    <t>LESS: MONETIZATION 2016</t>
  </si>
  <si>
    <t>LESS: FL 2016</t>
  </si>
  <si>
    <t>ADD: 1/01/2017 - 12/31/2017</t>
  </si>
  <si>
    <t>LESS: MONETIZATION 2017</t>
  </si>
  <si>
    <t>LESS: FL 2017</t>
  </si>
  <si>
    <t>ADD: 1/01/2018 - 12/31/2018</t>
  </si>
  <si>
    <t>LESS: MONETIZATION 2018</t>
  </si>
  <si>
    <t>LESS: FL 2018</t>
  </si>
  <si>
    <t>ADD: 1/01/2019 - 12/31/2019</t>
  </si>
  <si>
    <t>LESS: FL 2019</t>
  </si>
  <si>
    <t>ADD: 1/01/2020 - 12/31/2020</t>
  </si>
  <si>
    <t>LESS: MONETIZATION 2020</t>
  </si>
  <si>
    <t>LESS: FL 2020</t>
  </si>
  <si>
    <t>ADD: 1/01/2021 - 12/31/2021</t>
  </si>
  <si>
    <t>LESS: MONETIZATION 2021</t>
  </si>
  <si>
    <t>LESS: 12/ 23, 24, 27, 28 &amp; 29/2021</t>
  </si>
  <si>
    <t>ADD: 1/01/2022 - 06/30/2022</t>
  </si>
  <si>
    <t>LESS: 07/29/2022</t>
  </si>
  <si>
    <t>LESS: 09/01 &amp; 02/22</t>
  </si>
  <si>
    <t>LESS: 10/04/2022</t>
  </si>
  <si>
    <t>ADD: 7/01/2022 - 12/31/2022</t>
  </si>
  <si>
    <t>LESS: MONETIZATION 2022</t>
  </si>
  <si>
    <t>LESS: 10/19 &amp; 20/2022</t>
  </si>
  <si>
    <t>LESS: 12/09/2022</t>
  </si>
  <si>
    <t>ADD: 01/01/2023 - 08/31/2023</t>
  </si>
  <si>
    <t>LESS: MONETIZATION 2023</t>
  </si>
  <si>
    <t>ADD: 09/01/2023-11/30/2023</t>
  </si>
  <si>
    <t>LESS: 12/14-15/2023, 12/27-29/2023</t>
  </si>
  <si>
    <t>ADD: 12/01/2023-12/31/2023</t>
  </si>
  <si>
    <t>ADD: 01/01/2024-01/31/2024</t>
  </si>
  <si>
    <t>ADD: (DISAPPROVED FL-12/14-15/2023,12/27-29/2023)</t>
  </si>
  <si>
    <t>ADD: 02/1/2024-04/30/2024</t>
  </si>
  <si>
    <t>LESS: 05/14/2024</t>
  </si>
  <si>
    <t>ADD: 05/1/2024-07/31/2024</t>
  </si>
  <si>
    <t>ADD: CONVERTED UNUSED LEAVE CREDITS EARNED FROM ELECTION        (85 DAYS) FORMULA: 30Y/69/2</t>
  </si>
  <si>
    <t>LESS: MONETIZATION 2024</t>
  </si>
  <si>
    <t>LESS: 08/30/2024</t>
  </si>
  <si>
    <t>ADD: 08/1-31/2024</t>
  </si>
  <si>
    <t>LESS: 10/01/2024</t>
  </si>
  <si>
    <t>ADD: 09/1/2024-11/30/2024</t>
  </si>
  <si>
    <t>LESS: 12/23, 26-27/2024</t>
  </si>
  <si>
    <t>ADD: 12/1-31/2024</t>
  </si>
  <si>
    <t>ADD: 01/1/2025-03/31/2025</t>
  </si>
  <si>
    <t>LESS: 04/30/2025 &amp; 05/2/2025</t>
  </si>
  <si>
    <t>ADD: 04/1/2025-06/30/2025</t>
  </si>
  <si>
    <t>LESS: MONETIZATION 2025</t>
  </si>
  <si>
    <t>LESS: 07/16/2025</t>
  </si>
  <si>
    <t>ADD: 07/1-31/2025</t>
  </si>
  <si>
    <t>LESS: 08/20 &amp; 29/2025</t>
  </si>
  <si>
    <t>ADD: 08/1-31/2025</t>
  </si>
  <si>
    <t>ADD: 07/16/2025 Exigency of Service</t>
  </si>
  <si>
    <t>ADD: 08/20 &amp; 29/2025 Exigency of Service</t>
  </si>
  <si>
    <t>ADD: 09/12025-11/30/2025</t>
  </si>
  <si>
    <t>LESS: 12/5, 23/2025</t>
  </si>
  <si>
    <t>DATE FILED: 12/5, 23, 29/2025</t>
  </si>
  <si>
    <t>Certified Correct:</t>
  </si>
  <si>
    <t>MA. LUISA B. CATIGAN</t>
  </si>
  <si>
    <t>Administrative Officer IV</t>
  </si>
  <si>
    <t>HRMO</t>
  </si>
  <si>
    <t>Name       :</t>
  </si>
  <si>
    <t xml:space="preserve">RUFANO, NEMIA </t>
  </si>
  <si>
    <t>POSITION:</t>
  </si>
  <si>
    <t>PRINCIPAL 1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</si>
  <si>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</si>
  <si>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</si>
  <si>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</si>
  <si>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</si>
  <si>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</si>
  <si>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</si>
  <si>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JULY 27, 2022</t>
  </si>
  <si>
    <t>S.O. #052, s. 2022, dated JULY 13, 2022</t>
  </si>
  <si>
    <t>124TH PHILIPPINE INDEPENDENCE DAY CELEBRATION</t>
  </si>
  <si>
    <t>ADD: 10/17/2023</t>
  </si>
  <si>
    <t xml:space="preserve">S.O. #159, s. 2023 </t>
  </si>
  <si>
    <t>125th PHILIPPINE INDEPENDENCE DAY CELEBRATION</t>
  </si>
  <si>
    <t>LESS: 12/11/2023</t>
  </si>
  <si>
    <t>Total Remaining Balance</t>
  </si>
  <si>
    <t>CERTIFIED CORRECT:</t>
  </si>
  <si>
    <t xml:space="preserve">            DISTRICT: ___________________________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</si>
  <si>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</si>
  <si>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</si>
  <si>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</si>
  <si>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</si>
  <si>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</si>
  <si>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</si>
  <si>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</si>
  <si>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NO. ___, S. 1994</t>
  </si>
  <si>
    <t>MAY 9, 1994</t>
  </si>
  <si>
    <t>BRGY. &amp; SK ELECTION</t>
  </si>
  <si>
    <t>NO. 321, S. 1995</t>
  </si>
  <si>
    <t>MAY 9, 1995</t>
  </si>
  <si>
    <t>NATIONAL &amp; LOCAL ELECTION</t>
  </si>
  <si>
    <t>NO. ___, S. 1998</t>
  </si>
  <si>
    <t>MAY 11, 1998</t>
  </si>
  <si>
    <t>NO. 1075, S. 2001</t>
  </si>
  <si>
    <t>APRIL 24-MAY 31, 2000 CENSUS 2000</t>
  </si>
  <si>
    <t>NO. 1163, S. 2001</t>
  </si>
  <si>
    <t>MAY 14, 2001</t>
  </si>
  <si>
    <t>NO. 2135, S. 2004</t>
  </si>
  <si>
    <t>MAY 10, 2004</t>
  </si>
  <si>
    <t>COMELEC CERTIFICATION</t>
  </si>
  <si>
    <t>MAY 10, 2010</t>
  </si>
  <si>
    <t>OCTOBER 28, 2013</t>
  </si>
  <si>
    <t>MAY 09, 2016</t>
  </si>
  <si>
    <t>MAY 14, 2018</t>
  </si>
  <si>
    <t>MAY 13, 2019</t>
  </si>
  <si>
    <t>NO. 051, S. 2022</t>
  </si>
  <si>
    <t>MAY 09, 2022</t>
  </si>
  <si>
    <t>NO. 010, S. 2024</t>
  </si>
  <si>
    <t>OCTOBER 30, 2023</t>
  </si>
  <si>
    <r>
      <rPr>
        <b/>
        <sz val="12"/>
        <color rgb="FFFF0000"/>
        <rFont val="Calibri"/>
        <charset val="134"/>
        <scheme val="minor"/>
      </rPr>
      <t>(CONVERTED FOR MONETIZATION 2024/CANNOT BE USED ANYMORE)</t>
    </r>
    <r>
      <rPr>
        <b/>
        <sz val="12"/>
        <color theme="1"/>
        <rFont val="Calibri"/>
        <charset val="134"/>
        <scheme val="minor"/>
      </rPr>
      <t xml:space="preserve"> TOTAL UNUSED  SERVICE LEAVE CREDITS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</si>
</sst>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2" borderId="4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43" applyNumberFormat="0" applyAlignment="0" applyProtection="0">
      <alignment vertical="center"/>
    </xf>
    <xf numFmtId="0" fontId="24" fillId="14" borderId="44" applyNumberFormat="0" applyAlignment="0" applyProtection="0">
      <alignment vertical="center"/>
    </xf>
    <xf numFmtId="0" fontId="25" fillId="14" borderId="43" applyNumberFormat="0" applyAlignment="0" applyProtection="0">
      <alignment vertical="center"/>
    </xf>
    <xf numFmtId="0" fontId="26" fillId="15" borderId="45" applyNumberFormat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0" borderId="47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1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right" vertical="center" wrapText="1"/>
    </xf>
    <xf numFmtId="0" fontId="9" fillId="2" borderId="25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right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0" fillId="2" borderId="26" xfId="0" applyFill="1" applyBorder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26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76" fontId="11" fillId="2" borderId="20" xfId="0" applyNumberFormat="1" applyFont="1" applyFill="1" applyBorder="1" applyAlignment="1">
      <alignment horizontal="center" vertical="center" wrapText="1"/>
    </xf>
    <xf numFmtId="1" fontId="11" fillId="2" borderId="33" xfId="0" applyNumberFormat="1" applyFont="1" applyFill="1" applyBorder="1" applyAlignment="1">
      <alignment horizontal="center" vertical="center"/>
    </xf>
    <xf numFmtId="1" fontId="11" fillId="2" borderId="20" xfId="0" applyNumberFormat="1" applyFont="1" applyFill="1" applyBorder="1" applyAlignment="1">
      <alignment horizontal="center" vertical="center"/>
    </xf>
    <xf numFmtId="1" fontId="11" fillId="2" borderId="34" xfId="0" applyNumberFormat="1" applyFont="1" applyFill="1" applyBorder="1" applyAlignment="1">
      <alignment horizontal="center" vertical="center"/>
    </xf>
    <xf numFmtId="0" fontId="10" fillId="0" borderId="35" xfId="0" applyFont="1" applyBorder="1" applyAlignment="1">
      <alignment horizontal="right" vertical="center"/>
    </xf>
    <xf numFmtId="0" fontId="10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right" vertical="center"/>
    </xf>
    <xf numFmtId="1" fontId="10" fillId="2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11" fillId="2" borderId="20" xfId="0" applyNumberFormat="1" applyFont="1" applyFill="1" applyBorder="1" applyAlignment="1">
      <alignment horizontal="center" vertical="center"/>
    </xf>
    <xf numFmtId="58" fontId="0" fillId="0" borderId="20" xfId="0" applyNumberFormat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3" fillId="2" borderId="20" xfId="0" applyNumberFormat="1" applyFont="1" applyFill="1" applyBorder="1" applyAlignment="1">
      <alignment horizontal="center" vertical="center"/>
    </xf>
    <xf numFmtId="176" fontId="11" fillId="0" borderId="20" xfId="0" applyNumberFormat="1" applyFont="1" applyBorder="1" applyAlignment="1">
      <alignment horizontal="center" vertical="center"/>
    </xf>
    <xf numFmtId="176" fontId="12" fillId="2" borderId="20" xfId="0" applyNumberFormat="1" applyFont="1" applyFill="1" applyBorder="1" applyAlignment="1">
      <alignment horizontal="center" vertical="center" wrapText="1"/>
    </xf>
    <xf numFmtId="176" fontId="0" fillId="2" borderId="20" xfId="0" applyNumberFormat="1" applyFill="1" applyBorder="1" applyAlignment="1">
      <alignment horizontal="center" vertical="center" wrapText="1"/>
    </xf>
    <xf numFmtId="176" fontId="0" fillId="0" borderId="20" xfId="0" applyNumberFormat="1" applyBorder="1" applyAlignment="1">
      <alignment horizontal="center"/>
    </xf>
    <xf numFmtId="176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176" fontId="0" fillId="10" borderId="20" xfId="0" applyNumberFormat="1" applyFill="1" applyBorder="1" applyAlignment="1">
      <alignment horizontal="center"/>
    </xf>
    <xf numFmtId="176" fontId="0" fillId="0" borderId="20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/>
    </xf>
    <xf numFmtId="176" fontId="0" fillId="11" borderId="20" xfId="0" applyNumberFormat="1" applyFill="1" applyBorder="1" applyAlignment="1">
      <alignment horizontal="center"/>
    </xf>
    <xf numFmtId="176" fontId="11" fillId="0" borderId="20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432152</xdr:colOff>
      <xdr:row>0</xdr:row>
      <xdr:rowOff>114418</xdr:rowOff>
    </xdr:from>
    <xdr:to>
      <xdr:col>4</xdr:col>
      <xdr:colOff>283292</xdr:colOff>
      <xdr:row>0</xdr:row>
      <xdr:rowOff>648406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66285" y="114300"/>
          <a:ext cx="645160" cy="5340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512206</xdr:colOff>
      <xdr:row>5</xdr:row>
      <xdr:rowOff>73948</xdr:rowOff>
    </xdr:from>
    <xdr:to>
      <xdr:col>0</xdr:col>
      <xdr:colOff>2282880</xdr:colOff>
      <xdr:row>7</xdr:row>
      <xdr:rowOff>71913</xdr:rowOff>
    </xdr:to>
    <xdr:sp>
      <xdr:nvSpPr>
        <xdr:cNvPr id="3" name="TextBox 2"/>
        <xdr:cNvSpPr txBox="1"/>
      </xdr:nvSpPr>
      <xdr:spPr>
        <a:xfrm>
          <a:off x="511810" y="1481455"/>
          <a:ext cx="1771015" cy="255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NEMIA O.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93040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5539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4325" y="66040"/>
          <a:ext cx="955675" cy="70548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95250</xdr:colOff>
      <xdr:row>29</xdr:row>
      <xdr:rowOff>285750</xdr:rowOff>
    </xdr:from>
    <xdr:to>
      <xdr:col>12</xdr:col>
      <xdr:colOff>381000</xdr:colOff>
      <xdr:row>32</xdr:row>
      <xdr:rowOff>123825</xdr:rowOff>
    </xdr:to>
    <xdr:sp>
      <xdr:nvSpPr>
        <xdr:cNvPr id="2" name="TextBox 1"/>
        <xdr:cNvSpPr txBox="1"/>
      </xdr:nvSpPr>
      <xdr:spPr>
        <a:xfrm>
          <a:off x="6913245" y="10513695"/>
          <a:ext cx="315531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  <a:endParaRPr lang="en-US" sz="1100" baseline="0"/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8325" y="38100"/>
          <a:ext cx="699770" cy="6210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>
      <xdr:nvSpPr>
        <xdr:cNvPr id="4" name="TextBox 3"/>
        <xdr:cNvSpPr txBox="1"/>
      </xdr:nvSpPr>
      <xdr:spPr>
        <a:xfrm>
          <a:off x="554355" y="1426210"/>
          <a:ext cx="16148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RUFANO,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NEMIA O.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>
      <xdr:nvSpPr>
        <xdr:cNvPr id="5" name="TextBox 4"/>
        <xdr:cNvSpPr txBox="1"/>
      </xdr:nvSpPr>
      <xdr:spPr>
        <a:xfrm>
          <a:off x="654685" y="1754505"/>
          <a:ext cx="1358265" cy="577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  <a:endParaRPr lang="en-US" sz="1100"/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>
      <xdr:nvSpPr>
        <xdr:cNvPr id="6" name="TextBox 5"/>
        <xdr:cNvSpPr txBox="1"/>
      </xdr:nvSpPr>
      <xdr:spPr>
        <a:xfrm>
          <a:off x="3037205" y="1757680"/>
          <a:ext cx="1987550" cy="56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  <a:endParaRPr lang="en-US" sz="1100"/>
        </a:p>
      </xdr:txBody>
    </xdr:sp>
    <xdr:clientData/>
  </xdr:twoCellAnchor>
  <xdr:twoCellAnchor>
    <xdr:from>
      <xdr:col>0</xdr:col>
      <xdr:colOff>171450</xdr:colOff>
      <xdr:row>29</xdr:row>
      <xdr:rowOff>276225</xdr:rowOff>
    </xdr:from>
    <xdr:to>
      <xdr:col>2</xdr:col>
      <xdr:colOff>28575</xdr:colOff>
      <xdr:row>32</xdr:row>
      <xdr:rowOff>114300</xdr:rowOff>
    </xdr:to>
    <xdr:sp>
      <xdr:nvSpPr>
        <xdr:cNvPr id="7" name="TextBox 6"/>
        <xdr:cNvSpPr txBox="1"/>
      </xdr:nvSpPr>
      <xdr:spPr>
        <a:xfrm>
          <a:off x="171450" y="10504170"/>
          <a:ext cx="317817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 </a:t>
          </a:r>
          <a:r>
            <a:rPr lang="en-US" sz="1200" b="1" u="sng" baseline="0">
              <a:latin typeface="+mn-lt"/>
            </a:rPr>
            <a:t>JOCELYN M. PLOTEÑA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Administrative Assistant III</a:t>
          </a:r>
          <a:endParaRPr lang="en-US" sz="1100" baseline="0"/>
        </a:p>
        <a:p>
          <a:r>
            <a:rPr lang="en-US" sz="1100" baseline="0"/>
            <a:t>                            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86"/>
  <sheetViews>
    <sheetView tabSelected="1" view="pageBreakPreview" zoomScale="108" zoomScaleNormal="100" topLeftCell="A60" workbookViewId="0">
      <selection activeCell="A75" sqref="$A75:$XFD75"/>
    </sheetView>
  </sheetViews>
  <sheetFormatPr defaultColWidth="9" defaultRowHeight="14.4"/>
  <cols>
    <col min="1" max="1" width="37.1388888888889" style="58" customWidth="1"/>
    <col min="2" max="10" width="11.5740740740741" customWidth="1"/>
  </cols>
  <sheetData>
    <row r="1" s="1" customFormat="1" ht="52.5" customHeight="1" spans="1:1">
      <c r="A1" s="4"/>
    </row>
    <row r="2" s="1" customFormat="1" ht="10.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5.95" customHeight="1" spans="1:1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="1" customFormat="1" ht="15.95" customHeight="1" spans="1:10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="1" customFormat="1" ht="15.95" customHeight="1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8.25" customHeight="1" spans="1:1">
      <c r="A6" s="4"/>
    </row>
    <row r="7" s="1" customFormat="1" ht="12" customHeight="1" spans="1:10">
      <c r="A7" s="4" t="s">
        <v>4</v>
      </c>
      <c r="B7" s="5" t="s">
        <v>5</v>
      </c>
      <c r="C7" s="5"/>
      <c r="D7" s="5"/>
      <c r="H7" s="6" t="s">
        <v>6</v>
      </c>
      <c r="I7" s="49"/>
      <c r="J7" s="6"/>
    </row>
    <row r="8" s="1" customFormat="1" ht="12" customHeight="1" spans="1:10">
      <c r="A8" s="4"/>
      <c r="B8" s="7"/>
      <c r="C8" s="7"/>
      <c r="H8" s="7"/>
      <c r="I8" s="7"/>
      <c r="J8" s="7"/>
    </row>
    <row r="9" s="1" customFormat="1" ht="12" customHeight="1" spans="1:10">
      <c r="A9" s="4" t="s">
        <v>7</v>
      </c>
      <c r="B9" s="5" t="s">
        <v>8</v>
      </c>
      <c r="C9" s="5"/>
      <c r="D9" s="5"/>
      <c r="H9" s="6" t="s">
        <v>9</v>
      </c>
      <c r="I9" s="50"/>
      <c r="J9" s="6"/>
    </row>
    <row r="10" ht="16.5" customHeight="1" spans="1:10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</row>
    <row r="11" ht="18.75" customHeight="1" spans="1:10">
      <c r="A11" s="88" t="s">
        <v>11</v>
      </c>
      <c r="B11" s="89" t="s">
        <v>12</v>
      </c>
      <c r="C11" s="89"/>
      <c r="D11" s="90" t="s">
        <v>13</v>
      </c>
      <c r="E11" s="91"/>
      <c r="F11" s="91"/>
      <c r="G11" s="92"/>
      <c r="H11" s="93" t="s">
        <v>14</v>
      </c>
      <c r="I11" s="93"/>
      <c r="J11" s="107" t="s">
        <v>15</v>
      </c>
    </row>
    <row r="12" ht="18.75" customHeight="1" spans="1:10">
      <c r="A12" s="94"/>
      <c r="B12" s="95" t="s">
        <v>16</v>
      </c>
      <c r="C12" s="95" t="s">
        <v>17</v>
      </c>
      <c r="D12" s="95" t="s">
        <v>16</v>
      </c>
      <c r="E12" s="95" t="s">
        <v>17</v>
      </c>
      <c r="F12" s="95" t="s">
        <v>18</v>
      </c>
      <c r="G12" s="95" t="s">
        <v>19</v>
      </c>
      <c r="H12" s="95" t="s">
        <v>16</v>
      </c>
      <c r="I12" s="95" t="s">
        <v>17</v>
      </c>
      <c r="J12" s="108"/>
    </row>
    <row r="13" ht="18.75" customHeight="1" spans="1:10">
      <c r="A13" s="96" t="s">
        <v>20</v>
      </c>
      <c r="B13" s="97">
        <v>1.167</v>
      </c>
      <c r="C13" s="97">
        <v>1.167</v>
      </c>
      <c r="D13" s="97"/>
      <c r="E13" s="97"/>
      <c r="F13" s="97"/>
      <c r="G13" s="97"/>
      <c r="H13" s="97">
        <f>B13</f>
        <v>1.167</v>
      </c>
      <c r="I13" s="97">
        <f>C13</f>
        <v>1.167</v>
      </c>
      <c r="J13" s="97">
        <f>SUM(H13:I13)</f>
        <v>2.334</v>
      </c>
    </row>
    <row r="14" ht="18.75" customHeight="1" spans="1:10">
      <c r="A14" s="96" t="s">
        <v>21</v>
      </c>
      <c r="B14" s="97">
        <v>11.25</v>
      </c>
      <c r="C14" s="97">
        <v>11.25</v>
      </c>
      <c r="D14" s="97"/>
      <c r="E14" s="97"/>
      <c r="F14" s="97"/>
      <c r="G14" s="97"/>
      <c r="H14" s="97">
        <f>H13-F14-D14+B14</f>
        <v>12.417</v>
      </c>
      <c r="I14" s="97">
        <f>I13-E14+C14</f>
        <v>12.417</v>
      </c>
      <c r="J14" s="97">
        <f>SUM(H14:I14)</f>
        <v>24.834</v>
      </c>
    </row>
    <row r="15" ht="18.75" customHeight="1" spans="1:10">
      <c r="A15" s="96" t="s">
        <v>22</v>
      </c>
      <c r="B15" s="97"/>
      <c r="C15" s="97"/>
      <c r="D15" s="97"/>
      <c r="E15" s="97"/>
      <c r="F15" s="97">
        <v>5</v>
      </c>
      <c r="G15" s="97"/>
      <c r="H15" s="97">
        <f t="shared" ref="H15:H28" si="0">H14-F15-D15+B15</f>
        <v>7.417</v>
      </c>
      <c r="I15" s="97">
        <f t="shared" ref="I15:I28" si="1">I14-E15+C15</f>
        <v>12.417</v>
      </c>
      <c r="J15" s="97">
        <f t="shared" ref="J15:J28" si="2">SUM(H15:I15)</f>
        <v>19.834</v>
      </c>
    </row>
    <row r="16" ht="18.75" customHeight="1" spans="1:10">
      <c r="A16" s="96" t="s">
        <v>23</v>
      </c>
      <c r="B16" s="97">
        <v>15</v>
      </c>
      <c r="C16" s="97">
        <v>15</v>
      </c>
      <c r="D16" s="97"/>
      <c r="E16" s="97"/>
      <c r="F16" s="97"/>
      <c r="G16" s="97"/>
      <c r="H16" s="97">
        <f t="shared" si="0"/>
        <v>22.417</v>
      </c>
      <c r="I16" s="97">
        <f t="shared" si="1"/>
        <v>27.417</v>
      </c>
      <c r="J16" s="97">
        <f t="shared" si="2"/>
        <v>49.834</v>
      </c>
    </row>
    <row r="17" ht="18.75" customHeight="1" spans="1:10">
      <c r="A17" s="96" t="s">
        <v>24</v>
      </c>
      <c r="B17" s="97"/>
      <c r="C17" s="97"/>
      <c r="D17" s="97">
        <v>10</v>
      </c>
      <c r="E17" s="97"/>
      <c r="F17" s="97"/>
      <c r="G17" s="97"/>
      <c r="H17" s="97">
        <f t="shared" si="0"/>
        <v>12.417</v>
      </c>
      <c r="I17" s="97">
        <f t="shared" si="1"/>
        <v>27.417</v>
      </c>
      <c r="J17" s="97">
        <f t="shared" si="2"/>
        <v>39.834</v>
      </c>
    </row>
    <row r="18" ht="18.75" customHeight="1" spans="1:10">
      <c r="A18" s="98" t="s">
        <v>25</v>
      </c>
      <c r="B18" s="99"/>
      <c r="C18" s="99"/>
      <c r="D18" s="100"/>
      <c r="E18" s="100"/>
      <c r="F18" s="97">
        <v>5</v>
      </c>
      <c r="G18" s="100"/>
      <c r="H18" s="97">
        <f t="shared" si="0"/>
        <v>7.417</v>
      </c>
      <c r="I18" s="97">
        <f t="shared" si="1"/>
        <v>27.417</v>
      </c>
      <c r="J18" s="97">
        <f t="shared" si="2"/>
        <v>34.834</v>
      </c>
    </row>
    <row r="19" ht="18.75" customHeight="1" spans="1:10">
      <c r="A19" s="96" t="s">
        <v>26</v>
      </c>
      <c r="B19" s="97">
        <v>15</v>
      </c>
      <c r="C19" s="97">
        <v>15</v>
      </c>
      <c r="D19" s="97"/>
      <c r="E19" s="97"/>
      <c r="F19" s="97"/>
      <c r="G19" s="97"/>
      <c r="H19" s="97">
        <f t="shared" si="0"/>
        <v>22.417</v>
      </c>
      <c r="I19" s="97">
        <f t="shared" si="1"/>
        <v>42.417</v>
      </c>
      <c r="J19" s="97">
        <f t="shared" si="2"/>
        <v>64.834</v>
      </c>
    </row>
    <row r="20" ht="18.75" customHeight="1" spans="1:10">
      <c r="A20" s="96" t="s">
        <v>27</v>
      </c>
      <c r="B20" s="97"/>
      <c r="C20" s="97"/>
      <c r="D20" s="97">
        <v>10</v>
      </c>
      <c r="E20" s="97"/>
      <c r="F20" s="97"/>
      <c r="G20" s="97"/>
      <c r="H20" s="97">
        <f t="shared" si="0"/>
        <v>12.417</v>
      </c>
      <c r="I20" s="97">
        <f t="shared" si="1"/>
        <v>42.417</v>
      </c>
      <c r="J20" s="97">
        <f t="shared" si="2"/>
        <v>54.834</v>
      </c>
    </row>
    <row r="21" ht="18.75" customHeight="1" spans="1:10">
      <c r="A21" s="98" t="s">
        <v>28</v>
      </c>
      <c r="B21" s="97"/>
      <c r="C21" s="97"/>
      <c r="D21" s="97"/>
      <c r="E21" s="97"/>
      <c r="F21" s="97">
        <v>5</v>
      </c>
      <c r="G21" s="97"/>
      <c r="H21" s="97">
        <f t="shared" si="0"/>
        <v>7.417</v>
      </c>
      <c r="I21" s="97">
        <f t="shared" si="1"/>
        <v>42.417</v>
      </c>
      <c r="J21" s="97">
        <f t="shared" si="2"/>
        <v>49.834</v>
      </c>
    </row>
    <row r="22" ht="18.75" customHeight="1" spans="1:10">
      <c r="A22" s="96" t="s">
        <v>29</v>
      </c>
      <c r="B22" s="97">
        <v>15</v>
      </c>
      <c r="C22" s="97">
        <v>15</v>
      </c>
      <c r="D22" s="97"/>
      <c r="E22" s="97"/>
      <c r="F22" s="97"/>
      <c r="G22" s="97"/>
      <c r="H22" s="97">
        <f t="shared" si="0"/>
        <v>22.417</v>
      </c>
      <c r="I22" s="97">
        <f t="shared" si="1"/>
        <v>57.417</v>
      </c>
      <c r="J22" s="97">
        <f t="shared" si="2"/>
        <v>79.834</v>
      </c>
    </row>
    <row r="23" ht="18.75" customHeight="1" spans="1:10">
      <c r="A23" s="96" t="s">
        <v>30</v>
      </c>
      <c r="B23" s="99"/>
      <c r="C23" s="99"/>
      <c r="D23" s="97">
        <v>10</v>
      </c>
      <c r="E23" s="97"/>
      <c r="F23" s="97"/>
      <c r="G23" s="97"/>
      <c r="H23" s="97">
        <f t="shared" si="0"/>
        <v>12.417</v>
      </c>
      <c r="I23" s="97">
        <f t="shared" si="1"/>
        <v>57.417</v>
      </c>
      <c r="J23" s="97">
        <f t="shared" si="2"/>
        <v>69.834</v>
      </c>
    </row>
    <row r="24" ht="18.75" customHeight="1" spans="1:10">
      <c r="A24" s="98" t="s">
        <v>31</v>
      </c>
      <c r="B24" s="97"/>
      <c r="C24" s="97"/>
      <c r="D24" s="97"/>
      <c r="E24" s="97"/>
      <c r="F24" s="97">
        <v>5</v>
      </c>
      <c r="G24" s="97"/>
      <c r="H24" s="97">
        <f t="shared" si="0"/>
        <v>7.417</v>
      </c>
      <c r="I24" s="97">
        <f t="shared" si="1"/>
        <v>57.417</v>
      </c>
      <c r="J24" s="97">
        <f t="shared" si="2"/>
        <v>64.834</v>
      </c>
    </row>
    <row r="25" ht="18.75" customHeight="1" spans="1:10">
      <c r="A25" s="96" t="s">
        <v>32</v>
      </c>
      <c r="B25" s="97">
        <v>15</v>
      </c>
      <c r="C25" s="97">
        <v>15</v>
      </c>
      <c r="D25" s="97"/>
      <c r="E25" s="97"/>
      <c r="F25" s="97"/>
      <c r="G25" s="97"/>
      <c r="H25" s="97">
        <f t="shared" si="0"/>
        <v>22.417</v>
      </c>
      <c r="I25" s="97">
        <f t="shared" si="1"/>
        <v>72.417</v>
      </c>
      <c r="J25" s="97">
        <f t="shared" si="2"/>
        <v>94.834</v>
      </c>
    </row>
    <row r="26" ht="18.75" customHeight="1" spans="1:10">
      <c r="A26" s="96" t="s">
        <v>33</v>
      </c>
      <c r="B26" s="97"/>
      <c r="C26" s="97"/>
      <c r="D26" s="97">
        <v>17</v>
      </c>
      <c r="E26" s="97">
        <v>12</v>
      </c>
      <c r="F26" s="97"/>
      <c r="G26" s="97"/>
      <c r="H26" s="97">
        <f t="shared" si="0"/>
        <v>5.417</v>
      </c>
      <c r="I26" s="97">
        <f t="shared" si="1"/>
        <v>60.417</v>
      </c>
      <c r="J26" s="97">
        <f t="shared" si="2"/>
        <v>65.834</v>
      </c>
    </row>
    <row r="27" ht="18.75" customHeight="1" spans="1:10">
      <c r="A27" s="98" t="s">
        <v>34</v>
      </c>
      <c r="B27" s="97"/>
      <c r="C27" s="97"/>
      <c r="D27" s="97"/>
      <c r="E27" s="97"/>
      <c r="F27" s="97">
        <v>5</v>
      </c>
      <c r="G27" s="97"/>
      <c r="H27" s="97">
        <f t="shared" si="0"/>
        <v>0.417000000000002</v>
      </c>
      <c r="I27" s="97">
        <f t="shared" si="1"/>
        <v>60.417</v>
      </c>
      <c r="J27" s="97">
        <f t="shared" si="2"/>
        <v>60.834</v>
      </c>
    </row>
    <row r="28" ht="18.75" customHeight="1" spans="1:10">
      <c r="A28" s="96" t="s">
        <v>35</v>
      </c>
      <c r="B28" s="97">
        <v>15</v>
      </c>
      <c r="C28" s="97">
        <v>15</v>
      </c>
      <c r="D28" s="97"/>
      <c r="E28" s="97"/>
      <c r="F28" s="97"/>
      <c r="G28" s="97"/>
      <c r="H28" s="97">
        <f t="shared" si="0"/>
        <v>15.417</v>
      </c>
      <c r="I28" s="97">
        <f t="shared" si="1"/>
        <v>75.417</v>
      </c>
      <c r="J28" s="97">
        <f t="shared" si="2"/>
        <v>90.834</v>
      </c>
    </row>
    <row r="29" ht="18.75" customHeight="1" spans="1:10">
      <c r="A29" s="96" t="s">
        <v>36</v>
      </c>
      <c r="B29" s="97"/>
      <c r="C29" s="97"/>
      <c r="D29" s="101">
        <v>10</v>
      </c>
      <c r="E29" s="101">
        <v>19</v>
      </c>
      <c r="F29" s="97"/>
      <c r="G29" s="97"/>
      <c r="H29" s="97">
        <f t="shared" ref="H29:H45" si="3">H28-F29-D29+B29</f>
        <v>5.417</v>
      </c>
      <c r="I29" s="97">
        <f t="shared" ref="I29:I45" si="4">I28-E29+C29</f>
        <v>56.417</v>
      </c>
      <c r="J29" s="97">
        <f t="shared" ref="J29:J45" si="5">SUM(H29:I29)</f>
        <v>61.834</v>
      </c>
    </row>
    <row r="30" ht="18.75" customHeight="1" spans="1:10">
      <c r="A30" s="98" t="s">
        <v>37</v>
      </c>
      <c r="B30" s="97"/>
      <c r="C30" s="97"/>
      <c r="D30" s="101"/>
      <c r="E30" s="101"/>
      <c r="F30" s="97">
        <v>5</v>
      </c>
      <c r="G30" s="97"/>
      <c r="H30" s="97">
        <f t="shared" si="3"/>
        <v>0.417000000000002</v>
      </c>
      <c r="I30" s="97">
        <f t="shared" si="4"/>
        <v>56.417</v>
      </c>
      <c r="J30" s="97">
        <f t="shared" si="5"/>
        <v>56.834</v>
      </c>
    </row>
    <row r="31" ht="18.75" customHeight="1" spans="1:10">
      <c r="A31" s="96" t="s">
        <v>38</v>
      </c>
      <c r="B31" s="97">
        <v>15</v>
      </c>
      <c r="C31" s="97">
        <v>15</v>
      </c>
      <c r="D31" s="101"/>
      <c r="E31" s="101"/>
      <c r="F31" s="97"/>
      <c r="G31" s="97"/>
      <c r="H31" s="97">
        <f t="shared" si="3"/>
        <v>15.417</v>
      </c>
      <c r="I31" s="97">
        <f t="shared" si="4"/>
        <v>71.417</v>
      </c>
      <c r="J31" s="97">
        <f t="shared" si="5"/>
        <v>86.834</v>
      </c>
    </row>
    <row r="32" ht="18.75" customHeight="1" spans="1:10">
      <c r="A32" s="98" t="s">
        <v>39</v>
      </c>
      <c r="B32" s="97"/>
      <c r="C32" s="97"/>
      <c r="D32" s="101"/>
      <c r="E32" s="101"/>
      <c r="F32" s="97">
        <v>5</v>
      </c>
      <c r="G32" s="97"/>
      <c r="H32" s="97">
        <f t="shared" si="3"/>
        <v>10.417</v>
      </c>
      <c r="I32" s="97">
        <f t="shared" si="4"/>
        <v>71.417</v>
      </c>
      <c r="J32" s="97">
        <f t="shared" si="5"/>
        <v>81.834</v>
      </c>
    </row>
    <row r="33" ht="18.75" customHeight="1" spans="1:10">
      <c r="A33" s="96" t="s">
        <v>40</v>
      </c>
      <c r="B33" s="97">
        <v>15</v>
      </c>
      <c r="C33" s="97">
        <v>15</v>
      </c>
      <c r="D33" s="101"/>
      <c r="E33" s="101"/>
      <c r="F33" s="97"/>
      <c r="G33" s="97"/>
      <c r="H33" s="97">
        <f t="shared" si="3"/>
        <v>25.417</v>
      </c>
      <c r="I33" s="97">
        <f t="shared" si="4"/>
        <v>86.417</v>
      </c>
      <c r="J33" s="97">
        <f t="shared" si="5"/>
        <v>111.834</v>
      </c>
    </row>
    <row r="34" ht="18.75" customHeight="1" spans="1:10">
      <c r="A34" s="96" t="s">
        <v>41</v>
      </c>
      <c r="B34" s="97"/>
      <c r="C34" s="97"/>
      <c r="D34" s="101">
        <v>10</v>
      </c>
      <c r="E34" s="101"/>
      <c r="F34" s="97"/>
      <c r="G34" s="97"/>
      <c r="H34" s="97">
        <f t="shared" si="3"/>
        <v>15.417</v>
      </c>
      <c r="I34" s="97">
        <f t="shared" si="4"/>
        <v>86.417</v>
      </c>
      <c r="J34" s="97">
        <f t="shared" si="5"/>
        <v>101.834</v>
      </c>
    </row>
    <row r="35" ht="18.75" customHeight="1" spans="1:10">
      <c r="A35" s="98" t="s">
        <v>42</v>
      </c>
      <c r="B35" s="97"/>
      <c r="C35" s="97"/>
      <c r="D35" s="101"/>
      <c r="E35" s="101"/>
      <c r="F35" s="97">
        <v>5</v>
      </c>
      <c r="G35" s="97"/>
      <c r="H35" s="97">
        <f t="shared" si="3"/>
        <v>10.417</v>
      </c>
      <c r="I35" s="97">
        <f t="shared" si="4"/>
        <v>86.417</v>
      </c>
      <c r="J35" s="97">
        <f t="shared" si="5"/>
        <v>96.834</v>
      </c>
    </row>
    <row r="36" ht="18.75" customHeight="1" spans="1:10">
      <c r="A36" s="96" t="s">
        <v>43</v>
      </c>
      <c r="B36" s="97">
        <v>15</v>
      </c>
      <c r="C36" s="97">
        <v>15</v>
      </c>
      <c r="D36" s="101"/>
      <c r="E36" s="101"/>
      <c r="F36" s="97"/>
      <c r="G36" s="97"/>
      <c r="H36" s="97">
        <f t="shared" si="3"/>
        <v>25.417</v>
      </c>
      <c r="I36" s="97">
        <f t="shared" si="4"/>
        <v>101.417</v>
      </c>
      <c r="J36" s="97">
        <f t="shared" si="5"/>
        <v>126.834</v>
      </c>
    </row>
    <row r="37" ht="18.75" customHeight="1" spans="1:10">
      <c r="A37" s="96" t="s">
        <v>44</v>
      </c>
      <c r="B37" s="97"/>
      <c r="C37" s="97"/>
      <c r="D37" s="101">
        <v>10</v>
      </c>
      <c r="E37" s="101">
        <v>19</v>
      </c>
      <c r="F37" s="97"/>
      <c r="G37" s="97"/>
      <c r="H37" s="97">
        <f t="shared" si="3"/>
        <v>15.417</v>
      </c>
      <c r="I37" s="97">
        <f t="shared" si="4"/>
        <v>82.417</v>
      </c>
      <c r="J37" s="97">
        <f t="shared" si="5"/>
        <v>97.834</v>
      </c>
    </row>
    <row r="38" ht="18.75" customHeight="1" spans="1:10">
      <c r="A38" s="98" t="s">
        <v>45</v>
      </c>
      <c r="B38" s="97"/>
      <c r="C38" s="97"/>
      <c r="D38" s="97"/>
      <c r="E38" s="97"/>
      <c r="F38" s="97">
        <v>5</v>
      </c>
      <c r="G38" s="97"/>
      <c r="H38" s="97">
        <f t="shared" si="3"/>
        <v>10.417</v>
      </c>
      <c r="I38" s="97">
        <f t="shared" si="4"/>
        <v>82.417</v>
      </c>
      <c r="J38" s="97">
        <f t="shared" si="5"/>
        <v>92.834</v>
      </c>
    </row>
    <row r="39" ht="18.75" customHeight="1" spans="1:10">
      <c r="A39" s="96" t="s">
        <v>46</v>
      </c>
      <c r="B39" s="97">
        <v>7.5</v>
      </c>
      <c r="C39" s="97">
        <v>7.5</v>
      </c>
      <c r="D39" s="97"/>
      <c r="E39" s="97"/>
      <c r="F39" s="97"/>
      <c r="G39" s="97"/>
      <c r="H39" s="97">
        <f t="shared" si="3"/>
        <v>17.917</v>
      </c>
      <c r="I39" s="97">
        <f t="shared" si="4"/>
        <v>89.917</v>
      </c>
      <c r="J39" s="97">
        <f t="shared" si="5"/>
        <v>107.834</v>
      </c>
    </row>
    <row r="40" ht="18.75" customHeight="1" spans="1:10">
      <c r="A40" s="96" t="s">
        <v>47</v>
      </c>
      <c r="B40" s="97"/>
      <c r="C40" s="97"/>
      <c r="D40" s="97"/>
      <c r="E40" s="97"/>
      <c r="F40" s="97"/>
      <c r="G40" s="97">
        <v>1</v>
      </c>
      <c r="H40" s="97">
        <f t="shared" si="3"/>
        <v>17.917</v>
      </c>
      <c r="I40" s="97">
        <f t="shared" si="4"/>
        <v>89.917</v>
      </c>
      <c r="J40" s="97">
        <f t="shared" si="5"/>
        <v>107.834</v>
      </c>
    </row>
    <row r="41" ht="18.75" customHeight="1" spans="1:10">
      <c r="A41" s="96" t="s">
        <v>48</v>
      </c>
      <c r="B41" s="97"/>
      <c r="C41" s="97"/>
      <c r="D41" s="97"/>
      <c r="E41" s="97"/>
      <c r="F41" s="97">
        <v>2</v>
      </c>
      <c r="G41" s="97"/>
      <c r="H41" s="97">
        <f t="shared" si="3"/>
        <v>15.917</v>
      </c>
      <c r="I41" s="97">
        <f t="shared" si="4"/>
        <v>89.917</v>
      </c>
      <c r="J41" s="97">
        <f t="shared" si="5"/>
        <v>105.834</v>
      </c>
    </row>
    <row r="42" ht="18.75" customHeight="1" spans="1:10">
      <c r="A42" s="96" t="s">
        <v>49</v>
      </c>
      <c r="B42" s="102"/>
      <c r="C42" s="102"/>
      <c r="D42" s="102"/>
      <c r="E42" s="74"/>
      <c r="F42" s="103">
        <v>1</v>
      </c>
      <c r="G42" s="102"/>
      <c r="H42" s="97">
        <f t="shared" si="3"/>
        <v>14.917</v>
      </c>
      <c r="I42" s="97">
        <f t="shared" si="4"/>
        <v>89.917</v>
      </c>
      <c r="J42" s="97">
        <f t="shared" si="5"/>
        <v>104.834</v>
      </c>
    </row>
    <row r="43" ht="15.6" spans="1:10">
      <c r="A43" s="96" t="s">
        <v>50</v>
      </c>
      <c r="B43" s="97">
        <v>7.5</v>
      </c>
      <c r="C43" s="97">
        <v>7.5</v>
      </c>
      <c r="D43" s="104"/>
      <c r="E43" s="104"/>
      <c r="F43" s="104"/>
      <c r="G43" s="104"/>
      <c r="H43" s="97">
        <f t="shared" si="3"/>
        <v>22.417</v>
      </c>
      <c r="I43" s="97">
        <f t="shared" si="4"/>
        <v>97.417</v>
      </c>
      <c r="J43" s="97">
        <f t="shared" si="5"/>
        <v>119.834</v>
      </c>
    </row>
    <row r="44" ht="15.6" spans="1:10">
      <c r="A44" s="96" t="s">
        <v>51</v>
      </c>
      <c r="B44" s="104"/>
      <c r="C44" s="104"/>
      <c r="D44" s="104">
        <v>15</v>
      </c>
      <c r="E44" s="104">
        <v>14</v>
      </c>
      <c r="F44" s="105"/>
      <c r="G44" s="105"/>
      <c r="H44" s="97">
        <f t="shared" si="3"/>
        <v>7.417</v>
      </c>
      <c r="I44" s="97">
        <f t="shared" si="4"/>
        <v>83.417</v>
      </c>
      <c r="J44" s="97">
        <f t="shared" si="5"/>
        <v>90.834</v>
      </c>
    </row>
    <row r="45" ht="15.6" spans="1:10">
      <c r="A45" s="96" t="s">
        <v>52</v>
      </c>
      <c r="B45" s="104"/>
      <c r="C45" s="104"/>
      <c r="D45" s="104"/>
      <c r="E45" s="104"/>
      <c r="F45" s="104">
        <v>2</v>
      </c>
      <c r="G45" s="104"/>
      <c r="H45" s="97">
        <f t="shared" si="3"/>
        <v>5.417</v>
      </c>
      <c r="I45" s="97">
        <f t="shared" si="4"/>
        <v>83.417</v>
      </c>
      <c r="J45" s="97">
        <f t="shared" si="5"/>
        <v>88.834</v>
      </c>
    </row>
    <row r="46" ht="15.6" spans="1:10">
      <c r="A46" s="96" t="s">
        <v>53</v>
      </c>
      <c r="B46" s="104"/>
      <c r="C46" s="104"/>
      <c r="D46" s="104"/>
      <c r="E46" s="104"/>
      <c r="F46" s="104"/>
      <c r="G46" s="104">
        <v>1</v>
      </c>
      <c r="H46" s="97">
        <f t="shared" ref="H46:H56" si="6">H45-F46-D46+B46</f>
        <v>5.417</v>
      </c>
      <c r="I46" s="97">
        <f t="shared" ref="I46:I56" si="7">I45-E46+C46</f>
        <v>83.417</v>
      </c>
      <c r="J46" s="97">
        <f t="shared" ref="J46:J56" si="8">SUM(H46:I46)</f>
        <v>88.834</v>
      </c>
    </row>
    <row r="47" ht="15.6" spans="1:10">
      <c r="A47" s="96" t="s">
        <v>54</v>
      </c>
      <c r="B47" s="104">
        <v>10</v>
      </c>
      <c r="C47" s="104">
        <v>10</v>
      </c>
      <c r="D47" s="104"/>
      <c r="E47" s="104"/>
      <c r="F47" s="104"/>
      <c r="G47" s="104"/>
      <c r="H47" s="97">
        <f t="shared" si="6"/>
        <v>15.417</v>
      </c>
      <c r="I47" s="97">
        <f t="shared" si="7"/>
        <v>93.417</v>
      </c>
      <c r="J47" s="97">
        <f t="shared" si="8"/>
        <v>108.834</v>
      </c>
    </row>
    <row r="48" ht="15.6" spans="1:10">
      <c r="A48" s="96" t="s">
        <v>55</v>
      </c>
      <c r="B48" s="104"/>
      <c r="C48" s="104"/>
      <c r="D48" s="104">
        <v>7</v>
      </c>
      <c r="E48" s="104">
        <v>22</v>
      </c>
      <c r="F48" s="104"/>
      <c r="G48" s="104"/>
      <c r="H48" s="97">
        <f t="shared" si="6"/>
        <v>8.417</v>
      </c>
      <c r="I48" s="97">
        <f t="shared" si="7"/>
        <v>71.417</v>
      </c>
      <c r="J48" s="97">
        <f t="shared" si="8"/>
        <v>79.834</v>
      </c>
    </row>
    <row r="49" ht="15.6" spans="1:10">
      <c r="A49" s="96" t="s">
        <v>56</v>
      </c>
      <c r="B49" s="104">
        <f>3*1.25</f>
        <v>3.75</v>
      </c>
      <c r="C49" s="104">
        <v>3.75</v>
      </c>
      <c r="D49" s="104"/>
      <c r="E49" s="104"/>
      <c r="F49" s="104"/>
      <c r="G49" s="104"/>
      <c r="H49" s="97">
        <f t="shared" si="6"/>
        <v>12.167</v>
      </c>
      <c r="I49" s="97">
        <f t="shared" si="7"/>
        <v>75.167</v>
      </c>
      <c r="J49" s="97">
        <f t="shared" si="8"/>
        <v>87.334</v>
      </c>
    </row>
    <row r="50" ht="15.6" spans="1:10">
      <c r="A50" s="96" t="s">
        <v>57</v>
      </c>
      <c r="B50" s="104"/>
      <c r="C50" s="104"/>
      <c r="D50" s="104"/>
      <c r="E50" s="104"/>
      <c r="F50" s="104">
        <v>5</v>
      </c>
      <c r="G50" s="104"/>
      <c r="H50" s="97">
        <f t="shared" si="6"/>
        <v>7.167</v>
      </c>
      <c r="I50" s="97">
        <f t="shared" si="7"/>
        <v>75.167</v>
      </c>
      <c r="J50" s="97">
        <f t="shared" si="8"/>
        <v>82.334</v>
      </c>
    </row>
    <row r="51" ht="15.6" spans="1:10">
      <c r="A51" s="96" t="s">
        <v>58</v>
      </c>
      <c r="B51" s="104">
        <v>1.25</v>
      </c>
      <c r="C51" s="104">
        <v>1.25</v>
      </c>
      <c r="D51" s="104"/>
      <c r="E51" s="104"/>
      <c r="F51" s="104"/>
      <c r="G51" s="104"/>
      <c r="H51" s="97">
        <f t="shared" si="6"/>
        <v>8.417</v>
      </c>
      <c r="I51" s="97">
        <f t="shared" si="7"/>
        <v>76.417</v>
      </c>
      <c r="J51" s="97">
        <f t="shared" si="8"/>
        <v>84.834</v>
      </c>
    </row>
    <row r="52" ht="15.6" spans="1:10">
      <c r="A52" s="96" t="s">
        <v>59</v>
      </c>
      <c r="B52" s="104">
        <v>1.25</v>
      </c>
      <c r="C52" s="104">
        <v>1.25</v>
      </c>
      <c r="D52" s="104"/>
      <c r="E52" s="104"/>
      <c r="F52" s="104"/>
      <c r="G52" s="104"/>
      <c r="H52" s="97">
        <f t="shared" si="6"/>
        <v>9.667</v>
      </c>
      <c r="I52" s="97">
        <f t="shared" si="7"/>
        <v>77.667</v>
      </c>
      <c r="J52" s="97">
        <f t="shared" si="8"/>
        <v>87.334</v>
      </c>
    </row>
    <row r="53" ht="25.5" customHeight="1" spans="1:10">
      <c r="A53" s="55" t="s">
        <v>60</v>
      </c>
      <c r="B53" s="104">
        <v>5</v>
      </c>
      <c r="C53" s="104"/>
      <c r="D53" s="104"/>
      <c r="E53" s="104"/>
      <c r="F53" s="104"/>
      <c r="G53" s="104"/>
      <c r="H53" s="97">
        <f t="shared" si="6"/>
        <v>14.667</v>
      </c>
      <c r="I53" s="97">
        <f t="shared" si="7"/>
        <v>77.667</v>
      </c>
      <c r="J53" s="97">
        <f t="shared" si="8"/>
        <v>92.334</v>
      </c>
    </row>
    <row r="54" ht="15.6" spans="1:10">
      <c r="A54" s="96" t="s">
        <v>61</v>
      </c>
      <c r="B54" s="104">
        <v>3.75</v>
      </c>
      <c r="C54" s="104">
        <v>3.75</v>
      </c>
      <c r="D54" s="104"/>
      <c r="E54" s="104"/>
      <c r="F54" s="104"/>
      <c r="G54" s="104"/>
      <c r="H54" s="97">
        <f t="shared" si="6"/>
        <v>18.417</v>
      </c>
      <c r="I54" s="97">
        <f t="shared" si="7"/>
        <v>81.417</v>
      </c>
      <c r="J54" s="97">
        <f t="shared" si="8"/>
        <v>99.834</v>
      </c>
    </row>
    <row r="55" ht="15.6" spans="1:10">
      <c r="A55" s="96" t="s">
        <v>62</v>
      </c>
      <c r="B55" s="104"/>
      <c r="C55" s="104"/>
      <c r="D55" s="104"/>
      <c r="E55" s="104"/>
      <c r="F55" s="104"/>
      <c r="G55" s="104">
        <v>1</v>
      </c>
      <c r="H55" s="97">
        <f t="shared" si="6"/>
        <v>18.417</v>
      </c>
      <c r="I55" s="97">
        <f t="shared" si="7"/>
        <v>81.417</v>
      </c>
      <c r="J55" s="97">
        <f t="shared" si="8"/>
        <v>99.834</v>
      </c>
    </row>
    <row r="56" ht="15.6" spans="1:10">
      <c r="A56" s="96" t="s">
        <v>63</v>
      </c>
      <c r="B56" s="104">
        <v>3.75</v>
      </c>
      <c r="C56" s="104">
        <v>3.75</v>
      </c>
      <c r="D56" s="104"/>
      <c r="E56" s="104"/>
      <c r="F56" s="104"/>
      <c r="G56" s="104"/>
      <c r="H56" s="97">
        <f t="shared" si="6"/>
        <v>22.167</v>
      </c>
      <c r="I56" s="97">
        <f t="shared" si="7"/>
        <v>85.167</v>
      </c>
      <c r="J56" s="97">
        <f t="shared" si="8"/>
        <v>107.334</v>
      </c>
    </row>
    <row r="57" ht="46.5" customHeight="1" spans="1:10">
      <c r="A57" s="106" t="s">
        <v>64</v>
      </c>
      <c r="B57" s="104">
        <v>18.478</v>
      </c>
      <c r="C57" s="104">
        <v>18.478</v>
      </c>
      <c r="D57" s="104"/>
      <c r="E57" s="104"/>
      <c r="F57" s="104"/>
      <c r="G57" s="104"/>
      <c r="H57" s="101">
        <f t="shared" ref="H57:H58" si="9">H56-F57-D57+B57</f>
        <v>40.645</v>
      </c>
      <c r="I57" s="101">
        <f t="shared" ref="I57:I58" si="10">I56-E57+C57</f>
        <v>103.645</v>
      </c>
      <c r="J57" s="101">
        <f t="shared" ref="J57:J58" si="11">SUM(H57:I57)</f>
        <v>144.29</v>
      </c>
    </row>
    <row r="58" ht="15.6" spans="1:10">
      <c r="A58" s="96" t="s">
        <v>65</v>
      </c>
      <c r="B58" s="104"/>
      <c r="C58" s="104"/>
      <c r="D58" s="104">
        <v>30</v>
      </c>
      <c r="E58" s="104"/>
      <c r="F58" s="104"/>
      <c r="G58" s="104"/>
      <c r="H58" s="101">
        <f t="shared" si="9"/>
        <v>10.645</v>
      </c>
      <c r="I58" s="101">
        <f t="shared" si="10"/>
        <v>103.645</v>
      </c>
      <c r="J58" s="101">
        <f t="shared" si="11"/>
        <v>114.29</v>
      </c>
    </row>
    <row r="59" ht="15.6" spans="1:10">
      <c r="A59" s="96" t="s">
        <v>66</v>
      </c>
      <c r="B59" s="104"/>
      <c r="C59" s="104"/>
      <c r="D59" s="104"/>
      <c r="E59" s="104"/>
      <c r="F59" s="104">
        <v>1</v>
      </c>
      <c r="G59" s="104"/>
      <c r="H59" s="101">
        <f t="shared" ref="H59" si="12">H58-F59-D59+B59</f>
        <v>9.645</v>
      </c>
      <c r="I59" s="101">
        <f t="shared" ref="I59" si="13">I58-E59+C59</f>
        <v>103.645</v>
      </c>
      <c r="J59" s="101">
        <f t="shared" ref="J59" si="14">SUM(H59:I59)</f>
        <v>113.29</v>
      </c>
    </row>
    <row r="60" ht="15.6" spans="1:10">
      <c r="A60" s="96" t="s">
        <v>67</v>
      </c>
      <c r="B60" s="104">
        <v>1.25</v>
      </c>
      <c r="C60" s="104">
        <v>1.25</v>
      </c>
      <c r="D60" s="104"/>
      <c r="E60" s="104"/>
      <c r="F60" s="104"/>
      <c r="G60" s="104"/>
      <c r="H60" s="101">
        <f t="shared" ref="H60:H61" si="15">H59-F60-D60+B60</f>
        <v>10.895</v>
      </c>
      <c r="I60" s="101">
        <f t="shared" ref="I60:I61" si="16">I59-E60+C60</f>
        <v>104.895</v>
      </c>
      <c r="J60" s="101">
        <f t="shared" ref="J60:J61" si="17">SUM(H60:I60)</f>
        <v>115.79</v>
      </c>
    </row>
    <row r="61" ht="15.6" spans="1:10">
      <c r="A61" s="96" t="s">
        <v>68</v>
      </c>
      <c r="B61" s="104"/>
      <c r="C61" s="104"/>
      <c r="D61" s="104"/>
      <c r="E61" s="104"/>
      <c r="F61" s="104">
        <v>1</v>
      </c>
      <c r="G61" s="104"/>
      <c r="H61" s="101">
        <f t="shared" si="15"/>
        <v>9.895</v>
      </c>
      <c r="I61" s="101">
        <f t="shared" si="16"/>
        <v>104.895</v>
      </c>
      <c r="J61" s="101">
        <f t="shared" si="17"/>
        <v>114.79</v>
      </c>
    </row>
    <row r="62" ht="15.6" spans="1:10">
      <c r="A62" s="96" t="s">
        <v>69</v>
      </c>
      <c r="B62" s="104">
        <v>3.75</v>
      </c>
      <c r="C62" s="104">
        <v>3.75</v>
      </c>
      <c r="D62" s="104"/>
      <c r="E62" s="104"/>
      <c r="F62" s="104"/>
      <c r="G62" s="104"/>
      <c r="H62" s="101">
        <f t="shared" ref="H62:H63" si="18">H61-F62-D62+B62</f>
        <v>13.645</v>
      </c>
      <c r="I62" s="101">
        <f t="shared" ref="I62:I63" si="19">I61-E62+C62</f>
        <v>108.645</v>
      </c>
      <c r="J62" s="101">
        <f t="shared" ref="J62:J63" si="20">SUM(H62:I62)</f>
        <v>122.29</v>
      </c>
    </row>
    <row r="63" ht="15.6" spans="1:10">
      <c r="A63" s="96" t="s">
        <v>70</v>
      </c>
      <c r="B63" s="104"/>
      <c r="C63" s="104"/>
      <c r="D63" s="104"/>
      <c r="E63" s="104"/>
      <c r="F63" s="104">
        <v>3</v>
      </c>
      <c r="G63" s="104"/>
      <c r="H63" s="101">
        <f t="shared" si="18"/>
        <v>10.645</v>
      </c>
      <c r="I63" s="101">
        <f t="shared" si="19"/>
        <v>108.645</v>
      </c>
      <c r="J63" s="101">
        <f t="shared" si="20"/>
        <v>119.29</v>
      </c>
    </row>
    <row r="64" ht="15.6" spans="1:10">
      <c r="A64" s="96" t="s">
        <v>71</v>
      </c>
      <c r="B64" s="104">
        <v>1.25</v>
      </c>
      <c r="C64" s="104">
        <v>1.25</v>
      </c>
      <c r="D64" s="104"/>
      <c r="E64" s="104"/>
      <c r="F64" s="104"/>
      <c r="G64" s="104"/>
      <c r="H64" s="101">
        <f t="shared" ref="H64:H65" si="21">H63-F64-D64+B64</f>
        <v>11.895</v>
      </c>
      <c r="I64" s="101">
        <f t="shared" ref="I64:I65" si="22">I63-E64+C64</f>
        <v>109.895</v>
      </c>
      <c r="J64" s="101">
        <f t="shared" ref="J64:J65" si="23">SUM(H64:I64)</f>
        <v>121.79</v>
      </c>
    </row>
    <row r="65" ht="15.6" spans="1:10">
      <c r="A65" s="96" t="s">
        <v>72</v>
      </c>
      <c r="B65" s="104">
        <v>3.75</v>
      </c>
      <c r="C65" s="104">
        <v>3.75</v>
      </c>
      <c r="D65" s="104"/>
      <c r="E65" s="104"/>
      <c r="F65" s="104"/>
      <c r="G65" s="104"/>
      <c r="H65" s="101">
        <f t="shared" si="21"/>
        <v>15.645</v>
      </c>
      <c r="I65" s="101">
        <f t="shared" si="22"/>
        <v>113.645</v>
      </c>
      <c r="J65" s="101">
        <f t="shared" si="23"/>
        <v>129.29</v>
      </c>
    </row>
    <row r="66" ht="15.6" spans="1:10">
      <c r="A66" s="96" t="s">
        <v>73</v>
      </c>
      <c r="B66" s="104"/>
      <c r="C66" s="104"/>
      <c r="D66" s="104"/>
      <c r="E66" s="104"/>
      <c r="F66" s="109">
        <v>2</v>
      </c>
      <c r="G66" s="104"/>
      <c r="H66" s="101">
        <f t="shared" ref="H66" si="24">H65-F66-D66+B66</f>
        <v>13.645</v>
      </c>
      <c r="I66" s="101">
        <f t="shared" ref="I66" si="25">I65-E66+C66</f>
        <v>113.645</v>
      </c>
      <c r="J66" s="101">
        <f t="shared" ref="J66" si="26">SUM(H66:I66)</f>
        <v>127.29</v>
      </c>
    </row>
    <row r="67" ht="15.6" spans="1:10">
      <c r="A67" s="96" t="s">
        <v>74</v>
      </c>
      <c r="B67" s="104">
        <v>3.75</v>
      </c>
      <c r="C67" s="104">
        <v>3.75</v>
      </c>
      <c r="D67" s="104"/>
      <c r="E67" s="104"/>
      <c r="F67" s="104"/>
      <c r="G67" s="104"/>
      <c r="H67" s="101">
        <f t="shared" ref="H67:H68" si="27">H66-F67-D67+B67</f>
        <v>17.395</v>
      </c>
      <c r="I67" s="101">
        <f t="shared" ref="I67:I68" si="28">I66-E67+C67</f>
        <v>117.395</v>
      </c>
      <c r="J67" s="101">
        <f t="shared" ref="J67:J68" si="29">SUM(H67:I67)</f>
        <v>134.79</v>
      </c>
    </row>
    <row r="68" ht="15.6" spans="1:10">
      <c r="A68" s="96" t="s">
        <v>75</v>
      </c>
      <c r="B68" s="104"/>
      <c r="C68" s="104"/>
      <c r="D68" s="104">
        <v>12.395</v>
      </c>
      <c r="E68" s="104">
        <v>17.605</v>
      </c>
      <c r="F68" s="104"/>
      <c r="G68" s="104"/>
      <c r="H68" s="101">
        <f t="shared" si="27"/>
        <v>5</v>
      </c>
      <c r="I68" s="101">
        <f t="shared" si="28"/>
        <v>99.79</v>
      </c>
      <c r="J68" s="101">
        <f t="shared" si="29"/>
        <v>104.79</v>
      </c>
    </row>
    <row r="69" ht="15.6" spans="1:10">
      <c r="A69" s="96" t="s">
        <v>76</v>
      </c>
      <c r="B69" s="104"/>
      <c r="C69" s="104"/>
      <c r="D69" s="104"/>
      <c r="E69" s="104"/>
      <c r="F69" s="109">
        <v>1</v>
      </c>
      <c r="G69" s="104"/>
      <c r="H69" s="101">
        <f t="shared" ref="H69:H71" si="30">H68-F69-D69+B69</f>
        <v>4</v>
      </c>
      <c r="I69" s="101">
        <f t="shared" ref="I69:I71" si="31">I68-E69+C69</f>
        <v>99.79</v>
      </c>
      <c r="J69" s="101">
        <f t="shared" ref="J69:J71" si="32">SUM(H69:I69)</f>
        <v>103.79</v>
      </c>
    </row>
    <row r="70" ht="15.6" spans="1:10">
      <c r="A70" s="96" t="s">
        <v>77</v>
      </c>
      <c r="B70" s="104">
        <v>1.25</v>
      </c>
      <c r="C70" s="104">
        <v>1.25</v>
      </c>
      <c r="D70" s="104"/>
      <c r="E70" s="104"/>
      <c r="F70" s="104"/>
      <c r="G70" s="104"/>
      <c r="H70" s="101">
        <f t="shared" si="30"/>
        <v>5.25</v>
      </c>
      <c r="I70" s="101">
        <f t="shared" si="31"/>
        <v>101.04</v>
      </c>
      <c r="J70" s="101">
        <f t="shared" si="32"/>
        <v>106.29</v>
      </c>
    </row>
    <row r="71" ht="15.6" spans="1:10">
      <c r="A71" s="96" t="s">
        <v>78</v>
      </c>
      <c r="B71" s="104"/>
      <c r="C71" s="104"/>
      <c r="D71" s="104"/>
      <c r="E71" s="104"/>
      <c r="F71" s="109">
        <v>2</v>
      </c>
      <c r="G71" s="104"/>
      <c r="H71" s="101">
        <f t="shared" si="30"/>
        <v>3.25</v>
      </c>
      <c r="I71" s="101">
        <f t="shared" si="31"/>
        <v>101.04</v>
      </c>
      <c r="J71" s="101">
        <f t="shared" si="32"/>
        <v>104.29</v>
      </c>
    </row>
    <row r="72" ht="15.6" spans="1:10">
      <c r="A72" s="96" t="s">
        <v>79</v>
      </c>
      <c r="B72" s="104">
        <v>1.25</v>
      </c>
      <c r="C72" s="104">
        <v>1.25</v>
      </c>
      <c r="D72" s="104"/>
      <c r="E72" s="104"/>
      <c r="F72" s="104"/>
      <c r="G72" s="104"/>
      <c r="H72" s="101">
        <f t="shared" ref="H72" si="33">H71-F72-D72+B72</f>
        <v>4.5</v>
      </c>
      <c r="I72" s="101">
        <f t="shared" ref="I72" si="34">I71-E72+C72</f>
        <v>102.29</v>
      </c>
      <c r="J72" s="101">
        <f t="shared" ref="J72" si="35">SUM(H72:I72)</f>
        <v>106.79</v>
      </c>
    </row>
    <row r="73" ht="15.6" spans="1:10">
      <c r="A73" s="105" t="s">
        <v>80</v>
      </c>
      <c r="B73" s="104">
        <v>1</v>
      </c>
      <c r="C73" s="104"/>
      <c r="D73" s="104"/>
      <c r="E73" s="104"/>
      <c r="F73" s="104"/>
      <c r="G73" s="104"/>
      <c r="H73" s="101">
        <f t="shared" ref="H73:H74" si="36">H72-F73-D73+B73</f>
        <v>5.5</v>
      </c>
      <c r="I73" s="101">
        <f t="shared" ref="I73:I74" si="37">I72-E73+C73</f>
        <v>102.29</v>
      </c>
      <c r="J73" s="101">
        <f t="shared" ref="J73:J74" si="38">SUM(H73:I73)</f>
        <v>107.79</v>
      </c>
    </row>
    <row r="74" ht="15.6" spans="1:10">
      <c r="A74" s="105" t="s">
        <v>81</v>
      </c>
      <c r="B74" s="104">
        <v>2</v>
      </c>
      <c r="C74" s="104"/>
      <c r="D74" s="104"/>
      <c r="E74" s="104"/>
      <c r="F74" s="104"/>
      <c r="G74" s="104"/>
      <c r="H74" s="101">
        <f t="shared" si="36"/>
        <v>7.5</v>
      </c>
      <c r="I74" s="101">
        <f t="shared" si="37"/>
        <v>102.29</v>
      </c>
      <c r="J74" s="101">
        <f t="shared" si="38"/>
        <v>109.79</v>
      </c>
    </row>
    <row r="75" ht="15.6" spans="1:10">
      <c r="A75" s="110" t="s">
        <v>82</v>
      </c>
      <c r="B75" s="111">
        <v>3.75</v>
      </c>
      <c r="C75" s="111">
        <v>3.75</v>
      </c>
      <c r="D75" s="111"/>
      <c r="E75" s="111"/>
      <c r="F75" s="111"/>
      <c r="G75" s="111"/>
      <c r="H75" s="101">
        <f>H74-F75-D75+B75</f>
        <v>11.25</v>
      </c>
      <c r="I75" s="101">
        <f>I74-E75+C75</f>
        <v>106.04</v>
      </c>
      <c r="J75" s="101">
        <f>SUM(H75:I75)</f>
        <v>117.29</v>
      </c>
    </row>
    <row r="76" ht="15.6" spans="1:11">
      <c r="A76" s="110" t="s">
        <v>83</v>
      </c>
      <c r="B76" s="111"/>
      <c r="C76" s="111"/>
      <c r="D76" s="111"/>
      <c r="E76" s="111"/>
      <c r="F76" s="111"/>
      <c r="G76" s="112">
        <v>2</v>
      </c>
      <c r="H76" s="101">
        <f>H75-F76-D76+B76</f>
        <v>11.25</v>
      </c>
      <c r="I76" s="101">
        <f>I75-E76+C76</f>
        <v>106.04</v>
      </c>
      <c r="J76" s="101">
        <f>SUM(H76:I76)</f>
        <v>117.29</v>
      </c>
      <c r="K76" t="s">
        <v>84</v>
      </c>
    </row>
    <row r="77" ht="15.6" spans="1:10">
      <c r="A77" s="110"/>
      <c r="B77" s="111"/>
      <c r="C77" s="111"/>
      <c r="D77" s="111"/>
      <c r="E77" s="111"/>
      <c r="F77" s="111"/>
      <c r="G77" s="111"/>
      <c r="H77" s="113"/>
      <c r="I77" s="113"/>
      <c r="J77" s="113"/>
    </row>
    <row r="78" ht="15.6" spans="2:10">
      <c r="B78" s="114"/>
      <c r="C78" s="114"/>
      <c r="D78" s="114"/>
      <c r="E78" s="114"/>
      <c r="F78" s="114"/>
      <c r="G78" s="114"/>
      <c r="H78" s="115"/>
      <c r="I78" s="115"/>
      <c r="J78" s="115"/>
    </row>
    <row r="79" s="87" customFormat="1" ht="15" customHeight="1"/>
    <row r="80" s="87" customFormat="1" ht="15" customHeight="1" spans="7:7">
      <c r="G80" s="87" t="s">
        <v>85</v>
      </c>
    </row>
    <row r="81" s="87" customFormat="1" ht="15" customHeight="1"/>
    <row r="82" s="87" customFormat="1" ht="15" customHeight="1" spans="8:8">
      <c r="H82" s="116" t="s">
        <v>86</v>
      </c>
    </row>
    <row r="83" ht="15" customHeight="1" spans="2:11">
      <c r="B83" s="1"/>
      <c r="C83" s="1"/>
      <c r="D83" s="1"/>
      <c r="E83" s="1"/>
      <c r="F83" s="1"/>
      <c r="H83" s="4" t="s">
        <v>87</v>
      </c>
      <c r="I83" s="1"/>
      <c r="J83" s="1"/>
      <c r="K83" s="1"/>
    </row>
    <row r="84" spans="2:10">
      <c r="B84" s="114"/>
      <c r="C84" s="114"/>
      <c r="D84" s="114"/>
      <c r="E84" s="114"/>
      <c r="F84" s="114"/>
      <c r="H84" s="4" t="s">
        <v>88</v>
      </c>
      <c r="I84" s="114"/>
      <c r="J84" s="114"/>
    </row>
    <row r="85" spans="2:10">
      <c r="B85" s="114"/>
      <c r="C85" s="114"/>
      <c r="D85" s="114"/>
      <c r="E85" s="114"/>
      <c r="F85" s="114"/>
      <c r="G85" s="114"/>
      <c r="H85" s="114"/>
      <c r="I85" s="114"/>
      <c r="J85" s="114"/>
    </row>
    <row r="86" spans="2:10">
      <c r="B86" s="114"/>
      <c r="C86" s="114"/>
      <c r="D86" s="114"/>
      <c r="E86" s="114"/>
      <c r="F86" s="114"/>
      <c r="G86" s="114"/>
      <c r="H86" s="114"/>
      <c r="I86" s="114"/>
      <c r="J86" s="114"/>
    </row>
  </sheetData>
  <mergeCells count="12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</mergeCells>
  <printOptions horizontalCentered="1"/>
  <pageMargins left="0.25" right="0.25" top="0.25" bottom="0.25" header="0.3" footer="0.3"/>
  <pageSetup paperSize="9" scale="54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21"/>
  <sheetViews>
    <sheetView view="pageBreakPreview" zoomScaleNormal="100" topLeftCell="A4" workbookViewId="0">
      <selection activeCell="F20" sqref="F20"/>
    </sheetView>
  </sheetViews>
  <sheetFormatPr defaultColWidth="9" defaultRowHeight="14.4" outlineLevelCol="6"/>
  <cols>
    <col min="2" max="2" width="18.1388888888889" customWidth="1"/>
    <col min="3" max="3" width="19.5740740740741" customWidth="1"/>
    <col min="4" max="4" width="56.4259259259259" customWidth="1"/>
    <col min="5" max="5" width="12.4259259259259" customWidth="1"/>
    <col min="6" max="6" width="13.4259259259259" customWidth="1"/>
    <col min="7" max="7" width="15.1388888888889" customWidth="1"/>
  </cols>
  <sheetData>
    <row r="1" ht="58.5" customHeight="1"/>
    <row r="2" ht="15.95" customHeight="1" spans="1:7">
      <c r="A2" s="60" t="s">
        <v>0</v>
      </c>
      <c r="B2" s="58"/>
      <c r="C2" s="58"/>
      <c r="D2" s="58"/>
      <c r="E2" s="58"/>
      <c r="F2" s="58"/>
      <c r="G2" s="58"/>
    </row>
    <row r="3" ht="15.95" customHeight="1" spans="1:7">
      <c r="A3" s="58" t="s">
        <v>1</v>
      </c>
      <c r="B3" s="58"/>
      <c r="C3" s="58"/>
      <c r="D3" s="58"/>
      <c r="E3" s="58"/>
      <c r="F3" s="58"/>
      <c r="G3" s="58"/>
    </row>
    <row r="4" ht="15.95" customHeight="1" spans="1:7">
      <c r="A4" s="58" t="s">
        <v>2</v>
      </c>
      <c r="B4" s="58"/>
      <c r="C4" s="58"/>
      <c r="D4" s="58"/>
      <c r="E4" s="58"/>
      <c r="F4" s="58"/>
      <c r="G4" s="58"/>
    </row>
    <row r="5" ht="15.95" customHeight="1" spans="1:7">
      <c r="A5" s="58" t="s">
        <v>3</v>
      </c>
      <c r="B5" s="58"/>
      <c r="C5" s="58"/>
      <c r="D5" s="58"/>
      <c r="E5" s="58"/>
      <c r="F5" s="58"/>
      <c r="G5" s="58"/>
    </row>
    <row r="6" ht="19.5" customHeight="1" spans="1:7">
      <c r="A6" s="61"/>
      <c r="B6" s="61"/>
      <c r="C6" s="61"/>
      <c r="D6" s="61"/>
      <c r="E6" s="61"/>
      <c r="F6" s="61"/>
      <c r="G6" s="61"/>
    </row>
    <row r="7" ht="12" customHeight="1" spans="1:7">
      <c r="A7" s="1" t="s">
        <v>89</v>
      </c>
      <c r="B7" s="49" t="s">
        <v>90</v>
      </c>
      <c r="C7" s="6"/>
      <c r="D7" s="6"/>
      <c r="E7" s="62" t="s">
        <v>6</v>
      </c>
      <c r="F7" s="50"/>
      <c r="G7" s="63"/>
    </row>
    <row r="8" ht="12" customHeight="1" spans="1:7">
      <c r="A8" s="1"/>
      <c r="B8" s="64"/>
      <c r="C8" s="7"/>
      <c r="D8" s="7"/>
      <c r="E8" s="65"/>
      <c r="F8" s="1"/>
      <c r="G8" s="1"/>
    </row>
    <row r="9" ht="12" customHeight="1" spans="1:7">
      <c r="A9" s="1" t="s">
        <v>91</v>
      </c>
      <c r="B9" s="49" t="s">
        <v>92</v>
      </c>
      <c r="C9" s="6"/>
      <c r="D9" s="7"/>
      <c r="E9" s="62" t="s">
        <v>9</v>
      </c>
      <c r="F9" s="66"/>
      <c r="G9" s="63"/>
    </row>
    <row r="10" ht="24.75" customHeight="1" spans="1:7">
      <c r="A10" s="8" t="s">
        <v>93</v>
      </c>
      <c r="B10" s="8"/>
      <c r="C10" s="8"/>
      <c r="D10" s="8"/>
      <c r="E10" s="8"/>
      <c r="F10" s="8"/>
      <c r="G10" s="8"/>
    </row>
    <row r="11" s="58" customFormat="1" ht="29.25" customHeight="1" spans="1:7">
      <c r="A11" s="67" t="s">
        <v>94</v>
      </c>
      <c r="B11" s="68"/>
      <c r="C11" s="69" t="s">
        <v>95</v>
      </c>
      <c r="D11" s="70" t="s">
        <v>96</v>
      </c>
      <c r="E11" s="69" t="s">
        <v>97</v>
      </c>
      <c r="F11" s="69" t="s">
        <v>98</v>
      </c>
      <c r="G11" s="71" t="s">
        <v>14</v>
      </c>
    </row>
    <row r="12" ht="44.25" customHeight="1" spans="1:7">
      <c r="A12" s="72" t="s">
        <v>99</v>
      </c>
      <c r="B12" s="73"/>
      <c r="C12" s="74" t="s">
        <v>100</v>
      </c>
      <c r="D12" s="74" t="s">
        <v>101</v>
      </c>
      <c r="E12" s="75">
        <v>1</v>
      </c>
      <c r="F12" s="76">
        <v>1</v>
      </c>
      <c r="G12" s="77">
        <f>E12-F12</f>
        <v>0</v>
      </c>
    </row>
    <row r="13" ht="44.25" customHeight="1" spans="1:7">
      <c r="A13" s="72" t="s">
        <v>102</v>
      </c>
      <c r="B13" s="73"/>
      <c r="C13" s="74" t="s">
        <v>103</v>
      </c>
      <c r="D13" s="74" t="s">
        <v>104</v>
      </c>
      <c r="E13" s="76">
        <v>1</v>
      </c>
      <c r="F13" s="76">
        <v>0</v>
      </c>
      <c r="G13" s="76">
        <v>1</v>
      </c>
    </row>
    <row r="14" ht="44.25" customHeight="1" spans="1:7">
      <c r="A14" s="72" t="s">
        <v>105</v>
      </c>
      <c r="B14" s="73"/>
      <c r="C14" s="74" t="s">
        <v>103</v>
      </c>
      <c r="D14" s="74" t="s">
        <v>104</v>
      </c>
      <c r="E14" s="76">
        <v>1</v>
      </c>
      <c r="F14" s="76">
        <v>1</v>
      </c>
      <c r="G14" s="76">
        <v>0</v>
      </c>
    </row>
    <row r="15" s="59" customFormat="1" ht="30" customHeight="1" spans="1:7">
      <c r="A15" s="78" t="s">
        <v>106</v>
      </c>
      <c r="B15" s="79"/>
      <c r="C15" s="79"/>
      <c r="D15" s="79"/>
      <c r="E15" s="79"/>
      <c r="F15" s="80"/>
      <c r="G15" s="81">
        <f>G12</f>
        <v>0</v>
      </c>
    </row>
    <row r="16" ht="10.5" customHeight="1" spans="1:7">
      <c r="A16" s="82"/>
      <c r="B16" s="82"/>
      <c r="C16" s="83"/>
      <c r="D16" s="83"/>
      <c r="E16" s="83"/>
      <c r="F16" s="83"/>
      <c r="G16" s="83"/>
    </row>
    <row r="17" ht="18.75" customHeight="1" spans="1:7">
      <c r="A17" s="84" t="s">
        <v>107</v>
      </c>
      <c r="B17" s="84"/>
      <c r="C17" s="83"/>
      <c r="D17" s="83"/>
      <c r="E17" s="83"/>
      <c r="F17" s="83"/>
      <c r="G17" s="83"/>
    </row>
    <row r="18" ht="18.75" customHeight="1" spans="1:7">
      <c r="A18" s="82"/>
      <c r="B18" s="82"/>
      <c r="C18" s="83"/>
      <c r="D18" s="83"/>
      <c r="E18" s="83"/>
      <c r="F18" s="83"/>
      <c r="G18" s="83"/>
    </row>
    <row r="19" ht="18.75" customHeight="1" spans="1:7">
      <c r="A19" s="85" t="s">
        <v>86</v>
      </c>
      <c r="B19" s="85"/>
      <c r="C19" s="85"/>
      <c r="D19" s="83"/>
      <c r="E19" s="83"/>
      <c r="F19" s="83"/>
      <c r="G19" s="83"/>
    </row>
    <row r="20" ht="18.75" customHeight="1" spans="1:7">
      <c r="A20" s="86" t="s">
        <v>87</v>
      </c>
      <c r="B20" s="86"/>
      <c r="C20" s="86"/>
      <c r="D20" s="83"/>
      <c r="E20" s="83"/>
      <c r="F20" s="83"/>
      <c r="G20" s="83"/>
    </row>
    <row r="21" ht="18.75" customHeight="1" spans="1:7">
      <c r="A21" s="86" t="s">
        <v>88</v>
      </c>
      <c r="B21" s="86"/>
      <c r="C21" s="83"/>
      <c r="D21" s="83"/>
      <c r="E21" s="83"/>
      <c r="F21" s="83"/>
      <c r="G21" s="83"/>
    </row>
  </sheetData>
  <mergeCells count="16">
    <mergeCell ref="A2:G2"/>
    <mergeCell ref="A3:G3"/>
    <mergeCell ref="A4:G4"/>
    <mergeCell ref="A5:G5"/>
    <mergeCell ref="A6:G6"/>
    <mergeCell ref="A10:G10"/>
    <mergeCell ref="A11:B11"/>
    <mergeCell ref="A12:B12"/>
    <mergeCell ref="A13:B13"/>
    <mergeCell ref="A14:B14"/>
    <mergeCell ref="A15:F15"/>
    <mergeCell ref="A17:B17"/>
    <mergeCell ref="A18:B18"/>
    <mergeCell ref="A19:C19"/>
    <mergeCell ref="A20:C20"/>
    <mergeCell ref="A21:B21"/>
  </mergeCells>
  <printOptions horizontalCentered="1"/>
  <pageMargins left="0.236220472440945" right="0.236220472440945" top="0.236220472440945" bottom="0.236220472440945" header="0.31496062992126" footer="0.31496062992126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32"/>
  <sheetViews>
    <sheetView view="pageBreakPreview" zoomScaleNormal="100" topLeftCell="A19" workbookViewId="0">
      <selection activeCell="A29" sqref="A29:L29"/>
    </sheetView>
  </sheetViews>
  <sheetFormatPr defaultColWidth="9" defaultRowHeight="14.4"/>
  <cols>
    <col min="1" max="1" width="28.8518518518519" customWidth="1"/>
    <col min="2" max="2" width="19.5740740740741" customWidth="1"/>
    <col min="3" max="3" width="18.8518518518519" customWidth="1"/>
    <col min="4" max="4" width="13.1388888888889" customWidth="1"/>
    <col min="5" max="5" width="8.71296296296296" customWidth="1"/>
    <col min="6" max="6" width="10.287037037037" customWidth="1"/>
    <col min="8" max="8" width="9.13888888888889" customWidth="1"/>
    <col min="9" max="9" width="7.57407407407407" customWidth="1"/>
    <col min="10" max="10" width="5.13888888888889" customWidth="1"/>
    <col min="11" max="11" width="7.13888888888889" customWidth="1"/>
    <col min="12" max="12" width="3.85185185185185" customWidth="1"/>
    <col min="13" max="13" width="8" customWidth="1"/>
  </cols>
  <sheetData>
    <row r="1" s="1" customFormat="1" ht="52.5" customHeight="1"/>
    <row r="2" s="1" customFormat="1" ht="10.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="1" customFormat="1" ht="15.95" customHeight="1" spans="1:1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="1" customFormat="1" ht="15.95" customHeight="1" spans="1:1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="1" customFormat="1" ht="15.95" customHeight="1" spans="1:1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="1" customFormat="1" ht="8.25" customHeight="1"/>
    <row r="7" s="1" customFormat="1" ht="12" customHeight="1" spans="1:11">
      <c r="A7" s="1" t="s">
        <v>4</v>
      </c>
      <c r="B7" s="5" t="s">
        <v>108</v>
      </c>
      <c r="C7" s="5"/>
      <c r="D7" s="5"/>
      <c r="H7" s="6" t="s">
        <v>6</v>
      </c>
      <c r="I7" s="49"/>
      <c r="J7" s="49"/>
      <c r="K7" s="6"/>
    </row>
    <row r="8" s="1" customFormat="1" ht="12" customHeight="1" spans="2:11">
      <c r="B8" s="7"/>
      <c r="C8" s="7"/>
      <c r="H8" s="7"/>
      <c r="I8" s="7"/>
      <c r="J8" s="7"/>
      <c r="K8" s="7"/>
    </row>
    <row r="9" s="1" customFormat="1" ht="14.25" customHeight="1" spans="1:11">
      <c r="A9" s="1" t="s">
        <v>7</v>
      </c>
      <c r="B9" s="5" t="s">
        <v>8</v>
      </c>
      <c r="C9" s="5"/>
      <c r="D9" s="5"/>
      <c r="H9" s="6" t="s">
        <v>9</v>
      </c>
      <c r="I9" s="50"/>
      <c r="J9" s="50"/>
      <c r="K9" s="6"/>
    </row>
    <row r="10" s="1" customFormat="1" ht="12" customHeight="1" spans="2:11">
      <c r="B10" s="5"/>
      <c r="C10" s="5"/>
      <c r="D10" s="5"/>
      <c r="H10" s="6"/>
      <c r="I10" s="6"/>
      <c r="J10" s="6"/>
      <c r="K10" s="6"/>
    </row>
    <row r="11" s="1" customFormat="1" ht="12" customHeight="1" spans="2:11">
      <c r="B11" s="5"/>
      <c r="C11" s="5"/>
      <c r="D11" s="5"/>
      <c r="H11" s="6"/>
      <c r="I11" s="6"/>
      <c r="J11" s="6"/>
      <c r="K11" s="6"/>
    </row>
    <row r="12" ht="16.5" customHeight="1" spans="1:13">
      <c r="A12" s="8" t="s">
        <v>109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="2" customFormat="1" ht="18.75" customHeight="1" spans="1:13">
      <c r="A13" s="9" t="s">
        <v>110</v>
      </c>
      <c r="B13" s="10" t="s">
        <v>11</v>
      </c>
      <c r="C13" s="11" t="s">
        <v>111</v>
      </c>
      <c r="D13" s="12"/>
      <c r="E13" s="13" t="s">
        <v>112</v>
      </c>
      <c r="F13" s="14"/>
      <c r="G13" s="15" t="s">
        <v>113</v>
      </c>
      <c r="H13" s="14"/>
      <c r="I13" s="15" t="s">
        <v>114</v>
      </c>
      <c r="J13" s="14"/>
      <c r="K13" s="15" t="s">
        <v>115</v>
      </c>
      <c r="L13" s="14"/>
      <c r="M13" s="51" t="s">
        <v>15</v>
      </c>
    </row>
    <row r="14" s="2" customFormat="1" ht="18.75" customHeight="1" spans="1:13">
      <c r="A14" s="16"/>
      <c r="B14" s="17"/>
      <c r="C14" s="18"/>
      <c r="D14" s="19"/>
      <c r="E14" s="20"/>
      <c r="F14" s="21"/>
      <c r="G14" s="22"/>
      <c r="H14" s="21"/>
      <c r="I14" s="22"/>
      <c r="J14" s="21"/>
      <c r="K14" s="22"/>
      <c r="L14" s="21"/>
      <c r="M14" s="52"/>
    </row>
    <row r="15" s="2" customFormat="1" ht="24" customHeight="1" spans="1:13">
      <c r="A15" s="23"/>
      <c r="B15" s="24"/>
      <c r="C15" s="25"/>
      <c r="D15" s="26"/>
      <c r="E15" s="27"/>
      <c r="F15" s="28"/>
      <c r="G15" s="29"/>
      <c r="H15" s="28"/>
      <c r="I15" s="29"/>
      <c r="J15" s="28"/>
      <c r="K15" s="29"/>
      <c r="L15" s="28"/>
      <c r="M15" s="53"/>
    </row>
    <row r="16" s="3" customFormat="1" ht="39" customHeight="1" spans="1:13">
      <c r="A16" s="30" t="s">
        <v>116</v>
      </c>
      <c r="B16" s="31" t="s">
        <v>117</v>
      </c>
      <c r="C16" s="32"/>
      <c r="D16" s="33"/>
      <c r="E16" s="31" t="s">
        <v>118</v>
      </c>
      <c r="F16" s="34"/>
      <c r="G16" s="35">
        <v>5</v>
      </c>
      <c r="H16" s="36"/>
      <c r="I16" s="35">
        <v>0</v>
      </c>
      <c r="J16" s="36"/>
      <c r="K16" s="35">
        <v>5</v>
      </c>
      <c r="L16" s="36"/>
      <c r="M16" s="54">
        <v>5</v>
      </c>
    </row>
    <row r="17" s="3" customFormat="1" ht="39" customHeight="1" spans="1:13">
      <c r="A17" s="30" t="s">
        <v>119</v>
      </c>
      <c r="B17" s="32" t="s">
        <v>120</v>
      </c>
      <c r="C17" s="32" t="s">
        <v>121</v>
      </c>
      <c r="D17" s="33"/>
      <c r="E17" s="32"/>
      <c r="F17" s="33"/>
      <c r="G17" s="35">
        <v>5</v>
      </c>
      <c r="H17" s="36"/>
      <c r="I17" s="35">
        <v>0</v>
      </c>
      <c r="J17" s="36"/>
      <c r="K17" s="35">
        <v>5</v>
      </c>
      <c r="L17" s="36"/>
      <c r="M17" s="54">
        <v>5</v>
      </c>
    </row>
    <row r="18" s="3" customFormat="1" ht="39" customHeight="1" spans="1:13">
      <c r="A18" s="30" t="s">
        <v>122</v>
      </c>
      <c r="B18" s="32" t="s">
        <v>123</v>
      </c>
      <c r="C18" s="32" t="s">
        <v>121</v>
      </c>
      <c r="D18" s="33"/>
      <c r="E18" s="32"/>
      <c r="F18" s="33"/>
      <c r="G18" s="35">
        <v>5</v>
      </c>
      <c r="H18" s="36"/>
      <c r="I18" s="35">
        <v>0</v>
      </c>
      <c r="J18" s="36"/>
      <c r="K18" s="35">
        <v>5</v>
      </c>
      <c r="L18" s="36"/>
      <c r="M18" s="54">
        <v>5</v>
      </c>
    </row>
    <row r="19" s="3" customFormat="1" ht="39" customHeight="1" spans="1:13">
      <c r="A19" s="30" t="s">
        <v>124</v>
      </c>
      <c r="B19" s="32" t="s">
        <v>125</v>
      </c>
      <c r="C19" s="32"/>
      <c r="D19" s="33"/>
      <c r="E19" s="32"/>
      <c r="F19" s="33"/>
      <c r="G19" s="35">
        <v>25</v>
      </c>
      <c r="H19" s="36"/>
      <c r="I19" s="35">
        <v>0</v>
      </c>
      <c r="J19" s="36"/>
      <c r="K19" s="35">
        <v>25</v>
      </c>
      <c r="L19" s="36"/>
      <c r="M19" s="54">
        <v>25</v>
      </c>
    </row>
    <row r="20" s="3" customFormat="1" ht="39" customHeight="1" spans="1:13">
      <c r="A20" s="30" t="s">
        <v>126</v>
      </c>
      <c r="B20" s="32" t="s">
        <v>127</v>
      </c>
      <c r="C20" s="32" t="s">
        <v>121</v>
      </c>
      <c r="D20" s="33"/>
      <c r="E20" s="32"/>
      <c r="F20" s="33"/>
      <c r="G20" s="35">
        <v>5</v>
      </c>
      <c r="H20" s="36"/>
      <c r="I20" s="35">
        <v>0</v>
      </c>
      <c r="J20" s="36"/>
      <c r="K20" s="35">
        <v>5</v>
      </c>
      <c r="L20" s="36"/>
      <c r="M20" s="54">
        <v>5</v>
      </c>
    </row>
    <row r="21" s="3" customFormat="1" ht="39" customHeight="1" spans="1:13">
      <c r="A21" s="30" t="s">
        <v>128</v>
      </c>
      <c r="B21" s="37" t="s">
        <v>129</v>
      </c>
      <c r="C21" s="32" t="s">
        <v>121</v>
      </c>
      <c r="D21" s="33"/>
      <c r="E21" s="38"/>
      <c r="F21" s="39"/>
      <c r="G21" s="35">
        <v>5</v>
      </c>
      <c r="H21" s="36"/>
      <c r="I21" s="35">
        <v>0</v>
      </c>
      <c r="J21" s="36"/>
      <c r="K21" s="35">
        <v>5</v>
      </c>
      <c r="L21" s="36"/>
      <c r="M21" s="54">
        <v>5</v>
      </c>
    </row>
    <row r="22" s="3" customFormat="1" ht="39" customHeight="1" spans="1:13">
      <c r="A22" s="30" t="s">
        <v>130</v>
      </c>
      <c r="B22" s="32" t="s">
        <v>131</v>
      </c>
      <c r="C22" s="32" t="s">
        <v>121</v>
      </c>
      <c r="D22" s="33"/>
      <c r="E22" s="37"/>
      <c r="F22" s="37"/>
      <c r="G22" s="35">
        <v>5</v>
      </c>
      <c r="H22" s="36"/>
      <c r="I22" s="35">
        <v>0</v>
      </c>
      <c r="J22" s="36"/>
      <c r="K22" s="35">
        <v>5</v>
      </c>
      <c r="L22" s="36"/>
      <c r="M22" s="54">
        <v>5</v>
      </c>
    </row>
    <row r="23" s="3" customFormat="1" ht="39" customHeight="1" spans="1:13">
      <c r="A23" s="40" t="s">
        <v>130</v>
      </c>
      <c r="B23" s="38" t="s">
        <v>132</v>
      </c>
      <c r="C23" s="32"/>
      <c r="D23" s="33"/>
      <c r="E23" s="37" t="s">
        <v>118</v>
      </c>
      <c r="F23" s="37"/>
      <c r="G23" s="41">
        <v>5</v>
      </c>
      <c r="H23" s="42"/>
      <c r="I23" s="41">
        <v>0</v>
      </c>
      <c r="J23" s="42"/>
      <c r="K23" s="41">
        <v>5</v>
      </c>
      <c r="L23" s="42"/>
      <c r="M23" s="55">
        <v>5</v>
      </c>
    </row>
    <row r="24" s="3" customFormat="1" ht="39" customHeight="1" spans="1:13">
      <c r="A24" s="40" t="s">
        <v>130</v>
      </c>
      <c r="B24" s="38" t="s">
        <v>133</v>
      </c>
      <c r="C24" s="32" t="s">
        <v>121</v>
      </c>
      <c r="D24" s="33"/>
      <c r="E24" s="43"/>
      <c r="F24" s="44"/>
      <c r="G24" s="41">
        <v>5</v>
      </c>
      <c r="H24" s="42"/>
      <c r="I24" s="41">
        <v>0</v>
      </c>
      <c r="J24" s="42"/>
      <c r="K24" s="41">
        <v>5</v>
      </c>
      <c r="L24" s="42"/>
      <c r="M24" s="55">
        <v>5</v>
      </c>
    </row>
    <row r="25" s="3" customFormat="1" ht="39" customHeight="1" spans="1:13">
      <c r="A25" s="40" t="s">
        <v>130</v>
      </c>
      <c r="B25" s="37" t="s">
        <v>134</v>
      </c>
      <c r="C25" s="38"/>
      <c r="D25" s="39"/>
      <c r="E25" s="37" t="s">
        <v>118</v>
      </c>
      <c r="F25" s="37"/>
      <c r="G25" s="41">
        <v>5</v>
      </c>
      <c r="H25" s="42"/>
      <c r="I25" s="41">
        <v>0</v>
      </c>
      <c r="J25" s="42"/>
      <c r="K25" s="41">
        <v>5</v>
      </c>
      <c r="L25" s="42"/>
      <c r="M25" s="55">
        <v>5</v>
      </c>
    </row>
    <row r="26" s="3" customFormat="1" ht="39" customHeight="1" spans="1:13">
      <c r="A26" s="40" t="s">
        <v>130</v>
      </c>
      <c r="B26" s="38" t="s">
        <v>135</v>
      </c>
      <c r="C26" s="32" t="s">
        <v>121</v>
      </c>
      <c r="D26" s="33"/>
      <c r="E26" s="38"/>
      <c r="F26" s="39"/>
      <c r="G26" s="41">
        <v>5</v>
      </c>
      <c r="H26" s="42"/>
      <c r="I26" s="41">
        <v>0</v>
      </c>
      <c r="J26" s="42"/>
      <c r="K26" s="41">
        <v>5</v>
      </c>
      <c r="L26" s="42"/>
      <c r="M26" s="55">
        <v>5</v>
      </c>
    </row>
    <row r="27" s="3" customFormat="1" ht="39" customHeight="1" spans="1:13">
      <c r="A27" s="40" t="s">
        <v>136</v>
      </c>
      <c r="B27" s="38" t="s">
        <v>137</v>
      </c>
      <c r="C27" s="32" t="s">
        <v>121</v>
      </c>
      <c r="D27" s="33"/>
      <c r="E27" s="38"/>
      <c r="F27" s="39"/>
      <c r="G27" s="41">
        <v>5</v>
      </c>
      <c r="H27" s="42"/>
      <c r="I27" s="41">
        <v>0</v>
      </c>
      <c r="J27" s="42"/>
      <c r="K27" s="41">
        <v>5</v>
      </c>
      <c r="L27" s="42"/>
      <c r="M27" s="55">
        <v>5</v>
      </c>
    </row>
    <row r="28" s="3" customFormat="1" ht="39" customHeight="1" spans="1:13">
      <c r="A28" s="40" t="s">
        <v>138</v>
      </c>
      <c r="B28" s="38" t="s">
        <v>139</v>
      </c>
      <c r="C28" s="32"/>
      <c r="D28" s="33"/>
      <c r="E28" s="37" t="s">
        <v>118</v>
      </c>
      <c r="F28" s="37"/>
      <c r="G28" s="41">
        <v>5</v>
      </c>
      <c r="H28" s="42"/>
      <c r="I28" s="41">
        <v>0</v>
      </c>
      <c r="J28" s="42"/>
      <c r="K28" s="41">
        <v>5</v>
      </c>
      <c r="L28" s="42"/>
      <c r="M28" s="55">
        <v>5</v>
      </c>
    </row>
    <row r="29" s="3" customFormat="1" ht="39" customHeight="1" spans="1:13">
      <c r="A29" s="45" t="s">
        <v>140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56"/>
      <c r="M29" s="57">
        <v>85</v>
      </c>
    </row>
    <row r="30" s="1" customFormat="1" ht="75.75" customHeight="1" spans="1:13">
      <c r="A30" s="47"/>
      <c r="B30" s="47"/>
      <c r="D30" s="48"/>
      <c r="M30" s="47"/>
    </row>
    <row r="31" s="1" customFormat="1" spans="4:4">
      <c r="D31" s="48"/>
    </row>
    <row r="32" s="1" customFormat="1" spans="4:4">
      <c r="D32" s="48"/>
    </row>
  </sheetData>
  <mergeCells count="36">
    <mergeCell ref="A2:K2"/>
    <mergeCell ref="A3:K3"/>
    <mergeCell ref="A4:K4"/>
    <mergeCell ref="A5:K5"/>
    <mergeCell ref="B7:D7"/>
    <mergeCell ref="I7:J7"/>
    <mergeCell ref="B9:D9"/>
    <mergeCell ref="A12:M12"/>
    <mergeCell ref="C16:D16"/>
    <mergeCell ref="E16:F16"/>
    <mergeCell ref="C17:D17"/>
    <mergeCell ref="C18:D18"/>
    <mergeCell ref="C20:D20"/>
    <mergeCell ref="C21:D21"/>
    <mergeCell ref="E21:F21"/>
    <mergeCell ref="C22:D22"/>
    <mergeCell ref="E22:F22"/>
    <mergeCell ref="C23:D23"/>
    <mergeCell ref="E23:F23"/>
    <mergeCell ref="C24:D24"/>
    <mergeCell ref="C25:D25"/>
    <mergeCell ref="E25:F25"/>
    <mergeCell ref="C26:D26"/>
    <mergeCell ref="C27:D27"/>
    <mergeCell ref="E27:F27"/>
    <mergeCell ref="C28:D28"/>
    <mergeCell ref="E28:F28"/>
    <mergeCell ref="A29:L29"/>
    <mergeCell ref="A13:A15"/>
    <mergeCell ref="B13:B15"/>
    <mergeCell ref="M13:M15"/>
    <mergeCell ref="C13:D15"/>
    <mergeCell ref="E13:F15"/>
    <mergeCell ref="G13:H15"/>
    <mergeCell ref="I13:J15"/>
    <mergeCell ref="K13:L15"/>
  </mergeCells>
  <printOptions horizontalCentered="1"/>
  <pageMargins left="0.236220472440945" right="0.236220472440945" top="0.354330708661417" bottom="0.354330708661417" header="0.31496062992126" footer="0.31496062992126"/>
  <pageSetup paperSize="9" scale="60" fitToWidth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2025-08-22T05:20:00Z</cp:lastPrinted>
  <dcterms:modified xsi:type="dcterms:W3CDTF">2026-01-02T07:36:22Z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56C6BBB6F38F42CA95237D5B8B1181CC_12</vt:lpwstr>
  </property>
  <property fmtid="{D5CDD505-2E9C-101B-9397-08002B2CF9AE}" pid="3" name="KSOProductBuildVer">
    <vt:lpwstr>1033-12.2.0.23196</vt:lpwstr>
  </property>
</Properties>
</file>