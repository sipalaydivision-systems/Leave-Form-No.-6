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9F8E9991-95A0-4003-8DB1-328DFBC34F06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CTO" sheetId="8" r:id="rId2"/>
  </sheets>
  <definedNames>
    <definedName name="_xlnm.Print_Area" localSheetId="0">'Leave Card (NE)'!$A$1:$J$81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6" l="1"/>
  <c r="J71" i="6" s="1"/>
  <c r="I71" i="6"/>
  <c r="I72" i="6"/>
  <c r="H72" i="6" l="1"/>
  <c r="J72" i="6" s="1"/>
  <c r="B39" i="6"/>
  <c r="J15" i="8" l="1"/>
  <c r="I14" i="6" l="1"/>
  <c r="I15" i="6" s="1"/>
  <c r="I16" i="6" s="1"/>
  <c r="H14" i="6"/>
  <c r="H15" i="6" s="1"/>
  <c r="J15" i="6" l="1"/>
  <c r="H16" i="6"/>
  <c r="H17" i="6" s="1"/>
  <c r="H18" i="6" s="1"/>
  <c r="I17" i="6"/>
  <c r="J16" i="6" l="1"/>
  <c r="J17" i="6"/>
  <c r="I18" i="6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H19" i="6"/>
  <c r="J14" i="6"/>
  <c r="J18" i="6" l="1"/>
  <c r="I40" i="6"/>
  <c r="H20" i="6"/>
  <c r="J19" i="6"/>
  <c r="I41" i="6" l="1"/>
  <c r="J20" i="6"/>
  <c r="H21" i="6"/>
  <c r="I42" i="6" l="1"/>
  <c r="H22" i="6"/>
  <c r="J21" i="6"/>
  <c r="I43" i="6" l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J22" i="6"/>
  <c r="H23" i="6"/>
  <c r="H24" i="6" l="1"/>
  <c r="J23" i="6"/>
  <c r="J24" i="6" l="1"/>
  <c r="H25" i="6"/>
  <c r="H26" i="6" l="1"/>
  <c r="J25" i="6"/>
  <c r="H27" i="6" l="1"/>
  <c r="J26" i="6"/>
  <c r="J27" i="6" l="1"/>
  <c r="H28" i="6"/>
  <c r="J28" i="6" l="1"/>
  <c r="H29" i="6"/>
  <c r="J29" i="6" l="1"/>
  <c r="H30" i="6"/>
  <c r="J30" i="6" l="1"/>
  <c r="H31" i="6"/>
  <c r="H32" i="6" l="1"/>
  <c r="J31" i="6"/>
  <c r="J32" i="6" l="1"/>
  <c r="H33" i="6"/>
  <c r="H34" i="6" l="1"/>
  <c r="J33" i="6"/>
  <c r="H35" i="6" l="1"/>
  <c r="J34" i="6"/>
  <c r="J35" i="6" l="1"/>
  <c r="H36" i="6"/>
  <c r="J36" i="6" l="1"/>
  <c r="H37" i="6"/>
  <c r="J37" i="6" l="1"/>
  <c r="H38" i="6"/>
  <c r="J38" i="6" l="1"/>
  <c r="H39" i="6"/>
  <c r="H40" i="6" l="1"/>
  <c r="J39" i="6"/>
  <c r="H41" i="6" l="1"/>
  <c r="J40" i="6"/>
  <c r="H42" i="6" l="1"/>
  <c r="J41" i="6"/>
  <c r="H43" i="6" l="1"/>
  <c r="J42" i="6"/>
  <c r="J43" i="6" l="1"/>
  <c r="H44" i="6"/>
  <c r="J44" i="6" l="1"/>
  <c r="H45" i="6"/>
  <c r="H46" i="6" l="1"/>
  <c r="J45" i="6"/>
  <c r="J46" i="6" l="1"/>
  <c r="H47" i="6"/>
  <c r="H48" i="6" l="1"/>
  <c r="J47" i="6"/>
  <c r="H49" i="6" l="1"/>
  <c r="J48" i="6"/>
  <c r="J49" i="6" l="1"/>
  <c r="H50" i="6"/>
  <c r="H51" i="6" l="1"/>
  <c r="J50" i="6"/>
  <c r="J51" i="6" l="1"/>
  <c r="H52" i="6"/>
  <c r="J52" i="6" l="1"/>
  <c r="H53" i="6"/>
  <c r="H54" i="6" l="1"/>
  <c r="J53" i="6"/>
  <c r="J54" i="6" l="1"/>
  <c r="H55" i="6"/>
  <c r="J55" i="6" l="1"/>
  <c r="H56" i="6"/>
  <c r="J56" i="6" l="1"/>
  <c r="H57" i="6"/>
  <c r="H58" i="6" l="1"/>
  <c r="H59" i="6" s="1"/>
  <c r="J57" i="6"/>
  <c r="J59" i="6" l="1"/>
  <c r="H60" i="6"/>
  <c r="J58" i="6"/>
  <c r="H61" i="6" l="1"/>
  <c r="J60" i="6"/>
  <c r="J61" i="6" l="1"/>
  <c r="H62" i="6"/>
  <c r="J62" i="6" l="1"/>
  <c r="H63" i="6"/>
  <c r="J63" i="6" l="1"/>
  <c r="H64" i="6"/>
  <c r="J64" i="6" l="1"/>
  <c r="H65" i="6"/>
  <c r="H66" i="6" l="1"/>
  <c r="J65" i="6"/>
  <c r="J66" i="6" l="1"/>
  <c r="H67" i="6"/>
  <c r="J67" i="6" l="1"/>
  <c r="H68" i="6"/>
  <c r="J68" i="6" l="1"/>
  <c r="H69" i="6"/>
  <c r="J69" i="6" l="1"/>
  <c r="H70" i="6"/>
  <c r="J70" i="6" s="1"/>
</calcChain>
</file>

<file path=xl/sharedStrings.xml><?xml version="1.0" encoding="utf-8"?>
<sst xmlns="http://schemas.openxmlformats.org/spreadsheetml/2006/main" count="113" uniqueCount="96">
  <si>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</si>
  <si>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</si>
  <si>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</si>
  <si>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</si>
  <si>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</si>
  <si>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</si>
  <si>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</si>
  <si>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</si>
  <si>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</si>
  <si>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</si>
  <si>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</si>
  <si>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01/01/22 - 01/31/22</t>
  </si>
  <si>
    <t>ADD: 02/01/22 - 03/31/22</t>
  </si>
  <si>
    <t>ADD: 04/01/22 - 04/30/22</t>
  </si>
  <si>
    <t>LESS: 05/20/22</t>
  </si>
  <si>
    <t>LESS: 05/30/22</t>
  </si>
  <si>
    <t>ADD: 05/01/22 - 07/31/22</t>
  </si>
  <si>
    <t>LESS: 08/01, 02 &amp; 03/22</t>
  </si>
  <si>
    <t>ADD: 08/01/22 - 08/31/22</t>
  </si>
  <si>
    <t>LESS: MONETIZATION 2022</t>
  </si>
  <si>
    <t>ADD: 09/01/22 - 09/30/22</t>
  </si>
  <si>
    <t>LESS: 11/2-3/2022</t>
  </si>
  <si>
    <t>ADD: 10/01/22 - 10/31/22</t>
  </si>
  <si>
    <t>LESS: 11/21/22</t>
  </si>
  <si>
    <t>ADD: 11/01/22 - 11/30/22</t>
  </si>
  <si>
    <t>ADD: 12/01/22 - 12/31/22</t>
  </si>
  <si>
    <t>LESS: 01/08/23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</si>
  <si>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</si>
  <si>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</si>
  <si>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</si>
  <si>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</si>
  <si>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</si>
  <si>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</si>
  <si>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POSITION: __________________________</t>
  </si>
  <si>
    <t>SCHOOL/OFFICE:_____________________</t>
  </si>
  <si>
    <t>SPECIAL PRIVILEGE</t>
  </si>
  <si>
    <t>ADD: 03/15/21 - 03/31/21</t>
  </si>
  <si>
    <t>LESS: 12/23,24,27,28 &amp; 29/21</t>
  </si>
  <si>
    <t>LESS: 12/31/21</t>
  </si>
  <si>
    <t>LESS: 01/24/23</t>
  </si>
  <si>
    <t>DISTRICT: ___________________________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</si>
  <si>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</si>
  <si>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</si>
  <si>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</si>
  <si>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</si>
  <si>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</si>
  <si>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</si>
  <si>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</si>
  <si>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</si>
  <si>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</si>
  <si>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</si>
  <si>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ADD: JULY 13, 2022</t>
  </si>
  <si>
    <t>S.O. # 052, S. 2022. 124TH PHILIPPINE INDEPENDENCE DAY CELEBRATION</t>
  </si>
  <si>
    <t>LESS: JULY 12, 2022</t>
  </si>
  <si>
    <t>ADD: 01/01/2023 - 06/30/2023</t>
  </si>
  <si>
    <t>LESS: 06/10 &amp; 11/23</t>
  </si>
  <si>
    <t>ADD: 07/01/2023 - 08/31/2023</t>
  </si>
  <si>
    <t>LESS: MONETIZATION 2023</t>
  </si>
  <si>
    <t>LESS: 11/03/2023</t>
  </si>
  <si>
    <t>ADD: 09/01/2023-09/30/2023</t>
  </si>
  <si>
    <t>ADD: 10/01/2023-11/30/2023</t>
  </si>
  <si>
    <t>LESS: 12/19&amp;21/2023</t>
  </si>
  <si>
    <t>LESS: 12/27/2023</t>
  </si>
  <si>
    <t>ADD: 12/01/2023-12/31/2023</t>
  </si>
  <si>
    <t>LESS: 01/15/2024</t>
  </si>
  <si>
    <t>ADD: 01/1/2024-05/31/2024</t>
  </si>
  <si>
    <t>LESS: 06/3/2024</t>
  </si>
  <si>
    <t>LESS: 06/21/2024</t>
  </si>
  <si>
    <t>ADD: 06/1-30/2024</t>
  </si>
  <si>
    <t>LESS: 07/25-26/2024</t>
  </si>
  <si>
    <t>LESS: MONETIZATION 2024</t>
  </si>
  <si>
    <t>ADD: 04/01/21 - 12/31/21</t>
  </si>
  <si>
    <t>LESS: 12/23/2024</t>
  </si>
  <si>
    <t>ADD: 07/1/2024-08/31/2024</t>
  </si>
  <si>
    <t>ADD: 09/30/2024-11/30/2024</t>
  </si>
  <si>
    <t>LESS: 12/17-18, 26-27/2024</t>
  </si>
  <si>
    <t>ADD: 12/1-31/2024</t>
  </si>
  <si>
    <t>ADD: 01/1/2025-03/31/2025</t>
  </si>
  <si>
    <t>LESS: 04/10-11/2025</t>
  </si>
  <si>
    <t>ADD: 06/26/2024</t>
  </si>
  <si>
    <t>S.O. # 024, S. 2024. 126TH PHILIPPINE INDEPENDENCE DAY CELEBRATION</t>
  </si>
  <si>
    <t>LESS: 04/15/2025</t>
  </si>
  <si>
    <t>ADD: 04/1-30/2025</t>
  </si>
  <si>
    <t>LESS: 05/22/2025</t>
  </si>
  <si>
    <t>ADD: 05/1/2025-06/30/2025</t>
  </si>
  <si>
    <t>LESS: 07/10-11/2025</t>
  </si>
  <si>
    <t>NEGROS ISLAND REGION</t>
  </si>
  <si>
    <t>LESS: 06/05/2022</t>
  </si>
  <si>
    <t>ADD: 07/1/2025-08/31/2025</t>
  </si>
  <si>
    <t>LESS: MONETIZATION 2022 ADDITIONAL</t>
  </si>
  <si>
    <t>LESS: MONETIZATION 2025 (30 DAYS)</t>
  </si>
  <si>
    <t>DATE OF ORIGINAL APPOINTMENT: March 15, 2021</t>
  </si>
  <si>
    <t>ADD: 09/1/2025-10/31/2025</t>
  </si>
  <si>
    <t>LESS: 11/17/2025</t>
  </si>
  <si>
    <t>ADD: 11/1-30/2025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</si>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</sst>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8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8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8" fillId="0" borderId="0" xfId="1"/>
    <xf numFmtId="0" fontId="0" fillId="2" borderId="6" xfId="1" applyFont="1" applyFill="1" applyBorder="1" applyAlignment="1">
      <alignment horizontal="center" vertical="center" wrapText="1"/>
    </xf>
    <xf numFmtId="0" fontId="8" fillId="2" borderId="2" xfId="1" applyFill="1" applyBorder="1" applyAlignment="1">
      <alignment horizontal="center" vertical="center" wrapText="1"/>
    </xf>
    <xf numFmtId="0" fontId="8" fillId="13" borderId="2" xfId="1" applyFill="1" applyBorder="1" applyAlignment="1">
      <alignment horizontal="center" vertical="center" wrapText="1"/>
    </xf>
    <xf numFmtId="0" fontId="8" fillId="0" borderId="0" xfId="1" applyAlignment="1">
      <alignment vertical="center"/>
    </xf>
    <xf numFmtId="0" fontId="8" fillId="2" borderId="0" xfId="1" applyFill="1" applyAlignment="1">
      <alignment horizontal="center" vertical="center" wrapText="1"/>
    </xf>
    <xf numFmtId="0" fontId="8" fillId="2" borderId="0" xfId="1" applyFill="1" applyAlignment="1">
      <alignment horizontal="center"/>
    </xf>
    <xf numFmtId="0" fontId="11" fillId="0" borderId="0" xfId="1" applyFont="1"/>
    <xf numFmtId="0" fontId="13" fillId="0" borderId="0" xfId="1" applyFont="1"/>
    <xf numFmtId="0" fontId="12" fillId="2" borderId="0" xfId="1" applyFont="1" applyFill="1" applyAlignment="1">
      <alignment horizontal="center" vertical="center" wrapText="1"/>
    </xf>
    <xf numFmtId="164" fontId="3" fillId="2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8" fillId="15" borderId="2" xfId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3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164" fontId="3" fillId="16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8" fillId="0" borderId="0" xfId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2" fillId="2" borderId="14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8" fillId="0" borderId="0" xfId="1" applyAlignment="1">
      <alignment horizontal="center"/>
    </xf>
    <xf numFmtId="0" fontId="8" fillId="2" borderId="0" xfId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10" fillId="10" borderId="5" xfId="1" applyFont="1" applyFill="1" applyBorder="1" applyAlignment="1">
      <alignment horizontal="center" vertical="center"/>
    </xf>
    <xf numFmtId="0" fontId="10" fillId="10" borderId="6" xfId="1" applyFont="1" applyFill="1" applyBorder="1" applyAlignment="1">
      <alignment horizontal="center" vertical="center"/>
    </xf>
    <xf numFmtId="0" fontId="10" fillId="11" borderId="11" xfId="1" applyFont="1" applyFill="1" applyBorder="1" applyAlignment="1">
      <alignment horizontal="center" vertical="center"/>
    </xf>
    <xf numFmtId="0" fontId="10" fillId="11" borderId="12" xfId="1" applyFont="1" applyFill="1" applyBorder="1" applyAlignment="1">
      <alignment horizontal="center" vertical="center"/>
    </xf>
    <xf numFmtId="0" fontId="10" fillId="10" borderId="8" xfId="1" applyFont="1" applyFill="1" applyBorder="1" applyAlignment="1">
      <alignment horizontal="center" vertical="center"/>
    </xf>
    <xf numFmtId="0" fontId="10" fillId="10" borderId="3" xfId="1" applyFont="1" applyFill="1" applyBorder="1" applyAlignment="1">
      <alignment horizontal="center" vertical="center"/>
    </xf>
    <xf numFmtId="0" fontId="12" fillId="12" borderId="14" xfId="1" applyFont="1" applyFill="1" applyBorder="1" applyAlignment="1">
      <alignment horizontal="center" vertical="center" wrapText="1"/>
    </xf>
    <xf numFmtId="0" fontId="12" fillId="12" borderId="9" xfId="1" applyFont="1" applyFill="1" applyBorder="1" applyAlignment="1">
      <alignment horizontal="center" vertical="center" wrapText="1"/>
    </xf>
    <xf numFmtId="0" fontId="12" fillId="12" borderId="7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 xr:uid="{5D5AFF4D-CAC9-4318-B5B2-0A8217AF46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57150</xdr:rowOff>
    </xdr:from>
    <xdr:to>
      <xdr:col>4</xdr:col>
      <xdr:colOff>146051</xdr:colOff>
      <xdr:row>0</xdr:row>
      <xdr:rowOff>657225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142EA7-0518-4E51-A6AE-EBEA04B8907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57150"/>
          <a:ext cx="603251" cy="600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6F8367-3D1A-44E3-93BA-6F78877361AA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BILBAO, JOHANNA GRACE A.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C35819-FDB7-4BB7-A71C-BCC18CA84020}"/>
            </a:ext>
          </a:extLst>
        </xdr:cNvPr>
        <xdr:cNvSpPr txBox="1"/>
      </xdr:nvSpPr>
      <xdr:spPr>
        <a:xfrm>
          <a:off x="616683" y="1724757"/>
          <a:ext cx="200879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7</xdr:row>
      <xdr:rowOff>50800</xdr:rowOff>
    </xdr:from>
    <xdr:to>
      <xdr:col>4</xdr:col>
      <xdr:colOff>438149</xdr:colOff>
      <xdr:row>8</xdr:row>
      <xdr:rowOff>140434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132D4D-2EB1-4E50-B723-C53F1E3300FA}"/>
            </a:ext>
          </a:extLst>
        </xdr:cNvPr>
        <xdr:cNvSpPr txBox="1"/>
      </xdr:nvSpPr>
      <xdr:spPr>
        <a:xfrm>
          <a:off x="3901342" y="1714500"/>
          <a:ext cx="1648557" cy="242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  <xdr:twoCellAnchor>
    <xdr:from>
      <xdr:col>5</xdr:col>
      <xdr:colOff>130175</xdr:colOff>
      <xdr:row>75</xdr:row>
      <xdr:rowOff>82550</xdr:rowOff>
    </xdr:from>
    <xdr:to>
      <xdr:col>9</xdr:col>
      <xdr:colOff>644525</xdr:colOff>
      <xdr:row>80</xdr:row>
      <xdr:rowOff>184150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04F4E0-8E8E-4DFF-B49D-21908D4D7BCE}"/>
            </a:ext>
          </a:extLst>
        </xdr:cNvPr>
        <xdr:cNvSpPr txBox="1"/>
      </xdr:nvSpPr>
      <xdr:spPr>
        <a:xfrm>
          <a:off x="5892800" y="11522075"/>
          <a:ext cx="3600450" cy="1054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C622F-8E5B-4A93-8FF7-B2732E9F7B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4C1788-6E7B-4CD8-A623-4C3C7E031E1A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BILBAO, JOHANNA GRACE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85E9FF-8941-48AE-9C90-D186121002E1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3903B8-9972-4506-A1E6-CC71917E3541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K97"/>
  <sheetViews>
    <sheetView tabSelected="1" view="pageBreakPreview" topLeftCell="A51" zoomScaleNormal="100" zoomScaleSheetLayoutView="100" workbookViewId="0">
      <selection activeCell="A71" sqref="A71:XFD71"/>
    </sheetView>
  </sheetViews>
  <sheetFormatPr defaultRowHeight="15" x14ac:dyDescent="0.25"/>
  <cols>
    <col min="1" max="1" width="38.7109375" style="8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50" t="s">
        <v>27</v>
      </c>
      <c r="B2" s="50"/>
      <c r="C2" s="50"/>
      <c r="D2" s="50"/>
      <c r="E2" s="50"/>
      <c r="F2" s="50"/>
      <c r="G2" s="50"/>
      <c r="H2" s="50"/>
      <c r="I2" s="50"/>
      <c r="J2" s="50"/>
    </row>
    <row r="3" spans="1:11" s="1" customFormat="1" ht="15.95" customHeight="1" x14ac:dyDescent="0.25">
      <c r="A3" s="50" t="s">
        <v>28</v>
      </c>
      <c r="B3" s="50"/>
      <c r="C3" s="50"/>
      <c r="D3" s="50"/>
      <c r="E3" s="50"/>
      <c r="F3" s="50"/>
      <c r="G3" s="50"/>
      <c r="H3" s="50"/>
      <c r="I3" s="50"/>
      <c r="J3" s="50"/>
    </row>
    <row r="4" spans="1:11" s="1" customFormat="1" ht="15.95" customHeight="1" x14ac:dyDescent="0.25">
      <c r="A4" s="50" t="s">
        <v>86</v>
      </c>
      <c r="B4" s="50"/>
      <c r="C4" s="50"/>
      <c r="D4" s="50"/>
      <c r="E4" s="50"/>
      <c r="F4" s="50"/>
      <c r="G4" s="50"/>
      <c r="H4" s="50"/>
      <c r="I4" s="50"/>
      <c r="J4" s="50"/>
    </row>
    <row r="5" spans="1:11" s="1" customFormat="1" ht="15.95" customHeight="1" x14ac:dyDescent="0.25">
      <c r="A5" s="50" t="s">
        <v>30</v>
      </c>
      <c r="B5" s="50"/>
      <c r="C5" s="50"/>
      <c r="D5" s="50"/>
      <c r="E5" s="50"/>
      <c r="F5" s="50"/>
      <c r="G5" s="50"/>
      <c r="H5" s="50"/>
      <c r="I5" s="50"/>
      <c r="J5" s="50"/>
    </row>
    <row r="6" spans="1:11" s="1" customFormat="1" ht="8.25" customHeight="1" x14ac:dyDescent="0.25"/>
    <row r="7" spans="1:11" s="1" customFormat="1" ht="12" customHeight="1" x14ac:dyDescent="0.25">
      <c r="A7" s="1" t="s">
        <v>31</v>
      </c>
      <c r="B7" s="2" t="s">
        <v>32</v>
      </c>
      <c r="C7" s="2"/>
      <c r="G7" s="2" t="s">
        <v>9</v>
      </c>
      <c r="H7" s="7"/>
      <c r="I7" s="2"/>
    </row>
    <row r="8" spans="1:11" s="1" customFormat="1" ht="12" customHeight="1" x14ac:dyDescent="0.25">
      <c r="B8" s="4"/>
      <c r="C8" s="4"/>
      <c r="G8" s="4"/>
      <c r="H8" s="4"/>
      <c r="I8" s="4"/>
    </row>
    <row r="9" spans="1:11" s="1" customFormat="1" ht="12" customHeight="1" x14ac:dyDescent="0.25">
      <c r="A9" s="1" t="s">
        <v>33</v>
      </c>
      <c r="B9" s="2" t="s">
        <v>34</v>
      </c>
      <c r="C9" s="2"/>
      <c r="G9" s="2" t="s">
        <v>10</v>
      </c>
      <c r="H9" s="5"/>
      <c r="I9" s="2"/>
    </row>
    <row r="10" spans="1:11" ht="16.5" customHeight="1" thickBot="1" x14ac:dyDescent="0.3">
      <c r="A10" s="51" t="s">
        <v>0</v>
      </c>
      <c r="B10" s="51"/>
      <c r="C10" s="51"/>
      <c r="D10" s="51"/>
      <c r="E10" s="51"/>
      <c r="F10" s="51"/>
      <c r="G10" s="51"/>
      <c r="H10" s="51"/>
      <c r="I10" s="51"/>
      <c r="J10" s="51"/>
      <c r="K10"/>
    </row>
    <row r="11" spans="1:11" s="9" customFormat="1" ht="18.75" customHeight="1" x14ac:dyDescent="0.2">
      <c r="A11" s="52" t="s">
        <v>4</v>
      </c>
      <c r="B11" s="54" t="s">
        <v>5</v>
      </c>
      <c r="C11" s="55"/>
      <c r="D11" s="56" t="s">
        <v>6</v>
      </c>
      <c r="E11" s="57"/>
      <c r="F11" s="57"/>
      <c r="G11" s="57"/>
      <c r="H11" s="58" t="s">
        <v>7</v>
      </c>
      <c r="I11" s="59"/>
      <c r="J11" s="60" t="s">
        <v>8</v>
      </c>
    </row>
    <row r="12" spans="1:11" s="9" customFormat="1" ht="28.5" customHeight="1" thickBot="1" x14ac:dyDescent="0.25">
      <c r="A12" s="53"/>
      <c r="B12" s="39" t="s">
        <v>1</v>
      </c>
      <c r="C12" s="40" t="s">
        <v>2</v>
      </c>
      <c r="D12" s="39" t="s">
        <v>1</v>
      </c>
      <c r="E12" s="40" t="s">
        <v>2</v>
      </c>
      <c r="F12" s="41" t="s">
        <v>3</v>
      </c>
      <c r="G12" s="42" t="s">
        <v>35</v>
      </c>
      <c r="H12" s="39" t="s">
        <v>1</v>
      </c>
      <c r="I12" s="40" t="s">
        <v>2</v>
      </c>
      <c r="J12" s="61"/>
    </row>
    <row r="13" spans="1:11" s="9" customFormat="1" ht="18" customHeight="1" x14ac:dyDescent="0.2">
      <c r="A13" s="49" t="s">
        <v>91</v>
      </c>
      <c r="B13" s="49"/>
      <c r="C13" s="49"/>
      <c r="D13" s="49"/>
      <c r="E13" s="49"/>
      <c r="F13" s="49"/>
      <c r="G13" s="49"/>
      <c r="H13" s="49"/>
      <c r="I13" s="49"/>
      <c r="J13" s="49"/>
    </row>
    <row r="14" spans="1:11" ht="18.75" customHeight="1" x14ac:dyDescent="0.25">
      <c r="A14" s="31" t="s">
        <v>36</v>
      </c>
      <c r="B14" s="3">
        <v>0.70799999999999996</v>
      </c>
      <c r="C14" s="3">
        <v>0.70799999999999996</v>
      </c>
      <c r="D14" s="3"/>
      <c r="E14" s="3"/>
      <c r="F14" s="3"/>
      <c r="G14" s="3"/>
      <c r="H14" s="3">
        <f>B14</f>
        <v>0.70799999999999996</v>
      </c>
      <c r="I14" s="3">
        <f>C14</f>
        <v>0.70799999999999996</v>
      </c>
      <c r="J14" s="3">
        <f>SUM(H14:I14)</f>
        <v>1.4159999999999999</v>
      </c>
    </row>
    <row r="15" spans="1:11" ht="18.75" customHeight="1" x14ac:dyDescent="0.25">
      <c r="A15" s="31" t="s">
        <v>71</v>
      </c>
      <c r="B15" s="3">
        <v>11.25</v>
      </c>
      <c r="C15" s="3">
        <v>11.25</v>
      </c>
      <c r="D15" s="3"/>
      <c r="E15" s="3"/>
      <c r="F15" s="3"/>
      <c r="G15" s="3"/>
      <c r="H15" s="3">
        <f>H14-F15-D15+B15</f>
        <v>11.958</v>
      </c>
      <c r="I15" s="3">
        <f>I14-E15+C15</f>
        <v>11.958</v>
      </c>
      <c r="J15" s="3">
        <f>SUM(H15:I15)</f>
        <v>23.916</v>
      </c>
    </row>
    <row r="16" spans="1:11" ht="18.75" customHeight="1" x14ac:dyDescent="0.25">
      <c r="A16" s="31" t="s">
        <v>37</v>
      </c>
      <c r="B16" s="3"/>
      <c r="C16" s="3"/>
      <c r="D16" s="3"/>
      <c r="E16" s="3"/>
      <c r="F16" s="3">
        <v>5</v>
      </c>
      <c r="G16" s="3"/>
      <c r="H16" s="3">
        <f t="shared" ref="H16:H18" si="0">H15-F16-D16+B16</f>
        <v>6.9580000000000002</v>
      </c>
      <c r="I16" s="3">
        <f t="shared" ref="I16:I18" si="1">I15-E16+C16</f>
        <v>11.958</v>
      </c>
      <c r="J16" s="3">
        <f t="shared" ref="J16:J18" si="2">SUM(H16:I16)</f>
        <v>18.916</v>
      </c>
    </row>
    <row r="17" spans="1:10" ht="18.75" customHeight="1" x14ac:dyDescent="0.25">
      <c r="A17" s="31" t="s">
        <v>38</v>
      </c>
      <c r="B17" s="3"/>
      <c r="C17" s="3"/>
      <c r="D17" s="3"/>
      <c r="E17" s="3"/>
      <c r="F17" s="3"/>
      <c r="G17" s="3">
        <v>1</v>
      </c>
      <c r="H17" s="3">
        <f t="shared" si="0"/>
        <v>6.9580000000000002</v>
      </c>
      <c r="I17" s="3">
        <f t="shared" si="1"/>
        <v>11.958</v>
      </c>
      <c r="J17" s="3">
        <f t="shared" si="2"/>
        <v>18.916</v>
      </c>
    </row>
    <row r="18" spans="1:10" ht="18.75" customHeight="1" x14ac:dyDescent="0.25">
      <c r="A18" s="31" t="s">
        <v>11</v>
      </c>
      <c r="B18" s="3">
        <v>1.25</v>
      </c>
      <c r="C18" s="3">
        <v>1.25</v>
      </c>
      <c r="D18" s="3"/>
      <c r="E18" s="3"/>
      <c r="F18" s="3"/>
      <c r="G18" s="3"/>
      <c r="H18" s="3">
        <f t="shared" si="0"/>
        <v>8.2080000000000002</v>
      </c>
      <c r="I18" s="3">
        <f t="shared" si="1"/>
        <v>13.208</v>
      </c>
      <c r="J18" s="3">
        <f t="shared" si="2"/>
        <v>21.416</v>
      </c>
    </row>
    <row r="19" spans="1:10" ht="18.75" customHeight="1" x14ac:dyDescent="0.25">
      <c r="A19" s="36">
        <v>44585</v>
      </c>
      <c r="B19" s="25"/>
      <c r="C19" s="25"/>
      <c r="D19" s="3"/>
      <c r="E19" s="3"/>
      <c r="F19" s="3"/>
      <c r="G19" s="3">
        <v>1</v>
      </c>
      <c r="H19" s="3">
        <f t="shared" ref="H19:H37" si="3">H18-F19-D19+B19</f>
        <v>8.2080000000000002</v>
      </c>
      <c r="I19" s="3">
        <f t="shared" ref="I19:I37" si="4">I18-E19+C19</f>
        <v>13.208</v>
      </c>
      <c r="J19" s="3">
        <f t="shared" ref="J19:J37" si="5">SUM(H19:I19)</f>
        <v>21.416</v>
      </c>
    </row>
    <row r="20" spans="1:10" ht="18.75" customHeight="1" x14ac:dyDescent="0.25">
      <c r="A20" s="31" t="s">
        <v>12</v>
      </c>
      <c r="B20" s="3">
        <v>2.5</v>
      </c>
      <c r="C20" s="3">
        <v>2.5</v>
      </c>
      <c r="D20" s="3"/>
      <c r="E20" s="3"/>
      <c r="F20" s="3"/>
      <c r="G20" s="3"/>
      <c r="H20" s="3">
        <f t="shared" si="3"/>
        <v>10.708</v>
      </c>
      <c r="I20" s="3">
        <f t="shared" si="4"/>
        <v>15.708</v>
      </c>
      <c r="J20" s="3">
        <f t="shared" si="5"/>
        <v>26.416</v>
      </c>
    </row>
    <row r="21" spans="1:10" ht="18.75" customHeight="1" x14ac:dyDescent="0.25">
      <c r="A21" s="36">
        <v>44670</v>
      </c>
      <c r="B21" s="25"/>
      <c r="C21" s="25"/>
      <c r="D21" s="3"/>
      <c r="E21" s="3"/>
      <c r="F21" s="3"/>
      <c r="G21" s="3">
        <v>1</v>
      </c>
      <c r="H21" s="3">
        <f t="shared" si="3"/>
        <v>10.708</v>
      </c>
      <c r="I21" s="3">
        <f t="shared" si="4"/>
        <v>15.708</v>
      </c>
      <c r="J21" s="3">
        <f t="shared" si="5"/>
        <v>26.416</v>
      </c>
    </row>
    <row r="22" spans="1:10" ht="18.75" customHeight="1" x14ac:dyDescent="0.25">
      <c r="A22" s="31" t="s">
        <v>13</v>
      </c>
      <c r="B22" s="3">
        <v>1.25</v>
      </c>
      <c r="C22" s="3">
        <v>1.25</v>
      </c>
      <c r="D22" s="3"/>
      <c r="E22" s="3"/>
      <c r="F22" s="3"/>
      <c r="G22" s="3"/>
      <c r="H22" s="3">
        <f t="shared" si="3"/>
        <v>11.958</v>
      </c>
      <c r="I22" s="3">
        <f t="shared" si="4"/>
        <v>16.957999999999998</v>
      </c>
      <c r="J22" s="3">
        <f t="shared" si="5"/>
        <v>28.915999999999997</v>
      </c>
    </row>
    <row r="23" spans="1:10" ht="18.75" customHeight="1" x14ac:dyDescent="0.25">
      <c r="A23" s="36" t="s">
        <v>87</v>
      </c>
      <c r="B23" s="25"/>
      <c r="C23" s="25"/>
      <c r="D23" s="3"/>
      <c r="E23" s="3"/>
      <c r="F23" s="3"/>
      <c r="G23" s="3">
        <v>1</v>
      </c>
      <c r="H23" s="3">
        <f t="shared" si="3"/>
        <v>11.958</v>
      </c>
      <c r="I23" s="3">
        <f t="shared" si="4"/>
        <v>16.957999999999998</v>
      </c>
      <c r="J23" s="3">
        <f t="shared" si="5"/>
        <v>28.915999999999997</v>
      </c>
    </row>
    <row r="24" spans="1:10" ht="18.75" customHeight="1" x14ac:dyDescent="0.25">
      <c r="A24" s="31" t="s">
        <v>14</v>
      </c>
      <c r="B24" s="3"/>
      <c r="C24" s="3"/>
      <c r="D24" s="3"/>
      <c r="E24" s="3"/>
      <c r="F24" s="3">
        <v>1</v>
      </c>
      <c r="G24" s="3"/>
      <c r="H24" s="3">
        <f t="shared" si="3"/>
        <v>10.958</v>
      </c>
      <c r="I24" s="3">
        <f t="shared" si="4"/>
        <v>16.957999999999998</v>
      </c>
      <c r="J24" s="3">
        <f t="shared" si="5"/>
        <v>27.915999999999997</v>
      </c>
    </row>
    <row r="25" spans="1:10" ht="18.75" customHeight="1" x14ac:dyDescent="0.25">
      <c r="A25" s="31" t="s">
        <v>15</v>
      </c>
      <c r="B25" s="3"/>
      <c r="C25" s="3"/>
      <c r="D25" s="3"/>
      <c r="E25" s="3"/>
      <c r="F25" s="3">
        <v>1</v>
      </c>
      <c r="G25" s="3"/>
      <c r="H25" s="3">
        <f t="shared" si="3"/>
        <v>9.9580000000000002</v>
      </c>
      <c r="I25" s="3">
        <f t="shared" si="4"/>
        <v>16.957999999999998</v>
      </c>
      <c r="J25" s="3">
        <f t="shared" si="5"/>
        <v>26.915999999999997</v>
      </c>
    </row>
    <row r="26" spans="1:10" ht="18.75" customHeight="1" x14ac:dyDescent="0.25">
      <c r="A26" s="31" t="s">
        <v>16</v>
      </c>
      <c r="B26" s="3">
        <v>3.75</v>
      </c>
      <c r="C26" s="3">
        <v>3.75</v>
      </c>
      <c r="D26" s="3"/>
      <c r="E26" s="3"/>
      <c r="F26" s="3"/>
      <c r="G26" s="3"/>
      <c r="H26" s="3">
        <f t="shared" si="3"/>
        <v>13.708</v>
      </c>
      <c r="I26" s="3">
        <f t="shared" si="4"/>
        <v>20.707999999999998</v>
      </c>
      <c r="J26" s="3">
        <f t="shared" si="5"/>
        <v>34.415999999999997</v>
      </c>
    </row>
    <row r="27" spans="1:10" ht="18.75" customHeight="1" x14ac:dyDescent="0.25">
      <c r="A27" s="31" t="s">
        <v>17</v>
      </c>
      <c r="B27" s="3"/>
      <c r="C27" s="3"/>
      <c r="D27" s="3"/>
      <c r="E27" s="3"/>
      <c r="F27" s="3">
        <v>3</v>
      </c>
      <c r="G27" s="3"/>
      <c r="H27" s="3">
        <f t="shared" si="3"/>
        <v>10.708</v>
      </c>
      <c r="I27" s="3">
        <f t="shared" si="4"/>
        <v>20.707999999999998</v>
      </c>
      <c r="J27" s="3">
        <f t="shared" si="5"/>
        <v>31.415999999999997</v>
      </c>
    </row>
    <row r="28" spans="1:10" ht="18.75" customHeight="1" x14ac:dyDescent="0.25">
      <c r="A28" s="31" t="s">
        <v>18</v>
      </c>
      <c r="B28" s="3">
        <v>1.25</v>
      </c>
      <c r="C28" s="3">
        <v>1.25</v>
      </c>
      <c r="D28" s="3"/>
      <c r="E28" s="3"/>
      <c r="F28" s="3"/>
      <c r="G28" s="3"/>
      <c r="H28" s="3">
        <f t="shared" si="3"/>
        <v>11.958</v>
      </c>
      <c r="I28" s="3">
        <f t="shared" si="4"/>
        <v>21.957999999999998</v>
      </c>
      <c r="J28" s="3">
        <f t="shared" si="5"/>
        <v>33.915999999999997</v>
      </c>
    </row>
    <row r="29" spans="1:10" ht="18.75" customHeight="1" x14ac:dyDescent="0.25">
      <c r="A29" s="31" t="s">
        <v>19</v>
      </c>
      <c r="B29" s="3"/>
      <c r="C29" s="3"/>
      <c r="D29" s="3">
        <v>5</v>
      </c>
      <c r="E29" s="3">
        <v>15</v>
      </c>
      <c r="F29" s="3"/>
      <c r="G29" s="3"/>
      <c r="H29" s="3">
        <f t="shared" si="3"/>
        <v>6.9580000000000002</v>
      </c>
      <c r="I29" s="3">
        <f t="shared" si="4"/>
        <v>6.9579999999999984</v>
      </c>
      <c r="J29" s="3">
        <f t="shared" si="5"/>
        <v>13.915999999999999</v>
      </c>
    </row>
    <row r="30" spans="1:10" ht="18.75" customHeight="1" x14ac:dyDescent="0.25">
      <c r="A30" s="31" t="s">
        <v>20</v>
      </c>
      <c r="B30" s="3">
        <v>1.25</v>
      </c>
      <c r="C30" s="3">
        <v>1.25</v>
      </c>
      <c r="D30" s="3"/>
      <c r="E30" s="3"/>
      <c r="F30" s="3"/>
      <c r="G30" s="3"/>
      <c r="H30" s="3">
        <f t="shared" si="3"/>
        <v>8.2080000000000002</v>
      </c>
      <c r="I30" s="3">
        <f t="shared" si="4"/>
        <v>8.2079999999999984</v>
      </c>
      <c r="J30" s="3">
        <f t="shared" si="5"/>
        <v>16.415999999999997</v>
      </c>
    </row>
    <row r="31" spans="1:10" ht="18.75" customHeight="1" x14ac:dyDescent="0.25">
      <c r="A31" s="31" t="s">
        <v>21</v>
      </c>
      <c r="B31" s="3"/>
      <c r="C31" s="3"/>
      <c r="D31" s="3"/>
      <c r="E31" s="3">
        <v>2</v>
      </c>
      <c r="F31" s="3"/>
      <c r="G31" s="3"/>
      <c r="H31" s="3">
        <f t="shared" si="3"/>
        <v>8.2080000000000002</v>
      </c>
      <c r="I31" s="3">
        <f t="shared" si="4"/>
        <v>6.2079999999999984</v>
      </c>
      <c r="J31" s="3">
        <f t="shared" si="5"/>
        <v>14.415999999999999</v>
      </c>
    </row>
    <row r="32" spans="1:10" ht="18.75" customHeight="1" x14ac:dyDescent="0.25">
      <c r="A32" s="31" t="s">
        <v>22</v>
      </c>
      <c r="B32" s="3">
        <v>1.25</v>
      </c>
      <c r="C32" s="3">
        <v>1.25</v>
      </c>
      <c r="D32" s="3"/>
      <c r="E32" s="3"/>
      <c r="F32" s="3"/>
      <c r="G32" s="3"/>
      <c r="H32" s="3">
        <f t="shared" si="3"/>
        <v>9.4580000000000002</v>
      </c>
      <c r="I32" s="3">
        <f t="shared" si="4"/>
        <v>7.4579999999999984</v>
      </c>
      <c r="J32" s="3">
        <f t="shared" si="5"/>
        <v>16.915999999999997</v>
      </c>
    </row>
    <row r="33" spans="1:10" ht="18.75" customHeight="1" x14ac:dyDescent="0.25">
      <c r="A33" s="31" t="s">
        <v>23</v>
      </c>
      <c r="B33" s="3"/>
      <c r="C33" s="3"/>
      <c r="D33" s="3"/>
      <c r="E33" s="3">
        <v>1</v>
      </c>
      <c r="F33" s="3"/>
      <c r="G33" s="3"/>
      <c r="H33" s="3">
        <f t="shared" si="3"/>
        <v>9.4580000000000002</v>
      </c>
      <c r="I33" s="3">
        <f t="shared" si="4"/>
        <v>6.4579999999999984</v>
      </c>
      <c r="J33" s="3">
        <f t="shared" si="5"/>
        <v>15.915999999999999</v>
      </c>
    </row>
    <row r="34" spans="1:10" ht="18.75" customHeight="1" x14ac:dyDescent="0.25">
      <c r="A34" s="31" t="s">
        <v>24</v>
      </c>
      <c r="B34" s="3">
        <v>1.25</v>
      </c>
      <c r="C34" s="3">
        <v>1.25</v>
      </c>
      <c r="D34" s="3"/>
      <c r="E34" s="3"/>
      <c r="F34" s="3"/>
      <c r="G34" s="3"/>
      <c r="H34" s="3">
        <f t="shared" si="3"/>
        <v>10.708</v>
      </c>
      <c r="I34" s="3">
        <f t="shared" si="4"/>
        <v>7.7079999999999984</v>
      </c>
      <c r="J34" s="3">
        <f t="shared" si="5"/>
        <v>18.415999999999997</v>
      </c>
    </row>
    <row r="35" spans="1:10" ht="18.75" customHeight="1" x14ac:dyDescent="0.25">
      <c r="A35" s="31" t="s">
        <v>25</v>
      </c>
      <c r="B35" s="3">
        <v>1.25</v>
      </c>
      <c r="C35" s="3">
        <v>1.25</v>
      </c>
      <c r="D35" s="37"/>
      <c r="E35" s="38"/>
      <c r="F35" s="38"/>
      <c r="G35" s="38"/>
      <c r="H35" s="3">
        <f t="shared" si="3"/>
        <v>11.958</v>
      </c>
      <c r="I35" s="3">
        <f t="shared" si="4"/>
        <v>8.9579999999999984</v>
      </c>
      <c r="J35" s="3">
        <f t="shared" si="5"/>
        <v>20.915999999999997</v>
      </c>
    </row>
    <row r="36" spans="1:10" ht="15.75" x14ac:dyDescent="0.25">
      <c r="A36" s="31" t="s">
        <v>89</v>
      </c>
      <c r="B36" s="29"/>
      <c r="C36" s="29"/>
      <c r="D36" s="26">
        <v>7</v>
      </c>
      <c r="E36" s="26">
        <v>3</v>
      </c>
      <c r="F36" s="26"/>
      <c r="G36" s="26"/>
      <c r="H36" s="3">
        <f t="shared" si="3"/>
        <v>4.9580000000000002</v>
      </c>
      <c r="I36" s="3">
        <f t="shared" si="4"/>
        <v>5.9579999999999984</v>
      </c>
      <c r="J36" s="3">
        <f t="shared" si="5"/>
        <v>10.915999999999999</v>
      </c>
    </row>
    <row r="37" spans="1:10" ht="15.75" x14ac:dyDescent="0.25">
      <c r="A37" s="31" t="s">
        <v>26</v>
      </c>
      <c r="B37" s="29"/>
      <c r="C37" s="29"/>
      <c r="D37" s="26"/>
      <c r="E37" s="26"/>
      <c r="F37" s="26"/>
      <c r="G37" s="26">
        <v>1</v>
      </c>
      <c r="H37" s="3">
        <f t="shared" si="3"/>
        <v>4.9580000000000002</v>
      </c>
      <c r="I37" s="3">
        <f t="shared" si="4"/>
        <v>5.9579999999999984</v>
      </c>
      <c r="J37" s="3">
        <f t="shared" si="5"/>
        <v>10.915999999999999</v>
      </c>
    </row>
    <row r="38" spans="1:10" ht="15.75" x14ac:dyDescent="0.25">
      <c r="A38" s="31" t="s">
        <v>39</v>
      </c>
      <c r="B38" s="29"/>
      <c r="C38" s="29"/>
      <c r="D38" s="26"/>
      <c r="E38" s="26"/>
      <c r="F38" s="26"/>
      <c r="G38" s="26">
        <v>1</v>
      </c>
      <c r="H38" s="3">
        <f t="shared" ref="H38" si="6">H37-F38-D38+B38</f>
        <v>4.9580000000000002</v>
      </c>
      <c r="I38" s="3">
        <f t="shared" ref="I38" si="7">I37-E38+C38</f>
        <v>5.9579999999999984</v>
      </c>
      <c r="J38" s="3">
        <f t="shared" ref="J38" si="8">SUM(H38:I38)</f>
        <v>10.915999999999999</v>
      </c>
    </row>
    <row r="39" spans="1:10" ht="15.75" x14ac:dyDescent="0.25">
      <c r="A39" s="31" t="s">
        <v>54</v>
      </c>
      <c r="B39" s="26">
        <f>1.25*6</f>
        <v>7.5</v>
      </c>
      <c r="C39" s="26">
        <v>7.5</v>
      </c>
      <c r="D39" s="26"/>
      <c r="E39" s="26"/>
      <c r="F39" s="26"/>
      <c r="G39" s="26"/>
      <c r="H39" s="3">
        <f t="shared" ref="H39" si="9">H38-F39-D39+B39</f>
        <v>12.458</v>
      </c>
      <c r="I39" s="3">
        <f t="shared" ref="I39" si="10">I38-E39+C39</f>
        <v>13.457999999999998</v>
      </c>
      <c r="J39" s="3">
        <f t="shared" ref="J39" si="11">SUM(H39:I39)</f>
        <v>25.915999999999997</v>
      </c>
    </row>
    <row r="40" spans="1:10" ht="15.75" x14ac:dyDescent="0.25">
      <c r="A40" s="31" t="s">
        <v>55</v>
      </c>
      <c r="B40" s="32"/>
      <c r="C40" s="32"/>
      <c r="D40" s="31"/>
      <c r="E40" s="31"/>
      <c r="F40" s="26">
        <v>2</v>
      </c>
      <c r="G40" s="31"/>
      <c r="H40" s="3">
        <f t="shared" ref="H40" si="12">H39-F40-D40+B40</f>
        <v>10.458</v>
      </c>
      <c r="I40" s="3">
        <f t="shared" ref="I40" si="13">I39-E40+C40</f>
        <v>13.457999999999998</v>
      </c>
      <c r="J40" s="3">
        <f t="shared" ref="J40" si="14">SUM(H40:I40)</f>
        <v>23.915999999999997</v>
      </c>
    </row>
    <row r="41" spans="1:10" ht="15.75" x14ac:dyDescent="0.25">
      <c r="A41" s="31" t="s">
        <v>56</v>
      </c>
      <c r="B41" s="26">
        <v>2.5</v>
      </c>
      <c r="C41" s="26">
        <v>2.5</v>
      </c>
      <c r="D41" s="31"/>
      <c r="E41" s="31"/>
      <c r="F41" s="31"/>
      <c r="G41" s="31"/>
      <c r="H41" s="3">
        <f t="shared" ref="H41" si="15">H40-F41-D41+B41</f>
        <v>12.958</v>
      </c>
      <c r="I41" s="3">
        <f t="shared" ref="I41" si="16">I40-E41+C41</f>
        <v>15.957999999999998</v>
      </c>
      <c r="J41" s="3">
        <f t="shared" ref="J41" si="17">SUM(H41:I41)</f>
        <v>28.915999999999997</v>
      </c>
    </row>
    <row r="42" spans="1:10" ht="15.75" x14ac:dyDescent="0.25">
      <c r="A42" s="31" t="s">
        <v>57</v>
      </c>
      <c r="B42" s="32"/>
      <c r="C42" s="32"/>
      <c r="D42" s="26">
        <v>8</v>
      </c>
      <c r="E42" s="26">
        <v>14</v>
      </c>
      <c r="F42" s="26"/>
      <c r="G42" s="26"/>
      <c r="H42" s="3">
        <f t="shared" ref="H42" si="18">H41-F42-D42+B42</f>
        <v>4.9580000000000002</v>
      </c>
      <c r="I42" s="3">
        <f t="shared" ref="I42" si="19">I41-E42+C42</f>
        <v>1.9579999999999984</v>
      </c>
      <c r="J42" s="3">
        <f t="shared" ref="J42" si="20">SUM(H42:I42)</f>
        <v>6.9159999999999986</v>
      </c>
    </row>
    <row r="43" spans="1:10" ht="15.75" x14ac:dyDescent="0.25">
      <c r="A43" s="31" t="s">
        <v>59</v>
      </c>
      <c r="B43" s="31">
        <v>1.25</v>
      </c>
      <c r="C43" s="31">
        <v>1.25</v>
      </c>
      <c r="D43" s="26"/>
      <c r="E43" s="26"/>
      <c r="F43" s="26"/>
      <c r="G43" s="26"/>
      <c r="H43" s="3">
        <f t="shared" ref="H43:H44" si="21">H42-F43-D43+B43</f>
        <v>6.2080000000000002</v>
      </c>
      <c r="I43" s="3">
        <f t="shared" ref="I43:I44" si="22">I42-E43+C43</f>
        <v>3.2079999999999984</v>
      </c>
      <c r="J43" s="3">
        <f t="shared" ref="J43:J44" si="23">SUM(H43:I43)</f>
        <v>9.4159999999999986</v>
      </c>
    </row>
    <row r="44" spans="1:10" ht="15.75" x14ac:dyDescent="0.25">
      <c r="A44" s="31" t="s">
        <v>58</v>
      </c>
      <c r="B44" s="32"/>
      <c r="C44" s="32"/>
      <c r="D44" s="26"/>
      <c r="E44" s="26"/>
      <c r="F44" s="26">
        <v>1</v>
      </c>
      <c r="G44" s="26"/>
      <c r="H44" s="3">
        <f t="shared" si="21"/>
        <v>5.2080000000000002</v>
      </c>
      <c r="I44" s="3">
        <f t="shared" si="22"/>
        <v>3.2079999999999984</v>
      </c>
      <c r="J44" s="3">
        <f t="shared" si="23"/>
        <v>8.4159999999999986</v>
      </c>
    </row>
    <row r="45" spans="1:10" ht="15.75" x14ac:dyDescent="0.25">
      <c r="A45" s="31" t="s">
        <v>60</v>
      </c>
      <c r="B45" s="33">
        <v>2.5</v>
      </c>
      <c r="C45" s="33">
        <v>2.5</v>
      </c>
      <c r="D45" s="26"/>
      <c r="E45" s="26"/>
      <c r="F45" s="26"/>
      <c r="G45" s="26"/>
      <c r="H45" s="3">
        <f t="shared" ref="H45:H46" si="24">H44-F45-D45+B45</f>
        <v>7.7080000000000002</v>
      </c>
      <c r="I45" s="3">
        <f t="shared" ref="I45:I46" si="25">I44-E45+C45</f>
        <v>5.7079999999999984</v>
      </c>
      <c r="J45" s="3">
        <f t="shared" ref="J45:J46" si="26">SUM(H45:I45)</f>
        <v>13.415999999999999</v>
      </c>
    </row>
    <row r="46" spans="1:10" ht="15.75" x14ac:dyDescent="0.25">
      <c r="A46" s="31" t="s">
        <v>61</v>
      </c>
      <c r="B46" s="33"/>
      <c r="C46" s="33"/>
      <c r="D46" s="26"/>
      <c r="E46" s="26"/>
      <c r="F46" s="26">
        <v>2</v>
      </c>
      <c r="G46" s="26"/>
      <c r="H46" s="3">
        <f t="shared" si="24"/>
        <v>5.7080000000000002</v>
      </c>
      <c r="I46" s="3">
        <f t="shared" si="25"/>
        <v>5.7079999999999984</v>
      </c>
      <c r="J46" s="3">
        <f t="shared" si="26"/>
        <v>11.415999999999999</v>
      </c>
    </row>
    <row r="47" spans="1:10" ht="15.75" x14ac:dyDescent="0.25">
      <c r="A47" s="31" t="s">
        <v>62</v>
      </c>
      <c r="B47" s="33"/>
      <c r="C47" s="33"/>
      <c r="D47" s="26"/>
      <c r="E47" s="26"/>
      <c r="F47" s="26"/>
      <c r="G47" s="26">
        <v>1</v>
      </c>
      <c r="H47" s="3">
        <f t="shared" ref="H47" si="27">H46-F47-D47+B47</f>
        <v>5.7080000000000002</v>
      </c>
      <c r="I47" s="3">
        <f t="shared" ref="I47" si="28">I46-E47+C47</f>
        <v>5.7079999999999984</v>
      </c>
      <c r="J47" s="3">
        <f t="shared" ref="J47" si="29">SUM(H47:I47)</f>
        <v>11.415999999999999</v>
      </c>
    </row>
    <row r="48" spans="1:10" ht="15.75" x14ac:dyDescent="0.25">
      <c r="A48" s="31" t="s">
        <v>63</v>
      </c>
      <c r="B48" s="33">
        <v>1.25</v>
      </c>
      <c r="C48" s="33">
        <v>1.25</v>
      </c>
      <c r="D48" s="26"/>
      <c r="E48" s="26"/>
      <c r="F48" s="26"/>
      <c r="G48" s="26"/>
      <c r="H48" s="3">
        <f t="shared" ref="H48:H49" si="30">H47-F48-D48+B48</f>
        <v>6.9580000000000002</v>
      </c>
      <c r="I48" s="3">
        <f t="shared" ref="I48:I49" si="31">I47-E48+C48</f>
        <v>6.9579999999999984</v>
      </c>
      <c r="J48" s="3">
        <f t="shared" ref="J48:J49" si="32">SUM(H48:I48)</f>
        <v>13.915999999999999</v>
      </c>
    </row>
    <row r="49" spans="1:10" ht="15.75" x14ac:dyDescent="0.25">
      <c r="A49" s="31" t="s">
        <v>64</v>
      </c>
      <c r="B49" s="32"/>
      <c r="C49" s="32"/>
      <c r="D49" s="26"/>
      <c r="E49" s="26"/>
      <c r="F49" s="26">
        <v>1</v>
      </c>
      <c r="G49" s="26"/>
      <c r="H49" s="3">
        <f t="shared" si="30"/>
        <v>5.9580000000000002</v>
      </c>
      <c r="I49" s="3">
        <f t="shared" si="31"/>
        <v>6.9579999999999984</v>
      </c>
      <c r="J49" s="3">
        <f t="shared" si="32"/>
        <v>12.915999999999999</v>
      </c>
    </row>
    <row r="50" spans="1:10" ht="15.75" x14ac:dyDescent="0.25">
      <c r="A50" s="31" t="s">
        <v>65</v>
      </c>
      <c r="B50" s="33">
        <v>6.25</v>
      </c>
      <c r="C50" s="33">
        <v>6.25</v>
      </c>
      <c r="D50" s="26"/>
      <c r="E50" s="26"/>
      <c r="F50" s="26"/>
      <c r="G50" s="26"/>
      <c r="H50" s="3">
        <f t="shared" ref="H50:H51" si="33">H49-F50-D50+B50</f>
        <v>12.208</v>
      </c>
      <c r="I50" s="3">
        <f t="shared" ref="I50:I51" si="34">I49-E50+C50</f>
        <v>13.207999999999998</v>
      </c>
      <c r="J50" s="3">
        <f t="shared" ref="J50:J51" si="35">SUM(H50:I50)</f>
        <v>25.415999999999997</v>
      </c>
    </row>
    <row r="51" spans="1:10" ht="15.75" x14ac:dyDescent="0.25">
      <c r="A51" s="31" t="s">
        <v>66</v>
      </c>
      <c r="B51" s="33"/>
      <c r="C51" s="33"/>
      <c r="D51" s="31"/>
      <c r="E51" s="31">
        <v>1</v>
      </c>
      <c r="F51" s="31"/>
      <c r="G51" s="31"/>
      <c r="H51" s="3">
        <f t="shared" si="33"/>
        <v>12.208</v>
      </c>
      <c r="I51" s="3">
        <f t="shared" si="34"/>
        <v>12.207999999999998</v>
      </c>
      <c r="J51" s="3">
        <f t="shared" si="35"/>
        <v>24.415999999999997</v>
      </c>
    </row>
    <row r="52" spans="1:10" ht="15.75" x14ac:dyDescent="0.25">
      <c r="A52" s="31" t="s">
        <v>67</v>
      </c>
      <c r="B52" s="33"/>
      <c r="C52" s="33"/>
      <c r="D52" s="31"/>
      <c r="E52" s="31">
        <v>1</v>
      </c>
      <c r="F52" s="31"/>
      <c r="G52" s="31"/>
      <c r="H52" s="3">
        <f t="shared" ref="H52" si="36">H51-F52-D52+B52</f>
        <v>12.208</v>
      </c>
      <c r="I52" s="3">
        <f t="shared" ref="I52" si="37">I51-E52+C52</f>
        <v>11.207999999999998</v>
      </c>
      <c r="J52" s="3">
        <f t="shared" ref="J52" si="38">SUM(H52:I52)</f>
        <v>23.415999999999997</v>
      </c>
    </row>
    <row r="53" spans="1:10" ht="15.75" x14ac:dyDescent="0.25">
      <c r="A53" s="31" t="s">
        <v>68</v>
      </c>
      <c r="B53" s="33">
        <v>1.25</v>
      </c>
      <c r="C53" s="33">
        <v>1.25</v>
      </c>
      <c r="D53" s="31"/>
      <c r="E53" s="31"/>
      <c r="F53" s="31"/>
      <c r="G53" s="31"/>
      <c r="H53" s="3">
        <f t="shared" ref="H53:H54" si="39">H52-F53-D53+B53</f>
        <v>13.458</v>
      </c>
      <c r="I53" s="3">
        <f t="shared" ref="I53:I54" si="40">I52-E53+C53</f>
        <v>12.457999999999998</v>
      </c>
      <c r="J53" s="3">
        <f t="shared" ref="J53:J54" si="41">SUM(H53:I53)</f>
        <v>25.915999999999997</v>
      </c>
    </row>
    <row r="54" spans="1:10" ht="15.75" x14ac:dyDescent="0.25">
      <c r="A54" s="31" t="s">
        <v>69</v>
      </c>
      <c r="B54" s="33"/>
      <c r="C54" s="33"/>
      <c r="D54" s="31"/>
      <c r="E54" s="31"/>
      <c r="F54" s="31"/>
      <c r="G54" s="31">
        <v>2</v>
      </c>
      <c r="H54" s="3">
        <f t="shared" si="39"/>
        <v>13.458</v>
      </c>
      <c r="I54" s="3">
        <f t="shared" si="40"/>
        <v>12.457999999999998</v>
      </c>
      <c r="J54" s="3">
        <f t="shared" si="41"/>
        <v>25.915999999999997</v>
      </c>
    </row>
    <row r="55" spans="1:10" ht="15.75" x14ac:dyDescent="0.25">
      <c r="A55" s="31" t="s">
        <v>73</v>
      </c>
      <c r="B55" s="33">
        <v>2.5</v>
      </c>
      <c r="C55" s="33">
        <v>2.5</v>
      </c>
      <c r="D55" s="31"/>
      <c r="E55" s="31"/>
      <c r="F55" s="31"/>
      <c r="G55" s="31"/>
      <c r="H55" s="3">
        <f t="shared" ref="H55" si="42">H54-F55-D55+B55</f>
        <v>15.958</v>
      </c>
      <c r="I55" s="3">
        <f t="shared" ref="I55" si="43">I54-E55+C55</f>
        <v>14.957999999999998</v>
      </c>
      <c r="J55" s="3">
        <f t="shared" ref="J55" si="44">SUM(H55:I55)</f>
        <v>30.915999999999997</v>
      </c>
    </row>
    <row r="56" spans="1:10" ht="15.75" x14ac:dyDescent="0.25">
      <c r="A56" s="31" t="s">
        <v>70</v>
      </c>
      <c r="B56" s="33"/>
      <c r="C56" s="33"/>
      <c r="D56" s="31">
        <v>10</v>
      </c>
      <c r="E56" s="31"/>
      <c r="F56" s="31"/>
      <c r="G56" s="31"/>
      <c r="H56" s="26">
        <f t="shared" ref="H56" si="45">H55-F56-D56+B56</f>
        <v>5.9580000000000002</v>
      </c>
      <c r="I56" s="26">
        <f t="shared" ref="I56" si="46">I55-E56+C56</f>
        <v>14.957999999999998</v>
      </c>
      <c r="J56" s="26">
        <f t="shared" ref="J56" si="47">SUM(H56:I56)</f>
        <v>20.915999999999997</v>
      </c>
    </row>
    <row r="57" spans="1:10" ht="15.75" x14ac:dyDescent="0.25">
      <c r="A57" s="31" t="s">
        <v>74</v>
      </c>
      <c r="B57" s="33">
        <v>3.75</v>
      </c>
      <c r="C57" s="33">
        <v>3.75</v>
      </c>
      <c r="D57" s="31"/>
      <c r="E57" s="31"/>
      <c r="F57" s="31"/>
      <c r="G57" s="31"/>
      <c r="H57" s="26">
        <f t="shared" ref="H57:H58" si="48">H56-F57-D57+B57</f>
        <v>9.7080000000000002</v>
      </c>
      <c r="I57" s="26">
        <f t="shared" ref="I57:I58" si="49">I56-E57+C57</f>
        <v>18.707999999999998</v>
      </c>
      <c r="J57" s="26">
        <f t="shared" ref="J57:J58" si="50">SUM(H57:I57)</f>
        <v>28.415999999999997</v>
      </c>
    </row>
    <row r="58" spans="1:10" ht="15.75" x14ac:dyDescent="0.25">
      <c r="A58" s="31" t="s">
        <v>72</v>
      </c>
      <c r="B58" s="33"/>
      <c r="C58" s="33"/>
      <c r="D58" s="31"/>
      <c r="E58" s="31"/>
      <c r="F58" s="31"/>
      <c r="G58" s="31">
        <v>1</v>
      </c>
      <c r="H58" s="26">
        <f t="shared" si="48"/>
        <v>9.7080000000000002</v>
      </c>
      <c r="I58" s="26">
        <f t="shared" si="49"/>
        <v>18.707999999999998</v>
      </c>
      <c r="J58" s="26">
        <f t="shared" si="50"/>
        <v>28.415999999999997</v>
      </c>
    </row>
    <row r="59" spans="1:10" ht="15.75" x14ac:dyDescent="0.25">
      <c r="A59" s="31" t="s">
        <v>75</v>
      </c>
      <c r="B59" s="33"/>
      <c r="C59" s="33"/>
      <c r="D59" s="31"/>
      <c r="E59" s="31"/>
      <c r="F59" s="26">
        <v>4</v>
      </c>
      <c r="G59" s="31"/>
      <c r="H59" s="26">
        <f t="shared" ref="H59" si="51">H58-F59-D59+B59</f>
        <v>5.7080000000000002</v>
      </c>
      <c r="I59" s="26">
        <f t="shared" ref="I59" si="52">I58-E59+C59</f>
        <v>18.707999999999998</v>
      </c>
      <c r="J59" s="26">
        <f t="shared" ref="J59" si="53">SUM(H59:I59)</f>
        <v>24.415999999999997</v>
      </c>
    </row>
    <row r="60" spans="1:10" ht="15.75" x14ac:dyDescent="0.25">
      <c r="A60" s="31" t="s">
        <v>76</v>
      </c>
      <c r="B60" s="33">
        <v>1.25</v>
      </c>
      <c r="C60" s="33">
        <v>1.25</v>
      </c>
      <c r="D60" s="31"/>
      <c r="E60" s="31"/>
      <c r="F60" s="26"/>
      <c r="G60" s="31"/>
      <c r="H60" s="26">
        <f t="shared" ref="H60:H62" si="54">H59-F60-D60+B60</f>
        <v>6.9580000000000002</v>
      </c>
      <c r="I60" s="26">
        <f t="shared" ref="I60:I62" si="55">I59-E60+C60</f>
        <v>19.957999999999998</v>
      </c>
      <c r="J60" s="26">
        <f t="shared" ref="J60:J62" si="56">SUM(H60:I60)</f>
        <v>26.915999999999997</v>
      </c>
    </row>
    <row r="61" spans="1:10" ht="15.75" x14ac:dyDescent="0.25">
      <c r="A61" s="31" t="s">
        <v>77</v>
      </c>
      <c r="B61" s="33">
        <v>3.75</v>
      </c>
      <c r="C61" s="33">
        <v>3.75</v>
      </c>
      <c r="D61" s="31"/>
      <c r="E61" s="31"/>
      <c r="F61" s="26"/>
      <c r="G61" s="31"/>
      <c r="H61" s="26">
        <f t="shared" si="54"/>
        <v>10.708</v>
      </c>
      <c r="I61" s="26">
        <f t="shared" si="55"/>
        <v>23.707999999999998</v>
      </c>
      <c r="J61" s="26">
        <f t="shared" si="56"/>
        <v>34.415999999999997</v>
      </c>
    </row>
    <row r="62" spans="1:10" ht="15.75" x14ac:dyDescent="0.25">
      <c r="A62" s="31" t="s">
        <v>78</v>
      </c>
      <c r="B62" s="33"/>
      <c r="C62" s="33"/>
      <c r="D62" s="31"/>
      <c r="E62" s="31"/>
      <c r="F62" s="26"/>
      <c r="G62" s="34">
        <v>2</v>
      </c>
      <c r="H62" s="26">
        <f t="shared" si="54"/>
        <v>10.708</v>
      </c>
      <c r="I62" s="26">
        <f t="shared" si="55"/>
        <v>23.707999999999998</v>
      </c>
      <c r="J62" s="26">
        <f t="shared" si="56"/>
        <v>34.415999999999997</v>
      </c>
    </row>
    <row r="63" spans="1:10" ht="15.75" x14ac:dyDescent="0.25">
      <c r="A63" s="31" t="s">
        <v>82</v>
      </c>
      <c r="B63" s="33">
        <v>1.25</v>
      </c>
      <c r="C63" s="33">
        <v>1.25</v>
      </c>
      <c r="D63" s="31"/>
      <c r="E63" s="31"/>
      <c r="F63" s="26"/>
      <c r="G63" s="31"/>
      <c r="H63" s="26">
        <f t="shared" ref="H63:H64" si="57">H62-F63-D63+B63</f>
        <v>11.958</v>
      </c>
      <c r="I63" s="26">
        <f t="shared" ref="I63:I64" si="58">I62-E63+C63</f>
        <v>24.957999999999998</v>
      </c>
      <c r="J63" s="26">
        <f t="shared" ref="J63:J64" si="59">SUM(H63:I63)</f>
        <v>36.915999999999997</v>
      </c>
    </row>
    <row r="64" spans="1:10" ht="15.75" x14ac:dyDescent="0.25">
      <c r="A64" s="31" t="s">
        <v>83</v>
      </c>
      <c r="B64" s="33"/>
      <c r="C64" s="33"/>
      <c r="D64" s="31"/>
      <c r="E64" s="31"/>
      <c r="F64" s="26"/>
      <c r="G64" s="34">
        <v>1</v>
      </c>
      <c r="H64" s="26">
        <f t="shared" si="57"/>
        <v>11.958</v>
      </c>
      <c r="I64" s="26">
        <f t="shared" si="58"/>
        <v>24.957999999999998</v>
      </c>
      <c r="J64" s="26">
        <f t="shared" si="59"/>
        <v>36.915999999999997</v>
      </c>
    </row>
    <row r="65" spans="1:11" ht="15.75" x14ac:dyDescent="0.25">
      <c r="A65" s="31" t="s">
        <v>84</v>
      </c>
      <c r="B65" s="33">
        <v>2.5</v>
      </c>
      <c r="C65" s="33">
        <v>2.5</v>
      </c>
      <c r="D65" s="31"/>
      <c r="E65" s="31"/>
      <c r="F65" s="26"/>
      <c r="G65" s="31"/>
      <c r="H65" s="26">
        <f t="shared" ref="H65:H66" si="60">H64-F65-D65+B65</f>
        <v>14.458</v>
      </c>
      <c r="I65" s="26">
        <f t="shared" ref="I65:I66" si="61">I64-E65+C65</f>
        <v>27.457999999999998</v>
      </c>
      <c r="J65" s="26">
        <f t="shared" ref="J65:J66" si="62">SUM(H65:I65)</f>
        <v>41.915999999999997</v>
      </c>
    </row>
    <row r="66" spans="1:11" ht="15.75" x14ac:dyDescent="0.25">
      <c r="A66" s="31" t="s">
        <v>85</v>
      </c>
      <c r="B66" s="33"/>
      <c r="C66" s="33"/>
      <c r="D66" s="31"/>
      <c r="E66" s="31"/>
      <c r="F66" s="35">
        <v>2</v>
      </c>
      <c r="G66" s="31"/>
      <c r="H66" s="26">
        <f t="shared" si="60"/>
        <v>12.458</v>
      </c>
      <c r="I66" s="26">
        <f t="shared" si="61"/>
        <v>27.457999999999998</v>
      </c>
      <c r="J66" s="26">
        <f t="shared" si="62"/>
        <v>39.915999999999997</v>
      </c>
    </row>
    <row r="67" spans="1:11" ht="15.75" x14ac:dyDescent="0.25">
      <c r="A67" s="43" t="s">
        <v>88</v>
      </c>
      <c r="B67" s="44">
        <v>2.5</v>
      </c>
      <c r="C67" s="44">
        <v>2.5</v>
      </c>
      <c r="D67" s="43"/>
      <c r="E67" s="43"/>
      <c r="F67" s="30"/>
      <c r="G67" s="43"/>
      <c r="H67" s="30">
        <f t="shared" ref="H67:H68" si="63">H66-F67-D67+B67</f>
        <v>14.958</v>
      </c>
      <c r="I67" s="30">
        <f t="shared" ref="I67:I68" si="64">I66-E67+C67</f>
        <v>29.957999999999998</v>
      </c>
      <c r="J67" s="30">
        <f t="shared" ref="J67:J68" si="65">SUM(H67:I67)</f>
        <v>44.915999999999997</v>
      </c>
    </row>
    <row r="68" spans="1:11" ht="15.75" x14ac:dyDescent="0.25">
      <c r="A68" s="31" t="s">
        <v>90</v>
      </c>
      <c r="B68" s="33"/>
      <c r="C68" s="33"/>
      <c r="D68" s="31">
        <v>9.9580000000000002</v>
      </c>
      <c r="E68" s="31">
        <v>20.042000000000002</v>
      </c>
      <c r="F68" s="26"/>
      <c r="G68" s="31"/>
      <c r="H68" s="26">
        <f t="shared" si="63"/>
        <v>5</v>
      </c>
      <c r="I68" s="26">
        <f t="shared" si="64"/>
        <v>9.9159999999999968</v>
      </c>
      <c r="J68" s="26">
        <f t="shared" si="65"/>
        <v>14.915999999999997</v>
      </c>
    </row>
    <row r="69" spans="1:11" ht="15.75" x14ac:dyDescent="0.25">
      <c r="A69" s="31" t="s">
        <v>92</v>
      </c>
      <c r="B69" s="33">
        <v>2.5</v>
      </c>
      <c r="C69" s="33">
        <v>2.5</v>
      </c>
      <c r="D69" s="31"/>
      <c r="E69" s="31"/>
      <c r="F69" s="26"/>
      <c r="G69" s="31"/>
      <c r="H69" s="26">
        <f t="shared" ref="H69:H70" si="66">H68-F69-D69+B69</f>
        <v>7.5</v>
      </c>
      <c r="I69" s="26">
        <f t="shared" ref="I69:I70" si="67">I68-E69+C69</f>
        <v>12.415999999999997</v>
      </c>
      <c r="J69" s="26">
        <f t="shared" ref="J69:J70" si="68">SUM(H69:I69)</f>
        <v>19.915999999999997</v>
      </c>
    </row>
    <row r="70" spans="1:11" ht="15.75" x14ac:dyDescent="0.25">
      <c r="A70" s="31" t="s">
        <v>93</v>
      </c>
      <c r="B70" s="33"/>
      <c r="C70" s="33"/>
      <c r="D70" s="31"/>
      <c r="E70" s="31"/>
      <c r="F70" s="35">
        <v>1</v>
      </c>
      <c r="G70" s="31"/>
      <c r="H70" s="26">
        <f t="shared" si="66"/>
        <v>6.5</v>
      </c>
      <c r="I70" s="26">
        <f t="shared" si="67"/>
        <v>12.415999999999997</v>
      </c>
      <c r="J70" s="26">
        <f t="shared" si="68"/>
        <v>18.915999999999997</v>
      </c>
    </row>
    <row r="71" spans="1:11" s="84" customFormat="1" ht="15.75" x14ac:dyDescent="0.25">
      <c r="A71" s="85" t="s">
        <v>94</v>
      </c>
      <c r="B71" s="86">
        <v>1.25</v>
      </c>
      <c r="C71" s="86">
        <v>1.25</v>
      </c>
      <c r="D71" s="85"/>
      <c r="E71" s="85"/>
      <c r="F71" s="87"/>
      <c r="G71" s="85"/>
      <c r="H71" s="26">
        <f t="shared" ref="H71:H72" si="69">H70-F71-D71+B71</f>
        <v>7.75</v>
      </c>
      <c r="I71" s="26">
        <f t="shared" ref="I71:I72" si="70">I70-E71+C71</f>
        <v>13.665999999999997</v>
      </c>
      <c r="J71" s="26">
        <f t="shared" ref="J71:J72" si="71">SUM(H71:I71)</f>
        <v>21.415999999999997</v>
      </c>
      <c r="K71" s="83"/>
    </row>
    <row r="72" spans="1:11" s="84" customFormat="1" ht="15.75" x14ac:dyDescent="0.25">
      <c r="A72" s="85" t="s">
        <v>95</v>
      </c>
      <c r="B72" s="86"/>
      <c r="C72" s="86"/>
      <c r="D72" s="85"/>
      <c r="E72" s="85"/>
      <c r="F72" s="35">
        <v>1</v>
      </c>
      <c r="G72" s="85"/>
      <c r="H72" s="26">
        <f t="shared" si="69"/>
        <v>6.75</v>
      </c>
      <c r="I72" s="26">
        <f t="shared" si="70"/>
        <v>13.665999999999997</v>
      </c>
      <c r="J72" s="26">
        <f t="shared" si="71"/>
        <v>20.415999999999997</v>
      </c>
      <c r="K72" s="83"/>
    </row>
    <row r="73" spans="1:11" s="84" customFormat="1" ht="15.75" x14ac:dyDescent="0.25">
      <c r="A73" s="80"/>
      <c r="B73" s="81"/>
      <c r="C73" s="81"/>
      <c r="D73" s="80"/>
      <c r="E73" s="80"/>
      <c r="F73" s="82"/>
      <c r="G73" s="80"/>
      <c r="H73" s="82"/>
      <c r="I73" s="82"/>
      <c r="J73" s="82"/>
      <c r="K73" s="83"/>
    </row>
    <row r="74" spans="1:11" ht="15.75" x14ac:dyDescent="0.25">
      <c r="A74" s="46"/>
      <c r="B74" s="47"/>
      <c r="C74" s="47"/>
      <c r="D74" s="46"/>
      <c r="E74" s="46"/>
      <c r="F74" s="48"/>
      <c r="G74" s="46"/>
      <c r="H74" s="48"/>
      <c r="I74" s="48"/>
      <c r="J74" s="48"/>
    </row>
    <row r="75" spans="1:11" ht="15.75" x14ac:dyDescent="0.25">
      <c r="B75" s="28"/>
      <c r="C75" s="28"/>
      <c r="D75" s="8"/>
      <c r="E75" s="8"/>
      <c r="F75" s="8"/>
      <c r="G75" s="8"/>
      <c r="H75" s="45"/>
      <c r="I75" s="45"/>
      <c r="J75" s="45"/>
    </row>
    <row r="76" spans="1:11" x14ac:dyDescent="0.25">
      <c r="D76" s="8"/>
      <c r="E76" s="8"/>
      <c r="F76" s="8"/>
      <c r="G76" s="8"/>
    </row>
    <row r="77" spans="1:11" x14ac:dyDescent="0.25">
      <c r="D77" s="8"/>
      <c r="E77" s="8"/>
      <c r="F77" s="8"/>
      <c r="G77" s="8"/>
    </row>
    <row r="78" spans="1:11" x14ac:dyDescent="0.25">
      <c r="D78" s="8"/>
      <c r="E78" s="8"/>
      <c r="F78" s="8"/>
      <c r="G78" s="8"/>
    </row>
    <row r="79" spans="1:11" x14ac:dyDescent="0.25">
      <c r="D79" s="8"/>
      <c r="E79" s="8"/>
      <c r="F79" s="8"/>
      <c r="G79" s="8"/>
    </row>
    <row r="80" spans="1:11" x14ac:dyDescent="0.25">
      <c r="D80" s="8"/>
      <c r="E80" s="8"/>
      <c r="F80" s="8"/>
      <c r="G80" s="8"/>
    </row>
    <row r="81" spans="4:7" x14ac:dyDescent="0.25">
      <c r="D81" s="8"/>
      <c r="E81" s="8"/>
      <c r="F81" s="8"/>
      <c r="G81" s="8"/>
    </row>
    <row r="82" spans="4:7" x14ac:dyDescent="0.25">
      <c r="D82" s="8"/>
      <c r="E82" s="8"/>
      <c r="F82" s="8"/>
      <c r="G82" s="8"/>
    </row>
    <row r="83" spans="4:7" x14ac:dyDescent="0.25">
      <c r="D83" s="8"/>
      <c r="E83" s="8"/>
      <c r="F83" s="8"/>
      <c r="G83" s="8"/>
    </row>
    <row r="84" spans="4:7" x14ac:dyDescent="0.25">
      <c r="D84" s="8"/>
      <c r="E84" s="8"/>
      <c r="F84" s="8"/>
      <c r="G84" s="8"/>
    </row>
    <row r="85" spans="4:7" x14ac:dyDescent="0.25">
      <c r="D85" s="8"/>
      <c r="E85" s="8"/>
      <c r="F85" s="8"/>
      <c r="G85" s="8"/>
    </row>
    <row r="86" spans="4:7" x14ac:dyDescent="0.25">
      <c r="D86" s="8"/>
      <c r="E86" s="8"/>
      <c r="F86" s="8"/>
      <c r="G86" s="8"/>
    </row>
    <row r="87" spans="4:7" x14ac:dyDescent="0.25">
      <c r="D87" s="8"/>
      <c r="E87" s="8"/>
      <c r="F87" s="8"/>
      <c r="G87" s="8"/>
    </row>
    <row r="88" spans="4:7" x14ac:dyDescent="0.25">
      <c r="D88" s="8"/>
      <c r="E88" s="8"/>
      <c r="F88" s="8"/>
      <c r="G88" s="8"/>
    </row>
    <row r="89" spans="4:7" x14ac:dyDescent="0.25">
      <c r="D89" s="8"/>
      <c r="E89" s="8"/>
      <c r="F89" s="8"/>
      <c r="G89" s="8"/>
    </row>
    <row r="90" spans="4:7" x14ac:dyDescent="0.25">
      <c r="D90" s="8"/>
      <c r="E90" s="8"/>
      <c r="F90" s="8"/>
      <c r="G90" s="8"/>
    </row>
    <row r="91" spans="4:7" x14ac:dyDescent="0.25">
      <c r="D91" s="8"/>
      <c r="E91" s="8"/>
      <c r="F91" s="8"/>
      <c r="G91" s="8"/>
    </row>
    <row r="92" spans="4:7" x14ac:dyDescent="0.25">
      <c r="D92" s="8"/>
      <c r="E92" s="8"/>
      <c r="F92" s="8"/>
      <c r="G92" s="8"/>
    </row>
    <row r="93" spans="4:7" x14ac:dyDescent="0.25">
      <c r="D93" s="8"/>
      <c r="E93" s="8"/>
      <c r="F93" s="8"/>
      <c r="G93" s="8"/>
    </row>
    <row r="94" spans="4:7" x14ac:dyDescent="0.25">
      <c r="D94" s="8"/>
      <c r="E94" s="8"/>
      <c r="F94" s="8"/>
      <c r="G94" s="8"/>
    </row>
    <row r="95" spans="4:7" x14ac:dyDescent="0.25">
      <c r="D95" s="8"/>
      <c r="E95" s="8"/>
      <c r="F95" s="8"/>
      <c r="G95" s="8"/>
    </row>
    <row r="96" spans="4:7" x14ac:dyDescent="0.25">
      <c r="D96" s="8"/>
      <c r="E96" s="8"/>
      <c r="F96" s="8"/>
      <c r="G96" s="8"/>
    </row>
    <row r="97" spans="4:7" x14ac:dyDescent="0.25">
      <c r="D97" s="8"/>
      <c r="E97" s="8"/>
      <c r="F97" s="8"/>
      <c r="G97" s="8"/>
    </row>
  </sheetData>
  <mergeCells count="11">
    <mergeCell ref="A13:J13"/>
    <mergeCell ref="A2:J2"/>
    <mergeCell ref="A3:J3"/>
    <mergeCell ref="A4:J4"/>
    <mergeCell ref="A5:J5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6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4AA2-FA45-41C4-918E-080AD32FCB47}">
  <sheetPr>
    <pageSetUpPr fitToPage="1"/>
  </sheetPr>
  <dimension ref="A1:L24"/>
  <sheetViews>
    <sheetView view="pageBreakPreview" topLeftCell="A4" zoomScale="112" zoomScaleNormal="100" zoomScaleSheetLayoutView="112" workbookViewId="0">
      <selection activeCell="G21" sqref="G21"/>
    </sheetView>
  </sheetViews>
  <sheetFormatPr defaultColWidth="8.7109375" defaultRowHeight="15" x14ac:dyDescent="0.25"/>
  <cols>
    <col min="1" max="1" width="33.5703125" style="15" customWidth="1"/>
    <col min="2" max="16384" width="8.7109375" style="15"/>
  </cols>
  <sheetData>
    <row r="1" spans="1:12" s="10" customFormat="1" ht="52.5" customHeight="1" x14ac:dyDescent="0.25"/>
    <row r="2" spans="1:12" s="10" customFormat="1" ht="10.5" customHeight="1" x14ac:dyDescent="0.25">
      <c r="A2" s="69" t="s">
        <v>27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s="10" customFormat="1" ht="15.95" customHeight="1" x14ac:dyDescent="0.25">
      <c r="A3" s="69" t="s">
        <v>28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s="10" customFormat="1" ht="15.95" customHeight="1" x14ac:dyDescent="0.25">
      <c r="A4" s="69" t="s">
        <v>29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s="10" customFormat="1" ht="15.95" customHeight="1" x14ac:dyDescent="0.25">
      <c r="A5" s="69" t="s">
        <v>30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s="10" customFormat="1" ht="8.25" customHeight="1" x14ac:dyDescent="0.25"/>
    <row r="7" spans="1:12" s="10" customFormat="1" ht="12" customHeight="1" x14ac:dyDescent="0.25">
      <c r="A7" s="10" t="s">
        <v>31</v>
      </c>
      <c r="C7" s="11" t="s">
        <v>40</v>
      </c>
      <c r="D7" s="11"/>
      <c r="G7" s="11" t="s">
        <v>9</v>
      </c>
      <c r="H7" s="12"/>
    </row>
    <row r="8" spans="1:12" s="10" customFormat="1" ht="12" customHeight="1" x14ac:dyDescent="0.25">
      <c r="C8" s="13"/>
      <c r="G8" s="13"/>
      <c r="H8" s="13"/>
    </row>
    <row r="9" spans="1:12" s="10" customFormat="1" ht="12" customHeight="1" x14ac:dyDescent="0.25">
      <c r="A9" s="10" t="s">
        <v>33</v>
      </c>
      <c r="C9" s="11" t="s">
        <v>34</v>
      </c>
      <c r="D9" s="11"/>
      <c r="G9" s="11" t="s">
        <v>10</v>
      </c>
      <c r="H9" s="14"/>
    </row>
    <row r="10" spans="1:12" s="10" customFormat="1" ht="12" customHeight="1" x14ac:dyDescent="0.25">
      <c r="C10" s="11"/>
      <c r="D10" s="11"/>
      <c r="G10" s="11"/>
      <c r="H10" s="11"/>
    </row>
    <row r="11" spans="1:12" ht="16.5" customHeight="1" thickBot="1" x14ac:dyDescent="0.3">
      <c r="A11" s="70" t="s">
        <v>41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</row>
    <row r="12" spans="1:12" s="22" customFormat="1" ht="18.75" customHeight="1" x14ac:dyDescent="0.2">
      <c r="A12" s="71" t="s">
        <v>4</v>
      </c>
      <c r="B12" s="73" t="s">
        <v>5</v>
      </c>
      <c r="C12" s="74"/>
      <c r="D12" s="74"/>
      <c r="E12" s="74"/>
      <c r="F12" s="74"/>
      <c r="G12" s="74"/>
      <c r="H12" s="74"/>
      <c r="I12" s="74"/>
      <c r="J12" s="74"/>
      <c r="K12" s="74"/>
      <c r="L12" s="75" t="s">
        <v>8</v>
      </c>
    </row>
    <row r="13" spans="1:12" s="22" customFormat="1" ht="24" customHeight="1" x14ac:dyDescent="0.2">
      <c r="A13" s="72"/>
      <c r="B13" s="77" t="s">
        <v>42</v>
      </c>
      <c r="C13" s="78"/>
      <c r="D13" s="78"/>
      <c r="E13" s="79"/>
      <c r="F13" s="77" t="s">
        <v>43</v>
      </c>
      <c r="G13" s="79"/>
      <c r="H13" s="77" t="s">
        <v>44</v>
      </c>
      <c r="I13" s="79"/>
      <c r="J13" s="77" t="s">
        <v>45</v>
      </c>
      <c r="K13" s="79"/>
      <c r="L13" s="76"/>
    </row>
    <row r="14" spans="1:12" s="22" customFormat="1" ht="24.95" hidden="1" customHeight="1" x14ac:dyDescent="0.2">
      <c r="A14" s="16" t="s">
        <v>51</v>
      </c>
      <c r="B14" s="64" t="s">
        <v>52</v>
      </c>
      <c r="C14" s="65"/>
      <c r="D14" s="65"/>
      <c r="E14" s="66"/>
      <c r="F14" s="64">
        <v>1</v>
      </c>
      <c r="G14" s="66"/>
      <c r="H14" s="64">
        <v>0</v>
      </c>
      <c r="I14" s="66"/>
      <c r="J14" s="64">
        <v>1</v>
      </c>
      <c r="K14" s="66"/>
      <c r="L14" s="17">
        <v>1</v>
      </c>
    </row>
    <row r="15" spans="1:12" s="23" customFormat="1" ht="25.5" hidden="1" customHeight="1" x14ac:dyDescent="0.2">
      <c r="A15" s="16" t="s">
        <v>53</v>
      </c>
      <c r="B15" s="64" t="s">
        <v>52</v>
      </c>
      <c r="C15" s="65"/>
      <c r="D15" s="65"/>
      <c r="E15" s="66"/>
      <c r="F15" s="64">
        <v>1</v>
      </c>
      <c r="G15" s="66"/>
      <c r="H15" s="64">
        <v>1</v>
      </c>
      <c r="I15" s="66"/>
      <c r="J15" s="64">
        <f>F15-H15</f>
        <v>0</v>
      </c>
      <c r="K15" s="66"/>
      <c r="L15" s="18">
        <v>0</v>
      </c>
    </row>
    <row r="16" spans="1:12" s="22" customFormat="1" ht="24.95" customHeight="1" x14ac:dyDescent="0.2">
      <c r="A16" s="16" t="s">
        <v>79</v>
      </c>
      <c r="B16" s="64" t="s">
        <v>80</v>
      </c>
      <c r="C16" s="65"/>
      <c r="D16" s="65"/>
      <c r="E16" s="66"/>
      <c r="F16" s="64">
        <v>1</v>
      </c>
      <c r="G16" s="66"/>
      <c r="H16" s="64">
        <v>0</v>
      </c>
      <c r="I16" s="66"/>
      <c r="J16" s="64">
        <v>1</v>
      </c>
      <c r="K16" s="66"/>
      <c r="L16" s="17">
        <v>1</v>
      </c>
    </row>
    <row r="17" spans="1:12" s="23" customFormat="1" ht="25.5" customHeight="1" x14ac:dyDescent="0.2">
      <c r="A17" s="16" t="s">
        <v>81</v>
      </c>
      <c r="B17" s="64" t="s">
        <v>80</v>
      </c>
      <c r="C17" s="65"/>
      <c r="D17" s="65"/>
      <c r="E17" s="66"/>
      <c r="F17" s="64"/>
      <c r="G17" s="66"/>
      <c r="H17" s="64">
        <v>1</v>
      </c>
      <c r="I17" s="66"/>
      <c r="J17" s="64">
        <v>0</v>
      </c>
      <c r="K17" s="66"/>
      <c r="L17" s="27">
        <v>0</v>
      </c>
    </row>
    <row r="18" spans="1:12" s="23" customFormat="1" x14ac:dyDescent="0.2">
      <c r="A18" s="19" t="s">
        <v>46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0"/>
    </row>
    <row r="19" spans="1:12" ht="18.95" customHeight="1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</row>
    <row r="20" spans="1:12" s="10" customFormat="1" x14ac:dyDescent="0.25">
      <c r="C20" s="21"/>
      <c r="I20" s="10" t="s">
        <v>47</v>
      </c>
    </row>
    <row r="21" spans="1:12" s="10" customFormat="1" x14ac:dyDescent="0.25">
      <c r="C21" s="21"/>
    </row>
    <row r="22" spans="1:12" x14ac:dyDescent="0.25">
      <c r="I22" s="67" t="s">
        <v>48</v>
      </c>
      <c r="J22" s="67"/>
      <c r="K22" s="67"/>
    </row>
    <row r="23" spans="1:12" x14ac:dyDescent="0.25">
      <c r="I23" s="68" t="s">
        <v>49</v>
      </c>
      <c r="J23" s="68"/>
      <c r="K23" s="68"/>
    </row>
    <row r="24" spans="1:12" x14ac:dyDescent="0.25">
      <c r="I24" s="62" t="s">
        <v>50</v>
      </c>
      <c r="J24" s="62"/>
      <c r="K24" s="62"/>
    </row>
  </sheetData>
  <mergeCells count="32">
    <mergeCell ref="A12:A13"/>
    <mergeCell ref="B12:K12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A11:L11"/>
    <mergeCell ref="B14:E14"/>
    <mergeCell ref="F14:G14"/>
    <mergeCell ref="H14:I14"/>
    <mergeCell ref="J14:K14"/>
    <mergeCell ref="I23:K23"/>
    <mergeCell ref="I24:K24"/>
    <mergeCell ref="A19:L19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I22:K22"/>
  </mergeCells>
  <pageMargins left="0.7" right="0.7" top="0.75" bottom="0.75" header="0.3" footer="0.3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2026-01-14T04:08:36Z</cp:lastPrinted>
  <dcterms:created xsi:type="dcterms:W3CDTF">2021-10-07T06:10:16Z</dcterms:created>
  <dcterms:modified xsi:type="dcterms:W3CDTF">2026-01-14T04:09:29Z</dcterms:modified>
</cp:coreProperties>
</file>