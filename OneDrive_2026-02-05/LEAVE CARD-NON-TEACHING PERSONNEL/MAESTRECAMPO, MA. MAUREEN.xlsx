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A9D25624-35EB-4E6F-9282-0538FCFF03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RRECTED" sheetId="10" r:id="rId1"/>
    <sheet name="Other types of leave" sheetId="8" r:id="rId2"/>
    <sheet name="CTO" sheetId="9" r:id="rId3"/>
    <sheet name="Leave Card (NE)" sheetId="11" r:id="rId4"/>
  </sheets>
  <definedNames>
    <definedName name="_xlnm.Print_Area" localSheetId="0">CORRECTED!$A$1:$J$91</definedName>
    <definedName name="_xlnm.Print_Area" localSheetId="3">'Leave Card (NE)'!$A$1:$G$21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3" i="10" l="1"/>
  <c r="I83" i="10"/>
  <c r="J83" i="10"/>
  <c r="H84" i="10"/>
  <c r="I84" i="10"/>
  <c r="J84" i="10"/>
  <c r="G12" i="11"/>
  <c r="G15" i="11" s="1"/>
  <c r="B14" i="10"/>
  <c r="I13" i="10"/>
  <c r="I14" i="10" s="1"/>
  <c r="I15" i="10" s="1"/>
  <c r="I16" i="10" s="1"/>
  <c r="I17" i="10" s="1"/>
  <c r="I18" i="10" s="1"/>
  <c r="I19" i="10" s="1"/>
  <c r="I20" i="10" s="1"/>
  <c r="I21" i="10" s="1"/>
  <c r="I22" i="10" s="1"/>
  <c r="I23" i="10" s="1"/>
  <c r="I24" i="10" s="1"/>
  <c r="I25" i="10" s="1"/>
  <c r="I26" i="10" s="1"/>
  <c r="I27" i="10" s="1"/>
  <c r="I28" i="10" s="1"/>
  <c r="I29" i="10" s="1"/>
  <c r="I30" i="10" s="1"/>
  <c r="I31" i="10" s="1"/>
  <c r="I32" i="10" s="1"/>
  <c r="I33" i="10" s="1"/>
  <c r="I34" i="10" s="1"/>
  <c r="I35" i="10" s="1"/>
  <c r="I36" i="10" s="1"/>
  <c r="I37" i="10" s="1"/>
  <c r="I38" i="10" s="1"/>
  <c r="I39" i="10" s="1"/>
  <c r="I40" i="10" s="1"/>
  <c r="I41" i="10" s="1"/>
  <c r="I42" i="10" s="1"/>
  <c r="I43" i="10" s="1"/>
  <c r="I44" i="10" s="1"/>
  <c r="I45" i="10" s="1"/>
  <c r="I46" i="10" s="1"/>
  <c r="I47" i="10" s="1"/>
  <c r="I48" i="10" s="1"/>
  <c r="I49" i="10" s="1"/>
  <c r="I50" i="10" s="1"/>
  <c r="I51" i="10" s="1"/>
  <c r="I52" i="10" s="1"/>
  <c r="I53" i="10" s="1"/>
  <c r="I54" i="10" s="1"/>
  <c r="I55" i="10" s="1"/>
  <c r="I56" i="10" s="1"/>
  <c r="I57" i="10" s="1"/>
  <c r="I58" i="10" s="1"/>
  <c r="I59" i="10" s="1"/>
  <c r="I60" i="10" s="1"/>
  <c r="I61" i="10" s="1"/>
  <c r="I62" i="10" s="1"/>
  <c r="I63" i="10" s="1"/>
  <c r="I64" i="10" s="1"/>
  <c r="I65" i="10" s="1"/>
  <c r="I66" i="10" s="1"/>
  <c r="I67" i="10" s="1"/>
  <c r="I68" i="10" s="1"/>
  <c r="I69" i="10" s="1"/>
  <c r="I70" i="10" s="1"/>
  <c r="I71" i="10" s="1"/>
  <c r="I72" i="10" s="1"/>
  <c r="I73" i="10" s="1"/>
  <c r="I74" i="10" s="1"/>
  <c r="I75" i="10" s="1"/>
  <c r="I76" i="10" s="1"/>
  <c r="I77" i="10" s="1"/>
  <c r="I78" i="10" s="1"/>
  <c r="I79" i="10" s="1"/>
  <c r="I80" i="10" s="1"/>
  <c r="I81" i="10" s="1"/>
  <c r="I82" i="10" s="1"/>
  <c r="H13" i="10"/>
  <c r="H14" i="10" l="1"/>
  <c r="H15" i="10" s="1"/>
  <c r="H16" i="10" s="1"/>
  <c r="J16" i="10" s="1"/>
  <c r="J13" i="10"/>
  <c r="H17" i="10" l="1"/>
  <c r="H18" i="10" s="1"/>
  <c r="J15" i="10"/>
  <c r="J14" i="10"/>
  <c r="J17" i="10" l="1"/>
  <c r="J18" i="10"/>
  <c r="H19" i="10"/>
  <c r="H20" i="10" l="1"/>
  <c r="J19" i="10"/>
  <c r="J20" i="10" l="1"/>
  <c r="H21" i="10"/>
  <c r="H22" i="10" l="1"/>
  <c r="J21" i="10"/>
  <c r="J22" i="10" l="1"/>
  <c r="H23" i="10"/>
  <c r="H24" i="10" l="1"/>
  <c r="J23" i="10"/>
  <c r="J24" i="10" l="1"/>
  <c r="H25" i="10"/>
  <c r="H26" i="10" l="1"/>
  <c r="J25" i="10"/>
  <c r="J26" i="10" l="1"/>
  <c r="H27" i="10"/>
  <c r="H28" i="10" l="1"/>
  <c r="J27" i="10"/>
  <c r="J28" i="10" l="1"/>
  <c r="H29" i="10"/>
  <c r="H30" i="10" l="1"/>
  <c r="J29" i="10"/>
  <c r="J30" i="10" l="1"/>
  <c r="H31" i="10"/>
  <c r="H32" i="10" l="1"/>
  <c r="J31" i="10"/>
  <c r="J32" i="10" l="1"/>
  <c r="H33" i="10"/>
  <c r="H34" i="10" l="1"/>
  <c r="J33" i="10"/>
  <c r="J34" i="10" l="1"/>
  <c r="H35" i="10"/>
  <c r="H36" i="10" l="1"/>
  <c r="J35" i="10"/>
  <c r="J36" i="10" l="1"/>
  <c r="H37" i="10"/>
  <c r="H38" i="10" l="1"/>
  <c r="J37" i="10"/>
  <c r="J38" i="10" l="1"/>
  <c r="H39" i="10"/>
  <c r="H40" i="10" l="1"/>
  <c r="J39" i="10"/>
  <c r="J40" i="10" l="1"/>
  <c r="H41" i="10"/>
  <c r="H42" i="10" l="1"/>
  <c r="J41" i="10"/>
  <c r="J42" i="10" l="1"/>
  <c r="H43" i="10"/>
  <c r="H44" i="10" l="1"/>
  <c r="J43" i="10"/>
  <c r="J44" i="10" l="1"/>
  <c r="H45" i="10"/>
  <c r="H46" i="10" l="1"/>
  <c r="J45" i="10"/>
  <c r="J46" i="10" l="1"/>
  <c r="H47" i="10"/>
  <c r="H48" i="10" l="1"/>
  <c r="J47" i="10"/>
  <c r="J48" i="10" l="1"/>
  <c r="H49" i="10"/>
  <c r="H50" i="10" l="1"/>
  <c r="J49" i="10"/>
  <c r="J50" i="10" l="1"/>
  <c r="H51" i="10"/>
  <c r="H52" i="10" l="1"/>
  <c r="J51" i="10"/>
  <c r="J52" i="10" l="1"/>
  <c r="H53" i="10"/>
  <c r="H54" i="10" l="1"/>
  <c r="J53" i="10"/>
  <c r="J54" i="10" l="1"/>
  <c r="H55" i="10"/>
  <c r="H56" i="10" l="1"/>
  <c r="J55" i="10"/>
  <c r="J56" i="10" l="1"/>
  <c r="H57" i="10"/>
  <c r="H58" i="10" l="1"/>
  <c r="J57" i="10"/>
  <c r="J58" i="10" l="1"/>
  <c r="H59" i="10"/>
  <c r="H60" i="10" l="1"/>
  <c r="J59" i="10"/>
  <c r="J60" i="10" l="1"/>
  <c r="H61" i="10"/>
  <c r="H62" i="10" l="1"/>
  <c r="J61" i="10"/>
  <c r="J62" i="10" l="1"/>
  <c r="H63" i="10"/>
  <c r="H64" i="10" l="1"/>
  <c r="J63" i="10"/>
  <c r="J64" i="10" l="1"/>
  <c r="H65" i="10"/>
  <c r="H66" i="10" l="1"/>
  <c r="J65" i="10"/>
  <c r="J66" i="10" l="1"/>
  <c r="H67" i="10"/>
  <c r="H68" i="10" l="1"/>
  <c r="J67" i="10"/>
  <c r="J68" i="10" l="1"/>
  <c r="H69" i="10"/>
  <c r="H70" i="10" l="1"/>
  <c r="J69" i="10"/>
  <c r="J70" i="10" l="1"/>
  <c r="H71" i="10"/>
  <c r="H72" i="10" l="1"/>
  <c r="J71" i="10"/>
  <c r="J72" i="10" l="1"/>
  <c r="H73" i="10"/>
  <c r="H74" i="10" l="1"/>
  <c r="J73" i="10"/>
  <c r="J74" i="10" l="1"/>
  <c r="H75" i="10"/>
  <c r="H76" i="10" l="1"/>
  <c r="J75" i="10"/>
  <c r="J76" i="10" l="1"/>
  <c r="H77" i="10"/>
  <c r="J77" i="10" l="1"/>
  <c r="H78" i="10"/>
  <c r="J78" i="10" l="1"/>
  <c r="H79" i="10"/>
  <c r="H80" i="10" l="1"/>
  <c r="J79" i="10"/>
  <c r="J80" i="10" l="1"/>
  <c r="H81" i="10"/>
  <c r="H82" i="10" l="1"/>
  <c r="J82" i="10" s="1"/>
  <c r="J81" i="10"/>
</calcChain>
</file>

<file path=xl/sharedStrings.xml><?xml version="1.0" encoding="utf-8"?>
<sst xmlns="http://schemas.openxmlformats.org/spreadsheetml/2006/main" count="180" uniqueCount="143">
  <si>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</si>
  <si>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</si>
  <si>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</si>
  <si>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</si>
  <si>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</si>
  <si>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</si>
  <si>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</si>
  <si>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</si>
  <si>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</si>
  <si>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EMP. NO  :</t>
  </si>
  <si>
    <t>STATION   :</t>
  </si>
  <si>
    <t>DATE FILED/RECEIVED</t>
  </si>
  <si>
    <t>LESS: 01/14/22</t>
  </si>
  <si>
    <t>ADD: 01/01/22 - 03/01/22</t>
  </si>
  <si>
    <t>LESS: 04/01/22</t>
  </si>
  <si>
    <t>ADD: 04/01/22 - 04/30/22</t>
  </si>
  <si>
    <t>LESS: 05/02/22</t>
  </si>
  <si>
    <t>ADD: 05/01/22 - 05/31/22</t>
  </si>
  <si>
    <t>LESS: 05/31/22</t>
  </si>
  <si>
    <t>LESS: 06/24/22</t>
  </si>
  <si>
    <t>ADD: 06/01/22 - 07/31/22</t>
  </si>
  <si>
    <t>LESS: 08/02/22</t>
  </si>
  <si>
    <t>ADD: 08/01/22 - 09/30/22</t>
  </si>
  <si>
    <t>LESS: 10/21/22</t>
  </si>
  <si>
    <t>LESS: 10/24/22</t>
  </si>
  <si>
    <t>ADD: 10/01/22 - 11/30/22</t>
  </si>
  <si>
    <t>LESS: 12/05/22</t>
  </si>
  <si>
    <t>ADD: 12/01/22 - 12/31/22</t>
  </si>
  <si>
    <t>LESS: 01/18/23</t>
  </si>
  <si>
    <t>ADD: 01/01/23 - 01/31/23</t>
  </si>
  <si>
    <t>LESS: 02/17/23</t>
  </si>
  <si>
    <t>ADD: 02/01/23-02/28/23</t>
  </si>
  <si>
    <t>LESS: 03/17/23</t>
  </si>
  <si>
    <t>LESS: 03/29 &amp; 30/23</t>
  </si>
  <si>
    <t>ADD: 03/01/23-03/31/23</t>
  </si>
  <si>
    <t>LESS: 04/28/23</t>
  </si>
  <si>
    <t>ADD: 04/01/23-04/30/23</t>
  </si>
  <si>
    <t>LESS: 05/12/23</t>
  </si>
  <si>
    <t>SPECIAL</t>
  </si>
  <si>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</si>
  <si>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</si>
  <si>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</si>
  <si>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</si>
  <si>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</si>
  <si>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</si>
  <si>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POSITION: __________________________</t>
  </si>
  <si>
    <t>SCHOOL/OFFICE:_____________________</t>
  </si>
  <si>
    <t>ADD: 04/05/2021 - 04/30/2021</t>
  </si>
  <si>
    <t>ADD: 05/01/2021 - 12/31/2021</t>
  </si>
  <si>
    <t>LESS: 11/09/2021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</si>
  <si>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</si>
  <si>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</si>
  <si>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</si>
  <si>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</si>
  <si>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</si>
  <si>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</si>
  <si>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</si>
  <si>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</si>
  <si>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</si>
  <si>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</si>
  <si>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</si>
  <si>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</si>
  <si>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</si>
  <si>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</si>
  <si>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</si>
  <si>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</si>
  <si>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</si>
  <si>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</si>
  <si>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LESS: 12/21,22 &amp; 23/2021</t>
  </si>
  <si>
    <t>LESS: 05/26/23 (PM)</t>
  </si>
  <si>
    <t>ADD: 05/01/23-05/31/23</t>
  </si>
  <si>
    <t>LESS: 06/16/2023</t>
  </si>
  <si>
    <t>LESS:  06/22 &amp; 23/23</t>
  </si>
  <si>
    <t>ADD: 06/01/23-06/30/23</t>
  </si>
  <si>
    <t>LESS: 07/28/2023</t>
  </si>
  <si>
    <t>ADD: 07/01/23-08/31/23</t>
  </si>
  <si>
    <t>LESS: 08/24 &amp; 25/2023</t>
  </si>
  <si>
    <t>Certified Correct:</t>
  </si>
  <si>
    <t>MA. LUISA B. CATIGAN</t>
  </si>
  <si>
    <t>Administrative Officer IV</t>
  </si>
  <si>
    <t>HRMO</t>
  </si>
  <si>
    <t>LESS: 09/18/2023</t>
  </si>
  <si>
    <t>LESS: 09/29/2023</t>
  </si>
  <si>
    <t>COMPENSATORY TIME OFF (CTO)</t>
  </si>
  <si>
    <t>Special Order No. and Date Issued</t>
  </si>
  <si>
    <t>No. of Days Granted</t>
  </si>
  <si>
    <t>No. of Days Used</t>
  </si>
  <si>
    <t>Balance</t>
  </si>
  <si>
    <t>ADD: 10/17/2023</t>
  </si>
  <si>
    <t>S.O. #159, S. 2023. 125THPHILIPPINE INDEPENDENCE DAY CELEBRATION</t>
  </si>
  <si>
    <t>LESS: 11/03/2023</t>
  </si>
  <si>
    <t>NOTE:  Valid for one (1) year only</t>
  </si>
  <si>
    <t>ADD:09/01/2023-09/30/2023</t>
  </si>
  <si>
    <t>ADD: 10/01/2023-11/30/2023</t>
  </si>
  <si>
    <t>LESS: 12/29/2023</t>
  </si>
  <si>
    <t>ADD: 12/01/2023-12/31/2023</t>
  </si>
  <si>
    <t>LESS: 12/27-28/2023 AND 01/02/2024</t>
  </si>
  <si>
    <t>LESS: 01/8-9/2024</t>
  </si>
  <si>
    <t>ADD: 01/01-02/29/2024</t>
  </si>
  <si>
    <t>LESS: 04/04--5/2024</t>
  </si>
  <si>
    <t>ADD: 03/1/2024-04/30/2024</t>
  </si>
  <si>
    <t>LESS: 05/16-17/2024</t>
  </si>
  <si>
    <t>ADD: MAY-JULY 31, 2024</t>
  </si>
  <si>
    <t>LESS: 08/01/2024</t>
  </si>
  <si>
    <t>LESS: 08/02/2024</t>
  </si>
  <si>
    <t>LESS: MONETIZATION 2024</t>
  </si>
  <si>
    <t xml:space="preserve">                 HRMO</t>
  </si>
  <si>
    <t>ADD: 08/1/2024-10/31/2024</t>
  </si>
  <si>
    <t>LESS: 10/28/2024</t>
  </si>
  <si>
    <t>LESS: 12/23,26, 27/2024</t>
  </si>
  <si>
    <t>LESS: MANDATORY FL 2023</t>
  </si>
  <si>
    <t>ADD: 11/1-30/2024</t>
  </si>
  <si>
    <t>LESS: 11/29/2024</t>
  </si>
  <si>
    <t>Name       :</t>
  </si>
  <si>
    <t>MAESTRECAMPO, MA. MAUREEN</t>
  </si>
  <si>
    <t>POSITION:</t>
  </si>
  <si>
    <t>ADAS III</t>
  </si>
  <si>
    <t>SPECIAL ORDER LEAVE CREDITS</t>
  </si>
  <si>
    <t>DATE</t>
  </si>
  <si>
    <t>SPECIAL ORDER NUMBER</t>
  </si>
  <si>
    <t>DETAILS</t>
  </si>
  <si>
    <t># OF DAYS GRANTED</t>
  </si>
  <si>
    <t># OF DAYS UTILIZED</t>
  </si>
  <si>
    <t>AUGUST 19, 2022</t>
  </si>
  <si>
    <t>S.O. #052, s. 2022, dated JULY 13, 2022</t>
  </si>
  <si>
    <t>124TH PHILIPPINE INDEPENDENCE DAY CELEBRATION</t>
  </si>
  <si>
    <t>Date Granted: July 13, 2022</t>
  </si>
  <si>
    <t>Note: Validity of S.O. is One (1) from the date it was granted</t>
  </si>
  <si>
    <t>Total Remaining Balance</t>
  </si>
  <si>
    <t>CERTIFIED CORRECT:</t>
  </si>
  <si>
    <t>ADD: 12/1-31/2024</t>
  </si>
  <si>
    <t>ADD: 01/1/2025-02/28/2025</t>
  </si>
  <si>
    <t>LESS: 08/27-29/2025 (TRAVEL ABROAD)</t>
  </si>
  <si>
    <t>LESS: FL 2021</t>
  </si>
  <si>
    <t>ADD: 03/1/2025-06/30/2025</t>
  </si>
  <si>
    <t>LESS: MONETIZATION 2025</t>
  </si>
  <si>
    <t>LESS: 07/23-25/2025</t>
  </si>
  <si>
    <t>ADD: 07/1-31/2025</t>
  </si>
  <si>
    <t>LESS: 08/26/2025</t>
  </si>
  <si>
    <t>ADD: 08/1-31/2025</t>
  </si>
  <si>
    <t>LESS: 12/26-29/2025</t>
  </si>
  <si>
    <t>ADD: 09/1-30/2025</t>
  </si>
  <si>
    <t>LESS: 10/24/2025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</si>
</sst>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/>
  </cellStyleXfs>
  <cellXfs count="133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5" xfId="0" applyFont="1" applyFill="1" applyBorder="1" applyAlignment="1">
      <alignment vertical="center"/>
    </xf>
    <xf numFmtId="0" fontId="4" fillId="0" borderId="0" xfId="0" applyFont="1"/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wrapText="1"/>
    </xf>
    <xf numFmtId="0" fontId="5" fillId="2" borderId="0" xfId="0" applyFont="1" applyFill="1" applyAlignment="1">
      <alignment wrapText="1"/>
    </xf>
    <xf numFmtId="0" fontId="5" fillId="2" borderId="0" xfId="0" applyFont="1" applyFill="1" applyAlignment="1">
      <alignment vertical="center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7" fillId="7" borderId="3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/>
    </xf>
    <xf numFmtId="0" fontId="9" fillId="0" borderId="0" xfId="0" applyFont="1"/>
    <xf numFmtId="0" fontId="0" fillId="2" borderId="8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10" fillId="0" borderId="0" xfId="0" applyFont="1"/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164" fontId="0" fillId="2" borderId="1" xfId="0" applyNumberFormat="1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0" fillId="2" borderId="14" xfId="0" applyNumberFormat="1" applyFill="1" applyBorder="1" applyAlignment="1">
      <alignment horizontal="center" vertical="center"/>
    </xf>
    <xf numFmtId="164" fontId="1" fillId="2" borderId="14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164" fontId="0" fillId="0" borderId="1" xfId="0" applyNumberFormat="1" applyBorder="1"/>
    <xf numFmtId="0" fontId="0" fillId="0" borderId="1" xfId="0" applyBorder="1"/>
    <xf numFmtId="164" fontId="11" fillId="0" borderId="1" xfId="0" applyNumberFormat="1" applyFont="1" applyBorder="1" applyAlignment="1">
      <alignment horizontal="center" vertical="center"/>
    </xf>
    <xf numFmtId="0" fontId="12" fillId="2" borderId="0" xfId="1" applyFill="1"/>
    <xf numFmtId="0" fontId="1" fillId="2" borderId="0" xfId="1" applyFont="1" applyFill="1" applyAlignment="1">
      <alignment vertical="center"/>
    </xf>
    <xf numFmtId="0" fontId="1" fillId="2" borderId="5" xfId="1" applyFont="1" applyFill="1" applyBorder="1" applyAlignment="1">
      <alignment horizontal="center" vertical="center"/>
    </xf>
    <xf numFmtId="0" fontId="1" fillId="2" borderId="0" xfId="1" applyFont="1" applyFill="1"/>
    <xf numFmtId="0" fontId="1" fillId="2" borderId="5" xfId="1" applyFont="1" applyFill="1" applyBorder="1" applyAlignment="1">
      <alignment vertical="center"/>
    </xf>
    <xf numFmtId="0" fontId="0" fillId="2" borderId="1" xfId="1" applyFont="1" applyFill="1" applyBorder="1" applyAlignment="1">
      <alignment horizontal="center" vertical="center" wrapText="1"/>
    </xf>
    <xf numFmtId="0" fontId="12" fillId="2" borderId="2" xfId="1" applyFill="1" applyBorder="1" applyAlignment="1">
      <alignment horizontal="center" vertical="center" wrapText="1"/>
    </xf>
    <xf numFmtId="0" fontId="12" fillId="10" borderId="1" xfId="1" applyFill="1" applyBorder="1" applyAlignment="1">
      <alignment horizontal="center" vertical="center" wrapText="1"/>
    </xf>
    <xf numFmtId="0" fontId="12" fillId="0" borderId="0" xfId="1" applyAlignment="1">
      <alignment vertical="center"/>
    </xf>
    <xf numFmtId="0" fontId="14" fillId="2" borderId="0" xfId="1" applyFont="1" applyFill="1" applyAlignment="1">
      <alignment horizontal="center" vertical="center" wrapText="1"/>
    </xf>
    <xf numFmtId="0" fontId="12" fillId="2" borderId="0" xfId="1" applyFill="1" applyAlignment="1">
      <alignment horizontal="center" vertical="center" wrapText="1"/>
    </xf>
    <xf numFmtId="0" fontId="12" fillId="2" borderId="0" xfId="1" applyFill="1" applyAlignment="1">
      <alignment horizontal="center"/>
    </xf>
    <xf numFmtId="0" fontId="12" fillId="0" borderId="0" xfId="1"/>
    <xf numFmtId="0" fontId="16" fillId="2" borderId="0" xfId="0" applyFont="1" applyFill="1"/>
    <xf numFmtId="0" fontId="0" fillId="0" borderId="0" xfId="0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2" borderId="5" xfId="0" applyFill="1" applyBorder="1"/>
    <xf numFmtId="0" fontId="0" fillId="2" borderId="0" xfId="0" applyFill="1" applyAlignment="1">
      <alignment horizontal="right"/>
    </xf>
    <xf numFmtId="0" fontId="1" fillId="2" borderId="5" xfId="0" applyFont="1" applyFill="1" applyBorder="1"/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 wrapText="1"/>
    </xf>
    <xf numFmtId="1" fontId="11" fillId="2" borderId="14" xfId="0" applyNumberFormat="1" applyFont="1" applyFill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1" fontId="11" fillId="2" borderId="2" xfId="0" applyNumberFormat="1" applyFont="1" applyFill="1" applyBorder="1" applyAlignment="1">
      <alignment horizontal="center" vertical="center"/>
    </xf>
    <xf numFmtId="1" fontId="17" fillId="2" borderId="27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/>
    </xf>
    <xf numFmtId="0" fontId="6" fillId="2" borderId="18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2" fillId="0" borderId="0" xfId="1" applyAlignment="1">
      <alignment horizontal="center"/>
    </xf>
    <xf numFmtId="0" fontId="12" fillId="0" borderId="0" xfId="1" applyAlignment="1">
      <alignment horizontal="center" vertical="center"/>
    </xf>
    <xf numFmtId="0" fontId="14" fillId="2" borderId="12" xfId="1" applyFont="1" applyFill="1" applyBorder="1" applyAlignment="1">
      <alignment horizontal="center" vertical="center" wrapText="1"/>
    </xf>
    <xf numFmtId="0" fontId="14" fillId="2" borderId="19" xfId="1" applyFont="1" applyFill="1" applyBorder="1" applyAlignment="1">
      <alignment horizontal="center" vertical="center" wrapText="1"/>
    </xf>
    <xf numFmtId="0" fontId="14" fillId="2" borderId="20" xfId="1" applyFont="1" applyFill="1" applyBorder="1" applyAlignment="1">
      <alignment horizontal="center" vertical="center" wrapText="1"/>
    </xf>
    <xf numFmtId="0" fontId="15" fillId="2" borderId="0" xfId="1" applyFont="1" applyFill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4" fillId="8" borderId="12" xfId="1" applyFont="1" applyFill="1" applyBorder="1" applyAlignment="1">
      <alignment horizontal="center" vertical="center" wrapText="1"/>
    </xf>
    <xf numFmtId="0" fontId="14" fillId="8" borderId="20" xfId="1" applyFont="1" applyFill="1" applyBorder="1" applyAlignment="1">
      <alignment horizontal="center" vertical="center" wrapText="1"/>
    </xf>
    <xf numFmtId="0" fontId="13" fillId="7" borderId="7" xfId="1" applyFont="1" applyFill="1" applyBorder="1" applyAlignment="1">
      <alignment horizontal="center" vertical="center"/>
    </xf>
    <xf numFmtId="0" fontId="13" fillId="7" borderId="8" xfId="1" applyFont="1" applyFill="1" applyBorder="1" applyAlignment="1">
      <alignment horizontal="center" vertical="center"/>
    </xf>
    <xf numFmtId="0" fontId="13" fillId="9" borderId="15" xfId="1" applyFont="1" applyFill="1" applyBorder="1" applyAlignment="1">
      <alignment horizontal="center" vertical="center"/>
    </xf>
    <xf numFmtId="0" fontId="13" fillId="9" borderId="16" xfId="1" applyFont="1" applyFill="1" applyBorder="1" applyAlignment="1">
      <alignment horizontal="center" vertical="center"/>
    </xf>
    <xf numFmtId="0" fontId="13" fillId="7" borderId="10" xfId="1" applyFont="1" applyFill="1" applyBorder="1" applyAlignment="1">
      <alignment horizontal="center" vertical="center"/>
    </xf>
    <xf numFmtId="0" fontId="13" fillId="7" borderId="4" xfId="1" applyFont="1" applyFill="1" applyBorder="1" applyAlignment="1">
      <alignment horizontal="center" vertical="center"/>
    </xf>
    <xf numFmtId="0" fontId="14" fillId="8" borderId="19" xfId="1" applyFont="1" applyFill="1" applyBorder="1" applyAlignment="1">
      <alignment horizontal="center" vertical="center" wrapText="1"/>
    </xf>
    <xf numFmtId="0" fontId="12" fillId="2" borderId="0" xfId="1" applyFill="1" applyAlignment="1">
      <alignment horizontal="center" vertical="center"/>
    </xf>
    <xf numFmtId="0" fontId="2" fillId="2" borderId="18" xfId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7" fillId="0" borderId="24" xfId="0" applyFont="1" applyBorder="1" applyAlignment="1">
      <alignment horizontal="right" vertical="center"/>
    </xf>
    <xf numFmtId="0" fontId="17" fillId="0" borderId="25" xfId="0" applyFont="1" applyBorder="1" applyAlignment="1">
      <alignment horizontal="right" vertical="center"/>
    </xf>
    <xf numFmtId="0" fontId="17" fillId="0" borderId="26" xfId="0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0" xfId="0" applyFill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 vertical="center"/>
    </xf>
    <xf numFmtId="0" fontId="4" fillId="0" borderId="0" xfId="0" applyFont="1" applyFill="1"/>
    <xf numFmtId="0" fontId="0" fillId="0" borderId="1" xfId="0" applyFill="1" applyBorder="1" applyAlignment="1">
      <alignment horizontal="center" vertical="center"/>
    </xf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277812</xdr:colOff>
      <xdr:row>0</xdr:row>
      <xdr:rowOff>113111</xdr:rowOff>
    </xdr:from>
    <xdr:to>
      <xdr:col>4</xdr:col>
      <xdr:colOff>207298</xdr:colOff>
      <xdr:row>0</xdr:row>
      <xdr:rowOff>646511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F6D4B3-0F9C-47D7-94ED-ECD24488DA1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4687" y="113111"/>
          <a:ext cx="703392" cy="5334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1</xdr:col>
      <xdr:colOff>29765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1E082CC-2D57-4A80-8E54-0C7B68DF62E7}"/>
            </a:ext>
          </a:extLst>
        </xdr:cNvPr>
        <xdr:cNvSpPr txBox="1"/>
      </xdr:nvSpPr>
      <xdr:spPr>
        <a:xfrm>
          <a:off x="573942" y="1371111"/>
          <a:ext cx="2113298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MAESTRECAMPO, MA. MAUREEN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511C802-39AE-4F34-8006-B93F4481205D}"/>
            </a:ext>
          </a:extLst>
        </xdr:cNvPr>
        <xdr:cNvSpPr txBox="1"/>
      </xdr:nvSpPr>
      <xdr:spPr>
        <a:xfrm>
          <a:off x="616683" y="1718407"/>
          <a:ext cx="20087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PDO I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89750F2-2143-4C9B-8CF0-E06CA6952F7C}"/>
            </a:ext>
          </a:extLst>
        </xdr:cNvPr>
        <xdr:cNvSpPr txBox="1"/>
      </xdr:nvSpPr>
      <xdr:spPr>
        <a:xfrm>
          <a:off x="3844193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NABULAO 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265662</xdr:colOff>
      <xdr:row>0</xdr:row>
      <xdr:rowOff>28769</xdr:rowOff>
    </xdr:from>
    <xdr:to>
      <xdr:col>5</xdr:col>
      <xdr:colOff>293071</xdr:colOff>
      <xdr:row>0</xdr:row>
      <xdr:rowOff>654439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9FE8CA-4355-416A-ABC4-D2EA6B860E1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83612" y="28769"/>
          <a:ext cx="700509" cy="62567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2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A184ED6-00E6-4F9E-AD0F-DBD5CEE8C8E5}"/>
            </a:ext>
          </a:extLst>
        </xdr:cNvPr>
        <xdr:cNvSpPr txBox="1"/>
      </xdr:nvSpPr>
      <xdr:spPr>
        <a:xfrm>
          <a:off x="76200" y="4756150"/>
          <a:ext cx="3028950" cy="1057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777551</xdr:colOff>
      <xdr:row>5</xdr:row>
      <xdr:rowOff>84235</xdr:rowOff>
    </xdr:from>
    <xdr:to>
      <xdr:col>2</xdr:col>
      <xdr:colOff>45357</xdr:colOff>
      <xdr:row>7</xdr:row>
      <xdr:rowOff>116633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DDADF41-2B6C-43BE-90E7-A790086AC1FD}"/>
            </a:ext>
          </a:extLst>
        </xdr:cNvPr>
        <xdr:cNvSpPr txBox="1"/>
      </xdr:nvSpPr>
      <xdr:spPr>
        <a:xfrm>
          <a:off x="777551" y="1490306"/>
          <a:ext cx="1840204" cy="2397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MAESTRECAMPO, MAUREEN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751632</xdr:colOff>
      <xdr:row>8</xdr:row>
      <xdr:rowOff>38877</xdr:rowOff>
    </xdr:from>
    <xdr:to>
      <xdr:col>1</xdr:col>
      <xdr:colOff>213827</xdr:colOff>
      <xdr:row>9</xdr:row>
      <xdr:rowOff>116632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9831AB7-2230-4853-AC84-456BF1A00308}"/>
            </a:ext>
          </a:extLst>
        </xdr:cNvPr>
        <xdr:cNvSpPr txBox="1"/>
      </xdr:nvSpPr>
      <xdr:spPr>
        <a:xfrm>
          <a:off x="751632" y="1804177"/>
          <a:ext cx="1360845" cy="2301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III</a:t>
          </a:r>
        </a:p>
      </xdr:txBody>
    </xdr:sp>
    <xdr:clientData/>
  </xdr:twoCellAnchor>
  <xdr:twoCellAnchor>
    <xdr:from>
      <xdr:col>3</xdr:col>
      <xdr:colOff>498928</xdr:colOff>
      <xdr:row>7</xdr:row>
      <xdr:rowOff>97194</xdr:rowOff>
    </xdr:from>
    <xdr:to>
      <xdr:col>6</xdr:col>
      <xdr:colOff>9843</xdr:colOff>
      <xdr:row>9</xdr:row>
      <xdr:rowOff>36510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9BBFB54-045F-4079-AD0B-EA9C57DDBF86}"/>
            </a:ext>
          </a:extLst>
        </xdr:cNvPr>
        <xdr:cNvSpPr txBox="1"/>
      </xdr:nvSpPr>
      <xdr:spPr>
        <a:xfrm>
          <a:off x="3743778" y="1710094"/>
          <a:ext cx="1530215" cy="2441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586240</xdr:colOff>
      <xdr:row>0</xdr:row>
      <xdr:rowOff>145144</xdr:rowOff>
    </xdr:from>
    <xdr:to>
      <xdr:col>5</xdr:col>
      <xdr:colOff>39913</xdr:colOff>
      <xdr:row>4</xdr:row>
      <xdr:rowOff>453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C9AD71-8BEF-498E-B845-A0D40864B7B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3815" y="145144"/>
          <a:ext cx="672873" cy="617309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7</xdr:row>
      <xdr:rowOff>170961</xdr:rowOff>
    </xdr:from>
    <xdr:to>
      <xdr:col>1</xdr:col>
      <xdr:colOff>946150</xdr:colOff>
      <xdr:row>9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A8234DE-C98A-48E3-9742-F5B17791D4B7}"/>
            </a:ext>
          </a:extLst>
        </xdr:cNvPr>
        <xdr:cNvSpPr txBox="1"/>
      </xdr:nvSpPr>
      <xdr:spPr>
        <a:xfrm>
          <a:off x="573942" y="932961"/>
          <a:ext cx="2277208" cy="2989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MAUREEN B. MAESTRECAMPO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654051</xdr:colOff>
      <xdr:row>10</xdr:row>
      <xdr:rowOff>19051</xdr:rowOff>
    </xdr:from>
    <xdr:to>
      <xdr:col>0</xdr:col>
      <xdr:colOff>1720850</xdr:colOff>
      <xdr:row>11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4A28ECB-9F37-460E-BD42-99487922A294}"/>
            </a:ext>
          </a:extLst>
        </xdr:cNvPr>
        <xdr:cNvSpPr txBox="1"/>
      </xdr:nvSpPr>
      <xdr:spPr>
        <a:xfrm>
          <a:off x="654051" y="1352551"/>
          <a:ext cx="1066799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III</a:t>
          </a:r>
        </a:p>
      </xdr:txBody>
    </xdr:sp>
    <xdr:clientData/>
  </xdr:twoCellAnchor>
  <xdr:twoCellAnchor>
    <xdr:from>
      <xdr:col>3</xdr:col>
      <xdr:colOff>526823</xdr:colOff>
      <xdr:row>10</xdr:row>
      <xdr:rowOff>42410</xdr:rowOff>
    </xdr:from>
    <xdr:to>
      <xdr:col>5</xdr:col>
      <xdr:colOff>463323</xdr:colOff>
      <xdr:row>12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DAA36AD-D381-40F4-BCE3-6C5AB923A0E7}"/>
            </a:ext>
          </a:extLst>
        </xdr:cNvPr>
        <xdr:cNvSpPr txBox="1"/>
      </xdr:nvSpPr>
      <xdr:spPr>
        <a:xfrm>
          <a:off x="3984398" y="1375910"/>
          <a:ext cx="1155700" cy="3493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BARANGAY V 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920752</xdr:colOff>
      <xdr:row>0</xdr:row>
      <xdr:rowOff>66674</xdr:rowOff>
    </xdr:from>
    <xdr:to>
      <xdr:col>3</xdr:col>
      <xdr:colOff>1876426</xdr:colOff>
      <xdr:row>1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3D986D-5585-4CCF-892E-224CDC53B7A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4952" y="66674"/>
          <a:ext cx="955674" cy="70485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24496-E4BB-4BB7-B2DE-B268EAF6FF24}">
  <sheetPr>
    <pageSetUpPr fitToPage="1"/>
  </sheetPr>
  <dimension ref="A1:K91"/>
  <sheetViews>
    <sheetView tabSelected="1" view="pageBreakPreview" topLeftCell="A66" zoomScale="96" zoomScaleNormal="100" zoomScaleSheetLayoutView="96" workbookViewId="0">
      <selection activeCell="A83" sqref="A83:XFD83"/>
    </sheetView>
  </sheetViews>
  <sheetFormatPr defaultRowHeight="15" x14ac:dyDescent="0.25"/>
  <cols>
    <col min="1" max="1" width="39.85546875" customWidth="1"/>
    <col min="2" max="10" width="11.5703125" customWidth="1"/>
    <col min="11" max="11" width="26.42578125" style="6" customWidth="1"/>
  </cols>
  <sheetData>
    <row r="1" spans="1:11" s="1" customFormat="1" ht="52.5" customHeight="1" x14ac:dyDescent="0.25"/>
    <row r="2" spans="1:11" s="1" customFormat="1" ht="10.5" customHeight="1" x14ac:dyDescent="0.25">
      <c r="A2" s="88" t="s">
        <v>39</v>
      </c>
      <c r="B2" s="88"/>
      <c r="C2" s="88"/>
      <c r="D2" s="88"/>
      <c r="E2" s="88"/>
      <c r="F2" s="88"/>
      <c r="G2" s="88"/>
      <c r="H2" s="88"/>
      <c r="I2" s="88"/>
      <c r="J2" s="88"/>
    </row>
    <row r="3" spans="1:11" s="1" customFormat="1" ht="15.95" customHeight="1" x14ac:dyDescent="0.25">
      <c r="A3" s="88" t="s">
        <v>40</v>
      </c>
      <c r="B3" s="88"/>
      <c r="C3" s="88"/>
      <c r="D3" s="88"/>
      <c r="E3" s="88"/>
      <c r="F3" s="88"/>
      <c r="G3" s="88"/>
      <c r="H3" s="88"/>
      <c r="I3" s="88"/>
      <c r="J3" s="88"/>
    </row>
    <row r="4" spans="1:11" s="1" customFormat="1" ht="15.95" customHeight="1" x14ac:dyDescent="0.25">
      <c r="A4" s="88" t="s">
        <v>41</v>
      </c>
      <c r="B4" s="88"/>
      <c r="C4" s="88"/>
      <c r="D4" s="88"/>
      <c r="E4" s="88"/>
      <c r="F4" s="88"/>
      <c r="G4" s="88"/>
      <c r="H4" s="88"/>
      <c r="I4" s="88"/>
      <c r="J4" s="88"/>
    </row>
    <row r="5" spans="1:11" s="1" customFormat="1" ht="15.95" customHeight="1" x14ac:dyDescent="0.25">
      <c r="A5" s="88" t="s">
        <v>42</v>
      </c>
      <c r="B5" s="88"/>
      <c r="C5" s="88"/>
      <c r="D5" s="88"/>
      <c r="E5" s="88"/>
      <c r="F5" s="88"/>
      <c r="G5" s="88"/>
      <c r="H5" s="88"/>
      <c r="I5" s="88"/>
      <c r="J5" s="88"/>
    </row>
    <row r="6" spans="1:11" s="1" customFormat="1" ht="8.25" customHeight="1" x14ac:dyDescent="0.25"/>
    <row r="7" spans="1:11" s="1" customFormat="1" ht="12" customHeight="1" x14ac:dyDescent="0.25">
      <c r="A7" s="1" t="s">
        <v>43</v>
      </c>
      <c r="B7" s="87" t="s">
        <v>44</v>
      </c>
      <c r="C7" s="87"/>
      <c r="D7" s="87"/>
      <c r="H7" s="4" t="s">
        <v>9</v>
      </c>
      <c r="I7" s="11"/>
      <c r="J7" s="4"/>
    </row>
    <row r="8" spans="1:11" s="1" customFormat="1" ht="12" customHeight="1" x14ac:dyDescent="0.25">
      <c r="B8" s="2"/>
      <c r="C8" s="2"/>
      <c r="H8" s="2"/>
      <c r="I8" s="2"/>
      <c r="J8" s="2"/>
    </row>
    <row r="9" spans="1:11" s="1" customFormat="1" ht="12" customHeight="1" x14ac:dyDescent="0.25">
      <c r="A9" s="1" t="s">
        <v>45</v>
      </c>
      <c r="B9" s="87" t="s">
        <v>46</v>
      </c>
      <c r="C9" s="87"/>
      <c r="D9" s="87"/>
      <c r="H9" s="4" t="s">
        <v>10</v>
      </c>
      <c r="I9" s="5"/>
      <c r="J9" s="4"/>
    </row>
    <row r="10" spans="1:11" ht="16.5" customHeight="1" thickBot="1" x14ac:dyDescent="0.3">
      <c r="A10" s="77" t="s">
        <v>0</v>
      </c>
      <c r="B10" s="77"/>
      <c r="C10" s="77"/>
      <c r="D10" s="77"/>
      <c r="E10" s="77"/>
      <c r="F10" s="77"/>
      <c r="G10" s="77"/>
      <c r="H10" s="77"/>
      <c r="I10" s="77"/>
      <c r="J10" s="77"/>
      <c r="K10"/>
    </row>
    <row r="11" spans="1:11" ht="18.75" customHeight="1" x14ac:dyDescent="0.25">
      <c r="A11" s="78" t="s">
        <v>4</v>
      </c>
      <c r="B11" s="80" t="s">
        <v>5</v>
      </c>
      <c r="C11" s="80"/>
      <c r="D11" s="81" t="s">
        <v>6</v>
      </c>
      <c r="E11" s="82"/>
      <c r="F11" s="82"/>
      <c r="G11" s="83"/>
      <c r="H11" s="84" t="s">
        <v>7</v>
      </c>
      <c r="I11" s="84"/>
      <c r="J11" s="85" t="s">
        <v>8</v>
      </c>
      <c r="K11" s="76" t="s">
        <v>11</v>
      </c>
    </row>
    <row r="12" spans="1:11" ht="18.75" customHeight="1" x14ac:dyDescent="0.25">
      <c r="A12" s="79"/>
      <c r="B12" s="3" t="s">
        <v>1</v>
      </c>
      <c r="C12" s="3" t="s">
        <v>2</v>
      </c>
      <c r="D12" s="3" t="s">
        <v>1</v>
      </c>
      <c r="E12" s="3" t="s">
        <v>2</v>
      </c>
      <c r="F12" s="3" t="s">
        <v>3</v>
      </c>
      <c r="G12" s="3" t="s">
        <v>38</v>
      </c>
      <c r="H12" s="3" t="s">
        <v>1</v>
      </c>
      <c r="I12" s="3" t="s">
        <v>2</v>
      </c>
      <c r="J12" s="86"/>
      <c r="K12" s="76"/>
    </row>
    <row r="13" spans="1:11" ht="15.95" customHeight="1" x14ac:dyDescent="0.25">
      <c r="A13" s="25" t="s">
        <v>47</v>
      </c>
      <c r="B13" s="29">
        <v>1.083</v>
      </c>
      <c r="C13" s="29">
        <v>1.083</v>
      </c>
      <c r="D13" s="29"/>
      <c r="E13" s="29"/>
      <c r="F13" s="29"/>
      <c r="G13" s="29"/>
      <c r="H13" s="29">
        <f>B13</f>
        <v>1.083</v>
      </c>
      <c r="I13" s="29">
        <f>C13</f>
        <v>1.083</v>
      </c>
      <c r="J13" s="30">
        <f>SUM(H13:I13)</f>
        <v>2.1659999999999999</v>
      </c>
    </row>
    <row r="14" spans="1:11" ht="15.95" customHeight="1" x14ac:dyDescent="0.25">
      <c r="A14" s="25" t="s">
        <v>48</v>
      </c>
      <c r="B14" s="29">
        <f>8*1.25</f>
        <v>10</v>
      </c>
      <c r="C14" s="29">
        <v>10</v>
      </c>
      <c r="D14" s="29"/>
      <c r="E14" s="29"/>
      <c r="F14" s="29"/>
      <c r="G14" s="29"/>
      <c r="H14" s="29">
        <f>H13-F14-D14+B14</f>
        <v>11.083</v>
      </c>
      <c r="I14" s="29">
        <f>I13-E14+C14</f>
        <v>11.083</v>
      </c>
      <c r="J14" s="30">
        <f t="shared" ref="J14:J15" si="0">SUM(H14:I14)</f>
        <v>22.166</v>
      </c>
    </row>
    <row r="15" spans="1:11" ht="15.95" customHeight="1" x14ac:dyDescent="0.25">
      <c r="A15" s="25" t="s">
        <v>49</v>
      </c>
      <c r="B15" s="29"/>
      <c r="C15" s="29"/>
      <c r="D15" s="29"/>
      <c r="E15" s="29"/>
      <c r="F15" s="29">
        <v>1</v>
      </c>
      <c r="G15" s="29"/>
      <c r="H15" s="29">
        <f t="shared" ref="H15" si="1">H14-F15-D15+B15</f>
        <v>10.083</v>
      </c>
      <c r="I15" s="29">
        <f t="shared" ref="I15" si="2">I14-E15+C15</f>
        <v>11.083</v>
      </c>
      <c r="J15" s="30">
        <f t="shared" si="0"/>
        <v>21.166</v>
      </c>
    </row>
    <row r="16" spans="1:11" ht="15.95" customHeight="1" x14ac:dyDescent="0.25">
      <c r="A16" s="25" t="s">
        <v>133</v>
      </c>
      <c r="B16" s="29"/>
      <c r="C16" s="29"/>
      <c r="D16" s="29"/>
      <c r="E16" s="29"/>
      <c r="F16" s="29">
        <v>4</v>
      </c>
      <c r="G16" s="29"/>
      <c r="H16" s="29">
        <f t="shared" ref="H16:H76" si="3">H15-F16-D16+B16</f>
        <v>6.0830000000000002</v>
      </c>
      <c r="I16" s="29">
        <f t="shared" ref="I16:I76" si="4">I15-E16+C16</f>
        <v>11.083</v>
      </c>
      <c r="J16" s="30">
        <f t="shared" ref="J16:J76" si="5">SUM(H16:I16)</f>
        <v>17.166</v>
      </c>
    </row>
    <row r="17" spans="1:10" ht="15.95" customHeight="1" x14ac:dyDescent="0.25">
      <c r="A17" s="25" t="s">
        <v>12</v>
      </c>
      <c r="B17" s="29"/>
      <c r="C17" s="29"/>
      <c r="D17" s="29"/>
      <c r="E17" s="29"/>
      <c r="F17" s="29">
        <v>1</v>
      </c>
      <c r="G17" s="29"/>
      <c r="H17" s="29">
        <f t="shared" si="3"/>
        <v>5.0830000000000002</v>
      </c>
      <c r="I17" s="29">
        <f t="shared" si="4"/>
        <v>11.083</v>
      </c>
      <c r="J17" s="30">
        <f t="shared" si="5"/>
        <v>16.166</v>
      </c>
    </row>
    <row r="18" spans="1:10" ht="15.95" customHeight="1" x14ac:dyDescent="0.25">
      <c r="A18" s="37" t="s">
        <v>13</v>
      </c>
      <c r="B18" s="29">
        <v>3.75</v>
      </c>
      <c r="C18" s="29">
        <v>3.75</v>
      </c>
      <c r="D18" s="29"/>
      <c r="E18" s="29"/>
      <c r="F18" s="29"/>
      <c r="G18" s="29"/>
      <c r="H18" s="29">
        <f t="shared" si="3"/>
        <v>8.8330000000000002</v>
      </c>
      <c r="I18" s="29">
        <f t="shared" si="4"/>
        <v>14.833</v>
      </c>
      <c r="J18" s="30">
        <f t="shared" si="5"/>
        <v>23.666</v>
      </c>
    </row>
    <row r="19" spans="1:10" ht="15.95" customHeight="1" x14ac:dyDescent="0.25">
      <c r="A19" s="25" t="s">
        <v>14</v>
      </c>
      <c r="B19" s="29"/>
      <c r="C19" s="29"/>
      <c r="D19" s="29"/>
      <c r="E19" s="29"/>
      <c r="F19" s="29">
        <v>1</v>
      </c>
      <c r="G19" s="29"/>
      <c r="H19" s="29">
        <f t="shared" si="3"/>
        <v>7.8330000000000002</v>
      </c>
      <c r="I19" s="29">
        <f t="shared" si="4"/>
        <v>14.833</v>
      </c>
      <c r="J19" s="30">
        <f t="shared" si="5"/>
        <v>22.666</v>
      </c>
    </row>
    <row r="20" spans="1:10" ht="15.95" customHeight="1" x14ac:dyDescent="0.25">
      <c r="A20" s="25" t="s">
        <v>15</v>
      </c>
      <c r="B20" s="29">
        <v>1.25</v>
      </c>
      <c r="C20" s="29">
        <v>1.25</v>
      </c>
      <c r="D20" s="29"/>
      <c r="E20" s="29"/>
      <c r="F20" s="29"/>
      <c r="G20" s="29"/>
      <c r="H20" s="29">
        <f t="shared" si="3"/>
        <v>9.0830000000000002</v>
      </c>
      <c r="I20" s="29">
        <f t="shared" si="4"/>
        <v>16.082999999999998</v>
      </c>
      <c r="J20" s="30">
        <f t="shared" si="5"/>
        <v>25.165999999999997</v>
      </c>
    </row>
    <row r="21" spans="1:10" ht="15.95" customHeight="1" x14ac:dyDescent="0.25">
      <c r="A21" s="25" t="s">
        <v>16</v>
      </c>
      <c r="B21" s="31"/>
      <c r="C21" s="29"/>
      <c r="D21" s="29"/>
      <c r="E21" s="29">
        <v>1</v>
      </c>
      <c r="F21" s="29"/>
      <c r="G21" s="29"/>
      <c r="H21" s="29">
        <f t="shared" si="3"/>
        <v>9.0830000000000002</v>
      </c>
      <c r="I21" s="29">
        <f t="shared" si="4"/>
        <v>15.082999999999998</v>
      </c>
      <c r="J21" s="30">
        <f t="shared" si="5"/>
        <v>24.165999999999997</v>
      </c>
    </row>
    <row r="22" spans="1:10" ht="15.95" customHeight="1" x14ac:dyDescent="0.25">
      <c r="A22" s="25" t="s">
        <v>17</v>
      </c>
      <c r="B22" s="29">
        <v>1.25</v>
      </c>
      <c r="C22" s="29">
        <v>1.25</v>
      </c>
      <c r="D22" s="29"/>
      <c r="E22" s="29"/>
      <c r="F22" s="29"/>
      <c r="G22" s="29"/>
      <c r="H22" s="29">
        <f t="shared" si="3"/>
        <v>10.333</v>
      </c>
      <c r="I22" s="29">
        <f t="shared" si="4"/>
        <v>16.332999999999998</v>
      </c>
      <c r="J22" s="30">
        <f t="shared" si="5"/>
        <v>26.665999999999997</v>
      </c>
    </row>
    <row r="23" spans="1:10" ht="15.95" customHeight="1" x14ac:dyDescent="0.25">
      <c r="A23" s="25" t="s">
        <v>18</v>
      </c>
      <c r="B23" s="29"/>
      <c r="C23" s="29"/>
      <c r="D23" s="29"/>
      <c r="E23" s="29"/>
      <c r="F23" s="29">
        <v>1</v>
      </c>
      <c r="G23" s="29"/>
      <c r="H23" s="29">
        <f t="shared" si="3"/>
        <v>9.3330000000000002</v>
      </c>
      <c r="I23" s="29">
        <f t="shared" si="4"/>
        <v>16.332999999999998</v>
      </c>
      <c r="J23" s="30">
        <f t="shared" si="5"/>
        <v>25.665999999999997</v>
      </c>
    </row>
    <row r="24" spans="1:10" ht="15.95" customHeight="1" x14ac:dyDescent="0.25">
      <c r="A24" s="25" t="s">
        <v>19</v>
      </c>
      <c r="B24" s="29"/>
      <c r="C24" s="29"/>
      <c r="D24" s="29"/>
      <c r="E24" s="29"/>
      <c r="F24" s="29"/>
      <c r="G24" s="29">
        <v>1</v>
      </c>
      <c r="H24" s="29">
        <f t="shared" si="3"/>
        <v>9.3330000000000002</v>
      </c>
      <c r="I24" s="29">
        <f t="shared" si="4"/>
        <v>16.332999999999998</v>
      </c>
      <c r="J24" s="30">
        <f t="shared" si="5"/>
        <v>25.665999999999997</v>
      </c>
    </row>
    <row r="25" spans="1:10" ht="15.95" customHeight="1" x14ac:dyDescent="0.25">
      <c r="A25" s="25" t="s">
        <v>20</v>
      </c>
      <c r="B25" s="29">
        <v>2.5</v>
      </c>
      <c r="C25" s="29">
        <v>2.5</v>
      </c>
      <c r="D25" s="29"/>
      <c r="E25" s="29"/>
      <c r="F25" s="29"/>
      <c r="G25" s="29"/>
      <c r="H25" s="29">
        <f t="shared" si="3"/>
        <v>11.833</v>
      </c>
      <c r="I25" s="29">
        <f t="shared" si="4"/>
        <v>18.832999999999998</v>
      </c>
      <c r="J25" s="30">
        <f t="shared" si="5"/>
        <v>30.665999999999997</v>
      </c>
    </row>
    <row r="26" spans="1:10" ht="15.95" customHeight="1" x14ac:dyDescent="0.25">
      <c r="A26" s="25" t="s">
        <v>21</v>
      </c>
      <c r="B26" s="29"/>
      <c r="C26" s="29"/>
      <c r="D26" s="29"/>
      <c r="E26" s="29"/>
      <c r="F26" s="29"/>
      <c r="G26" s="29">
        <v>1</v>
      </c>
      <c r="H26" s="29">
        <f t="shared" si="3"/>
        <v>11.833</v>
      </c>
      <c r="I26" s="29">
        <f t="shared" si="4"/>
        <v>18.832999999999998</v>
      </c>
      <c r="J26" s="30">
        <f t="shared" si="5"/>
        <v>30.665999999999997</v>
      </c>
    </row>
    <row r="27" spans="1:10" ht="15.95" customHeight="1" x14ac:dyDescent="0.25">
      <c r="A27" s="25" t="s">
        <v>22</v>
      </c>
      <c r="B27" s="29">
        <v>2.5</v>
      </c>
      <c r="C27" s="29">
        <v>2.5</v>
      </c>
      <c r="D27" s="29"/>
      <c r="E27" s="29"/>
      <c r="F27" s="29"/>
      <c r="G27" s="29"/>
      <c r="H27" s="29">
        <f t="shared" si="3"/>
        <v>14.333</v>
      </c>
      <c r="I27" s="29">
        <f t="shared" si="4"/>
        <v>21.332999999999998</v>
      </c>
      <c r="J27" s="30">
        <f t="shared" si="5"/>
        <v>35.665999999999997</v>
      </c>
    </row>
    <row r="28" spans="1:10" ht="15.95" customHeight="1" x14ac:dyDescent="0.25">
      <c r="A28" s="25" t="s">
        <v>23</v>
      </c>
      <c r="B28" s="29"/>
      <c r="C28" s="29"/>
      <c r="D28" s="29"/>
      <c r="E28" s="29"/>
      <c r="F28" s="29"/>
      <c r="G28" s="29">
        <v>1</v>
      </c>
      <c r="H28" s="29">
        <f t="shared" si="3"/>
        <v>14.333</v>
      </c>
      <c r="I28" s="29">
        <f t="shared" si="4"/>
        <v>21.332999999999998</v>
      </c>
      <c r="J28" s="30">
        <f t="shared" si="5"/>
        <v>35.665999999999997</v>
      </c>
    </row>
    <row r="29" spans="1:10" ht="15.95" customHeight="1" x14ac:dyDescent="0.25">
      <c r="A29" s="25" t="s">
        <v>24</v>
      </c>
      <c r="B29" s="29"/>
      <c r="C29" s="29"/>
      <c r="D29" s="29"/>
      <c r="E29" s="29"/>
      <c r="F29" s="29">
        <v>1</v>
      </c>
      <c r="G29" s="29"/>
      <c r="H29" s="29">
        <f t="shared" si="3"/>
        <v>13.333</v>
      </c>
      <c r="I29" s="29">
        <f t="shared" si="4"/>
        <v>21.332999999999998</v>
      </c>
      <c r="J29" s="30">
        <f t="shared" si="5"/>
        <v>34.665999999999997</v>
      </c>
    </row>
    <row r="30" spans="1:10" ht="15.95" customHeight="1" x14ac:dyDescent="0.25">
      <c r="A30" s="25" t="s">
        <v>25</v>
      </c>
      <c r="B30" s="29">
        <v>2.5</v>
      </c>
      <c r="C30" s="29">
        <v>2.5</v>
      </c>
      <c r="D30" s="29"/>
      <c r="E30" s="29"/>
      <c r="F30" s="29"/>
      <c r="G30" s="29"/>
      <c r="H30" s="29">
        <f t="shared" si="3"/>
        <v>15.833</v>
      </c>
      <c r="I30" s="29">
        <f t="shared" si="4"/>
        <v>23.832999999999998</v>
      </c>
      <c r="J30" s="30">
        <f t="shared" si="5"/>
        <v>39.665999999999997</v>
      </c>
    </row>
    <row r="31" spans="1:10" ht="15.95" customHeight="1" x14ac:dyDescent="0.25">
      <c r="A31" s="25" t="s">
        <v>26</v>
      </c>
      <c r="B31" s="29"/>
      <c r="C31" s="29"/>
      <c r="D31" s="29"/>
      <c r="E31" s="29"/>
      <c r="F31" s="29">
        <v>1</v>
      </c>
      <c r="G31" s="29"/>
      <c r="H31" s="29">
        <f t="shared" si="3"/>
        <v>14.833</v>
      </c>
      <c r="I31" s="29">
        <f t="shared" si="4"/>
        <v>23.832999999999998</v>
      </c>
      <c r="J31" s="30">
        <f t="shared" si="5"/>
        <v>38.665999999999997</v>
      </c>
    </row>
    <row r="32" spans="1:10" ht="15.95" customHeight="1" x14ac:dyDescent="0.25">
      <c r="A32" s="25" t="s">
        <v>27</v>
      </c>
      <c r="B32" s="29">
        <v>1.25</v>
      </c>
      <c r="C32" s="29">
        <v>1.25</v>
      </c>
      <c r="D32" s="29"/>
      <c r="E32" s="29"/>
      <c r="F32" s="29"/>
      <c r="G32" s="29"/>
      <c r="H32" s="29">
        <f t="shared" si="3"/>
        <v>16.082999999999998</v>
      </c>
      <c r="I32" s="29">
        <f t="shared" si="4"/>
        <v>25.082999999999998</v>
      </c>
      <c r="J32" s="30">
        <f t="shared" si="5"/>
        <v>41.165999999999997</v>
      </c>
    </row>
    <row r="33" spans="1:11" ht="15.95" customHeight="1" x14ac:dyDescent="0.25">
      <c r="A33" s="25" t="s">
        <v>28</v>
      </c>
      <c r="B33" s="29"/>
      <c r="C33" s="29"/>
      <c r="D33" s="29">
        <v>0.5</v>
      </c>
      <c r="E33" s="29"/>
      <c r="F33" s="29"/>
      <c r="G33" s="29"/>
      <c r="H33" s="29">
        <f t="shared" si="3"/>
        <v>15.582999999999998</v>
      </c>
      <c r="I33" s="29">
        <f t="shared" si="4"/>
        <v>25.082999999999998</v>
      </c>
      <c r="J33" s="30">
        <f t="shared" si="5"/>
        <v>40.665999999999997</v>
      </c>
    </row>
    <row r="34" spans="1:11" ht="15.95" customHeight="1" x14ac:dyDescent="0.25">
      <c r="A34" s="38" t="s">
        <v>29</v>
      </c>
      <c r="B34" s="32">
        <v>1.25</v>
      </c>
      <c r="C34" s="32">
        <v>1.25</v>
      </c>
      <c r="D34" s="33"/>
      <c r="E34" s="33"/>
      <c r="F34" s="33"/>
      <c r="G34" s="33"/>
      <c r="H34" s="29">
        <f t="shared" si="3"/>
        <v>16.832999999999998</v>
      </c>
      <c r="I34" s="29">
        <f t="shared" si="4"/>
        <v>26.332999999999998</v>
      </c>
      <c r="J34" s="30">
        <f t="shared" si="5"/>
        <v>43.165999999999997</v>
      </c>
    </row>
    <row r="35" spans="1:11" ht="15.95" customHeight="1" x14ac:dyDescent="0.25">
      <c r="A35" s="25" t="s">
        <v>30</v>
      </c>
      <c r="B35" s="34"/>
      <c r="C35" s="34"/>
      <c r="D35" s="34">
        <v>0.5</v>
      </c>
      <c r="E35" s="34"/>
      <c r="F35" s="35"/>
      <c r="G35" s="36"/>
      <c r="H35" s="29">
        <f t="shared" si="3"/>
        <v>16.332999999999998</v>
      </c>
      <c r="I35" s="29">
        <f t="shared" si="4"/>
        <v>26.332999999999998</v>
      </c>
      <c r="J35" s="30">
        <f t="shared" si="5"/>
        <v>42.665999999999997</v>
      </c>
    </row>
    <row r="36" spans="1:11" s="9" customFormat="1" ht="15.95" customHeight="1" x14ac:dyDescent="0.25">
      <c r="A36" s="39" t="s">
        <v>31</v>
      </c>
      <c r="B36" s="34">
        <v>1.25</v>
      </c>
      <c r="C36" s="34">
        <v>1.25</v>
      </c>
      <c r="D36" s="34"/>
      <c r="E36" s="34"/>
      <c r="F36" s="34"/>
      <c r="G36" s="34"/>
      <c r="H36" s="29">
        <f t="shared" si="3"/>
        <v>17.582999999999998</v>
      </c>
      <c r="I36" s="29">
        <f t="shared" si="4"/>
        <v>27.582999999999998</v>
      </c>
      <c r="J36" s="30">
        <f t="shared" si="5"/>
        <v>45.165999999999997</v>
      </c>
      <c r="K36" s="8"/>
    </row>
    <row r="37" spans="1:11" s="9" customFormat="1" ht="15.95" customHeight="1" x14ac:dyDescent="0.25">
      <c r="A37" s="39" t="s">
        <v>32</v>
      </c>
      <c r="B37" s="34"/>
      <c r="C37" s="34"/>
      <c r="D37" s="34">
        <v>0.5</v>
      </c>
      <c r="E37" s="34"/>
      <c r="F37" s="34"/>
      <c r="G37" s="34"/>
      <c r="H37" s="29">
        <f t="shared" si="3"/>
        <v>17.082999999999998</v>
      </c>
      <c r="I37" s="29">
        <f t="shared" si="4"/>
        <v>27.582999999999998</v>
      </c>
      <c r="J37" s="30">
        <f t="shared" si="5"/>
        <v>44.665999999999997</v>
      </c>
      <c r="K37" s="8"/>
    </row>
    <row r="38" spans="1:11" ht="15.95" customHeight="1" x14ac:dyDescent="0.25">
      <c r="A38" s="39" t="s">
        <v>33</v>
      </c>
      <c r="B38" s="34"/>
      <c r="C38" s="34"/>
      <c r="D38" s="34"/>
      <c r="E38" s="34"/>
      <c r="F38" s="35">
        <v>2</v>
      </c>
      <c r="G38" s="35"/>
      <c r="H38" s="29">
        <f t="shared" si="3"/>
        <v>15.082999999999998</v>
      </c>
      <c r="I38" s="29">
        <f t="shared" si="4"/>
        <v>27.582999999999998</v>
      </c>
      <c r="J38" s="30">
        <f t="shared" si="5"/>
        <v>42.665999999999997</v>
      </c>
    </row>
    <row r="39" spans="1:11" ht="15.95" customHeight="1" x14ac:dyDescent="0.25">
      <c r="A39" s="39" t="s">
        <v>34</v>
      </c>
      <c r="B39" s="34">
        <v>1.25</v>
      </c>
      <c r="C39" s="34">
        <v>1.25</v>
      </c>
      <c r="D39" s="34"/>
      <c r="E39" s="34"/>
      <c r="F39" s="34"/>
      <c r="G39" s="34"/>
      <c r="H39" s="29">
        <f t="shared" si="3"/>
        <v>16.332999999999998</v>
      </c>
      <c r="I39" s="29">
        <f t="shared" si="4"/>
        <v>28.832999999999998</v>
      </c>
      <c r="J39" s="30">
        <f t="shared" si="5"/>
        <v>45.165999999999997</v>
      </c>
    </row>
    <row r="40" spans="1:11" ht="15.95" customHeight="1" x14ac:dyDescent="0.25">
      <c r="A40" s="39" t="s">
        <v>35</v>
      </c>
      <c r="B40" s="34"/>
      <c r="C40" s="34"/>
      <c r="D40" s="34"/>
      <c r="E40" s="34"/>
      <c r="F40" s="35">
        <v>1</v>
      </c>
      <c r="G40" s="35"/>
      <c r="H40" s="29">
        <f t="shared" si="3"/>
        <v>15.332999999999998</v>
      </c>
      <c r="I40" s="29">
        <f t="shared" si="4"/>
        <v>28.832999999999998</v>
      </c>
      <c r="J40" s="30">
        <f t="shared" si="5"/>
        <v>44.165999999999997</v>
      </c>
    </row>
    <row r="41" spans="1:11" ht="15.95" customHeight="1" x14ac:dyDescent="0.25">
      <c r="A41" s="39" t="s">
        <v>36</v>
      </c>
      <c r="B41" s="34">
        <v>1.25</v>
      </c>
      <c r="C41" s="34">
        <v>1.25</v>
      </c>
      <c r="D41" s="34"/>
      <c r="E41" s="34"/>
      <c r="F41" s="34"/>
      <c r="G41" s="34"/>
      <c r="H41" s="29">
        <f t="shared" si="3"/>
        <v>16.582999999999998</v>
      </c>
      <c r="I41" s="29">
        <f t="shared" si="4"/>
        <v>30.082999999999998</v>
      </c>
      <c r="J41" s="30">
        <f t="shared" si="5"/>
        <v>46.665999999999997</v>
      </c>
    </row>
    <row r="42" spans="1:11" ht="15.95" customHeight="1" x14ac:dyDescent="0.25">
      <c r="A42" s="39" t="s">
        <v>37</v>
      </c>
      <c r="B42" s="34"/>
      <c r="C42" s="34"/>
      <c r="D42" s="34"/>
      <c r="E42" s="34"/>
      <c r="F42" s="34"/>
      <c r="G42" s="34">
        <v>1</v>
      </c>
      <c r="H42" s="29">
        <f t="shared" si="3"/>
        <v>16.582999999999998</v>
      </c>
      <c r="I42" s="29">
        <f t="shared" si="4"/>
        <v>30.082999999999998</v>
      </c>
      <c r="J42" s="30">
        <f t="shared" si="5"/>
        <v>46.665999999999997</v>
      </c>
    </row>
    <row r="43" spans="1:11" ht="15.95" customHeight="1" x14ac:dyDescent="0.25">
      <c r="A43" s="39" t="s">
        <v>69</v>
      </c>
      <c r="B43" s="34"/>
      <c r="C43" s="34"/>
      <c r="D43" s="34">
        <v>0.5</v>
      </c>
      <c r="E43" s="34"/>
      <c r="F43" s="34"/>
      <c r="G43" s="34"/>
      <c r="H43" s="29">
        <f t="shared" si="3"/>
        <v>16.082999999999998</v>
      </c>
      <c r="I43" s="29">
        <f t="shared" si="4"/>
        <v>30.082999999999998</v>
      </c>
      <c r="J43" s="30">
        <f t="shared" si="5"/>
        <v>46.165999999999997</v>
      </c>
    </row>
    <row r="44" spans="1:11" ht="15.95" customHeight="1" x14ac:dyDescent="0.25">
      <c r="A44" s="39" t="s">
        <v>70</v>
      </c>
      <c r="B44" s="34">
        <v>1.25</v>
      </c>
      <c r="C44" s="34">
        <v>1.25</v>
      </c>
      <c r="D44" s="34"/>
      <c r="E44" s="34"/>
      <c r="F44" s="34"/>
      <c r="G44" s="34"/>
      <c r="H44" s="29">
        <f t="shared" si="3"/>
        <v>17.332999999999998</v>
      </c>
      <c r="I44" s="29">
        <f t="shared" si="4"/>
        <v>31.332999999999998</v>
      </c>
      <c r="J44" s="30">
        <f t="shared" si="5"/>
        <v>48.665999999999997</v>
      </c>
    </row>
    <row r="45" spans="1:11" ht="15.95" customHeight="1" x14ac:dyDescent="0.25">
      <c r="A45" s="7" t="s">
        <v>71</v>
      </c>
      <c r="B45" s="34"/>
      <c r="C45" s="34"/>
      <c r="D45" s="34">
        <v>0.5</v>
      </c>
      <c r="E45" s="34"/>
      <c r="F45" s="34"/>
      <c r="G45" s="34"/>
      <c r="H45" s="29">
        <f t="shared" si="3"/>
        <v>16.832999999999998</v>
      </c>
      <c r="I45" s="29">
        <f t="shared" si="4"/>
        <v>31.332999999999998</v>
      </c>
      <c r="J45" s="30">
        <f t="shared" si="5"/>
        <v>48.165999999999997</v>
      </c>
    </row>
    <row r="46" spans="1:11" ht="15.95" customHeight="1" x14ac:dyDescent="0.25">
      <c r="A46" s="7" t="s">
        <v>72</v>
      </c>
      <c r="B46" s="34"/>
      <c r="C46" s="34"/>
      <c r="D46" s="34"/>
      <c r="E46" s="34">
        <v>2</v>
      </c>
      <c r="F46" s="34"/>
      <c r="G46" s="34"/>
      <c r="H46" s="29">
        <f t="shared" si="3"/>
        <v>16.832999999999998</v>
      </c>
      <c r="I46" s="29">
        <f t="shared" si="4"/>
        <v>29.332999999999998</v>
      </c>
      <c r="J46" s="30">
        <f t="shared" si="5"/>
        <v>46.165999999999997</v>
      </c>
    </row>
    <row r="47" spans="1:11" ht="15.95" customHeight="1" x14ac:dyDescent="0.25">
      <c r="A47" s="7" t="s">
        <v>73</v>
      </c>
      <c r="B47" s="34">
        <v>1.25</v>
      </c>
      <c r="C47" s="34">
        <v>1.25</v>
      </c>
      <c r="D47" s="40"/>
      <c r="E47" s="40"/>
      <c r="F47" s="40"/>
      <c r="G47" s="40"/>
      <c r="H47" s="29">
        <f t="shared" si="3"/>
        <v>18.082999999999998</v>
      </c>
      <c r="I47" s="29">
        <f t="shared" si="4"/>
        <v>30.582999999999998</v>
      </c>
      <c r="J47" s="30">
        <f t="shared" si="5"/>
        <v>48.665999999999997</v>
      </c>
    </row>
    <row r="48" spans="1:11" ht="15.95" customHeight="1" x14ac:dyDescent="0.25">
      <c r="A48" s="7" t="s">
        <v>74</v>
      </c>
      <c r="B48" s="40"/>
      <c r="C48" s="40"/>
      <c r="D48" s="40"/>
      <c r="E48" s="35">
        <v>1</v>
      </c>
      <c r="F48" s="40"/>
      <c r="G48" s="40"/>
      <c r="H48" s="29">
        <f t="shared" si="3"/>
        <v>18.082999999999998</v>
      </c>
      <c r="I48" s="29">
        <f t="shared" si="4"/>
        <v>29.582999999999998</v>
      </c>
      <c r="J48" s="30">
        <f t="shared" si="5"/>
        <v>47.665999999999997</v>
      </c>
    </row>
    <row r="49" spans="1:10" ht="15.95" customHeight="1" x14ac:dyDescent="0.25">
      <c r="A49" s="39" t="s">
        <v>75</v>
      </c>
      <c r="B49" s="42">
        <v>2.5</v>
      </c>
      <c r="C49" s="42">
        <v>2.5</v>
      </c>
      <c r="D49" s="41"/>
      <c r="E49" s="41"/>
      <c r="F49" s="41"/>
      <c r="G49" s="41"/>
      <c r="H49" s="29">
        <f t="shared" si="3"/>
        <v>20.582999999999998</v>
      </c>
      <c r="I49" s="29">
        <f t="shared" si="4"/>
        <v>32.082999999999998</v>
      </c>
      <c r="J49" s="30">
        <f t="shared" si="5"/>
        <v>52.665999999999997</v>
      </c>
    </row>
    <row r="50" spans="1:10" ht="15.95" customHeight="1" x14ac:dyDescent="0.25">
      <c r="A50" s="27" t="s">
        <v>76</v>
      </c>
      <c r="B50" s="41"/>
      <c r="C50" s="41"/>
      <c r="D50" s="35">
        <v>2</v>
      </c>
      <c r="E50" s="41"/>
      <c r="F50" s="41"/>
      <c r="G50" s="41"/>
      <c r="H50" s="29">
        <f t="shared" si="3"/>
        <v>18.582999999999998</v>
      </c>
      <c r="I50" s="29">
        <f t="shared" si="4"/>
        <v>32.082999999999998</v>
      </c>
      <c r="J50" s="30">
        <f t="shared" si="5"/>
        <v>50.665999999999997</v>
      </c>
    </row>
    <row r="51" spans="1:10" x14ac:dyDescent="0.25">
      <c r="A51" s="27" t="s">
        <v>81</v>
      </c>
      <c r="B51" s="27"/>
      <c r="C51" s="27"/>
      <c r="D51" s="27">
        <v>1</v>
      </c>
      <c r="E51" s="27"/>
      <c r="F51" s="27"/>
      <c r="G51" s="27"/>
      <c r="H51" s="29">
        <f t="shared" si="3"/>
        <v>17.582999999999998</v>
      </c>
      <c r="I51" s="29">
        <f t="shared" si="4"/>
        <v>32.082999999999998</v>
      </c>
      <c r="J51" s="30">
        <f t="shared" si="5"/>
        <v>49.665999999999997</v>
      </c>
    </row>
    <row r="52" spans="1:10" x14ac:dyDescent="0.25">
      <c r="A52" s="27" t="s">
        <v>92</v>
      </c>
      <c r="B52" s="27">
        <v>1.25</v>
      </c>
      <c r="C52" s="27">
        <v>1.25</v>
      </c>
      <c r="D52" s="27"/>
      <c r="E52" s="27"/>
      <c r="F52" s="27"/>
      <c r="G52" s="27"/>
      <c r="H52" s="29">
        <f t="shared" si="3"/>
        <v>18.832999999999998</v>
      </c>
      <c r="I52" s="29">
        <f t="shared" si="4"/>
        <v>33.332999999999998</v>
      </c>
      <c r="J52" s="30">
        <f t="shared" si="5"/>
        <v>52.165999999999997</v>
      </c>
    </row>
    <row r="53" spans="1:10" x14ac:dyDescent="0.25">
      <c r="A53" s="27" t="s">
        <v>82</v>
      </c>
      <c r="B53" s="27"/>
      <c r="C53" s="27"/>
      <c r="D53" s="27"/>
      <c r="E53" s="27">
        <v>1</v>
      </c>
      <c r="F53" s="27"/>
      <c r="G53" s="27"/>
      <c r="H53" s="29">
        <f t="shared" si="3"/>
        <v>18.832999999999998</v>
      </c>
      <c r="I53" s="29">
        <f t="shared" si="4"/>
        <v>32.332999999999998</v>
      </c>
      <c r="J53" s="30">
        <f t="shared" si="5"/>
        <v>51.165999999999997</v>
      </c>
    </row>
    <row r="54" spans="1:10" x14ac:dyDescent="0.25">
      <c r="A54" s="27" t="s">
        <v>93</v>
      </c>
      <c r="B54" s="27">
        <v>2.5</v>
      </c>
      <c r="C54" s="27">
        <v>2.5</v>
      </c>
      <c r="D54" s="27"/>
      <c r="E54" s="27"/>
      <c r="F54" s="27"/>
      <c r="G54" s="27"/>
      <c r="H54" s="29">
        <f t="shared" si="3"/>
        <v>21.332999999999998</v>
      </c>
      <c r="I54" s="29">
        <f t="shared" si="4"/>
        <v>34.832999999999998</v>
      </c>
      <c r="J54" s="30">
        <f t="shared" si="5"/>
        <v>56.165999999999997</v>
      </c>
    </row>
    <row r="55" spans="1:10" x14ac:dyDescent="0.25">
      <c r="A55" s="27" t="s">
        <v>94</v>
      </c>
      <c r="B55" s="27"/>
      <c r="C55" s="27"/>
      <c r="D55" s="27">
        <v>1</v>
      </c>
      <c r="E55" s="27"/>
      <c r="F55" s="27"/>
      <c r="G55" s="27"/>
      <c r="H55" s="29">
        <f t="shared" si="3"/>
        <v>20.332999999999998</v>
      </c>
      <c r="I55" s="29">
        <f t="shared" si="4"/>
        <v>34.832999999999998</v>
      </c>
      <c r="J55" s="30">
        <f t="shared" si="5"/>
        <v>55.165999999999997</v>
      </c>
    </row>
    <row r="56" spans="1:10" x14ac:dyDescent="0.25">
      <c r="A56" s="27" t="s">
        <v>95</v>
      </c>
      <c r="B56" s="27">
        <v>1.25</v>
      </c>
      <c r="C56" s="27">
        <v>1.25</v>
      </c>
      <c r="D56" s="27"/>
      <c r="E56" s="27"/>
      <c r="F56" s="27"/>
      <c r="G56" s="27"/>
      <c r="H56" s="29">
        <f t="shared" si="3"/>
        <v>21.582999999999998</v>
      </c>
      <c r="I56" s="29">
        <f t="shared" si="4"/>
        <v>36.082999999999998</v>
      </c>
      <c r="J56" s="30">
        <f t="shared" si="5"/>
        <v>57.665999999999997</v>
      </c>
    </row>
    <row r="57" spans="1:10" s="6" customFormat="1" x14ac:dyDescent="0.25">
      <c r="A57" s="27" t="s">
        <v>96</v>
      </c>
      <c r="B57" s="27"/>
      <c r="C57" s="27"/>
      <c r="D57" s="27"/>
      <c r="E57" s="27">
        <v>3</v>
      </c>
      <c r="F57" s="27"/>
      <c r="G57" s="27"/>
      <c r="H57" s="29">
        <f t="shared" si="3"/>
        <v>21.582999999999998</v>
      </c>
      <c r="I57" s="29">
        <f t="shared" si="4"/>
        <v>33.082999999999998</v>
      </c>
      <c r="J57" s="30">
        <f t="shared" si="5"/>
        <v>54.665999999999997</v>
      </c>
    </row>
    <row r="58" spans="1:10" s="6" customFormat="1" x14ac:dyDescent="0.25">
      <c r="A58" s="27" t="s">
        <v>110</v>
      </c>
      <c r="B58" s="27"/>
      <c r="C58" s="27"/>
      <c r="D58" s="27"/>
      <c r="E58" s="27"/>
      <c r="F58" s="27">
        <v>2</v>
      </c>
      <c r="G58" s="27"/>
      <c r="H58" s="29">
        <f t="shared" si="3"/>
        <v>19.582999999999998</v>
      </c>
      <c r="I58" s="29">
        <f t="shared" si="4"/>
        <v>33.082999999999998</v>
      </c>
      <c r="J58" s="30">
        <f t="shared" si="5"/>
        <v>52.665999999999997</v>
      </c>
    </row>
    <row r="59" spans="1:10" s="6" customFormat="1" x14ac:dyDescent="0.25">
      <c r="A59" s="27" t="s">
        <v>97</v>
      </c>
      <c r="B59" s="27"/>
      <c r="C59" s="27"/>
      <c r="D59" s="27"/>
      <c r="E59" s="27"/>
      <c r="F59" s="27"/>
      <c r="G59" s="27">
        <v>2</v>
      </c>
      <c r="H59" s="29">
        <f t="shared" si="3"/>
        <v>19.582999999999998</v>
      </c>
      <c r="I59" s="29">
        <f t="shared" si="4"/>
        <v>33.082999999999998</v>
      </c>
      <c r="J59" s="30">
        <f t="shared" si="5"/>
        <v>52.665999999999997</v>
      </c>
    </row>
    <row r="60" spans="1:10" s="6" customFormat="1" x14ac:dyDescent="0.25">
      <c r="A60" s="27" t="s">
        <v>98</v>
      </c>
      <c r="B60" s="27">
        <v>2.5</v>
      </c>
      <c r="C60" s="27">
        <v>2.5</v>
      </c>
      <c r="D60" s="27"/>
      <c r="E60" s="27"/>
      <c r="F60" s="27"/>
      <c r="G60" s="27"/>
      <c r="H60" s="29">
        <f t="shared" si="3"/>
        <v>22.082999999999998</v>
      </c>
      <c r="I60" s="29">
        <f t="shared" si="4"/>
        <v>35.582999999999998</v>
      </c>
      <c r="J60" s="30">
        <f t="shared" si="5"/>
        <v>57.665999999999997</v>
      </c>
    </row>
    <row r="61" spans="1:10" s="6" customFormat="1" x14ac:dyDescent="0.25">
      <c r="A61" s="27" t="s">
        <v>99</v>
      </c>
      <c r="B61" s="27"/>
      <c r="C61" s="27"/>
      <c r="D61" s="27">
        <v>2</v>
      </c>
      <c r="E61" s="27"/>
      <c r="F61" s="27"/>
      <c r="G61" s="27"/>
      <c r="H61" s="29">
        <f t="shared" si="3"/>
        <v>20.082999999999998</v>
      </c>
      <c r="I61" s="29">
        <f t="shared" si="4"/>
        <v>35.582999999999998</v>
      </c>
      <c r="J61" s="30">
        <f t="shared" si="5"/>
        <v>55.665999999999997</v>
      </c>
    </row>
    <row r="62" spans="1:10" s="6" customFormat="1" x14ac:dyDescent="0.25">
      <c r="A62" s="7" t="s">
        <v>100</v>
      </c>
      <c r="B62" s="7">
        <v>2.5</v>
      </c>
      <c r="C62" s="7">
        <v>2.5</v>
      </c>
      <c r="D62" s="41"/>
      <c r="E62" s="41"/>
      <c r="F62" s="41"/>
      <c r="G62" s="41"/>
      <c r="H62" s="29">
        <f t="shared" si="3"/>
        <v>22.582999999999998</v>
      </c>
      <c r="I62" s="29">
        <f t="shared" si="4"/>
        <v>38.082999999999998</v>
      </c>
      <c r="J62" s="30">
        <f t="shared" si="5"/>
        <v>60.665999999999997</v>
      </c>
    </row>
    <row r="63" spans="1:10" s="6" customFormat="1" x14ac:dyDescent="0.25">
      <c r="A63" s="27" t="s">
        <v>101</v>
      </c>
      <c r="B63" s="27"/>
      <c r="C63" s="27"/>
      <c r="D63" s="27"/>
      <c r="E63" s="27"/>
      <c r="F63" s="27">
        <v>2</v>
      </c>
      <c r="G63" s="27"/>
      <c r="H63" s="29">
        <f t="shared" si="3"/>
        <v>20.582999999999998</v>
      </c>
      <c r="I63" s="29">
        <f t="shared" si="4"/>
        <v>38.082999999999998</v>
      </c>
      <c r="J63" s="30">
        <f t="shared" si="5"/>
        <v>58.665999999999997</v>
      </c>
    </row>
    <row r="64" spans="1:10" s="6" customFormat="1" x14ac:dyDescent="0.25">
      <c r="A64" s="27" t="s">
        <v>102</v>
      </c>
      <c r="B64" s="27">
        <v>3.75</v>
      </c>
      <c r="C64" s="27">
        <v>3.75</v>
      </c>
      <c r="D64" s="27"/>
      <c r="E64" s="27"/>
      <c r="F64" s="27"/>
      <c r="G64" s="27"/>
      <c r="H64" s="29">
        <f t="shared" si="3"/>
        <v>24.332999999999998</v>
      </c>
      <c r="I64" s="29">
        <f t="shared" si="4"/>
        <v>41.832999999999998</v>
      </c>
      <c r="J64" s="30">
        <f t="shared" si="5"/>
        <v>66.165999999999997</v>
      </c>
    </row>
    <row r="65" spans="1:10" s="6" customFormat="1" x14ac:dyDescent="0.25">
      <c r="A65" s="27" t="s">
        <v>103</v>
      </c>
      <c r="B65" s="27"/>
      <c r="C65" s="27"/>
      <c r="D65" s="27"/>
      <c r="E65" s="27">
        <v>1</v>
      </c>
      <c r="F65" s="27"/>
      <c r="G65" s="27"/>
      <c r="H65" s="29">
        <f t="shared" si="3"/>
        <v>24.332999999999998</v>
      </c>
      <c r="I65" s="29">
        <f t="shared" si="4"/>
        <v>40.832999999999998</v>
      </c>
      <c r="J65" s="30">
        <f t="shared" si="5"/>
        <v>65.165999999999997</v>
      </c>
    </row>
    <row r="66" spans="1:10" s="6" customFormat="1" x14ac:dyDescent="0.25">
      <c r="A66" s="27" t="s">
        <v>104</v>
      </c>
      <c r="B66" s="27"/>
      <c r="C66" s="27"/>
      <c r="D66" s="27"/>
      <c r="E66" s="27"/>
      <c r="F66" s="27"/>
      <c r="G66" s="27">
        <v>1</v>
      </c>
      <c r="H66" s="29">
        <f t="shared" si="3"/>
        <v>24.332999999999998</v>
      </c>
      <c r="I66" s="29">
        <f t="shared" si="4"/>
        <v>40.832999999999998</v>
      </c>
      <c r="J66" s="30">
        <f t="shared" si="5"/>
        <v>65.165999999999997</v>
      </c>
    </row>
    <row r="67" spans="1:10" s="6" customFormat="1" x14ac:dyDescent="0.25">
      <c r="A67" s="27" t="s">
        <v>105</v>
      </c>
      <c r="B67" s="27"/>
      <c r="C67" s="27"/>
      <c r="D67" s="27">
        <v>10</v>
      </c>
      <c r="E67" s="27"/>
      <c r="F67" s="27"/>
      <c r="G67" s="27"/>
      <c r="H67" s="29">
        <f t="shared" si="3"/>
        <v>14.332999999999998</v>
      </c>
      <c r="I67" s="29">
        <f t="shared" si="4"/>
        <v>40.832999999999998</v>
      </c>
      <c r="J67" s="30">
        <f t="shared" si="5"/>
        <v>55.165999999999997</v>
      </c>
    </row>
    <row r="68" spans="1:10" s="6" customFormat="1" x14ac:dyDescent="0.25">
      <c r="A68" s="27" t="s">
        <v>107</v>
      </c>
      <c r="B68" s="27">
        <v>3.75</v>
      </c>
      <c r="C68" s="27">
        <v>3.75</v>
      </c>
      <c r="D68" s="27"/>
      <c r="E68" s="27"/>
      <c r="F68" s="27"/>
      <c r="G68" s="27"/>
      <c r="H68" s="29">
        <f t="shared" si="3"/>
        <v>18.082999999999998</v>
      </c>
      <c r="I68" s="29">
        <f t="shared" si="4"/>
        <v>44.582999999999998</v>
      </c>
      <c r="J68" s="30">
        <f t="shared" si="5"/>
        <v>62.665999999999997</v>
      </c>
    </row>
    <row r="69" spans="1:10" s="6" customFormat="1" x14ac:dyDescent="0.25">
      <c r="A69" s="27" t="s">
        <v>108</v>
      </c>
      <c r="B69" s="27"/>
      <c r="C69" s="27"/>
      <c r="D69" s="27"/>
      <c r="E69" s="27">
        <v>1</v>
      </c>
      <c r="F69" s="27"/>
      <c r="G69" s="27"/>
      <c r="H69" s="29">
        <f t="shared" si="3"/>
        <v>18.082999999999998</v>
      </c>
      <c r="I69" s="29">
        <f t="shared" si="4"/>
        <v>43.582999999999998</v>
      </c>
      <c r="J69" s="30">
        <f t="shared" si="5"/>
        <v>61.665999999999997</v>
      </c>
    </row>
    <row r="70" spans="1:10" s="6" customFormat="1" x14ac:dyDescent="0.25">
      <c r="A70" s="27" t="s">
        <v>109</v>
      </c>
      <c r="B70" s="27"/>
      <c r="C70" s="27"/>
      <c r="D70" s="27"/>
      <c r="E70" s="27"/>
      <c r="F70" s="27">
        <v>3</v>
      </c>
      <c r="G70" s="27"/>
      <c r="H70" s="29">
        <f t="shared" si="3"/>
        <v>15.082999999999998</v>
      </c>
      <c r="I70" s="29">
        <f t="shared" si="4"/>
        <v>43.582999999999998</v>
      </c>
      <c r="J70" s="30">
        <f t="shared" si="5"/>
        <v>58.665999999999997</v>
      </c>
    </row>
    <row r="71" spans="1:10" s="6" customFormat="1" x14ac:dyDescent="0.25">
      <c r="A71" s="27" t="s">
        <v>111</v>
      </c>
      <c r="B71" s="27">
        <v>1.25</v>
      </c>
      <c r="C71" s="27">
        <v>1.25</v>
      </c>
      <c r="D71" s="27"/>
      <c r="E71" s="27"/>
      <c r="F71" s="27"/>
      <c r="G71" s="27"/>
      <c r="H71" s="29">
        <f t="shared" si="3"/>
        <v>16.332999999999998</v>
      </c>
      <c r="I71" s="29">
        <f t="shared" si="4"/>
        <v>44.832999999999998</v>
      </c>
      <c r="J71" s="30">
        <f t="shared" si="5"/>
        <v>61.165999999999997</v>
      </c>
    </row>
    <row r="72" spans="1:10" s="6" customFormat="1" x14ac:dyDescent="0.25">
      <c r="A72" s="27" t="s">
        <v>112</v>
      </c>
      <c r="B72" s="27"/>
      <c r="C72" s="27"/>
      <c r="D72" s="27"/>
      <c r="E72" s="27">
        <v>1</v>
      </c>
      <c r="F72" s="27"/>
      <c r="G72" s="27"/>
      <c r="H72" s="29">
        <f t="shared" si="3"/>
        <v>16.332999999999998</v>
      </c>
      <c r="I72" s="29">
        <f t="shared" si="4"/>
        <v>43.832999999999998</v>
      </c>
      <c r="J72" s="30">
        <f t="shared" si="5"/>
        <v>60.165999999999997</v>
      </c>
    </row>
    <row r="73" spans="1:10" s="6" customFormat="1" x14ac:dyDescent="0.25">
      <c r="A73" s="27" t="s">
        <v>130</v>
      </c>
      <c r="B73" s="27">
        <v>1.25</v>
      </c>
      <c r="C73" s="27">
        <v>1.25</v>
      </c>
      <c r="D73" s="27"/>
      <c r="E73" s="27"/>
      <c r="F73" s="27"/>
      <c r="G73" s="27"/>
      <c r="H73" s="29">
        <f t="shared" si="3"/>
        <v>17.582999999999998</v>
      </c>
      <c r="I73" s="29">
        <f t="shared" si="4"/>
        <v>45.082999999999998</v>
      </c>
      <c r="J73" s="30">
        <f t="shared" si="5"/>
        <v>62.665999999999997</v>
      </c>
    </row>
    <row r="74" spans="1:10" s="6" customFormat="1" x14ac:dyDescent="0.25">
      <c r="A74" s="27" t="s">
        <v>131</v>
      </c>
      <c r="B74" s="27">
        <v>2.5</v>
      </c>
      <c r="C74" s="27">
        <v>2.5</v>
      </c>
      <c r="D74" s="27"/>
      <c r="E74" s="27"/>
      <c r="F74" s="27"/>
      <c r="G74" s="27"/>
      <c r="H74" s="29">
        <f t="shared" si="3"/>
        <v>20.082999999999998</v>
      </c>
      <c r="I74" s="29">
        <f t="shared" si="4"/>
        <v>47.582999999999998</v>
      </c>
      <c r="J74" s="30">
        <f t="shared" si="5"/>
        <v>67.665999999999997</v>
      </c>
    </row>
    <row r="75" spans="1:10" s="6" customFormat="1" x14ac:dyDescent="0.25">
      <c r="A75" s="27" t="s">
        <v>132</v>
      </c>
      <c r="B75" s="27"/>
      <c r="C75" s="27"/>
      <c r="D75" s="27">
        <v>3</v>
      </c>
      <c r="E75" s="27"/>
      <c r="F75" s="27"/>
      <c r="G75" s="27"/>
      <c r="H75" s="29">
        <f t="shared" si="3"/>
        <v>17.082999999999998</v>
      </c>
      <c r="I75" s="29">
        <f t="shared" si="4"/>
        <v>47.582999999999998</v>
      </c>
      <c r="J75" s="30">
        <f t="shared" si="5"/>
        <v>64.665999999999997</v>
      </c>
    </row>
    <row r="76" spans="1:10" s="6" customFormat="1" x14ac:dyDescent="0.25">
      <c r="A76" s="27" t="s">
        <v>134</v>
      </c>
      <c r="B76" s="27">
        <v>5</v>
      </c>
      <c r="C76" s="27">
        <v>5</v>
      </c>
      <c r="D76" s="27"/>
      <c r="E76" s="27"/>
      <c r="F76" s="27"/>
      <c r="G76" s="27"/>
      <c r="H76" s="29">
        <f t="shared" si="3"/>
        <v>22.082999999999998</v>
      </c>
      <c r="I76" s="29">
        <f t="shared" si="4"/>
        <v>52.582999999999998</v>
      </c>
      <c r="J76" s="30">
        <f t="shared" si="5"/>
        <v>74.665999999999997</v>
      </c>
    </row>
    <row r="77" spans="1:10" s="6" customFormat="1" x14ac:dyDescent="0.25">
      <c r="A77" s="27" t="s">
        <v>135</v>
      </c>
      <c r="B77" s="27"/>
      <c r="C77" s="27"/>
      <c r="D77" s="27">
        <v>10</v>
      </c>
      <c r="E77" s="27"/>
      <c r="F77" s="27"/>
      <c r="G77" s="27"/>
      <c r="H77" s="29">
        <f t="shared" ref="H77" si="6">H76-F77-D77+B77</f>
        <v>12.082999999999998</v>
      </c>
      <c r="I77" s="29">
        <f t="shared" ref="I77" si="7">I76-E77+C77</f>
        <v>52.582999999999998</v>
      </c>
      <c r="J77" s="30">
        <f t="shared" ref="J77" si="8">SUM(H77:I77)</f>
        <v>64.665999999999997</v>
      </c>
    </row>
    <row r="78" spans="1:10" s="6" customFormat="1" x14ac:dyDescent="0.25">
      <c r="A78" s="27" t="s">
        <v>136</v>
      </c>
      <c r="B78" s="27"/>
      <c r="C78" s="27"/>
      <c r="D78" s="27"/>
      <c r="E78" s="27"/>
      <c r="F78" s="74">
        <v>3</v>
      </c>
      <c r="G78" s="27"/>
      <c r="H78" s="29">
        <f t="shared" ref="H78" si="9">H77-F78-D78+B78</f>
        <v>9.0829999999999984</v>
      </c>
      <c r="I78" s="29">
        <f t="shared" ref="I78" si="10">I77-E78+C78</f>
        <v>52.582999999999998</v>
      </c>
      <c r="J78" s="30">
        <f t="shared" ref="J78" si="11">SUM(H78:I78)</f>
        <v>61.665999999999997</v>
      </c>
    </row>
    <row r="79" spans="1:10" s="6" customFormat="1" x14ac:dyDescent="0.25">
      <c r="A79" s="27" t="s">
        <v>137</v>
      </c>
      <c r="B79" s="27">
        <v>1.25</v>
      </c>
      <c r="C79" s="27">
        <v>1.25</v>
      </c>
      <c r="D79" s="27"/>
      <c r="E79" s="27"/>
      <c r="F79" s="27"/>
      <c r="G79" s="27"/>
      <c r="H79" s="29">
        <f t="shared" ref="H79:H80" si="12">H78-F79-D79+B79</f>
        <v>10.332999999999998</v>
      </c>
      <c r="I79" s="29">
        <f t="shared" ref="I79:I80" si="13">I78-E79+C79</f>
        <v>53.832999999999998</v>
      </c>
      <c r="J79" s="30">
        <f t="shared" ref="J79:J80" si="14">SUM(H79:I79)</f>
        <v>64.165999999999997</v>
      </c>
    </row>
    <row r="80" spans="1:10" s="6" customFormat="1" x14ac:dyDescent="0.25">
      <c r="A80" s="27" t="s">
        <v>138</v>
      </c>
      <c r="B80" s="27"/>
      <c r="C80" s="27"/>
      <c r="D80" s="27"/>
      <c r="E80" s="27"/>
      <c r="F80" s="27"/>
      <c r="G80" s="75">
        <v>1</v>
      </c>
      <c r="H80" s="29">
        <f t="shared" si="12"/>
        <v>10.332999999999998</v>
      </c>
      <c r="I80" s="29">
        <f t="shared" si="13"/>
        <v>53.832999999999998</v>
      </c>
      <c r="J80" s="30">
        <f t="shared" si="14"/>
        <v>64.165999999999997</v>
      </c>
    </row>
    <row r="81" spans="1:10" s="6" customFormat="1" x14ac:dyDescent="0.25">
      <c r="A81" s="27" t="s">
        <v>139</v>
      </c>
      <c r="B81" s="27">
        <v>1.25</v>
      </c>
      <c r="C81" s="27">
        <v>1.25</v>
      </c>
      <c r="D81" s="27"/>
      <c r="E81" s="27"/>
      <c r="F81" s="27"/>
      <c r="G81" s="27"/>
      <c r="H81" s="29">
        <f t="shared" ref="H81:H82" si="15">H80-F81-D81+B81</f>
        <v>11.582999999999998</v>
      </c>
      <c r="I81" s="29">
        <f t="shared" ref="I81:I82" si="16">I80-E81+C81</f>
        <v>55.082999999999998</v>
      </c>
      <c r="J81" s="30">
        <f t="shared" ref="J81:J82" si="17">SUM(H81:I81)</f>
        <v>66.665999999999997</v>
      </c>
    </row>
    <row r="82" spans="1:10" s="6" customFormat="1" x14ac:dyDescent="0.25">
      <c r="A82" s="27" t="s">
        <v>140</v>
      </c>
      <c r="B82" s="27"/>
      <c r="C82" s="27"/>
      <c r="D82" s="27"/>
      <c r="E82" s="27"/>
      <c r="F82" s="74">
        <v>2</v>
      </c>
      <c r="G82" s="27"/>
      <c r="H82" s="29">
        <f t="shared" si="15"/>
        <v>9.5829999999999984</v>
      </c>
      <c r="I82" s="29">
        <f t="shared" si="16"/>
        <v>55.082999999999998</v>
      </c>
      <c r="J82" s="30">
        <f t="shared" si="17"/>
        <v>64.665999999999997</v>
      </c>
    </row>
    <row r="83" spans="1:10" s="131" customFormat="1" x14ac:dyDescent="0.25">
      <c r="A83" s="132" t="s">
        <v>141</v>
      </c>
      <c r="B83" s="132">
        <v>1.25</v>
      </c>
      <c r="C83" s="132">
        <v>1.25</v>
      </c>
      <c r="D83" s="132"/>
      <c r="E83" s="132"/>
      <c r="F83" s="132"/>
      <c r="G83" s="132"/>
      <c r="H83" s="29">
        <f t="shared" ref="H83:H84" si="18">H82-F83-D83+B83</f>
        <v>10.832999999999998</v>
      </c>
      <c r="I83" s="29">
        <f t="shared" ref="I83:I84" si="19">I82-E83+C83</f>
        <v>56.332999999999998</v>
      </c>
      <c r="J83" s="30">
        <f t="shared" ref="J83:J84" si="20">SUM(H83:I83)</f>
        <v>67.165999999999997</v>
      </c>
    </row>
    <row r="84" spans="1:10" s="131" customFormat="1" x14ac:dyDescent="0.25">
      <c r="A84" s="132" t="s">
        <v>142</v>
      </c>
      <c r="B84" s="132"/>
      <c r="C84" s="132"/>
      <c r="D84" s="132"/>
      <c r="E84" s="132"/>
      <c r="F84" s="132"/>
      <c r="G84" s="75">
        <v>1</v>
      </c>
      <c r="H84" s="29">
        <f t="shared" si="18"/>
        <v>10.832999999999998</v>
      </c>
      <c r="I84" s="29">
        <f t="shared" si="19"/>
        <v>56.332999999999998</v>
      </c>
      <c r="J84" s="30">
        <f t="shared" si="20"/>
        <v>67.165999999999997</v>
      </c>
    </row>
    <row r="85" spans="1:10" s="131" customFormat="1" x14ac:dyDescent="0.25">
      <c r="A85" s="129"/>
      <c r="B85" s="129"/>
      <c r="C85" s="129"/>
      <c r="D85" s="129"/>
      <c r="E85" s="129"/>
      <c r="F85" s="129"/>
      <c r="G85" s="129"/>
      <c r="H85" s="130"/>
      <c r="I85" s="130"/>
      <c r="J85" s="130"/>
    </row>
    <row r="86" spans="1:10" s="6" customFormat="1" x14ac:dyDescent="0.25">
      <c r="A86" s="57"/>
      <c r="B86" s="57"/>
      <c r="C86" s="57"/>
      <c r="D86" s="57"/>
      <c r="E86" s="57"/>
      <c r="F86" s="57"/>
      <c r="G86" s="57"/>
      <c r="H86" s="58"/>
      <c r="I86" s="58"/>
      <c r="J86" s="58"/>
    </row>
    <row r="87" spans="1:10" s="1" customFormat="1" ht="15" customHeight="1" x14ac:dyDescent="0.25">
      <c r="G87" s="1" t="s">
        <v>77</v>
      </c>
    </row>
    <row r="88" spans="1:10" s="1" customFormat="1" ht="15" customHeight="1" x14ac:dyDescent="0.25"/>
    <row r="89" spans="1:10" s="1" customFormat="1" ht="15" customHeight="1" x14ac:dyDescent="0.25">
      <c r="H89" s="56" t="s">
        <v>78</v>
      </c>
    </row>
    <row r="90" spans="1:10" s="1" customFormat="1" ht="15" customHeight="1" x14ac:dyDescent="0.25">
      <c r="H90" s="1" t="s">
        <v>79</v>
      </c>
    </row>
    <row r="91" spans="1:10" s="1" customFormat="1" ht="15" customHeight="1" x14ac:dyDescent="0.25">
      <c r="H91" s="1" t="s">
        <v>106</v>
      </c>
    </row>
  </sheetData>
  <mergeCells count="13">
    <mergeCell ref="B9:D9"/>
    <mergeCell ref="A2:J2"/>
    <mergeCell ref="A3:J3"/>
    <mergeCell ref="A4:J4"/>
    <mergeCell ref="A5:J5"/>
    <mergeCell ref="B7:D7"/>
    <mergeCell ref="K11:K12"/>
    <mergeCell ref="A10:J10"/>
    <mergeCell ref="A11:A12"/>
    <mergeCell ref="B11:C11"/>
    <mergeCell ref="D11:G11"/>
    <mergeCell ref="H11:I11"/>
    <mergeCell ref="J11:J12"/>
  </mergeCells>
  <printOptions horizontalCentered="1"/>
  <pageMargins left="0.23622047244094491" right="0.23622047244094491" top="0.19685039370078741" bottom="0.19685039370078741" header="0.31496062992125984" footer="0.31496062992125984"/>
  <pageSetup paperSize="9" scale="58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4"/>
  <sheetViews>
    <sheetView view="pageBreakPreview" zoomScale="98" zoomScaleNormal="100" zoomScaleSheetLayoutView="98" workbookViewId="0">
      <selection activeCell="A22" sqref="A22:L22"/>
    </sheetView>
  </sheetViews>
  <sheetFormatPr defaultRowHeight="15" x14ac:dyDescent="0.25"/>
  <cols>
    <col min="1" max="1" width="27.140625" customWidth="1"/>
    <col min="2" max="11" width="9.5703125" customWidth="1"/>
    <col min="12" max="12" width="7.5703125" customWidth="1"/>
    <col min="13" max="13" width="8.7109375" hidden="1" customWidth="1"/>
  </cols>
  <sheetData>
    <row r="1" spans="1:12" s="1" customFormat="1" ht="52.5" customHeight="1" x14ac:dyDescent="0.25">
      <c r="C1" s="12"/>
      <c r="D1" s="13"/>
      <c r="H1" s="10"/>
    </row>
    <row r="2" spans="1:12" s="1" customFormat="1" ht="10.5" customHeight="1" x14ac:dyDescent="0.25">
      <c r="A2" s="88" t="s">
        <v>39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</row>
    <row r="3" spans="1:12" s="1" customFormat="1" ht="15.95" customHeight="1" x14ac:dyDescent="0.25">
      <c r="A3" s="88" t="s">
        <v>40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</row>
    <row r="4" spans="1:12" s="1" customFormat="1" ht="15.95" customHeight="1" x14ac:dyDescent="0.25">
      <c r="A4" s="88" t="s">
        <v>41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</row>
    <row r="5" spans="1:12" s="1" customFormat="1" ht="15.95" customHeight="1" x14ac:dyDescent="0.25">
      <c r="A5" s="88" t="s">
        <v>42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</row>
    <row r="6" spans="1:12" s="1" customFormat="1" ht="8.25" customHeight="1" x14ac:dyDescent="0.25">
      <c r="C6" s="10"/>
      <c r="H6" s="10"/>
    </row>
    <row r="7" spans="1:12" s="1" customFormat="1" ht="8.25" customHeight="1" x14ac:dyDescent="0.25">
      <c r="C7" s="10"/>
      <c r="H7" s="10"/>
    </row>
    <row r="8" spans="1:12" s="1" customFormat="1" ht="12" customHeight="1" x14ac:dyDescent="0.25">
      <c r="A8" s="14" t="s">
        <v>50</v>
      </c>
      <c r="B8" s="14"/>
      <c r="C8" s="89" t="s">
        <v>51</v>
      </c>
      <c r="D8" s="89"/>
      <c r="E8" s="89"/>
      <c r="F8" s="89"/>
      <c r="G8" s="89"/>
      <c r="I8" s="89" t="s">
        <v>52</v>
      </c>
      <c r="J8" s="89"/>
      <c r="K8" s="89"/>
      <c r="L8" s="14"/>
    </row>
    <row r="9" spans="1:12" s="1" customFormat="1" ht="12" customHeight="1" x14ac:dyDescent="0.25">
      <c r="B9" s="15"/>
      <c r="C9" s="89" t="s">
        <v>53</v>
      </c>
      <c r="D9" s="89"/>
      <c r="E9" s="89"/>
      <c r="F9" s="89"/>
      <c r="G9" s="89"/>
      <c r="I9" s="90" t="s">
        <v>54</v>
      </c>
      <c r="J9" s="90"/>
      <c r="K9" s="90"/>
      <c r="L9" s="15"/>
    </row>
    <row r="10" spans="1:12" s="1" customFormat="1" ht="12" customHeight="1" x14ac:dyDescent="0.25">
      <c r="A10" s="14" t="s">
        <v>55</v>
      </c>
      <c r="B10" s="14"/>
      <c r="C10" s="16"/>
      <c r="D10" s="15"/>
      <c r="E10" s="15"/>
      <c r="I10" s="89" t="s">
        <v>56</v>
      </c>
      <c r="J10" s="89"/>
      <c r="K10" s="89"/>
      <c r="L10" s="14"/>
    </row>
    <row r="11" spans="1:12" ht="16.5" customHeight="1" thickBot="1" x14ac:dyDescent="0.3">
      <c r="A11" s="91" t="s">
        <v>57</v>
      </c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</row>
    <row r="12" spans="1:12" s="20" customFormat="1" ht="48" x14ac:dyDescent="0.2">
      <c r="A12" s="17" t="s">
        <v>4</v>
      </c>
      <c r="B12" s="18" t="s">
        <v>58</v>
      </c>
      <c r="C12" s="18" t="s">
        <v>59</v>
      </c>
      <c r="D12" s="18" t="s">
        <v>60</v>
      </c>
      <c r="E12" s="18" t="s">
        <v>61</v>
      </c>
      <c r="F12" s="18" t="s">
        <v>62</v>
      </c>
      <c r="G12" s="18" t="s">
        <v>63</v>
      </c>
      <c r="H12" s="18" t="s">
        <v>64</v>
      </c>
      <c r="I12" s="18" t="s">
        <v>65</v>
      </c>
      <c r="J12" s="18" t="s">
        <v>66</v>
      </c>
      <c r="K12" s="18" t="s">
        <v>67</v>
      </c>
      <c r="L12" s="19" t="s">
        <v>8</v>
      </c>
    </row>
    <row r="13" spans="1:12" s="20" customFormat="1" x14ac:dyDescent="0.2">
      <c r="A13" s="21" t="s">
        <v>68</v>
      </c>
      <c r="B13" s="22"/>
      <c r="C13" s="23"/>
      <c r="D13" s="23"/>
      <c r="E13" s="22"/>
      <c r="F13" s="22"/>
      <c r="G13" s="22"/>
      <c r="H13" s="23"/>
      <c r="I13" s="22"/>
      <c r="J13" s="22">
        <v>3</v>
      </c>
      <c r="K13" s="22"/>
      <c r="L13" s="24">
        <v>3</v>
      </c>
    </row>
    <row r="14" spans="1:12" s="20" customFormat="1" x14ac:dyDescent="0.2">
      <c r="A14" s="21"/>
      <c r="B14" s="22"/>
      <c r="C14" s="23"/>
      <c r="D14" s="23"/>
      <c r="E14" s="22"/>
      <c r="F14" s="22"/>
      <c r="G14" s="22"/>
      <c r="H14" s="23"/>
      <c r="I14" s="22"/>
      <c r="J14" s="22"/>
      <c r="K14" s="22"/>
      <c r="L14" s="24"/>
    </row>
    <row r="15" spans="1:12" s="26" customFormat="1" x14ac:dyDescent="0.2">
      <c r="A15" s="25"/>
      <c r="B15" s="22"/>
      <c r="C15" s="23"/>
      <c r="D15" s="23"/>
      <c r="E15" s="22"/>
      <c r="F15" s="22"/>
      <c r="G15" s="22"/>
      <c r="H15" s="23"/>
      <c r="I15" s="22"/>
      <c r="J15" s="22"/>
      <c r="K15" s="22"/>
      <c r="L15" s="24"/>
    </row>
    <row r="16" spans="1:12" s="26" customFormat="1" x14ac:dyDescent="0.2">
      <c r="A16" s="27"/>
      <c r="B16" s="22"/>
      <c r="C16" s="23"/>
      <c r="D16" s="23"/>
      <c r="E16" s="22"/>
      <c r="F16" s="22"/>
      <c r="G16" s="22"/>
      <c r="H16" s="23"/>
      <c r="I16" s="22"/>
      <c r="J16" s="22"/>
      <c r="K16" s="22"/>
      <c r="L16" s="24"/>
    </row>
    <row r="17" spans="1:12" s="26" customFormat="1" x14ac:dyDescent="0.2">
      <c r="A17" s="23"/>
      <c r="B17" s="22"/>
      <c r="C17" s="23"/>
      <c r="D17" s="23"/>
      <c r="E17" s="22"/>
      <c r="F17" s="22"/>
      <c r="G17" s="22"/>
      <c r="H17" s="23"/>
      <c r="I17" s="22"/>
      <c r="J17" s="22"/>
      <c r="K17" s="22"/>
      <c r="L17" s="24"/>
    </row>
    <row r="18" spans="1:12" s="26" customFormat="1" x14ac:dyDescent="0.2">
      <c r="A18" s="21"/>
      <c r="B18" s="22"/>
      <c r="C18" s="23"/>
      <c r="D18" s="23"/>
      <c r="E18" s="22"/>
      <c r="F18" s="22"/>
      <c r="G18" s="22"/>
      <c r="H18" s="23"/>
      <c r="I18" s="22"/>
      <c r="J18" s="22"/>
      <c r="K18" s="22"/>
      <c r="L18" s="24"/>
    </row>
    <row r="19" spans="1:12" s="26" customFormat="1" x14ac:dyDescent="0.2">
      <c r="A19" s="21"/>
      <c r="B19" s="22"/>
      <c r="C19" s="23"/>
      <c r="D19" s="23"/>
      <c r="E19" s="22"/>
      <c r="F19" s="22"/>
      <c r="G19" s="22"/>
      <c r="H19" s="23"/>
      <c r="I19" s="22"/>
      <c r="J19" s="22"/>
      <c r="K19" s="22"/>
      <c r="L19" s="24"/>
    </row>
    <row r="20" spans="1:12" s="26" customFormat="1" x14ac:dyDescent="0.2">
      <c r="A20" s="21"/>
      <c r="B20" s="22"/>
      <c r="C20" s="23"/>
      <c r="D20" s="23"/>
      <c r="E20" s="22"/>
      <c r="F20" s="22"/>
      <c r="G20" s="22"/>
      <c r="H20" s="23"/>
      <c r="I20" s="22"/>
      <c r="J20" s="22"/>
      <c r="K20" s="22"/>
      <c r="L20" s="24"/>
    </row>
    <row r="21" spans="1:12" s="26" customFormat="1" x14ac:dyDescent="0.2">
      <c r="A21" s="28"/>
      <c r="B21" s="22"/>
      <c r="C21" s="23"/>
      <c r="D21" s="23"/>
      <c r="E21" s="22"/>
      <c r="F21" s="22"/>
      <c r="G21" s="22"/>
      <c r="H21" s="23"/>
      <c r="I21" s="22"/>
      <c r="J21" s="22"/>
      <c r="K21" s="29"/>
      <c r="L21" s="24"/>
    </row>
    <row r="22" spans="1:12" ht="75.75" customHeight="1" x14ac:dyDescent="0.25">
      <c r="A22" s="92"/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92"/>
    </row>
    <row r="23" spans="1:12" s="1" customFormat="1" x14ac:dyDescent="0.25">
      <c r="C23" s="10"/>
    </row>
    <row r="24" spans="1:12" s="1" customFormat="1" x14ac:dyDescent="0.25">
      <c r="C24" s="10"/>
    </row>
  </sheetData>
  <mergeCells count="11">
    <mergeCell ref="C9:G9"/>
    <mergeCell ref="I9:K9"/>
    <mergeCell ref="I10:K10"/>
    <mergeCell ref="A11:L11"/>
    <mergeCell ref="A22:L22"/>
    <mergeCell ref="A2:L2"/>
    <mergeCell ref="A3:L3"/>
    <mergeCell ref="A4:L4"/>
    <mergeCell ref="A5:L5"/>
    <mergeCell ref="C8:G8"/>
    <mergeCell ref="I8:K8"/>
  </mergeCells>
  <printOptions horizontalCentered="1"/>
  <pageMargins left="0.7" right="0.7" top="0.75" bottom="0.75" header="0.3" footer="0.3"/>
  <pageSetup paperSize="9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4"/>
  <sheetViews>
    <sheetView workbookViewId="0">
      <selection activeCell="D20" sqref="D20"/>
    </sheetView>
  </sheetViews>
  <sheetFormatPr defaultRowHeight="15" x14ac:dyDescent="0.25"/>
  <cols>
    <col min="1" max="1" width="33.5703125" style="55" customWidth="1"/>
    <col min="2" max="8" width="9.140625" style="55"/>
    <col min="9" max="9" width="6.85546875" style="55" customWidth="1"/>
    <col min="10" max="12" width="9.140625" style="55"/>
  </cols>
  <sheetData>
    <row r="1" spans="1:12" x14ac:dyDescent="0.25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 x14ac:dyDescent="0.25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</row>
    <row r="4" spans="1:12" x14ac:dyDescent="0.25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</row>
    <row r="5" spans="1:12" x14ac:dyDescent="0.25">
      <c r="A5" s="109" t="s">
        <v>39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</row>
    <row r="6" spans="1:12" x14ac:dyDescent="0.25">
      <c r="A6" s="109" t="s">
        <v>40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</row>
    <row r="7" spans="1:12" x14ac:dyDescent="0.25">
      <c r="A7" s="109" t="s">
        <v>41</v>
      </c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</row>
    <row r="8" spans="1:12" x14ac:dyDescent="0.25">
      <c r="A8" s="109" t="s">
        <v>42</v>
      </c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</row>
    <row r="9" spans="1:12" x14ac:dyDescent="0.25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</row>
    <row r="10" spans="1:12" x14ac:dyDescent="0.25">
      <c r="A10" s="43" t="s">
        <v>43</v>
      </c>
      <c r="B10" s="43"/>
      <c r="C10" s="44" t="s">
        <v>44</v>
      </c>
      <c r="D10" s="44"/>
      <c r="E10" s="43"/>
      <c r="F10" s="43"/>
      <c r="G10" s="44" t="s">
        <v>9</v>
      </c>
      <c r="H10" s="45"/>
      <c r="I10" s="43"/>
      <c r="J10" s="43"/>
      <c r="K10" s="43"/>
      <c r="L10" s="43"/>
    </row>
    <row r="11" spans="1:12" x14ac:dyDescent="0.25">
      <c r="A11" s="43"/>
      <c r="B11" s="43"/>
      <c r="C11" s="46"/>
      <c r="D11" s="43"/>
      <c r="E11" s="43"/>
      <c r="F11" s="43"/>
      <c r="G11" s="46"/>
      <c r="H11" s="46"/>
      <c r="I11" s="43"/>
      <c r="J11" s="43"/>
      <c r="K11" s="43"/>
      <c r="L11" s="43"/>
    </row>
    <row r="12" spans="1:12" x14ac:dyDescent="0.25">
      <c r="A12" s="43" t="s">
        <v>45</v>
      </c>
      <c r="B12" s="43"/>
      <c r="C12" s="44" t="s">
        <v>46</v>
      </c>
      <c r="D12" s="44"/>
      <c r="E12" s="43"/>
      <c r="F12" s="43"/>
      <c r="G12" s="44" t="s">
        <v>10</v>
      </c>
      <c r="H12" s="47"/>
      <c r="I12" s="43"/>
      <c r="J12" s="43"/>
      <c r="K12" s="43"/>
      <c r="L12" s="43"/>
    </row>
    <row r="13" spans="1:12" ht="21.75" thickBot="1" x14ac:dyDescent="0.3">
      <c r="A13" s="110" t="s">
        <v>83</v>
      </c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</row>
    <row r="14" spans="1:12" x14ac:dyDescent="0.25">
      <c r="A14" s="102" t="s">
        <v>4</v>
      </c>
      <c r="B14" s="104" t="s">
        <v>5</v>
      </c>
      <c r="C14" s="105"/>
      <c r="D14" s="105"/>
      <c r="E14" s="105"/>
      <c r="F14" s="105"/>
      <c r="G14" s="105"/>
      <c r="H14" s="105"/>
      <c r="I14" s="105"/>
      <c r="J14" s="105"/>
      <c r="K14" s="105"/>
      <c r="L14" s="106" t="s">
        <v>8</v>
      </c>
    </row>
    <row r="15" spans="1:12" x14ac:dyDescent="0.25">
      <c r="A15" s="103"/>
      <c r="B15" s="100" t="s">
        <v>84</v>
      </c>
      <c r="C15" s="108"/>
      <c r="D15" s="108"/>
      <c r="E15" s="101"/>
      <c r="F15" s="100" t="s">
        <v>85</v>
      </c>
      <c r="G15" s="101"/>
      <c r="H15" s="100" t="s">
        <v>86</v>
      </c>
      <c r="I15" s="101"/>
      <c r="J15" s="100" t="s">
        <v>87</v>
      </c>
      <c r="K15" s="101"/>
      <c r="L15" s="107"/>
    </row>
    <row r="16" spans="1:12" ht="34.5" customHeight="1" x14ac:dyDescent="0.25">
      <c r="A16" s="48" t="s">
        <v>88</v>
      </c>
      <c r="B16" s="95" t="s">
        <v>89</v>
      </c>
      <c r="C16" s="96"/>
      <c r="D16" s="96"/>
      <c r="E16" s="97"/>
      <c r="F16" s="95">
        <v>1</v>
      </c>
      <c r="G16" s="97"/>
      <c r="H16" s="95">
        <v>0</v>
      </c>
      <c r="I16" s="97"/>
      <c r="J16" s="95">
        <v>1</v>
      </c>
      <c r="K16" s="97"/>
      <c r="L16" s="49">
        <v>1</v>
      </c>
    </row>
    <row r="17" spans="1:12" ht="34.5" customHeight="1" x14ac:dyDescent="0.25">
      <c r="A17" s="48" t="s">
        <v>90</v>
      </c>
      <c r="B17" s="95" t="s">
        <v>89</v>
      </c>
      <c r="C17" s="96"/>
      <c r="D17" s="96"/>
      <c r="E17" s="97"/>
      <c r="F17" s="95">
        <v>1</v>
      </c>
      <c r="G17" s="97"/>
      <c r="H17" s="95">
        <v>1</v>
      </c>
      <c r="I17" s="97"/>
      <c r="J17" s="95">
        <v>0</v>
      </c>
      <c r="K17" s="97"/>
      <c r="L17" s="50">
        <v>0</v>
      </c>
    </row>
    <row r="18" spans="1:12" x14ac:dyDescent="0.25">
      <c r="A18" s="51" t="s">
        <v>91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3"/>
    </row>
    <row r="19" spans="1:12" x14ac:dyDescent="0.25">
      <c r="A19" s="98"/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</row>
    <row r="20" spans="1:12" x14ac:dyDescent="0.25">
      <c r="A20" s="43" t="s">
        <v>77</v>
      </c>
      <c r="B20" s="43"/>
      <c r="C20" s="54"/>
      <c r="D20" s="43"/>
      <c r="E20" s="43"/>
      <c r="F20" s="43"/>
      <c r="G20" s="43"/>
      <c r="H20" s="43"/>
      <c r="I20" s="43"/>
      <c r="J20" s="43"/>
      <c r="K20" s="43"/>
      <c r="L20" s="43"/>
    </row>
    <row r="21" spans="1:12" x14ac:dyDescent="0.25">
      <c r="A21" s="43"/>
      <c r="B21" s="43"/>
      <c r="C21" s="54"/>
      <c r="D21" s="43"/>
      <c r="E21" s="43"/>
      <c r="F21" s="43"/>
      <c r="G21" s="43"/>
      <c r="H21" s="43"/>
      <c r="I21" s="43"/>
      <c r="J21" s="43"/>
      <c r="K21" s="43"/>
      <c r="L21" s="43"/>
    </row>
    <row r="22" spans="1:12" x14ac:dyDescent="0.25">
      <c r="A22" s="99" t="s">
        <v>78</v>
      </c>
      <c r="B22" s="99"/>
    </row>
    <row r="23" spans="1:12" x14ac:dyDescent="0.25">
      <c r="A23" s="93" t="s">
        <v>79</v>
      </c>
      <c r="B23" s="93"/>
    </row>
    <row r="24" spans="1:12" x14ac:dyDescent="0.25">
      <c r="A24" s="94" t="s">
        <v>80</v>
      </c>
      <c r="B24" s="94"/>
    </row>
  </sheetData>
  <mergeCells count="24">
    <mergeCell ref="A5:L5"/>
    <mergeCell ref="A6:L6"/>
    <mergeCell ref="A7:L7"/>
    <mergeCell ref="A8:L8"/>
    <mergeCell ref="A13:L13"/>
    <mergeCell ref="J17:K17"/>
    <mergeCell ref="A19:L19"/>
    <mergeCell ref="A22:B22"/>
    <mergeCell ref="H15:I15"/>
    <mergeCell ref="J15:K15"/>
    <mergeCell ref="B16:E16"/>
    <mergeCell ref="F16:G16"/>
    <mergeCell ref="H16:I16"/>
    <mergeCell ref="J16:K16"/>
    <mergeCell ref="A14:A15"/>
    <mergeCell ref="B14:K14"/>
    <mergeCell ref="L14:L15"/>
    <mergeCell ref="B15:E15"/>
    <mergeCell ref="F15:G15"/>
    <mergeCell ref="A23:B23"/>
    <mergeCell ref="A24:B24"/>
    <mergeCell ref="B17:E17"/>
    <mergeCell ref="F17:G17"/>
    <mergeCell ref="H17:I17"/>
  </mergeCells>
  <pageMargins left="0.7" right="0.7" top="0.75" bottom="0.75" header="0.3" footer="0.3"/>
  <pageSetup paperSize="9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FB7C3-7158-44B0-BA6D-DFC6FEC9A8DF}">
  <dimension ref="A1:G21"/>
  <sheetViews>
    <sheetView view="pageBreakPreview" zoomScaleNormal="100" zoomScaleSheetLayoutView="100" workbookViewId="0">
      <selection activeCell="D7" sqref="D7"/>
    </sheetView>
  </sheetViews>
  <sheetFormatPr defaultRowHeight="15" x14ac:dyDescent="0.25"/>
  <cols>
    <col min="2" max="2" width="18.140625" customWidth="1"/>
    <col min="3" max="3" width="19.5703125" customWidth="1"/>
    <col min="4" max="4" width="56.42578125" customWidth="1"/>
    <col min="5" max="5" width="12.42578125" customWidth="1"/>
    <col min="6" max="6" width="13.42578125" customWidth="1"/>
    <col min="7" max="7" width="15.140625" customWidth="1"/>
  </cols>
  <sheetData>
    <row r="1" spans="1:7" ht="58.5" customHeight="1" x14ac:dyDescent="0.25"/>
    <row r="2" spans="1:7" ht="15.95" customHeight="1" x14ac:dyDescent="0.25">
      <c r="A2" s="118" t="s">
        <v>39</v>
      </c>
      <c r="B2" s="119"/>
      <c r="C2" s="119"/>
      <c r="D2" s="119"/>
      <c r="E2" s="119"/>
      <c r="F2" s="119"/>
      <c r="G2" s="119"/>
    </row>
    <row r="3" spans="1:7" ht="15.95" customHeight="1" x14ac:dyDescent="0.25">
      <c r="A3" s="119" t="s">
        <v>40</v>
      </c>
      <c r="B3" s="119"/>
      <c r="C3" s="119"/>
      <c r="D3" s="119"/>
      <c r="E3" s="119"/>
      <c r="F3" s="119"/>
      <c r="G3" s="119"/>
    </row>
    <row r="4" spans="1:7" ht="15.95" customHeight="1" x14ac:dyDescent="0.25">
      <c r="A4" s="119" t="s">
        <v>41</v>
      </c>
      <c r="B4" s="119"/>
      <c r="C4" s="119"/>
      <c r="D4" s="119"/>
      <c r="E4" s="119"/>
      <c r="F4" s="119"/>
      <c r="G4" s="119"/>
    </row>
    <row r="5" spans="1:7" ht="15.95" customHeight="1" x14ac:dyDescent="0.25">
      <c r="A5" s="119" t="s">
        <v>42</v>
      </c>
      <c r="B5" s="119"/>
      <c r="C5" s="119"/>
      <c r="D5" s="119"/>
      <c r="E5" s="119"/>
      <c r="F5" s="119"/>
      <c r="G5" s="119"/>
    </row>
    <row r="6" spans="1:7" ht="19.5" customHeight="1" x14ac:dyDescent="0.25">
      <c r="A6" s="120"/>
      <c r="B6" s="120"/>
      <c r="C6" s="120"/>
      <c r="D6" s="120"/>
      <c r="E6" s="120"/>
      <c r="F6" s="120"/>
      <c r="G6" s="120"/>
    </row>
    <row r="7" spans="1:7" ht="12" customHeight="1" x14ac:dyDescent="0.25">
      <c r="A7" s="1" t="s">
        <v>113</v>
      </c>
      <c r="B7" s="121" t="s">
        <v>114</v>
      </c>
      <c r="C7" s="121"/>
      <c r="D7" s="4"/>
      <c r="E7" s="60" t="s">
        <v>9</v>
      </c>
      <c r="F7" s="5"/>
      <c r="G7" s="61"/>
    </row>
    <row r="8" spans="1:7" ht="12" customHeight="1" x14ac:dyDescent="0.25">
      <c r="A8" s="1"/>
      <c r="B8" s="59"/>
      <c r="C8" s="2"/>
      <c r="D8" s="2"/>
      <c r="E8" s="62"/>
      <c r="F8" s="1"/>
      <c r="G8" s="1"/>
    </row>
    <row r="9" spans="1:7" ht="12" customHeight="1" x14ac:dyDescent="0.25">
      <c r="A9" s="1" t="s">
        <v>115</v>
      </c>
      <c r="B9" s="11" t="s">
        <v>116</v>
      </c>
      <c r="C9" s="4"/>
      <c r="D9" s="2"/>
      <c r="E9" s="60" t="s">
        <v>10</v>
      </c>
      <c r="F9" s="63"/>
      <c r="G9" s="61"/>
    </row>
    <row r="10" spans="1:7" ht="24.75" customHeight="1" thickBot="1" x14ac:dyDescent="0.3">
      <c r="A10" s="77" t="s">
        <v>117</v>
      </c>
      <c r="B10" s="77"/>
      <c r="C10" s="77"/>
      <c r="D10" s="77"/>
      <c r="E10" s="77"/>
      <c r="F10" s="77"/>
      <c r="G10" s="77"/>
    </row>
    <row r="11" spans="1:7" s="57" customFormat="1" ht="29.25" customHeight="1" x14ac:dyDescent="0.25">
      <c r="A11" s="122" t="s">
        <v>118</v>
      </c>
      <c r="B11" s="123"/>
      <c r="C11" s="64" t="s">
        <v>119</v>
      </c>
      <c r="D11" s="65" t="s">
        <v>120</v>
      </c>
      <c r="E11" s="64" t="s">
        <v>121</v>
      </c>
      <c r="F11" s="64" t="s">
        <v>122</v>
      </c>
      <c r="G11" s="66" t="s">
        <v>7</v>
      </c>
    </row>
    <row r="12" spans="1:7" ht="44.25" customHeight="1" x14ac:dyDescent="0.25">
      <c r="A12" s="124" t="s">
        <v>123</v>
      </c>
      <c r="B12" s="125"/>
      <c r="C12" s="67" t="s">
        <v>124</v>
      </c>
      <c r="D12" s="67" t="s">
        <v>125</v>
      </c>
      <c r="E12" s="68">
        <v>1</v>
      </c>
      <c r="F12" s="69">
        <v>1</v>
      </c>
      <c r="G12" s="70">
        <f>E12-F12</f>
        <v>0</v>
      </c>
    </row>
    <row r="13" spans="1:7" x14ac:dyDescent="0.25">
      <c r="A13" s="126" t="s">
        <v>126</v>
      </c>
      <c r="B13" s="127"/>
      <c r="C13" s="127"/>
      <c r="D13" s="127"/>
      <c r="E13" s="127"/>
      <c r="F13" s="127"/>
      <c r="G13" s="128"/>
    </row>
    <row r="14" spans="1:7" x14ac:dyDescent="0.25">
      <c r="A14" s="126" t="s">
        <v>127</v>
      </c>
      <c r="B14" s="127"/>
      <c r="C14" s="127"/>
      <c r="D14" s="127"/>
      <c r="E14" s="127"/>
      <c r="F14" s="127"/>
      <c r="G14" s="128"/>
    </row>
    <row r="15" spans="1:7" s="72" customFormat="1" ht="30" customHeight="1" thickBot="1" x14ac:dyDescent="0.3">
      <c r="A15" s="115" t="s">
        <v>128</v>
      </c>
      <c r="B15" s="116"/>
      <c r="C15" s="116"/>
      <c r="D15" s="116"/>
      <c r="E15" s="116"/>
      <c r="F15" s="117"/>
      <c r="G15" s="71">
        <f>G12</f>
        <v>0</v>
      </c>
    </row>
    <row r="16" spans="1:7" ht="10.5" customHeight="1" x14ac:dyDescent="0.25">
      <c r="A16" s="9"/>
      <c r="B16" s="9"/>
      <c r="C16" s="73"/>
      <c r="D16" s="73"/>
      <c r="E16" s="73"/>
      <c r="F16" s="73"/>
      <c r="G16" s="73"/>
    </row>
    <row r="17" spans="1:7" ht="18.75" customHeight="1" x14ac:dyDescent="0.25">
      <c r="A17" s="111" t="s">
        <v>129</v>
      </c>
      <c r="B17" s="111"/>
      <c r="C17" s="73"/>
      <c r="D17" s="73"/>
      <c r="E17" s="73"/>
      <c r="F17" s="73"/>
      <c r="G17" s="73"/>
    </row>
    <row r="18" spans="1:7" ht="18.75" customHeight="1" x14ac:dyDescent="0.25">
      <c r="A18" s="112"/>
      <c r="B18" s="112"/>
      <c r="C18" s="73"/>
      <c r="D18" s="73"/>
      <c r="E18" s="73"/>
      <c r="F18" s="73"/>
      <c r="G18" s="73"/>
    </row>
    <row r="19" spans="1:7" ht="18.75" customHeight="1" x14ac:dyDescent="0.25">
      <c r="A19" s="113" t="s">
        <v>78</v>
      </c>
      <c r="B19" s="113"/>
      <c r="C19" s="113"/>
      <c r="D19" s="73"/>
      <c r="E19" s="73"/>
      <c r="F19" s="73"/>
      <c r="G19" s="73"/>
    </row>
    <row r="20" spans="1:7" ht="18.75" customHeight="1" x14ac:dyDescent="0.25">
      <c r="A20" s="114" t="s">
        <v>79</v>
      </c>
      <c r="B20" s="114"/>
      <c r="C20" s="114"/>
      <c r="D20" s="73"/>
      <c r="E20" s="73"/>
      <c r="F20" s="73"/>
      <c r="G20" s="73"/>
    </row>
    <row r="21" spans="1:7" ht="18.75" customHeight="1" x14ac:dyDescent="0.25">
      <c r="A21" s="114" t="s">
        <v>80</v>
      </c>
      <c r="B21" s="114"/>
      <c r="C21" s="73"/>
      <c r="D21" s="73"/>
      <c r="E21" s="73"/>
      <c r="F21" s="73"/>
      <c r="G21" s="73"/>
    </row>
  </sheetData>
  <mergeCells count="17">
    <mergeCell ref="A15:F15"/>
    <mergeCell ref="A2:G2"/>
    <mergeCell ref="A3:G3"/>
    <mergeCell ref="A4:G4"/>
    <mergeCell ref="A5:G5"/>
    <mergeCell ref="A6:G6"/>
    <mergeCell ref="B7:C7"/>
    <mergeCell ref="A10:G10"/>
    <mergeCell ref="A11:B11"/>
    <mergeCell ref="A12:B12"/>
    <mergeCell ref="A13:G13"/>
    <mergeCell ref="A14:G14"/>
    <mergeCell ref="A17:B17"/>
    <mergeCell ref="A18:B18"/>
    <mergeCell ref="A19:C19"/>
    <mergeCell ref="A20:C20"/>
    <mergeCell ref="A21:B21"/>
  </mergeCells>
  <printOptions horizontalCentered="1"/>
  <pageMargins left="0.23622047244094491" right="0.23622047244094491" top="0.23622047244094491" bottom="0.23622047244094491" header="0.31496062992125984" footer="0.31496062992125984"/>
  <pageSetup paperSize="9" scale="9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CORRECTED</vt:lpstr>
      <vt:lpstr>Other types of leave</vt:lpstr>
      <vt:lpstr>CTO</vt:lpstr>
      <vt:lpstr>Leave Card (NE)</vt:lpstr>
      <vt:lpstr>CORRECTED!Print_Area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2025-10-24T02:43:46Z</cp:lastPrinted>
  <dcterms:created xsi:type="dcterms:W3CDTF">2021-10-07T06:10:16Z</dcterms:created>
  <dcterms:modified xsi:type="dcterms:W3CDTF">2025-10-24T02:44:46Z</dcterms:modified>
</cp:coreProperties>
</file>