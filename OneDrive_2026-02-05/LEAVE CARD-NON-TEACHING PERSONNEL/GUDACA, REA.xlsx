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5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ERITON\Desktop\LEAVE CARD-NON-TEACHING PERSONNEL\"/>
    </mc:Choice>
  </mc:AlternateContent>
  <xr:revisionPtr revIDLastSave="0" documentId="13_ncr:1_{89208551-8AA3-4B64-BE7B-4C134B51232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Leave Card" sheetId="8" r:id="rId1"/>
  </sheets>
  <definedNames>
    <definedName name="_xlnm.Print_Area" localSheetId="0">'Leave Card'!$A$1:$J$82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74" i="8" l="1"/>
  <c r="I74" i="8"/>
  <c r="J74" i="8"/>
  <c r="H75" i="8"/>
  <c r="J75" i="8" s="1"/>
  <c r="I75" i="8"/>
  <c r="H72" i="8"/>
  <c r="H73" i="8" s="1"/>
  <c r="J73" i="8" s="1"/>
  <c r="I72" i="8"/>
  <c r="J72" i="8"/>
  <c r="I73" i="8"/>
  <c r="B24" i="8"/>
  <c r="C16" i="8" l="1"/>
  <c r="C17" i="8"/>
  <c r="C20" i="8"/>
  <c r="C22" i="8"/>
  <c r="H15" i="8" l="1"/>
  <c r="H16" i="8" s="1"/>
  <c r="H17" i="8" s="1"/>
  <c r="H18" i="8" l="1"/>
  <c r="I15" i="8"/>
  <c r="I16" i="8" s="1"/>
  <c r="I17" i="8" s="1"/>
  <c r="I18" i="8" s="1"/>
  <c r="I19" i="8" s="1"/>
  <c r="I20" i="8" s="1"/>
  <c r="I21" i="8" s="1"/>
  <c r="I22" i="8" s="1"/>
  <c r="I23" i="8" s="1"/>
  <c r="I24" i="8" s="1"/>
  <c r="I25" i="8" s="1"/>
  <c r="I26" i="8" s="1"/>
  <c r="I27" i="8" s="1"/>
  <c r="I28" i="8" s="1"/>
  <c r="I29" i="8" s="1"/>
  <c r="I30" i="8" s="1"/>
  <c r="I31" i="8" s="1"/>
  <c r="I32" i="8" s="1"/>
  <c r="I33" i="8" s="1"/>
  <c r="I34" i="8" s="1"/>
  <c r="I35" i="8" s="1"/>
  <c r="I36" i="8" s="1"/>
  <c r="I37" i="8" s="1"/>
  <c r="I38" i="8" s="1"/>
  <c r="I39" i="8" s="1"/>
  <c r="I40" i="8" s="1"/>
  <c r="I41" i="8" s="1"/>
  <c r="I42" i="8" s="1"/>
  <c r="I43" i="8" s="1"/>
  <c r="I44" i="8" s="1"/>
  <c r="I45" i="8" s="1"/>
  <c r="I46" i="8" s="1"/>
  <c r="I47" i="8" s="1"/>
  <c r="I48" i="8" s="1"/>
  <c r="I49" i="8" s="1"/>
  <c r="I50" i="8" s="1"/>
  <c r="I51" i="8" s="1"/>
  <c r="I52" i="8" s="1"/>
  <c r="I53" i="8" s="1"/>
  <c r="I54" i="8" s="1"/>
  <c r="I55" i="8" s="1"/>
  <c r="I56" i="8" s="1"/>
  <c r="I57" i="8" s="1"/>
  <c r="I58" i="8" s="1"/>
  <c r="I59" i="8" s="1"/>
  <c r="I60" i="8" s="1"/>
  <c r="I61" i="8" s="1"/>
  <c r="I62" i="8" s="1"/>
  <c r="I63" i="8" s="1"/>
  <c r="I64" i="8" s="1"/>
  <c r="I65" i="8" s="1"/>
  <c r="I66" i="8" s="1"/>
  <c r="I67" i="8" s="1"/>
  <c r="I68" i="8" s="1"/>
  <c r="I69" i="8" s="1"/>
  <c r="I70" i="8" s="1"/>
  <c r="I71" i="8" s="1"/>
  <c r="J17" i="8" l="1"/>
  <c r="H19" i="8"/>
  <c r="J18" i="8"/>
  <c r="J16" i="8"/>
  <c r="J15" i="8"/>
  <c r="H20" i="8" l="1"/>
  <c r="J19" i="8"/>
  <c r="H21" i="8" l="1"/>
  <c r="J20" i="8"/>
  <c r="J21" i="8" l="1"/>
  <c r="H22" i="8"/>
  <c r="H23" i="8" l="1"/>
  <c r="J22" i="8"/>
  <c r="J23" i="8" l="1"/>
  <c r="H24" i="8"/>
  <c r="H25" i="8" l="1"/>
  <c r="J24" i="8"/>
  <c r="J25" i="8" l="1"/>
  <c r="H26" i="8"/>
  <c r="J26" i="8" l="1"/>
  <c r="H27" i="8"/>
  <c r="J27" i="8" l="1"/>
  <c r="H28" i="8"/>
  <c r="J28" i="8" l="1"/>
  <c r="H29" i="8"/>
  <c r="H30" i="8" l="1"/>
  <c r="J29" i="8"/>
  <c r="H31" i="8" l="1"/>
  <c r="J30" i="8"/>
  <c r="J31" i="8" l="1"/>
  <c r="H32" i="8"/>
  <c r="H33" i="8" l="1"/>
  <c r="J32" i="8"/>
  <c r="J33" i="8" l="1"/>
  <c r="H34" i="8"/>
  <c r="J34" i="8" l="1"/>
  <c r="H35" i="8"/>
  <c r="J35" i="8" l="1"/>
  <c r="H36" i="8"/>
  <c r="J36" i="8" l="1"/>
  <c r="H37" i="8"/>
  <c r="H38" i="8" l="1"/>
  <c r="J37" i="8"/>
  <c r="H39" i="8" l="1"/>
  <c r="J38" i="8"/>
  <c r="J39" i="8" l="1"/>
  <c r="H40" i="8"/>
  <c r="J40" i="8" l="1"/>
  <c r="H41" i="8"/>
  <c r="H42" i="8" l="1"/>
  <c r="J41" i="8"/>
  <c r="H43" i="8" l="1"/>
  <c r="J42" i="8"/>
  <c r="J43" i="8" l="1"/>
  <c r="H44" i="8"/>
  <c r="J44" i="8" l="1"/>
  <c r="H45" i="8"/>
  <c r="J45" i="8" l="1"/>
  <c r="H46" i="8"/>
  <c r="H47" i="8" s="1"/>
  <c r="H48" i="8" l="1"/>
  <c r="J47" i="8"/>
  <c r="J46" i="8"/>
  <c r="J48" i="8" l="1"/>
  <c r="H49" i="8"/>
  <c r="H50" i="8" l="1"/>
  <c r="J49" i="8"/>
  <c r="H51" i="8" l="1"/>
  <c r="J50" i="8"/>
  <c r="H52" i="8" l="1"/>
  <c r="J51" i="8"/>
  <c r="H53" i="8" l="1"/>
  <c r="J52" i="8"/>
  <c r="J53" i="8" l="1"/>
  <c r="H54" i="8"/>
  <c r="J54" i="8" l="1"/>
  <c r="H55" i="8"/>
  <c r="J55" i="8" l="1"/>
  <c r="H56" i="8"/>
  <c r="J56" i="8" l="1"/>
  <c r="H57" i="8"/>
  <c r="H58" i="8" l="1"/>
  <c r="J57" i="8"/>
  <c r="J58" i="8" l="1"/>
  <c r="H59" i="8"/>
  <c r="J59" i="8" l="1"/>
  <c r="H60" i="8"/>
  <c r="J60" i="8" l="1"/>
  <c r="H61" i="8"/>
  <c r="J61" i="8" l="1"/>
  <c r="H62" i="8"/>
  <c r="J62" i="8" l="1"/>
  <c r="H63" i="8"/>
  <c r="H64" i="8" l="1"/>
  <c r="J63" i="8"/>
  <c r="J64" i="8" l="1"/>
  <c r="H65" i="8"/>
  <c r="J65" i="8" l="1"/>
  <c r="H66" i="8"/>
  <c r="J66" i="8" l="1"/>
  <c r="H67" i="8"/>
  <c r="J67" i="8" l="1"/>
  <c r="H68" i="8"/>
  <c r="J68" i="8" l="1"/>
  <c r="H69" i="8"/>
  <c r="J69" i="8" l="1"/>
  <c r="H70" i="8"/>
  <c r="J70" i="8" l="1"/>
  <c r="H71" i="8"/>
  <c r="J71" i="8" s="1"/>
</calcChain>
</file>

<file path=xl/sharedStrings.xml><?xml version="1.0" encoding="utf-8"?>
<sst xmlns="http://schemas.openxmlformats.org/spreadsheetml/2006/main" count="91" uniqueCount="87">
  <si>
    <t>VACATION</t>
  </si>
  <si>
    <t>SICK</t>
  </si>
  <si>
    <t>FORCED</t>
  </si>
  <si>
    <t>PERIOD COVERED</t>
  </si>
  <si>
    <t>LEAVE EARNED</t>
  </si>
  <si>
    <t>LEAVE SPENT</t>
  </si>
  <si>
    <t>BALANCE</t>
  </si>
  <si>
    <t>TOTAL</t>
  </si>
  <si>
    <t>SPECIAL PRIVILEGE</t>
  </si>
  <si>
    <t>Republic of the Philippines</t>
  </si>
  <si>
    <t>Department of Education</t>
  </si>
  <si>
    <t>SCHOOLS DIVISION OF SIPALAY CITY</t>
  </si>
  <si>
    <t>DATE OF APPOINTMENT: 07/15/2019</t>
  </si>
  <si>
    <t>DATE OF ORIGINAL APPOINTMENT: 07/15/2019</t>
  </si>
  <si>
    <t>LESS 15 DAYS MONETIZATION 2020</t>
  </si>
  <si>
    <t>LESS 20 DAYS MONETIZATION 2021</t>
  </si>
  <si>
    <t>ADD:08/01/2019- 12/31/2019</t>
  </si>
  <si>
    <t>ADD:01/01/2020- 12/31/2020</t>
  </si>
  <si>
    <t>ADD: 01/01/2021- 09/30/2021</t>
  </si>
  <si>
    <t>ADD: 10/01/2021- 12/31/2021</t>
  </si>
  <si>
    <t>LESS: FL 2020</t>
  </si>
  <si>
    <t>LESS: FL 2021</t>
  </si>
  <si>
    <t>ADD: 01/01/2022- 09/30/2022</t>
  </si>
  <si>
    <t>Certifed Correct:</t>
  </si>
  <si>
    <t>MA. LUISA B. CATIGAN</t>
  </si>
  <si>
    <t>Administrative Officer IV</t>
  </si>
  <si>
    <t>HRMO</t>
  </si>
  <si>
    <t>LESS: MONETIZATION 2022</t>
  </si>
  <si>
    <t>Name: _____________________________</t>
  </si>
  <si>
    <t>DISTRICT: ___________________________</t>
  </si>
  <si>
    <t>EMP. NO  :</t>
  </si>
  <si>
    <t>POSITION: __________________________</t>
  </si>
  <si>
    <t>SCHOOL/OFFICE:_____________________</t>
  </si>
  <si>
    <t>STATION   :</t>
  </si>
  <si>
    <t>SERVICE LEAVE CARD</t>
  </si>
  <si>
    <t>ADD: 10/01/2022- 12/31/2022</t>
  </si>
  <si>
    <t>LESS: FL 2022</t>
  </si>
  <si>
    <t>ADD: 01/01/2023 - 02/28/2023</t>
  </si>
  <si>
    <t>LESS: 01/27 &amp; 01/30/2023</t>
  </si>
  <si>
    <t>LESS: 11/23/2022</t>
  </si>
  <si>
    <t>LESS: 12/29/2022</t>
  </si>
  <si>
    <t>LESS: 03/09/2023</t>
  </si>
  <si>
    <t>ADD: 03/01/2023 - 03/31/2023</t>
  </si>
  <si>
    <t>LESS: 04/14/2023</t>
  </si>
  <si>
    <t>ADD: 04/01/2023 - 05/31/2023</t>
  </si>
  <si>
    <t>LESS: 06/02/2023</t>
  </si>
  <si>
    <t>ADD: 06/01/2023 - 06/30/2023</t>
  </si>
  <si>
    <t>LESS: 07/13/2023</t>
  </si>
  <si>
    <t>ADD: 07/01/2023 - 08/31/2023</t>
  </si>
  <si>
    <t>LESS: MONETIZATION 2023</t>
  </si>
  <si>
    <t>LESS:09/27/2023</t>
  </si>
  <si>
    <t>ADD: 09/01/2023-09/30/2023</t>
  </si>
  <si>
    <t>LESS: 10/17/2023</t>
  </si>
  <si>
    <t>ADD: 10/01/2023-11/30/2023</t>
  </si>
  <si>
    <t>LESS: 12/7&amp;14/2023</t>
  </si>
  <si>
    <t>ADD: 12/01/2023-12/31/2023</t>
  </si>
  <si>
    <t>LESS: 01/19/2024</t>
  </si>
  <si>
    <t>ADD: 01/01/2024-02/29/2024</t>
  </si>
  <si>
    <t>LESS: 02/22/2024</t>
  </si>
  <si>
    <t>LESS: 04/12/2024</t>
  </si>
  <si>
    <t>ADD: APRIL-JULY 31, 2024</t>
  </si>
  <si>
    <t xml:space="preserve">LESS: FL 2023 </t>
  </si>
  <si>
    <t>LESS: MONETIZATION 2024</t>
  </si>
  <si>
    <t>ADD: 07/15/2019- 07/31/2019</t>
  </si>
  <si>
    <t>ADD: 03/1-31 2024</t>
  </si>
  <si>
    <t>ADD: 08/1-31/2024</t>
  </si>
  <si>
    <t>LESS: 09/27/2024</t>
  </si>
  <si>
    <t>ADD: 09/1-30/2024</t>
  </si>
  <si>
    <t>LESS: 10/21/2024</t>
  </si>
  <si>
    <t>ADD: 10/1-31/2024</t>
  </si>
  <si>
    <t>LESS: 11/7/2024</t>
  </si>
  <si>
    <t>LESS: 11/18/2024</t>
  </si>
  <si>
    <t>ADD: 11/1/2024-12/31/2024</t>
  </si>
  <si>
    <t>ADD: 01/1-31/2025</t>
  </si>
  <si>
    <t>LESS: MANDATORY FL 2024</t>
  </si>
  <si>
    <t>LESS: 02/11/2025</t>
  </si>
  <si>
    <t>ADD: 02/1-28/2025</t>
  </si>
  <si>
    <t>LESS: 03/19/2025</t>
  </si>
  <si>
    <t>ADD: 03/1/2025-06/30/2025</t>
  </si>
  <si>
    <t>LESS: MONETIZATION 2025</t>
  </si>
  <si>
    <t>ADD: 07/1/2025-08/31/2025</t>
  </si>
  <si>
    <t>LESS: 09/24/2025</t>
  </si>
  <si>
    <t>NEGROS ISLAND REGION</t>
  </si>
  <si>
    <t>ADD: 09/1/2025-10/31/2025</t>
  </si>
  <si>
    <t>LESS: 12/5/2025</t>
  </si>
  <si>
    <t>ADD: 11/1-30/2025</t>
  </si>
  <si>
    <t>LESS: 12/23, 26/2025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</si>
</sst>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00B0F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164" fontId="0" fillId="0" borderId="0" xfId="0" applyNumberFormat="1"/>
    <xf numFmtId="164" fontId="5" fillId="0" borderId="0" xfId="0" applyNumberFormat="1" applyFont="1"/>
    <xf numFmtId="164" fontId="2" fillId="7" borderId="1" xfId="0" applyNumberFormat="1" applyFont="1" applyFill="1" applyBorder="1" applyAlignment="1">
      <alignment horizontal="center" vertical="center"/>
    </xf>
    <xf numFmtId="164" fontId="2" fillId="8" borderId="1" xfId="0" applyNumberFormat="1" applyFont="1" applyFill="1" applyBorder="1" applyAlignment="1">
      <alignment horizontal="center" vertical="center"/>
    </xf>
    <xf numFmtId="164" fontId="2" fillId="9" borderId="1" xfId="0" applyNumberFormat="1" applyFont="1" applyFill="1" applyBorder="1" applyAlignment="1">
      <alignment horizontal="center" vertical="center"/>
    </xf>
    <xf numFmtId="164" fontId="2" fillId="2" borderId="1" xfId="0" applyNumberFormat="1" applyFont="1" applyFill="1" applyBorder="1" applyAlignment="1">
      <alignment horizontal="center" vertical="center" wrapText="1"/>
    </xf>
    <xf numFmtId="164" fontId="0" fillId="2" borderId="1" xfId="0" applyNumberFormat="1" applyFill="1" applyBorder="1" applyAlignment="1">
      <alignment horizontal="center" vertical="center" wrapText="1"/>
    </xf>
    <xf numFmtId="164" fontId="5" fillId="2" borderId="0" xfId="0" applyNumberFormat="1" applyFont="1" applyFill="1"/>
    <xf numFmtId="164" fontId="4" fillId="2" borderId="0" xfId="0" applyNumberFormat="1" applyFont="1" applyFill="1"/>
    <xf numFmtId="164" fontId="0" fillId="7" borderId="0" xfId="0" applyNumberFormat="1" applyFill="1"/>
    <xf numFmtId="164" fontId="0" fillId="8" borderId="0" xfId="0" applyNumberFormat="1" applyFill="1"/>
    <xf numFmtId="164" fontId="0" fillId="9" borderId="0" xfId="0" applyNumberFormat="1" applyFill="1"/>
    <xf numFmtId="164" fontId="0" fillId="2" borderId="0" xfId="0" applyNumberFormat="1" applyFill="1" applyAlignment="1">
      <alignment horizontal="center" vertical="center"/>
    </xf>
    <xf numFmtId="164" fontId="0" fillId="2" borderId="1" xfId="0" applyNumberFormat="1" applyFill="1" applyBorder="1" applyAlignment="1">
      <alignment horizontal="center" vertical="center"/>
    </xf>
    <xf numFmtId="164" fontId="0" fillId="2" borderId="0" xfId="0" applyNumberFormat="1" applyFill="1" applyAlignment="1">
      <alignment vertical="center"/>
    </xf>
    <xf numFmtId="164" fontId="0" fillId="0" borderId="1" xfId="0" applyNumberFormat="1" applyBorder="1" applyAlignment="1">
      <alignment horizontal="center" vertical="center" wrapText="1"/>
    </xf>
    <xf numFmtId="0" fontId="0" fillId="2" borderId="0" xfId="0" applyFill="1"/>
    <xf numFmtId="0" fontId="1" fillId="2" borderId="0" xfId="0" applyFont="1" applyFill="1" applyAlignment="1">
      <alignment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0" xfId="0" applyFont="1" applyFill="1"/>
    <xf numFmtId="0" fontId="1" fillId="2" borderId="2" xfId="0" applyFont="1" applyFill="1" applyBorder="1" applyAlignment="1">
      <alignment vertical="center"/>
    </xf>
    <xf numFmtId="164" fontId="0" fillId="0" borderId="1" xfId="0" applyNumberFormat="1" applyBorder="1" applyAlignment="1">
      <alignment horizontal="center" vertical="center"/>
    </xf>
    <xf numFmtId="164" fontId="7" fillId="2" borderId="0" xfId="0" applyNumberFormat="1" applyFont="1" applyFill="1" applyAlignment="1">
      <alignment horizontal="center" vertical="center"/>
    </xf>
    <xf numFmtId="164" fontId="0" fillId="10" borderId="1" xfId="0" applyNumberFormat="1" applyFill="1" applyBorder="1" applyAlignment="1">
      <alignment horizontal="center" vertical="center"/>
    </xf>
    <xf numFmtId="164" fontId="0" fillId="0" borderId="0" xfId="0" applyNumberFormat="1" applyAlignment="1">
      <alignment horizontal="center" vertical="center" wrapText="1"/>
    </xf>
    <xf numFmtId="164" fontId="0" fillId="0" borderId="0" xfId="0" applyNumberFormat="1" applyAlignment="1">
      <alignment horizontal="center" vertical="center"/>
    </xf>
    <xf numFmtId="164" fontId="3" fillId="6" borderId="1" xfId="0" applyNumberFormat="1" applyFont="1" applyFill="1" applyBorder="1" applyAlignment="1">
      <alignment horizontal="left" vertical="center"/>
    </xf>
    <xf numFmtId="164" fontId="4" fillId="2" borderId="0" xfId="0" applyNumberFormat="1" applyFont="1" applyFill="1" applyAlignment="1">
      <alignment horizontal="center" wrapText="1"/>
    </xf>
    <xf numFmtId="164" fontId="2" fillId="6" borderId="1" xfId="0" applyNumberFormat="1" applyFont="1" applyFill="1" applyBorder="1" applyAlignment="1">
      <alignment horizontal="center" vertical="center"/>
    </xf>
    <xf numFmtId="164" fontId="2" fillId="3" borderId="1" xfId="0" applyNumberFormat="1" applyFont="1" applyFill="1" applyBorder="1" applyAlignment="1">
      <alignment horizontal="center" vertical="center"/>
    </xf>
    <xf numFmtId="164" fontId="2" fillId="4" borderId="1" xfId="0" applyNumberFormat="1" applyFont="1" applyFill="1" applyBorder="1" applyAlignment="1">
      <alignment horizontal="center" vertical="center"/>
    </xf>
    <xf numFmtId="164" fontId="2" fillId="5" borderId="1" xfId="0" applyNumberFormat="1" applyFont="1" applyFill="1" applyBorder="1" applyAlignment="1">
      <alignment horizontal="center" vertical="center"/>
    </xf>
    <xf numFmtId="164" fontId="1" fillId="0" borderId="4" xfId="0" applyNumberFormat="1" applyFont="1" applyBorder="1" applyAlignment="1">
      <alignment horizontal="center" vertical="center"/>
    </xf>
    <xf numFmtId="164" fontId="1" fillId="0" borderId="5" xfId="0" applyNumberFormat="1" applyFont="1" applyBorder="1" applyAlignment="1">
      <alignment horizontal="center" vertical="center"/>
    </xf>
    <xf numFmtId="164" fontId="1" fillId="0" borderId="6" xfId="0" applyNumberFormat="1" applyFont="1" applyBorder="1" applyAlignment="1">
      <alignment horizontal="center" vertical="center"/>
    </xf>
    <xf numFmtId="0" fontId="1" fillId="2" borderId="0" xfId="0" applyFont="1" applyFill="1" applyAlignment="1">
      <alignment horizontal="left" vertical="center"/>
    </xf>
    <xf numFmtId="0" fontId="6" fillId="2" borderId="3" xfId="0" applyFont="1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171450</xdr:colOff>
      <xdr:row>0</xdr:row>
      <xdr:rowOff>24423</xdr:rowOff>
    </xdr:from>
    <xdr:to>
      <xdr:col>4</xdr:col>
      <xdr:colOff>50554</xdr:colOff>
      <xdr:row>1</xdr:row>
      <xdr:rowOff>5372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41750" y="24423"/>
          <a:ext cx="691904" cy="647699"/>
        </a:xfrm>
        <a:prstGeom prst="rect">
          <a:avLst/>
        </a:prstGeom>
        <a:noFill/>
      </xdr:spPr>
    </xdr:pic>
    <xdr:clientData/>
  </xdr:twoCellAnchor>
  <xdr:twoCellAnchor>
    <xdr:from>
      <xdr:col>0</xdr:col>
      <xdr:colOff>573942</xdr:colOff>
      <xdr:row>4</xdr:row>
      <xdr:rowOff>165101</xdr:rowOff>
    </xdr:from>
    <xdr:to>
      <xdr:col>1</xdr:col>
      <xdr:colOff>209550</xdr:colOff>
      <xdr:row>6</xdr:row>
      <xdr:rowOff>116011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5A453248-0138-4968-A584-DC9C7CD7C5E6}"/>
            </a:ext>
          </a:extLst>
        </xdr:cNvPr>
        <xdr:cNvSpPr txBox="1"/>
      </xdr:nvSpPr>
      <xdr:spPr>
        <a:xfrm>
          <a:off x="573942" y="1371601"/>
          <a:ext cx="1718408" cy="25571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GUDACA,</a:t>
          </a:r>
          <a:r>
            <a:rPr lang="en-US" sz="1100" baseline="0"/>
            <a:t> REA D.</a:t>
          </a:r>
          <a:endParaRPr lang="en-US" sz="1100"/>
        </a:p>
      </xdr:txBody>
    </xdr:sp>
    <xdr:clientData/>
  </xdr:twoCellAnchor>
  <xdr:twoCellAnchor>
    <xdr:from>
      <xdr:col>0</xdr:col>
      <xdr:colOff>616683</xdr:colOff>
      <xdr:row>7</xdr:row>
      <xdr:rowOff>61057</xdr:rowOff>
    </xdr:from>
    <xdr:to>
      <xdr:col>0</xdr:col>
      <xdr:colOff>2625482</xdr:colOff>
      <xdr:row>9</xdr:row>
      <xdr:rowOff>6105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15B75414-A8EB-40B4-8DD1-C2EE0AA1338F}"/>
            </a:ext>
          </a:extLst>
        </xdr:cNvPr>
        <xdr:cNvSpPr txBox="1"/>
      </xdr:nvSpPr>
      <xdr:spPr>
        <a:xfrm>
          <a:off x="616683" y="1724757"/>
          <a:ext cx="1996099" cy="24984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AO</a:t>
          </a:r>
          <a:r>
            <a:rPr lang="en-US" sz="1100" baseline="0"/>
            <a:t>-II</a:t>
          </a:r>
          <a:endParaRPr lang="en-US" sz="1100"/>
        </a:p>
      </xdr:txBody>
    </xdr:sp>
    <xdr:clientData/>
  </xdr:twoCellAnchor>
  <xdr:twoCellAnchor>
    <xdr:from>
      <xdr:col>2</xdr:col>
      <xdr:colOff>415193</xdr:colOff>
      <xdr:row>7</xdr:row>
      <xdr:rowOff>42741</xdr:rowOff>
    </xdr:from>
    <xdr:to>
      <xdr:col>4</xdr:col>
      <xdr:colOff>604471</xdr:colOff>
      <xdr:row>8</xdr:row>
      <xdr:rowOff>140434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C60FD7C5-B5EE-4FB1-8AF7-8FA84306C978}"/>
            </a:ext>
          </a:extLst>
        </xdr:cNvPr>
        <xdr:cNvSpPr txBox="1"/>
      </xdr:nvSpPr>
      <xdr:spPr>
        <a:xfrm>
          <a:off x="3837843" y="1706441"/>
          <a:ext cx="1814878" cy="25009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DUNG-I IS</a:t>
          </a:r>
        </a:p>
      </xdr:txBody>
    </xdr:sp>
    <xdr:clientData/>
  </xdr:twoCellAnchor>
  <xdr:twoCellAnchor>
    <xdr:from>
      <xdr:col>7</xdr:col>
      <xdr:colOff>692150</xdr:colOff>
      <xdr:row>4</xdr:row>
      <xdr:rowOff>196850</xdr:rowOff>
    </xdr:from>
    <xdr:to>
      <xdr:col>9</xdr:col>
      <xdr:colOff>393700</xdr:colOff>
      <xdr:row>6</xdr:row>
      <xdr:rowOff>148493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31A629AF-9ED7-4694-85FC-9C4986F01A1B}"/>
            </a:ext>
          </a:extLst>
        </xdr:cNvPr>
        <xdr:cNvSpPr txBox="1"/>
      </xdr:nvSpPr>
      <xdr:spPr>
        <a:xfrm>
          <a:off x="7099300" y="1403350"/>
          <a:ext cx="1231900" cy="25644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6427517</a:t>
          </a:r>
        </a:p>
      </xdr:txBody>
    </xdr:sp>
    <xdr:clientData/>
  </xdr:twoCellAnchor>
  <xdr:twoCellAnchor>
    <xdr:from>
      <xdr:col>7</xdr:col>
      <xdr:colOff>717550</xdr:colOff>
      <xdr:row>7</xdr:row>
      <xdr:rowOff>69850</xdr:rowOff>
    </xdr:from>
    <xdr:to>
      <xdr:col>8</xdr:col>
      <xdr:colOff>609600</xdr:colOff>
      <xdr:row>9</xdr:row>
      <xdr:rowOff>21493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15ECBDE4-CB78-46F1-93FB-633FA1DE7A4E}"/>
            </a:ext>
          </a:extLst>
        </xdr:cNvPr>
        <xdr:cNvSpPr txBox="1"/>
      </xdr:nvSpPr>
      <xdr:spPr>
        <a:xfrm>
          <a:off x="7124700" y="1733550"/>
          <a:ext cx="711200" cy="25644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529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82"/>
  <sheetViews>
    <sheetView tabSelected="1" view="pageBreakPreview" topLeftCell="A63" zoomScaleNormal="100" zoomScaleSheetLayoutView="100" zoomScalePageLayoutView="75" workbookViewId="0">
      <selection activeCell="A74" sqref="A74:XFD74"/>
    </sheetView>
  </sheetViews>
  <sheetFormatPr defaultColWidth="9.140625" defaultRowHeight="15" x14ac:dyDescent="0.25"/>
  <cols>
    <col min="1" max="1" width="38.7109375" style="1" customWidth="1"/>
    <col min="2" max="2" width="11.5703125" style="10" customWidth="1"/>
    <col min="3" max="3" width="11.5703125" style="11" customWidth="1"/>
    <col min="4" max="4" width="11.5703125" style="10" customWidth="1"/>
    <col min="5" max="5" width="11.5703125" style="11" customWidth="1"/>
    <col min="6" max="6" width="11.5703125" style="12" customWidth="1"/>
    <col min="7" max="7" width="11.5703125" style="1" customWidth="1"/>
    <col min="8" max="8" width="11.5703125" style="10" customWidth="1"/>
    <col min="9" max="9" width="11.5703125" style="11" customWidth="1"/>
    <col min="10" max="10" width="11.5703125" style="1" customWidth="1"/>
    <col min="11" max="16384" width="9.140625" style="1"/>
  </cols>
  <sheetData>
    <row r="1" spans="1:10" s="17" customFormat="1" ht="52.5" customHeight="1" x14ac:dyDescent="0.25"/>
    <row r="2" spans="1:10" s="17" customFormat="1" ht="10.5" customHeight="1" x14ac:dyDescent="0.25">
      <c r="A2" s="38" t="s">
        <v>9</v>
      </c>
      <c r="B2" s="38"/>
      <c r="C2" s="38"/>
      <c r="D2" s="38"/>
      <c r="E2" s="38"/>
      <c r="F2" s="38"/>
      <c r="G2" s="38"/>
      <c r="H2" s="38"/>
      <c r="I2" s="38"/>
      <c r="J2" s="38"/>
    </row>
    <row r="3" spans="1:10" s="17" customFormat="1" ht="15.95" customHeight="1" x14ac:dyDescent="0.25">
      <c r="A3" s="38" t="s">
        <v>10</v>
      </c>
      <c r="B3" s="38"/>
      <c r="C3" s="38"/>
      <c r="D3" s="38"/>
      <c r="E3" s="38"/>
      <c r="F3" s="38"/>
      <c r="G3" s="38"/>
      <c r="H3" s="38"/>
      <c r="I3" s="38"/>
      <c r="J3" s="38"/>
    </row>
    <row r="4" spans="1:10" s="17" customFormat="1" ht="15.95" customHeight="1" x14ac:dyDescent="0.25">
      <c r="A4" s="38" t="s">
        <v>82</v>
      </c>
      <c r="B4" s="38"/>
      <c r="C4" s="38"/>
      <c r="D4" s="38"/>
      <c r="E4" s="38"/>
      <c r="F4" s="38"/>
      <c r="G4" s="38"/>
      <c r="H4" s="38"/>
      <c r="I4" s="38"/>
      <c r="J4" s="38"/>
    </row>
    <row r="5" spans="1:10" s="17" customFormat="1" ht="15.95" customHeight="1" x14ac:dyDescent="0.25">
      <c r="A5" s="38" t="s">
        <v>11</v>
      </c>
      <c r="B5" s="38"/>
      <c r="C5" s="38"/>
      <c r="D5" s="38"/>
      <c r="E5" s="38"/>
      <c r="F5" s="38"/>
      <c r="G5" s="38"/>
      <c r="H5" s="38"/>
      <c r="I5" s="38"/>
      <c r="J5" s="38"/>
    </row>
    <row r="6" spans="1:10" s="17" customFormat="1" ht="8.25" customHeight="1" x14ac:dyDescent="0.25"/>
    <row r="7" spans="1:10" s="17" customFormat="1" ht="12" customHeight="1" x14ac:dyDescent="0.25">
      <c r="A7" s="17" t="s">
        <v>28</v>
      </c>
      <c r="B7" s="36" t="s">
        <v>29</v>
      </c>
      <c r="C7" s="36"/>
      <c r="D7" s="36"/>
      <c r="H7" s="18" t="s">
        <v>30</v>
      </c>
      <c r="I7" s="19"/>
      <c r="J7" s="18"/>
    </row>
    <row r="8" spans="1:10" s="17" customFormat="1" ht="12" customHeight="1" x14ac:dyDescent="0.25">
      <c r="B8" s="20"/>
      <c r="C8" s="20"/>
      <c r="H8" s="20"/>
      <c r="I8" s="20"/>
      <c r="J8" s="20"/>
    </row>
    <row r="9" spans="1:10" s="17" customFormat="1" ht="12" customHeight="1" x14ac:dyDescent="0.25">
      <c r="A9" s="17" t="s">
        <v>31</v>
      </c>
      <c r="B9" s="36" t="s">
        <v>32</v>
      </c>
      <c r="C9" s="36"/>
      <c r="D9" s="36"/>
      <c r="H9" s="18" t="s">
        <v>33</v>
      </c>
      <c r="I9" s="21"/>
      <c r="J9" s="18"/>
    </row>
    <row r="10" spans="1:10" customFormat="1" ht="16.5" customHeight="1" thickBot="1" x14ac:dyDescent="0.3">
      <c r="A10" s="37" t="s">
        <v>34</v>
      </c>
      <c r="B10" s="37"/>
      <c r="C10" s="37"/>
      <c r="D10" s="37"/>
      <c r="E10" s="37"/>
      <c r="F10" s="37"/>
      <c r="G10" s="37"/>
      <c r="H10" s="37"/>
      <c r="I10" s="37"/>
      <c r="J10" s="37"/>
    </row>
    <row r="11" spans="1:10" s="2" customFormat="1" ht="18" customHeight="1" x14ac:dyDescent="0.2">
      <c r="A11" s="27" t="s">
        <v>12</v>
      </c>
      <c r="B11" s="27"/>
      <c r="C11" s="27"/>
      <c r="D11" s="27"/>
      <c r="E11" s="27"/>
      <c r="F11" s="27"/>
      <c r="G11" s="27"/>
      <c r="H11" s="27"/>
      <c r="I11" s="27"/>
      <c r="J11" s="27"/>
    </row>
    <row r="12" spans="1:10" s="2" customFormat="1" ht="18" customHeight="1" x14ac:dyDescent="0.2">
      <c r="A12" s="29" t="s">
        <v>3</v>
      </c>
      <c r="B12" s="30" t="s">
        <v>4</v>
      </c>
      <c r="C12" s="30"/>
      <c r="D12" s="31" t="s">
        <v>5</v>
      </c>
      <c r="E12" s="31"/>
      <c r="F12" s="31"/>
      <c r="G12" s="31"/>
      <c r="H12" s="32" t="s">
        <v>6</v>
      </c>
      <c r="I12" s="32"/>
      <c r="J12" s="29" t="s">
        <v>7</v>
      </c>
    </row>
    <row r="13" spans="1:10" s="2" customFormat="1" ht="22.5" customHeight="1" x14ac:dyDescent="0.2">
      <c r="A13" s="29"/>
      <c r="B13" s="3" t="s">
        <v>0</v>
      </c>
      <c r="C13" s="4" t="s">
        <v>1</v>
      </c>
      <c r="D13" s="3" t="s">
        <v>0</v>
      </c>
      <c r="E13" s="4" t="s">
        <v>1</v>
      </c>
      <c r="F13" s="5" t="s">
        <v>2</v>
      </c>
      <c r="G13" s="6" t="s">
        <v>8</v>
      </c>
      <c r="H13" s="3" t="s">
        <v>0</v>
      </c>
      <c r="I13" s="4" t="s">
        <v>1</v>
      </c>
      <c r="J13" s="29"/>
    </row>
    <row r="14" spans="1:10" s="2" customFormat="1" ht="18" customHeight="1" x14ac:dyDescent="0.2">
      <c r="A14" s="33" t="s">
        <v>13</v>
      </c>
      <c r="B14" s="34"/>
      <c r="C14" s="34"/>
      <c r="D14" s="34"/>
      <c r="E14" s="34"/>
      <c r="F14" s="34"/>
      <c r="G14" s="34"/>
      <c r="H14" s="34"/>
      <c r="I14" s="34"/>
      <c r="J14" s="35"/>
    </row>
    <row r="15" spans="1:10" s="8" customFormat="1" ht="18" customHeight="1" x14ac:dyDescent="0.2">
      <c r="A15" s="14" t="s">
        <v>63</v>
      </c>
      <c r="B15" s="14">
        <v>0.70799999999999996</v>
      </c>
      <c r="C15" s="14">
        <v>0.70799999999999996</v>
      </c>
      <c r="D15" s="14"/>
      <c r="E15" s="14"/>
      <c r="F15" s="14"/>
      <c r="G15" s="7"/>
      <c r="H15" s="14">
        <f>B15</f>
        <v>0.70799999999999996</v>
      </c>
      <c r="I15" s="14">
        <f>C15</f>
        <v>0.70799999999999996</v>
      </c>
      <c r="J15" s="7">
        <f>H15+I15</f>
        <v>1.4159999999999999</v>
      </c>
    </row>
    <row r="16" spans="1:10" s="9" customFormat="1" ht="18" customHeight="1" x14ac:dyDescent="0.2">
      <c r="A16" s="7" t="s">
        <v>16</v>
      </c>
      <c r="B16" s="14">
        <v>6.25</v>
      </c>
      <c r="C16" s="14">
        <f t="shared" ref="C16:C22" si="0">B16</f>
        <v>6.25</v>
      </c>
      <c r="D16" s="14"/>
      <c r="E16" s="14"/>
      <c r="F16" s="14"/>
      <c r="G16" s="7"/>
      <c r="H16" s="14">
        <f t="shared" ref="H16" si="1">H15+B16-D16-F16</f>
        <v>6.9580000000000002</v>
      </c>
      <c r="I16" s="14">
        <f t="shared" ref="I16" si="2">I15+C16-E16</f>
        <v>6.9580000000000002</v>
      </c>
      <c r="J16" s="7">
        <f t="shared" ref="J16" si="3">H16+I16</f>
        <v>13.916</v>
      </c>
    </row>
    <row r="17" spans="1:11" s="9" customFormat="1" ht="18" customHeight="1" x14ac:dyDescent="0.2">
      <c r="A17" s="7" t="s">
        <v>17</v>
      </c>
      <c r="B17" s="14">
        <v>15</v>
      </c>
      <c r="C17" s="14">
        <f t="shared" si="0"/>
        <v>15</v>
      </c>
      <c r="D17" s="14"/>
      <c r="E17" s="14"/>
      <c r="F17" s="14"/>
      <c r="G17" s="7"/>
      <c r="H17" s="14">
        <f t="shared" ref="H17:H43" si="4">H16+B17-D17-F17</f>
        <v>21.957999999999998</v>
      </c>
      <c r="I17" s="14">
        <f t="shared" ref="I17:I43" si="5">I16+C17-E17</f>
        <v>21.957999999999998</v>
      </c>
      <c r="J17" s="7">
        <f t="shared" ref="J17:J43" si="6">H17+I17</f>
        <v>43.915999999999997</v>
      </c>
    </row>
    <row r="18" spans="1:11" s="9" customFormat="1" ht="18" customHeight="1" x14ac:dyDescent="0.2">
      <c r="A18" s="7" t="s">
        <v>14</v>
      </c>
      <c r="B18" s="14"/>
      <c r="C18" s="14"/>
      <c r="D18" s="14">
        <v>15</v>
      </c>
      <c r="E18" s="14"/>
      <c r="F18" s="14"/>
      <c r="G18" s="7"/>
      <c r="H18" s="14">
        <f t="shared" si="4"/>
        <v>6.9579999999999984</v>
      </c>
      <c r="I18" s="14">
        <f t="shared" si="5"/>
        <v>21.957999999999998</v>
      </c>
      <c r="J18" s="7">
        <f t="shared" si="6"/>
        <v>28.915999999999997</v>
      </c>
    </row>
    <row r="19" spans="1:11" s="9" customFormat="1" ht="18" customHeight="1" x14ac:dyDescent="0.2">
      <c r="A19" s="14" t="s">
        <v>20</v>
      </c>
      <c r="B19" s="14"/>
      <c r="C19" s="14"/>
      <c r="D19" s="14"/>
      <c r="E19" s="14"/>
      <c r="F19" s="14">
        <v>5</v>
      </c>
      <c r="G19" s="7"/>
      <c r="H19" s="14">
        <f t="shared" si="4"/>
        <v>1.9579999999999984</v>
      </c>
      <c r="I19" s="14">
        <f t="shared" si="5"/>
        <v>21.957999999999998</v>
      </c>
      <c r="J19" s="7">
        <f t="shared" si="6"/>
        <v>23.915999999999997</v>
      </c>
    </row>
    <row r="20" spans="1:11" s="9" customFormat="1" ht="18" customHeight="1" x14ac:dyDescent="0.2">
      <c r="A20" s="16" t="s">
        <v>18</v>
      </c>
      <c r="B20" s="14">
        <v>11.25</v>
      </c>
      <c r="C20" s="14">
        <f t="shared" si="0"/>
        <v>11.25</v>
      </c>
      <c r="D20" s="14"/>
      <c r="E20" s="14"/>
      <c r="F20" s="14"/>
      <c r="G20" s="7"/>
      <c r="H20" s="14">
        <f t="shared" si="4"/>
        <v>13.207999999999998</v>
      </c>
      <c r="I20" s="14">
        <f t="shared" si="5"/>
        <v>33.207999999999998</v>
      </c>
      <c r="J20" s="7">
        <f t="shared" si="6"/>
        <v>46.415999999999997</v>
      </c>
      <c r="K20" s="28"/>
    </row>
    <row r="21" spans="1:11" s="9" customFormat="1" ht="18" customHeight="1" x14ac:dyDescent="0.2">
      <c r="A21" s="7" t="s">
        <v>15</v>
      </c>
      <c r="B21" s="14"/>
      <c r="C21" s="14"/>
      <c r="D21" s="14">
        <v>10</v>
      </c>
      <c r="E21" s="14">
        <v>10</v>
      </c>
      <c r="F21" s="14"/>
      <c r="G21" s="7"/>
      <c r="H21" s="14">
        <f t="shared" si="4"/>
        <v>3.2079999999999984</v>
      </c>
      <c r="I21" s="14">
        <f t="shared" si="5"/>
        <v>23.207999999999998</v>
      </c>
      <c r="J21" s="7">
        <f t="shared" si="6"/>
        <v>26.415999999999997</v>
      </c>
      <c r="K21" s="28"/>
    </row>
    <row r="22" spans="1:11" s="9" customFormat="1" ht="18" customHeight="1" x14ac:dyDescent="0.2">
      <c r="A22" s="7" t="s">
        <v>19</v>
      </c>
      <c r="B22" s="14">
        <v>3.75</v>
      </c>
      <c r="C22" s="14">
        <f t="shared" si="0"/>
        <v>3.75</v>
      </c>
      <c r="D22" s="14"/>
      <c r="E22" s="14"/>
      <c r="F22" s="14"/>
      <c r="G22" s="7"/>
      <c r="H22" s="14">
        <f t="shared" si="4"/>
        <v>6.9579999999999984</v>
      </c>
      <c r="I22" s="14">
        <f t="shared" si="5"/>
        <v>26.957999999999998</v>
      </c>
      <c r="J22" s="7">
        <f t="shared" si="6"/>
        <v>33.915999999999997</v>
      </c>
    </row>
    <row r="23" spans="1:11" s="9" customFormat="1" ht="18" customHeight="1" x14ac:dyDescent="0.2">
      <c r="A23" s="14" t="s">
        <v>21</v>
      </c>
      <c r="B23" s="14"/>
      <c r="C23" s="14"/>
      <c r="D23" s="14"/>
      <c r="E23" s="14"/>
      <c r="F23" s="14">
        <v>5</v>
      </c>
      <c r="G23" s="7"/>
      <c r="H23" s="14">
        <f t="shared" si="4"/>
        <v>1.9579999999999984</v>
      </c>
      <c r="I23" s="14">
        <f t="shared" si="5"/>
        <v>26.957999999999998</v>
      </c>
      <c r="J23" s="7">
        <f t="shared" si="6"/>
        <v>28.915999999999997</v>
      </c>
    </row>
    <row r="24" spans="1:11" s="9" customFormat="1" ht="18" customHeight="1" x14ac:dyDescent="0.2">
      <c r="A24" s="16" t="s">
        <v>22</v>
      </c>
      <c r="B24" s="14">
        <f>9*1.25</f>
        <v>11.25</v>
      </c>
      <c r="C24" s="14">
        <v>11.25</v>
      </c>
      <c r="D24" s="14"/>
      <c r="E24" s="14"/>
      <c r="F24" s="14"/>
      <c r="G24" s="7"/>
      <c r="H24" s="14">
        <f t="shared" si="4"/>
        <v>13.207999999999998</v>
      </c>
      <c r="I24" s="14">
        <f t="shared" si="5"/>
        <v>38.207999999999998</v>
      </c>
      <c r="J24" s="7">
        <f t="shared" si="6"/>
        <v>51.415999999999997</v>
      </c>
    </row>
    <row r="25" spans="1:11" s="9" customFormat="1" ht="18" customHeight="1" x14ac:dyDescent="0.2">
      <c r="A25" s="7" t="s">
        <v>27</v>
      </c>
      <c r="B25" s="14"/>
      <c r="C25" s="14"/>
      <c r="D25" s="14">
        <v>8</v>
      </c>
      <c r="E25" s="14">
        <v>21</v>
      </c>
      <c r="F25" s="14"/>
      <c r="G25" s="7"/>
      <c r="H25" s="14">
        <f t="shared" si="4"/>
        <v>5.2079999999999984</v>
      </c>
      <c r="I25" s="14">
        <f t="shared" si="5"/>
        <v>17.207999999999998</v>
      </c>
      <c r="J25" s="7">
        <f t="shared" si="6"/>
        <v>22.415999999999997</v>
      </c>
    </row>
    <row r="26" spans="1:11" s="9" customFormat="1" ht="18" customHeight="1" x14ac:dyDescent="0.2">
      <c r="A26" s="7" t="s">
        <v>35</v>
      </c>
      <c r="B26" s="14">
        <v>3.75</v>
      </c>
      <c r="C26" s="14">
        <v>3.75</v>
      </c>
      <c r="D26" s="14"/>
      <c r="E26" s="14"/>
      <c r="F26" s="14"/>
      <c r="G26" s="7"/>
      <c r="H26" s="14">
        <f t="shared" si="4"/>
        <v>8.9579999999999984</v>
      </c>
      <c r="I26" s="14">
        <f t="shared" si="5"/>
        <v>20.957999999999998</v>
      </c>
      <c r="J26" s="7">
        <f t="shared" si="6"/>
        <v>29.915999999999997</v>
      </c>
    </row>
    <row r="27" spans="1:11" s="9" customFormat="1" ht="18" customHeight="1" x14ac:dyDescent="0.2">
      <c r="A27" s="7" t="s">
        <v>39</v>
      </c>
      <c r="B27" s="14"/>
      <c r="C27" s="14"/>
      <c r="D27" s="14"/>
      <c r="E27" s="14"/>
      <c r="F27" s="14">
        <v>1</v>
      </c>
      <c r="G27" s="7"/>
      <c r="H27" s="14">
        <f t="shared" si="4"/>
        <v>7.9579999999999984</v>
      </c>
      <c r="I27" s="14">
        <f t="shared" si="5"/>
        <v>20.957999999999998</v>
      </c>
      <c r="J27" s="7">
        <f t="shared" si="6"/>
        <v>28.915999999999997</v>
      </c>
    </row>
    <row r="28" spans="1:11" s="9" customFormat="1" ht="18" customHeight="1" x14ac:dyDescent="0.2">
      <c r="A28" s="7" t="s">
        <v>40</v>
      </c>
      <c r="B28" s="14"/>
      <c r="C28" s="14"/>
      <c r="D28" s="14"/>
      <c r="E28" s="14">
        <v>1</v>
      </c>
      <c r="F28" s="14"/>
      <c r="G28" s="7"/>
      <c r="H28" s="14">
        <f t="shared" si="4"/>
        <v>7.9579999999999984</v>
      </c>
      <c r="I28" s="14">
        <f t="shared" si="5"/>
        <v>19.957999999999998</v>
      </c>
      <c r="J28" s="7">
        <f t="shared" si="6"/>
        <v>27.915999999999997</v>
      </c>
    </row>
    <row r="29" spans="1:11" s="9" customFormat="1" ht="18" customHeight="1" x14ac:dyDescent="0.2">
      <c r="A29" s="7" t="s">
        <v>36</v>
      </c>
      <c r="B29" s="14"/>
      <c r="C29" s="14"/>
      <c r="D29" s="14"/>
      <c r="E29" s="14"/>
      <c r="F29" s="14">
        <v>4</v>
      </c>
      <c r="G29" s="7"/>
      <c r="H29" s="14">
        <f t="shared" si="4"/>
        <v>3.9579999999999984</v>
      </c>
      <c r="I29" s="14">
        <f t="shared" si="5"/>
        <v>19.957999999999998</v>
      </c>
      <c r="J29" s="7">
        <f t="shared" si="6"/>
        <v>23.915999999999997</v>
      </c>
    </row>
    <row r="30" spans="1:11" s="9" customFormat="1" ht="18" customHeight="1" x14ac:dyDescent="0.2">
      <c r="A30" s="7" t="s">
        <v>37</v>
      </c>
      <c r="B30" s="14">
        <v>2.5</v>
      </c>
      <c r="C30" s="14">
        <v>2.5</v>
      </c>
      <c r="D30" s="14">
        <v>0</v>
      </c>
      <c r="E30" s="14"/>
      <c r="F30" s="14"/>
      <c r="G30" s="7"/>
      <c r="H30" s="14">
        <f t="shared" si="4"/>
        <v>6.4579999999999984</v>
      </c>
      <c r="I30" s="14">
        <f t="shared" si="5"/>
        <v>22.457999999999998</v>
      </c>
      <c r="J30" s="7">
        <f t="shared" si="6"/>
        <v>28.915999999999997</v>
      </c>
    </row>
    <row r="31" spans="1:11" s="9" customFormat="1" ht="18" customHeight="1" x14ac:dyDescent="0.2">
      <c r="A31" s="7" t="s">
        <v>38</v>
      </c>
      <c r="B31" s="14"/>
      <c r="C31" s="14"/>
      <c r="D31" s="14"/>
      <c r="E31" s="14">
        <v>1</v>
      </c>
      <c r="F31" s="14">
        <v>1</v>
      </c>
      <c r="G31" s="7"/>
      <c r="H31" s="14">
        <f t="shared" si="4"/>
        <v>5.4579999999999984</v>
      </c>
      <c r="I31" s="14">
        <f t="shared" si="5"/>
        <v>21.457999999999998</v>
      </c>
      <c r="J31" s="7">
        <f t="shared" si="6"/>
        <v>26.915999999999997</v>
      </c>
    </row>
    <row r="32" spans="1:11" s="9" customFormat="1" ht="18" customHeight="1" x14ac:dyDescent="0.2">
      <c r="A32" s="7" t="s">
        <v>41</v>
      </c>
      <c r="B32" s="14"/>
      <c r="C32" s="14"/>
      <c r="D32" s="14"/>
      <c r="E32" s="14"/>
      <c r="F32" s="14"/>
      <c r="G32" s="7">
        <v>1</v>
      </c>
      <c r="H32" s="14">
        <f t="shared" si="4"/>
        <v>5.4579999999999984</v>
      </c>
      <c r="I32" s="14">
        <f t="shared" si="5"/>
        <v>21.457999999999998</v>
      </c>
      <c r="J32" s="7">
        <f t="shared" si="6"/>
        <v>26.915999999999997</v>
      </c>
    </row>
    <row r="33" spans="1:10" s="9" customFormat="1" ht="18" customHeight="1" x14ac:dyDescent="0.2">
      <c r="A33" s="7" t="s">
        <v>42</v>
      </c>
      <c r="B33" s="14">
        <v>1.25</v>
      </c>
      <c r="C33" s="14">
        <v>1.25</v>
      </c>
      <c r="D33" s="14"/>
      <c r="E33" s="14"/>
      <c r="F33" s="14"/>
      <c r="G33" s="7"/>
      <c r="H33" s="14">
        <f t="shared" si="4"/>
        <v>6.7079999999999984</v>
      </c>
      <c r="I33" s="14">
        <f t="shared" si="5"/>
        <v>22.707999999999998</v>
      </c>
      <c r="J33" s="7">
        <f t="shared" si="6"/>
        <v>29.415999999999997</v>
      </c>
    </row>
    <row r="34" spans="1:10" s="9" customFormat="1" ht="18" customHeight="1" x14ac:dyDescent="0.2">
      <c r="A34" s="7" t="s">
        <v>43</v>
      </c>
      <c r="B34" s="14"/>
      <c r="C34" s="14"/>
      <c r="D34" s="14"/>
      <c r="E34" s="14">
        <v>1</v>
      </c>
      <c r="F34" s="14"/>
      <c r="G34" s="7"/>
      <c r="H34" s="14">
        <f t="shared" si="4"/>
        <v>6.7079999999999984</v>
      </c>
      <c r="I34" s="14">
        <f t="shared" si="5"/>
        <v>21.707999999999998</v>
      </c>
      <c r="J34" s="7">
        <f t="shared" si="6"/>
        <v>28.415999999999997</v>
      </c>
    </row>
    <row r="35" spans="1:10" s="9" customFormat="1" ht="18" customHeight="1" x14ac:dyDescent="0.2">
      <c r="A35" s="7" t="s">
        <v>44</v>
      </c>
      <c r="B35" s="14">
        <v>2.5</v>
      </c>
      <c r="C35" s="14">
        <v>2.5</v>
      </c>
      <c r="D35" s="14"/>
      <c r="E35" s="14"/>
      <c r="F35" s="14"/>
      <c r="G35" s="7"/>
      <c r="H35" s="14">
        <f t="shared" si="4"/>
        <v>9.2079999999999984</v>
      </c>
      <c r="I35" s="14">
        <f t="shared" si="5"/>
        <v>24.207999999999998</v>
      </c>
      <c r="J35" s="7">
        <f t="shared" si="6"/>
        <v>33.415999999999997</v>
      </c>
    </row>
    <row r="36" spans="1:10" s="9" customFormat="1" ht="18" customHeight="1" x14ac:dyDescent="0.2">
      <c r="A36" s="7" t="s">
        <v>45</v>
      </c>
      <c r="B36" s="14"/>
      <c r="C36" s="14"/>
      <c r="D36" s="14"/>
      <c r="E36" s="14"/>
      <c r="F36" s="14"/>
      <c r="G36" s="7">
        <v>1</v>
      </c>
      <c r="H36" s="14">
        <f t="shared" si="4"/>
        <v>9.2079999999999984</v>
      </c>
      <c r="I36" s="14">
        <f t="shared" si="5"/>
        <v>24.207999999999998</v>
      </c>
      <c r="J36" s="7">
        <f t="shared" si="6"/>
        <v>33.415999999999997</v>
      </c>
    </row>
    <row r="37" spans="1:10" s="9" customFormat="1" ht="18" customHeight="1" x14ac:dyDescent="0.2">
      <c r="A37" s="7" t="s">
        <v>46</v>
      </c>
      <c r="B37" s="14">
        <v>1.25</v>
      </c>
      <c r="C37" s="14">
        <v>1.25</v>
      </c>
      <c r="D37" s="14"/>
      <c r="E37" s="14"/>
      <c r="F37" s="14"/>
      <c r="G37" s="7"/>
      <c r="H37" s="14">
        <f t="shared" si="4"/>
        <v>10.457999999999998</v>
      </c>
      <c r="I37" s="14">
        <f t="shared" si="5"/>
        <v>25.457999999999998</v>
      </c>
      <c r="J37" s="7">
        <f t="shared" si="6"/>
        <v>35.915999999999997</v>
      </c>
    </row>
    <row r="38" spans="1:10" s="9" customFormat="1" ht="18" customHeight="1" x14ac:dyDescent="0.2">
      <c r="A38" s="7" t="s">
        <v>47</v>
      </c>
      <c r="B38" s="14"/>
      <c r="C38" s="14"/>
      <c r="D38" s="14"/>
      <c r="E38" s="14">
        <v>1</v>
      </c>
      <c r="F38" s="14"/>
      <c r="G38" s="7"/>
      <c r="H38" s="14">
        <f t="shared" si="4"/>
        <v>10.457999999999998</v>
      </c>
      <c r="I38" s="14">
        <f t="shared" si="5"/>
        <v>24.457999999999998</v>
      </c>
      <c r="J38" s="7">
        <f t="shared" si="6"/>
        <v>34.915999999999997</v>
      </c>
    </row>
    <row r="39" spans="1:10" s="9" customFormat="1" ht="18" customHeight="1" x14ac:dyDescent="0.2">
      <c r="A39" s="7" t="s">
        <v>48</v>
      </c>
      <c r="B39" s="14">
        <v>2.5</v>
      </c>
      <c r="C39" s="14">
        <v>2.5</v>
      </c>
      <c r="D39" s="14"/>
      <c r="E39" s="14"/>
      <c r="F39" s="14"/>
      <c r="G39" s="7"/>
      <c r="H39" s="14">
        <f t="shared" si="4"/>
        <v>12.957999999999998</v>
      </c>
      <c r="I39" s="14">
        <f t="shared" si="5"/>
        <v>26.957999999999998</v>
      </c>
      <c r="J39" s="7">
        <f t="shared" si="6"/>
        <v>39.915999999999997</v>
      </c>
    </row>
    <row r="40" spans="1:10" s="9" customFormat="1" ht="18" customHeight="1" x14ac:dyDescent="0.2">
      <c r="A40" s="7" t="s">
        <v>49</v>
      </c>
      <c r="B40" s="14"/>
      <c r="C40" s="14"/>
      <c r="D40" s="14">
        <v>2</v>
      </c>
      <c r="E40" s="14">
        <v>13</v>
      </c>
      <c r="F40" s="14"/>
      <c r="G40" s="7"/>
      <c r="H40" s="14">
        <f t="shared" si="4"/>
        <v>10.957999999999998</v>
      </c>
      <c r="I40" s="14">
        <f t="shared" si="5"/>
        <v>13.957999999999998</v>
      </c>
      <c r="J40" s="7">
        <f t="shared" si="6"/>
        <v>24.915999999999997</v>
      </c>
    </row>
    <row r="41" spans="1:10" s="9" customFormat="1" ht="18" customHeight="1" x14ac:dyDescent="0.2">
      <c r="A41" s="7" t="s">
        <v>50</v>
      </c>
      <c r="B41" s="14"/>
      <c r="C41" s="14"/>
      <c r="D41" s="14"/>
      <c r="E41" s="14"/>
      <c r="F41" s="14">
        <v>1</v>
      </c>
      <c r="G41" s="7"/>
      <c r="H41" s="14">
        <f t="shared" si="4"/>
        <v>9.9579999999999984</v>
      </c>
      <c r="I41" s="14">
        <f t="shared" si="5"/>
        <v>13.957999999999998</v>
      </c>
      <c r="J41" s="7">
        <f t="shared" si="6"/>
        <v>23.915999999999997</v>
      </c>
    </row>
    <row r="42" spans="1:10" s="9" customFormat="1" ht="18" customHeight="1" x14ac:dyDescent="0.2">
      <c r="A42" s="7" t="s">
        <v>51</v>
      </c>
      <c r="B42" s="14">
        <v>1.25</v>
      </c>
      <c r="C42" s="14">
        <v>1.25</v>
      </c>
      <c r="D42" s="14"/>
      <c r="E42" s="14"/>
      <c r="F42" s="14"/>
      <c r="G42" s="7"/>
      <c r="H42" s="14">
        <f t="shared" si="4"/>
        <v>11.207999999999998</v>
      </c>
      <c r="I42" s="14">
        <f t="shared" si="5"/>
        <v>15.207999999999998</v>
      </c>
      <c r="J42" s="7">
        <f t="shared" si="6"/>
        <v>26.415999999999997</v>
      </c>
    </row>
    <row r="43" spans="1:10" s="9" customFormat="1" ht="18" customHeight="1" x14ac:dyDescent="0.2">
      <c r="A43" s="7" t="s">
        <v>52</v>
      </c>
      <c r="B43" s="14"/>
      <c r="C43" s="14"/>
      <c r="D43" s="14"/>
      <c r="E43" s="14"/>
      <c r="F43" s="14"/>
      <c r="G43" s="7">
        <v>1</v>
      </c>
      <c r="H43" s="14">
        <f t="shared" si="4"/>
        <v>11.207999999999998</v>
      </c>
      <c r="I43" s="14">
        <f t="shared" si="5"/>
        <v>15.207999999999998</v>
      </c>
      <c r="J43" s="7">
        <f t="shared" si="6"/>
        <v>26.415999999999997</v>
      </c>
    </row>
    <row r="44" spans="1:10" s="9" customFormat="1" ht="18" customHeight="1" x14ac:dyDescent="0.2">
      <c r="A44" s="7" t="s">
        <v>53</v>
      </c>
      <c r="B44" s="14">
        <v>2.5</v>
      </c>
      <c r="C44" s="14">
        <v>2.5</v>
      </c>
      <c r="D44" s="14"/>
      <c r="E44" s="14"/>
      <c r="F44" s="14"/>
      <c r="G44" s="7"/>
      <c r="H44" s="14">
        <f t="shared" ref="H44:H45" si="7">H43+B44-D44-F44</f>
        <v>13.707999999999998</v>
      </c>
      <c r="I44" s="14">
        <f t="shared" ref="I44:I45" si="8">I43+C44-E44</f>
        <v>17.707999999999998</v>
      </c>
      <c r="J44" s="7">
        <f t="shared" ref="J44:J45" si="9">H44+I44</f>
        <v>31.415999999999997</v>
      </c>
    </row>
    <row r="45" spans="1:10" s="9" customFormat="1" ht="18" customHeight="1" x14ac:dyDescent="0.2">
      <c r="A45" s="7" t="s">
        <v>54</v>
      </c>
      <c r="B45" s="14"/>
      <c r="C45" s="14"/>
      <c r="D45" s="14"/>
      <c r="E45" s="14"/>
      <c r="F45" s="14">
        <v>2</v>
      </c>
      <c r="G45" s="7"/>
      <c r="H45" s="14">
        <f t="shared" si="7"/>
        <v>11.707999999999998</v>
      </c>
      <c r="I45" s="14">
        <f t="shared" si="8"/>
        <v>17.707999999999998</v>
      </c>
      <c r="J45" s="7">
        <f t="shared" si="9"/>
        <v>29.415999999999997</v>
      </c>
    </row>
    <row r="46" spans="1:10" s="9" customFormat="1" ht="18" customHeight="1" x14ac:dyDescent="0.2">
      <c r="A46" s="7" t="s">
        <v>55</v>
      </c>
      <c r="B46" s="14">
        <v>1.25</v>
      </c>
      <c r="C46" s="14">
        <v>1.25</v>
      </c>
      <c r="D46" s="14"/>
      <c r="E46" s="14"/>
      <c r="F46" s="14"/>
      <c r="G46" s="7"/>
      <c r="H46" s="14">
        <f t="shared" ref="H46" si="10">H45+B46-D46-F46</f>
        <v>12.957999999999998</v>
      </c>
      <c r="I46" s="14">
        <f t="shared" ref="I46" si="11">I45+C46-E46</f>
        <v>18.957999999999998</v>
      </c>
      <c r="J46" s="7">
        <f t="shared" ref="J46" si="12">H46+I46</f>
        <v>31.915999999999997</v>
      </c>
    </row>
    <row r="47" spans="1:10" s="9" customFormat="1" ht="18" customHeight="1" x14ac:dyDescent="0.2">
      <c r="A47" s="16" t="s">
        <v>61</v>
      </c>
      <c r="B47" s="22"/>
      <c r="C47" s="22"/>
      <c r="D47" s="22"/>
      <c r="E47" s="22"/>
      <c r="F47" s="22">
        <v>1</v>
      </c>
      <c r="G47" s="16"/>
      <c r="H47" s="14">
        <f t="shared" ref="H47:H53" si="13">H46+B47-D47-F47</f>
        <v>11.957999999999998</v>
      </c>
      <c r="I47" s="14">
        <f t="shared" ref="I47:I53" si="14">I46+C47-E47</f>
        <v>18.957999999999998</v>
      </c>
      <c r="J47" s="7">
        <f t="shared" ref="J47:J53" si="15">H47+I47</f>
        <v>30.915999999999997</v>
      </c>
    </row>
    <row r="48" spans="1:10" s="9" customFormat="1" ht="18" customHeight="1" x14ac:dyDescent="0.2">
      <c r="A48" s="7" t="s">
        <v>56</v>
      </c>
      <c r="B48" s="14"/>
      <c r="C48" s="14"/>
      <c r="D48" s="14">
        <v>1</v>
      </c>
      <c r="E48" s="14"/>
      <c r="F48" s="14"/>
      <c r="G48" s="7"/>
      <c r="H48" s="14">
        <f t="shared" si="13"/>
        <v>10.957999999999998</v>
      </c>
      <c r="I48" s="14">
        <f t="shared" si="14"/>
        <v>18.957999999999998</v>
      </c>
      <c r="J48" s="7">
        <f t="shared" si="15"/>
        <v>29.915999999999997</v>
      </c>
    </row>
    <row r="49" spans="1:10" s="9" customFormat="1" ht="18" customHeight="1" x14ac:dyDescent="0.2">
      <c r="A49" s="7" t="s">
        <v>57</v>
      </c>
      <c r="B49" s="14">
        <v>2.5</v>
      </c>
      <c r="C49" s="14">
        <v>2.5</v>
      </c>
      <c r="D49" s="14"/>
      <c r="E49" s="14"/>
      <c r="F49" s="14"/>
      <c r="G49" s="7"/>
      <c r="H49" s="14">
        <f t="shared" si="13"/>
        <v>13.457999999999998</v>
      </c>
      <c r="I49" s="14">
        <f t="shared" si="14"/>
        <v>21.457999999999998</v>
      </c>
      <c r="J49" s="7">
        <f t="shared" si="15"/>
        <v>34.915999999999997</v>
      </c>
    </row>
    <row r="50" spans="1:10" s="9" customFormat="1" ht="18" customHeight="1" x14ac:dyDescent="0.2">
      <c r="A50" s="7" t="s">
        <v>58</v>
      </c>
      <c r="B50" s="14"/>
      <c r="C50" s="14"/>
      <c r="D50" s="14"/>
      <c r="E50" s="14"/>
      <c r="F50" s="22">
        <v>1</v>
      </c>
      <c r="G50" s="16"/>
      <c r="H50" s="14">
        <f t="shared" si="13"/>
        <v>12.457999999999998</v>
      </c>
      <c r="I50" s="14">
        <f t="shared" si="14"/>
        <v>21.457999999999998</v>
      </c>
      <c r="J50" s="7">
        <f t="shared" si="15"/>
        <v>33.915999999999997</v>
      </c>
    </row>
    <row r="51" spans="1:10" s="9" customFormat="1" ht="18" customHeight="1" x14ac:dyDescent="0.2">
      <c r="A51" s="7" t="s">
        <v>64</v>
      </c>
      <c r="B51" s="14">
        <v>1.25</v>
      </c>
      <c r="C51" s="14">
        <v>1.25</v>
      </c>
      <c r="D51" s="14"/>
      <c r="E51" s="14"/>
      <c r="F51" s="22"/>
      <c r="G51" s="16"/>
      <c r="H51" s="14">
        <f t="shared" si="13"/>
        <v>13.707999999999998</v>
      </c>
      <c r="I51" s="14">
        <f t="shared" si="14"/>
        <v>22.707999999999998</v>
      </c>
      <c r="J51" s="7">
        <f t="shared" si="15"/>
        <v>36.415999999999997</v>
      </c>
    </row>
    <row r="52" spans="1:10" s="9" customFormat="1" ht="18" customHeight="1" x14ac:dyDescent="0.2">
      <c r="A52" s="7" t="s">
        <v>59</v>
      </c>
      <c r="B52" s="14"/>
      <c r="C52" s="14"/>
      <c r="D52" s="14"/>
      <c r="E52" s="14">
        <v>1</v>
      </c>
      <c r="F52" s="22"/>
      <c r="G52" s="16"/>
      <c r="H52" s="14">
        <f t="shared" si="13"/>
        <v>13.707999999999998</v>
      </c>
      <c r="I52" s="14">
        <f t="shared" si="14"/>
        <v>21.707999999999998</v>
      </c>
      <c r="J52" s="7">
        <f t="shared" si="15"/>
        <v>35.415999999999997</v>
      </c>
    </row>
    <row r="53" spans="1:10" s="9" customFormat="1" ht="18" customHeight="1" x14ac:dyDescent="0.2">
      <c r="A53" s="7" t="s">
        <v>60</v>
      </c>
      <c r="B53" s="14">
        <v>5</v>
      </c>
      <c r="C53" s="14">
        <v>5</v>
      </c>
      <c r="D53" s="14"/>
      <c r="E53" s="14"/>
      <c r="F53" s="22"/>
      <c r="G53" s="16"/>
      <c r="H53" s="14">
        <f t="shared" si="13"/>
        <v>18.707999999999998</v>
      </c>
      <c r="I53" s="14">
        <f t="shared" si="14"/>
        <v>26.707999999999998</v>
      </c>
      <c r="J53" s="7">
        <f t="shared" si="15"/>
        <v>45.415999999999997</v>
      </c>
    </row>
    <row r="54" spans="1:10" s="9" customFormat="1" ht="18" customHeight="1" x14ac:dyDescent="0.2">
      <c r="A54" s="16" t="s">
        <v>62</v>
      </c>
      <c r="B54" s="22"/>
      <c r="C54" s="22"/>
      <c r="D54" s="22">
        <v>10</v>
      </c>
      <c r="E54" s="22"/>
      <c r="F54" s="22"/>
      <c r="G54" s="16"/>
      <c r="H54" s="22">
        <f t="shared" ref="H54" si="16">H53+B54-D54-F54</f>
        <v>8.7079999999999984</v>
      </c>
      <c r="I54" s="22">
        <f t="shared" ref="I54" si="17">I53+C54-E54</f>
        <v>26.707999999999998</v>
      </c>
      <c r="J54" s="16">
        <f t="shared" ref="J54" si="18">H54+I54</f>
        <v>35.415999999999997</v>
      </c>
    </row>
    <row r="55" spans="1:10" s="9" customFormat="1" ht="18" customHeight="1" x14ac:dyDescent="0.2">
      <c r="A55" s="16" t="s">
        <v>65</v>
      </c>
      <c r="B55" s="22">
        <v>1.25</v>
      </c>
      <c r="C55" s="22">
        <v>1.25</v>
      </c>
      <c r="D55" s="22"/>
      <c r="E55" s="22"/>
      <c r="F55" s="22"/>
      <c r="G55" s="16"/>
      <c r="H55" s="22">
        <f t="shared" ref="H55:H56" si="19">H54+B55-D55-F55</f>
        <v>9.9579999999999984</v>
      </c>
      <c r="I55" s="22">
        <f t="shared" ref="I55:I56" si="20">I54+C55-E55</f>
        <v>27.957999999999998</v>
      </c>
      <c r="J55" s="16">
        <f t="shared" ref="J55:J56" si="21">H55+I55</f>
        <v>37.915999999999997</v>
      </c>
    </row>
    <row r="56" spans="1:10" s="9" customFormat="1" ht="18" customHeight="1" x14ac:dyDescent="0.2">
      <c r="A56" s="16" t="s">
        <v>66</v>
      </c>
      <c r="B56" s="22"/>
      <c r="C56" s="22"/>
      <c r="D56" s="22"/>
      <c r="E56" s="22"/>
      <c r="F56" s="22">
        <v>1</v>
      </c>
      <c r="G56" s="16"/>
      <c r="H56" s="22">
        <f t="shared" si="19"/>
        <v>8.9579999999999984</v>
      </c>
      <c r="I56" s="22">
        <f t="shared" si="20"/>
        <v>27.957999999999998</v>
      </c>
      <c r="J56" s="16">
        <f t="shared" si="21"/>
        <v>36.915999999999997</v>
      </c>
    </row>
    <row r="57" spans="1:10" s="9" customFormat="1" ht="18" customHeight="1" x14ac:dyDescent="0.2">
      <c r="A57" s="16" t="s">
        <v>67</v>
      </c>
      <c r="B57" s="22">
        <v>1.25</v>
      </c>
      <c r="C57" s="22">
        <v>1.25</v>
      </c>
      <c r="D57" s="22"/>
      <c r="E57" s="22"/>
      <c r="F57" s="22"/>
      <c r="G57" s="16"/>
      <c r="H57" s="22">
        <f t="shared" ref="H57:H58" si="22">H56+B57-D57-F57</f>
        <v>10.207999999999998</v>
      </c>
      <c r="I57" s="22">
        <f t="shared" ref="I57:I58" si="23">I56+C57-E57</f>
        <v>29.207999999999998</v>
      </c>
      <c r="J57" s="16">
        <f t="shared" ref="J57:J58" si="24">H57+I57</f>
        <v>39.415999999999997</v>
      </c>
    </row>
    <row r="58" spans="1:10" s="9" customFormat="1" ht="18" customHeight="1" x14ac:dyDescent="0.2">
      <c r="A58" s="16" t="s">
        <v>68</v>
      </c>
      <c r="B58" s="22"/>
      <c r="C58" s="22"/>
      <c r="D58" s="22"/>
      <c r="E58" s="22"/>
      <c r="F58" s="22"/>
      <c r="G58" s="16">
        <v>1</v>
      </c>
      <c r="H58" s="22">
        <f t="shared" si="22"/>
        <v>10.207999999999998</v>
      </c>
      <c r="I58" s="22">
        <f t="shared" si="23"/>
        <v>29.207999999999998</v>
      </c>
      <c r="J58" s="16">
        <f t="shared" si="24"/>
        <v>39.415999999999997</v>
      </c>
    </row>
    <row r="59" spans="1:10" s="9" customFormat="1" ht="18.75" customHeight="1" x14ac:dyDescent="0.2">
      <c r="A59" s="16" t="s">
        <v>69</v>
      </c>
      <c r="B59" s="22">
        <v>1.25</v>
      </c>
      <c r="C59" s="22">
        <v>1.25</v>
      </c>
      <c r="D59" s="22"/>
      <c r="E59" s="22"/>
      <c r="F59" s="22"/>
      <c r="G59" s="16"/>
      <c r="H59" s="22">
        <f t="shared" ref="H59:H60" si="25">H58+B59-D59-F59</f>
        <v>11.457999999999998</v>
      </c>
      <c r="I59" s="22">
        <f t="shared" ref="I59:I60" si="26">I58+C59-E59</f>
        <v>30.457999999999998</v>
      </c>
      <c r="J59" s="16">
        <f t="shared" ref="J59:J60" si="27">H59+I59</f>
        <v>41.915999999999997</v>
      </c>
    </row>
    <row r="60" spans="1:10" s="9" customFormat="1" ht="18" customHeight="1" x14ac:dyDescent="0.2">
      <c r="A60" s="16" t="s">
        <v>70</v>
      </c>
      <c r="B60" s="22"/>
      <c r="C60" s="22"/>
      <c r="D60" s="22"/>
      <c r="E60" s="22">
        <v>1</v>
      </c>
      <c r="F60" s="22"/>
      <c r="G60" s="16"/>
      <c r="H60" s="22">
        <f t="shared" si="25"/>
        <v>11.457999999999998</v>
      </c>
      <c r="I60" s="22">
        <f t="shared" si="26"/>
        <v>29.457999999999998</v>
      </c>
      <c r="J60" s="16">
        <f t="shared" si="27"/>
        <v>40.915999999999997</v>
      </c>
    </row>
    <row r="61" spans="1:10" s="9" customFormat="1" ht="18" customHeight="1" x14ac:dyDescent="0.2">
      <c r="A61" s="16" t="s">
        <v>71</v>
      </c>
      <c r="B61" s="22"/>
      <c r="C61" s="22"/>
      <c r="D61" s="22"/>
      <c r="E61" s="22">
        <v>1</v>
      </c>
      <c r="F61" s="22"/>
      <c r="G61" s="16"/>
      <c r="H61" s="22">
        <f t="shared" ref="H61" si="28">H60+B61-D61-F61</f>
        <v>11.457999999999998</v>
      </c>
      <c r="I61" s="22">
        <f t="shared" ref="I61" si="29">I60+C61-E61</f>
        <v>28.457999999999998</v>
      </c>
      <c r="J61" s="16">
        <f t="shared" ref="J61" si="30">H61+I61</f>
        <v>39.915999999999997</v>
      </c>
    </row>
    <row r="62" spans="1:10" s="9" customFormat="1" ht="18" customHeight="1" x14ac:dyDescent="0.2">
      <c r="A62" s="16" t="s">
        <v>72</v>
      </c>
      <c r="B62" s="22">
        <v>2.5</v>
      </c>
      <c r="C62" s="22">
        <v>2.5</v>
      </c>
      <c r="D62" s="22"/>
      <c r="E62" s="22"/>
      <c r="F62" s="22"/>
      <c r="G62" s="16"/>
      <c r="H62" s="22">
        <f t="shared" ref="H62:H65" si="31">H61+B62-D62-F62</f>
        <v>13.957999999999998</v>
      </c>
      <c r="I62" s="22">
        <f t="shared" ref="I62:I65" si="32">I61+C62-E62</f>
        <v>30.957999999999998</v>
      </c>
      <c r="J62" s="16">
        <f t="shared" ref="J62:J65" si="33">H62+I62</f>
        <v>44.915999999999997</v>
      </c>
    </row>
    <row r="63" spans="1:10" s="9" customFormat="1" ht="18" customHeight="1" x14ac:dyDescent="0.2">
      <c r="A63" s="16" t="s">
        <v>74</v>
      </c>
      <c r="B63" s="22"/>
      <c r="C63" s="22"/>
      <c r="D63" s="22"/>
      <c r="E63" s="22"/>
      <c r="F63" s="22">
        <v>3</v>
      </c>
      <c r="G63" s="16"/>
      <c r="H63" s="22">
        <f t="shared" si="31"/>
        <v>10.957999999999998</v>
      </c>
      <c r="I63" s="22">
        <f t="shared" si="32"/>
        <v>30.957999999999998</v>
      </c>
      <c r="J63" s="16">
        <f t="shared" si="33"/>
        <v>41.915999999999997</v>
      </c>
    </row>
    <row r="64" spans="1:10" s="9" customFormat="1" ht="18" customHeight="1" x14ac:dyDescent="0.2">
      <c r="A64" s="16" t="s">
        <v>73</v>
      </c>
      <c r="B64" s="22">
        <v>1.25</v>
      </c>
      <c r="C64" s="22">
        <v>1.25</v>
      </c>
      <c r="D64" s="22"/>
      <c r="E64" s="22"/>
      <c r="F64" s="22"/>
      <c r="G64" s="16"/>
      <c r="H64" s="22">
        <f t="shared" si="31"/>
        <v>12.207999999999998</v>
      </c>
      <c r="I64" s="22">
        <f t="shared" si="32"/>
        <v>32.207999999999998</v>
      </c>
      <c r="J64" s="16">
        <f t="shared" si="33"/>
        <v>44.415999999999997</v>
      </c>
    </row>
    <row r="65" spans="1:10" s="9" customFormat="1" ht="18" customHeight="1" x14ac:dyDescent="0.2">
      <c r="A65" s="16" t="s">
        <v>75</v>
      </c>
      <c r="B65" s="22"/>
      <c r="C65" s="22"/>
      <c r="D65" s="22"/>
      <c r="E65" s="22">
        <v>1</v>
      </c>
      <c r="F65" s="22"/>
      <c r="G65" s="16"/>
      <c r="H65" s="22">
        <f t="shared" si="31"/>
        <v>12.207999999999998</v>
      </c>
      <c r="I65" s="22">
        <f t="shared" si="32"/>
        <v>31.207999999999998</v>
      </c>
      <c r="J65" s="16">
        <f t="shared" si="33"/>
        <v>43.415999999999997</v>
      </c>
    </row>
    <row r="66" spans="1:10" s="9" customFormat="1" ht="18" customHeight="1" x14ac:dyDescent="0.2">
      <c r="A66" s="16" t="s">
        <v>76</v>
      </c>
      <c r="B66" s="22">
        <v>1.25</v>
      </c>
      <c r="C66" s="22">
        <v>1.25</v>
      </c>
      <c r="D66" s="22"/>
      <c r="E66" s="22"/>
      <c r="F66" s="22"/>
      <c r="G66" s="16"/>
      <c r="H66" s="22">
        <f t="shared" ref="H66:H67" si="34">H65+B66-D66-F66</f>
        <v>13.457999999999998</v>
      </c>
      <c r="I66" s="22">
        <f t="shared" ref="I66:I67" si="35">I65+C66-E66</f>
        <v>32.457999999999998</v>
      </c>
      <c r="J66" s="16">
        <f t="shared" ref="J66:J67" si="36">H66+I66</f>
        <v>45.915999999999997</v>
      </c>
    </row>
    <row r="67" spans="1:10" s="9" customFormat="1" ht="18" customHeight="1" x14ac:dyDescent="0.2">
      <c r="A67" s="16" t="s">
        <v>77</v>
      </c>
      <c r="B67" s="22"/>
      <c r="C67" s="22"/>
      <c r="D67" s="22"/>
      <c r="E67" s="22"/>
      <c r="F67" s="24">
        <v>1</v>
      </c>
      <c r="G67" s="16"/>
      <c r="H67" s="22">
        <f t="shared" si="34"/>
        <v>12.457999999999998</v>
      </c>
      <c r="I67" s="22">
        <f t="shared" si="35"/>
        <v>32.457999999999998</v>
      </c>
      <c r="J67" s="16">
        <f t="shared" si="36"/>
        <v>44.915999999999997</v>
      </c>
    </row>
    <row r="68" spans="1:10" s="9" customFormat="1" ht="18" customHeight="1" x14ac:dyDescent="0.2">
      <c r="A68" s="16" t="s">
        <v>78</v>
      </c>
      <c r="B68" s="22">
        <v>5</v>
      </c>
      <c r="C68" s="22">
        <v>5</v>
      </c>
      <c r="D68" s="22"/>
      <c r="E68" s="22"/>
      <c r="F68" s="22"/>
      <c r="G68" s="16"/>
      <c r="H68" s="22">
        <f t="shared" ref="H68" si="37">H67+B68-D68-F68</f>
        <v>17.457999999999998</v>
      </c>
      <c r="I68" s="22">
        <f t="shared" ref="I68" si="38">I67+C68-E68</f>
        <v>37.457999999999998</v>
      </c>
      <c r="J68" s="16">
        <f t="shared" ref="J68" si="39">H68+I68</f>
        <v>54.915999999999997</v>
      </c>
    </row>
    <row r="69" spans="1:10" s="9" customFormat="1" ht="18" customHeight="1" x14ac:dyDescent="0.2">
      <c r="A69" s="16" t="s">
        <v>79</v>
      </c>
      <c r="B69" s="22"/>
      <c r="C69" s="22"/>
      <c r="D69" s="22">
        <v>10</v>
      </c>
      <c r="E69" s="22"/>
      <c r="F69" s="22"/>
      <c r="G69" s="16"/>
      <c r="H69" s="22">
        <f t="shared" ref="H69" si="40">H68+B69-D69-F69</f>
        <v>7.4579999999999984</v>
      </c>
      <c r="I69" s="22">
        <f t="shared" ref="I69" si="41">I68+C69-E69</f>
        <v>37.457999999999998</v>
      </c>
      <c r="J69" s="16">
        <f t="shared" ref="J69" si="42">H69+I69</f>
        <v>44.915999999999997</v>
      </c>
    </row>
    <row r="70" spans="1:10" s="9" customFormat="1" ht="18" customHeight="1" x14ac:dyDescent="0.2">
      <c r="A70" s="16" t="s">
        <v>80</v>
      </c>
      <c r="B70" s="22">
        <v>2.5</v>
      </c>
      <c r="C70" s="22">
        <v>2.5</v>
      </c>
      <c r="D70" s="22"/>
      <c r="E70" s="22"/>
      <c r="F70" s="22"/>
      <c r="G70" s="16"/>
      <c r="H70" s="22">
        <f t="shared" ref="H70:H71" si="43">H69+B70-D70-F70</f>
        <v>9.9579999999999984</v>
      </c>
      <c r="I70" s="22">
        <f t="shared" ref="I70:I71" si="44">I69+C70-E70</f>
        <v>39.957999999999998</v>
      </c>
      <c r="J70" s="16">
        <f t="shared" ref="J70:J71" si="45">H70+I70</f>
        <v>49.915999999999997</v>
      </c>
    </row>
    <row r="71" spans="1:10" s="9" customFormat="1" ht="18" customHeight="1" x14ac:dyDescent="0.2">
      <c r="A71" s="16" t="s">
        <v>81</v>
      </c>
      <c r="B71" s="22"/>
      <c r="C71" s="22"/>
      <c r="D71" s="22"/>
      <c r="E71" s="22">
        <v>1</v>
      </c>
      <c r="F71" s="22"/>
      <c r="G71" s="16"/>
      <c r="H71" s="22">
        <f t="shared" si="43"/>
        <v>9.9579999999999984</v>
      </c>
      <c r="I71" s="22">
        <f t="shared" si="44"/>
        <v>38.957999999999998</v>
      </c>
      <c r="J71" s="16">
        <f t="shared" si="45"/>
        <v>48.915999999999997</v>
      </c>
    </row>
    <row r="72" spans="1:10" s="9" customFormat="1" ht="18" customHeight="1" x14ac:dyDescent="0.2">
      <c r="A72" s="16" t="s">
        <v>83</v>
      </c>
      <c r="B72" s="22">
        <v>2.5</v>
      </c>
      <c r="C72" s="22">
        <v>2.5</v>
      </c>
      <c r="D72" s="22"/>
      <c r="E72" s="22"/>
      <c r="F72" s="22"/>
      <c r="G72" s="16"/>
      <c r="H72" s="22">
        <f t="shared" ref="H72:H73" si="46">H71+B72-D72-F72</f>
        <v>12.457999999999998</v>
      </c>
      <c r="I72" s="22">
        <f t="shared" ref="I72:I73" si="47">I71+C72-E72</f>
        <v>41.457999999999998</v>
      </c>
      <c r="J72" s="16">
        <f t="shared" ref="J72:J73" si="48">H72+I72</f>
        <v>53.915999999999997</v>
      </c>
    </row>
    <row r="73" spans="1:10" s="9" customFormat="1" ht="18" customHeight="1" x14ac:dyDescent="0.2">
      <c r="A73" s="16" t="s">
        <v>84</v>
      </c>
      <c r="B73" s="22"/>
      <c r="C73" s="22"/>
      <c r="D73" s="22"/>
      <c r="E73" s="22"/>
      <c r="F73" s="24">
        <v>1</v>
      </c>
      <c r="G73" s="16"/>
      <c r="H73" s="22">
        <f t="shared" si="46"/>
        <v>11.457999999999998</v>
      </c>
      <c r="I73" s="22">
        <f t="shared" si="47"/>
        <v>41.457999999999998</v>
      </c>
      <c r="J73" s="16">
        <f t="shared" si="48"/>
        <v>52.915999999999997</v>
      </c>
    </row>
    <row r="74" spans="1:10" s="9" customFormat="1" ht="18" customHeight="1" x14ac:dyDescent="0.2">
      <c r="A74" s="16" t="s">
        <v>85</v>
      </c>
      <c r="B74" s="22">
        <v>1.25</v>
      </c>
      <c r="C74" s="22">
        <v>1.25</v>
      </c>
      <c r="D74" s="22"/>
      <c r="E74" s="22"/>
      <c r="F74" s="22"/>
      <c r="G74" s="16"/>
      <c r="H74" s="22">
        <f t="shared" ref="H74:H75" si="49">H73+B74-D74-F74</f>
        <v>12.707999999999998</v>
      </c>
      <c r="I74" s="22">
        <f t="shared" ref="I74:I75" si="50">I73+C74-E74</f>
        <v>42.707999999999998</v>
      </c>
      <c r="J74" s="16">
        <f t="shared" ref="J74:J75" si="51">H74+I74</f>
        <v>55.415999999999997</v>
      </c>
    </row>
    <row r="75" spans="1:10" s="9" customFormat="1" ht="18" customHeight="1" x14ac:dyDescent="0.2">
      <c r="A75" s="16" t="s">
        <v>86</v>
      </c>
      <c r="B75" s="22"/>
      <c r="C75" s="22"/>
      <c r="D75" s="22"/>
      <c r="E75" s="22"/>
      <c r="F75" s="24">
        <v>2</v>
      </c>
      <c r="G75" s="16"/>
      <c r="H75" s="22">
        <f t="shared" si="49"/>
        <v>10.707999999999998</v>
      </c>
      <c r="I75" s="22">
        <f t="shared" si="50"/>
        <v>42.707999999999998</v>
      </c>
      <c r="J75" s="16">
        <f t="shared" si="51"/>
        <v>53.415999999999997</v>
      </c>
    </row>
    <row r="76" spans="1:10" s="9" customFormat="1" ht="18" customHeight="1" x14ac:dyDescent="0.2">
      <c r="A76" s="25"/>
      <c r="B76" s="26"/>
      <c r="C76" s="26"/>
      <c r="D76" s="26"/>
      <c r="E76" s="26"/>
      <c r="F76" s="26"/>
      <c r="G76" s="25"/>
      <c r="H76" s="26"/>
      <c r="I76" s="26"/>
      <c r="J76" s="25"/>
    </row>
    <row r="77" spans="1:10" s="15" customFormat="1" ht="15" customHeight="1" x14ac:dyDescent="0.25"/>
    <row r="78" spans="1:10" s="15" customFormat="1" ht="14.1" customHeight="1" x14ac:dyDescent="0.25">
      <c r="G78" s="15" t="s">
        <v>23</v>
      </c>
    </row>
    <row r="79" spans="1:10" s="15" customFormat="1" ht="14.1" customHeight="1" x14ac:dyDescent="0.25"/>
    <row r="80" spans="1:10" s="15" customFormat="1" ht="14.1" customHeight="1" x14ac:dyDescent="0.25">
      <c r="H80" s="23" t="s">
        <v>24</v>
      </c>
    </row>
    <row r="81" spans="8:8" s="15" customFormat="1" ht="14.1" customHeight="1" x14ac:dyDescent="0.25">
      <c r="H81" s="13" t="s">
        <v>25</v>
      </c>
    </row>
    <row r="82" spans="8:8" s="15" customFormat="1" ht="14.1" customHeight="1" x14ac:dyDescent="0.25">
      <c r="H82" s="13" t="s">
        <v>26</v>
      </c>
    </row>
  </sheetData>
  <mergeCells count="15">
    <mergeCell ref="B9:D9"/>
    <mergeCell ref="A10:J10"/>
    <mergeCell ref="A2:J2"/>
    <mergeCell ref="A3:J3"/>
    <mergeCell ref="A4:J4"/>
    <mergeCell ref="A5:J5"/>
    <mergeCell ref="B7:D7"/>
    <mergeCell ref="A11:J11"/>
    <mergeCell ref="K20:K21"/>
    <mergeCell ref="A12:A13"/>
    <mergeCell ref="B12:C12"/>
    <mergeCell ref="D12:G12"/>
    <mergeCell ref="H12:I12"/>
    <mergeCell ref="J12:J13"/>
    <mergeCell ref="A14:J14"/>
  </mergeCells>
  <printOptions horizontalCentered="1"/>
  <pageMargins left="0.23622047244094491" right="0.23622047244094491" top="0.62992125984251968" bottom="0.62992125984251968" header="0.31496062992125984" footer="0.31496062992125984"/>
  <pageSetup paperSize="9" scale="70" fitToHeight="0"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Leave Card</vt:lpstr>
      <vt:lpstr>'Leave Card'!Print_Area</vt:lpstr>
    </vt:vector>
  </TitlesOfParts>
  <Company>Department of Education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JOCELYN MAMUGAY</cp:lastModifiedBy>
  <cp:lastPrinted>2026-01-14T05:13:30Z</cp:lastPrinted>
  <dcterms:created xsi:type="dcterms:W3CDTF">2021-10-07T06:10:16Z</dcterms:created>
  <dcterms:modified xsi:type="dcterms:W3CDTF">2026-01-14T05:15:03Z</dcterms:modified>
</cp:coreProperties>
</file>