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5" r:id="rId1"/>
    <sheet name="Election &amp; NLC" sheetId="4" r:id="rId2"/>
    <sheet name="CTO" sheetId="3" r:id="rId3"/>
  </sheets>
  <definedNames>
    <definedName name="_xlnm.Print_Area" localSheetId="1">'Election &amp; NLC'!$A$1:$G$19</definedName>
    <definedName name="_xlnm.Print_Area" localSheetId="0">'Leave Card as TIC'!$A$1:$J$66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<sst xmlns="http://schemas.openxmlformats.org/spreadsheetml/2006/main" count="106" uniqueCount="83">
  <si>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</si>
  <si>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</si>
  <si>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</si>
  <si>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</si>
  <si>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</si>
  <si>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</si>
  <si>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</si>
  <si>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</si>
  <si>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</si>
  <si>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</si>
  <si>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</si>
  <si>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</si>
  <si>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</si>
  <si>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</si>
  <si>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</si>
  <si>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</si>
  <si>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</si>
  <si>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</si>
  <si>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</si>
  <si>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</si>
  <si>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</si>
  <si>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HEAD TEACHER: JANUARY 15, 2024</t>
  </si>
  <si>
    <t>PROMOTED TO P-I: JANUARY 6, 2025</t>
  </si>
  <si>
    <r>
      <rPr>
        <sz val="11"/>
        <color theme="1"/>
        <rFont val="Calibri"/>
        <charset val="134"/>
        <scheme val="minor"/>
      </rPr>
      <t xml:space="preserve">ADD: UNUSED VSC </t>
    </r>
    <r>
      <rPr>
        <b/>
        <sz val="11"/>
        <color rgb="FF002060"/>
        <rFont val="Calibri"/>
        <charset val="134"/>
        <scheme val="minor"/>
      </rPr>
      <t>7 DAYS</t>
    </r>
    <r>
      <rPr>
        <sz val="11"/>
        <color theme="1"/>
        <rFont val="Calibri"/>
        <charset val="134"/>
        <scheme val="minor"/>
      </rPr>
      <t xml:space="preserve">:                                         FORMULA: 30Y/69/2 </t>
    </r>
  </si>
  <si>
    <t xml:space="preserve">ADD: JANUARY 15-31,2024 </t>
  </si>
  <si>
    <t>ADD: 02/1/2024-05/31/2024</t>
  </si>
  <si>
    <t>LESS: 06/20/2024</t>
  </si>
  <si>
    <t>ADD: 06/1-30/2024</t>
  </si>
  <si>
    <t>LESS: 06/24/2024</t>
  </si>
  <si>
    <t>ADD: 07/1/2024-09/30/2024</t>
  </si>
  <si>
    <t>LESS: 10/29/2024</t>
  </si>
  <si>
    <t>ADD: 10/1-31/2024</t>
  </si>
  <si>
    <t>LESS: 11/13/2024</t>
  </si>
  <si>
    <t>ADD: 11/1-30/2024</t>
  </si>
  <si>
    <t>LESS: 12/13/2024</t>
  </si>
  <si>
    <t>LESS: 12/26-27/2024</t>
  </si>
  <si>
    <t>ADD: 12/1-31/2024</t>
  </si>
  <si>
    <t>ADD: 01/1/2025-06/30/2025</t>
  </si>
  <si>
    <t>LESS: MONETIZATION 2025</t>
  </si>
  <si>
    <t>ADD: 07/1/2025-11/30/2025</t>
  </si>
  <si>
    <t>LESS: 12/11,15-18/2025</t>
  </si>
  <si>
    <t>LESS: 12/22, 23/2025</t>
  </si>
  <si>
    <t>DATE FILED: 12/22,23,29</t>
  </si>
  <si>
    <t xml:space="preserve">  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</si>
  <si>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BALIBAGOSO, YVES</t>
    </r>
  </si>
  <si>
    <t xml:space="preserve">DISTRICT : </t>
  </si>
  <si>
    <t xml:space="preserve">EMPLOYEE NO.: </t>
  </si>
  <si>
    <t xml:space="preserve">STATION CODE: </t>
  </si>
  <si>
    <t xml:space="preserve">POSITION   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</si>
  <si>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</si>
  <si>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</si>
  <si>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</si>
  <si>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</si>
  <si>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</si>
  <si>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</si>
  <si>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</si>
  <si>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</si>
  <si>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</si>
  <si>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SO # 051, S. 2022</t>
  </si>
  <si>
    <t>JULY 01, 2022</t>
  </si>
  <si>
    <t>MAY 9, 2022 NATIONAL &amp; LOCAL ELECTION</t>
  </si>
  <si>
    <t>011, S. 2024</t>
  </si>
  <si>
    <t>04/29/2024</t>
  </si>
  <si>
    <t>SCREENING OF DOCUMENTS OF ATHLETES, COACHES, ASST. COACHES, AND CHAPERONES FOR SY 2023-2024 DISTRICT MEET</t>
  </si>
  <si>
    <t>7 DAYS-CONVERTED</t>
  </si>
  <si>
    <t>NAME         : BALIBAGOSO, YVES S.</t>
  </si>
  <si>
    <t>DISTRICT             : _______________________</t>
  </si>
  <si>
    <t>EMPLOYEE NO   : __________</t>
  </si>
  <si>
    <t>SCHOOL/OFFICE : CANSAURO ES</t>
  </si>
  <si>
    <t>STATION CODE   : __________</t>
  </si>
  <si>
    <t>POSITION   : TEACHER III</t>
  </si>
  <si>
    <t>DIVISION CODE   : __________</t>
  </si>
  <si>
    <t>VSC</t>
  </si>
  <si>
    <t>Special Order No. and Date Issued</t>
  </si>
  <si>
    <t>ADD: OCTOBER 11, 2023</t>
  </si>
  <si>
    <t>S.O. # 094, S. 2023. BRIGADA ESKWELA AND OPLAN BALIK ESKWELA 2023</t>
  </si>
  <si>
    <t>LESS:OCTOBER 16-20, 23-27, 2023</t>
  </si>
  <si>
    <t>LESS: 11/09/2023</t>
  </si>
  <si>
    <t>ADD: 10/17/2023</t>
  </si>
  <si>
    <t>S.0 # 159, S. 2023  125TH PHILIPPINE INDEPENDENCE DAY CELEBRATION</t>
  </si>
  <si>
    <t>LESS: 01/05/2024</t>
  </si>
  <si>
    <t>NOTE:  Valid for one (1) year only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</si>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</sst>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2060"/>
      <name val="Calibri"/>
      <charset val="134"/>
      <scheme val="minor"/>
    </font>
    <font>
      <b/>
      <u/>
      <sz val="12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2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7" borderId="30" applyNumberFormat="0" applyAlignment="0" applyProtection="0">
      <alignment vertical="center"/>
    </xf>
    <xf numFmtId="0" fontId="23" fillId="18" borderId="31" applyNumberFormat="0" applyAlignment="0" applyProtection="0">
      <alignment vertical="center"/>
    </xf>
    <xf numFmtId="0" fontId="24" fillId="18" borderId="30" applyNumberFormat="0" applyAlignment="0" applyProtection="0">
      <alignment vertical="center"/>
    </xf>
    <xf numFmtId="0" fontId="25" fillId="19" borderId="32" applyNumberFormat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1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6" fillId="0" borderId="0" xfId="0" applyFont="1"/>
    <xf numFmtId="0" fontId="3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5" fillId="0" borderId="0" xfId="0" applyFont="1"/>
    <xf numFmtId="0" fontId="0" fillId="9" borderId="9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49" applyFill="1"/>
    <xf numFmtId="0" fontId="6" fillId="0" borderId="0" xfId="49" applyFont="1"/>
    <xf numFmtId="0" fontId="5" fillId="0" borderId="0" xfId="49" applyFont="1"/>
    <xf numFmtId="0" fontId="0" fillId="0" borderId="0" xfId="49"/>
    <xf numFmtId="0" fontId="0" fillId="2" borderId="0" xfId="49" applyFill="1"/>
    <xf numFmtId="0" fontId="0" fillId="3" borderId="0" xfId="49" applyFill="1"/>
    <xf numFmtId="0" fontId="0" fillId="5" borderId="0" xfId="49" applyFill="1" applyAlignment="1">
      <alignment horizontal="center"/>
    </xf>
    <xf numFmtId="0" fontId="1" fillId="5" borderId="0" xfId="49" applyFont="1" applyFill="1" applyAlignment="1">
      <alignment horizontal="center" vertical="center"/>
    </xf>
    <xf numFmtId="0" fontId="7" fillId="5" borderId="0" xfId="49" applyFont="1" applyFill="1" applyAlignment="1">
      <alignment vertical="center"/>
    </xf>
    <xf numFmtId="0" fontId="1" fillId="5" borderId="0" xfId="49" applyFont="1" applyFill="1" applyAlignment="1">
      <alignment horizontal="left" vertical="center"/>
    </xf>
    <xf numFmtId="0" fontId="1" fillId="5" borderId="0" xfId="49" applyFont="1" applyFill="1" applyAlignment="1">
      <alignment vertical="center"/>
    </xf>
    <xf numFmtId="0" fontId="8" fillId="5" borderId="0" xfId="49" applyFont="1" applyFill="1"/>
    <xf numFmtId="0" fontId="1" fillId="5" borderId="0" xfId="49" applyFont="1" applyFill="1"/>
    <xf numFmtId="0" fontId="1" fillId="5" borderId="0" xfId="49" applyFont="1" applyFill="1" applyAlignment="1">
      <alignment horizontal="left"/>
    </xf>
    <xf numFmtId="0" fontId="2" fillId="5" borderId="13" xfId="49" applyFont="1" applyFill="1" applyBorder="1" applyAlignment="1">
      <alignment horizontal="center" vertical="center"/>
    </xf>
    <xf numFmtId="0" fontId="2" fillId="5" borderId="14" xfId="49" applyFont="1" applyFill="1" applyBorder="1" applyAlignment="1">
      <alignment horizontal="center" vertical="center"/>
    </xf>
    <xf numFmtId="0" fontId="2" fillId="5" borderId="15" xfId="49" applyFont="1" applyFill="1" applyBorder="1" applyAlignment="1">
      <alignment horizontal="center" vertical="center"/>
    </xf>
    <xf numFmtId="0" fontId="3" fillId="6" borderId="13" xfId="49" applyFont="1" applyFill="1" applyBorder="1" applyAlignment="1">
      <alignment horizontal="center" vertical="center" wrapText="1"/>
    </xf>
    <xf numFmtId="0" fontId="3" fillId="6" borderId="13" xfId="49" applyFont="1" applyFill="1" applyBorder="1" applyAlignment="1">
      <alignment horizontal="center" vertical="center"/>
    </xf>
    <xf numFmtId="0" fontId="4" fillId="8" borderId="16" xfId="49" applyFont="1" applyFill="1" applyBorder="1" applyAlignment="1">
      <alignment horizontal="center" vertical="center" wrapText="1"/>
    </xf>
    <xf numFmtId="0" fontId="4" fillId="8" borderId="17" xfId="49" applyFont="1" applyFill="1" applyBorder="1" applyAlignment="1">
      <alignment horizontal="center" vertical="center" wrapText="1"/>
    </xf>
    <xf numFmtId="0" fontId="3" fillId="6" borderId="18" xfId="49" applyFont="1" applyFill="1" applyBorder="1" applyAlignment="1">
      <alignment horizontal="center" vertical="center"/>
    </xf>
    <xf numFmtId="0" fontId="0" fillId="5" borderId="19" xfId="51" applyFont="1" applyFill="1" applyBorder="1" applyAlignment="1">
      <alignment horizontal="center" vertical="center" wrapText="1"/>
    </xf>
    <xf numFmtId="0" fontId="0" fillId="5" borderId="20" xfId="51" applyFont="1" applyFill="1" applyBorder="1" applyAlignment="1">
      <alignment horizontal="center" vertical="center"/>
    </xf>
    <xf numFmtId="0" fontId="4" fillId="5" borderId="9" xfId="51" applyFont="1" applyFill="1" applyBorder="1" applyAlignment="1">
      <alignment vertical="center" wrapText="1"/>
    </xf>
    <xf numFmtId="0" fontId="4" fillId="5" borderId="9" xfId="51" applyFont="1" applyFill="1" applyBorder="1" applyAlignment="1">
      <alignment horizontal="center" vertical="center" wrapText="1"/>
    </xf>
    <xf numFmtId="0" fontId="9" fillId="5" borderId="21" xfId="49" applyFont="1" applyFill="1" applyBorder="1" applyAlignment="1">
      <alignment horizontal="center" vertical="center" wrapText="1"/>
    </xf>
    <xf numFmtId="0" fontId="7" fillId="5" borderId="11" xfId="49" applyFont="1" applyFill="1" applyBorder="1" applyAlignment="1">
      <alignment horizontal="center" vertical="center" wrapText="1"/>
    </xf>
    <xf numFmtId="0" fontId="9" fillId="5" borderId="21" xfId="50" applyFont="1" applyFill="1" applyBorder="1" applyAlignment="1">
      <alignment horizontal="center" vertical="center" wrapText="1"/>
    </xf>
    <xf numFmtId="0" fontId="7" fillId="5" borderId="11" xfId="50" applyFont="1" applyFill="1" applyBorder="1" applyAlignment="1">
      <alignment horizontal="center" vertical="center" wrapText="1"/>
    </xf>
    <xf numFmtId="0" fontId="7" fillId="5" borderId="22" xfId="49" applyFont="1" applyFill="1" applyBorder="1" applyAlignment="1">
      <alignment horizontal="right" vertical="center" wrapText="1"/>
    </xf>
    <xf numFmtId="0" fontId="7" fillId="5" borderId="7" xfId="49" applyFont="1" applyFill="1" applyBorder="1" applyAlignment="1">
      <alignment horizontal="right" vertical="center" wrapText="1"/>
    </xf>
    <xf numFmtId="0" fontId="7" fillId="5" borderId="8" xfId="49" applyFont="1" applyFill="1" applyBorder="1" applyAlignment="1">
      <alignment horizontal="right" vertical="center" wrapText="1"/>
    </xf>
    <xf numFmtId="0" fontId="10" fillId="5" borderId="12" xfId="49" applyFont="1" applyFill="1" applyBorder="1" applyAlignment="1">
      <alignment horizontal="center" vertical="center" wrapText="1"/>
    </xf>
    <xf numFmtId="0" fontId="5" fillId="5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" fillId="10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0" fillId="5" borderId="2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176" fontId="0" fillId="5" borderId="20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vertical="center"/>
    </xf>
    <xf numFmtId="0" fontId="1" fillId="13" borderId="4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BALIBAGOSO, YVES S.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HT-I to P-I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TUGAS IS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60</xdr:row>
      <xdr:rowOff>53914</xdr:rowOff>
    </xdr:from>
    <xdr:to>
      <xdr:col>9</xdr:col>
      <xdr:colOff>672043</xdr:colOff>
      <xdr:row>65</xdr:row>
      <xdr:rowOff>170731</xdr:rowOff>
    </xdr:to>
    <xdr:sp>
      <xdr:nvSpPr>
        <xdr:cNvPr id="6" name="TextBox 5"/>
        <xdr:cNvSpPr txBox="1"/>
      </xdr:nvSpPr>
      <xdr:spPr>
        <a:xfrm>
          <a:off x="6030595" y="713803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962025</xdr:colOff>
      <xdr:row>18</xdr:row>
      <xdr:rowOff>123825</xdr:rowOff>
    </xdr:to>
    <xdr:sp>
      <xdr:nvSpPr>
        <xdr:cNvPr id="3" name="TextBox 2"/>
        <xdr:cNvSpPr txBox="1"/>
      </xdr:nvSpPr>
      <xdr:spPr>
        <a:xfrm>
          <a:off x="76200" y="4244340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16</xdr:row>
      <xdr:rowOff>236220</xdr:rowOff>
    </xdr:from>
    <xdr:to>
      <xdr:col>6</xdr:col>
      <xdr:colOff>476250</xdr:colOff>
      <xdr:row>18</xdr:row>
      <xdr:rowOff>150495</xdr:rowOff>
    </xdr:to>
    <xdr:sp>
      <xdr:nvSpPr>
        <xdr:cNvPr id="4" name="TextBox 3"/>
        <xdr:cNvSpPr txBox="1"/>
      </xdr:nvSpPr>
      <xdr:spPr>
        <a:xfrm>
          <a:off x="5386070" y="427101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9725" y="114300"/>
          <a:ext cx="60452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71</xdr:row>
      <xdr:rowOff>19050</xdr:rowOff>
    </xdr:to>
    <xdr:sp>
      <xdr:nvSpPr>
        <xdr:cNvPr id="3" name="TextBox 2"/>
        <xdr:cNvSpPr txBox="1"/>
      </xdr:nvSpPr>
      <xdr:spPr>
        <a:xfrm>
          <a:off x="76200" y="4909185"/>
          <a:ext cx="3150870" cy="8797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64"/>
  <sheetViews>
    <sheetView tabSelected="1" view="pageBreakPreview" zoomScale="106" zoomScaleNormal="100" topLeftCell="A17" workbookViewId="0">
      <selection activeCell="C62" sqref="C62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75" customWidth="1"/>
    <col min="8" max="10" width="11.5740740740741" customWidth="1"/>
    <col min="11" max="11" width="26.4259259259259" style="76" customWidth="1"/>
  </cols>
  <sheetData>
    <row r="1" s="5" customFormat="1" ht="52.5" customHeight="1"/>
    <row r="2" s="5" customFormat="1" ht="10.5" customHeight="1" spans="1:10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="5" customFormat="1" ht="15.95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="5" customFormat="1" ht="15.95" customHeight="1" spans="1:10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="5" customFormat="1" ht="15.95" customHeight="1" spans="1:10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="5" customFormat="1" ht="8.25" customHeight="1"/>
    <row r="7" s="5" customFormat="1" ht="12" customHeight="1" spans="1:10">
      <c r="A7" s="5" t="s">
        <v>4</v>
      </c>
      <c r="B7" s="11" t="s">
        <v>5</v>
      </c>
      <c r="C7" s="11"/>
      <c r="D7" s="11"/>
      <c r="H7" s="10" t="s">
        <v>6</v>
      </c>
      <c r="I7" s="98"/>
      <c r="J7" s="10"/>
    </row>
    <row r="8" s="5" customFormat="1" ht="12" customHeight="1" spans="2:10">
      <c r="B8" s="12"/>
      <c r="C8" s="12"/>
      <c r="H8" s="12"/>
      <c r="I8" s="12"/>
      <c r="J8" s="12"/>
    </row>
    <row r="9" s="5" customFormat="1" ht="12" customHeight="1" spans="1:10">
      <c r="A9" s="5" t="s">
        <v>7</v>
      </c>
      <c r="B9" s="11" t="s">
        <v>8</v>
      </c>
      <c r="C9" s="11"/>
      <c r="D9" s="11"/>
      <c r="H9" s="10" t="s">
        <v>9</v>
      </c>
      <c r="I9" s="99"/>
      <c r="J9" s="10"/>
    </row>
    <row r="10" ht="23.25" customHeight="1" spans="1:11">
      <c r="A10" s="14" t="s">
        <v>10</v>
      </c>
      <c r="B10" s="14"/>
      <c r="C10" s="14"/>
      <c r="D10" s="14"/>
      <c r="E10" s="14"/>
      <c r="F10" s="14"/>
      <c r="G10" s="14"/>
      <c r="H10" s="14"/>
      <c r="I10" s="14"/>
      <c r="J10" s="14"/>
      <c r="K10"/>
    </row>
    <row r="11" ht="18.75" customHeight="1" spans="1:11">
      <c r="A11" s="77" t="s">
        <v>11</v>
      </c>
      <c r="B11" s="78" t="s">
        <v>12</v>
      </c>
      <c r="C11" s="79"/>
      <c r="D11" s="80" t="s">
        <v>13</v>
      </c>
      <c r="E11" s="81"/>
      <c r="F11" s="81"/>
      <c r="G11" s="82"/>
      <c r="H11" s="83" t="s">
        <v>14</v>
      </c>
      <c r="I11" s="100"/>
      <c r="J11" s="101" t="s">
        <v>15</v>
      </c>
      <c r="K11" s="102" t="s">
        <v>16</v>
      </c>
    </row>
    <row r="12" ht="15.15" spans="1:11">
      <c r="A12" s="84"/>
      <c r="B12" s="85" t="s">
        <v>17</v>
      </c>
      <c r="C12" s="85" t="s">
        <v>18</v>
      </c>
      <c r="D12" s="85" t="s">
        <v>17</v>
      </c>
      <c r="E12" s="85" t="s">
        <v>18</v>
      </c>
      <c r="F12" s="85" t="s">
        <v>19</v>
      </c>
      <c r="G12" s="85" t="s">
        <v>20</v>
      </c>
      <c r="H12" s="85" t="s">
        <v>17</v>
      </c>
      <c r="I12" s="85" t="s">
        <v>18</v>
      </c>
      <c r="J12" s="103"/>
      <c r="K12" s="102"/>
    </row>
    <row r="13" ht="15.15" spans="1:11">
      <c r="A13" s="86" t="s">
        <v>21</v>
      </c>
      <c r="B13" s="87"/>
      <c r="C13" s="87"/>
      <c r="D13" s="87"/>
      <c r="E13" s="87"/>
      <c r="F13" s="87"/>
      <c r="G13" s="87"/>
      <c r="H13" s="87"/>
      <c r="I13" s="87"/>
      <c r="J13" s="104"/>
      <c r="K13" s="105"/>
    </row>
    <row r="14" ht="15.15" spans="1:11">
      <c r="A14" s="86" t="s">
        <v>22</v>
      </c>
      <c r="B14" s="87"/>
      <c r="C14" s="87"/>
      <c r="D14" s="87"/>
      <c r="E14" s="87"/>
      <c r="F14" s="87"/>
      <c r="G14" s="87"/>
      <c r="H14" s="87"/>
      <c r="I14" s="87"/>
      <c r="J14" s="104"/>
      <c r="K14" s="105"/>
    </row>
    <row r="15" ht="28.5" customHeight="1" spans="1:10">
      <c r="A15" s="26" t="s">
        <v>23</v>
      </c>
      <c r="B15" s="88">
        <v>1.521</v>
      </c>
      <c r="C15" s="89">
        <v>1.521</v>
      </c>
      <c r="D15" s="89"/>
      <c r="E15" s="88"/>
      <c r="F15" s="88"/>
      <c r="G15" s="88"/>
      <c r="H15" s="90">
        <f>B15</f>
        <v>1.521</v>
      </c>
      <c r="I15" s="90">
        <f>C15</f>
        <v>1.521</v>
      </c>
      <c r="J15" s="106">
        <f>SUM(H15:I15)</f>
        <v>3.042</v>
      </c>
    </row>
    <row r="16" ht="17.25" customHeight="1" spans="1:10">
      <c r="A16" s="26" t="s">
        <v>24</v>
      </c>
      <c r="B16" s="88">
        <v>0.708</v>
      </c>
      <c r="C16" s="89">
        <v>0.708</v>
      </c>
      <c r="D16" s="27"/>
      <c r="E16" s="91"/>
      <c r="F16" s="91"/>
      <c r="G16" s="91"/>
      <c r="H16" s="92">
        <f>H15-F16-D16+B16</f>
        <v>2.229</v>
      </c>
      <c r="I16" s="92">
        <f>I15-E16+C16</f>
        <v>2.229</v>
      </c>
      <c r="J16" s="107">
        <f>SUM(H16:I16)</f>
        <v>4.458</v>
      </c>
    </row>
    <row r="17" ht="17.25" customHeight="1" spans="1:10">
      <c r="A17" s="26" t="s">
        <v>25</v>
      </c>
      <c r="B17" s="88">
        <v>5</v>
      </c>
      <c r="C17" s="89">
        <v>5</v>
      </c>
      <c r="D17" s="27"/>
      <c r="E17" s="91"/>
      <c r="F17" s="91"/>
      <c r="G17" s="91"/>
      <c r="H17" s="92">
        <f t="shared" ref="H17:H22" si="0">H16-F17-D17+B17</f>
        <v>7.229</v>
      </c>
      <c r="I17" s="92">
        <f t="shared" ref="I17:I22" si="1">I16-E17+C17</f>
        <v>7.229</v>
      </c>
      <c r="J17" s="107">
        <f t="shared" ref="J17:J22" si="2">SUM(H17:I17)</f>
        <v>14.458</v>
      </c>
    </row>
    <row r="18" ht="15.75" customHeight="1" spans="1:10">
      <c r="A18" s="26" t="s">
        <v>26</v>
      </c>
      <c r="B18" s="91"/>
      <c r="C18" s="27"/>
      <c r="D18" s="27"/>
      <c r="E18" s="91"/>
      <c r="F18" s="93">
        <v>1</v>
      </c>
      <c r="G18" s="93"/>
      <c r="H18" s="92">
        <f t="shared" si="0"/>
        <v>6.229</v>
      </c>
      <c r="I18" s="92">
        <f t="shared" si="1"/>
        <v>7.229</v>
      </c>
      <c r="J18" s="107">
        <f t="shared" si="2"/>
        <v>13.458</v>
      </c>
    </row>
    <row r="19" ht="15.75" customHeight="1" spans="1:10">
      <c r="A19" s="26" t="s">
        <v>27</v>
      </c>
      <c r="B19" s="91">
        <v>1.25</v>
      </c>
      <c r="C19" s="27">
        <v>1.25</v>
      </c>
      <c r="D19" s="27"/>
      <c r="E19" s="91"/>
      <c r="F19" s="93"/>
      <c r="G19" s="93"/>
      <c r="H19" s="92">
        <f t="shared" si="0"/>
        <v>7.479</v>
      </c>
      <c r="I19" s="92">
        <f t="shared" si="1"/>
        <v>8.479</v>
      </c>
      <c r="J19" s="107">
        <f t="shared" si="2"/>
        <v>15.958</v>
      </c>
    </row>
    <row r="20" ht="17.25" customHeight="1" spans="1:10">
      <c r="A20" s="26" t="s">
        <v>28</v>
      </c>
      <c r="B20" s="91"/>
      <c r="C20" s="27"/>
      <c r="D20" s="27"/>
      <c r="E20" s="91">
        <v>1</v>
      </c>
      <c r="F20" s="93"/>
      <c r="G20" s="93"/>
      <c r="H20" s="92">
        <f t="shared" si="0"/>
        <v>7.479</v>
      </c>
      <c r="I20" s="92">
        <f t="shared" si="1"/>
        <v>7.479</v>
      </c>
      <c r="J20" s="107">
        <f t="shared" si="2"/>
        <v>14.958</v>
      </c>
    </row>
    <row r="21" ht="17.25" customHeight="1" spans="1:10">
      <c r="A21" s="26" t="s">
        <v>29</v>
      </c>
      <c r="B21" s="91">
        <v>3.75</v>
      </c>
      <c r="C21" s="27">
        <v>3.75</v>
      </c>
      <c r="D21" s="27"/>
      <c r="E21" s="91"/>
      <c r="F21" s="93"/>
      <c r="G21" s="93"/>
      <c r="H21" s="92">
        <f t="shared" si="0"/>
        <v>11.229</v>
      </c>
      <c r="I21" s="92">
        <f t="shared" si="1"/>
        <v>11.229</v>
      </c>
      <c r="J21" s="107">
        <f t="shared" si="2"/>
        <v>22.458</v>
      </c>
    </row>
    <row r="22" ht="13.5" customHeight="1" spans="1:10">
      <c r="A22" s="26" t="s">
        <v>30</v>
      </c>
      <c r="B22" s="91"/>
      <c r="C22" s="27"/>
      <c r="D22" s="27"/>
      <c r="E22" s="91"/>
      <c r="F22" s="93">
        <v>1</v>
      </c>
      <c r="G22" s="93"/>
      <c r="H22" s="92">
        <f t="shared" si="0"/>
        <v>10.229</v>
      </c>
      <c r="I22" s="92">
        <f t="shared" si="1"/>
        <v>11.229</v>
      </c>
      <c r="J22" s="107">
        <f t="shared" si="2"/>
        <v>21.458</v>
      </c>
    </row>
    <row r="23" ht="12" hidden="1" customHeight="1" spans="1:10">
      <c r="A23" s="26"/>
      <c r="B23" s="91"/>
      <c r="C23" s="27"/>
      <c r="D23" s="27"/>
      <c r="E23" s="91"/>
      <c r="F23" s="93"/>
      <c r="G23" s="93"/>
      <c r="H23" s="92">
        <f t="shared" ref="H23:H50" si="3">H22-F23-D23+B23</f>
        <v>10.229</v>
      </c>
      <c r="I23" s="92">
        <f t="shared" ref="I23:I50" si="4">I22-E23+C23</f>
        <v>11.229</v>
      </c>
      <c r="J23" s="107">
        <f t="shared" ref="J23:J50" si="5">SUM(H23:I23)</f>
        <v>21.458</v>
      </c>
    </row>
    <row r="24" ht="12" hidden="1" customHeight="1" spans="1:10">
      <c r="A24" s="26"/>
      <c r="B24" s="91"/>
      <c r="C24" s="27"/>
      <c r="D24" s="27"/>
      <c r="E24" s="91"/>
      <c r="F24" s="93"/>
      <c r="G24" s="93"/>
      <c r="H24" s="92">
        <f t="shared" si="3"/>
        <v>10.229</v>
      </c>
      <c r="I24" s="92">
        <f t="shared" si="4"/>
        <v>11.229</v>
      </c>
      <c r="J24" s="107">
        <f t="shared" si="5"/>
        <v>21.458</v>
      </c>
    </row>
    <row r="25" ht="12" hidden="1" customHeight="1" spans="1:10">
      <c r="A25" s="26"/>
      <c r="B25" s="91"/>
      <c r="C25" s="27"/>
      <c r="D25" s="27"/>
      <c r="E25" s="91"/>
      <c r="F25" s="93"/>
      <c r="G25" s="93"/>
      <c r="H25" s="92">
        <f t="shared" si="3"/>
        <v>10.229</v>
      </c>
      <c r="I25" s="92">
        <f t="shared" si="4"/>
        <v>11.229</v>
      </c>
      <c r="J25" s="107">
        <f t="shared" si="5"/>
        <v>21.458</v>
      </c>
    </row>
    <row r="26" ht="12" hidden="1" customHeight="1" spans="1:10">
      <c r="A26" s="26"/>
      <c r="B26" s="91"/>
      <c r="C26" s="27"/>
      <c r="D26" s="27"/>
      <c r="E26" s="91"/>
      <c r="F26" s="93"/>
      <c r="G26" s="93"/>
      <c r="H26" s="92">
        <f t="shared" si="3"/>
        <v>10.229</v>
      </c>
      <c r="I26" s="92">
        <f t="shared" si="4"/>
        <v>11.229</v>
      </c>
      <c r="J26" s="107">
        <f t="shared" si="5"/>
        <v>21.458</v>
      </c>
    </row>
    <row r="27" ht="12" hidden="1" customHeight="1" spans="1:10">
      <c r="A27" s="26"/>
      <c r="B27" s="91"/>
      <c r="C27" s="27"/>
      <c r="D27" s="27"/>
      <c r="E27" s="91"/>
      <c r="F27" s="93"/>
      <c r="G27" s="93"/>
      <c r="H27" s="92">
        <f t="shared" si="3"/>
        <v>10.229</v>
      </c>
      <c r="I27" s="92">
        <f t="shared" si="4"/>
        <v>11.229</v>
      </c>
      <c r="J27" s="107">
        <f t="shared" si="5"/>
        <v>21.458</v>
      </c>
    </row>
    <row r="28" ht="12" hidden="1" customHeight="1" spans="1:10">
      <c r="A28" s="26"/>
      <c r="B28" s="91"/>
      <c r="C28" s="27"/>
      <c r="D28" s="27"/>
      <c r="E28" s="91"/>
      <c r="F28" s="93"/>
      <c r="G28" s="93"/>
      <c r="H28" s="92">
        <f t="shared" si="3"/>
        <v>10.229</v>
      </c>
      <c r="I28" s="92">
        <f t="shared" si="4"/>
        <v>11.229</v>
      </c>
      <c r="J28" s="107">
        <f t="shared" si="5"/>
        <v>21.458</v>
      </c>
    </row>
    <row r="29" ht="16.5" hidden="1" customHeight="1" spans="1:10">
      <c r="A29" s="26"/>
      <c r="B29" s="91"/>
      <c r="C29" s="27"/>
      <c r="D29" s="27"/>
      <c r="E29" s="91"/>
      <c r="F29" s="93"/>
      <c r="G29" s="93"/>
      <c r="H29" s="92">
        <f t="shared" si="3"/>
        <v>10.229</v>
      </c>
      <c r="I29" s="92">
        <f t="shared" si="4"/>
        <v>11.229</v>
      </c>
      <c r="J29" s="107">
        <f t="shared" si="5"/>
        <v>21.458</v>
      </c>
    </row>
    <row r="30" ht="12" hidden="1" customHeight="1" spans="1:10">
      <c r="A30" s="26"/>
      <c r="B30" s="91"/>
      <c r="C30" s="27"/>
      <c r="D30" s="27"/>
      <c r="E30" s="91"/>
      <c r="F30" s="93"/>
      <c r="G30" s="93"/>
      <c r="H30" s="92">
        <f t="shared" si="3"/>
        <v>10.229</v>
      </c>
      <c r="I30" s="92">
        <f t="shared" si="4"/>
        <v>11.229</v>
      </c>
      <c r="J30" s="107">
        <f t="shared" si="5"/>
        <v>21.458</v>
      </c>
    </row>
    <row r="31" ht="12" hidden="1" customHeight="1" spans="1:10">
      <c r="A31" s="26"/>
      <c r="B31" s="91"/>
      <c r="C31" s="27"/>
      <c r="D31" s="27"/>
      <c r="E31" s="91"/>
      <c r="F31" s="93"/>
      <c r="G31" s="93"/>
      <c r="H31" s="92">
        <f t="shared" si="3"/>
        <v>10.229</v>
      </c>
      <c r="I31" s="92">
        <f t="shared" si="4"/>
        <v>11.229</v>
      </c>
      <c r="J31" s="107">
        <f t="shared" si="5"/>
        <v>21.458</v>
      </c>
    </row>
    <row r="32" ht="12" hidden="1" customHeight="1" spans="1:10">
      <c r="A32" s="26"/>
      <c r="B32" s="91"/>
      <c r="C32" s="27"/>
      <c r="D32" s="27"/>
      <c r="E32" s="91"/>
      <c r="F32" s="93"/>
      <c r="G32" s="93"/>
      <c r="H32" s="92">
        <f t="shared" si="3"/>
        <v>10.229</v>
      </c>
      <c r="I32" s="92">
        <f t="shared" si="4"/>
        <v>11.229</v>
      </c>
      <c r="J32" s="107">
        <f t="shared" si="5"/>
        <v>21.458</v>
      </c>
    </row>
    <row r="33" ht="12" hidden="1" customHeight="1" spans="1:10">
      <c r="A33" s="26"/>
      <c r="B33" s="91"/>
      <c r="C33" s="27"/>
      <c r="D33" s="27"/>
      <c r="E33" s="91"/>
      <c r="F33" s="93"/>
      <c r="G33" s="93"/>
      <c r="H33" s="92">
        <f t="shared" si="3"/>
        <v>10.229</v>
      </c>
      <c r="I33" s="92">
        <f t="shared" si="4"/>
        <v>11.229</v>
      </c>
      <c r="J33" s="107">
        <f t="shared" si="5"/>
        <v>21.458</v>
      </c>
    </row>
    <row r="34" ht="12" hidden="1" customHeight="1" spans="1:10">
      <c r="A34" s="26"/>
      <c r="B34" s="91"/>
      <c r="C34" s="27"/>
      <c r="D34" s="27"/>
      <c r="E34" s="91"/>
      <c r="F34" s="93"/>
      <c r="G34" s="93"/>
      <c r="H34" s="92">
        <f t="shared" si="3"/>
        <v>10.229</v>
      </c>
      <c r="I34" s="92">
        <f t="shared" si="4"/>
        <v>11.229</v>
      </c>
      <c r="J34" s="107">
        <f t="shared" si="5"/>
        <v>21.458</v>
      </c>
    </row>
    <row r="35" ht="12" hidden="1" customHeight="1" spans="1:10">
      <c r="A35" s="26"/>
      <c r="B35" s="91"/>
      <c r="C35" s="91"/>
      <c r="D35" s="27"/>
      <c r="E35" s="91"/>
      <c r="F35" s="93"/>
      <c r="G35" s="93"/>
      <c r="H35" s="92">
        <f t="shared" si="3"/>
        <v>10.229</v>
      </c>
      <c r="I35" s="92">
        <f t="shared" si="4"/>
        <v>11.229</v>
      </c>
      <c r="J35" s="107">
        <f t="shared" si="5"/>
        <v>21.458</v>
      </c>
    </row>
    <row r="36" s="29" customFormat="1" ht="12" hidden="1" customHeight="1" spans="1:11">
      <c r="A36" s="26"/>
      <c r="B36" s="91"/>
      <c r="C36" s="27"/>
      <c r="D36" s="27"/>
      <c r="E36" s="91"/>
      <c r="F36" s="93"/>
      <c r="G36" s="93"/>
      <c r="H36" s="92">
        <f t="shared" si="3"/>
        <v>10.229</v>
      </c>
      <c r="I36" s="92">
        <f t="shared" si="4"/>
        <v>11.229</v>
      </c>
      <c r="J36" s="107">
        <f t="shared" si="5"/>
        <v>21.458</v>
      </c>
      <c r="K36" s="108"/>
    </row>
    <row r="37" s="29" customFormat="1" ht="12" hidden="1" customHeight="1" spans="1:11">
      <c r="A37" s="26"/>
      <c r="B37" s="91"/>
      <c r="C37" s="91"/>
      <c r="D37" s="27"/>
      <c r="E37" s="91"/>
      <c r="F37" s="93"/>
      <c r="G37" s="93"/>
      <c r="H37" s="92">
        <f t="shared" si="3"/>
        <v>10.229</v>
      </c>
      <c r="I37" s="92">
        <f t="shared" si="4"/>
        <v>11.229</v>
      </c>
      <c r="J37" s="107">
        <f t="shared" si="5"/>
        <v>21.458</v>
      </c>
      <c r="K37" s="108"/>
    </row>
    <row r="38" s="29" customFormat="1" ht="12" hidden="1" customHeight="1" spans="1:11">
      <c r="A38" s="26"/>
      <c r="B38" s="91"/>
      <c r="C38" s="27"/>
      <c r="D38" s="27"/>
      <c r="E38" s="91"/>
      <c r="F38" s="93"/>
      <c r="G38" s="93"/>
      <c r="H38" s="92">
        <f t="shared" si="3"/>
        <v>10.229</v>
      </c>
      <c r="I38" s="92">
        <f t="shared" si="4"/>
        <v>11.229</v>
      </c>
      <c r="J38" s="107">
        <f t="shared" si="5"/>
        <v>21.458</v>
      </c>
      <c r="K38" s="108"/>
    </row>
    <row r="39" s="29" customFormat="1" ht="12.75" hidden="1" customHeight="1" spans="1:11">
      <c r="A39" s="26"/>
      <c r="B39" s="91"/>
      <c r="C39" s="27"/>
      <c r="D39" s="27"/>
      <c r="E39" s="91"/>
      <c r="F39" s="93"/>
      <c r="G39" s="93"/>
      <c r="H39" s="92">
        <f t="shared" si="3"/>
        <v>10.229</v>
      </c>
      <c r="I39" s="92">
        <f t="shared" si="4"/>
        <v>11.229</v>
      </c>
      <c r="J39" s="107">
        <f t="shared" si="5"/>
        <v>21.458</v>
      </c>
      <c r="K39" s="108"/>
    </row>
    <row r="40" ht="12" hidden="1" customHeight="1" spans="1:10">
      <c r="A40" s="26"/>
      <c r="B40" s="91"/>
      <c r="C40" s="27"/>
      <c r="D40" s="27"/>
      <c r="E40" s="91"/>
      <c r="F40" s="93"/>
      <c r="G40" s="93"/>
      <c r="H40" s="92">
        <f t="shared" si="3"/>
        <v>10.229</v>
      </c>
      <c r="I40" s="92">
        <f t="shared" si="4"/>
        <v>11.229</v>
      </c>
      <c r="J40" s="107">
        <f t="shared" si="5"/>
        <v>21.458</v>
      </c>
    </row>
    <row r="41" s="29" customFormat="1" ht="12" hidden="1" customHeight="1" spans="1:11">
      <c r="A41" s="26"/>
      <c r="B41" s="91"/>
      <c r="C41" s="27"/>
      <c r="D41" s="27"/>
      <c r="E41" s="91"/>
      <c r="F41" s="93"/>
      <c r="G41" s="93"/>
      <c r="H41" s="92">
        <f t="shared" si="3"/>
        <v>10.229</v>
      </c>
      <c r="I41" s="92">
        <f t="shared" si="4"/>
        <v>11.229</v>
      </c>
      <c r="J41" s="107">
        <f t="shared" si="5"/>
        <v>21.458</v>
      </c>
      <c r="K41" s="108"/>
    </row>
    <row r="42" s="29" customFormat="1" ht="15" hidden="1" customHeight="1" spans="1:11">
      <c r="A42" s="26"/>
      <c r="B42" s="91"/>
      <c r="C42" s="27"/>
      <c r="D42" s="27"/>
      <c r="E42" s="91"/>
      <c r="F42" s="93"/>
      <c r="G42" s="93"/>
      <c r="H42" s="92">
        <f t="shared" si="3"/>
        <v>10.229</v>
      </c>
      <c r="I42" s="92">
        <f t="shared" si="4"/>
        <v>11.229</v>
      </c>
      <c r="J42" s="107">
        <f t="shared" si="5"/>
        <v>21.458</v>
      </c>
      <c r="K42" s="108"/>
    </row>
    <row r="43" s="29" customFormat="1" ht="16.5" hidden="1" customHeight="1" spans="1:11">
      <c r="A43" s="26"/>
      <c r="B43" s="91"/>
      <c r="C43" s="27"/>
      <c r="D43" s="27"/>
      <c r="E43" s="91"/>
      <c r="F43" s="93"/>
      <c r="G43" s="93"/>
      <c r="H43" s="92">
        <f t="shared" si="3"/>
        <v>10.229</v>
      </c>
      <c r="I43" s="92">
        <f t="shared" si="4"/>
        <v>11.229</v>
      </c>
      <c r="J43" s="107">
        <f t="shared" si="5"/>
        <v>21.458</v>
      </c>
      <c r="K43" s="108"/>
    </row>
    <row r="44" s="29" customFormat="1" ht="16.5" hidden="1" customHeight="1" spans="1:11">
      <c r="A44" s="26"/>
      <c r="B44" s="91"/>
      <c r="C44" s="27"/>
      <c r="D44" s="27"/>
      <c r="E44" s="91"/>
      <c r="F44" s="93"/>
      <c r="G44" s="93"/>
      <c r="H44" s="92">
        <f t="shared" si="3"/>
        <v>10.229</v>
      </c>
      <c r="I44" s="92">
        <f t="shared" si="4"/>
        <v>11.229</v>
      </c>
      <c r="J44" s="107">
        <f t="shared" si="5"/>
        <v>21.458</v>
      </c>
      <c r="K44" s="108"/>
    </row>
    <row r="45" hidden="1" spans="1:10">
      <c r="A45" s="26"/>
      <c r="B45" s="91"/>
      <c r="C45" s="27"/>
      <c r="D45" s="27"/>
      <c r="E45" s="91"/>
      <c r="F45" s="93"/>
      <c r="G45" s="93"/>
      <c r="H45" s="92">
        <f t="shared" si="3"/>
        <v>10.229</v>
      </c>
      <c r="I45" s="92">
        <f t="shared" si="4"/>
        <v>11.229</v>
      </c>
      <c r="J45" s="107">
        <f t="shared" si="5"/>
        <v>21.458</v>
      </c>
    </row>
    <row r="46" hidden="1" spans="1:10">
      <c r="A46" s="26"/>
      <c r="B46" s="91"/>
      <c r="C46" s="27"/>
      <c r="D46" s="27"/>
      <c r="E46" s="91"/>
      <c r="F46" s="93"/>
      <c r="G46" s="93"/>
      <c r="H46" s="92">
        <f t="shared" si="3"/>
        <v>10.229</v>
      </c>
      <c r="I46" s="92">
        <f t="shared" si="4"/>
        <v>11.229</v>
      </c>
      <c r="J46" s="107">
        <f t="shared" si="5"/>
        <v>21.458</v>
      </c>
    </row>
    <row r="47" hidden="1" spans="1:10">
      <c r="A47" s="26"/>
      <c r="B47" s="91"/>
      <c r="C47" s="27"/>
      <c r="D47" s="27"/>
      <c r="E47" s="91"/>
      <c r="F47" s="93"/>
      <c r="G47" s="93"/>
      <c r="H47" s="92">
        <f t="shared" si="3"/>
        <v>10.229</v>
      </c>
      <c r="I47" s="92">
        <f t="shared" si="4"/>
        <v>11.229</v>
      </c>
      <c r="J47" s="107">
        <f t="shared" si="5"/>
        <v>21.458</v>
      </c>
    </row>
    <row r="48" hidden="1" spans="8:10">
      <c r="H48" s="92">
        <f t="shared" si="3"/>
        <v>10.229</v>
      </c>
      <c r="I48" s="92">
        <f t="shared" si="4"/>
        <v>11.229</v>
      </c>
      <c r="J48" s="107">
        <f t="shared" si="5"/>
        <v>21.458</v>
      </c>
    </row>
    <row r="49" spans="1:10">
      <c r="A49" s="94" t="s">
        <v>31</v>
      </c>
      <c r="B49" s="94">
        <v>1.25</v>
      </c>
      <c r="C49" s="94">
        <v>1.25</v>
      </c>
      <c r="D49" s="94"/>
      <c r="E49" s="94"/>
      <c r="F49" s="93"/>
      <c r="G49" s="93"/>
      <c r="H49" s="92">
        <f t="shared" si="3"/>
        <v>11.479</v>
      </c>
      <c r="I49" s="92">
        <f t="shared" si="4"/>
        <v>12.479</v>
      </c>
      <c r="J49" s="107">
        <f t="shared" si="5"/>
        <v>23.958</v>
      </c>
    </row>
    <row r="50" spans="1:10">
      <c r="A50" s="94" t="s">
        <v>32</v>
      </c>
      <c r="B50" s="94"/>
      <c r="C50" s="94"/>
      <c r="D50" s="94"/>
      <c r="E50" s="94"/>
      <c r="F50" s="93"/>
      <c r="G50" s="93">
        <v>1</v>
      </c>
      <c r="H50" s="92">
        <f t="shared" si="3"/>
        <v>11.479</v>
      </c>
      <c r="I50" s="92">
        <f t="shared" si="4"/>
        <v>12.479</v>
      </c>
      <c r="J50" s="107">
        <f t="shared" si="5"/>
        <v>23.958</v>
      </c>
    </row>
    <row r="51" spans="1:10">
      <c r="A51" s="94" t="s">
        <v>33</v>
      </c>
      <c r="B51" s="94">
        <v>1.25</v>
      </c>
      <c r="C51" s="94">
        <v>1.25</v>
      </c>
      <c r="D51" s="94"/>
      <c r="E51" s="94"/>
      <c r="F51" s="93"/>
      <c r="G51" s="93"/>
      <c r="H51" s="92">
        <f t="shared" ref="H51:H52" si="6">H50-F51-D51+B51</f>
        <v>12.729</v>
      </c>
      <c r="I51" s="92">
        <f t="shared" ref="I51:I52" si="7">I50-E51+C51</f>
        <v>13.729</v>
      </c>
      <c r="J51" s="107">
        <f t="shared" ref="J51:J52" si="8">SUM(H51:I51)</f>
        <v>26.458</v>
      </c>
    </row>
    <row r="52" spans="1:10">
      <c r="A52" s="94" t="s">
        <v>34</v>
      </c>
      <c r="B52" s="94"/>
      <c r="C52" s="94"/>
      <c r="D52" s="94"/>
      <c r="E52" s="94"/>
      <c r="F52" s="93">
        <v>1</v>
      </c>
      <c r="G52" s="93"/>
      <c r="H52" s="92">
        <f t="shared" si="6"/>
        <v>11.729</v>
      </c>
      <c r="I52" s="92">
        <f t="shared" si="7"/>
        <v>13.729</v>
      </c>
      <c r="J52" s="107">
        <f t="shared" si="8"/>
        <v>25.458</v>
      </c>
    </row>
    <row r="53" spans="1:10">
      <c r="A53" s="94" t="s">
        <v>35</v>
      </c>
      <c r="B53" s="94"/>
      <c r="C53" s="94"/>
      <c r="D53" s="94"/>
      <c r="E53" s="94"/>
      <c r="F53" s="93">
        <v>2</v>
      </c>
      <c r="G53" s="93"/>
      <c r="H53" s="92">
        <f t="shared" ref="H53" si="9">H52-F53-D53+B53</f>
        <v>9.729</v>
      </c>
      <c r="I53" s="92">
        <f t="shared" ref="I53" si="10">I52-E53+C53</f>
        <v>13.729</v>
      </c>
      <c r="J53" s="107">
        <f t="shared" ref="J53" si="11">SUM(H53:I53)</f>
        <v>23.458</v>
      </c>
    </row>
    <row r="54" spans="1:10">
      <c r="A54" s="94" t="s">
        <v>36</v>
      </c>
      <c r="B54" s="94">
        <v>1.25</v>
      </c>
      <c r="C54" s="94">
        <v>1.25</v>
      </c>
      <c r="D54" s="94"/>
      <c r="E54" s="94"/>
      <c r="F54" s="93"/>
      <c r="G54" s="93"/>
      <c r="H54" s="92">
        <f t="shared" ref="H54:H55" si="12">H53-F54-D54+B54</f>
        <v>10.979</v>
      </c>
      <c r="I54" s="92">
        <f t="shared" ref="I54:I55" si="13">I53-E54+C54</f>
        <v>14.979</v>
      </c>
      <c r="J54" s="107">
        <f t="shared" ref="J54:J55" si="14">SUM(H54:I54)</f>
        <v>25.958</v>
      </c>
    </row>
    <row r="55" spans="1:10">
      <c r="A55" s="94" t="s">
        <v>37</v>
      </c>
      <c r="B55" s="94">
        <v>7.5</v>
      </c>
      <c r="C55" s="94">
        <v>7.5</v>
      </c>
      <c r="D55" s="94"/>
      <c r="E55" s="94"/>
      <c r="F55" s="93"/>
      <c r="G55" s="93"/>
      <c r="H55" s="92">
        <f t="shared" si="12"/>
        <v>18.479</v>
      </c>
      <c r="I55" s="92">
        <f t="shared" si="13"/>
        <v>22.479</v>
      </c>
      <c r="J55" s="107">
        <f t="shared" si="14"/>
        <v>40.958</v>
      </c>
    </row>
    <row r="56" spans="1:10">
      <c r="A56" s="94" t="s">
        <v>38</v>
      </c>
      <c r="B56" s="94"/>
      <c r="C56" s="94"/>
      <c r="D56" s="94">
        <v>10</v>
      </c>
      <c r="E56" s="94"/>
      <c r="F56" s="93"/>
      <c r="G56" s="93"/>
      <c r="H56" s="92">
        <f t="shared" ref="H56:H58" si="15">H55-F56-D56+B56</f>
        <v>8.479</v>
      </c>
      <c r="I56" s="92">
        <f t="shared" ref="I56:I58" si="16">I55-E56+C56</f>
        <v>22.479</v>
      </c>
      <c r="J56" s="107">
        <f t="shared" ref="J56:J58" si="17">SUM(H56:I56)</f>
        <v>30.958</v>
      </c>
    </row>
    <row r="57" spans="1:10">
      <c r="A57" s="94" t="s">
        <v>39</v>
      </c>
      <c r="B57" s="94">
        <v>6.25</v>
      </c>
      <c r="C57" s="94">
        <v>6.25</v>
      </c>
      <c r="D57" s="94"/>
      <c r="E57" s="94"/>
      <c r="F57" s="93"/>
      <c r="G57" s="93"/>
      <c r="H57" s="92">
        <f t="shared" si="15"/>
        <v>14.729</v>
      </c>
      <c r="I57" s="92">
        <f t="shared" si="16"/>
        <v>28.729</v>
      </c>
      <c r="J57" s="107">
        <f t="shared" si="17"/>
        <v>43.458</v>
      </c>
    </row>
    <row r="58" spans="1:10">
      <c r="A58" s="94" t="s">
        <v>40</v>
      </c>
      <c r="B58" s="94"/>
      <c r="C58" s="94"/>
      <c r="D58" s="94"/>
      <c r="E58" s="94"/>
      <c r="F58" s="95">
        <v>5</v>
      </c>
      <c r="G58" s="93"/>
      <c r="H58" s="92">
        <f t="shared" si="15"/>
        <v>9.729</v>
      </c>
      <c r="I58" s="92">
        <f t="shared" si="16"/>
        <v>28.729</v>
      </c>
      <c r="J58" s="107">
        <f t="shared" si="17"/>
        <v>38.458</v>
      </c>
    </row>
    <row r="59" spans="1:11">
      <c r="A59" s="94" t="s">
        <v>41</v>
      </c>
      <c r="B59" s="94"/>
      <c r="C59" s="94"/>
      <c r="D59" s="94"/>
      <c r="E59" s="94"/>
      <c r="F59" s="93"/>
      <c r="G59" s="96">
        <v>2</v>
      </c>
      <c r="H59" s="92">
        <f>H58-F59-D59+B59</f>
        <v>9.729</v>
      </c>
      <c r="I59" s="92">
        <f>I58-E59+C59</f>
        <v>28.729</v>
      </c>
      <c r="J59" s="107">
        <f>SUM(H59:I59)</f>
        <v>38.458</v>
      </c>
      <c r="K59" s="109" t="s">
        <v>42</v>
      </c>
    </row>
    <row r="60" spans="8:10">
      <c r="H60" s="97"/>
      <c r="I60" s="97"/>
      <c r="J60" s="97"/>
    </row>
    <row r="64" spans="6:6">
      <c r="F64" s="75" t="s">
        <v>43</v>
      </c>
    </row>
  </sheetData>
  <mergeCells count="15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4:J14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view="pageBreakPreview" zoomScaleNormal="100" workbookViewId="0">
      <selection activeCell="I16" sqref="I15:I16"/>
    </sheetView>
  </sheetViews>
  <sheetFormatPr defaultColWidth="9" defaultRowHeight="14.4" outlineLevelCol="6"/>
  <cols>
    <col min="1" max="1" width="23.5740740740741" style="43" customWidth="1"/>
    <col min="2" max="2" width="18.8518518518519" style="43" customWidth="1"/>
    <col min="3" max="3" width="35" style="44" customWidth="1"/>
    <col min="4" max="4" width="11.712962962963" style="45" customWidth="1"/>
    <col min="5" max="5" width="11" style="43" customWidth="1"/>
    <col min="6" max="6" width="11.8518518518519" style="45" customWidth="1"/>
    <col min="7" max="7" width="22" style="43" customWidth="1"/>
    <col min="8" max="16384" width="9" style="43"/>
  </cols>
  <sheetData>
    <row r="1" s="40" customFormat="1" ht="52.5" customHeight="1" spans="5:5">
      <c r="E1" s="46"/>
    </row>
    <row r="2" s="40" customFormat="1" ht="10.5" customHeight="1" spans="1:7">
      <c r="A2" s="47" t="s">
        <v>0</v>
      </c>
      <c r="B2" s="47"/>
      <c r="C2" s="47"/>
      <c r="D2" s="47"/>
      <c r="E2" s="47"/>
      <c r="F2" s="47"/>
      <c r="G2" s="47"/>
    </row>
    <row r="3" s="40" customFormat="1" ht="15.95" customHeight="1" spans="1:7">
      <c r="A3" s="47" t="s">
        <v>1</v>
      </c>
      <c r="B3" s="47"/>
      <c r="C3" s="47"/>
      <c r="D3" s="47"/>
      <c r="E3" s="47"/>
      <c r="F3" s="47"/>
      <c r="G3" s="47"/>
    </row>
    <row r="4" s="40" customFormat="1" ht="15.95" customHeight="1" spans="1:7">
      <c r="A4" s="47" t="s">
        <v>2</v>
      </c>
      <c r="B4" s="47"/>
      <c r="C4" s="47"/>
      <c r="D4" s="47"/>
      <c r="E4" s="47"/>
      <c r="F4" s="47"/>
      <c r="G4" s="47"/>
    </row>
    <row r="5" s="40" customFormat="1" ht="15.95" customHeight="1" spans="1:7">
      <c r="A5" s="47" t="s">
        <v>3</v>
      </c>
      <c r="B5" s="47"/>
      <c r="C5" s="47"/>
      <c r="D5" s="47"/>
      <c r="E5" s="47"/>
      <c r="F5" s="47"/>
      <c r="G5" s="47"/>
    </row>
    <row r="6" s="40" customFormat="1" ht="8.25" customHeight="1" spans="5:5">
      <c r="E6" s="46"/>
    </row>
    <row r="7" s="40" customFormat="1" ht="8.25" customHeight="1" spans="5:5">
      <c r="E7" s="46"/>
    </row>
    <row r="8" s="40" customFormat="1" ht="17.25" customHeight="1" spans="1:7">
      <c r="A8" s="48" t="s">
        <v>44</v>
      </c>
      <c r="B8" s="48"/>
      <c r="C8" s="48" t="s">
        <v>45</v>
      </c>
      <c r="D8" s="49"/>
      <c r="E8" s="48" t="s">
        <v>46</v>
      </c>
      <c r="F8" s="49"/>
      <c r="G8" s="50"/>
    </row>
    <row r="9" s="40" customFormat="1" ht="12" customHeight="1" spans="1:7">
      <c r="A9" s="51"/>
      <c r="B9" s="51"/>
      <c r="C9" s="52"/>
      <c r="E9" s="48" t="s">
        <v>47</v>
      </c>
      <c r="F9" s="53"/>
      <c r="G9" s="52"/>
    </row>
    <row r="10" s="40" customFormat="1" ht="14.25" customHeight="1" spans="1:7">
      <c r="A10" s="48" t="s">
        <v>48</v>
      </c>
      <c r="B10" s="48"/>
      <c r="C10" s="48" t="s">
        <v>49</v>
      </c>
      <c r="D10" s="49"/>
      <c r="E10" s="48" t="s">
        <v>50</v>
      </c>
      <c r="F10" s="49"/>
      <c r="G10" s="50"/>
    </row>
    <row r="11" s="40" customFormat="1" ht="12" customHeight="1" spans="1:7">
      <c r="A11" s="50"/>
      <c r="B11" s="50"/>
      <c r="C11" s="50"/>
      <c r="F11" s="49"/>
      <c r="G11" s="50"/>
    </row>
    <row r="12" ht="23.25" customHeight="1" spans="1:7">
      <c r="A12" s="54" t="s">
        <v>51</v>
      </c>
      <c r="B12" s="55"/>
      <c r="C12" s="55"/>
      <c r="D12" s="55"/>
      <c r="E12" s="55"/>
      <c r="F12" s="55"/>
      <c r="G12" s="56"/>
    </row>
    <row r="13" s="41" customFormat="1" ht="37.5" customHeight="1" spans="1:7">
      <c r="A13" s="57" t="s">
        <v>52</v>
      </c>
      <c r="B13" s="58" t="s">
        <v>53</v>
      </c>
      <c r="C13" s="59" t="s">
        <v>54</v>
      </c>
      <c r="D13" s="59" t="s">
        <v>55</v>
      </c>
      <c r="E13" s="60" t="s">
        <v>56</v>
      </c>
      <c r="F13" s="60" t="s">
        <v>57</v>
      </c>
      <c r="G13" s="61" t="s">
        <v>15</v>
      </c>
    </row>
    <row r="14" s="41" customFormat="1" ht="21" customHeight="1" spans="1:7">
      <c r="A14" s="62" t="s">
        <v>58</v>
      </c>
      <c r="B14" s="63" t="s">
        <v>59</v>
      </c>
      <c r="C14" s="64" t="s">
        <v>60</v>
      </c>
      <c r="D14" s="65">
        <v>5</v>
      </c>
      <c r="E14" s="66">
        <v>0</v>
      </c>
      <c r="F14" s="66">
        <v>5</v>
      </c>
      <c r="G14" s="67">
        <v>5</v>
      </c>
    </row>
    <row r="15" s="41" customFormat="1" ht="37.5" customHeight="1" spans="1:7">
      <c r="A15" s="62" t="s">
        <v>61</v>
      </c>
      <c r="B15" s="63" t="s">
        <v>62</v>
      </c>
      <c r="C15" s="64" t="s">
        <v>63</v>
      </c>
      <c r="D15" s="65">
        <v>2</v>
      </c>
      <c r="E15" s="68">
        <v>0</v>
      </c>
      <c r="F15" s="68">
        <v>2</v>
      </c>
      <c r="G15" s="69">
        <v>2</v>
      </c>
    </row>
    <row r="16" s="42" customFormat="1" ht="15.6" spans="1:7">
      <c r="A16" s="70" t="s">
        <v>15</v>
      </c>
      <c r="B16" s="71"/>
      <c r="C16" s="71"/>
      <c r="D16" s="71"/>
      <c r="E16" s="71"/>
      <c r="F16" s="72"/>
      <c r="G16" s="73" t="s">
        <v>64</v>
      </c>
    </row>
    <row r="17" s="40" customFormat="1" ht="75.75" customHeight="1" spans="1:7">
      <c r="A17" s="74"/>
      <c r="B17" s="74"/>
      <c r="G17" s="74"/>
    </row>
    <row r="18" s="40" customFormat="1"/>
    <row r="19" s="40" customFormat="1"/>
  </sheetData>
  <mergeCells count="6">
    <mergeCell ref="A2:G2"/>
    <mergeCell ref="A3:G3"/>
    <mergeCell ref="A4:G4"/>
    <mergeCell ref="A5:G5"/>
    <mergeCell ref="A12:G12"/>
    <mergeCell ref="A16:F16"/>
  </mergeCells>
  <pageMargins left="0.25" right="0.25" top="0.75" bottom="0.75" header="0.3" footer="0.3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workbookViewId="0">
      <selection activeCell="A15" sqref="A15:A16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7.28703703703704" style="4" customWidth="1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65</v>
      </c>
      <c r="B11" s="10"/>
      <c r="C11" s="11" t="s">
        <v>66</v>
      </c>
      <c r="D11" s="11"/>
      <c r="E11" s="11"/>
      <c r="F11" s="11"/>
      <c r="G11" s="11"/>
      <c r="H11" s="5"/>
      <c r="I11" s="11" t="s">
        <v>67</v>
      </c>
      <c r="J11" s="11"/>
      <c r="K11" s="11"/>
      <c r="L11" s="10"/>
      <c r="M11" s="5"/>
    </row>
    <row r="12" spans="1:13">
      <c r="A12" s="5"/>
      <c r="B12" s="12"/>
      <c r="C12" s="11" t="s">
        <v>68</v>
      </c>
      <c r="D12" s="11"/>
      <c r="E12" s="11"/>
      <c r="F12" s="11"/>
      <c r="G12" s="11"/>
      <c r="H12" s="5"/>
      <c r="I12" s="32" t="s">
        <v>69</v>
      </c>
      <c r="J12" s="32"/>
      <c r="K12" s="32"/>
      <c r="L12" s="12"/>
      <c r="M12" s="5"/>
    </row>
    <row r="13" spans="1:13">
      <c r="A13" s="10" t="s">
        <v>70</v>
      </c>
      <c r="B13" s="10"/>
      <c r="C13" s="13"/>
      <c r="D13" s="12"/>
      <c r="E13" s="12"/>
      <c r="F13" s="5"/>
      <c r="G13" s="5"/>
      <c r="H13" s="5"/>
      <c r="I13" s="11" t="s">
        <v>71</v>
      </c>
      <c r="J13" s="11"/>
      <c r="K13" s="11"/>
      <c r="L13" s="10"/>
      <c r="M13" s="5"/>
    </row>
    <row r="14" ht="21.75" spans="1:12">
      <c r="A14" s="14" t="s">
        <v>72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A15" s="15" t="s">
        <v>11</v>
      </c>
      <c r="B15" s="16" t="s">
        <v>12</v>
      </c>
      <c r="C15" s="17"/>
      <c r="D15" s="17"/>
      <c r="E15" s="17"/>
      <c r="F15" s="17"/>
      <c r="G15" s="17"/>
      <c r="H15" s="17"/>
      <c r="I15" s="17"/>
      <c r="J15" s="17"/>
      <c r="K15" s="17"/>
      <c r="L15" s="33" t="s">
        <v>15</v>
      </c>
      <c r="M15" s="34"/>
    </row>
    <row r="16" spans="1:13">
      <c r="A16" s="18"/>
      <c r="B16" s="19" t="s">
        <v>73</v>
      </c>
      <c r="C16" s="20"/>
      <c r="D16" s="20"/>
      <c r="E16" s="21"/>
      <c r="F16" s="19" t="s">
        <v>55</v>
      </c>
      <c r="G16" s="21"/>
      <c r="H16" s="19" t="s">
        <v>56</v>
      </c>
      <c r="I16" s="21"/>
      <c r="J16" s="19" t="s">
        <v>57</v>
      </c>
      <c r="K16" s="21"/>
      <c r="L16" s="35"/>
      <c r="M16" s="34"/>
    </row>
    <row r="17" ht="24" customHeight="1" spans="1:13">
      <c r="A17" s="22" t="s">
        <v>74</v>
      </c>
      <c r="B17" s="23" t="s">
        <v>75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6">
        <v>11</v>
      </c>
      <c r="M17" s="34"/>
    </row>
    <row r="18" ht="24" customHeight="1" spans="1:13">
      <c r="A18" s="26" t="s">
        <v>76</v>
      </c>
      <c r="B18" s="23" t="s">
        <v>75</v>
      </c>
      <c r="C18" s="24"/>
      <c r="D18" s="24"/>
      <c r="E18" s="25"/>
      <c r="F18" s="23">
        <v>11</v>
      </c>
      <c r="G18" s="25"/>
      <c r="H18" s="23">
        <v>10</v>
      </c>
      <c r="I18" s="25"/>
      <c r="J18" s="23">
        <v>1</v>
      </c>
      <c r="K18" s="25"/>
      <c r="L18" s="36">
        <v>1</v>
      </c>
      <c r="M18" s="37"/>
    </row>
    <row r="19" ht="24" customHeight="1" spans="1:13">
      <c r="A19" s="27" t="s">
        <v>77</v>
      </c>
      <c r="B19" s="23" t="s">
        <v>75</v>
      </c>
      <c r="C19" s="24"/>
      <c r="D19" s="24"/>
      <c r="E19" s="25"/>
      <c r="F19" s="23">
        <v>1</v>
      </c>
      <c r="G19" s="25"/>
      <c r="H19" s="23">
        <v>1</v>
      </c>
      <c r="I19" s="25"/>
      <c r="J19" s="23">
        <v>0</v>
      </c>
      <c r="K19" s="25"/>
      <c r="L19" s="27">
        <v>0</v>
      </c>
      <c r="M19" s="37"/>
    </row>
    <row r="20" ht="24" customHeight="1" spans="1:13">
      <c r="A20" s="22" t="s">
        <v>78</v>
      </c>
      <c r="B20" s="23" t="s">
        <v>79</v>
      </c>
      <c r="C20" s="24"/>
      <c r="D20" s="24"/>
      <c r="E20" s="25"/>
      <c r="F20" s="23">
        <v>1</v>
      </c>
      <c r="G20" s="25"/>
      <c r="H20" s="23">
        <v>0</v>
      </c>
      <c r="I20" s="25"/>
      <c r="J20" s="23">
        <v>1</v>
      </c>
      <c r="K20" s="25"/>
      <c r="L20" s="36">
        <v>1</v>
      </c>
      <c r="M20" s="37"/>
    </row>
    <row r="21" ht="24" customHeight="1" spans="1:13">
      <c r="A21" s="27" t="s">
        <v>80</v>
      </c>
      <c r="B21" s="23" t="s">
        <v>79</v>
      </c>
      <c r="C21" s="24"/>
      <c r="D21" s="24"/>
      <c r="E21" s="25"/>
      <c r="F21" s="28">
        <v>1</v>
      </c>
      <c r="G21" s="28"/>
      <c r="H21" s="28">
        <v>1</v>
      </c>
      <c r="I21" s="28"/>
      <c r="J21" s="28">
        <v>0</v>
      </c>
      <c r="K21" s="28"/>
      <c r="L21" s="38">
        <v>0</v>
      </c>
      <c r="M21" s="37"/>
    </row>
    <row r="22" spans="1:13">
      <c r="A22" s="29" t="s">
        <v>81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9"/>
      <c r="M22" s="37"/>
    </row>
    <row r="23" spans="1:1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3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</row>
    <row r="68" spans="7:7">
      <c r="G68" s="4" t="s">
        <v>82</v>
      </c>
    </row>
  </sheetData>
  <mergeCells count="38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23:L23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Election &amp; NLC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2023-12-05T00:25:00Z</dcterms:created>
  <cp:lastPrinted>2025-06-04T02:59:00Z</cp:lastPrinted>
  <dcterms:modified xsi:type="dcterms:W3CDTF">2026-01-02T08:15:32Z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2AC4384B7F7C47028AB77AD52EB489E6_12</vt:lpwstr>
  </property>
  <property fmtid="{D5CDD505-2E9C-101B-9397-08002B2CF9AE}" pid="3" name="KSOProductBuildVer">
    <vt:lpwstr>1033-12.2.0.23196</vt:lpwstr>
  </property>
</Properties>
</file>