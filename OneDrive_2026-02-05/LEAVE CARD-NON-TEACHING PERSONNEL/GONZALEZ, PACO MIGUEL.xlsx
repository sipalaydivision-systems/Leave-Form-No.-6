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9" r:id="rId2"/>
  </sheets>
  <definedNames>
    <definedName name="_xlnm.Print_Area" localSheetId="0">'Leave Card (NE)'!$A$1:$J$77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<sst xmlns="http://schemas.openxmlformats.org/spreadsheetml/2006/main" count="144" uniqueCount="114">
  <si>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</si>
  <si>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</si>
  <si>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</si>
  <si>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</si>
  <si>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</si>
  <si>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</si>
  <si>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</si>
  <si>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</si>
  <si>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</si>
  <si>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</si>
  <si>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</si>
  <si>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</si>
  <si>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</si>
  <si>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</si>
  <si>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</si>
  <si>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</si>
  <si>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</si>
  <si>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</si>
  <si>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</si>
  <si>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</si>
  <si>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ORIGINAL APPOINTMENT: JUNE 01, 2022</t>
  </si>
  <si>
    <t>ADD: 06/01/22 - 8/31/22</t>
  </si>
  <si>
    <t>ADD: 09/01/22 - 9/30/22</t>
  </si>
  <si>
    <t>LESS: 10/27-28/22</t>
  </si>
  <si>
    <t>LESS: 11/04/22</t>
  </si>
  <si>
    <t>ADD: 10/01/22 - 10/31/22</t>
  </si>
  <si>
    <t>ADD: 11/01/22 - 11/30/22</t>
  </si>
  <si>
    <t>LESS: 12/23/22</t>
  </si>
  <si>
    <t>LESS: 12/28 &amp; 29/22</t>
  </si>
  <si>
    <t>ADD: 12/01/22 - 12/31/22</t>
  </si>
  <si>
    <t>LESS: 01/03/23</t>
  </si>
  <si>
    <t>ADD: 01/01/23 - 01/31/23</t>
  </si>
  <si>
    <t>LESS: 02/02 &amp; 03/23</t>
  </si>
  <si>
    <t>LESS: 02/06/23</t>
  </si>
  <si>
    <t>ADD: 02/01/23 - 02/28/23</t>
  </si>
  <si>
    <t>LESS: 04/03, 04 &amp; 05/2023</t>
  </si>
  <si>
    <t>ADD: 03/01/23 - 03/31/23</t>
  </si>
  <si>
    <t>LESS: 03/27, 28, 29 &amp; 30/2023</t>
  </si>
  <si>
    <t>ADD: 04/01/23 - 04/30/23</t>
  </si>
  <si>
    <t>LESS: 05/26/23</t>
  </si>
  <si>
    <t>ADD: 05/01/23 - 05/31/23</t>
  </si>
  <si>
    <t>LESS: 06/16/2023</t>
  </si>
  <si>
    <t>LESS: 06/29 &amp; 30/23</t>
  </si>
  <si>
    <t>ADD: 06/01/23 - 07/31/23</t>
  </si>
  <si>
    <t>ADD: 08/01/2023 - 12/31/2023</t>
  </si>
  <si>
    <t>LESS:  FL 2023</t>
  </si>
  <si>
    <t>ADD: 01/01-02/29/2024</t>
  </si>
  <si>
    <t>LESS: 03/27/2024 (PM)</t>
  </si>
  <si>
    <t>ADD: 03/1/2024 -05/31/2024</t>
  </si>
  <si>
    <t>LESS: 06/13-14/2024</t>
  </si>
  <si>
    <t>LESS: 07/4-5/2024</t>
  </si>
  <si>
    <t>ADD: 06/01/2024-08/31/2024</t>
  </si>
  <si>
    <t>LESS: 09/20/2024</t>
  </si>
  <si>
    <t>ADD: 09/1/2024-10/31/2024</t>
  </si>
  <si>
    <t>Less: 11/4/2024</t>
  </si>
  <si>
    <t>LESS: 11/27-28/2024</t>
  </si>
  <si>
    <t>ADD: 11/1-30/2024</t>
  </si>
  <si>
    <t>LESS: 12/26-27/2024</t>
  </si>
  <si>
    <t>ADD: 12/1-31/2024</t>
  </si>
  <si>
    <t>LESS: FL 2024</t>
  </si>
  <si>
    <t>ADD: 01/1/2025-03/31/2025</t>
  </si>
  <si>
    <t>LESS: 04/11/2025</t>
  </si>
  <si>
    <t>ADD: 04/1-30/2025</t>
  </si>
  <si>
    <t>LESS: 05/2 &amp; 5/2025</t>
  </si>
  <si>
    <t>LESS: 05/13/2025</t>
  </si>
  <si>
    <t>ADD: 05/1-31/2025</t>
  </si>
  <si>
    <t>LESS: 06/13 &amp; 16/2025</t>
  </si>
  <si>
    <t>ADD: 06/1-30/2025</t>
  </si>
  <si>
    <t>LESS: 07/24-25/2025</t>
  </si>
  <si>
    <t>ADD: 07/1/2025-08/31/2025</t>
  </si>
  <si>
    <t>LESS: MONETIZATION 2025</t>
  </si>
  <si>
    <t>LESS: 09/2,3,4 &amp; 8/2025</t>
  </si>
  <si>
    <t>ADD: 09/1-30/2025</t>
  </si>
  <si>
    <t>LESS: 10/8-10/2025</t>
  </si>
  <si>
    <t>ADD: 10/1-31/2025</t>
  </si>
  <si>
    <t>LESS: 11/3 &amp; 6/2025</t>
  </si>
  <si>
    <t>LESS: 11/17/2025</t>
  </si>
  <si>
    <t>LESS: 12/05/2025</t>
  </si>
  <si>
    <t>ADD: 11/1-30/2025</t>
  </si>
  <si>
    <t>LESS: 12/22-23/2025</t>
  </si>
  <si>
    <t>LESS: 12/26/2025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</si>
  <si>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</si>
  <si>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</si>
  <si>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</si>
  <si>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</si>
  <si>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</si>
  <si>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</si>
  <si>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</si>
  <si>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SO # 048, S.2023, DISTRICT AND CITY SPORTS MEET 2023</t>
  </si>
  <si>
    <t>LESS: 07/28/2023</t>
  </si>
  <si>
    <t>SO # 049, S.2023, CHICKSAA MEET 2023</t>
  </si>
  <si>
    <t>LESS: 08/7 &amp; 8/2023</t>
  </si>
  <si>
    <t>ADD: 07/13/2023</t>
  </si>
  <si>
    <t>SO # 059, S.2023, BSP DIVISION CAMPOREE</t>
  </si>
  <si>
    <t>LESS: 09/07/2023</t>
  </si>
  <si>
    <t>LESS: 01/02/2024</t>
  </si>
  <si>
    <t>LESS: 02/26/2024</t>
  </si>
  <si>
    <t>ADD: 08/30/2023</t>
  </si>
  <si>
    <t>SO #072, S. 2023, 1ST DIVISION GSP ENCAMPMENT</t>
  </si>
  <si>
    <t>LESS: 05/2-3/2024</t>
  </si>
  <si>
    <t>ADD: 03/12/2024</t>
  </si>
  <si>
    <t>SO #005 S. 2024 DISTRICT SPORTS MEET 2024</t>
  </si>
  <si>
    <t>LESS: 01/2-3/2025</t>
  </si>
  <si>
    <t>LESS: 01/30/2025</t>
  </si>
  <si>
    <t>SO # 006, S.2024, DIVISION SPORTS MEET</t>
  </si>
  <si>
    <t>LESS: 02/25/2025</t>
  </si>
  <si>
    <t>LESS: 03/6-7/2025</t>
  </si>
  <si>
    <t>SO #015, S. 2024, PALARONG PANLALAWIGAN</t>
  </si>
  <si>
    <t>LESS: 04/14-16/2025</t>
  </si>
  <si>
    <t>NOTE:  Valid for one (1) year only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</si>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</sst>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24" applyNumberFormat="0" applyAlignment="0" applyProtection="0">
      <alignment vertical="center"/>
    </xf>
    <xf numFmtId="0" fontId="18" fillId="17" borderId="25" applyNumberFormat="0" applyAlignment="0" applyProtection="0">
      <alignment vertical="center"/>
    </xf>
    <xf numFmtId="0" fontId="19" fillId="17" borderId="24" applyNumberFormat="0" applyAlignment="0" applyProtection="0">
      <alignment vertical="center"/>
    </xf>
    <xf numFmtId="0" fontId="20" fillId="18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</cellStyleXfs>
  <cellXfs count="7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2" borderId="0" xfId="0" applyFont="1" applyFill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7" fillId="13" borderId="20" xfId="0" applyNumberFormat="1" applyFont="1" applyFill="1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76" fontId="0" fillId="0" borderId="20" xfId="0" applyNumberFormat="1" applyFill="1" applyBorder="1" applyAlignment="1">
      <alignment horizontal="center" vertical="center"/>
    </xf>
    <xf numFmtId="176" fontId="7" fillId="0" borderId="20" xfId="0" applyNumberFormat="1" applyFont="1" applyFill="1" applyBorder="1" applyAlignment="1">
      <alignment horizontal="center" vertical="center"/>
    </xf>
    <xf numFmtId="176" fontId="0" fillId="14" borderId="20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714375</xdr:colOff>
      <xdr:row>0</xdr:row>
      <xdr:rowOff>28575</xdr:rowOff>
    </xdr:from>
    <xdr:to>
      <xdr:col>3</xdr:col>
      <xdr:colOff>685800</xdr:colOff>
      <xdr:row>1</xdr:row>
      <xdr:rowOff>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3060" y="28575"/>
          <a:ext cx="765175" cy="6381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609600</xdr:colOff>
      <xdr:row>74</xdr:row>
      <xdr:rowOff>266700</xdr:rowOff>
    </xdr:from>
    <xdr:to>
      <xdr:col>9</xdr:col>
      <xdr:colOff>295275</xdr:colOff>
      <xdr:row>76</xdr:row>
      <xdr:rowOff>180975</xdr:rowOff>
    </xdr:to>
    <xdr:sp>
      <xdr:nvSpPr>
        <xdr:cNvPr id="3" name="TextBox 2"/>
        <xdr:cNvSpPr txBox="1"/>
      </xdr:nvSpPr>
      <xdr:spPr>
        <a:xfrm>
          <a:off x="6439535" y="18047970"/>
          <a:ext cx="28606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    HRMO</a:t>
          </a:r>
          <a:endParaRPr lang="en-US" sz="1100"/>
        </a:p>
      </xdr:txBody>
    </xdr:sp>
    <xdr:clientData/>
  </xdr:twoCellAnchor>
  <xdr:twoCellAnchor>
    <xdr:from>
      <xdr:col>0</xdr:col>
      <xdr:colOff>554892</xdr:colOff>
      <xdr:row>5</xdr:row>
      <xdr:rowOff>85236</xdr:rowOff>
    </xdr:from>
    <xdr:to>
      <xdr:col>0</xdr:col>
      <xdr:colOff>2563691</xdr:colOff>
      <xdr:row>8</xdr:row>
      <xdr:rowOff>77910</xdr:rowOff>
    </xdr:to>
    <xdr:sp>
      <xdr:nvSpPr>
        <xdr:cNvPr id="5" name="TextBox 4"/>
        <xdr:cNvSpPr txBox="1"/>
      </xdr:nvSpPr>
      <xdr:spPr>
        <a:xfrm>
          <a:off x="554355" y="1492885"/>
          <a:ext cx="200914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GONZALEZ,</a:t>
          </a:r>
          <a:r>
            <a:rPr lang="en-US" sz="1100" baseline="0"/>
            <a:t> PACO MIGUEL E.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8</xdr:row>
      <xdr:rowOff>61057</xdr:rowOff>
    </xdr:from>
    <xdr:to>
      <xdr:col>0</xdr:col>
      <xdr:colOff>2625482</xdr:colOff>
      <xdr:row>10</xdr:row>
      <xdr:rowOff>6105</xdr:rowOff>
    </xdr:to>
    <xdr:sp>
      <xdr:nvSpPr>
        <xdr:cNvPr id="6" name="TextBox 5"/>
        <xdr:cNvSpPr txBox="1"/>
      </xdr:nvSpPr>
      <xdr:spPr>
        <a:xfrm>
          <a:off x="616585" y="1830705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DENTIST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8</xdr:row>
      <xdr:rowOff>42741</xdr:rowOff>
    </xdr:from>
    <xdr:to>
      <xdr:col>4</xdr:col>
      <xdr:colOff>604471</xdr:colOff>
      <xdr:row>9</xdr:row>
      <xdr:rowOff>140434</xdr:rowOff>
    </xdr:to>
    <xdr:sp>
      <xdr:nvSpPr>
        <xdr:cNvPr id="7" name="TextBox 6"/>
        <xdr:cNvSpPr txBox="1"/>
      </xdr:nvSpPr>
      <xdr:spPr>
        <a:xfrm>
          <a:off x="3863340" y="1812290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105833</xdr:colOff>
      <xdr:row>0</xdr:row>
      <xdr:rowOff>63677</xdr:rowOff>
    </xdr:from>
    <xdr:to>
      <xdr:col>5</xdr:col>
      <xdr:colOff>195791</xdr:colOff>
      <xdr:row>0</xdr:row>
      <xdr:rowOff>652639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4630" y="63500"/>
          <a:ext cx="707390" cy="5886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645231</xdr:colOff>
      <xdr:row>7</xdr:row>
      <xdr:rowOff>80787</xdr:rowOff>
    </xdr:from>
    <xdr:to>
      <xdr:col>0</xdr:col>
      <xdr:colOff>1426280</xdr:colOff>
      <xdr:row>9</xdr:row>
      <xdr:rowOff>26107</xdr:rowOff>
    </xdr:to>
    <xdr:sp>
      <xdr:nvSpPr>
        <xdr:cNvPr id="3" name="TextBox 2"/>
        <xdr:cNvSpPr txBox="1"/>
      </xdr:nvSpPr>
      <xdr:spPr>
        <a:xfrm>
          <a:off x="645160" y="1745615"/>
          <a:ext cx="78105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DENTIST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394531</xdr:colOff>
      <xdr:row>7</xdr:row>
      <xdr:rowOff>86507</xdr:rowOff>
    </xdr:from>
    <xdr:to>
      <xdr:col>5</xdr:col>
      <xdr:colOff>331031</xdr:colOff>
      <xdr:row>9</xdr:row>
      <xdr:rowOff>54811</xdr:rowOff>
    </xdr:to>
    <xdr:sp>
      <xdr:nvSpPr>
        <xdr:cNvPr id="4" name="TextBox 3"/>
        <xdr:cNvSpPr txBox="1"/>
      </xdr:nvSpPr>
      <xdr:spPr>
        <a:xfrm>
          <a:off x="3696335" y="1751330"/>
          <a:ext cx="117094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  <a:endParaRPr lang="en-US" sz="1100"/>
        </a:p>
      </xdr:txBody>
    </xdr:sp>
    <xdr:clientData/>
  </xdr:twoCellAnchor>
  <xdr:twoCellAnchor>
    <xdr:from>
      <xdr:col>0</xdr:col>
      <xdr:colOff>500447</xdr:colOff>
      <xdr:row>5</xdr:row>
      <xdr:rowOff>25146</xdr:rowOff>
    </xdr:from>
    <xdr:to>
      <xdr:col>1</xdr:col>
      <xdr:colOff>1004061</xdr:colOff>
      <xdr:row>7</xdr:row>
      <xdr:rowOff>22659</xdr:rowOff>
    </xdr:to>
    <xdr:sp>
      <xdr:nvSpPr>
        <xdr:cNvPr id="5" name="TextBox 4"/>
        <xdr:cNvSpPr txBox="1"/>
      </xdr:nvSpPr>
      <xdr:spPr>
        <a:xfrm>
          <a:off x="500380" y="1432560"/>
          <a:ext cx="1983105" cy="254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GONZALEZ, PACO MIGUEL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5"/>
  <sheetViews>
    <sheetView tabSelected="1" view="pageBreakPreview" zoomScaleNormal="100" topLeftCell="A58" workbookViewId="0">
      <selection activeCell="E65" sqref="E65"/>
    </sheetView>
  </sheetViews>
  <sheetFormatPr defaultColWidth="9" defaultRowHeight="14.4"/>
  <cols>
    <col min="1" max="1" width="38.712962962963" customWidth="1"/>
    <col min="2" max="2" width="11.5740740740741" style="42" customWidth="1"/>
    <col min="3" max="3" width="11.5740740740741" style="43" customWidth="1"/>
    <col min="4" max="4" width="11.5740740740741" style="42" customWidth="1"/>
    <col min="5" max="5" width="11.5740740740741" style="43" customWidth="1"/>
    <col min="6" max="7" width="11.5740740740741" customWidth="1"/>
    <col min="8" max="8" width="11.5740740740741" style="42" customWidth="1"/>
    <col min="9" max="9" width="11.5740740740741" style="43" customWidth="1"/>
    <col min="10" max="10" width="11.5740740740741" customWidth="1"/>
  </cols>
  <sheetData>
    <row r="1" s="1" customFormat="1" ht="52.5" customHeight="1" spans="6:6">
      <c r="F1"/>
    </row>
    <row r="2" s="1" customFormat="1" ht="10.5" customHeight="1" spans="1:9">
      <c r="A2" s="4" t="s">
        <v>0</v>
      </c>
      <c r="B2" s="4"/>
      <c r="C2" s="4"/>
      <c r="D2" s="4"/>
      <c r="E2" s="4"/>
      <c r="F2" s="4"/>
      <c r="G2" s="4"/>
      <c r="H2" s="4"/>
      <c r="I2" s="4"/>
    </row>
    <row r="3" s="1" customFormat="1" ht="15.95" customHeight="1" spans="1:9">
      <c r="A3" s="4" t="s">
        <v>1</v>
      </c>
      <c r="B3" s="4"/>
      <c r="C3" s="4"/>
      <c r="D3" s="4"/>
      <c r="E3" s="4"/>
      <c r="F3" s="4"/>
      <c r="G3" s="4"/>
      <c r="H3" s="4"/>
      <c r="I3" s="4"/>
    </row>
    <row r="4" s="1" customFormat="1" ht="15.95" customHeight="1" spans="1:9">
      <c r="A4" s="4" t="s">
        <v>2</v>
      </c>
      <c r="B4" s="4"/>
      <c r="C4" s="4"/>
      <c r="D4" s="4"/>
      <c r="E4" s="4"/>
      <c r="F4" s="4"/>
      <c r="G4" s="4"/>
      <c r="H4" s="4"/>
      <c r="I4" s="4"/>
    </row>
    <row r="5" s="1" customFormat="1" ht="15.95" customHeight="1" spans="1:9">
      <c r="A5" s="4" t="s">
        <v>3</v>
      </c>
      <c r="B5" s="4"/>
      <c r="C5" s="4"/>
      <c r="D5" s="4"/>
      <c r="E5" s="4"/>
      <c r="F5" s="4"/>
      <c r="G5" s="4"/>
      <c r="H5" s="4"/>
      <c r="I5" s="4"/>
    </row>
    <row r="6" s="1" customFormat="1" ht="8.25" customHeight="1" spans="6:6">
      <c r="F6"/>
    </row>
    <row r="7" s="1" customFormat="1" ht="8.25" customHeight="1" spans="6:6">
      <c r="F7"/>
    </row>
    <row r="8" s="1" customFormat="1" ht="12" customHeight="1" spans="1:9">
      <c r="A8" s="1" t="s">
        <v>4</v>
      </c>
      <c r="B8" s="44" t="s">
        <v>5</v>
      </c>
      <c r="C8" s="44"/>
      <c r="D8" s="44"/>
      <c r="F8"/>
      <c r="H8" s="5" t="s">
        <v>6</v>
      </c>
      <c r="I8" s="6"/>
    </row>
    <row r="9" s="1" customFormat="1" ht="12" customHeight="1" spans="2:9">
      <c r="B9" s="7"/>
      <c r="C9" s="7"/>
      <c r="F9"/>
      <c r="H9" s="7"/>
      <c r="I9" s="7"/>
    </row>
    <row r="10" s="1" customFormat="1" ht="12" customHeight="1" spans="1:9">
      <c r="A10" s="1" t="s">
        <v>7</v>
      </c>
      <c r="B10" s="44" t="s">
        <v>8</v>
      </c>
      <c r="C10" s="44"/>
      <c r="D10" s="44"/>
      <c r="F10"/>
      <c r="H10" s="5" t="s">
        <v>9</v>
      </c>
      <c r="I10" s="8"/>
    </row>
    <row r="11" ht="16.5" customHeight="1" spans="1:9">
      <c r="A11" s="9" t="s">
        <v>10</v>
      </c>
      <c r="B11" s="9"/>
      <c r="C11" s="9"/>
      <c r="D11" s="9"/>
      <c r="E11" s="9"/>
      <c r="F11" s="9"/>
      <c r="G11" s="9"/>
      <c r="H11" s="9"/>
      <c r="I11" s="9"/>
    </row>
    <row r="12" s="31" customFormat="1" ht="18.75" customHeight="1" spans="1:10">
      <c r="A12" s="45" t="s">
        <v>11</v>
      </c>
      <c r="B12" s="46" t="s">
        <v>12</v>
      </c>
      <c r="C12" s="47"/>
      <c r="D12" s="48" t="s">
        <v>13</v>
      </c>
      <c r="E12" s="49"/>
      <c r="F12" s="49"/>
      <c r="G12" s="49"/>
      <c r="H12" s="50" t="s">
        <v>14</v>
      </c>
      <c r="I12" s="61"/>
      <c r="J12" s="62" t="s">
        <v>15</v>
      </c>
    </row>
    <row r="13" s="31" customFormat="1" ht="28.5" customHeight="1" spans="1:10">
      <c r="A13" s="51"/>
      <c r="B13" s="52" t="s">
        <v>16</v>
      </c>
      <c r="C13" s="53" t="s">
        <v>17</v>
      </c>
      <c r="D13" s="52" t="s">
        <v>16</v>
      </c>
      <c r="E13" s="53" t="s">
        <v>17</v>
      </c>
      <c r="F13" s="54" t="s">
        <v>18</v>
      </c>
      <c r="G13" s="55" t="s">
        <v>19</v>
      </c>
      <c r="H13" s="52" t="s">
        <v>16</v>
      </c>
      <c r="I13" s="53" t="s">
        <v>17</v>
      </c>
      <c r="J13" s="63"/>
    </row>
    <row r="14" s="31" customFormat="1" ht="18.75" customHeight="1" spans="1:10">
      <c r="A14" s="56" t="s">
        <v>20</v>
      </c>
      <c r="B14" s="57"/>
      <c r="C14" s="57"/>
      <c r="D14" s="57"/>
      <c r="E14" s="57"/>
      <c r="F14" s="57"/>
      <c r="G14" s="57"/>
      <c r="H14" s="57"/>
      <c r="I14" s="57"/>
      <c r="J14" s="64"/>
    </row>
    <row r="15" s="31" customFormat="1" ht="15.75" customHeight="1" spans="1:10">
      <c r="A15" s="58" t="s">
        <v>21</v>
      </c>
      <c r="B15" s="59">
        <f>1.25*3</f>
        <v>3.75</v>
      </c>
      <c r="C15" s="59">
        <f>1.25*3</f>
        <v>3.75</v>
      </c>
      <c r="D15" s="59"/>
      <c r="E15" s="59"/>
      <c r="F15" s="59"/>
      <c r="G15" s="60"/>
      <c r="H15" s="59">
        <f>B15</f>
        <v>3.75</v>
      </c>
      <c r="I15" s="59">
        <f>C15</f>
        <v>3.75</v>
      </c>
      <c r="J15" s="60">
        <f t="shared" ref="J15:J16" si="0">H15+I15</f>
        <v>7.5</v>
      </c>
    </row>
    <row r="16" s="31" customFormat="1" ht="24" customHeight="1" spans="1:10">
      <c r="A16" s="58" t="s">
        <v>22</v>
      </c>
      <c r="B16" s="59">
        <v>1.25</v>
      </c>
      <c r="C16" s="59">
        <v>1.25</v>
      </c>
      <c r="D16" s="59"/>
      <c r="E16" s="59"/>
      <c r="F16" s="59"/>
      <c r="G16" s="60"/>
      <c r="H16" s="59">
        <f t="shared" ref="H16:H46" si="1">H15-F16-D16+B16</f>
        <v>5</v>
      </c>
      <c r="I16" s="59">
        <f t="shared" ref="I16:I46" si="2">I15-E16+C16</f>
        <v>5</v>
      </c>
      <c r="J16" s="60">
        <f t="shared" si="0"/>
        <v>10</v>
      </c>
    </row>
    <row r="17" s="31" customFormat="1" ht="24" customHeight="1" spans="1:10">
      <c r="A17" s="58" t="s">
        <v>23</v>
      </c>
      <c r="B17" s="59"/>
      <c r="C17" s="59"/>
      <c r="D17" s="59"/>
      <c r="E17" s="59"/>
      <c r="F17" s="59"/>
      <c r="G17" s="60">
        <v>2</v>
      </c>
      <c r="H17" s="59">
        <f t="shared" si="1"/>
        <v>5</v>
      </c>
      <c r="I17" s="59">
        <f t="shared" si="2"/>
        <v>5</v>
      </c>
      <c r="J17" s="60">
        <f t="shared" ref="J17:J39" si="3">H17+I17</f>
        <v>10</v>
      </c>
    </row>
    <row r="18" s="31" customFormat="1" ht="19.5" customHeight="1" spans="1:10">
      <c r="A18" s="58" t="s">
        <v>24</v>
      </c>
      <c r="B18" s="59"/>
      <c r="C18" s="59"/>
      <c r="D18" s="59"/>
      <c r="E18" s="59"/>
      <c r="F18" s="59">
        <v>1</v>
      </c>
      <c r="G18" s="60"/>
      <c r="H18" s="59">
        <f t="shared" si="1"/>
        <v>4</v>
      </c>
      <c r="I18" s="59">
        <f t="shared" si="2"/>
        <v>5</v>
      </c>
      <c r="J18" s="60">
        <f t="shared" si="3"/>
        <v>9</v>
      </c>
    </row>
    <row r="19" s="31" customFormat="1" ht="19.5" customHeight="1" spans="1:10">
      <c r="A19" s="58" t="s">
        <v>25</v>
      </c>
      <c r="B19" s="59">
        <v>1.25</v>
      </c>
      <c r="C19" s="59">
        <v>1.25</v>
      </c>
      <c r="D19" s="59"/>
      <c r="E19" s="59"/>
      <c r="F19" s="59"/>
      <c r="G19" s="60"/>
      <c r="H19" s="59">
        <f t="shared" si="1"/>
        <v>5.25</v>
      </c>
      <c r="I19" s="59">
        <f t="shared" si="2"/>
        <v>6.25</v>
      </c>
      <c r="J19" s="60">
        <f t="shared" si="3"/>
        <v>11.5</v>
      </c>
    </row>
    <row r="20" s="31" customFormat="1" ht="19.5" customHeight="1" spans="1:10">
      <c r="A20" s="58" t="s">
        <v>26</v>
      </c>
      <c r="B20" s="59">
        <v>1.25</v>
      </c>
      <c r="C20" s="59">
        <v>1.25</v>
      </c>
      <c r="D20" s="59"/>
      <c r="E20" s="59"/>
      <c r="F20" s="59"/>
      <c r="G20" s="60"/>
      <c r="H20" s="59">
        <f t="shared" si="1"/>
        <v>6.5</v>
      </c>
      <c r="I20" s="59">
        <f t="shared" si="2"/>
        <v>7.5</v>
      </c>
      <c r="J20" s="60">
        <f t="shared" si="3"/>
        <v>14</v>
      </c>
    </row>
    <row r="21" s="31" customFormat="1" ht="19.5" customHeight="1" spans="1:10">
      <c r="A21" s="58" t="s">
        <v>27</v>
      </c>
      <c r="B21" s="59"/>
      <c r="C21" s="59"/>
      <c r="D21" s="59"/>
      <c r="E21" s="59"/>
      <c r="F21" s="59"/>
      <c r="G21" s="60">
        <v>1</v>
      </c>
      <c r="H21" s="59">
        <f t="shared" si="1"/>
        <v>6.5</v>
      </c>
      <c r="I21" s="59">
        <f t="shared" si="2"/>
        <v>7.5</v>
      </c>
      <c r="J21" s="60">
        <f t="shared" si="3"/>
        <v>14</v>
      </c>
    </row>
    <row r="22" s="31" customFormat="1" ht="24" customHeight="1" spans="1:10">
      <c r="A22" s="58" t="s">
        <v>28</v>
      </c>
      <c r="B22" s="59"/>
      <c r="C22" s="59"/>
      <c r="D22" s="59">
        <v>2</v>
      </c>
      <c r="E22" s="59"/>
      <c r="F22" s="59"/>
      <c r="G22" s="60"/>
      <c r="H22" s="59">
        <f t="shared" si="1"/>
        <v>4.5</v>
      </c>
      <c r="I22" s="59">
        <f t="shared" si="2"/>
        <v>7.5</v>
      </c>
      <c r="J22" s="60">
        <f t="shared" si="3"/>
        <v>12</v>
      </c>
    </row>
    <row r="23" s="31" customFormat="1" ht="24" customHeight="1" spans="1:10">
      <c r="A23" s="58" t="s">
        <v>29</v>
      </c>
      <c r="B23" s="59">
        <v>1.25</v>
      </c>
      <c r="C23" s="59">
        <v>1.25</v>
      </c>
      <c r="D23" s="59"/>
      <c r="E23" s="59"/>
      <c r="F23" s="59"/>
      <c r="G23" s="60"/>
      <c r="H23" s="59">
        <f t="shared" si="1"/>
        <v>5.75</v>
      </c>
      <c r="I23" s="59">
        <f t="shared" si="2"/>
        <v>8.75</v>
      </c>
      <c r="J23" s="60">
        <f t="shared" si="3"/>
        <v>14.5</v>
      </c>
    </row>
    <row r="24" s="31" customFormat="1" ht="18.75" customHeight="1" spans="1:10">
      <c r="A24" s="58" t="s">
        <v>30</v>
      </c>
      <c r="B24" s="59"/>
      <c r="C24" s="59"/>
      <c r="D24" s="59"/>
      <c r="E24" s="59">
        <v>1</v>
      </c>
      <c r="F24" s="59"/>
      <c r="G24" s="60"/>
      <c r="H24" s="59">
        <f t="shared" si="1"/>
        <v>5.75</v>
      </c>
      <c r="I24" s="59">
        <f t="shared" si="2"/>
        <v>7.75</v>
      </c>
      <c r="J24" s="60">
        <f t="shared" si="3"/>
        <v>13.5</v>
      </c>
    </row>
    <row r="25" s="31" customFormat="1" ht="21" customHeight="1" spans="1:10">
      <c r="A25" s="58" t="s">
        <v>31</v>
      </c>
      <c r="B25" s="59">
        <v>1.25</v>
      </c>
      <c r="C25" s="59">
        <v>1.25</v>
      </c>
      <c r="D25" s="59"/>
      <c r="E25" s="59"/>
      <c r="F25" s="59"/>
      <c r="G25" s="60"/>
      <c r="H25" s="59">
        <f t="shared" si="1"/>
        <v>7</v>
      </c>
      <c r="I25" s="59">
        <f t="shared" si="2"/>
        <v>9</v>
      </c>
      <c r="J25" s="60">
        <f t="shared" si="3"/>
        <v>16</v>
      </c>
    </row>
    <row r="26" s="31" customFormat="1" ht="21" customHeight="1" spans="1:10">
      <c r="A26" s="58" t="s">
        <v>32</v>
      </c>
      <c r="B26" s="59"/>
      <c r="C26" s="59"/>
      <c r="D26" s="59">
        <v>2</v>
      </c>
      <c r="E26" s="59"/>
      <c r="F26" s="59"/>
      <c r="G26" s="60"/>
      <c r="H26" s="59">
        <f t="shared" si="1"/>
        <v>5</v>
      </c>
      <c r="I26" s="59">
        <f t="shared" si="2"/>
        <v>9</v>
      </c>
      <c r="J26" s="60">
        <f t="shared" si="3"/>
        <v>14</v>
      </c>
    </row>
    <row r="27" s="31" customFormat="1" ht="18.75" customHeight="1" spans="1:10">
      <c r="A27" s="58" t="s">
        <v>33</v>
      </c>
      <c r="B27" s="59"/>
      <c r="C27" s="59"/>
      <c r="D27" s="59"/>
      <c r="E27" s="59">
        <v>1</v>
      </c>
      <c r="F27" s="59"/>
      <c r="G27" s="59"/>
      <c r="H27" s="59">
        <f t="shared" si="1"/>
        <v>5</v>
      </c>
      <c r="I27" s="59">
        <f t="shared" si="2"/>
        <v>8</v>
      </c>
      <c r="J27" s="60">
        <f t="shared" si="3"/>
        <v>13</v>
      </c>
    </row>
    <row r="28" s="31" customFormat="1" ht="22.5" customHeight="1" spans="1:10">
      <c r="A28" s="58" t="s">
        <v>34</v>
      </c>
      <c r="B28" s="59">
        <v>1.25</v>
      </c>
      <c r="C28" s="59">
        <v>1.25</v>
      </c>
      <c r="D28" s="59"/>
      <c r="E28" s="59"/>
      <c r="F28" s="59"/>
      <c r="G28" s="59"/>
      <c r="H28" s="59">
        <f t="shared" si="1"/>
        <v>6.25</v>
      </c>
      <c r="I28" s="59">
        <f t="shared" si="2"/>
        <v>9.25</v>
      </c>
      <c r="J28" s="60">
        <f t="shared" si="3"/>
        <v>15.5</v>
      </c>
    </row>
    <row r="29" s="31" customFormat="1" ht="18.75" customHeight="1" spans="1:10">
      <c r="A29" s="58" t="s">
        <v>35</v>
      </c>
      <c r="B29" s="59"/>
      <c r="C29" s="59"/>
      <c r="D29" s="59"/>
      <c r="E29" s="59"/>
      <c r="F29" s="59"/>
      <c r="G29" s="59">
        <v>3</v>
      </c>
      <c r="H29" s="59">
        <f t="shared" si="1"/>
        <v>6.25</v>
      </c>
      <c r="I29" s="59">
        <f t="shared" si="2"/>
        <v>9.25</v>
      </c>
      <c r="J29" s="60">
        <f t="shared" si="3"/>
        <v>15.5</v>
      </c>
    </row>
    <row r="30" s="31" customFormat="1" ht="18.75" customHeight="1" spans="1:10">
      <c r="A30" s="58" t="s">
        <v>36</v>
      </c>
      <c r="B30" s="59">
        <v>1.25</v>
      </c>
      <c r="C30" s="59">
        <v>1.25</v>
      </c>
      <c r="D30" s="59"/>
      <c r="E30" s="59"/>
      <c r="F30" s="59"/>
      <c r="G30" s="59"/>
      <c r="H30" s="59">
        <f t="shared" si="1"/>
        <v>7.5</v>
      </c>
      <c r="I30" s="59">
        <f t="shared" si="2"/>
        <v>10.5</v>
      </c>
      <c r="J30" s="60">
        <f t="shared" si="3"/>
        <v>18</v>
      </c>
    </row>
    <row r="31" s="31" customFormat="1" ht="18.75" customHeight="1" spans="1:10">
      <c r="A31" s="58" t="s">
        <v>37</v>
      </c>
      <c r="B31" s="59"/>
      <c r="C31" s="59"/>
      <c r="D31" s="59"/>
      <c r="E31" s="59">
        <v>4</v>
      </c>
      <c r="F31" s="59"/>
      <c r="G31" s="59"/>
      <c r="H31" s="59">
        <f t="shared" si="1"/>
        <v>7.5</v>
      </c>
      <c r="I31" s="59">
        <f t="shared" si="2"/>
        <v>6.5</v>
      </c>
      <c r="J31" s="60">
        <f t="shared" si="3"/>
        <v>14</v>
      </c>
    </row>
    <row r="32" s="31" customFormat="1" ht="18.75" customHeight="1" spans="1:10">
      <c r="A32" s="58" t="s">
        <v>38</v>
      </c>
      <c r="B32" s="59">
        <v>1.25</v>
      </c>
      <c r="C32" s="59">
        <v>1.25</v>
      </c>
      <c r="D32" s="59"/>
      <c r="E32" s="59"/>
      <c r="F32" s="59"/>
      <c r="G32" s="59"/>
      <c r="H32" s="59">
        <f t="shared" si="1"/>
        <v>8.75</v>
      </c>
      <c r="I32" s="59">
        <f t="shared" si="2"/>
        <v>7.75</v>
      </c>
      <c r="J32" s="60">
        <f t="shared" si="3"/>
        <v>16.5</v>
      </c>
    </row>
    <row r="33" s="31" customFormat="1" ht="18.75" customHeight="1" spans="1:10">
      <c r="A33" s="58" t="s">
        <v>39</v>
      </c>
      <c r="B33" s="59"/>
      <c r="C33" s="59"/>
      <c r="D33" s="59"/>
      <c r="E33" s="59"/>
      <c r="F33" s="59">
        <v>1</v>
      </c>
      <c r="G33" s="59"/>
      <c r="H33" s="59">
        <f t="shared" si="1"/>
        <v>7.75</v>
      </c>
      <c r="I33" s="59">
        <f t="shared" si="2"/>
        <v>7.75</v>
      </c>
      <c r="J33" s="60">
        <f t="shared" si="3"/>
        <v>15.5</v>
      </c>
    </row>
    <row r="34" s="31" customFormat="1" ht="18.75" customHeight="1" spans="1:10">
      <c r="A34" s="58" t="s">
        <v>40</v>
      </c>
      <c r="B34" s="59">
        <v>1.25</v>
      </c>
      <c r="C34" s="59">
        <v>1.25</v>
      </c>
      <c r="D34" s="59"/>
      <c r="E34" s="59"/>
      <c r="F34" s="59"/>
      <c r="G34" s="59"/>
      <c r="H34" s="59">
        <f t="shared" si="1"/>
        <v>9</v>
      </c>
      <c r="I34" s="59">
        <f t="shared" si="2"/>
        <v>9</v>
      </c>
      <c r="J34" s="60">
        <f t="shared" si="3"/>
        <v>18</v>
      </c>
    </row>
    <row r="35" s="31" customFormat="1" ht="18.75" customHeight="1" spans="1:10">
      <c r="A35" s="58" t="s">
        <v>41</v>
      </c>
      <c r="B35" s="59"/>
      <c r="C35" s="59"/>
      <c r="D35" s="59"/>
      <c r="E35" s="59">
        <v>1</v>
      </c>
      <c r="F35" s="59"/>
      <c r="G35" s="59"/>
      <c r="H35" s="59">
        <f t="shared" si="1"/>
        <v>9</v>
      </c>
      <c r="I35" s="59">
        <f t="shared" si="2"/>
        <v>8</v>
      </c>
      <c r="J35" s="60">
        <f t="shared" si="3"/>
        <v>17</v>
      </c>
    </row>
    <row r="36" s="31" customFormat="1" ht="18.75" customHeight="1" spans="1:10">
      <c r="A36" s="58" t="s">
        <v>42</v>
      </c>
      <c r="B36" s="59"/>
      <c r="C36" s="59"/>
      <c r="D36" s="59"/>
      <c r="E36" s="59"/>
      <c r="F36" s="59">
        <v>2</v>
      </c>
      <c r="G36" s="59"/>
      <c r="H36" s="59">
        <f t="shared" si="1"/>
        <v>7</v>
      </c>
      <c r="I36" s="59">
        <f t="shared" si="2"/>
        <v>8</v>
      </c>
      <c r="J36" s="60">
        <f t="shared" si="3"/>
        <v>15</v>
      </c>
    </row>
    <row r="37" s="31" customFormat="1" ht="18.75" customHeight="1" spans="1:10">
      <c r="A37" s="58" t="s">
        <v>43</v>
      </c>
      <c r="B37" s="59">
        <v>2.5</v>
      </c>
      <c r="C37" s="59">
        <v>2.5</v>
      </c>
      <c r="D37" s="59"/>
      <c r="E37" s="59"/>
      <c r="F37" s="59"/>
      <c r="G37" s="59"/>
      <c r="H37" s="59">
        <f t="shared" si="1"/>
        <v>9.5</v>
      </c>
      <c r="I37" s="59">
        <f t="shared" si="2"/>
        <v>10.5</v>
      </c>
      <c r="J37" s="60">
        <f t="shared" si="3"/>
        <v>20</v>
      </c>
    </row>
    <row r="38" s="31" customFormat="1" ht="18.75" customHeight="1" spans="1:10">
      <c r="A38" s="58" t="s">
        <v>44</v>
      </c>
      <c r="B38" s="59">
        <v>6.25</v>
      </c>
      <c r="C38" s="59">
        <v>6.25</v>
      </c>
      <c r="D38" s="59"/>
      <c r="E38" s="59"/>
      <c r="F38" s="59"/>
      <c r="G38" s="59"/>
      <c r="H38" s="59">
        <f t="shared" si="1"/>
        <v>15.75</v>
      </c>
      <c r="I38" s="59">
        <f t="shared" si="2"/>
        <v>16.75</v>
      </c>
      <c r="J38" s="60">
        <f t="shared" si="3"/>
        <v>32.5</v>
      </c>
    </row>
    <row r="39" s="31" customFormat="1" ht="18.75" customHeight="1" spans="1:10">
      <c r="A39" s="58" t="s">
        <v>45</v>
      </c>
      <c r="B39" s="59"/>
      <c r="C39" s="59"/>
      <c r="D39" s="59"/>
      <c r="E39" s="59"/>
      <c r="F39" s="59">
        <v>2</v>
      </c>
      <c r="G39" s="59"/>
      <c r="H39" s="59">
        <f t="shared" si="1"/>
        <v>13.75</v>
      </c>
      <c r="I39" s="59">
        <f t="shared" si="2"/>
        <v>16.75</v>
      </c>
      <c r="J39" s="60">
        <f t="shared" si="3"/>
        <v>30.5</v>
      </c>
    </row>
    <row r="40" s="31" customFormat="1" ht="18.75" customHeight="1" spans="1:10">
      <c r="A40" s="58" t="s">
        <v>46</v>
      </c>
      <c r="B40" s="59">
        <v>2.5</v>
      </c>
      <c r="C40" s="59">
        <v>2.5</v>
      </c>
      <c r="D40" s="59"/>
      <c r="E40" s="59"/>
      <c r="F40" s="59"/>
      <c r="G40" s="59"/>
      <c r="H40" s="59">
        <f t="shared" si="1"/>
        <v>16.25</v>
      </c>
      <c r="I40" s="59">
        <f t="shared" si="2"/>
        <v>19.25</v>
      </c>
      <c r="J40" s="60">
        <f t="shared" ref="J40:J46" si="4">H40+I40</f>
        <v>35.5</v>
      </c>
    </row>
    <row r="41" s="31" customFormat="1" ht="18.75" customHeight="1" spans="1:10">
      <c r="A41" s="58" t="s">
        <v>47</v>
      </c>
      <c r="B41" s="59"/>
      <c r="C41" s="59"/>
      <c r="D41" s="59">
        <v>0.5</v>
      </c>
      <c r="E41" s="59"/>
      <c r="F41" s="59"/>
      <c r="G41" s="59"/>
      <c r="H41" s="59">
        <f t="shared" si="1"/>
        <v>15.75</v>
      </c>
      <c r="I41" s="59">
        <f t="shared" si="2"/>
        <v>19.25</v>
      </c>
      <c r="J41" s="60">
        <f t="shared" si="4"/>
        <v>35</v>
      </c>
    </row>
    <row r="42" s="31" customFormat="1" ht="18.75" customHeight="1" spans="1:10">
      <c r="A42" s="58" t="s">
        <v>48</v>
      </c>
      <c r="B42" s="59">
        <v>3.75</v>
      </c>
      <c r="C42" s="59">
        <v>3.75</v>
      </c>
      <c r="D42" s="59"/>
      <c r="E42" s="59"/>
      <c r="F42" s="59"/>
      <c r="G42" s="59"/>
      <c r="H42" s="59">
        <f t="shared" si="1"/>
        <v>19.5</v>
      </c>
      <c r="I42" s="59">
        <f t="shared" si="2"/>
        <v>23</v>
      </c>
      <c r="J42" s="60">
        <f t="shared" si="4"/>
        <v>42.5</v>
      </c>
    </row>
    <row r="43" s="31" customFormat="1" ht="18.75" customHeight="1" spans="1:10">
      <c r="A43" s="58" t="s">
        <v>49</v>
      </c>
      <c r="B43" s="59"/>
      <c r="C43" s="59"/>
      <c r="D43" s="59"/>
      <c r="E43" s="59"/>
      <c r="F43" s="59">
        <v>2</v>
      </c>
      <c r="G43" s="59"/>
      <c r="H43" s="59">
        <f t="shared" si="1"/>
        <v>17.5</v>
      </c>
      <c r="I43" s="59">
        <f t="shared" si="2"/>
        <v>23</v>
      </c>
      <c r="J43" s="60">
        <f t="shared" si="4"/>
        <v>40.5</v>
      </c>
    </row>
    <row r="44" s="31" customFormat="1" ht="18.75" customHeight="1" spans="1:10">
      <c r="A44" s="58" t="s">
        <v>50</v>
      </c>
      <c r="B44" s="59"/>
      <c r="C44" s="59"/>
      <c r="D44" s="59"/>
      <c r="E44" s="59"/>
      <c r="F44" s="59"/>
      <c r="G44" s="59">
        <v>2</v>
      </c>
      <c r="H44" s="59">
        <f t="shared" si="1"/>
        <v>17.5</v>
      </c>
      <c r="I44" s="59">
        <f t="shared" si="2"/>
        <v>23</v>
      </c>
      <c r="J44" s="65">
        <f t="shared" si="4"/>
        <v>40.5</v>
      </c>
    </row>
    <row r="45" s="31" customFormat="1" ht="18.75" customHeight="1" spans="1:10">
      <c r="A45" s="58" t="s">
        <v>51</v>
      </c>
      <c r="B45" s="59">
        <v>3.75</v>
      </c>
      <c r="C45" s="59">
        <v>3.75</v>
      </c>
      <c r="D45" s="59"/>
      <c r="E45" s="59"/>
      <c r="F45" s="59"/>
      <c r="G45" s="59"/>
      <c r="H45" s="59">
        <f t="shared" si="1"/>
        <v>21.25</v>
      </c>
      <c r="I45" s="59">
        <f t="shared" si="2"/>
        <v>26.75</v>
      </c>
      <c r="J45" s="65">
        <f t="shared" si="4"/>
        <v>48</v>
      </c>
    </row>
    <row r="46" s="31" customFormat="1" ht="18.75" customHeight="1" spans="1:10">
      <c r="A46" s="58" t="s">
        <v>52</v>
      </c>
      <c r="B46" s="59"/>
      <c r="C46" s="59"/>
      <c r="D46" s="59"/>
      <c r="E46" s="59">
        <v>1</v>
      </c>
      <c r="F46" s="59"/>
      <c r="G46" s="59"/>
      <c r="H46" s="59">
        <f t="shared" si="1"/>
        <v>21.25</v>
      </c>
      <c r="I46" s="59">
        <f t="shared" si="2"/>
        <v>25.75</v>
      </c>
      <c r="J46" s="65">
        <f t="shared" si="4"/>
        <v>47</v>
      </c>
    </row>
    <row r="47" s="31" customFormat="1" ht="18.75" customHeight="1" spans="1:10">
      <c r="A47" s="58" t="s">
        <v>53</v>
      </c>
      <c r="B47" s="59">
        <v>2.5</v>
      </c>
      <c r="C47" s="59">
        <v>2.5</v>
      </c>
      <c r="D47" s="59"/>
      <c r="E47" s="59"/>
      <c r="F47" s="59"/>
      <c r="G47" s="59"/>
      <c r="H47" s="59">
        <f t="shared" ref="H47:H48" si="5">H46-F47-D47+B47</f>
        <v>23.75</v>
      </c>
      <c r="I47" s="59">
        <f t="shared" ref="I47:I48" si="6">I46-E47+C47</f>
        <v>28.25</v>
      </c>
      <c r="J47" s="65">
        <f t="shared" ref="J47:J48" si="7">H47+I47</f>
        <v>52</v>
      </c>
    </row>
    <row r="48" s="31" customFormat="1" ht="18.75" customHeight="1" spans="1:10">
      <c r="A48" s="58" t="s">
        <v>54</v>
      </c>
      <c r="B48" s="59"/>
      <c r="C48" s="59"/>
      <c r="D48" s="59"/>
      <c r="E48" s="59">
        <v>1</v>
      </c>
      <c r="F48" s="59"/>
      <c r="G48" s="59"/>
      <c r="H48" s="59">
        <f t="shared" si="5"/>
        <v>23.75</v>
      </c>
      <c r="I48" s="59">
        <f t="shared" si="6"/>
        <v>27.25</v>
      </c>
      <c r="J48" s="65">
        <f t="shared" si="7"/>
        <v>51</v>
      </c>
    </row>
    <row r="49" s="31" customFormat="1" ht="18.75" customHeight="1" spans="1:10">
      <c r="A49" s="58" t="s">
        <v>55</v>
      </c>
      <c r="B49" s="59"/>
      <c r="C49" s="59"/>
      <c r="D49" s="59"/>
      <c r="E49" s="59">
        <v>2</v>
      </c>
      <c r="F49" s="59"/>
      <c r="G49" s="59"/>
      <c r="H49" s="59">
        <f t="shared" ref="H49" si="8">H48-F49-D49+B49</f>
        <v>23.75</v>
      </c>
      <c r="I49" s="59">
        <f t="shared" ref="I49" si="9">I48-E49+C49</f>
        <v>25.25</v>
      </c>
      <c r="J49" s="65">
        <f t="shared" ref="J49" si="10">H49+I49</f>
        <v>49</v>
      </c>
    </row>
    <row r="50" s="31" customFormat="1" ht="18.75" customHeight="1" spans="1:10">
      <c r="A50" s="58" t="s">
        <v>56</v>
      </c>
      <c r="B50" s="59">
        <v>1.25</v>
      </c>
      <c r="C50" s="59">
        <v>1.25</v>
      </c>
      <c r="D50" s="59"/>
      <c r="E50" s="59"/>
      <c r="F50" s="59"/>
      <c r="G50" s="59"/>
      <c r="H50" s="59">
        <f t="shared" ref="H50:H51" si="11">H49-F50-D50+B50</f>
        <v>25</v>
      </c>
      <c r="I50" s="59">
        <f t="shared" ref="I50:I51" si="12">I49-E50+C50</f>
        <v>26.5</v>
      </c>
      <c r="J50" s="65">
        <f t="shared" ref="J50:J51" si="13">H50+I50</f>
        <v>51.5</v>
      </c>
    </row>
    <row r="51" s="31" customFormat="1" ht="18.75" customHeight="1" spans="1:10">
      <c r="A51" s="58" t="s">
        <v>57</v>
      </c>
      <c r="B51" s="59"/>
      <c r="C51" s="59"/>
      <c r="D51" s="59"/>
      <c r="E51" s="59"/>
      <c r="F51" s="59">
        <v>2</v>
      </c>
      <c r="G51" s="59"/>
      <c r="H51" s="59">
        <f t="shared" si="11"/>
        <v>23</v>
      </c>
      <c r="I51" s="59">
        <f t="shared" si="12"/>
        <v>26.5</v>
      </c>
      <c r="J51" s="65">
        <f t="shared" si="13"/>
        <v>49.5</v>
      </c>
    </row>
    <row r="52" s="31" customFormat="1" ht="18.75" customHeight="1" spans="1:10">
      <c r="A52" s="58" t="s">
        <v>58</v>
      </c>
      <c r="B52" s="59">
        <v>1.25</v>
      </c>
      <c r="C52" s="59">
        <v>1.25</v>
      </c>
      <c r="D52" s="59"/>
      <c r="E52" s="59"/>
      <c r="F52" s="59"/>
      <c r="G52" s="59"/>
      <c r="H52" s="59">
        <f t="shared" ref="H52:H53" si="14">H51-F52-D52+B52</f>
        <v>24.25</v>
      </c>
      <c r="I52" s="59">
        <f t="shared" ref="I52:I53" si="15">I51-E52+C52</f>
        <v>27.75</v>
      </c>
      <c r="J52" s="65">
        <f t="shared" ref="J52:J53" si="16">H52+I52</f>
        <v>52</v>
      </c>
    </row>
    <row r="53" s="31" customFormat="1" ht="18.75" customHeight="1" spans="1:10">
      <c r="A53" s="58" t="s">
        <v>59</v>
      </c>
      <c r="B53" s="59"/>
      <c r="C53" s="59"/>
      <c r="D53" s="59"/>
      <c r="E53" s="59"/>
      <c r="F53" s="59">
        <v>1</v>
      </c>
      <c r="G53" s="59"/>
      <c r="H53" s="59">
        <f t="shared" si="14"/>
        <v>23.25</v>
      </c>
      <c r="I53" s="59">
        <f t="shared" si="15"/>
        <v>27.75</v>
      </c>
      <c r="J53" s="65">
        <f t="shared" si="16"/>
        <v>51</v>
      </c>
    </row>
    <row r="54" s="31" customFormat="1" ht="18.75" customHeight="1" spans="1:10">
      <c r="A54" s="58" t="s">
        <v>60</v>
      </c>
      <c r="B54" s="59">
        <v>3.75</v>
      </c>
      <c r="C54" s="59">
        <v>3.75</v>
      </c>
      <c r="D54" s="59"/>
      <c r="E54" s="59"/>
      <c r="F54" s="59"/>
      <c r="G54" s="59"/>
      <c r="H54" s="59">
        <f t="shared" ref="H54" si="17">H53-F54-D54+B54</f>
        <v>27</v>
      </c>
      <c r="I54" s="59">
        <f t="shared" ref="I54" si="18">I53-E54+C54</f>
        <v>31.5</v>
      </c>
      <c r="J54" s="65">
        <f t="shared" ref="J54" si="19">H54+I54</f>
        <v>58.5</v>
      </c>
    </row>
    <row r="55" s="31" customFormat="1" ht="18.75" customHeight="1" spans="1:10">
      <c r="A55" s="58" t="s">
        <v>61</v>
      </c>
      <c r="B55" s="59"/>
      <c r="C55" s="59"/>
      <c r="D55" s="59"/>
      <c r="E55" s="59">
        <v>1</v>
      </c>
      <c r="F55" s="59"/>
      <c r="G55" s="59"/>
      <c r="H55" s="59">
        <f t="shared" ref="H55" si="20">H54-F55-D55+B55</f>
        <v>27</v>
      </c>
      <c r="I55" s="59">
        <f t="shared" ref="I55" si="21">I54-E55+C55</f>
        <v>30.5</v>
      </c>
      <c r="J55" s="65">
        <f t="shared" ref="J55" si="22">H55+I55</f>
        <v>57.5</v>
      </c>
    </row>
    <row r="56" s="31" customFormat="1" ht="18.75" customHeight="1" spans="1:10">
      <c r="A56" s="58" t="s">
        <v>62</v>
      </c>
      <c r="B56" s="59">
        <v>1.25</v>
      </c>
      <c r="C56" s="59">
        <v>1.25</v>
      </c>
      <c r="D56" s="59"/>
      <c r="E56" s="59"/>
      <c r="F56" s="59"/>
      <c r="G56" s="59"/>
      <c r="H56" s="59">
        <f t="shared" ref="H56:H57" si="23">H55-F56-D56+B56</f>
        <v>28.25</v>
      </c>
      <c r="I56" s="59">
        <f t="shared" ref="I56:I57" si="24">I55-E56+C56</f>
        <v>31.75</v>
      </c>
      <c r="J56" s="65">
        <f t="shared" ref="J56:J57" si="25">H56+I56</f>
        <v>60</v>
      </c>
    </row>
    <row r="57" s="31" customFormat="1" ht="18.75" customHeight="1" spans="1:10">
      <c r="A57" s="58" t="s">
        <v>63</v>
      </c>
      <c r="B57" s="59"/>
      <c r="C57" s="59"/>
      <c r="D57" s="59"/>
      <c r="E57" s="59">
        <v>2</v>
      </c>
      <c r="F57" s="59"/>
      <c r="G57" s="59"/>
      <c r="H57" s="59">
        <f t="shared" si="23"/>
        <v>28.25</v>
      </c>
      <c r="I57" s="59">
        <f t="shared" si="24"/>
        <v>29.75</v>
      </c>
      <c r="J57" s="65">
        <f t="shared" si="25"/>
        <v>58</v>
      </c>
    </row>
    <row r="58" s="31" customFormat="1" ht="18.75" customHeight="1" spans="1:10">
      <c r="A58" s="58" t="s">
        <v>64</v>
      </c>
      <c r="B58" s="59"/>
      <c r="C58" s="59"/>
      <c r="D58" s="59"/>
      <c r="E58" s="59">
        <v>1</v>
      </c>
      <c r="F58" s="59"/>
      <c r="G58" s="59"/>
      <c r="H58" s="59">
        <f t="shared" ref="H58" si="26">H57-F58-D58+B58</f>
        <v>28.25</v>
      </c>
      <c r="I58" s="59">
        <f t="shared" ref="I58" si="27">I57-E58+C58</f>
        <v>28.75</v>
      </c>
      <c r="J58" s="65">
        <f t="shared" ref="J58" si="28">H58+I58</f>
        <v>57</v>
      </c>
    </row>
    <row r="59" s="31" customFormat="1" ht="18.75" customHeight="1" spans="1:10">
      <c r="A59" s="58" t="s">
        <v>65</v>
      </c>
      <c r="B59" s="59">
        <v>1.25</v>
      </c>
      <c r="C59" s="59">
        <v>1.25</v>
      </c>
      <c r="D59" s="59"/>
      <c r="E59" s="59"/>
      <c r="F59" s="59"/>
      <c r="G59" s="59"/>
      <c r="H59" s="59">
        <f t="shared" ref="H59:H60" si="29">H58-F59-D59+B59</f>
        <v>29.5</v>
      </c>
      <c r="I59" s="59">
        <f t="shared" ref="I59:I60" si="30">I58-E59+C59</f>
        <v>30</v>
      </c>
      <c r="J59" s="65">
        <f t="shared" ref="J59:J60" si="31">H59+I59</f>
        <v>59.5</v>
      </c>
    </row>
    <row r="60" s="31" customFormat="1" ht="18.75" customHeight="1" spans="1:10">
      <c r="A60" s="58" t="s">
        <v>66</v>
      </c>
      <c r="B60" s="59"/>
      <c r="C60" s="59"/>
      <c r="D60" s="59"/>
      <c r="E60" s="59">
        <v>2</v>
      </c>
      <c r="F60" s="59"/>
      <c r="G60" s="59"/>
      <c r="H60" s="59">
        <f t="shared" si="29"/>
        <v>29.5</v>
      </c>
      <c r="I60" s="59">
        <f t="shared" si="30"/>
        <v>28</v>
      </c>
      <c r="J60" s="65">
        <f t="shared" si="31"/>
        <v>57.5</v>
      </c>
    </row>
    <row r="61" s="31" customFormat="1" ht="18.75" customHeight="1" spans="1:10">
      <c r="A61" s="58" t="s">
        <v>67</v>
      </c>
      <c r="B61" s="59">
        <v>1.25</v>
      </c>
      <c r="C61" s="59">
        <v>1.25</v>
      </c>
      <c r="D61" s="59"/>
      <c r="E61" s="59"/>
      <c r="F61" s="59"/>
      <c r="G61" s="59"/>
      <c r="H61" s="59">
        <f t="shared" ref="H61:H62" si="32">H60-F61-D61+B61</f>
        <v>30.75</v>
      </c>
      <c r="I61" s="59">
        <f t="shared" ref="I61:I62" si="33">I60-E61+C61</f>
        <v>29.25</v>
      </c>
      <c r="J61" s="65">
        <f t="shared" ref="J61:J62" si="34">H61+I61</f>
        <v>60</v>
      </c>
    </row>
    <row r="62" s="31" customFormat="1" ht="18.75" customHeight="1" spans="1:10">
      <c r="A62" s="58" t="s">
        <v>68</v>
      </c>
      <c r="B62" s="59"/>
      <c r="C62" s="59"/>
      <c r="D62" s="59"/>
      <c r="E62" s="59">
        <v>2</v>
      </c>
      <c r="F62" s="59"/>
      <c r="G62" s="59"/>
      <c r="H62" s="59">
        <f t="shared" si="32"/>
        <v>30.75</v>
      </c>
      <c r="I62" s="59">
        <f t="shared" si="33"/>
        <v>27.25</v>
      </c>
      <c r="J62" s="65">
        <f t="shared" si="34"/>
        <v>58</v>
      </c>
    </row>
    <row r="63" s="31" customFormat="1" ht="18.75" customHeight="1" spans="1:10">
      <c r="A63" s="58" t="s">
        <v>69</v>
      </c>
      <c r="B63" s="59">
        <v>2.5</v>
      </c>
      <c r="C63" s="59">
        <v>2.5</v>
      </c>
      <c r="D63" s="59"/>
      <c r="E63" s="59"/>
      <c r="F63" s="59"/>
      <c r="G63" s="59"/>
      <c r="H63" s="59">
        <f t="shared" ref="H63:H64" si="35">H62-F63-D63+B63</f>
        <v>33.25</v>
      </c>
      <c r="I63" s="59">
        <f t="shared" ref="I63:I64" si="36">I62-E63+C63</f>
        <v>29.75</v>
      </c>
      <c r="J63" s="65">
        <f t="shared" ref="J63:J64" si="37">H63+I63</f>
        <v>63</v>
      </c>
    </row>
    <row r="64" s="31" customFormat="1" ht="18.75" customHeight="1" spans="1:10">
      <c r="A64" s="58" t="s">
        <v>70</v>
      </c>
      <c r="B64" s="59"/>
      <c r="C64" s="59"/>
      <c r="D64" s="59">
        <v>10</v>
      </c>
      <c r="E64" s="59"/>
      <c r="F64" s="59"/>
      <c r="G64" s="59"/>
      <c r="H64" s="59">
        <f t="shared" si="35"/>
        <v>23.25</v>
      </c>
      <c r="I64" s="59">
        <f t="shared" si="36"/>
        <v>29.75</v>
      </c>
      <c r="J64" s="65">
        <f t="shared" si="37"/>
        <v>53</v>
      </c>
    </row>
    <row r="65" s="31" customFormat="1" ht="18.75" customHeight="1" spans="1:10">
      <c r="A65" s="66" t="s">
        <v>71</v>
      </c>
      <c r="B65" s="67"/>
      <c r="C65" s="67"/>
      <c r="D65" s="67"/>
      <c r="E65" s="67">
        <v>4</v>
      </c>
      <c r="F65" s="67"/>
      <c r="G65" s="67"/>
      <c r="H65" s="59">
        <f t="shared" ref="H65" si="38">H64-F65-D65+B65</f>
        <v>23.25</v>
      </c>
      <c r="I65" s="59">
        <f t="shared" ref="I65" si="39">I64-E65+C65</f>
        <v>25.75</v>
      </c>
      <c r="J65" s="65">
        <f t="shared" ref="J65" si="40">H65+I65</f>
        <v>49</v>
      </c>
    </row>
    <row r="66" s="31" customFormat="1" ht="18.75" customHeight="1" spans="1:10">
      <c r="A66" s="66" t="s">
        <v>72</v>
      </c>
      <c r="B66" s="67">
        <v>1.25</v>
      </c>
      <c r="C66" s="67">
        <v>1.25</v>
      </c>
      <c r="D66" s="67"/>
      <c r="E66" s="67"/>
      <c r="F66" s="67"/>
      <c r="G66" s="67"/>
      <c r="H66" s="59">
        <f t="shared" ref="H66:H67" si="41">H65-F66-D66+B66</f>
        <v>24.5</v>
      </c>
      <c r="I66" s="59">
        <f t="shared" ref="I66:I67" si="42">I65-E66+C66</f>
        <v>27</v>
      </c>
      <c r="J66" s="65">
        <f t="shared" ref="J66:J67" si="43">H66+I66</f>
        <v>51.5</v>
      </c>
    </row>
    <row r="67" s="31" customFormat="1" ht="18.75" customHeight="1" spans="1:10">
      <c r="A67" s="66" t="s">
        <v>73</v>
      </c>
      <c r="B67" s="67"/>
      <c r="C67" s="67"/>
      <c r="D67" s="67"/>
      <c r="E67" s="67"/>
      <c r="F67" s="68">
        <v>3</v>
      </c>
      <c r="G67" s="67"/>
      <c r="H67" s="59">
        <f t="shared" si="41"/>
        <v>21.5</v>
      </c>
      <c r="I67" s="59">
        <f t="shared" si="42"/>
        <v>27</v>
      </c>
      <c r="J67" s="65">
        <f t="shared" si="43"/>
        <v>48.5</v>
      </c>
    </row>
    <row r="68" s="31" customFormat="1" ht="18.75" customHeight="1" spans="1:10">
      <c r="A68" s="66" t="s">
        <v>74</v>
      </c>
      <c r="B68" s="67">
        <v>1.25</v>
      </c>
      <c r="C68" s="67">
        <v>1.25</v>
      </c>
      <c r="D68" s="67"/>
      <c r="E68" s="67"/>
      <c r="F68" s="69"/>
      <c r="G68" s="67"/>
      <c r="H68" s="59">
        <f t="shared" ref="H68:H69" si="44">H67-F68-D68+B68</f>
        <v>22.75</v>
      </c>
      <c r="I68" s="59">
        <f t="shared" ref="I68:I69" si="45">I67-E68+C68</f>
        <v>28.25</v>
      </c>
      <c r="J68" s="65">
        <f t="shared" ref="J68:J69" si="46">H68+I68</f>
        <v>51</v>
      </c>
    </row>
    <row r="69" s="31" customFormat="1" ht="18.75" customHeight="1" spans="1:10">
      <c r="A69" s="66" t="s">
        <v>75</v>
      </c>
      <c r="B69" s="67"/>
      <c r="C69" s="67"/>
      <c r="D69" s="67"/>
      <c r="E69" s="67">
        <v>2</v>
      </c>
      <c r="F69" s="69"/>
      <c r="G69" s="67"/>
      <c r="H69" s="59">
        <f t="shared" si="44"/>
        <v>22.75</v>
      </c>
      <c r="I69" s="59">
        <f t="shared" si="45"/>
        <v>26.25</v>
      </c>
      <c r="J69" s="65">
        <f t="shared" si="46"/>
        <v>49</v>
      </c>
    </row>
    <row r="70" s="31" customFormat="1" ht="18.75" customHeight="1" spans="1:10">
      <c r="A70" s="66" t="s">
        <v>76</v>
      </c>
      <c r="B70" s="67"/>
      <c r="C70" s="67"/>
      <c r="D70" s="67"/>
      <c r="E70" s="67">
        <v>1</v>
      </c>
      <c r="F70" s="69"/>
      <c r="G70" s="67"/>
      <c r="H70" s="59">
        <f t="shared" ref="H70" si="47">H69-F70-D70+B70</f>
        <v>22.75</v>
      </c>
      <c r="I70" s="59">
        <f t="shared" ref="I70" si="48">I69-E70+C70</f>
        <v>25.25</v>
      </c>
      <c r="J70" s="65">
        <f t="shared" ref="J70" si="49">H70+I70</f>
        <v>48</v>
      </c>
    </row>
    <row r="71" s="31" customFormat="1" ht="18.75" customHeight="1" spans="1:10">
      <c r="A71" s="66" t="s">
        <v>77</v>
      </c>
      <c r="B71" s="67"/>
      <c r="C71" s="67"/>
      <c r="D71" s="67"/>
      <c r="E71" s="67"/>
      <c r="F71" s="68">
        <v>1</v>
      </c>
      <c r="G71" s="67"/>
      <c r="H71" s="59">
        <f t="shared" ref="H71" si="50">H70-F71-D71+B71</f>
        <v>21.75</v>
      </c>
      <c r="I71" s="59">
        <f t="shared" ref="I71" si="51">I70-E71+C71</f>
        <v>25.25</v>
      </c>
      <c r="J71" s="65">
        <f t="shared" ref="J71" si="52">H71+I71</f>
        <v>47</v>
      </c>
    </row>
    <row r="72" s="41" customFormat="1" ht="18.75" customHeight="1" spans="1:10">
      <c r="A72" s="70" t="s">
        <v>78</v>
      </c>
      <c r="B72" s="71">
        <v>1.25</v>
      </c>
      <c r="C72" s="71">
        <v>1.25</v>
      </c>
      <c r="D72" s="71"/>
      <c r="E72" s="71"/>
      <c r="F72" s="72"/>
      <c r="G72" s="71"/>
      <c r="H72" s="59">
        <f>H71-F72-D72+B72</f>
        <v>23</v>
      </c>
      <c r="I72" s="59">
        <f>I71-E72+C72</f>
        <v>26.5</v>
      </c>
      <c r="J72" s="65">
        <f>H72+I72</f>
        <v>49.5</v>
      </c>
    </row>
    <row r="73" s="41" customFormat="1" ht="18.75" customHeight="1" spans="1:10">
      <c r="A73" s="70" t="s">
        <v>79</v>
      </c>
      <c r="B73" s="71"/>
      <c r="C73" s="71"/>
      <c r="D73" s="71"/>
      <c r="E73" s="71"/>
      <c r="F73" s="72"/>
      <c r="G73" s="73">
        <v>2</v>
      </c>
      <c r="H73" s="59">
        <f>H72-F73-D73+B73</f>
        <v>23</v>
      </c>
      <c r="I73" s="59">
        <f>I72-E73+C73</f>
        <v>26.5</v>
      </c>
      <c r="J73" s="65">
        <f>H73+I73</f>
        <v>49.5</v>
      </c>
    </row>
    <row r="74" s="31" customFormat="1" ht="18.75" customHeight="1" spans="1:10">
      <c r="A74" s="66" t="s">
        <v>80</v>
      </c>
      <c r="B74" s="67"/>
      <c r="C74" s="67"/>
      <c r="D74" s="67"/>
      <c r="E74" s="67"/>
      <c r="F74" s="68">
        <v>1</v>
      </c>
      <c r="G74" s="67"/>
      <c r="H74" s="59">
        <f>H73-F74-D74+B74</f>
        <v>22</v>
      </c>
      <c r="I74" s="59">
        <f>I73-E74+C74</f>
        <v>26.5</v>
      </c>
      <c r="J74" s="65">
        <f>H74+I74</f>
        <v>48.5</v>
      </c>
    </row>
    <row r="75" s="31" customFormat="1" ht="75.75" customHeight="1" spans="1:10">
      <c r="A75" s="74"/>
      <c r="B75" s="74"/>
      <c r="C75" s="74"/>
      <c r="D75" s="74"/>
      <c r="E75" s="74"/>
      <c r="F75" s="74"/>
      <c r="G75" s="74"/>
      <c r="H75" s="74"/>
      <c r="I75" s="74"/>
      <c r="J75" s="74"/>
    </row>
    <row r="76" s="4" customFormat="1" spans="6:6">
      <c r="F76" s="31"/>
    </row>
    <row r="77" s="4" customFormat="1" spans="6:6">
      <c r="F77" s="31"/>
    </row>
    <row r="78" s="31" customFormat="1" spans="2:9">
      <c r="B78" s="75"/>
      <c r="C78" s="76"/>
      <c r="D78" s="75"/>
      <c r="E78" s="76"/>
      <c r="H78" s="75"/>
      <c r="I78" s="76"/>
    </row>
    <row r="79" s="31" customFormat="1" spans="2:9">
      <c r="B79" s="75"/>
      <c r="C79" s="76"/>
      <c r="D79" s="75"/>
      <c r="E79" s="76"/>
      <c r="H79" s="75"/>
      <c r="I79" s="76"/>
    </row>
    <row r="80" s="31" customFormat="1" spans="2:9">
      <c r="B80" s="75"/>
      <c r="C80" s="76"/>
      <c r="D80" s="75"/>
      <c r="E80" s="76"/>
      <c r="H80" s="75"/>
      <c r="I80" s="76"/>
    </row>
    <row r="81" s="31" customFormat="1" spans="2:9">
      <c r="B81" s="75"/>
      <c r="C81" s="76"/>
      <c r="D81" s="75"/>
      <c r="E81" s="76"/>
      <c r="H81" s="75"/>
      <c r="I81" s="76"/>
    </row>
    <row r="82" s="31" customFormat="1" spans="2:9">
      <c r="B82" s="75"/>
      <c r="C82" s="76"/>
      <c r="D82" s="75"/>
      <c r="E82" s="76"/>
      <c r="H82" s="75"/>
      <c r="I82" s="76"/>
    </row>
    <row r="83" s="31" customFormat="1" spans="2:9">
      <c r="B83" s="75"/>
      <c r="C83" s="76"/>
      <c r="D83" s="75"/>
      <c r="E83" s="76"/>
      <c r="H83" s="75"/>
      <c r="I83" s="76"/>
    </row>
    <row r="84" s="31" customFormat="1" spans="2:9">
      <c r="B84" s="75"/>
      <c r="C84" s="76"/>
      <c r="D84" s="75"/>
      <c r="E84" s="76"/>
      <c r="H84" s="75"/>
      <c r="I84" s="76"/>
    </row>
    <row r="85" s="31" customFormat="1" spans="2:9">
      <c r="B85" s="75"/>
      <c r="C85" s="76"/>
      <c r="D85" s="75"/>
      <c r="E85" s="76"/>
      <c r="H85" s="75"/>
      <c r="I85" s="76"/>
    </row>
    <row r="86" s="31" customFormat="1" spans="2:9">
      <c r="B86" s="75"/>
      <c r="C86" s="76"/>
      <c r="D86" s="75"/>
      <c r="E86" s="76"/>
      <c r="H86" s="75"/>
      <c r="I86" s="76"/>
    </row>
    <row r="87" s="31" customFormat="1" spans="2:9">
      <c r="B87" s="75"/>
      <c r="C87" s="76"/>
      <c r="D87" s="75"/>
      <c r="E87" s="76"/>
      <c r="H87" s="75"/>
      <c r="I87" s="76"/>
    </row>
    <row r="88" s="31" customFormat="1" spans="2:9">
      <c r="B88" s="75"/>
      <c r="C88" s="76"/>
      <c r="D88" s="75"/>
      <c r="E88" s="76"/>
      <c r="H88" s="75"/>
      <c r="I88" s="76"/>
    </row>
    <row r="89" s="31" customFormat="1" spans="2:9">
      <c r="B89" s="75"/>
      <c r="C89" s="76"/>
      <c r="D89" s="75"/>
      <c r="E89" s="76"/>
      <c r="H89" s="75"/>
      <c r="I89" s="76"/>
    </row>
    <row r="90" s="31" customFormat="1" spans="2:9">
      <c r="B90" s="75"/>
      <c r="C90" s="76"/>
      <c r="D90" s="75"/>
      <c r="E90" s="76"/>
      <c r="H90" s="75"/>
      <c r="I90" s="76"/>
    </row>
    <row r="91" s="31" customFormat="1" spans="2:9">
      <c r="B91" s="75"/>
      <c r="C91" s="76"/>
      <c r="D91" s="75"/>
      <c r="E91" s="76"/>
      <c r="H91" s="75"/>
      <c r="I91" s="76"/>
    </row>
    <row r="92" s="31" customFormat="1" spans="2:9">
      <c r="B92" s="75"/>
      <c r="C92" s="76"/>
      <c r="D92" s="75"/>
      <c r="E92" s="76"/>
      <c r="H92" s="75"/>
      <c r="I92" s="76"/>
    </row>
    <row r="93" s="31" customFormat="1" spans="2:9">
      <c r="B93" s="75"/>
      <c r="C93" s="76"/>
      <c r="D93" s="75"/>
      <c r="E93" s="76"/>
      <c r="H93" s="75"/>
      <c r="I93" s="76"/>
    </row>
    <row r="94" s="31" customFormat="1" spans="2:9">
      <c r="B94" s="75"/>
      <c r="C94" s="76"/>
      <c r="D94" s="75"/>
      <c r="E94" s="76"/>
      <c r="H94" s="75"/>
      <c r="I94" s="76"/>
    </row>
    <row r="95" s="31" customFormat="1" spans="2:9">
      <c r="B95" s="75"/>
      <c r="C95" s="76"/>
      <c r="D95" s="75"/>
      <c r="E95" s="76"/>
      <c r="H95" s="75"/>
      <c r="I95" s="76"/>
    </row>
  </sheetData>
  <mergeCells count="14">
    <mergeCell ref="A2:I2"/>
    <mergeCell ref="A3:I3"/>
    <mergeCell ref="A4:I4"/>
    <mergeCell ref="A5:I5"/>
    <mergeCell ref="B8:D8"/>
    <mergeCell ref="B10:D10"/>
    <mergeCell ref="A11:I11"/>
    <mergeCell ref="B12:C12"/>
    <mergeCell ref="D12:G12"/>
    <mergeCell ref="H12:I12"/>
    <mergeCell ref="A14:J14"/>
    <mergeCell ref="A75:J75"/>
    <mergeCell ref="A12:A13"/>
    <mergeCell ref="J12:J13"/>
  </mergeCells>
  <printOptions horizontalCentered="1"/>
  <pageMargins left="0.236220472440945" right="0.236220472440945" top="0.62992125984252" bottom="0.62992125984252" header="0.31496062992126" footer="0.31496062992126"/>
  <pageSetup paperSize="9" scale="69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7"/>
  <sheetViews>
    <sheetView view="pageBreakPreview" zoomScale="108" zoomScaleNormal="100" topLeftCell="A8" workbookViewId="0">
      <selection activeCell="B35" sqref="B35"/>
    </sheetView>
  </sheetViews>
  <sheetFormatPr defaultColWidth="9" defaultRowHeight="14.4"/>
  <cols>
    <col min="1" max="1" width="21.5740740740741" customWidth="1"/>
    <col min="2" max="2" width="17.5740740740741" customWidth="1"/>
  </cols>
  <sheetData>
    <row r="1" s="1" customFormat="1" ht="52.5" customHeight="1"/>
    <row r="2" s="1" customFormat="1" ht="10.5" customHeight="1" spans="1:1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ht="15.95" customHeight="1" spans="1:1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="1" customFormat="1" ht="15.95" customHeight="1" spans="1:12">
      <c r="A4" s="4" t="s">
        <v>81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="1" customFormat="1" ht="15.95" customHeight="1" spans="1:12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="1" customFormat="1" ht="8.25" customHeight="1"/>
    <row r="7" s="1" customFormat="1" ht="12" customHeight="1" spans="1:8">
      <c r="A7" s="1" t="s">
        <v>4</v>
      </c>
      <c r="C7" s="5" t="s">
        <v>5</v>
      </c>
      <c r="D7" s="5"/>
      <c r="G7" s="5" t="s">
        <v>6</v>
      </c>
      <c r="H7" s="6"/>
    </row>
    <row r="8" s="1" customFormat="1" ht="12" customHeight="1" spans="3:8">
      <c r="C8" s="7"/>
      <c r="G8" s="7"/>
      <c r="H8" s="7"/>
    </row>
    <row r="9" s="1" customFormat="1" ht="12" customHeight="1" spans="1:8">
      <c r="A9" s="1" t="s">
        <v>7</v>
      </c>
      <c r="C9" s="5" t="s">
        <v>8</v>
      </c>
      <c r="D9" s="5"/>
      <c r="G9" s="5" t="s">
        <v>9</v>
      </c>
      <c r="H9" s="8"/>
    </row>
    <row r="10" ht="16.5" customHeight="1" spans="1:12">
      <c r="A10" s="9" t="s">
        <v>82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="2" customFormat="1" ht="18.75" customHeight="1" spans="1:12">
      <c r="A11" s="10" t="s">
        <v>11</v>
      </c>
      <c r="B11" s="11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32" t="s">
        <v>15</v>
      </c>
    </row>
    <row r="12" s="2" customFormat="1" ht="24" customHeight="1" spans="1:12">
      <c r="A12" s="13"/>
      <c r="B12" s="14" t="s">
        <v>83</v>
      </c>
      <c r="C12" s="15"/>
      <c r="D12" s="15"/>
      <c r="E12" s="16"/>
      <c r="F12" s="14" t="s">
        <v>84</v>
      </c>
      <c r="G12" s="16"/>
      <c r="H12" s="14" t="s">
        <v>85</v>
      </c>
      <c r="I12" s="16"/>
      <c r="J12" s="14" t="s">
        <v>86</v>
      </c>
      <c r="K12" s="16"/>
      <c r="L12" s="33"/>
    </row>
    <row r="13" s="2" customFormat="1" ht="21" hidden="1" customHeight="1" spans="1:12">
      <c r="A13" s="17" t="s">
        <v>87</v>
      </c>
      <c r="B13" s="18" t="s">
        <v>88</v>
      </c>
      <c r="C13" s="19"/>
      <c r="D13" s="19"/>
      <c r="E13" s="20"/>
      <c r="F13" s="18">
        <v>2</v>
      </c>
      <c r="G13" s="20"/>
      <c r="H13" s="18">
        <v>0</v>
      </c>
      <c r="I13" s="20"/>
      <c r="J13" s="18">
        <v>2</v>
      </c>
      <c r="K13" s="20"/>
      <c r="L13" s="34">
        <v>2</v>
      </c>
    </row>
    <row r="14" s="3" customFormat="1" ht="21" hidden="1" customHeight="1" spans="1:12">
      <c r="A14" s="17" t="s">
        <v>89</v>
      </c>
      <c r="B14" s="18" t="s">
        <v>88</v>
      </c>
      <c r="C14" s="19"/>
      <c r="D14" s="19"/>
      <c r="E14" s="20"/>
      <c r="F14" s="18"/>
      <c r="G14" s="20"/>
      <c r="H14" s="18">
        <v>1</v>
      </c>
      <c r="I14" s="20"/>
      <c r="J14" s="18">
        <v>1</v>
      </c>
      <c r="K14" s="20"/>
      <c r="L14" s="35">
        <v>1</v>
      </c>
    </row>
    <row r="15" s="2" customFormat="1" ht="21" hidden="1" customHeight="1" spans="1:12">
      <c r="A15" s="17" t="s">
        <v>87</v>
      </c>
      <c r="B15" s="18" t="s">
        <v>90</v>
      </c>
      <c r="C15" s="19"/>
      <c r="D15" s="19"/>
      <c r="E15" s="20"/>
      <c r="F15" s="18">
        <v>2</v>
      </c>
      <c r="G15" s="20"/>
      <c r="H15" s="18">
        <v>0</v>
      </c>
      <c r="I15" s="20"/>
      <c r="J15" s="18">
        <v>2</v>
      </c>
      <c r="K15" s="20"/>
      <c r="L15" s="34">
        <v>2</v>
      </c>
    </row>
    <row r="16" s="3" customFormat="1" ht="21" hidden="1" customHeight="1" spans="1:12">
      <c r="A16" s="17" t="s">
        <v>91</v>
      </c>
      <c r="B16" s="18" t="s">
        <v>90</v>
      </c>
      <c r="C16" s="19"/>
      <c r="D16" s="19"/>
      <c r="E16" s="20"/>
      <c r="F16" s="18"/>
      <c r="G16" s="20"/>
      <c r="H16" s="18">
        <v>2</v>
      </c>
      <c r="I16" s="20"/>
      <c r="J16" s="18">
        <v>0</v>
      </c>
      <c r="K16" s="20"/>
      <c r="L16" s="35">
        <v>0</v>
      </c>
    </row>
    <row r="17" s="3" customFormat="1" ht="21" hidden="1" customHeight="1" spans="1:12">
      <c r="A17" s="21" t="s">
        <v>92</v>
      </c>
      <c r="B17" s="22" t="s">
        <v>93</v>
      </c>
      <c r="C17" s="23"/>
      <c r="D17" s="23"/>
      <c r="E17" s="24"/>
      <c r="F17" s="22">
        <v>3</v>
      </c>
      <c r="G17" s="24"/>
      <c r="H17" s="22">
        <v>0</v>
      </c>
      <c r="I17" s="24"/>
      <c r="J17" s="22">
        <v>3</v>
      </c>
      <c r="K17" s="24"/>
      <c r="L17" s="36">
        <v>3</v>
      </c>
    </row>
    <row r="18" s="3" customFormat="1" ht="21" hidden="1" customHeight="1" spans="1:12">
      <c r="A18" s="21" t="s">
        <v>94</v>
      </c>
      <c r="B18" s="22" t="s">
        <v>93</v>
      </c>
      <c r="C18" s="23"/>
      <c r="D18" s="23"/>
      <c r="E18" s="24"/>
      <c r="F18" s="25"/>
      <c r="G18" s="25"/>
      <c r="H18" s="25">
        <v>1</v>
      </c>
      <c r="I18" s="25"/>
      <c r="J18" s="25">
        <v>2</v>
      </c>
      <c r="K18" s="25"/>
      <c r="L18" s="21">
        <v>2</v>
      </c>
    </row>
    <row r="19" s="3" customFormat="1" ht="21" hidden="1" customHeight="1" spans="1:12">
      <c r="A19" s="21" t="s">
        <v>95</v>
      </c>
      <c r="B19" s="22" t="s">
        <v>93</v>
      </c>
      <c r="C19" s="23"/>
      <c r="D19" s="23"/>
      <c r="E19" s="24"/>
      <c r="F19" s="25"/>
      <c r="G19" s="25"/>
      <c r="H19" s="25">
        <v>1</v>
      </c>
      <c r="I19" s="25"/>
      <c r="J19" s="25">
        <v>1</v>
      </c>
      <c r="K19" s="25"/>
      <c r="L19" s="37">
        <v>1</v>
      </c>
    </row>
    <row r="20" s="3" customFormat="1" ht="21" hidden="1" customHeight="1" spans="1:12">
      <c r="A20" s="21" t="s">
        <v>96</v>
      </c>
      <c r="B20" s="22" t="s">
        <v>93</v>
      </c>
      <c r="C20" s="23"/>
      <c r="D20" s="23"/>
      <c r="E20" s="24"/>
      <c r="F20" s="18"/>
      <c r="G20" s="20"/>
      <c r="H20" s="18">
        <v>1</v>
      </c>
      <c r="I20" s="20"/>
      <c r="J20" s="18">
        <v>0</v>
      </c>
      <c r="K20" s="20"/>
      <c r="L20" s="38">
        <v>0</v>
      </c>
    </row>
    <row r="21" s="3" customFormat="1" ht="21" customHeight="1" spans="1:12">
      <c r="A21" s="21" t="s">
        <v>97</v>
      </c>
      <c r="B21" s="25" t="s">
        <v>98</v>
      </c>
      <c r="C21" s="25"/>
      <c r="D21" s="25"/>
      <c r="E21" s="25"/>
      <c r="F21" s="18">
        <v>3</v>
      </c>
      <c r="G21" s="20"/>
      <c r="H21" s="18">
        <v>0</v>
      </c>
      <c r="I21" s="20"/>
      <c r="J21" s="18">
        <v>3</v>
      </c>
      <c r="K21" s="20"/>
      <c r="L21" s="37">
        <v>3</v>
      </c>
    </row>
    <row r="22" s="3" customFormat="1" ht="21" customHeight="1" spans="1:12">
      <c r="A22" s="21" t="s">
        <v>99</v>
      </c>
      <c r="B22" s="25" t="s">
        <v>98</v>
      </c>
      <c r="C22" s="25"/>
      <c r="D22" s="25"/>
      <c r="E22" s="25"/>
      <c r="F22" s="18"/>
      <c r="G22" s="20"/>
      <c r="H22" s="18">
        <v>2</v>
      </c>
      <c r="I22" s="20"/>
      <c r="J22" s="18">
        <v>1</v>
      </c>
      <c r="K22" s="20"/>
      <c r="L22" s="37">
        <v>1</v>
      </c>
    </row>
    <row r="23" s="3" customFormat="1" ht="21" customHeight="1" spans="1:12">
      <c r="A23" s="21" t="s">
        <v>100</v>
      </c>
      <c r="B23" s="25" t="s">
        <v>101</v>
      </c>
      <c r="C23" s="25"/>
      <c r="D23" s="25"/>
      <c r="E23" s="25"/>
      <c r="F23" s="18">
        <v>3</v>
      </c>
      <c r="G23" s="20"/>
      <c r="H23" s="18">
        <v>0</v>
      </c>
      <c r="I23" s="20"/>
      <c r="J23" s="18">
        <v>3</v>
      </c>
      <c r="K23" s="20"/>
      <c r="L23" s="37">
        <v>3</v>
      </c>
    </row>
    <row r="24" s="3" customFormat="1" ht="21" customHeight="1" spans="1:12">
      <c r="A24" s="21" t="s">
        <v>102</v>
      </c>
      <c r="B24" s="25" t="s">
        <v>101</v>
      </c>
      <c r="C24" s="25"/>
      <c r="D24" s="25"/>
      <c r="E24" s="25"/>
      <c r="F24" s="18"/>
      <c r="G24" s="20"/>
      <c r="H24" s="18">
        <v>2</v>
      </c>
      <c r="I24" s="20"/>
      <c r="J24" s="18">
        <v>1</v>
      </c>
      <c r="K24" s="20"/>
      <c r="L24" s="37">
        <v>1</v>
      </c>
    </row>
    <row r="25" s="3" customFormat="1" ht="21" customHeight="1" spans="1:12">
      <c r="A25" s="21" t="s">
        <v>103</v>
      </c>
      <c r="B25" s="25" t="s">
        <v>101</v>
      </c>
      <c r="C25" s="25"/>
      <c r="D25" s="25"/>
      <c r="E25" s="25"/>
      <c r="F25" s="18"/>
      <c r="G25" s="20"/>
      <c r="H25" s="18">
        <v>1</v>
      </c>
      <c r="I25" s="20"/>
      <c r="J25" s="18">
        <v>0</v>
      </c>
      <c r="K25" s="20"/>
      <c r="L25" s="37">
        <v>0</v>
      </c>
    </row>
    <row r="26" s="3" customFormat="1" ht="25.5" customHeight="1" spans="1:12">
      <c r="A26" s="21" t="s">
        <v>100</v>
      </c>
      <c r="B26" s="18" t="s">
        <v>104</v>
      </c>
      <c r="C26" s="19"/>
      <c r="D26" s="19"/>
      <c r="E26" s="20"/>
      <c r="F26" s="18">
        <v>3</v>
      </c>
      <c r="G26" s="20"/>
      <c r="H26" s="18">
        <v>0</v>
      </c>
      <c r="I26" s="20"/>
      <c r="J26" s="18">
        <v>3</v>
      </c>
      <c r="K26" s="20"/>
      <c r="L26" s="39">
        <v>3</v>
      </c>
    </row>
    <row r="27" s="3" customFormat="1" ht="25.5" customHeight="1" spans="1:12">
      <c r="A27" s="21" t="s">
        <v>105</v>
      </c>
      <c r="B27" s="18" t="s">
        <v>104</v>
      </c>
      <c r="C27" s="19"/>
      <c r="D27" s="19"/>
      <c r="E27" s="20"/>
      <c r="F27" s="18"/>
      <c r="G27" s="20"/>
      <c r="H27" s="18">
        <v>1</v>
      </c>
      <c r="I27" s="20"/>
      <c r="J27" s="18">
        <v>2</v>
      </c>
      <c r="K27" s="20"/>
      <c r="L27" s="39">
        <v>2</v>
      </c>
    </row>
    <row r="28" s="3" customFormat="1" ht="25.5" customHeight="1" spans="1:12">
      <c r="A28" s="21" t="s">
        <v>106</v>
      </c>
      <c r="B28" s="18" t="s">
        <v>104</v>
      </c>
      <c r="C28" s="19"/>
      <c r="D28" s="19"/>
      <c r="E28" s="20"/>
      <c r="F28" s="18"/>
      <c r="G28" s="20"/>
      <c r="H28" s="18">
        <v>2</v>
      </c>
      <c r="I28" s="20"/>
      <c r="J28" s="18">
        <v>0</v>
      </c>
      <c r="K28" s="20"/>
      <c r="L28" s="35">
        <v>0</v>
      </c>
    </row>
    <row r="29" s="3" customFormat="1" ht="21" customHeight="1" spans="1:12">
      <c r="A29" s="21" t="s">
        <v>97</v>
      </c>
      <c r="B29" s="25" t="s">
        <v>107</v>
      </c>
      <c r="C29" s="25"/>
      <c r="D29" s="25"/>
      <c r="E29" s="25"/>
      <c r="F29" s="18">
        <v>3</v>
      </c>
      <c r="G29" s="20"/>
      <c r="H29" s="18">
        <v>0</v>
      </c>
      <c r="I29" s="20"/>
      <c r="J29" s="18">
        <v>3</v>
      </c>
      <c r="K29" s="20"/>
      <c r="L29" s="37">
        <v>3</v>
      </c>
    </row>
    <row r="30" s="3" customFormat="1" ht="21" customHeight="1" spans="1:12">
      <c r="A30" s="21" t="s">
        <v>108</v>
      </c>
      <c r="B30" s="25" t="s">
        <v>98</v>
      </c>
      <c r="C30" s="25"/>
      <c r="D30" s="25"/>
      <c r="E30" s="25"/>
      <c r="F30" s="18"/>
      <c r="G30" s="20"/>
      <c r="H30" s="18">
        <v>3</v>
      </c>
      <c r="I30" s="20"/>
      <c r="J30" s="18">
        <v>0</v>
      </c>
      <c r="K30" s="20"/>
      <c r="L30" s="38">
        <v>0</v>
      </c>
    </row>
    <row r="31" s="3" customFormat="1" spans="1:12">
      <c r="A31" s="26" t="s">
        <v>109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40"/>
    </row>
    <row r="32" ht="18.95" customHeight="1" spans="1:1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="1" customFormat="1" spans="3:8">
      <c r="C33" s="29"/>
      <c r="H33" s="1" t="s">
        <v>110</v>
      </c>
    </row>
    <row r="34" s="1" customFormat="1" spans="3:3">
      <c r="C34" s="29"/>
    </row>
    <row r="35" spans="8:9">
      <c r="H35" s="30" t="s">
        <v>111</v>
      </c>
      <c r="I35" s="30"/>
    </row>
    <row r="36" spans="8:8">
      <c r="H36" t="s">
        <v>112</v>
      </c>
    </row>
    <row r="37" spans="8:9">
      <c r="H37" s="31" t="s">
        <v>113</v>
      </c>
      <c r="I37" s="31"/>
    </row>
  </sheetData>
  <mergeCells count="86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A32:L32"/>
    <mergeCell ref="H37:I37"/>
    <mergeCell ref="A11:A12"/>
    <mergeCell ref="L11:L12"/>
  </mergeCells>
  <pageMargins left="0.7" right="0.7" top="0.75" bottom="0.75" header="0.3" footer="0.3"/>
  <pageSetup paperSize="9" scale="67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2025-12-17T06:47:00Z</cp:lastPrinted>
  <dcterms:modified xsi:type="dcterms:W3CDTF">2026-01-02T08:10:40Z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438515860EBC414AAB7B86D04F0F2E71_12</vt:lpwstr>
  </property>
  <property fmtid="{D5CDD505-2E9C-101B-9397-08002B2CF9AE}" pid="3" name="KSOProductBuildVer">
    <vt:lpwstr>1033-12.2.0.23196</vt:lpwstr>
  </property>
</Properties>
</file>