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Leave Card (NE)" sheetId="6" r:id="rId1"/>
    <sheet name="CTO" sheetId="8" r:id="rId2"/>
  </sheets>
  <definedNames>
    <definedName name="_xlnm.Print_Area" localSheetId="0">'Leave Card (NE)'!$A$1:$J$127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<sst xmlns="http://schemas.openxmlformats.org/spreadsheetml/2006/main" count="181" uniqueCount="161">
  <si>
    <t>Republic of the Philippines</t>
  </si>
  <si>
    <t>Department of Education</t>
  </si>
  <si>
    <t>NEGROS ISLAND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</si>
  <si>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</si>
  <si>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</si>
  <si>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</si>
  <si>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</si>
  <si>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</si>
  <si>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</si>
  <si>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</si>
  <si>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</si>
  <si>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</si>
  <si>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</si>
  <si>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</si>
  <si>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</si>
  <si>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</si>
  <si>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</si>
  <si>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</si>
  <si>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</si>
  <si>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</t>
  </si>
  <si>
    <t>ORIGINAL APPOINTMENT: NOVEMBER 07, 2016</t>
  </si>
  <si>
    <t>ADD: 11/07/2016 - 11/30/2016</t>
  </si>
  <si>
    <t>ADD: 12/01/2016 - 12/31/2016</t>
  </si>
  <si>
    <t>ADD: 1/01/2017 - 12/31/2017</t>
  </si>
  <si>
    <t>LESS: FL 2017</t>
  </si>
  <si>
    <t>ADD: 01/01/2018-01/31/2018</t>
  </si>
  <si>
    <t>LESS: 02/5-15/2018</t>
  </si>
  <si>
    <t>ADD:02/01/208-08/31/2018</t>
  </si>
  <si>
    <t>LESS: 08/30 &amp; 31/2018</t>
  </si>
  <si>
    <t>ADD:09/01/2018-12/31/2018</t>
  </si>
  <si>
    <t>LESS: FL 2018</t>
  </si>
  <si>
    <t>ADD: 1/01/2019 - 12/31/2019</t>
  </si>
  <si>
    <t>LESS: 03/1, 4 &amp; 5/2019</t>
  </si>
  <si>
    <t>LESS: FL 2019</t>
  </si>
  <si>
    <t>ADD: 1/01/2020 - 12/31/2020</t>
  </si>
  <si>
    <t>LESS: MONETIZATION 2020</t>
  </si>
  <si>
    <t>LESS: 03/11 &amp; 12/2020</t>
  </si>
  <si>
    <t>LESS: FL 2020</t>
  </si>
  <si>
    <t>ADD: 1/01/2021 - 12/31/2021</t>
  </si>
  <si>
    <t>LESS: 05/28/2021</t>
  </si>
  <si>
    <t>LESS: 04/08/2021</t>
  </si>
  <si>
    <t>LESS: 07/05/2021</t>
  </si>
  <si>
    <t>LESS: 08/13/2021</t>
  </si>
  <si>
    <t>LESS: 09/08/2021</t>
  </si>
  <si>
    <t>LESS: 10/29/2021</t>
  </si>
  <si>
    <t>LESS: MONETIZATION 2021</t>
  </si>
  <si>
    <t>LESS: 12/07/2021</t>
  </si>
  <si>
    <t>LESS: 01/03/22</t>
  </si>
  <si>
    <t>ADD: 01/01/22 - 01/31/22</t>
  </si>
  <si>
    <t>LESS: 02/28/22</t>
  </si>
  <si>
    <t>LESS: 02/9(.5), 10 &amp; 11, 22</t>
  </si>
  <si>
    <t>ADD: 02/01/22 - 02/28/22</t>
  </si>
  <si>
    <t>LESS: 03/01/22</t>
  </si>
  <si>
    <t>ADD: 03/01/22 - 03/31/22</t>
  </si>
  <si>
    <t>LESS: 04/05/22</t>
  </si>
  <si>
    <t>LESS: 04/11/22</t>
  </si>
  <si>
    <t>ADD: 04/01/22 - 04/30/22</t>
  </si>
  <si>
    <t>LESS: 05/11/22</t>
  </si>
  <si>
    <t>ADD: 05/01/22 - 05/31/22</t>
  </si>
  <si>
    <t>LESS: 06/24/22</t>
  </si>
  <si>
    <t>ADD: 06/01/22 - 08/31/22</t>
  </si>
  <si>
    <t>LESS: 09/07/22</t>
  </si>
  <si>
    <t>LESS: 10/03/22</t>
  </si>
  <si>
    <t>LESS: MONETIZATION 2022</t>
  </si>
  <si>
    <t>ADD: 09/01/22 - 10/31/22</t>
  </si>
  <si>
    <t>LESS: 11/14/22</t>
  </si>
  <si>
    <t>ADD: 11/01/22 - 11/30/22</t>
  </si>
  <si>
    <t>LESS: 12/12/22</t>
  </si>
  <si>
    <t>ADD: 12/01/22 - 12/31/22</t>
  </si>
  <si>
    <t>LESS: 01/10/23</t>
  </si>
  <si>
    <t>ADD: 01/01/23 - 02/28/23</t>
  </si>
  <si>
    <t>LESS: 03/02/23</t>
  </si>
  <si>
    <t>LESS: 03/09/23</t>
  </si>
  <si>
    <t>ADD: 03/01/2023-04/30/2023</t>
  </si>
  <si>
    <t>LESS: 05/29/2023</t>
  </si>
  <si>
    <t>ADD: 05/01/2023-05/31/2023</t>
  </si>
  <si>
    <t>LESS: 06/22 &amp; 23/2023</t>
  </si>
  <si>
    <t>LESS: 06/26/2023</t>
  </si>
  <si>
    <t>ADD: 06/01/2023-08/31/2023</t>
  </si>
  <si>
    <t>LESS: 09/19/2023 (PM) UNDERTIME</t>
  </si>
  <si>
    <t>ADD: 09/01/2023-09/30/2023</t>
  </si>
  <si>
    <t>LESS: 09/20/2023</t>
  </si>
  <si>
    <t>MONETIZATION 2023</t>
  </si>
  <si>
    <t>ADD: 10/01/2023-10/31/2023</t>
  </si>
  <si>
    <t>LESS: ADDITIONAL MONETIZATION 2023</t>
  </si>
  <si>
    <t>less: 11/28/2023</t>
  </si>
  <si>
    <t>LESS: 12/13/2023</t>
  </si>
  <si>
    <t>ADD: 11/01/2023-12/31/2023</t>
  </si>
  <si>
    <t>ADD: 01/01/2024-01/31/2024</t>
  </si>
  <si>
    <t>LESS: 01/29/2024</t>
  </si>
  <si>
    <t>ADD: 02/01/2024-04/30/2024</t>
  </si>
  <si>
    <t>LESS: 05/24/2024</t>
  </si>
  <si>
    <t>LESS: 05/27/2024</t>
  </si>
  <si>
    <t>ADD: MAY-JULY 31, 2024</t>
  </si>
  <si>
    <t>LESS: MONETIZATION 2024</t>
  </si>
  <si>
    <t>LESS: 08/1-2/2024</t>
  </si>
  <si>
    <t>LESS: 08/14-15/2024</t>
  </si>
  <si>
    <t>ADD: 08/1/2024-09/30/2024</t>
  </si>
  <si>
    <t>LESS: 10/03/2024</t>
  </si>
  <si>
    <t>LESS: 10/11/2024</t>
  </si>
  <si>
    <t>LESS: 10/25/2024</t>
  </si>
  <si>
    <t>LESS: 10/28/2024</t>
  </si>
  <si>
    <t>ADD: 10/1/2024-11/30/2024</t>
  </si>
  <si>
    <t>LESS: 12/23, 24, 26, 27/2024</t>
  </si>
  <si>
    <t>ADD: 12/1-31/2024</t>
  </si>
  <si>
    <t>LESS: 01/27/2025</t>
  </si>
  <si>
    <t>ADD: 01/1-31/2025</t>
  </si>
  <si>
    <t>LESS: 02/03/2025</t>
  </si>
  <si>
    <t>ADD: 02/1-28/2025</t>
  </si>
  <si>
    <t>LESS: 03/7/2025</t>
  </si>
  <si>
    <t>ADD: 03/1-31/2025</t>
  </si>
  <si>
    <t>LESS: 05/26-27/2025</t>
  </si>
  <si>
    <t>ADD: 04/1-30/2025</t>
  </si>
  <si>
    <t>LESS: 05/2/2025</t>
  </si>
  <si>
    <t>ADD: 05/1/2025-08/31/2025</t>
  </si>
  <si>
    <t>LESS: MONETIZATION 2025</t>
  </si>
  <si>
    <t>LESS: 08/13 &amp; 15/2025</t>
  </si>
  <si>
    <t>LESS: 09/10/2025</t>
  </si>
  <si>
    <t>LESS: 09/26/2025</t>
  </si>
  <si>
    <t>LESS: 09/18-19/2025</t>
  </si>
  <si>
    <t>LESS: 09/25/2025</t>
  </si>
  <si>
    <t>ADD: 09/1/2025-10/31/2025</t>
  </si>
  <si>
    <t>LESS: 11/19/2025</t>
  </si>
  <si>
    <t>ADD: 11/1-30/2025</t>
  </si>
  <si>
    <t>LESS: 12/01/2025</t>
  </si>
  <si>
    <t>LESS: 12/19 &amp; 22/2025</t>
  </si>
  <si>
    <t>LESS: 12/26/2026</t>
  </si>
  <si>
    <t>Certified Correct:</t>
  </si>
  <si>
    <t>MA. LUISA B. CATIGAN</t>
  </si>
  <si>
    <t>Administrative Officer IV</t>
  </si>
  <si>
    <t>HRMO</t>
  </si>
  <si>
    <t>REGION VI-WESTERN VISAYAS</t>
  </si>
  <si>
    <t>NAME         : REPOLIDON, MA. ELENA</t>
  </si>
  <si>
    <t>DISTRICT             : _______________________</t>
  </si>
  <si>
    <t>EMPLOYEE NO   : __________</t>
  </si>
  <si>
    <t>SCHOOL/OFFICE : OSDS</t>
  </si>
  <si>
    <t>STATION CODE   : __________</t>
  </si>
  <si>
    <t>POSITION   : ADAS III</t>
  </si>
  <si>
    <t>DIVISION CODE   : __________</t>
  </si>
  <si>
    <t>COMPENSATORY TIME OFF (CTO)</t>
  </si>
  <si>
    <t>Special Order No. and Date Issued</t>
  </si>
  <si>
    <t>No. of Days Granted</t>
  </si>
  <si>
    <t>No. of Days Used</t>
  </si>
  <si>
    <t>Balance</t>
  </si>
  <si>
    <t>ADD: 10/17/2023</t>
  </si>
  <si>
    <t>SO NO.159, S. 2023 125TH PHILIPPINE INDEPENDENCE DAY CELEBRATION</t>
  </si>
  <si>
    <t>LESS: 07/25/2024</t>
  </si>
  <si>
    <t>ADD:06/26/2024</t>
  </si>
  <si>
    <t>SO NO.024, S. 2024 126TH PHILIPPINE INDEPENDENCE DAY CELEBRATION</t>
  </si>
  <si>
    <t>LESS: 07/26/2024</t>
  </si>
  <si>
    <t>ADD: 06/06/2024</t>
  </si>
  <si>
    <t>SO # 021, S. 2024 1ST Q COORDINATION MEETING CUM WORKSHOP</t>
  </si>
  <si>
    <t>LESS:  07/27-29/2024</t>
  </si>
  <si>
    <t>ADD: 03/21/2025</t>
  </si>
  <si>
    <t>SO # 010, S. 2024 OVERTIME (DEC. 20, 2024)</t>
  </si>
  <si>
    <t>LESS:  03/27/2025</t>
  </si>
  <si>
    <t>LESS:  06/13/2025</t>
  </si>
  <si>
    <t>ADD: 07/1/2025</t>
  </si>
  <si>
    <t>SO # 044, S. 2025 127TH PHIL. IND. DAY</t>
  </si>
  <si>
    <t xml:space="preserve">LESS: 07/10/2025 PM </t>
  </si>
  <si>
    <t>NOTE:  Valid for one (1) year only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</si>
</sst>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8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u/>
      <sz val="11"/>
      <color rgb="FF0000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20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1" applyNumberFormat="0" applyFill="0" applyAlignment="0" applyProtection="0">
      <alignment vertical="center"/>
    </xf>
    <xf numFmtId="0" fontId="15" fillId="0" borderId="21" applyNumberFormat="0" applyFill="0" applyAlignment="0" applyProtection="0">
      <alignment vertical="center"/>
    </xf>
    <xf numFmtId="0" fontId="16" fillId="0" borderId="22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3" borderId="23" applyNumberFormat="0" applyAlignment="0" applyProtection="0">
      <alignment vertical="center"/>
    </xf>
    <xf numFmtId="0" fontId="18" fillId="14" borderId="24" applyNumberFormat="0" applyAlignment="0" applyProtection="0">
      <alignment vertical="center"/>
    </xf>
    <xf numFmtId="0" fontId="19" fillId="14" borderId="23" applyNumberFormat="0" applyAlignment="0" applyProtection="0">
      <alignment vertical="center"/>
    </xf>
    <xf numFmtId="0" fontId="20" fillId="15" borderId="25" applyNumberFormat="0" applyAlignment="0" applyProtection="0">
      <alignment vertical="center"/>
    </xf>
    <xf numFmtId="0" fontId="21" fillId="0" borderId="26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6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7" fillId="40" borderId="0" applyNumberFormat="0" applyBorder="0" applyAlignment="0" applyProtection="0">
      <alignment vertical="center"/>
    </xf>
    <xf numFmtId="0" fontId="27" fillId="41" borderId="0" applyNumberFormat="0" applyBorder="0" applyAlignment="0" applyProtection="0">
      <alignment vertical="center"/>
    </xf>
    <xf numFmtId="0" fontId="26" fillId="42" borderId="0" applyNumberFormat="0" applyBorder="0" applyAlignment="0" applyProtection="0">
      <alignment vertical="center"/>
    </xf>
    <xf numFmtId="0" fontId="1" fillId="0" borderId="0"/>
  </cellStyleXfs>
  <cellXfs count="106">
    <xf numFmtId="0" fontId="0" fillId="0" borderId="0" xfId="0"/>
    <xf numFmtId="0" fontId="1" fillId="2" borderId="0" xfId="49" applyFill="1"/>
    <xf numFmtId="0" fontId="2" fillId="0" borderId="0" xfId="49" applyFont="1"/>
    <xf numFmtId="0" fontId="3" fillId="0" borderId="0" xfId="49" applyFont="1"/>
    <xf numFmtId="0" fontId="1" fillId="0" borderId="0" xfId="49"/>
    <xf numFmtId="0" fontId="4" fillId="2" borderId="0" xfId="49" applyFont="1" applyFill="1" applyAlignment="1">
      <alignment horizontal="center" wrapText="1"/>
    </xf>
    <xf numFmtId="0" fontId="4" fillId="2" borderId="0" xfId="49" applyFont="1" applyFill="1" applyAlignment="1">
      <alignment wrapText="1"/>
    </xf>
    <xf numFmtId="0" fontId="1" fillId="2" borderId="0" xfId="49" applyFill="1" applyAlignment="1">
      <alignment horizontal="center"/>
    </xf>
    <xf numFmtId="0" fontId="1" fillId="2" borderId="0" xfId="49" applyFill="1" applyAlignment="1">
      <alignment horizontal="center" vertical="center"/>
    </xf>
    <xf numFmtId="0" fontId="4" fillId="2" borderId="0" xfId="49" applyFont="1" applyFill="1" applyAlignment="1">
      <alignment vertical="center"/>
    </xf>
    <xf numFmtId="0" fontId="4" fillId="2" borderId="0" xfId="49" applyFont="1" applyFill="1" applyAlignment="1">
      <alignment horizontal="left" vertical="center"/>
    </xf>
    <xf numFmtId="0" fontId="4" fillId="2" borderId="0" xfId="49" applyFont="1" applyFill="1"/>
    <xf numFmtId="0" fontId="4" fillId="2" borderId="0" xfId="49" applyFont="1" applyFill="1" applyAlignment="1">
      <alignment horizontal="center"/>
    </xf>
    <xf numFmtId="0" fontId="5" fillId="2" borderId="1" xfId="49" applyFont="1" applyFill="1" applyBorder="1" applyAlignment="1">
      <alignment horizontal="center" vertical="center"/>
    </xf>
    <xf numFmtId="0" fontId="6" fillId="3" borderId="2" xfId="49" applyFont="1" applyFill="1" applyBorder="1" applyAlignment="1">
      <alignment horizontal="center" vertical="center"/>
    </xf>
    <xf numFmtId="0" fontId="6" fillId="4" borderId="3" xfId="49" applyFont="1" applyFill="1" applyBorder="1" applyAlignment="1">
      <alignment horizontal="center" vertical="center"/>
    </xf>
    <xf numFmtId="0" fontId="6" fillId="4" borderId="4" xfId="49" applyFont="1" applyFill="1" applyBorder="1" applyAlignment="1">
      <alignment horizontal="center" vertical="center"/>
    </xf>
    <xf numFmtId="0" fontId="6" fillId="3" borderId="5" xfId="49" applyFont="1" applyFill="1" applyBorder="1" applyAlignment="1">
      <alignment horizontal="center" vertical="center"/>
    </xf>
    <xf numFmtId="0" fontId="7" fillId="5" borderId="6" xfId="49" applyFont="1" applyFill="1" applyBorder="1" applyAlignment="1">
      <alignment horizontal="center" vertical="center" wrapText="1"/>
    </xf>
    <xf numFmtId="0" fontId="7" fillId="5" borderId="7" xfId="49" applyFont="1" applyFill="1" applyBorder="1" applyAlignment="1">
      <alignment horizontal="center" vertical="center" wrapText="1"/>
    </xf>
    <xf numFmtId="0" fontId="7" fillId="5" borderId="8" xfId="49" applyFont="1" applyFill="1" applyBorder="1" applyAlignment="1">
      <alignment horizontal="center" vertical="center" wrapText="1"/>
    </xf>
    <xf numFmtId="0" fontId="1" fillId="2" borderId="5" xfId="49" applyFill="1" applyBorder="1" applyAlignment="1">
      <alignment horizontal="center" vertical="center" wrapText="1"/>
    </xf>
    <xf numFmtId="0" fontId="7" fillId="2" borderId="6" xfId="49" applyFont="1" applyFill="1" applyBorder="1" applyAlignment="1">
      <alignment horizontal="center" vertical="center" wrapText="1"/>
    </xf>
    <xf numFmtId="0" fontId="7" fillId="2" borderId="7" xfId="49" applyFont="1" applyFill="1" applyBorder="1" applyAlignment="1">
      <alignment horizontal="center" vertical="center" wrapText="1"/>
    </xf>
    <xf numFmtId="0" fontId="7" fillId="2" borderId="8" xfId="49" applyFont="1" applyFill="1" applyBorder="1" applyAlignment="1">
      <alignment horizontal="center" vertical="center" wrapText="1"/>
    </xf>
    <xf numFmtId="0" fontId="7" fillId="2" borderId="6" xfId="49" applyFont="1" applyFill="1" applyBorder="1" applyAlignment="1">
      <alignment vertical="center" wrapText="1"/>
    </xf>
    <xf numFmtId="0" fontId="7" fillId="2" borderId="8" xfId="49" applyFont="1" applyFill="1" applyBorder="1" applyAlignment="1">
      <alignment vertical="center" wrapText="1"/>
    </xf>
    <xf numFmtId="0" fontId="1" fillId="2" borderId="5" xfId="49" applyFont="1" applyFill="1" applyBorder="1" applyAlignment="1">
      <alignment horizontal="center" vertical="center" wrapText="1"/>
    </xf>
    <xf numFmtId="0" fontId="0" fillId="2" borderId="9" xfId="49" applyFont="1" applyFill="1" applyBorder="1" applyAlignment="1">
      <alignment horizontal="center" vertical="center" wrapText="1"/>
    </xf>
    <xf numFmtId="0" fontId="7" fillId="2" borderId="9" xfId="49" applyFont="1" applyFill="1" applyBorder="1" applyAlignment="1">
      <alignment horizontal="center" vertical="center" wrapText="1"/>
    </xf>
    <xf numFmtId="0" fontId="1" fillId="0" borderId="0" xfId="49" applyAlignment="1">
      <alignment vertical="center"/>
    </xf>
    <xf numFmtId="0" fontId="7" fillId="2" borderId="0" xfId="49" applyFont="1" applyFill="1" applyAlignment="1">
      <alignment horizontal="center" vertical="center" wrapText="1"/>
    </xf>
    <xf numFmtId="0" fontId="3" fillId="2" borderId="0" xfId="49" applyFont="1" applyFill="1" applyAlignment="1">
      <alignment horizontal="center" vertical="center"/>
    </xf>
    <xf numFmtId="0" fontId="4" fillId="2" borderId="0" xfId="49" applyFont="1" applyFill="1" applyAlignment="1">
      <alignment horizontal="left"/>
    </xf>
    <xf numFmtId="0" fontId="6" fillId="3" borderId="10" xfId="49" applyFont="1" applyFill="1" applyBorder="1" applyAlignment="1">
      <alignment horizontal="center" vertical="center"/>
    </xf>
    <xf numFmtId="0" fontId="6" fillId="3" borderId="11" xfId="49" applyFont="1" applyFill="1" applyBorder="1" applyAlignment="1">
      <alignment horizontal="center" vertical="center"/>
    </xf>
    <xf numFmtId="0" fontId="1" fillId="2" borderId="12" xfId="49" applyFill="1" applyBorder="1" applyAlignment="1">
      <alignment horizontal="center" vertical="center" wrapText="1"/>
    </xf>
    <xf numFmtId="0" fontId="1" fillId="6" borderId="12" xfId="49" applyFill="1" applyBorder="1" applyAlignment="1">
      <alignment horizontal="center" vertical="center" wrapText="1"/>
    </xf>
    <xf numFmtId="0" fontId="1" fillId="0" borderId="12" xfId="49" applyBorder="1" applyAlignment="1">
      <alignment horizontal="center" vertical="center" wrapText="1"/>
    </xf>
    <xf numFmtId="0" fontId="7" fillId="0" borderId="9" xfId="49" applyFont="1" applyBorder="1" applyAlignment="1">
      <alignment horizontal="center" vertical="center" wrapText="1"/>
    </xf>
    <xf numFmtId="0" fontId="1" fillId="2" borderId="0" xfId="49" applyFill="1" applyAlignment="1">
      <alignment horizontal="center" vertical="center" wrapText="1"/>
    </xf>
    <xf numFmtId="0" fontId="4" fillId="0" borderId="0" xfId="49" applyFont="1" applyAlignment="1">
      <alignment horizontal="center" vertical="center"/>
    </xf>
    <xf numFmtId="0" fontId="1" fillId="0" borderId="0" xfId="49" applyAlignment="1">
      <alignment horizontal="center"/>
    </xf>
    <xf numFmtId="0" fontId="1" fillId="0" borderId="0" xfId="49" applyAlignment="1">
      <alignment horizontal="center" vertical="center"/>
    </xf>
    <xf numFmtId="0" fontId="0" fillId="2" borderId="0" xfId="0" applyFill="1"/>
    <xf numFmtId="0" fontId="0" fillId="0" borderId="0" xfId="0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/>
    <xf numFmtId="0" fontId="5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7" borderId="1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14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76" fontId="1" fillId="2" borderId="9" xfId="0" applyNumberFormat="1" applyFont="1" applyFill="1" applyBorder="1" applyAlignment="1">
      <alignment horizontal="center" vertical="center"/>
    </xf>
    <xf numFmtId="176" fontId="4" fillId="2" borderId="9" xfId="0" applyNumberFormat="1" applyFont="1" applyFill="1" applyBorder="1" applyAlignment="1">
      <alignment horizontal="center" vertical="center"/>
    </xf>
    <xf numFmtId="176" fontId="1" fillId="2" borderId="8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176" fontId="4" fillId="2" borderId="9" xfId="0" applyNumberFormat="1" applyFont="1" applyFill="1" applyBorder="1" applyAlignment="1">
      <alignment horizontal="center" vertical="center" wrapText="1"/>
    </xf>
    <xf numFmtId="176" fontId="1" fillId="0" borderId="9" xfId="0" applyNumberFormat="1" applyFont="1" applyBorder="1" applyAlignment="1">
      <alignment horizontal="center"/>
    </xf>
    <xf numFmtId="176" fontId="1" fillId="0" borderId="9" xfId="0" applyNumberFormat="1" applyFont="1" applyBorder="1" applyAlignment="1">
      <alignment horizontal="center" vertical="center"/>
    </xf>
    <xf numFmtId="176" fontId="1" fillId="2" borderId="16" xfId="0" applyNumberFormat="1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176" fontId="1" fillId="2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2" borderId="18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176" fontId="1" fillId="2" borderId="12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176" fontId="0" fillId="0" borderId="9" xfId="0" applyNumberFormat="1" applyBorder="1" applyAlignment="1">
      <alignment horizontal="center" vertical="center"/>
    </xf>
    <xf numFmtId="0" fontId="0" fillId="0" borderId="9" xfId="0" applyBorder="1"/>
    <xf numFmtId="0" fontId="0" fillId="2" borderId="9" xfId="0" applyFill="1" applyBorder="1"/>
    <xf numFmtId="0" fontId="0" fillId="2" borderId="9" xfId="0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10" borderId="9" xfId="0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1" fillId="0" borderId="9" xfId="0" applyFont="1" applyFill="1" applyBorder="1" applyAlignment="1">
      <alignment horizontal="center" vertical="center"/>
    </xf>
    <xf numFmtId="176" fontId="1" fillId="0" borderId="9" xfId="0" applyNumberFormat="1" applyFont="1" applyFill="1" applyBorder="1" applyAlignment="1">
      <alignment horizontal="center" vertical="center"/>
    </xf>
    <xf numFmtId="176" fontId="0" fillId="0" borderId="9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horizont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176" fontId="1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176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419100</xdr:colOff>
      <xdr:row>0</xdr:row>
      <xdr:rowOff>114300</xdr:rowOff>
    </xdr:from>
    <xdr:to>
      <xdr:col>4</xdr:col>
      <xdr:colOff>346205</xdr:colOff>
      <xdr:row>0</xdr:row>
      <xdr:rowOff>644525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436110" y="114300"/>
          <a:ext cx="720725" cy="5302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>
      <xdr:nvSpPr>
        <xdr:cNvPr id="4" name="TextBox 3"/>
        <xdr:cNvSpPr txBox="1"/>
      </xdr:nvSpPr>
      <xdr:spPr>
        <a:xfrm>
          <a:off x="573405" y="1376045"/>
          <a:ext cx="1856105" cy="2520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REPOLIDON, MA. ELENA A.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>
      <xdr:nvSpPr>
        <xdr:cNvPr id="5" name="TextBox 4"/>
        <xdr:cNvSpPr txBox="1"/>
      </xdr:nvSpPr>
      <xdr:spPr>
        <a:xfrm>
          <a:off x="616585" y="1725930"/>
          <a:ext cx="1812925" cy="2495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III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>
      <xdr:nvSpPr>
        <xdr:cNvPr id="6" name="TextBox 5"/>
        <xdr:cNvSpPr txBox="1"/>
      </xdr:nvSpPr>
      <xdr:spPr>
        <a:xfrm>
          <a:off x="3637915" y="1707515"/>
          <a:ext cx="1776730" cy="2501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OSDS-BUDGET SECTION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1211945</xdr:colOff>
      <xdr:row>1</xdr:row>
      <xdr:rowOff>22680</xdr:rowOff>
    </xdr:from>
    <xdr:to>
      <xdr:col>2</xdr:col>
      <xdr:colOff>400050</xdr:colOff>
      <xdr:row>4</xdr:row>
      <xdr:rowOff>114301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71445" y="277495"/>
          <a:ext cx="697230" cy="6305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3" name="Straight Connector 2"/>
        <xdr:cNvCxnSpPr/>
      </xdr:nvCxnSpPr>
      <xdr:spPr>
        <a:xfrm>
          <a:off x="752475" y="1653540"/>
          <a:ext cx="7359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27"/>
  <sheetViews>
    <sheetView tabSelected="1" view="pageBreakPreview" zoomScaleNormal="100" topLeftCell="A101" workbookViewId="0">
      <selection activeCell="A110" sqref="A110"/>
    </sheetView>
  </sheetViews>
  <sheetFormatPr defaultColWidth="9" defaultRowHeight="14.4"/>
  <cols>
    <col min="1" max="1" width="35.4259259259259" customWidth="1"/>
    <col min="2" max="6" width="11.5740740740741" customWidth="1"/>
    <col min="7" max="7" width="11.5740740740741" style="44" customWidth="1"/>
    <col min="8" max="10" width="11.5740740740741" customWidth="1"/>
  </cols>
  <sheetData>
    <row r="1" s="44" customFormat="1" ht="52.5" customHeight="1"/>
    <row r="2" s="44" customFormat="1" ht="10.5" customHeight="1" spans="1:10">
      <c r="A2" s="47" t="s">
        <v>0</v>
      </c>
      <c r="B2" s="47"/>
      <c r="C2" s="47"/>
      <c r="D2" s="47"/>
      <c r="E2" s="47"/>
      <c r="F2" s="47"/>
      <c r="G2" s="47"/>
      <c r="H2" s="47"/>
      <c r="I2" s="47"/>
      <c r="J2" s="47"/>
    </row>
    <row r="3" s="44" customFormat="1" ht="15.95" customHeight="1" spans="1:10">
      <c r="A3" s="47" t="s">
        <v>1</v>
      </c>
      <c r="B3" s="47"/>
      <c r="C3" s="47"/>
      <c r="D3" s="47"/>
      <c r="E3" s="47"/>
      <c r="F3" s="47"/>
      <c r="G3" s="47"/>
      <c r="H3" s="47"/>
      <c r="I3" s="47"/>
      <c r="J3" s="47"/>
    </row>
    <row r="4" s="44" customFormat="1" ht="15.95" customHeight="1" spans="1:10">
      <c r="A4" s="47" t="s">
        <v>2</v>
      </c>
      <c r="B4" s="47"/>
      <c r="C4" s="47"/>
      <c r="D4" s="47"/>
      <c r="E4" s="47"/>
      <c r="F4" s="47"/>
      <c r="G4" s="47"/>
      <c r="H4" s="47"/>
      <c r="I4" s="47"/>
      <c r="J4" s="47"/>
    </row>
    <row r="5" s="44" customFormat="1" ht="15.95" customHeight="1" spans="1:10">
      <c r="A5" s="47" t="s">
        <v>3</v>
      </c>
      <c r="B5" s="47"/>
      <c r="C5" s="47"/>
      <c r="D5" s="47"/>
      <c r="E5" s="47"/>
      <c r="F5" s="47"/>
      <c r="G5" s="47"/>
      <c r="H5" s="47"/>
      <c r="I5" s="47"/>
      <c r="J5" s="47"/>
    </row>
    <row r="6" s="44" customFormat="1" ht="8.25" customHeight="1"/>
    <row r="7" s="44" customFormat="1" ht="12" customHeight="1" spans="1:10">
      <c r="A7" s="44" t="s">
        <v>4</v>
      </c>
      <c r="B7" s="48" t="s">
        <v>5</v>
      </c>
      <c r="C7" s="48"/>
      <c r="D7" s="48"/>
      <c r="H7" s="49" t="s">
        <v>6</v>
      </c>
      <c r="I7" s="75"/>
      <c r="J7" s="49"/>
    </row>
    <row r="8" s="44" customFormat="1" ht="12" customHeight="1" spans="2:10">
      <c r="B8" s="50"/>
      <c r="C8" s="50"/>
      <c r="H8" s="50"/>
      <c r="I8" s="50"/>
      <c r="J8" s="50"/>
    </row>
    <row r="9" s="44" customFormat="1" ht="12" customHeight="1" spans="1:10">
      <c r="A9" s="44" t="s">
        <v>7</v>
      </c>
      <c r="B9" s="48" t="s">
        <v>8</v>
      </c>
      <c r="C9" s="48"/>
      <c r="D9" s="48"/>
      <c r="H9" s="49" t="s">
        <v>9</v>
      </c>
      <c r="I9" s="76"/>
      <c r="J9" s="49"/>
    </row>
    <row r="10" ht="16.5" customHeight="1" spans="1:10">
      <c r="A10" s="51" t="s">
        <v>10</v>
      </c>
      <c r="B10" s="51"/>
      <c r="C10" s="51"/>
      <c r="D10" s="51"/>
      <c r="E10" s="51"/>
      <c r="F10" s="51"/>
      <c r="G10" s="51"/>
      <c r="H10" s="51"/>
      <c r="I10" s="51"/>
      <c r="J10" s="51"/>
    </row>
    <row r="11" ht="18.75" customHeight="1" spans="1:10">
      <c r="A11" s="52" t="s">
        <v>11</v>
      </c>
      <c r="B11" s="53" t="s">
        <v>12</v>
      </c>
      <c r="C11" s="53"/>
      <c r="D11" s="54" t="s">
        <v>13</v>
      </c>
      <c r="E11" s="55"/>
      <c r="F11" s="55"/>
      <c r="G11" s="56"/>
      <c r="H11" s="57" t="s">
        <v>14</v>
      </c>
      <c r="I11" s="57"/>
      <c r="J11" s="77" t="s">
        <v>15</v>
      </c>
    </row>
    <row r="12" ht="18.75" customHeight="1" spans="1:10">
      <c r="A12" s="58"/>
      <c r="B12" s="59" t="s">
        <v>16</v>
      </c>
      <c r="C12" s="59" t="s">
        <v>17</v>
      </c>
      <c r="D12" s="59" t="s">
        <v>16</v>
      </c>
      <c r="E12" s="59" t="s">
        <v>17</v>
      </c>
      <c r="F12" s="59" t="s">
        <v>18</v>
      </c>
      <c r="G12" s="59" t="s">
        <v>19</v>
      </c>
      <c r="H12" s="59" t="s">
        <v>16</v>
      </c>
      <c r="I12" s="59" t="s">
        <v>17</v>
      </c>
      <c r="J12" s="78"/>
    </row>
    <row r="13" ht="18.75" customHeight="1" spans="1:10">
      <c r="A13" s="60" t="s">
        <v>20</v>
      </c>
      <c r="B13" s="61"/>
      <c r="C13" s="61"/>
      <c r="D13" s="61"/>
      <c r="E13" s="61"/>
      <c r="F13" s="61"/>
      <c r="G13" s="61"/>
      <c r="H13" s="61"/>
      <c r="I13" s="61"/>
      <c r="J13" s="79"/>
    </row>
    <row r="14" ht="18.75" customHeight="1" spans="1:10">
      <c r="A14" s="62" t="s">
        <v>21</v>
      </c>
      <c r="B14" s="63">
        <v>1</v>
      </c>
      <c r="C14" s="63">
        <v>1</v>
      </c>
      <c r="D14" s="63"/>
      <c r="E14" s="63"/>
      <c r="F14" s="63"/>
      <c r="G14" s="63"/>
      <c r="H14" s="63">
        <f>B14</f>
        <v>1</v>
      </c>
      <c r="I14" s="63">
        <f>C14</f>
        <v>1</v>
      </c>
      <c r="J14" s="80">
        <f>SUM(H14:I14)</f>
        <v>2</v>
      </c>
    </row>
    <row r="15" ht="18.75" customHeight="1" spans="1:10">
      <c r="A15" s="62" t="s">
        <v>22</v>
      </c>
      <c r="B15" s="63">
        <v>1.25</v>
      </c>
      <c r="C15" s="63">
        <v>1.25</v>
      </c>
      <c r="D15" s="63"/>
      <c r="E15" s="63"/>
      <c r="F15" s="63"/>
      <c r="G15" s="63"/>
      <c r="H15" s="63">
        <f>H14-F15-D15+B15</f>
        <v>2.25</v>
      </c>
      <c r="I15" s="63">
        <f>I14-E15+C15</f>
        <v>2.25</v>
      </c>
      <c r="J15" s="80">
        <f t="shared" ref="J15" si="0">SUM(H15:I15)</f>
        <v>4.5</v>
      </c>
    </row>
    <row r="16" ht="18.75" customHeight="1" spans="1:10">
      <c r="A16" s="62" t="s">
        <v>23</v>
      </c>
      <c r="B16" s="63">
        <v>15</v>
      </c>
      <c r="C16" s="63">
        <v>15</v>
      </c>
      <c r="D16" s="63"/>
      <c r="E16" s="63"/>
      <c r="F16" s="63"/>
      <c r="G16" s="63"/>
      <c r="H16" s="63">
        <f t="shared" ref="H16:H77" si="1">H15-F16-D16+B16</f>
        <v>17.25</v>
      </c>
      <c r="I16" s="63">
        <f t="shared" ref="I16:I77" si="2">I15-E16+C16</f>
        <v>17.25</v>
      </c>
      <c r="J16" s="80">
        <f t="shared" ref="J16:J77" si="3">SUM(H16:I16)</f>
        <v>34.5</v>
      </c>
    </row>
    <row r="17" ht="18.75" customHeight="1" spans="1:10">
      <c r="A17" s="62" t="s">
        <v>24</v>
      </c>
      <c r="B17" s="63"/>
      <c r="C17" s="63"/>
      <c r="D17" s="63"/>
      <c r="E17" s="63"/>
      <c r="F17" s="63">
        <v>5</v>
      </c>
      <c r="G17" s="63"/>
      <c r="H17" s="63">
        <f t="shared" si="1"/>
        <v>12.25</v>
      </c>
      <c r="I17" s="63">
        <f t="shared" si="2"/>
        <v>17.25</v>
      </c>
      <c r="J17" s="80">
        <f t="shared" si="3"/>
        <v>29.5</v>
      </c>
    </row>
    <row r="18" ht="18.75" customHeight="1" spans="1:10">
      <c r="A18" s="62" t="s">
        <v>25</v>
      </c>
      <c r="B18" s="63">
        <v>1.25</v>
      </c>
      <c r="C18" s="63">
        <v>1.25</v>
      </c>
      <c r="D18" s="63"/>
      <c r="E18" s="63"/>
      <c r="F18" s="63"/>
      <c r="G18" s="63"/>
      <c r="H18" s="63">
        <f t="shared" si="1"/>
        <v>13.5</v>
      </c>
      <c r="I18" s="63">
        <f t="shared" si="2"/>
        <v>18.5</v>
      </c>
      <c r="J18" s="80">
        <f t="shared" si="3"/>
        <v>32</v>
      </c>
    </row>
    <row r="19" ht="18.75" customHeight="1" spans="1:10">
      <c r="A19" s="62" t="s">
        <v>26</v>
      </c>
      <c r="B19" s="63"/>
      <c r="C19" s="63"/>
      <c r="D19" s="63"/>
      <c r="E19" s="63">
        <v>9</v>
      </c>
      <c r="F19" s="63"/>
      <c r="G19" s="63"/>
      <c r="H19" s="63">
        <f t="shared" si="1"/>
        <v>13.5</v>
      </c>
      <c r="I19" s="63">
        <f t="shared" si="2"/>
        <v>9.5</v>
      </c>
      <c r="J19" s="80">
        <f t="shared" si="3"/>
        <v>23</v>
      </c>
    </row>
    <row r="20" ht="18.75" customHeight="1" spans="1:10">
      <c r="A20" s="62" t="s">
        <v>27</v>
      </c>
      <c r="B20" s="63">
        <f>1.25*7</f>
        <v>8.75</v>
      </c>
      <c r="C20" s="63">
        <v>8.75</v>
      </c>
      <c r="D20" s="63"/>
      <c r="E20" s="63"/>
      <c r="F20" s="63"/>
      <c r="G20" s="63"/>
      <c r="H20" s="63">
        <f t="shared" si="1"/>
        <v>22.25</v>
      </c>
      <c r="I20" s="63">
        <f t="shared" si="2"/>
        <v>18.25</v>
      </c>
      <c r="J20" s="80">
        <f t="shared" si="3"/>
        <v>40.5</v>
      </c>
    </row>
    <row r="21" ht="18.75" customHeight="1" spans="1:10">
      <c r="A21" s="62" t="s">
        <v>28</v>
      </c>
      <c r="B21" s="63"/>
      <c r="C21" s="63"/>
      <c r="D21" s="63"/>
      <c r="E21" s="63"/>
      <c r="F21" s="63">
        <v>2</v>
      </c>
      <c r="G21" s="63"/>
      <c r="H21" s="63">
        <f t="shared" si="1"/>
        <v>20.25</v>
      </c>
      <c r="I21" s="63">
        <f t="shared" si="2"/>
        <v>18.25</v>
      </c>
      <c r="J21" s="80">
        <f t="shared" si="3"/>
        <v>38.5</v>
      </c>
    </row>
    <row r="22" ht="18.75" customHeight="1" spans="1:10">
      <c r="A22" s="62" t="s">
        <v>29</v>
      </c>
      <c r="B22" s="63">
        <f>1.25*4</f>
        <v>5</v>
      </c>
      <c r="C22" s="63">
        <v>5</v>
      </c>
      <c r="D22" s="63"/>
      <c r="E22" s="63"/>
      <c r="F22" s="63"/>
      <c r="G22" s="63"/>
      <c r="H22" s="63">
        <f t="shared" si="1"/>
        <v>25.25</v>
      </c>
      <c r="I22" s="63">
        <f t="shared" si="2"/>
        <v>23.25</v>
      </c>
      <c r="J22" s="80">
        <f t="shared" si="3"/>
        <v>48.5</v>
      </c>
    </row>
    <row r="23" ht="18.75" customHeight="1" spans="1:10">
      <c r="A23" s="62" t="s">
        <v>30</v>
      </c>
      <c r="B23" s="63"/>
      <c r="C23" s="63"/>
      <c r="D23" s="63"/>
      <c r="E23" s="63"/>
      <c r="F23" s="63">
        <v>3</v>
      </c>
      <c r="G23" s="63"/>
      <c r="H23" s="63">
        <f t="shared" si="1"/>
        <v>22.25</v>
      </c>
      <c r="I23" s="63">
        <f t="shared" si="2"/>
        <v>23.25</v>
      </c>
      <c r="J23" s="80">
        <f t="shared" si="3"/>
        <v>45.5</v>
      </c>
    </row>
    <row r="24" ht="18.75" customHeight="1" spans="1:10">
      <c r="A24" s="62" t="s">
        <v>31</v>
      </c>
      <c r="B24" s="63">
        <v>15</v>
      </c>
      <c r="C24" s="63">
        <v>15</v>
      </c>
      <c r="D24" s="63"/>
      <c r="E24" s="63"/>
      <c r="F24" s="63"/>
      <c r="G24" s="63"/>
      <c r="H24" s="63">
        <f t="shared" si="1"/>
        <v>37.25</v>
      </c>
      <c r="I24" s="63">
        <f t="shared" si="2"/>
        <v>38.25</v>
      </c>
      <c r="J24" s="80">
        <f t="shared" si="3"/>
        <v>75.5</v>
      </c>
    </row>
    <row r="25" ht="18.75" customHeight="1" spans="1:10">
      <c r="A25" s="62" t="s">
        <v>32</v>
      </c>
      <c r="B25" s="63"/>
      <c r="C25" s="63"/>
      <c r="D25" s="63"/>
      <c r="E25" s="63">
        <v>3</v>
      </c>
      <c r="F25" s="63"/>
      <c r="G25" s="63"/>
      <c r="H25" s="63">
        <f t="shared" si="1"/>
        <v>37.25</v>
      </c>
      <c r="I25" s="63">
        <f t="shared" si="2"/>
        <v>35.25</v>
      </c>
      <c r="J25" s="80">
        <f t="shared" si="3"/>
        <v>72.5</v>
      </c>
    </row>
    <row r="26" ht="18.75" customHeight="1" spans="1:10">
      <c r="A26" s="62" t="s">
        <v>33</v>
      </c>
      <c r="B26" s="63"/>
      <c r="C26" s="63"/>
      <c r="D26" s="63"/>
      <c r="E26" s="63"/>
      <c r="F26" s="63">
        <v>5</v>
      </c>
      <c r="G26" s="63"/>
      <c r="H26" s="63">
        <f t="shared" si="1"/>
        <v>32.25</v>
      </c>
      <c r="I26" s="63">
        <f t="shared" si="2"/>
        <v>35.25</v>
      </c>
      <c r="J26" s="80">
        <f t="shared" si="3"/>
        <v>67.5</v>
      </c>
    </row>
    <row r="27" ht="18.75" customHeight="1" spans="1:10">
      <c r="A27" s="62" t="s">
        <v>34</v>
      </c>
      <c r="B27" s="63">
        <v>15</v>
      </c>
      <c r="C27" s="63">
        <v>15</v>
      </c>
      <c r="D27" s="63"/>
      <c r="E27" s="63"/>
      <c r="F27" s="63"/>
      <c r="G27" s="63"/>
      <c r="H27" s="63">
        <f t="shared" si="1"/>
        <v>47.25</v>
      </c>
      <c r="I27" s="63">
        <f t="shared" si="2"/>
        <v>50.25</v>
      </c>
      <c r="J27" s="80">
        <f t="shared" si="3"/>
        <v>97.5</v>
      </c>
    </row>
    <row r="28" ht="18.75" customHeight="1" spans="1:10">
      <c r="A28" s="62" t="s">
        <v>35</v>
      </c>
      <c r="B28" s="63"/>
      <c r="C28" s="63"/>
      <c r="D28" s="63">
        <v>10</v>
      </c>
      <c r="E28" s="63"/>
      <c r="F28" s="63"/>
      <c r="G28" s="63"/>
      <c r="H28" s="63">
        <f t="shared" si="1"/>
        <v>37.25</v>
      </c>
      <c r="I28" s="63">
        <f t="shared" si="2"/>
        <v>50.25</v>
      </c>
      <c r="J28" s="80">
        <f t="shared" si="3"/>
        <v>87.5</v>
      </c>
    </row>
    <row r="29" ht="18.75" customHeight="1" spans="1:10">
      <c r="A29" s="62" t="s">
        <v>36</v>
      </c>
      <c r="B29" s="63"/>
      <c r="C29" s="63"/>
      <c r="D29" s="63"/>
      <c r="E29" s="63"/>
      <c r="F29" s="63">
        <v>2</v>
      </c>
      <c r="G29" s="63"/>
      <c r="H29" s="63">
        <f t="shared" si="1"/>
        <v>35.25</v>
      </c>
      <c r="I29" s="63">
        <f t="shared" si="2"/>
        <v>50.25</v>
      </c>
      <c r="J29" s="80">
        <f t="shared" si="3"/>
        <v>85.5</v>
      </c>
    </row>
    <row r="30" ht="18.75" customHeight="1" spans="1:10">
      <c r="A30" s="62" t="s">
        <v>37</v>
      </c>
      <c r="B30" s="63"/>
      <c r="C30" s="63"/>
      <c r="D30" s="63"/>
      <c r="E30" s="63"/>
      <c r="F30" s="63">
        <v>3</v>
      </c>
      <c r="G30" s="63"/>
      <c r="H30" s="63">
        <f t="shared" si="1"/>
        <v>32.25</v>
      </c>
      <c r="I30" s="63">
        <f t="shared" si="2"/>
        <v>50.25</v>
      </c>
      <c r="J30" s="80">
        <f t="shared" si="3"/>
        <v>82.5</v>
      </c>
    </row>
    <row r="31" ht="18.75" customHeight="1" spans="1:10">
      <c r="A31" s="62" t="s">
        <v>38</v>
      </c>
      <c r="B31" s="63">
        <v>15</v>
      </c>
      <c r="C31" s="63">
        <v>15</v>
      </c>
      <c r="D31" s="63"/>
      <c r="E31" s="63"/>
      <c r="F31" s="63"/>
      <c r="G31" s="63"/>
      <c r="H31" s="63">
        <f t="shared" si="1"/>
        <v>47.25</v>
      </c>
      <c r="I31" s="63">
        <f t="shared" si="2"/>
        <v>65.25</v>
      </c>
      <c r="J31" s="80">
        <f t="shared" si="3"/>
        <v>112.5</v>
      </c>
    </row>
    <row r="32" ht="18.75" customHeight="1" spans="1:10">
      <c r="A32" s="62" t="s">
        <v>39</v>
      </c>
      <c r="B32" s="63"/>
      <c r="C32" s="63"/>
      <c r="D32" s="63"/>
      <c r="E32" s="63"/>
      <c r="F32" s="63">
        <v>1</v>
      </c>
      <c r="G32" s="63"/>
      <c r="H32" s="63">
        <f t="shared" si="1"/>
        <v>46.25</v>
      </c>
      <c r="I32" s="63">
        <f t="shared" si="2"/>
        <v>65.25</v>
      </c>
      <c r="J32" s="80">
        <f t="shared" si="3"/>
        <v>111.5</v>
      </c>
    </row>
    <row r="33" ht="18.75" customHeight="1" spans="1:10">
      <c r="A33" s="62" t="s">
        <v>40</v>
      </c>
      <c r="B33" s="63"/>
      <c r="C33" s="63"/>
      <c r="D33" s="63"/>
      <c r="E33" s="63"/>
      <c r="F33" s="63">
        <v>1</v>
      </c>
      <c r="G33" s="63"/>
      <c r="H33" s="63">
        <f t="shared" si="1"/>
        <v>45.25</v>
      </c>
      <c r="I33" s="63">
        <f t="shared" si="2"/>
        <v>65.25</v>
      </c>
      <c r="J33" s="80">
        <f t="shared" si="3"/>
        <v>110.5</v>
      </c>
    </row>
    <row r="34" ht="18.75" customHeight="1" spans="1:10">
      <c r="A34" s="62" t="s">
        <v>41</v>
      </c>
      <c r="B34" s="63"/>
      <c r="C34" s="63"/>
      <c r="D34" s="63"/>
      <c r="E34" s="63"/>
      <c r="F34" s="63">
        <v>1</v>
      </c>
      <c r="G34" s="63"/>
      <c r="H34" s="63">
        <f t="shared" si="1"/>
        <v>44.25</v>
      </c>
      <c r="I34" s="63">
        <f t="shared" si="2"/>
        <v>65.25</v>
      </c>
      <c r="J34" s="80">
        <f t="shared" si="3"/>
        <v>109.5</v>
      </c>
    </row>
    <row r="35" ht="18.75" customHeight="1" spans="1:10">
      <c r="A35" s="62" t="s">
        <v>42</v>
      </c>
      <c r="B35" s="63"/>
      <c r="C35" s="63"/>
      <c r="D35" s="63"/>
      <c r="E35" s="63"/>
      <c r="F35" s="63">
        <v>1</v>
      </c>
      <c r="G35" s="63"/>
      <c r="H35" s="63">
        <f t="shared" si="1"/>
        <v>43.25</v>
      </c>
      <c r="I35" s="63">
        <f t="shared" si="2"/>
        <v>65.25</v>
      </c>
      <c r="J35" s="80">
        <f t="shared" si="3"/>
        <v>108.5</v>
      </c>
    </row>
    <row r="36" ht="18.75" customHeight="1" spans="1:10">
      <c r="A36" s="62" t="s">
        <v>43</v>
      </c>
      <c r="B36" s="63"/>
      <c r="C36" s="63"/>
      <c r="D36" s="63"/>
      <c r="E36" s="63">
        <v>1</v>
      </c>
      <c r="F36" s="63"/>
      <c r="G36" s="63"/>
      <c r="H36" s="63">
        <f t="shared" si="1"/>
        <v>43.25</v>
      </c>
      <c r="I36" s="63">
        <f t="shared" si="2"/>
        <v>64.25</v>
      </c>
      <c r="J36" s="80">
        <f t="shared" si="3"/>
        <v>107.5</v>
      </c>
    </row>
    <row r="37" ht="18.75" customHeight="1" spans="1:10">
      <c r="A37" s="62" t="s">
        <v>44</v>
      </c>
      <c r="B37" s="63"/>
      <c r="C37" s="63"/>
      <c r="D37" s="63"/>
      <c r="E37" s="63"/>
      <c r="F37" s="63">
        <v>1</v>
      </c>
      <c r="G37" s="63"/>
      <c r="H37" s="63">
        <f t="shared" si="1"/>
        <v>42.25</v>
      </c>
      <c r="I37" s="63">
        <f t="shared" si="2"/>
        <v>64.25</v>
      </c>
      <c r="J37" s="80">
        <f t="shared" si="3"/>
        <v>106.5</v>
      </c>
    </row>
    <row r="38" ht="18.75" customHeight="1" spans="1:10">
      <c r="A38" s="62" t="s">
        <v>45</v>
      </c>
      <c r="B38" s="63"/>
      <c r="C38" s="63"/>
      <c r="D38" s="63">
        <v>29</v>
      </c>
      <c r="E38" s="63"/>
      <c r="F38" s="63"/>
      <c r="G38" s="63"/>
      <c r="H38" s="63">
        <f t="shared" si="1"/>
        <v>13.25</v>
      </c>
      <c r="I38" s="63">
        <f t="shared" si="2"/>
        <v>64.25</v>
      </c>
      <c r="J38" s="80">
        <f t="shared" si="3"/>
        <v>77.5</v>
      </c>
    </row>
    <row r="39" ht="18.75" customHeight="1" spans="1:10">
      <c r="A39" s="62" t="s">
        <v>46</v>
      </c>
      <c r="B39" s="63"/>
      <c r="C39" s="63"/>
      <c r="D39" s="63">
        <v>1</v>
      </c>
      <c r="E39" s="63"/>
      <c r="F39" s="63"/>
      <c r="G39" s="63"/>
      <c r="H39" s="63">
        <f t="shared" si="1"/>
        <v>12.25</v>
      </c>
      <c r="I39" s="63">
        <f t="shared" si="2"/>
        <v>64.25</v>
      </c>
      <c r="J39" s="80">
        <f t="shared" si="3"/>
        <v>76.5</v>
      </c>
    </row>
    <row r="40" ht="18.75" customHeight="1" spans="1:10">
      <c r="A40" s="62" t="s">
        <v>47</v>
      </c>
      <c r="B40" s="63"/>
      <c r="C40" s="63"/>
      <c r="D40" s="63"/>
      <c r="E40" s="63">
        <v>1</v>
      </c>
      <c r="F40" s="63"/>
      <c r="G40" s="63"/>
      <c r="H40" s="63">
        <f t="shared" si="1"/>
        <v>12.25</v>
      </c>
      <c r="I40" s="63">
        <f t="shared" si="2"/>
        <v>63.25</v>
      </c>
      <c r="J40" s="80">
        <f t="shared" si="3"/>
        <v>75.5</v>
      </c>
    </row>
    <row r="41" ht="18.75" customHeight="1" spans="1:10">
      <c r="A41" s="62" t="s">
        <v>48</v>
      </c>
      <c r="B41" s="63">
        <v>1.25</v>
      </c>
      <c r="C41" s="63">
        <v>1.25</v>
      </c>
      <c r="D41" s="63"/>
      <c r="E41" s="63"/>
      <c r="F41" s="63"/>
      <c r="G41" s="63"/>
      <c r="H41" s="63">
        <f t="shared" si="1"/>
        <v>13.5</v>
      </c>
      <c r="I41" s="63">
        <f t="shared" si="2"/>
        <v>64.5</v>
      </c>
      <c r="J41" s="80">
        <f t="shared" si="3"/>
        <v>78</v>
      </c>
    </row>
    <row r="42" ht="18.75" customHeight="1" spans="1:10">
      <c r="A42" s="62" t="s">
        <v>49</v>
      </c>
      <c r="B42" s="63"/>
      <c r="C42" s="63"/>
      <c r="D42" s="63"/>
      <c r="E42" s="63"/>
      <c r="F42" s="63">
        <v>1</v>
      </c>
      <c r="G42" s="63"/>
      <c r="H42" s="63">
        <f t="shared" si="1"/>
        <v>12.5</v>
      </c>
      <c r="I42" s="63">
        <f t="shared" si="2"/>
        <v>64.5</v>
      </c>
      <c r="J42" s="80">
        <f t="shared" si="3"/>
        <v>77</v>
      </c>
    </row>
    <row r="43" ht="18.75" customHeight="1" spans="1:10">
      <c r="A43" s="62" t="s">
        <v>50</v>
      </c>
      <c r="B43" s="64"/>
      <c r="C43" s="63"/>
      <c r="D43" s="63"/>
      <c r="E43" s="63">
        <v>2.5</v>
      </c>
      <c r="F43" s="63"/>
      <c r="G43" s="63"/>
      <c r="H43" s="63">
        <f t="shared" si="1"/>
        <v>12.5</v>
      </c>
      <c r="I43" s="63">
        <f t="shared" si="2"/>
        <v>62</v>
      </c>
      <c r="J43" s="80">
        <f t="shared" si="3"/>
        <v>74.5</v>
      </c>
    </row>
    <row r="44" ht="18.75" customHeight="1" spans="1:10">
      <c r="A44" s="62" t="s">
        <v>51</v>
      </c>
      <c r="B44" s="63">
        <v>1.25</v>
      </c>
      <c r="C44" s="63">
        <v>1.25</v>
      </c>
      <c r="D44" s="63"/>
      <c r="E44" s="63"/>
      <c r="F44" s="63"/>
      <c r="G44" s="63"/>
      <c r="H44" s="63">
        <f t="shared" si="1"/>
        <v>13.75</v>
      </c>
      <c r="I44" s="63">
        <f t="shared" si="2"/>
        <v>63.25</v>
      </c>
      <c r="J44" s="80">
        <f t="shared" si="3"/>
        <v>77</v>
      </c>
    </row>
    <row r="45" ht="18.75" customHeight="1" spans="1:10">
      <c r="A45" s="62" t="s">
        <v>52</v>
      </c>
      <c r="B45" s="63"/>
      <c r="C45" s="63"/>
      <c r="D45" s="63"/>
      <c r="E45" s="63"/>
      <c r="F45" s="63">
        <v>1</v>
      </c>
      <c r="G45" s="63"/>
      <c r="H45" s="63">
        <f t="shared" si="1"/>
        <v>12.75</v>
      </c>
      <c r="I45" s="63">
        <f t="shared" si="2"/>
        <v>63.25</v>
      </c>
      <c r="J45" s="80">
        <f t="shared" si="3"/>
        <v>76</v>
      </c>
    </row>
    <row r="46" ht="18.75" customHeight="1" spans="1:10">
      <c r="A46" s="62" t="s">
        <v>53</v>
      </c>
      <c r="B46" s="63">
        <v>1.25</v>
      </c>
      <c r="C46" s="63">
        <v>1.25</v>
      </c>
      <c r="D46" s="63"/>
      <c r="E46" s="63"/>
      <c r="F46" s="63"/>
      <c r="G46" s="63"/>
      <c r="H46" s="63">
        <f t="shared" si="1"/>
        <v>14</v>
      </c>
      <c r="I46" s="63">
        <f t="shared" si="2"/>
        <v>64.5</v>
      </c>
      <c r="J46" s="80">
        <f t="shared" si="3"/>
        <v>78.5</v>
      </c>
    </row>
    <row r="47" ht="18.75" customHeight="1" spans="1:10">
      <c r="A47" s="62" t="s">
        <v>54</v>
      </c>
      <c r="B47" s="63"/>
      <c r="C47" s="63"/>
      <c r="D47" s="63"/>
      <c r="E47" s="63"/>
      <c r="F47" s="63">
        <v>1</v>
      </c>
      <c r="G47" s="63"/>
      <c r="H47" s="63">
        <f t="shared" si="1"/>
        <v>13</v>
      </c>
      <c r="I47" s="63">
        <f t="shared" si="2"/>
        <v>64.5</v>
      </c>
      <c r="J47" s="80">
        <f t="shared" si="3"/>
        <v>77.5</v>
      </c>
    </row>
    <row r="48" ht="18.75" customHeight="1" spans="1:10">
      <c r="A48" s="62" t="s">
        <v>55</v>
      </c>
      <c r="B48" s="63"/>
      <c r="C48" s="63"/>
      <c r="D48" s="63"/>
      <c r="E48" s="63"/>
      <c r="F48" s="63"/>
      <c r="G48" s="65">
        <v>1</v>
      </c>
      <c r="H48" s="63">
        <f t="shared" si="1"/>
        <v>13</v>
      </c>
      <c r="I48" s="63">
        <f t="shared" si="2"/>
        <v>64.5</v>
      </c>
      <c r="J48" s="80">
        <f t="shared" si="3"/>
        <v>77.5</v>
      </c>
    </row>
    <row r="49" ht="18.75" customHeight="1" spans="1:10">
      <c r="A49" s="62" t="s">
        <v>56</v>
      </c>
      <c r="B49" s="63">
        <v>1.25</v>
      </c>
      <c r="C49" s="63">
        <v>1.25</v>
      </c>
      <c r="D49" s="63"/>
      <c r="E49" s="63"/>
      <c r="F49" s="63"/>
      <c r="G49" s="63"/>
      <c r="H49" s="63">
        <f t="shared" si="1"/>
        <v>14.25</v>
      </c>
      <c r="I49" s="63">
        <f t="shared" si="2"/>
        <v>65.75</v>
      </c>
      <c r="J49" s="80">
        <f t="shared" si="3"/>
        <v>80</v>
      </c>
    </row>
    <row r="50" ht="18.75" customHeight="1" spans="1:10">
      <c r="A50" s="62" t="s">
        <v>57</v>
      </c>
      <c r="B50" s="63"/>
      <c r="C50" s="63"/>
      <c r="D50" s="63"/>
      <c r="E50" s="63"/>
      <c r="F50" s="63">
        <v>1</v>
      </c>
      <c r="G50" s="63"/>
      <c r="H50" s="63">
        <f t="shared" si="1"/>
        <v>13.25</v>
      </c>
      <c r="I50" s="63">
        <f t="shared" si="2"/>
        <v>65.75</v>
      </c>
      <c r="J50" s="80">
        <f t="shared" si="3"/>
        <v>79</v>
      </c>
    </row>
    <row r="51" ht="18.75" customHeight="1" spans="1:10">
      <c r="A51" s="62" t="s">
        <v>58</v>
      </c>
      <c r="B51" s="63">
        <v>1.25</v>
      </c>
      <c r="C51" s="63">
        <v>1.25</v>
      </c>
      <c r="D51" s="63"/>
      <c r="E51" s="63"/>
      <c r="F51" s="63"/>
      <c r="G51" s="63"/>
      <c r="H51" s="63">
        <f t="shared" si="1"/>
        <v>14.5</v>
      </c>
      <c r="I51" s="63">
        <f t="shared" si="2"/>
        <v>67</v>
      </c>
      <c r="J51" s="80">
        <f t="shared" si="3"/>
        <v>81.5</v>
      </c>
    </row>
    <row r="52" ht="18.75" customHeight="1" spans="1:10">
      <c r="A52" s="62" t="s">
        <v>59</v>
      </c>
      <c r="B52" s="63"/>
      <c r="C52" s="63"/>
      <c r="D52" s="63"/>
      <c r="E52" s="63"/>
      <c r="F52" s="63">
        <v>1</v>
      </c>
      <c r="G52" s="63"/>
      <c r="H52" s="63">
        <f t="shared" si="1"/>
        <v>13.5</v>
      </c>
      <c r="I52" s="63">
        <f t="shared" si="2"/>
        <v>67</v>
      </c>
      <c r="J52" s="80">
        <f t="shared" si="3"/>
        <v>80.5</v>
      </c>
    </row>
    <row r="53" ht="18.75" customHeight="1" spans="1:10">
      <c r="A53" s="62" t="s">
        <v>60</v>
      </c>
      <c r="B53" s="63">
        <v>3.75</v>
      </c>
      <c r="C53" s="63">
        <v>3.75</v>
      </c>
      <c r="D53" s="63"/>
      <c r="E53" s="63"/>
      <c r="F53" s="63"/>
      <c r="G53" s="63"/>
      <c r="H53" s="63">
        <f t="shared" si="1"/>
        <v>17.25</v>
      </c>
      <c r="I53" s="63">
        <f t="shared" si="2"/>
        <v>70.75</v>
      </c>
      <c r="J53" s="80">
        <f t="shared" si="3"/>
        <v>88</v>
      </c>
    </row>
    <row r="54" ht="18.75" customHeight="1" spans="1:10">
      <c r="A54" s="62" t="s">
        <v>61</v>
      </c>
      <c r="B54" s="63"/>
      <c r="C54" s="63"/>
      <c r="D54" s="63"/>
      <c r="E54" s="63">
        <v>1</v>
      </c>
      <c r="F54" s="63"/>
      <c r="G54" s="63"/>
      <c r="H54" s="63">
        <f t="shared" si="1"/>
        <v>17.25</v>
      </c>
      <c r="I54" s="63">
        <f t="shared" si="2"/>
        <v>69.75</v>
      </c>
      <c r="J54" s="80">
        <f t="shared" si="3"/>
        <v>87</v>
      </c>
    </row>
    <row r="55" ht="18.75" customHeight="1" spans="1:10">
      <c r="A55" s="62" t="s">
        <v>62</v>
      </c>
      <c r="B55" s="63"/>
      <c r="C55" s="63"/>
      <c r="D55" s="63"/>
      <c r="E55" s="63"/>
      <c r="F55" s="63"/>
      <c r="G55" s="65">
        <v>1</v>
      </c>
      <c r="H55" s="63">
        <f t="shared" si="1"/>
        <v>17.25</v>
      </c>
      <c r="I55" s="63">
        <f t="shared" si="2"/>
        <v>69.75</v>
      </c>
      <c r="J55" s="80">
        <f t="shared" si="3"/>
        <v>87</v>
      </c>
    </row>
    <row r="56" ht="18.75" customHeight="1" spans="1:10">
      <c r="A56" s="62" t="s">
        <v>63</v>
      </c>
      <c r="B56" s="63"/>
      <c r="C56" s="63"/>
      <c r="D56" s="63">
        <v>15</v>
      </c>
      <c r="E56" s="63">
        <v>14</v>
      </c>
      <c r="F56" s="63"/>
      <c r="G56" s="63"/>
      <c r="H56" s="63">
        <f t="shared" si="1"/>
        <v>2.25</v>
      </c>
      <c r="I56" s="63">
        <f t="shared" si="2"/>
        <v>55.75</v>
      </c>
      <c r="J56" s="80">
        <f t="shared" si="3"/>
        <v>58</v>
      </c>
    </row>
    <row r="57" ht="18.75" customHeight="1" spans="1:10">
      <c r="A57" s="62" t="s">
        <v>64</v>
      </c>
      <c r="B57" s="63">
        <v>2.5</v>
      </c>
      <c r="C57" s="63">
        <v>2.5</v>
      </c>
      <c r="D57" s="63"/>
      <c r="E57" s="63"/>
      <c r="F57" s="63"/>
      <c r="G57" s="63"/>
      <c r="H57" s="63">
        <f t="shared" si="1"/>
        <v>4.75</v>
      </c>
      <c r="I57" s="63">
        <f t="shared" si="2"/>
        <v>58.25</v>
      </c>
      <c r="J57" s="80">
        <f t="shared" si="3"/>
        <v>63</v>
      </c>
    </row>
    <row r="58" ht="18.75" customHeight="1" spans="1:10">
      <c r="A58" s="66" t="s">
        <v>65</v>
      </c>
      <c r="B58" s="63"/>
      <c r="C58" s="63"/>
      <c r="D58" s="63"/>
      <c r="E58" s="63">
        <v>1</v>
      </c>
      <c r="F58" s="63"/>
      <c r="G58" s="63"/>
      <c r="H58" s="63">
        <f t="shared" si="1"/>
        <v>4.75</v>
      </c>
      <c r="I58" s="63">
        <f t="shared" si="2"/>
        <v>57.25</v>
      </c>
      <c r="J58" s="80">
        <f t="shared" si="3"/>
        <v>62</v>
      </c>
    </row>
    <row r="59" ht="18.75" customHeight="1" spans="1:10">
      <c r="A59" s="67" t="s">
        <v>66</v>
      </c>
      <c r="B59" s="63">
        <v>1.25</v>
      </c>
      <c r="C59" s="63">
        <v>1.25</v>
      </c>
      <c r="D59" s="68"/>
      <c r="E59" s="68"/>
      <c r="F59" s="68"/>
      <c r="G59" s="68"/>
      <c r="H59" s="63">
        <f t="shared" si="1"/>
        <v>6</v>
      </c>
      <c r="I59" s="63">
        <f t="shared" si="2"/>
        <v>58.5</v>
      </c>
      <c r="J59" s="63">
        <f t="shared" si="3"/>
        <v>64.5</v>
      </c>
    </row>
    <row r="60" spans="1:10">
      <c r="A60" s="66" t="s">
        <v>67</v>
      </c>
      <c r="B60" s="69"/>
      <c r="C60" s="69"/>
      <c r="D60" s="69"/>
      <c r="E60" s="70">
        <v>1</v>
      </c>
      <c r="F60" s="69"/>
      <c r="G60" s="71"/>
      <c r="H60" s="63">
        <f t="shared" si="1"/>
        <v>6</v>
      </c>
      <c r="I60" s="63">
        <f t="shared" si="2"/>
        <v>57.5</v>
      </c>
      <c r="J60" s="80">
        <f t="shared" si="3"/>
        <v>63.5</v>
      </c>
    </row>
    <row r="61" spans="1:10">
      <c r="A61" s="72" t="s">
        <v>68</v>
      </c>
      <c r="B61" s="63">
        <v>1.25</v>
      </c>
      <c r="C61" s="63">
        <v>1.25</v>
      </c>
      <c r="D61" s="69"/>
      <c r="E61" s="69"/>
      <c r="F61" s="69"/>
      <c r="G61" s="73"/>
      <c r="H61" s="63">
        <f t="shared" si="1"/>
        <v>7.25</v>
      </c>
      <c r="I61" s="63">
        <f t="shared" si="2"/>
        <v>58.75</v>
      </c>
      <c r="J61" s="80">
        <f t="shared" si="3"/>
        <v>66</v>
      </c>
    </row>
    <row r="62" spans="1:10">
      <c r="A62" s="66" t="s">
        <v>69</v>
      </c>
      <c r="B62" s="69"/>
      <c r="C62" s="69"/>
      <c r="D62" s="69"/>
      <c r="E62" s="69"/>
      <c r="F62" s="70">
        <v>1</v>
      </c>
      <c r="G62" s="63"/>
      <c r="H62" s="63">
        <f t="shared" si="1"/>
        <v>6.25</v>
      </c>
      <c r="I62" s="63">
        <f t="shared" si="2"/>
        <v>58.75</v>
      </c>
      <c r="J62" s="80">
        <f t="shared" si="3"/>
        <v>65</v>
      </c>
    </row>
    <row r="63" spans="1:10">
      <c r="A63" s="72" t="s">
        <v>70</v>
      </c>
      <c r="B63" s="70">
        <v>2.5</v>
      </c>
      <c r="C63" s="70">
        <v>2.5</v>
      </c>
      <c r="D63" s="69"/>
      <c r="E63" s="69"/>
      <c r="F63" s="70"/>
      <c r="G63" s="63"/>
      <c r="H63" s="63">
        <f t="shared" si="1"/>
        <v>8.75</v>
      </c>
      <c r="I63" s="63">
        <f t="shared" si="2"/>
        <v>61.25</v>
      </c>
      <c r="J63" s="80">
        <f t="shared" si="3"/>
        <v>70</v>
      </c>
    </row>
    <row r="64" spans="1:10">
      <c r="A64" s="74" t="s">
        <v>71</v>
      </c>
      <c r="B64" s="69"/>
      <c r="C64" s="69"/>
      <c r="D64" s="69"/>
      <c r="E64" s="69"/>
      <c r="F64" s="70">
        <v>1</v>
      </c>
      <c r="G64" s="63"/>
      <c r="H64" s="63">
        <f t="shared" si="1"/>
        <v>7.75</v>
      </c>
      <c r="I64" s="63">
        <f t="shared" si="2"/>
        <v>61.25</v>
      </c>
      <c r="J64" s="80">
        <f t="shared" si="3"/>
        <v>69</v>
      </c>
    </row>
    <row r="65" spans="1:10">
      <c r="A65" s="74" t="s">
        <v>72</v>
      </c>
      <c r="B65" s="69"/>
      <c r="C65" s="69"/>
      <c r="D65" s="69"/>
      <c r="E65" s="70">
        <v>0.5</v>
      </c>
      <c r="F65" s="69"/>
      <c r="G65" s="73"/>
      <c r="H65" s="63">
        <f t="shared" si="1"/>
        <v>7.75</v>
      </c>
      <c r="I65" s="63">
        <f t="shared" si="2"/>
        <v>60.75</v>
      </c>
      <c r="J65" s="80">
        <f t="shared" si="3"/>
        <v>68.5</v>
      </c>
    </row>
    <row r="66" spans="1:10">
      <c r="A66" s="81" t="s">
        <v>73</v>
      </c>
      <c r="B66" s="69">
        <v>2.5</v>
      </c>
      <c r="C66" s="69">
        <v>2.5</v>
      </c>
      <c r="D66" s="69"/>
      <c r="E66" s="69"/>
      <c r="F66" s="69"/>
      <c r="G66" s="73"/>
      <c r="H66" s="63">
        <f t="shared" si="1"/>
        <v>10.25</v>
      </c>
      <c r="I66" s="63">
        <f t="shared" si="2"/>
        <v>63.25</v>
      </c>
      <c r="J66" s="80">
        <f t="shared" si="3"/>
        <v>73.5</v>
      </c>
    </row>
    <row r="67" spans="1:10">
      <c r="A67" s="81" t="s">
        <v>74</v>
      </c>
      <c r="B67" s="69"/>
      <c r="C67" s="69"/>
      <c r="D67" s="69"/>
      <c r="E67" s="69">
        <v>1</v>
      </c>
      <c r="F67" s="69"/>
      <c r="G67" s="73"/>
      <c r="H67" s="63">
        <f t="shared" si="1"/>
        <v>10.25</v>
      </c>
      <c r="I67" s="63">
        <f t="shared" si="2"/>
        <v>62.25</v>
      </c>
      <c r="J67" s="80">
        <f t="shared" si="3"/>
        <v>72.5</v>
      </c>
    </row>
    <row r="68" spans="1:10">
      <c r="A68" s="74" t="s">
        <v>75</v>
      </c>
      <c r="B68" s="63">
        <v>1.25</v>
      </c>
      <c r="C68" s="63">
        <v>1.25</v>
      </c>
      <c r="D68" s="69"/>
      <c r="E68" s="69"/>
      <c r="F68" s="69"/>
      <c r="G68" s="73"/>
      <c r="H68" s="63">
        <f t="shared" si="1"/>
        <v>11.5</v>
      </c>
      <c r="I68" s="63">
        <f t="shared" si="2"/>
        <v>63.5</v>
      </c>
      <c r="J68" s="80">
        <f t="shared" si="3"/>
        <v>75</v>
      </c>
    </row>
    <row r="69" spans="1:10">
      <c r="A69" s="81" t="s">
        <v>76</v>
      </c>
      <c r="B69" s="69"/>
      <c r="C69" s="69"/>
      <c r="D69" s="69"/>
      <c r="E69" s="69"/>
      <c r="F69" s="69">
        <v>2</v>
      </c>
      <c r="G69" s="73"/>
      <c r="H69" s="63">
        <f t="shared" si="1"/>
        <v>9.5</v>
      </c>
      <c r="I69" s="63">
        <f t="shared" si="2"/>
        <v>63.5</v>
      </c>
      <c r="J69" s="80">
        <f t="shared" si="3"/>
        <v>73</v>
      </c>
    </row>
    <row r="70" spans="1:10">
      <c r="A70" s="81" t="s">
        <v>77</v>
      </c>
      <c r="B70" s="69"/>
      <c r="C70" s="69"/>
      <c r="D70" s="69"/>
      <c r="E70" s="69"/>
      <c r="F70" s="69"/>
      <c r="G70" s="73">
        <v>1</v>
      </c>
      <c r="H70" s="63">
        <f t="shared" si="1"/>
        <v>9.5</v>
      </c>
      <c r="I70" s="63">
        <f t="shared" si="2"/>
        <v>63.5</v>
      </c>
      <c r="J70" s="80">
        <f t="shared" si="3"/>
        <v>73</v>
      </c>
    </row>
    <row r="71" spans="1:10">
      <c r="A71" s="74" t="s">
        <v>78</v>
      </c>
      <c r="B71" s="82">
        <v>3.75</v>
      </c>
      <c r="C71" s="82">
        <v>3.75</v>
      </c>
      <c r="D71" s="83"/>
      <c r="E71" s="83"/>
      <c r="F71" s="83"/>
      <c r="G71" s="84"/>
      <c r="H71" s="63">
        <f t="shared" si="1"/>
        <v>13.25</v>
      </c>
      <c r="I71" s="63">
        <f t="shared" si="2"/>
        <v>67.25</v>
      </c>
      <c r="J71" s="80">
        <f t="shared" si="3"/>
        <v>80.5</v>
      </c>
    </row>
    <row r="72" s="44" customFormat="1" spans="1:10">
      <c r="A72" s="85" t="s">
        <v>79</v>
      </c>
      <c r="B72" s="85"/>
      <c r="C72" s="85"/>
      <c r="D72" s="85"/>
      <c r="E72" s="85">
        <v>0.5</v>
      </c>
      <c r="F72" s="85"/>
      <c r="G72" s="85"/>
      <c r="H72" s="63">
        <f t="shared" si="1"/>
        <v>13.25</v>
      </c>
      <c r="I72" s="63">
        <f t="shared" si="2"/>
        <v>66.75</v>
      </c>
      <c r="J72" s="80">
        <f t="shared" si="3"/>
        <v>80</v>
      </c>
    </row>
    <row r="73" s="44" customFormat="1" spans="1:10">
      <c r="A73" s="85" t="s">
        <v>80</v>
      </c>
      <c r="B73" s="85">
        <v>1.25</v>
      </c>
      <c r="C73" s="85">
        <v>1.25</v>
      </c>
      <c r="D73" s="85"/>
      <c r="E73" s="85"/>
      <c r="F73" s="85"/>
      <c r="G73" s="85"/>
      <c r="H73" s="63">
        <f t="shared" si="1"/>
        <v>14.5</v>
      </c>
      <c r="I73" s="63">
        <f t="shared" si="2"/>
        <v>68</v>
      </c>
      <c r="J73" s="80">
        <f t="shared" si="3"/>
        <v>82.5</v>
      </c>
    </row>
    <row r="74" spans="1:10">
      <c r="A74" s="67" t="s">
        <v>81</v>
      </c>
      <c r="B74" s="67"/>
      <c r="C74" s="67"/>
      <c r="D74" s="67"/>
      <c r="E74" s="67">
        <v>1</v>
      </c>
      <c r="F74" s="67"/>
      <c r="G74" s="85"/>
      <c r="H74" s="63">
        <f t="shared" si="1"/>
        <v>14.5</v>
      </c>
      <c r="I74" s="63">
        <f t="shared" si="2"/>
        <v>67</v>
      </c>
      <c r="J74" s="80">
        <f t="shared" si="3"/>
        <v>81.5</v>
      </c>
    </row>
    <row r="75" spans="1:10">
      <c r="A75" s="67" t="s">
        <v>82</v>
      </c>
      <c r="B75" s="83"/>
      <c r="C75" s="83"/>
      <c r="D75" s="82">
        <v>9</v>
      </c>
      <c r="E75" s="82">
        <v>6</v>
      </c>
      <c r="F75" s="83"/>
      <c r="G75" s="84"/>
      <c r="H75" s="63">
        <f t="shared" si="1"/>
        <v>5.5</v>
      </c>
      <c r="I75" s="63">
        <f t="shared" si="2"/>
        <v>61</v>
      </c>
      <c r="J75" s="80">
        <f t="shared" si="3"/>
        <v>66.5</v>
      </c>
    </row>
    <row r="76" spans="1:10">
      <c r="A76" s="67" t="s">
        <v>83</v>
      </c>
      <c r="B76" s="74">
        <v>1.25</v>
      </c>
      <c r="C76" s="74">
        <v>1.25</v>
      </c>
      <c r="D76" s="82"/>
      <c r="E76" s="82"/>
      <c r="F76" s="83"/>
      <c r="G76" s="84"/>
      <c r="H76" s="63">
        <f t="shared" si="1"/>
        <v>6.75</v>
      </c>
      <c r="I76" s="63">
        <f t="shared" si="2"/>
        <v>62.25</v>
      </c>
      <c r="J76" s="80">
        <f t="shared" si="3"/>
        <v>69</v>
      </c>
    </row>
    <row r="77" spans="1:10">
      <c r="A77" s="67" t="s">
        <v>84</v>
      </c>
      <c r="B77" s="74"/>
      <c r="C77" s="74"/>
      <c r="D77" s="82"/>
      <c r="E77" s="82">
        <v>14</v>
      </c>
      <c r="F77" s="83"/>
      <c r="G77" s="84"/>
      <c r="H77" s="63">
        <f t="shared" si="1"/>
        <v>6.75</v>
      </c>
      <c r="I77" s="63">
        <f t="shared" si="2"/>
        <v>48.25</v>
      </c>
      <c r="J77" s="80">
        <f t="shared" si="3"/>
        <v>55</v>
      </c>
    </row>
    <row r="78" spans="1:10">
      <c r="A78" s="67" t="s">
        <v>85</v>
      </c>
      <c r="B78" s="74"/>
      <c r="C78" s="74"/>
      <c r="D78" s="82"/>
      <c r="E78" s="82">
        <v>1</v>
      </c>
      <c r="F78" s="83"/>
      <c r="G78" s="84"/>
      <c r="H78" s="63">
        <f t="shared" ref="H78:H82" si="4">H77-F78-D78+B78</f>
        <v>6.75</v>
      </c>
      <c r="I78" s="63">
        <f t="shared" ref="I78:I82" si="5">I77-E78+C78</f>
        <v>47.25</v>
      </c>
      <c r="J78" s="80">
        <f t="shared" ref="J78:J82" si="6">SUM(H78:I78)</f>
        <v>54</v>
      </c>
    </row>
    <row r="79" spans="1:10">
      <c r="A79" s="67" t="s">
        <v>86</v>
      </c>
      <c r="B79" s="74"/>
      <c r="C79" s="74"/>
      <c r="D79" s="82"/>
      <c r="E79" s="82"/>
      <c r="F79" s="70">
        <v>1</v>
      </c>
      <c r="G79" s="84"/>
      <c r="H79" s="63">
        <f t="shared" si="4"/>
        <v>5.75</v>
      </c>
      <c r="I79" s="63">
        <f t="shared" si="5"/>
        <v>47.25</v>
      </c>
      <c r="J79" s="80">
        <f t="shared" si="6"/>
        <v>53</v>
      </c>
    </row>
    <row r="80" spans="1:10">
      <c r="A80" s="67" t="s">
        <v>87</v>
      </c>
      <c r="B80" s="69">
        <v>2.5</v>
      </c>
      <c r="C80" s="69">
        <v>2.5</v>
      </c>
      <c r="D80" s="82"/>
      <c r="E80" s="82"/>
      <c r="F80" s="83"/>
      <c r="G80" s="84"/>
      <c r="H80" s="63">
        <f t="shared" si="4"/>
        <v>8.25</v>
      </c>
      <c r="I80" s="63">
        <f t="shared" si="5"/>
        <v>49.75</v>
      </c>
      <c r="J80" s="80">
        <f t="shared" si="6"/>
        <v>58</v>
      </c>
    </row>
    <row r="81" spans="1:10">
      <c r="A81" s="67" t="s">
        <v>88</v>
      </c>
      <c r="B81" s="63">
        <v>1.25</v>
      </c>
      <c r="C81" s="63">
        <v>1.25</v>
      </c>
      <c r="D81" s="82"/>
      <c r="E81" s="82"/>
      <c r="F81" s="83"/>
      <c r="G81" s="84"/>
      <c r="H81" s="63">
        <f t="shared" si="4"/>
        <v>9.5</v>
      </c>
      <c r="I81" s="63">
        <f t="shared" si="5"/>
        <v>51</v>
      </c>
      <c r="J81" s="80">
        <f t="shared" si="6"/>
        <v>60.5</v>
      </c>
    </row>
    <row r="82" spans="1:10">
      <c r="A82" s="67" t="s">
        <v>89</v>
      </c>
      <c r="B82" s="63"/>
      <c r="C82" s="63"/>
      <c r="D82" s="82"/>
      <c r="E82" s="82">
        <v>1</v>
      </c>
      <c r="F82" s="83"/>
      <c r="G82" s="84"/>
      <c r="H82" s="63">
        <f t="shared" si="4"/>
        <v>9.5</v>
      </c>
      <c r="I82" s="63">
        <f t="shared" si="5"/>
        <v>50</v>
      </c>
      <c r="J82" s="80">
        <f t="shared" si="6"/>
        <v>59.5</v>
      </c>
    </row>
    <row r="83" spans="1:10">
      <c r="A83" s="86" t="s">
        <v>90</v>
      </c>
      <c r="B83" s="63">
        <v>3.75</v>
      </c>
      <c r="C83" s="63">
        <v>3.75</v>
      </c>
      <c r="D83" s="82"/>
      <c r="E83" s="82"/>
      <c r="F83" s="83"/>
      <c r="G83" s="84"/>
      <c r="H83" s="63">
        <f t="shared" ref="H83:H84" si="7">H82-F83-D83+B83</f>
        <v>13.25</v>
      </c>
      <c r="I83" s="63">
        <f t="shared" ref="I83:I84" si="8">I82-E83+C83</f>
        <v>53.75</v>
      </c>
      <c r="J83" s="80">
        <f t="shared" ref="J83:J84" si="9">SUM(H83:I83)</f>
        <v>67</v>
      </c>
    </row>
    <row r="84" spans="1:10">
      <c r="A84" s="86" t="s">
        <v>91</v>
      </c>
      <c r="B84" s="63"/>
      <c r="C84" s="63"/>
      <c r="D84" s="82"/>
      <c r="E84" s="82"/>
      <c r="F84" s="74">
        <v>1</v>
      </c>
      <c r="G84" s="74"/>
      <c r="H84" s="63">
        <f t="shared" si="7"/>
        <v>12.25</v>
      </c>
      <c r="I84" s="63">
        <f t="shared" si="8"/>
        <v>53.75</v>
      </c>
      <c r="J84" s="63">
        <f t="shared" si="9"/>
        <v>66</v>
      </c>
    </row>
    <row r="85" spans="1:10">
      <c r="A85" s="86" t="s">
        <v>92</v>
      </c>
      <c r="B85" s="63"/>
      <c r="C85" s="63"/>
      <c r="D85" s="82"/>
      <c r="E85" s="82"/>
      <c r="F85" s="74"/>
      <c r="G85" s="74">
        <v>1</v>
      </c>
      <c r="H85" s="63">
        <f t="shared" ref="H85" si="10">H84-F85-D85+B85</f>
        <v>12.25</v>
      </c>
      <c r="I85" s="63">
        <f t="shared" ref="I85" si="11">I84-E85+C85</f>
        <v>53.75</v>
      </c>
      <c r="J85" s="63">
        <f t="shared" ref="J85" si="12">SUM(H85:I85)</f>
        <v>66</v>
      </c>
    </row>
    <row r="86" spans="1:10">
      <c r="A86" s="86" t="s">
        <v>93</v>
      </c>
      <c r="B86" s="70">
        <v>3.75</v>
      </c>
      <c r="C86" s="70">
        <v>3.75</v>
      </c>
      <c r="D86" s="82"/>
      <c r="E86" s="82"/>
      <c r="F86" s="83"/>
      <c r="G86" s="83"/>
      <c r="H86" s="63">
        <f t="shared" ref="H86" si="13">H85-F86-D86+B86</f>
        <v>16</v>
      </c>
      <c r="I86" s="63">
        <f t="shared" ref="I86" si="14">I85-E86+C86</f>
        <v>57.5</v>
      </c>
      <c r="J86" s="63">
        <f t="shared" ref="J86" si="15">SUM(H86:I86)</f>
        <v>73.5</v>
      </c>
    </row>
    <row r="87" spans="1:10">
      <c r="A87" s="86" t="s">
        <v>94</v>
      </c>
      <c r="B87" s="70"/>
      <c r="C87" s="70"/>
      <c r="D87" s="82">
        <v>11</v>
      </c>
      <c r="E87" s="82">
        <v>14</v>
      </c>
      <c r="F87" s="83"/>
      <c r="G87" s="83"/>
      <c r="H87" s="70">
        <f t="shared" ref="H87" si="16">H86-F87-D87+B87</f>
        <v>5</v>
      </c>
      <c r="I87" s="70">
        <f t="shared" ref="I87" si="17">I86-E87+C87</f>
        <v>43.5</v>
      </c>
      <c r="J87" s="70">
        <f t="shared" ref="J87" si="18">SUM(H87:I87)</f>
        <v>48.5</v>
      </c>
    </row>
    <row r="88" spans="1:10">
      <c r="A88" s="86" t="s">
        <v>95</v>
      </c>
      <c r="B88" s="70"/>
      <c r="C88" s="70"/>
      <c r="D88" s="82"/>
      <c r="E88" s="82">
        <v>2</v>
      </c>
      <c r="F88" s="83"/>
      <c r="G88" s="83"/>
      <c r="H88" s="70">
        <f t="shared" ref="H88" si="19">H87-F88-D88+B88</f>
        <v>5</v>
      </c>
      <c r="I88" s="70">
        <f t="shared" ref="I88" si="20">I87-E88+C88</f>
        <v>41.5</v>
      </c>
      <c r="J88" s="70">
        <f t="shared" ref="J88" si="21">SUM(H88:I88)</f>
        <v>46.5</v>
      </c>
    </row>
    <row r="89" spans="1:10">
      <c r="A89" s="86" t="s">
        <v>96</v>
      </c>
      <c r="B89" s="70"/>
      <c r="C89" s="70"/>
      <c r="D89" s="82"/>
      <c r="E89" s="82">
        <v>2</v>
      </c>
      <c r="F89" s="83"/>
      <c r="G89" s="83"/>
      <c r="H89" s="70">
        <f t="shared" ref="H89" si="22">H88-F89-D89+B89</f>
        <v>5</v>
      </c>
      <c r="I89" s="70">
        <f t="shared" ref="I89" si="23">I88-E89+C89</f>
        <v>39.5</v>
      </c>
      <c r="J89" s="70">
        <f t="shared" ref="J89" si="24">SUM(H89:I89)</f>
        <v>44.5</v>
      </c>
    </row>
    <row r="90" spans="1:10">
      <c r="A90" s="86" t="s">
        <v>97</v>
      </c>
      <c r="B90" s="70">
        <v>2.5</v>
      </c>
      <c r="C90" s="70">
        <v>2.5</v>
      </c>
      <c r="D90" s="82"/>
      <c r="E90" s="82"/>
      <c r="F90" s="83"/>
      <c r="G90" s="83"/>
      <c r="H90" s="70">
        <f t="shared" ref="H90:H91" si="25">H89-F90-D90+B90</f>
        <v>7.5</v>
      </c>
      <c r="I90" s="70">
        <f t="shared" ref="I90:I91" si="26">I89-E90+C90</f>
        <v>42</v>
      </c>
      <c r="J90" s="70">
        <f t="shared" ref="J90:J91" si="27">SUM(H90:I90)</f>
        <v>49.5</v>
      </c>
    </row>
    <row r="91" spans="1:10">
      <c r="A91" s="86" t="s">
        <v>98</v>
      </c>
      <c r="B91" s="70"/>
      <c r="C91" s="70"/>
      <c r="D91" s="82"/>
      <c r="E91" s="82"/>
      <c r="F91" s="83"/>
      <c r="G91" s="74">
        <v>1</v>
      </c>
      <c r="H91" s="70">
        <f t="shared" si="25"/>
        <v>7.5</v>
      </c>
      <c r="I91" s="70">
        <f t="shared" si="26"/>
        <v>42</v>
      </c>
      <c r="J91" s="70">
        <f t="shared" si="27"/>
        <v>49.5</v>
      </c>
    </row>
    <row r="92" spans="1:10">
      <c r="A92" s="86" t="s">
        <v>99</v>
      </c>
      <c r="B92" s="70"/>
      <c r="C92" s="70"/>
      <c r="D92" s="82"/>
      <c r="E92" s="82">
        <v>1</v>
      </c>
      <c r="F92" s="83"/>
      <c r="G92" s="74"/>
      <c r="H92" s="70">
        <f t="shared" ref="H92" si="28">H91-F92-D92+B92</f>
        <v>7.5</v>
      </c>
      <c r="I92" s="70">
        <f t="shared" ref="I92" si="29">I91-E92+C92</f>
        <v>41</v>
      </c>
      <c r="J92" s="70">
        <f t="shared" ref="J92" si="30">SUM(H92:I92)</f>
        <v>48.5</v>
      </c>
    </row>
    <row r="93" spans="1:10">
      <c r="A93" s="86" t="s">
        <v>100</v>
      </c>
      <c r="B93" s="70"/>
      <c r="C93" s="70"/>
      <c r="D93" s="82"/>
      <c r="E93" s="82"/>
      <c r="F93" s="83"/>
      <c r="G93" s="74">
        <v>1</v>
      </c>
      <c r="H93" s="70">
        <f t="shared" ref="H93" si="31">H92-F93-D93+B93</f>
        <v>7.5</v>
      </c>
      <c r="I93" s="70">
        <f t="shared" ref="I93" si="32">I92-E93+C93</f>
        <v>41</v>
      </c>
      <c r="J93" s="70">
        <f t="shared" ref="J93" si="33">SUM(H93:I93)</f>
        <v>48.5</v>
      </c>
    </row>
    <row r="94" spans="1:10">
      <c r="A94" s="86" t="s">
        <v>101</v>
      </c>
      <c r="B94" s="70"/>
      <c r="C94" s="70"/>
      <c r="D94" s="82"/>
      <c r="E94" s="82">
        <v>1</v>
      </c>
      <c r="F94" s="83"/>
      <c r="G94" s="74"/>
      <c r="H94" s="70">
        <f t="shared" ref="H94" si="34">H93-F94-D94+B94</f>
        <v>7.5</v>
      </c>
      <c r="I94" s="70">
        <f t="shared" ref="I94" si="35">I93-E94+C94</f>
        <v>40</v>
      </c>
      <c r="J94" s="70">
        <f t="shared" ref="J94" si="36">SUM(H94:I94)</f>
        <v>47.5</v>
      </c>
    </row>
    <row r="95" spans="1:10">
      <c r="A95" s="86" t="s">
        <v>102</v>
      </c>
      <c r="B95" s="70">
        <v>2.5</v>
      </c>
      <c r="C95" s="70">
        <v>2.5</v>
      </c>
      <c r="D95" s="82"/>
      <c r="E95" s="82"/>
      <c r="F95" s="83"/>
      <c r="G95" s="74"/>
      <c r="H95" s="70">
        <f t="shared" ref="H95:H96" si="37">H94-F95-D95+B95</f>
        <v>10</v>
      </c>
      <c r="I95" s="70">
        <f t="shared" ref="I95:I96" si="38">I94-E95+C95</f>
        <v>42.5</v>
      </c>
      <c r="J95" s="70">
        <f t="shared" ref="J95:J96" si="39">SUM(H95:I95)</f>
        <v>52.5</v>
      </c>
    </row>
    <row r="96" spans="1:10">
      <c r="A96" s="86" t="s">
        <v>103</v>
      </c>
      <c r="B96" s="70"/>
      <c r="C96" s="70"/>
      <c r="D96" s="82"/>
      <c r="E96" s="82"/>
      <c r="F96" s="74">
        <v>4</v>
      </c>
      <c r="G96" s="74"/>
      <c r="H96" s="70">
        <f t="shared" si="37"/>
        <v>6</v>
      </c>
      <c r="I96" s="70">
        <f t="shared" si="38"/>
        <v>42.5</v>
      </c>
      <c r="J96" s="70">
        <f t="shared" si="39"/>
        <v>48.5</v>
      </c>
    </row>
    <row r="97" spans="1:10">
      <c r="A97" s="86" t="s">
        <v>104</v>
      </c>
      <c r="B97" s="70">
        <v>1.25</v>
      </c>
      <c r="C97" s="70">
        <v>1.25</v>
      </c>
      <c r="D97" s="82"/>
      <c r="E97" s="82"/>
      <c r="F97" s="74"/>
      <c r="G97" s="74"/>
      <c r="H97" s="70">
        <f t="shared" ref="H97:H98" si="40">H96-F97-D97+B97</f>
        <v>7.25</v>
      </c>
      <c r="I97" s="70">
        <f t="shared" ref="I97:I98" si="41">I96-E97+C97</f>
        <v>43.75</v>
      </c>
      <c r="J97" s="70">
        <f t="shared" ref="J97:J98" si="42">SUM(H97:I97)</f>
        <v>51</v>
      </c>
    </row>
    <row r="98" spans="1:10">
      <c r="A98" s="86" t="s">
        <v>105</v>
      </c>
      <c r="B98" s="70"/>
      <c r="C98" s="70"/>
      <c r="D98" s="82"/>
      <c r="E98" s="82">
        <v>1</v>
      </c>
      <c r="F98" s="74"/>
      <c r="G98" s="74"/>
      <c r="H98" s="70">
        <f t="shared" si="40"/>
        <v>7.25</v>
      </c>
      <c r="I98" s="70">
        <f t="shared" si="41"/>
        <v>42.75</v>
      </c>
      <c r="J98" s="70">
        <f t="shared" si="42"/>
        <v>50</v>
      </c>
    </row>
    <row r="99" spans="1:10">
      <c r="A99" s="86" t="s">
        <v>106</v>
      </c>
      <c r="B99" s="70">
        <v>1.25</v>
      </c>
      <c r="C99" s="70">
        <v>1.25</v>
      </c>
      <c r="D99" s="82"/>
      <c r="E99" s="82"/>
      <c r="F99" s="74"/>
      <c r="G99" s="74"/>
      <c r="H99" s="70">
        <f t="shared" ref="H99:H100" si="43">H98-F99-D99+B99</f>
        <v>8.5</v>
      </c>
      <c r="I99" s="70">
        <f t="shared" ref="I99:I100" si="44">I98-E99+C99</f>
        <v>44</v>
      </c>
      <c r="J99" s="70">
        <f t="shared" ref="J99:J100" si="45">SUM(H99:I99)</f>
        <v>52.5</v>
      </c>
    </row>
    <row r="100" spans="1:10">
      <c r="A100" s="86" t="s">
        <v>107</v>
      </c>
      <c r="B100" s="70"/>
      <c r="C100" s="70"/>
      <c r="D100" s="82"/>
      <c r="E100" s="82">
        <v>1</v>
      </c>
      <c r="F100" s="74"/>
      <c r="G100" s="74"/>
      <c r="H100" s="70">
        <f t="shared" si="43"/>
        <v>8.5</v>
      </c>
      <c r="I100" s="70">
        <f t="shared" si="44"/>
        <v>43</v>
      </c>
      <c r="J100" s="70">
        <f t="shared" si="45"/>
        <v>51.5</v>
      </c>
    </row>
    <row r="101" spans="1:10">
      <c r="A101" s="86" t="s">
        <v>108</v>
      </c>
      <c r="B101" s="70">
        <v>1.25</v>
      </c>
      <c r="C101" s="70">
        <v>1.25</v>
      </c>
      <c r="D101" s="82"/>
      <c r="E101" s="82"/>
      <c r="F101" s="74"/>
      <c r="G101" s="74"/>
      <c r="H101" s="70">
        <f t="shared" ref="H101" si="46">H100-F101-D101+B101</f>
        <v>9.75</v>
      </c>
      <c r="I101" s="70">
        <f t="shared" ref="I101" si="47">I100-E101+C101</f>
        <v>44.25</v>
      </c>
      <c r="J101" s="70">
        <f t="shared" ref="J101" si="48">SUM(H101:I101)</f>
        <v>54</v>
      </c>
    </row>
    <row r="102" spans="1:10">
      <c r="A102" s="86" t="s">
        <v>109</v>
      </c>
      <c r="B102" s="70"/>
      <c r="C102" s="70"/>
      <c r="D102" s="82"/>
      <c r="E102" s="82">
        <v>1</v>
      </c>
      <c r="F102" s="74"/>
      <c r="G102" s="74"/>
      <c r="H102" s="70">
        <f t="shared" ref="H102" si="49">H101-F102-D102+B102</f>
        <v>9.75</v>
      </c>
      <c r="I102" s="70">
        <f t="shared" ref="I102" si="50">I101-E102+C102</f>
        <v>43.25</v>
      </c>
      <c r="J102" s="70">
        <f t="shared" ref="J102" si="51">SUM(H102:I102)</f>
        <v>53</v>
      </c>
    </row>
    <row r="103" spans="1:10">
      <c r="A103" s="86" t="s">
        <v>110</v>
      </c>
      <c r="B103" s="70">
        <v>1.25</v>
      </c>
      <c r="C103" s="70">
        <v>1.25</v>
      </c>
      <c r="D103" s="82"/>
      <c r="E103" s="82"/>
      <c r="F103" s="74"/>
      <c r="G103" s="74"/>
      <c r="H103" s="70">
        <f t="shared" ref="H103:H104" si="52">H102-F103-D103+B103</f>
        <v>11</v>
      </c>
      <c r="I103" s="70">
        <f t="shared" ref="I103:I104" si="53">I102-E103+C103</f>
        <v>44.5</v>
      </c>
      <c r="J103" s="70">
        <f t="shared" ref="J103:J104" si="54">SUM(H103:I103)</f>
        <v>55.5</v>
      </c>
    </row>
    <row r="104" spans="1:10">
      <c r="A104" s="86" t="s">
        <v>111</v>
      </c>
      <c r="B104" s="70"/>
      <c r="C104" s="70"/>
      <c r="D104" s="82"/>
      <c r="E104" s="82"/>
      <c r="F104" s="87">
        <v>2</v>
      </c>
      <c r="G104" s="74"/>
      <c r="H104" s="70">
        <f t="shared" si="52"/>
        <v>9</v>
      </c>
      <c r="I104" s="70">
        <f t="shared" si="53"/>
        <v>44.5</v>
      </c>
      <c r="J104" s="70">
        <f t="shared" si="54"/>
        <v>53.5</v>
      </c>
    </row>
    <row r="105" spans="1:10">
      <c r="A105" s="86" t="s">
        <v>112</v>
      </c>
      <c r="B105" s="70">
        <v>1.25</v>
      </c>
      <c r="C105" s="70">
        <v>1.25</v>
      </c>
      <c r="D105" s="82"/>
      <c r="E105" s="82"/>
      <c r="F105" s="74"/>
      <c r="G105" s="74"/>
      <c r="H105" s="70">
        <f t="shared" ref="H105:H106" si="55">H104-F105-D105+B105</f>
        <v>10.25</v>
      </c>
      <c r="I105" s="70">
        <f t="shared" ref="I105:I106" si="56">I104-E105+C105</f>
        <v>45.75</v>
      </c>
      <c r="J105" s="70">
        <f t="shared" ref="J105:J106" si="57">SUM(H105:I105)</f>
        <v>56</v>
      </c>
    </row>
    <row r="106" spans="1:10">
      <c r="A106" s="86" t="s">
        <v>113</v>
      </c>
      <c r="B106" s="70"/>
      <c r="C106" s="70"/>
      <c r="D106" s="82"/>
      <c r="E106" s="82">
        <v>1</v>
      </c>
      <c r="F106" s="83"/>
      <c r="G106" s="83"/>
      <c r="H106" s="70">
        <f t="shared" si="55"/>
        <v>10.25</v>
      </c>
      <c r="I106" s="70">
        <f t="shared" si="56"/>
        <v>44.75</v>
      </c>
      <c r="J106" s="70">
        <f t="shared" si="57"/>
        <v>55</v>
      </c>
    </row>
    <row r="107" spans="1:10">
      <c r="A107" s="86" t="s">
        <v>114</v>
      </c>
      <c r="B107" s="70">
        <v>5</v>
      </c>
      <c r="C107" s="70">
        <v>5</v>
      </c>
      <c r="D107" s="82"/>
      <c r="E107" s="82"/>
      <c r="F107" s="83"/>
      <c r="G107" s="83"/>
      <c r="H107" s="70">
        <f t="shared" ref="H107" si="58">H106-F107-D107+B107</f>
        <v>15.25</v>
      </c>
      <c r="I107" s="70">
        <f t="shared" ref="I107" si="59">I106-E107+C107</f>
        <v>49.75</v>
      </c>
      <c r="J107" s="70">
        <f t="shared" ref="J107" si="60">SUM(H107:I107)</f>
        <v>65</v>
      </c>
    </row>
    <row r="108" spans="1:10">
      <c r="A108" s="86" t="s">
        <v>115</v>
      </c>
      <c r="B108" s="70"/>
      <c r="C108" s="70"/>
      <c r="D108" s="82">
        <v>10</v>
      </c>
      <c r="E108" s="82"/>
      <c r="F108" s="83"/>
      <c r="G108" s="83"/>
      <c r="H108" s="70">
        <f t="shared" ref="H108" si="61">H107-F108-D108+B108</f>
        <v>5.25</v>
      </c>
      <c r="I108" s="70">
        <f t="shared" ref="I108" si="62">I107-E108+C108</f>
        <v>49.75</v>
      </c>
      <c r="J108" s="70">
        <f t="shared" ref="J108" si="63">SUM(H108:I108)</f>
        <v>55</v>
      </c>
    </row>
    <row r="109" spans="1:10">
      <c r="A109" s="86" t="s">
        <v>116</v>
      </c>
      <c r="B109" s="70"/>
      <c r="C109" s="70"/>
      <c r="D109" s="82"/>
      <c r="E109" s="82">
        <v>2</v>
      </c>
      <c r="F109" s="83"/>
      <c r="G109" s="83"/>
      <c r="H109" s="70">
        <f t="shared" ref="H109" si="64">H108-F109-D109+B109</f>
        <v>5.25</v>
      </c>
      <c r="I109" s="70">
        <f t="shared" ref="I109" si="65">I108-E109+C109</f>
        <v>47.75</v>
      </c>
      <c r="J109" s="70">
        <f t="shared" ref="J109" si="66">SUM(H109:I109)</f>
        <v>53</v>
      </c>
    </row>
    <row r="110" spans="1:10">
      <c r="A110" s="86" t="s">
        <v>117</v>
      </c>
      <c r="B110" s="70"/>
      <c r="C110" s="70"/>
      <c r="D110" s="82"/>
      <c r="E110" s="82">
        <v>1</v>
      </c>
      <c r="F110" s="83"/>
      <c r="G110" s="83"/>
      <c r="H110" s="70">
        <f t="shared" ref="H110" si="67">H109-F110-D110+B110</f>
        <v>5.25</v>
      </c>
      <c r="I110" s="70">
        <f t="shared" ref="I110" si="68">I109-E110+C110</f>
        <v>46.75</v>
      </c>
      <c r="J110" s="70">
        <f t="shared" ref="J110" si="69">SUM(H110:I110)</f>
        <v>52</v>
      </c>
    </row>
    <row r="111" spans="1:10">
      <c r="A111" s="86" t="s">
        <v>118</v>
      </c>
      <c r="B111" s="70"/>
      <c r="C111" s="70"/>
      <c r="D111" s="82"/>
      <c r="E111" s="82"/>
      <c r="F111" s="87">
        <v>1</v>
      </c>
      <c r="G111" s="83"/>
      <c r="H111" s="70">
        <f t="shared" ref="H111" si="70">H110-F111-D111+B111</f>
        <v>4.25</v>
      </c>
      <c r="I111" s="70">
        <f t="shared" ref="I111" si="71">I110-E111+C111</f>
        <v>46.75</v>
      </c>
      <c r="J111" s="70">
        <f t="shared" ref="J111" si="72">SUM(H111:I111)</f>
        <v>51</v>
      </c>
    </row>
    <row r="112" spans="1:10">
      <c r="A112" s="86" t="s">
        <v>119</v>
      </c>
      <c r="B112" s="70"/>
      <c r="C112" s="70"/>
      <c r="D112" s="82"/>
      <c r="E112" s="82">
        <v>2</v>
      </c>
      <c r="F112" s="74"/>
      <c r="G112" s="83"/>
      <c r="H112" s="70">
        <f t="shared" ref="H112:H113" si="73">H111-F112-D112+B112</f>
        <v>4.25</v>
      </c>
      <c r="I112" s="70">
        <f t="shared" ref="I112:I113" si="74">I111-E112+C112</f>
        <v>44.75</v>
      </c>
      <c r="J112" s="70">
        <f t="shared" ref="J112:J113" si="75">SUM(H112:I112)</f>
        <v>49</v>
      </c>
    </row>
    <row r="113" spans="1:10">
      <c r="A113" s="86" t="s">
        <v>120</v>
      </c>
      <c r="B113" s="70"/>
      <c r="C113" s="70"/>
      <c r="D113" s="82"/>
      <c r="E113" s="82"/>
      <c r="F113" s="74"/>
      <c r="G113" s="88">
        <v>1</v>
      </c>
      <c r="H113" s="70">
        <f t="shared" si="73"/>
        <v>4.25</v>
      </c>
      <c r="I113" s="70">
        <f t="shared" si="74"/>
        <v>44.75</v>
      </c>
      <c r="J113" s="70">
        <f t="shared" si="75"/>
        <v>49</v>
      </c>
    </row>
    <row r="114" s="45" customFormat="1" spans="1:10">
      <c r="A114" s="89" t="s">
        <v>121</v>
      </c>
      <c r="B114" s="90">
        <v>2.5</v>
      </c>
      <c r="C114" s="90">
        <v>2.5</v>
      </c>
      <c r="D114" s="91"/>
      <c r="E114" s="91"/>
      <c r="F114" s="92"/>
      <c r="G114" s="92"/>
      <c r="H114" s="70">
        <f t="shared" ref="H114:H115" si="76">H113-F114-D114+B114</f>
        <v>6.75</v>
      </c>
      <c r="I114" s="70">
        <f t="shared" ref="I114:I115" si="77">I113-E114+C114</f>
        <v>47.25</v>
      </c>
      <c r="J114" s="70">
        <f t="shared" ref="J114:J115" si="78">SUM(H114:I114)</f>
        <v>54</v>
      </c>
    </row>
    <row r="115" s="45" customFormat="1" spans="1:10">
      <c r="A115" s="89" t="s">
        <v>122</v>
      </c>
      <c r="B115" s="90"/>
      <c r="C115" s="90"/>
      <c r="D115" s="91"/>
      <c r="E115" s="91">
        <v>1</v>
      </c>
      <c r="F115" s="92"/>
      <c r="G115" s="92"/>
      <c r="H115" s="70">
        <f t="shared" si="76"/>
        <v>6.75</v>
      </c>
      <c r="I115" s="70">
        <f t="shared" si="77"/>
        <v>46.25</v>
      </c>
      <c r="J115" s="70">
        <f t="shared" si="78"/>
        <v>53</v>
      </c>
    </row>
    <row r="116" s="45" customFormat="1" spans="1:10">
      <c r="A116" s="89" t="s">
        <v>123</v>
      </c>
      <c r="B116" s="90">
        <v>1.25</v>
      </c>
      <c r="C116" s="90">
        <v>1.25</v>
      </c>
      <c r="D116" s="91"/>
      <c r="E116" s="91"/>
      <c r="F116" s="92"/>
      <c r="G116" s="92"/>
      <c r="H116" s="70">
        <f>H115-F116-D116+B116</f>
        <v>8</v>
      </c>
      <c r="I116" s="70">
        <f>I115-E116+C116</f>
        <v>47.5</v>
      </c>
      <c r="J116" s="70">
        <f>SUM(H116:I116)</f>
        <v>55.5</v>
      </c>
    </row>
    <row r="117" s="45" customFormat="1" spans="1:10">
      <c r="A117" s="89" t="s">
        <v>124</v>
      </c>
      <c r="B117" s="90"/>
      <c r="C117" s="90"/>
      <c r="D117" s="91"/>
      <c r="E117" s="91">
        <v>1</v>
      </c>
      <c r="F117" s="92"/>
      <c r="G117" s="92"/>
      <c r="H117" s="70">
        <f>H116-F117-D117+B117</f>
        <v>8</v>
      </c>
      <c r="I117" s="70">
        <f>I116-E117+C117</f>
        <v>46.5</v>
      </c>
      <c r="J117" s="70">
        <f>SUM(H117:I117)</f>
        <v>54.5</v>
      </c>
    </row>
    <row r="118" s="45" customFormat="1" spans="1:10">
      <c r="A118" s="89" t="s">
        <v>125</v>
      </c>
      <c r="B118" s="90"/>
      <c r="C118" s="90"/>
      <c r="D118" s="91"/>
      <c r="E118" s="91"/>
      <c r="F118" s="87">
        <v>2</v>
      </c>
      <c r="G118" s="92"/>
      <c r="H118" s="70">
        <f>H117-F118-D118+B118</f>
        <v>6</v>
      </c>
      <c r="I118" s="70">
        <f>I117-E118+C118</f>
        <v>46.5</v>
      </c>
      <c r="J118" s="70">
        <f>SUM(H118:I118)</f>
        <v>52.5</v>
      </c>
    </row>
    <row r="119" s="45" customFormat="1" spans="1:10">
      <c r="A119" s="89" t="s">
        <v>126</v>
      </c>
      <c r="B119" s="90"/>
      <c r="C119" s="90"/>
      <c r="D119" s="91"/>
      <c r="E119" s="91"/>
      <c r="F119" s="92"/>
      <c r="G119" s="88">
        <v>1</v>
      </c>
      <c r="H119" s="70">
        <f>H118-F119-D119+B119</f>
        <v>6</v>
      </c>
      <c r="I119" s="70">
        <f>I118-E119+C119</f>
        <v>46.5</v>
      </c>
      <c r="J119" s="70">
        <f>SUM(H119:I119)</f>
        <v>52.5</v>
      </c>
    </row>
    <row r="120" s="45" customFormat="1" spans="1:10">
      <c r="A120" s="93"/>
      <c r="B120" s="94"/>
      <c r="C120" s="94"/>
      <c r="D120" s="95"/>
      <c r="E120" s="95"/>
      <c r="F120" s="96"/>
      <c r="G120" s="96"/>
      <c r="H120" s="97"/>
      <c r="I120" s="97"/>
      <c r="J120" s="97"/>
    </row>
    <row r="121" s="45" customFormat="1" spans="1:10">
      <c r="A121" s="98"/>
      <c r="B121" s="99"/>
      <c r="C121" s="99"/>
      <c r="D121" s="100"/>
      <c r="E121" s="100"/>
      <c r="F121" s="101"/>
      <c r="G121" s="101"/>
      <c r="H121" s="99"/>
      <c r="I121" s="99"/>
      <c r="J121" s="99"/>
    </row>
    <row r="122" spans="1:10">
      <c r="A122" s="102"/>
      <c r="B122" s="103"/>
      <c r="C122" s="103"/>
      <c r="D122" s="104"/>
      <c r="E122" s="104"/>
      <c r="G122"/>
      <c r="H122" s="103"/>
      <c r="I122" s="103"/>
      <c r="J122" s="103"/>
    </row>
    <row r="123" s="46" customFormat="1" ht="15" customHeight="1" spans="7:7">
      <c r="G123" s="46" t="s">
        <v>127</v>
      </c>
    </row>
    <row r="124" s="46" customFormat="1" ht="15" customHeight="1"/>
    <row r="125" s="46" customFormat="1" ht="15" customHeight="1" spans="8:8">
      <c r="H125" s="105" t="s">
        <v>128</v>
      </c>
    </row>
    <row r="126" s="46" customFormat="1" ht="15" customHeight="1" spans="8:8">
      <c r="H126" s="47" t="s">
        <v>129</v>
      </c>
    </row>
    <row r="127" ht="15" customHeight="1" spans="2:11">
      <c r="B127" s="44"/>
      <c r="C127" s="44"/>
      <c r="D127" s="44"/>
      <c r="E127" s="44"/>
      <c r="F127" s="44"/>
      <c r="H127" s="47" t="s">
        <v>130</v>
      </c>
      <c r="I127" s="44"/>
      <c r="J127" s="44"/>
      <c r="K127" s="44"/>
    </row>
  </sheetData>
  <mergeCells count="13">
    <mergeCell ref="A2:J2"/>
    <mergeCell ref="A3:J3"/>
    <mergeCell ref="A4:J4"/>
    <mergeCell ref="A5:J5"/>
    <mergeCell ref="B7:D7"/>
    <mergeCell ref="B9:D9"/>
    <mergeCell ref="A10:J10"/>
    <mergeCell ref="B11:C11"/>
    <mergeCell ref="D11:G11"/>
    <mergeCell ref="H11:I11"/>
    <mergeCell ref="A13:J13"/>
    <mergeCell ref="A11:A12"/>
    <mergeCell ref="J11:J12"/>
  </mergeCells>
  <printOptions horizontalCentered="1"/>
  <pageMargins left="0.236220472440945" right="0.236220472440945" top="0.62992125984252" bottom="0.62992125984252" header="0.31496062992126" footer="0.31496062992126"/>
  <pageSetup paperSize="9" scale="71" fitToHeight="0" orientation="portrait" horizontalDpi="360" verticalDpi="36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L31"/>
  <sheetViews>
    <sheetView view="pageBreakPreview" zoomScaleNormal="100" topLeftCell="A11" workbookViewId="0">
      <selection activeCell="A23" sqref="$A23:$XFD23"/>
    </sheetView>
  </sheetViews>
  <sheetFormatPr defaultColWidth="9" defaultRowHeight="14.4"/>
  <cols>
    <col min="1" max="1" width="21.287037037037" style="4" customWidth="1"/>
    <col min="2" max="2" width="22" style="4" customWidth="1"/>
    <col min="3" max="3" width="11.1388888888889" style="4" customWidth="1"/>
    <col min="4" max="4" width="9.13888888888889" style="4"/>
    <col min="5" max="5" width="6.71296296296296" style="4" customWidth="1"/>
    <col min="6" max="16384" width="9.13888888888889" style="4"/>
  </cols>
  <sheetData>
    <row r="1" s="1" customFormat="1" ht="20.1" customHeight="1" spans="3:8">
      <c r="C1" s="5"/>
      <c r="D1" s="6"/>
      <c r="H1" s="7"/>
    </row>
    <row r="2" s="1" customFormat="1" ht="10.5" customHeight="1" spans="1:12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="1" customFormat="1" ht="15.95" customHeight="1" spans="1:12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</row>
    <row r="4" s="1" customFormat="1" ht="15.95" customHeight="1" spans="1:12">
      <c r="A4" s="8" t="s">
        <v>131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</row>
    <row r="5" s="1" customFormat="1" ht="15.95" customHeight="1" spans="1:12">
      <c r="A5" s="8" t="s">
        <v>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</row>
    <row r="6" s="1" customFormat="1" ht="8.25" customHeight="1" spans="3:8">
      <c r="C6" s="7"/>
      <c r="H6" s="7"/>
    </row>
    <row r="7" s="1" customFormat="1" ht="8.25" customHeight="1" spans="3:8">
      <c r="C7" s="7"/>
      <c r="H7" s="7"/>
    </row>
    <row r="8" s="1" customFormat="1" ht="12" customHeight="1" spans="1:12">
      <c r="A8" s="9" t="s">
        <v>132</v>
      </c>
      <c r="B8" s="9"/>
      <c r="C8" s="10" t="s">
        <v>133</v>
      </c>
      <c r="D8" s="10"/>
      <c r="E8" s="10"/>
      <c r="F8" s="10"/>
      <c r="G8" s="10"/>
      <c r="I8" s="10" t="s">
        <v>134</v>
      </c>
      <c r="J8" s="10"/>
      <c r="K8" s="10"/>
      <c r="L8" s="9"/>
    </row>
    <row r="9" s="1" customFormat="1" ht="12" customHeight="1" spans="2:12">
      <c r="B9" s="11"/>
      <c r="C9" s="10" t="s">
        <v>135</v>
      </c>
      <c r="D9" s="10"/>
      <c r="E9" s="10"/>
      <c r="F9" s="10"/>
      <c r="G9" s="10"/>
      <c r="I9" s="33" t="s">
        <v>136</v>
      </c>
      <c r="J9" s="33"/>
      <c r="K9" s="33"/>
      <c r="L9" s="11"/>
    </row>
    <row r="10" s="1" customFormat="1" ht="12" customHeight="1" spans="1:12">
      <c r="A10" s="9" t="s">
        <v>137</v>
      </c>
      <c r="B10" s="9"/>
      <c r="C10" s="12"/>
      <c r="D10" s="11"/>
      <c r="E10" s="11"/>
      <c r="I10" s="10" t="s">
        <v>138</v>
      </c>
      <c r="J10" s="10"/>
      <c r="K10" s="10"/>
      <c r="L10" s="9"/>
    </row>
    <row r="11" ht="16.5" customHeight="1" spans="1:12">
      <c r="A11" s="13" t="s">
        <v>139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</row>
    <row r="12" s="2" customFormat="1" ht="18.75" customHeight="1" spans="1:12">
      <c r="A12" s="14" t="s">
        <v>11</v>
      </c>
      <c r="B12" s="15" t="s">
        <v>12</v>
      </c>
      <c r="C12" s="16"/>
      <c r="D12" s="16"/>
      <c r="E12" s="16"/>
      <c r="F12" s="16"/>
      <c r="G12" s="16"/>
      <c r="H12" s="16"/>
      <c r="I12" s="16"/>
      <c r="J12" s="16"/>
      <c r="K12" s="16"/>
      <c r="L12" s="34" t="s">
        <v>15</v>
      </c>
    </row>
    <row r="13" s="2" customFormat="1" ht="24" customHeight="1" spans="1:12">
      <c r="A13" s="17"/>
      <c r="B13" s="18" t="s">
        <v>140</v>
      </c>
      <c r="C13" s="19"/>
      <c r="D13" s="19"/>
      <c r="E13" s="20"/>
      <c r="F13" s="18" t="s">
        <v>141</v>
      </c>
      <c r="G13" s="20"/>
      <c r="H13" s="18" t="s">
        <v>142</v>
      </c>
      <c r="I13" s="20"/>
      <c r="J13" s="18" t="s">
        <v>143</v>
      </c>
      <c r="K13" s="20"/>
      <c r="L13" s="35"/>
    </row>
    <row r="14" s="2" customFormat="1" ht="24.95" customHeight="1" spans="1:12">
      <c r="A14" s="21" t="s">
        <v>144</v>
      </c>
      <c r="B14" s="22" t="s">
        <v>145</v>
      </c>
      <c r="C14" s="23"/>
      <c r="D14" s="23"/>
      <c r="E14" s="24"/>
      <c r="F14" s="25">
        <v>1</v>
      </c>
      <c r="G14" s="26"/>
      <c r="H14" s="22">
        <v>0</v>
      </c>
      <c r="I14" s="24"/>
      <c r="J14" s="22">
        <v>1</v>
      </c>
      <c r="K14" s="24"/>
      <c r="L14" s="36">
        <v>1</v>
      </c>
    </row>
    <row r="15" s="2" customFormat="1" ht="24.95" customHeight="1" spans="1:12">
      <c r="A15" s="21" t="s">
        <v>146</v>
      </c>
      <c r="B15" s="22" t="s">
        <v>145</v>
      </c>
      <c r="C15" s="23"/>
      <c r="D15" s="23"/>
      <c r="E15" s="24"/>
      <c r="F15" s="25"/>
      <c r="G15" s="26"/>
      <c r="H15" s="22">
        <v>1</v>
      </c>
      <c r="I15" s="24"/>
      <c r="J15" s="22">
        <v>0</v>
      </c>
      <c r="K15" s="24"/>
      <c r="L15" s="37">
        <v>0</v>
      </c>
    </row>
    <row r="16" s="2" customFormat="1" ht="24.95" customHeight="1" spans="1:12">
      <c r="A16" s="21" t="s">
        <v>147</v>
      </c>
      <c r="B16" s="22" t="s">
        <v>148</v>
      </c>
      <c r="C16" s="23"/>
      <c r="D16" s="23"/>
      <c r="E16" s="24"/>
      <c r="F16" s="22">
        <v>1</v>
      </c>
      <c r="G16" s="24"/>
      <c r="H16" s="22">
        <v>0</v>
      </c>
      <c r="I16" s="24"/>
      <c r="J16" s="22">
        <v>1</v>
      </c>
      <c r="K16" s="24"/>
      <c r="L16" s="36">
        <v>1</v>
      </c>
    </row>
    <row r="17" s="3" customFormat="1" ht="25.5" customHeight="1" spans="1:12">
      <c r="A17" s="21" t="s">
        <v>149</v>
      </c>
      <c r="B17" s="22" t="s">
        <v>148</v>
      </c>
      <c r="C17" s="23"/>
      <c r="D17" s="23"/>
      <c r="E17" s="24"/>
      <c r="F17" s="22"/>
      <c r="G17" s="24"/>
      <c r="H17" s="22">
        <v>1</v>
      </c>
      <c r="I17" s="24"/>
      <c r="J17" s="22">
        <v>0</v>
      </c>
      <c r="K17" s="24"/>
      <c r="L17" s="37">
        <v>0</v>
      </c>
    </row>
    <row r="18" s="3" customFormat="1" ht="25.5" customHeight="1" spans="1:12">
      <c r="A18" s="21" t="s">
        <v>150</v>
      </c>
      <c r="B18" s="22" t="s">
        <v>151</v>
      </c>
      <c r="C18" s="23"/>
      <c r="D18" s="23"/>
      <c r="E18" s="24"/>
      <c r="F18" s="22">
        <v>3</v>
      </c>
      <c r="G18" s="24"/>
      <c r="H18" s="22">
        <v>0</v>
      </c>
      <c r="I18" s="24"/>
      <c r="J18" s="22">
        <v>3</v>
      </c>
      <c r="K18" s="24"/>
      <c r="L18" s="36">
        <v>3</v>
      </c>
    </row>
    <row r="19" s="3" customFormat="1" ht="25.5" customHeight="1" spans="1:12">
      <c r="A19" s="27" t="s">
        <v>152</v>
      </c>
      <c r="B19" s="22" t="s">
        <v>151</v>
      </c>
      <c r="C19" s="23"/>
      <c r="D19" s="23"/>
      <c r="E19" s="24"/>
      <c r="F19" s="22"/>
      <c r="G19" s="24"/>
      <c r="H19" s="22">
        <v>3</v>
      </c>
      <c r="I19" s="24"/>
      <c r="J19" s="22">
        <v>0</v>
      </c>
      <c r="K19" s="24"/>
      <c r="L19" s="37">
        <v>0</v>
      </c>
    </row>
    <row r="20" s="3" customFormat="1" ht="25.5" customHeight="1" spans="1:12">
      <c r="A20" s="27" t="s">
        <v>153</v>
      </c>
      <c r="B20" s="22" t="s">
        <v>154</v>
      </c>
      <c r="C20" s="23"/>
      <c r="D20" s="23"/>
      <c r="E20" s="24"/>
      <c r="F20" s="22">
        <v>1.5</v>
      </c>
      <c r="G20" s="24"/>
      <c r="H20" s="22">
        <v>0</v>
      </c>
      <c r="I20" s="24"/>
      <c r="J20" s="22">
        <v>1.5</v>
      </c>
      <c r="K20" s="24"/>
      <c r="L20" s="36">
        <v>1.5</v>
      </c>
    </row>
    <row r="21" s="3" customFormat="1" ht="25.5" customHeight="1" spans="1:12">
      <c r="A21" s="27" t="s">
        <v>155</v>
      </c>
      <c r="B21" s="22" t="s">
        <v>154</v>
      </c>
      <c r="C21" s="23"/>
      <c r="D21" s="23"/>
      <c r="E21" s="24"/>
      <c r="F21" s="22"/>
      <c r="G21" s="24"/>
      <c r="H21" s="22">
        <v>0.5</v>
      </c>
      <c r="I21" s="24"/>
      <c r="J21" s="22">
        <v>1</v>
      </c>
      <c r="K21" s="24"/>
      <c r="L21" s="38">
        <v>1</v>
      </c>
    </row>
    <row r="22" s="3" customFormat="1" ht="25.5" customHeight="1" spans="1:12">
      <c r="A22" s="27" t="s">
        <v>156</v>
      </c>
      <c r="B22" s="22" t="s">
        <v>154</v>
      </c>
      <c r="C22" s="23"/>
      <c r="D22" s="23"/>
      <c r="E22" s="24"/>
      <c r="F22" s="22"/>
      <c r="G22" s="24"/>
      <c r="H22" s="22">
        <v>1</v>
      </c>
      <c r="I22" s="24"/>
      <c r="J22" s="22">
        <v>0</v>
      </c>
      <c r="K22" s="24"/>
      <c r="L22" s="37">
        <v>0</v>
      </c>
    </row>
    <row r="23" s="3" customFormat="1" ht="25.5" customHeight="1" spans="1:12">
      <c r="A23" s="28" t="s">
        <v>157</v>
      </c>
      <c r="B23" s="29" t="s">
        <v>158</v>
      </c>
      <c r="C23" s="29"/>
      <c r="D23" s="29"/>
      <c r="E23" s="29"/>
      <c r="F23" s="29">
        <v>1</v>
      </c>
      <c r="G23" s="29"/>
      <c r="H23" s="29">
        <v>0</v>
      </c>
      <c r="I23" s="29"/>
      <c r="J23" s="29">
        <v>1</v>
      </c>
      <c r="K23" s="29"/>
      <c r="L23" s="29">
        <v>1</v>
      </c>
    </row>
    <row r="24" s="3" customFormat="1" ht="30.75" customHeight="1" spans="1:12">
      <c r="A24" s="28" t="s">
        <v>159</v>
      </c>
      <c r="B24" s="29" t="s">
        <v>158</v>
      </c>
      <c r="C24" s="29"/>
      <c r="D24" s="29"/>
      <c r="E24" s="29"/>
      <c r="F24" s="22"/>
      <c r="G24" s="24"/>
      <c r="H24" s="29">
        <v>0.5</v>
      </c>
      <c r="I24" s="29"/>
      <c r="J24" s="29">
        <v>0.5</v>
      </c>
      <c r="K24" s="29"/>
      <c r="L24" s="39">
        <v>0.5</v>
      </c>
    </row>
    <row r="25" s="3" customFormat="1" spans="1:12">
      <c r="A25" s="30" t="s">
        <v>160</v>
      </c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40"/>
    </row>
    <row r="26" ht="18.95" customHeight="1" spans="1:12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</row>
    <row r="27" s="1" customFormat="1" spans="3:9">
      <c r="C27" s="7"/>
      <c r="I27" s="1" t="s">
        <v>127</v>
      </c>
    </row>
    <row r="28" s="1" customFormat="1" spans="3:3">
      <c r="C28" s="7"/>
    </row>
    <row r="29" spans="9:11">
      <c r="I29" s="41" t="s">
        <v>128</v>
      </c>
      <c r="J29" s="41"/>
      <c r="K29" s="41"/>
    </row>
    <row r="30" spans="9:11">
      <c r="I30" s="42" t="s">
        <v>129</v>
      </c>
      <c r="J30" s="42"/>
      <c r="K30" s="42"/>
    </row>
    <row r="31" spans="9:11">
      <c r="I31" s="43" t="s">
        <v>130</v>
      </c>
      <c r="J31" s="43"/>
      <c r="K31" s="43"/>
    </row>
  </sheetData>
  <mergeCells count="59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H14:I14"/>
    <mergeCell ref="J14:K14"/>
    <mergeCell ref="B15:E15"/>
    <mergeCell ref="H15:I15"/>
    <mergeCell ref="J15:K15"/>
    <mergeCell ref="B16:E16"/>
    <mergeCell ref="F16:G16"/>
    <mergeCell ref="H16:I16"/>
    <mergeCell ref="J16:K16"/>
    <mergeCell ref="B17:E17"/>
    <mergeCell ref="H17:I17"/>
    <mergeCell ref="J17:K17"/>
    <mergeCell ref="B18:E18"/>
    <mergeCell ref="F18:G18"/>
    <mergeCell ref="H18:I18"/>
    <mergeCell ref="J18:K18"/>
    <mergeCell ref="B19:E19"/>
    <mergeCell ref="H19:I19"/>
    <mergeCell ref="J19:K19"/>
    <mergeCell ref="B20:E20"/>
    <mergeCell ref="F20:G20"/>
    <mergeCell ref="H20:I20"/>
    <mergeCell ref="J20:K20"/>
    <mergeCell ref="B21:E21"/>
    <mergeCell ref="H21:I21"/>
    <mergeCell ref="J21:K21"/>
    <mergeCell ref="B22:E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A26:L26"/>
    <mergeCell ref="I29:K29"/>
    <mergeCell ref="I30:K30"/>
    <mergeCell ref="I31:K31"/>
    <mergeCell ref="A12:A13"/>
    <mergeCell ref="L12:L13"/>
  </mergeCells>
  <pageMargins left="0.7" right="0.7" top="0.75" bottom="0.75" header="0.3" footer="0.3"/>
  <pageSetup paperSize="9" scale="65" fitToHeight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Leave Card (NE)</vt:lpstr>
      <vt:lpstr>CTO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2025-12-22T06:51:00Z</cp:lastPrinted>
  <dcterms:modified xsi:type="dcterms:W3CDTF">2026-01-02T09:11:52Z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11B02CDE2DDC4794AD2A323FFB65B95D</vt:lpwstr>
  </property>
  <property fmtid="{D5CDD505-2E9C-101B-9397-08002B2CF9AE}" pid="3" name="KSOProductBuildVer">
    <vt:lpwstr>1033-12.2.0.23196</vt:lpwstr>
  </property>
</Properties>
</file>