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2701971-97FE-4AFE-BFF2-5E8125A0B75D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" sheetId="6" r:id="rId1"/>
    <sheet name="CTO" sheetId="8" r:id="rId2"/>
  </sheets>
  <definedNames>
    <definedName name="_xlnm.Print_Area" localSheetId="0">'Leave Card (NE)'!$A$1:$J$63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6" l="1"/>
  <c r="I54" i="6"/>
  <c r="J54" i="6"/>
  <c r="H50" i="6" l="1"/>
  <c r="H51" i="6" s="1"/>
  <c r="I50" i="6"/>
  <c r="J50" i="6"/>
  <c r="I51" i="6"/>
  <c r="I52" i="6" s="1"/>
  <c r="I53" i="6" s="1"/>
  <c r="H52" i="6" l="1"/>
  <c r="J51" i="6"/>
  <c r="B39" i="6"/>
  <c r="J52" i="6" l="1"/>
  <c r="H53" i="6"/>
  <c r="J53" i="6" s="1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H13" i="6"/>
  <c r="H14" i="6" s="1"/>
  <c r="H15" i="6" s="1"/>
  <c r="H16" i="6" l="1"/>
  <c r="J15" i="6"/>
  <c r="J14" i="6"/>
  <c r="J14" i="8"/>
  <c r="J16" i="6" l="1"/>
  <c r="H17" i="6"/>
  <c r="J13" i="6"/>
  <c r="J17" i="6" l="1"/>
  <c r="H18" i="6"/>
  <c r="H19" i="6" l="1"/>
  <c r="J18" i="6"/>
  <c r="J19" i="6" l="1"/>
  <c r="H20" i="6"/>
  <c r="H21" i="6" l="1"/>
  <c r="J20" i="6"/>
  <c r="H22" i="6" l="1"/>
  <c r="J21" i="6"/>
  <c r="J22" i="6" l="1"/>
  <c r="H23" i="6"/>
  <c r="J23" i="6" l="1"/>
  <c r="H24" i="6"/>
  <c r="J24" i="6" l="1"/>
  <c r="H25" i="6"/>
  <c r="H26" i="6" l="1"/>
  <c r="J25" i="6"/>
  <c r="H27" i="6" l="1"/>
  <c r="J26" i="6"/>
  <c r="H28" i="6" l="1"/>
  <c r="J27" i="6"/>
  <c r="J28" i="6" l="1"/>
  <c r="H29" i="6"/>
  <c r="J29" i="6" l="1"/>
  <c r="H30" i="6"/>
  <c r="J30" i="6" l="1"/>
  <c r="H31" i="6"/>
  <c r="H32" i="6" l="1"/>
  <c r="J31" i="6"/>
  <c r="J32" i="6" l="1"/>
  <c r="H33" i="6"/>
  <c r="J33" i="6" l="1"/>
  <c r="H34" i="6"/>
  <c r="H35" i="6" l="1"/>
  <c r="J34" i="6"/>
  <c r="J35" i="6" l="1"/>
  <c r="H36" i="6"/>
  <c r="H37" i="6" l="1"/>
  <c r="J36" i="6"/>
  <c r="H38" i="6" l="1"/>
  <c r="J37" i="6"/>
  <c r="J38" i="6" l="1"/>
  <c r="H39" i="6"/>
  <c r="J39" i="6" l="1"/>
  <c r="H40" i="6"/>
  <c r="J40" i="6" l="1"/>
  <c r="H41" i="6"/>
  <c r="H42" i="6" l="1"/>
  <c r="J41" i="6"/>
  <c r="J42" i="6" l="1"/>
  <c r="H43" i="6"/>
  <c r="J43" i="6" l="1"/>
  <c r="H44" i="6"/>
  <c r="J44" i="6" l="1"/>
  <c r="H45" i="6"/>
  <c r="J45" i="6" l="1"/>
  <c r="H46" i="6"/>
  <c r="J46" i="6" l="1"/>
  <c r="H47" i="6"/>
  <c r="J47" i="6" l="1"/>
  <c r="H48" i="6"/>
  <c r="J48" i="6" l="1"/>
  <c r="H49" i="6"/>
  <c r="J49" i="6" s="1"/>
</calcChain>
</file>

<file path=xl/sharedStrings.xml><?xml version="1.0" encoding="utf-8"?>
<sst xmlns="http://schemas.openxmlformats.org/spreadsheetml/2006/main" count="103" uniqueCount="79">
  <si>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</si>
  <si>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</si>
  <si>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</si>
  <si>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</si>
  <si>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</si>
  <si>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</si>
  <si>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</si>
  <si>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</si>
  <si>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</si>
  <si>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</si>
  <si>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</si>
  <si>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</si>
  <si>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01/01/22 - 04/30/22</t>
  </si>
  <si>
    <t>LESS: 05/19/22</t>
  </si>
  <si>
    <t>ADD: 05/01/22 - 07/31/22</t>
  </si>
  <si>
    <t>LESS: 08/12/22</t>
  </si>
  <si>
    <t>LESS: 08/23/22</t>
  </si>
  <si>
    <t>ADD: 08/01/22 - 08/31/22</t>
  </si>
  <si>
    <t>LESS: MONETIZATION 2022</t>
  </si>
  <si>
    <t>ADD: 09/01/22 - 11/30/22</t>
  </si>
  <si>
    <t>LESS: 12/23, 28 &amp; 29/22</t>
  </si>
  <si>
    <t>LESS: 12/21,22/22</t>
  </si>
  <si>
    <t>ADD: DISAPPROVED FL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</si>
  <si>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</si>
  <si>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</si>
  <si>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</si>
  <si>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</si>
  <si>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</si>
  <si>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</si>
  <si>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</si>
  <si>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</si>
  <si>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</si>
  <si>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</si>
  <si>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</si>
  <si>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</si>
  <si>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</si>
  <si>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</si>
  <si>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</si>
  <si>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</si>
  <si>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</si>
  <si>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</si>
  <si>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ADD: JULY 16, 2022</t>
  </si>
  <si>
    <t>LESS: 02/01/23</t>
  </si>
  <si>
    <t>REGIONAL WORKSHOP ON THE DEVELOPMENT OF STRUCTURE AND PROCESSES OF THE RE-ENTRY PROGRAM OF THE SCHOOL HEADS ACADEMY OF DEPED REGION VI</t>
  </si>
  <si>
    <t>ADD: OCTOBER 04, 2022</t>
  </si>
  <si>
    <t>S.O. #017, S. 2022 ADMINISTRATION OF 2021 NQESH</t>
  </si>
  <si>
    <t>LESS: 04/19 &amp; 20/2023</t>
  </si>
  <si>
    <t>ADD: 12/01/22 - 12/31/22</t>
  </si>
  <si>
    <t>LESS: 06/09/2023</t>
  </si>
  <si>
    <t>ADD: 01/01/23 - 05/31/23</t>
  </si>
  <si>
    <t>LESS: 06/21/23</t>
  </si>
  <si>
    <t>SPECIAL PRIVILEGE LEAVE</t>
  </si>
  <si>
    <t>ADD: 12/16/2019 - 12/31/2019</t>
  </si>
  <si>
    <t>ADD: 01/01/2020 - 12/31/2020</t>
  </si>
  <si>
    <t>LESS: 01/09/2020</t>
  </si>
  <si>
    <t>LESS: MONETIZATION 2020</t>
  </si>
  <si>
    <t>LESS: FL 2020</t>
  </si>
  <si>
    <t>ADD: 01/01/2021 - 12/31/2021</t>
  </si>
  <si>
    <t>LESS: 08/17/2021</t>
  </si>
  <si>
    <t>LESS: FL 2021</t>
  </si>
  <si>
    <t>ADD: 06/01/23 - 08/31/23</t>
  </si>
  <si>
    <t>LESS: MONETIZATION 2023</t>
  </si>
  <si>
    <t>LESS: SP 08/29-30/2023</t>
  </si>
  <si>
    <t>LESS: 09/5&amp;7/2023</t>
  </si>
  <si>
    <t>ADD: 09/01/2023-11/30/2023</t>
  </si>
  <si>
    <t>LESS: 12/27-28/2023</t>
  </si>
  <si>
    <t>LESS: 12/29/2023</t>
  </si>
  <si>
    <t>ADD: 12/01-31/2023</t>
  </si>
  <si>
    <t>ADD: 01/01-31/2024</t>
  </si>
  <si>
    <t>ADD: 02/1/2024-03/31/2024</t>
  </si>
  <si>
    <t>LESS: 05/2-3/2024</t>
  </si>
  <si>
    <t>ADD: APRIL-JULY 31, 2024</t>
  </si>
  <si>
    <t>LESS: MONETIZATION 2024</t>
  </si>
  <si>
    <t>ADD: 08/1/2024-11/30/2024</t>
  </si>
  <si>
    <t>LESS: 12/26-27/2024</t>
  </si>
  <si>
    <t>ADD: 12/1-31/2024</t>
  </si>
  <si>
    <t>LESS: MANDATORY FL 2024</t>
  </si>
  <si>
    <t>ADD: 01/1/2025-04/30/2025</t>
  </si>
  <si>
    <t>LESS: 05/16 &amp; 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</si>
</sst>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8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5" fillId="0" borderId="0" xfId="0" applyFont="1"/>
    <xf numFmtId="0" fontId="7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7" fillId="0" borderId="0" xfId="1"/>
    <xf numFmtId="0" fontId="10" fillId="0" borderId="0" xfId="1" applyFont="1"/>
    <xf numFmtId="0" fontId="7" fillId="2" borderId="2" xfId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 wrapText="1"/>
    </xf>
    <xf numFmtId="0" fontId="12" fillId="0" borderId="0" xfId="1" applyFont="1"/>
    <xf numFmtId="0" fontId="7" fillId="0" borderId="0" xfId="1" applyAlignment="1">
      <alignment vertical="center"/>
    </xf>
    <xf numFmtId="0" fontId="11" fillId="2" borderId="0" xfId="1" applyFont="1" applyFill="1" applyAlignment="1">
      <alignment horizontal="center" vertical="center" wrapText="1"/>
    </xf>
    <xf numFmtId="0" fontId="7" fillId="2" borderId="0" xfId="1" applyFill="1" applyAlignment="1">
      <alignment horizontal="center" vertical="center" wrapText="1"/>
    </xf>
    <xf numFmtId="0" fontId="7" fillId="2" borderId="0" xfId="1" applyFill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12" fillId="0" borderId="0" xfId="0" applyFont="1"/>
    <xf numFmtId="0" fontId="0" fillId="10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8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7" borderId="6" xfId="1" applyFont="1" applyFill="1" applyBorder="1" applyAlignment="1">
      <alignment horizontal="center" vertical="center"/>
    </xf>
    <xf numFmtId="0" fontId="9" fillId="7" borderId="7" xfId="1" applyFont="1" applyFill="1" applyBorder="1" applyAlignment="1">
      <alignment horizontal="center" vertical="center"/>
    </xf>
    <xf numFmtId="0" fontId="9" fillId="8" borderId="13" xfId="1" applyFont="1" applyFill="1" applyBorder="1" applyAlignment="1">
      <alignment horizontal="center" vertical="center"/>
    </xf>
    <xf numFmtId="0" fontId="9" fillId="8" borderId="14" xfId="1" applyFont="1" applyFill="1" applyBorder="1" applyAlignment="1">
      <alignment horizontal="center" vertical="center"/>
    </xf>
    <xf numFmtId="0" fontId="9" fillId="7" borderId="10" xfId="1" applyFont="1" applyFill="1" applyBorder="1" applyAlignment="1">
      <alignment horizontal="center" vertical="center"/>
    </xf>
    <xf numFmtId="0" fontId="9" fillId="7" borderId="3" xfId="1" applyFont="1" applyFill="1" applyBorder="1" applyAlignment="1">
      <alignment horizontal="center" vertical="center"/>
    </xf>
    <xf numFmtId="0" fontId="11" fillId="9" borderId="15" xfId="1" applyFont="1" applyFill="1" applyBorder="1" applyAlignment="1">
      <alignment horizontal="center" vertical="center" wrapText="1"/>
    </xf>
    <xf numFmtId="0" fontId="11" fillId="9" borderId="16" xfId="1" applyFont="1" applyFill="1" applyBorder="1" applyAlignment="1">
      <alignment horizontal="center" vertical="center" wrapText="1"/>
    </xf>
    <xf numFmtId="0" fontId="11" fillId="9" borderId="9" xfId="1" applyFont="1" applyFill="1" applyBorder="1" applyAlignment="1">
      <alignment horizontal="center" vertical="center" wrapText="1"/>
    </xf>
    <xf numFmtId="0" fontId="7" fillId="2" borderId="0" xfId="1" applyFill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 wrapText="1"/>
    </xf>
    <xf numFmtId="0" fontId="13" fillId="2" borderId="16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7" fillId="0" borderId="0" xfId="1" applyAlignment="1">
      <alignment horizontal="center"/>
    </xf>
    <xf numFmtId="0" fontId="7" fillId="0" borderId="0" xfId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</cellXfs>
  <cellStyles count="2">
    <cellStyle name="Normal" xfId="0" builtinId="0"/>
    <cellStyle name="Normal 2 2" xfId="1" xr:uid="{E53FAF21-4D9A-4608-B5D5-1B21C848D8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358776</xdr:colOff>
      <xdr:row>0</xdr:row>
      <xdr:rowOff>69850</xdr:rowOff>
    </xdr:from>
    <xdr:to>
      <xdr:col>4</xdr:col>
      <xdr:colOff>409705</xdr:colOff>
      <xdr:row>0</xdr:row>
      <xdr:rowOff>600075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0876" y="69850"/>
          <a:ext cx="863729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3403CB-9C7D-4102-B3EB-72CB0A88C22E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PILLONES, DANNY B.</a:t>
          </a:r>
        </a:p>
      </xdr:txBody>
    </xdr:sp>
    <xdr:clientData/>
  </xdr:twoCellAnchor>
  <xdr:twoCellAnchor>
    <xdr:from>
      <xdr:col>0</xdr:col>
      <xdr:colOff>616683</xdr:colOff>
      <xdr:row>7</xdr:row>
      <xdr:rowOff>63499</xdr:rowOff>
    </xdr:from>
    <xdr:to>
      <xdr:col>0</xdr:col>
      <xdr:colOff>1466850</xdr:colOff>
      <xdr:row>9</xdr:row>
      <xdr:rowOff>6104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1493D20-8A72-4D7C-B244-6203CD918651}"/>
            </a:ext>
          </a:extLst>
        </xdr:cNvPr>
        <xdr:cNvSpPr txBox="1"/>
      </xdr:nvSpPr>
      <xdr:spPr>
        <a:xfrm>
          <a:off x="616683" y="1727199"/>
          <a:ext cx="850167" cy="247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SEPS/HRD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E7EF6BF-1C9F-4B07-B5BD-F00C5B06C6A1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63498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4C7C8-C2D5-4672-8341-9CB838365D6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7BCCF2-B84C-42E5-8D13-1AAF092A2E7D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PILLONES, DANNY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3D0523-DEE1-45F4-B6E6-6177F0332D87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SEPS</a:t>
          </a:r>
          <a:r>
            <a:rPr lang="en-US" sz="1100" baseline="0"/>
            <a:t> - HRTD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32BD7A-8C00-4874-A83A-0AC533327586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K63"/>
  <sheetViews>
    <sheetView tabSelected="1" view="pageBreakPreview" zoomScaleNormal="100" zoomScaleSheetLayoutView="100" workbookViewId="0">
      <selection activeCell="A48" sqref="A48"/>
    </sheetView>
  </sheetViews>
  <sheetFormatPr defaultRowHeight="15" x14ac:dyDescent="0.25"/>
  <cols>
    <col min="1" max="1" width="35.4257812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58" t="s">
        <v>23</v>
      </c>
      <c r="B2" s="58"/>
      <c r="C2" s="58"/>
      <c r="D2" s="58"/>
      <c r="E2" s="58"/>
      <c r="F2" s="58"/>
      <c r="G2" s="58"/>
      <c r="H2" s="58"/>
      <c r="I2" s="58"/>
      <c r="J2" s="58"/>
    </row>
    <row r="3" spans="1:11" s="1" customFormat="1" ht="15.95" customHeight="1" x14ac:dyDescent="0.25">
      <c r="A3" s="58" t="s">
        <v>24</v>
      </c>
      <c r="B3" s="58"/>
      <c r="C3" s="58"/>
      <c r="D3" s="58"/>
      <c r="E3" s="58"/>
      <c r="F3" s="58"/>
      <c r="G3" s="58"/>
      <c r="H3" s="58"/>
      <c r="I3" s="58"/>
      <c r="J3" s="58"/>
    </row>
    <row r="4" spans="1:11" s="1" customFormat="1" ht="15.95" customHeight="1" x14ac:dyDescent="0.25">
      <c r="A4" s="58" t="s">
        <v>25</v>
      </c>
      <c r="B4" s="58"/>
      <c r="C4" s="58"/>
      <c r="D4" s="58"/>
      <c r="E4" s="58"/>
      <c r="F4" s="58"/>
      <c r="G4" s="58"/>
      <c r="H4" s="58"/>
      <c r="I4" s="58"/>
      <c r="J4" s="58"/>
    </row>
    <row r="5" spans="1:11" s="1" customFormat="1" ht="15.95" customHeight="1" x14ac:dyDescent="0.25">
      <c r="A5" s="58" t="s">
        <v>26</v>
      </c>
      <c r="B5" s="58"/>
      <c r="C5" s="58"/>
      <c r="D5" s="58"/>
      <c r="E5" s="58"/>
      <c r="F5" s="58"/>
      <c r="G5" s="58"/>
      <c r="H5" s="58"/>
      <c r="I5" s="58"/>
      <c r="J5" s="58"/>
    </row>
    <row r="6" spans="1:11" s="1" customFormat="1" ht="8.25" customHeight="1" x14ac:dyDescent="0.25"/>
    <row r="7" spans="1:11" s="1" customFormat="1" ht="12" customHeight="1" x14ac:dyDescent="0.25">
      <c r="A7" s="1" t="s">
        <v>27</v>
      </c>
      <c r="B7" s="56" t="s">
        <v>28</v>
      </c>
      <c r="C7" s="56"/>
      <c r="D7" s="56"/>
      <c r="H7" s="4" t="s">
        <v>9</v>
      </c>
      <c r="I7" s="26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29</v>
      </c>
      <c r="B9" s="56" t="s">
        <v>30</v>
      </c>
      <c r="C9" s="56"/>
      <c r="D9" s="56"/>
      <c r="H9" s="4" t="s">
        <v>10</v>
      </c>
      <c r="I9" s="5"/>
      <c r="J9" s="4"/>
    </row>
    <row r="10" spans="1:11" ht="16.5" customHeight="1" thickBot="1" x14ac:dyDescent="0.3">
      <c r="A10" s="57" t="s">
        <v>0</v>
      </c>
      <c r="B10" s="57"/>
      <c r="C10" s="57"/>
      <c r="D10" s="57"/>
      <c r="E10" s="57"/>
      <c r="F10" s="57"/>
      <c r="G10" s="57"/>
      <c r="H10" s="57"/>
      <c r="I10" s="57"/>
      <c r="J10" s="57"/>
      <c r="K10"/>
    </row>
    <row r="11" spans="1:11" ht="18.75" customHeight="1" x14ac:dyDescent="0.25">
      <c r="A11" s="52" t="s">
        <v>4</v>
      </c>
      <c r="B11" s="49" t="s">
        <v>5</v>
      </c>
      <c r="C11" s="49"/>
      <c r="D11" s="50" t="s">
        <v>6</v>
      </c>
      <c r="E11" s="50"/>
      <c r="F11" s="50"/>
      <c r="G11" s="25"/>
      <c r="H11" s="51" t="s">
        <v>7</v>
      </c>
      <c r="I11" s="51"/>
      <c r="J11" s="54" t="s">
        <v>8</v>
      </c>
      <c r="K11" s="48" t="s">
        <v>11</v>
      </c>
    </row>
    <row r="12" spans="1:11" ht="18.75" customHeight="1" x14ac:dyDescent="0.25">
      <c r="A12" s="53"/>
      <c r="B12" s="3" t="s">
        <v>1</v>
      </c>
      <c r="C12" s="3" t="s">
        <v>2</v>
      </c>
      <c r="D12" s="3" t="s">
        <v>1</v>
      </c>
      <c r="E12" s="3" t="s">
        <v>2</v>
      </c>
      <c r="F12" s="3" t="s">
        <v>3</v>
      </c>
      <c r="G12" s="27" t="s">
        <v>51</v>
      </c>
      <c r="H12" s="3" t="s">
        <v>1</v>
      </c>
      <c r="I12" s="3" t="s">
        <v>2</v>
      </c>
      <c r="J12" s="55"/>
      <c r="K12" s="48"/>
    </row>
    <row r="13" spans="1:11" ht="18.75" customHeight="1" x14ac:dyDescent="0.25">
      <c r="A13" s="28" t="s">
        <v>52</v>
      </c>
      <c r="B13" s="29">
        <v>0.66700000000000004</v>
      </c>
      <c r="C13" s="29">
        <v>0.66700000000000004</v>
      </c>
      <c r="D13" s="29"/>
      <c r="E13" s="29"/>
      <c r="F13" s="29"/>
      <c r="G13" s="29"/>
      <c r="H13" s="29">
        <f>B13</f>
        <v>0.66700000000000004</v>
      </c>
      <c r="I13" s="29">
        <f>C13</f>
        <v>0.66700000000000004</v>
      </c>
      <c r="J13" s="30">
        <f>SUM(H13:I13)</f>
        <v>1.3340000000000001</v>
      </c>
    </row>
    <row r="14" spans="1:11" ht="18.75" customHeight="1" x14ac:dyDescent="0.25">
      <c r="A14" s="28" t="s">
        <v>53</v>
      </c>
      <c r="B14" s="29">
        <v>15</v>
      </c>
      <c r="C14" s="29">
        <v>15</v>
      </c>
      <c r="D14" s="29"/>
      <c r="E14" s="29"/>
      <c r="F14" s="29"/>
      <c r="G14" s="29"/>
      <c r="H14" s="29">
        <f>H13-F14-D14+B14</f>
        <v>15.667</v>
      </c>
      <c r="I14" s="29">
        <f>I13-E14+C14</f>
        <v>15.667</v>
      </c>
      <c r="J14" s="30">
        <f t="shared" ref="J14" si="0">SUM(H14:I14)</f>
        <v>31.334</v>
      </c>
    </row>
    <row r="15" spans="1:11" ht="18.75" customHeight="1" x14ac:dyDescent="0.25">
      <c r="A15" s="28" t="s">
        <v>54</v>
      </c>
      <c r="B15" s="29"/>
      <c r="C15" s="29"/>
      <c r="D15" s="29"/>
      <c r="E15" s="29"/>
      <c r="F15" s="29">
        <v>1</v>
      </c>
      <c r="G15" s="29"/>
      <c r="H15" s="29">
        <f t="shared" ref="H15:H40" si="1">H14-F15-D15+B15</f>
        <v>14.667</v>
      </c>
      <c r="I15" s="29">
        <f t="shared" ref="I15:I40" si="2">I14-E15+C15</f>
        <v>15.667</v>
      </c>
      <c r="J15" s="30">
        <f t="shared" ref="J15:J40" si="3">SUM(H15:I15)</f>
        <v>30.334</v>
      </c>
    </row>
    <row r="16" spans="1:11" ht="18.75" customHeight="1" x14ac:dyDescent="0.25">
      <c r="A16" s="28" t="s">
        <v>55</v>
      </c>
      <c r="B16" s="29"/>
      <c r="C16" s="29"/>
      <c r="D16" s="29">
        <v>5</v>
      </c>
      <c r="E16" s="29"/>
      <c r="F16" s="29"/>
      <c r="G16" s="29"/>
      <c r="H16" s="29">
        <f t="shared" si="1"/>
        <v>9.6669999999999998</v>
      </c>
      <c r="I16" s="29">
        <f t="shared" si="2"/>
        <v>15.667</v>
      </c>
      <c r="J16" s="30">
        <f t="shared" si="3"/>
        <v>25.334</v>
      </c>
    </row>
    <row r="17" spans="1:10" ht="18.75" customHeight="1" x14ac:dyDescent="0.25">
      <c r="A17" s="28" t="s">
        <v>56</v>
      </c>
      <c r="B17" s="29"/>
      <c r="C17" s="29"/>
      <c r="D17" s="29"/>
      <c r="E17" s="29"/>
      <c r="F17" s="29">
        <v>4</v>
      </c>
      <c r="G17" s="29"/>
      <c r="H17" s="29">
        <f t="shared" si="1"/>
        <v>5.6669999999999998</v>
      </c>
      <c r="I17" s="29">
        <f t="shared" si="2"/>
        <v>15.667</v>
      </c>
      <c r="J17" s="30">
        <f t="shared" si="3"/>
        <v>21.334</v>
      </c>
    </row>
    <row r="18" spans="1:10" ht="18.75" customHeight="1" x14ac:dyDescent="0.25">
      <c r="A18" s="28" t="s">
        <v>57</v>
      </c>
      <c r="B18" s="29">
        <v>15</v>
      </c>
      <c r="C18" s="29">
        <v>15</v>
      </c>
      <c r="D18" s="29"/>
      <c r="E18" s="29"/>
      <c r="F18" s="29"/>
      <c r="G18" s="29"/>
      <c r="H18" s="29">
        <f t="shared" si="1"/>
        <v>20.667000000000002</v>
      </c>
      <c r="I18" s="29">
        <f t="shared" si="2"/>
        <v>30.667000000000002</v>
      </c>
      <c r="J18" s="30">
        <f t="shared" si="3"/>
        <v>51.334000000000003</v>
      </c>
    </row>
    <row r="19" spans="1:10" ht="18.75" customHeight="1" x14ac:dyDescent="0.25">
      <c r="A19" s="28" t="s">
        <v>58</v>
      </c>
      <c r="B19" s="29"/>
      <c r="C19" s="29"/>
      <c r="D19" s="29"/>
      <c r="E19" s="29"/>
      <c r="F19" s="29">
        <v>1</v>
      </c>
      <c r="G19" s="29"/>
      <c r="H19" s="29">
        <f t="shared" si="1"/>
        <v>19.667000000000002</v>
      </c>
      <c r="I19" s="29">
        <f t="shared" si="2"/>
        <v>30.667000000000002</v>
      </c>
      <c r="J19" s="30">
        <f t="shared" si="3"/>
        <v>50.334000000000003</v>
      </c>
    </row>
    <row r="20" spans="1:10" ht="18.75" customHeight="1" x14ac:dyDescent="0.25">
      <c r="A20" s="28" t="s">
        <v>59</v>
      </c>
      <c r="B20" s="29"/>
      <c r="C20" s="29"/>
      <c r="D20" s="29"/>
      <c r="E20" s="29"/>
      <c r="F20" s="29">
        <v>4</v>
      </c>
      <c r="G20" s="29"/>
      <c r="H20" s="29">
        <f t="shared" si="1"/>
        <v>15.667000000000002</v>
      </c>
      <c r="I20" s="29">
        <f t="shared" si="2"/>
        <v>30.667000000000002</v>
      </c>
      <c r="J20" s="30">
        <f t="shared" si="3"/>
        <v>46.334000000000003</v>
      </c>
    </row>
    <row r="21" spans="1:10" ht="18.75" customHeight="1" x14ac:dyDescent="0.25">
      <c r="A21" s="31" t="s">
        <v>12</v>
      </c>
      <c r="B21" s="29">
        <v>5</v>
      </c>
      <c r="C21" s="29">
        <v>5</v>
      </c>
      <c r="D21" s="29"/>
      <c r="E21" s="29"/>
      <c r="F21" s="29"/>
      <c r="G21" s="29"/>
      <c r="H21" s="29">
        <f t="shared" si="1"/>
        <v>20.667000000000002</v>
      </c>
      <c r="I21" s="29">
        <f t="shared" si="2"/>
        <v>35.667000000000002</v>
      </c>
      <c r="J21" s="30">
        <f t="shared" si="3"/>
        <v>56.334000000000003</v>
      </c>
    </row>
    <row r="22" spans="1:10" ht="18.75" customHeight="1" x14ac:dyDescent="0.25">
      <c r="A22" s="28" t="s">
        <v>13</v>
      </c>
      <c r="B22" s="29"/>
      <c r="C22" s="29"/>
      <c r="D22" s="29"/>
      <c r="E22" s="29"/>
      <c r="F22" s="29">
        <v>1</v>
      </c>
      <c r="G22" s="29"/>
      <c r="H22" s="29">
        <f t="shared" si="1"/>
        <v>19.667000000000002</v>
      </c>
      <c r="I22" s="29">
        <f t="shared" si="2"/>
        <v>35.667000000000002</v>
      </c>
      <c r="J22" s="30">
        <f t="shared" si="3"/>
        <v>55.334000000000003</v>
      </c>
    </row>
    <row r="23" spans="1:10" ht="18.75" customHeight="1" x14ac:dyDescent="0.25">
      <c r="A23" s="31" t="s">
        <v>14</v>
      </c>
      <c r="B23" s="29">
        <v>3.75</v>
      </c>
      <c r="C23" s="29">
        <v>3.75</v>
      </c>
      <c r="D23" s="29"/>
      <c r="E23" s="29"/>
      <c r="F23" s="29"/>
      <c r="G23" s="29"/>
      <c r="H23" s="29">
        <f t="shared" si="1"/>
        <v>23.417000000000002</v>
      </c>
      <c r="I23" s="29">
        <f t="shared" si="2"/>
        <v>39.417000000000002</v>
      </c>
      <c r="J23" s="30">
        <f t="shared" si="3"/>
        <v>62.834000000000003</v>
      </c>
    </row>
    <row r="24" spans="1:10" ht="18.75" customHeight="1" x14ac:dyDescent="0.25">
      <c r="A24" s="28" t="s">
        <v>15</v>
      </c>
      <c r="B24" s="29"/>
      <c r="C24" s="29"/>
      <c r="D24" s="29"/>
      <c r="E24" s="29"/>
      <c r="F24" s="29">
        <v>1</v>
      </c>
      <c r="G24" s="29"/>
      <c r="H24" s="29">
        <f t="shared" si="1"/>
        <v>22.417000000000002</v>
      </c>
      <c r="I24" s="29">
        <f t="shared" si="2"/>
        <v>39.417000000000002</v>
      </c>
      <c r="J24" s="30">
        <f t="shared" si="3"/>
        <v>61.834000000000003</v>
      </c>
    </row>
    <row r="25" spans="1:10" ht="18.75" customHeight="1" x14ac:dyDescent="0.25">
      <c r="A25" s="28" t="s">
        <v>16</v>
      </c>
      <c r="B25" s="33"/>
      <c r="C25" s="29"/>
      <c r="D25" s="29"/>
      <c r="E25" s="29"/>
      <c r="F25" s="29">
        <v>1</v>
      </c>
      <c r="G25" s="29"/>
      <c r="H25" s="29">
        <f t="shared" si="1"/>
        <v>21.417000000000002</v>
      </c>
      <c r="I25" s="29">
        <f t="shared" si="2"/>
        <v>39.417000000000002</v>
      </c>
      <c r="J25" s="30">
        <f t="shared" si="3"/>
        <v>60.834000000000003</v>
      </c>
    </row>
    <row r="26" spans="1:10" ht="18.75" customHeight="1" x14ac:dyDescent="0.25">
      <c r="A26" s="31" t="s">
        <v>17</v>
      </c>
      <c r="B26" s="29">
        <v>1.25</v>
      </c>
      <c r="C26" s="29">
        <v>1.25</v>
      </c>
      <c r="D26" s="29"/>
      <c r="E26" s="29"/>
      <c r="F26" s="29"/>
      <c r="G26" s="29"/>
      <c r="H26" s="29">
        <f t="shared" si="1"/>
        <v>22.667000000000002</v>
      </c>
      <c r="I26" s="29">
        <f t="shared" si="2"/>
        <v>40.667000000000002</v>
      </c>
      <c r="J26" s="30">
        <f t="shared" si="3"/>
        <v>63.334000000000003</v>
      </c>
    </row>
    <row r="27" spans="1:10" ht="18.75" customHeight="1" x14ac:dyDescent="0.25">
      <c r="A27" s="28" t="s">
        <v>18</v>
      </c>
      <c r="B27" s="29"/>
      <c r="C27" s="29"/>
      <c r="D27" s="29">
        <v>9</v>
      </c>
      <c r="E27" s="29">
        <v>20</v>
      </c>
      <c r="F27" s="29"/>
      <c r="G27" s="29"/>
      <c r="H27" s="29">
        <f t="shared" si="1"/>
        <v>13.667000000000002</v>
      </c>
      <c r="I27" s="29">
        <f t="shared" si="2"/>
        <v>20.667000000000002</v>
      </c>
      <c r="J27" s="30">
        <f t="shared" si="3"/>
        <v>34.334000000000003</v>
      </c>
    </row>
    <row r="28" spans="1:10" ht="18.75" customHeight="1" x14ac:dyDescent="0.25">
      <c r="A28" s="31" t="s">
        <v>19</v>
      </c>
      <c r="B28" s="29">
        <v>3.75</v>
      </c>
      <c r="C28" s="29">
        <v>3.75</v>
      </c>
      <c r="D28" s="29"/>
      <c r="E28" s="29"/>
      <c r="F28" s="29"/>
      <c r="G28" s="29"/>
      <c r="H28" s="29">
        <f t="shared" si="1"/>
        <v>17.417000000000002</v>
      </c>
      <c r="I28" s="29">
        <f t="shared" si="2"/>
        <v>24.417000000000002</v>
      </c>
      <c r="J28" s="30">
        <f t="shared" si="3"/>
        <v>41.834000000000003</v>
      </c>
    </row>
    <row r="29" spans="1:10" ht="18.75" customHeight="1" x14ac:dyDescent="0.25">
      <c r="A29" s="28" t="s">
        <v>21</v>
      </c>
      <c r="B29" s="29"/>
      <c r="C29" s="29"/>
      <c r="D29" s="29"/>
      <c r="E29" s="29"/>
      <c r="F29" s="29">
        <v>2</v>
      </c>
      <c r="G29" s="29"/>
      <c r="H29" s="29">
        <f t="shared" si="1"/>
        <v>15.417000000000002</v>
      </c>
      <c r="I29" s="29">
        <f t="shared" si="2"/>
        <v>24.417000000000002</v>
      </c>
      <c r="J29" s="30">
        <f t="shared" si="3"/>
        <v>39.834000000000003</v>
      </c>
    </row>
    <row r="30" spans="1:10" ht="18.75" customHeight="1" x14ac:dyDescent="0.25">
      <c r="A30" s="28" t="s">
        <v>20</v>
      </c>
      <c r="B30" s="29"/>
      <c r="C30" s="29"/>
      <c r="D30" s="29"/>
      <c r="E30" s="29"/>
      <c r="F30" s="29"/>
      <c r="G30" s="29">
        <v>3</v>
      </c>
      <c r="H30" s="29">
        <f t="shared" si="1"/>
        <v>15.417000000000002</v>
      </c>
      <c r="I30" s="29">
        <f t="shared" si="2"/>
        <v>24.417000000000002</v>
      </c>
      <c r="J30" s="30">
        <f t="shared" si="3"/>
        <v>39.834000000000003</v>
      </c>
    </row>
    <row r="31" spans="1:10" ht="18.75" customHeight="1" x14ac:dyDescent="0.25">
      <c r="A31" s="32" t="s">
        <v>22</v>
      </c>
      <c r="B31" s="29">
        <v>2</v>
      </c>
      <c r="C31" s="29"/>
      <c r="D31" s="29"/>
      <c r="E31" s="29"/>
      <c r="F31" s="29"/>
      <c r="G31" s="29"/>
      <c r="H31" s="29">
        <f t="shared" si="1"/>
        <v>17.417000000000002</v>
      </c>
      <c r="I31" s="29">
        <f t="shared" si="2"/>
        <v>24.417000000000002</v>
      </c>
      <c r="J31" s="30">
        <f t="shared" si="3"/>
        <v>41.834000000000003</v>
      </c>
    </row>
    <row r="32" spans="1:10" ht="18.75" customHeight="1" x14ac:dyDescent="0.25">
      <c r="A32" s="31" t="s">
        <v>47</v>
      </c>
      <c r="B32" s="29">
        <v>1.25</v>
      </c>
      <c r="C32" s="29">
        <v>1.25</v>
      </c>
      <c r="D32" s="29"/>
      <c r="E32" s="29"/>
      <c r="F32" s="29"/>
      <c r="G32" s="29"/>
      <c r="H32" s="29">
        <f t="shared" si="1"/>
        <v>18.667000000000002</v>
      </c>
      <c r="I32" s="29">
        <f t="shared" si="2"/>
        <v>25.667000000000002</v>
      </c>
      <c r="J32" s="30">
        <f t="shared" si="3"/>
        <v>44.334000000000003</v>
      </c>
    </row>
    <row r="33" spans="1:10" ht="18.75" customHeight="1" x14ac:dyDescent="0.25">
      <c r="A33" s="31" t="s">
        <v>49</v>
      </c>
      <c r="B33" s="29">
        <v>6.25</v>
      </c>
      <c r="C33" s="29">
        <v>6.25</v>
      </c>
      <c r="D33" s="29"/>
      <c r="E33" s="29"/>
      <c r="F33" s="29"/>
      <c r="G33" s="29"/>
      <c r="H33" s="29">
        <f t="shared" si="1"/>
        <v>24.917000000000002</v>
      </c>
      <c r="I33" s="29">
        <f t="shared" si="2"/>
        <v>31.917000000000002</v>
      </c>
      <c r="J33" s="30">
        <f t="shared" si="3"/>
        <v>56.834000000000003</v>
      </c>
    </row>
    <row r="34" spans="1:10" ht="18.75" customHeight="1" x14ac:dyDescent="0.25">
      <c r="A34" s="32" t="s">
        <v>50</v>
      </c>
      <c r="B34" s="29"/>
      <c r="C34" s="29"/>
      <c r="D34" s="29"/>
      <c r="E34" s="29"/>
      <c r="F34" s="29">
        <v>1</v>
      </c>
      <c r="G34" s="29"/>
      <c r="H34" s="29">
        <f t="shared" si="1"/>
        <v>23.917000000000002</v>
      </c>
      <c r="I34" s="29">
        <f t="shared" si="2"/>
        <v>31.917000000000002</v>
      </c>
      <c r="J34" s="30">
        <f t="shared" si="3"/>
        <v>55.834000000000003</v>
      </c>
    </row>
    <row r="35" spans="1:10" ht="18.75" customHeight="1" x14ac:dyDescent="0.25">
      <c r="A35" s="31" t="s">
        <v>60</v>
      </c>
      <c r="B35" s="29">
        <v>3.75</v>
      </c>
      <c r="C35" s="29">
        <v>3.75</v>
      </c>
      <c r="D35" s="29"/>
      <c r="E35" s="29"/>
      <c r="F35" s="29"/>
      <c r="G35" s="29"/>
      <c r="H35" s="29">
        <f t="shared" si="1"/>
        <v>27.667000000000002</v>
      </c>
      <c r="I35" s="29">
        <f t="shared" si="2"/>
        <v>35.667000000000002</v>
      </c>
      <c r="J35" s="30">
        <f t="shared" si="3"/>
        <v>63.334000000000003</v>
      </c>
    </row>
    <row r="36" spans="1:10" ht="18.75" customHeight="1" x14ac:dyDescent="0.25">
      <c r="A36" s="32" t="s">
        <v>61</v>
      </c>
      <c r="B36" s="29"/>
      <c r="C36" s="29"/>
      <c r="D36" s="29">
        <v>18</v>
      </c>
      <c r="E36" s="29">
        <v>11</v>
      </c>
      <c r="F36" s="29"/>
      <c r="G36" s="29"/>
      <c r="H36" s="29">
        <f t="shared" si="1"/>
        <v>9.6670000000000016</v>
      </c>
      <c r="I36" s="29">
        <f t="shared" si="2"/>
        <v>24.667000000000002</v>
      </c>
      <c r="J36" s="30">
        <f t="shared" si="3"/>
        <v>34.334000000000003</v>
      </c>
    </row>
    <row r="37" spans="1:10" ht="18.75" customHeight="1" x14ac:dyDescent="0.25">
      <c r="A37" s="32" t="s">
        <v>62</v>
      </c>
      <c r="B37" s="29"/>
      <c r="C37" s="29"/>
      <c r="D37" s="29"/>
      <c r="E37" s="29"/>
      <c r="F37" s="29"/>
      <c r="G37" s="29">
        <v>2</v>
      </c>
      <c r="H37" s="29">
        <f t="shared" si="1"/>
        <v>9.6670000000000016</v>
      </c>
      <c r="I37" s="29">
        <f t="shared" si="2"/>
        <v>24.667000000000002</v>
      </c>
      <c r="J37" s="30">
        <f t="shared" si="3"/>
        <v>34.334000000000003</v>
      </c>
    </row>
    <row r="38" spans="1:10" ht="18.75" customHeight="1" x14ac:dyDescent="0.25">
      <c r="A38" s="32" t="s">
        <v>63</v>
      </c>
      <c r="B38" s="29"/>
      <c r="C38" s="29"/>
      <c r="D38" s="29"/>
      <c r="E38" s="29"/>
      <c r="F38" s="29">
        <v>2</v>
      </c>
      <c r="G38" s="29"/>
      <c r="H38" s="29">
        <f t="shared" si="1"/>
        <v>7.6670000000000016</v>
      </c>
      <c r="I38" s="29">
        <f t="shared" si="2"/>
        <v>24.667000000000002</v>
      </c>
      <c r="J38" s="30">
        <f t="shared" si="3"/>
        <v>32.334000000000003</v>
      </c>
    </row>
    <row r="39" spans="1:10" ht="18.75" customHeight="1" x14ac:dyDescent="0.25">
      <c r="A39" s="36" t="s">
        <v>64</v>
      </c>
      <c r="B39" s="38">
        <f>3*1.25</f>
        <v>3.75</v>
      </c>
      <c r="C39" s="38">
        <v>3.75</v>
      </c>
      <c r="D39" s="38"/>
      <c r="E39" s="38"/>
      <c r="F39" s="38"/>
      <c r="G39" s="38"/>
      <c r="H39" s="29">
        <f t="shared" si="1"/>
        <v>11.417000000000002</v>
      </c>
      <c r="I39" s="29">
        <f t="shared" si="2"/>
        <v>28.417000000000002</v>
      </c>
      <c r="J39" s="30">
        <f t="shared" si="3"/>
        <v>39.834000000000003</v>
      </c>
    </row>
    <row r="40" spans="1:10" ht="18.75" customHeight="1" x14ac:dyDescent="0.25">
      <c r="A40" s="37" t="s">
        <v>65</v>
      </c>
      <c r="B40" s="39"/>
      <c r="C40" s="39"/>
      <c r="D40" s="39"/>
      <c r="E40" s="39"/>
      <c r="F40" s="39">
        <v>2</v>
      </c>
      <c r="G40" s="39"/>
      <c r="H40" s="29">
        <f t="shared" si="1"/>
        <v>9.4170000000000016</v>
      </c>
      <c r="I40" s="29">
        <f t="shared" si="2"/>
        <v>28.417000000000002</v>
      </c>
      <c r="J40" s="30">
        <f t="shared" si="3"/>
        <v>37.834000000000003</v>
      </c>
    </row>
    <row r="41" spans="1:10" ht="18.75" customHeight="1" x14ac:dyDescent="0.25">
      <c r="A41" s="37" t="s">
        <v>66</v>
      </c>
      <c r="B41" s="39"/>
      <c r="C41" s="39"/>
      <c r="D41" s="39"/>
      <c r="E41" s="39"/>
      <c r="F41" s="39"/>
      <c r="G41" s="39">
        <v>1</v>
      </c>
      <c r="H41" s="29">
        <f t="shared" ref="H41:H43" si="4">H40-F41-D41+B41</f>
        <v>9.4170000000000016</v>
      </c>
      <c r="I41" s="29">
        <f t="shared" ref="I41:I43" si="5">I40-E41+C41</f>
        <v>28.417000000000002</v>
      </c>
      <c r="J41" s="30">
        <f t="shared" ref="J41:J43" si="6">SUM(H41:I41)</f>
        <v>37.834000000000003</v>
      </c>
    </row>
    <row r="42" spans="1:10" ht="18.75" customHeight="1" x14ac:dyDescent="0.25">
      <c r="A42" s="37" t="s">
        <v>67</v>
      </c>
      <c r="B42" s="39">
        <v>1.25</v>
      </c>
      <c r="C42" s="39">
        <v>1.25</v>
      </c>
      <c r="D42" s="39"/>
      <c r="E42" s="39"/>
      <c r="F42" s="39"/>
      <c r="G42" s="39"/>
      <c r="H42" s="29">
        <f t="shared" si="4"/>
        <v>10.667000000000002</v>
      </c>
      <c r="I42" s="29">
        <f t="shared" si="5"/>
        <v>29.667000000000002</v>
      </c>
      <c r="J42" s="30">
        <f t="shared" si="6"/>
        <v>40.334000000000003</v>
      </c>
    </row>
    <row r="43" spans="1:10" ht="18.75" customHeight="1" x14ac:dyDescent="0.25">
      <c r="A43" s="37" t="s">
        <v>68</v>
      </c>
      <c r="B43" s="39">
        <v>1.25</v>
      </c>
      <c r="C43" s="39">
        <v>1.25</v>
      </c>
      <c r="D43" s="39"/>
      <c r="E43" s="39"/>
      <c r="F43" s="39"/>
      <c r="G43" s="39"/>
      <c r="H43" s="29">
        <f t="shared" si="4"/>
        <v>11.917000000000002</v>
      </c>
      <c r="I43" s="29">
        <f t="shared" si="5"/>
        <v>30.917000000000002</v>
      </c>
      <c r="J43" s="30">
        <f t="shared" si="6"/>
        <v>42.834000000000003</v>
      </c>
    </row>
    <row r="44" spans="1:10" ht="18.75" customHeight="1" x14ac:dyDescent="0.25">
      <c r="A44" s="37" t="s">
        <v>69</v>
      </c>
      <c r="B44" s="39">
        <v>2.5</v>
      </c>
      <c r="C44" s="39">
        <v>2.5</v>
      </c>
      <c r="D44" s="39"/>
      <c r="E44" s="39"/>
      <c r="F44" s="39"/>
      <c r="G44" s="39"/>
      <c r="H44" s="29">
        <f t="shared" ref="H44:H45" si="7">H43-F44-D44+B44</f>
        <v>14.417000000000002</v>
      </c>
      <c r="I44" s="29">
        <f t="shared" ref="I44:I45" si="8">I43-E44+C44</f>
        <v>33.417000000000002</v>
      </c>
      <c r="J44" s="30">
        <f t="shared" ref="J44:J45" si="9">SUM(H44:I44)</f>
        <v>47.834000000000003</v>
      </c>
    </row>
    <row r="45" spans="1:10" ht="18.75" customHeight="1" x14ac:dyDescent="0.25">
      <c r="A45" s="37" t="s">
        <v>70</v>
      </c>
      <c r="B45" s="39"/>
      <c r="C45" s="39"/>
      <c r="D45" s="39"/>
      <c r="E45" s="39"/>
      <c r="F45" s="45">
        <v>2</v>
      </c>
      <c r="G45" s="39"/>
      <c r="H45" s="29">
        <f t="shared" si="7"/>
        <v>12.417000000000002</v>
      </c>
      <c r="I45" s="29">
        <f t="shared" si="8"/>
        <v>33.417000000000002</v>
      </c>
      <c r="J45" s="30">
        <f t="shared" si="9"/>
        <v>45.834000000000003</v>
      </c>
    </row>
    <row r="46" spans="1:10" ht="18.75" customHeight="1" x14ac:dyDescent="0.25">
      <c r="A46" s="37" t="s">
        <v>71</v>
      </c>
      <c r="B46" s="39">
        <v>5</v>
      </c>
      <c r="C46" s="39">
        <v>5</v>
      </c>
      <c r="D46" s="39"/>
      <c r="E46" s="39"/>
      <c r="F46" s="45"/>
      <c r="G46" s="39"/>
      <c r="H46" s="29">
        <f t="shared" ref="H46" si="10">H45-F46-D46+B46</f>
        <v>17.417000000000002</v>
      </c>
      <c r="I46" s="29">
        <f t="shared" ref="I46" si="11">I45-E46+C46</f>
        <v>38.417000000000002</v>
      </c>
      <c r="J46" s="30">
        <f t="shared" ref="J46" si="12">SUM(H46:I46)</f>
        <v>55.834000000000003</v>
      </c>
    </row>
    <row r="47" spans="1:10" ht="18.75" customHeight="1" x14ac:dyDescent="0.25">
      <c r="A47" s="37" t="s">
        <v>72</v>
      </c>
      <c r="B47" s="45"/>
      <c r="C47" s="45"/>
      <c r="D47" s="45">
        <v>12</v>
      </c>
      <c r="E47" s="45"/>
      <c r="F47" s="45"/>
      <c r="G47" s="45"/>
      <c r="H47" s="46">
        <f t="shared" ref="H47" si="13">H46-F47-D47+B47</f>
        <v>5.4170000000000016</v>
      </c>
      <c r="I47" s="46">
        <f t="shared" ref="I47" si="14">I46-E47+C47</f>
        <v>38.417000000000002</v>
      </c>
      <c r="J47" s="47">
        <f t="shared" ref="J47" si="15">SUM(H47:I47)</f>
        <v>43.834000000000003</v>
      </c>
    </row>
    <row r="48" spans="1:10" ht="18.75" customHeight="1" x14ac:dyDescent="0.25">
      <c r="A48" s="37" t="s">
        <v>73</v>
      </c>
      <c r="B48" s="45">
        <v>5</v>
      </c>
      <c r="C48" s="45">
        <v>5</v>
      </c>
      <c r="D48" s="45"/>
      <c r="E48" s="45"/>
      <c r="F48" s="45"/>
      <c r="G48" s="45"/>
      <c r="H48" s="46">
        <f t="shared" ref="H48:H49" si="16">H47-F48-D48+B48</f>
        <v>10.417000000000002</v>
      </c>
      <c r="I48" s="46">
        <f t="shared" ref="I48:I49" si="17">I47-E48+C48</f>
        <v>43.417000000000002</v>
      </c>
      <c r="J48" s="47">
        <f t="shared" ref="J48:J49" si="18">SUM(H48:I48)</f>
        <v>53.834000000000003</v>
      </c>
    </row>
    <row r="49" spans="1:11" ht="18.75" customHeight="1" x14ac:dyDescent="0.25">
      <c r="A49" s="37" t="s">
        <v>74</v>
      </c>
      <c r="B49" s="45"/>
      <c r="C49" s="45"/>
      <c r="D49" s="45"/>
      <c r="E49" s="45"/>
      <c r="F49" s="45">
        <v>2</v>
      </c>
      <c r="G49" s="45"/>
      <c r="H49" s="46">
        <f t="shared" si="16"/>
        <v>8.4170000000000016</v>
      </c>
      <c r="I49" s="46">
        <f t="shared" si="17"/>
        <v>43.417000000000002</v>
      </c>
      <c r="J49" s="47">
        <f t="shared" si="18"/>
        <v>51.834000000000003</v>
      </c>
    </row>
    <row r="50" spans="1:11" ht="18.75" customHeight="1" x14ac:dyDescent="0.25">
      <c r="A50" s="37" t="s">
        <v>75</v>
      </c>
      <c r="B50" s="45">
        <v>1.25</v>
      </c>
      <c r="C50" s="45">
        <v>1.25</v>
      </c>
      <c r="D50" s="45"/>
      <c r="E50" s="45"/>
      <c r="F50" s="45"/>
      <c r="G50" s="45"/>
      <c r="H50" s="46">
        <f t="shared" ref="H50:H53" si="19">H49-F50-D50+B50</f>
        <v>9.6670000000000016</v>
      </c>
      <c r="I50" s="46">
        <f t="shared" ref="I50:I53" si="20">I49-E50+C50</f>
        <v>44.667000000000002</v>
      </c>
      <c r="J50" s="47">
        <f t="shared" ref="J50:J53" si="21">SUM(H50:I50)</f>
        <v>54.334000000000003</v>
      </c>
    </row>
    <row r="51" spans="1:11" ht="18.75" customHeight="1" x14ac:dyDescent="0.25">
      <c r="A51" s="37" t="s">
        <v>76</v>
      </c>
      <c r="B51" s="45"/>
      <c r="C51" s="45"/>
      <c r="D51" s="45"/>
      <c r="E51" s="45"/>
      <c r="F51" s="45">
        <v>1</v>
      </c>
      <c r="G51" s="45"/>
      <c r="H51" s="46">
        <f t="shared" si="19"/>
        <v>8.6670000000000016</v>
      </c>
      <c r="I51" s="46">
        <f t="shared" si="20"/>
        <v>44.667000000000002</v>
      </c>
      <c r="J51" s="47">
        <f t="shared" si="21"/>
        <v>53.334000000000003</v>
      </c>
    </row>
    <row r="52" spans="1:11" ht="18.75" customHeight="1" x14ac:dyDescent="0.25">
      <c r="A52" s="37" t="s">
        <v>77</v>
      </c>
      <c r="B52" s="45">
        <v>5</v>
      </c>
      <c r="C52" s="45">
        <v>5</v>
      </c>
      <c r="D52" s="45"/>
      <c r="E52" s="45"/>
      <c r="F52" s="45"/>
      <c r="G52" s="45"/>
      <c r="H52" s="46">
        <f t="shared" si="19"/>
        <v>13.667000000000002</v>
      </c>
      <c r="I52" s="46">
        <f t="shared" si="20"/>
        <v>49.667000000000002</v>
      </c>
      <c r="J52" s="47">
        <f t="shared" si="21"/>
        <v>63.334000000000003</v>
      </c>
    </row>
    <row r="53" spans="1:11" ht="18.75" customHeight="1" x14ac:dyDescent="0.25">
      <c r="A53" s="37" t="s">
        <v>78</v>
      </c>
      <c r="B53" s="45"/>
      <c r="C53" s="45"/>
      <c r="D53" s="45"/>
      <c r="E53" s="45"/>
      <c r="F53" s="40">
        <v>2</v>
      </c>
      <c r="G53" s="45"/>
      <c r="H53" s="46">
        <f t="shared" si="19"/>
        <v>11.667000000000002</v>
      </c>
      <c r="I53" s="46">
        <f t="shared" si="20"/>
        <v>49.667000000000002</v>
      </c>
      <c r="J53" s="47">
        <f t="shared" si="21"/>
        <v>61.334000000000003</v>
      </c>
    </row>
    <row r="54" spans="1:11" ht="18.75" customHeight="1" x14ac:dyDescent="0.25">
      <c r="A54" s="37"/>
      <c r="B54" s="45">
        <v>2.5</v>
      </c>
      <c r="C54" s="45">
        <v>2.5</v>
      </c>
      <c r="D54" s="45"/>
      <c r="E54" s="45"/>
      <c r="F54" s="45"/>
      <c r="G54" s="45"/>
      <c r="H54" s="46">
        <f t="shared" ref="H54" si="22">H53-F54-D54+B54</f>
        <v>14.167000000000002</v>
      </c>
      <c r="I54" s="46">
        <f t="shared" ref="I54" si="23">I53-E54+C54</f>
        <v>52.167000000000002</v>
      </c>
      <c r="J54" s="47">
        <f t="shared" ref="J54" si="24">SUM(H54:I54)</f>
        <v>66.334000000000003</v>
      </c>
    </row>
    <row r="55" spans="1:11" ht="18.75" customHeight="1" x14ac:dyDescent="0.25">
      <c r="A55" s="41"/>
      <c r="B55" s="42"/>
      <c r="C55" s="42"/>
      <c r="D55" s="42"/>
      <c r="E55" s="42"/>
      <c r="F55" s="42"/>
      <c r="G55" s="42"/>
      <c r="H55" s="43"/>
      <c r="I55" s="43"/>
      <c r="J55" s="43"/>
    </row>
    <row r="56" spans="1:11" ht="18.75" customHeight="1" x14ac:dyDescent="0.25">
      <c r="A56" s="41"/>
      <c r="B56" s="42"/>
      <c r="C56" s="42"/>
      <c r="D56" s="42"/>
      <c r="E56" s="42"/>
      <c r="F56" s="42"/>
      <c r="G56" s="34" t="s">
        <v>37</v>
      </c>
      <c r="H56" s="43"/>
      <c r="I56" s="43"/>
      <c r="J56" s="43"/>
    </row>
    <row r="57" spans="1:11" ht="18.75" customHeight="1" x14ac:dyDescent="0.25">
      <c r="A57" s="41"/>
      <c r="B57" s="42"/>
      <c r="C57" s="42"/>
      <c r="D57" s="42"/>
      <c r="E57" s="42"/>
      <c r="F57" s="42"/>
      <c r="G57" s="34"/>
      <c r="H57" s="43"/>
      <c r="I57" s="43"/>
      <c r="J57" s="43"/>
    </row>
    <row r="58" spans="1:11" ht="18.75" customHeight="1" x14ac:dyDescent="0.25">
      <c r="A58" s="41"/>
      <c r="B58" s="42"/>
      <c r="C58" s="42"/>
      <c r="D58" s="42"/>
      <c r="E58" s="42"/>
      <c r="F58" s="42"/>
      <c r="H58" s="44" t="s">
        <v>38</v>
      </c>
      <c r="I58" s="43"/>
      <c r="J58" s="43"/>
    </row>
    <row r="59" spans="1:11" s="34" customFormat="1" ht="15" customHeight="1" x14ac:dyDescent="0.25">
      <c r="H59" s="35" t="s">
        <v>39</v>
      </c>
    </row>
    <row r="60" spans="1:11" s="34" customFormat="1" ht="15" customHeight="1" x14ac:dyDescent="0.25">
      <c r="H60" s="35" t="s">
        <v>40</v>
      </c>
    </row>
    <row r="61" spans="1:11" s="34" customFormat="1" ht="15" customHeight="1" x14ac:dyDescent="0.25"/>
    <row r="62" spans="1:11" s="34" customFormat="1" ht="15" customHeight="1" x14ac:dyDescent="0.25"/>
    <row r="63" spans="1:11" ht="15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</row>
  </sheetData>
  <mergeCells count="13">
    <mergeCell ref="B9:D9"/>
    <mergeCell ref="A10:J10"/>
    <mergeCell ref="A2:J2"/>
    <mergeCell ref="A3:J3"/>
    <mergeCell ref="A4:J4"/>
    <mergeCell ref="A5:J5"/>
    <mergeCell ref="B7:D7"/>
    <mergeCell ref="K11:K12"/>
    <mergeCell ref="B11:C11"/>
    <mergeCell ref="D11:F11"/>
    <mergeCell ref="H11:I11"/>
    <mergeCell ref="A11:A12"/>
    <mergeCell ref="J11:J12"/>
  </mergeCells>
  <phoneticPr fontId="6" type="noConversion"/>
  <printOptions horizontalCentered="1"/>
  <pageMargins left="0.25" right="0.25" top="0.25" bottom="0.25" header="0.3" footer="0.3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0CCF-51ED-4F5D-BF63-8EE640F0F4B5}">
  <dimension ref="A1:L24"/>
  <sheetViews>
    <sheetView view="pageBreakPreview" topLeftCell="A4" zoomScale="112" zoomScaleNormal="100" zoomScaleSheetLayoutView="112" workbookViewId="0">
      <selection activeCell="B15" sqref="B15:E15"/>
    </sheetView>
  </sheetViews>
  <sheetFormatPr defaultColWidth="8.7109375" defaultRowHeight="15" x14ac:dyDescent="0.25"/>
  <cols>
    <col min="1" max="1" width="33.5703125" style="12" customWidth="1"/>
    <col min="2" max="4" width="8.7109375" style="12"/>
    <col min="5" max="5" width="10.140625" style="12" customWidth="1"/>
    <col min="6" max="16384" width="8.7109375" style="12"/>
  </cols>
  <sheetData>
    <row r="1" spans="1:12" s="7" customFormat="1" ht="52.5" customHeight="1" x14ac:dyDescent="0.25"/>
    <row r="2" spans="1:12" s="7" customFormat="1" ht="10.5" customHeight="1" x14ac:dyDescent="0.25">
      <c r="A2" s="68" t="s">
        <v>23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s="7" customFormat="1" ht="15.95" customHeight="1" x14ac:dyDescent="0.25">
      <c r="A3" s="68" t="s">
        <v>24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s="7" customFormat="1" ht="15.95" customHeight="1" x14ac:dyDescent="0.25">
      <c r="A4" s="68" t="s">
        <v>25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s="7" customFormat="1" ht="15.95" customHeight="1" x14ac:dyDescent="0.25">
      <c r="A5" s="68" t="s">
        <v>26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2" s="7" customFormat="1" ht="8.25" customHeight="1" x14ac:dyDescent="0.25"/>
    <row r="7" spans="1:12" s="7" customFormat="1" ht="12" customHeight="1" x14ac:dyDescent="0.25">
      <c r="A7" s="7" t="s">
        <v>27</v>
      </c>
      <c r="C7" s="8" t="s">
        <v>28</v>
      </c>
      <c r="D7" s="8"/>
      <c r="G7" s="8" t="s">
        <v>9</v>
      </c>
      <c r="H7" s="9"/>
    </row>
    <row r="8" spans="1:12" s="7" customFormat="1" ht="12" customHeight="1" x14ac:dyDescent="0.25">
      <c r="C8" s="10"/>
      <c r="G8" s="10"/>
      <c r="H8" s="10"/>
    </row>
    <row r="9" spans="1:12" s="7" customFormat="1" ht="12" customHeight="1" x14ac:dyDescent="0.25">
      <c r="A9" s="7" t="s">
        <v>29</v>
      </c>
      <c r="C9" s="8" t="s">
        <v>30</v>
      </c>
      <c r="D9" s="8"/>
      <c r="G9" s="8" t="s">
        <v>10</v>
      </c>
      <c r="H9" s="11"/>
    </row>
    <row r="10" spans="1:12" ht="16.5" customHeight="1" thickBot="1" x14ac:dyDescent="0.3">
      <c r="A10" s="69" t="s">
        <v>31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</row>
    <row r="11" spans="1:12" s="13" customFormat="1" ht="18.75" customHeight="1" x14ac:dyDescent="0.2">
      <c r="A11" s="59" t="s">
        <v>4</v>
      </c>
      <c r="B11" s="61" t="s">
        <v>5</v>
      </c>
      <c r="C11" s="62"/>
      <c r="D11" s="62"/>
      <c r="E11" s="62"/>
      <c r="F11" s="62"/>
      <c r="G11" s="62"/>
      <c r="H11" s="62"/>
      <c r="I11" s="62"/>
      <c r="J11" s="62"/>
      <c r="K11" s="62"/>
      <c r="L11" s="63" t="s">
        <v>8</v>
      </c>
    </row>
    <row r="12" spans="1:12" s="13" customFormat="1" ht="24" customHeight="1" x14ac:dyDescent="0.2">
      <c r="A12" s="60"/>
      <c r="B12" s="65" t="s">
        <v>32</v>
      </c>
      <c r="C12" s="66"/>
      <c r="D12" s="66"/>
      <c r="E12" s="67"/>
      <c r="F12" s="65" t="s">
        <v>33</v>
      </c>
      <c r="G12" s="67"/>
      <c r="H12" s="65" t="s">
        <v>34</v>
      </c>
      <c r="I12" s="67"/>
      <c r="J12" s="65" t="s">
        <v>35</v>
      </c>
      <c r="K12" s="67"/>
      <c r="L12" s="64"/>
    </row>
    <row r="13" spans="1:12" s="13" customFormat="1" ht="31.5" customHeight="1" x14ac:dyDescent="0.2">
      <c r="A13" s="15" t="s">
        <v>41</v>
      </c>
      <c r="B13" s="70" t="s">
        <v>43</v>
      </c>
      <c r="C13" s="71"/>
      <c r="D13" s="71"/>
      <c r="E13" s="72"/>
      <c r="F13" s="73">
        <v>1</v>
      </c>
      <c r="G13" s="74"/>
      <c r="H13" s="73">
        <v>0</v>
      </c>
      <c r="I13" s="74"/>
      <c r="J13" s="73">
        <v>1</v>
      </c>
      <c r="K13" s="74"/>
      <c r="L13" s="14">
        <v>1</v>
      </c>
    </row>
    <row r="14" spans="1:12" s="16" customFormat="1" ht="32.450000000000003" customHeight="1" x14ac:dyDescent="0.2">
      <c r="A14" s="15" t="s">
        <v>42</v>
      </c>
      <c r="B14" s="70" t="s">
        <v>43</v>
      </c>
      <c r="C14" s="71"/>
      <c r="D14" s="71"/>
      <c r="E14" s="72"/>
      <c r="F14" s="73">
        <v>1</v>
      </c>
      <c r="G14" s="74"/>
      <c r="H14" s="73">
        <v>1</v>
      </c>
      <c r="I14" s="74"/>
      <c r="J14" s="73">
        <f>F14-H14</f>
        <v>0</v>
      </c>
      <c r="K14" s="74"/>
      <c r="L14" s="14">
        <v>0</v>
      </c>
    </row>
    <row r="15" spans="1:12" s="22" customFormat="1" ht="31.5" customHeight="1" x14ac:dyDescent="0.2">
      <c r="A15" s="21" t="s">
        <v>44</v>
      </c>
      <c r="B15" s="75" t="s">
        <v>45</v>
      </c>
      <c r="C15" s="77"/>
      <c r="D15" s="77"/>
      <c r="E15" s="76"/>
      <c r="F15" s="75">
        <v>3</v>
      </c>
      <c r="G15" s="76"/>
      <c r="H15" s="75">
        <v>0</v>
      </c>
      <c r="I15" s="76"/>
      <c r="J15" s="75">
        <v>3</v>
      </c>
      <c r="K15" s="76"/>
      <c r="L15" s="24">
        <v>3</v>
      </c>
    </row>
    <row r="16" spans="1:12" s="22" customFormat="1" ht="31.5" customHeight="1" x14ac:dyDescent="0.2">
      <c r="A16" s="21" t="s">
        <v>46</v>
      </c>
      <c r="B16" s="75" t="s">
        <v>45</v>
      </c>
      <c r="C16" s="77"/>
      <c r="D16" s="77"/>
      <c r="E16" s="76"/>
      <c r="F16" s="75">
        <v>3</v>
      </c>
      <c r="G16" s="76"/>
      <c r="H16" s="75">
        <v>2</v>
      </c>
      <c r="I16" s="76"/>
      <c r="J16" s="75">
        <v>1</v>
      </c>
      <c r="K16" s="76"/>
      <c r="L16" s="24">
        <v>1</v>
      </c>
    </row>
    <row r="17" spans="1:12" s="22" customFormat="1" ht="31.5" customHeight="1" x14ac:dyDescent="0.2">
      <c r="A17" s="21" t="s">
        <v>48</v>
      </c>
      <c r="B17" s="75" t="s">
        <v>45</v>
      </c>
      <c r="C17" s="77"/>
      <c r="D17" s="77"/>
      <c r="E17" s="76"/>
      <c r="F17" s="75">
        <v>1</v>
      </c>
      <c r="G17" s="76"/>
      <c r="H17" s="75">
        <v>1</v>
      </c>
      <c r="I17" s="76"/>
      <c r="J17" s="75">
        <v>0</v>
      </c>
      <c r="K17" s="76"/>
      <c r="L17" s="23">
        <v>0</v>
      </c>
    </row>
    <row r="18" spans="1:12" s="16" customFormat="1" x14ac:dyDescent="0.2">
      <c r="A18" s="17" t="s">
        <v>36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ht="18.95" customHeight="1" x14ac:dyDescent="0.25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</row>
    <row r="20" spans="1:12" s="7" customFormat="1" x14ac:dyDescent="0.25">
      <c r="A20" s="7" t="s">
        <v>37</v>
      </c>
      <c r="C20" s="20"/>
    </row>
    <row r="21" spans="1:12" s="7" customFormat="1" x14ac:dyDescent="0.25">
      <c r="C21" s="20"/>
    </row>
    <row r="22" spans="1:12" x14ac:dyDescent="0.25">
      <c r="A22" s="81" t="s">
        <v>38</v>
      </c>
      <c r="B22" s="81"/>
    </row>
    <row r="23" spans="1:12" x14ac:dyDescent="0.25">
      <c r="A23" s="78" t="s">
        <v>39</v>
      </c>
      <c r="B23" s="78"/>
    </row>
    <row r="24" spans="1:12" x14ac:dyDescent="0.25">
      <c r="A24" s="79" t="s">
        <v>40</v>
      </c>
      <c r="B24" s="79"/>
    </row>
  </sheetData>
  <mergeCells count="36">
    <mergeCell ref="A23:B23"/>
    <mergeCell ref="A24:B24"/>
    <mergeCell ref="B14:E14"/>
    <mergeCell ref="F14:G14"/>
    <mergeCell ref="H14:I14"/>
    <mergeCell ref="H15:I15"/>
    <mergeCell ref="B17:E17"/>
    <mergeCell ref="F17:G17"/>
    <mergeCell ref="H17:I17"/>
    <mergeCell ref="A19:L19"/>
    <mergeCell ref="A22:B22"/>
    <mergeCell ref="B15:E15"/>
    <mergeCell ref="F15:G15"/>
    <mergeCell ref="J15:K15"/>
    <mergeCell ref="B13:E13"/>
    <mergeCell ref="F13:G13"/>
    <mergeCell ref="H13:I13"/>
    <mergeCell ref="J13:K13"/>
    <mergeCell ref="J17:K17"/>
    <mergeCell ref="J14:K14"/>
    <mergeCell ref="B16:E16"/>
    <mergeCell ref="F16:G16"/>
    <mergeCell ref="H16:I16"/>
    <mergeCell ref="J16:K16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H12:I12"/>
    <mergeCell ref="J12:K12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2025-05-21T00:20:34Z</cp:lastPrinted>
  <dcterms:created xsi:type="dcterms:W3CDTF">2021-10-07T06:10:16Z</dcterms:created>
  <dcterms:modified xsi:type="dcterms:W3CDTF">2025-05-30T00:56:50Z</dcterms:modified>
</cp:coreProperties>
</file>