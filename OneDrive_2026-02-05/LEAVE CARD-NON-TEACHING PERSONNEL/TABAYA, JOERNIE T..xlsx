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E4A090F9-643D-48E4-A4F6-3ACCA97EC3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Election &amp; NLC" sheetId="13" r:id="rId2"/>
    <sheet name="CTO" sheetId="15" r:id="rId3"/>
  </sheets>
  <definedNames>
    <definedName name="_xlnm.Print_Area" localSheetId="2">CTO!$A$1:$L$22</definedName>
    <definedName name="_xlnm.Print_Area" localSheetId="1">'Election &amp; NLC'!$A$1:$G$25</definedName>
    <definedName name="_xlnm.Print_Area" localSheetId="0">'Leave Card as TIC'!$A$1:$J$29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2" l="1"/>
  <c r="H20" i="12" s="1"/>
  <c r="I19" i="12"/>
  <c r="I20" i="12" s="1"/>
  <c r="J19" i="12"/>
  <c r="I14" i="12"/>
  <c r="I15" i="12" s="1"/>
  <c r="I16" i="12" s="1"/>
  <c r="I17" i="12" s="1"/>
  <c r="H14" i="12"/>
  <c r="J20" i="12" l="1"/>
  <c r="I18" i="12"/>
  <c r="J14" i="12"/>
  <c r="H15" i="12"/>
  <c r="H16" i="12" s="1"/>
  <c r="J16" i="12" l="1"/>
  <c r="H17" i="12"/>
  <c r="J15" i="12"/>
  <c r="H18" i="12" l="1"/>
  <c r="J17" i="12"/>
  <c r="J18" i="12" l="1"/>
</calcChain>
</file>

<file path=xl/sharedStrings.xml><?xml version="1.0" encoding="utf-8"?>
<sst xmlns="http://schemas.openxmlformats.org/spreadsheetml/2006/main" count="97" uniqueCount="77">
  <si>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</si>
  <si>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</si>
  <si>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</si>
  <si>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</si>
  <si>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</si>
  <si>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</si>
  <si>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</si>
  <si>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</si>
  <si>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</si>
  <si>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</si>
  <si>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</si>
  <si>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</si>
  <si>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</si>
  <si>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</si>
  <si>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</si>
  <si>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</si>
  <si>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</si>
  <si>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LESS: 06/24/2024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</si>
  <si>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</si>
  <si>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</si>
  <si>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</si>
  <si>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</si>
  <si>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</si>
  <si>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</si>
  <si>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</si>
  <si>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</si>
  <si>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</si>
  <si>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</si>
  <si>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</si>
  <si>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</si>
  <si>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</si>
  <si>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</si>
  <si>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</si>
  <si>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</si>
  <si>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>DESIGNATED AS TIC: EFFECTIVE JULY 29, 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</si>
  <si>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</si>
  <si>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</si>
  <si>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</si>
  <si>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</si>
  <si>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</si>
  <si>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</si>
  <si>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</si>
  <si>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</si>
  <si>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</si>
  <si>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</si>
  <si>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S.O. # 051, S. 2022.</t>
  </si>
  <si>
    <t>MAY 9, 2022 ELECTION</t>
  </si>
  <si>
    <t xml:space="preserve"> </t>
  </si>
  <si>
    <t>S.O # 175, S. 2023 BRIGADA ESKWELA AND OPLAN BALIK ESKWELA 2023</t>
  </si>
  <si>
    <t>ADD: NOV. 30, 2023</t>
  </si>
  <si>
    <t>VACATION LEAVE CREDITS</t>
  </si>
  <si>
    <t>POSITION   : TIII</t>
  </si>
  <si>
    <t>SCHOOL/OFFICE : MACARANDAN ES</t>
  </si>
  <si>
    <t>NAME         : TABAYA, JOERNIE</t>
  </si>
  <si>
    <t xml:space="preserve">S.O # 175, S. 2023 </t>
  </si>
  <si>
    <t xml:space="preserve"> BRIGADA ESKWELA AND OPLAN BALIK ESKWELA 2023</t>
  </si>
  <si>
    <t>11/30/2023</t>
  </si>
  <si>
    <t>046, S.2024</t>
  </si>
  <si>
    <t>10/16/2024</t>
  </si>
  <si>
    <t>DEPED ACTIVITIES &amp; TRAININGS SY 2024-2025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</si>
  <si>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TABAYA, JOERNIE</t>
    </r>
  </si>
  <si>
    <t>015, S. 2024</t>
  </si>
  <si>
    <t>05/20/2024</t>
  </si>
  <si>
    <t>PALARONG PANLALAWIGAN 2024</t>
  </si>
  <si>
    <t>011, S. 2024</t>
  </si>
  <si>
    <t>04/29/2024</t>
  </si>
  <si>
    <t>SCREENING OF DOCUMENTS OF ATHLETES, COACHES, ASST. COACHES, AND CHAPERONES FOR SY 2023-2024 DISTRICT MEET</t>
  </si>
  <si>
    <t>003, S. 2024</t>
  </si>
  <si>
    <t>01/31/2024</t>
  </si>
  <si>
    <t>MTAP-WV REGIONAL TRAINING WORKSHOP &amp; CONFERENCE 2023</t>
  </si>
  <si>
    <t>36 DAYS-CONVERTED</t>
  </si>
  <si>
    <r>
      <t xml:space="preserve">ADD: UNUSED VSC </t>
    </r>
    <r>
      <rPr>
        <b/>
        <sz val="11"/>
        <color theme="1"/>
        <rFont val="Calibri"/>
        <family val="2"/>
        <scheme val="minor"/>
      </rPr>
      <t xml:space="preserve">36 DAYS:                   </t>
    </r>
    <r>
      <rPr>
        <sz val="11"/>
        <color theme="1"/>
        <rFont val="Calibri"/>
        <family val="2"/>
        <scheme val="minor"/>
      </rPr>
      <t xml:space="preserve"> FORMULA: 30Y/69/2 </t>
    </r>
  </si>
  <si>
    <t>ADD: 08/1/2024-12/31/2024</t>
  </si>
  <si>
    <t>ADD: 01/1/2025-06/30/2025</t>
  </si>
  <si>
    <t>LESS: MONETIZATION 2025</t>
  </si>
  <si>
    <t>ADD: 07/1/2025-11/30/2025</t>
  </si>
  <si>
    <t>LESS: 12/22,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</si>
</sst>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7" fillId="0" borderId="0"/>
  </cellStyleXfs>
  <cellXfs count="135">
    <xf numFmtId="0" fontId="0" fillId="0" borderId="0" xfId="0"/>
    <xf numFmtId="0" fontId="9" fillId="2" borderId="0" xfId="2" applyFill="1"/>
    <xf numFmtId="0" fontId="13" fillId="2" borderId="0" xfId="2" applyFont="1" applyFill="1" applyAlignment="1">
      <alignment vertical="center"/>
    </xf>
    <xf numFmtId="0" fontId="13" fillId="2" borderId="16" xfId="2" applyFont="1" applyFill="1" applyBorder="1" applyAlignment="1">
      <alignment horizontal="center" vertical="center"/>
    </xf>
    <xf numFmtId="0" fontId="13" fillId="2" borderId="0" xfId="2" applyFont="1" applyFill="1"/>
    <xf numFmtId="0" fontId="13" fillId="2" borderId="16" xfId="2" applyFont="1" applyFill="1" applyBorder="1" applyAlignment="1">
      <alignment vertical="center"/>
    </xf>
    <xf numFmtId="0" fontId="9" fillId="0" borderId="0" xfId="2"/>
    <xf numFmtId="0" fontId="13" fillId="2" borderId="18" xfId="2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9" fillId="2" borderId="4" xfId="2" applyFill="1" applyBorder="1" applyAlignment="1">
      <alignment horizontal="center" vertical="center" wrapText="1"/>
    </xf>
    <xf numFmtId="0" fontId="9" fillId="2" borderId="5" xfId="2" applyFill="1" applyBorder="1" applyAlignment="1">
      <alignment horizontal="center" vertical="center"/>
    </xf>
    <xf numFmtId="0" fontId="9" fillId="2" borderId="5" xfId="2" applyFill="1" applyBorder="1" applyAlignment="1">
      <alignment horizontal="center" vertical="center" wrapText="1"/>
    </xf>
    <xf numFmtId="164" fontId="9" fillId="2" borderId="5" xfId="2" applyNumberFormat="1" applyFill="1" applyBorder="1" applyAlignment="1">
      <alignment horizontal="center" vertical="center"/>
    </xf>
    <xf numFmtId="164" fontId="9" fillId="2" borderId="11" xfId="2" applyNumberFormat="1" applyFill="1" applyBorder="1" applyAlignment="1">
      <alignment horizontal="center" vertical="center"/>
    </xf>
    <xf numFmtId="0" fontId="19" fillId="0" borderId="0" xfId="2" applyFont="1"/>
    <xf numFmtId="0" fontId="9" fillId="2" borderId="15" xfId="2" applyFill="1" applyBorder="1" applyAlignment="1">
      <alignment horizontal="center" vertical="center" wrapText="1"/>
    </xf>
    <xf numFmtId="0" fontId="9" fillId="2" borderId="15" xfId="2" applyFill="1" applyBorder="1" applyAlignment="1">
      <alignment horizontal="center" vertical="center"/>
    </xf>
    <xf numFmtId="164" fontId="9" fillId="2" borderId="15" xfId="2" applyNumberFormat="1" applyFill="1" applyBorder="1" applyAlignment="1">
      <alignment horizontal="center" vertical="center"/>
    </xf>
    <xf numFmtId="164" fontId="9" fillId="2" borderId="12" xfId="2" applyNumberFormat="1" applyFill="1" applyBorder="1" applyAlignment="1">
      <alignment horizontal="center" vertical="center"/>
    </xf>
    <xf numFmtId="0" fontId="9" fillId="0" borderId="0" xfId="2" applyAlignment="1">
      <alignment horizontal="center" vertical="center"/>
    </xf>
    <xf numFmtId="164" fontId="9" fillId="2" borderId="0" xfId="2" applyNumberFormat="1" applyFill="1" applyAlignment="1">
      <alignment horizontal="center" vertical="center"/>
    </xf>
    <xf numFmtId="0" fontId="8" fillId="2" borderId="0" xfId="3" applyFill="1"/>
    <xf numFmtId="0" fontId="8" fillId="2" borderId="0" xfId="3" applyFill="1" applyAlignment="1">
      <alignment horizontal="center"/>
    </xf>
    <xf numFmtId="0" fontId="20" fillId="2" borderId="0" xfId="3" applyFont="1" applyFill="1" applyAlignment="1">
      <alignment vertical="center"/>
    </xf>
    <xf numFmtId="0" fontId="13" fillId="2" borderId="0" xfId="3" applyFont="1" applyFill="1" applyAlignment="1">
      <alignment horizontal="left" vertical="center"/>
    </xf>
    <xf numFmtId="0" fontId="13" fillId="2" borderId="0" xfId="3" applyFont="1" applyFill="1" applyAlignment="1">
      <alignment vertical="center"/>
    </xf>
    <xf numFmtId="0" fontId="22" fillId="2" borderId="0" xfId="3" applyFont="1" applyFill="1"/>
    <xf numFmtId="0" fontId="13" fillId="2" borderId="0" xfId="3" applyFont="1" applyFill="1"/>
    <xf numFmtId="0" fontId="13" fillId="2" borderId="0" xfId="3" applyFont="1" applyFill="1" applyAlignment="1">
      <alignment horizontal="left"/>
    </xf>
    <xf numFmtId="0" fontId="8" fillId="0" borderId="0" xfId="3"/>
    <xf numFmtId="0" fontId="15" fillId="6" borderId="19" xfId="3" applyFont="1" applyFill="1" applyBorder="1" applyAlignment="1">
      <alignment horizontal="center" vertical="center" wrapText="1"/>
    </xf>
    <xf numFmtId="0" fontId="15" fillId="6" borderId="19" xfId="3" applyFont="1" applyFill="1" applyBorder="1" applyAlignment="1">
      <alignment horizontal="center" vertical="center"/>
    </xf>
    <xf numFmtId="0" fontId="16" fillId="7" borderId="22" xfId="3" applyFont="1" applyFill="1" applyBorder="1" applyAlignment="1">
      <alignment horizontal="center" vertical="center" wrapText="1"/>
    </xf>
    <xf numFmtId="0" fontId="16" fillId="7" borderId="23" xfId="3" applyFont="1" applyFill="1" applyBorder="1" applyAlignment="1">
      <alignment horizontal="center" vertical="center" wrapText="1"/>
    </xf>
    <xf numFmtId="0" fontId="15" fillId="6" borderId="24" xfId="3" applyFont="1" applyFill="1" applyBorder="1" applyAlignment="1">
      <alignment horizontal="center" vertical="center"/>
    </xf>
    <xf numFmtId="0" fontId="11" fillId="0" borderId="0" xfId="3" applyFont="1"/>
    <xf numFmtId="0" fontId="16" fillId="2" borderId="15" xfId="4" applyFont="1" applyFill="1" applyBorder="1" applyAlignment="1">
      <alignment vertical="center" wrapText="1"/>
    </xf>
    <xf numFmtId="0" fontId="16" fillId="2" borderId="15" xfId="4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 vertical="center" wrapText="1"/>
    </xf>
    <xf numFmtId="0" fontId="20" fillId="2" borderId="11" xfId="3" applyFont="1" applyFill="1" applyBorder="1" applyAlignment="1">
      <alignment horizontal="center" vertical="center" wrapText="1"/>
    </xf>
    <xf numFmtId="0" fontId="23" fillId="2" borderId="6" xfId="3" applyFont="1" applyFill="1" applyBorder="1" applyAlignment="1">
      <alignment horizontal="center" vertical="center" wrapText="1"/>
    </xf>
    <xf numFmtId="0" fontId="12" fillId="0" borderId="0" xfId="3" applyFont="1"/>
    <xf numFmtId="0" fontId="20" fillId="2" borderId="12" xfId="3" applyFont="1" applyFill="1" applyBorder="1" applyAlignment="1">
      <alignment horizontal="center" vertical="center" wrapText="1"/>
    </xf>
    <xf numFmtId="0" fontId="24" fillId="2" borderId="12" xfId="3" applyFont="1" applyFill="1" applyBorder="1" applyAlignment="1">
      <alignment horizontal="center" vertical="center" wrapText="1"/>
    </xf>
    <xf numFmtId="0" fontId="12" fillId="2" borderId="0" xfId="3" applyFont="1" applyFill="1" applyAlignment="1">
      <alignment horizontal="center" vertical="center"/>
    </xf>
    <xf numFmtId="0" fontId="8" fillId="3" borderId="0" xfId="3" applyFill="1"/>
    <xf numFmtId="0" fontId="8" fillId="4" borderId="0" xfId="3" applyFill="1"/>
    <xf numFmtId="0" fontId="8" fillId="2" borderId="15" xfId="4" applyFill="1" applyBorder="1" applyAlignment="1">
      <alignment horizontal="center" vertical="center" wrapText="1"/>
    </xf>
    <xf numFmtId="0" fontId="7" fillId="2" borderId="4" xfId="4" applyFont="1" applyFill="1" applyBorder="1" applyAlignment="1">
      <alignment horizontal="center" vertical="center" wrapText="1"/>
    </xf>
    <xf numFmtId="0" fontId="7" fillId="2" borderId="16" xfId="4" applyFont="1" applyFill="1" applyBorder="1" applyAlignment="1">
      <alignment horizontal="center" vertical="center" wrapText="1"/>
    </xf>
    <xf numFmtId="0" fontId="7" fillId="2" borderId="5" xfId="4" applyFont="1" applyFill="1" applyBorder="1" applyAlignment="1">
      <alignment horizontal="center" vertical="center"/>
    </xf>
    <xf numFmtId="14" fontId="8" fillId="2" borderId="5" xfId="4" applyNumberFormat="1" applyFill="1" applyBorder="1" applyAlignment="1">
      <alignment horizontal="center" vertical="center"/>
    </xf>
    <xf numFmtId="0" fontId="0" fillId="5" borderId="0" xfId="0" applyFill="1"/>
    <xf numFmtId="0" fontId="0" fillId="4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/>
    <xf numFmtId="0" fontId="12" fillId="0" borderId="12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1" fillId="0" borderId="0" xfId="0" applyFont="1"/>
    <xf numFmtId="0" fontId="6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center" wrapText="1"/>
    </xf>
    <xf numFmtId="14" fontId="6" fillId="2" borderId="5" xfId="4" applyNumberFormat="1" applyFont="1" applyFill="1" applyBorder="1" applyAlignment="1">
      <alignment horizontal="center" vertical="center"/>
    </xf>
    <xf numFmtId="0" fontId="5" fillId="2" borderId="16" xfId="4" applyFont="1" applyFill="1" applyBorder="1" applyAlignment="1">
      <alignment horizontal="center" vertical="center" wrapText="1"/>
    </xf>
    <xf numFmtId="0" fontId="5" fillId="2" borderId="5" xfId="4" applyFont="1" applyFill="1" applyBorder="1" applyAlignment="1">
      <alignment horizontal="center" vertical="center"/>
    </xf>
    <xf numFmtId="0" fontId="16" fillId="2" borderId="15" xfId="2" applyFont="1" applyFill="1" applyBorder="1" applyAlignment="1">
      <alignment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23" fillId="2" borderId="25" xfId="1" applyFont="1" applyFill="1" applyBorder="1" applyAlignment="1">
      <alignment horizontal="center" vertical="center" wrapText="1"/>
    </xf>
    <xf numFmtId="0" fontId="20" fillId="2" borderId="11" xfId="1" applyFont="1" applyFill="1" applyBorder="1" applyAlignment="1">
      <alignment horizontal="center" vertical="center" wrapText="1"/>
    </xf>
    <xf numFmtId="164" fontId="9" fillId="2" borderId="15" xfId="2" applyNumberFormat="1" applyFill="1" applyBorder="1" applyAlignment="1">
      <alignment horizontal="center" vertical="center" wrapText="1"/>
    </xf>
    <xf numFmtId="0" fontId="0" fillId="2" borderId="16" xfId="2" applyFont="1" applyFill="1" applyBorder="1" applyAlignment="1">
      <alignment horizontal="center" vertical="center" wrapText="1"/>
    </xf>
    <xf numFmtId="14" fontId="0" fillId="2" borderId="5" xfId="2" applyNumberFormat="1" applyFont="1" applyFill="1" applyBorder="1" applyAlignment="1">
      <alignment horizontal="center" vertical="center"/>
    </xf>
    <xf numFmtId="0" fontId="16" fillId="2" borderId="6" xfId="2" applyFont="1" applyFill="1" applyBorder="1" applyAlignment="1">
      <alignment vertical="center" wrapText="1"/>
    </xf>
    <xf numFmtId="0" fontId="16" fillId="2" borderId="6" xfId="2" applyFont="1" applyFill="1" applyBorder="1" applyAlignment="1">
      <alignment horizontal="center" vertical="center" wrapText="1"/>
    </xf>
    <xf numFmtId="0" fontId="16" fillId="2" borderId="6" xfId="4" applyFont="1" applyFill="1" applyBorder="1" applyAlignment="1">
      <alignment vertical="center" wrapText="1"/>
    </xf>
    <xf numFmtId="0" fontId="16" fillId="2" borderId="6" xfId="4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13" fillId="2" borderId="0" xfId="2" applyFont="1" applyFill="1" applyAlignment="1">
      <alignment horizontal="left" vertical="center"/>
    </xf>
    <xf numFmtId="0" fontId="9" fillId="2" borderId="0" xfId="2" applyFill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3" fillId="9" borderId="19" xfId="2" applyFont="1" applyFill="1" applyBorder="1" applyAlignment="1">
      <alignment horizontal="left" vertical="center"/>
    </xf>
    <xf numFmtId="0" fontId="13" fillId="9" borderId="20" xfId="2" applyFont="1" applyFill="1" applyBorder="1" applyAlignment="1">
      <alignment horizontal="left" vertical="center"/>
    </xf>
    <xf numFmtId="0" fontId="13" fillId="9" borderId="21" xfId="2" applyFont="1" applyFill="1" applyBorder="1" applyAlignment="1">
      <alignment horizontal="left" vertical="center"/>
    </xf>
    <xf numFmtId="0" fontId="14" fillId="2" borderId="1" xfId="2" applyFont="1" applyFill="1" applyBorder="1" applyAlignment="1">
      <alignment horizontal="center" vertical="center"/>
    </xf>
    <xf numFmtId="0" fontId="13" fillId="9" borderId="2" xfId="2" applyFont="1" applyFill="1" applyBorder="1" applyAlignment="1">
      <alignment horizontal="center" vertical="center"/>
    </xf>
    <xf numFmtId="0" fontId="13" fillId="9" borderId="3" xfId="2" applyFont="1" applyFill="1" applyBorder="1" applyAlignment="1">
      <alignment horizontal="center" vertical="center"/>
    </xf>
    <xf numFmtId="0" fontId="13" fillId="10" borderId="13" xfId="2" applyFont="1" applyFill="1" applyBorder="1" applyAlignment="1">
      <alignment horizontal="center" vertical="center"/>
    </xf>
    <xf numFmtId="0" fontId="13" fillId="10" borderId="14" xfId="2" applyFont="1" applyFill="1" applyBorder="1" applyAlignment="1">
      <alignment horizontal="center" vertical="center"/>
    </xf>
    <xf numFmtId="0" fontId="13" fillId="11" borderId="13" xfId="2" applyFont="1" applyFill="1" applyBorder="1" applyAlignment="1">
      <alignment horizontal="center" vertical="center"/>
    </xf>
    <xf numFmtId="0" fontId="13" fillId="11" borderId="14" xfId="2" applyFont="1" applyFill="1" applyBorder="1" applyAlignment="1">
      <alignment horizontal="center" vertical="center"/>
    </xf>
    <xf numFmtId="0" fontId="13" fillId="11" borderId="17" xfId="2" applyFont="1" applyFill="1" applyBorder="1" applyAlignment="1">
      <alignment horizontal="center" vertical="center"/>
    </xf>
    <xf numFmtId="0" fontId="13" fillId="12" borderId="13" xfId="2" applyFont="1" applyFill="1" applyBorder="1" applyAlignment="1">
      <alignment horizontal="center" vertical="center"/>
    </xf>
    <xf numFmtId="0" fontId="13" fillId="12" borderId="14" xfId="2" applyFont="1" applyFill="1" applyBorder="1" applyAlignment="1">
      <alignment horizontal="center" vertical="center"/>
    </xf>
    <xf numFmtId="0" fontId="13" fillId="9" borderId="9" xfId="2" applyFont="1" applyFill="1" applyBorder="1" applyAlignment="1">
      <alignment horizontal="center" vertical="center"/>
    </xf>
    <xf numFmtId="0" fontId="13" fillId="9" borderId="10" xfId="2" applyFont="1" applyFill="1" applyBorder="1" applyAlignment="1">
      <alignment horizontal="center" vertical="center"/>
    </xf>
    <xf numFmtId="0" fontId="20" fillId="2" borderId="26" xfId="3" applyFont="1" applyFill="1" applyBorder="1" applyAlignment="1">
      <alignment horizontal="right" vertical="center" wrapText="1"/>
    </xf>
    <xf numFmtId="0" fontId="20" fillId="2" borderId="7" xfId="3" applyFont="1" applyFill="1" applyBorder="1" applyAlignment="1">
      <alignment horizontal="right" vertical="center" wrapText="1"/>
    </xf>
    <xf numFmtId="0" fontId="20" fillId="2" borderId="8" xfId="3" applyFont="1" applyFill="1" applyBorder="1" applyAlignment="1">
      <alignment horizontal="right" vertical="center" wrapText="1"/>
    </xf>
    <xf numFmtId="0" fontId="13" fillId="2" borderId="0" xfId="3" applyFont="1" applyFill="1" applyAlignment="1">
      <alignment horizontal="center" vertical="center"/>
    </xf>
    <xf numFmtId="0" fontId="14" fillId="2" borderId="19" xfId="3" applyFont="1" applyFill="1" applyBorder="1" applyAlignment="1">
      <alignment horizontal="center" vertical="center"/>
    </xf>
    <xf numFmtId="0" fontId="14" fillId="2" borderId="20" xfId="3" applyFont="1" applyFill="1" applyBorder="1" applyAlignment="1">
      <alignment horizontal="center" vertical="center"/>
    </xf>
    <xf numFmtId="0" fontId="14" fillId="2" borderId="21" xfId="3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15" xfId="2" applyFont="1" applyFill="1" applyBorder="1" applyAlignment="1">
      <alignment horizontal="center" vertical="center" wrapText="1"/>
    </xf>
    <xf numFmtId="0" fontId="1" fillId="2" borderId="15" xfId="2" applyFont="1" applyFill="1" applyBorder="1" applyAlignment="1">
      <alignment horizontal="center" vertical="center" wrapText="1"/>
    </xf>
    <xf numFmtId="0" fontId="9" fillId="13" borderId="15" xfId="2" applyFill="1" applyBorder="1" applyAlignment="1">
      <alignment horizontal="center" vertical="center"/>
    </xf>
  </cellXfs>
  <cellStyles count="6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  <cellStyle name="Normal 4" xfId="5" xr:uid="{2B35434C-5AE4-452B-B7C0-304C64B3D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A21E5-04D1-4137-B8D4-5F2FC2EEE7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DDDA6-DABD-4EBF-BF54-466E5FEEA4AF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TABAYA, JOERNIE T.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F2A28F-E9CD-4CB1-AF63-998E8A2600C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 (T-III)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0BED6-D901-49E5-9CE4-22B61BA2BA7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MACARANDAN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23</xdr:row>
      <xdr:rowOff>53914</xdr:rowOff>
    </xdr:from>
    <xdr:to>
      <xdr:col>9</xdr:col>
      <xdr:colOff>672043</xdr:colOff>
      <xdr:row>28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702A9-0F12-44E7-AE8F-E2B592A706B8}"/>
            </a:ext>
          </a:extLst>
        </xdr:cNvPr>
        <xdr:cNvSpPr txBox="1"/>
      </xdr:nvSpPr>
      <xdr:spPr>
        <a:xfrm>
          <a:off x="5871952" y="88454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962025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3D1DA7-71A1-463A-885D-DED2B1A25AB7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22</xdr:row>
      <xdr:rowOff>236220</xdr:rowOff>
    </xdr:from>
    <xdr:to>
      <xdr:col>6</xdr:col>
      <xdr:colOff>476250</xdr:colOff>
      <xdr:row>24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258229</xdr:colOff>
      <xdr:row>0</xdr:row>
      <xdr:rowOff>59532</xdr:rowOff>
    </xdr:from>
    <xdr:ext cx="590055" cy="596333"/>
    <xdr:pic>
      <xdr:nvPicPr>
        <xdr:cNvPr id="2" name="Picture 1">
          <a:extLst>
            <a:ext uri="{FF2B5EF4-FFF2-40B4-BE49-F238E27FC236}">
              <a16:creationId xmlns:a16="http://schemas.microsoft.com/office/drawing/2014/main" id="{54A43FAD-D5CE-470F-BB72-2DBFCEFF7A8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8529" y="59532"/>
          <a:ext cx="590055" cy="596333"/>
        </a:xfrm>
        <a:prstGeom prst="rect">
          <a:avLst/>
        </a:prstGeom>
        <a:noFill/>
      </xdr:spPr>
    </xdr:pic>
    <xdr:clientData/>
  </xdr:oneCellAnchor>
  <xdr:twoCellAnchor>
    <xdr:from>
      <xdr:col>0</xdr:col>
      <xdr:colOff>93208</xdr:colOff>
      <xdr:row>16</xdr:row>
      <xdr:rowOff>147980</xdr:rowOff>
    </xdr:from>
    <xdr:to>
      <xdr:col>2</xdr:col>
      <xdr:colOff>550408</xdr:colOff>
      <xdr:row>22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A73341-2111-4A8A-9A47-DF565AC91D91}"/>
            </a:ext>
          </a:extLst>
        </xdr:cNvPr>
        <xdr:cNvSpPr txBox="1"/>
      </xdr:nvSpPr>
      <xdr:spPr>
        <a:xfrm>
          <a:off x="93208" y="3195980"/>
          <a:ext cx="1657350" cy="9950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EF235F8-4B0A-467C-8FEF-6ED7A6D8A263}"/>
            </a:ext>
          </a:extLst>
        </xdr:cNvPr>
        <xdr:cNvCxnSpPr/>
      </xdr:nvCxnSpPr>
      <xdr:spPr>
        <a:xfrm>
          <a:off x="600075" y="1857375"/>
          <a:ext cx="28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D06-8DB3-4D3C-9362-E47BA34A87C1}">
  <sheetPr>
    <pageSetUpPr fitToPage="1"/>
  </sheetPr>
  <dimension ref="A1:K27"/>
  <sheetViews>
    <sheetView tabSelected="1" view="pageBreakPreview" zoomScale="106" zoomScaleNormal="100" zoomScaleSheetLayoutView="106" workbookViewId="0">
      <selection activeCell="A19" sqref="A19:XFD19"/>
    </sheetView>
  </sheetViews>
  <sheetFormatPr defaultRowHeight="15"/>
  <cols>
    <col min="1" max="1" width="36.5703125" style="6" customWidth="1"/>
    <col min="2" max="5" width="11.5703125" style="6" customWidth="1"/>
    <col min="6" max="7" width="11.5703125" style="19" customWidth="1"/>
    <col min="8" max="10" width="11.5703125" style="6" customWidth="1"/>
    <col min="11" max="11" width="26.42578125" style="14" customWidth="1"/>
    <col min="12" max="16384" width="9.140625" style="6"/>
  </cols>
  <sheetData>
    <row r="1" spans="1:11" s="1" customFormat="1" ht="52.5" customHeight="1"/>
    <row r="2" spans="1:11" s="1" customFormat="1" ht="10.5" customHeight="1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</row>
    <row r="3" spans="1:11" s="1" customFormat="1" ht="15.95" customHeight="1">
      <c r="A3" s="89" t="s">
        <v>1</v>
      </c>
      <c r="B3" s="89"/>
      <c r="C3" s="89"/>
      <c r="D3" s="89"/>
      <c r="E3" s="89"/>
      <c r="F3" s="89"/>
      <c r="G3" s="89"/>
      <c r="H3" s="89"/>
      <c r="I3" s="89"/>
      <c r="J3" s="89"/>
    </row>
    <row r="4" spans="1:11" s="1" customFormat="1" ht="15.95" customHeight="1">
      <c r="A4" s="89" t="s">
        <v>2</v>
      </c>
      <c r="B4" s="89"/>
      <c r="C4" s="89"/>
      <c r="D4" s="89"/>
      <c r="E4" s="89"/>
      <c r="F4" s="89"/>
      <c r="G4" s="89"/>
      <c r="H4" s="89"/>
      <c r="I4" s="89"/>
      <c r="J4" s="89"/>
    </row>
    <row r="5" spans="1:11" s="1" customFormat="1" ht="15.95" customHeight="1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</row>
    <row r="6" spans="1:11" s="1" customFormat="1" ht="8.25" customHeight="1"/>
    <row r="7" spans="1:11" s="1" customFormat="1" ht="12" customHeight="1">
      <c r="A7" s="1" t="s">
        <v>18</v>
      </c>
      <c r="B7" s="88" t="s">
        <v>19</v>
      </c>
      <c r="C7" s="88"/>
      <c r="D7" s="88"/>
      <c r="H7" s="2" t="s">
        <v>20</v>
      </c>
      <c r="I7" s="3"/>
      <c r="J7" s="2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21</v>
      </c>
      <c r="B9" s="88" t="s">
        <v>22</v>
      </c>
      <c r="C9" s="88"/>
      <c r="D9" s="88"/>
      <c r="H9" s="2" t="s">
        <v>23</v>
      </c>
      <c r="I9" s="5"/>
      <c r="J9" s="2"/>
    </row>
    <row r="10" spans="1:11" ht="23.25" customHeight="1" thickBot="1">
      <c r="A10" s="94" t="s">
        <v>24</v>
      </c>
      <c r="B10" s="94"/>
      <c r="C10" s="94"/>
      <c r="D10" s="94"/>
      <c r="E10" s="94"/>
      <c r="F10" s="94"/>
      <c r="G10" s="94"/>
      <c r="H10" s="94"/>
      <c r="I10" s="94"/>
      <c r="J10" s="94"/>
      <c r="K10" s="6"/>
    </row>
    <row r="11" spans="1:11" ht="18.75" customHeight="1">
      <c r="A11" s="95" t="s">
        <v>5</v>
      </c>
      <c r="B11" s="97" t="s">
        <v>10</v>
      </c>
      <c r="C11" s="98"/>
      <c r="D11" s="99" t="s">
        <v>25</v>
      </c>
      <c r="E11" s="100"/>
      <c r="F11" s="100"/>
      <c r="G11" s="101"/>
      <c r="H11" s="102" t="s">
        <v>26</v>
      </c>
      <c r="I11" s="103"/>
      <c r="J11" s="104" t="s">
        <v>6</v>
      </c>
      <c r="K11" s="90" t="s">
        <v>27</v>
      </c>
    </row>
    <row r="12" spans="1:11" ht="15.75" thickBot="1">
      <c r="A12" s="96"/>
      <c r="B12" s="7" t="s">
        <v>28</v>
      </c>
      <c r="C12" s="7" t="s">
        <v>29</v>
      </c>
      <c r="D12" s="7" t="s">
        <v>28</v>
      </c>
      <c r="E12" s="7" t="s">
        <v>29</v>
      </c>
      <c r="F12" s="7" t="s">
        <v>30</v>
      </c>
      <c r="G12" s="7" t="s">
        <v>31</v>
      </c>
      <c r="H12" s="7" t="s">
        <v>28</v>
      </c>
      <c r="I12" s="7" t="s">
        <v>29</v>
      </c>
      <c r="J12" s="105"/>
      <c r="K12" s="90"/>
    </row>
    <row r="13" spans="1:11" ht="15.75" thickBot="1">
      <c r="A13" s="91" t="s">
        <v>34</v>
      </c>
      <c r="B13" s="92"/>
      <c r="C13" s="92"/>
      <c r="D13" s="92"/>
      <c r="E13" s="92"/>
      <c r="F13" s="92"/>
      <c r="G13" s="92"/>
      <c r="H13" s="92"/>
      <c r="I13" s="92"/>
      <c r="J13" s="93"/>
      <c r="K13" s="8"/>
    </row>
    <row r="14" spans="1:11" ht="27" customHeight="1">
      <c r="A14" s="85" t="s">
        <v>71</v>
      </c>
      <c r="B14" s="10">
        <v>7.8259999999999996</v>
      </c>
      <c r="C14" s="11">
        <v>7.8259999999999996</v>
      </c>
      <c r="D14" s="11"/>
      <c r="E14" s="10"/>
      <c r="F14" s="10"/>
      <c r="G14" s="10"/>
      <c r="H14" s="12">
        <f>B14</f>
        <v>7.8259999999999996</v>
      </c>
      <c r="I14" s="12">
        <f>C14</f>
        <v>7.8259999999999996</v>
      </c>
      <c r="J14" s="13">
        <f>SUM(H14:I14)</f>
        <v>15.651999999999999</v>
      </c>
    </row>
    <row r="15" spans="1:11" ht="17.25" customHeight="1">
      <c r="A15" s="9" t="s">
        <v>33</v>
      </c>
      <c r="B15" s="10">
        <v>0.125</v>
      </c>
      <c r="C15" s="11">
        <v>0.125</v>
      </c>
      <c r="D15" s="15"/>
      <c r="E15" s="16"/>
      <c r="F15" s="16"/>
      <c r="G15" s="16"/>
      <c r="H15" s="17">
        <f>H14-F15-D15+B15</f>
        <v>7.9509999999999996</v>
      </c>
      <c r="I15" s="17">
        <f>I14-E15+C15</f>
        <v>7.9509999999999996</v>
      </c>
      <c r="J15" s="18">
        <f>SUM(H15:I15)</f>
        <v>15.901999999999999</v>
      </c>
    </row>
    <row r="16" spans="1:11" ht="15.75" customHeight="1">
      <c r="A16" s="86" t="s">
        <v>72</v>
      </c>
      <c r="B16" s="17">
        <v>6.25</v>
      </c>
      <c r="C16" s="78">
        <v>6.25</v>
      </c>
      <c r="D16" s="15"/>
      <c r="E16" s="16"/>
      <c r="F16" s="16"/>
      <c r="G16" s="16"/>
      <c r="H16" s="17">
        <f t="shared" ref="H16" si="0">H15-F16-D16+B16</f>
        <v>14.201000000000001</v>
      </c>
      <c r="I16" s="17">
        <f t="shared" ref="I16" si="1">I15-E16+C16</f>
        <v>14.201000000000001</v>
      </c>
      <c r="J16" s="18">
        <f t="shared" ref="J16" si="2">SUM(H16:I16)</f>
        <v>28.402000000000001</v>
      </c>
    </row>
    <row r="17" spans="1:10" ht="17.25" customHeight="1">
      <c r="A17" s="87" t="s">
        <v>73</v>
      </c>
      <c r="B17" s="17">
        <v>7.5</v>
      </c>
      <c r="C17" s="78">
        <v>7.5</v>
      </c>
      <c r="D17" s="15"/>
      <c r="E17" s="16"/>
      <c r="F17" s="16"/>
      <c r="G17" s="16"/>
      <c r="H17" s="17">
        <f t="shared" ref="H17:H18" si="3">H16-F17-D17+B17</f>
        <v>21.701000000000001</v>
      </c>
      <c r="I17" s="17">
        <f t="shared" ref="I17:I18" si="4">I16-E17+C17</f>
        <v>21.701000000000001</v>
      </c>
      <c r="J17" s="18">
        <f t="shared" ref="J17:J18" si="5">SUM(H17:I17)</f>
        <v>43.402000000000001</v>
      </c>
    </row>
    <row r="18" spans="1:10" ht="13.5" customHeight="1">
      <c r="A18" s="87" t="s">
        <v>74</v>
      </c>
      <c r="B18" s="17"/>
      <c r="C18" s="78"/>
      <c r="D18" s="15">
        <v>10</v>
      </c>
      <c r="E18" s="16"/>
      <c r="F18" s="16"/>
      <c r="G18" s="16"/>
      <c r="H18" s="17">
        <f t="shared" si="3"/>
        <v>11.701000000000001</v>
      </c>
      <c r="I18" s="17">
        <f t="shared" si="4"/>
        <v>21.701000000000001</v>
      </c>
      <c r="J18" s="18">
        <f t="shared" si="5"/>
        <v>33.402000000000001</v>
      </c>
    </row>
    <row r="19" spans="1:10" ht="13.5" customHeight="1">
      <c r="A19" s="133" t="s">
        <v>75</v>
      </c>
      <c r="B19" s="17">
        <v>6.25</v>
      </c>
      <c r="C19" s="78">
        <v>6.25</v>
      </c>
      <c r="D19" s="15"/>
      <c r="E19" s="16"/>
      <c r="F19" s="16"/>
      <c r="G19" s="16"/>
      <c r="H19" s="17">
        <f t="shared" ref="H19:H20" si="6">H18-F19-D19+B19</f>
        <v>17.951000000000001</v>
      </c>
      <c r="I19" s="17">
        <f t="shared" ref="I19:I20" si="7">I18-E19+C19</f>
        <v>27.951000000000001</v>
      </c>
      <c r="J19" s="18">
        <f t="shared" ref="J19:J20" si="8">SUM(H19:I19)</f>
        <v>45.902000000000001</v>
      </c>
    </row>
    <row r="20" spans="1:10" ht="13.5" customHeight="1">
      <c r="A20" s="133" t="s">
        <v>76</v>
      </c>
      <c r="B20" s="17"/>
      <c r="C20" s="78"/>
      <c r="D20" s="15"/>
      <c r="E20" s="16"/>
      <c r="F20" s="134">
        <v>2</v>
      </c>
      <c r="G20" s="16"/>
      <c r="H20" s="17">
        <f t="shared" si="6"/>
        <v>15.951000000000001</v>
      </c>
      <c r="I20" s="17">
        <f t="shared" si="7"/>
        <v>27.951000000000001</v>
      </c>
      <c r="J20" s="18">
        <f t="shared" si="8"/>
        <v>43.902000000000001</v>
      </c>
    </row>
    <row r="21" spans="1:10" ht="13.5" customHeight="1">
      <c r="A21" s="132"/>
      <c r="B21" s="17"/>
      <c r="C21" s="78"/>
      <c r="D21" s="15"/>
      <c r="E21" s="16"/>
      <c r="F21" s="16"/>
      <c r="G21" s="16"/>
      <c r="H21" s="17"/>
      <c r="I21" s="17"/>
      <c r="J21" s="17"/>
    </row>
    <row r="22" spans="1:10">
      <c r="H22" s="20"/>
      <c r="I22" s="20"/>
      <c r="J22" s="20"/>
    </row>
    <row r="23" spans="1:10">
      <c r="H23" s="20"/>
      <c r="I23" s="20"/>
      <c r="J23" s="20"/>
    </row>
    <row r="27" spans="1:10">
      <c r="F27" s="19" t="s">
        <v>32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dimension ref="A1:G25"/>
  <sheetViews>
    <sheetView view="pageBreakPreview" zoomScaleNormal="100" workbookViewId="0">
      <selection activeCell="C16" sqref="C16"/>
    </sheetView>
  </sheetViews>
  <sheetFormatPr defaultColWidth="9" defaultRowHeight="15"/>
  <cols>
    <col min="1" max="1" width="23.85546875" style="29" customWidth="1"/>
    <col min="2" max="2" width="18.85546875" style="29" customWidth="1"/>
    <col min="3" max="3" width="35" style="45" customWidth="1"/>
    <col min="4" max="4" width="11.7109375" style="46" customWidth="1"/>
    <col min="5" max="5" width="11" style="29" customWidth="1"/>
    <col min="6" max="6" width="11.85546875" style="46" customWidth="1"/>
    <col min="7" max="7" width="22" style="29" customWidth="1"/>
    <col min="8" max="16384" width="9" style="29"/>
  </cols>
  <sheetData>
    <row r="1" spans="1:7" s="21" customFormat="1" ht="52.5" customHeight="1">
      <c r="E1" s="22"/>
    </row>
    <row r="2" spans="1:7" s="21" customFormat="1" ht="10.5" customHeight="1">
      <c r="A2" s="109" t="s">
        <v>0</v>
      </c>
      <c r="B2" s="109"/>
      <c r="C2" s="109"/>
      <c r="D2" s="109"/>
      <c r="E2" s="109"/>
      <c r="F2" s="109"/>
      <c r="G2" s="109"/>
    </row>
    <row r="3" spans="1:7" s="21" customFormat="1" ht="15.95" customHeight="1">
      <c r="A3" s="109" t="s">
        <v>1</v>
      </c>
      <c r="B3" s="109"/>
      <c r="C3" s="109"/>
      <c r="D3" s="109"/>
      <c r="E3" s="109"/>
      <c r="F3" s="109"/>
      <c r="G3" s="109"/>
    </row>
    <row r="4" spans="1:7" s="21" customFormat="1" ht="15.95" customHeight="1">
      <c r="A4" s="109" t="s">
        <v>2</v>
      </c>
      <c r="B4" s="109"/>
      <c r="C4" s="109"/>
      <c r="D4" s="109"/>
      <c r="E4" s="109"/>
      <c r="F4" s="109"/>
      <c r="G4" s="109"/>
    </row>
    <row r="5" spans="1:7" s="21" customFormat="1" ht="15.95" customHeight="1">
      <c r="A5" s="109" t="s">
        <v>3</v>
      </c>
      <c r="B5" s="109"/>
      <c r="C5" s="109"/>
      <c r="D5" s="109"/>
      <c r="E5" s="109"/>
      <c r="F5" s="109"/>
      <c r="G5" s="109"/>
    </row>
    <row r="6" spans="1:7" s="21" customFormat="1" ht="8.25" customHeight="1">
      <c r="E6" s="22"/>
    </row>
    <row r="7" spans="1:7" s="21" customFormat="1" ht="8.25" customHeight="1">
      <c r="E7" s="22"/>
    </row>
    <row r="8" spans="1:7" s="21" customFormat="1" ht="17.25" customHeight="1">
      <c r="A8" s="23" t="s">
        <v>60</v>
      </c>
      <c r="B8" s="23"/>
      <c r="C8" s="23" t="s">
        <v>35</v>
      </c>
      <c r="D8" s="24"/>
      <c r="E8" s="23" t="s">
        <v>36</v>
      </c>
      <c r="F8" s="24"/>
      <c r="G8" s="25"/>
    </row>
    <row r="9" spans="1:7" s="21" customFormat="1" ht="12" customHeight="1">
      <c r="A9" s="26"/>
      <c r="B9" s="26"/>
      <c r="C9" s="27"/>
      <c r="E9" s="23" t="s">
        <v>37</v>
      </c>
      <c r="F9" s="28"/>
      <c r="G9" s="27"/>
    </row>
    <row r="10" spans="1:7" s="21" customFormat="1" ht="14.25" customHeight="1">
      <c r="A10" s="23" t="s">
        <v>38</v>
      </c>
      <c r="B10" s="23"/>
      <c r="C10" s="23" t="s">
        <v>39</v>
      </c>
      <c r="D10" s="24"/>
      <c r="E10" s="23" t="s">
        <v>40</v>
      </c>
      <c r="F10" s="24"/>
      <c r="G10" s="25"/>
    </row>
    <row r="11" spans="1:7" s="21" customFormat="1" ht="12" customHeight="1" thickBot="1">
      <c r="A11" s="25"/>
      <c r="B11" s="25"/>
      <c r="C11" s="25"/>
      <c r="F11" s="24"/>
      <c r="G11" s="25"/>
    </row>
    <row r="12" spans="1:7" ht="23.25" customHeight="1" thickBot="1">
      <c r="A12" s="110" t="s">
        <v>41</v>
      </c>
      <c r="B12" s="111"/>
      <c r="C12" s="111"/>
      <c r="D12" s="111"/>
      <c r="E12" s="111"/>
      <c r="F12" s="111"/>
      <c r="G12" s="112"/>
    </row>
    <row r="13" spans="1:7" s="35" customFormat="1" ht="37.5" customHeight="1" thickBot="1">
      <c r="A13" s="30" t="s">
        <v>42</v>
      </c>
      <c r="B13" s="31" t="s">
        <v>43</v>
      </c>
      <c r="C13" s="32" t="s">
        <v>44</v>
      </c>
      <c r="D13" s="32" t="s">
        <v>12</v>
      </c>
      <c r="E13" s="33" t="s">
        <v>13</v>
      </c>
      <c r="F13" s="33" t="s">
        <v>14</v>
      </c>
      <c r="G13" s="34" t="s">
        <v>6</v>
      </c>
    </row>
    <row r="14" spans="1:7" s="35" customFormat="1" ht="18.75" customHeight="1">
      <c r="A14" s="48" t="s">
        <v>45</v>
      </c>
      <c r="B14" s="51">
        <v>44568</v>
      </c>
      <c r="C14" s="36" t="s">
        <v>46</v>
      </c>
      <c r="D14" s="37">
        <v>5</v>
      </c>
      <c r="E14" s="38">
        <v>0</v>
      </c>
      <c r="F14" s="38">
        <v>5</v>
      </c>
      <c r="G14" s="39">
        <v>5</v>
      </c>
    </row>
    <row r="15" spans="1:7" s="35" customFormat="1" ht="23.25" customHeight="1">
      <c r="A15" s="48" t="s">
        <v>54</v>
      </c>
      <c r="B15" s="71" t="s">
        <v>56</v>
      </c>
      <c r="C15" s="36" t="s">
        <v>55</v>
      </c>
      <c r="D15" s="37">
        <v>10</v>
      </c>
      <c r="E15" s="38">
        <v>1</v>
      </c>
      <c r="F15" s="38">
        <v>9</v>
      </c>
      <c r="G15" s="39">
        <v>9</v>
      </c>
    </row>
    <row r="16" spans="1:7" s="35" customFormat="1" ht="24" customHeight="1">
      <c r="A16" s="49" t="s">
        <v>67</v>
      </c>
      <c r="B16" s="71" t="s">
        <v>68</v>
      </c>
      <c r="C16" s="83" t="s">
        <v>69</v>
      </c>
      <c r="D16" s="84">
        <v>2</v>
      </c>
      <c r="E16" s="38">
        <v>0</v>
      </c>
      <c r="F16" s="38">
        <v>2</v>
      </c>
      <c r="G16" s="39">
        <v>2</v>
      </c>
    </row>
    <row r="17" spans="1:7" s="35" customFormat="1" ht="23.25" customHeight="1">
      <c r="A17" s="49" t="s">
        <v>64</v>
      </c>
      <c r="B17" s="71" t="s">
        <v>65</v>
      </c>
      <c r="C17" s="83" t="s">
        <v>66</v>
      </c>
      <c r="D17" s="84">
        <v>2</v>
      </c>
      <c r="E17" s="38">
        <v>0</v>
      </c>
      <c r="F17" s="38">
        <v>2</v>
      </c>
      <c r="G17" s="39">
        <v>2</v>
      </c>
    </row>
    <row r="18" spans="1:7" s="35" customFormat="1" ht="23.25" customHeight="1">
      <c r="A18" s="79" t="s">
        <v>61</v>
      </c>
      <c r="B18" s="80" t="s">
        <v>62</v>
      </c>
      <c r="C18" s="81" t="s">
        <v>63</v>
      </c>
      <c r="D18" s="82">
        <v>3</v>
      </c>
      <c r="E18" s="76">
        <v>0</v>
      </c>
      <c r="F18" s="76">
        <v>3</v>
      </c>
      <c r="G18" s="77">
        <v>3</v>
      </c>
    </row>
    <row r="19" spans="1:7" s="35" customFormat="1" ht="15.75" customHeight="1">
      <c r="A19" s="72" t="s">
        <v>57</v>
      </c>
      <c r="B19" s="73" t="s">
        <v>58</v>
      </c>
      <c r="C19" s="74" t="s">
        <v>59</v>
      </c>
      <c r="D19" s="75">
        <v>15</v>
      </c>
      <c r="E19" s="76">
        <v>0</v>
      </c>
      <c r="F19" s="76">
        <v>15</v>
      </c>
      <c r="G19" s="77">
        <v>15</v>
      </c>
    </row>
    <row r="20" spans="1:7" s="35" customFormat="1" ht="15.75" customHeight="1">
      <c r="A20" s="49"/>
      <c r="B20" s="50"/>
      <c r="C20" s="36"/>
      <c r="D20" s="37"/>
      <c r="E20" s="38"/>
      <c r="F20" s="38"/>
      <c r="G20" s="39"/>
    </row>
    <row r="21" spans="1:7" s="41" customFormat="1" ht="15.75">
      <c r="A21" s="47"/>
      <c r="B21" s="47"/>
      <c r="C21" s="36"/>
      <c r="D21" s="40"/>
      <c r="E21" s="40"/>
      <c r="F21" s="40"/>
      <c r="G21" s="42"/>
    </row>
    <row r="22" spans="1:7" s="41" customFormat="1" ht="15.75">
      <c r="A22" s="106" t="s">
        <v>6</v>
      </c>
      <c r="B22" s="107"/>
      <c r="C22" s="107"/>
      <c r="D22" s="107"/>
      <c r="E22" s="107"/>
      <c r="F22" s="108"/>
      <c r="G22" s="43" t="s">
        <v>70</v>
      </c>
    </row>
    <row r="23" spans="1:7" s="21" customFormat="1" ht="75.75" customHeight="1">
      <c r="A23" s="44"/>
      <c r="B23" s="44"/>
      <c r="G23" s="44"/>
    </row>
    <row r="24" spans="1:7" s="21" customFormat="1"/>
    <row r="25" spans="1:7" s="21" customFormat="1"/>
  </sheetData>
  <mergeCells count="6">
    <mergeCell ref="A22:F22"/>
    <mergeCell ref="A2:G2"/>
    <mergeCell ref="A3:G3"/>
    <mergeCell ref="A4:G4"/>
    <mergeCell ref="A5:G5"/>
    <mergeCell ref="A12:G12"/>
  </mergeCells>
  <phoneticPr fontId="17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AD3F-4253-443D-82E8-4BA14004B35A}">
  <dimension ref="A1:L27"/>
  <sheetViews>
    <sheetView view="pageBreakPreview" zoomScale="112" zoomScaleNormal="100" workbookViewId="0">
      <selection activeCell="B15" sqref="B15:E16"/>
    </sheetView>
  </sheetViews>
  <sheetFormatPr defaultColWidth="9" defaultRowHeight="15"/>
  <cols>
    <col min="1" max="1" width="29.85546875" customWidth="1"/>
    <col min="2" max="2" width="9.42578125" style="54" customWidth="1"/>
    <col min="3" max="3" width="9.28515625" style="55" customWidth="1"/>
    <col min="5" max="5" width="8.42578125" style="54" customWidth="1"/>
    <col min="6" max="6" width="10.85546875" style="53" customWidth="1"/>
    <col min="7" max="7" width="9.7109375" style="52" customWidth="1"/>
    <col min="8" max="8" width="10.85546875" customWidth="1"/>
    <col min="9" max="9" width="9.7109375" style="54" customWidth="1"/>
    <col min="10" max="10" width="10" style="53" customWidth="1"/>
    <col min="11" max="11" width="8.7109375" style="52" customWidth="1"/>
    <col min="12" max="12" width="7.5703125" customWidth="1"/>
  </cols>
  <sheetData>
    <row r="1" spans="1:12" s="56" customFormat="1" ht="52.5" customHeight="1">
      <c r="C1" s="70"/>
      <c r="D1" s="69"/>
      <c r="H1" s="57"/>
    </row>
    <row r="2" spans="1:12" s="56" customFormat="1" ht="10.5" customHeight="1">
      <c r="A2" s="131" t="s">
        <v>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</row>
    <row r="3" spans="1:12" s="56" customFormat="1" ht="15.95" customHeight="1">
      <c r="A3" s="131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</row>
    <row r="4" spans="1:12" s="56" customFormat="1" ht="15.95" customHeight="1">
      <c r="A4" s="131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</row>
    <row r="5" spans="1:12" s="56" customFormat="1" ht="15.95" customHeight="1">
      <c r="A5" s="131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</row>
    <row r="6" spans="1:12" s="56" customFormat="1" ht="8.25" customHeight="1">
      <c r="C6" s="57"/>
      <c r="H6" s="57"/>
    </row>
    <row r="7" spans="1:12" s="56" customFormat="1" ht="8.25" customHeight="1">
      <c r="C7" s="57"/>
      <c r="H7" s="57"/>
    </row>
    <row r="8" spans="1:12" s="56" customFormat="1" ht="12" customHeight="1">
      <c r="A8" s="66" t="s">
        <v>53</v>
      </c>
      <c r="B8" s="66"/>
      <c r="C8" s="113" t="s">
        <v>7</v>
      </c>
      <c r="D8" s="113"/>
      <c r="E8" s="113"/>
      <c r="F8" s="113"/>
      <c r="G8" s="113"/>
      <c r="I8" s="113" t="s">
        <v>8</v>
      </c>
      <c r="J8" s="113"/>
      <c r="K8" s="113"/>
      <c r="L8" s="66"/>
    </row>
    <row r="9" spans="1:12" s="56" customFormat="1" ht="12" customHeight="1">
      <c r="B9" s="67"/>
      <c r="C9" s="113" t="s">
        <v>52</v>
      </c>
      <c r="D9" s="113"/>
      <c r="E9" s="113"/>
      <c r="F9" s="113"/>
      <c r="G9" s="113"/>
      <c r="I9" s="114" t="s">
        <v>9</v>
      </c>
      <c r="J9" s="114"/>
      <c r="K9" s="114"/>
      <c r="L9" s="67"/>
    </row>
    <row r="10" spans="1:12" s="56" customFormat="1" ht="12" customHeight="1">
      <c r="A10" s="66" t="s">
        <v>51</v>
      </c>
      <c r="B10" s="66"/>
      <c r="C10" s="68"/>
      <c r="D10" s="67"/>
      <c r="E10" s="67"/>
      <c r="I10" s="113" t="s">
        <v>4</v>
      </c>
      <c r="J10" s="113"/>
      <c r="K10" s="113"/>
      <c r="L10" s="66"/>
    </row>
    <row r="11" spans="1:12" ht="16.5" customHeight="1" thickBot="1">
      <c r="A11" s="115" t="s">
        <v>50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</row>
    <row r="12" spans="1:12" s="64" customFormat="1" ht="18.75" customHeight="1">
      <c r="A12" s="119" t="s">
        <v>5</v>
      </c>
      <c r="B12" s="116" t="s">
        <v>10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21" t="s">
        <v>6</v>
      </c>
    </row>
    <row r="13" spans="1:12" s="64" customFormat="1" ht="24" customHeight="1">
      <c r="A13" s="120"/>
      <c r="B13" s="128" t="s">
        <v>11</v>
      </c>
      <c r="C13" s="129"/>
      <c r="D13" s="129"/>
      <c r="E13" s="130"/>
      <c r="F13" s="128" t="s">
        <v>12</v>
      </c>
      <c r="G13" s="130"/>
      <c r="H13" s="128" t="s">
        <v>13</v>
      </c>
      <c r="I13" s="130"/>
      <c r="J13" s="128" t="s">
        <v>14</v>
      </c>
      <c r="K13" s="130"/>
      <c r="L13" s="122"/>
    </row>
    <row r="14" spans="1:12" s="64" customFormat="1" ht="23.45" customHeight="1">
      <c r="A14" s="65" t="s">
        <v>49</v>
      </c>
      <c r="B14" s="123" t="s">
        <v>48</v>
      </c>
      <c r="C14" s="124"/>
      <c r="D14" s="124"/>
      <c r="E14" s="125"/>
      <c r="F14" s="126">
        <v>10</v>
      </c>
      <c r="G14" s="127"/>
      <c r="H14" s="126">
        <v>0</v>
      </c>
      <c r="I14" s="127"/>
      <c r="J14" s="126">
        <v>11</v>
      </c>
      <c r="K14" s="127"/>
      <c r="L14" s="62">
        <v>11</v>
      </c>
    </row>
    <row r="15" spans="1:12" s="61" customFormat="1" ht="24.95" customHeight="1">
      <c r="A15" s="63" t="s">
        <v>17</v>
      </c>
      <c r="B15" s="123"/>
      <c r="C15" s="124"/>
      <c r="D15" s="124"/>
      <c r="E15" s="125"/>
      <c r="F15" s="126"/>
      <c r="G15" s="127"/>
      <c r="H15" s="126">
        <v>1</v>
      </c>
      <c r="I15" s="127"/>
      <c r="J15" s="126">
        <v>9</v>
      </c>
      <c r="K15" s="127"/>
      <c r="L15" s="62">
        <v>9</v>
      </c>
    </row>
    <row r="16" spans="1:12" s="56" customFormat="1">
      <c r="A16" s="60" t="s">
        <v>15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8"/>
    </row>
    <row r="17" spans="1:12" s="56" customForma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</row>
    <row r="18" spans="1:12">
      <c r="A18" s="56"/>
      <c r="B18" s="56"/>
      <c r="C18" s="57"/>
      <c r="D18" s="56"/>
      <c r="E18" s="56"/>
      <c r="F18" s="56"/>
      <c r="G18" s="56"/>
      <c r="H18" s="56"/>
      <c r="I18" s="56"/>
      <c r="J18" s="56" t="s">
        <v>47</v>
      </c>
      <c r="K18" s="56"/>
      <c r="L18" s="56"/>
    </row>
    <row r="19" spans="1:12">
      <c r="A19" s="56"/>
      <c r="B19" s="56"/>
      <c r="C19" s="57"/>
      <c r="D19" s="56"/>
      <c r="E19" s="56"/>
      <c r="F19" s="56"/>
      <c r="G19" s="56"/>
      <c r="H19" s="56"/>
      <c r="I19" s="56"/>
      <c r="J19" s="56"/>
      <c r="K19" s="56"/>
      <c r="L19" s="56"/>
    </row>
    <row r="20" spans="1:12">
      <c r="A20" s="56"/>
      <c r="B20" s="56"/>
      <c r="C20" s="57"/>
      <c r="D20" s="56"/>
      <c r="E20" s="56"/>
      <c r="F20" s="56"/>
      <c r="G20" s="56"/>
      <c r="H20" s="56"/>
      <c r="I20" s="56"/>
      <c r="J20" s="56"/>
      <c r="K20" s="56"/>
      <c r="L20" s="56"/>
    </row>
    <row r="21" spans="1:12">
      <c r="A21" s="56"/>
      <c r="B21" s="56"/>
      <c r="C21" s="57"/>
      <c r="D21" s="56"/>
      <c r="E21" s="56"/>
      <c r="F21" s="56"/>
      <c r="G21" s="56" t="s">
        <v>16</v>
      </c>
      <c r="H21" s="56"/>
      <c r="I21" s="56"/>
      <c r="J21" s="56"/>
      <c r="K21" s="56"/>
      <c r="L21" s="56"/>
    </row>
    <row r="22" spans="1:12" ht="18.75" customHeight="1">
      <c r="A22" s="56"/>
      <c r="B22" s="56"/>
      <c r="C22" s="57"/>
      <c r="D22" s="56"/>
      <c r="E22" s="56"/>
      <c r="F22" s="56"/>
      <c r="G22" s="56"/>
      <c r="H22" s="56"/>
      <c r="I22" s="56"/>
      <c r="J22" s="56"/>
      <c r="K22" s="56"/>
      <c r="L22" s="56"/>
    </row>
    <row r="23" spans="1:12">
      <c r="A23" s="56"/>
      <c r="B23" s="56"/>
      <c r="C23" s="57"/>
      <c r="D23" s="56"/>
      <c r="E23" s="56"/>
      <c r="F23" s="56"/>
      <c r="G23" s="56"/>
      <c r="H23" s="56"/>
      <c r="I23" s="56"/>
      <c r="J23" s="56"/>
      <c r="K23" s="56"/>
      <c r="L23" s="56"/>
    </row>
    <row r="24" spans="1:12">
      <c r="A24" s="56"/>
      <c r="B24" s="56"/>
      <c r="C24" s="57"/>
      <c r="D24" s="56"/>
      <c r="E24" s="56"/>
      <c r="F24" s="56"/>
      <c r="G24" s="56"/>
      <c r="H24" s="56"/>
      <c r="I24" s="56"/>
      <c r="J24" s="56"/>
      <c r="K24" s="56"/>
      <c r="L24" s="56"/>
    </row>
    <row r="25" spans="1:12">
      <c r="A25" s="56"/>
      <c r="B25" s="56"/>
      <c r="C25" s="57"/>
      <c r="D25" s="56"/>
      <c r="E25" s="56"/>
      <c r="F25" s="56"/>
      <c r="G25" s="56"/>
      <c r="H25" s="56"/>
      <c r="I25" s="56"/>
      <c r="J25" s="56"/>
      <c r="K25" s="56"/>
      <c r="L25" s="56"/>
    </row>
    <row r="26" spans="1:12">
      <c r="A26" s="56"/>
      <c r="B26" s="56"/>
      <c r="C26" s="57"/>
      <c r="D26" s="56"/>
      <c r="E26" s="56"/>
      <c r="F26" s="56"/>
      <c r="G26" s="56"/>
      <c r="H26" s="56"/>
      <c r="I26" s="56"/>
      <c r="J26" s="56"/>
      <c r="K26" s="56"/>
      <c r="L26" s="56"/>
    </row>
    <row r="27" spans="1:12">
      <c r="A27" s="56"/>
      <c r="B27" s="56"/>
      <c r="C27" s="57"/>
      <c r="D27" s="56"/>
      <c r="E27" s="56"/>
      <c r="F27" s="56"/>
      <c r="G27" s="56"/>
      <c r="H27" s="56"/>
      <c r="I27" s="56"/>
      <c r="J27" s="56"/>
      <c r="K27" s="56"/>
      <c r="L27" s="56"/>
    </row>
  </sheetData>
  <mergeCells count="26">
    <mergeCell ref="A2:L2"/>
    <mergeCell ref="A3:L3"/>
    <mergeCell ref="A4:L4"/>
    <mergeCell ref="A5:L5"/>
    <mergeCell ref="C8:G8"/>
    <mergeCell ref="I8:K8"/>
    <mergeCell ref="A17:L17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C9:G9"/>
    <mergeCell ref="I9:K9"/>
    <mergeCell ref="I10:K10"/>
    <mergeCell ref="A11:L11"/>
    <mergeCell ref="B12:K12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2026-01-14T05:08:24Z</cp:lastPrinted>
  <dcterms:created xsi:type="dcterms:W3CDTF">2021-10-07T06:10:00Z</dcterms:created>
  <dcterms:modified xsi:type="dcterms:W3CDTF">2026-01-14T05:09:21Z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