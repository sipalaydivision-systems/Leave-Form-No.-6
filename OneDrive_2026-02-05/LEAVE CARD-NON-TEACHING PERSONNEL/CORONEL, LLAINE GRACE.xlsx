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FE7EA081-A79C-41A0-85A8-EACEE35EAB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 CORRECTED" sheetId="9" r:id="rId2"/>
  </sheets>
  <definedNames>
    <definedName name="_xlnm.Print_Area" localSheetId="1">'CTO CORRECTED'!$A$1:$K$37</definedName>
    <definedName name="_xlnm.Print_Area" localSheetId="0">'Leave Card (NE)'!$A$1:$J$75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9" i="6" l="1"/>
  <c r="I69" i="6"/>
  <c r="J69" i="6"/>
  <c r="I29" i="9"/>
  <c r="K29" i="9" s="1"/>
  <c r="K18" i="9"/>
  <c r="I14" i="6" l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H14" i="6"/>
  <c r="H15" i="6" s="1"/>
  <c r="H16" i="6" l="1"/>
  <c r="H17" i="6" s="1"/>
  <c r="J17" i="6" s="1"/>
  <c r="J15" i="6"/>
  <c r="J14" i="6"/>
  <c r="B50" i="6"/>
  <c r="J16" i="6" l="1"/>
  <c r="H18" i="6"/>
  <c r="J18" i="6" s="1"/>
  <c r="H19" i="6" l="1"/>
  <c r="J19" i="6" s="1"/>
  <c r="H20" i="6" l="1"/>
  <c r="H21" i="6" s="1"/>
  <c r="J20" i="6" l="1"/>
  <c r="J21" i="6"/>
  <c r="H22" i="6"/>
  <c r="H23" i="6" s="1"/>
  <c r="J23" i="6" l="1"/>
  <c r="H24" i="6"/>
  <c r="J22" i="6"/>
  <c r="H25" i="6" l="1"/>
  <c r="J24" i="6"/>
  <c r="H26" i="6" l="1"/>
  <c r="J25" i="6"/>
  <c r="H27" i="6" l="1"/>
  <c r="J26" i="6"/>
  <c r="H28" i="6" l="1"/>
  <c r="J27" i="6"/>
  <c r="H29" i="6" l="1"/>
  <c r="J28" i="6"/>
  <c r="H30" i="6" l="1"/>
  <c r="J29" i="6"/>
  <c r="H31" i="6" l="1"/>
  <c r="J30" i="6"/>
  <c r="H32" i="6" l="1"/>
  <c r="J31" i="6"/>
  <c r="H33" i="6" l="1"/>
  <c r="J32" i="6"/>
  <c r="H34" i="6" l="1"/>
  <c r="J33" i="6"/>
  <c r="H35" i="6" l="1"/>
  <c r="J34" i="6"/>
  <c r="H36" i="6" l="1"/>
  <c r="J35" i="6"/>
  <c r="H37" i="6" l="1"/>
  <c r="J36" i="6"/>
  <c r="H38" i="6" l="1"/>
  <c r="J37" i="6"/>
  <c r="H39" i="6" l="1"/>
  <c r="J38" i="6"/>
  <c r="H40" i="6" l="1"/>
  <c r="J39" i="6"/>
  <c r="H41" i="6" l="1"/>
  <c r="J40" i="6"/>
  <c r="H42" i="6" l="1"/>
  <c r="J41" i="6"/>
  <c r="H43" i="6" l="1"/>
  <c r="J42" i="6"/>
  <c r="H44" i="6" l="1"/>
  <c r="J43" i="6"/>
  <c r="H45" i="6" l="1"/>
  <c r="J44" i="6"/>
  <c r="H46" i="6" l="1"/>
  <c r="H47" i="6" s="1"/>
  <c r="J45" i="6"/>
  <c r="H48" i="6" l="1"/>
  <c r="J47" i="6"/>
  <c r="J46" i="6"/>
  <c r="H49" i="6" l="1"/>
  <c r="J48" i="6"/>
  <c r="H50" i="6" l="1"/>
  <c r="J49" i="6"/>
  <c r="J50" i="6" l="1"/>
  <c r="H51" i="6"/>
  <c r="J51" i="6" l="1"/>
  <c r="H52" i="6"/>
  <c r="J52" i="6" l="1"/>
  <c r="H53" i="6"/>
  <c r="J53" i="6" l="1"/>
  <c r="H54" i="6"/>
  <c r="J54" i="6" l="1"/>
  <c r="H55" i="6"/>
  <c r="H56" i="6" l="1"/>
  <c r="J55" i="6"/>
  <c r="J56" i="6" l="1"/>
  <c r="H57" i="6"/>
  <c r="J57" i="6" l="1"/>
  <c r="H58" i="6"/>
  <c r="J58" i="6" l="1"/>
  <c r="H59" i="6"/>
  <c r="J59" i="6" l="1"/>
  <c r="H60" i="6"/>
  <c r="J60" i="6" l="1"/>
  <c r="H61" i="6"/>
  <c r="J61" i="6" l="1"/>
  <c r="H62" i="6"/>
  <c r="H63" i="6" l="1"/>
  <c r="J62" i="6"/>
  <c r="J63" i="6" l="1"/>
  <c r="H64" i="6"/>
  <c r="H65" i="6" l="1"/>
  <c r="J64" i="6"/>
  <c r="J65" i="6" l="1"/>
  <c r="H66" i="6"/>
  <c r="J66" i="6" l="1"/>
  <c r="H67" i="6"/>
  <c r="H68" i="6" l="1"/>
  <c r="J68" i="6" s="1"/>
  <c r="J67" i="6"/>
</calcChain>
</file>

<file path=xl/sharedStrings.xml><?xml version="1.0" encoding="utf-8"?>
<sst xmlns="http://schemas.openxmlformats.org/spreadsheetml/2006/main" count="141" uniqueCount="119">
  <si>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</si>
  <si>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</si>
  <si>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</si>
  <si>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</si>
  <si>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</si>
  <si>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</si>
  <si>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</si>
  <si>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</si>
  <si>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</si>
  <si>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</si>
  <si>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</si>
  <si>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LESS: 02/10 - 11/2022</t>
  </si>
  <si>
    <t>ADD: 02/01/22 - 02/28/22</t>
  </si>
  <si>
    <t>ADD: 03/01/22 - 03/31/22</t>
  </si>
  <si>
    <t>LESS: 04/20/2022</t>
  </si>
  <si>
    <t>ADD: 04/01/22 - 06/30/22</t>
  </si>
  <si>
    <t>LESS: 07/08 &amp; 11/2022</t>
  </si>
  <si>
    <t>LESS: 06/20/2022</t>
  </si>
  <si>
    <t>LESS: 07/25 &amp; 26/2022</t>
  </si>
  <si>
    <t>ADD: 07/01/22 - 07/31/22</t>
  </si>
  <si>
    <t>LESS: 08/15 &amp; 16/2022</t>
  </si>
  <si>
    <t>ADD: 08/01/22 - 08/31/22</t>
  </si>
  <si>
    <t>LESS MONETIZATION 2022</t>
  </si>
  <si>
    <t>ADD: 09/01/22 - 10/31/22</t>
  </si>
  <si>
    <t>Republic of the Philippines</t>
  </si>
  <si>
    <t>Department of Education</t>
  </si>
  <si>
    <t>REGION VI-WESTERN VISAYAS</t>
  </si>
  <si>
    <t>SCHOOLS DIVISION OF SIPALAY CITY</t>
  </si>
  <si>
    <t>NAME         : CORONEL, LLAINE GRACE</t>
  </si>
  <si>
    <t>DISTRICT             : _______________________</t>
  </si>
  <si>
    <t>EMPLOYEE NO   : __________</t>
  </si>
  <si>
    <t>SCHOOL/OFFICE : CID</t>
  </si>
  <si>
    <t>STATION CODE   : __________</t>
  </si>
  <si>
    <t>POSITION   : PDO 2</t>
  </si>
  <si>
    <t>DIVISION CODE   : __________</t>
  </si>
  <si>
    <t>COMPENSATORY TIME OFF (CTO)</t>
  </si>
  <si>
    <t>Special Order No. and Date Issued</t>
  </si>
  <si>
    <t>No. of Days Granted</t>
  </si>
  <si>
    <t>No. of Days Used</t>
  </si>
  <si>
    <t>Balance</t>
  </si>
  <si>
    <t>ADD: SEPTEMBER 2, 2022</t>
  </si>
  <si>
    <t>S.O. # 072, S. 2022. COMPLETE PROGRESS MONITORING REPORT &amp; INVENTORY OF SLMs &amp; LAS FROM QUARTER 1 TO 4</t>
  </si>
  <si>
    <t>LESS: SEPTEMBER 20 &amp; 30, 2022</t>
  </si>
  <si>
    <t>LESS: OCTOBER 03, 2022</t>
  </si>
  <si>
    <t>NOTE:  Valid for one (1) year only</t>
  </si>
  <si>
    <t>LESS: NOVEMBER 17 &amp; 18, 2022</t>
  </si>
  <si>
    <t>ADD: 11/01/22 - 11/30/22</t>
  </si>
  <si>
    <t>LESS: DECEMBER 23, 2022</t>
  </si>
  <si>
    <t>ADD: 12/01/22 - 12/31/22</t>
  </si>
  <si>
    <t>ADD: 01/01/23 - 01/31/23</t>
  </si>
  <si>
    <t>LESS: JANUARY 12, 13 &amp; 16, 2023</t>
  </si>
  <si>
    <t>LESS: MARCH 03, 2023</t>
  </si>
  <si>
    <t>ADD: 02/01/23 - 02/28/23</t>
  </si>
  <si>
    <t>SPECIAL</t>
  </si>
  <si>
    <t>Name: _____________________________</t>
  </si>
  <si>
    <t>DISTRICT: ___________________________</t>
  </si>
  <si>
    <t>POSITION: __________________________</t>
  </si>
  <si>
    <t>SCHOOL/OFFICE:_____________________</t>
  </si>
  <si>
    <t>ADD: 01/01/2020 - 12/31/2020</t>
  </si>
  <si>
    <t>LESS: 12/23, 26 &amp; 27/2020</t>
  </si>
  <si>
    <t>LESS: FL 2020</t>
  </si>
  <si>
    <t>ADD: 01/01/2021 - 12/31/2021</t>
  </si>
  <si>
    <t>LESS: MONETIZATION 2021</t>
  </si>
  <si>
    <t>LESS: 12/20, 23, 24, 27 &amp; 31/ 2021</t>
  </si>
  <si>
    <t>ADD: 01/01/2022 - 01/31/2022</t>
  </si>
  <si>
    <t>LESS: July 20, 2023</t>
  </si>
  <si>
    <t>ADD: 03/01/23 - 08/31/23</t>
  </si>
  <si>
    <t>LESS: MONETIZATION 2023</t>
  </si>
  <si>
    <t>LESS: May 29, june 8 &amp; 9, 2023</t>
  </si>
  <si>
    <t>Certified Correct:</t>
  </si>
  <si>
    <t>MA. LUISA B. CATIGAN</t>
  </si>
  <si>
    <t>Administrative Officer IV</t>
  </si>
  <si>
    <t>HRMO</t>
  </si>
  <si>
    <t>ORIGINAL APPOINTMENT: NOVEMBER 07, 2016 (ADASII)</t>
  </si>
  <si>
    <t>ADD: 11/07/2016-11/30/2016</t>
  </si>
  <si>
    <t>ADD:12/01/2016-12/31/2016</t>
  </si>
  <si>
    <t>ADD:01/01/2017-12/31/2017</t>
  </si>
  <si>
    <t>LESS: MANDATORY FORCED LEAVE 2017</t>
  </si>
  <si>
    <t>ADD: 01/01/2018-06/30/2018</t>
  </si>
  <si>
    <t>LESS: 14 DAYS MONETIZATION 2018</t>
  </si>
  <si>
    <t>ADD: 07/01/2018-12/31/2018</t>
  </si>
  <si>
    <t>LESS: MANDATORY FORCED LEAVE 2018</t>
  </si>
  <si>
    <t>ADD: 01/01/2019-12/31/2019</t>
  </si>
  <si>
    <t>LESS: FL 2019</t>
  </si>
  <si>
    <t>LESS: 09/28/2023</t>
  </si>
  <si>
    <t>ADD: 04/17/2023</t>
  </si>
  <si>
    <t>LESS: 09/18-19/2023</t>
  </si>
  <si>
    <t>S.O. #47 S. 2023 WORKSHOP ON CURRICULUM IMPLEMENTATION (CID) PERFORMANCE PLANNING AND COMMITMENT FOR SY 2023</t>
  </si>
  <si>
    <t xml:space="preserve">S.O. #19 S. 2023 REGIONAL WORKSHOP ON QUALITY ASSURANCE OF TEST QUESTIONS FOR THE REGIONAL ACHIEVEMENT </t>
  </si>
  <si>
    <t>ADD: AUGUST 17, 2023</t>
  </si>
  <si>
    <t>ADD: 09/01/23 - 10/31/23</t>
  </si>
  <si>
    <t>LESS: 11/17 &amp; 24 , 12/22 &amp;26 /2023</t>
  </si>
  <si>
    <t>ADD: 11/01/2023-12/31/2023</t>
  </si>
  <si>
    <t>LESS: 12/27/2023</t>
  </si>
  <si>
    <t>ADD: 01/01/2024-01/31/2024</t>
  </si>
  <si>
    <t>ADD: (DISAPPROVED FL-12/22/2023)</t>
  </si>
  <si>
    <t>ADD: 10/17/2023</t>
  </si>
  <si>
    <t>S.O # 159, S. 2023 125TH PHILIPPINE INDEPENDENCE DAY CELEBRATION</t>
  </si>
  <si>
    <t>LESS: 03/07/2024</t>
  </si>
  <si>
    <t>LESS: 03/13, 26,2024</t>
  </si>
  <si>
    <t>ADD: 02/01/2024-07/31/2024</t>
  </si>
  <si>
    <t>LESS: 06/3-7/2024</t>
  </si>
  <si>
    <t>LESS: 06/10,11, 13/2024</t>
  </si>
  <si>
    <t>LESS: MONETIZATION 2024</t>
  </si>
  <si>
    <t>LESS: FL 2022</t>
  </si>
  <si>
    <t>ADD: 08/01/2024-12/31/2024</t>
  </si>
  <si>
    <t>LESS: 01/27-28/2025</t>
  </si>
  <si>
    <t>ADD: 01/1/2025-04/30/2025</t>
  </si>
  <si>
    <t>LESS: 05/13/2025</t>
  </si>
  <si>
    <t>LESS: 05/26/2025</t>
  </si>
  <si>
    <t>ADD: 05/1/2025-06/30/2025</t>
  </si>
  <si>
    <t>LESS: MONETIZATION 2025</t>
  </si>
  <si>
    <t>ADD: 06/26/2025</t>
  </si>
  <si>
    <t>SO# 042, S. 2025</t>
  </si>
  <si>
    <t>LESS: 07/1/2025 (PM)</t>
  </si>
  <si>
    <t>LESS: 07/24/2025 (PM)</t>
  </si>
  <si>
    <t xml:space="preserve">  </t>
  </si>
  <si>
    <t>LESS: 10/13/2025</t>
  </si>
  <si>
    <t>ADD: 07/1/2025-09/30/2025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</si>
</sst>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9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164" fontId="0" fillId="2" borderId="1" xfId="0" applyNumberForma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164" fontId="0" fillId="0" borderId="0" xfId="0" applyNumberFormat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vertical="center" wrapText="1"/>
    </xf>
    <xf numFmtId="0" fontId="1" fillId="2" borderId="18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298451</xdr:colOff>
      <xdr:row>0</xdr:row>
      <xdr:rowOff>111125</xdr:rowOff>
    </xdr:from>
    <xdr:to>
      <xdr:col>4</xdr:col>
      <xdr:colOff>133350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7551" y="111125"/>
          <a:ext cx="606424" cy="5556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5</xdr:row>
      <xdr:rowOff>37611</xdr:rowOff>
    </xdr:from>
    <xdr:to>
      <xdr:col>0</xdr:col>
      <xdr:colOff>2582741</xdr:colOff>
      <xdr:row>7</xdr:row>
      <xdr:rowOff>30285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2FBA5A0-45C7-43ED-A638-3E5B5CDA46C0}"/>
            </a:ext>
          </a:extLst>
        </xdr:cNvPr>
        <xdr:cNvSpPr txBox="1"/>
      </xdr:nvSpPr>
      <xdr:spPr>
        <a:xfrm>
          <a:off x="573942" y="1437786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CORONEL, LLAINE GRACE</a:t>
          </a:r>
        </a:p>
      </xdr:txBody>
    </xdr:sp>
    <xdr:clientData/>
  </xdr:twoCellAnchor>
  <xdr:twoCellAnchor>
    <xdr:from>
      <xdr:col>0</xdr:col>
      <xdr:colOff>759558</xdr:colOff>
      <xdr:row>7</xdr:row>
      <xdr:rowOff>80107</xdr:rowOff>
    </xdr:from>
    <xdr:to>
      <xdr:col>1</xdr:col>
      <xdr:colOff>82307</xdr:colOff>
      <xdr:row>9</xdr:row>
      <xdr:rowOff>25155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947E978-8C29-4F8E-BD2E-0636026BAB30}"/>
            </a:ext>
          </a:extLst>
        </xdr:cNvPr>
        <xdr:cNvSpPr txBox="1"/>
      </xdr:nvSpPr>
      <xdr:spPr>
        <a:xfrm>
          <a:off x="759558" y="1737457"/>
          <a:ext cx="20087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SEPS-PRU</a:t>
          </a:r>
        </a:p>
      </xdr:txBody>
    </xdr:sp>
    <xdr:clientData/>
  </xdr:twoCellAnchor>
  <xdr:twoCellAnchor>
    <xdr:from>
      <xdr:col>2</xdr:col>
      <xdr:colOff>262793</xdr:colOff>
      <xdr:row>7</xdr:row>
      <xdr:rowOff>109416</xdr:rowOff>
    </xdr:from>
    <xdr:to>
      <xdr:col>4</xdr:col>
      <xdr:colOff>452071</xdr:colOff>
      <xdr:row>9</xdr:row>
      <xdr:rowOff>54709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ADF3FE-5DAA-4040-B468-211AD27E4FA5}"/>
            </a:ext>
          </a:extLst>
        </xdr:cNvPr>
        <xdr:cNvSpPr txBox="1"/>
      </xdr:nvSpPr>
      <xdr:spPr>
        <a:xfrm>
          <a:off x="3720368" y="1766766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SGOD- 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338871</xdr:colOff>
      <xdr:row>0</xdr:row>
      <xdr:rowOff>54952</xdr:rowOff>
    </xdr:from>
    <xdr:to>
      <xdr:col>4</xdr:col>
      <xdr:colOff>35170</xdr:colOff>
      <xdr:row>3</xdr:row>
      <xdr:rowOff>44255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5AA6F2-C3AC-4624-877F-3C9629AC19D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4953" y="54952"/>
          <a:ext cx="557212" cy="575457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36</xdr:row>
      <xdr:rowOff>117964</xdr:rowOff>
    </xdr:from>
    <xdr:to>
      <xdr:col>10</xdr:col>
      <xdr:colOff>515083</xdr:colOff>
      <xdr:row>36</xdr:row>
      <xdr:rowOff>1126515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80C3CF-408A-499A-BE36-4F3797CF80FD}"/>
            </a:ext>
          </a:extLst>
        </xdr:cNvPr>
        <xdr:cNvSpPr txBox="1"/>
      </xdr:nvSpPr>
      <xdr:spPr>
        <a:xfrm>
          <a:off x="7980118" y="7316666"/>
          <a:ext cx="3983282" cy="1008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11</xdr:row>
      <xdr:rowOff>142875</xdr:rowOff>
    </xdr:from>
    <xdr:to>
      <xdr:col>1</xdr:col>
      <xdr:colOff>28575</xdr:colOff>
      <xdr:row>11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A10A221-BFCD-450E-B85F-61E069D9E41B}"/>
            </a:ext>
          </a:extLst>
        </xdr:cNvPr>
        <xdr:cNvCxnSpPr/>
      </xdr:nvCxnSpPr>
      <xdr:spPr>
        <a:xfrm>
          <a:off x="752475" y="2000250"/>
          <a:ext cx="13144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5"/>
  <sheetViews>
    <sheetView tabSelected="1" view="pageBreakPreview" topLeftCell="A48" zoomScaleNormal="100" zoomScaleSheetLayoutView="100" workbookViewId="0">
      <selection activeCell="E74" sqref="E74"/>
    </sheetView>
  </sheetViews>
  <sheetFormatPr defaultRowHeight="15" x14ac:dyDescent="0.25"/>
  <cols>
    <col min="1" max="1" width="40.28515625" style="20" customWidth="1"/>
    <col min="2" max="2" width="11.5703125" style="20" customWidth="1"/>
    <col min="3" max="10" width="11.5703125" customWidth="1"/>
  </cols>
  <sheetData>
    <row r="1" spans="1:11" s="1" customFormat="1" ht="52.5" customHeight="1" x14ac:dyDescent="0.25">
      <c r="A1" s="6"/>
      <c r="B1" s="6"/>
    </row>
    <row r="2" spans="1:11" s="1" customFormat="1" ht="10.5" customHeight="1" x14ac:dyDescent="0.25">
      <c r="A2" s="51" t="s">
        <v>24</v>
      </c>
      <c r="B2" s="51"/>
      <c r="C2" s="51"/>
      <c r="D2" s="51"/>
      <c r="E2" s="51"/>
      <c r="F2" s="51"/>
      <c r="G2" s="51"/>
      <c r="H2" s="51"/>
      <c r="I2" s="51"/>
      <c r="J2" s="51"/>
    </row>
    <row r="3" spans="1:11" s="1" customFormat="1" ht="15.95" customHeight="1" x14ac:dyDescent="0.25">
      <c r="A3" s="51" t="s">
        <v>25</v>
      </c>
      <c r="B3" s="51"/>
      <c r="C3" s="51"/>
      <c r="D3" s="51"/>
      <c r="E3" s="51"/>
      <c r="F3" s="51"/>
      <c r="G3" s="51"/>
      <c r="H3" s="51"/>
      <c r="I3" s="51"/>
      <c r="J3" s="51"/>
    </row>
    <row r="4" spans="1:11" s="1" customFormat="1" ht="15.95" customHeight="1" x14ac:dyDescent="0.25">
      <c r="A4" s="51" t="s">
        <v>26</v>
      </c>
      <c r="B4" s="51"/>
      <c r="C4" s="51"/>
      <c r="D4" s="51"/>
      <c r="E4" s="51"/>
      <c r="F4" s="51"/>
      <c r="G4" s="51"/>
      <c r="H4" s="51"/>
      <c r="I4" s="51"/>
      <c r="J4" s="51"/>
    </row>
    <row r="5" spans="1:11" s="1" customFormat="1" ht="15.95" customHeight="1" x14ac:dyDescent="0.25">
      <c r="A5" s="51" t="s">
        <v>27</v>
      </c>
      <c r="B5" s="51"/>
      <c r="C5" s="51"/>
      <c r="D5" s="51"/>
      <c r="E5" s="51"/>
      <c r="F5" s="51"/>
      <c r="G5" s="51"/>
      <c r="H5" s="51"/>
      <c r="I5" s="51"/>
      <c r="J5" s="51"/>
    </row>
    <row r="6" spans="1:11" s="1" customFormat="1" ht="8.25" customHeight="1" x14ac:dyDescent="0.25">
      <c r="A6" s="6"/>
      <c r="B6" s="6"/>
    </row>
    <row r="7" spans="1:11" s="1" customFormat="1" ht="12" customHeight="1" x14ac:dyDescent="0.25">
      <c r="A7" s="6" t="s">
        <v>54</v>
      </c>
      <c r="B7" s="49" t="s">
        <v>55</v>
      </c>
      <c r="C7" s="49"/>
      <c r="D7" s="49"/>
      <c r="H7" s="3" t="s">
        <v>9</v>
      </c>
      <c r="I7" s="18"/>
      <c r="J7" s="3"/>
    </row>
    <row r="8" spans="1:11" s="1" customFormat="1" ht="12" customHeight="1" x14ac:dyDescent="0.25">
      <c r="A8" s="6"/>
      <c r="B8" s="8"/>
      <c r="C8" s="2"/>
      <c r="H8" s="2"/>
      <c r="I8" s="2"/>
      <c r="J8" s="2"/>
    </row>
    <row r="9" spans="1:11" s="1" customFormat="1" ht="12" customHeight="1" x14ac:dyDescent="0.25">
      <c r="A9" s="6" t="s">
        <v>56</v>
      </c>
      <c r="B9" s="49" t="s">
        <v>57</v>
      </c>
      <c r="C9" s="49"/>
      <c r="D9" s="49"/>
      <c r="H9" s="3" t="s">
        <v>10</v>
      </c>
      <c r="I9" s="4"/>
      <c r="J9" s="3"/>
    </row>
    <row r="10" spans="1:11" ht="16.5" customHeight="1" thickBot="1" x14ac:dyDescent="0.3">
      <c r="A10" s="50" t="s">
        <v>0</v>
      </c>
      <c r="B10" s="50"/>
      <c r="C10" s="50"/>
      <c r="D10" s="50"/>
      <c r="E10" s="50"/>
      <c r="F10" s="50"/>
      <c r="G10" s="50"/>
      <c r="H10" s="50"/>
      <c r="I10" s="50"/>
      <c r="J10" s="50"/>
    </row>
    <row r="11" spans="1:11" ht="18.75" customHeight="1" x14ac:dyDescent="0.25">
      <c r="A11" s="41" t="s">
        <v>4</v>
      </c>
      <c r="B11" s="48" t="s">
        <v>5</v>
      </c>
      <c r="C11" s="48"/>
      <c r="D11" s="45" t="s">
        <v>6</v>
      </c>
      <c r="E11" s="46"/>
      <c r="F11" s="46"/>
      <c r="G11" s="47"/>
      <c r="H11" s="40" t="s">
        <v>7</v>
      </c>
      <c r="I11" s="40"/>
      <c r="J11" s="43" t="s">
        <v>8</v>
      </c>
    </row>
    <row r="12" spans="1:11" ht="18.75" customHeight="1" thickBot="1" x14ac:dyDescent="0.3">
      <c r="A12" s="42"/>
      <c r="B12" s="38" t="s">
        <v>1</v>
      </c>
      <c r="C12" s="38" t="s">
        <v>2</v>
      </c>
      <c r="D12" s="38" t="s">
        <v>1</v>
      </c>
      <c r="E12" s="38" t="s">
        <v>2</v>
      </c>
      <c r="F12" s="38" t="s">
        <v>3</v>
      </c>
      <c r="G12" s="38" t="s">
        <v>53</v>
      </c>
      <c r="H12" s="38" t="s">
        <v>1</v>
      </c>
      <c r="I12" s="38" t="s">
        <v>2</v>
      </c>
      <c r="J12" s="44"/>
    </row>
    <row r="13" spans="1:11" ht="19.5" customHeight="1" x14ac:dyDescent="0.25">
      <c r="A13" s="39" t="s">
        <v>73</v>
      </c>
      <c r="B13" s="39"/>
      <c r="C13" s="39"/>
      <c r="D13" s="39"/>
      <c r="E13" s="39"/>
      <c r="F13" s="39"/>
      <c r="G13" s="39"/>
      <c r="H13" s="39"/>
      <c r="I13" s="39"/>
      <c r="J13" s="39"/>
    </row>
    <row r="14" spans="1:11" ht="19.5" customHeight="1" x14ac:dyDescent="0.25">
      <c r="A14" s="16" t="s">
        <v>74</v>
      </c>
      <c r="B14" s="25">
        <v>1</v>
      </c>
      <c r="C14" s="25">
        <v>1</v>
      </c>
      <c r="D14" s="16"/>
      <c r="E14" s="16"/>
      <c r="F14" s="16"/>
      <c r="G14" s="16"/>
      <c r="H14" s="25">
        <f>B14</f>
        <v>1</v>
      </c>
      <c r="I14" s="25">
        <f>C14</f>
        <v>1</v>
      </c>
      <c r="J14" s="25">
        <f>SUM(H14:I14)</f>
        <v>2</v>
      </c>
      <c r="K14" s="19"/>
    </row>
    <row r="15" spans="1:11" ht="19.5" customHeight="1" x14ac:dyDescent="0.25">
      <c r="A15" s="16" t="s">
        <v>75</v>
      </c>
      <c r="B15" s="16">
        <v>1.25</v>
      </c>
      <c r="C15" s="16">
        <v>1.25</v>
      </c>
      <c r="D15" s="16"/>
      <c r="E15" s="16"/>
      <c r="F15" s="16"/>
      <c r="G15" s="16"/>
      <c r="H15" s="25">
        <f>H14-F15-D15+B15</f>
        <v>2.25</v>
      </c>
      <c r="I15" s="25">
        <f>I14-E15+C15</f>
        <v>2.25</v>
      </c>
      <c r="J15" s="25">
        <f t="shared" ref="J15:J46" si="0">SUM(H15:I15)</f>
        <v>4.5</v>
      </c>
      <c r="K15" s="19"/>
    </row>
    <row r="16" spans="1:11" ht="19.5" customHeight="1" x14ac:dyDescent="0.25">
      <c r="A16" s="16" t="s">
        <v>76</v>
      </c>
      <c r="B16" s="16">
        <v>15</v>
      </c>
      <c r="C16" s="16">
        <v>15</v>
      </c>
      <c r="D16" s="16"/>
      <c r="E16" s="16"/>
      <c r="F16" s="16"/>
      <c r="G16" s="16"/>
      <c r="H16" s="25">
        <f t="shared" ref="H16:H46" si="1">H15-F16-D16+B16</f>
        <v>17.25</v>
      </c>
      <c r="I16" s="25">
        <f t="shared" ref="I16:I46" si="2">I15-E16+C16</f>
        <v>17.25</v>
      </c>
      <c r="J16" s="25">
        <f t="shared" si="0"/>
        <v>34.5</v>
      </c>
      <c r="K16" s="19"/>
    </row>
    <row r="17" spans="1:11" ht="19.5" customHeight="1" x14ac:dyDescent="0.25">
      <c r="A17" s="16" t="s">
        <v>77</v>
      </c>
      <c r="B17" s="16"/>
      <c r="C17" s="16"/>
      <c r="D17" s="16"/>
      <c r="E17" s="16"/>
      <c r="F17" s="16">
        <v>5</v>
      </c>
      <c r="G17" s="16"/>
      <c r="H17" s="25">
        <f t="shared" si="1"/>
        <v>12.25</v>
      </c>
      <c r="I17" s="25">
        <f t="shared" si="2"/>
        <v>17.25</v>
      </c>
      <c r="J17" s="25">
        <f t="shared" si="0"/>
        <v>29.5</v>
      </c>
      <c r="K17" s="19"/>
    </row>
    <row r="18" spans="1:11" ht="19.5" customHeight="1" x14ac:dyDescent="0.25">
      <c r="A18" s="16" t="s">
        <v>78</v>
      </c>
      <c r="B18" s="16">
        <v>7.5</v>
      </c>
      <c r="C18" s="16">
        <v>7.5</v>
      </c>
      <c r="D18" s="16"/>
      <c r="E18" s="16"/>
      <c r="F18" s="16"/>
      <c r="G18" s="16"/>
      <c r="H18" s="25">
        <f t="shared" si="1"/>
        <v>19.75</v>
      </c>
      <c r="I18" s="25">
        <f t="shared" si="2"/>
        <v>24.75</v>
      </c>
      <c r="J18" s="25">
        <f t="shared" si="0"/>
        <v>44.5</v>
      </c>
      <c r="K18" s="19"/>
    </row>
    <row r="19" spans="1:11" ht="19.5" customHeight="1" x14ac:dyDescent="0.25">
      <c r="A19" s="16" t="s">
        <v>79</v>
      </c>
      <c r="B19" s="16"/>
      <c r="C19" s="16"/>
      <c r="D19" s="16">
        <v>14</v>
      </c>
      <c r="E19" s="16"/>
      <c r="F19" s="16"/>
      <c r="G19" s="16"/>
      <c r="H19" s="25">
        <f t="shared" si="1"/>
        <v>5.75</v>
      </c>
      <c r="I19" s="25">
        <f t="shared" si="2"/>
        <v>24.75</v>
      </c>
      <c r="J19" s="25">
        <f t="shared" si="0"/>
        <v>30.5</v>
      </c>
      <c r="K19" s="19"/>
    </row>
    <row r="20" spans="1:11" ht="19.5" customHeight="1" x14ac:dyDescent="0.25">
      <c r="A20" s="16" t="s">
        <v>80</v>
      </c>
      <c r="B20" s="16">
        <v>7.5</v>
      </c>
      <c r="C20" s="16">
        <v>7.5</v>
      </c>
      <c r="D20" s="16"/>
      <c r="E20" s="16"/>
      <c r="F20" s="16"/>
      <c r="G20" s="16"/>
      <c r="H20" s="25">
        <f t="shared" si="1"/>
        <v>13.25</v>
      </c>
      <c r="I20" s="25">
        <f t="shared" si="2"/>
        <v>32.25</v>
      </c>
      <c r="J20" s="25">
        <f t="shared" si="0"/>
        <v>45.5</v>
      </c>
      <c r="K20" s="19"/>
    </row>
    <row r="21" spans="1:11" ht="19.5" customHeight="1" x14ac:dyDescent="0.25">
      <c r="A21" s="16" t="s">
        <v>81</v>
      </c>
      <c r="B21" s="16"/>
      <c r="C21" s="16"/>
      <c r="D21" s="16"/>
      <c r="E21" s="16"/>
      <c r="F21" s="16">
        <v>5</v>
      </c>
      <c r="G21" s="16"/>
      <c r="H21" s="25">
        <f t="shared" si="1"/>
        <v>8.25</v>
      </c>
      <c r="I21" s="25">
        <f t="shared" si="2"/>
        <v>32.25</v>
      </c>
      <c r="J21" s="25">
        <f t="shared" si="0"/>
        <v>40.5</v>
      </c>
      <c r="K21" s="19"/>
    </row>
    <row r="22" spans="1:11" ht="19.5" customHeight="1" x14ac:dyDescent="0.25">
      <c r="A22" s="16" t="s">
        <v>82</v>
      </c>
      <c r="B22" s="16">
        <v>15</v>
      </c>
      <c r="C22" s="16">
        <v>15</v>
      </c>
      <c r="D22" s="16"/>
      <c r="E22" s="16"/>
      <c r="F22" s="16"/>
      <c r="G22" s="16"/>
      <c r="H22" s="25">
        <f t="shared" si="1"/>
        <v>23.25</v>
      </c>
      <c r="I22" s="25">
        <f t="shared" si="2"/>
        <v>47.25</v>
      </c>
      <c r="J22" s="25">
        <f t="shared" si="0"/>
        <v>70.5</v>
      </c>
      <c r="K22" s="19"/>
    </row>
    <row r="23" spans="1:11" ht="15.95" customHeight="1" x14ac:dyDescent="0.25">
      <c r="A23" s="16" t="s">
        <v>83</v>
      </c>
      <c r="B23" s="16"/>
      <c r="C23" s="16"/>
      <c r="D23" s="16"/>
      <c r="E23" s="16"/>
      <c r="F23" s="16">
        <v>5</v>
      </c>
      <c r="G23" s="16"/>
      <c r="H23" s="25">
        <f t="shared" si="1"/>
        <v>18.25</v>
      </c>
      <c r="I23" s="25">
        <f t="shared" si="2"/>
        <v>47.25</v>
      </c>
      <c r="J23" s="25">
        <f t="shared" si="0"/>
        <v>65.5</v>
      </c>
    </row>
    <row r="24" spans="1:11" ht="15.95" customHeight="1" x14ac:dyDescent="0.25">
      <c r="A24" s="28" t="s">
        <v>58</v>
      </c>
      <c r="B24" s="26">
        <v>15</v>
      </c>
      <c r="C24" s="26">
        <v>15</v>
      </c>
      <c r="D24" s="26"/>
      <c r="E24" s="26"/>
      <c r="F24" s="26"/>
      <c r="G24" s="26"/>
      <c r="H24" s="25">
        <f t="shared" si="1"/>
        <v>33.25</v>
      </c>
      <c r="I24" s="25">
        <f t="shared" si="2"/>
        <v>62.25</v>
      </c>
      <c r="J24" s="25">
        <f t="shared" si="0"/>
        <v>95.5</v>
      </c>
    </row>
    <row r="25" spans="1:11" ht="15.95" customHeight="1" x14ac:dyDescent="0.25">
      <c r="A25" s="28" t="s">
        <v>59</v>
      </c>
      <c r="B25" s="26"/>
      <c r="C25" s="26"/>
      <c r="D25" s="26"/>
      <c r="E25" s="26"/>
      <c r="F25" s="26">
        <v>3</v>
      </c>
      <c r="G25" s="26"/>
      <c r="H25" s="25">
        <f t="shared" si="1"/>
        <v>30.25</v>
      </c>
      <c r="I25" s="25">
        <f t="shared" si="2"/>
        <v>62.25</v>
      </c>
      <c r="J25" s="25">
        <f t="shared" si="0"/>
        <v>92.5</v>
      </c>
    </row>
    <row r="26" spans="1:11" ht="15.95" customHeight="1" x14ac:dyDescent="0.25">
      <c r="A26" s="28" t="s">
        <v>60</v>
      </c>
      <c r="B26" s="26"/>
      <c r="C26" s="26"/>
      <c r="D26" s="26"/>
      <c r="E26" s="26"/>
      <c r="F26" s="26">
        <v>2</v>
      </c>
      <c r="G26" s="26"/>
      <c r="H26" s="25">
        <f t="shared" si="1"/>
        <v>28.25</v>
      </c>
      <c r="I26" s="25">
        <f t="shared" si="2"/>
        <v>62.25</v>
      </c>
      <c r="J26" s="25">
        <f t="shared" si="0"/>
        <v>90.5</v>
      </c>
    </row>
    <row r="27" spans="1:11" ht="15.95" customHeight="1" x14ac:dyDescent="0.25">
      <c r="A27" s="28" t="s">
        <v>61</v>
      </c>
      <c r="B27" s="26">
        <v>15</v>
      </c>
      <c r="C27" s="26">
        <v>15</v>
      </c>
      <c r="D27" s="26"/>
      <c r="E27" s="26"/>
      <c r="F27" s="26"/>
      <c r="G27" s="26"/>
      <c r="H27" s="25">
        <f t="shared" si="1"/>
        <v>43.25</v>
      </c>
      <c r="I27" s="25">
        <f t="shared" si="2"/>
        <v>77.25</v>
      </c>
      <c r="J27" s="25">
        <f t="shared" si="0"/>
        <v>120.5</v>
      </c>
    </row>
    <row r="28" spans="1:11" ht="15.95" customHeight="1" x14ac:dyDescent="0.25">
      <c r="A28" s="28" t="s">
        <v>63</v>
      </c>
      <c r="B28" s="26"/>
      <c r="C28" s="26"/>
      <c r="D28" s="26"/>
      <c r="E28" s="26"/>
      <c r="F28" s="26">
        <v>5</v>
      </c>
      <c r="G28" s="26"/>
      <c r="H28" s="25">
        <f t="shared" si="1"/>
        <v>38.25</v>
      </c>
      <c r="I28" s="25">
        <f t="shared" si="2"/>
        <v>77.25</v>
      </c>
      <c r="J28" s="25">
        <f t="shared" si="0"/>
        <v>115.5</v>
      </c>
    </row>
    <row r="29" spans="1:11" ht="15.95" customHeight="1" x14ac:dyDescent="0.25">
      <c r="A29" s="28" t="s">
        <v>62</v>
      </c>
      <c r="B29" s="26"/>
      <c r="C29" s="26"/>
      <c r="D29" s="26">
        <v>22</v>
      </c>
      <c r="E29" s="26">
        <v>7</v>
      </c>
      <c r="F29" s="26"/>
      <c r="G29" s="26"/>
      <c r="H29" s="25">
        <f t="shared" si="1"/>
        <v>16.25</v>
      </c>
      <c r="I29" s="25">
        <f t="shared" si="2"/>
        <v>70.25</v>
      </c>
      <c r="J29" s="25">
        <f t="shared" si="0"/>
        <v>86.5</v>
      </c>
    </row>
    <row r="30" spans="1:11" ht="15.95" customHeight="1" x14ac:dyDescent="0.25">
      <c r="A30" s="28" t="s">
        <v>64</v>
      </c>
      <c r="B30" s="26">
        <v>1.25</v>
      </c>
      <c r="C30" s="26">
        <v>1.25</v>
      </c>
      <c r="D30" s="26"/>
      <c r="E30" s="26"/>
      <c r="F30" s="26"/>
      <c r="G30" s="26"/>
      <c r="H30" s="25">
        <f t="shared" si="1"/>
        <v>17.5</v>
      </c>
      <c r="I30" s="25">
        <f t="shared" si="2"/>
        <v>71.5</v>
      </c>
      <c r="J30" s="25">
        <f t="shared" si="0"/>
        <v>89</v>
      </c>
    </row>
    <row r="31" spans="1:11" ht="15.95" customHeight="1" x14ac:dyDescent="0.25">
      <c r="A31" s="28" t="s">
        <v>11</v>
      </c>
      <c r="B31" s="26"/>
      <c r="C31" s="26"/>
      <c r="D31" s="26"/>
      <c r="E31" s="26"/>
      <c r="F31" s="26">
        <v>2</v>
      </c>
      <c r="G31" s="26"/>
      <c r="H31" s="25">
        <f t="shared" si="1"/>
        <v>15.5</v>
      </c>
      <c r="I31" s="25">
        <f t="shared" si="2"/>
        <v>71.5</v>
      </c>
      <c r="J31" s="25">
        <f t="shared" si="0"/>
        <v>87</v>
      </c>
    </row>
    <row r="32" spans="1:11" ht="15.95" customHeight="1" x14ac:dyDescent="0.25">
      <c r="A32" s="28" t="s">
        <v>12</v>
      </c>
      <c r="B32" s="26">
        <v>1.25</v>
      </c>
      <c r="C32" s="26">
        <v>1.25</v>
      </c>
      <c r="D32" s="26"/>
      <c r="E32" s="26"/>
      <c r="F32" s="26"/>
      <c r="G32" s="26"/>
      <c r="H32" s="25">
        <f t="shared" si="1"/>
        <v>16.75</v>
      </c>
      <c r="I32" s="25">
        <f t="shared" si="2"/>
        <v>72.75</v>
      </c>
      <c r="J32" s="25">
        <f t="shared" si="0"/>
        <v>89.5</v>
      </c>
    </row>
    <row r="33" spans="1:10" ht="15.95" customHeight="1" x14ac:dyDescent="0.25">
      <c r="A33" s="36">
        <v>44624</v>
      </c>
      <c r="B33" s="26"/>
      <c r="C33" s="27"/>
      <c r="D33" s="27"/>
      <c r="E33" s="27"/>
      <c r="F33" s="27"/>
      <c r="G33" s="26">
        <v>1</v>
      </c>
      <c r="H33" s="25">
        <f t="shared" si="1"/>
        <v>16.75</v>
      </c>
      <c r="I33" s="25">
        <f t="shared" si="2"/>
        <v>72.75</v>
      </c>
      <c r="J33" s="25">
        <f t="shared" si="0"/>
        <v>89.5</v>
      </c>
    </row>
    <row r="34" spans="1:10" ht="15.95" customHeight="1" x14ac:dyDescent="0.25">
      <c r="A34" s="28" t="s">
        <v>13</v>
      </c>
      <c r="B34" s="26">
        <v>1.25</v>
      </c>
      <c r="C34" s="26">
        <v>1.25</v>
      </c>
      <c r="D34" s="26"/>
      <c r="E34" s="26"/>
      <c r="F34" s="26"/>
      <c r="G34" s="26"/>
      <c r="H34" s="25">
        <f t="shared" si="1"/>
        <v>18</v>
      </c>
      <c r="I34" s="25">
        <f t="shared" si="2"/>
        <v>74</v>
      </c>
      <c r="J34" s="25">
        <f t="shared" si="0"/>
        <v>92</v>
      </c>
    </row>
    <row r="35" spans="1:10" ht="15.95" customHeight="1" x14ac:dyDescent="0.25">
      <c r="A35" s="28" t="s">
        <v>14</v>
      </c>
      <c r="B35" s="26"/>
      <c r="C35" s="26"/>
      <c r="D35" s="26"/>
      <c r="E35" s="26">
        <v>1</v>
      </c>
      <c r="F35" s="26"/>
      <c r="G35" s="26"/>
      <c r="H35" s="25">
        <f t="shared" si="1"/>
        <v>18</v>
      </c>
      <c r="I35" s="25">
        <f t="shared" si="2"/>
        <v>73</v>
      </c>
      <c r="J35" s="25">
        <f t="shared" si="0"/>
        <v>91</v>
      </c>
    </row>
    <row r="36" spans="1:10" ht="15.95" customHeight="1" x14ac:dyDescent="0.25">
      <c r="A36" s="28" t="s">
        <v>15</v>
      </c>
      <c r="B36" s="26">
        <v>3.75</v>
      </c>
      <c r="C36" s="26">
        <v>3.75</v>
      </c>
      <c r="D36" s="26"/>
      <c r="E36" s="26"/>
      <c r="F36" s="26"/>
      <c r="G36" s="26"/>
      <c r="H36" s="25">
        <f t="shared" si="1"/>
        <v>21.75</v>
      </c>
      <c r="I36" s="25">
        <f t="shared" si="2"/>
        <v>76.75</v>
      </c>
      <c r="J36" s="25">
        <f t="shared" si="0"/>
        <v>98.5</v>
      </c>
    </row>
    <row r="37" spans="1:10" ht="15.95" customHeight="1" x14ac:dyDescent="0.25">
      <c r="A37" s="28" t="s">
        <v>16</v>
      </c>
      <c r="B37" s="26"/>
      <c r="C37" s="26"/>
      <c r="D37" s="26"/>
      <c r="E37" s="26">
        <v>2</v>
      </c>
      <c r="F37" s="26"/>
      <c r="G37" s="26"/>
      <c r="H37" s="25">
        <f t="shared" si="1"/>
        <v>21.75</v>
      </c>
      <c r="I37" s="25">
        <f t="shared" si="2"/>
        <v>74.75</v>
      </c>
      <c r="J37" s="25">
        <f t="shared" si="0"/>
        <v>96.5</v>
      </c>
    </row>
    <row r="38" spans="1:10" ht="15.95" customHeight="1" x14ac:dyDescent="0.25">
      <c r="A38" s="28" t="s">
        <v>17</v>
      </c>
      <c r="B38" s="26"/>
      <c r="C38" s="27"/>
      <c r="D38" s="27"/>
      <c r="E38" s="27"/>
      <c r="F38" s="27"/>
      <c r="G38" s="26">
        <v>1</v>
      </c>
      <c r="H38" s="25">
        <f t="shared" si="1"/>
        <v>21.75</v>
      </c>
      <c r="I38" s="25">
        <f t="shared" si="2"/>
        <v>74.75</v>
      </c>
      <c r="J38" s="25">
        <f t="shared" si="0"/>
        <v>96.5</v>
      </c>
    </row>
    <row r="39" spans="1:10" ht="15.95" customHeight="1" x14ac:dyDescent="0.25">
      <c r="A39" s="28" t="s">
        <v>18</v>
      </c>
      <c r="B39" s="26"/>
      <c r="C39" s="26"/>
      <c r="D39" s="26"/>
      <c r="E39" s="26">
        <v>2</v>
      </c>
      <c r="F39" s="26"/>
      <c r="G39" s="26"/>
      <c r="H39" s="25">
        <f t="shared" si="1"/>
        <v>21.75</v>
      </c>
      <c r="I39" s="25">
        <f t="shared" si="2"/>
        <v>72.75</v>
      </c>
      <c r="J39" s="25">
        <f t="shared" si="0"/>
        <v>94.5</v>
      </c>
    </row>
    <row r="40" spans="1:10" ht="15.95" customHeight="1" x14ac:dyDescent="0.25">
      <c r="A40" s="28" t="s">
        <v>19</v>
      </c>
      <c r="B40" s="26">
        <v>1.25</v>
      </c>
      <c r="C40" s="26">
        <v>1.25</v>
      </c>
      <c r="D40" s="26"/>
      <c r="E40" s="26"/>
      <c r="F40" s="26"/>
      <c r="G40" s="26"/>
      <c r="H40" s="25">
        <f t="shared" si="1"/>
        <v>23</v>
      </c>
      <c r="I40" s="25">
        <f t="shared" si="2"/>
        <v>74</v>
      </c>
      <c r="J40" s="25">
        <f t="shared" si="0"/>
        <v>97</v>
      </c>
    </row>
    <row r="41" spans="1:10" ht="15.95" customHeight="1" x14ac:dyDescent="0.25">
      <c r="A41" s="28" t="s">
        <v>20</v>
      </c>
      <c r="B41" s="26"/>
      <c r="C41" s="26"/>
      <c r="D41" s="26"/>
      <c r="E41" s="26"/>
      <c r="F41" s="26">
        <v>2</v>
      </c>
      <c r="G41" s="26"/>
      <c r="H41" s="25">
        <f t="shared" si="1"/>
        <v>21</v>
      </c>
      <c r="I41" s="25">
        <f t="shared" si="2"/>
        <v>74</v>
      </c>
      <c r="J41" s="25">
        <f t="shared" si="0"/>
        <v>95</v>
      </c>
    </row>
    <row r="42" spans="1:10" ht="15.95" customHeight="1" x14ac:dyDescent="0.25">
      <c r="A42" s="28" t="s">
        <v>21</v>
      </c>
      <c r="B42" s="26">
        <v>1.25</v>
      </c>
      <c r="C42" s="26">
        <v>1.25</v>
      </c>
      <c r="D42" s="26"/>
      <c r="E42" s="26"/>
      <c r="F42" s="26"/>
      <c r="G42" s="26"/>
      <c r="H42" s="25">
        <f t="shared" si="1"/>
        <v>22.25</v>
      </c>
      <c r="I42" s="25">
        <f t="shared" si="2"/>
        <v>75.25</v>
      </c>
      <c r="J42" s="25">
        <f t="shared" si="0"/>
        <v>97.5</v>
      </c>
    </row>
    <row r="43" spans="1:10" ht="15.95" customHeight="1" x14ac:dyDescent="0.25">
      <c r="A43" s="29" t="s">
        <v>22</v>
      </c>
      <c r="B43" s="26"/>
      <c r="C43" s="26"/>
      <c r="D43" s="26">
        <v>4</v>
      </c>
      <c r="E43" s="26">
        <v>16</v>
      </c>
      <c r="F43" s="26"/>
      <c r="G43" s="26"/>
      <c r="H43" s="25">
        <f t="shared" si="1"/>
        <v>18.25</v>
      </c>
      <c r="I43" s="25">
        <f t="shared" si="2"/>
        <v>59.25</v>
      </c>
      <c r="J43" s="25">
        <f t="shared" si="0"/>
        <v>77.5</v>
      </c>
    </row>
    <row r="44" spans="1:10" ht="15.95" customHeight="1" x14ac:dyDescent="0.25">
      <c r="A44" s="28" t="s">
        <v>23</v>
      </c>
      <c r="B44" s="26">
        <v>2.5</v>
      </c>
      <c r="C44" s="26">
        <v>2.5</v>
      </c>
      <c r="D44" s="26"/>
      <c r="E44" s="26"/>
      <c r="F44" s="26"/>
      <c r="G44" s="26"/>
      <c r="H44" s="25">
        <f t="shared" si="1"/>
        <v>20.75</v>
      </c>
      <c r="I44" s="25">
        <f t="shared" si="2"/>
        <v>61.75</v>
      </c>
      <c r="J44" s="25">
        <f t="shared" si="0"/>
        <v>82.5</v>
      </c>
    </row>
    <row r="45" spans="1:10" ht="15.95" customHeight="1" x14ac:dyDescent="0.25">
      <c r="A45" s="28" t="s">
        <v>46</v>
      </c>
      <c r="B45" s="26">
        <v>1.25</v>
      </c>
      <c r="C45" s="26">
        <v>1.25</v>
      </c>
      <c r="D45" s="26"/>
      <c r="E45" s="26"/>
      <c r="F45" s="26"/>
      <c r="G45" s="26"/>
      <c r="H45" s="25">
        <f t="shared" si="1"/>
        <v>22</v>
      </c>
      <c r="I45" s="25">
        <f t="shared" si="2"/>
        <v>63</v>
      </c>
      <c r="J45" s="25">
        <f t="shared" si="0"/>
        <v>85</v>
      </c>
    </row>
    <row r="46" spans="1:10" ht="15.95" customHeight="1" x14ac:dyDescent="0.25">
      <c r="A46" s="28" t="s">
        <v>48</v>
      </c>
      <c r="B46" s="26">
        <v>1.25</v>
      </c>
      <c r="C46" s="26">
        <v>1.25</v>
      </c>
      <c r="D46" s="26"/>
      <c r="E46" s="26"/>
      <c r="F46" s="26"/>
      <c r="G46" s="26"/>
      <c r="H46" s="25">
        <f t="shared" si="1"/>
        <v>23.25</v>
      </c>
      <c r="I46" s="25">
        <f t="shared" si="2"/>
        <v>64.25</v>
      </c>
      <c r="J46" s="25">
        <f t="shared" si="0"/>
        <v>87.5</v>
      </c>
    </row>
    <row r="47" spans="1:10" ht="15.95" customHeight="1" x14ac:dyDescent="0.25">
      <c r="A47" s="28" t="s">
        <v>104</v>
      </c>
      <c r="B47" s="26"/>
      <c r="C47" s="26"/>
      <c r="D47" s="26"/>
      <c r="E47" s="26"/>
      <c r="F47" s="26">
        <v>1</v>
      </c>
      <c r="G47" s="26"/>
      <c r="H47" s="25">
        <f t="shared" ref="H47:H61" si="3">H46-F47-D47+B47</f>
        <v>22.25</v>
      </c>
      <c r="I47" s="25">
        <f t="shared" ref="I47:I61" si="4">I46-E47+C47</f>
        <v>64.25</v>
      </c>
      <c r="J47" s="25">
        <f t="shared" ref="J47:J61" si="5">SUM(H47:I47)</f>
        <v>86.5</v>
      </c>
    </row>
    <row r="48" spans="1:10" ht="15.95" customHeight="1" x14ac:dyDescent="0.25">
      <c r="A48" s="28" t="s">
        <v>49</v>
      </c>
      <c r="B48" s="26">
        <v>1.25</v>
      </c>
      <c r="C48" s="26">
        <v>1.25</v>
      </c>
      <c r="D48" s="26"/>
      <c r="E48" s="26"/>
      <c r="F48" s="26"/>
      <c r="G48" s="26"/>
      <c r="H48" s="25">
        <f t="shared" si="3"/>
        <v>23.5</v>
      </c>
      <c r="I48" s="25">
        <f t="shared" si="4"/>
        <v>65.5</v>
      </c>
      <c r="J48" s="25">
        <f t="shared" si="5"/>
        <v>89</v>
      </c>
    </row>
    <row r="49" spans="1:10" ht="15.95" customHeight="1" x14ac:dyDescent="0.25">
      <c r="A49" s="28" t="s">
        <v>52</v>
      </c>
      <c r="B49" s="26">
        <v>1.25</v>
      </c>
      <c r="C49" s="26">
        <v>1.25</v>
      </c>
      <c r="D49" s="26"/>
      <c r="E49" s="26"/>
      <c r="F49" s="26"/>
      <c r="G49" s="26"/>
      <c r="H49" s="25">
        <f t="shared" si="3"/>
        <v>24.75</v>
      </c>
      <c r="I49" s="25">
        <f t="shared" si="4"/>
        <v>66.75</v>
      </c>
      <c r="J49" s="25">
        <f t="shared" si="5"/>
        <v>91.5</v>
      </c>
    </row>
    <row r="50" spans="1:10" x14ac:dyDescent="0.25">
      <c r="A50" s="28" t="s">
        <v>66</v>
      </c>
      <c r="B50" s="25">
        <f>6*1.25</f>
        <v>7.5</v>
      </c>
      <c r="C50" s="25">
        <v>7.5</v>
      </c>
      <c r="D50" s="37"/>
      <c r="E50" s="37"/>
      <c r="F50" s="37"/>
      <c r="G50" s="37"/>
      <c r="H50" s="25">
        <f t="shared" si="3"/>
        <v>32.25</v>
      </c>
      <c r="I50" s="25">
        <f t="shared" si="4"/>
        <v>74.25</v>
      </c>
      <c r="J50" s="25">
        <f t="shared" si="5"/>
        <v>106.5</v>
      </c>
    </row>
    <row r="51" spans="1:10" x14ac:dyDescent="0.25">
      <c r="A51" s="28" t="s">
        <v>67</v>
      </c>
      <c r="B51" s="29"/>
      <c r="C51" s="30"/>
      <c r="D51" s="26">
        <v>9</v>
      </c>
      <c r="E51" s="26">
        <v>6</v>
      </c>
      <c r="F51" s="30"/>
      <c r="G51" s="30"/>
      <c r="H51" s="25">
        <f t="shared" si="3"/>
        <v>23.25</v>
      </c>
      <c r="I51" s="25">
        <f t="shared" si="4"/>
        <v>68.25</v>
      </c>
      <c r="J51" s="25">
        <f t="shared" si="5"/>
        <v>91.5</v>
      </c>
    </row>
    <row r="52" spans="1:10" x14ac:dyDescent="0.25">
      <c r="A52" s="29" t="s">
        <v>90</v>
      </c>
      <c r="B52" s="26">
        <v>2.5</v>
      </c>
      <c r="C52" s="26">
        <v>2.5</v>
      </c>
      <c r="D52" s="30"/>
      <c r="E52" s="30"/>
      <c r="F52" s="30"/>
      <c r="G52" s="30"/>
      <c r="H52" s="25">
        <f t="shared" si="3"/>
        <v>25.75</v>
      </c>
      <c r="I52" s="25">
        <f t="shared" si="4"/>
        <v>70.75</v>
      </c>
      <c r="J52" s="25">
        <f t="shared" si="5"/>
        <v>96.5</v>
      </c>
    </row>
    <row r="53" spans="1:10" x14ac:dyDescent="0.25">
      <c r="A53" s="29" t="s">
        <v>91</v>
      </c>
      <c r="B53" s="29"/>
      <c r="C53" s="30"/>
      <c r="D53" s="30"/>
      <c r="E53" s="30"/>
      <c r="F53" s="26">
        <v>4</v>
      </c>
      <c r="G53" s="30"/>
      <c r="H53" s="25">
        <f t="shared" si="3"/>
        <v>21.75</v>
      </c>
      <c r="I53" s="25">
        <f t="shared" si="4"/>
        <v>70.75</v>
      </c>
      <c r="J53" s="25">
        <f t="shared" si="5"/>
        <v>92.5</v>
      </c>
    </row>
    <row r="54" spans="1:10" x14ac:dyDescent="0.25">
      <c r="A54" s="31" t="s">
        <v>92</v>
      </c>
      <c r="B54" s="31">
        <v>2.5</v>
      </c>
      <c r="C54" s="31">
        <v>2.5</v>
      </c>
      <c r="D54" s="32"/>
      <c r="E54" s="32"/>
      <c r="F54" s="32"/>
      <c r="G54" s="32"/>
      <c r="H54" s="25">
        <f t="shared" si="3"/>
        <v>24.25</v>
      </c>
      <c r="I54" s="25">
        <f t="shared" si="4"/>
        <v>73.25</v>
      </c>
      <c r="J54" s="25">
        <f t="shared" si="5"/>
        <v>97.5</v>
      </c>
    </row>
    <row r="55" spans="1:10" x14ac:dyDescent="0.25">
      <c r="A55" s="31" t="s">
        <v>93</v>
      </c>
      <c r="B55" s="31"/>
      <c r="C55" s="32"/>
      <c r="D55" s="32"/>
      <c r="E55" s="32"/>
      <c r="F55" s="31">
        <v>1</v>
      </c>
      <c r="G55" s="32"/>
      <c r="H55" s="25">
        <f t="shared" si="3"/>
        <v>23.25</v>
      </c>
      <c r="I55" s="25">
        <f t="shared" si="4"/>
        <v>73.25</v>
      </c>
      <c r="J55" s="25">
        <f t="shared" si="5"/>
        <v>96.5</v>
      </c>
    </row>
    <row r="56" spans="1:10" x14ac:dyDescent="0.25">
      <c r="A56" s="31" t="s">
        <v>94</v>
      </c>
      <c r="B56" s="26">
        <v>1.25</v>
      </c>
      <c r="C56" s="26">
        <v>1.25</v>
      </c>
      <c r="D56" s="32"/>
      <c r="E56" s="32"/>
      <c r="F56" s="31"/>
      <c r="G56" s="32"/>
      <c r="H56" s="25">
        <f t="shared" si="3"/>
        <v>24.5</v>
      </c>
      <c r="I56" s="25">
        <f t="shared" si="4"/>
        <v>74.5</v>
      </c>
      <c r="J56" s="25">
        <f t="shared" si="5"/>
        <v>99</v>
      </c>
    </row>
    <row r="57" spans="1:10" x14ac:dyDescent="0.25">
      <c r="A57" s="31" t="s">
        <v>95</v>
      </c>
      <c r="B57" s="31">
        <v>1</v>
      </c>
      <c r="C57" s="32"/>
      <c r="D57" s="32"/>
      <c r="E57" s="32"/>
      <c r="F57" s="31"/>
      <c r="G57" s="32"/>
      <c r="H57" s="25">
        <f t="shared" si="3"/>
        <v>25.5</v>
      </c>
      <c r="I57" s="25">
        <f t="shared" si="4"/>
        <v>74.5</v>
      </c>
      <c r="J57" s="25">
        <f t="shared" si="5"/>
        <v>100</v>
      </c>
    </row>
    <row r="58" spans="1:10" x14ac:dyDescent="0.25">
      <c r="A58" s="31" t="s">
        <v>101</v>
      </c>
      <c r="B58" s="31"/>
      <c r="C58" s="32"/>
      <c r="D58" s="32"/>
      <c r="E58" s="32"/>
      <c r="F58" s="31">
        <v>5</v>
      </c>
      <c r="G58" s="32"/>
      <c r="H58" s="25">
        <f t="shared" si="3"/>
        <v>20.5</v>
      </c>
      <c r="I58" s="25">
        <f t="shared" si="4"/>
        <v>74.5</v>
      </c>
      <c r="J58" s="25">
        <f t="shared" si="5"/>
        <v>95</v>
      </c>
    </row>
    <row r="59" spans="1:10" x14ac:dyDescent="0.25">
      <c r="A59" s="31" t="s">
        <v>102</v>
      </c>
      <c r="B59" s="31"/>
      <c r="C59" s="32"/>
      <c r="D59" s="32"/>
      <c r="E59" s="32"/>
      <c r="F59" s="31"/>
      <c r="G59" s="31">
        <v>3</v>
      </c>
      <c r="H59" s="25">
        <f t="shared" si="3"/>
        <v>20.5</v>
      </c>
      <c r="I59" s="25">
        <f t="shared" si="4"/>
        <v>74.5</v>
      </c>
      <c r="J59" s="25">
        <f t="shared" si="5"/>
        <v>95</v>
      </c>
    </row>
    <row r="60" spans="1:10" x14ac:dyDescent="0.25">
      <c r="A60" s="31" t="s">
        <v>100</v>
      </c>
      <c r="B60" s="31">
        <v>7.5</v>
      </c>
      <c r="C60" s="31">
        <v>7.5</v>
      </c>
      <c r="D60" s="31"/>
      <c r="E60" s="32"/>
      <c r="F60" s="31"/>
      <c r="G60" s="32"/>
      <c r="H60" s="25">
        <f t="shared" si="3"/>
        <v>28</v>
      </c>
      <c r="I60" s="25">
        <f t="shared" si="4"/>
        <v>82</v>
      </c>
      <c r="J60" s="25">
        <f t="shared" si="5"/>
        <v>110</v>
      </c>
    </row>
    <row r="61" spans="1:10" x14ac:dyDescent="0.25">
      <c r="A61" s="31" t="s">
        <v>103</v>
      </c>
      <c r="B61" s="31"/>
      <c r="C61" s="32"/>
      <c r="D61" s="31">
        <v>10</v>
      </c>
      <c r="E61" s="32"/>
      <c r="F61" s="31"/>
      <c r="G61" s="32"/>
      <c r="H61" s="33">
        <f t="shared" si="3"/>
        <v>18</v>
      </c>
      <c r="I61" s="33">
        <f t="shared" si="4"/>
        <v>82</v>
      </c>
      <c r="J61" s="33">
        <f t="shared" si="5"/>
        <v>100</v>
      </c>
    </row>
    <row r="62" spans="1:10" x14ac:dyDescent="0.25">
      <c r="A62" s="31" t="s">
        <v>105</v>
      </c>
      <c r="B62" s="31">
        <v>6.25</v>
      </c>
      <c r="C62" s="31">
        <v>6.25</v>
      </c>
      <c r="D62" s="31"/>
      <c r="E62" s="31"/>
      <c r="F62" s="31"/>
      <c r="G62" s="31"/>
      <c r="H62" s="33">
        <f t="shared" ref="H62:H63" si="6">H61-F62-D62+B62</f>
        <v>24.25</v>
      </c>
      <c r="I62" s="33">
        <f t="shared" ref="I62:I63" si="7">I61-E62+C62</f>
        <v>88.25</v>
      </c>
      <c r="J62" s="33">
        <f t="shared" ref="J62:J63" si="8">SUM(H62:I62)</f>
        <v>112.5</v>
      </c>
    </row>
    <row r="63" spans="1:10" x14ac:dyDescent="0.25">
      <c r="A63" s="31" t="s">
        <v>106</v>
      </c>
      <c r="B63" s="31"/>
      <c r="C63" s="31"/>
      <c r="D63" s="31"/>
      <c r="E63" s="31">
        <v>2</v>
      </c>
      <c r="F63" s="31"/>
      <c r="G63" s="31"/>
      <c r="H63" s="33">
        <f t="shared" si="6"/>
        <v>24.25</v>
      </c>
      <c r="I63" s="33">
        <f t="shared" si="7"/>
        <v>86.25</v>
      </c>
      <c r="J63" s="33">
        <f t="shared" si="8"/>
        <v>110.5</v>
      </c>
    </row>
    <row r="64" spans="1:10" x14ac:dyDescent="0.25">
      <c r="A64" s="31" t="s">
        <v>107</v>
      </c>
      <c r="B64" s="31">
        <v>5</v>
      </c>
      <c r="C64" s="31">
        <v>5</v>
      </c>
      <c r="D64" s="31"/>
      <c r="E64" s="31"/>
      <c r="F64" s="31"/>
      <c r="G64" s="31"/>
      <c r="H64" s="33">
        <f t="shared" ref="H64:H65" si="9">H63-F64-D64+B64</f>
        <v>29.25</v>
      </c>
      <c r="I64" s="33">
        <f t="shared" ref="I64:I65" si="10">I63-E64+C64</f>
        <v>91.25</v>
      </c>
      <c r="J64" s="33">
        <f t="shared" ref="J64:J65" si="11">SUM(H64:I64)</f>
        <v>120.5</v>
      </c>
    </row>
    <row r="65" spans="1:10" x14ac:dyDescent="0.25">
      <c r="A65" s="31" t="s">
        <v>108</v>
      </c>
      <c r="B65" s="31"/>
      <c r="C65" s="31"/>
      <c r="D65" s="31"/>
      <c r="E65" s="31"/>
      <c r="F65" s="34">
        <v>1</v>
      </c>
      <c r="G65" s="31"/>
      <c r="H65" s="33">
        <f t="shared" si="9"/>
        <v>28.25</v>
      </c>
      <c r="I65" s="33">
        <f t="shared" si="10"/>
        <v>91.25</v>
      </c>
      <c r="J65" s="33">
        <f t="shared" si="11"/>
        <v>119.5</v>
      </c>
    </row>
    <row r="66" spans="1:10" x14ac:dyDescent="0.25">
      <c r="A66" s="31" t="s">
        <v>109</v>
      </c>
      <c r="B66" s="31"/>
      <c r="C66" s="31"/>
      <c r="D66" s="31"/>
      <c r="E66" s="31">
        <v>1</v>
      </c>
      <c r="F66" s="31"/>
      <c r="G66" s="31"/>
      <c r="H66" s="33">
        <f t="shared" ref="H66" si="12">H65-F66-D66+B66</f>
        <v>28.25</v>
      </c>
      <c r="I66" s="33">
        <f t="shared" ref="I66" si="13">I65-E66+C66</f>
        <v>90.25</v>
      </c>
      <c r="J66" s="33">
        <f t="shared" ref="J66" si="14">SUM(H66:I66)</f>
        <v>118.5</v>
      </c>
    </row>
    <row r="67" spans="1:10" x14ac:dyDescent="0.25">
      <c r="A67" s="31" t="s">
        <v>110</v>
      </c>
      <c r="B67" s="31">
        <v>2.5</v>
      </c>
      <c r="C67" s="31">
        <v>2.5</v>
      </c>
      <c r="D67" s="31"/>
      <c r="E67" s="31"/>
      <c r="F67" s="31"/>
      <c r="G67" s="31"/>
      <c r="H67" s="33">
        <f t="shared" ref="H67:H68" si="15">H66-F67-D67+B67</f>
        <v>30.75</v>
      </c>
      <c r="I67" s="33">
        <f t="shared" ref="I67:I68" si="16">I66-E67+C67</f>
        <v>92.75</v>
      </c>
      <c r="J67" s="33">
        <f t="shared" ref="J67:J68" si="17">SUM(H67:I67)</f>
        <v>123.5</v>
      </c>
    </row>
    <row r="68" spans="1:10" x14ac:dyDescent="0.25">
      <c r="A68" s="31" t="s">
        <v>111</v>
      </c>
      <c r="B68" s="31"/>
      <c r="C68" s="31"/>
      <c r="D68" s="31">
        <v>10</v>
      </c>
      <c r="E68" s="31"/>
      <c r="F68" s="31"/>
      <c r="G68" s="31"/>
      <c r="H68" s="33">
        <f t="shared" si="15"/>
        <v>20.75</v>
      </c>
      <c r="I68" s="33">
        <f t="shared" si="16"/>
        <v>92.75</v>
      </c>
      <c r="J68" s="33">
        <f t="shared" si="17"/>
        <v>113.5</v>
      </c>
    </row>
    <row r="69" spans="1:10" x14ac:dyDescent="0.25">
      <c r="A69" s="31" t="s">
        <v>118</v>
      </c>
      <c r="B69" s="31">
        <v>3.75</v>
      </c>
      <c r="C69" s="31">
        <v>3.75</v>
      </c>
      <c r="D69" s="31"/>
      <c r="E69" s="31"/>
      <c r="F69" s="31"/>
      <c r="G69" s="31"/>
      <c r="H69" s="33">
        <f t="shared" ref="H69" si="18">H68-F69-D69+B69</f>
        <v>24.5</v>
      </c>
      <c r="I69" s="33">
        <f t="shared" ref="I69" si="19">I68-E69+C69</f>
        <v>96.5</v>
      </c>
      <c r="J69" s="33">
        <f t="shared" ref="J69" si="20">SUM(H69:I69)</f>
        <v>121</v>
      </c>
    </row>
    <row r="70" spans="1:10" x14ac:dyDescent="0.25">
      <c r="C70" s="20"/>
      <c r="D70" s="20"/>
      <c r="E70" s="20"/>
      <c r="F70" s="20"/>
      <c r="G70" s="20"/>
      <c r="H70" s="35"/>
      <c r="I70" s="35"/>
      <c r="J70" s="35"/>
    </row>
    <row r="71" spans="1:10" s="1" customFormat="1" x14ac:dyDescent="0.25">
      <c r="B71" s="6"/>
      <c r="G71" s="6" t="s">
        <v>69</v>
      </c>
    </row>
    <row r="72" spans="1:10" s="1" customFormat="1" x14ac:dyDescent="0.25">
      <c r="B72" s="6"/>
      <c r="I72" s="6"/>
    </row>
    <row r="73" spans="1:10" s="1" customFormat="1" x14ac:dyDescent="0.25">
      <c r="B73" s="6"/>
      <c r="I73" s="24" t="s">
        <v>70</v>
      </c>
    </row>
    <row r="74" spans="1:10" s="1" customFormat="1" x14ac:dyDescent="0.25">
      <c r="B74" s="6"/>
      <c r="I74" s="6" t="s">
        <v>71</v>
      </c>
    </row>
    <row r="75" spans="1:10" s="1" customFormat="1" x14ac:dyDescent="0.25">
      <c r="B75" s="6"/>
      <c r="I75" s="6" t="s">
        <v>72</v>
      </c>
    </row>
  </sheetData>
  <mergeCells count="13">
    <mergeCell ref="B9:D9"/>
    <mergeCell ref="A10:J10"/>
    <mergeCell ref="A2:J2"/>
    <mergeCell ref="A3:J3"/>
    <mergeCell ref="A4:J4"/>
    <mergeCell ref="A5:J5"/>
    <mergeCell ref="B7:D7"/>
    <mergeCell ref="A13:J13"/>
    <mergeCell ref="H11:I11"/>
    <mergeCell ref="A11:A12"/>
    <mergeCell ref="J11:J12"/>
    <mergeCell ref="D11:G11"/>
    <mergeCell ref="B11:C11"/>
  </mergeCells>
  <printOptions horizontalCentered="1"/>
  <pageMargins left="0.25" right="0.25" top="0.25" bottom="0.25" header="0.3" footer="0.3"/>
  <pageSetup paperSize="9" scale="68" fitToHeight="0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62599-6FDC-4FAE-A64A-FEA94976FC5A}">
  <sheetPr>
    <pageSetUpPr fitToPage="1"/>
  </sheetPr>
  <dimension ref="A1:K37"/>
  <sheetViews>
    <sheetView view="pageBreakPreview" zoomScale="104" zoomScaleNormal="100" zoomScaleSheetLayoutView="104" workbookViewId="0">
      <selection activeCell="A35" sqref="A35:XFD35"/>
    </sheetView>
  </sheetViews>
  <sheetFormatPr defaultRowHeight="15" x14ac:dyDescent="0.25"/>
  <cols>
    <col min="1" max="1" width="30.5703125" customWidth="1"/>
    <col min="2" max="2" width="22.28515625" customWidth="1"/>
    <col min="3" max="3" width="12.85546875" customWidth="1"/>
    <col min="4" max="4" width="7.5703125" hidden="1" customWidth="1"/>
    <col min="5" max="10" width="8.140625" customWidth="1"/>
  </cols>
  <sheetData>
    <row r="1" spans="1:11" s="1" customFormat="1" ht="12.75" customHeight="1" x14ac:dyDescent="0.25">
      <c r="C1" s="5"/>
      <c r="D1" s="7"/>
      <c r="G1" s="6"/>
    </row>
    <row r="2" spans="1:11" s="1" customFormat="1" ht="12.75" customHeight="1" x14ac:dyDescent="0.25">
      <c r="C2" s="5"/>
      <c r="D2" s="7"/>
      <c r="G2" s="6"/>
    </row>
    <row r="3" spans="1:11" s="1" customFormat="1" ht="20.25" customHeight="1" x14ac:dyDescent="0.25">
      <c r="C3" s="5"/>
      <c r="D3" s="7"/>
      <c r="G3" s="6"/>
    </row>
    <row r="4" spans="1:11" s="1" customFormat="1" ht="12.75" customHeight="1" x14ac:dyDescent="0.25">
      <c r="A4" s="51" t="s">
        <v>24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 ht="12.75" customHeight="1" x14ac:dyDescent="0.25">
      <c r="A5" s="51" t="s">
        <v>25</v>
      </c>
      <c r="B5" s="51"/>
      <c r="C5" s="51"/>
      <c r="D5" s="51"/>
      <c r="E5" s="51"/>
      <c r="F5" s="51"/>
      <c r="G5" s="51"/>
      <c r="H5" s="51"/>
      <c r="I5" s="51"/>
      <c r="J5" s="51"/>
      <c r="K5" s="51"/>
    </row>
    <row r="6" spans="1:11" s="1" customFormat="1" ht="12.75" customHeight="1" x14ac:dyDescent="0.25">
      <c r="A6" s="51" t="s">
        <v>26</v>
      </c>
      <c r="B6" s="51"/>
      <c r="C6" s="51"/>
      <c r="D6" s="51"/>
      <c r="E6" s="51"/>
      <c r="F6" s="51"/>
      <c r="G6" s="51"/>
      <c r="H6" s="51"/>
      <c r="I6" s="51"/>
      <c r="J6" s="51"/>
      <c r="K6" s="51"/>
    </row>
    <row r="7" spans="1:11" s="1" customFormat="1" ht="12.75" customHeight="1" x14ac:dyDescent="0.25">
      <c r="A7" s="51" t="s">
        <v>27</v>
      </c>
      <c r="B7" s="51"/>
      <c r="C7" s="51"/>
      <c r="D7" s="51"/>
      <c r="E7" s="51"/>
      <c r="F7" s="51"/>
      <c r="G7" s="51"/>
      <c r="H7" s="51"/>
      <c r="I7" s="51"/>
      <c r="J7" s="51"/>
      <c r="K7" s="51"/>
    </row>
    <row r="8" spans="1:11" s="1" customFormat="1" ht="12.75" customHeight="1" x14ac:dyDescent="0.25">
      <c r="C8" s="6"/>
      <c r="G8" s="6"/>
    </row>
    <row r="9" spans="1:11" s="1" customFormat="1" ht="12.75" customHeight="1" x14ac:dyDescent="0.25">
      <c r="C9" s="6"/>
      <c r="G9" s="6"/>
    </row>
    <row r="10" spans="1:11" s="1" customFormat="1" ht="12" customHeight="1" x14ac:dyDescent="0.25">
      <c r="A10" s="3" t="s">
        <v>28</v>
      </c>
      <c r="B10" s="3"/>
      <c r="C10" s="49" t="s">
        <v>29</v>
      </c>
      <c r="D10" s="49"/>
      <c r="E10" s="49"/>
      <c r="F10" s="49"/>
      <c r="H10" s="49" t="s">
        <v>30</v>
      </c>
      <c r="I10" s="49"/>
      <c r="J10" s="49"/>
      <c r="K10" s="3"/>
    </row>
    <row r="11" spans="1:11" s="1" customFormat="1" ht="12" customHeight="1" x14ac:dyDescent="0.25">
      <c r="B11" s="2"/>
      <c r="C11" s="49" t="s">
        <v>31</v>
      </c>
      <c r="D11" s="49"/>
      <c r="E11" s="49"/>
      <c r="F11" s="49"/>
      <c r="H11" s="54" t="s">
        <v>32</v>
      </c>
      <c r="I11" s="54"/>
      <c r="J11" s="54"/>
      <c r="K11" s="2"/>
    </row>
    <row r="12" spans="1:11" s="1" customFormat="1" ht="12" customHeight="1" x14ac:dyDescent="0.25">
      <c r="A12" s="3" t="s">
        <v>33</v>
      </c>
      <c r="B12" s="3"/>
      <c r="C12" s="8"/>
      <c r="D12" s="2"/>
      <c r="H12" s="49" t="s">
        <v>34</v>
      </c>
      <c r="I12" s="49"/>
      <c r="J12" s="49"/>
      <c r="K12" s="3"/>
    </row>
    <row r="13" spans="1:11" ht="16.5" customHeight="1" thickBot="1" x14ac:dyDescent="0.3">
      <c r="A13" s="50" t="s">
        <v>35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</row>
    <row r="14" spans="1:11" s="9" customFormat="1" ht="18.75" customHeight="1" x14ac:dyDescent="0.2">
      <c r="A14" s="55" t="s">
        <v>4</v>
      </c>
      <c r="B14" s="57" t="s">
        <v>5</v>
      </c>
      <c r="C14" s="58"/>
      <c r="D14" s="58"/>
      <c r="E14" s="58"/>
      <c r="F14" s="58"/>
      <c r="G14" s="58"/>
      <c r="H14" s="58"/>
      <c r="I14" s="58"/>
      <c r="J14" s="58"/>
      <c r="K14" s="59" t="s">
        <v>8</v>
      </c>
    </row>
    <row r="15" spans="1:11" s="9" customFormat="1" ht="24" customHeight="1" x14ac:dyDescent="0.2">
      <c r="A15" s="56"/>
      <c r="B15" s="61" t="s">
        <v>36</v>
      </c>
      <c r="C15" s="62"/>
      <c r="D15" s="62"/>
      <c r="E15" s="61" t="s">
        <v>37</v>
      </c>
      <c r="F15" s="63"/>
      <c r="G15" s="61" t="s">
        <v>38</v>
      </c>
      <c r="H15" s="63"/>
      <c r="I15" s="61" t="s">
        <v>39</v>
      </c>
      <c r="J15" s="63"/>
      <c r="K15" s="60"/>
    </row>
    <row r="16" spans="1:11" s="9" customFormat="1" ht="33.75" hidden="1" customHeight="1" x14ac:dyDescent="0.2">
      <c r="A16" s="10" t="s">
        <v>40</v>
      </c>
      <c r="B16" s="66" t="s">
        <v>41</v>
      </c>
      <c r="C16" s="67"/>
      <c r="D16" s="67"/>
      <c r="E16" s="64">
        <v>15</v>
      </c>
      <c r="F16" s="65"/>
      <c r="G16" s="64">
        <v>0</v>
      </c>
      <c r="H16" s="65"/>
      <c r="I16" s="64">
        <v>15</v>
      </c>
      <c r="J16" s="65"/>
      <c r="K16" s="11">
        <v>15</v>
      </c>
    </row>
    <row r="17" spans="1:11" s="13" customFormat="1" ht="20.100000000000001" hidden="1" customHeight="1" x14ac:dyDescent="0.2">
      <c r="A17" s="12" t="s">
        <v>42</v>
      </c>
      <c r="B17" s="66" t="s">
        <v>41</v>
      </c>
      <c r="C17" s="67"/>
      <c r="D17" s="67"/>
      <c r="E17" s="64"/>
      <c r="F17" s="65"/>
      <c r="G17" s="64">
        <v>2</v>
      </c>
      <c r="H17" s="65"/>
      <c r="I17" s="64">
        <v>13</v>
      </c>
      <c r="J17" s="65"/>
      <c r="K17" s="11">
        <v>13</v>
      </c>
    </row>
    <row r="18" spans="1:11" s="13" customFormat="1" ht="20.100000000000001" hidden="1" customHeight="1" x14ac:dyDescent="0.2">
      <c r="A18" s="12" t="s">
        <v>43</v>
      </c>
      <c r="B18" s="66" t="s">
        <v>41</v>
      </c>
      <c r="C18" s="67"/>
      <c r="D18" s="67"/>
      <c r="E18" s="64"/>
      <c r="F18" s="65"/>
      <c r="G18" s="64">
        <v>1</v>
      </c>
      <c r="H18" s="65"/>
      <c r="I18" s="64">
        <v>12</v>
      </c>
      <c r="J18" s="65"/>
      <c r="K18" s="11">
        <f>I18</f>
        <v>12</v>
      </c>
    </row>
    <row r="19" spans="1:11" s="13" customFormat="1" ht="20.100000000000001" hidden="1" customHeight="1" x14ac:dyDescent="0.2">
      <c r="A19" s="12" t="s">
        <v>45</v>
      </c>
      <c r="B19" s="66" t="s">
        <v>41</v>
      </c>
      <c r="C19" s="67"/>
      <c r="D19" s="67"/>
      <c r="E19" s="64"/>
      <c r="F19" s="65"/>
      <c r="G19" s="64">
        <v>2</v>
      </c>
      <c r="H19" s="65"/>
      <c r="I19" s="64">
        <v>10</v>
      </c>
      <c r="J19" s="65"/>
      <c r="K19" s="11">
        <v>10</v>
      </c>
    </row>
    <row r="20" spans="1:11" s="13" customFormat="1" ht="20.100000000000001" hidden="1" customHeight="1" x14ac:dyDescent="0.2">
      <c r="A20" s="16" t="s">
        <v>47</v>
      </c>
      <c r="B20" s="66" t="s">
        <v>41</v>
      </c>
      <c r="C20" s="67"/>
      <c r="D20" s="67"/>
      <c r="E20" s="68"/>
      <c r="F20" s="68"/>
      <c r="G20" s="68">
        <v>1</v>
      </c>
      <c r="H20" s="68"/>
      <c r="I20" s="68">
        <v>9</v>
      </c>
      <c r="J20" s="68"/>
      <c r="K20" s="17">
        <v>9</v>
      </c>
    </row>
    <row r="21" spans="1:11" s="13" customFormat="1" ht="20.100000000000001" hidden="1" customHeight="1" x14ac:dyDescent="0.2">
      <c r="A21" s="16" t="s">
        <v>50</v>
      </c>
      <c r="B21" s="66" t="s">
        <v>41</v>
      </c>
      <c r="C21" s="67"/>
      <c r="D21" s="67"/>
      <c r="E21" s="68"/>
      <c r="F21" s="68"/>
      <c r="G21" s="68">
        <v>3</v>
      </c>
      <c r="H21" s="68"/>
      <c r="I21" s="68">
        <v>6</v>
      </c>
      <c r="J21" s="68"/>
      <c r="K21" s="16">
        <v>6</v>
      </c>
    </row>
    <row r="22" spans="1:11" s="13" customFormat="1" ht="20.100000000000001" hidden="1" customHeight="1" x14ac:dyDescent="0.2">
      <c r="A22" s="16" t="s">
        <v>51</v>
      </c>
      <c r="B22" s="66" t="s">
        <v>41</v>
      </c>
      <c r="C22" s="67"/>
      <c r="D22" s="67"/>
      <c r="E22" s="68"/>
      <c r="F22" s="68"/>
      <c r="G22" s="68">
        <v>1</v>
      </c>
      <c r="H22" s="68"/>
      <c r="I22" s="68">
        <v>5</v>
      </c>
      <c r="J22" s="68"/>
      <c r="K22" s="16">
        <v>5</v>
      </c>
    </row>
    <row r="23" spans="1:11" s="13" customFormat="1" ht="20.100000000000001" hidden="1" customHeight="1" x14ac:dyDescent="0.2">
      <c r="A23" s="16" t="s">
        <v>65</v>
      </c>
      <c r="B23" s="66" t="s">
        <v>41</v>
      </c>
      <c r="C23" s="67"/>
      <c r="D23" s="67"/>
      <c r="E23" s="68"/>
      <c r="F23" s="68"/>
      <c r="G23" s="68">
        <v>1</v>
      </c>
      <c r="H23" s="68"/>
      <c r="I23" s="68">
        <v>4</v>
      </c>
      <c r="J23" s="68"/>
      <c r="K23" s="16">
        <v>4</v>
      </c>
    </row>
    <row r="24" spans="1:11" s="13" customFormat="1" ht="20.100000000000001" hidden="1" customHeight="1" x14ac:dyDescent="0.2">
      <c r="A24" s="16" t="s">
        <v>68</v>
      </c>
      <c r="B24" s="66" t="s">
        <v>41</v>
      </c>
      <c r="C24" s="67"/>
      <c r="D24" s="67"/>
      <c r="E24" s="68"/>
      <c r="F24" s="68"/>
      <c r="G24" s="68">
        <v>3</v>
      </c>
      <c r="H24" s="68"/>
      <c r="I24" s="68">
        <v>1</v>
      </c>
      <c r="J24" s="68"/>
      <c r="K24" s="21">
        <v>1</v>
      </c>
    </row>
    <row r="25" spans="1:11" s="13" customFormat="1" ht="22.5" hidden="1" customHeight="1" x14ac:dyDescent="0.2">
      <c r="A25" s="16" t="s">
        <v>85</v>
      </c>
      <c r="B25" s="66" t="s">
        <v>87</v>
      </c>
      <c r="C25" s="67"/>
      <c r="D25" s="67"/>
      <c r="E25" s="64">
        <v>2</v>
      </c>
      <c r="F25" s="65"/>
      <c r="G25" s="64">
        <v>0</v>
      </c>
      <c r="H25" s="65"/>
      <c r="I25" s="64">
        <v>2</v>
      </c>
      <c r="J25" s="65"/>
      <c r="K25" s="16">
        <v>2</v>
      </c>
    </row>
    <row r="26" spans="1:11" s="13" customFormat="1" ht="22.5" hidden="1" customHeight="1" x14ac:dyDescent="0.2">
      <c r="A26" s="16" t="s">
        <v>86</v>
      </c>
      <c r="B26" s="66"/>
      <c r="C26" s="67"/>
      <c r="D26" s="67"/>
      <c r="E26" s="64"/>
      <c r="F26" s="65"/>
      <c r="G26" s="64">
        <v>2</v>
      </c>
      <c r="H26" s="65"/>
      <c r="I26" s="64">
        <v>0</v>
      </c>
      <c r="J26" s="65"/>
      <c r="K26" s="21">
        <v>0</v>
      </c>
    </row>
    <row r="27" spans="1:11" s="13" customFormat="1" ht="22.5" hidden="1" customHeight="1" x14ac:dyDescent="0.2">
      <c r="A27" s="16" t="s">
        <v>89</v>
      </c>
      <c r="B27" s="66" t="s">
        <v>88</v>
      </c>
      <c r="C27" s="67"/>
      <c r="D27" s="67"/>
      <c r="E27" s="64">
        <v>3</v>
      </c>
      <c r="F27" s="65"/>
      <c r="G27" s="64">
        <v>0</v>
      </c>
      <c r="H27" s="65"/>
      <c r="I27" s="64">
        <v>3</v>
      </c>
      <c r="J27" s="65"/>
      <c r="K27" s="16">
        <v>3</v>
      </c>
    </row>
    <row r="28" spans="1:11" s="13" customFormat="1" ht="22.5" hidden="1" customHeight="1" x14ac:dyDescent="0.2">
      <c r="A28" s="16" t="s">
        <v>84</v>
      </c>
      <c r="B28" s="66"/>
      <c r="C28" s="67"/>
      <c r="D28" s="67"/>
      <c r="E28" s="64"/>
      <c r="F28" s="65"/>
      <c r="G28" s="64">
        <v>1</v>
      </c>
      <c r="H28" s="65"/>
      <c r="I28" s="64">
        <v>2</v>
      </c>
      <c r="J28" s="65"/>
      <c r="K28" s="22">
        <v>2</v>
      </c>
    </row>
    <row r="29" spans="1:11" s="13" customFormat="1" ht="22.5" hidden="1" customHeight="1" x14ac:dyDescent="0.2">
      <c r="A29" s="16" t="s">
        <v>99</v>
      </c>
      <c r="B29" s="66"/>
      <c r="C29" s="67"/>
      <c r="D29" s="67"/>
      <c r="E29" s="64"/>
      <c r="F29" s="65"/>
      <c r="G29" s="64">
        <v>2</v>
      </c>
      <c r="H29" s="65"/>
      <c r="I29" s="64">
        <f>I28-G29</f>
        <v>0</v>
      </c>
      <c r="J29" s="65"/>
      <c r="K29" s="21">
        <f>I29</f>
        <v>0</v>
      </c>
    </row>
    <row r="30" spans="1:11" s="13" customFormat="1" ht="22.5" hidden="1" customHeight="1" x14ac:dyDescent="0.2">
      <c r="A30" s="16" t="s">
        <v>96</v>
      </c>
      <c r="B30" s="66" t="s">
        <v>97</v>
      </c>
      <c r="C30" s="67"/>
      <c r="D30" s="67"/>
      <c r="E30" s="64">
        <v>1</v>
      </c>
      <c r="F30" s="65"/>
      <c r="G30" s="64">
        <v>0</v>
      </c>
      <c r="H30" s="65"/>
      <c r="I30" s="64">
        <v>1</v>
      </c>
      <c r="J30" s="65"/>
      <c r="K30" s="22">
        <v>1</v>
      </c>
    </row>
    <row r="31" spans="1:11" s="13" customFormat="1" ht="22.5" hidden="1" customHeight="1" x14ac:dyDescent="0.2">
      <c r="A31" s="16" t="s">
        <v>98</v>
      </c>
      <c r="B31" s="70"/>
      <c r="C31" s="71"/>
      <c r="D31" s="71"/>
      <c r="E31" s="52"/>
      <c r="F31" s="53"/>
      <c r="G31" s="52">
        <v>1</v>
      </c>
      <c r="H31" s="53"/>
      <c r="I31" s="52">
        <v>0</v>
      </c>
      <c r="J31" s="53"/>
      <c r="K31" s="21">
        <v>0</v>
      </c>
    </row>
    <row r="32" spans="1:11" s="13" customFormat="1" ht="22.5" customHeight="1" x14ac:dyDescent="0.2">
      <c r="A32" s="16" t="s">
        <v>112</v>
      </c>
      <c r="B32" s="70" t="s">
        <v>113</v>
      </c>
      <c r="C32" s="71"/>
      <c r="D32" s="71"/>
      <c r="E32" s="52">
        <v>3</v>
      </c>
      <c r="F32" s="53"/>
      <c r="G32" s="52">
        <v>0</v>
      </c>
      <c r="H32" s="53"/>
      <c r="I32" s="52">
        <v>3</v>
      </c>
      <c r="J32" s="53"/>
      <c r="K32" s="22">
        <v>3</v>
      </c>
    </row>
    <row r="33" spans="1:11" s="13" customFormat="1" ht="22.5" customHeight="1" x14ac:dyDescent="0.2">
      <c r="A33" s="16" t="s">
        <v>114</v>
      </c>
      <c r="B33" s="70" t="s">
        <v>113</v>
      </c>
      <c r="C33" s="71"/>
      <c r="D33" s="71"/>
      <c r="E33" s="52"/>
      <c r="F33" s="53"/>
      <c r="G33" s="52">
        <v>0.5</v>
      </c>
      <c r="H33" s="53"/>
      <c r="I33" s="52">
        <v>2.5</v>
      </c>
      <c r="J33" s="53"/>
      <c r="K33" s="22">
        <v>2.5</v>
      </c>
    </row>
    <row r="34" spans="1:11" s="13" customFormat="1" ht="22.5" customHeight="1" x14ac:dyDescent="0.2">
      <c r="A34" s="16" t="s">
        <v>115</v>
      </c>
      <c r="B34" s="70" t="s">
        <v>113</v>
      </c>
      <c r="C34" s="71"/>
      <c r="D34" s="71"/>
      <c r="E34" s="52"/>
      <c r="F34" s="53"/>
      <c r="G34" s="52">
        <v>0.5</v>
      </c>
      <c r="H34" s="53"/>
      <c r="I34" s="52">
        <v>2</v>
      </c>
      <c r="J34" s="53"/>
      <c r="K34" s="22">
        <v>2</v>
      </c>
    </row>
    <row r="35" spans="1:11" s="13" customFormat="1" ht="22.5" customHeight="1" x14ac:dyDescent="0.2">
      <c r="A35" s="16" t="s">
        <v>117</v>
      </c>
      <c r="B35" s="70" t="s">
        <v>113</v>
      </c>
      <c r="C35" s="71"/>
      <c r="D35" s="71"/>
      <c r="E35" s="52"/>
      <c r="F35" s="53"/>
      <c r="G35" s="52">
        <v>1</v>
      </c>
      <c r="H35" s="53"/>
      <c r="I35" s="52">
        <v>1</v>
      </c>
      <c r="J35" s="53"/>
      <c r="K35" s="22">
        <v>1</v>
      </c>
    </row>
    <row r="36" spans="1:11" s="13" customFormat="1" x14ac:dyDescent="0.2">
      <c r="A36" s="14" t="s">
        <v>44</v>
      </c>
      <c r="B36" s="15"/>
      <c r="C36" s="15"/>
      <c r="D36" s="15"/>
      <c r="E36" s="15"/>
      <c r="F36" s="15"/>
      <c r="G36" s="15"/>
      <c r="H36" s="15"/>
      <c r="I36" s="15"/>
      <c r="J36" s="15"/>
      <c r="K36" s="23"/>
    </row>
    <row r="37" spans="1:11" ht="90" customHeight="1" x14ac:dyDescent="0.25">
      <c r="A37" s="69" t="s">
        <v>116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</row>
  </sheetData>
  <mergeCells count="98">
    <mergeCell ref="I32:J32"/>
    <mergeCell ref="B33:D33"/>
    <mergeCell ref="E33:F33"/>
    <mergeCell ref="G33:H33"/>
    <mergeCell ref="B35:D35"/>
    <mergeCell ref="E35:F35"/>
    <mergeCell ref="G35:H35"/>
    <mergeCell ref="I35:J35"/>
    <mergeCell ref="B28:D28"/>
    <mergeCell ref="E28:F28"/>
    <mergeCell ref="G28:H28"/>
    <mergeCell ref="I28:J28"/>
    <mergeCell ref="A37:K37"/>
    <mergeCell ref="B31:D31"/>
    <mergeCell ref="E31:F31"/>
    <mergeCell ref="G31:H31"/>
    <mergeCell ref="I31:J31"/>
    <mergeCell ref="B32:D32"/>
    <mergeCell ref="E32:F32"/>
    <mergeCell ref="G32:H32"/>
    <mergeCell ref="B34:D34"/>
    <mergeCell ref="E34:F34"/>
    <mergeCell ref="G34:H34"/>
    <mergeCell ref="I34:J34"/>
    <mergeCell ref="B30:D30"/>
    <mergeCell ref="E30:F30"/>
    <mergeCell ref="G30:H30"/>
    <mergeCell ref="I30:J30"/>
    <mergeCell ref="B26:D26"/>
    <mergeCell ref="E26:F26"/>
    <mergeCell ref="G26:H26"/>
    <mergeCell ref="I26:J26"/>
    <mergeCell ref="B27:D27"/>
    <mergeCell ref="E27:F27"/>
    <mergeCell ref="G27:H27"/>
    <mergeCell ref="I27:J27"/>
    <mergeCell ref="B29:D29"/>
    <mergeCell ref="E29:F29"/>
    <mergeCell ref="G29:H29"/>
    <mergeCell ref="I29:J29"/>
    <mergeCell ref="B24:D24"/>
    <mergeCell ref="E24:F24"/>
    <mergeCell ref="G24:H24"/>
    <mergeCell ref="I24:J24"/>
    <mergeCell ref="B25:D25"/>
    <mergeCell ref="E25:F25"/>
    <mergeCell ref="G25:H25"/>
    <mergeCell ref="I25:J25"/>
    <mergeCell ref="B22:D22"/>
    <mergeCell ref="E22:F22"/>
    <mergeCell ref="G22:H22"/>
    <mergeCell ref="I22:J22"/>
    <mergeCell ref="B23:D23"/>
    <mergeCell ref="E23:F23"/>
    <mergeCell ref="G23:H23"/>
    <mergeCell ref="I23:J23"/>
    <mergeCell ref="B20:D20"/>
    <mergeCell ref="E20:F20"/>
    <mergeCell ref="G20:H20"/>
    <mergeCell ref="I20:J20"/>
    <mergeCell ref="B21:D21"/>
    <mergeCell ref="E21:F21"/>
    <mergeCell ref="G21:H21"/>
    <mergeCell ref="I21:J21"/>
    <mergeCell ref="B16:D16"/>
    <mergeCell ref="B19:D19"/>
    <mergeCell ref="E19:F19"/>
    <mergeCell ref="G19:H19"/>
    <mergeCell ref="I19:J19"/>
    <mergeCell ref="B18:D18"/>
    <mergeCell ref="E18:F18"/>
    <mergeCell ref="G18:H18"/>
    <mergeCell ref="I18:J18"/>
    <mergeCell ref="B17:D17"/>
    <mergeCell ref="E17:F17"/>
    <mergeCell ref="G17:H17"/>
    <mergeCell ref="I17:J17"/>
    <mergeCell ref="G15:H15"/>
    <mergeCell ref="I15:J15"/>
    <mergeCell ref="E16:F16"/>
    <mergeCell ref="G16:H16"/>
    <mergeCell ref="I16:J16"/>
    <mergeCell ref="I33:J33"/>
    <mergeCell ref="A4:K4"/>
    <mergeCell ref="A5:K5"/>
    <mergeCell ref="A6:K6"/>
    <mergeCell ref="A7:K7"/>
    <mergeCell ref="C10:F10"/>
    <mergeCell ref="H10:J10"/>
    <mergeCell ref="C11:F11"/>
    <mergeCell ref="H11:J11"/>
    <mergeCell ref="H12:J12"/>
    <mergeCell ref="A13:K13"/>
    <mergeCell ref="A14:A15"/>
    <mergeCell ref="B14:J14"/>
    <mergeCell ref="K14:K15"/>
    <mergeCell ref="B15:D15"/>
    <mergeCell ref="E15:F15"/>
  </mergeCells>
  <phoneticPr fontId="10" type="noConversion"/>
  <pageMargins left="0.25" right="0.25" top="0.75" bottom="0.75" header="0.3" footer="0.3"/>
  <pageSetup paperSize="9" scale="8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 CORRECTED</vt:lpstr>
      <vt:lpstr>'CTO CORRECTED'!Print_Area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2025-10-24T02:45:44Z</cp:lastPrinted>
  <dcterms:created xsi:type="dcterms:W3CDTF">2021-10-07T06:10:16Z</dcterms:created>
  <dcterms:modified xsi:type="dcterms:W3CDTF">2025-10-24T02:47:34Z</dcterms:modified>
</cp:coreProperties>
</file>