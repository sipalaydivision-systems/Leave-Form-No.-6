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9149659E-60D7-4A95-8BD1-E604C7662F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 CORRECTED" sheetId="9" r:id="rId1"/>
    <sheet name="CTO" sheetId="8" r:id="rId2"/>
    <sheet name="Leave Card (NE)" sheetId="6" r:id="rId3"/>
  </sheets>
  <definedNames>
    <definedName name="_xlnm.Print_Area" localSheetId="2">'Leave Card (NE)'!$A$1:$K$49</definedName>
    <definedName name="_xlnm.Print_Area" localSheetId="0">'Leave Card (NE) CORRECTED'!$A$1:$K$80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9" l="1"/>
  <c r="J72" i="9"/>
  <c r="K72" i="9"/>
  <c r="K13" i="9"/>
  <c r="J14" i="9"/>
  <c r="J15" i="9" s="1"/>
  <c r="J16" i="9" s="1"/>
  <c r="J17" i="9" s="1"/>
  <c r="J18" i="9" s="1"/>
  <c r="J19" i="9" s="1"/>
  <c r="J20" i="9" s="1"/>
  <c r="I14" i="6"/>
  <c r="I15" i="6" s="1"/>
  <c r="I16" i="6" s="1"/>
  <c r="I18" i="6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J11" i="6"/>
  <c r="I11" i="6"/>
  <c r="I12" i="6" s="1"/>
  <c r="J21" i="9" l="1"/>
  <c r="K21" i="9" s="1"/>
  <c r="I14" i="9"/>
  <c r="I15" i="9" s="1"/>
  <c r="K15" i="9" s="1"/>
  <c r="J14" i="8"/>
  <c r="L14" i="8" s="1"/>
  <c r="J22" i="9" l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0" i="9" s="1"/>
  <c r="J41" i="9" s="1"/>
  <c r="J42" i="9" s="1"/>
  <c r="J43" i="9" s="1"/>
  <c r="J44" i="9" s="1"/>
  <c r="J45" i="9" s="1"/>
  <c r="J46" i="9" s="1"/>
  <c r="J47" i="9" s="1"/>
  <c r="J48" i="9" s="1"/>
  <c r="J49" i="9" s="1"/>
  <c r="J50" i="9" s="1"/>
  <c r="J51" i="9" s="1"/>
  <c r="J52" i="9" s="1"/>
  <c r="J53" i="9" s="1"/>
  <c r="J54" i="9" s="1"/>
  <c r="J55" i="9" s="1"/>
  <c r="J56" i="9" s="1"/>
  <c r="J57" i="9" s="1"/>
  <c r="J58" i="9" s="1"/>
  <c r="J59" i="9" s="1"/>
  <c r="J60" i="9" s="1"/>
  <c r="J61" i="9" s="1"/>
  <c r="J62" i="9" s="1"/>
  <c r="J63" i="9" s="1"/>
  <c r="J64" i="9" s="1"/>
  <c r="J65" i="9" s="1"/>
  <c r="J66" i="9" s="1"/>
  <c r="J67" i="9" s="1"/>
  <c r="J68" i="9" s="1"/>
  <c r="J69" i="9" s="1"/>
  <c r="J70" i="9" s="1"/>
  <c r="J71" i="9" s="1"/>
  <c r="I16" i="9"/>
  <c r="I17" i="9" s="1"/>
  <c r="K14" i="9"/>
  <c r="J12" i="6"/>
  <c r="J13" i="6" s="1"/>
  <c r="K11" i="6"/>
  <c r="K10" i="6"/>
  <c r="K16" i="9" l="1"/>
  <c r="K17" i="9"/>
  <c r="I18" i="9"/>
  <c r="K12" i="6"/>
  <c r="J14" i="6"/>
  <c r="J15" i="6" s="1"/>
  <c r="J16" i="6" s="1"/>
  <c r="J17" i="6" s="1"/>
  <c r="K13" i="6"/>
  <c r="I19" i="9" l="1"/>
  <c r="K18" i="9"/>
  <c r="K14" i="6"/>
  <c r="K16" i="6"/>
  <c r="K15" i="6"/>
  <c r="J18" i="6"/>
  <c r="K17" i="6"/>
  <c r="K19" i="9" l="1"/>
  <c r="I20" i="9"/>
  <c r="J19" i="6"/>
  <c r="K18" i="6"/>
  <c r="K20" i="9" l="1"/>
  <c r="J20" i="6"/>
  <c r="K19" i="6"/>
  <c r="I22" i="9" l="1"/>
  <c r="J21" i="6"/>
  <c r="K20" i="6"/>
  <c r="I23" i="9" l="1"/>
  <c r="K22" i="9"/>
  <c r="J22" i="6"/>
  <c r="K21" i="6"/>
  <c r="K23" i="9" l="1"/>
  <c r="I24" i="9"/>
  <c r="K22" i="6"/>
  <c r="J23" i="6"/>
  <c r="I25" i="9" l="1"/>
  <c r="K24" i="9"/>
  <c r="J24" i="6"/>
  <c r="K23" i="6"/>
  <c r="K25" i="9" l="1"/>
  <c r="I26" i="9"/>
  <c r="J25" i="6"/>
  <c r="K24" i="6"/>
  <c r="I27" i="9" l="1"/>
  <c r="K26" i="9"/>
  <c r="J26" i="6"/>
  <c r="J27" i="6" s="1"/>
  <c r="K25" i="6"/>
  <c r="K27" i="9" l="1"/>
  <c r="I28" i="9"/>
  <c r="K27" i="6"/>
  <c r="J28" i="6"/>
  <c r="J29" i="6" s="1"/>
  <c r="K26" i="6"/>
  <c r="I29" i="9" l="1"/>
  <c r="K28" i="9"/>
  <c r="K28" i="6"/>
  <c r="J30" i="6"/>
  <c r="K29" i="6"/>
  <c r="K29" i="9" l="1"/>
  <c r="I30" i="9"/>
  <c r="J31" i="6"/>
  <c r="K30" i="6"/>
  <c r="I31" i="9" l="1"/>
  <c r="K30" i="9"/>
  <c r="J32" i="6"/>
  <c r="K31" i="6"/>
  <c r="K31" i="9" l="1"/>
  <c r="I32" i="9"/>
  <c r="J33" i="6"/>
  <c r="K32" i="6"/>
  <c r="I33" i="9" l="1"/>
  <c r="K32" i="9"/>
  <c r="K33" i="6"/>
  <c r="J34" i="6"/>
  <c r="K33" i="9" l="1"/>
  <c r="I34" i="9"/>
  <c r="K34" i="6"/>
  <c r="J35" i="6"/>
  <c r="I35" i="9" l="1"/>
  <c r="K34" i="9"/>
  <c r="J36" i="6"/>
  <c r="K35" i="6"/>
  <c r="K35" i="9" l="1"/>
  <c r="I36" i="9"/>
  <c r="J37" i="6"/>
  <c r="K36" i="6"/>
  <c r="I37" i="9" l="1"/>
  <c r="K36" i="9"/>
  <c r="K37" i="6"/>
  <c r="J38" i="6"/>
  <c r="K37" i="9" l="1"/>
  <c r="I38" i="9"/>
  <c r="J39" i="6"/>
  <c r="K38" i="6"/>
  <c r="K38" i="9" l="1"/>
  <c r="J40" i="6"/>
  <c r="K39" i="6"/>
  <c r="K39" i="9" l="1"/>
  <c r="J41" i="6"/>
  <c r="K41" i="6" s="1"/>
  <c r="K40" i="6"/>
  <c r="K40" i="9" l="1"/>
  <c r="K41" i="9" l="1"/>
  <c r="I42" i="9"/>
  <c r="I43" i="9" l="1"/>
  <c r="K42" i="9"/>
  <c r="K43" i="9" l="1"/>
  <c r="I44" i="9"/>
  <c r="I45" i="9" l="1"/>
  <c r="K44" i="9"/>
  <c r="K45" i="9" l="1"/>
  <c r="I46" i="9"/>
  <c r="I47" i="9" s="1"/>
  <c r="K47" i="9" l="1"/>
  <c r="I48" i="9"/>
  <c r="K46" i="9"/>
  <c r="K48" i="9" l="1"/>
  <c r="I49" i="9"/>
  <c r="I50" i="9" l="1"/>
  <c r="K49" i="9"/>
  <c r="K50" i="9" l="1"/>
  <c r="I51" i="9"/>
  <c r="I52" i="9" l="1"/>
  <c r="K51" i="9"/>
  <c r="K52" i="9" l="1"/>
  <c r="I53" i="9"/>
  <c r="K53" i="9" l="1"/>
  <c r="I54" i="9"/>
  <c r="I55" i="9" l="1"/>
  <c r="K54" i="9"/>
  <c r="K55" i="9" l="1"/>
  <c r="I56" i="9"/>
  <c r="I57" i="9" l="1"/>
  <c r="K56" i="9"/>
  <c r="K57" i="9" l="1"/>
  <c r="I58" i="9"/>
  <c r="I59" i="9" l="1"/>
  <c r="K58" i="9"/>
  <c r="K59" i="9" l="1"/>
  <c r="I60" i="9"/>
  <c r="K60" i="9" l="1"/>
  <c r="I61" i="9"/>
  <c r="K61" i="9" l="1"/>
  <c r="I62" i="9"/>
  <c r="K62" i="9" l="1"/>
  <c r="I63" i="9"/>
  <c r="K63" i="9" l="1"/>
  <c r="I64" i="9"/>
  <c r="K64" i="9" l="1"/>
  <c r="I65" i="9"/>
  <c r="I66" i="9" l="1"/>
  <c r="K65" i="9"/>
  <c r="K66" i="9" l="1"/>
  <c r="I67" i="9"/>
  <c r="I68" i="9" l="1"/>
  <c r="K67" i="9"/>
  <c r="K68" i="9" l="1"/>
  <c r="I69" i="9"/>
  <c r="K69" i="9" l="1"/>
  <c r="I70" i="9"/>
  <c r="K70" i="9" l="1"/>
  <c r="I71" i="9"/>
  <c r="K71" i="9" s="1"/>
</calcChain>
</file>

<file path=xl/sharedStrings.xml><?xml version="1.0" encoding="utf-8"?>
<sst xmlns="http://schemas.openxmlformats.org/spreadsheetml/2006/main" count="164" uniqueCount="97">
  <si>
    <t>Name       :</t>
  </si>
  <si>
    <t>TABABA, RONIE</t>
  </si>
  <si>
    <t>EMP. NO  :</t>
  </si>
  <si>
    <t>POSITION:</t>
  </si>
  <si>
    <t>CID - CHIEF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</si>
  <si>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</si>
  <si>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</si>
  <si>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</si>
  <si>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</si>
  <si>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</si>
  <si>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</si>
  <si>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</si>
  <si>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</si>
  <si>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</si>
  <si>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</si>
  <si>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</si>
  <si>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Forwarded as of Dec. 31, 2022</t>
  </si>
  <si>
    <t>ADD: 01/01/22 - 04/30/22</t>
  </si>
  <si>
    <t>LESS: 05/10/22</t>
  </si>
  <si>
    <t>LESS: 05/23/22</t>
  </si>
  <si>
    <t>ADD: 05/01/22 - 05/31/22</t>
  </si>
  <si>
    <t>LESS: 65/27 &amp; 28/22</t>
  </si>
  <si>
    <t>ADD: 06/01/22 - 07/31/22</t>
  </si>
  <si>
    <t>LESS: 08/11 &amp; 12/22</t>
  </si>
  <si>
    <t>ADD: 08/01/22 - 08/31/22</t>
  </si>
  <si>
    <t xml:space="preserve"> </t>
  </si>
  <si>
    <t>LESS: 09/27/22</t>
  </si>
  <si>
    <t>LESS: MONETIZATION 2022</t>
  </si>
  <si>
    <t>ADD: 09/01/22 - 09/30/22</t>
  </si>
  <si>
    <t>LESS:11/02/22</t>
  </si>
  <si>
    <t>ADD: 10/01/22 - 11/30/22</t>
  </si>
  <si>
    <t>LESS:12/26 &amp; 27/22</t>
  </si>
  <si>
    <t>LESS:12/28 &amp; 29/22</t>
  </si>
  <si>
    <t>ADD: 12/01/22 - 12/31/22</t>
  </si>
  <si>
    <t>LESS: 02/06 &amp; 07/2023</t>
  </si>
  <si>
    <t>ADD: 01/01/23 - 01/31/23</t>
  </si>
  <si>
    <t>ADD: DISAPPROVED FL 2022</t>
  </si>
  <si>
    <t>ADD: 02/01/23 - 02/28/23</t>
  </si>
  <si>
    <t>LESS: 02/01/2023</t>
  </si>
  <si>
    <t>ADD: 03/01/23 - 04/30/23</t>
  </si>
  <si>
    <t>LESS: 05/29 - 30/2023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</si>
  <si>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</si>
  <si>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</si>
  <si>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</si>
  <si>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</si>
  <si>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</si>
  <si>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</si>
  <si>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</si>
  <si>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</si>
  <si>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COMPENSATORY TIME OFF (CTO)</t>
  </si>
  <si>
    <t>Special Order No. and Date Issued</t>
  </si>
  <si>
    <t>No. of Days Granted</t>
  </si>
  <si>
    <t>No. of Days Used</t>
  </si>
  <si>
    <t>Balance</t>
  </si>
  <si>
    <t>ADD: APRIL 17, 2023</t>
  </si>
  <si>
    <t>S.O. # 047, S. 2023, PERFORMANCE PLANNING &amp; COMMITMENT FOR SY 2023</t>
  </si>
  <si>
    <t>NOTE:  Valid for one (1) year only</t>
  </si>
  <si>
    <t>Certified Correct:</t>
  </si>
  <si>
    <t>MA. LUISA B. CATIGAN</t>
  </si>
  <si>
    <t>Administrative Officer IV</t>
  </si>
  <si>
    <t>HRMO</t>
  </si>
  <si>
    <t>LESS: AUG. 25, 2023</t>
  </si>
  <si>
    <t>ADD: 05/01/23 - 08/31/23</t>
  </si>
  <si>
    <t>LESS: MONETIZATION 2023</t>
  </si>
  <si>
    <t>LESS: 11/03/2023</t>
  </si>
  <si>
    <t>LESS: 09/18-19/2023</t>
  </si>
  <si>
    <t>ADD: 09/01/2023-09/30/2023</t>
  </si>
  <si>
    <t>SPECIAL</t>
  </si>
  <si>
    <t>LESS: 10/17-18/2023</t>
  </si>
  <si>
    <t>LESS: 10/23-27/2023</t>
  </si>
  <si>
    <t>LESS: 10/13/2023</t>
  </si>
  <si>
    <t xml:space="preserve">  </t>
  </si>
  <si>
    <t>LESS:05/27 &amp; 28/22</t>
  </si>
  <si>
    <t>ADD: 10/1/2023-12/31/2023</t>
  </si>
  <si>
    <t>ADD: 01/1/2024-04/30/2024</t>
  </si>
  <si>
    <t>LESS: 06/21,24, 25/2024</t>
  </si>
  <si>
    <t>LESS: 06/26-28/2024</t>
  </si>
  <si>
    <t>ADD: MAY-JULY 31, 2024</t>
  </si>
  <si>
    <t>LESS: MONETIZATION 2024</t>
  </si>
  <si>
    <t>ADD: 08/1-31/2024</t>
  </si>
  <si>
    <t>LESS: 09/11/2024</t>
  </si>
  <si>
    <t>LESS: 09/23/2024</t>
  </si>
  <si>
    <t>ADD: 09/1-30/2024</t>
  </si>
  <si>
    <t>LESS: 11/4/2024</t>
  </si>
  <si>
    <t>ADD: 10/1-31/2024</t>
  </si>
  <si>
    <t>LESS: 10/30/2024</t>
  </si>
  <si>
    <t>ADD: 11/1-30/2024</t>
  </si>
  <si>
    <t>LESS: 12/23/2024</t>
  </si>
  <si>
    <t>ADD: 12/1-31/2024</t>
  </si>
  <si>
    <t>ADD: 01/1/2025-03/31/2025</t>
  </si>
  <si>
    <t>LESS: 03/31/2025</t>
  </si>
  <si>
    <t>LESS: 04/21-24/2025</t>
  </si>
  <si>
    <t>ADD: 04/1-30/2025</t>
  </si>
  <si>
    <t>LESSl 05/20-21/2025</t>
  </si>
  <si>
    <t>ADD: 05/1-31/2025</t>
  </si>
  <si>
    <t>LESS: 05/22-23/2025</t>
  </si>
  <si>
    <t>LESS: 04/25/2025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</si>
</sst>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3">
    <xf numFmtId="0" fontId="0" fillId="0" borderId="0"/>
    <xf numFmtId="0" fontId="14" fillId="0" borderId="0"/>
    <xf numFmtId="0" fontId="12" fillId="0" borderId="0"/>
  </cellStyleXfs>
  <cellXfs count="152">
    <xf numFmtId="0" fontId="0" fillId="0" borderId="0" xfId="0"/>
    <xf numFmtId="0" fontId="0" fillId="2" borderId="0" xfId="0" applyFill="1"/>
    <xf numFmtId="0" fontId="15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/>
    <xf numFmtId="164" fontId="17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64" fontId="17" fillId="2" borderId="3" xfId="0" applyNumberFormat="1" applyFont="1" applyFill="1" applyBorder="1" applyAlignment="1">
      <alignment horizontal="center" vertical="center"/>
    </xf>
    <xf numFmtId="0" fontId="20" fillId="0" borderId="0" xfId="0" applyFont="1"/>
    <xf numFmtId="0" fontId="15" fillId="2" borderId="4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17" fillId="2" borderId="16" xfId="0" applyNumberFormat="1" applyFont="1" applyFill="1" applyBorder="1" applyAlignment="1">
      <alignment horizontal="center" vertical="center"/>
    </xf>
    <xf numFmtId="164" fontId="17" fillId="2" borderId="17" xfId="0" applyNumberFormat="1" applyFont="1" applyFill="1" applyBorder="1" applyAlignment="1">
      <alignment horizontal="center" vertical="center"/>
    </xf>
    <xf numFmtId="0" fontId="0" fillId="0" borderId="1" xfId="0" applyBorder="1"/>
    <xf numFmtId="0" fontId="15" fillId="2" borderId="4" xfId="0" applyFont="1" applyFill="1" applyBorder="1" applyAlignment="1">
      <alignment horizontal="center" vertical="center"/>
    </xf>
    <xf numFmtId="0" fontId="14" fillId="2" borderId="0" xfId="1" applyFill="1"/>
    <xf numFmtId="0" fontId="22" fillId="2" borderId="0" xfId="1" applyFont="1" applyFill="1" applyAlignment="1">
      <alignment vertical="center"/>
    </xf>
    <xf numFmtId="0" fontId="22" fillId="2" borderId="4" xfId="1" applyFont="1" applyFill="1" applyBorder="1" applyAlignment="1">
      <alignment horizontal="center" vertical="center"/>
    </xf>
    <xf numFmtId="0" fontId="22" fillId="2" borderId="0" xfId="1" applyFont="1" applyFill="1"/>
    <xf numFmtId="0" fontId="22" fillId="2" borderId="4" xfId="1" applyFont="1" applyFill="1" applyBorder="1" applyAlignment="1">
      <alignment vertical="center"/>
    </xf>
    <xf numFmtId="0" fontId="14" fillId="0" borderId="0" xfId="1"/>
    <xf numFmtId="0" fontId="23" fillId="0" borderId="0" xfId="1" applyFont="1"/>
    <xf numFmtId="0" fontId="14" fillId="2" borderId="8" xfId="1" applyFill="1" applyBorder="1" applyAlignment="1">
      <alignment horizontal="center" vertical="center" wrapText="1"/>
    </xf>
    <xf numFmtId="0" fontId="14" fillId="2" borderId="3" xfId="1" applyFill="1" applyBorder="1" applyAlignment="1">
      <alignment horizontal="center" vertical="center" wrapText="1"/>
    </xf>
    <xf numFmtId="0" fontId="14" fillId="6" borderId="3" xfId="1" applyFill="1" applyBorder="1" applyAlignment="1">
      <alignment horizontal="center" vertical="center" wrapText="1"/>
    </xf>
    <xf numFmtId="0" fontId="25" fillId="0" borderId="0" xfId="1" applyFont="1"/>
    <xf numFmtId="0" fontId="14" fillId="0" borderId="0" xfId="1" applyAlignment="1">
      <alignment vertical="center"/>
    </xf>
    <xf numFmtId="0" fontId="24" fillId="2" borderId="0" xfId="1" applyFont="1" applyFill="1" applyAlignment="1">
      <alignment horizontal="center" vertical="center" wrapText="1"/>
    </xf>
    <xf numFmtId="0" fontId="14" fillId="2" borderId="0" xfId="1" applyFill="1" applyAlignment="1">
      <alignment horizontal="center" vertical="center" wrapText="1"/>
    </xf>
    <xf numFmtId="0" fontId="14" fillId="2" borderId="0" xfId="1" applyFill="1" applyAlignment="1">
      <alignment horizontal="center"/>
    </xf>
    <xf numFmtId="0" fontId="15" fillId="5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9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64" fontId="17" fillId="10" borderId="16" xfId="0" applyNumberFormat="1" applyFont="1" applyFill="1" applyBorder="1" applyAlignment="1">
      <alignment horizontal="center" vertical="center"/>
    </xf>
    <xf numFmtId="164" fontId="17" fillId="10" borderId="17" xfId="0" applyNumberFormat="1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164" fontId="17" fillId="10" borderId="1" xfId="0" applyNumberFormat="1" applyFont="1" applyFill="1" applyBorder="1" applyAlignment="1">
      <alignment horizontal="center" vertical="center"/>
    </xf>
    <xf numFmtId="164" fontId="17" fillId="10" borderId="3" xfId="0" applyNumberFormat="1" applyFont="1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13" fillId="10" borderId="1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2" borderId="0" xfId="2" applyFill="1"/>
    <xf numFmtId="0" fontId="22" fillId="2" borderId="0" xfId="2" applyFont="1" applyFill="1" applyAlignment="1">
      <alignment vertical="center"/>
    </xf>
    <xf numFmtId="0" fontId="22" fillId="2" borderId="4" xfId="2" applyFont="1" applyFill="1" applyBorder="1" applyAlignment="1">
      <alignment horizontal="center" vertical="center"/>
    </xf>
    <xf numFmtId="0" fontId="22" fillId="2" borderId="0" xfId="2" applyFont="1" applyFill="1"/>
    <xf numFmtId="0" fontId="22" fillId="2" borderId="4" xfId="2" applyFont="1" applyFill="1" applyBorder="1" applyAlignment="1">
      <alignment vertical="center"/>
    </xf>
    <xf numFmtId="0" fontId="12" fillId="0" borderId="0" xfId="2"/>
    <xf numFmtId="0" fontId="22" fillId="2" borderId="22" xfId="2" applyFont="1" applyFill="1" applyBorder="1" applyAlignment="1">
      <alignment horizontal="center" vertical="center"/>
    </xf>
    <xf numFmtId="0" fontId="28" fillId="0" borderId="0" xfId="2" applyFont="1"/>
    <xf numFmtId="164" fontId="12" fillId="0" borderId="1" xfId="2" applyNumberFormat="1" applyBorder="1" applyAlignment="1">
      <alignment horizontal="center" vertical="center"/>
    </xf>
    <xf numFmtId="164" fontId="12" fillId="2" borderId="1" xfId="2" applyNumberFormat="1" applyFill="1" applyBorder="1" applyAlignment="1">
      <alignment horizontal="center" vertical="center"/>
    </xf>
    <xf numFmtId="164" fontId="12" fillId="2" borderId="3" xfId="2" applyNumberFormat="1" applyFill="1" applyBorder="1" applyAlignment="1">
      <alignment horizontal="center" vertical="center"/>
    </xf>
    <xf numFmtId="0" fontId="28" fillId="0" borderId="0" xfId="2" applyFont="1" applyAlignment="1">
      <alignment vertical="center"/>
    </xf>
    <xf numFmtId="0" fontId="12" fillId="0" borderId="0" xfId="2" applyAlignment="1">
      <alignment vertical="center"/>
    </xf>
    <xf numFmtId="0" fontId="12" fillId="0" borderId="13" xfId="2" applyBorder="1" applyAlignment="1">
      <alignment horizontal="center" vertical="center"/>
    </xf>
    <xf numFmtId="0" fontId="12" fillId="0" borderId="1" xfId="2" applyBorder="1" applyAlignment="1">
      <alignment horizontal="center" vertical="center"/>
    </xf>
    <xf numFmtId="0" fontId="12" fillId="0" borderId="1" xfId="2" applyBorder="1"/>
    <xf numFmtId="0" fontId="12" fillId="0" borderId="0" xfId="2" applyAlignment="1">
      <alignment horizontal="center" vertical="center"/>
    </xf>
    <xf numFmtId="0" fontId="22" fillId="2" borderId="24" xfId="2" applyFont="1" applyFill="1" applyBorder="1" applyAlignment="1">
      <alignment horizontal="center" vertical="center"/>
    </xf>
    <xf numFmtId="164" fontId="12" fillId="0" borderId="11" xfId="2" applyNumberForma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22" fillId="11" borderId="27" xfId="2" applyFont="1" applyFill="1" applyBorder="1" applyAlignment="1">
      <alignment horizontal="center" vertical="center"/>
    </xf>
    <xf numFmtId="0" fontId="22" fillId="11" borderId="28" xfId="2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164" fontId="12" fillId="0" borderId="3" xfId="2" applyNumberFormat="1" applyBorder="1" applyAlignment="1">
      <alignment horizontal="center" vertical="center"/>
    </xf>
    <xf numFmtId="164" fontId="12" fillId="13" borderId="1" xfId="2" applyNumberFormat="1" applyFill="1" applyBorder="1" applyAlignment="1">
      <alignment horizontal="center" vertical="center"/>
    </xf>
    <xf numFmtId="0" fontId="12" fillId="0" borderId="11" xfId="2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164" fontId="12" fillId="0" borderId="0" xfId="2" applyNumberFormat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164" fontId="12" fillId="14" borderId="1" xfId="2" applyNumberFormat="1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7" fillId="0" borderId="15" xfId="2" applyFont="1" applyBorder="1" applyAlignment="1">
      <alignment horizontal="center" vertical="center"/>
    </xf>
    <xf numFmtId="0" fontId="29" fillId="2" borderId="18" xfId="2" applyFont="1" applyFill="1" applyBorder="1" applyAlignment="1">
      <alignment horizontal="center" vertical="center"/>
    </xf>
    <xf numFmtId="0" fontId="22" fillId="11" borderId="25" xfId="2" applyFont="1" applyFill="1" applyBorder="1" applyAlignment="1">
      <alignment horizontal="center" vertical="center"/>
    </xf>
    <xf numFmtId="0" fontId="22" fillId="11" borderId="26" xfId="2" applyFont="1" applyFill="1" applyBorder="1" applyAlignment="1">
      <alignment horizontal="center" vertical="center"/>
    </xf>
    <xf numFmtId="0" fontId="22" fillId="4" borderId="19" xfId="2" applyFont="1" applyFill="1" applyBorder="1" applyAlignment="1">
      <alignment horizontal="center" vertical="center"/>
    </xf>
    <xf numFmtId="0" fontId="22" fillId="4" borderId="21" xfId="2" applyFont="1" applyFill="1" applyBorder="1" applyAlignment="1">
      <alignment horizontal="center" vertical="center"/>
    </xf>
    <xf numFmtId="0" fontId="22" fillId="12" borderId="19" xfId="2" applyFont="1" applyFill="1" applyBorder="1" applyAlignment="1">
      <alignment horizontal="center" vertical="center"/>
    </xf>
    <xf numFmtId="0" fontId="22" fillId="12" borderId="20" xfId="2" applyFont="1" applyFill="1" applyBorder="1" applyAlignment="1">
      <alignment horizontal="center" vertical="center"/>
    </xf>
    <xf numFmtId="0" fontId="22" fillId="12" borderId="21" xfId="2" applyFont="1" applyFill="1" applyBorder="1" applyAlignment="1">
      <alignment horizontal="center" vertical="center"/>
    </xf>
    <xf numFmtId="0" fontId="22" fillId="7" borderId="19" xfId="2" applyFont="1" applyFill="1" applyBorder="1" applyAlignment="1">
      <alignment horizontal="center" vertical="center"/>
    </xf>
    <xf numFmtId="0" fontId="22" fillId="7" borderId="21" xfId="2" applyFont="1" applyFill="1" applyBorder="1" applyAlignment="1">
      <alignment horizontal="center" vertical="center"/>
    </xf>
    <xf numFmtId="0" fontId="22" fillId="11" borderId="14" xfId="2" applyFont="1" applyFill="1" applyBorder="1" applyAlignment="1">
      <alignment horizontal="center" vertical="center"/>
    </xf>
    <xf numFmtId="0" fontId="22" fillId="11" borderId="23" xfId="2" applyFont="1" applyFill="1" applyBorder="1" applyAlignment="1">
      <alignment horizontal="center" vertical="center"/>
    </xf>
    <xf numFmtId="0" fontId="22" fillId="2" borderId="0" xfId="2" applyFont="1" applyFill="1" applyAlignment="1">
      <alignment horizontal="left" vertical="center"/>
    </xf>
    <xf numFmtId="0" fontId="12" fillId="2" borderId="0" xfId="2" applyFill="1" applyAlignment="1">
      <alignment horizontal="center" vertical="center"/>
    </xf>
    <xf numFmtId="0" fontId="14" fillId="2" borderId="0" xfId="1" applyFill="1" applyAlignment="1">
      <alignment horizontal="center" vertical="center"/>
    </xf>
    <xf numFmtId="0" fontId="16" fillId="2" borderId="18" xfId="1" applyFont="1" applyFill="1" applyBorder="1" applyAlignment="1">
      <alignment horizontal="center" vertical="center"/>
    </xf>
    <xf numFmtId="0" fontId="24" fillId="2" borderId="12" xfId="1" applyFont="1" applyFill="1" applyBorder="1" applyAlignment="1">
      <alignment horizontal="center" vertical="center" wrapText="1"/>
    </xf>
    <xf numFmtId="0" fontId="24" fillId="2" borderId="11" xfId="1" applyFont="1" applyFill="1" applyBorder="1" applyAlignment="1">
      <alignment horizontal="center" vertical="center" wrapText="1"/>
    </xf>
    <xf numFmtId="0" fontId="25" fillId="2" borderId="0" xfId="1" applyFont="1" applyFill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4" fillId="9" borderId="12" xfId="1" applyFont="1" applyFill="1" applyBorder="1" applyAlignment="1">
      <alignment horizontal="center" vertical="center" wrapText="1"/>
    </xf>
    <xf numFmtId="0" fontId="24" fillId="9" borderId="11" xfId="1" applyFont="1" applyFill="1" applyBorder="1" applyAlignment="1">
      <alignment horizontal="center" vertical="center" wrapText="1"/>
    </xf>
    <xf numFmtId="0" fontId="24" fillId="2" borderId="13" xfId="1" applyFont="1" applyFill="1" applyBorder="1" applyAlignment="1">
      <alignment horizontal="center" vertical="center" wrapText="1"/>
    </xf>
    <xf numFmtId="0" fontId="18" fillId="3" borderId="5" xfId="1" applyFont="1" applyFill="1" applyBorder="1" applyAlignment="1">
      <alignment horizontal="center" vertical="center"/>
    </xf>
    <xf numFmtId="0" fontId="18" fillId="3" borderId="8" xfId="1" applyFont="1" applyFill="1" applyBorder="1" applyAlignment="1">
      <alignment horizontal="center" vertical="center"/>
    </xf>
    <xf numFmtId="0" fontId="18" fillId="8" borderId="19" xfId="1" applyFont="1" applyFill="1" applyBorder="1" applyAlignment="1">
      <alignment horizontal="center" vertical="center"/>
    </xf>
    <xf numFmtId="0" fontId="18" fillId="8" borderId="20" xfId="1" applyFont="1" applyFill="1" applyBorder="1" applyAlignment="1">
      <alignment horizontal="center" vertical="center"/>
    </xf>
    <xf numFmtId="0" fontId="18" fillId="3" borderId="14" xfId="1" applyFont="1" applyFill="1" applyBorder="1" applyAlignment="1">
      <alignment horizontal="center" vertical="center"/>
    </xf>
    <xf numFmtId="0" fontId="18" fillId="3" borderId="2" xfId="1" applyFont="1" applyFill="1" applyBorder="1" applyAlignment="1">
      <alignment horizontal="center" vertical="center"/>
    </xf>
    <xf numFmtId="0" fontId="24" fillId="9" borderId="13" xfId="1" applyFont="1" applyFill="1" applyBorder="1" applyAlignment="1">
      <alignment horizontal="center" vertical="center" wrapText="1"/>
    </xf>
    <xf numFmtId="0" fontId="14" fillId="0" borderId="0" xfId="1" applyAlignment="1">
      <alignment horizontal="center"/>
    </xf>
    <xf numFmtId="0" fontId="14" fillId="0" borderId="0" xfId="1" applyAlignment="1">
      <alignment horizontal="center" vertic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10" borderId="10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10" borderId="11" xfId="0" applyFill="1" applyBorder="1" applyAlignment="1">
      <alignment horizontal="center"/>
    </xf>
    <xf numFmtId="0" fontId="21" fillId="0" borderId="15" xfId="0" applyFont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</cellXfs>
  <cellStyles count="3">
    <cellStyle name="Normal" xfId="0" builtinId="0"/>
    <cellStyle name="Normal 2" xfId="1" xr:uid="{C166776B-AEB1-44A2-82D8-023013C517E9}"/>
    <cellStyle name="Normal 3" xfId="2" xr:uid="{8D9BAAF6-7651-4E13-9C80-DFBE27674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350447</xdr:colOff>
      <xdr:row>0</xdr:row>
      <xdr:rowOff>25040</xdr:rowOff>
    </xdr:from>
    <xdr:to>
      <xdr:col>5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2E53EB-EEEB-4F0C-B289-A1D2E1BA1EA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8DFE8E-5A70-4F65-A6AF-53F194EC594A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TABABA, RONIE </a:t>
          </a:r>
          <a:r>
            <a:rPr lang="en-US" sz="1100" baseline="0"/>
            <a:t>T. 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AB6CB0-6395-4A88-BCCC-8FB0CE0106AF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CID-CHIEF</a:t>
          </a:r>
          <a:endParaRPr lang="en-US" sz="1100"/>
        </a:p>
      </xdr:txBody>
    </xdr:sp>
    <xdr:clientData/>
  </xdr:twoCellAnchor>
  <xdr:twoCellAnchor>
    <xdr:from>
      <xdr:col>3</xdr:col>
      <xdr:colOff>415193</xdr:colOff>
      <xdr:row>7</xdr:row>
      <xdr:rowOff>42741</xdr:rowOff>
    </xdr:from>
    <xdr:to>
      <xdr:col>5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852FF58-AFB9-4832-849B-B2B584BB4881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</a:t>
          </a:r>
        </a:p>
      </xdr:txBody>
    </xdr:sp>
    <xdr:clientData/>
  </xdr:twoCellAnchor>
  <xdr:twoCellAnchor>
    <xdr:from>
      <xdr:col>6</xdr:col>
      <xdr:colOff>347452</xdr:colOff>
      <xdr:row>74</xdr:row>
      <xdr:rowOff>53914</xdr:rowOff>
    </xdr:from>
    <xdr:to>
      <xdr:col>10</xdr:col>
      <xdr:colOff>672043</xdr:colOff>
      <xdr:row>79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902667F-1167-46BB-98DA-9E8420358B91}"/>
            </a:ext>
          </a:extLst>
        </xdr:cNvPr>
        <xdr:cNvSpPr txBox="1"/>
      </xdr:nvSpPr>
      <xdr:spPr>
        <a:xfrm>
          <a:off x="5871952" y="11931589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521834</xdr:colOff>
      <xdr:row>0</xdr:row>
      <xdr:rowOff>38329</xdr:rowOff>
    </xdr:from>
    <xdr:to>
      <xdr:col>5</xdr:col>
      <xdr:colOff>20639</xdr:colOff>
      <xdr:row>1</xdr:row>
      <xdr:rowOff>2723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18050A-797B-4E85-98EC-BD3A277225E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5784" y="38329"/>
          <a:ext cx="718005" cy="631144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1281339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FC80C0-5AF8-4366-BEDF-FA1958852A40}"/>
            </a:ext>
          </a:extLst>
        </xdr:cNvPr>
        <xdr:cNvSpPr txBox="1"/>
      </xdr:nvSpPr>
      <xdr:spPr>
        <a:xfrm>
          <a:off x="573942" y="1377461"/>
          <a:ext cx="2091697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TABABA, RONIE</a:t>
          </a: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1</xdr:col>
      <xdr:colOff>595312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9900826-A19D-4CF1-B145-984B43C600E2}"/>
            </a:ext>
          </a:extLst>
        </xdr:cNvPr>
        <xdr:cNvSpPr txBox="1"/>
      </xdr:nvSpPr>
      <xdr:spPr>
        <a:xfrm>
          <a:off x="654051" y="1691596"/>
          <a:ext cx="1324654" cy="248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 - CHIEF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9E64C8C-0191-44EA-B8E0-89AA3B946696}"/>
            </a:ext>
          </a:extLst>
        </xdr:cNvPr>
        <xdr:cNvSpPr txBox="1"/>
      </xdr:nvSpPr>
      <xdr:spPr>
        <a:xfrm>
          <a:off x="41907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282576</xdr:colOff>
      <xdr:row>0</xdr:row>
      <xdr:rowOff>76200</xdr:rowOff>
    </xdr:from>
    <xdr:to>
      <xdr:col>5</xdr:col>
      <xdr:colOff>409705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61230" y="76200"/>
          <a:ext cx="829945" cy="533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DCE0-C5F1-45B8-AAC6-E41CD0F56C12}">
  <sheetPr>
    <pageSetUpPr fitToPage="1"/>
  </sheetPr>
  <dimension ref="A1:L99"/>
  <sheetViews>
    <sheetView tabSelected="1" view="pageBreakPreview" topLeftCell="A42" zoomScale="106" zoomScaleNormal="100" zoomScaleSheetLayoutView="106" workbookViewId="0">
      <selection activeCell="A71" sqref="A71:XFD71"/>
    </sheetView>
  </sheetViews>
  <sheetFormatPr defaultRowHeight="15"/>
  <cols>
    <col min="1" max="1" width="29.42578125" style="56" customWidth="1"/>
    <col min="2" max="2" width="2.140625" style="56" hidden="1" customWidth="1"/>
    <col min="3" max="3" width="11.5703125" style="66" customWidth="1"/>
    <col min="4" max="6" width="11.5703125" style="56" customWidth="1"/>
    <col min="7" max="8" width="11.5703125" style="67" customWidth="1"/>
    <col min="9" max="11" width="11.5703125" style="56" customWidth="1"/>
    <col min="12" max="12" width="26.42578125" style="58" customWidth="1"/>
    <col min="13" max="16384" width="9.140625" style="56"/>
  </cols>
  <sheetData>
    <row r="1" spans="1:12" s="51" customFormat="1" ht="52.5" customHeight="1"/>
    <row r="2" spans="1:12" s="51" customFormat="1" ht="10.5" customHeight="1">
      <c r="A2" s="109" t="s">
        <v>41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3" spans="1:12" s="51" customFormat="1" ht="15.95" customHeight="1">
      <c r="A3" s="109" t="s">
        <v>42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</row>
    <row r="4" spans="1:12" s="51" customFormat="1" ht="15.95" customHeight="1">
      <c r="A4" s="109" t="s">
        <v>43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</row>
    <row r="5" spans="1:12" s="51" customFormat="1" ht="15.95" customHeight="1">
      <c r="A5" s="109" t="s">
        <v>44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</row>
    <row r="6" spans="1:12" s="51" customFormat="1" ht="8.25" customHeight="1"/>
    <row r="7" spans="1:12" s="51" customFormat="1" ht="12" customHeight="1">
      <c r="A7" s="51" t="s">
        <v>45</v>
      </c>
      <c r="C7" s="108" t="s">
        <v>46</v>
      </c>
      <c r="D7" s="108"/>
      <c r="E7" s="108"/>
      <c r="I7" s="52" t="s">
        <v>2</v>
      </c>
      <c r="J7" s="53"/>
      <c r="K7" s="52"/>
    </row>
    <row r="8" spans="1:12" s="51" customFormat="1" ht="12" customHeight="1">
      <c r="C8" s="54"/>
      <c r="D8" s="54"/>
      <c r="I8" s="54"/>
      <c r="J8" s="54"/>
      <c r="K8" s="54"/>
    </row>
    <row r="9" spans="1:12" s="51" customFormat="1" ht="12" customHeight="1">
      <c r="A9" s="51" t="s">
        <v>47</v>
      </c>
      <c r="C9" s="108" t="s">
        <v>48</v>
      </c>
      <c r="D9" s="108"/>
      <c r="E9" s="108"/>
      <c r="I9" s="52" t="s">
        <v>5</v>
      </c>
      <c r="J9" s="55"/>
      <c r="K9" s="52"/>
    </row>
    <row r="10" spans="1:12" ht="23.25" customHeight="1" thickBot="1">
      <c r="A10" s="96" t="s">
        <v>6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56"/>
    </row>
    <row r="11" spans="1:12" ht="18.75" customHeight="1">
      <c r="A11" s="97" t="s">
        <v>7</v>
      </c>
      <c r="B11" s="73"/>
      <c r="C11" s="99" t="s">
        <v>8</v>
      </c>
      <c r="D11" s="100"/>
      <c r="E11" s="101" t="s">
        <v>9</v>
      </c>
      <c r="F11" s="102"/>
      <c r="G11" s="102"/>
      <c r="H11" s="103"/>
      <c r="I11" s="104" t="s">
        <v>10</v>
      </c>
      <c r="J11" s="105"/>
      <c r="K11" s="106" t="s">
        <v>11</v>
      </c>
      <c r="L11" s="95" t="s">
        <v>12</v>
      </c>
    </row>
    <row r="12" spans="1:12" ht="18.75" customHeight="1" thickBot="1">
      <c r="A12" s="98"/>
      <c r="B12" s="74"/>
      <c r="C12" s="57" t="s">
        <v>13</v>
      </c>
      <c r="D12" s="68" t="s">
        <v>14</v>
      </c>
      <c r="E12" s="57" t="s">
        <v>13</v>
      </c>
      <c r="F12" s="57" t="s">
        <v>14</v>
      </c>
      <c r="G12" s="57" t="s">
        <v>15</v>
      </c>
      <c r="H12" s="57" t="s">
        <v>67</v>
      </c>
      <c r="I12" s="57" t="s">
        <v>13</v>
      </c>
      <c r="J12" s="57" t="s">
        <v>14</v>
      </c>
      <c r="K12" s="107"/>
      <c r="L12" s="95"/>
    </row>
    <row r="13" spans="1:12" ht="16.5" customHeight="1">
      <c r="A13" s="49" t="s">
        <v>16</v>
      </c>
      <c r="B13" s="50"/>
      <c r="C13" s="5"/>
      <c r="D13" s="5"/>
      <c r="E13" s="5"/>
      <c r="F13" s="5"/>
      <c r="G13" s="5"/>
      <c r="H13" s="5"/>
      <c r="I13" s="5">
        <v>3.0019999999999998</v>
      </c>
      <c r="J13" s="5">
        <v>105.36199999999999</v>
      </c>
      <c r="K13" s="7">
        <f>SUM(I13:J13)</f>
        <v>108.36399999999999</v>
      </c>
    </row>
    <row r="14" spans="1:12" ht="12" customHeight="1">
      <c r="A14" s="48" t="s">
        <v>17</v>
      </c>
      <c r="B14" s="71"/>
      <c r="C14" s="5">
        <v>5</v>
      </c>
      <c r="D14" s="5">
        <v>5</v>
      </c>
      <c r="E14" s="5"/>
      <c r="F14" s="5"/>
      <c r="G14" s="5"/>
      <c r="H14" s="5"/>
      <c r="I14" s="60">
        <f>I13-G14-E14+C14</f>
        <v>8.0019999999999989</v>
      </c>
      <c r="J14" s="60">
        <f>J13-F14+D14</f>
        <v>110.36199999999999</v>
      </c>
      <c r="K14" s="61">
        <f>SUM(I14:J14)</f>
        <v>118.36399999999999</v>
      </c>
    </row>
    <row r="15" spans="1:12" ht="12" customHeight="1">
      <c r="A15" s="49" t="s">
        <v>18</v>
      </c>
      <c r="B15" s="50"/>
      <c r="C15" s="6"/>
      <c r="D15" s="6"/>
      <c r="E15" s="6"/>
      <c r="F15" s="6">
        <v>1</v>
      </c>
      <c r="G15" s="6"/>
      <c r="H15" s="6"/>
      <c r="I15" s="60">
        <f t="shared" ref="I15:I46" si="0">I14-G15-E15+C15</f>
        <v>8.0019999999999989</v>
      </c>
      <c r="J15" s="60">
        <f t="shared" ref="J15:J46" si="1">J14-F15+D15</f>
        <v>109.36199999999999</v>
      </c>
      <c r="K15" s="61">
        <f t="shared" ref="K15:K46" si="2">SUM(I15:J15)</f>
        <v>117.36399999999999</v>
      </c>
    </row>
    <row r="16" spans="1:12" ht="12" customHeight="1">
      <c r="A16" s="48" t="s">
        <v>19</v>
      </c>
      <c r="B16" s="71"/>
      <c r="C16" s="6"/>
      <c r="D16" s="6"/>
      <c r="E16" s="6"/>
      <c r="F16" s="6"/>
      <c r="G16" s="6"/>
      <c r="H16" s="6">
        <v>1</v>
      </c>
      <c r="I16" s="60">
        <f t="shared" si="0"/>
        <v>8.0019999999999989</v>
      </c>
      <c r="J16" s="60">
        <f t="shared" si="1"/>
        <v>109.36199999999999</v>
      </c>
      <c r="K16" s="61">
        <f t="shared" si="2"/>
        <v>117.36399999999999</v>
      </c>
    </row>
    <row r="17" spans="1:12" ht="12" customHeight="1">
      <c r="A17" s="48" t="s">
        <v>20</v>
      </c>
      <c r="B17" s="71"/>
      <c r="C17" s="11">
        <v>1.25</v>
      </c>
      <c r="D17" s="11">
        <v>1.25</v>
      </c>
      <c r="E17" s="6"/>
      <c r="F17" s="6"/>
      <c r="G17" s="6"/>
      <c r="H17" s="6"/>
      <c r="I17" s="60">
        <f t="shared" si="0"/>
        <v>9.2519999999999989</v>
      </c>
      <c r="J17" s="60">
        <f t="shared" si="1"/>
        <v>110.61199999999999</v>
      </c>
      <c r="K17" s="61">
        <f t="shared" si="2"/>
        <v>119.86399999999999</v>
      </c>
    </row>
    <row r="18" spans="1:12" ht="12" customHeight="1">
      <c r="A18" s="48" t="s">
        <v>72</v>
      </c>
      <c r="B18" s="71"/>
      <c r="C18" s="34"/>
      <c r="D18" s="6"/>
      <c r="E18" s="6"/>
      <c r="F18" s="6">
        <v>2</v>
      </c>
      <c r="G18" s="6"/>
      <c r="H18" s="6"/>
      <c r="I18" s="60">
        <f t="shared" si="0"/>
        <v>9.2519999999999989</v>
      </c>
      <c r="J18" s="60">
        <f t="shared" si="1"/>
        <v>108.61199999999999</v>
      </c>
      <c r="K18" s="61">
        <f t="shared" si="2"/>
        <v>117.86399999999999</v>
      </c>
    </row>
    <row r="19" spans="1:12" ht="12" customHeight="1">
      <c r="A19" s="48" t="s">
        <v>22</v>
      </c>
      <c r="B19" s="71"/>
      <c r="C19" s="6">
        <v>2.5</v>
      </c>
      <c r="D19" s="6">
        <v>2.5</v>
      </c>
      <c r="E19" s="6"/>
      <c r="F19" s="6"/>
      <c r="G19" s="6"/>
      <c r="H19" s="6"/>
      <c r="I19" s="60">
        <f t="shared" si="0"/>
        <v>11.751999999999999</v>
      </c>
      <c r="J19" s="60">
        <f t="shared" si="1"/>
        <v>111.11199999999999</v>
      </c>
      <c r="K19" s="61">
        <f t="shared" si="2"/>
        <v>122.86399999999999</v>
      </c>
    </row>
    <row r="20" spans="1:12" ht="12" customHeight="1">
      <c r="A20" s="48" t="s">
        <v>23</v>
      </c>
      <c r="B20" s="71"/>
      <c r="C20" s="6"/>
      <c r="D20" s="6"/>
      <c r="E20" s="6"/>
      <c r="F20" s="6"/>
      <c r="G20" s="6"/>
      <c r="H20" s="6">
        <v>2</v>
      </c>
      <c r="I20" s="60">
        <f t="shared" si="0"/>
        <v>11.751999999999999</v>
      </c>
      <c r="J20" s="60">
        <f t="shared" si="1"/>
        <v>111.11199999999999</v>
      </c>
      <c r="K20" s="61">
        <f t="shared" si="2"/>
        <v>122.86399999999999</v>
      </c>
    </row>
    <row r="21" spans="1:12" ht="12" customHeight="1">
      <c r="A21" s="48" t="s">
        <v>24</v>
      </c>
      <c r="B21" s="71"/>
      <c r="C21" s="11">
        <v>1.25</v>
      </c>
      <c r="D21" s="11">
        <v>1.25</v>
      </c>
      <c r="E21" s="6"/>
      <c r="F21" s="6"/>
      <c r="G21" s="6" t="s">
        <v>25</v>
      </c>
      <c r="H21" s="6"/>
      <c r="I21" s="60">
        <v>13.002000000000001</v>
      </c>
      <c r="J21" s="60">
        <f t="shared" ref="J21" si="3">J20-F21+D21</f>
        <v>112.36199999999999</v>
      </c>
      <c r="K21" s="61">
        <f t="shared" ref="K21" si="4">SUM(I21:J21)</f>
        <v>125.36399999999999</v>
      </c>
    </row>
    <row r="22" spans="1:12" ht="12" customHeight="1">
      <c r="A22" s="48" t="s">
        <v>26</v>
      </c>
      <c r="B22" s="71"/>
      <c r="C22" s="11"/>
      <c r="D22" s="11"/>
      <c r="E22" s="6"/>
      <c r="F22" s="6">
        <v>1</v>
      </c>
      <c r="G22" s="6"/>
      <c r="H22" s="6"/>
      <c r="I22" s="60">
        <f t="shared" si="0"/>
        <v>13.002000000000001</v>
      </c>
      <c r="J22" s="60">
        <f t="shared" si="1"/>
        <v>111.36199999999999</v>
      </c>
      <c r="K22" s="61">
        <f t="shared" si="2"/>
        <v>124.36399999999999</v>
      </c>
    </row>
    <row r="23" spans="1:12" ht="12" customHeight="1">
      <c r="A23" s="49" t="s">
        <v>27</v>
      </c>
      <c r="B23" s="50"/>
      <c r="C23" s="75"/>
      <c r="D23" s="75"/>
      <c r="E23" s="75">
        <v>5</v>
      </c>
      <c r="F23" s="75">
        <v>24</v>
      </c>
      <c r="G23" s="75"/>
      <c r="H23" s="75"/>
      <c r="I23" s="59">
        <f t="shared" si="0"/>
        <v>8.0020000000000007</v>
      </c>
      <c r="J23" s="59">
        <f t="shared" si="1"/>
        <v>87.361999999999995</v>
      </c>
      <c r="K23" s="78">
        <f t="shared" si="2"/>
        <v>95.36399999999999</v>
      </c>
    </row>
    <row r="24" spans="1:12" ht="12" customHeight="1">
      <c r="A24" s="48" t="s">
        <v>28</v>
      </c>
      <c r="B24" s="71"/>
      <c r="C24" s="11">
        <v>1.25</v>
      </c>
      <c r="D24" s="11">
        <v>1.25</v>
      </c>
      <c r="E24" s="6"/>
      <c r="F24" s="6"/>
      <c r="G24" s="6"/>
      <c r="H24" s="6"/>
      <c r="I24" s="60">
        <f t="shared" si="0"/>
        <v>9.2520000000000007</v>
      </c>
      <c r="J24" s="60">
        <f t="shared" si="1"/>
        <v>88.611999999999995</v>
      </c>
      <c r="K24" s="61">
        <f t="shared" si="2"/>
        <v>97.86399999999999</v>
      </c>
    </row>
    <row r="25" spans="1:12" ht="12" customHeight="1">
      <c r="A25" s="48" t="s">
        <v>29</v>
      </c>
      <c r="B25" s="71"/>
      <c r="C25" s="6"/>
      <c r="D25" s="6"/>
      <c r="E25" s="6"/>
      <c r="F25" s="6"/>
      <c r="G25" s="6">
        <v>1</v>
      </c>
      <c r="H25" s="6"/>
      <c r="I25" s="60">
        <f t="shared" si="0"/>
        <v>8.2520000000000007</v>
      </c>
      <c r="J25" s="60">
        <f t="shared" si="1"/>
        <v>88.611999999999995</v>
      </c>
      <c r="K25" s="61">
        <f t="shared" si="2"/>
        <v>96.86399999999999</v>
      </c>
    </row>
    <row r="26" spans="1:12" ht="12" customHeight="1">
      <c r="A26" s="48" t="s">
        <v>30</v>
      </c>
      <c r="B26" s="71"/>
      <c r="C26" s="6">
        <v>2.5</v>
      </c>
      <c r="D26" s="6">
        <v>2.5</v>
      </c>
      <c r="E26" s="6"/>
      <c r="F26" s="6"/>
      <c r="G26" s="6"/>
      <c r="H26" s="6"/>
      <c r="I26" s="60">
        <f t="shared" si="0"/>
        <v>10.752000000000001</v>
      </c>
      <c r="J26" s="60">
        <f t="shared" si="1"/>
        <v>91.111999999999995</v>
      </c>
      <c r="K26" s="61">
        <f t="shared" si="2"/>
        <v>101.86399999999999</v>
      </c>
    </row>
    <row r="27" spans="1:12" ht="12" customHeight="1">
      <c r="A27" s="48" t="s">
        <v>31</v>
      </c>
      <c r="B27" s="71"/>
      <c r="C27" s="6"/>
      <c r="D27" s="6"/>
      <c r="E27" s="6"/>
      <c r="F27" s="6"/>
      <c r="G27" s="6">
        <v>2</v>
      </c>
      <c r="H27" s="6"/>
      <c r="I27" s="60">
        <f t="shared" si="0"/>
        <v>8.7520000000000007</v>
      </c>
      <c r="J27" s="60">
        <f t="shared" si="1"/>
        <v>91.111999999999995</v>
      </c>
      <c r="K27" s="61">
        <f t="shared" si="2"/>
        <v>99.86399999999999</v>
      </c>
    </row>
    <row r="28" spans="1:12" ht="12" customHeight="1">
      <c r="A28" s="48" t="s">
        <v>32</v>
      </c>
      <c r="B28" s="71"/>
      <c r="C28" s="6"/>
      <c r="D28" s="6"/>
      <c r="E28" s="6"/>
      <c r="F28" s="6"/>
      <c r="G28" s="6">
        <v>2</v>
      </c>
      <c r="H28" s="6"/>
      <c r="I28" s="60">
        <f t="shared" si="0"/>
        <v>6.7520000000000007</v>
      </c>
      <c r="J28" s="60">
        <f t="shared" si="1"/>
        <v>91.111999999999995</v>
      </c>
      <c r="K28" s="61">
        <f t="shared" si="2"/>
        <v>97.86399999999999</v>
      </c>
    </row>
    <row r="29" spans="1:12" ht="12" customHeight="1">
      <c r="A29" s="48" t="s">
        <v>33</v>
      </c>
      <c r="B29" s="71"/>
      <c r="C29" s="11">
        <v>1.25</v>
      </c>
      <c r="D29" s="11">
        <v>1.25</v>
      </c>
      <c r="E29" s="6"/>
      <c r="F29" s="6"/>
      <c r="G29" s="6"/>
      <c r="H29" s="6"/>
      <c r="I29" s="60">
        <f t="shared" si="0"/>
        <v>8.0020000000000007</v>
      </c>
      <c r="J29" s="60">
        <f t="shared" si="1"/>
        <v>92.361999999999995</v>
      </c>
      <c r="K29" s="61">
        <f t="shared" si="2"/>
        <v>100.36399999999999</v>
      </c>
    </row>
    <row r="30" spans="1:12" ht="12" customHeight="1">
      <c r="A30" s="48" t="s">
        <v>35</v>
      </c>
      <c r="B30" s="71"/>
      <c r="C30" s="11">
        <v>1.25</v>
      </c>
      <c r="D30" s="11">
        <v>1.25</v>
      </c>
      <c r="E30" s="6"/>
      <c r="F30" s="6"/>
      <c r="G30" s="6"/>
      <c r="H30" s="6"/>
      <c r="I30" s="60">
        <f t="shared" si="0"/>
        <v>9.2520000000000007</v>
      </c>
      <c r="J30" s="60">
        <f t="shared" si="1"/>
        <v>93.611999999999995</v>
      </c>
      <c r="K30" s="61">
        <f t="shared" si="2"/>
        <v>102.86399999999999</v>
      </c>
    </row>
    <row r="31" spans="1:12" ht="12" customHeight="1">
      <c r="A31" s="47" t="s">
        <v>34</v>
      </c>
      <c r="B31" s="72"/>
      <c r="C31" s="75"/>
      <c r="D31" s="75"/>
      <c r="E31" s="75"/>
      <c r="F31" s="75"/>
      <c r="G31" s="75">
        <v>2</v>
      </c>
      <c r="H31" s="75"/>
      <c r="I31" s="60">
        <f t="shared" si="0"/>
        <v>7.2520000000000007</v>
      </c>
      <c r="J31" s="60">
        <f t="shared" si="1"/>
        <v>93.611999999999995</v>
      </c>
      <c r="K31" s="61">
        <f t="shared" si="2"/>
        <v>100.86399999999999</v>
      </c>
    </row>
    <row r="32" spans="1:12" s="63" customFormat="1" ht="12" customHeight="1">
      <c r="A32" s="47" t="s">
        <v>36</v>
      </c>
      <c r="B32" s="72"/>
      <c r="C32" s="75">
        <v>2</v>
      </c>
      <c r="D32" s="75"/>
      <c r="E32" s="75"/>
      <c r="F32" s="75"/>
      <c r="G32" s="75"/>
      <c r="H32" s="75"/>
      <c r="I32" s="60">
        <f t="shared" si="0"/>
        <v>9.2520000000000007</v>
      </c>
      <c r="J32" s="60">
        <f t="shared" si="1"/>
        <v>93.611999999999995</v>
      </c>
      <c r="K32" s="61">
        <f t="shared" si="2"/>
        <v>102.86399999999999</v>
      </c>
      <c r="L32" s="62"/>
    </row>
    <row r="33" spans="1:12" s="63" customFormat="1" ht="12" customHeight="1">
      <c r="A33" s="48" t="s">
        <v>37</v>
      </c>
      <c r="B33" s="71"/>
      <c r="C33" s="35">
        <v>1.25</v>
      </c>
      <c r="D33" s="35">
        <v>1.25</v>
      </c>
      <c r="E33" s="75"/>
      <c r="F33" s="75"/>
      <c r="G33" s="75"/>
      <c r="H33" s="75"/>
      <c r="I33" s="60">
        <f t="shared" si="0"/>
        <v>10.502000000000001</v>
      </c>
      <c r="J33" s="60">
        <f t="shared" si="1"/>
        <v>94.861999999999995</v>
      </c>
      <c r="K33" s="61">
        <f t="shared" si="2"/>
        <v>105.36399999999999</v>
      </c>
      <c r="L33" s="62"/>
    </row>
    <row r="34" spans="1:12" ht="12" customHeight="1">
      <c r="A34" s="47" t="s">
        <v>38</v>
      </c>
      <c r="B34" s="72"/>
      <c r="C34" s="76"/>
      <c r="D34" s="76"/>
      <c r="E34" s="76"/>
      <c r="F34" s="76">
        <v>1</v>
      </c>
      <c r="G34" s="76"/>
      <c r="H34" s="76"/>
      <c r="I34" s="60">
        <f t="shared" si="0"/>
        <v>10.502000000000001</v>
      </c>
      <c r="J34" s="60">
        <f t="shared" si="1"/>
        <v>93.861999999999995</v>
      </c>
      <c r="K34" s="61">
        <f t="shared" si="2"/>
        <v>104.36399999999999</v>
      </c>
    </row>
    <row r="35" spans="1:12" s="63" customFormat="1" ht="12" customHeight="1">
      <c r="A35" s="48" t="s">
        <v>39</v>
      </c>
      <c r="B35" s="71"/>
      <c r="C35" s="35">
        <v>2.5</v>
      </c>
      <c r="D35" s="35">
        <v>2.5</v>
      </c>
      <c r="E35" s="35"/>
      <c r="F35" s="35"/>
      <c r="G35" s="35"/>
      <c r="H35" s="35"/>
      <c r="I35" s="60">
        <f t="shared" si="0"/>
        <v>13.002000000000001</v>
      </c>
      <c r="J35" s="60">
        <f t="shared" si="1"/>
        <v>96.361999999999995</v>
      </c>
      <c r="K35" s="61">
        <f t="shared" si="2"/>
        <v>109.36399999999999</v>
      </c>
      <c r="L35" s="62"/>
    </row>
    <row r="36" spans="1:12" s="63" customFormat="1" ht="12" customHeight="1">
      <c r="A36" s="47" t="s">
        <v>40</v>
      </c>
      <c r="B36" s="72"/>
      <c r="C36" s="35"/>
      <c r="D36" s="35"/>
      <c r="E36" s="35"/>
      <c r="F36" s="35"/>
      <c r="G36" s="35">
        <v>2</v>
      </c>
      <c r="H36" s="35"/>
      <c r="I36" s="60">
        <f t="shared" si="0"/>
        <v>11.002000000000001</v>
      </c>
      <c r="J36" s="60">
        <f t="shared" si="1"/>
        <v>96.361999999999995</v>
      </c>
      <c r="K36" s="61">
        <f t="shared" si="2"/>
        <v>107.36399999999999</v>
      </c>
      <c r="L36" s="62"/>
    </row>
    <row r="37" spans="1:12" ht="12" customHeight="1">
      <c r="A37" s="48" t="s">
        <v>62</v>
      </c>
      <c r="B37" s="71"/>
      <c r="C37" s="35">
        <v>5</v>
      </c>
      <c r="D37" s="35">
        <v>5</v>
      </c>
      <c r="E37" s="35"/>
      <c r="F37" s="35"/>
      <c r="G37" s="35"/>
      <c r="H37" s="35"/>
      <c r="I37" s="60">
        <f t="shared" si="0"/>
        <v>16.002000000000002</v>
      </c>
      <c r="J37" s="60">
        <f t="shared" si="1"/>
        <v>101.36199999999999</v>
      </c>
      <c r="K37" s="61">
        <f t="shared" si="2"/>
        <v>117.364</v>
      </c>
    </row>
    <row r="38" spans="1:12" ht="12" customHeight="1">
      <c r="A38" s="49" t="s">
        <v>63</v>
      </c>
      <c r="B38" s="50"/>
      <c r="C38" s="35"/>
      <c r="D38" s="35"/>
      <c r="E38" s="35">
        <v>6</v>
      </c>
      <c r="F38" s="35">
        <v>23</v>
      </c>
      <c r="G38" s="35"/>
      <c r="H38" s="35"/>
      <c r="I38" s="60">
        <f t="shared" si="0"/>
        <v>10.002000000000002</v>
      </c>
      <c r="J38" s="60">
        <f t="shared" si="1"/>
        <v>78.361999999999995</v>
      </c>
      <c r="K38" s="61">
        <f t="shared" si="2"/>
        <v>88.364000000000004</v>
      </c>
    </row>
    <row r="39" spans="1:12" ht="12" customHeight="1">
      <c r="A39" s="35" t="s">
        <v>70</v>
      </c>
      <c r="B39" s="50"/>
      <c r="C39" s="75"/>
      <c r="D39" s="75"/>
      <c r="E39" s="75"/>
      <c r="F39" s="75"/>
      <c r="G39" s="75"/>
      <c r="H39" s="75">
        <v>1</v>
      </c>
      <c r="I39" s="60">
        <v>10.002000000000001</v>
      </c>
      <c r="J39" s="60">
        <f t="shared" si="1"/>
        <v>78.361999999999995</v>
      </c>
      <c r="K39" s="61">
        <f t="shared" si="2"/>
        <v>88.36399999999999</v>
      </c>
    </row>
    <row r="40" spans="1:12" ht="12" customHeight="1">
      <c r="A40" s="35" t="s">
        <v>64</v>
      </c>
      <c r="B40" s="50"/>
      <c r="C40" s="35"/>
      <c r="D40" s="35"/>
      <c r="E40" s="35"/>
      <c r="F40" s="35"/>
      <c r="G40" s="35">
        <v>1</v>
      </c>
      <c r="H40" s="35"/>
      <c r="I40" s="60">
        <v>9.0020000000000007</v>
      </c>
      <c r="J40" s="60">
        <f t="shared" si="1"/>
        <v>78.361999999999995</v>
      </c>
      <c r="K40" s="61">
        <f t="shared" si="2"/>
        <v>87.36399999999999</v>
      </c>
    </row>
    <row r="41" spans="1:12" ht="12" customHeight="1">
      <c r="A41" s="81" t="s">
        <v>65</v>
      </c>
      <c r="B41" s="70"/>
      <c r="C41" s="77"/>
      <c r="D41" s="75"/>
      <c r="E41" s="75"/>
      <c r="F41" s="75"/>
      <c r="G41" s="75"/>
      <c r="H41" s="75">
        <v>2</v>
      </c>
      <c r="I41" s="60">
        <v>9.0020000000000007</v>
      </c>
      <c r="J41" s="60">
        <f t="shared" si="1"/>
        <v>78.361999999999995</v>
      </c>
      <c r="K41" s="61">
        <f t="shared" si="2"/>
        <v>87.36399999999999</v>
      </c>
    </row>
    <row r="42" spans="1:12" ht="12" customHeight="1">
      <c r="A42" s="35" t="s">
        <v>66</v>
      </c>
      <c r="B42" s="50"/>
      <c r="C42" s="35">
        <v>1.25</v>
      </c>
      <c r="D42" s="35">
        <v>1.25</v>
      </c>
      <c r="E42" s="35"/>
      <c r="F42" s="35"/>
      <c r="G42" s="35"/>
      <c r="H42" s="35"/>
      <c r="I42" s="60">
        <f t="shared" si="0"/>
        <v>10.252000000000001</v>
      </c>
      <c r="J42" s="60">
        <f t="shared" si="1"/>
        <v>79.611999999999995</v>
      </c>
      <c r="K42" s="61">
        <f t="shared" si="2"/>
        <v>89.86399999999999</v>
      </c>
    </row>
    <row r="43" spans="1:12" ht="12" customHeight="1">
      <c r="A43" s="35" t="s">
        <v>68</v>
      </c>
      <c r="B43" s="50"/>
      <c r="C43" s="35"/>
      <c r="D43" s="35"/>
      <c r="E43" s="35"/>
      <c r="F43" s="35">
        <v>2</v>
      </c>
      <c r="G43" s="35"/>
      <c r="H43" s="35"/>
      <c r="I43" s="60">
        <f t="shared" si="0"/>
        <v>10.252000000000001</v>
      </c>
      <c r="J43" s="60">
        <f t="shared" si="1"/>
        <v>77.611999999999995</v>
      </c>
      <c r="K43" s="61">
        <f t="shared" si="2"/>
        <v>87.86399999999999</v>
      </c>
    </row>
    <row r="44" spans="1:12" ht="12" customHeight="1">
      <c r="A44" s="46" t="s">
        <v>69</v>
      </c>
      <c r="B44" s="72"/>
      <c r="C44" s="14"/>
      <c r="D44" s="14"/>
      <c r="E44" s="14"/>
      <c r="F44" s="46">
        <v>5</v>
      </c>
      <c r="G44" s="14"/>
      <c r="H44" s="14"/>
      <c r="I44" s="60">
        <f t="shared" si="0"/>
        <v>10.252000000000001</v>
      </c>
      <c r="J44" s="60">
        <f t="shared" si="1"/>
        <v>72.611999999999995</v>
      </c>
      <c r="K44" s="61">
        <f t="shared" si="2"/>
        <v>82.86399999999999</v>
      </c>
    </row>
    <row r="45" spans="1:12" ht="14.25" customHeight="1">
      <c r="A45" s="65" t="s">
        <v>73</v>
      </c>
      <c r="B45" s="64"/>
      <c r="C45" s="59">
        <v>3.75</v>
      </c>
      <c r="D45" s="69">
        <v>3.75</v>
      </c>
      <c r="E45" s="59"/>
      <c r="F45" s="59"/>
      <c r="G45" s="59"/>
      <c r="H45" s="59"/>
      <c r="I45" s="60">
        <f t="shared" si="0"/>
        <v>14.002000000000001</v>
      </c>
      <c r="J45" s="60">
        <f t="shared" si="1"/>
        <v>76.361999999999995</v>
      </c>
      <c r="K45" s="61">
        <f t="shared" si="2"/>
        <v>90.36399999999999</v>
      </c>
    </row>
    <row r="46" spans="1:12" ht="13.5" customHeight="1">
      <c r="A46" s="65" t="s">
        <v>74</v>
      </c>
      <c r="B46" s="64"/>
      <c r="C46" s="59">
        <v>5</v>
      </c>
      <c r="D46" s="69">
        <v>5</v>
      </c>
      <c r="E46" s="59"/>
      <c r="F46" s="59"/>
      <c r="G46" s="59"/>
      <c r="H46" s="59"/>
      <c r="I46" s="60">
        <f t="shared" si="0"/>
        <v>19.002000000000002</v>
      </c>
      <c r="J46" s="60">
        <f t="shared" si="1"/>
        <v>81.361999999999995</v>
      </c>
      <c r="K46" s="61">
        <f t="shared" si="2"/>
        <v>100.364</v>
      </c>
    </row>
    <row r="47" spans="1:12" ht="15" customHeight="1">
      <c r="A47" s="65" t="s">
        <v>75</v>
      </c>
      <c r="B47" s="80"/>
      <c r="C47" s="59"/>
      <c r="D47" s="59"/>
      <c r="E47" s="59"/>
      <c r="F47" s="59"/>
      <c r="G47" s="59">
        <v>3</v>
      </c>
      <c r="H47" s="59"/>
      <c r="I47" s="60">
        <f t="shared" ref="I47" si="5">I46-G47-E47+C47</f>
        <v>16.002000000000002</v>
      </c>
      <c r="J47" s="60">
        <f t="shared" ref="J47" si="6">J46-F47+D47</f>
        <v>81.361999999999995</v>
      </c>
      <c r="K47" s="61">
        <f t="shared" ref="K47" si="7">SUM(I47:J47)</f>
        <v>97.364000000000004</v>
      </c>
    </row>
    <row r="48" spans="1:12" ht="15" customHeight="1">
      <c r="A48" s="65" t="s">
        <v>76</v>
      </c>
      <c r="B48" s="65"/>
      <c r="C48" s="59"/>
      <c r="D48" s="59"/>
      <c r="E48" s="59"/>
      <c r="F48" s="59"/>
      <c r="G48" s="59"/>
      <c r="H48" s="59">
        <v>3</v>
      </c>
      <c r="I48" s="60">
        <f t="shared" ref="I48" si="8">I47-G48-E48+C48</f>
        <v>16.002000000000002</v>
      </c>
      <c r="J48" s="60">
        <f t="shared" ref="J48" si="9">J47-F48+D48</f>
        <v>81.361999999999995</v>
      </c>
      <c r="K48" s="61">
        <f t="shared" ref="K48" si="10">SUM(I48:J48)</f>
        <v>97.364000000000004</v>
      </c>
    </row>
    <row r="49" spans="1:11" ht="15" customHeight="1">
      <c r="A49" s="82" t="s">
        <v>77</v>
      </c>
      <c r="B49" s="65"/>
      <c r="C49" s="59">
        <v>3.75</v>
      </c>
      <c r="D49" s="59">
        <v>3.75</v>
      </c>
      <c r="E49" s="59"/>
      <c r="F49" s="59"/>
      <c r="G49" s="59"/>
      <c r="H49" s="59"/>
      <c r="I49" s="60">
        <f t="shared" ref="I49" si="11">I48-G49-E49+C49</f>
        <v>19.752000000000002</v>
      </c>
      <c r="J49" s="60">
        <f t="shared" ref="J49" si="12">J48-F49+D49</f>
        <v>85.111999999999995</v>
      </c>
      <c r="K49" s="61">
        <f t="shared" ref="K49" si="13">SUM(I49:J49)</f>
        <v>104.864</v>
      </c>
    </row>
    <row r="50" spans="1:11" ht="15" customHeight="1">
      <c r="A50" s="83" t="s">
        <v>78</v>
      </c>
      <c r="B50" s="65"/>
      <c r="C50" s="59"/>
      <c r="D50" s="59"/>
      <c r="E50" s="59">
        <v>14</v>
      </c>
      <c r="F50" s="59"/>
      <c r="G50" s="59"/>
      <c r="H50" s="59"/>
      <c r="I50" s="59">
        <f t="shared" ref="I50" si="14">I49-G50-E50+C50</f>
        <v>5.7520000000000024</v>
      </c>
      <c r="J50" s="59">
        <f t="shared" ref="J50" si="15">J49-F50+D50</f>
        <v>85.111999999999995</v>
      </c>
      <c r="K50" s="78">
        <f t="shared" ref="K50" si="16">SUM(I50:J50)</f>
        <v>90.864000000000004</v>
      </c>
    </row>
    <row r="51" spans="1:11" ht="15" customHeight="1">
      <c r="A51" s="84" t="s">
        <v>79</v>
      </c>
      <c r="B51" s="65"/>
      <c r="C51" s="59">
        <v>1.25</v>
      </c>
      <c r="D51" s="59">
        <v>1.25</v>
      </c>
      <c r="E51" s="59"/>
      <c r="F51" s="59"/>
      <c r="G51" s="59"/>
      <c r="H51" s="59"/>
      <c r="I51" s="59">
        <f t="shared" ref="I51:I53" si="17">I50-G51-E51+C51</f>
        <v>7.0020000000000024</v>
      </c>
      <c r="J51" s="59">
        <f t="shared" ref="J51:J53" si="18">J50-F51+D51</f>
        <v>86.361999999999995</v>
      </c>
      <c r="K51" s="78">
        <f t="shared" ref="K51:K53" si="19">SUM(I51:J51)</f>
        <v>93.364000000000004</v>
      </c>
    </row>
    <row r="52" spans="1:11" ht="15" customHeight="1">
      <c r="A52" s="84" t="s">
        <v>80</v>
      </c>
      <c r="B52" s="65"/>
      <c r="C52" s="59"/>
      <c r="D52" s="59"/>
      <c r="E52" s="59"/>
      <c r="F52" s="59">
        <v>1</v>
      </c>
      <c r="G52" s="59"/>
      <c r="H52" s="59"/>
      <c r="I52" s="59">
        <f t="shared" si="17"/>
        <v>7.0020000000000024</v>
      </c>
      <c r="J52" s="59">
        <f t="shared" si="18"/>
        <v>85.361999999999995</v>
      </c>
      <c r="K52" s="78">
        <f t="shared" si="19"/>
        <v>92.364000000000004</v>
      </c>
    </row>
    <row r="53" spans="1:11" ht="15" customHeight="1">
      <c r="A53" s="84" t="s">
        <v>81</v>
      </c>
      <c r="B53" s="65"/>
      <c r="C53" s="59"/>
      <c r="D53" s="59"/>
      <c r="E53" s="59"/>
      <c r="F53" s="59"/>
      <c r="G53" s="59">
        <v>1</v>
      </c>
      <c r="H53" s="59"/>
      <c r="I53" s="59">
        <f t="shared" si="17"/>
        <v>6.0020000000000024</v>
      </c>
      <c r="J53" s="59">
        <f t="shared" si="18"/>
        <v>85.361999999999995</v>
      </c>
      <c r="K53" s="78">
        <f t="shared" si="19"/>
        <v>91.364000000000004</v>
      </c>
    </row>
    <row r="54" spans="1:11" ht="15" customHeight="1">
      <c r="A54" s="85" t="s">
        <v>82</v>
      </c>
      <c r="B54" s="65"/>
      <c r="C54" s="59">
        <v>1.25</v>
      </c>
      <c r="D54" s="59">
        <v>1.25</v>
      </c>
      <c r="E54" s="59"/>
      <c r="F54" s="59"/>
      <c r="G54" s="59"/>
      <c r="H54" s="59"/>
      <c r="I54" s="59">
        <f t="shared" ref="I54:I55" si="20">I53-G54-E54+C54</f>
        <v>7.2520000000000024</v>
      </c>
      <c r="J54" s="59">
        <f t="shared" ref="J54:J55" si="21">J53-F54+D54</f>
        <v>86.611999999999995</v>
      </c>
      <c r="K54" s="78">
        <f t="shared" ref="K54:K55" si="22">SUM(I54:J54)</f>
        <v>93.864000000000004</v>
      </c>
    </row>
    <row r="55" spans="1:11" ht="15" customHeight="1">
      <c r="A55" s="85" t="s">
        <v>83</v>
      </c>
      <c r="B55" s="65"/>
      <c r="C55" s="59"/>
      <c r="D55" s="59"/>
      <c r="E55" s="59"/>
      <c r="F55" s="59"/>
      <c r="G55" s="59">
        <v>1</v>
      </c>
      <c r="H55" s="59"/>
      <c r="I55" s="59">
        <f t="shared" si="20"/>
        <v>6.2520000000000024</v>
      </c>
      <c r="J55" s="59">
        <f t="shared" si="21"/>
        <v>86.611999999999995</v>
      </c>
      <c r="K55" s="78">
        <f t="shared" si="22"/>
        <v>92.864000000000004</v>
      </c>
    </row>
    <row r="56" spans="1:11" ht="15" customHeight="1">
      <c r="A56" s="86" t="s">
        <v>84</v>
      </c>
      <c r="B56" s="65"/>
      <c r="C56" s="59">
        <v>1.25</v>
      </c>
      <c r="D56" s="59">
        <v>1.25</v>
      </c>
      <c r="E56" s="59"/>
      <c r="F56" s="59"/>
      <c r="G56" s="59"/>
      <c r="H56" s="59"/>
      <c r="I56" s="59">
        <f t="shared" ref="I56:I57" si="23">I55-G56-E56+C56</f>
        <v>7.5020000000000024</v>
      </c>
      <c r="J56" s="59">
        <f t="shared" ref="J56:J57" si="24">J55-F56+D56</f>
        <v>87.861999999999995</v>
      </c>
      <c r="K56" s="78">
        <f t="shared" ref="K56:K57" si="25">SUM(I56:J56)</f>
        <v>95.364000000000004</v>
      </c>
    </row>
    <row r="57" spans="1:11" ht="15" customHeight="1">
      <c r="A57" s="86" t="s">
        <v>85</v>
      </c>
      <c r="B57" s="65"/>
      <c r="C57" s="59"/>
      <c r="D57" s="59"/>
      <c r="E57" s="59"/>
      <c r="F57" s="59">
        <v>1</v>
      </c>
      <c r="G57" s="59"/>
      <c r="H57" s="59"/>
      <c r="I57" s="59">
        <f t="shared" si="23"/>
        <v>7.5020000000000024</v>
      </c>
      <c r="J57" s="59">
        <f t="shared" si="24"/>
        <v>86.861999999999995</v>
      </c>
      <c r="K57" s="78">
        <f t="shared" si="25"/>
        <v>94.364000000000004</v>
      </c>
    </row>
    <row r="58" spans="1:11" ht="15" customHeight="1">
      <c r="A58" s="87" t="s">
        <v>86</v>
      </c>
      <c r="B58" s="65"/>
      <c r="C58" s="59">
        <v>1.25</v>
      </c>
      <c r="D58" s="59">
        <v>1.25</v>
      </c>
      <c r="E58" s="59"/>
      <c r="F58" s="59"/>
      <c r="G58" s="59"/>
      <c r="H58" s="59"/>
      <c r="I58" s="59">
        <f t="shared" ref="I58:I59" si="26">I57-G58-E58+C58</f>
        <v>8.7520000000000024</v>
      </c>
      <c r="J58" s="59">
        <f t="shared" ref="J58:J59" si="27">J57-F58+D58</f>
        <v>88.111999999999995</v>
      </c>
      <c r="K58" s="78">
        <f t="shared" ref="K58:K59" si="28">SUM(I58:J58)</f>
        <v>96.864000000000004</v>
      </c>
    </row>
    <row r="59" spans="1:11" ht="15" customHeight="1">
      <c r="A59" s="87" t="s">
        <v>87</v>
      </c>
      <c r="B59" s="65"/>
      <c r="C59" s="59"/>
      <c r="D59" s="59"/>
      <c r="E59" s="59"/>
      <c r="F59" s="59">
        <v>1</v>
      </c>
      <c r="G59" s="59"/>
      <c r="H59" s="59"/>
      <c r="I59" s="59">
        <f t="shared" si="26"/>
        <v>8.7520000000000024</v>
      </c>
      <c r="J59" s="59">
        <f t="shared" si="27"/>
        <v>87.111999999999995</v>
      </c>
      <c r="K59" s="78">
        <f t="shared" si="28"/>
        <v>95.864000000000004</v>
      </c>
    </row>
    <row r="60" spans="1:11" ht="15" customHeight="1">
      <c r="A60" s="90" t="s">
        <v>88</v>
      </c>
      <c r="B60" s="65"/>
      <c r="C60" s="59">
        <v>1.25</v>
      </c>
      <c r="D60" s="59">
        <v>1.25</v>
      </c>
      <c r="E60" s="59"/>
      <c r="F60" s="59"/>
      <c r="G60" s="59"/>
      <c r="H60" s="59"/>
      <c r="I60" s="59">
        <f t="shared" ref="I60:I61" si="29">I59-G60-E60+C60</f>
        <v>10.002000000000002</v>
      </c>
      <c r="J60" s="59">
        <f t="shared" ref="J60:J61" si="30">J59-F60+D60</f>
        <v>88.361999999999995</v>
      </c>
      <c r="K60" s="78">
        <f t="shared" ref="K60:K61" si="31">SUM(I60:J60)</f>
        <v>98.364000000000004</v>
      </c>
    </row>
    <row r="61" spans="1:11" ht="15" customHeight="1">
      <c r="A61" s="92" t="s">
        <v>91</v>
      </c>
      <c r="B61" s="65"/>
      <c r="C61" s="59"/>
      <c r="D61" s="59"/>
      <c r="E61" s="59"/>
      <c r="F61" s="59"/>
      <c r="G61" s="79">
        <v>4</v>
      </c>
      <c r="H61" s="59"/>
      <c r="I61" s="59">
        <f t="shared" si="29"/>
        <v>6.0020000000000024</v>
      </c>
      <c r="J61" s="59">
        <f t="shared" si="30"/>
        <v>88.361999999999995</v>
      </c>
      <c r="K61" s="78">
        <f t="shared" si="31"/>
        <v>94.364000000000004</v>
      </c>
    </row>
    <row r="62" spans="1:11" ht="15" customHeight="1">
      <c r="A62" s="91" t="s">
        <v>89</v>
      </c>
      <c r="B62" s="65"/>
      <c r="C62" s="59">
        <v>3.75</v>
      </c>
      <c r="D62" s="59">
        <v>3.75</v>
      </c>
      <c r="E62" s="59"/>
      <c r="F62" s="59"/>
      <c r="G62" s="59"/>
      <c r="H62" s="59"/>
      <c r="I62" s="59">
        <f t="shared" ref="I62:I63" si="32">I61-G62-E62+C62</f>
        <v>9.7520000000000024</v>
      </c>
      <c r="J62" s="59">
        <f t="shared" ref="J62:J63" si="33">J61-F62+D62</f>
        <v>92.111999999999995</v>
      </c>
      <c r="K62" s="78">
        <f t="shared" ref="K62:K63" si="34">SUM(I62:J62)</f>
        <v>101.864</v>
      </c>
    </row>
    <row r="63" spans="1:11" ht="15" customHeight="1">
      <c r="A63" s="91" t="s">
        <v>90</v>
      </c>
      <c r="B63" s="65"/>
      <c r="C63" s="59"/>
      <c r="D63" s="59"/>
      <c r="E63" s="59"/>
      <c r="F63" s="59">
        <v>1</v>
      </c>
      <c r="G63" s="59"/>
      <c r="H63" s="59"/>
      <c r="I63" s="59">
        <f t="shared" si="32"/>
        <v>9.7520000000000024</v>
      </c>
      <c r="J63" s="59">
        <f t="shared" si="33"/>
        <v>91.111999999999995</v>
      </c>
      <c r="K63" s="78">
        <f t="shared" si="34"/>
        <v>100.864</v>
      </c>
    </row>
    <row r="64" spans="1:11" ht="15" hidden="1" customHeight="1">
      <c r="A64" s="90"/>
      <c r="B64" s="65"/>
      <c r="C64" s="59"/>
      <c r="D64" s="59"/>
      <c r="E64" s="59"/>
      <c r="F64" s="59"/>
      <c r="G64" s="59"/>
      <c r="H64" s="59"/>
      <c r="I64" s="59">
        <f t="shared" ref="I64:I69" si="35">I63-G64-E64+C64</f>
        <v>9.7520000000000024</v>
      </c>
      <c r="J64" s="59">
        <f t="shared" ref="J64:J69" si="36">J63-F64+D64</f>
        <v>91.111999999999995</v>
      </c>
      <c r="K64" s="78">
        <f t="shared" ref="K64:K69" si="37">SUM(I64:J64)</f>
        <v>100.864</v>
      </c>
    </row>
    <row r="65" spans="1:11" ht="15" hidden="1" customHeight="1">
      <c r="A65" s="90"/>
      <c r="B65" s="65"/>
      <c r="C65" s="59"/>
      <c r="D65" s="59"/>
      <c r="E65" s="59"/>
      <c r="F65" s="59"/>
      <c r="G65" s="59"/>
      <c r="H65" s="59"/>
      <c r="I65" s="59">
        <f t="shared" si="35"/>
        <v>9.7520000000000024</v>
      </c>
      <c r="J65" s="59">
        <f t="shared" si="36"/>
        <v>91.111999999999995</v>
      </c>
      <c r="K65" s="78">
        <f t="shared" si="37"/>
        <v>100.864</v>
      </c>
    </row>
    <row r="66" spans="1:11" ht="15" hidden="1" customHeight="1">
      <c r="A66" s="90"/>
      <c r="B66" s="65"/>
      <c r="C66" s="59"/>
      <c r="D66" s="59"/>
      <c r="E66" s="59"/>
      <c r="F66" s="59"/>
      <c r="G66" s="59"/>
      <c r="H66" s="59"/>
      <c r="I66" s="59">
        <f t="shared" si="35"/>
        <v>9.7520000000000024</v>
      </c>
      <c r="J66" s="59">
        <f t="shared" si="36"/>
        <v>91.111999999999995</v>
      </c>
      <c r="K66" s="78">
        <f t="shared" si="37"/>
        <v>100.864</v>
      </c>
    </row>
    <row r="67" spans="1:11" ht="15" hidden="1" customHeight="1">
      <c r="A67" s="87"/>
      <c r="B67" s="65"/>
      <c r="C67" s="59"/>
      <c r="D67" s="59"/>
      <c r="E67" s="59"/>
      <c r="F67" s="59"/>
      <c r="G67" s="59"/>
      <c r="H67" s="59"/>
      <c r="I67" s="59">
        <f t="shared" si="35"/>
        <v>9.7520000000000024</v>
      </c>
      <c r="J67" s="59">
        <f t="shared" si="36"/>
        <v>91.111999999999995</v>
      </c>
      <c r="K67" s="78">
        <f t="shared" si="37"/>
        <v>100.864</v>
      </c>
    </row>
    <row r="68" spans="1:11" ht="15" customHeight="1">
      <c r="A68" s="92" t="s">
        <v>92</v>
      </c>
      <c r="B68" s="65"/>
      <c r="C68" s="59">
        <v>1.25</v>
      </c>
      <c r="D68" s="59">
        <v>1.25</v>
      </c>
      <c r="E68" s="59"/>
      <c r="F68" s="59"/>
      <c r="G68" s="59"/>
      <c r="H68" s="59"/>
      <c r="I68" s="59">
        <f t="shared" si="35"/>
        <v>11.002000000000002</v>
      </c>
      <c r="J68" s="59">
        <f t="shared" si="36"/>
        <v>92.361999999999995</v>
      </c>
      <c r="K68" s="78">
        <f t="shared" si="37"/>
        <v>103.364</v>
      </c>
    </row>
    <row r="69" spans="1:11" ht="15" customHeight="1">
      <c r="A69" s="92" t="s">
        <v>93</v>
      </c>
      <c r="B69" s="65"/>
      <c r="C69" s="59"/>
      <c r="D69" s="59"/>
      <c r="E69" s="59"/>
      <c r="F69" s="59"/>
      <c r="G69" s="59"/>
      <c r="H69" s="93">
        <v>2</v>
      </c>
      <c r="I69" s="59">
        <f t="shared" si="35"/>
        <v>11.002000000000002</v>
      </c>
      <c r="J69" s="59">
        <f t="shared" si="36"/>
        <v>92.361999999999995</v>
      </c>
      <c r="K69" s="78">
        <f t="shared" si="37"/>
        <v>103.364</v>
      </c>
    </row>
    <row r="70" spans="1:11" ht="15" customHeight="1">
      <c r="A70" s="94" t="s">
        <v>94</v>
      </c>
      <c r="B70" s="65"/>
      <c r="C70" s="59">
        <v>1.25</v>
      </c>
      <c r="D70" s="59">
        <v>1.25</v>
      </c>
      <c r="E70" s="59"/>
      <c r="F70" s="59"/>
      <c r="G70" s="59"/>
      <c r="H70" s="59"/>
      <c r="I70" s="59">
        <f t="shared" ref="I70:I71" si="38">I69-G70-E70+C70</f>
        <v>12.252000000000002</v>
      </c>
      <c r="J70" s="59">
        <f t="shared" ref="J70:J71" si="39">J69-F70+D70</f>
        <v>93.611999999999995</v>
      </c>
      <c r="K70" s="78">
        <f t="shared" ref="K70:K71" si="40">SUM(I70:J70)</f>
        <v>105.864</v>
      </c>
    </row>
    <row r="71" spans="1:11" ht="15" customHeight="1">
      <c r="A71" s="94" t="s">
        <v>95</v>
      </c>
      <c r="B71" s="65"/>
      <c r="C71" s="59"/>
      <c r="D71" s="59"/>
      <c r="E71" s="59"/>
      <c r="F71" s="59">
        <v>2</v>
      </c>
      <c r="G71" s="59"/>
      <c r="H71" s="59"/>
      <c r="I71" s="59">
        <f t="shared" si="38"/>
        <v>12.252000000000002</v>
      </c>
      <c r="J71" s="59">
        <f t="shared" si="39"/>
        <v>91.611999999999995</v>
      </c>
      <c r="K71" s="78">
        <f t="shared" si="40"/>
        <v>103.864</v>
      </c>
    </row>
    <row r="72" spans="1:11" ht="15" customHeight="1">
      <c r="A72" s="151" t="s">
        <v>96</v>
      </c>
      <c r="B72" s="65"/>
      <c r="C72" s="59"/>
      <c r="D72" s="59"/>
      <c r="E72" s="59"/>
      <c r="F72" s="59">
        <v>1</v>
      </c>
      <c r="G72" s="59"/>
      <c r="H72" s="59"/>
      <c r="I72" s="59">
        <f t="shared" ref="I72" si="41">I71-G72-E72+C72</f>
        <v>12.252000000000002</v>
      </c>
      <c r="J72" s="59">
        <f t="shared" ref="J72" si="42">J71-F72+D72</f>
        <v>90.611999999999995</v>
      </c>
      <c r="K72" s="78">
        <f t="shared" ref="K72" si="43">SUM(I72:J72)</f>
        <v>102.864</v>
      </c>
    </row>
    <row r="73" spans="1:11" ht="15" customHeight="1">
      <c r="A73" s="94"/>
      <c r="B73" s="65"/>
      <c r="C73" s="59"/>
      <c r="D73" s="59"/>
      <c r="E73" s="59"/>
      <c r="F73" s="59"/>
      <c r="G73" s="59"/>
      <c r="H73" s="59"/>
      <c r="I73" s="59"/>
      <c r="J73" s="59"/>
      <c r="K73" s="59"/>
    </row>
    <row r="74" spans="1:11" ht="15" customHeight="1">
      <c r="A74" s="88"/>
      <c r="B74" s="67"/>
      <c r="C74" s="89"/>
      <c r="D74" s="89"/>
      <c r="E74" s="89"/>
      <c r="F74" s="89"/>
      <c r="G74" s="89"/>
      <c r="H74" s="89"/>
      <c r="I74" s="89"/>
      <c r="J74" s="89"/>
      <c r="K74" s="89"/>
    </row>
    <row r="75" spans="1:11">
      <c r="C75" s="56"/>
    </row>
    <row r="76" spans="1:11">
      <c r="C76" s="56"/>
    </row>
    <row r="77" spans="1:11">
      <c r="C77" s="56"/>
    </row>
    <row r="78" spans="1:11">
      <c r="C78" s="56"/>
      <c r="G78" s="67" t="s">
        <v>71</v>
      </c>
    </row>
    <row r="79" spans="1:11">
      <c r="C79" s="56"/>
    </row>
    <row r="80" spans="1:11">
      <c r="C80" s="56"/>
    </row>
    <row r="81" spans="3:3">
      <c r="C81" s="56"/>
    </row>
    <row r="82" spans="3:3">
      <c r="C82" s="56"/>
    </row>
    <row r="83" spans="3:3">
      <c r="C83" s="56"/>
    </row>
    <row r="84" spans="3:3">
      <c r="C84" s="56"/>
    </row>
    <row r="85" spans="3:3">
      <c r="C85" s="56"/>
    </row>
    <row r="86" spans="3:3">
      <c r="C86" s="56"/>
    </row>
    <row r="87" spans="3:3">
      <c r="C87" s="56"/>
    </row>
    <row r="88" spans="3:3">
      <c r="C88" s="56"/>
    </row>
    <row r="89" spans="3:3">
      <c r="C89" s="56"/>
    </row>
    <row r="90" spans="3:3">
      <c r="C90" s="56"/>
    </row>
    <row r="91" spans="3:3">
      <c r="C91" s="56"/>
    </row>
    <row r="92" spans="3:3">
      <c r="C92" s="56"/>
    </row>
    <row r="93" spans="3:3">
      <c r="C93" s="56"/>
    </row>
    <row r="94" spans="3:3">
      <c r="C94" s="56"/>
    </row>
    <row r="95" spans="3:3">
      <c r="C95" s="56"/>
    </row>
    <row r="96" spans="3:3">
      <c r="C96" s="56"/>
    </row>
    <row r="97" spans="3:3">
      <c r="C97" s="56"/>
    </row>
    <row r="98" spans="3:3">
      <c r="C98" s="56"/>
    </row>
    <row r="99" spans="3:3">
      <c r="C99" s="56"/>
    </row>
  </sheetData>
  <mergeCells count="13">
    <mergeCell ref="C9:E9"/>
    <mergeCell ref="A2:K2"/>
    <mergeCell ref="A3:K3"/>
    <mergeCell ref="A4:K4"/>
    <mergeCell ref="A5:K5"/>
    <mergeCell ref="C7:E7"/>
    <mergeCell ref="L11:L12"/>
    <mergeCell ref="A10:K10"/>
    <mergeCell ref="A11:A12"/>
    <mergeCell ref="C11:D11"/>
    <mergeCell ref="E11:H11"/>
    <mergeCell ref="I11:J11"/>
    <mergeCell ref="K11:K12"/>
  </mergeCells>
  <printOptions horizontalCentered="1"/>
  <pageMargins left="0.25" right="0.25" top="0.25" bottom="0.25" header="0.3" footer="0.3"/>
  <pageSetup paperSize="9" scale="74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C0BD-B84E-43BA-A62C-9CF88E603117}">
  <dimension ref="A1:L21"/>
  <sheetViews>
    <sheetView view="pageBreakPreview" zoomScale="112" zoomScaleNormal="100" zoomScaleSheetLayoutView="112" workbookViewId="0">
      <selection activeCell="D17" sqref="D17"/>
    </sheetView>
  </sheetViews>
  <sheetFormatPr defaultColWidth="8.7109375" defaultRowHeight="15"/>
  <cols>
    <col min="1" max="1" width="19.85546875" style="21" customWidth="1"/>
    <col min="2" max="2" width="23.85546875" style="21" customWidth="1"/>
    <col min="3" max="5" width="8.7109375" style="21"/>
    <col min="6" max="6" width="8.85546875" style="21" customWidth="1"/>
    <col min="7" max="16384" width="8.7109375" style="21"/>
  </cols>
  <sheetData>
    <row r="1" spans="1:12" s="16" customFormat="1" ht="52.5" customHeight="1"/>
    <row r="2" spans="1:12" s="16" customFormat="1" ht="10.5" customHeight="1">
      <c r="A2" s="110" t="s">
        <v>41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</row>
    <row r="3" spans="1:12" s="16" customFormat="1" ht="15.95" customHeight="1">
      <c r="A3" s="110" t="s">
        <v>42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1:12" s="16" customFormat="1" ht="15.95" customHeight="1">
      <c r="A4" s="110" t="s">
        <v>43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</row>
    <row r="5" spans="1:12" s="16" customFormat="1" ht="15.95" customHeight="1">
      <c r="A5" s="110" t="s">
        <v>44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</row>
    <row r="6" spans="1:12" s="16" customFormat="1" ht="8.25" customHeight="1"/>
    <row r="7" spans="1:12" s="16" customFormat="1" ht="12" customHeight="1">
      <c r="A7" s="16" t="s">
        <v>45</v>
      </c>
      <c r="C7" s="17" t="s">
        <v>46</v>
      </c>
      <c r="D7" s="17"/>
      <c r="G7" s="17" t="s">
        <v>2</v>
      </c>
      <c r="H7" s="18"/>
    </row>
    <row r="8" spans="1:12" s="16" customFormat="1" ht="12" customHeight="1">
      <c r="C8" s="19"/>
      <c r="G8" s="19"/>
      <c r="H8" s="19"/>
    </row>
    <row r="9" spans="1:12" s="16" customFormat="1" ht="12" customHeight="1">
      <c r="A9" s="16" t="s">
        <v>47</v>
      </c>
      <c r="C9" s="17" t="s">
        <v>48</v>
      </c>
      <c r="D9" s="17"/>
      <c r="G9" s="17" t="s">
        <v>5</v>
      </c>
      <c r="H9" s="20"/>
    </row>
    <row r="10" spans="1:12" ht="16.5" customHeight="1" thickBot="1">
      <c r="A10" s="111" t="s">
        <v>49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</row>
    <row r="11" spans="1:12" s="22" customFormat="1" ht="18.75" customHeight="1">
      <c r="A11" s="119" t="s">
        <v>7</v>
      </c>
      <c r="B11" s="121" t="s">
        <v>8</v>
      </c>
      <c r="C11" s="122"/>
      <c r="D11" s="122"/>
      <c r="E11" s="122"/>
      <c r="F11" s="122"/>
      <c r="G11" s="122"/>
      <c r="H11" s="122"/>
      <c r="I11" s="122"/>
      <c r="J11" s="122"/>
      <c r="K11" s="122"/>
      <c r="L11" s="123" t="s">
        <v>11</v>
      </c>
    </row>
    <row r="12" spans="1:12" s="22" customFormat="1" ht="13.5" customHeight="1">
      <c r="A12" s="120"/>
      <c r="B12" s="116" t="s">
        <v>50</v>
      </c>
      <c r="C12" s="125"/>
      <c r="D12" s="125"/>
      <c r="E12" s="117"/>
      <c r="F12" s="116" t="s">
        <v>51</v>
      </c>
      <c r="G12" s="117"/>
      <c r="H12" s="116" t="s">
        <v>52</v>
      </c>
      <c r="I12" s="117"/>
      <c r="J12" s="116" t="s">
        <v>53</v>
      </c>
      <c r="K12" s="117"/>
      <c r="L12" s="124"/>
    </row>
    <row r="13" spans="1:12" s="22" customFormat="1" ht="24.95" customHeight="1">
      <c r="A13" s="23" t="s">
        <v>54</v>
      </c>
      <c r="B13" s="112" t="s">
        <v>55</v>
      </c>
      <c r="C13" s="118"/>
      <c r="D13" s="118"/>
      <c r="E13" s="113"/>
      <c r="F13" s="112">
        <v>2</v>
      </c>
      <c r="G13" s="113"/>
      <c r="H13" s="112">
        <v>0</v>
      </c>
      <c r="I13" s="113"/>
      <c r="J13" s="112">
        <v>2</v>
      </c>
      <c r="K13" s="113"/>
      <c r="L13" s="24">
        <v>2</v>
      </c>
    </row>
    <row r="14" spans="1:12" s="26" customFormat="1" ht="25.5" customHeight="1">
      <c r="A14" s="23" t="s">
        <v>61</v>
      </c>
      <c r="B14" s="112" t="s">
        <v>55</v>
      </c>
      <c r="C14" s="118"/>
      <c r="D14" s="118"/>
      <c r="E14" s="113"/>
      <c r="F14" s="112">
        <v>2</v>
      </c>
      <c r="G14" s="113"/>
      <c r="H14" s="112">
        <v>1</v>
      </c>
      <c r="I14" s="113"/>
      <c r="J14" s="112">
        <f>F14-H14</f>
        <v>1</v>
      </c>
      <c r="K14" s="113"/>
      <c r="L14" s="25">
        <f>J14</f>
        <v>1</v>
      </c>
    </row>
    <row r="15" spans="1:12" s="26" customFormat="1">
      <c r="A15" s="27" t="s">
        <v>56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ht="6.95" customHeight="1">
      <c r="A16" s="114"/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</row>
    <row r="17" spans="1:3" s="16" customFormat="1">
      <c r="A17" s="16" t="s">
        <v>57</v>
      </c>
      <c r="C17" s="30"/>
    </row>
    <row r="18" spans="1:3" s="16" customFormat="1">
      <c r="C18" s="30"/>
    </row>
    <row r="19" spans="1:3">
      <c r="A19" s="115" t="s">
        <v>58</v>
      </c>
      <c r="B19" s="115"/>
    </row>
    <row r="20" spans="1:3">
      <c r="A20" s="126" t="s">
        <v>59</v>
      </c>
      <c r="B20" s="126"/>
    </row>
    <row r="21" spans="1:3">
      <c r="A21" s="127" t="s">
        <v>60</v>
      </c>
      <c r="B21" s="127"/>
    </row>
  </sheetData>
  <mergeCells count="24">
    <mergeCell ref="A20:B20"/>
    <mergeCell ref="A21:B21"/>
    <mergeCell ref="B14:E14"/>
    <mergeCell ref="F14:G14"/>
    <mergeCell ref="H14:I14"/>
    <mergeCell ref="J14:K14"/>
    <mergeCell ref="A16:L16"/>
    <mergeCell ref="A19:B19"/>
    <mergeCell ref="H12:I12"/>
    <mergeCell ref="J12:K12"/>
    <mergeCell ref="B13:E13"/>
    <mergeCell ref="F13:G13"/>
    <mergeCell ref="H13:I13"/>
    <mergeCell ref="J13:K13"/>
    <mergeCell ref="A11:A12"/>
    <mergeCell ref="B11:K11"/>
    <mergeCell ref="L11:L12"/>
    <mergeCell ref="B12:E12"/>
    <mergeCell ref="F12:G12"/>
    <mergeCell ref="A2:L2"/>
    <mergeCell ref="A3:L3"/>
    <mergeCell ref="A4:L4"/>
    <mergeCell ref="A5:L5"/>
    <mergeCell ref="A10:L10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1"/>
  <sheetViews>
    <sheetView view="pageBreakPreview" topLeftCell="A15" zoomScaleNormal="100" workbookViewId="0">
      <selection activeCell="B1" sqref="A1:K43"/>
    </sheetView>
  </sheetViews>
  <sheetFormatPr defaultColWidth="9" defaultRowHeight="15"/>
  <cols>
    <col min="1" max="1" width="9" customWidth="1"/>
    <col min="2" max="2" width="26.5703125" customWidth="1"/>
    <col min="3" max="10" width="10.5703125" customWidth="1"/>
    <col min="11" max="11" width="15.140625" customWidth="1"/>
    <col min="12" max="12" width="26.42578125" style="8" customWidth="1"/>
  </cols>
  <sheetData>
    <row r="1" spans="1:12" ht="33.75" customHeight="1">
      <c r="A1" s="1"/>
      <c r="B1" s="1"/>
      <c r="C1" s="1"/>
      <c r="D1" s="1"/>
      <c r="E1" s="141"/>
      <c r="F1" s="141"/>
      <c r="G1" s="141"/>
      <c r="H1" s="32"/>
      <c r="I1" s="1"/>
      <c r="J1" s="1"/>
      <c r="K1" s="1"/>
    </row>
    <row r="2" spans="1:12" ht="33.75" customHeight="1">
      <c r="A2" s="1"/>
      <c r="B2" s="1"/>
      <c r="C2" s="1"/>
      <c r="D2" s="1"/>
      <c r="E2" s="141"/>
      <c r="F2" s="141"/>
      <c r="G2" s="141"/>
      <c r="H2" s="32"/>
      <c r="I2" s="1"/>
      <c r="J2" s="1"/>
      <c r="K2" s="1"/>
    </row>
    <row r="3" spans="1:12" ht="39.950000000000003" customHeight="1">
      <c r="A3" s="1"/>
      <c r="B3" s="1"/>
      <c r="C3" s="1"/>
      <c r="D3" s="1"/>
      <c r="E3" s="141"/>
      <c r="F3" s="141"/>
      <c r="G3" s="141"/>
      <c r="H3" s="32"/>
      <c r="I3" s="1"/>
      <c r="J3" s="1"/>
      <c r="K3" s="1"/>
    </row>
    <row r="4" spans="1:12" ht="12" customHeight="1">
      <c r="A4" s="1" t="s">
        <v>0</v>
      </c>
      <c r="B4" s="9" t="s">
        <v>1</v>
      </c>
      <c r="C4" s="9"/>
      <c r="D4" s="2"/>
      <c r="E4" s="2"/>
      <c r="F4" s="1"/>
      <c r="G4" s="1"/>
      <c r="H4" s="1"/>
      <c r="I4" s="2" t="s">
        <v>2</v>
      </c>
      <c r="J4" s="15"/>
      <c r="K4" s="2"/>
    </row>
    <row r="5" spans="1:12" ht="12" customHeight="1">
      <c r="A5" s="1"/>
      <c r="B5" s="3"/>
      <c r="C5" s="4"/>
      <c r="D5" s="4"/>
      <c r="E5" s="1"/>
      <c r="F5" s="1"/>
      <c r="G5" s="1"/>
      <c r="H5" s="1"/>
      <c r="I5" s="4"/>
      <c r="J5" s="4"/>
      <c r="K5" s="4"/>
    </row>
    <row r="6" spans="1:12" ht="12" customHeight="1">
      <c r="A6" s="1" t="s">
        <v>3</v>
      </c>
      <c r="B6" s="146" t="s">
        <v>4</v>
      </c>
      <c r="C6" s="146"/>
      <c r="D6" s="4"/>
      <c r="E6" s="4"/>
      <c r="F6" s="1"/>
      <c r="G6" s="1"/>
      <c r="H6" s="1"/>
      <c r="I6" s="2" t="s">
        <v>5</v>
      </c>
      <c r="J6" s="9"/>
      <c r="K6" s="2"/>
    </row>
    <row r="7" spans="1:12" ht="21.75" thickBot="1">
      <c r="A7" s="1"/>
      <c r="B7" s="147" t="s">
        <v>6</v>
      </c>
      <c r="C7" s="147"/>
      <c r="D7" s="147"/>
      <c r="E7" s="147"/>
      <c r="F7" s="147"/>
      <c r="G7" s="147"/>
      <c r="H7" s="147"/>
      <c r="I7" s="147"/>
      <c r="J7" s="147"/>
      <c r="K7" s="147"/>
    </row>
    <row r="8" spans="1:12" ht="18.75" customHeight="1">
      <c r="A8" s="142" t="s">
        <v>7</v>
      </c>
      <c r="B8" s="143"/>
      <c r="C8" s="139" t="s">
        <v>8</v>
      </c>
      <c r="D8" s="139"/>
      <c r="E8" s="140" t="s">
        <v>9</v>
      </c>
      <c r="F8" s="140"/>
      <c r="G8" s="140"/>
      <c r="H8" s="31"/>
      <c r="I8" s="148" t="s">
        <v>10</v>
      </c>
      <c r="J8" s="148"/>
      <c r="K8" s="149" t="s">
        <v>11</v>
      </c>
      <c r="L8" s="138" t="s">
        <v>12</v>
      </c>
    </row>
    <row r="9" spans="1:12" ht="18.75" customHeight="1">
      <c r="A9" s="144"/>
      <c r="B9" s="145"/>
      <c r="C9" s="10" t="s">
        <v>13</v>
      </c>
      <c r="D9" s="10" t="s">
        <v>14</v>
      </c>
      <c r="E9" s="10" t="s">
        <v>13</v>
      </c>
      <c r="F9" s="10" t="s">
        <v>14</v>
      </c>
      <c r="G9" s="10" t="s">
        <v>15</v>
      </c>
      <c r="H9" s="10" t="s">
        <v>67</v>
      </c>
      <c r="I9" s="10" t="s">
        <v>13</v>
      </c>
      <c r="J9" s="10" t="s">
        <v>14</v>
      </c>
      <c r="K9" s="150"/>
      <c r="L9" s="138"/>
    </row>
    <row r="10" spans="1:12" ht="18.75" customHeight="1">
      <c r="A10" s="130" t="s">
        <v>16</v>
      </c>
      <c r="B10" s="130"/>
      <c r="C10" s="5"/>
      <c r="D10" s="5"/>
      <c r="E10" s="5"/>
      <c r="F10" s="5"/>
      <c r="G10" s="5"/>
      <c r="H10" s="5"/>
      <c r="I10" s="5">
        <v>3.0019999999999998</v>
      </c>
      <c r="J10" s="5">
        <v>105.36199999999999</v>
      </c>
      <c r="K10" s="7">
        <f>SUM(I10:J10)</f>
        <v>108.36399999999999</v>
      </c>
    </row>
    <row r="11" spans="1:12" ht="18.75" customHeight="1">
      <c r="A11" s="129" t="s">
        <v>17</v>
      </c>
      <c r="B11" s="129"/>
      <c r="C11" s="5">
        <v>5</v>
      </c>
      <c r="D11" s="5">
        <v>5</v>
      </c>
      <c r="E11" s="5"/>
      <c r="F11" s="5"/>
      <c r="G11" s="5"/>
      <c r="H11" s="5"/>
      <c r="I11" s="5">
        <f>I10-G11-E11+C11</f>
        <v>8.0019999999999989</v>
      </c>
      <c r="J11" s="5">
        <f>J10-F11+D11</f>
        <v>110.36199999999999</v>
      </c>
      <c r="K11" s="7">
        <f>SUM(I11:J11)</f>
        <v>118.36399999999999</v>
      </c>
    </row>
    <row r="12" spans="1:12" ht="18.75" customHeight="1">
      <c r="A12" s="130" t="s">
        <v>18</v>
      </c>
      <c r="B12" s="130"/>
      <c r="C12" s="6"/>
      <c r="D12" s="6"/>
      <c r="E12" s="6"/>
      <c r="F12" s="6">
        <v>1</v>
      </c>
      <c r="G12" s="6"/>
      <c r="H12" s="6"/>
      <c r="I12" s="5">
        <f>I11+C12</f>
        <v>8.0019999999999989</v>
      </c>
      <c r="J12" s="5">
        <f>J11-F12</f>
        <v>109.36199999999999</v>
      </c>
      <c r="K12" s="7">
        <f t="shared" ref="K12:K25" si="0">SUM(I12:J12)</f>
        <v>117.36399999999999</v>
      </c>
    </row>
    <row r="13" spans="1:12" ht="18.75" customHeight="1">
      <c r="A13" s="129" t="s">
        <v>19</v>
      </c>
      <c r="B13" s="129"/>
      <c r="C13" s="6"/>
      <c r="D13" s="6"/>
      <c r="E13" s="6"/>
      <c r="F13" s="6"/>
      <c r="G13" s="6"/>
      <c r="H13" s="6">
        <v>1</v>
      </c>
      <c r="I13" s="5">
        <v>8.0020000000000007</v>
      </c>
      <c r="J13" s="5">
        <f>J12-F13</f>
        <v>109.36199999999999</v>
      </c>
      <c r="K13" s="7">
        <f t="shared" si="0"/>
        <v>117.36399999999999</v>
      </c>
    </row>
    <row r="14" spans="1:12" ht="18.75" customHeight="1">
      <c r="A14" s="129" t="s">
        <v>20</v>
      </c>
      <c r="B14" s="129"/>
      <c r="C14" s="11">
        <v>1.25</v>
      </c>
      <c r="D14" s="11">
        <v>1.25</v>
      </c>
      <c r="E14" s="6"/>
      <c r="F14" s="6"/>
      <c r="G14" s="6"/>
      <c r="H14" s="6"/>
      <c r="I14" s="5">
        <f>I13+C14</f>
        <v>9.2520000000000007</v>
      </c>
      <c r="J14" s="5">
        <f>J13+D14</f>
        <v>110.61199999999999</v>
      </c>
      <c r="K14" s="7">
        <f t="shared" si="0"/>
        <v>119.86399999999999</v>
      </c>
    </row>
    <row r="15" spans="1:12" ht="18.75" customHeight="1">
      <c r="A15" s="129" t="s">
        <v>21</v>
      </c>
      <c r="B15" s="129"/>
      <c r="C15" s="34"/>
      <c r="D15" s="6"/>
      <c r="E15" s="6"/>
      <c r="F15" s="6">
        <v>2</v>
      </c>
      <c r="G15" s="6"/>
      <c r="H15" s="6"/>
      <c r="I15" s="5">
        <f>I14+C15</f>
        <v>9.2520000000000007</v>
      </c>
      <c r="J15" s="5">
        <f>J14-F15</f>
        <v>108.61199999999999</v>
      </c>
      <c r="K15" s="7">
        <f t="shared" si="0"/>
        <v>117.86399999999999</v>
      </c>
    </row>
    <row r="16" spans="1:12" ht="18.75" customHeight="1">
      <c r="A16" s="129" t="s">
        <v>22</v>
      </c>
      <c r="B16" s="129"/>
      <c r="C16" s="6">
        <v>2.5</v>
      </c>
      <c r="D16" s="6">
        <v>2.5</v>
      </c>
      <c r="E16" s="6"/>
      <c r="F16" s="6"/>
      <c r="G16" s="6"/>
      <c r="H16" s="6"/>
      <c r="I16" s="5">
        <f>I15+C16</f>
        <v>11.752000000000001</v>
      </c>
      <c r="J16" s="5">
        <f>J15+D16</f>
        <v>111.11199999999999</v>
      </c>
      <c r="K16" s="7">
        <f t="shared" si="0"/>
        <v>122.86399999999999</v>
      </c>
    </row>
    <row r="17" spans="1:11" ht="18.75" customHeight="1">
      <c r="A17" s="129" t="s">
        <v>23</v>
      </c>
      <c r="B17" s="129"/>
      <c r="C17" s="6"/>
      <c r="D17" s="6"/>
      <c r="E17" s="6"/>
      <c r="F17" s="6"/>
      <c r="G17" s="6"/>
      <c r="H17" s="6">
        <v>2</v>
      </c>
      <c r="I17" s="5">
        <v>11.752000000000001</v>
      </c>
      <c r="J17" s="5">
        <f>J16+D17</f>
        <v>111.11199999999999</v>
      </c>
      <c r="K17" s="7">
        <f t="shared" si="0"/>
        <v>122.86399999999999</v>
      </c>
    </row>
    <row r="18" spans="1:11" ht="18.75" customHeight="1">
      <c r="A18" s="129" t="s">
        <v>24</v>
      </c>
      <c r="B18" s="129"/>
      <c r="C18" s="11">
        <v>1.25</v>
      </c>
      <c r="D18" s="11">
        <v>1.25</v>
      </c>
      <c r="E18" s="6"/>
      <c r="F18" s="6"/>
      <c r="G18" s="6" t="s">
        <v>25</v>
      </c>
      <c r="H18" s="6"/>
      <c r="I18" s="5">
        <f>I17+C18</f>
        <v>13.002000000000001</v>
      </c>
      <c r="J18" s="5">
        <f>J17+D18</f>
        <v>112.36199999999999</v>
      </c>
      <c r="K18" s="7">
        <f t="shared" si="0"/>
        <v>125.36399999999999</v>
      </c>
    </row>
    <row r="19" spans="1:11" ht="18.75" customHeight="1">
      <c r="A19" s="129" t="s">
        <v>26</v>
      </c>
      <c r="B19" s="129"/>
      <c r="C19" s="11"/>
      <c r="D19" s="11"/>
      <c r="E19" s="6"/>
      <c r="F19" s="6">
        <v>1</v>
      </c>
      <c r="G19" s="6"/>
      <c r="H19" s="6"/>
      <c r="I19" s="5">
        <f>I18+C19</f>
        <v>13.002000000000001</v>
      </c>
      <c r="J19" s="5">
        <f>J18-F19</f>
        <v>111.36199999999999</v>
      </c>
      <c r="K19" s="7">
        <f t="shared" si="0"/>
        <v>124.36399999999999</v>
      </c>
    </row>
    <row r="20" spans="1:11" ht="18.75" customHeight="1">
      <c r="A20" s="130" t="s">
        <v>27</v>
      </c>
      <c r="B20" s="130"/>
      <c r="C20" s="6"/>
      <c r="D20" s="6"/>
      <c r="E20" s="6">
        <v>5</v>
      </c>
      <c r="F20" s="6">
        <v>24</v>
      </c>
      <c r="G20" s="6"/>
      <c r="H20" s="6"/>
      <c r="I20" s="5">
        <f>I19-E20</f>
        <v>8.0020000000000007</v>
      </c>
      <c r="J20" s="5">
        <f>J19-F20</f>
        <v>87.361999999999995</v>
      </c>
      <c r="K20" s="7">
        <f t="shared" si="0"/>
        <v>95.36399999999999</v>
      </c>
    </row>
    <row r="21" spans="1:11" ht="18.75" customHeight="1">
      <c r="A21" s="129" t="s">
        <v>28</v>
      </c>
      <c r="B21" s="129"/>
      <c r="C21" s="11">
        <v>1.25</v>
      </c>
      <c r="D21" s="11">
        <v>1.25</v>
      </c>
      <c r="E21" s="6"/>
      <c r="F21" s="6"/>
      <c r="G21" s="6"/>
      <c r="H21" s="6"/>
      <c r="I21" s="5">
        <f>I20+C21</f>
        <v>9.2520000000000007</v>
      </c>
      <c r="J21" s="5">
        <f>J20+D21</f>
        <v>88.611999999999995</v>
      </c>
      <c r="K21" s="7">
        <f t="shared" si="0"/>
        <v>97.86399999999999</v>
      </c>
    </row>
    <row r="22" spans="1:11" ht="18.75" customHeight="1">
      <c r="A22" s="129" t="s">
        <v>29</v>
      </c>
      <c r="B22" s="129"/>
      <c r="C22" s="6"/>
      <c r="D22" s="6"/>
      <c r="E22" s="6"/>
      <c r="F22" s="6"/>
      <c r="G22" s="6">
        <v>1</v>
      </c>
      <c r="H22" s="6"/>
      <c r="I22" s="5">
        <f>I21-G22</f>
        <v>8.2520000000000007</v>
      </c>
      <c r="J22" s="5">
        <f t="shared" ref="J22:J30" si="1">J21+D22</f>
        <v>88.611999999999995</v>
      </c>
      <c r="K22" s="7">
        <f t="shared" si="0"/>
        <v>96.86399999999999</v>
      </c>
    </row>
    <row r="23" spans="1:11" ht="18.75" customHeight="1">
      <c r="A23" s="129" t="s">
        <v>30</v>
      </c>
      <c r="B23" s="129"/>
      <c r="C23" s="6">
        <v>2.5</v>
      </c>
      <c r="D23" s="6">
        <v>2.5</v>
      </c>
      <c r="E23" s="6"/>
      <c r="F23" s="6"/>
      <c r="G23" s="6"/>
      <c r="H23" s="6"/>
      <c r="I23" s="5">
        <f>I22+C23</f>
        <v>10.752000000000001</v>
      </c>
      <c r="J23" s="5">
        <f t="shared" si="1"/>
        <v>91.111999999999995</v>
      </c>
      <c r="K23" s="7">
        <f t="shared" si="0"/>
        <v>101.86399999999999</v>
      </c>
    </row>
    <row r="24" spans="1:11" ht="18.75" customHeight="1">
      <c r="A24" s="129" t="s">
        <v>31</v>
      </c>
      <c r="B24" s="129"/>
      <c r="C24" s="6"/>
      <c r="D24" s="6"/>
      <c r="E24" s="6"/>
      <c r="F24" s="6"/>
      <c r="G24" s="6">
        <v>2</v>
      </c>
      <c r="H24" s="6"/>
      <c r="I24" s="5">
        <f>I23-G24</f>
        <v>8.7520000000000007</v>
      </c>
      <c r="J24" s="5">
        <f t="shared" si="1"/>
        <v>91.111999999999995</v>
      </c>
      <c r="K24" s="7">
        <f t="shared" si="0"/>
        <v>99.86399999999999</v>
      </c>
    </row>
    <row r="25" spans="1:11" ht="18.75" customHeight="1">
      <c r="A25" s="129" t="s">
        <v>32</v>
      </c>
      <c r="B25" s="129"/>
      <c r="C25" s="6"/>
      <c r="D25" s="6"/>
      <c r="E25" s="6"/>
      <c r="F25" s="6"/>
      <c r="G25" s="6">
        <v>2</v>
      </c>
      <c r="H25" s="6"/>
      <c r="I25" s="5">
        <f>I24-G25</f>
        <v>6.7520000000000007</v>
      </c>
      <c r="J25" s="5">
        <f t="shared" si="1"/>
        <v>91.111999999999995</v>
      </c>
      <c r="K25" s="7">
        <f t="shared" si="0"/>
        <v>97.86399999999999</v>
      </c>
    </row>
    <row r="26" spans="1:11" ht="18.75" customHeight="1">
      <c r="A26" s="129" t="s">
        <v>33</v>
      </c>
      <c r="B26" s="129"/>
      <c r="C26" s="11">
        <v>1.25</v>
      </c>
      <c r="D26" s="11">
        <v>1.25</v>
      </c>
      <c r="E26" s="6"/>
      <c r="F26" s="6"/>
      <c r="G26" s="6"/>
      <c r="H26" s="6"/>
      <c r="I26" s="5">
        <f>I25+C26</f>
        <v>8.0020000000000007</v>
      </c>
      <c r="J26" s="5">
        <f t="shared" si="1"/>
        <v>92.361999999999995</v>
      </c>
      <c r="K26" s="7">
        <f t="shared" ref="K26:K28" si="2">SUM(I26:J26)</f>
        <v>100.36399999999999</v>
      </c>
    </row>
    <row r="27" spans="1:11" ht="18.75" customHeight="1">
      <c r="A27" s="129" t="s">
        <v>35</v>
      </c>
      <c r="B27" s="129"/>
      <c r="C27" s="11">
        <v>1.25</v>
      </c>
      <c r="D27" s="11">
        <v>1.25</v>
      </c>
      <c r="E27" s="6"/>
      <c r="F27" s="6"/>
      <c r="G27" s="6"/>
      <c r="H27" s="6"/>
      <c r="I27" s="5">
        <f>I26+C27</f>
        <v>9.2520000000000007</v>
      </c>
      <c r="J27" s="5">
        <f t="shared" si="1"/>
        <v>93.611999999999995</v>
      </c>
      <c r="K27" s="7">
        <f t="shared" ref="K27" si="3">SUM(I27:J27)</f>
        <v>102.86399999999999</v>
      </c>
    </row>
    <row r="28" spans="1:11" ht="18.75" customHeight="1">
      <c r="A28" s="131" t="s">
        <v>34</v>
      </c>
      <c r="B28" s="131"/>
      <c r="C28" s="39"/>
      <c r="D28" s="39"/>
      <c r="E28" s="39"/>
      <c r="F28" s="39"/>
      <c r="G28" s="39">
        <v>2</v>
      </c>
      <c r="H28" s="39"/>
      <c r="I28" s="40">
        <f>I27-G28</f>
        <v>7.2520000000000007</v>
      </c>
      <c r="J28" s="40">
        <f t="shared" si="1"/>
        <v>93.611999999999995</v>
      </c>
      <c r="K28" s="41">
        <f t="shared" si="2"/>
        <v>100.86399999999999</v>
      </c>
    </row>
    <row r="29" spans="1:11" ht="18.75" customHeight="1">
      <c r="A29" s="128" t="s">
        <v>36</v>
      </c>
      <c r="B29" s="128"/>
      <c r="C29" s="6">
        <v>2</v>
      </c>
      <c r="D29" s="6"/>
      <c r="E29" s="6"/>
      <c r="F29" s="6"/>
      <c r="G29" s="6"/>
      <c r="H29" s="6"/>
      <c r="I29" s="5">
        <f>I28+C29</f>
        <v>9.2520000000000007</v>
      </c>
      <c r="J29" s="5">
        <f t="shared" si="1"/>
        <v>93.611999999999995</v>
      </c>
      <c r="K29" s="7">
        <f t="shared" ref="K29:K31" si="4">SUM(I29:J29)</f>
        <v>102.86399999999999</v>
      </c>
    </row>
    <row r="30" spans="1:11" ht="18.75" customHeight="1">
      <c r="A30" s="129" t="s">
        <v>37</v>
      </c>
      <c r="B30" s="129"/>
      <c r="C30" s="11">
        <v>1.25</v>
      </c>
      <c r="D30" s="11">
        <v>1.25</v>
      </c>
      <c r="E30" s="6"/>
      <c r="F30" s="6"/>
      <c r="G30" s="6"/>
      <c r="H30" s="6"/>
      <c r="I30" s="5">
        <f>I29+C30</f>
        <v>10.502000000000001</v>
      </c>
      <c r="J30" s="5">
        <f t="shared" si="1"/>
        <v>94.861999999999995</v>
      </c>
      <c r="K30" s="7">
        <f t="shared" si="4"/>
        <v>105.36399999999999</v>
      </c>
    </row>
    <row r="31" spans="1:11" ht="18.75" customHeight="1">
      <c r="A31" s="128" t="s">
        <v>38</v>
      </c>
      <c r="B31" s="128"/>
      <c r="C31" s="33"/>
      <c r="D31" s="33"/>
      <c r="E31" s="33"/>
      <c r="F31" s="33">
        <v>1</v>
      </c>
      <c r="G31" s="33"/>
      <c r="H31" s="33"/>
      <c r="I31" s="12">
        <f t="shared" ref="I31" si="5">I30-G31</f>
        <v>10.502000000000001</v>
      </c>
      <c r="J31" s="12">
        <f>J30-F31</f>
        <v>93.861999999999995</v>
      </c>
      <c r="K31" s="13">
        <f t="shared" si="4"/>
        <v>104.36399999999999</v>
      </c>
    </row>
    <row r="32" spans="1:11" ht="15.75">
      <c r="A32" s="129" t="s">
        <v>39</v>
      </c>
      <c r="B32" s="136"/>
      <c r="C32" s="35">
        <v>2.5</v>
      </c>
      <c r="D32" s="35">
        <v>2.5</v>
      </c>
      <c r="E32" s="35"/>
      <c r="F32" s="35"/>
      <c r="G32" s="35"/>
      <c r="H32" s="35"/>
      <c r="I32" s="12">
        <f>I31+C32</f>
        <v>13.002000000000001</v>
      </c>
      <c r="J32" s="12">
        <f>J31+D32</f>
        <v>96.361999999999995</v>
      </c>
      <c r="K32" s="13">
        <f t="shared" ref="K32" si="6">SUM(I32:J32)</f>
        <v>109.36399999999999</v>
      </c>
    </row>
    <row r="33" spans="1:11" ht="15.75">
      <c r="A33" s="131" t="s">
        <v>40</v>
      </c>
      <c r="B33" s="137"/>
      <c r="C33" s="36"/>
      <c r="D33" s="36"/>
      <c r="E33" s="36"/>
      <c r="F33" s="36"/>
      <c r="G33" s="36">
        <v>2</v>
      </c>
      <c r="H33" s="36"/>
      <c r="I33" s="37">
        <f>I32-G33</f>
        <v>11.002000000000001</v>
      </c>
      <c r="J33" s="37">
        <f>J32+D33</f>
        <v>96.361999999999995</v>
      </c>
      <c r="K33" s="38">
        <f t="shared" ref="K33" si="7">SUM(I33:J33)</f>
        <v>107.36399999999999</v>
      </c>
    </row>
    <row r="34" spans="1:11" ht="15.75">
      <c r="A34" s="129" t="s">
        <v>62</v>
      </c>
      <c r="B34" s="136"/>
      <c r="C34" s="35">
        <v>5</v>
      </c>
      <c r="D34" s="35">
        <v>5</v>
      </c>
      <c r="E34" s="35"/>
      <c r="F34" s="35"/>
      <c r="G34" s="35"/>
      <c r="H34" s="35"/>
      <c r="I34" s="12">
        <f>I33+C34</f>
        <v>16.002000000000002</v>
      </c>
      <c r="J34" s="12">
        <f>J33+D34</f>
        <v>101.36199999999999</v>
      </c>
      <c r="K34" s="13">
        <f t="shared" ref="K34" si="8">SUM(I34:J34)</f>
        <v>117.364</v>
      </c>
    </row>
    <row r="35" spans="1:11" ht="15.75">
      <c r="A35" s="130" t="s">
        <v>63</v>
      </c>
      <c r="B35" s="135"/>
      <c r="C35" s="35"/>
      <c r="D35" s="35"/>
      <c r="E35" s="35">
        <v>6</v>
      </c>
      <c r="F35" s="35">
        <v>23</v>
      </c>
      <c r="G35" s="35"/>
      <c r="H35" s="35"/>
      <c r="I35" s="12">
        <f>I34-E35</f>
        <v>10.002000000000002</v>
      </c>
      <c r="J35" s="12">
        <f>J34-F35</f>
        <v>78.361999999999995</v>
      </c>
      <c r="K35" s="13">
        <f t="shared" ref="K35" si="9">SUM(I35:J35)</f>
        <v>88.364000000000004</v>
      </c>
    </row>
    <row r="36" spans="1:11" ht="15.75">
      <c r="A36" s="42"/>
      <c r="B36" s="43" t="s">
        <v>70</v>
      </c>
      <c r="C36" s="39"/>
      <c r="D36" s="39"/>
      <c r="E36" s="39"/>
      <c r="F36" s="39"/>
      <c r="G36" s="39"/>
      <c r="H36" s="39">
        <v>1</v>
      </c>
      <c r="I36" s="37">
        <f>I35-E36</f>
        <v>10.002000000000002</v>
      </c>
      <c r="J36" s="37">
        <f>J35-F36</f>
        <v>78.361999999999995</v>
      </c>
      <c r="K36" s="38">
        <f t="shared" ref="K36" si="10">SUM(I36:J36)</f>
        <v>88.364000000000004</v>
      </c>
    </row>
    <row r="37" spans="1:11" ht="15.75">
      <c r="A37" s="42"/>
      <c r="B37" s="43" t="s">
        <v>64</v>
      </c>
      <c r="C37" s="36"/>
      <c r="D37" s="36"/>
      <c r="E37" s="36"/>
      <c r="F37" s="36"/>
      <c r="G37" s="36">
        <v>1</v>
      </c>
      <c r="H37" s="36"/>
      <c r="I37" s="37">
        <f>I36-G37</f>
        <v>9.0020000000000024</v>
      </c>
      <c r="J37" s="37">
        <f>J36-F37</f>
        <v>78.361999999999995</v>
      </c>
      <c r="K37" s="38">
        <f t="shared" ref="K37" si="11">SUM(I37:J37)</f>
        <v>87.364000000000004</v>
      </c>
    </row>
    <row r="38" spans="1:11" ht="15.75">
      <c r="A38" s="42"/>
      <c r="B38" s="44" t="s">
        <v>65</v>
      </c>
      <c r="C38" s="45"/>
      <c r="D38" s="39"/>
      <c r="E38" s="39"/>
      <c r="F38" s="39"/>
      <c r="G38" s="39"/>
      <c r="H38" s="39">
        <v>2</v>
      </c>
      <c r="I38" s="37">
        <f>I37-G38</f>
        <v>9.0020000000000024</v>
      </c>
      <c r="J38" s="37">
        <f>J37-F38</f>
        <v>78.361999999999995</v>
      </c>
      <c r="K38" s="38">
        <f t="shared" ref="K38" si="12">SUM(I38:J38)</f>
        <v>87.364000000000004</v>
      </c>
    </row>
    <row r="39" spans="1:11" ht="15.75">
      <c r="A39" s="134" t="s">
        <v>66</v>
      </c>
      <c r="B39" s="135"/>
      <c r="C39" s="35">
        <v>1.25</v>
      </c>
      <c r="D39" s="35">
        <v>1.25</v>
      </c>
      <c r="E39" s="35"/>
      <c r="F39" s="35"/>
      <c r="G39" s="35"/>
      <c r="H39" s="35"/>
      <c r="I39" s="12">
        <f t="shared" ref="I39:I41" si="13">I38-G39</f>
        <v>9.0020000000000024</v>
      </c>
      <c r="J39" s="12">
        <f t="shared" ref="J39:J41" si="14">J38-F39</f>
        <v>78.361999999999995</v>
      </c>
      <c r="K39" s="13">
        <f t="shared" ref="K39:K41" si="15">SUM(I39:J39)</f>
        <v>87.364000000000004</v>
      </c>
    </row>
    <row r="40" spans="1:11" ht="15.75">
      <c r="A40" s="134" t="s">
        <v>68</v>
      </c>
      <c r="B40" s="135"/>
      <c r="C40" s="35"/>
      <c r="D40" s="35"/>
      <c r="E40" s="35"/>
      <c r="F40" s="35">
        <v>2</v>
      </c>
      <c r="G40" s="35"/>
      <c r="H40" s="35"/>
      <c r="I40" s="12">
        <f t="shared" si="13"/>
        <v>9.0020000000000024</v>
      </c>
      <c r="J40" s="12">
        <f t="shared" si="14"/>
        <v>76.361999999999995</v>
      </c>
      <c r="K40" s="13">
        <f t="shared" si="15"/>
        <v>85.364000000000004</v>
      </c>
    </row>
    <row r="41" spans="1:11" ht="15.75">
      <c r="A41" s="132" t="s">
        <v>69</v>
      </c>
      <c r="B41" s="133"/>
      <c r="C41" s="14"/>
      <c r="D41" s="14"/>
      <c r="E41" s="14"/>
      <c r="F41" s="14">
        <v>5</v>
      </c>
      <c r="G41" s="14"/>
      <c r="H41" s="14"/>
      <c r="I41" s="5">
        <f t="shared" si="13"/>
        <v>9.0020000000000024</v>
      </c>
      <c r="J41" s="5">
        <f t="shared" si="14"/>
        <v>71.361999999999995</v>
      </c>
      <c r="K41" s="5">
        <f t="shared" si="15"/>
        <v>80.364000000000004</v>
      </c>
    </row>
  </sheetData>
  <mergeCells count="38">
    <mergeCell ref="L8:L9"/>
    <mergeCell ref="C8:D8"/>
    <mergeCell ref="E8:G8"/>
    <mergeCell ref="E1:G3"/>
    <mergeCell ref="A8:B9"/>
    <mergeCell ref="B6:C6"/>
    <mergeCell ref="B7:K7"/>
    <mergeCell ref="I8:J8"/>
    <mergeCell ref="K8:K9"/>
    <mergeCell ref="A41:B41"/>
    <mergeCell ref="A40:B40"/>
    <mergeCell ref="A34:B34"/>
    <mergeCell ref="A32:B32"/>
    <mergeCell ref="A33:B33"/>
    <mergeCell ref="A39:B39"/>
    <mergeCell ref="A35:B35"/>
    <mergeCell ref="A27:B27"/>
    <mergeCell ref="A13:B13"/>
    <mergeCell ref="A12:B12"/>
    <mergeCell ref="A11:B11"/>
    <mergeCell ref="A28:B28"/>
    <mergeCell ref="A26:B26"/>
    <mergeCell ref="A31:B31"/>
    <mergeCell ref="A30:B30"/>
    <mergeCell ref="A29:B29"/>
    <mergeCell ref="A10:B10"/>
    <mergeCell ref="A17:B17"/>
    <mergeCell ref="A16:B16"/>
    <mergeCell ref="A15:B15"/>
    <mergeCell ref="A14:B14"/>
    <mergeCell ref="A22:B22"/>
    <mergeCell ref="A21:B21"/>
    <mergeCell ref="A20:B20"/>
    <mergeCell ref="A19:B19"/>
    <mergeCell ref="A18:B18"/>
    <mergeCell ref="A25:B25"/>
    <mergeCell ref="A24:B24"/>
    <mergeCell ref="A23:B23"/>
  </mergeCells>
  <printOptions horizontalCentered="1" verticalCentered="1"/>
  <pageMargins left="0.25" right="0.25" top="0.25" bottom="0.25" header="0.3" footer="0.3"/>
  <pageSetup paperSize="14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Leave Card (NE) CORRECTED</vt:lpstr>
      <vt:lpstr>CTO</vt:lpstr>
      <vt:lpstr>Leave Card (NE)</vt:lpstr>
      <vt:lpstr>'Leave Card (NE)'!Print_Area</vt:lpstr>
      <vt:lpstr>'Leave Card (NE) CORRECTED'!Print_Area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2025-06-23T00:45:55Z</cp:lastPrinted>
  <dcterms:created xsi:type="dcterms:W3CDTF">2021-10-07T06:10:00Z</dcterms:created>
  <dcterms:modified xsi:type="dcterms:W3CDTF">2025-06-23T00:47:09Z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7922E11857594CF990614F077E30769E</vt:lpwstr>
  </property>
  <property fmtid="{D5CDD505-2E9C-101B-9397-08002B2CF9AE}" pid="3" name="KSOProductBuildVer">
    <vt:lpwstr>1033-11.2.0.11341</vt:lpwstr>
  </property>
</Properties>
</file>