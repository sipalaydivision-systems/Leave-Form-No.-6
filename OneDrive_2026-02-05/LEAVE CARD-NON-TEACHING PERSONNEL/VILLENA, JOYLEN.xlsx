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12" documentId="13_ncr:1_{E137B6B3-BA05-4C8A-9603-5C35A5BD537D}" xr6:coauthVersionLast="47" xr6:coauthVersionMax="47" xr10:uidLastSave="{2774E0D9-B928-46DB-9953-29E883059A1B}"/>
  <bookViews>
    <workbookView xWindow="-120" yWindow="-120" windowWidth="29040" windowHeight="15720" xr2:uid="{C532281A-DA89-4ACA-8363-B39317021647}"/>
  </bookViews>
  <sheets>
    <sheet name="Leave Card (NE)" sheetId="6" r:id="rId1"/>
  </sheets>
  <definedNames>
    <definedName name="_xlnm.Print_Area" localSheetId="0">'Leave Card (NE)'!$A$1:$J$89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6" l="1"/>
  <c r="I85" i="6"/>
  <c r="J85" i="6"/>
  <c r="H84" i="6"/>
  <c r="I84" i="6"/>
  <c r="J84" i="6"/>
  <c r="B41" i="6"/>
  <c r="B14" i="6" l="1"/>
  <c r="H14" i="6" s="1"/>
  <c r="B15" i="6"/>
  <c r="C14" i="6"/>
  <c r="I14" i="6" s="1"/>
  <c r="C15" i="6"/>
  <c r="C17" i="6"/>
  <c r="B17" i="6"/>
  <c r="I15" i="6" l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H15" i="6"/>
  <c r="H16" i="6" s="1"/>
  <c r="J14" i="6"/>
  <c r="H17" i="6" l="1"/>
  <c r="J16" i="6"/>
  <c r="J15" i="6"/>
  <c r="J17" i="6" l="1"/>
  <c r="H18" i="6"/>
  <c r="J18" i="6" l="1"/>
  <c r="H19" i="6"/>
  <c r="H20" i="6" l="1"/>
  <c r="J19" i="6"/>
  <c r="H21" i="6" l="1"/>
  <c r="J20" i="6"/>
  <c r="H22" i="6" l="1"/>
  <c r="J21" i="6"/>
  <c r="J22" i="6" l="1"/>
  <c r="H23" i="6"/>
  <c r="H24" i="6" l="1"/>
  <c r="J23" i="6"/>
  <c r="J24" i="6" l="1"/>
  <c r="H25" i="6"/>
  <c r="H26" i="6" l="1"/>
  <c r="J25" i="6"/>
  <c r="J26" i="6" l="1"/>
  <c r="H27" i="6"/>
  <c r="J27" i="6" l="1"/>
  <c r="H28" i="6"/>
  <c r="J28" i="6" l="1"/>
  <c r="H29" i="6"/>
  <c r="J29" i="6" l="1"/>
  <c r="H30" i="6"/>
  <c r="J30" i="6" l="1"/>
  <c r="H31" i="6"/>
  <c r="H32" i="6" l="1"/>
  <c r="J31" i="6"/>
  <c r="J32" i="6" l="1"/>
  <c r="H33" i="6"/>
  <c r="J33" i="6" l="1"/>
  <c r="H34" i="6"/>
  <c r="J34" i="6" l="1"/>
  <c r="H35" i="6"/>
  <c r="H36" i="6" l="1"/>
  <c r="J35" i="6"/>
  <c r="J36" i="6" l="1"/>
  <c r="H37" i="6"/>
  <c r="J37" i="6" l="1"/>
  <c r="H38" i="6"/>
  <c r="J38" i="6" l="1"/>
  <c r="H39" i="6"/>
  <c r="H40" i="6" l="1"/>
  <c r="J39" i="6"/>
  <c r="H41" i="6" l="1"/>
  <c r="J40" i="6"/>
  <c r="H42" i="6" l="1"/>
  <c r="J41" i="6"/>
  <c r="J42" i="6" l="1"/>
  <c r="H43" i="6"/>
  <c r="H44" i="6" l="1"/>
  <c r="J43" i="6"/>
  <c r="J44" i="6" l="1"/>
  <c r="H45" i="6"/>
  <c r="J45" i="6" l="1"/>
  <c r="H46" i="6"/>
  <c r="J46" i="6" l="1"/>
  <c r="H47" i="6"/>
  <c r="H48" i="6" l="1"/>
  <c r="J47" i="6"/>
  <c r="H49" i="6" l="1"/>
  <c r="J48" i="6"/>
  <c r="H50" i="6" l="1"/>
  <c r="J49" i="6"/>
  <c r="J50" i="6" l="1"/>
  <c r="H51" i="6"/>
  <c r="H52" i="6" l="1"/>
  <c r="J51" i="6"/>
  <c r="J52" i="6" l="1"/>
  <c r="H53" i="6"/>
  <c r="H54" i="6" l="1"/>
  <c r="J53" i="6"/>
  <c r="H55" i="6" l="1"/>
  <c r="J54" i="6"/>
  <c r="J55" i="6" l="1"/>
  <c r="H56" i="6"/>
  <c r="J56" i="6" l="1"/>
  <c r="H57" i="6"/>
  <c r="H58" i="6" l="1"/>
  <c r="J57" i="6"/>
  <c r="J58" i="6" l="1"/>
  <c r="H59" i="6"/>
  <c r="H60" i="6" l="1"/>
  <c r="J59" i="6"/>
  <c r="J60" i="6" l="1"/>
  <c r="H61" i="6"/>
  <c r="J61" i="6" l="1"/>
  <c r="H62" i="6"/>
  <c r="J62" i="6" l="1"/>
  <c r="H63" i="6"/>
  <c r="H64" i="6" l="1"/>
  <c r="J63" i="6"/>
  <c r="J64" i="6" l="1"/>
  <c r="H65" i="6"/>
  <c r="H66" i="6" l="1"/>
  <c r="J65" i="6"/>
  <c r="H67" i="6" l="1"/>
  <c r="J66" i="6"/>
  <c r="J67" i="6" l="1"/>
  <c r="H68" i="6"/>
  <c r="H69" i="6" l="1"/>
  <c r="J68" i="6"/>
  <c r="H70" i="6" l="1"/>
  <c r="J69" i="6"/>
  <c r="J70" i="6" l="1"/>
  <c r="H71" i="6"/>
  <c r="H72" i="6" l="1"/>
  <c r="J71" i="6"/>
  <c r="J72" i="6" l="1"/>
  <c r="H73" i="6"/>
  <c r="H74" i="6" l="1"/>
  <c r="J73" i="6"/>
  <c r="J74" i="6" l="1"/>
  <c r="H75" i="6"/>
  <c r="J75" i="6" l="1"/>
  <c r="H76" i="6"/>
  <c r="J76" i="6" l="1"/>
  <c r="H77" i="6"/>
  <c r="J77" i="6" l="1"/>
  <c r="H78" i="6"/>
  <c r="J78" i="6" l="1"/>
  <c r="H79" i="6"/>
  <c r="J79" i="6" l="1"/>
  <c r="H80" i="6"/>
  <c r="J80" i="6" l="1"/>
  <c r="H81" i="6"/>
  <c r="J81" i="6" l="1"/>
  <c r="H82" i="6"/>
  <c r="J82" i="6" l="1"/>
  <c r="H83" i="6"/>
  <c r="J83" i="6" s="1"/>
</calcChain>
</file>

<file path=xl/sharedStrings.xml><?xml version="1.0" encoding="utf-8"?>
<sst xmlns="http://schemas.openxmlformats.org/spreadsheetml/2006/main" count="96" uniqueCount="92">
  <si>
    <t>Republic of the Philippines</t>
  </si>
  <si>
    <t>Department of Education</t>
  </si>
  <si>
    <t>REGION VI-WESTERN VISAYAS</t>
  </si>
  <si>
    <t>SCHOOLS DIVISION OF SIPALAY CITY</t>
  </si>
  <si>
    <r>
      <t xml:space="preserve">Name: </t>
    </r>
    <r>
      <rPr>
        <b/>
        <u/>
        <sz val="11"/>
        <color theme="1"/>
        <rFont val="Calibri"/>
        <family val="2"/>
        <scheme val="minor"/>
      </rPr>
      <t xml:space="preserve">VILLENA, JOYLEN S. </t>
    </r>
  </si>
  <si>
    <t>EMP. NO  :</t>
  </si>
  <si>
    <t>SCHOOL: SCNHS</t>
  </si>
  <si>
    <t>POSITION: ADAS II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</si>
  <si>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</si>
  <si>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</si>
  <si>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</si>
  <si>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</si>
  <si>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</si>
  <si>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</si>
  <si>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</si>
  <si>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</si>
  <si>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</si>
  <si>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</si>
  <si>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</si>
  <si>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DATE OF ORIGINAL APPOINTMENT: APRIL 05, 2021</t>
  </si>
  <si>
    <t>ADD: 04/05/21 - 04/30/21</t>
  </si>
  <si>
    <t>ADD: 05/01/21 - 12/31/21</t>
  </si>
  <si>
    <t>LESS: FL 2021</t>
  </si>
  <si>
    <t>ADD: 01/01/2022-07/31/2022</t>
  </si>
  <si>
    <t>LESS: 08/16/2022</t>
  </si>
  <si>
    <t>ADD: 08/01/2022-08/31/2022</t>
  </si>
  <si>
    <t>LESS: 09/09/2022</t>
  </si>
  <si>
    <t>LESS: MONETIZATION 2022</t>
  </si>
  <si>
    <t>ADD: 09/01/2022-10/31/2022</t>
  </si>
  <si>
    <t>LESS: 11/14 &amp; 15/2022</t>
  </si>
  <si>
    <t>LESS: 11/29/2022</t>
  </si>
  <si>
    <t>ADD:11/01/2022-11/30/2022</t>
  </si>
  <si>
    <t>LESS: 12/22/2022</t>
  </si>
  <si>
    <t>ADD:12/01/2022-12/31/2022</t>
  </si>
  <si>
    <t>LESS: 12/27/2022</t>
  </si>
  <si>
    <t>LESS: 01/06/2023</t>
  </si>
  <si>
    <t>LESS: FL 2022</t>
  </si>
  <si>
    <t>LESS: 01/18 &amp; 19/2023</t>
  </si>
  <si>
    <t>LESS: 01/20/2023</t>
  </si>
  <si>
    <t>ADD:01/01/2023-02/28/2023</t>
  </si>
  <si>
    <t>ADD:03/01/2023-03/31/2023</t>
  </si>
  <si>
    <t>LESS: 04/11 &amp; 12/2023</t>
  </si>
  <si>
    <t>ADD:04/01/2023-04/30/2023</t>
  </si>
  <si>
    <t>LESS: 05/15 - 17/23</t>
  </si>
  <si>
    <t>ADD:05/01/2023-08/31/2023</t>
  </si>
  <si>
    <t>LESS: MONETIZATION 2023</t>
  </si>
  <si>
    <t>LESS: 09/19-21/2023</t>
  </si>
  <si>
    <t>ADD: 09/01/2023-11/30/2023</t>
  </si>
  <si>
    <t>LESS: 12/27-28/2023</t>
  </si>
  <si>
    <t>LESS: 12/29/2023</t>
  </si>
  <si>
    <t>ADD: 12/01/2023-12/31/2023</t>
  </si>
  <si>
    <t>ADD: 01/01/2024-02/29/2024</t>
  </si>
  <si>
    <t>LESS: 02/26/2024</t>
  </si>
  <si>
    <t>LESS: 02/27/2024</t>
  </si>
  <si>
    <t>ADD: 03/01/2024-06/30/2024</t>
  </si>
  <si>
    <t>LESS: 07/16-17/2024</t>
  </si>
  <si>
    <t>LESS: 07/31/2024</t>
  </si>
  <si>
    <t>LESS: 07/15 &amp; 07/18/2024</t>
  </si>
  <si>
    <t>ADD: JULY 1-31, 2024</t>
  </si>
  <si>
    <t>LESS: 08/14-15/2024</t>
  </si>
  <si>
    <t>LESS: 08/27/2024</t>
  </si>
  <si>
    <t>ADD: 08/1-31/2024</t>
  </si>
  <si>
    <t>LESS: 09/19-24/2024</t>
  </si>
  <si>
    <t>ADD: 09/1-30/2024</t>
  </si>
  <si>
    <t>LESS: 10/15-16/2024</t>
  </si>
  <si>
    <t>ADD: 10/1-31/2024</t>
  </si>
  <si>
    <t>LESS: 11/4/2024</t>
  </si>
  <si>
    <t>LESS: 11/14-15/2024</t>
  </si>
  <si>
    <t>ADD: 11/1-30/2024</t>
  </si>
  <si>
    <t>LESS: 12/10/2024 (UNDERTIME)</t>
  </si>
  <si>
    <t>LESS: 12/26-27/2024</t>
  </si>
  <si>
    <t>ADD: 12/1-31/2024</t>
  </si>
  <si>
    <t>LESS: 01/2-3, 6-7/2025</t>
  </si>
  <si>
    <t>LESS: 01/20-21/2025</t>
  </si>
  <si>
    <t>ADD: 01/1-31/2025</t>
  </si>
  <si>
    <t>LESS: 02/3/2025</t>
  </si>
  <si>
    <t>ADD: 02/1/2025-03/31/2025</t>
  </si>
  <si>
    <t>LESS: MONETIZATION 2025</t>
  </si>
  <si>
    <t>ADD: 04/1-30/2025</t>
  </si>
  <si>
    <t>LESS: 05/26/2025</t>
  </si>
  <si>
    <t>ADD: 05/1/2025-06/30/2025</t>
  </si>
  <si>
    <t>LESS: 07/11/2025 PM</t>
  </si>
  <si>
    <t>ADD: 07/1-31/2025</t>
  </si>
  <si>
    <t>LESS: 07/31/2025</t>
  </si>
  <si>
    <t>LESS: 08/15 &amp; 22/2025</t>
  </si>
  <si>
    <t>ADD: 08/1/2025-09/30/2025</t>
  </si>
  <si>
    <t>LESS: 10/1, 2 PM, 3/2025</t>
  </si>
  <si>
    <t>ADD: 10/1-31/2025</t>
  </si>
  <si>
    <t>LESS: 12/29/2025</t>
  </si>
  <si>
    <t>LESS: 01/02/2026</t>
  </si>
  <si>
    <t>ADD: 11/1/2025-12/31/2025</t>
  </si>
  <si>
    <t>LESS: FL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</si>
</sst>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4" fontId="0" fillId="7" borderId="16" xfId="0" applyNumberForma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164" fontId="0" fillId="0" borderId="17" xfId="0" applyNumberFormat="1" applyFill="1" applyBorder="1" applyAlignment="1">
      <alignment horizontal="center" vertical="center"/>
    </xf>
    <xf numFmtId="164" fontId="0" fillId="0" borderId="20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520701</xdr:colOff>
      <xdr:row>0</xdr:row>
      <xdr:rowOff>38100</xdr:rowOff>
    </xdr:from>
    <xdr:to>
      <xdr:col>4</xdr:col>
      <xdr:colOff>514350</xdr:colOff>
      <xdr:row>1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4476" y="38100"/>
          <a:ext cx="765174" cy="638176"/>
        </a:xfrm>
        <a:prstGeom prst="rect">
          <a:avLst/>
        </a:prstGeom>
        <a:noFill/>
      </xdr:spPr>
    </xdr:pic>
    <xdr:clientData/>
  </xdr:twoCellAnchor>
  <xdr:twoCellAnchor>
    <xdr:from>
      <xdr:col>5</xdr:col>
      <xdr:colOff>657226</xdr:colOff>
      <xdr:row>86</xdr:row>
      <xdr:rowOff>180976</xdr:rowOff>
    </xdr:from>
    <xdr:to>
      <xdr:col>9</xdr:col>
      <xdr:colOff>619126</xdr:colOff>
      <xdr:row>88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5734051" y="15544801"/>
          <a:ext cx="3048000" cy="1085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J89"/>
  <sheetViews>
    <sheetView tabSelected="1" view="pageBreakPreview" topLeftCell="A70" zoomScaleNormal="100" zoomScaleSheetLayoutView="100" workbookViewId="0">
      <selection activeCell="A87" sqref="A87:J87"/>
    </sheetView>
  </sheetViews>
  <sheetFormatPr defaultRowHeight="15"/>
  <cols>
    <col min="1" max="1" width="29.85546875" customWidth="1"/>
    <col min="2" max="10" width="11.5703125" customWidth="1"/>
  </cols>
  <sheetData>
    <row r="1" spans="1:10" s="1" customFormat="1" ht="52.5" customHeight="1">
      <c r="B1"/>
      <c r="C1"/>
      <c r="D1"/>
      <c r="E1"/>
      <c r="F1"/>
      <c r="G1" s="5"/>
      <c r="H1"/>
      <c r="I1"/>
      <c r="J1"/>
    </row>
    <row r="2" spans="1:10" s="1" customFormat="1" ht="10.5" customHeight="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s="1" customFormat="1" ht="15.95" customHeight="1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s="1" customFormat="1" ht="15.95" customHeight="1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s="1" customFormat="1" ht="15.95" customHeight="1">
      <c r="A5" s="27" t="s">
        <v>3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s="1" customFormat="1" ht="8.25" customHeight="1">
      <c r="B6"/>
      <c r="C6"/>
      <c r="D6"/>
      <c r="E6"/>
      <c r="F6"/>
      <c r="G6" s="5"/>
      <c r="H6"/>
      <c r="I6"/>
      <c r="J6"/>
    </row>
    <row r="7" spans="1:10" s="1" customFormat="1" ht="12" customHeight="1">
      <c r="A7" s="4" t="s">
        <v>4</v>
      </c>
      <c r="B7" s="9"/>
      <c r="C7" s="9"/>
      <c r="D7" s="9"/>
      <c r="E7"/>
      <c r="F7"/>
      <c r="G7"/>
      <c r="H7" s="9" t="s">
        <v>5</v>
      </c>
      <c r="I7" s="10"/>
      <c r="J7" s="9"/>
    </row>
    <row r="8" spans="1:10" s="1" customFormat="1" ht="12" customHeight="1">
      <c r="B8" s="11"/>
      <c r="C8" s="11" t="s">
        <v>6</v>
      </c>
      <c r="D8"/>
      <c r="E8"/>
      <c r="F8"/>
      <c r="G8"/>
      <c r="H8" s="11"/>
      <c r="I8" s="11"/>
      <c r="J8" s="11"/>
    </row>
    <row r="9" spans="1:10" s="1" customFormat="1" ht="12" customHeight="1">
      <c r="A9" s="4" t="s">
        <v>7</v>
      </c>
      <c r="B9" s="12"/>
      <c r="C9" s="11"/>
      <c r="D9" s="11"/>
      <c r="E9"/>
      <c r="F9"/>
      <c r="G9"/>
      <c r="H9" s="9" t="s">
        <v>8</v>
      </c>
      <c r="I9" s="13"/>
      <c r="J9" s="9"/>
    </row>
    <row r="10" spans="1:10" ht="16.5" customHeight="1" thickBot="1">
      <c r="A10" s="34" t="s">
        <v>9</v>
      </c>
      <c r="B10" s="34"/>
      <c r="C10" s="34"/>
      <c r="D10" s="34"/>
      <c r="E10" s="34"/>
      <c r="F10" s="34"/>
      <c r="G10" s="34"/>
      <c r="H10" s="34"/>
      <c r="I10" s="34"/>
      <c r="J10" s="34"/>
    </row>
    <row r="11" spans="1:10" s="3" customFormat="1" ht="18.75" customHeight="1">
      <c r="A11" s="28" t="s">
        <v>10</v>
      </c>
      <c r="B11" s="32" t="s">
        <v>11</v>
      </c>
      <c r="C11" s="33"/>
      <c r="D11" s="32" t="s">
        <v>12</v>
      </c>
      <c r="E11" s="33"/>
      <c r="F11" s="33"/>
      <c r="G11" s="33"/>
      <c r="H11" s="32" t="s">
        <v>13</v>
      </c>
      <c r="I11" s="33"/>
      <c r="J11" s="30" t="s">
        <v>14</v>
      </c>
    </row>
    <row r="12" spans="1:10" s="3" customFormat="1" ht="28.5" customHeight="1">
      <c r="A12" s="29"/>
      <c r="B12" s="19" t="s">
        <v>15</v>
      </c>
      <c r="C12" s="19" t="s">
        <v>16</v>
      </c>
      <c r="D12" s="19" t="s">
        <v>15</v>
      </c>
      <c r="E12" s="19" t="s">
        <v>16</v>
      </c>
      <c r="F12" s="19" t="s">
        <v>17</v>
      </c>
      <c r="G12" s="20" t="s">
        <v>18</v>
      </c>
      <c r="H12" s="19" t="s">
        <v>15</v>
      </c>
      <c r="I12" s="19" t="s">
        <v>16</v>
      </c>
      <c r="J12" s="31"/>
    </row>
    <row r="13" spans="1:10" s="3" customFormat="1" ht="18.75" customHeight="1">
      <c r="A13" s="35" t="s">
        <v>19</v>
      </c>
      <c r="B13" s="36"/>
      <c r="C13" s="36"/>
      <c r="D13" s="36"/>
      <c r="E13" s="36"/>
      <c r="F13" s="36"/>
      <c r="G13" s="36"/>
      <c r="H13" s="36"/>
      <c r="I13" s="36"/>
      <c r="J13" s="37"/>
    </row>
    <row r="14" spans="1:10" s="3" customFormat="1" ht="15.75" customHeight="1">
      <c r="A14" s="6" t="s">
        <v>20</v>
      </c>
      <c r="B14" s="14">
        <f>1.25/30*26</f>
        <v>1.0833333333333333</v>
      </c>
      <c r="C14" s="14">
        <f>1.25/30*26</f>
        <v>1.0833333333333333</v>
      </c>
      <c r="D14" s="14"/>
      <c r="E14" s="14"/>
      <c r="F14" s="14"/>
      <c r="G14" s="15"/>
      <c r="H14" s="14">
        <f>B14</f>
        <v>1.0833333333333333</v>
      </c>
      <c r="I14" s="14">
        <f>C14</f>
        <v>1.0833333333333333</v>
      </c>
      <c r="J14" s="16">
        <f t="shared" ref="J14:J15" si="0">H14+I14</f>
        <v>2.1666666666666665</v>
      </c>
    </row>
    <row r="15" spans="1:10" s="2" customFormat="1" ht="24" customHeight="1">
      <c r="A15" s="6" t="s">
        <v>21</v>
      </c>
      <c r="B15" s="14">
        <f>1.25*8</f>
        <v>10</v>
      </c>
      <c r="C15" s="14">
        <f>1.25*8</f>
        <v>10</v>
      </c>
      <c r="D15" s="14"/>
      <c r="E15" s="14"/>
      <c r="F15" s="14"/>
      <c r="G15" s="15"/>
      <c r="H15" s="14">
        <f t="shared" ref="H15" si="1">H14-F15-D15+B15</f>
        <v>11.083333333333334</v>
      </c>
      <c r="I15" s="14">
        <f t="shared" ref="I15" si="2">I14-E15+C15</f>
        <v>11.083333333333334</v>
      </c>
      <c r="J15" s="16">
        <f t="shared" si="0"/>
        <v>22.166666666666668</v>
      </c>
    </row>
    <row r="16" spans="1:10" s="2" customFormat="1" ht="24" customHeight="1">
      <c r="A16" s="6" t="s">
        <v>22</v>
      </c>
      <c r="B16" s="14"/>
      <c r="C16" s="14"/>
      <c r="D16" s="14"/>
      <c r="E16" s="14"/>
      <c r="F16" s="14">
        <v>5</v>
      </c>
      <c r="G16" s="15"/>
      <c r="H16" s="14">
        <f t="shared" ref="H16:H75" si="3">H15-F16-D16+B16</f>
        <v>6.0833333333333339</v>
      </c>
      <c r="I16" s="14">
        <f t="shared" ref="I16:I75" si="4">I15-E16+C16</f>
        <v>11.083333333333334</v>
      </c>
      <c r="J16" s="16">
        <f t="shared" ref="J16:J75" si="5">H16+I16</f>
        <v>17.166666666666668</v>
      </c>
    </row>
    <row r="17" spans="1:10" s="2" customFormat="1" ht="24" customHeight="1">
      <c r="A17" s="6" t="s">
        <v>23</v>
      </c>
      <c r="B17" s="14">
        <f>1.25*7</f>
        <v>8.75</v>
      </c>
      <c r="C17" s="14">
        <f>1.25*7</f>
        <v>8.75</v>
      </c>
      <c r="D17" s="14"/>
      <c r="E17" s="14"/>
      <c r="F17" s="14"/>
      <c r="G17" s="15"/>
      <c r="H17" s="14">
        <f t="shared" si="3"/>
        <v>14.833333333333334</v>
      </c>
      <c r="I17" s="14">
        <f t="shared" si="4"/>
        <v>19.833333333333336</v>
      </c>
      <c r="J17" s="16">
        <f t="shared" si="5"/>
        <v>34.666666666666671</v>
      </c>
    </row>
    <row r="18" spans="1:10" s="2" customFormat="1" ht="19.5" customHeight="1">
      <c r="A18" s="6" t="s">
        <v>24</v>
      </c>
      <c r="B18" s="14"/>
      <c r="C18" s="14"/>
      <c r="D18" s="14"/>
      <c r="E18" s="14"/>
      <c r="F18" s="14"/>
      <c r="G18" s="15">
        <v>1</v>
      </c>
      <c r="H18" s="14">
        <f t="shared" si="3"/>
        <v>14.833333333333334</v>
      </c>
      <c r="I18" s="14">
        <f t="shared" si="4"/>
        <v>19.833333333333336</v>
      </c>
      <c r="J18" s="16">
        <f t="shared" si="5"/>
        <v>34.666666666666671</v>
      </c>
    </row>
    <row r="19" spans="1:10" s="2" customFormat="1" ht="19.5" customHeight="1">
      <c r="A19" s="6" t="s">
        <v>25</v>
      </c>
      <c r="B19" s="14">
        <v>1.25</v>
      </c>
      <c r="C19" s="14">
        <v>1.25</v>
      </c>
      <c r="D19" s="14"/>
      <c r="E19" s="14"/>
      <c r="F19" s="14"/>
      <c r="G19" s="15"/>
      <c r="H19" s="14">
        <f t="shared" si="3"/>
        <v>16.083333333333336</v>
      </c>
      <c r="I19" s="14">
        <f t="shared" si="4"/>
        <v>21.083333333333336</v>
      </c>
      <c r="J19" s="16">
        <f t="shared" si="5"/>
        <v>37.166666666666671</v>
      </c>
    </row>
    <row r="20" spans="1:10" s="2" customFormat="1" ht="19.5" customHeight="1">
      <c r="A20" s="6" t="s">
        <v>26</v>
      </c>
      <c r="B20" s="14"/>
      <c r="C20" s="14"/>
      <c r="D20" s="14"/>
      <c r="E20" s="14"/>
      <c r="F20" s="14"/>
      <c r="G20" s="15">
        <v>1</v>
      </c>
      <c r="H20" s="14">
        <f t="shared" si="3"/>
        <v>16.083333333333336</v>
      </c>
      <c r="I20" s="14">
        <f t="shared" si="4"/>
        <v>21.083333333333336</v>
      </c>
      <c r="J20" s="16">
        <f t="shared" si="5"/>
        <v>37.166666666666671</v>
      </c>
    </row>
    <row r="21" spans="1:10" s="2" customFormat="1" ht="24" customHeight="1">
      <c r="A21" s="6" t="s">
        <v>27</v>
      </c>
      <c r="B21" s="14"/>
      <c r="C21" s="14"/>
      <c r="D21" s="14">
        <v>15</v>
      </c>
      <c r="E21" s="14">
        <v>14</v>
      </c>
      <c r="F21" s="14"/>
      <c r="G21" s="15"/>
      <c r="H21" s="14">
        <f t="shared" si="3"/>
        <v>1.0833333333333357</v>
      </c>
      <c r="I21" s="14">
        <f t="shared" si="4"/>
        <v>7.0833333333333357</v>
      </c>
      <c r="J21" s="16">
        <f t="shared" si="5"/>
        <v>8.1666666666666714</v>
      </c>
    </row>
    <row r="22" spans="1:10" s="2" customFormat="1" ht="24" customHeight="1">
      <c r="A22" s="6" t="s">
        <v>28</v>
      </c>
      <c r="B22" s="14">
        <v>2.5</v>
      </c>
      <c r="C22" s="14">
        <v>2.5</v>
      </c>
      <c r="D22" s="14"/>
      <c r="E22" s="14"/>
      <c r="F22" s="14"/>
      <c r="G22" s="15"/>
      <c r="H22" s="14">
        <f t="shared" si="3"/>
        <v>3.5833333333333357</v>
      </c>
      <c r="I22" s="14">
        <f t="shared" si="4"/>
        <v>9.5833333333333357</v>
      </c>
      <c r="J22" s="16">
        <f t="shared" si="5"/>
        <v>13.166666666666671</v>
      </c>
    </row>
    <row r="23" spans="1:10" ht="28.5" customHeight="1">
      <c r="A23" s="6" t="s">
        <v>29</v>
      </c>
      <c r="B23" s="14"/>
      <c r="C23" s="14"/>
      <c r="D23" s="14"/>
      <c r="E23" s="14"/>
      <c r="F23" s="14">
        <v>2</v>
      </c>
      <c r="G23" s="17"/>
      <c r="H23" s="14">
        <f t="shared" si="3"/>
        <v>1.5833333333333357</v>
      </c>
      <c r="I23" s="14">
        <f t="shared" si="4"/>
        <v>9.5833333333333357</v>
      </c>
      <c r="J23" s="16">
        <f t="shared" si="5"/>
        <v>11.166666666666671</v>
      </c>
    </row>
    <row r="24" spans="1:10" ht="18.75" customHeight="1">
      <c r="A24" s="6" t="s">
        <v>30</v>
      </c>
      <c r="B24" s="14"/>
      <c r="C24" s="14"/>
      <c r="D24" s="14"/>
      <c r="E24" s="14"/>
      <c r="F24" s="14">
        <v>1</v>
      </c>
      <c r="G24" s="14"/>
      <c r="H24" s="14">
        <f t="shared" si="3"/>
        <v>0.5833333333333357</v>
      </c>
      <c r="I24" s="14">
        <f t="shared" si="4"/>
        <v>9.5833333333333357</v>
      </c>
      <c r="J24" s="16">
        <f t="shared" si="5"/>
        <v>10.166666666666671</v>
      </c>
    </row>
    <row r="25" spans="1:10" ht="18.75" customHeight="1">
      <c r="A25" s="6" t="s">
        <v>31</v>
      </c>
      <c r="B25" s="14">
        <v>1.25</v>
      </c>
      <c r="C25" s="14">
        <v>1.25</v>
      </c>
      <c r="D25" s="14"/>
      <c r="E25" s="14"/>
      <c r="F25" s="14"/>
      <c r="G25" s="14"/>
      <c r="H25" s="14">
        <f t="shared" si="3"/>
        <v>1.8333333333333357</v>
      </c>
      <c r="I25" s="14">
        <f t="shared" si="4"/>
        <v>10.833333333333336</v>
      </c>
      <c r="J25" s="16">
        <f t="shared" si="5"/>
        <v>12.666666666666671</v>
      </c>
    </row>
    <row r="26" spans="1:10" ht="18.75" customHeight="1">
      <c r="A26" s="7" t="s">
        <v>32</v>
      </c>
      <c r="B26" s="18"/>
      <c r="C26" s="18"/>
      <c r="D26" s="18"/>
      <c r="E26" s="18"/>
      <c r="F26" s="18"/>
      <c r="G26" s="18">
        <v>1</v>
      </c>
      <c r="H26" s="14">
        <f t="shared" si="3"/>
        <v>1.8333333333333357</v>
      </c>
      <c r="I26" s="14">
        <f t="shared" si="4"/>
        <v>10.833333333333336</v>
      </c>
      <c r="J26" s="16">
        <f t="shared" si="5"/>
        <v>12.666666666666671</v>
      </c>
    </row>
    <row r="27" spans="1:10" ht="18.75" customHeight="1">
      <c r="A27" s="8" t="s">
        <v>33</v>
      </c>
      <c r="B27" s="14">
        <v>1.25</v>
      </c>
      <c r="C27" s="14">
        <v>1.25</v>
      </c>
      <c r="D27" s="14"/>
      <c r="E27" s="14"/>
      <c r="F27" s="14"/>
      <c r="G27" s="14"/>
      <c r="H27" s="14">
        <f t="shared" si="3"/>
        <v>3.0833333333333357</v>
      </c>
      <c r="I27" s="14">
        <f t="shared" si="4"/>
        <v>12.083333333333336</v>
      </c>
      <c r="J27" s="16">
        <f t="shared" si="5"/>
        <v>15.166666666666671</v>
      </c>
    </row>
    <row r="28" spans="1:10" ht="18.75" customHeight="1">
      <c r="A28" s="8" t="s">
        <v>34</v>
      </c>
      <c r="B28" s="14"/>
      <c r="C28" s="14"/>
      <c r="D28" s="14"/>
      <c r="E28" s="14">
        <v>1</v>
      </c>
      <c r="F28" s="14"/>
      <c r="G28" s="14"/>
      <c r="H28" s="14">
        <f t="shared" si="3"/>
        <v>3.0833333333333357</v>
      </c>
      <c r="I28" s="14">
        <f t="shared" si="4"/>
        <v>11.083333333333336</v>
      </c>
      <c r="J28" s="16">
        <f t="shared" si="5"/>
        <v>14.166666666666671</v>
      </c>
    </row>
    <row r="29" spans="1:10" ht="18.75" customHeight="1">
      <c r="A29" s="8" t="s">
        <v>35</v>
      </c>
      <c r="B29" s="14"/>
      <c r="C29" s="14"/>
      <c r="D29" s="14"/>
      <c r="E29" s="14"/>
      <c r="F29" s="14"/>
      <c r="G29" s="14">
        <v>1</v>
      </c>
      <c r="H29" s="14">
        <f t="shared" si="3"/>
        <v>3.0833333333333357</v>
      </c>
      <c r="I29" s="14">
        <f t="shared" si="4"/>
        <v>11.083333333333336</v>
      </c>
      <c r="J29" s="16">
        <f t="shared" si="5"/>
        <v>14.166666666666671</v>
      </c>
    </row>
    <row r="30" spans="1:10" ht="18.75" customHeight="1">
      <c r="A30" s="8" t="s">
        <v>36</v>
      </c>
      <c r="B30" s="14"/>
      <c r="C30" s="14"/>
      <c r="D30" s="14"/>
      <c r="E30" s="14"/>
      <c r="F30" s="14">
        <v>2</v>
      </c>
      <c r="G30" s="14"/>
      <c r="H30" s="14">
        <f t="shared" si="3"/>
        <v>1.0833333333333357</v>
      </c>
      <c r="I30" s="14">
        <f t="shared" si="4"/>
        <v>11.083333333333336</v>
      </c>
      <c r="J30" s="16">
        <f t="shared" si="5"/>
        <v>12.166666666666671</v>
      </c>
    </row>
    <row r="31" spans="1:10" ht="18.75" customHeight="1">
      <c r="A31" s="8" t="s">
        <v>37</v>
      </c>
      <c r="B31" s="14"/>
      <c r="C31" s="14"/>
      <c r="D31" s="14"/>
      <c r="E31" s="14"/>
      <c r="F31" s="14"/>
      <c r="G31" s="14">
        <v>2</v>
      </c>
      <c r="H31" s="14">
        <f t="shared" si="3"/>
        <v>1.0833333333333357</v>
      </c>
      <c r="I31" s="14">
        <f t="shared" si="4"/>
        <v>11.083333333333336</v>
      </c>
      <c r="J31" s="16">
        <f t="shared" si="5"/>
        <v>12.166666666666671</v>
      </c>
    </row>
    <row r="32" spans="1:10" ht="18.75" customHeight="1">
      <c r="A32" s="8" t="s">
        <v>38</v>
      </c>
      <c r="B32" s="14"/>
      <c r="C32" s="14"/>
      <c r="D32" s="14"/>
      <c r="E32" s="14"/>
      <c r="F32" s="14">
        <v>1</v>
      </c>
      <c r="G32" s="14"/>
      <c r="H32" s="14">
        <f t="shared" si="3"/>
        <v>8.3333333333335702E-2</v>
      </c>
      <c r="I32" s="14">
        <f t="shared" si="4"/>
        <v>11.083333333333336</v>
      </c>
      <c r="J32" s="16">
        <f t="shared" si="5"/>
        <v>11.166666666666671</v>
      </c>
    </row>
    <row r="33" spans="1:10" ht="18.75" customHeight="1">
      <c r="A33" s="8" t="s">
        <v>39</v>
      </c>
      <c r="B33" s="14">
        <v>2.5</v>
      </c>
      <c r="C33" s="14">
        <v>2.5</v>
      </c>
      <c r="D33" s="14"/>
      <c r="E33" s="14"/>
      <c r="F33" s="14"/>
      <c r="G33" s="14"/>
      <c r="H33" s="14">
        <f t="shared" si="3"/>
        <v>2.5833333333333357</v>
      </c>
      <c r="I33" s="14">
        <f t="shared" si="4"/>
        <v>13.583333333333336</v>
      </c>
      <c r="J33" s="16">
        <f t="shared" si="5"/>
        <v>16.166666666666671</v>
      </c>
    </row>
    <row r="34" spans="1:10" ht="18.75" customHeight="1">
      <c r="A34" s="8" t="s">
        <v>40</v>
      </c>
      <c r="B34" s="14">
        <v>1.25</v>
      </c>
      <c r="C34" s="14">
        <v>1.25</v>
      </c>
      <c r="D34" s="14"/>
      <c r="E34" s="14"/>
      <c r="F34" s="14"/>
      <c r="G34" s="14"/>
      <c r="H34" s="14">
        <f t="shared" si="3"/>
        <v>3.8333333333333357</v>
      </c>
      <c r="I34" s="14">
        <f t="shared" si="4"/>
        <v>14.833333333333336</v>
      </c>
      <c r="J34" s="16">
        <f t="shared" si="5"/>
        <v>18.666666666666671</v>
      </c>
    </row>
    <row r="35" spans="1:10" ht="18.75" customHeight="1">
      <c r="A35" s="8" t="s">
        <v>41</v>
      </c>
      <c r="B35" s="14"/>
      <c r="C35" s="14"/>
      <c r="D35" s="14"/>
      <c r="E35" s="14"/>
      <c r="F35" s="14">
        <v>2</v>
      </c>
      <c r="G35" s="14"/>
      <c r="H35" s="14">
        <f t="shared" si="3"/>
        <v>1.8333333333333357</v>
      </c>
      <c r="I35" s="14">
        <f t="shared" si="4"/>
        <v>14.833333333333336</v>
      </c>
      <c r="J35" s="16">
        <f t="shared" si="5"/>
        <v>16.666666666666671</v>
      </c>
    </row>
    <row r="36" spans="1:10" ht="18.75" customHeight="1">
      <c r="A36" s="8" t="s">
        <v>42</v>
      </c>
      <c r="B36" s="14">
        <v>1.25</v>
      </c>
      <c r="C36" s="14">
        <v>1.25</v>
      </c>
      <c r="D36" s="14"/>
      <c r="E36" s="14"/>
      <c r="F36" s="14"/>
      <c r="G36" s="14"/>
      <c r="H36" s="14">
        <f t="shared" si="3"/>
        <v>3.0833333333333357</v>
      </c>
      <c r="I36" s="14">
        <f t="shared" si="4"/>
        <v>16.083333333333336</v>
      </c>
      <c r="J36" s="16">
        <f t="shared" si="5"/>
        <v>19.166666666666671</v>
      </c>
    </row>
    <row r="37" spans="1:10" ht="18.75" customHeight="1">
      <c r="A37" s="8" t="s">
        <v>43</v>
      </c>
      <c r="B37" s="14"/>
      <c r="C37" s="14"/>
      <c r="D37" s="14"/>
      <c r="E37" s="14">
        <v>3</v>
      </c>
      <c r="F37" s="14"/>
      <c r="G37" s="14"/>
      <c r="H37" s="14">
        <f t="shared" si="3"/>
        <v>3.0833333333333357</v>
      </c>
      <c r="I37" s="14">
        <f t="shared" si="4"/>
        <v>13.083333333333336</v>
      </c>
      <c r="J37" s="16">
        <f t="shared" si="5"/>
        <v>16.166666666666671</v>
      </c>
    </row>
    <row r="38" spans="1:10" ht="18.75" customHeight="1">
      <c r="A38" s="8" t="s">
        <v>44</v>
      </c>
      <c r="B38" s="14">
        <v>5</v>
      </c>
      <c r="C38" s="14">
        <v>5</v>
      </c>
      <c r="D38" s="14"/>
      <c r="E38" s="14"/>
      <c r="F38" s="14"/>
      <c r="G38" s="14"/>
      <c r="H38" s="14">
        <f t="shared" si="3"/>
        <v>8.0833333333333357</v>
      </c>
      <c r="I38" s="14">
        <f t="shared" si="4"/>
        <v>18.083333333333336</v>
      </c>
      <c r="J38" s="16">
        <f t="shared" si="5"/>
        <v>26.166666666666671</v>
      </c>
    </row>
    <row r="39" spans="1:10" ht="18.75" customHeight="1">
      <c r="A39" s="8" t="s">
        <v>45</v>
      </c>
      <c r="B39" s="14"/>
      <c r="C39" s="14"/>
      <c r="D39" s="14">
        <v>6</v>
      </c>
      <c r="E39" s="14">
        <v>13</v>
      </c>
      <c r="F39" s="14"/>
      <c r="G39" s="14"/>
      <c r="H39" s="14">
        <f t="shared" si="3"/>
        <v>2.0833333333333357</v>
      </c>
      <c r="I39" s="14">
        <f t="shared" si="4"/>
        <v>5.0833333333333357</v>
      </c>
      <c r="J39" s="16">
        <f t="shared" si="5"/>
        <v>7.1666666666666714</v>
      </c>
    </row>
    <row r="40" spans="1:10" ht="18.75" customHeight="1">
      <c r="A40" s="8" t="s">
        <v>46</v>
      </c>
      <c r="B40" s="14"/>
      <c r="C40" s="14"/>
      <c r="D40" s="14"/>
      <c r="E40" s="14">
        <v>3</v>
      </c>
      <c r="F40" s="14"/>
      <c r="G40" s="14"/>
      <c r="H40" s="14">
        <f t="shared" si="3"/>
        <v>2.0833333333333357</v>
      </c>
      <c r="I40" s="14">
        <f t="shared" si="4"/>
        <v>2.0833333333333357</v>
      </c>
      <c r="J40" s="16">
        <f t="shared" si="5"/>
        <v>4.1666666666666714</v>
      </c>
    </row>
    <row r="41" spans="1:10" ht="18.75" customHeight="1">
      <c r="A41" s="8" t="s">
        <v>47</v>
      </c>
      <c r="B41" s="14">
        <f>3*1.25</f>
        <v>3.75</v>
      </c>
      <c r="C41" s="14">
        <v>3.75</v>
      </c>
      <c r="D41" s="14"/>
      <c r="E41" s="14"/>
      <c r="F41" s="14"/>
      <c r="G41" s="14"/>
      <c r="H41" s="14">
        <f t="shared" si="3"/>
        <v>5.8333333333333357</v>
      </c>
      <c r="I41" s="14">
        <f t="shared" si="4"/>
        <v>5.8333333333333357</v>
      </c>
      <c r="J41" s="16">
        <f t="shared" si="5"/>
        <v>11.666666666666671</v>
      </c>
    </row>
    <row r="42" spans="1:10" ht="18.75" customHeight="1">
      <c r="A42" s="8" t="s">
        <v>48</v>
      </c>
      <c r="B42" s="14"/>
      <c r="C42" s="14"/>
      <c r="D42" s="14"/>
      <c r="E42" s="14"/>
      <c r="F42" s="14">
        <v>2</v>
      </c>
      <c r="G42" s="14"/>
      <c r="H42" s="14">
        <f t="shared" si="3"/>
        <v>3.8333333333333357</v>
      </c>
      <c r="I42" s="14">
        <f t="shared" si="4"/>
        <v>5.8333333333333357</v>
      </c>
      <c r="J42" s="16">
        <f t="shared" si="5"/>
        <v>9.6666666666666714</v>
      </c>
    </row>
    <row r="43" spans="1:10" ht="18.75" customHeight="1">
      <c r="A43" s="8" t="s">
        <v>49</v>
      </c>
      <c r="B43" s="14"/>
      <c r="C43" s="14"/>
      <c r="D43" s="14">
        <v>1</v>
      </c>
      <c r="E43" s="14"/>
      <c r="F43" s="14"/>
      <c r="G43" s="14"/>
      <c r="H43" s="14">
        <f t="shared" si="3"/>
        <v>2.8333333333333357</v>
      </c>
      <c r="I43" s="14">
        <f t="shared" si="4"/>
        <v>5.8333333333333357</v>
      </c>
      <c r="J43" s="16">
        <f t="shared" si="5"/>
        <v>8.6666666666666714</v>
      </c>
    </row>
    <row r="44" spans="1:10" ht="18.75" customHeight="1">
      <c r="A44" s="8" t="s">
        <v>50</v>
      </c>
      <c r="B44" s="14">
        <v>1.25</v>
      </c>
      <c r="C44" s="14">
        <v>1.25</v>
      </c>
      <c r="D44" s="14"/>
      <c r="E44" s="14"/>
      <c r="F44" s="14"/>
      <c r="G44" s="14"/>
      <c r="H44" s="14">
        <f t="shared" si="3"/>
        <v>4.0833333333333357</v>
      </c>
      <c r="I44" s="14">
        <f t="shared" si="4"/>
        <v>7.0833333333333357</v>
      </c>
      <c r="J44" s="16">
        <f t="shared" si="5"/>
        <v>11.166666666666671</v>
      </c>
    </row>
    <row r="45" spans="1:10" ht="18.75" customHeight="1">
      <c r="A45" s="8" t="s">
        <v>51</v>
      </c>
      <c r="B45" s="14">
        <v>2.5</v>
      </c>
      <c r="C45" s="14">
        <v>2.5</v>
      </c>
      <c r="D45" s="14"/>
      <c r="E45" s="14"/>
      <c r="F45" s="14"/>
      <c r="G45" s="14"/>
      <c r="H45" s="14">
        <f t="shared" si="3"/>
        <v>6.5833333333333357</v>
      </c>
      <c r="I45" s="14">
        <f t="shared" si="4"/>
        <v>9.5833333333333357</v>
      </c>
      <c r="J45" s="16">
        <f t="shared" si="5"/>
        <v>16.166666666666671</v>
      </c>
    </row>
    <row r="46" spans="1:10" ht="18.75" customHeight="1">
      <c r="A46" s="8" t="s">
        <v>52</v>
      </c>
      <c r="B46" s="14"/>
      <c r="C46" s="14"/>
      <c r="D46" s="14"/>
      <c r="E46" s="14"/>
      <c r="F46" s="14">
        <v>1</v>
      </c>
      <c r="G46" s="14"/>
      <c r="H46" s="14">
        <f t="shared" si="3"/>
        <v>5.5833333333333357</v>
      </c>
      <c r="I46" s="14">
        <f t="shared" si="4"/>
        <v>9.5833333333333357</v>
      </c>
      <c r="J46" s="16">
        <f t="shared" si="5"/>
        <v>15.166666666666671</v>
      </c>
    </row>
    <row r="47" spans="1:10" ht="18.75" customHeight="1">
      <c r="A47" s="8" t="s">
        <v>53</v>
      </c>
      <c r="B47" s="14"/>
      <c r="C47" s="14"/>
      <c r="D47" s="14"/>
      <c r="E47" s="14"/>
      <c r="F47" s="14"/>
      <c r="G47" s="14">
        <v>1</v>
      </c>
      <c r="H47" s="14">
        <f t="shared" si="3"/>
        <v>5.5833333333333357</v>
      </c>
      <c r="I47" s="14">
        <f t="shared" si="4"/>
        <v>9.5833333333333357</v>
      </c>
      <c r="J47" s="16">
        <f t="shared" si="5"/>
        <v>15.166666666666671</v>
      </c>
    </row>
    <row r="48" spans="1:10" ht="18.75" customHeight="1">
      <c r="A48" s="8" t="s">
        <v>54</v>
      </c>
      <c r="B48" s="14">
        <v>5</v>
      </c>
      <c r="C48" s="14">
        <v>5</v>
      </c>
      <c r="D48" s="14"/>
      <c r="E48" s="14"/>
      <c r="F48" s="14"/>
      <c r="G48" s="14"/>
      <c r="H48" s="14">
        <f t="shared" si="3"/>
        <v>10.583333333333336</v>
      </c>
      <c r="I48" s="14">
        <f t="shared" si="4"/>
        <v>14.583333333333336</v>
      </c>
      <c r="J48" s="16">
        <f t="shared" si="5"/>
        <v>25.166666666666671</v>
      </c>
    </row>
    <row r="49" spans="1:10" ht="18.75" customHeight="1">
      <c r="A49" s="8" t="s">
        <v>55</v>
      </c>
      <c r="B49" s="14"/>
      <c r="C49" s="14"/>
      <c r="D49" s="14"/>
      <c r="E49" s="14"/>
      <c r="F49" s="14">
        <v>2</v>
      </c>
      <c r="G49" s="14"/>
      <c r="H49" s="14">
        <f t="shared" si="3"/>
        <v>8.5833333333333357</v>
      </c>
      <c r="I49" s="14">
        <f t="shared" si="4"/>
        <v>14.583333333333336</v>
      </c>
      <c r="J49" s="16">
        <f t="shared" si="5"/>
        <v>23.166666666666671</v>
      </c>
    </row>
    <row r="50" spans="1:10" ht="18.75" customHeight="1">
      <c r="A50" s="8" t="s">
        <v>56</v>
      </c>
      <c r="B50" s="14"/>
      <c r="C50" s="14"/>
      <c r="D50" s="14"/>
      <c r="E50" s="14"/>
      <c r="F50" s="14"/>
      <c r="G50" s="14">
        <v>1</v>
      </c>
      <c r="H50" s="14">
        <f t="shared" si="3"/>
        <v>8.5833333333333357</v>
      </c>
      <c r="I50" s="14">
        <f t="shared" si="4"/>
        <v>14.583333333333336</v>
      </c>
      <c r="J50" s="16">
        <f t="shared" si="5"/>
        <v>23.166666666666671</v>
      </c>
    </row>
    <row r="51" spans="1:10" ht="18.75" customHeight="1">
      <c r="A51" s="8" t="s">
        <v>57</v>
      </c>
      <c r="B51" s="14"/>
      <c r="C51" s="14"/>
      <c r="D51" s="14"/>
      <c r="E51" s="14">
        <v>2</v>
      </c>
      <c r="F51" s="14"/>
      <c r="G51" s="14"/>
      <c r="H51" s="14">
        <f t="shared" si="3"/>
        <v>8.5833333333333357</v>
      </c>
      <c r="I51" s="14">
        <f t="shared" si="4"/>
        <v>12.583333333333336</v>
      </c>
      <c r="J51" s="16">
        <f t="shared" si="5"/>
        <v>21.166666666666671</v>
      </c>
    </row>
    <row r="52" spans="1:10" ht="18.75" customHeight="1">
      <c r="A52" s="8" t="s">
        <v>58</v>
      </c>
      <c r="B52" s="14">
        <v>1.25</v>
      </c>
      <c r="C52" s="14">
        <v>1.25</v>
      </c>
      <c r="D52" s="14"/>
      <c r="E52" s="14"/>
      <c r="F52" s="14"/>
      <c r="G52" s="14"/>
      <c r="H52" s="14">
        <f t="shared" si="3"/>
        <v>9.8333333333333357</v>
      </c>
      <c r="I52" s="14">
        <f t="shared" si="4"/>
        <v>13.833333333333336</v>
      </c>
      <c r="J52" s="16">
        <f t="shared" si="5"/>
        <v>23.666666666666671</v>
      </c>
    </row>
    <row r="53" spans="1:10" ht="18.75" customHeight="1">
      <c r="A53" s="8" t="s">
        <v>59</v>
      </c>
      <c r="B53" s="14"/>
      <c r="C53" s="14"/>
      <c r="D53" s="14"/>
      <c r="E53" s="14">
        <v>2</v>
      </c>
      <c r="F53" s="14"/>
      <c r="G53" s="14"/>
      <c r="H53" s="14">
        <f t="shared" si="3"/>
        <v>9.8333333333333357</v>
      </c>
      <c r="I53" s="14">
        <f t="shared" si="4"/>
        <v>11.833333333333336</v>
      </c>
      <c r="J53" s="16">
        <f t="shared" si="5"/>
        <v>21.666666666666671</v>
      </c>
    </row>
    <row r="54" spans="1:10" ht="18.75" customHeight="1">
      <c r="A54" s="8" t="s">
        <v>60</v>
      </c>
      <c r="B54" s="14"/>
      <c r="C54" s="14"/>
      <c r="D54" s="14"/>
      <c r="E54" s="14"/>
      <c r="F54" s="14"/>
      <c r="G54" s="14">
        <v>1</v>
      </c>
      <c r="H54" s="14">
        <f t="shared" si="3"/>
        <v>9.8333333333333357</v>
      </c>
      <c r="I54" s="14">
        <f t="shared" si="4"/>
        <v>11.833333333333336</v>
      </c>
      <c r="J54" s="16">
        <f t="shared" si="5"/>
        <v>21.666666666666671</v>
      </c>
    </row>
    <row r="55" spans="1:10" ht="18.75" customHeight="1">
      <c r="A55" s="8" t="s">
        <v>61</v>
      </c>
      <c r="B55" s="14">
        <v>1.25</v>
      </c>
      <c r="C55" s="14">
        <v>1.25</v>
      </c>
      <c r="D55" s="14"/>
      <c r="E55" s="14"/>
      <c r="F55" s="14"/>
      <c r="G55" s="14"/>
      <c r="H55" s="14">
        <f t="shared" si="3"/>
        <v>11.083333333333336</v>
      </c>
      <c r="I55" s="14">
        <f t="shared" si="4"/>
        <v>13.083333333333336</v>
      </c>
      <c r="J55" s="16">
        <f t="shared" si="5"/>
        <v>24.166666666666671</v>
      </c>
    </row>
    <row r="56" spans="1:10" ht="18.75" customHeight="1">
      <c r="A56" s="8" t="s">
        <v>62</v>
      </c>
      <c r="B56" s="14"/>
      <c r="C56" s="14"/>
      <c r="D56" s="14"/>
      <c r="E56" s="14">
        <v>4</v>
      </c>
      <c r="F56" s="14"/>
      <c r="G56" s="14"/>
      <c r="H56" s="14">
        <f t="shared" si="3"/>
        <v>11.083333333333336</v>
      </c>
      <c r="I56" s="14">
        <f t="shared" si="4"/>
        <v>9.0833333333333357</v>
      </c>
      <c r="J56" s="16">
        <f t="shared" si="5"/>
        <v>20.166666666666671</v>
      </c>
    </row>
    <row r="57" spans="1:10" ht="18.75" customHeight="1">
      <c r="A57" s="8" t="s">
        <v>63</v>
      </c>
      <c r="B57" s="14">
        <v>1.25</v>
      </c>
      <c r="C57" s="14">
        <v>1.25</v>
      </c>
      <c r="D57" s="14"/>
      <c r="E57" s="14"/>
      <c r="F57" s="14"/>
      <c r="G57" s="14"/>
      <c r="H57" s="14">
        <f>H56-F57-D57+B57</f>
        <v>12.333333333333336</v>
      </c>
      <c r="I57" s="14">
        <f t="shared" si="4"/>
        <v>10.333333333333336</v>
      </c>
      <c r="J57" s="16">
        <f t="shared" si="5"/>
        <v>22.666666666666671</v>
      </c>
    </row>
    <row r="58" spans="1:10" ht="18.75" customHeight="1">
      <c r="A58" s="8" t="s">
        <v>64</v>
      </c>
      <c r="B58" s="14"/>
      <c r="C58" s="14"/>
      <c r="D58" s="14">
        <v>2</v>
      </c>
      <c r="E58" s="14"/>
      <c r="F58" s="14"/>
      <c r="G58" s="14"/>
      <c r="H58" s="14">
        <f>H57-F58-D58+B58</f>
        <v>10.333333333333336</v>
      </c>
      <c r="I58" s="14">
        <f t="shared" si="4"/>
        <v>10.333333333333336</v>
      </c>
      <c r="J58" s="16">
        <f t="shared" si="5"/>
        <v>20.666666666666671</v>
      </c>
    </row>
    <row r="59" spans="1:10" ht="18.75" customHeight="1">
      <c r="A59" s="8" t="s">
        <v>65</v>
      </c>
      <c r="B59" s="14">
        <v>1.25</v>
      </c>
      <c r="C59" s="14">
        <v>1.25</v>
      </c>
      <c r="D59" s="14"/>
      <c r="E59" s="14"/>
      <c r="F59" s="14"/>
      <c r="G59" s="14"/>
      <c r="H59" s="14">
        <f t="shared" si="3"/>
        <v>11.583333333333336</v>
      </c>
      <c r="I59" s="14">
        <f t="shared" si="4"/>
        <v>11.583333333333336</v>
      </c>
      <c r="J59" s="16">
        <f t="shared" si="5"/>
        <v>23.166666666666671</v>
      </c>
    </row>
    <row r="60" spans="1:10" ht="18.75" customHeight="1">
      <c r="A60" s="8" t="s">
        <v>66</v>
      </c>
      <c r="B60" s="14"/>
      <c r="C60" s="14"/>
      <c r="D60" s="14"/>
      <c r="E60" s="14">
        <v>5</v>
      </c>
      <c r="F60" s="14"/>
      <c r="G60" s="14"/>
      <c r="H60" s="14">
        <f t="shared" si="3"/>
        <v>11.583333333333336</v>
      </c>
      <c r="I60" s="14">
        <f t="shared" si="4"/>
        <v>6.5833333333333357</v>
      </c>
      <c r="J60" s="16">
        <f t="shared" si="5"/>
        <v>18.166666666666671</v>
      </c>
    </row>
    <row r="61" spans="1:10" ht="18.75" customHeight="1">
      <c r="A61" s="8" t="s">
        <v>67</v>
      </c>
      <c r="B61" s="14"/>
      <c r="C61" s="14"/>
      <c r="D61" s="14"/>
      <c r="E61" s="14"/>
      <c r="F61" s="14">
        <v>2</v>
      </c>
      <c r="G61" s="14"/>
      <c r="H61" s="14">
        <f t="shared" si="3"/>
        <v>9.5833333333333357</v>
      </c>
      <c r="I61" s="14">
        <f t="shared" si="4"/>
        <v>6.5833333333333357</v>
      </c>
      <c r="J61" s="16">
        <f t="shared" si="5"/>
        <v>16.166666666666671</v>
      </c>
    </row>
    <row r="62" spans="1:10" ht="18.75" customHeight="1">
      <c r="A62" s="8" t="s">
        <v>68</v>
      </c>
      <c r="B62" s="14">
        <v>1.25</v>
      </c>
      <c r="C62" s="14">
        <v>1.25</v>
      </c>
      <c r="D62" s="14"/>
      <c r="E62" s="14"/>
      <c r="F62" s="14"/>
      <c r="G62" s="14"/>
      <c r="H62" s="14">
        <f t="shared" si="3"/>
        <v>10.833333333333336</v>
      </c>
      <c r="I62" s="14">
        <f t="shared" si="4"/>
        <v>7.8333333333333357</v>
      </c>
      <c r="J62" s="16">
        <f t="shared" si="5"/>
        <v>18.666666666666671</v>
      </c>
    </row>
    <row r="63" spans="1:10" ht="18.75" customHeight="1">
      <c r="A63" s="8" t="s">
        <v>69</v>
      </c>
      <c r="B63" s="14"/>
      <c r="C63" s="14"/>
      <c r="D63" s="14">
        <v>0.5</v>
      </c>
      <c r="E63" s="14"/>
      <c r="F63" s="14"/>
      <c r="G63" s="14"/>
      <c r="H63" s="14">
        <f t="shared" si="3"/>
        <v>10.333333333333336</v>
      </c>
      <c r="I63" s="14">
        <f t="shared" si="4"/>
        <v>7.8333333333333357</v>
      </c>
      <c r="J63" s="16">
        <f t="shared" si="5"/>
        <v>18.166666666666671</v>
      </c>
    </row>
    <row r="64" spans="1:10" ht="18.75" customHeight="1">
      <c r="A64" s="8" t="s">
        <v>70</v>
      </c>
      <c r="B64" s="14"/>
      <c r="C64" s="14"/>
      <c r="D64" s="14"/>
      <c r="E64" s="14">
        <v>2</v>
      </c>
      <c r="F64" s="14"/>
      <c r="G64" s="14"/>
      <c r="H64" s="14">
        <f t="shared" si="3"/>
        <v>10.333333333333336</v>
      </c>
      <c r="I64" s="14">
        <f t="shared" si="4"/>
        <v>5.8333333333333357</v>
      </c>
      <c r="J64" s="16">
        <f t="shared" si="5"/>
        <v>16.166666666666671</v>
      </c>
    </row>
    <row r="65" spans="1:10" ht="18.75" customHeight="1">
      <c r="A65" s="8" t="s">
        <v>71</v>
      </c>
      <c r="B65" s="14">
        <v>1.25</v>
      </c>
      <c r="C65" s="14">
        <v>1.25</v>
      </c>
      <c r="D65" s="14"/>
      <c r="E65" s="14"/>
      <c r="F65" s="14"/>
      <c r="G65" s="14"/>
      <c r="H65" s="14">
        <f t="shared" si="3"/>
        <v>11.583333333333336</v>
      </c>
      <c r="I65" s="14">
        <f t="shared" si="4"/>
        <v>7.0833333333333357</v>
      </c>
      <c r="J65" s="16">
        <f t="shared" si="5"/>
        <v>18.666666666666671</v>
      </c>
    </row>
    <row r="66" spans="1:10" ht="18.75" customHeight="1">
      <c r="A66" s="8" t="s">
        <v>72</v>
      </c>
      <c r="B66" s="14"/>
      <c r="C66" s="14"/>
      <c r="D66" s="14"/>
      <c r="E66" s="14">
        <v>4</v>
      </c>
      <c r="F66" s="14"/>
      <c r="G66" s="14"/>
      <c r="H66" s="14">
        <f t="shared" si="3"/>
        <v>11.583333333333336</v>
      </c>
      <c r="I66" s="14">
        <f t="shared" si="4"/>
        <v>3.0833333333333357</v>
      </c>
      <c r="J66" s="16">
        <f t="shared" si="5"/>
        <v>14.666666666666671</v>
      </c>
    </row>
    <row r="67" spans="1:10" ht="18.75" customHeight="1">
      <c r="A67" s="8" t="s">
        <v>73</v>
      </c>
      <c r="B67" s="14"/>
      <c r="C67" s="14"/>
      <c r="D67" s="14"/>
      <c r="E67" s="14">
        <v>2</v>
      </c>
      <c r="F67" s="14"/>
      <c r="G67" s="14"/>
      <c r="H67" s="14">
        <f t="shared" si="3"/>
        <v>11.583333333333336</v>
      </c>
      <c r="I67" s="14">
        <f t="shared" si="4"/>
        <v>1.0833333333333357</v>
      </c>
      <c r="J67" s="16">
        <f t="shared" si="5"/>
        <v>12.666666666666671</v>
      </c>
    </row>
    <row r="68" spans="1:10" ht="18.75" customHeight="1">
      <c r="A68" s="8" t="s">
        <v>74</v>
      </c>
      <c r="B68" s="14">
        <v>1.25</v>
      </c>
      <c r="C68" s="14">
        <v>1.25</v>
      </c>
      <c r="D68" s="14"/>
      <c r="E68" s="14"/>
      <c r="F68" s="14"/>
      <c r="G68" s="14"/>
      <c r="H68" s="14">
        <f t="shared" si="3"/>
        <v>12.833333333333336</v>
      </c>
      <c r="I68" s="14">
        <f t="shared" si="4"/>
        <v>2.3333333333333357</v>
      </c>
      <c r="J68" s="16">
        <f t="shared" si="5"/>
        <v>15.166666666666671</v>
      </c>
    </row>
    <row r="69" spans="1:10" ht="18.75" customHeight="1">
      <c r="A69" s="8" t="s">
        <v>75</v>
      </c>
      <c r="B69" s="14"/>
      <c r="C69" s="14"/>
      <c r="D69" s="14"/>
      <c r="E69" s="14">
        <v>1</v>
      </c>
      <c r="F69" s="14"/>
      <c r="G69" s="14"/>
      <c r="H69" s="14">
        <f t="shared" si="3"/>
        <v>12.833333333333336</v>
      </c>
      <c r="I69" s="14">
        <f t="shared" si="4"/>
        <v>1.3333333333333357</v>
      </c>
      <c r="J69" s="16">
        <f t="shared" si="5"/>
        <v>14.166666666666671</v>
      </c>
    </row>
    <row r="70" spans="1:10" ht="18.75" customHeight="1">
      <c r="A70" s="8" t="s">
        <v>76</v>
      </c>
      <c r="B70" s="14">
        <v>2.5</v>
      </c>
      <c r="C70" s="14">
        <v>2.5</v>
      </c>
      <c r="D70" s="14"/>
      <c r="E70" s="14"/>
      <c r="F70" s="14"/>
      <c r="G70" s="14"/>
      <c r="H70" s="14">
        <f t="shared" si="3"/>
        <v>15.333333333333336</v>
      </c>
      <c r="I70" s="14">
        <f t="shared" si="4"/>
        <v>3.8333333333333357</v>
      </c>
      <c r="J70" s="16">
        <f t="shared" si="5"/>
        <v>19.166666666666671</v>
      </c>
    </row>
    <row r="71" spans="1:10" ht="18.75" customHeight="1">
      <c r="A71" s="8" t="s">
        <v>77</v>
      </c>
      <c r="B71" s="14"/>
      <c r="C71" s="14"/>
      <c r="D71" s="14">
        <v>10</v>
      </c>
      <c r="E71" s="14"/>
      <c r="F71" s="14"/>
      <c r="G71" s="14"/>
      <c r="H71" s="14">
        <f t="shared" si="3"/>
        <v>5.3333333333333357</v>
      </c>
      <c r="I71" s="14">
        <f t="shared" si="4"/>
        <v>3.8333333333333357</v>
      </c>
      <c r="J71" s="16">
        <f t="shared" si="5"/>
        <v>9.1666666666666714</v>
      </c>
    </row>
    <row r="72" spans="1:10" ht="18.75" customHeight="1">
      <c r="A72" s="8" t="s">
        <v>78</v>
      </c>
      <c r="B72" s="14">
        <v>1.25</v>
      </c>
      <c r="C72" s="14">
        <v>1.25</v>
      </c>
      <c r="D72" s="14"/>
      <c r="E72" s="14"/>
      <c r="F72" s="14"/>
      <c r="G72" s="14"/>
      <c r="H72" s="14">
        <f t="shared" si="3"/>
        <v>6.5833333333333357</v>
      </c>
      <c r="I72" s="14">
        <f t="shared" si="4"/>
        <v>5.0833333333333357</v>
      </c>
      <c r="J72" s="16">
        <f t="shared" si="5"/>
        <v>11.666666666666671</v>
      </c>
    </row>
    <row r="73" spans="1:10" ht="18.75" customHeight="1">
      <c r="A73" s="8" t="s">
        <v>79</v>
      </c>
      <c r="B73" s="14"/>
      <c r="C73" s="14"/>
      <c r="D73" s="14"/>
      <c r="E73" s="14">
        <v>1</v>
      </c>
      <c r="F73" s="14"/>
      <c r="G73" s="14"/>
      <c r="H73" s="14">
        <f t="shared" si="3"/>
        <v>6.5833333333333357</v>
      </c>
      <c r="I73" s="14">
        <f t="shared" si="4"/>
        <v>4.0833333333333357</v>
      </c>
      <c r="J73" s="16">
        <f t="shared" si="5"/>
        <v>10.666666666666671</v>
      </c>
    </row>
    <row r="74" spans="1:10" ht="18.75" customHeight="1">
      <c r="A74" s="8" t="s">
        <v>80</v>
      </c>
      <c r="B74" s="14">
        <v>2.5</v>
      </c>
      <c r="C74" s="14">
        <v>2.5</v>
      </c>
      <c r="D74" s="14"/>
      <c r="E74" s="14"/>
      <c r="F74" s="14"/>
      <c r="G74" s="14"/>
      <c r="H74" s="14">
        <f t="shared" si="3"/>
        <v>9.0833333333333357</v>
      </c>
      <c r="I74" s="14">
        <f t="shared" si="4"/>
        <v>6.5833333333333357</v>
      </c>
      <c r="J74" s="16">
        <f t="shared" si="5"/>
        <v>15.666666666666671</v>
      </c>
    </row>
    <row r="75" spans="1:10" ht="18.75" customHeight="1">
      <c r="A75" s="8" t="s">
        <v>81</v>
      </c>
      <c r="B75" s="14"/>
      <c r="C75" s="14"/>
      <c r="D75" s="14">
        <v>0.5</v>
      </c>
      <c r="E75" s="14"/>
      <c r="F75" s="14"/>
      <c r="G75" s="14"/>
      <c r="H75" s="14">
        <f t="shared" si="3"/>
        <v>8.5833333333333357</v>
      </c>
      <c r="I75" s="14">
        <f t="shared" si="4"/>
        <v>6.5833333333333357</v>
      </c>
      <c r="J75" s="16">
        <f t="shared" si="5"/>
        <v>15.166666666666671</v>
      </c>
    </row>
    <row r="76" spans="1:10" ht="18.75" customHeight="1">
      <c r="A76" s="8" t="s">
        <v>82</v>
      </c>
      <c r="B76" s="14">
        <v>1.25</v>
      </c>
      <c r="C76" s="14">
        <v>1.25</v>
      </c>
      <c r="D76" s="14"/>
      <c r="E76" s="14"/>
      <c r="F76" s="14"/>
      <c r="G76" s="14"/>
      <c r="H76" s="14">
        <f t="shared" ref="H76:H77" si="6">H75-F76-D76+B76</f>
        <v>9.8333333333333357</v>
      </c>
      <c r="I76" s="14">
        <f t="shared" ref="I76:I77" si="7">I75-E76+C76</f>
        <v>7.8333333333333357</v>
      </c>
      <c r="J76" s="16">
        <f t="shared" ref="J76:J77" si="8">H76+I76</f>
        <v>17.666666666666671</v>
      </c>
    </row>
    <row r="77" spans="1:10" ht="18.75" customHeight="1">
      <c r="A77" s="8" t="s">
        <v>83</v>
      </c>
      <c r="B77" s="14"/>
      <c r="C77" s="14"/>
      <c r="D77" s="14"/>
      <c r="E77" s="14">
        <v>1</v>
      </c>
      <c r="F77" s="14"/>
      <c r="G77" s="14"/>
      <c r="H77" s="14">
        <f t="shared" si="6"/>
        <v>9.8333333333333357</v>
      </c>
      <c r="I77" s="14">
        <f t="shared" si="7"/>
        <v>6.8333333333333357</v>
      </c>
      <c r="J77" s="16">
        <f t="shared" si="8"/>
        <v>16.666666666666671</v>
      </c>
    </row>
    <row r="78" spans="1:10" ht="18.75" customHeight="1">
      <c r="A78" s="8" t="s">
        <v>84</v>
      </c>
      <c r="B78" s="14"/>
      <c r="C78" s="14"/>
      <c r="D78" s="14"/>
      <c r="E78" s="14"/>
      <c r="F78" s="14"/>
      <c r="G78" s="24">
        <v>2</v>
      </c>
      <c r="H78" s="14">
        <f t="shared" ref="H78" si="9">H77-F78-D78+B78</f>
        <v>9.8333333333333357</v>
      </c>
      <c r="I78" s="14">
        <f t="shared" ref="I78" si="10">I77-E78+C78</f>
        <v>6.8333333333333357</v>
      </c>
      <c r="J78" s="16">
        <f t="shared" ref="J78" si="11">H78+I78</f>
        <v>16.666666666666671</v>
      </c>
    </row>
    <row r="79" spans="1:10" ht="18.75" customHeight="1">
      <c r="A79" s="8" t="s">
        <v>85</v>
      </c>
      <c r="B79" s="14">
        <v>2.5</v>
      </c>
      <c r="C79" s="14">
        <v>2.5</v>
      </c>
      <c r="D79" s="14"/>
      <c r="E79" s="14"/>
      <c r="F79" s="14"/>
      <c r="G79" s="14"/>
      <c r="H79" s="14">
        <f t="shared" ref="H79:H80" si="12">H78-F79-D79+B79</f>
        <v>12.333333333333336</v>
      </c>
      <c r="I79" s="14">
        <f t="shared" ref="I79:I80" si="13">I78-E79+C79</f>
        <v>9.3333333333333357</v>
      </c>
      <c r="J79" s="16">
        <f t="shared" ref="J79:J80" si="14">H79+I79</f>
        <v>21.666666666666671</v>
      </c>
    </row>
    <row r="80" spans="1:10" ht="18.75" customHeight="1">
      <c r="A80" s="8" t="s">
        <v>86</v>
      </c>
      <c r="B80" s="14"/>
      <c r="C80" s="14"/>
      <c r="D80" s="14"/>
      <c r="E80" s="14">
        <v>2.5</v>
      </c>
      <c r="F80" s="14"/>
      <c r="G80" s="14"/>
      <c r="H80" s="14">
        <f t="shared" si="12"/>
        <v>12.333333333333336</v>
      </c>
      <c r="I80" s="14">
        <f t="shared" si="13"/>
        <v>6.8333333333333357</v>
      </c>
      <c r="J80" s="16">
        <f t="shared" si="14"/>
        <v>19.166666666666671</v>
      </c>
    </row>
    <row r="81" spans="1:10" ht="18.75" customHeight="1">
      <c r="A81" s="8" t="s">
        <v>87</v>
      </c>
      <c r="B81" s="14">
        <v>1.25</v>
      </c>
      <c r="C81" s="14">
        <v>1.25</v>
      </c>
      <c r="D81" s="14"/>
      <c r="E81" s="14"/>
      <c r="F81" s="14"/>
      <c r="G81" s="14"/>
      <c r="H81" s="14">
        <f t="shared" ref="H81" si="15">H80-F81-D81+B81</f>
        <v>13.583333333333336</v>
      </c>
      <c r="I81" s="14">
        <f t="shared" ref="I81" si="16">I80-E81+C81</f>
        <v>8.0833333333333357</v>
      </c>
      <c r="J81" s="16">
        <f t="shared" ref="J81" si="17">H81+I81</f>
        <v>21.666666666666671</v>
      </c>
    </row>
    <row r="82" spans="1:10" ht="18.75" customHeight="1">
      <c r="A82" s="8" t="s">
        <v>88</v>
      </c>
      <c r="B82" s="14"/>
      <c r="C82" s="14"/>
      <c r="D82" s="14"/>
      <c r="E82" s="14"/>
      <c r="F82" s="25">
        <v>1</v>
      </c>
      <c r="G82" s="14"/>
      <c r="H82" s="14">
        <f t="shared" ref="H82:H83" si="18">H81-F82-D82+B82</f>
        <v>12.583333333333336</v>
      </c>
      <c r="I82" s="14">
        <f t="shared" ref="I82:I83" si="19">I81-E82+C82</f>
        <v>8.0833333333333357</v>
      </c>
      <c r="J82" s="16">
        <f t="shared" ref="J82:J83" si="20">H82+I82</f>
        <v>20.666666666666671</v>
      </c>
    </row>
    <row r="83" spans="1:10" ht="18.75" customHeight="1">
      <c r="A83" s="40" t="s">
        <v>89</v>
      </c>
      <c r="B83" s="18"/>
      <c r="C83" s="18"/>
      <c r="D83" s="18"/>
      <c r="E83" s="18"/>
      <c r="F83" s="41">
        <v>1</v>
      </c>
      <c r="G83" s="18"/>
      <c r="H83" s="18">
        <f t="shared" si="18"/>
        <v>11.583333333333336</v>
      </c>
      <c r="I83" s="18">
        <f t="shared" si="19"/>
        <v>8.0833333333333357</v>
      </c>
      <c r="J83" s="42">
        <f t="shared" si="20"/>
        <v>19.666666666666671</v>
      </c>
    </row>
    <row r="84" spans="1:10" ht="18.75" customHeight="1">
      <c r="A84" s="43" t="s">
        <v>90</v>
      </c>
      <c r="B84" s="44">
        <v>2.5</v>
      </c>
      <c r="C84" s="44">
        <v>2.5</v>
      </c>
      <c r="D84" s="44"/>
      <c r="E84" s="44"/>
      <c r="F84" s="44"/>
      <c r="G84" s="45"/>
      <c r="H84" s="18">
        <f t="shared" ref="H84" si="21">H83-F84-D84+B84</f>
        <v>14.083333333333336</v>
      </c>
      <c r="I84" s="18">
        <f t="shared" ref="I84" si="22">I83-E84+C84</f>
        <v>10.583333333333336</v>
      </c>
      <c r="J84" s="42">
        <f t="shared" ref="J84" si="23">H84+I84</f>
        <v>24.666666666666671</v>
      </c>
    </row>
    <row r="85" spans="1:10" ht="18.75" customHeight="1">
      <c r="A85" s="43" t="s">
        <v>91</v>
      </c>
      <c r="B85" s="44"/>
      <c r="C85" s="44"/>
      <c r="D85" s="44"/>
      <c r="E85" s="44"/>
      <c r="F85" s="46">
        <v>4</v>
      </c>
      <c r="G85" s="44"/>
      <c r="H85" s="38">
        <f t="shared" ref="H85" si="24">H84-F85-D85+B85</f>
        <v>10.083333333333336</v>
      </c>
      <c r="I85" s="38">
        <f t="shared" ref="I85" si="25">I84-E85+C85</f>
        <v>10.583333333333336</v>
      </c>
      <c r="J85" s="39">
        <f t="shared" ref="J85" si="26">H85+I85</f>
        <v>20.666666666666671</v>
      </c>
    </row>
    <row r="86" spans="1:10" ht="18.75" customHeight="1">
      <c r="A86" s="21"/>
      <c r="B86" s="22"/>
      <c r="C86" s="22"/>
      <c r="D86" s="22"/>
      <c r="E86" s="22"/>
      <c r="F86" s="22"/>
      <c r="G86" s="22"/>
      <c r="H86" s="22"/>
      <c r="I86" s="22"/>
      <c r="J86" s="23"/>
    </row>
    <row r="87" spans="1:10" ht="7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 spans="1:10" s="1" customFormat="1">
      <c r="B88"/>
      <c r="C88"/>
      <c r="D88"/>
      <c r="E88"/>
      <c r="F88"/>
      <c r="G88"/>
      <c r="H88"/>
      <c r="I88"/>
      <c r="J88"/>
    </row>
    <row r="89" spans="1:10" s="1" customFormat="1">
      <c r="B89"/>
      <c r="C89"/>
      <c r="D89"/>
      <c r="E89"/>
      <c r="F89"/>
      <c r="G89"/>
      <c r="H89"/>
      <c r="I89"/>
      <c r="J89"/>
    </row>
  </sheetData>
  <mergeCells count="12">
    <mergeCell ref="A87:J87"/>
    <mergeCell ref="A2:J2"/>
    <mergeCell ref="A3:J3"/>
    <mergeCell ref="A4:J4"/>
    <mergeCell ref="A5:J5"/>
    <mergeCell ref="A11:A12"/>
    <mergeCell ref="J11:J12"/>
    <mergeCell ref="B11:C11"/>
    <mergeCell ref="D11:G11"/>
    <mergeCell ref="H11:I11"/>
    <mergeCell ref="A10:J10"/>
    <mergeCell ref="A13:J13"/>
  </mergeCells>
  <phoneticPr fontId="5" type="noConversion"/>
  <printOptions horizontalCentered="1"/>
  <pageMargins left="0.23622047244094491" right="0.23622047244094491" top="0.55118110236220474" bottom="0.74803149606299213" header="0.31496062992125984" footer="0.31496062992125984"/>
  <pageSetup paperSize="9" scale="74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2021-10-07T06:10:16Z</dcterms:created>
  <dcterms:modified xsi:type="dcterms:W3CDTF">2026-02-05T00:38:52Z</dcterms:modified>
  <cp:category/>
  <cp:contentStatus/>
</cp:coreProperties>
</file>