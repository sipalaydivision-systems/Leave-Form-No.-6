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CFE21E9-F233-4487-A726-C88814AFEA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</sheets>
  <definedNames>
    <definedName name="_xlnm.Print_Area" localSheetId="0">'Leave Card (NE)'!$A$1:$J$111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6" l="1"/>
  <c r="I100" i="6"/>
  <c r="I101" i="6" s="1"/>
  <c r="J100" i="6"/>
  <c r="H101" i="6"/>
  <c r="J101" i="6" s="1"/>
  <c r="J99" i="6"/>
  <c r="I99" i="6"/>
  <c r="H99" i="6"/>
  <c r="J98" i="6"/>
  <c r="I98" i="6"/>
  <c r="H98" i="6"/>
  <c r="J97" i="6"/>
  <c r="I97" i="6"/>
  <c r="H97" i="6"/>
  <c r="J96" i="6"/>
  <c r="I96" i="6"/>
  <c r="H96" i="6"/>
  <c r="J95" i="6"/>
  <c r="I95" i="6"/>
  <c r="H95" i="6"/>
  <c r="J94" i="6"/>
  <c r="I94" i="6"/>
  <c r="H94" i="6"/>
  <c r="J93" i="6"/>
  <c r="I93" i="6"/>
  <c r="H93" i="6"/>
  <c r="J92" i="6"/>
  <c r="I92" i="6"/>
  <c r="H92" i="6"/>
  <c r="J91" i="6"/>
  <c r="I91" i="6"/>
  <c r="H91" i="6"/>
  <c r="J90" i="6"/>
  <c r="I90" i="6"/>
  <c r="H90" i="6"/>
  <c r="J89" i="6"/>
  <c r="I89" i="6"/>
  <c r="H89" i="6"/>
  <c r="J88" i="6"/>
  <c r="I88" i="6"/>
  <c r="H88" i="6"/>
  <c r="J87" i="6"/>
  <c r="I87" i="6"/>
  <c r="H87" i="6"/>
  <c r="J86" i="6"/>
  <c r="I86" i="6"/>
  <c r="H86" i="6"/>
  <c r="J85" i="6"/>
  <c r="I85" i="6"/>
  <c r="H85" i="6"/>
  <c r="J84" i="6"/>
  <c r="I84" i="6"/>
  <c r="H84" i="6"/>
  <c r="J83" i="6"/>
  <c r="I83" i="6"/>
  <c r="H83" i="6"/>
  <c r="J82" i="6"/>
  <c r="I82" i="6"/>
  <c r="H82" i="6"/>
  <c r="J81" i="6"/>
  <c r="I81" i="6"/>
  <c r="H81" i="6"/>
  <c r="J80" i="6"/>
  <c r="I80" i="6"/>
  <c r="H80" i="6"/>
  <c r="J79" i="6"/>
  <c r="I79" i="6"/>
  <c r="H79" i="6"/>
  <c r="J78" i="6"/>
  <c r="I78" i="6"/>
  <c r="H78" i="6"/>
  <c r="J77" i="6"/>
  <c r="I77" i="6"/>
  <c r="H77" i="6"/>
  <c r="J76" i="6"/>
  <c r="I76" i="6"/>
  <c r="H76" i="6"/>
  <c r="J75" i="6"/>
  <c r="I75" i="6"/>
  <c r="H75" i="6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</calcChain>
</file>

<file path=xl/sharedStrings.xml><?xml version="1.0" encoding="utf-8"?>
<sst xmlns="http://schemas.openxmlformats.org/spreadsheetml/2006/main" count="119" uniqueCount="115">
  <si>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</si>
  <si>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</si>
  <si>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</si>
  <si>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</si>
  <si>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</si>
  <si>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</si>
  <si>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</si>
  <si>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</si>
  <si>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</si>
  <si>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</si>
  <si>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</si>
  <si>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</si>
  <si>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</si>
  <si>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</si>
  <si>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</si>
  <si>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</si>
  <si>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</si>
  <si>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</si>
  <si>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</si>
  <si>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</si>
  <si>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</si>
  <si>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12/16 - 31/ 2019</t>
  </si>
  <si>
    <t>ADD: 01/01/2020 - 12/31/2020</t>
  </si>
  <si>
    <t>LESS: 2/27/2020</t>
  </si>
  <si>
    <t>LESS: FL 2020</t>
  </si>
  <si>
    <t>ADD: 01/01/2021 - 09/30/2021</t>
  </si>
  <si>
    <t>LESS: 06/04/2021</t>
  </si>
  <si>
    <t>LESS: 06/28/2021</t>
  </si>
  <si>
    <t>LESS: 07/26/2021</t>
  </si>
  <si>
    <t>LESS: MONETIZATION 2021</t>
  </si>
  <si>
    <t>ADD: 10/01/20221 - 12/31/2021</t>
  </si>
  <si>
    <t>LESS: 11/12/2021</t>
  </si>
  <si>
    <t>LESS: 12/06/2021</t>
  </si>
  <si>
    <t>ADD: 01/01/22 - 01/31/22</t>
  </si>
  <si>
    <t>LESS: 02/28/22</t>
  </si>
  <si>
    <t>ADD: 02/01/22 - 02/28/22</t>
  </si>
  <si>
    <t>LESS: 03/14/22</t>
  </si>
  <si>
    <t>ADD: 03/01/22 - 03/31/22</t>
  </si>
  <si>
    <t>ADD: 04/01/22 - 05/31/22</t>
  </si>
  <si>
    <t>LESS: 05/30, 31 &amp; 06/01/22</t>
  </si>
  <si>
    <t>ADD: 06/01/22 - 07/31/22</t>
  </si>
  <si>
    <t>LESS: 08/11 &amp; 12/22</t>
  </si>
  <si>
    <t>LESS: 09/1 &amp; 2/22</t>
  </si>
  <si>
    <t>ADD: 08/01/22 - 08/31/22</t>
  </si>
  <si>
    <t>LESS: MONETIZATION 2022</t>
  </si>
  <si>
    <t>ADD: 09/01/22 - 10/31/22</t>
  </si>
  <si>
    <t>LESS: 11/24 &amp; 29/ 2022</t>
  </si>
  <si>
    <t>ADD: 11/01/22 - 12/31/22</t>
  </si>
  <si>
    <t>LESS: 02/09 &amp; 10/2023</t>
  </si>
  <si>
    <t>ADD: 01/01/23 - 02/28/23</t>
  </si>
  <si>
    <t>LESS: 03/10/2023</t>
  </si>
  <si>
    <t>ADD: 03/01/23 - 04/30/23</t>
  </si>
  <si>
    <t>LESS: 05/10/2023</t>
  </si>
  <si>
    <t>ADD: 05/01/23 - 08/31/23</t>
  </si>
  <si>
    <t>LESS: MONETIZATION 2023</t>
  </si>
  <si>
    <t>ADD: 09/01/2023-10/31/2023</t>
  </si>
  <si>
    <t>LESS: 11/03/2023</t>
  </si>
  <si>
    <t>LESS: 11/17 &amp; 11/21, 2023</t>
  </si>
  <si>
    <t>ADD: 11/01/2023-11/30/2023</t>
  </si>
  <si>
    <t>LESS: 12/14/2023</t>
  </si>
  <si>
    <t>ADD: 12/01-31/2023</t>
  </si>
  <si>
    <t>LESS: 01/25/2024</t>
  </si>
  <si>
    <t>ADD: 01/01-31/2024</t>
  </si>
  <si>
    <t>LESS: 02/07/2024</t>
  </si>
  <si>
    <t>ADD: 02/01/2024-02/29/2024</t>
  </si>
  <si>
    <t>LESS: 02/21/2024</t>
  </si>
  <si>
    <t>ADD: 03/1-31/2024</t>
  </si>
  <si>
    <t>LESS: 04/19/2024</t>
  </si>
  <si>
    <t>LESS: 04/26/2024</t>
  </si>
  <si>
    <t>ADD: 04/1-30/2024</t>
  </si>
  <si>
    <t>LESS: 05/14/2024</t>
  </si>
  <si>
    <t>LESS: 05/17/2024</t>
  </si>
  <si>
    <t>LESS: 05/20-21/2024</t>
  </si>
  <si>
    <t>LESS: 05/28-29/2024</t>
  </si>
  <si>
    <t>ADD: 05/1-31/2024</t>
  </si>
  <si>
    <t>LESS: 06/26/2024</t>
  </si>
  <si>
    <t>ADD: 06/1/2024-08/31/2024</t>
  </si>
  <si>
    <t>LESS: MONETIZATION 2024</t>
  </si>
  <si>
    <t>LESS: 07/25-26/2024</t>
  </si>
  <si>
    <t>LESS: 08/16 &amp; 27/2024</t>
  </si>
  <si>
    <t>LESS: 09/13/2024</t>
  </si>
  <si>
    <t>ADD: 09/1-30/2024</t>
  </si>
  <si>
    <t>LESS: 10/16-17/2024</t>
  </si>
  <si>
    <t>ADD: 10/1-31/2024</t>
  </si>
  <si>
    <t>LESS: 11/6/2024</t>
  </si>
  <si>
    <t>LESS: 11/25/2024</t>
  </si>
  <si>
    <t>ADD: 11/1/2024-12/31/2024</t>
  </si>
  <si>
    <t>LESS: 12/26-27/2024</t>
  </si>
  <si>
    <t>ADD: 01/1-31/2025</t>
  </si>
  <si>
    <t>LESS: 01/22/2025</t>
  </si>
  <si>
    <t>LESS: 02/6/2025</t>
  </si>
  <si>
    <t>LESS: 03/6/2025</t>
  </si>
  <si>
    <t>LESS: 02/27/2025</t>
  </si>
  <si>
    <t>ADD: 02/1/2025-04/30/2025</t>
  </si>
  <si>
    <t>LESS: 04/23/2025</t>
  </si>
  <si>
    <t>LESS: 05/14 (PM), 15, 16, 21/2025</t>
  </si>
  <si>
    <t>LESS: 06/5/2025</t>
  </si>
  <si>
    <t>ADD: 05/1-31/2025</t>
  </si>
  <si>
    <t>LESS: 06/19/2025</t>
  </si>
  <si>
    <t>ADD: 06/1-30/2025</t>
  </si>
  <si>
    <t>LESS: 07/14/2025</t>
  </si>
  <si>
    <t>LESS: 07/21, 24-25/2025</t>
  </si>
  <si>
    <t>ADD: 07/1/2025-08/31/2025</t>
  </si>
  <si>
    <t>LESS: 09/22 AM, 23-24/2025</t>
  </si>
  <si>
    <t>DATE FILED -09/26/2025-WORK SUSPENSION</t>
  </si>
  <si>
    <t>ADD: 09/1-30/2025</t>
  </si>
  <si>
    <t>LESS: 10/21/2025</t>
  </si>
  <si>
    <t>ADD: 10/1/2025-11/30/2025</t>
  </si>
  <si>
    <t>LESS: 12/11-12/2025</t>
  </si>
  <si>
    <t>Certified Correct:</t>
  </si>
  <si>
    <t>MA. LUISA B. CATIGAN</t>
  </si>
  <si>
    <t>Administrative Officer IV</t>
  </si>
  <si>
    <t>LESS: 12/19/2025</t>
  </si>
  <si>
    <t>LESS: 12/26/2025</t>
  </si>
  <si>
    <t xml:space="preserve">    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</si>
</sst>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4" fontId="4" fillId="2" borderId="8" xfId="0" applyNumberFormat="1" applyFont="1" applyFill="1" applyBorder="1" applyAlignment="1">
      <alignment vertical="center"/>
    </xf>
    <xf numFmtId="164" fontId="0" fillId="2" borderId="8" xfId="0" applyNumberForma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vertical="center"/>
    </xf>
    <xf numFmtId="164" fontId="4" fillId="2" borderId="10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64" fontId="6" fillId="2" borderId="12" xfId="0" applyNumberFormat="1" applyFont="1" applyFill="1" applyBorder="1" applyAlignment="1">
      <alignment vertical="center" wrapText="1"/>
    </xf>
    <xf numFmtId="164" fontId="0" fillId="2" borderId="12" xfId="0" applyNumberFormat="1" applyFill="1" applyBorder="1" applyAlignment="1">
      <alignment horizontal="center" vertical="center" wrapText="1"/>
    </xf>
    <xf numFmtId="164" fontId="0" fillId="0" borderId="8" xfId="0" applyNumberFormat="1" applyBorder="1"/>
    <xf numFmtId="164" fontId="4" fillId="0" borderId="8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2" xfId="0" applyNumberFormat="1" applyBorder="1"/>
    <xf numFmtId="0" fontId="0" fillId="0" borderId="8" xfId="0" applyBorder="1" applyAlignment="1">
      <alignment horizontal="center" vertical="center"/>
    </xf>
    <xf numFmtId="0" fontId="0" fillId="0" borderId="8" xfId="0" applyBorder="1"/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164" fontId="4" fillId="2" borderId="17" xfId="0" applyNumberFormat="1" applyFont="1" applyFill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8" fillId="2" borderId="0" xfId="0" applyFont="1" applyFill="1"/>
    <xf numFmtId="0" fontId="9" fillId="0" borderId="0" xfId="0" applyFont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476251</xdr:colOff>
      <xdr:row>0</xdr:row>
      <xdr:rowOff>133350</xdr:rowOff>
    </xdr:from>
    <xdr:to>
      <xdr:col>4</xdr:col>
      <xdr:colOff>285750</xdr:colOff>
      <xdr:row>0</xdr:row>
      <xdr:rowOff>663575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07205" y="133350"/>
          <a:ext cx="60325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405" y="1376045"/>
          <a:ext cx="167005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BUNDA, ALLAN GLENN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585" y="1725930"/>
          <a:ext cx="162687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 IV (DRIVER)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451860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9"/>
  <sheetViews>
    <sheetView tabSelected="1" view="pageBreakPreview" topLeftCell="A79" zoomScaleNormal="100" workbookViewId="0">
      <selection activeCell="D104" sqref="D104"/>
    </sheetView>
  </sheetViews>
  <sheetFormatPr defaultColWidth="9" defaultRowHeight="15"/>
  <cols>
    <col min="1" max="1" width="32.7109375" customWidth="1"/>
    <col min="2" max="10" width="11.5703125" customWidth="1"/>
    <col min="11" max="11" width="26.42578125" style="2" customWidth="1"/>
  </cols>
  <sheetData>
    <row r="1" spans="1:11" s="1" customFormat="1" ht="52.5" customHeight="1"/>
    <row r="2" spans="1:11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</row>
    <row r="3" spans="1:11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</row>
    <row r="4" spans="1:11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</row>
    <row r="5" spans="1:11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</row>
    <row r="6" spans="1:11" s="1" customFormat="1" ht="8.25" customHeight="1"/>
    <row r="7" spans="1:11" s="1" customFormat="1" ht="12" customHeight="1">
      <c r="A7" s="1" t="s">
        <v>4</v>
      </c>
      <c r="B7" s="35" t="s">
        <v>5</v>
      </c>
      <c r="C7" s="35"/>
      <c r="D7" s="35"/>
      <c r="H7" s="3" t="s">
        <v>6</v>
      </c>
      <c r="I7" s="26"/>
      <c r="J7" s="3"/>
    </row>
    <row r="8" spans="1:11" s="1" customFormat="1" ht="12" customHeight="1">
      <c r="B8" s="4"/>
      <c r="C8" s="4"/>
      <c r="H8" s="4"/>
      <c r="I8" s="4"/>
      <c r="J8" s="4"/>
    </row>
    <row r="9" spans="1:11" s="1" customFormat="1" ht="12" customHeight="1">
      <c r="A9" s="1" t="s">
        <v>7</v>
      </c>
      <c r="B9" s="35" t="s">
        <v>8</v>
      </c>
      <c r="C9" s="35"/>
      <c r="D9" s="35"/>
      <c r="H9" s="3" t="s">
        <v>9</v>
      </c>
      <c r="I9" s="27"/>
      <c r="J9" s="3"/>
    </row>
    <row r="10" spans="1:11" ht="16.5" customHeight="1">
      <c r="A10" s="36" t="s">
        <v>10</v>
      </c>
      <c r="B10" s="36"/>
      <c r="C10" s="36"/>
      <c r="D10" s="36"/>
      <c r="E10" s="36"/>
      <c r="F10" s="36"/>
      <c r="G10" s="36"/>
      <c r="H10" s="36"/>
      <c r="I10" s="36"/>
      <c r="J10" s="36"/>
      <c r="K10"/>
    </row>
    <row r="11" spans="1:11" ht="18.75" customHeight="1">
      <c r="A11" s="42" t="s">
        <v>11</v>
      </c>
      <c r="B11" s="37" t="s">
        <v>12</v>
      </c>
      <c r="C11" s="37"/>
      <c r="D11" s="38" t="s">
        <v>13</v>
      </c>
      <c r="E11" s="39"/>
      <c r="F11" s="39"/>
      <c r="G11" s="40"/>
      <c r="H11" s="41" t="s">
        <v>14</v>
      </c>
      <c r="I11" s="41"/>
      <c r="J11" s="44" t="s">
        <v>15</v>
      </c>
      <c r="K11" s="46" t="s">
        <v>16</v>
      </c>
    </row>
    <row r="12" spans="1:11" ht="18.75" customHeight="1">
      <c r="A12" s="43"/>
      <c r="B12" s="5" t="s">
        <v>17</v>
      </c>
      <c r="C12" s="5" t="s">
        <v>18</v>
      </c>
      <c r="D12" s="5" t="s">
        <v>17</v>
      </c>
      <c r="E12" s="5" t="s">
        <v>18</v>
      </c>
      <c r="F12" s="5" t="s">
        <v>19</v>
      </c>
      <c r="G12" s="5" t="s">
        <v>20</v>
      </c>
      <c r="H12" s="5" t="s">
        <v>17</v>
      </c>
      <c r="I12" s="5" t="s">
        <v>18</v>
      </c>
      <c r="J12" s="45"/>
      <c r="K12" s="46"/>
    </row>
    <row r="13" spans="1:11" ht="18.75" customHeight="1">
      <c r="A13" s="6" t="s">
        <v>21</v>
      </c>
      <c r="B13" s="7">
        <v>0.66700000000000004</v>
      </c>
      <c r="C13" s="7">
        <v>0.66700000000000004</v>
      </c>
      <c r="D13" s="7"/>
      <c r="E13" s="7"/>
      <c r="F13" s="7"/>
      <c r="G13" s="7"/>
      <c r="H13" s="7">
        <v>0.66700000000000004</v>
      </c>
      <c r="I13" s="7">
        <v>0.66700000000000004</v>
      </c>
      <c r="J13" s="28">
        <f>H13+I13</f>
        <v>1.3340000000000001</v>
      </c>
    </row>
    <row r="14" spans="1:11" ht="18.75" customHeight="1">
      <c r="A14" s="6" t="s">
        <v>22</v>
      </c>
      <c r="B14" s="7">
        <v>15</v>
      </c>
      <c r="C14" s="7">
        <v>15</v>
      </c>
      <c r="D14" s="7"/>
      <c r="E14" s="7"/>
      <c r="F14" s="7"/>
      <c r="G14" s="7"/>
      <c r="H14" s="7">
        <f>H13-F14-D14+B14</f>
        <v>15.667</v>
      </c>
      <c r="I14" s="7">
        <f>I13-E14+C14</f>
        <v>15.667</v>
      </c>
      <c r="J14" s="28">
        <f t="shared" ref="J14" si="0">H14+I14</f>
        <v>31.334</v>
      </c>
    </row>
    <row r="15" spans="1:11" ht="18.75" customHeight="1">
      <c r="A15" s="6" t="s">
        <v>23</v>
      </c>
      <c r="B15" s="7"/>
      <c r="C15" s="7"/>
      <c r="D15" s="7"/>
      <c r="E15" s="7"/>
      <c r="F15" s="7">
        <v>1</v>
      </c>
      <c r="G15" s="7"/>
      <c r="H15" s="7">
        <f t="shared" ref="H15:H47" si="1">H14-F15-D15+B15</f>
        <v>14.667</v>
      </c>
      <c r="I15" s="7">
        <f t="shared" ref="I15:I47" si="2">I14-E15+C15</f>
        <v>15.667</v>
      </c>
      <c r="J15" s="28">
        <f t="shared" ref="J15:J47" si="3">H15+I15</f>
        <v>30.334</v>
      </c>
    </row>
    <row r="16" spans="1:11" ht="18.75" customHeight="1">
      <c r="A16" s="6" t="s">
        <v>24</v>
      </c>
      <c r="B16" s="7"/>
      <c r="C16" s="7"/>
      <c r="D16" s="7"/>
      <c r="E16" s="7"/>
      <c r="F16" s="7">
        <v>4</v>
      </c>
      <c r="G16" s="7"/>
      <c r="H16" s="7">
        <f t="shared" si="1"/>
        <v>10.667</v>
      </c>
      <c r="I16" s="7">
        <f t="shared" si="2"/>
        <v>15.667</v>
      </c>
      <c r="J16" s="28">
        <f t="shared" si="3"/>
        <v>26.334</v>
      </c>
    </row>
    <row r="17" spans="1:10" ht="18.75" customHeight="1">
      <c r="A17" s="6" t="s">
        <v>25</v>
      </c>
      <c r="B17" s="7">
        <v>11.25</v>
      </c>
      <c r="C17" s="7">
        <v>11.25</v>
      </c>
      <c r="D17" s="7"/>
      <c r="E17" s="7"/>
      <c r="F17" s="7"/>
      <c r="G17" s="7"/>
      <c r="H17" s="7">
        <f t="shared" si="1"/>
        <v>21.917000000000002</v>
      </c>
      <c r="I17" s="7">
        <f t="shared" si="2"/>
        <v>26.917000000000002</v>
      </c>
      <c r="J17" s="28">
        <f t="shared" si="3"/>
        <v>48.834000000000003</v>
      </c>
    </row>
    <row r="18" spans="1:10" ht="18.75" customHeight="1">
      <c r="A18" s="6" t="s">
        <v>26</v>
      </c>
      <c r="B18" s="7"/>
      <c r="C18" s="7"/>
      <c r="D18" s="7"/>
      <c r="E18" s="7"/>
      <c r="F18" s="7">
        <v>1</v>
      </c>
      <c r="G18" s="7"/>
      <c r="H18" s="7">
        <f t="shared" si="1"/>
        <v>20.917000000000002</v>
      </c>
      <c r="I18" s="7">
        <f t="shared" si="2"/>
        <v>26.917000000000002</v>
      </c>
      <c r="J18" s="28">
        <f t="shared" si="3"/>
        <v>47.834000000000003</v>
      </c>
    </row>
    <row r="19" spans="1:10" ht="18.75" customHeight="1">
      <c r="A19" s="6" t="s">
        <v>27</v>
      </c>
      <c r="B19" s="7"/>
      <c r="C19" s="7"/>
      <c r="D19" s="7"/>
      <c r="E19" s="7"/>
      <c r="F19" s="7">
        <v>1</v>
      </c>
      <c r="G19" s="7"/>
      <c r="H19" s="7">
        <f t="shared" si="1"/>
        <v>19.917000000000002</v>
      </c>
      <c r="I19" s="7">
        <f t="shared" si="2"/>
        <v>26.917000000000002</v>
      </c>
      <c r="J19" s="28">
        <f t="shared" si="3"/>
        <v>46.834000000000003</v>
      </c>
    </row>
    <row r="20" spans="1:10" ht="18.75" customHeight="1">
      <c r="A20" s="6" t="s">
        <v>28</v>
      </c>
      <c r="B20" s="7"/>
      <c r="C20" s="7"/>
      <c r="D20" s="7"/>
      <c r="E20" s="7"/>
      <c r="F20" s="7">
        <v>1</v>
      </c>
      <c r="G20" s="7"/>
      <c r="H20" s="7">
        <f t="shared" si="1"/>
        <v>18.917000000000002</v>
      </c>
      <c r="I20" s="7">
        <f t="shared" si="2"/>
        <v>26.917000000000002</v>
      </c>
      <c r="J20" s="28">
        <f t="shared" si="3"/>
        <v>45.834000000000003</v>
      </c>
    </row>
    <row r="21" spans="1:10" ht="18.75" customHeight="1">
      <c r="A21" s="6" t="s">
        <v>29</v>
      </c>
      <c r="B21" s="7"/>
      <c r="C21" s="7"/>
      <c r="D21" s="7">
        <v>17</v>
      </c>
      <c r="E21" s="7">
        <v>12</v>
      </c>
      <c r="F21" s="7"/>
      <c r="G21" s="7"/>
      <c r="H21" s="7">
        <f t="shared" si="1"/>
        <v>1.917</v>
      </c>
      <c r="I21" s="7">
        <f t="shared" si="2"/>
        <v>14.917</v>
      </c>
      <c r="J21" s="28">
        <f t="shared" si="3"/>
        <v>16.834</v>
      </c>
    </row>
    <row r="22" spans="1:10" ht="18.75" customHeight="1">
      <c r="A22" s="6" t="s">
        <v>30</v>
      </c>
      <c r="B22" s="7">
        <v>3.75</v>
      </c>
      <c r="C22" s="7">
        <v>3.75</v>
      </c>
      <c r="D22" s="7"/>
      <c r="E22" s="7"/>
      <c r="F22" s="7"/>
      <c r="G22" s="7"/>
      <c r="H22" s="7">
        <f t="shared" si="1"/>
        <v>5.6669999999999998</v>
      </c>
      <c r="I22" s="7">
        <f t="shared" si="2"/>
        <v>18.667000000000002</v>
      </c>
      <c r="J22" s="28">
        <f t="shared" si="3"/>
        <v>24.334</v>
      </c>
    </row>
    <row r="23" spans="1:10" ht="18.75" customHeight="1">
      <c r="A23" s="6" t="s">
        <v>31</v>
      </c>
      <c r="B23" s="7"/>
      <c r="C23" s="7"/>
      <c r="D23" s="7"/>
      <c r="E23" s="7"/>
      <c r="F23" s="7">
        <v>1</v>
      </c>
      <c r="G23" s="7"/>
      <c r="H23" s="7">
        <f t="shared" si="1"/>
        <v>4.6669999999999998</v>
      </c>
      <c r="I23" s="7">
        <f t="shared" si="2"/>
        <v>18.667000000000002</v>
      </c>
      <c r="J23" s="28">
        <f t="shared" si="3"/>
        <v>23.334</v>
      </c>
    </row>
    <row r="24" spans="1:10" ht="18.75" customHeight="1">
      <c r="A24" s="6" t="s">
        <v>32</v>
      </c>
      <c r="B24" s="7"/>
      <c r="C24" s="7"/>
      <c r="D24" s="7"/>
      <c r="E24" s="7"/>
      <c r="F24" s="7">
        <v>1</v>
      </c>
      <c r="G24" s="7"/>
      <c r="H24" s="7">
        <f t="shared" si="1"/>
        <v>3.6669999999999998</v>
      </c>
      <c r="I24" s="7">
        <f t="shared" si="2"/>
        <v>18.667000000000002</v>
      </c>
      <c r="J24" s="28">
        <f t="shared" si="3"/>
        <v>22.334</v>
      </c>
    </row>
    <row r="25" spans="1:10" ht="18.75" customHeight="1">
      <c r="A25" s="6" t="s">
        <v>33</v>
      </c>
      <c r="B25" s="7">
        <v>1.25</v>
      </c>
      <c r="C25" s="7">
        <v>1.25</v>
      </c>
      <c r="D25" s="7"/>
      <c r="E25" s="7"/>
      <c r="F25" s="7"/>
      <c r="G25" s="7"/>
      <c r="H25" s="7">
        <f t="shared" si="1"/>
        <v>4.9169999999999998</v>
      </c>
      <c r="I25" s="7">
        <f t="shared" si="2"/>
        <v>19.917000000000002</v>
      </c>
      <c r="J25" s="28">
        <f t="shared" si="3"/>
        <v>24.834</v>
      </c>
    </row>
    <row r="26" spans="1:10" ht="18.75" customHeight="1">
      <c r="A26" s="8" t="s">
        <v>34</v>
      </c>
      <c r="B26" s="9"/>
      <c r="C26" s="9"/>
      <c r="D26" s="9"/>
      <c r="E26" s="9"/>
      <c r="F26" s="7">
        <v>1</v>
      </c>
      <c r="G26" s="7"/>
      <c r="H26" s="7">
        <f t="shared" si="1"/>
        <v>3.9169999999999998</v>
      </c>
      <c r="I26" s="7">
        <f t="shared" si="2"/>
        <v>19.917000000000002</v>
      </c>
      <c r="J26" s="28">
        <f t="shared" si="3"/>
        <v>23.834</v>
      </c>
    </row>
    <row r="27" spans="1:10" ht="18.75" customHeight="1">
      <c r="A27" s="6" t="s">
        <v>35</v>
      </c>
      <c r="B27" s="10">
        <v>1.25</v>
      </c>
      <c r="C27" s="10">
        <v>1.25</v>
      </c>
      <c r="D27" s="7"/>
      <c r="E27" s="7"/>
      <c r="F27" s="7"/>
      <c r="G27" s="7"/>
      <c r="H27" s="7">
        <f t="shared" si="1"/>
        <v>5.1669999999999998</v>
      </c>
      <c r="I27" s="7">
        <f t="shared" si="2"/>
        <v>21.167000000000002</v>
      </c>
      <c r="J27" s="28">
        <f t="shared" si="3"/>
        <v>26.334</v>
      </c>
    </row>
    <row r="28" spans="1:10" ht="18.75" customHeight="1">
      <c r="A28" s="6" t="s">
        <v>36</v>
      </c>
      <c r="B28" s="11"/>
      <c r="C28" s="7"/>
      <c r="D28" s="7"/>
      <c r="E28" s="7"/>
      <c r="F28" s="7">
        <v>1</v>
      </c>
      <c r="G28" s="7"/>
      <c r="H28" s="7">
        <f t="shared" si="1"/>
        <v>4.1669999999999998</v>
      </c>
      <c r="I28" s="7">
        <f t="shared" si="2"/>
        <v>21.167000000000002</v>
      </c>
      <c r="J28" s="28">
        <f t="shared" si="3"/>
        <v>25.334</v>
      </c>
    </row>
    <row r="29" spans="1:10" ht="18.75" customHeight="1">
      <c r="A29" s="6" t="s">
        <v>37</v>
      </c>
      <c r="B29" s="10">
        <v>1.25</v>
      </c>
      <c r="C29" s="10">
        <v>1.25</v>
      </c>
      <c r="D29" s="7"/>
      <c r="E29" s="7"/>
      <c r="F29" s="7"/>
      <c r="G29" s="7"/>
      <c r="H29" s="7">
        <f t="shared" si="1"/>
        <v>5.4169999999999998</v>
      </c>
      <c r="I29" s="7">
        <f t="shared" si="2"/>
        <v>22.417000000000002</v>
      </c>
      <c r="J29" s="28">
        <f t="shared" si="3"/>
        <v>27.834</v>
      </c>
    </row>
    <row r="30" spans="1:10" ht="18.75" customHeight="1">
      <c r="A30" s="6" t="s">
        <v>38</v>
      </c>
      <c r="B30" s="7">
        <v>2.5</v>
      </c>
      <c r="C30" s="7">
        <v>2.5</v>
      </c>
      <c r="D30" s="7"/>
      <c r="E30" s="7"/>
      <c r="F30" s="7"/>
      <c r="G30" s="7"/>
      <c r="H30" s="7">
        <f t="shared" si="1"/>
        <v>7.9169999999999998</v>
      </c>
      <c r="I30" s="7">
        <f t="shared" si="2"/>
        <v>24.917000000000002</v>
      </c>
      <c r="J30" s="28">
        <f t="shared" si="3"/>
        <v>32.834000000000003</v>
      </c>
    </row>
    <row r="31" spans="1:10" ht="18.75" customHeight="1">
      <c r="A31" s="6" t="s">
        <v>39</v>
      </c>
      <c r="B31" s="7"/>
      <c r="C31" s="7"/>
      <c r="D31" s="7"/>
      <c r="E31" s="7"/>
      <c r="F31" s="7">
        <v>3</v>
      </c>
      <c r="G31" s="7"/>
      <c r="H31" s="7">
        <f t="shared" si="1"/>
        <v>4.9169999999999998</v>
      </c>
      <c r="I31" s="7">
        <f t="shared" si="2"/>
        <v>24.917000000000002</v>
      </c>
      <c r="J31" s="28">
        <f t="shared" si="3"/>
        <v>29.834</v>
      </c>
    </row>
    <row r="32" spans="1:10" ht="18.75" customHeight="1">
      <c r="A32" s="6" t="s">
        <v>40</v>
      </c>
      <c r="B32" s="7">
        <v>2.5</v>
      </c>
      <c r="C32" s="7">
        <v>2.5</v>
      </c>
      <c r="D32" s="7"/>
      <c r="E32" s="7"/>
      <c r="F32" s="7"/>
      <c r="G32" s="7"/>
      <c r="H32" s="7">
        <f t="shared" si="1"/>
        <v>7.4169999999999998</v>
      </c>
      <c r="I32" s="7">
        <f t="shared" si="2"/>
        <v>27.417000000000002</v>
      </c>
      <c r="J32" s="28">
        <f t="shared" si="3"/>
        <v>34.834000000000003</v>
      </c>
    </row>
    <row r="33" spans="1:10" ht="18.75" customHeight="1">
      <c r="A33" s="6" t="s">
        <v>41</v>
      </c>
      <c r="B33" s="7"/>
      <c r="C33" s="7"/>
      <c r="D33" s="7">
        <v>2</v>
      </c>
      <c r="E33" s="7"/>
      <c r="F33" s="7"/>
      <c r="G33" s="7"/>
      <c r="H33" s="7">
        <f t="shared" si="1"/>
        <v>5.4169999999999998</v>
      </c>
      <c r="I33" s="7">
        <f t="shared" si="2"/>
        <v>27.417000000000002</v>
      </c>
      <c r="J33" s="28">
        <f t="shared" si="3"/>
        <v>32.834000000000003</v>
      </c>
    </row>
    <row r="34" spans="1:10" ht="18.75" customHeight="1">
      <c r="A34" s="6" t="s">
        <v>42</v>
      </c>
      <c r="B34" s="9"/>
      <c r="C34" s="9"/>
      <c r="D34" s="9"/>
      <c r="E34" s="9"/>
      <c r="F34" s="9"/>
      <c r="G34" s="12">
        <v>2</v>
      </c>
      <c r="H34" s="7">
        <f t="shared" si="1"/>
        <v>5.4169999999999998</v>
      </c>
      <c r="I34" s="7">
        <f t="shared" si="2"/>
        <v>27.417000000000002</v>
      </c>
      <c r="J34" s="28">
        <f t="shared" si="3"/>
        <v>32.834000000000003</v>
      </c>
    </row>
    <row r="35" spans="1:10" ht="18.75" customHeight="1">
      <c r="A35" s="6" t="s">
        <v>43</v>
      </c>
      <c r="B35" s="7">
        <v>1.25</v>
      </c>
      <c r="C35" s="7">
        <v>1.25</v>
      </c>
      <c r="D35" s="7"/>
      <c r="E35" s="7"/>
      <c r="F35" s="7"/>
      <c r="G35" s="7"/>
      <c r="H35" s="7">
        <f t="shared" si="1"/>
        <v>6.6669999999999998</v>
      </c>
      <c r="I35" s="7">
        <f t="shared" si="2"/>
        <v>28.667000000000002</v>
      </c>
      <c r="J35" s="28">
        <f t="shared" si="3"/>
        <v>35.334000000000003</v>
      </c>
    </row>
    <row r="36" spans="1:10" ht="18.75" customHeight="1">
      <c r="A36" s="13" t="s">
        <v>44</v>
      </c>
      <c r="B36" s="7"/>
      <c r="C36" s="7"/>
      <c r="D36" s="7">
        <v>5</v>
      </c>
      <c r="E36" s="7">
        <v>15</v>
      </c>
      <c r="F36" s="7"/>
      <c r="G36" s="7"/>
      <c r="H36" s="7">
        <f t="shared" si="1"/>
        <v>1.667</v>
      </c>
      <c r="I36" s="7">
        <f t="shared" si="2"/>
        <v>13.667</v>
      </c>
      <c r="J36" s="28">
        <f t="shared" si="3"/>
        <v>15.334</v>
      </c>
    </row>
    <row r="37" spans="1:10" ht="18.75" customHeight="1">
      <c r="A37" s="6" t="s">
        <v>45</v>
      </c>
      <c r="B37" s="7">
        <v>2.5</v>
      </c>
      <c r="C37" s="7">
        <v>2.5</v>
      </c>
      <c r="D37" s="7"/>
      <c r="E37" s="7"/>
      <c r="F37" s="7"/>
      <c r="G37" s="7"/>
      <c r="H37" s="7">
        <f t="shared" si="1"/>
        <v>4.1669999999999998</v>
      </c>
      <c r="I37" s="7">
        <f t="shared" si="2"/>
        <v>16.167000000000002</v>
      </c>
      <c r="J37" s="28">
        <f t="shared" si="3"/>
        <v>20.334</v>
      </c>
    </row>
    <row r="38" spans="1:10" ht="18.75" customHeight="1">
      <c r="A38" s="13" t="s">
        <v>46</v>
      </c>
      <c r="B38" s="7"/>
      <c r="C38" s="7"/>
      <c r="D38" s="7"/>
      <c r="E38" s="7">
        <v>2</v>
      </c>
      <c r="F38" s="7"/>
      <c r="G38" s="7"/>
      <c r="H38" s="7">
        <f t="shared" si="1"/>
        <v>4.1669999999999998</v>
      </c>
      <c r="I38" s="7">
        <f t="shared" si="2"/>
        <v>14.167</v>
      </c>
      <c r="J38" s="28">
        <f t="shared" si="3"/>
        <v>18.334</v>
      </c>
    </row>
    <row r="39" spans="1:10" ht="18.75" customHeight="1">
      <c r="A39" s="6" t="s">
        <v>47</v>
      </c>
      <c r="B39" s="7">
        <v>2.5</v>
      </c>
      <c r="C39" s="7">
        <v>2.5</v>
      </c>
      <c r="D39" s="7"/>
      <c r="E39" s="7"/>
      <c r="F39" s="7"/>
      <c r="G39" s="7"/>
      <c r="H39" s="7">
        <f t="shared" si="1"/>
        <v>6.6669999999999998</v>
      </c>
      <c r="I39" s="7">
        <f t="shared" si="2"/>
        <v>16.667000000000002</v>
      </c>
      <c r="J39" s="28">
        <f t="shared" si="3"/>
        <v>23.334</v>
      </c>
    </row>
    <row r="40" spans="1:10" ht="18.75" customHeight="1">
      <c r="A40" s="13" t="s">
        <v>48</v>
      </c>
      <c r="B40" s="7"/>
      <c r="C40" s="7"/>
      <c r="D40" s="7"/>
      <c r="E40" s="7"/>
      <c r="F40" s="7"/>
      <c r="G40" s="7">
        <v>2</v>
      </c>
      <c r="H40" s="7">
        <f t="shared" si="1"/>
        <v>6.6669999999999998</v>
      </c>
      <c r="I40" s="7">
        <f t="shared" si="2"/>
        <v>16.667000000000002</v>
      </c>
      <c r="J40" s="28">
        <f t="shared" si="3"/>
        <v>23.334</v>
      </c>
    </row>
    <row r="41" spans="1:10" ht="18.75" customHeight="1">
      <c r="A41" s="6" t="s">
        <v>49</v>
      </c>
      <c r="B41" s="7">
        <v>2.5</v>
      </c>
      <c r="C41" s="7">
        <v>2.5</v>
      </c>
      <c r="D41" s="7"/>
      <c r="E41" s="7"/>
      <c r="F41" s="7"/>
      <c r="G41" s="7"/>
      <c r="H41" s="7">
        <f t="shared" si="1"/>
        <v>9.1669999999999998</v>
      </c>
      <c r="I41" s="7">
        <f t="shared" si="2"/>
        <v>19.167000000000002</v>
      </c>
      <c r="J41" s="28">
        <f t="shared" si="3"/>
        <v>28.334</v>
      </c>
    </row>
    <row r="42" spans="1:10" ht="18.75" customHeight="1">
      <c r="A42" s="14" t="s">
        <v>50</v>
      </c>
      <c r="B42" s="15"/>
      <c r="C42" s="15"/>
      <c r="D42" s="15"/>
      <c r="E42" s="15"/>
      <c r="F42" s="15"/>
      <c r="G42" s="16">
        <v>1</v>
      </c>
      <c r="H42" s="7">
        <f t="shared" si="1"/>
        <v>9.1669999999999998</v>
      </c>
      <c r="I42" s="7">
        <f t="shared" si="2"/>
        <v>19.167000000000002</v>
      </c>
      <c r="J42" s="28">
        <f t="shared" si="3"/>
        <v>28.334</v>
      </c>
    </row>
    <row r="43" spans="1:10" ht="15.75">
      <c r="A43" s="6" t="s">
        <v>51</v>
      </c>
      <c r="B43" s="7">
        <v>2.5</v>
      </c>
      <c r="C43" s="7">
        <v>2.5</v>
      </c>
      <c r="D43" s="17"/>
      <c r="E43" s="17"/>
      <c r="F43" s="17"/>
      <c r="G43" s="17"/>
      <c r="H43" s="7">
        <f t="shared" si="1"/>
        <v>11.667</v>
      </c>
      <c r="I43" s="7">
        <f t="shared" si="2"/>
        <v>21.667000000000002</v>
      </c>
      <c r="J43" s="28">
        <f t="shared" si="3"/>
        <v>33.334000000000003</v>
      </c>
    </row>
    <row r="44" spans="1:10" ht="15.75">
      <c r="A44" s="14" t="s">
        <v>52</v>
      </c>
      <c r="B44" s="17"/>
      <c r="C44" s="17"/>
      <c r="D44" s="17"/>
      <c r="E44" s="17"/>
      <c r="F44" s="18">
        <v>1</v>
      </c>
      <c r="G44" s="17"/>
      <c r="H44" s="7">
        <f t="shared" si="1"/>
        <v>10.667</v>
      </c>
      <c r="I44" s="7">
        <f t="shared" si="2"/>
        <v>21.667000000000002</v>
      </c>
      <c r="J44" s="28">
        <f t="shared" si="3"/>
        <v>32.334000000000003</v>
      </c>
    </row>
    <row r="45" spans="1:10" ht="15.75">
      <c r="A45" s="19" t="s">
        <v>53</v>
      </c>
      <c r="B45" s="20">
        <v>5</v>
      </c>
      <c r="C45" s="20">
        <v>5</v>
      </c>
      <c r="D45" s="21"/>
      <c r="E45" s="21"/>
      <c r="F45" s="21"/>
      <c r="G45" s="21"/>
      <c r="H45" s="7">
        <f t="shared" si="1"/>
        <v>15.667</v>
      </c>
      <c r="I45" s="7">
        <f t="shared" si="2"/>
        <v>26.667000000000002</v>
      </c>
      <c r="J45" s="28">
        <f t="shared" si="3"/>
        <v>42.334000000000003</v>
      </c>
    </row>
    <row r="46" spans="1:10" ht="15.75">
      <c r="A46" s="22" t="s">
        <v>54</v>
      </c>
      <c r="B46" s="23"/>
      <c r="C46" s="23"/>
      <c r="D46" s="24">
        <v>6</v>
      </c>
      <c r="E46" s="24">
        <v>20</v>
      </c>
      <c r="F46" s="23"/>
      <c r="G46" s="23"/>
      <c r="H46" s="7">
        <f t="shared" si="1"/>
        <v>9.6669999999999998</v>
      </c>
      <c r="I46" s="7">
        <f t="shared" si="2"/>
        <v>6.6669999999999998</v>
      </c>
      <c r="J46" s="28">
        <f t="shared" si="3"/>
        <v>16.334</v>
      </c>
    </row>
    <row r="47" spans="1:10" ht="15.75">
      <c r="A47" s="22" t="s">
        <v>55</v>
      </c>
      <c r="B47" s="25">
        <v>2.5</v>
      </c>
      <c r="C47" s="25">
        <v>2.5</v>
      </c>
      <c r="D47" s="24"/>
      <c r="E47" s="24"/>
      <c r="F47" s="25"/>
      <c r="G47" s="25"/>
      <c r="H47" s="7">
        <f t="shared" si="1"/>
        <v>12.167</v>
      </c>
      <c r="I47" s="7">
        <f t="shared" si="2"/>
        <v>9.1669999999999998</v>
      </c>
      <c r="J47" s="28">
        <f t="shared" si="3"/>
        <v>21.334</v>
      </c>
    </row>
    <row r="48" spans="1:10" ht="15.75">
      <c r="A48" s="22" t="s">
        <v>56</v>
      </c>
      <c r="B48" s="25"/>
      <c r="C48" s="25"/>
      <c r="D48" s="24"/>
      <c r="E48" s="24"/>
      <c r="F48" s="25">
        <v>1</v>
      </c>
      <c r="G48" s="25"/>
      <c r="H48" s="7">
        <f t="shared" ref="H48:H49" si="4">H47-F48-D48+B48</f>
        <v>11.167</v>
      </c>
      <c r="I48" s="7">
        <f t="shared" ref="I48:I49" si="5">I47-E48+C48</f>
        <v>9.1669999999999998</v>
      </c>
      <c r="J48" s="28">
        <f t="shared" ref="J48:J49" si="6">H48+I48</f>
        <v>20.334</v>
      </c>
    </row>
    <row r="49" spans="1:10" ht="15.75">
      <c r="A49" s="22" t="s">
        <v>57</v>
      </c>
      <c r="B49" s="25"/>
      <c r="C49" s="25"/>
      <c r="D49" s="24"/>
      <c r="E49" s="24"/>
      <c r="F49" s="25">
        <v>2</v>
      </c>
      <c r="G49" s="25"/>
      <c r="H49" s="7">
        <f t="shared" si="4"/>
        <v>9.1669999999999998</v>
      </c>
      <c r="I49" s="7">
        <f t="shared" si="5"/>
        <v>9.1669999999999998</v>
      </c>
      <c r="J49" s="28">
        <f t="shared" si="6"/>
        <v>18.334</v>
      </c>
    </row>
    <row r="50" spans="1:10" ht="15.75">
      <c r="A50" s="22" t="s">
        <v>58</v>
      </c>
      <c r="B50" s="25">
        <v>1.25</v>
      </c>
      <c r="C50" s="25">
        <v>1.25</v>
      </c>
      <c r="D50" s="24"/>
      <c r="E50" s="24"/>
      <c r="F50" s="25"/>
      <c r="G50" s="25"/>
      <c r="H50" s="7">
        <f t="shared" ref="H50" si="7">H49-F50-D50+B50</f>
        <v>10.417</v>
      </c>
      <c r="I50" s="7">
        <f t="shared" ref="I50" si="8">I49-E50+C50</f>
        <v>10.417</v>
      </c>
      <c r="J50" s="28">
        <f t="shared" ref="J50" si="9">H50+I50</f>
        <v>20.834</v>
      </c>
    </row>
    <row r="51" spans="1:10" ht="15.75">
      <c r="A51" s="22" t="s">
        <v>59</v>
      </c>
      <c r="B51" s="25"/>
      <c r="C51" s="25"/>
      <c r="D51" s="24"/>
      <c r="E51" s="24"/>
      <c r="F51" s="25">
        <v>1</v>
      </c>
      <c r="G51" s="25"/>
      <c r="H51" s="7">
        <f t="shared" ref="H51" si="10">H50-F51-D51+B51</f>
        <v>9.4169999999999998</v>
      </c>
      <c r="I51" s="7">
        <f t="shared" ref="I51:I54" si="11">I50-E51+C51</f>
        <v>10.417</v>
      </c>
      <c r="J51" s="28">
        <f t="shared" ref="J51:J54" si="12">H51+I51</f>
        <v>19.834</v>
      </c>
    </row>
    <row r="52" spans="1:10" ht="15.75">
      <c r="A52" s="22" t="s">
        <v>60</v>
      </c>
      <c r="B52" s="25">
        <v>1.25</v>
      </c>
      <c r="C52" s="25">
        <v>1.25</v>
      </c>
      <c r="D52" s="24"/>
      <c r="E52" s="24"/>
      <c r="F52" s="25"/>
      <c r="G52" s="25"/>
      <c r="H52" s="7">
        <f>H51+B52</f>
        <v>10.667</v>
      </c>
      <c r="I52" s="7">
        <f t="shared" si="11"/>
        <v>11.667</v>
      </c>
      <c r="J52" s="28">
        <f t="shared" si="12"/>
        <v>22.334</v>
      </c>
    </row>
    <row r="53" spans="1:10" ht="15.75">
      <c r="A53" s="25" t="s">
        <v>61</v>
      </c>
      <c r="B53" s="25"/>
      <c r="C53" s="25"/>
      <c r="D53" s="25"/>
      <c r="E53" s="25"/>
      <c r="F53" s="25"/>
      <c r="G53" s="25">
        <v>1</v>
      </c>
      <c r="H53" s="18">
        <f>H52+B53</f>
        <v>10.667</v>
      </c>
      <c r="I53" s="18">
        <f t="shared" si="11"/>
        <v>11.667</v>
      </c>
      <c r="J53" s="29">
        <f t="shared" si="12"/>
        <v>22.334</v>
      </c>
    </row>
    <row r="54" spans="1:10" ht="15.75">
      <c r="A54" s="25" t="s">
        <v>62</v>
      </c>
      <c r="B54" s="25">
        <v>1.25</v>
      </c>
      <c r="C54" s="25">
        <v>1.25</v>
      </c>
      <c r="D54" s="25"/>
      <c r="E54" s="25"/>
      <c r="F54" s="25"/>
      <c r="G54" s="25"/>
      <c r="H54" s="7">
        <f>H53+B54</f>
        <v>11.917</v>
      </c>
      <c r="I54" s="7">
        <f t="shared" si="11"/>
        <v>12.917</v>
      </c>
      <c r="J54" s="29">
        <f t="shared" si="12"/>
        <v>24.834</v>
      </c>
    </row>
    <row r="55" spans="1:10" ht="15.75">
      <c r="A55" s="25" t="s">
        <v>63</v>
      </c>
      <c r="B55" s="25"/>
      <c r="C55" s="25"/>
      <c r="D55" s="25"/>
      <c r="E55" s="25"/>
      <c r="F55" s="25">
        <v>1</v>
      </c>
      <c r="G55" s="25"/>
      <c r="H55" s="7">
        <f t="shared" ref="H55:H57" si="13">H54-F55-D55+B55</f>
        <v>10.917</v>
      </c>
      <c r="I55" s="7">
        <f t="shared" ref="I55:I57" si="14">I54-E55+C55</f>
        <v>12.917</v>
      </c>
      <c r="J55" s="28">
        <f t="shared" ref="J55:J57" si="15">H55+I55</f>
        <v>23.834</v>
      </c>
    </row>
    <row r="56" spans="1:10" ht="15.75">
      <c r="A56" s="25" t="s">
        <v>64</v>
      </c>
      <c r="B56" s="25">
        <v>1.25</v>
      </c>
      <c r="C56" s="25">
        <v>1.25</v>
      </c>
      <c r="D56" s="25"/>
      <c r="E56" s="25"/>
      <c r="F56" s="25"/>
      <c r="G56" s="25"/>
      <c r="H56" s="7">
        <f t="shared" si="13"/>
        <v>12.167</v>
      </c>
      <c r="I56" s="7">
        <f t="shared" si="14"/>
        <v>14.167</v>
      </c>
      <c r="J56" s="28">
        <f t="shared" si="15"/>
        <v>26.334</v>
      </c>
    </row>
    <row r="57" spans="1:10" ht="15.75">
      <c r="A57" s="25" t="s">
        <v>65</v>
      </c>
      <c r="B57" s="25"/>
      <c r="C57" s="25"/>
      <c r="D57" s="25"/>
      <c r="E57" s="25"/>
      <c r="F57" s="25">
        <v>1</v>
      </c>
      <c r="G57" s="25"/>
      <c r="H57" s="7">
        <f t="shared" si="13"/>
        <v>11.167</v>
      </c>
      <c r="I57" s="7">
        <f t="shared" si="14"/>
        <v>14.167</v>
      </c>
      <c r="J57" s="28">
        <f t="shared" si="15"/>
        <v>25.334</v>
      </c>
    </row>
    <row r="58" spans="1:10" ht="15.75">
      <c r="A58" s="25" t="s">
        <v>66</v>
      </c>
      <c r="B58" s="25">
        <v>1.25</v>
      </c>
      <c r="C58" s="25">
        <v>1.25</v>
      </c>
      <c r="D58" s="25"/>
      <c r="E58" s="25"/>
      <c r="F58" s="25"/>
      <c r="G58" s="25"/>
      <c r="H58" s="7">
        <f t="shared" ref="H58:H59" si="16">H57-F58-D58+B58</f>
        <v>12.417</v>
      </c>
      <c r="I58" s="7">
        <f t="shared" ref="I58:I59" si="17">I57-E58+C58</f>
        <v>15.417</v>
      </c>
      <c r="J58" s="28">
        <f t="shared" ref="J58:J59" si="18">H58+I58</f>
        <v>27.834</v>
      </c>
    </row>
    <row r="59" spans="1:10" ht="15.75">
      <c r="A59" s="25" t="s">
        <v>67</v>
      </c>
      <c r="B59" s="25"/>
      <c r="C59" s="25"/>
      <c r="D59" s="25"/>
      <c r="E59" s="25"/>
      <c r="F59" s="25">
        <v>1</v>
      </c>
      <c r="G59" s="25"/>
      <c r="H59" s="7">
        <f t="shared" si="16"/>
        <v>11.417</v>
      </c>
      <c r="I59" s="7">
        <f t="shared" si="17"/>
        <v>15.417</v>
      </c>
      <c r="J59" s="28">
        <f t="shared" si="18"/>
        <v>26.834</v>
      </c>
    </row>
    <row r="60" spans="1:10" ht="15.75">
      <c r="A60" s="25" t="s">
        <v>68</v>
      </c>
      <c r="B60" s="25"/>
      <c r="C60" s="25"/>
      <c r="D60" s="25"/>
      <c r="E60" s="25"/>
      <c r="F60" s="25"/>
      <c r="G60" s="25">
        <v>1</v>
      </c>
      <c r="H60" s="7">
        <f t="shared" ref="H60" si="19">H59-F60-D60+B60</f>
        <v>11.417</v>
      </c>
      <c r="I60" s="7">
        <f t="shared" ref="I60" si="20">I59-E60+C60</f>
        <v>15.417</v>
      </c>
      <c r="J60" s="28">
        <f t="shared" ref="J60" si="21">H60+I60</f>
        <v>26.834</v>
      </c>
    </row>
    <row r="61" spans="1:10" ht="15.75">
      <c r="A61" s="25" t="s">
        <v>69</v>
      </c>
      <c r="B61" s="25">
        <v>1.25</v>
      </c>
      <c r="C61" s="25">
        <v>1.25</v>
      </c>
      <c r="D61" s="25"/>
      <c r="E61" s="25"/>
      <c r="F61" s="25"/>
      <c r="G61" s="25"/>
      <c r="H61" s="7">
        <f t="shared" ref="H61:H63" si="22">H60-F61-D61+B61</f>
        <v>12.667</v>
      </c>
      <c r="I61" s="7">
        <f t="shared" ref="I61:I63" si="23">I60-E61+C61</f>
        <v>16.667000000000002</v>
      </c>
      <c r="J61" s="28">
        <f t="shared" ref="J61:J63" si="24">H61+I61</f>
        <v>29.334</v>
      </c>
    </row>
    <row r="62" spans="1:10" ht="15.75">
      <c r="A62" s="25" t="s">
        <v>70</v>
      </c>
      <c r="B62" s="25"/>
      <c r="C62" s="25"/>
      <c r="D62" s="25"/>
      <c r="E62" s="25"/>
      <c r="F62" s="25"/>
      <c r="G62" s="25">
        <v>1</v>
      </c>
      <c r="H62" s="7">
        <f t="shared" si="22"/>
        <v>12.667</v>
      </c>
      <c r="I62" s="7">
        <f t="shared" si="23"/>
        <v>16.667000000000002</v>
      </c>
      <c r="J62" s="28">
        <f t="shared" si="24"/>
        <v>29.334</v>
      </c>
    </row>
    <row r="63" spans="1:10" ht="15.75">
      <c r="A63" s="25" t="s">
        <v>71</v>
      </c>
      <c r="B63" s="25"/>
      <c r="C63" s="25"/>
      <c r="D63" s="25"/>
      <c r="E63" s="25"/>
      <c r="F63" s="25">
        <v>1</v>
      </c>
      <c r="G63" s="25"/>
      <c r="H63" s="7">
        <f t="shared" si="22"/>
        <v>11.667</v>
      </c>
      <c r="I63" s="7">
        <f t="shared" si="23"/>
        <v>16.667000000000002</v>
      </c>
      <c r="J63" s="28">
        <f t="shared" si="24"/>
        <v>28.334</v>
      </c>
    </row>
    <row r="64" spans="1:10" ht="15.75">
      <c r="A64" s="25" t="s">
        <v>72</v>
      </c>
      <c r="B64" s="25"/>
      <c r="C64" s="25"/>
      <c r="D64" s="25"/>
      <c r="E64" s="25">
        <v>2</v>
      </c>
      <c r="F64" s="25"/>
      <c r="G64" s="25"/>
      <c r="H64" s="7">
        <f t="shared" ref="H64" si="25">H63-F64-D64+B64</f>
        <v>11.667</v>
      </c>
      <c r="I64" s="7">
        <f t="shared" ref="I64" si="26">I63-E64+C64</f>
        <v>14.667</v>
      </c>
      <c r="J64" s="28">
        <f t="shared" ref="J64" si="27">H64+I64</f>
        <v>26.334</v>
      </c>
    </row>
    <row r="65" spans="1:10" ht="15.75">
      <c r="A65" s="25" t="s">
        <v>73</v>
      </c>
      <c r="B65" s="25"/>
      <c r="C65" s="25"/>
      <c r="D65" s="25"/>
      <c r="E65" s="25">
        <v>2</v>
      </c>
      <c r="F65" s="25"/>
      <c r="G65" s="25"/>
      <c r="H65" s="7">
        <f t="shared" ref="H65" si="28">H64-F65-D65+B65</f>
        <v>11.667</v>
      </c>
      <c r="I65" s="7">
        <f t="shared" ref="I65" si="29">I64-E65+C65</f>
        <v>12.667</v>
      </c>
      <c r="J65" s="28">
        <f t="shared" ref="J65" si="30">H65+I65</f>
        <v>24.334</v>
      </c>
    </row>
    <row r="66" spans="1:10" ht="15.75">
      <c r="A66" s="25" t="s">
        <v>74</v>
      </c>
      <c r="B66" s="25">
        <v>1.25</v>
      </c>
      <c r="C66" s="25">
        <v>1.25</v>
      </c>
      <c r="D66" s="25"/>
      <c r="E66" s="25"/>
      <c r="F66" s="25"/>
      <c r="G66" s="25"/>
      <c r="H66" s="7">
        <f t="shared" ref="H66:H67" si="31">H65-F66-D66+B66</f>
        <v>12.917</v>
      </c>
      <c r="I66" s="7">
        <f t="shared" ref="I66:I67" si="32">I65-E66+C66</f>
        <v>13.917</v>
      </c>
      <c r="J66" s="28">
        <f t="shared" ref="J66:J67" si="33">H66+I66</f>
        <v>26.834</v>
      </c>
    </row>
    <row r="67" spans="1:10" ht="15.75">
      <c r="A67" s="25" t="s">
        <v>75</v>
      </c>
      <c r="B67" s="25"/>
      <c r="C67" s="25"/>
      <c r="D67" s="25"/>
      <c r="E67" s="25"/>
      <c r="F67" s="25">
        <v>1</v>
      </c>
      <c r="G67" s="25"/>
      <c r="H67" s="7">
        <f t="shared" si="31"/>
        <v>11.917</v>
      </c>
      <c r="I67" s="7">
        <f t="shared" si="32"/>
        <v>13.917</v>
      </c>
      <c r="J67" s="28">
        <f t="shared" si="33"/>
        <v>25.834</v>
      </c>
    </row>
    <row r="68" spans="1:10" ht="15.75">
      <c r="A68" s="25" t="s">
        <v>76</v>
      </c>
      <c r="B68" s="25">
        <v>3.75</v>
      </c>
      <c r="C68" s="25">
        <v>3.75</v>
      </c>
      <c r="D68" s="25"/>
      <c r="E68" s="25"/>
      <c r="F68" s="25"/>
      <c r="G68" s="25"/>
      <c r="H68" s="7">
        <f t="shared" ref="H68" si="34">H67-F68-D68+B68</f>
        <v>15.667</v>
      </c>
      <c r="I68" s="7">
        <f t="shared" ref="I68" si="35">I67-E68+C68</f>
        <v>17.667000000000002</v>
      </c>
      <c r="J68" s="28">
        <f t="shared" ref="J68" si="36">H68+I68</f>
        <v>33.334000000000003</v>
      </c>
    </row>
    <row r="69" spans="1:10" ht="15.75">
      <c r="A69" s="25" t="s">
        <v>77</v>
      </c>
      <c r="B69" s="25"/>
      <c r="C69" s="25"/>
      <c r="D69" s="25">
        <v>10</v>
      </c>
      <c r="E69" s="25"/>
      <c r="F69" s="25"/>
      <c r="G69" s="25"/>
      <c r="H69" s="7">
        <f t="shared" ref="H69:H77" si="37">H68-F69-D69+B69</f>
        <v>5.6669999999999998</v>
      </c>
      <c r="I69" s="7">
        <f t="shared" ref="I69:I77" si="38">I68-E69+C69</f>
        <v>17.667000000000002</v>
      </c>
      <c r="J69" s="28">
        <f t="shared" ref="J69:J77" si="39">H69+I69</f>
        <v>23.334</v>
      </c>
    </row>
    <row r="70" spans="1:10" ht="15.75">
      <c r="A70" s="25" t="s">
        <v>78</v>
      </c>
      <c r="B70" s="25"/>
      <c r="C70" s="25"/>
      <c r="D70" s="25"/>
      <c r="E70" s="25">
        <v>2</v>
      </c>
      <c r="F70" s="25"/>
      <c r="G70" s="25"/>
      <c r="H70" s="7">
        <f t="shared" si="37"/>
        <v>5.6669999999999998</v>
      </c>
      <c r="I70" s="7">
        <f t="shared" si="38"/>
        <v>15.667</v>
      </c>
      <c r="J70" s="28">
        <f t="shared" si="39"/>
        <v>21.334</v>
      </c>
    </row>
    <row r="71" spans="1:10" ht="15.75">
      <c r="A71" s="25" t="s">
        <v>79</v>
      </c>
      <c r="B71" s="25"/>
      <c r="C71" s="25"/>
      <c r="D71" s="25"/>
      <c r="E71" s="25">
        <v>2</v>
      </c>
      <c r="F71" s="25"/>
      <c r="G71" s="25"/>
      <c r="H71" s="7">
        <f t="shared" si="37"/>
        <v>5.6669999999999998</v>
      </c>
      <c r="I71" s="7">
        <f t="shared" si="38"/>
        <v>13.667</v>
      </c>
      <c r="J71" s="28">
        <f t="shared" si="39"/>
        <v>19.334</v>
      </c>
    </row>
    <row r="72" spans="1:10" ht="15.75">
      <c r="A72" s="25" t="s">
        <v>80</v>
      </c>
      <c r="B72" s="25"/>
      <c r="C72" s="25"/>
      <c r="D72" s="25"/>
      <c r="E72" s="25">
        <v>1</v>
      </c>
      <c r="F72" s="25"/>
      <c r="G72" s="25"/>
      <c r="H72" s="7">
        <f t="shared" si="37"/>
        <v>5.6669999999999998</v>
      </c>
      <c r="I72" s="7">
        <f t="shared" si="38"/>
        <v>12.667</v>
      </c>
      <c r="J72" s="28">
        <f t="shared" si="39"/>
        <v>18.334</v>
      </c>
    </row>
    <row r="73" spans="1:10" ht="15.75">
      <c r="A73" s="25" t="s">
        <v>81</v>
      </c>
      <c r="B73" s="25">
        <v>1.25</v>
      </c>
      <c r="C73" s="25">
        <v>1.25</v>
      </c>
      <c r="D73" s="25"/>
      <c r="E73" s="25"/>
      <c r="F73" s="25"/>
      <c r="G73" s="25"/>
      <c r="H73" s="7">
        <f t="shared" si="37"/>
        <v>6.9169999999999998</v>
      </c>
      <c r="I73" s="7">
        <f t="shared" si="38"/>
        <v>13.917</v>
      </c>
      <c r="J73" s="28">
        <f t="shared" si="39"/>
        <v>20.834</v>
      </c>
    </row>
    <row r="74" spans="1:10" ht="15.75">
      <c r="A74" s="25" t="s">
        <v>82</v>
      </c>
      <c r="B74" s="25"/>
      <c r="C74" s="25"/>
      <c r="D74" s="25"/>
      <c r="E74" s="25">
        <v>2</v>
      </c>
      <c r="F74" s="25"/>
      <c r="G74" s="25"/>
      <c r="H74" s="7">
        <f t="shared" si="37"/>
        <v>6.9169999999999998</v>
      </c>
      <c r="I74" s="7">
        <f t="shared" si="38"/>
        <v>11.917</v>
      </c>
      <c r="J74" s="28">
        <f t="shared" si="39"/>
        <v>18.834</v>
      </c>
    </row>
    <row r="75" spans="1:10" ht="15.75">
      <c r="A75" s="25" t="s">
        <v>83</v>
      </c>
      <c r="B75" s="25">
        <v>1.25</v>
      </c>
      <c r="C75" s="25">
        <v>1.25</v>
      </c>
      <c r="D75" s="25"/>
      <c r="E75" s="25"/>
      <c r="F75" s="25"/>
      <c r="G75" s="25"/>
      <c r="H75" s="7">
        <f t="shared" si="37"/>
        <v>8.1669999999999998</v>
      </c>
      <c r="I75" s="7">
        <f t="shared" si="38"/>
        <v>13.167</v>
      </c>
      <c r="J75" s="28">
        <f t="shared" si="39"/>
        <v>21.334</v>
      </c>
    </row>
    <row r="76" spans="1:10" ht="15.75">
      <c r="A76" s="25" t="s">
        <v>84</v>
      </c>
      <c r="B76" s="25"/>
      <c r="C76" s="25"/>
      <c r="D76" s="25"/>
      <c r="E76" s="25">
        <v>1</v>
      </c>
      <c r="F76" s="25"/>
      <c r="G76" s="25"/>
      <c r="H76" s="7">
        <f t="shared" si="37"/>
        <v>8.1669999999999998</v>
      </c>
      <c r="I76" s="7">
        <f t="shared" si="38"/>
        <v>12.167</v>
      </c>
      <c r="J76" s="28">
        <f t="shared" si="39"/>
        <v>20.334</v>
      </c>
    </row>
    <row r="77" spans="1:10" ht="15.75">
      <c r="A77" s="25" t="s">
        <v>85</v>
      </c>
      <c r="B77" s="25"/>
      <c r="C77" s="25"/>
      <c r="D77" s="25"/>
      <c r="E77" s="25">
        <v>1</v>
      </c>
      <c r="F77" s="25"/>
      <c r="G77" s="25"/>
      <c r="H77" s="7">
        <f t="shared" si="37"/>
        <v>8.1669999999999998</v>
      </c>
      <c r="I77" s="7">
        <f t="shared" si="38"/>
        <v>11.167</v>
      </c>
      <c r="J77" s="28">
        <f t="shared" si="39"/>
        <v>19.334</v>
      </c>
    </row>
    <row r="78" spans="1:10" ht="15.75">
      <c r="A78" s="25" t="s">
        <v>86</v>
      </c>
      <c r="B78" s="25">
        <v>2.5</v>
      </c>
      <c r="C78" s="25">
        <v>2.5</v>
      </c>
      <c r="D78" s="25"/>
      <c r="E78" s="25"/>
      <c r="F78" s="25"/>
      <c r="G78" s="25"/>
      <c r="H78" s="7">
        <f t="shared" ref="H78:H79" si="40">H77-F78-D78+B78</f>
        <v>10.667</v>
      </c>
      <c r="I78" s="7">
        <f t="shared" ref="I78:I79" si="41">I77-E78+C78</f>
        <v>13.667</v>
      </c>
      <c r="J78" s="28">
        <f t="shared" ref="J78:J79" si="42">H78+I78</f>
        <v>24.334</v>
      </c>
    </row>
    <row r="79" spans="1:10" ht="15.75">
      <c r="A79" s="25" t="s">
        <v>87</v>
      </c>
      <c r="B79" s="25"/>
      <c r="C79" s="25"/>
      <c r="D79" s="25"/>
      <c r="E79" s="25">
        <v>2</v>
      </c>
      <c r="F79" s="25"/>
      <c r="G79" s="25"/>
      <c r="H79" s="7">
        <f t="shared" si="40"/>
        <v>10.667</v>
      </c>
      <c r="I79" s="7">
        <f t="shared" si="41"/>
        <v>11.667</v>
      </c>
      <c r="J79" s="28">
        <f t="shared" si="42"/>
        <v>22.334</v>
      </c>
    </row>
    <row r="80" spans="1:10" ht="15.75">
      <c r="A80" s="25" t="s">
        <v>88</v>
      </c>
      <c r="B80" s="25">
        <v>1.25</v>
      </c>
      <c r="C80" s="25">
        <v>1.25</v>
      </c>
      <c r="D80" s="25"/>
      <c r="E80" s="25"/>
      <c r="F80" s="25"/>
      <c r="G80" s="25"/>
      <c r="H80" s="7">
        <f t="shared" ref="H80:H81" si="43">H79-F80-D80+B80</f>
        <v>11.917</v>
      </c>
      <c r="I80" s="7">
        <f t="shared" ref="I80:I81" si="44">I79-E80+C80</f>
        <v>12.917</v>
      </c>
      <c r="J80" s="28">
        <f t="shared" ref="J80:J81" si="45">H80+I80</f>
        <v>24.834</v>
      </c>
    </row>
    <row r="81" spans="1:11" ht="15.75">
      <c r="A81" s="25" t="s">
        <v>89</v>
      </c>
      <c r="B81" s="25"/>
      <c r="C81" s="25"/>
      <c r="D81" s="25"/>
      <c r="E81" s="25">
        <v>1</v>
      </c>
      <c r="F81" s="25"/>
      <c r="G81" s="25"/>
      <c r="H81" s="7">
        <f t="shared" si="43"/>
        <v>11.917</v>
      </c>
      <c r="I81" s="7">
        <f t="shared" si="44"/>
        <v>11.917</v>
      </c>
      <c r="J81" s="28">
        <f t="shared" si="45"/>
        <v>23.834</v>
      </c>
    </row>
    <row r="82" spans="1:11" ht="15.75">
      <c r="A82" s="25" t="s">
        <v>90</v>
      </c>
      <c r="B82" s="25"/>
      <c r="C82" s="25"/>
      <c r="D82" s="25"/>
      <c r="E82" s="25">
        <v>1</v>
      </c>
      <c r="F82" s="25"/>
      <c r="G82" s="25"/>
      <c r="H82" s="7">
        <f t="shared" ref="H82" si="46">H81-F82-D82+B82</f>
        <v>11.917</v>
      </c>
      <c r="I82" s="7">
        <f t="shared" ref="I82" si="47">I81-E82+C82</f>
        <v>10.917</v>
      </c>
      <c r="J82" s="28">
        <f t="shared" ref="J82" si="48">H82+I82</f>
        <v>22.834</v>
      </c>
    </row>
    <row r="83" spans="1:11" ht="15.75">
      <c r="A83" s="25" t="s">
        <v>91</v>
      </c>
      <c r="B83" s="25"/>
      <c r="C83" s="25"/>
      <c r="D83" s="25"/>
      <c r="E83" s="25"/>
      <c r="F83" s="30">
        <v>1</v>
      </c>
      <c r="G83" s="25"/>
      <c r="H83" s="7">
        <f t="shared" ref="H83" si="49">H82-F83-D83+B83</f>
        <v>10.917</v>
      </c>
      <c r="I83" s="7">
        <f t="shared" ref="I83" si="50">I82-E83+C83</f>
        <v>10.917</v>
      </c>
      <c r="J83" s="28">
        <f t="shared" ref="J83" si="51">H83+I83</f>
        <v>21.834</v>
      </c>
    </row>
    <row r="84" spans="1:11" ht="15.75">
      <c r="A84" s="25" t="s">
        <v>92</v>
      </c>
      <c r="B84" s="25"/>
      <c r="C84" s="25"/>
      <c r="D84" s="25"/>
      <c r="E84" s="25">
        <v>1</v>
      </c>
      <c r="F84" s="25"/>
      <c r="G84" s="25"/>
      <c r="H84" s="7">
        <f t="shared" ref="H84" si="52">H83-F84-D84+B84</f>
        <v>10.917</v>
      </c>
      <c r="I84" s="7">
        <f t="shared" ref="I84" si="53">I83-E84+C84</f>
        <v>9.9169999999999998</v>
      </c>
      <c r="J84" s="28">
        <f t="shared" ref="J84" si="54">H84+I84</f>
        <v>20.834</v>
      </c>
    </row>
    <row r="85" spans="1:11" ht="15.75">
      <c r="A85" s="25" t="s">
        <v>93</v>
      </c>
      <c r="B85" s="25">
        <v>3.75</v>
      </c>
      <c r="C85" s="25">
        <v>3.75</v>
      </c>
      <c r="D85" s="25"/>
      <c r="E85" s="25"/>
      <c r="F85" s="25"/>
      <c r="G85" s="25"/>
      <c r="H85" s="7">
        <f t="shared" ref="H85:H86" si="55">H84-F85-D85+B85</f>
        <v>14.667</v>
      </c>
      <c r="I85" s="7">
        <f t="shared" ref="I85:I86" si="56">I84-E85+C85</f>
        <v>13.667</v>
      </c>
      <c r="J85" s="28">
        <f t="shared" ref="J85:J86" si="57">H85+I85</f>
        <v>28.334</v>
      </c>
    </row>
    <row r="86" spans="1:11" ht="15.75">
      <c r="A86" s="25" t="s">
        <v>94</v>
      </c>
      <c r="B86" s="25"/>
      <c r="C86" s="25"/>
      <c r="D86" s="25"/>
      <c r="E86" s="25">
        <v>1</v>
      </c>
      <c r="F86" s="25"/>
      <c r="G86" s="25"/>
      <c r="H86" s="7">
        <f t="shared" si="55"/>
        <v>14.667</v>
      </c>
      <c r="I86" s="7">
        <f t="shared" si="56"/>
        <v>12.667</v>
      </c>
      <c r="J86" s="28">
        <f t="shared" si="57"/>
        <v>27.334</v>
      </c>
    </row>
    <row r="87" spans="1:11" ht="15.75">
      <c r="A87" s="25" t="s">
        <v>95</v>
      </c>
      <c r="B87" s="25"/>
      <c r="C87" s="25"/>
      <c r="D87" s="25"/>
      <c r="E87" s="25">
        <v>3.5</v>
      </c>
      <c r="F87" s="25"/>
      <c r="G87" s="25"/>
      <c r="H87" s="7">
        <f t="shared" ref="H87" si="58">H86-F87-D87+B87</f>
        <v>14.667</v>
      </c>
      <c r="I87" s="7">
        <f t="shared" ref="I87" si="59">I86-E87+C87</f>
        <v>9.1669999999999998</v>
      </c>
      <c r="J87" s="28">
        <f t="shared" ref="J87" si="60">H87+I87</f>
        <v>23.834</v>
      </c>
    </row>
    <row r="88" spans="1:11" ht="15.75">
      <c r="A88" s="25" t="s">
        <v>96</v>
      </c>
      <c r="B88" s="25"/>
      <c r="C88" s="25"/>
      <c r="D88" s="25"/>
      <c r="E88" s="25"/>
      <c r="F88" s="30">
        <v>1</v>
      </c>
      <c r="G88" s="25"/>
      <c r="H88" s="7">
        <f t="shared" ref="H88" si="61">H87-F88-D88+B88</f>
        <v>13.667</v>
      </c>
      <c r="I88" s="7">
        <f t="shared" ref="I88" si="62">I87-E88+C88</f>
        <v>9.1669999999999998</v>
      </c>
      <c r="J88" s="28">
        <f t="shared" ref="J88" si="63">H88+I88</f>
        <v>22.834</v>
      </c>
    </row>
    <row r="89" spans="1:11" ht="15.75">
      <c r="A89" s="25" t="s">
        <v>97</v>
      </c>
      <c r="B89" s="25">
        <v>1.25</v>
      </c>
      <c r="C89" s="25">
        <v>1.25</v>
      </c>
      <c r="D89" s="25"/>
      <c r="E89" s="25"/>
      <c r="F89" s="25"/>
      <c r="G89" s="25"/>
      <c r="H89" s="7">
        <f t="shared" ref="H89:H90" si="64">H88-F89-D89+B89</f>
        <v>14.917</v>
      </c>
      <c r="I89" s="7">
        <f t="shared" ref="I89:I90" si="65">I88-E89+C89</f>
        <v>10.417</v>
      </c>
      <c r="J89" s="28">
        <f t="shared" ref="J89:J90" si="66">H89+I89</f>
        <v>25.334</v>
      </c>
    </row>
    <row r="90" spans="1:11" ht="15.75">
      <c r="A90" s="25" t="s">
        <v>98</v>
      </c>
      <c r="B90" s="25"/>
      <c r="C90" s="25"/>
      <c r="D90" s="25"/>
      <c r="E90" s="25"/>
      <c r="F90" s="30">
        <v>1</v>
      </c>
      <c r="G90" s="25"/>
      <c r="H90" s="7">
        <f t="shared" si="64"/>
        <v>13.917</v>
      </c>
      <c r="I90" s="7">
        <f t="shared" si="65"/>
        <v>10.417</v>
      </c>
      <c r="J90" s="28">
        <f t="shared" si="66"/>
        <v>24.334</v>
      </c>
    </row>
    <row r="91" spans="1:11" ht="15.75">
      <c r="A91" s="25" t="s">
        <v>99</v>
      </c>
      <c r="B91" s="25">
        <v>1.25</v>
      </c>
      <c r="C91" s="25">
        <v>1.25</v>
      </c>
      <c r="D91" s="25"/>
      <c r="E91" s="25"/>
      <c r="F91" s="25"/>
      <c r="G91" s="25"/>
      <c r="H91" s="7">
        <f t="shared" ref="H91:H92" si="67">H90-F91-D91+B91</f>
        <v>15.167</v>
      </c>
      <c r="I91" s="7">
        <f t="shared" ref="I91:I92" si="68">I90-E91+C91</f>
        <v>11.667</v>
      </c>
      <c r="J91" s="28">
        <f t="shared" ref="J91:J92" si="69">H91+I91</f>
        <v>26.834</v>
      </c>
    </row>
    <row r="92" spans="1:11" ht="15.75">
      <c r="A92" s="25" t="s">
        <v>100</v>
      </c>
      <c r="B92" s="25"/>
      <c r="C92" s="25"/>
      <c r="D92" s="25"/>
      <c r="E92" s="25">
        <v>1</v>
      </c>
      <c r="F92" s="25"/>
      <c r="G92" s="25"/>
      <c r="H92" s="7">
        <f t="shared" si="67"/>
        <v>15.167</v>
      </c>
      <c r="I92" s="7">
        <f t="shared" si="68"/>
        <v>10.667</v>
      </c>
      <c r="J92" s="28">
        <f t="shared" si="69"/>
        <v>25.834</v>
      </c>
    </row>
    <row r="93" spans="1:11" ht="15.75">
      <c r="A93" s="25" t="s">
        <v>101</v>
      </c>
      <c r="B93" s="25"/>
      <c r="C93" s="25"/>
      <c r="D93" s="25"/>
      <c r="E93" s="25">
        <v>3</v>
      </c>
      <c r="F93" s="25"/>
      <c r="G93" s="25"/>
      <c r="H93" s="7">
        <f t="shared" ref="H93" si="70">H92-F93-D93+B93</f>
        <v>15.167</v>
      </c>
      <c r="I93" s="7">
        <f t="shared" ref="I93" si="71">I92-E93+C93</f>
        <v>7.6669999999999998</v>
      </c>
      <c r="J93" s="28">
        <f t="shared" ref="J93" si="72">H93+I93</f>
        <v>22.834</v>
      </c>
    </row>
    <row r="94" spans="1:11" ht="15.75">
      <c r="A94" s="25" t="s">
        <v>102</v>
      </c>
      <c r="B94" s="25">
        <v>2.5</v>
      </c>
      <c r="C94" s="25">
        <v>2.5</v>
      </c>
      <c r="D94" s="25"/>
      <c r="E94" s="25"/>
      <c r="F94" s="25"/>
      <c r="G94" s="25"/>
      <c r="H94" s="7">
        <f t="shared" ref="H94:H95" si="73">H93-F94-D94+B94</f>
        <v>17.667000000000002</v>
      </c>
      <c r="I94" s="7">
        <f t="shared" ref="I94:I95" si="74">I93-E94+C94</f>
        <v>10.167</v>
      </c>
      <c r="J94" s="28">
        <f t="shared" ref="J94:J95" si="75">H94+I94</f>
        <v>27.834</v>
      </c>
    </row>
    <row r="95" spans="1:11" ht="15.75">
      <c r="A95" s="25" t="s">
        <v>103</v>
      </c>
      <c r="B95" s="25"/>
      <c r="C95" s="25"/>
      <c r="D95" s="25"/>
      <c r="E95" s="25">
        <v>2.5</v>
      </c>
      <c r="F95" s="25"/>
      <c r="G95" s="25"/>
      <c r="H95" s="7">
        <f t="shared" si="73"/>
        <v>17.667000000000002</v>
      </c>
      <c r="I95" s="7">
        <f t="shared" si="74"/>
        <v>7.6669999999999998</v>
      </c>
      <c r="J95" s="28">
        <f t="shared" si="75"/>
        <v>25.334</v>
      </c>
      <c r="K95" s="33" t="s">
        <v>104</v>
      </c>
    </row>
    <row r="96" spans="1:11" ht="15.75">
      <c r="A96" s="25" t="s">
        <v>105</v>
      </c>
      <c r="B96" s="25">
        <v>1.25</v>
      </c>
      <c r="C96" s="25">
        <v>1.25</v>
      </c>
      <c r="D96" s="25"/>
      <c r="E96" s="25"/>
      <c r="F96" s="25"/>
      <c r="G96" s="25"/>
      <c r="H96" s="7">
        <f t="shared" ref="H96:H97" si="76">H95-F96-D96+B96</f>
        <v>18.917000000000002</v>
      </c>
      <c r="I96" s="7">
        <f t="shared" ref="I96:I97" si="77">I95-E96+C96</f>
        <v>8.9169999999999998</v>
      </c>
      <c r="J96" s="28">
        <f t="shared" ref="J96:J97" si="78">H96+I96</f>
        <v>27.834</v>
      </c>
      <c r="K96" s="33"/>
    </row>
    <row r="97" spans="1:11" ht="15.75">
      <c r="A97" s="25" t="s">
        <v>106</v>
      </c>
      <c r="B97" s="25"/>
      <c r="C97" s="25"/>
      <c r="D97" s="25"/>
      <c r="E97" s="25"/>
      <c r="F97" s="30">
        <v>1</v>
      </c>
      <c r="G97" s="25"/>
      <c r="H97" s="7">
        <f t="shared" si="76"/>
        <v>17.917000000000002</v>
      </c>
      <c r="I97" s="7">
        <f t="shared" si="77"/>
        <v>8.9169999999999998</v>
      </c>
      <c r="J97" s="28">
        <f t="shared" si="78"/>
        <v>26.834</v>
      </c>
      <c r="K97" s="33"/>
    </row>
    <row r="98" spans="1:11" ht="15.75">
      <c r="A98" s="25" t="s">
        <v>107</v>
      </c>
      <c r="B98" s="25">
        <v>2.5</v>
      </c>
      <c r="C98" s="25">
        <v>2.5</v>
      </c>
      <c r="D98" s="25"/>
      <c r="E98" s="25"/>
      <c r="F98" s="25"/>
      <c r="G98" s="25"/>
      <c r="H98" s="7">
        <f>H97-F98-D98+B98</f>
        <v>20.417000000000002</v>
      </c>
      <c r="I98" s="7">
        <f>I97-E98+C98</f>
        <v>11.417</v>
      </c>
      <c r="J98" s="28">
        <f>H98+I98</f>
        <v>31.834</v>
      </c>
      <c r="K98" s="33"/>
    </row>
    <row r="99" spans="1:11" ht="15.75">
      <c r="A99" s="25" t="s">
        <v>108</v>
      </c>
      <c r="B99" s="25"/>
      <c r="C99" s="25"/>
      <c r="D99" s="25"/>
      <c r="E99" s="25"/>
      <c r="F99" s="25"/>
      <c r="G99" s="31">
        <v>2</v>
      </c>
      <c r="H99" s="7">
        <f>H98-F99-D99+B99</f>
        <v>20.417000000000002</v>
      </c>
      <c r="I99" s="7">
        <f>I98-E99+C99</f>
        <v>11.417</v>
      </c>
      <c r="J99" s="28">
        <f>H99+I99</f>
        <v>31.834</v>
      </c>
    </row>
    <row r="100" spans="1:11" ht="15.75">
      <c r="A100" s="25" t="s">
        <v>112</v>
      </c>
      <c r="B100" s="25"/>
      <c r="C100" s="25"/>
      <c r="D100" s="25"/>
      <c r="E100" s="25"/>
      <c r="F100" s="30">
        <v>1</v>
      </c>
      <c r="G100" s="25"/>
      <c r="H100" s="7">
        <f t="shared" ref="H100:H101" si="79">H99-F100-D100+B100</f>
        <v>19.417000000000002</v>
      </c>
      <c r="I100" s="7">
        <f t="shared" ref="I100:I101" si="80">I99-E100+C100</f>
        <v>11.417</v>
      </c>
      <c r="J100" s="28">
        <f t="shared" ref="J100:J101" si="81">H100+I100</f>
        <v>30.834000000000003</v>
      </c>
    </row>
    <row r="101" spans="1:11" s="1" customFormat="1" ht="15.75">
      <c r="A101" s="48" t="s">
        <v>113</v>
      </c>
      <c r="B101" s="47"/>
      <c r="C101" s="47"/>
      <c r="D101" s="47"/>
      <c r="E101" s="47"/>
      <c r="F101" s="47"/>
      <c r="G101" s="31">
        <v>1</v>
      </c>
      <c r="H101" s="7">
        <f t="shared" si="79"/>
        <v>19.417000000000002</v>
      </c>
      <c r="I101" s="7">
        <f t="shared" si="80"/>
        <v>11.417</v>
      </c>
      <c r="J101" s="28">
        <f t="shared" si="81"/>
        <v>30.834000000000003</v>
      </c>
    </row>
    <row r="102" spans="1:11" s="1" customFormat="1"/>
    <row r="103" spans="1:11" s="1" customFormat="1">
      <c r="G103" s="32"/>
    </row>
    <row r="104" spans="1:11" s="1" customFormat="1"/>
    <row r="105" spans="1:11" s="1" customFormat="1">
      <c r="G105" s="1" t="s">
        <v>109</v>
      </c>
    </row>
    <row r="106" spans="1:11">
      <c r="G106" s="1"/>
      <c r="H106" s="1"/>
      <c r="I106" s="1"/>
      <c r="J106" s="1"/>
      <c r="K106" s="1"/>
    </row>
    <row r="107" spans="1:11">
      <c r="I107" s="49" t="s">
        <v>110</v>
      </c>
      <c r="J107" s="49"/>
      <c r="K107"/>
    </row>
    <row r="108" spans="1:11">
      <c r="I108" t="s">
        <v>111</v>
      </c>
      <c r="K108"/>
    </row>
    <row r="109" spans="1:11">
      <c r="I109" s="50" t="s">
        <v>114</v>
      </c>
      <c r="J109" s="50"/>
      <c r="K109"/>
    </row>
  </sheetData>
  <mergeCells count="14">
    <mergeCell ref="K11:K12"/>
    <mergeCell ref="I109:J109"/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511811023622047" right="0.511811023622047" top="0.70866141732283505" bottom="0.31496062992126" header="0.31496062992126" footer="0.31496062992126"/>
  <pageSetup paperSize="9" scale="67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 (NE)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2026-01-14T04:42:42Z</cp:lastPrinted>
  <dcterms:created xsi:type="dcterms:W3CDTF">2021-10-07T06:10:00Z</dcterms:created>
  <dcterms:modified xsi:type="dcterms:W3CDTF">2026-01-14T04:48:22Z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9A01BDBA2EA446978B3534B25DF28811_12</vt:lpwstr>
  </property>
  <property fmtid="{D5CDD505-2E9C-101B-9397-08002B2CF9AE}" pid="3" name="KSOProductBuildVer">
    <vt:lpwstr>1033-12.2.0.23196</vt:lpwstr>
  </property>
</Properties>
</file>