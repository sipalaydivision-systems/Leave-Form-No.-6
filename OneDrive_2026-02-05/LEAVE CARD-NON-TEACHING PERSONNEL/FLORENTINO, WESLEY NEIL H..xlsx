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34CB8A34-2944-44F0-BAEA-09D4424FD6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 (2)" sheetId="11" r:id="rId1"/>
    <sheet name="VSC" sheetId="9" r:id="rId2"/>
    <sheet name="CONVERTED VSC" sheetId="12" r:id="rId3"/>
  </sheets>
  <definedNames>
    <definedName name="_xlnm.Print_Area" localSheetId="2">'CONVERTED VSC'!$A$1:$G$23</definedName>
    <definedName name="_xlnm.Print_Area" localSheetId="0">'Leave Card (NE) (2)'!$A$1:$J$31</definedName>
    <definedName name="_xlnm.Print_Area" localSheetId="1">VSC!$A$1:$K$22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1" l="1"/>
  <c r="I22" i="11"/>
  <c r="J22" i="11"/>
  <c r="I13" i="11"/>
  <c r="I14" i="11" s="1"/>
  <c r="I15" i="11" s="1"/>
  <c r="I16" i="11" s="1"/>
  <c r="I17" i="11" s="1"/>
  <c r="I18" i="11" s="1"/>
  <c r="I19" i="11" s="1"/>
  <c r="I20" i="11" s="1"/>
  <c r="I21" i="11" s="1"/>
  <c r="H13" i="11"/>
  <c r="H14" i="11" s="1"/>
  <c r="J14" i="11" l="1"/>
  <c r="J13" i="11"/>
  <c r="H15" i="11"/>
  <c r="H16" i="11" l="1"/>
  <c r="J15" i="11"/>
  <c r="H17" i="11" l="1"/>
  <c r="J16" i="11"/>
  <c r="J17" i="11" l="1"/>
  <c r="H18" i="11"/>
  <c r="J18" i="11" l="1"/>
  <c r="H19" i="11"/>
  <c r="H20" i="11" s="1"/>
  <c r="J20" i="11" l="1"/>
  <c r="H21" i="11"/>
  <c r="J21" i="11" s="1"/>
  <c r="J19" i="11"/>
</calcChain>
</file>

<file path=xl/sharedStrings.xml><?xml version="1.0" encoding="utf-8"?>
<sst xmlns="http://schemas.openxmlformats.org/spreadsheetml/2006/main" count="107" uniqueCount="80">
  <si>
    <t>PERIOD COVERED</t>
  </si>
  <si>
    <t>LEAVE EARNED</t>
  </si>
  <si>
    <t>TOTAL</t>
  </si>
  <si>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</si>
  <si>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</si>
  <si>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</si>
  <si>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</si>
  <si>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</si>
  <si>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Balance</t>
  </si>
  <si>
    <t>No. of Days Granted</t>
  </si>
  <si>
    <t>No. of Days Used</t>
  </si>
  <si>
    <t>DISTRICT             : _______________________</t>
  </si>
  <si>
    <t>STATION CODE   : __________</t>
  </si>
  <si>
    <t>EMPLOYEE NO   : __________</t>
  </si>
  <si>
    <t>Special Order No. and Date Issued</t>
  </si>
  <si>
    <t>POSITION   : TEACHER I</t>
  </si>
  <si>
    <t>NAME         : FLORENTINO, WESLEY NEIL</t>
  </si>
  <si>
    <t>SCHOOL/OFFICE : NABULAO ES</t>
  </si>
  <si>
    <t>ADD: 10/17/2023</t>
  </si>
  <si>
    <t>SO # 134, S. 2023, NLC 2023</t>
  </si>
  <si>
    <t>LESS: 02/15-16/2023</t>
  </si>
  <si>
    <t>LESS: 04/4/2024</t>
  </si>
  <si>
    <t>LESS: 05/3/2024</t>
  </si>
  <si>
    <t>VSC</t>
  </si>
  <si>
    <t>LESS: 12/3/2024</t>
  </si>
  <si>
    <t>LESS: 01/2-3/2025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</si>
  <si>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</si>
  <si>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</si>
  <si>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</si>
  <si>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</si>
  <si>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</si>
  <si>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</si>
  <si>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</si>
  <si>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</si>
  <si>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</si>
  <si>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</si>
  <si>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</si>
  <si>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</si>
  <si>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</si>
  <si>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</si>
  <si>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</si>
  <si>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11/4-30/2024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</si>
  <si>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</si>
  <si>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</si>
  <si>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</si>
  <si>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</si>
  <si>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</si>
  <si>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</si>
  <si>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</si>
  <si>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</si>
  <si>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</si>
  <si>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</si>
  <si>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OCT. 17, 2023</t>
  </si>
  <si>
    <t>NLC 2023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</si>
  <si>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FLORENTINO, WESLEY NEIL H.</t>
    </r>
  </si>
  <si>
    <t>S.O. # 079, S. 2022</t>
  </si>
  <si>
    <t>OCT.3, 2022</t>
  </si>
  <si>
    <t>BRIGADA ESKWELA 2022</t>
  </si>
  <si>
    <t>S.O. # 082, S. 2022</t>
  </si>
  <si>
    <t>ENROLMENT 2022</t>
  </si>
  <si>
    <t>S.O. # 134, S. 2023</t>
  </si>
  <si>
    <t>S.O. # 010, S. 2024</t>
  </si>
  <si>
    <t>APRIL 30, 2024</t>
  </si>
  <si>
    <t>OCTOBER 30, 2023 BRGY. &amp; SK ELECTION</t>
  </si>
  <si>
    <t>S.O. # 029, S. 2024</t>
  </si>
  <si>
    <t>SEPTEMBER 24, 2024</t>
  </si>
  <si>
    <t>NLC 2024</t>
  </si>
  <si>
    <t>S.O. # 055, S. 2024</t>
  </si>
  <si>
    <t>OCT. 18, 2024</t>
  </si>
  <si>
    <t>DEPED ACTIVITIES &amp; TRAININGS FOR SY 2024-2025</t>
  </si>
  <si>
    <t>ADD: 12/1-31/2024</t>
  </si>
  <si>
    <t>ADD: 01/1/2025-06/30/2025</t>
  </si>
  <si>
    <t>LESS: 06/27/2025</t>
  </si>
  <si>
    <r>
      <t xml:space="preserve">ADD: UNUSED CONVERTED VSC                      </t>
    </r>
    <r>
      <rPr>
        <b/>
        <sz val="11"/>
        <color theme="4" tint="-0.249977111117893"/>
        <rFont val="Calibri"/>
        <family val="2"/>
        <scheme val="minor"/>
      </rPr>
      <t>(52 DAYS)</t>
    </r>
    <r>
      <rPr>
        <sz val="11"/>
        <color theme="1"/>
        <rFont val="Calibri"/>
        <family val="2"/>
        <scheme val="minor"/>
      </rPr>
      <t xml:space="preserve">                                                        FORMULA: 30Y/69/2</t>
    </r>
  </si>
  <si>
    <t>ADD: 07/1/2025-08/31/2025</t>
  </si>
  <si>
    <t>52 DAYS-CONVERTED</t>
  </si>
  <si>
    <t>NEGROS ISLAND REGION</t>
  </si>
  <si>
    <t>LESS: MONETIZATION 2025</t>
  </si>
  <si>
    <t>ADD: 09/1-14/2025</t>
  </si>
  <si>
    <t>RELIEVED AS TIC effective September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</si>
</sst>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10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7" fillId="2" borderId="9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9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0" xfId="1" applyFill="1"/>
    <xf numFmtId="0" fontId="10" fillId="2" borderId="0" xfId="1" applyFill="1" applyAlignment="1">
      <alignment horizontal="center"/>
    </xf>
    <xf numFmtId="0" fontId="11" fillId="2" borderId="0" xfId="1" applyFont="1" applyFill="1" applyAlignment="1">
      <alignment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vertical="center"/>
    </xf>
    <xf numFmtId="0" fontId="13" fillId="2" borderId="0" xfId="1" applyFont="1" applyFill="1"/>
    <xf numFmtId="0" fontId="1" fillId="2" borderId="0" xfId="1" applyFont="1" applyFill="1"/>
    <xf numFmtId="0" fontId="1" fillId="2" borderId="0" xfId="1" applyFont="1" applyFill="1" applyAlignment="1">
      <alignment horizontal="left"/>
    </xf>
    <xf numFmtId="0" fontId="10" fillId="0" borderId="0" xfId="1"/>
    <xf numFmtId="0" fontId="3" fillId="12" borderId="19" xfId="1" applyFont="1" applyFill="1" applyBorder="1" applyAlignment="1">
      <alignment horizontal="center" vertical="center" wrapText="1"/>
    </xf>
    <xf numFmtId="0" fontId="3" fillId="12" borderId="19" xfId="1" applyFont="1" applyFill="1" applyBorder="1" applyAlignment="1">
      <alignment horizontal="center" vertical="center"/>
    </xf>
    <xf numFmtId="0" fontId="7" fillId="7" borderId="15" xfId="1" applyFont="1" applyFill="1" applyBorder="1" applyAlignment="1">
      <alignment horizontal="center" vertical="center" wrapText="1"/>
    </xf>
    <xf numFmtId="0" fontId="7" fillId="7" borderId="22" xfId="1" applyFont="1" applyFill="1" applyBorder="1" applyAlignment="1">
      <alignment horizontal="center" vertical="center" wrapText="1"/>
    </xf>
    <xf numFmtId="0" fontId="3" fillId="12" borderId="23" xfId="1" applyFont="1" applyFill="1" applyBorder="1" applyAlignment="1">
      <alignment horizontal="center" vertical="center"/>
    </xf>
    <xf numFmtId="0" fontId="6" fillId="0" borderId="0" xfId="1" applyFont="1"/>
    <xf numFmtId="0" fontId="7" fillId="2" borderId="1" xfId="2" applyFont="1" applyFill="1" applyBorder="1" applyAlignment="1">
      <alignment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14" fillId="2" borderId="14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7" fillId="2" borderId="9" xfId="2" applyFont="1" applyFill="1" applyBorder="1" applyAlignment="1">
      <alignment vertical="center" wrapText="1"/>
    </xf>
    <xf numFmtId="0" fontId="0" fillId="2" borderId="1" xfId="2" applyFont="1" applyFill="1" applyBorder="1" applyAlignment="1">
      <alignment horizontal="center" vertical="center" wrapText="1"/>
    </xf>
    <xf numFmtId="0" fontId="5" fillId="0" borderId="0" xfId="1" applyFont="1"/>
    <xf numFmtId="0" fontId="15" fillId="2" borderId="2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10" fillId="13" borderId="0" xfId="1" applyFill="1"/>
    <xf numFmtId="0" fontId="10" fillId="5" borderId="0" xfId="1" applyFill="1"/>
    <xf numFmtId="0" fontId="0" fillId="2" borderId="5" xfId="2" applyFont="1" applyFill="1" applyBorder="1" applyAlignment="1">
      <alignment horizontal="center" vertical="center" wrapText="1"/>
    </xf>
    <xf numFmtId="0" fontId="0" fillId="2" borderId="16" xfId="2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7" fillId="14" borderId="9" xfId="0" applyFont="1" applyFill="1" applyBorder="1" applyAlignment="1">
      <alignment vertical="center" wrapText="1"/>
    </xf>
    <xf numFmtId="0" fontId="0" fillId="14" borderId="2" xfId="0" applyFill="1" applyBorder="1" applyAlignment="1">
      <alignment horizontal="center" vertical="center" wrapText="1"/>
    </xf>
    <xf numFmtId="0" fontId="5" fillId="14" borderId="0" xfId="0" applyFont="1" applyFill="1"/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7" fillId="7" borderId="9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14" borderId="9" xfId="0" applyFont="1" applyFill="1" applyBorder="1" applyAlignment="1">
      <alignment horizontal="center" vertical="center" wrapText="1"/>
    </xf>
    <xf numFmtId="0" fontId="7" fillId="14" borderId="13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2" fillId="2" borderId="1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1" fillId="2" borderId="6" xfId="1" applyFont="1" applyFill="1" applyBorder="1" applyAlignment="1">
      <alignment horizontal="right" vertical="center" wrapText="1"/>
    </xf>
    <xf numFmtId="0" fontId="11" fillId="2" borderId="13" xfId="1" applyFont="1" applyFill="1" applyBorder="1" applyAlignment="1">
      <alignment horizontal="right" vertical="center" wrapText="1"/>
    </xf>
    <xf numFmtId="0" fontId="11" fillId="2" borderId="7" xfId="1" applyFont="1" applyFill="1" applyBorder="1" applyAlignment="1">
      <alignment horizontal="right" vertical="center" wrapText="1"/>
    </xf>
    <xf numFmtId="0" fontId="1" fillId="2" borderId="0" xfId="1" applyFont="1" applyFill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</cellXfs>
  <cellStyles count="3">
    <cellStyle name="Normal" xfId="0" builtinId="0"/>
    <cellStyle name="Normal 2 2" xfId="1" xr:uid="{B8950532-F0AA-4F7E-9663-8957CBBD4BD7}"/>
    <cellStyle name="Normal 3 2" xfId="2" xr:uid="{313E825D-9681-424E-B3EB-7F0E08A023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D3AF0E-3037-432D-95BE-F18ED747C98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573941</xdr:colOff>
      <xdr:row>4</xdr:row>
      <xdr:rowOff>170961</xdr:rowOff>
    </xdr:from>
    <xdr:to>
      <xdr:col>1</xdr:col>
      <xdr:colOff>134787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E1082D-F7B9-4275-869E-9C78DA47B2B0}"/>
            </a:ext>
          </a:extLst>
        </xdr:cNvPr>
        <xdr:cNvSpPr txBox="1"/>
      </xdr:nvSpPr>
      <xdr:spPr>
        <a:xfrm>
          <a:off x="573941" y="1366079"/>
          <a:ext cx="1996011" cy="250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FLORENTINO,</a:t>
          </a:r>
          <a:r>
            <a:rPr lang="en-US" sz="1100" baseline="0"/>
            <a:t> WESLEY NEIL H.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7CB0A7-B3C5-4A02-8992-13DE3C66E8F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 (TIC) NOV. 4, 2024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80872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6365F7-25EE-4757-BB31-A4C9499E4961}"/>
            </a:ext>
          </a:extLst>
        </xdr:cNvPr>
        <xdr:cNvSpPr txBox="1"/>
      </xdr:nvSpPr>
      <xdr:spPr>
        <a:xfrm>
          <a:off x="3704014" y="1696137"/>
          <a:ext cx="1984028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NABULAO ES-BUYOG ANNEX</a:t>
          </a:r>
        </a:p>
      </xdr:txBody>
    </xdr:sp>
    <xdr:clientData/>
  </xdr:twoCellAnchor>
  <xdr:twoCellAnchor>
    <xdr:from>
      <xdr:col>5</xdr:col>
      <xdr:colOff>347452</xdr:colOff>
      <xdr:row>25</xdr:row>
      <xdr:rowOff>53914</xdr:rowOff>
    </xdr:from>
    <xdr:to>
      <xdr:col>9</xdr:col>
      <xdr:colOff>672043</xdr:colOff>
      <xdr:row>30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BA60F0C-823D-49D0-B035-11FF117599E9}"/>
            </a:ext>
          </a:extLst>
        </xdr:cNvPr>
        <xdr:cNvSpPr txBox="1"/>
      </xdr:nvSpPr>
      <xdr:spPr>
        <a:xfrm>
          <a:off x="5871952" y="1553203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37DD8-3434-4B38-8F92-36DB5D271B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7825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BED136-E43D-4FA2-A41D-AA3709284738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D30D5-6606-4658-A833-9095A67E3C84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68761-CEFD-48B0-A0A7-2168F1E602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962025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94D846-2D99-4CF7-8D16-0E9C53DBD1C5}"/>
            </a:ext>
          </a:extLst>
        </xdr:cNvPr>
        <xdr:cNvSpPr txBox="1"/>
      </xdr:nvSpPr>
      <xdr:spPr>
        <a:xfrm>
          <a:off x="76200" y="44958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20</xdr:row>
      <xdr:rowOff>236220</xdr:rowOff>
    </xdr:from>
    <xdr:to>
      <xdr:col>6</xdr:col>
      <xdr:colOff>476250</xdr:colOff>
      <xdr:row>22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4F7BC4-504A-4EB1-B7C7-4CBCD79AA697}"/>
            </a:ext>
          </a:extLst>
        </xdr:cNvPr>
        <xdr:cNvSpPr txBox="1"/>
      </xdr:nvSpPr>
      <xdr:spPr>
        <a:xfrm>
          <a:off x="5238750" y="45224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A93-E4D3-4C26-90C4-62D44ADC75B2}">
  <dimension ref="A1:K29"/>
  <sheetViews>
    <sheetView tabSelected="1" view="pageBreakPreview" zoomScale="106" zoomScaleNormal="100" zoomScaleSheetLayoutView="106" workbookViewId="0">
      <selection activeCell="D13" sqref="D13"/>
    </sheetView>
  </sheetViews>
  <sheetFormatPr defaultRowHeight="15" x14ac:dyDescent="0.25"/>
  <cols>
    <col min="1" max="1" width="37.7109375" customWidth="1"/>
    <col min="2" max="5" width="11.5703125" customWidth="1"/>
    <col min="6" max="7" width="11.5703125" style="29" customWidth="1"/>
    <col min="8" max="10" width="11.5703125" customWidth="1"/>
    <col min="11" max="11" width="26.42578125" style="27" customWidth="1"/>
  </cols>
  <sheetData>
    <row r="1" spans="1:11" s="1" customFormat="1" ht="52.5" customHeight="1" x14ac:dyDescent="0.25"/>
    <row r="2" spans="1:11" s="1" customFormat="1" ht="10.5" customHeight="1" x14ac:dyDescent="0.25">
      <c r="A2" s="79" t="s">
        <v>3</v>
      </c>
      <c r="B2" s="79"/>
      <c r="C2" s="79"/>
      <c r="D2" s="79"/>
      <c r="E2" s="79"/>
      <c r="F2" s="79"/>
      <c r="G2" s="79"/>
      <c r="H2" s="79"/>
      <c r="I2" s="79"/>
      <c r="J2" s="79"/>
    </row>
    <row r="3" spans="1:11" s="1" customFormat="1" ht="15.95" customHeight="1" x14ac:dyDescent="0.25">
      <c r="A3" s="79" t="s">
        <v>4</v>
      </c>
      <c r="B3" s="79"/>
      <c r="C3" s="79"/>
      <c r="D3" s="79"/>
      <c r="E3" s="79"/>
      <c r="F3" s="79"/>
      <c r="G3" s="79"/>
      <c r="H3" s="79"/>
      <c r="I3" s="79"/>
      <c r="J3" s="79"/>
    </row>
    <row r="4" spans="1:11" s="1" customFormat="1" ht="15.95" customHeight="1" x14ac:dyDescent="0.25">
      <c r="A4" s="79" t="s">
        <v>76</v>
      </c>
      <c r="B4" s="79"/>
      <c r="C4" s="79"/>
      <c r="D4" s="79"/>
      <c r="E4" s="79"/>
      <c r="F4" s="79"/>
      <c r="G4" s="79"/>
      <c r="H4" s="79"/>
      <c r="I4" s="79"/>
      <c r="J4" s="79"/>
    </row>
    <row r="5" spans="1:11" s="1" customFormat="1" ht="15.95" customHeight="1" x14ac:dyDescent="0.25">
      <c r="A5" s="79" t="s">
        <v>6</v>
      </c>
      <c r="B5" s="79"/>
      <c r="C5" s="79"/>
      <c r="D5" s="79"/>
      <c r="E5" s="79"/>
      <c r="F5" s="79"/>
      <c r="G5" s="79"/>
      <c r="H5" s="79"/>
      <c r="I5" s="79"/>
      <c r="J5" s="79"/>
    </row>
    <row r="6" spans="1:11" s="1" customFormat="1" ht="8.25" customHeight="1" x14ac:dyDescent="0.25"/>
    <row r="7" spans="1:11" s="1" customFormat="1" ht="12" customHeight="1" x14ac:dyDescent="0.25">
      <c r="A7" s="1" t="s">
        <v>26</v>
      </c>
      <c r="B7" s="78" t="s">
        <v>27</v>
      </c>
      <c r="C7" s="78"/>
      <c r="D7" s="78"/>
      <c r="H7" s="3" t="s">
        <v>28</v>
      </c>
      <c r="I7" s="22"/>
      <c r="J7" s="3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29</v>
      </c>
      <c r="B9" s="78" t="s">
        <v>30</v>
      </c>
      <c r="C9" s="78"/>
      <c r="D9" s="78"/>
      <c r="H9" s="3" t="s">
        <v>31</v>
      </c>
      <c r="I9" s="23"/>
      <c r="J9" s="3"/>
    </row>
    <row r="10" spans="1:11" ht="23.25" customHeight="1" thickBot="1" x14ac:dyDescent="0.3">
      <c r="A10" s="70" t="s">
        <v>32</v>
      </c>
      <c r="B10" s="70"/>
      <c r="C10" s="70"/>
      <c r="D10" s="70"/>
      <c r="E10" s="70"/>
      <c r="F10" s="70"/>
      <c r="G10" s="70"/>
      <c r="H10" s="70"/>
      <c r="I10" s="70"/>
      <c r="J10" s="70"/>
      <c r="K10"/>
    </row>
    <row r="11" spans="1:11" ht="18.75" customHeight="1" x14ac:dyDescent="0.25">
      <c r="A11" s="71" t="s">
        <v>0</v>
      </c>
      <c r="B11" s="73" t="s">
        <v>1</v>
      </c>
      <c r="C11" s="73"/>
      <c r="D11" s="74" t="s">
        <v>33</v>
      </c>
      <c r="E11" s="74"/>
      <c r="F11" s="74"/>
      <c r="G11" s="74"/>
      <c r="H11" s="75" t="s">
        <v>34</v>
      </c>
      <c r="I11" s="75"/>
      <c r="J11" s="76" t="s">
        <v>2</v>
      </c>
      <c r="K11" s="69" t="s">
        <v>35</v>
      </c>
    </row>
    <row r="12" spans="1:11" ht="18.75" customHeight="1" thickBot="1" x14ac:dyDescent="0.3">
      <c r="A12" s="72"/>
      <c r="B12" s="24" t="s">
        <v>36</v>
      </c>
      <c r="C12" s="24" t="s">
        <v>37</v>
      </c>
      <c r="D12" s="24" t="s">
        <v>36</v>
      </c>
      <c r="E12" s="24" t="s">
        <v>37</v>
      </c>
      <c r="F12" s="24" t="s">
        <v>38</v>
      </c>
      <c r="G12" s="24" t="s">
        <v>39</v>
      </c>
      <c r="H12" s="24" t="s">
        <v>36</v>
      </c>
      <c r="I12" s="24" t="s">
        <v>37</v>
      </c>
      <c r="J12" s="77"/>
      <c r="K12" s="69"/>
    </row>
    <row r="13" spans="1:11" ht="45" customHeight="1" x14ac:dyDescent="0.25">
      <c r="A13" s="65" t="s">
        <v>73</v>
      </c>
      <c r="B13" s="25">
        <v>11.304</v>
      </c>
      <c r="C13" s="25">
        <v>11.304</v>
      </c>
      <c r="D13" s="25"/>
      <c r="E13" s="25"/>
      <c r="F13" s="25"/>
      <c r="G13" s="25"/>
      <c r="H13" s="26">
        <f>B13</f>
        <v>11.304</v>
      </c>
      <c r="I13" s="26">
        <f>C13</f>
        <v>11.304</v>
      </c>
      <c r="J13" s="26">
        <f>SUM(H13:I13)</f>
        <v>22.608000000000001</v>
      </c>
    </row>
    <row r="14" spans="1:11" ht="15.75" customHeight="1" x14ac:dyDescent="0.25">
      <c r="A14" s="62" t="s">
        <v>41</v>
      </c>
      <c r="B14" s="28">
        <v>1.125</v>
      </c>
      <c r="C14" s="28">
        <v>1.125</v>
      </c>
      <c r="D14" s="28"/>
      <c r="E14" s="28"/>
      <c r="F14" s="28"/>
      <c r="G14" s="28"/>
      <c r="H14" s="15">
        <f>H13-F14-D14+B14</f>
        <v>12.429</v>
      </c>
      <c r="I14" s="15">
        <f>I13-E14+C14</f>
        <v>12.429</v>
      </c>
      <c r="J14" s="15">
        <f>SUM(H14:I14)</f>
        <v>24.858000000000001</v>
      </c>
    </row>
    <row r="15" spans="1:11" ht="15" customHeight="1" x14ac:dyDescent="0.25">
      <c r="A15" s="62" t="s">
        <v>70</v>
      </c>
      <c r="B15" s="28">
        <v>1.25</v>
      </c>
      <c r="C15" s="28">
        <v>1.25</v>
      </c>
      <c r="D15" s="28"/>
      <c r="E15" s="28"/>
      <c r="F15" s="28"/>
      <c r="G15" s="28"/>
      <c r="H15" s="15">
        <f t="shared" ref="H15:H16" si="0">H14-F15-D15+B15</f>
        <v>13.679</v>
      </c>
      <c r="I15" s="15">
        <f t="shared" ref="I15:I16" si="1">I14-E15+C15</f>
        <v>13.679</v>
      </c>
      <c r="J15" s="15">
        <f t="shared" ref="J15:J19" si="2">SUM(H15:I15)</f>
        <v>27.358000000000001</v>
      </c>
    </row>
    <row r="16" spans="1:11" ht="15" customHeight="1" x14ac:dyDescent="0.25">
      <c r="A16" s="62" t="s">
        <v>24</v>
      </c>
      <c r="B16" s="28"/>
      <c r="C16" s="28"/>
      <c r="D16" s="28"/>
      <c r="E16" s="28">
        <v>1</v>
      </c>
      <c r="F16" s="28"/>
      <c r="G16" s="28"/>
      <c r="H16" s="15">
        <f t="shared" si="0"/>
        <v>13.679</v>
      </c>
      <c r="I16" s="15">
        <f t="shared" si="1"/>
        <v>12.679</v>
      </c>
      <c r="J16" s="15">
        <f t="shared" si="2"/>
        <v>26.358000000000001</v>
      </c>
    </row>
    <row r="17" spans="1:10" ht="12.75" customHeight="1" x14ac:dyDescent="0.25">
      <c r="A17" s="62" t="s">
        <v>25</v>
      </c>
      <c r="B17" s="28"/>
      <c r="C17" s="28"/>
      <c r="D17" s="28"/>
      <c r="E17" s="28">
        <v>2</v>
      </c>
      <c r="F17" s="28"/>
      <c r="G17" s="28"/>
      <c r="H17" s="15">
        <f t="shared" ref="H17:H22" si="3">H16-F17-D17+B17</f>
        <v>13.679</v>
      </c>
      <c r="I17" s="15">
        <f t="shared" ref="I17:I22" si="4">I16-E17+C17</f>
        <v>10.679</v>
      </c>
      <c r="J17" s="15">
        <f t="shared" si="2"/>
        <v>24.358000000000001</v>
      </c>
    </row>
    <row r="18" spans="1:10" ht="12.75" customHeight="1" x14ac:dyDescent="0.25">
      <c r="A18" s="62" t="s">
        <v>71</v>
      </c>
      <c r="B18" s="28">
        <v>7.5</v>
      </c>
      <c r="C18" s="28">
        <v>7.5</v>
      </c>
      <c r="D18" s="28"/>
      <c r="E18" s="28"/>
      <c r="F18" s="28"/>
      <c r="G18" s="28"/>
      <c r="H18" s="15">
        <f t="shared" si="3"/>
        <v>21.179000000000002</v>
      </c>
      <c r="I18" s="15">
        <f t="shared" si="4"/>
        <v>18.179000000000002</v>
      </c>
      <c r="J18" s="15">
        <f t="shared" si="2"/>
        <v>39.358000000000004</v>
      </c>
    </row>
    <row r="19" spans="1:10" ht="14.25" customHeight="1" x14ac:dyDescent="0.25">
      <c r="A19" s="62" t="s">
        <v>72</v>
      </c>
      <c r="B19" s="28"/>
      <c r="C19" s="28"/>
      <c r="D19" s="28"/>
      <c r="E19" s="28">
        <v>1</v>
      </c>
      <c r="F19" s="28"/>
      <c r="G19" s="28"/>
      <c r="H19" s="15">
        <f t="shared" si="3"/>
        <v>21.179000000000002</v>
      </c>
      <c r="I19" s="15">
        <f t="shared" si="4"/>
        <v>17.179000000000002</v>
      </c>
      <c r="J19" s="15">
        <f t="shared" si="2"/>
        <v>38.358000000000004</v>
      </c>
    </row>
    <row r="20" spans="1:10" ht="17.25" customHeight="1" x14ac:dyDescent="0.25">
      <c r="A20" s="62" t="s">
        <v>74</v>
      </c>
      <c r="B20" s="28">
        <v>2.5</v>
      </c>
      <c r="C20" s="28">
        <v>2.5</v>
      </c>
      <c r="D20" s="28"/>
      <c r="E20" s="28"/>
      <c r="F20" s="28"/>
      <c r="G20" s="28"/>
      <c r="H20" s="15">
        <f t="shared" si="3"/>
        <v>23.679000000000002</v>
      </c>
      <c r="I20" s="15">
        <f t="shared" si="4"/>
        <v>19.679000000000002</v>
      </c>
      <c r="J20" s="15">
        <f t="shared" ref="J20" si="5">SUM(H20:I20)</f>
        <v>43.358000000000004</v>
      </c>
    </row>
    <row r="21" spans="1:10" ht="17.25" customHeight="1" x14ac:dyDescent="0.25">
      <c r="A21" s="62" t="s">
        <v>77</v>
      </c>
      <c r="B21" s="28"/>
      <c r="C21" s="28"/>
      <c r="D21" s="28">
        <v>10</v>
      </c>
      <c r="E21" s="28"/>
      <c r="F21" s="28"/>
      <c r="G21" s="28"/>
      <c r="H21" s="15">
        <f t="shared" si="3"/>
        <v>13.679000000000002</v>
      </c>
      <c r="I21" s="15">
        <f t="shared" si="4"/>
        <v>19.679000000000002</v>
      </c>
      <c r="J21" s="15">
        <f t="shared" ref="J21" si="6">SUM(H21:I21)</f>
        <v>33.358000000000004</v>
      </c>
    </row>
    <row r="22" spans="1:10" ht="17.25" customHeight="1" x14ac:dyDescent="0.25">
      <c r="A22" s="62" t="s">
        <v>78</v>
      </c>
      <c r="B22" s="28">
        <v>0.58299999999999996</v>
      </c>
      <c r="C22" s="28">
        <v>0.58299999999999996</v>
      </c>
      <c r="D22" s="28"/>
      <c r="E22" s="28"/>
      <c r="F22" s="28"/>
      <c r="G22" s="28"/>
      <c r="H22" s="15">
        <f t="shared" si="3"/>
        <v>14.262000000000002</v>
      </c>
      <c r="I22" s="15">
        <f t="shared" si="4"/>
        <v>20.262</v>
      </c>
      <c r="J22" s="15">
        <f t="shared" ref="J22" si="7">SUM(H22:I22)</f>
        <v>34.524000000000001</v>
      </c>
    </row>
    <row r="23" spans="1:10" ht="17.25" customHeight="1" x14ac:dyDescent="0.25">
      <c r="A23" s="66" t="s">
        <v>79</v>
      </c>
      <c r="B23" s="67"/>
      <c r="C23" s="67"/>
      <c r="D23" s="67"/>
      <c r="E23" s="67"/>
      <c r="F23" s="67"/>
      <c r="G23" s="67"/>
      <c r="H23" s="67"/>
      <c r="I23" s="67"/>
      <c r="J23" s="68"/>
    </row>
    <row r="24" spans="1:10" ht="17.25" customHeight="1" x14ac:dyDescent="0.25">
      <c r="A24" s="29"/>
      <c r="B24" s="63"/>
      <c r="C24" s="63"/>
      <c r="D24" s="63"/>
      <c r="E24" s="63"/>
      <c r="F24" s="63"/>
      <c r="G24" s="63"/>
      <c r="H24" s="64"/>
      <c r="I24" s="64"/>
      <c r="J24" s="64"/>
    </row>
    <row r="25" spans="1:10" ht="12" customHeight="1" x14ac:dyDescent="0.25">
      <c r="A25" s="29"/>
      <c r="B25" s="63"/>
      <c r="C25" s="63"/>
      <c r="D25" s="63"/>
      <c r="E25" s="63"/>
      <c r="F25" s="63"/>
      <c r="G25" s="63"/>
      <c r="H25" s="64"/>
      <c r="I25" s="64"/>
      <c r="J25" s="64"/>
    </row>
    <row r="29" spans="1:10" x14ac:dyDescent="0.25">
      <c r="F29" s="29" t="s">
        <v>40</v>
      </c>
    </row>
  </sheetData>
  <mergeCells count="14">
    <mergeCell ref="B9:D9"/>
    <mergeCell ref="A2:J2"/>
    <mergeCell ref="A3:J3"/>
    <mergeCell ref="A4:J4"/>
    <mergeCell ref="A5:J5"/>
    <mergeCell ref="B7:D7"/>
    <mergeCell ref="A23:J23"/>
    <mergeCell ref="K11:K12"/>
    <mergeCell ref="A10:J10"/>
    <mergeCell ref="A11:A12"/>
    <mergeCell ref="B11:C11"/>
    <mergeCell ref="D11:G11"/>
    <mergeCell ref="H11:I11"/>
    <mergeCell ref="J11:J12"/>
  </mergeCells>
  <printOptions horizontalCentered="1"/>
  <pageMargins left="0.23622047244094491" right="0.23622047244094491" top="0.70866141732283472" bottom="0.11811023622047245" header="0.31496062992125984" footer="0.31496062992125984"/>
  <pageSetup paperSize="9" scale="65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view="pageBreakPreview" zoomScale="112" zoomScaleNormal="100" zoomScaleSheetLayoutView="112" workbookViewId="0">
      <selection activeCell="K17" sqref="K17"/>
    </sheetView>
  </sheetViews>
  <sheetFormatPr defaultRowHeight="15" x14ac:dyDescent="0.25"/>
  <cols>
    <col min="1" max="1" width="29.85546875" customWidth="1"/>
    <col min="2" max="2" width="9.42578125" style="16" customWidth="1"/>
    <col min="3" max="3" width="9.28515625" style="10" customWidth="1"/>
    <col min="5" max="5" width="8.42578125" style="16" customWidth="1"/>
    <col min="6" max="6" width="10.85546875" style="17" customWidth="1"/>
    <col min="7" max="7" width="10.85546875" customWidth="1"/>
    <col min="8" max="8" width="9.7109375" style="16" customWidth="1"/>
    <col min="9" max="9" width="10" style="17" customWidth="1"/>
    <col min="10" max="10" width="8.7109375" style="18" customWidth="1"/>
    <col min="11" max="11" width="7.5703125" customWidth="1"/>
  </cols>
  <sheetData>
    <row r="1" spans="1:11" s="1" customFormat="1" ht="52.5" customHeight="1" x14ac:dyDescent="0.25">
      <c r="C1" s="4"/>
      <c r="D1" s="8"/>
      <c r="G1" s="5"/>
    </row>
    <row r="2" spans="1:11" s="1" customFormat="1" ht="10.5" customHeight="1" x14ac:dyDescent="0.25">
      <c r="A2" s="79" t="s">
        <v>3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1" customFormat="1" ht="15.95" customHeight="1" x14ac:dyDescent="0.25">
      <c r="A3" s="79" t="s">
        <v>4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1" s="1" customFormat="1" ht="15.95" customHeight="1" x14ac:dyDescent="0.25">
      <c r="A4" s="79" t="s">
        <v>5</v>
      </c>
      <c r="B4" s="79"/>
      <c r="C4" s="79"/>
      <c r="D4" s="79"/>
      <c r="E4" s="79"/>
      <c r="F4" s="79"/>
      <c r="G4" s="79"/>
      <c r="H4" s="79"/>
      <c r="I4" s="79"/>
      <c r="J4" s="79"/>
      <c r="K4" s="79"/>
    </row>
    <row r="5" spans="1:11" s="1" customFormat="1" ht="15.95" customHeight="1" x14ac:dyDescent="0.25">
      <c r="A5" s="79" t="s">
        <v>6</v>
      </c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1" s="1" customFormat="1" ht="8.25" customHeight="1" x14ac:dyDescent="0.25">
      <c r="C6" s="5"/>
      <c r="G6" s="5"/>
    </row>
    <row r="7" spans="1:11" s="1" customFormat="1" ht="8.25" customHeight="1" x14ac:dyDescent="0.25">
      <c r="C7" s="5"/>
      <c r="G7" s="5"/>
    </row>
    <row r="8" spans="1:11" s="1" customFormat="1" ht="12" customHeight="1" x14ac:dyDescent="0.25">
      <c r="A8" s="3" t="s">
        <v>16</v>
      </c>
      <c r="B8" s="3"/>
      <c r="C8" s="78" t="s">
        <v>11</v>
      </c>
      <c r="D8" s="78"/>
      <c r="E8" s="78"/>
      <c r="F8" s="78"/>
      <c r="H8" s="78" t="s">
        <v>13</v>
      </c>
      <c r="I8" s="78"/>
      <c r="J8" s="78"/>
      <c r="K8" s="3"/>
    </row>
    <row r="9" spans="1:11" s="1" customFormat="1" ht="12" customHeight="1" x14ac:dyDescent="0.25">
      <c r="B9" s="2"/>
      <c r="C9" s="78" t="s">
        <v>17</v>
      </c>
      <c r="D9" s="78"/>
      <c r="E9" s="78"/>
      <c r="F9" s="78"/>
      <c r="H9" s="86" t="s">
        <v>12</v>
      </c>
      <c r="I9" s="86"/>
      <c r="J9" s="86"/>
      <c r="K9" s="2"/>
    </row>
    <row r="10" spans="1:11" s="1" customFormat="1" ht="12" customHeight="1" x14ac:dyDescent="0.25">
      <c r="A10" s="3" t="s">
        <v>15</v>
      </c>
      <c r="B10" s="3"/>
      <c r="C10" s="9"/>
      <c r="D10" s="2"/>
      <c r="E10" s="2"/>
      <c r="H10" s="78" t="s">
        <v>7</v>
      </c>
      <c r="I10" s="78"/>
      <c r="J10" s="78"/>
      <c r="K10" s="3"/>
    </row>
    <row r="11" spans="1:11" ht="16.5" customHeight="1" thickBot="1" x14ac:dyDescent="0.3">
      <c r="A11" s="87" t="s">
        <v>23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</row>
    <row r="12" spans="1:11" s="7" customFormat="1" ht="18.75" customHeight="1" x14ac:dyDescent="0.2">
      <c r="A12" s="88" t="s">
        <v>0</v>
      </c>
      <c r="B12" s="90" t="s">
        <v>1</v>
      </c>
      <c r="C12" s="91"/>
      <c r="D12" s="91"/>
      <c r="E12" s="91"/>
      <c r="F12" s="91"/>
      <c r="G12" s="91"/>
      <c r="H12" s="91"/>
      <c r="I12" s="91"/>
      <c r="J12" s="91"/>
      <c r="K12" s="92" t="s">
        <v>2</v>
      </c>
    </row>
    <row r="13" spans="1:11" s="7" customFormat="1" ht="24" customHeight="1" x14ac:dyDescent="0.2">
      <c r="A13" s="89"/>
      <c r="B13" s="80" t="s">
        <v>14</v>
      </c>
      <c r="C13" s="81"/>
      <c r="D13" s="81"/>
      <c r="E13" s="82"/>
      <c r="F13" s="21" t="s">
        <v>9</v>
      </c>
      <c r="G13" s="80" t="s">
        <v>10</v>
      </c>
      <c r="H13" s="82"/>
      <c r="I13" s="80" t="s">
        <v>8</v>
      </c>
      <c r="J13" s="82"/>
      <c r="K13" s="93"/>
    </row>
    <row r="14" spans="1:11" s="7" customFormat="1" x14ac:dyDescent="0.2">
      <c r="A14" s="11" t="s">
        <v>18</v>
      </c>
      <c r="B14" s="94" t="s">
        <v>19</v>
      </c>
      <c r="C14" s="95"/>
      <c r="D14" s="95"/>
      <c r="E14" s="96"/>
      <c r="F14" s="19">
        <v>15</v>
      </c>
      <c r="G14" s="94">
        <v>0</v>
      </c>
      <c r="H14" s="96"/>
      <c r="I14" s="94">
        <v>15</v>
      </c>
      <c r="J14" s="96"/>
      <c r="K14" s="13">
        <v>15</v>
      </c>
    </row>
    <row r="15" spans="1:11" s="6" customFormat="1" ht="15" customHeight="1" x14ac:dyDescent="0.2">
      <c r="A15" s="14" t="s">
        <v>20</v>
      </c>
      <c r="B15" s="94" t="s">
        <v>19</v>
      </c>
      <c r="C15" s="95"/>
      <c r="D15" s="95"/>
      <c r="E15" s="96"/>
      <c r="F15" s="19"/>
      <c r="G15" s="94">
        <v>2</v>
      </c>
      <c r="H15" s="96"/>
      <c r="I15" s="94">
        <v>13</v>
      </c>
      <c r="J15" s="96"/>
      <c r="K15" s="13">
        <v>13</v>
      </c>
    </row>
    <row r="16" spans="1:11" s="6" customFormat="1" ht="15" customHeight="1" x14ac:dyDescent="0.2">
      <c r="A16" s="14" t="s">
        <v>21</v>
      </c>
      <c r="B16" s="94" t="s">
        <v>19</v>
      </c>
      <c r="C16" s="95"/>
      <c r="D16" s="95"/>
      <c r="E16" s="96"/>
      <c r="F16" s="19"/>
      <c r="G16" s="94">
        <v>1</v>
      </c>
      <c r="H16" s="96"/>
      <c r="I16" s="94">
        <v>12</v>
      </c>
      <c r="J16" s="96"/>
      <c r="K16" s="20">
        <v>12</v>
      </c>
    </row>
    <row r="17" spans="1:11" s="6" customFormat="1" ht="15" customHeight="1" x14ac:dyDescent="0.2">
      <c r="A17" s="12" t="s">
        <v>22</v>
      </c>
      <c r="B17" s="94" t="s">
        <v>19</v>
      </c>
      <c r="C17" s="95"/>
      <c r="D17" s="95"/>
      <c r="E17" s="96"/>
      <c r="F17" s="19"/>
      <c r="G17" s="94">
        <v>1</v>
      </c>
      <c r="H17" s="96"/>
      <c r="I17" s="94">
        <v>11</v>
      </c>
      <c r="J17" s="96"/>
      <c r="K17" s="20">
        <v>11</v>
      </c>
    </row>
    <row r="18" spans="1:11" s="61" customFormat="1" ht="15" hidden="1" customHeight="1" x14ac:dyDescent="0.2">
      <c r="A18" s="58" t="s">
        <v>24</v>
      </c>
      <c r="B18" s="83" t="s">
        <v>19</v>
      </c>
      <c r="C18" s="84"/>
      <c r="D18" s="84"/>
      <c r="E18" s="85"/>
      <c r="F18" s="59"/>
      <c r="G18" s="83">
        <v>1</v>
      </c>
      <c r="H18" s="85"/>
      <c r="I18" s="83">
        <v>10</v>
      </c>
      <c r="J18" s="85"/>
      <c r="K18" s="60">
        <v>10</v>
      </c>
    </row>
    <row r="19" spans="1:11" s="61" customFormat="1" ht="15" hidden="1" customHeight="1" x14ac:dyDescent="0.2">
      <c r="A19" s="58" t="s">
        <v>25</v>
      </c>
      <c r="B19" s="83" t="s">
        <v>19</v>
      </c>
      <c r="C19" s="84"/>
      <c r="D19" s="84"/>
      <c r="E19" s="85"/>
      <c r="F19" s="59"/>
      <c r="G19" s="83">
        <v>2</v>
      </c>
      <c r="H19" s="85"/>
      <c r="I19" s="83">
        <v>8</v>
      </c>
      <c r="J19" s="85"/>
      <c r="K19" s="60">
        <v>8</v>
      </c>
    </row>
    <row r="20" spans="1:11" ht="75.75" customHeight="1" x14ac:dyDescent="0.25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</row>
    <row r="21" spans="1:11" s="1" customFormat="1" x14ac:dyDescent="0.25">
      <c r="C21" s="5"/>
    </row>
    <row r="22" spans="1:11" s="1" customFormat="1" x14ac:dyDescent="0.25">
      <c r="C22" s="5"/>
    </row>
  </sheetData>
  <mergeCells count="35">
    <mergeCell ref="A20:K20"/>
    <mergeCell ref="G14:H14"/>
    <mergeCell ref="I14:J14"/>
    <mergeCell ref="B15:E15"/>
    <mergeCell ref="G15:H15"/>
    <mergeCell ref="I15:J15"/>
    <mergeCell ref="B14:E14"/>
    <mergeCell ref="B17:E17"/>
    <mergeCell ref="G17:H17"/>
    <mergeCell ref="I17:J17"/>
    <mergeCell ref="B18:E18"/>
    <mergeCell ref="G18:H18"/>
    <mergeCell ref="I18:J18"/>
    <mergeCell ref="C9:F9"/>
    <mergeCell ref="H9:J9"/>
    <mergeCell ref="H10:J10"/>
    <mergeCell ref="A11:K11"/>
    <mergeCell ref="A12:A13"/>
    <mergeCell ref="B12:J12"/>
    <mergeCell ref="K12:K13"/>
    <mergeCell ref="A2:K2"/>
    <mergeCell ref="A3:K3"/>
    <mergeCell ref="A4:K4"/>
    <mergeCell ref="A5:K5"/>
    <mergeCell ref="C8:F8"/>
    <mergeCell ref="H8:J8"/>
    <mergeCell ref="B13:E13"/>
    <mergeCell ref="G13:H13"/>
    <mergeCell ref="I13:J13"/>
    <mergeCell ref="B19:E19"/>
    <mergeCell ref="G19:H19"/>
    <mergeCell ref="I19:J19"/>
    <mergeCell ref="B16:E16"/>
    <mergeCell ref="G16:H16"/>
    <mergeCell ref="I16:J16"/>
  </mergeCells>
  <phoneticPr fontId="4" type="noConversion"/>
  <pageMargins left="0.25" right="0.25" top="0.75" bottom="0.75" header="0.3" footer="0.3"/>
  <pageSetup paperSize="9" scale="107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5B73-06A1-4161-9171-FE9B3E6E668B}">
  <dimension ref="A1:G23"/>
  <sheetViews>
    <sheetView view="pageBreakPreview" zoomScaleNormal="100" workbookViewId="0">
      <selection activeCell="A19" sqref="A19"/>
    </sheetView>
  </sheetViews>
  <sheetFormatPr defaultColWidth="9" defaultRowHeight="15" x14ac:dyDescent="0.25"/>
  <cols>
    <col min="1" max="1" width="23.5703125" style="38" customWidth="1"/>
    <col min="2" max="2" width="18.85546875" style="38" customWidth="1"/>
    <col min="3" max="3" width="37.5703125" style="54" customWidth="1"/>
    <col min="4" max="4" width="11.7109375" style="55" customWidth="1"/>
    <col min="5" max="5" width="11" style="38" customWidth="1"/>
    <col min="6" max="6" width="11.85546875" style="55" customWidth="1"/>
    <col min="7" max="7" width="22" style="38" customWidth="1"/>
    <col min="8" max="16384" width="9" style="38"/>
  </cols>
  <sheetData>
    <row r="1" spans="1:7" s="30" customFormat="1" ht="52.5" customHeight="1" x14ac:dyDescent="0.25">
      <c r="E1" s="31"/>
    </row>
    <row r="2" spans="1:7" s="30" customFormat="1" ht="10.5" customHeight="1" x14ac:dyDescent="0.25">
      <c r="A2" s="101" t="s">
        <v>3</v>
      </c>
      <c r="B2" s="101"/>
      <c r="C2" s="101"/>
      <c r="D2" s="101"/>
      <c r="E2" s="101"/>
      <c r="F2" s="101"/>
      <c r="G2" s="101"/>
    </row>
    <row r="3" spans="1:7" s="30" customFormat="1" ht="15.95" customHeight="1" x14ac:dyDescent="0.25">
      <c r="A3" s="101" t="s">
        <v>4</v>
      </c>
      <c r="B3" s="101"/>
      <c r="C3" s="101"/>
      <c r="D3" s="101"/>
      <c r="E3" s="101"/>
      <c r="F3" s="101"/>
      <c r="G3" s="101"/>
    </row>
    <row r="4" spans="1:7" s="30" customFormat="1" ht="15.95" customHeight="1" x14ac:dyDescent="0.25">
      <c r="A4" s="101" t="s">
        <v>5</v>
      </c>
      <c r="B4" s="101"/>
      <c r="C4" s="101"/>
      <c r="D4" s="101"/>
      <c r="E4" s="101"/>
      <c r="F4" s="101"/>
      <c r="G4" s="101"/>
    </row>
    <row r="5" spans="1:7" s="30" customFormat="1" ht="15.95" customHeight="1" x14ac:dyDescent="0.25">
      <c r="A5" s="101" t="s">
        <v>6</v>
      </c>
      <c r="B5" s="101"/>
      <c r="C5" s="101"/>
      <c r="D5" s="101"/>
      <c r="E5" s="101"/>
      <c r="F5" s="101"/>
      <c r="G5" s="101"/>
    </row>
    <row r="6" spans="1:7" s="30" customFormat="1" ht="8.25" customHeight="1" x14ac:dyDescent="0.25">
      <c r="E6" s="31"/>
    </row>
    <row r="7" spans="1:7" s="30" customFormat="1" ht="8.25" customHeight="1" x14ac:dyDescent="0.25">
      <c r="E7" s="31"/>
    </row>
    <row r="8" spans="1:7" s="30" customFormat="1" ht="17.25" customHeight="1" x14ac:dyDescent="0.25">
      <c r="A8" s="32" t="s">
        <v>54</v>
      </c>
      <c r="B8" s="32"/>
      <c r="C8" s="32" t="s">
        <v>42</v>
      </c>
      <c r="D8" s="33"/>
      <c r="E8" s="32" t="s">
        <v>43</v>
      </c>
      <c r="F8" s="33"/>
      <c r="G8" s="34"/>
    </row>
    <row r="9" spans="1:7" s="30" customFormat="1" ht="12" customHeight="1" x14ac:dyDescent="0.25">
      <c r="A9" s="35"/>
      <c r="B9" s="35"/>
      <c r="C9" s="36"/>
      <c r="E9" s="32" t="s">
        <v>44</v>
      </c>
      <c r="F9" s="37"/>
      <c r="G9" s="36"/>
    </row>
    <row r="10" spans="1:7" s="30" customFormat="1" ht="14.25" customHeight="1" x14ac:dyDescent="0.25">
      <c r="A10" s="32" t="s">
        <v>45</v>
      </c>
      <c r="B10" s="32"/>
      <c r="C10" s="32" t="s">
        <v>46</v>
      </c>
      <c r="D10" s="33"/>
      <c r="E10" s="32" t="s">
        <v>47</v>
      </c>
      <c r="F10" s="33"/>
      <c r="G10" s="34"/>
    </row>
    <row r="11" spans="1:7" s="30" customFormat="1" ht="12" customHeight="1" thickBot="1" x14ac:dyDescent="0.3">
      <c r="A11" s="34"/>
      <c r="B11" s="34"/>
      <c r="C11" s="34"/>
      <c r="F11" s="33"/>
      <c r="G11" s="34"/>
    </row>
    <row r="12" spans="1:7" ht="23.25" customHeight="1" thickBot="1" x14ac:dyDescent="0.3">
      <c r="A12" s="102" t="s">
        <v>48</v>
      </c>
      <c r="B12" s="103"/>
      <c r="C12" s="103"/>
      <c r="D12" s="103"/>
      <c r="E12" s="103"/>
      <c r="F12" s="103"/>
      <c r="G12" s="104"/>
    </row>
    <row r="13" spans="1:7" s="44" customFormat="1" ht="37.5" customHeight="1" thickBot="1" x14ac:dyDescent="0.25">
      <c r="A13" s="39" t="s">
        <v>49</v>
      </c>
      <c r="B13" s="40" t="s">
        <v>50</v>
      </c>
      <c r="C13" s="41" t="s">
        <v>51</v>
      </c>
      <c r="D13" s="41" t="s">
        <v>9</v>
      </c>
      <c r="E13" s="42" t="s">
        <v>10</v>
      </c>
      <c r="F13" s="42" t="s">
        <v>8</v>
      </c>
      <c r="G13" s="43" t="s">
        <v>2</v>
      </c>
    </row>
    <row r="14" spans="1:7" s="44" customFormat="1" ht="15.75" customHeight="1" x14ac:dyDescent="0.2">
      <c r="A14" s="56" t="s">
        <v>55</v>
      </c>
      <c r="B14" s="57" t="s">
        <v>56</v>
      </c>
      <c r="C14" s="45" t="s">
        <v>57</v>
      </c>
      <c r="D14" s="46">
        <v>5</v>
      </c>
      <c r="E14" s="47">
        <v>0</v>
      </c>
      <c r="F14" s="47">
        <v>5</v>
      </c>
      <c r="G14" s="48">
        <v>5</v>
      </c>
    </row>
    <row r="15" spans="1:7" s="44" customFormat="1" ht="15.75" customHeight="1" x14ac:dyDescent="0.2">
      <c r="A15" s="56" t="s">
        <v>58</v>
      </c>
      <c r="B15" s="57" t="s">
        <v>56</v>
      </c>
      <c r="C15" s="49" t="s">
        <v>59</v>
      </c>
      <c r="D15" s="46">
        <v>5</v>
      </c>
      <c r="E15" s="47">
        <v>0</v>
      </c>
      <c r="F15" s="47">
        <v>5</v>
      </c>
      <c r="G15" s="48">
        <v>5</v>
      </c>
    </row>
    <row r="16" spans="1:7" s="44" customFormat="1" ht="15.75" customHeight="1" x14ac:dyDescent="0.2">
      <c r="A16" s="56" t="s">
        <v>60</v>
      </c>
      <c r="B16" s="57" t="s">
        <v>52</v>
      </c>
      <c r="C16" s="45" t="s">
        <v>53</v>
      </c>
      <c r="D16" s="46">
        <v>15</v>
      </c>
      <c r="E16" s="47">
        <v>4</v>
      </c>
      <c r="F16" s="47">
        <v>11</v>
      </c>
      <c r="G16" s="48">
        <v>11</v>
      </c>
    </row>
    <row r="17" spans="1:7" s="51" customFormat="1" ht="15.75" x14ac:dyDescent="0.2">
      <c r="A17" s="56" t="s">
        <v>61</v>
      </c>
      <c r="B17" s="50" t="s">
        <v>62</v>
      </c>
      <c r="C17" s="45" t="s">
        <v>63</v>
      </c>
      <c r="D17" s="46">
        <v>5</v>
      </c>
      <c r="E17" s="47">
        <v>0</v>
      </c>
      <c r="F17" s="47">
        <v>5</v>
      </c>
      <c r="G17" s="48">
        <v>5</v>
      </c>
    </row>
    <row r="18" spans="1:7" s="51" customFormat="1" ht="15.75" x14ac:dyDescent="0.2">
      <c r="A18" s="56" t="s">
        <v>64</v>
      </c>
      <c r="B18" s="50" t="s">
        <v>65</v>
      </c>
      <c r="C18" s="45" t="s">
        <v>66</v>
      </c>
      <c r="D18" s="46">
        <v>15</v>
      </c>
      <c r="E18" s="47">
        <v>0</v>
      </c>
      <c r="F18" s="47">
        <v>15</v>
      </c>
      <c r="G18" s="48">
        <v>15</v>
      </c>
    </row>
    <row r="19" spans="1:7" s="51" customFormat="1" ht="24" x14ac:dyDescent="0.2">
      <c r="A19" s="56" t="s">
        <v>67</v>
      </c>
      <c r="B19" s="50" t="s">
        <v>68</v>
      </c>
      <c r="C19" s="45" t="s">
        <v>69</v>
      </c>
      <c r="D19" s="46">
        <v>11</v>
      </c>
      <c r="E19" s="47">
        <v>0</v>
      </c>
      <c r="F19" s="47">
        <v>11</v>
      </c>
      <c r="G19" s="48">
        <v>11</v>
      </c>
    </row>
    <row r="20" spans="1:7" s="51" customFormat="1" ht="15.75" x14ac:dyDescent="0.2">
      <c r="A20" s="98" t="s">
        <v>2</v>
      </c>
      <c r="B20" s="99"/>
      <c r="C20" s="99"/>
      <c r="D20" s="99"/>
      <c r="E20" s="99"/>
      <c r="F20" s="100"/>
      <c r="G20" s="52" t="s">
        <v>75</v>
      </c>
    </row>
    <row r="21" spans="1:7" s="30" customFormat="1" ht="75.75" customHeight="1" x14ac:dyDescent="0.25">
      <c r="A21" s="53"/>
      <c r="B21" s="53"/>
      <c r="G21" s="53"/>
    </row>
    <row r="22" spans="1:7" s="30" customFormat="1" x14ac:dyDescent="0.25"/>
    <row r="23" spans="1:7" s="30" customFormat="1" x14ac:dyDescent="0.25"/>
  </sheetData>
  <mergeCells count="6">
    <mergeCell ref="A20:F20"/>
    <mergeCell ref="A2:G2"/>
    <mergeCell ref="A3:G3"/>
    <mergeCell ref="A4:G4"/>
    <mergeCell ref="A5:G5"/>
    <mergeCell ref="A12:G12"/>
  </mergeCells>
  <phoneticPr fontId="4" type="noConversion"/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 (2)</vt:lpstr>
      <vt:lpstr>VSC</vt:lpstr>
      <vt:lpstr>CONVERTED VSC</vt:lpstr>
      <vt:lpstr>'CONVERTED VSC'!Print_Area</vt:lpstr>
      <vt:lpstr>'Leave Card (NE) (2)'!Print_Area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2025-09-05T03:02:10Z</cp:lastPrinted>
  <dcterms:created xsi:type="dcterms:W3CDTF">2021-10-07T06:10:16Z</dcterms:created>
  <dcterms:modified xsi:type="dcterms:W3CDTF">2025-10-17T01:33:19Z</dcterms:modified>
</cp:coreProperties>
</file>