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3BC9459E-4FBD-45FC-A227-A6595C801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Other types of leave" sheetId="9" r:id="rId2"/>
    <sheet name="CTO" sheetId="10" r:id="rId3"/>
  </sheets>
  <definedNames>
    <definedName name="_xlnm.Print_Area" localSheetId="0">'Leave Card (NE)'!$A$1:$J$51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6" l="1"/>
  <c r="H44" i="6" s="1"/>
  <c r="I43" i="6"/>
  <c r="I44" i="6" s="1"/>
  <c r="J43" i="6"/>
  <c r="J44" i="6" l="1"/>
  <c r="J16" i="10"/>
  <c r="J14" i="10" l="1"/>
  <c r="I14" i="6" l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H14" i="6"/>
  <c r="H15" i="6" s="1"/>
  <c r="H16" i="6" s="1"/>
  <c r="H17" i="6" s="1"/>
  <c r="H18" i="6" s="1"/>
  <c r="J18" i="6" l="1"/>
  <c r="H19" i="6"/>
  <c r="J17" i="6"/>
  <c r="J14" i="6"/>
  <c r="J15" i="6"/>
  <c r="H20" i="6" l="1"/>
  <c r="J19" i="6"/>
  <c r="J16" i="6"/>
  <c r="H21" i="6" l="1"/>
  <c r="J20" i="6"/>
  <c r="H22" i="6" l="1"/>
  <c r="J21" i="6"/>
  <c r="H23" i="6" l="1"/>
  <c r="J22" i="6"/>
  <c r="H24" i="6" l="1"/>
  <c r="J23" i="6"/>
  <c r="H25" i="6" l="1"/>
  <c r="J24" i="6"/>
  <c r="H26" i="6" l="1"/>
  <c r="J25" i="6"/>
  <c r="J26" i="6" l="1"/>
  <c r="H27" i="6"/>
  <c r="J27" i="6" l="1"/>
  <c r="H28" i="6"/>
  <c r="J28" i="6" l="1"/>
  <c r="H29" i="6"/>
  <c r="J29" i="6" l="1"/>
  <c r="H30" i="6"/>
  <c r="J30" i="6" l="1"/>
  <c r="H31" i="6"/>
  <c r="J31" i="6" l="1"/>
  <c r="H32" i="6"/>
  <c r="J32" i="6" l="1"/>
  <c r="H33" i="6"/>
  <c r="J33" i="6" l="1"/>
  <c r="H34" i="6"/>
  <c r="J34" i="6" l="1"/>
  <c r="H35" i="6"/>
  <c r="J35" i="6" l="1"/>
  <c r="H36" i="6"/>
  <c r="J36" i="6" l="1"/>
  <c r="H37" i="6"/>
  <c r="J37" i="6" l="1"/>
  <c r="H38" i="6"/>
  <c r="J38" i="6" l="1"/>
  <c r="H39" i="6"/>
  <c r="J39" i="6" l="1"/>
  <c r="H40" i="6"/>
  <c r="J40" i="6" l="1"/>
  <c r="H41" i="6"/>
  <c r="J41" i="6" l="1"/>
  <c r="H42" i="6"/>
  <c r="J42" i="6" s="1"/>
</calcChain>
</file>

<file path=xl/sharedStrings.xml><?xml version="1.0" encoding="utf-8"?>
<sst xmlns="http://schemas.openxmlformats.org/spreadsheetml/2006/main" count="120" uniqueCount="92">
  <si>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</si>
  <si>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</si>
  <si>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</si>
  <si>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</si>
  <si>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</si>
  <si>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</si>
  <si>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</si>
  <si>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</si>
  <si>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</si>
  <si>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</si>
  <si>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</si>
  <si>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</si>
  <si>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</si>
  <si>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</si>
  <si>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</si>
  <si>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LESS: 12/16/2021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</si>
  <si>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</si>
  <si>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</si>
  <si>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</si>
  <si>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</si>
  <si>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</si>
  <si>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</si>
  <si>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</si>
  <si>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</si>
  <si>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</si>
  <si>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</si>
  <si>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</si>
  <si>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</si>
  <si>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</si>
  <si>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</si>
  <si>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</si>
  <si>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</si>
  <si>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</si>
  <si>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</si>
  <si>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05/27/2022</t>
  </si>
  <si>
    <t>LESS: 09/14/2022</t>
  </si>
  <si>
    <t>LESS: 01/05-06/22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</si>
  <si>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</si>
  <si>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</si>
  <si>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</si>
  <si>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</si>
  <si>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</si>
  <si>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</si>
  <si>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</si>
  <si>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</si>
  <si>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SPECIAL PRIVILEGE LEAVE</t>
  </si>
  <si>
    <t>LESS: 12/23/2022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</si>
  <si>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</si>
  <si>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</si>
  <si>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</si>
  <si>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</si>
  <si>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</si>
  <si>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</si>
  <si>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</si>
  <si>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NOTE:  Valid for one (1) year only</t>
  </si>
  <si>
    <t>LESS: 01/20/23</t>
  </si>
  <si>
    <t>ADD: JAN 18, 2023</t>
  </si>
  <si>
    <t>S.O. # 001, S. 2023. 126TH ANNIVERSARY OF THE MARTYRDOM OF DR. JOSE P. RIZAL</t>
  </si>
  <si>
    <t>LESS: 06/29/23</t>
  </si>
  <si>
    <t>DATE OF ORIGINAL APPOINTMENT: APRIL 11, 2023</t>
  </si>
  <si>
    <t>ADD: 4/11/2023 - 4/30/2023</t>
  </si>
  <si>
    <t>ADD: 5/01/2023 - 6/30/2023</t>
  </si>
  <si>
    <t>LESS: 06/26/2023</t>
  </si>
  <si>
    <t>LESS: 01/18,19/2024</t>
  </si>
  <si>
    <t>ADD: 01/1/2024-03/31/2024</t>
  </si>
  <si>
    <t>LESS: 04/17/2024</t>
  </si>
  <si>
    <t>ADD: 04/1/2024-06/30/2024</t>
  </si>
  <si>
    <t>LESS: 06/28/2024</t>
  </si>
  <si>
    <t>ADD: 07/1-31/2024</t>
  </si>
  <si>
    <t xml:space="preserve">               HRMO</t>
  </si>
  <si>
    <t>ADD: 7/01/2023-12/31/2023</t>
  </si>
  <si>
    <t>LESS: 08/22/2024</t>
  </si>
  <si>
    <t>ADD: 08/1/2024-10/31/2024</t>
  </si>
  <si>
    <t>LESS: 11/21-22/2024</t>
  </si>
  <si>
    <t>ADD: 11/1-30/2024</t>
  </si>
  <si>
    <t>LESS: 12/18, 26, 27/2024</t>
  </si>
  <si>
    <t>ADD: 12/1-31/2024</t>
  </si>
  <si>
    <t>LESS: 01/7-9/2025</t>
  </si>
  <si>
    <t>LESS: 01/20/2025</t>
  </si>
  <si>
    <t>ADD: 1/1-31/2025</t>
  </si>
  <si>
    <t>LESS: 02/10-11/2025</t>
  </si>
  <si>
    <t>ADD: 02/1-28/2025</t>
  </si>
  <si>
    <t>LESS: 03/4-5/2025</t>
  </si>
  <si>
    <t>ADD: 03/1/2025-04/30/2025</t>
  </si>
  <si>
    <t>LESS: 05/15/2025</t>
  </si>
  <si>
    <t>ADD: 05/1/2025-06/30/2025</t>
  </si>
  <si>
    <t>LESS: FL 2023</t>
  </si>
  <si>
    <t>LESS: MONETIZATION 2025 (30 DAYS)</t>
  </si>
  <si>
    <t>LESS: 06/25-26/2025</t>
  </si>
  <si>
    <t>LESS: 07/24-25/2025</t>
  </si>
  <si>
    <t>ADD: 07/1-31/2025</t>
  </si>
  <si>
    <t>LESS: 08/19, 20,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</si>
</sst>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0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5" fillId="2" borderId="0" xfId="2" applyFill="1"/>
    <xf numFmtId="0" fontId="1" fillId="2" borderId="0" xfId="2" applyFont="1" applyFill="1" applyAlignment="1">
      <alignment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0" xfId="2" applyFont="1" applyFill="1"/>
    <xf numFmtId="0" fontId="1" fillId="2" borderId="4" xfId="2" applyFont="1" applyFill="1" applyBorder="1" applyAlignment="1">
      <alignment vertical="center"/>
    </xf>
    <xf numFmtId="0" fontId="15" fillId="0" borderId="0" xfId="2"/>
    <xf numFmtId="0" fontId="12" fillId="0" borderId="0" xfId="2" applyFont="1"/>
    <xf numFmtId="0" fontId="15" fillId="2" borderId="6" xfId="2" applyFill="1" applyBorder="1" applyAlignment="1">
      <alignment horizontal="center" vertical="center" wrapText="1"/>
    </xf>
    <xf numFmtId="0" fontId="15" fillId="2" borderId="2" xfId="2" applyFill="1" applyBorder="1" applyAlignment="1">
      <alignment horizontal="center" vertical="center" wrapText="1"/>
    </xf>
    <xf numFmtId="0" fontId="15" fillId="13" borderId="2" xfId="2" applyFill="1" applyBorder="1" applyAlignment="1">
      <alignment horizontal="center" vertical="center" wrapText="1"/>
    </xf>
    <xf numFmtId="0" fontId="13" fillId="0" borderId="0" xfId="2" applyFont="1"/>
    <xf numFmtId="0" fontId="15" fillId="0" borderId="0" xfId="2" applyAlignment="1">
      <alignment vertical="center"/>
    </xf>
    <xf numFmtId="0" fontId="11" fillId="2" borderId="0" xfId="2" applyFont="1" applyFill="1" applyAlignment="1">
      <alignment horizontal="center" vertical="center" wrapText="1"/>
    </xf>
    <xf numFmtId="0" fontId="15" fillId="2" borderId="0" xfId="2" applyFill="1" applyAlignment="1">
      <alignment horizontal="center" vertical="center" wrapText="1"/>
    </xf>
    <xf numFmtId="0" fontId="15" fillId="2" borderId="0" xfId="2" applyFill="1" applyAlignment="1">
      <alignment horizontal="center"/>
    </xf>
    <xf numFmtId="0" fontId="0" fillId="2" borderId="6" xfId="2" applyFont="1" applyFill="1" applyBorder="1" applyAlignment="1">
      <alignment horizontal="center" vertical="center" wrapText="1"/>
    </xf>
    <xf numFmtId="0" fontId="7" fillId="0" borderId="0" xfId="2" applyFont="1"/>
    <xf numFmtId="0" fontId="6" fillId="0" borderId="0" xfId="2" applyFont="1"/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7" fillId="2" borderId="0" xfId="0" applyFont="1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14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0" borderId="0" xfId="2" applyAlignment="1">
      <alignment horizontal="center"/>
    </xf>
    <xf numFmtId="0" fontId="15" fillId="0" borderId="0" xfId="2" applyAlignment="1">
      <alignment horizontal="center" vertical="center"/>
    </xf>
    <xf numFmtId="0" fontId="11" fillId="2" borderId="15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center" vertical="center" wrapText="1"/>
    </xf>
    <xf numFmtId="0" fontId="11" fillId="2" borderId="16" xfId="2" applyFont="1" applyFill="1" applyBorder="1" applyAlignment="1">
      <alignment horizontal="center"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6" xfId="2" applyFont="1" applyFill="1" applyBorder="1" applyAlignment="1">
      <alignment horizontal="center" vertical="center" wrapText="1"/>
    </xf>
    <xf numFmtId="0" fontId="13" fillId="2" borderId="0" xfId="2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1" fillId="10" borderId="15" xfId="2" applyFont="1" applyFill="1" applyBorder="1" applyAlignment="1">
      <alignment horizontal="center" vertical="center" wrapText="1"/>
    </xf>
    <xf numFmtId="0" fontId="11" fillId="10" borderId="16" xfId="2" applyFont="1" applyFill="1" applyBorder="1" applyAlignment="1">
      <alignment horizontal="center" vertical="center" wrapText="1"/>
    </xf>
    <xf numFmtId="0" fontId="10" fillId="11" borderId="5" xfId="2" applyFont="1" applyFill="1" applyBorder="1" applyAlignment="1">
      <alignment horizontal="center" vertical="center"/>
    </xf>
    <xf numFmtId="0" fontId="10" fillId="11" borderId="6" xfId="2" applyFont="1" applyFill="1" applyBorder="1" applyAlignment="1">
      <alignment horizontal="center" vertical="center"/>
    </xf>
    <xf numFmtId="0" fontId="10" fillId="12" borderId="9" xfId="2" applyFont="1" applyFill="1" applyBorder="1" applyAlignment="1">
      <alignment horizontal="center" vertical="center"/>
    </xf>
    <xf numFmtId="0" fontId="10" fillId="12" borderId="10" xfId="2" applyFont="1" applyFill="1" applyBorder="1" applyAlignment="1">
      <alignment horizontal="center" vertical="center"/>
    </xf>
    <xf numFmtId="0" fontId="10" fillId="11" borderId="8" xfId="2" applyFont="1" applyFill="1" applyBorder="1" applyAlignment="1">
      <alignment horizontal="center" vertical="center"/>
    </xf>
    <xf numFmtId="0" fontId="10" fillId="11" borderId="3" xfId="2" applyFont="1" applyFill="1" applyBorder="1" applyAlignment="1">
      <alignment horizontal="center" vertical="center"/>
    </xf>
    <xf numFmtId="0" fontId="11" fillId="10" borderId="12" xfId="2" applyFont="1" applyFill="1" applyBorder="1" applyAlignment="1">
      <alignment horizontal="center" vertical="center" wrapText="1"/>
    </xf>
    <xf numFmtId="0" fontId="16" fillId="2" borderId="12" xfId="2" applyFont="1" applyFill="1" applyBorder="1" applyAlignment="1">
      <alignment horizontal="center" vertical="center" wrapText="1"/>
    </xf>
    <xf numFmtId="0" fontId="15" fillId="2" borderId="0" xfId="2" applyFill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311394</xdr:colOff>
      <xdr:row>0</xdr:row>
      <xdr:rowOff>19049</xdr:rowOff>
    </xdr:from>
    <xdr:to>
      <xdr:col>4</xdr:col>
      <xdr:colOff>299183</xdr:colOff>
      <xdr:row>0</xdr:row>
      <xdr:rowOff>659423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2692" y="19049"/>
          <a:ext cx="799856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CARLOTA, PEARL JOY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6</xdr:col>
      <xdr:colOff>340591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838420" y="1705286"/>
          <a:ext cx="3181216" cy="247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 - CAMINDANGAN EXT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 B.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5561F-51AF-446C-820D-8A445AE931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38FC17-1BC8-4FDC-AA37-DF3D52AC959F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ACUHIDO, ELIZA B.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E2C725-C07B-42AF-A638-53A355D8B64B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537473-47E9-4448-8039-E7FCA550A933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view="pageBreakPreview" topLeftCell="A22" zoomScale="110" zoomScaleNormal="100" zoomScaleSheetLayoutView="110" workbookViewId="0">
      <selection activeCell="A43" sqref="A43:XFD43"/>
    </sheetView>
  </sheetViews>
  <sheetFormatPr defaultRowHeight="15" x14ac:dyDescent="0.25"/>
  <cols>
    <col min="1" max="1" width="37.42578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7" t="s">
        <v>11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s="1" customFormat="1" ht="15.95" customHeight="1" x14ac:dyDescent="0.25">
      <c r="A3" s="67" t="s">
        <v>12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s="1" customFormat="1" ht="15.95" customHeight="1" x14ac:dyDescent="0.25">
      <c r="A4" s="67" t="s">
        <v>13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s="1" customFormat="1" ht="15.95" customHeight="1" x14ac:dyDescent="0.25">
      <c r="A5" s="67" t="s">
        <v>14</v>
      </c>
      <c r="B5" s="67"/>
      <c r="C5" s="67"/>
      <c r="D5" s="67"/>
      <c r="E5" s="67"/>
      <c r="F5" s="67"/>
      <c r="G5" s="67"/>
      <c r="H5" s="67"/>
      <c r="I5" s="67"/>
      <c r="J5" s="67"/>
    </row>
    <row r="6" spans="1:10" s="1" customFormat="1" ht="8.25" customHeight="1" x14ac:dyDescent="0.25"/>
    <row r="7" spans="1:10" s="1" customFormat="1" ht="12" customHeight="1" x14ac:dyDescent="0.25">
      <c r="A7" s="1" t="s">
        <v>37</v>
      </c>
      <c r="B7" s="65" t="s">
        <v>39</v>
      </c>
      <c r="C7" s="65"/>
      <c r="D7" s="65"/>
      <c r="H7" s="3" t="s">
        <v>9</v>
      </c>
      <c r="I7" s="35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38</v>
      </c>
      <c r="B9" s="65" t="s">
        <v>40</v>
      </c>
      <c r="C9" s="65"/>
      <c r="D9" s="65"/>
      <c r="H9" s="3" t="s">
        <v>10</v>
      </c>
      <c r="I9" s="4"/>
      <c r="J9" s="3"/>
    </row>
    <row r="10" spans="1:10" ht="16.5" customHeight="1" thickBot="1" x14ac:dyDescent="0.3">
      <c r="A10" s="78" t="s">
        <v>0</v>
      </c>
      <c r="B10" s="78"/>
      <c r="C10" s="78"/>
      <c r="D10" s="78"/>
      <c r="E10" s="78"/>
      <c r="F10" s="78"/>
      <c r="G10" s="78"/>
      <c r="H10" s="78"/>
      <c r="I10" s="78"/>
      <c r="J10" s="78"/>
    </row>
    <row r="11" spans="1:10" s="6" customFormat="1" ht="18.75" customHeight="1" x14ac:dyDescent="0.2">
      <c r="A11" s="68" t="s">
        <v>4</v>
      </c>
      <c r="B11" s="72" t="s">
        <v>5</v>
      </c>
      <c r="C11" s="73"/>
      <c r="D11" s="74" t="s">
        <v>6</v>
      </c>
      <c r="E11" s="75"/>
      <c r="F11" s="75"/>
      <c r="G11" s="33"/>
      <c r="H11" s="76" t="s">
        <v>7</v>
      </c>
      <c r="I11" s="77"/>
      <c r="J11" s="70" t="s">
        <v>8</v>
      </c>
    </row>
    <row r="12" spans="1:10" s="6" customFormat="1" ht="51" customHeight="1" x14ac:dyDescent="0.2">
      <c r="A12" s="69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4" t="s">
        <v>45</v>
      </c>
      <c r="H12" s="14" t="s">
        <v>1</v>
      </c>
      <c r="I12" s="17" t="s">
        <v>2</v>
      </c>
      <c r="J12" s="71"/>
    </row>
    <row r="13" spans="1:10" s="6" customFormat="1" ht="18.75" customHeight="1" x14ac:dyDescent="0.2">
      <c r="A13" s="79" t="s">
        <v>59</v>
      </c>
      <c r="B13" s="80"/>
      <c r="C13" s="80"/>
      <c r="D13" s="80"/>
      <c r="E13" s="80"/>
      <c r="F13" s="80"/>
      <c r="G13" s="80"/>
      <c r="H13" s="80"/>
      <c r="I13" s="80"/>
      <c r="J13" s="81"/>
    </row>
    <row r="14" spans="1:10" s="6" customFormat="1" ht="15.95" customHeight="1" x14ac:dyDescent="0.2">
      <c r="A14" s="8" t="s">
        <v>60</v>
      </c>
      <c r="B14" s="13">
        <v>0.83299999999999996</v>
      </c>
      <c r="C14" s="13">
        <v>0.83299999999999996</v>
      </c>
      <c r="D14" s="13"/>
      <c r="E14" s="13"/>
      <c r="F14" s="13"/>
      <c r="G14" s="13"/>
      <c r="H14" s="13">
        <f>B14</f>
        <v>0.83299999999999996</v>
      </c>
      <c r="I14" s="13">
        <f>C14</f>
        <v>0.83299999999999996</v>
      </c>
      <c r="J14" s="54">
        <f t="shared" ref="J14:J17" si="0">H14+I14</f>
        <v>1.6659999999999999</v>
      </c>
    </row>
    <row r="15" spans="1:10" s="5" customFormat="1" ht="15.95" customHeight="1" x14ac:dyDescent="0.2">
      <c r="A15" s="10" t="s">
        <v>61</v>
      </c>
      <c r="B15" s="13">
        <v>2.5</v>
      </c>
      <c r="C15" s="13">
        <v>2.5</v>
      </c>
      <c r="D15" s="13"/>
      <c r="E15" s="13"/>
      <c r="F15" s="13"/>
      <c r="G15" s="13"/>
      <c r="H15" s="13">
        <f>H14-F15-D15+B15</f>
        <v>3.3330000000000002</v>
      </c>
      <c r="I15" s="13">
        <f>I14-E15+C15</f>
        <v>3.3330000000000002</v>
      </c>
      <c r="J15" s="54">
        <f t="shared" si="0"/>
        <v>6.6660000000000004</v>
      </c>
    </row>
    <row r="16" spans="1:10" s="5" customFormat="1" ht="15.95" customHeight="1" x14ac:dyDescent="0.2">
      <c r="A16" s="10" t="s">
        <v>62</v>
      </c>
      <c r="B16" s="13"/>
      <c r="C16" s="13"/>
      <c r="D16" s="13"/>
      <c r="E16" s="13">
        <v>1</v>
      </c>
      <c r="F16" s="13"/>
      <c r="G16" s="13"/>
      <c r="H16" s="13">
        <f t="shared" ref="H16:H17" si="1">H15-F16-D16+B16</f>
        <v>3.3330000000000002</v>
      </c>
      <c r="I16" s="13">
        <f t="shared" ref="I16:I17" si="2">I15-E16+C16</f>
        <v>2.3330000000000002</v>
      </c>
      <c r="J16" s="55">
        <f t="shared" si="0"/>
        <v>5.6660000000000004</v>
      </c>
    </row>
    <row r="17" spans="1:10" s="5" customFormat="1" ht="15.95" customHeight="1" x14ac:dyDescent="0.2">
      <c r="A17" s="10" t="s">
        <v>70</v>
      </c>
      <c r="B17" s="13">
        <v>7.5</v>
      </c>
      <c r="C17" s="13">
        <v>7.5</v>
      </c>
      <c r="D17" s="13"/>
      <c r="E17" s="13"/>
      <c r="F17" s="13"/>
      <c r="G17" s="13"/>
      <c r="H17" s="13">
        <f t="shared" si="1"/>
        <v>10.833</v>
      </c>
      <c r="I17" s="13">
        <f t="shared" si="2"/>
        <v>9.8330000000000002</v>
      </c>
      <c r="J17" s="55">
        <f t="shared" si="0"/>
        <v>20.666</v>
      </c>
    </row>
    <row r="18" spans="1:10" s="5" customFormat="1" ht="15.95" customHeight="1" x14ac:dyDescent="0.2">
      <c r="A18" s="10" t="s">
        <v>86</v>
      </c>
      <c r="B18" s="13"/>
      <c r="C18" s="13"/>
      <c r="D18" s="13"/>
      <c r="E18" s="13"/>
      <c r="F18" s="13">
        <v>5</v>
      </c>
      <c r="G18" s="13"/>
      <c r="H18" s="13">
        <f t="shared" ref="H18:H39" si="3">H17-F18-D18+B18</f>
        <v>5.8330000000000002</v>
      </c>
      <c r="I18" s="13">
        <f t="shared" ref="I18:I39" si="4">I17-E18+C18</f>
        <v>9.8330000000000002</v>
      </c>
      <c r="J18" s="55">
        <f t="shared" ref="J18:J39" si="5">H18+I18</f>
        <v>15.666</v>
      </c>
    </row>
    <row r="19" spans="1:10" s="5" customFormat="1" ht="15.95" customHeight="1" x14ac:dyDescent="0.2">
      <c r="A19" s="8" t="s">
        <v>63</v>
      </c>
      <c r="B19" s="13"/>
      <c r="C19" s="13"/>
      <c r="D19" s="13"/>
      <c r="E19" s="13"/>
      <c r="F19" s="62">
        <v>2</v>
      </c>
      <c r="G19" s="62"/>
      <c r="H19" s="13">
        <f t="shared" si="3"/>
        <v>3.8330000000000002</v>
      </c>
      <c r="I19" s="13">
        <f t="shared" si="4"/>
        <v>9.8330000000000002</v>
      </c>
      <c r="J19" s="55">
        <f t="shared" si="5"/>
        <v>13.666</v>
      </c>
    </row>
    <row r="20" spans="1:10" s="5" customFormat="1" ht="15.95" customHeight="1" x14ac:dyDescent="0.2">
      <c r="A20" s="31" t="s">
        <v>64</v>
      </c>
      <c r="B20" s="13">
        <v>3.75</v>
      </c>
      <c r="C20" s="13">
        <v>3.75</v>
      </c>
      <c r="D20" s="13"/>
      <c r="E20" s="13"/>
      <c r="F20" s="62"/>
      <c r="G20" s="62"/>
      <c r="H20" s="13">
        <f t="shared" si="3"/>
        <v>7.5830000000000002</v>
      </c>
      <c r="I20" s="13">
        <f t="shared" si="4"/>
        <v>13.583</v>
      </c>
      <c r="J20" s="55">
        <f t="shared" si="5"/>
        <v>21.166</v>
      </c>
    </row>
    <row r="21" spans="1:10" s="5" customFormat="1" ht="15.95" customHeight="1" x14ac:dyDescent="0.2">
      <c r="A21" s="8" t="s">
        <v>65</v>
      </c>
      <c r="B21" s="13"/>
      <c r="C21" s="13"/>
      <c r="D21" s="13"/>
      <c r="E21" s="13"/>
      <c r="F21" s="62">
        <v>1</v>
      </c>
      <c r="G21" s="62"/>
      <c r="H21" s="13">
        <f t="shared" si="3"/>
        <v>6.5830000000000002</v>
      </c>
      <c r="I21" s="13">
        <f t="shared" si="4"/>
        <v>13.583</v>
      </c>
      <c r="J21" s="55">
        <f t="shared" si="5"/>
        <v>20.166</v>
      </c>
    </row>
    <row r="22" spans="1:10" s="5" customFormat="1" ht="15.95" customHeight="1" x14ac:dyDescent="0.2">
      <c r="A22" s="8" t="s">
        <v>66</v>
      </c>
      <c r="B22" s="13">
        <v>3.75</v>
      </c>
      <c r="C22" s="13">
        <v>3.75</v>
      </c>
      <c r="D22" s="13"/>
      <c r="E22" s="13"/>
      <c r="F22" s="62"/>
      <c r="G22" s="62"/>
      <c r="H22" s="13">
        <f t="shared" si="3"/>
        <v>10.333</v>
      </c>
      <c r="I22" s="13">
        <f t="shared" si="4"/>
        <v>17.332999999999998</v>
      </c>
      <c r="J22" s="55">
        <f t="shared" si="5"/>
        <v>27.665999999999997</v>
      </c>
    </row>
    <row r="23" spans="1:10" ht="15.95" customHeight="1" x14ac:dyDescent="0.25">
      <c r="A23" s="8" t="s">
        <v>67</v>
      </c>
      <c r="B23" s="13"/>
      <c r="C23" s="13"/>
      <c r="D23" s="32"/>
      <c r="E23" s="13">
        <v>1</v>
      </c>
      <c r="F23" s="63"/>
      <c r="G23" s="63"/>
      <c r="H23" s="13">
        <f t="shared" si="3"/>
        <v>10.333</v>
      </c>
      <c r="I23" s="13">
        <f t="shared" si="4"/>
        <v>16.332999999999998</v>
      </c>
      <c r="J23" s="55">
        <f t="shared" si="5"/>
        <v>26.665999999999997</v>
      </c>
    </row>
    <row r="24" spans="1:10" ht="15.95" customHeight="1" x14ac:dyDescent="0.25">
      <c r="A24" s="8" t="s">
        <v>68</v>
      </c>
      <c r="B24" s="13">
        <v>1.25</v>
      </c>
      <c r="C24" s="13">
        <v>1.25</v>
      </c>
      <c r="D24" s="32"/>
      <c r="E24" s="32"/>
      <c r="F24" s="63"/>
      <c r="G24" s="63"/>
      <c r="H24" s="13">
        <f t="shared" si="3"/>
        <v>11.583</v>
      </c>
      <c r="I24" s="13">
        <f t="shared" si="4"/>
        <v>17.582999999999998</v>
      </c>
      <c r="J24" s="55">
        <f t="shared" si="5"/>
        <v>29.165999999999997</v>
      </c>
    </row>
    <row r="25" spans="1:10" ht="15.95" customHeight="1" x14ac:dyDescent="0.25">
      <c r="A25" s="8" t="s">
        <v>71</v>
      </c>
      <c r="B25" s="13"/>
      <c r="C25" s="13"/>
      <c r="D25" s="32"/>
      <c r="E25" s="13">
        <v>1</v>
      </c>
      <c r="F25" s="63"/>
      <c r="G25" s="63"/>
      <c r="H25" s="13">
        <f t="shared" si="3"/>
        <v>11.583</v>
      </c>
      <c r="I25" s="13">
        <f t="shared" si="4"/>
        <v>16.582999999999998</v>
      </c>
      <c r="J25" s="55">
        <f t="shared" si="5"/>
        <v>28.165999999999997</v>
      </c>
    </row>
    <row r="26" spans="1:10" ht="15.95" customHeight="1" x14ac:dyDescent="0.25">
      <c r="A26" s="8" t="s">
        <v>72</v>
      </c>
      <c r="B26" s="13">
        <v>3.75</v>
      </c>
      <c r="C26" s="13">
        <v>3.75</v>
      </c>
      <c r="D26" s="32"/>
      <c r="E26" s="13"/>
      <c r="F26" s="63"/>
      <c r="G26" s="63"/>
      <c r="H26" s="13">
        <f t="shared" si="3"/>
        <v>15.333</v>
      </c>
      <c r="I26" s="13">
        <f t="shared" si="4"/>
        <v>20.332999999999998</v>
      </c>
      <c r="J26" s="55">
        <f t="shared" si="5"/>
        <v>35.665999999999997</v>
      </c>
    </row>
    <row r="27" spans="1:10" ht="15.95" customHeight="1" x14ac:dyDescent="0.25">
      <c r="A27" s="8" t="s">
        <v>73</v>
      </c>
      <c r="B27" s="13"/>
      <c r="C27" s="13"/>
      <c r="D27" s="32"/>
      <c r="E27" s="13"/>
      <c r="F27" s="62">
        <v>2</v>
      </c>
      <c r="G27" s="63"/>
      <c r="H27" s="13">
        <f t="shared" si="3"/>
        <v>13.333</v>
      </c>
      <c r="I27" s="13">
        <f t="shared" si="4"/>
        <v>20.332999999999998</v>
      </c>
      <c r="J27" s="55">
        <f t="shared" si="5"/>
        <v>33.665999999999997</v>
      </c>
    </row>
    <row r="28" spans="1:10" ht="15.95" customHeight="1" x14ac:dyDescent="0.25">
      <c r="A28" s="8" t="s">
        <v>74</v>
      </c>
      <c r="B28" s="13">
        <v>1.25</v>
      </c>
      <c r="C28" s="13">
        <v>1.25</v>
      </c>
      <c r="D28" s="32"/>
      <c r="E28" s="13"/>
      <c r="F28" s="62"/>
      <c r="G28" s="63"/>
      <c r="H28" s="13">
        <f t="shared" si="3"/>
        <v>14.583</v>
      </c>
      <c r="I28" s="13">
        <f t="shared" si="4"/>
        <v>21.582999999999998</v>
      </c>
      <c r="J28" s="55">
        <f t="shared" si="5"/>
        <v>36.165999999999997</v>
      </c>
    </row>
    <row r="29" spans="1:10" ht="15.95" customHeight="1" x14ac:dyDescent="0.25">
      <c r="A29" s="8" t="s">
        <v>75</v>
      </c>
      <c r="B29" s="13"/>
      <c r="C29" s="13"/>
      <c r="D29" s="32"/>
      <c r="E29" s="13"/>
      <c r="F29" s="62"/>
      <c r="G29" s="62">
        <v>3</v>
      </c>
      <c r="H29" s="13">
        <f t="shared" si="3"/>
        <v>14.583</v>
      </c>
      <c r="I29" s="13">
        <f t="shared" si="4"/>
        <v>21.582999999999998</v>
      </c>
      <c r="J29" s="55">
        <f t="shared" si="5"/>
        <v>36.165999999999997</v>
      </c>
    </row>
    <row r="30" spans="1:10" ht="15.95" customHeight="1" x14ac:dyDescent="0.25">
      <c r="A30" s="31" t="s">
        <v>76</v>
      </c>
      <c r="B30" s="62">
        <v>1.25</v>
      </c>
      <c r="C30" s="62">
        <v>1.25</v>
      </c>
      <c r="D30" s="63"/>
      <c r="E30" s="62"/>
      <c r="F30" s="62"/>
      <c r="G30" s="62"/>
      <c r="H30" s="13">
        <f t="shared" si="3"/>
        <v>15.833</v>
      </c>
      <c r="I30" s="13">
        <f t="shared" si="4"/>
        <v>22.832999999999998</v>
      </c>
      <c r="J30" s="55">
        <f t="shared" si="5"/>
        <v>38.665999999999997</v>
      </c>
    </row>
    <row r="31" spans="1:10" ht="15.95" customHeight="1" x14ac:dyDescent="0.25">
      <c r="A31" s="31" t="s">
        <v>77</v>
      </c>
      <c r="B31" s="62"/>
      <c r="C31" s="62"/>
      <c r="D31" s="63"/>
      <c r="E31" s="62">
        <v>3</v>
      </c>
      <c r="F31" s="62"/>
      <c r="G31" s="62"/>
      <c r="H31" s="13">
        <f t="shared" si="3"/>
        <v>15.833</v>
      </c>
      <c r="I31" s="13">
        <f t="shared" si="4"/>
        <v>19.832999999999998</v>
      </c>
      <c r="J31" s="55">
        <f t="shared" si="5"/>
        <v>35.665999999999997</v>
      </c>
    </row>
    <row r="32" spans="1:10" ht="15.95" customHeight="1" x14ac:dyDescent="0.25">
      <c r="A32" s="31" t="s">
        <v>78</v>
      </c>
      <c r="B32" s="62"/>
      <c r="C32" s="62"/>
      <c r="D32" s="63"/>
      <c r="E32" s="62">
        <v>1</v>
      </c>
      <c r="F32" s="62"/>
      <c r="G32" s="62"/>
      <c r="H32" s="13">
        <f t="shared" si="3"/>
        <v>15.833</v>
      </c>
      <c r="I32" s="13">
        <f t="shared" si="4"/>
        <v>18.832999999999998</v>
      </c>
      <c r="J32" s="55">
        <f t="shared" si="5"/>
        <v>34.665999999999997</v>
      </c>
    </row>
    <row r="33" spans="1:10" ht="15.95" customHeight="1" x14ac:dyDescent="0.25">
      <c r="A33" s="31" t="s">
        <v>79</v>
      </c>
      <c r="B33" s="62">
        <v>1.25</v>
      </c>
      <c r="C33" s="62">
        <v>1.25</v>
      </c>
      <c r="D33" s="63"/>
      <c r="E33" s="62"/>
      <c r="F33" s="62"/>
      <c r="G33" s="62"/>
      <c r="H33" s="13">
        <f t="shared" si="3"/>
        <v>17.082999999999998</v>
      </c>
      <c r="I33" s="13">
        <f t="shared" si="4"/>
        <v>20.082999999999998</v>
      </c>
      <c r="J33" s="55">
        <f t="shared" si="5"/>
        <v>37.165999999999997</v>
      </c>
    </row>
    <row r="34" spans="1:10" ht="15.95" customHeight="1" x14ac:dyDescent="0.25">
      <c r="A34" s="31" t="s">
        <v>80</v>
      </c>
      <c r="B34" s="62"/>
      <c r="C34" s="62"/>
      <c r="D34" s="63"/>
      <c r="E34" s="62"/>
      <c r="F34" s="64">
        <v>2</v>
      </c>
      <c r="G34" s="62"/>
      <c r="H34" s="13">
        <f t="shared" si="3"/>
        <v>15.082999999999998</v>
      </c>
      <c r="I34" s="13">
        <f t="shared" si="4"/>
        <v>20.082999999999998</v>
      </c>
      <c r="J34" s="55">
        <f t="shared" si="5"/>
        <v>35.165999999999997</v>
      </c>
    </row>
    <row r="35" spans="1:10" ht="15.95" customHeight="1" x14ac:dyDescent="0.25">
      <c r="A35" s="31" t="s">
        <v>81</v>
      </c>
      <c r="B35" s="62">
        <v>1.25</v>
      </c>
      <c r="C35" s="62">
        <v>1.25</v>
      </c>
      <c r="D35" s="63"/>
      <c r="E35" s="62"/>
      <c r="F35" s="62"/>
      <c r="G35" s="62"/>
      <c r="H35" s="13">
        <f t="shared" si="3"/>
        <v>16.332999999999998</v>
      </c>
      <c r="I35" s="13">
        <f t="shared" si="4"/>
        <v>21.332999999999998</v>
      </c>
      <c r="J35" s="55">
        <f t="shared" si="5"/>
        <v>37.665999999999997</v>
      </c>
    </row>
    <row r="36" spans="1:10" ht="15.95" customHeight="1" x14ac:dyDescent="0.25">
      <c r="A36" s="31" t="s">
        <v>82</v>
      </c>
      <c r="B36" s="62"/>
      <c r="C36" s="62"/>
      <c r="D36" s="63"/>
      <c r="E36" s="62">
        <v>2</v>
      </c>
      <c r="F36" s="62"/>
      <c r="G36" s="62"/>
      <c r="H36" s="13">
        <f t="shared" si="3"/>
        <v>16.332999999999998</v>
      </c>
      <c r="I36" s="13">
        <f t="shared" si="4"/>
        <v>19.332999999999998</v>
      </c>
      <c r="J36" s="55">
        <f t="shared" si="5"/>
        <v>35.665999999999997</v>
      </c>
    </row>
    <row r="37" spans="1:10" ht="15.95" customHeight="1" x14ac:dyDescent="0.25">
      <c r="A37" s="31" t="s">
        <v>83</v>
      </c>
      <c r="B37" s="62">
        <v>2.5</v>
      </c>
      <c r="C37" s="62">
        <v>2.5</v>
      </c>
      <c r="D37" s="63"/>
      <c r="E37" s="62"/>
      <c r="F37" s="62"/>
      <c r="G37" s="62"/>
      <c r="H37" s="13">
        <f t="shared" si="3"/>
        <v>18.832999999999998</v>
      </c>
      <c r="I37" s="13">
        <f t="shared" si="4"/>
        <v>21.832999999999998</v>
      </c>
      <c r="J37" s="55">
        <f t="shared" si="5"/>
        <v>40.665999999999997</v>
      </c>
    </row>
    <row r="38" spans="1:10" ht="15.95" customHeight="1" x14ac:dyDescent="0.25">
      <c r="A38" s="31" t="s">
        <v>84</v>
      </c>
      <c r="B38" s="62"/>
      <c r="C38" s="62"/>
      <c r="D38" s="63"/>
      <c r="E38" s="62">
        <v>1</v>
      </c>
      <c r="F38" s="62"/>
      <c r="G38" s="62"/>
      <c r="H38" s="13">
        <f t="shared" si="3"/>
        <v>18.832999999999998</v>
      </c>
      <c r="I38" s="13">
        <f t="shared" si="4"/>
        <v>20.832999999999998</v>
      </c>
      <c r="J38" s="55">
        <f t="shared" si="5"/>
        <v>39.665999999999997</v>
      </c>
    </row>
    <row r="39" spans="1:10" ht="15.95" customHeight="1" x14ac:dyDescent="0.25">
      <c r="A39" s="31" t="s">
        <v>85</v>
      </c>
      <c r="B39" s="62">
        <v>2.5</v>
      </c>
      <c r="C39" s="62">
        <v>2.5</v>
      </c>
      <c r="D39" s="63"/>
      <c r="E39" s="62"/>
      <c r="F39" s="62"/>
      <c r="G39" s="62"/>
      <c r="H39" s="13">
        <f t="shared" si="3"/>
        <v>21.332999999999998</v>
      </c>
      <c r="I39" s="13">
        <f t="shared" si="4"/>
        <v>23.332999999999998</v>
      </c>
      <c r="J39" s="55">
        <f t="shared" si="5"/>
        <v>44.665999999999997</v>
      </c>
    </row>
    <row r="40" spans="1:10" ht="15.95" customHeight="1" x14ac:dyDescent="0.25">
      <c r="A40" s="31" t="s">
        <v>87</v>
      </c>
      <c r="B40" s="62"/>
      <c r="C40" s="62"/>
      <c r="D40" s="62">
        <v>16.332999999999998</v>
      </c>
      <c r="E40" s="62">
        <v>13.667</v>
      </c>
      <c r="F40" s="62"/>
      <c r="G40" s="62"/>
      <c r="H40" s="13">
        <f t="shared" ref="H40" si="6">H39-F40-D40+B40</f>
        <v>5</v>
      </c>
      <c r="I40" s="13">
        <f t="shared" ref="I40" si="7">I39-E40+C40</f>
        <v>9.6659999999999986</v>
      </c>
      <c r="J40" s="55">
        <f t="shared" ref="J40" si="8">H40+I40</f>
        <v>14.665999999999999</v>
      </c>
    </row>
    <row r="41" spans="1:10" ht="15.95" customHeight="1" x14ac:dyDescent="0.25">
      <c r="A41" s="31" t="s">
        <v>88</v>
      </c>
      <c r="B41" s="62"/>
      <c r="C41" s="62"/>
      <c r="D41" s="62"/>
      <c r="E41" s="62">
        <v>2</v>
      </c>
      <c r="F41" s="62"/>
      <c r="G41" s="62"/>
      <c r="H41" s="13">
        <f t="shared" ref="H41" si="9">H40-F41-D41+B41</f>
        <v>5</v>
      </c>
      <c r="I41" s="13">
        <f t="shared" ref="I41" si="10">I40-E41+C41</f>
        <v>7.6659999999999986</v>
      </c>
      <c r="J41" s="55">
        <f t="shared" ref="J41" si="11">H41+I41</f>
        <v>12.665999999999999</v>
      </c>
    </row>
    <row r="42" spans="1:10" ht="15.95" customHeight="1" x14ac:dyDescent="0.25">
      <c r="A42" s="31" t="s">
        <v>89</v>
      </c>
      <c r="B42" s="62"/>
      <c r="C42" s="62"/>
      <c r="D42" s="62"/>
      <c r="E42" s="62">
        <v>2</v>
      </c>
      <c r="F42" s="62"/>
      <c r="G42" s="62"/>
      <c r="H42" s="13">
        <f t="shared" ref="H42" si="12">H41-F42-D42+B42</f>
        <v>5</v>
      </c>
      <c r="I42" s="13">
        <f t="shared" ref="I42" si="13">I41-E42+C42</f>
        <v>5.6659999999999986</v>
      </c>
      <c r="J42" s="55">
        <f t="shared" ref="J42" si="14">H42+I42</f>
        <v>10.665999999999999</v>
      </c>
    </row>
    <row r="43" spans="1:10" ht="15.95" customHeight="1" x14ac:dyDescent="0.25">
      <c r="A43" s="31" t="s">
        <v>90</v>
      </c>
      <c r="B43" s="62">
        <v>1.25</v>
      </c>
      <c r="C43" s="62">
        <v>1.25</v>
      </c>
      <c r="D43" s="62"/>
      <c r="E43" s="62"/>
      <c r="F43" s="62"/>
      <c r="G43" s="62"/>
      <c r="H43" s="13">
        <f t="shared" ref="H43:H44" si="15">H42-F43-D43+B43</f>
        <v>6.25</v>
      </c>
      <c r="I43" s="13">
        <f t="shared" ref="I43:I44" si="16">I42-E43+C43</f>
        <v>6.9159999999999986</v>
      </c>
      <c r="J43" s="55">
        <f t="shared" ref="J43:J44" si="17">H43+I43</f>
        <v>13.165999999999999</v>
      </c>
    </row>
    <row r="44" spans="1:10" ht="15.95" customHeight="1" x14ac:dyDescent="0.25">
      <c r="A44" s="31" t="s">
        <v>91</v>
      </c>
      <c r="B44" s="62"/>
      <c r="C44" s="62"/>
      <c r="D44" s="62"/>
      <c r="E44" s="62">
        <v>3</v>
      </c>
      <c r="F44" s="62"/>
      <c r="G44" s="62"/>
      <c r="H44" s="13">
        <f t="shared" si="15"/>
        <v>6.25</v>
      </c>
      <c r="I44" s="13">
        <f t="shared" si="16"/>
        <v>3.9159999999999986</v>
      </c>
      <c r="J44" s="55">
        <f t="shared" si="17"/>
        <v>10.165999999999999</v>
      </c>
    </row>
    <row r="45" spans="1:10" ht="15.95" customHeight="1" x14ac:dyDescent="0.25">
      <c r="A45" s="57"/>
      <c r="B45" s="58"/>
      <c r="C45" s="58"/>
      <c r="D45" s="59"/>
      <c r="E45" s="58"/>
      <c r="F45" s="60"/>
      <c r="G45" s="60"/>
      <c r="H45" s="58"/>
      <c r="I45" s="58"/>
      <c r="J45" s="61"/>
    </row>
    <row r="46" spans="1:10" ht="18.95" customHeight="1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</row>
    <row r="47" spans="1:10" s="1" customFormat="1" x14ac:dyDescent="0.25">
      <c r="F47" s="1" t="s">
        <v>41</v>
      </c>
    </row>
    <row r="48" spans="1:10" s="1" customFormat="1" x14ac:dyDescent="0.25"/>
    <row r="49" spans="7:7" s="1" customFormat="1" x14ac:dyDescent="0.25">
      <c r="G49" s="56" t="s">
        <v>42</v>
      </c>
    </row>
    <row r="50" spans="7:7" s="1" customFormat="1" x14ac:dyDescent="0.25">
      <c r="G50" s="1" t="s">
        <v>43</v>
      </c>
    </row>
    <row r="51" spans="7:7" s="1" customFormat="1" x14ac:dyDescent="0.25">
      <c r="G51" s="1" t="s">
        <v>69</v>
      </c>
    </row>
  </sheetData>
  <mergeCells count="14">
    <mergeCell ref="B7:D7"/>
    <mergeCell ref="B9:D9"/>
    <mergeCell ref="A46:J46"/>
    <mergeCell ref="A2:J2"/>
    <mergeCell ref="A3:J3"/>
    <mergeCell ref="A4:J4"/>
    <mergeCell ref="A5:J5"/>
    <mergeCell ref="A11:A12"/>
    <mergeCell ref="J11:J12"/>
    <mergeCell ref="B11:C11"/>
    <mergeCell ref="D11:F11"/>
    <mergeCell ref="H11:I11"/>
    <mergeCell ref="A10:J10"/>
    <mergeCell ref="A13:J13"/>
  </mergeCells>
  <phoneticPr fontId="5" type="noConversion"/>
  <printOptions horizontalCentered="1"/>
  <pageMargins left="0.35433070866141736" right="0.39370078740157483" top="0.51181102362204722" bottom="0.51181102362204722" header="0.31496062992125984" footer="0.31496062992125984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view="pageBreakPreview" zoomScale="98" zoomScaleNormal="100" zoomScaleSheetLayoutView="98" workbookViewId="0">
      <selection activeCell="D13" sqref="D13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67" t="s">
        <v>11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s="1" customFormat="1" ht="15.95" customHeight="1" x14ac:dyDescent="0.25">
      <c r="A3" s="67" t="s">
        <v>12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s="1" customFormat="1" ht="15.95" customHeight="1" x14ac:dyDescent="0.25">
      <c r="A4" s="67" t="s">
        <v>13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s="1" customFormat="1" ht="15.95" customHeight="1" x14ac:dyDescent="0.25">
      <c r="A5" s="67" t="s">
        <v>14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16</v>
      </c>
      <c r="B8" s="22"/>
      <c r="C8" s="82" t="s">
        <v>17</v>
      </c>
      <c r="D8" s="82"/>
      <c r="E8" s="82"/>
      <c r="F8" s="82"/>
      <c r="G8" s="82"/>
      <c r="I8" s="82" t="s">
        <v>18</v>
      </c>
      <c r="J8" s="82"/>
      <c r="K8" s="82"/>
      <c r="L8" s="22"/>
    </row>
    <row r="9" spans="1:12" s="1" customFormat="1" ht="12" customHeight="1" x14ac:dyDescent="0.25">
      <c r="B9" s="23"/>
      <c r="C9" s="82" t="s">
        <v>19</v>
      </c>
      <c r="D9" s="82"/>
      <c r="E9" s="82"/>
      <c r="F9" s="82"/>
      <c r="G9" s="82"/>
      <c r="I9" s="83" t="s">
        <v>20</v>
      </c>
      <c r="J9" s="83"/>
      <c r="K9" s="83"/>
      <c r="L9" s="23"/>
    </row>
    <row r="10" spans="1:12" s="1" customFormat="1" ht="12" customHeight="1" x14ac:dyDescent="0.25">
      <c r="A10" s="22" t="s">
        <v>21</v>
      </c>
      <c r="B10" s="22"/>
      <c r="C10" s="24"/>
      <c r="D10" s="23"/>
      <c r="E10" s="23"/>
      <c r="I10" s="82" t="s">
        <v>22</v>
      </c>
      <c r="J10" s="82"/>
      <c r="K10" s="82"/>
      <c r="L10" s="22"/>
    </row>
    <row r="11" spans="1:12" ht="16.5" customHeight="1" thickBot="1" x14ac:dyDescent="0.3">
      <c r="A11" s="84" t="s">
        <v>23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</row>
    <row r="12" spans="1:12" s="28" customFormat="1" ht="48" x14ac:dyDescent="0.2">
      <c r="A12" s="25" t="s">
        <v>4</v>
      </c>
      <c r="B12" s="26" t="s">
        <v>24</v>
      </c>
      <c r="C12" s="26" t="s">
        <v>25</v>
      </c>
      <c r="D12" s="26" t="s">
        <v>26</v>
      </c>
      <c r="E12" s="26" t="s">
        <v>27</v>
      </c>
      <c r="F12" s="26" t="s">
        <v>28</v>
      </c>
      <c r="G12" s="26" t="s">
        <v>29</v>
      </c>
      <c r="H12" s="26" t="s">
        <v>30</v>
      </c>
      <c r="I12" s="26" t="s">
        <v>31</v>
      </c>
      <c r="J12" s="26" t="s">
        <v>32</v>
      </c>
      <c r="K12" s="26" t="s">
        <v>33</v>
      </c>
      <c r="L12" s="27" t="s">
        <v>8</v>
      </c>
    </row>
    <row r="13" spans="1:12" s="28" customFormat="1" x14ac:dyDescent="0.2">
      <c r="A13" s="12" t="s">
        <v>15</v>
      </c>
      <c r="B13" s="8"/>
      <c r="C13" s="10"/>
      <c r="D13" s="10">
        <v>1</v>
      </c>
      <c r="E13" s="8"/>
      <c r="F13" s="8"/>
      <c r="G13" s="8"/>
      <c r="H13" s="10"/>
      <c r="I13" s="8"/>
      <c r="J13" s="8"/>
      <c r="K13" s="8"/>
      <c r="L13" s="11">
        <v>1</v>
      </c>
    </row>
    <row r="14" spans="1:12" s="28" customFormat="1" x14ac:dyDescent="0.2">
      <c r="A14" s="12" t="s">
        <v>36</v>
      </c>
      <c r="B14" s="8"/>
      <c r="C14" s="10"/>
      <c r="D14" s="10"/>
      <c r="E14" s="8"/>
      <c r="F14" s="8"/>
      <c r="G14" s="8"/>
      <c r="H14" s="10"/>
      <c r="I14" s="8"/>
      <c r="J14" s="8">
        <v>2</v>
      </c>
      <c r="K14" s="8"/>
      <c r="L14" s="11">
        <v>2</v>
      </c>
    </row>
    <row r="15" spans="1:12" s="29" customFormat="1" x14ac:dyDescent="0.2">
      <c r="A15" s="30" t="s">
        <v>34</v>
      </c>
      <c r="B15" s="8"/>
      <c r="C15" s="10"/>
      <c r="D15" s="10">
        <v>1</v>
      </c>
      <c r="E15" s="8"/>
      <c r="F15" s="8"/>
      <c r="G15" s="8"/>
      <c r="H15" s="10"/>
      <c r="I15" s="8"/>
      <c r="J15" s="8"/>
      <c r="K15" s="8"/>
      <c r="L15" s="11">
        <v>1</v>
      </c>
    </row>
    <row r="16" spans="1:12" s="29" customFormat="1" x14ac:dyDescent="0.2">
      <c r="A16" s="31" t="s">
        <v>35</v>
      </c>
      <c r="B16" s="8"/>
      <c r="C16" s="10"/>
      <c r="D16" s="10">
        <v>1</v>
      </c>
      <c r="E16" s="8"/>
      <c r="F16" s="8"/>
      <c r="G16" s="8"/>
      <c r="H16" s="10"/>
      <c r="I16" s="8"/>
      <c r="J16" s="8"/>
      <c r="K16" s="8"/>
      <c r="L16" s="11">
        <v>1</v>
      </c>
    </row>
    <row r="17" spans="1:12" s="29" customFormat="1" x14ac:dyDescent="0.2">
      <c r="A17" s="10" t="s">
        <v>46</v>
      </c>
      <c r="B17" s="8"/>
      <c r="C17" s="10"/>
      <c r="D17" s="10">
        <v>1</v>
      </c>
      <c r="E17" s="8"/>
      <c r="F17" s="8"/>
      <c r="G17" s="8"/>
      <c r="H17" s="10"/>
      <c r="I17" s="8"/>
      <c r="J17" s="8"/>
      <c r="K17" s="8"/>
      <c r="L17" s="11">
        <v>1</v>
      </c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view="pageBreakPreview" topLeftCell="A7" zoomScale="112" zoomScaleNormal="100" zoomScaleSheetLayoutView="112" workbookViewId="0">
      <selection activeCell="D17" sqref="D17"/>
    </sheetView>
  </sheetViews>
  <sheetFormatPr defaultColWidth="8.7109375" defaultRowHeight="15" x14ac:dyDescent="0.25"/>
  <cols>
    <col min="1" max="1" width="33.5703125" style="41" customWidth="1"/>
    <col min="2" max="16384" width="8.7109375" style="41"/>
  </cols>
  <sheetData>
    <row r="1" spans="1:12" s="36" customFormat="1" ht="52.5" customHeight="1" x14ac:dyDescent="0.25"/>
    <row r="2" spans="1:12" s="36" customFormat="1" ht="10.5" customHeight="1" x14ac:dyDescent="0.25">
      <c r="A2" s="105" t="s">
        <v>11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s="36" customFormat="1" ht="15.95" customHeight="1" x14ac:dyDescent="0.25">
      <c r="A3" s="105" t="s">
        <v>12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2" s="36" customFormat="1" ht="15.95" customHeight="1" x14ac:dyDescent="0.25">
      <c r="A4" s="105" t="s">
        <v>13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s="36" customFormat="1" ht="15.95" customHeight="1" x14ac:dyDescent="0.25">
      <c r="A5" s="105" t="s">
        <v>14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s="36" customFormat="1" ht="8.25" customHeight="1" x14ac:dyDescent="0.25"/>
    <row r="7" spans="1:12" s="36" customFormat="1" ht="12" customHeight="1" x14ac:dyDescent="0.25">
      <c r="A7" s="36" t="s">
        <v>37</v>
      </c>
      <c r="C7" s="37" t="s">
        <v>39</v>
      </c>
      <c r="D7" s="37"/>
      <c r="G7" s="37" t="s">
        <v>9</v>
      </c>
      <c r="H7" s="38"/>
    </row>
    <row r="8" spans="1:12" s="36" customFormat="1" ht="12" customHeight="1" x14ac:dyDescent="0.25">
      <c r="C8" s="39"/>
      <c r="G8" s="39"/>
      <c r="H8" s="39"/>
    </row>
    <row r="9" spans="1:12" s="36" customFormat="1" ht="12" customHeight="1" x14ac:dyDescent="0.25">
      <c r="A9" s="36" t="s">
        <v>38</v>
      </c>
      <c r="C9" s="37" t="s">
        <v>40</v>
      </c>
      <c r="D9" s="37"/>
      <c r="G9" s="37" t="s">
        <v>10</v>
      </c>
      <c r="H9" s="40"/>
    </row>
    <row r="10" spans="1:12" ht="16.5" customHeight="1" thickBot="1" x14ac:dyDescent="0.3">
      <c r="A10" s="106" t="s">
        <v>47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</row>
    <row r="11" spans="1:12" s="42" customFormat="1" ht="18.75" customHeight="1" x14ac:dyDescent="0.2">
      <c r="A11" s="97" t="s">
        <v>4</v>
      </c>
      <c r="B11" s="99" t="s">
        <v>5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1" t="s">
        <v>8</v>
      </c>
    </row>
    <row r="12" spans="1:12" s="42" customFormat="1" ht="24" customHeight="1" x14ac:dyDescent="0.2">
      <c r="A12" s="98"/>
      <c r="B12" s="95" t="s">
        <v>48</v>
      </c>
      <c r="C12" s="103"/>
      <c r="D12" s="103"/>
      <c r="E12" s="96"/>
      <c r="F12" s="95" t="s">
        <v>49</v>
      </c>
      <c r="G12" s="96"/>
      <c r="H12" s="95" t="s">
        <v>50</v>
      </c>
      <c r="I12" s="96"/>
      <c r="J12" s="95" t="s">
        <v>51</v>
      </c>
      <c r="K12" s="96"/>
      <c r="L12" s="102"/>
    </row>
    <row r="13" spans="1:12" s="42" customFormat="1" ht="24.95" customHeight="1" x14ac:dyDescent="0.2">
      <c r="A13" s="43" t="s">
        <v>52</v>
      </c>
      <c r="B13" s="88" t="s">
        <v>53</v>
      </c>
      <c r="C13" s="89"/>
      <c r="D13" s="89"/>
      <c r="E13" s="90"/>
      <c r="F13" s="88">
        <v>1</v>
      </c>
      <c r="G13" s="90"/>
      <c r="H13" s="88">
        <v>0</v>
      </c>
      <c r="I13" s="90"/>
      <c r="J13" s="88">
        <v>1</v>
      </c>
      <c r="K13" s="90"/>
      <c r="L13" s="44">
        <v>1</v>
      </c>
    </row>
    <row r="14" spans="1:12" s="46" customFormat="1" ht="25.5" customHeight="1" x14ac:dyDescent="0.2">
      <c r="A14" s="51" t="s">
        <v>55</v>
      </c>
      <c r="B14" s="88" t="s">
        <v>53</v>
      </c>
      <c r="C14" s="89"/>
      <c r="D14" s="89"/>
      <c r="E14" s="90"/>
      <c r="F14" s="88">
        <v>1</v>
      </c>
      <c r="G14" s="90"/>
      <c r="H14" s="88">
        <v>1</v>
      </c>
      <c r="I14" s="90"/>
      <c r="J14" s="88">
        <f>F14-H14</f>
        <v>0</v>
      </c>
      <c r="K14" s="90"/>
      <c r="L14" s="44">
        <v>0</v>
      </c>
    </row>
    <row r="15" spans="1:12" s="52" customFormat="1" ht="24.95" customHeight="1" x14ac:dyDescent="0.2">
      <c r="A15" s="51" t="s">
        <v>56</v>
      </c>
      <c r="B15" s="91" t="s">
        <v>57</v>
      </c>
      <c r="C15" s="104"/>
      <c r="D15" s="104"/>
      <c r="E15" s="92"/>
      <c r="F15" s="91">
        <v>1</v>
      </c>
      <c r="G15" s="92"/>
      <c r="H15" s="91">
        <v>0</v>
      </c>
      <c r="I15" s="92"/>
      <c r="J15" s="91">
        <v>1</v>
      </c>
      <c r="K15" s="92"/>
      <c r="L15" s="44">
        <v>1</v>
      </c>
    </row>
    <row r="16" spans="1:12" s="53" customFormat="1" ht="25.5" customHeight="1" x14ac:dyDescent="0.2">
      <c r="A16" s="51" t="s">
        <v>58</v>
      </c>
      <c r="B16" s="91" t="s">
        <v>57</v>
      </c>
      <c r="C16" s="104"/>
      <c r="D16" s="104"/>
      <c r="E16" s="92"/>
      <c r="F16" s="91">
        <v>1</v>
      </c>
      <c r="G16" s="92"/>
      <c r="H16" s="91">
        <v>1</v>
      </c>
      <c r="I16" s="92"/>
      <c r="J16" s="91">
        <f>F16-H16</f>
        <v>0</v>
      </c>
      <c r="K16" s="92"/>
      <c r="L16" s="45">
        <v>0</v>
      </c>
    </row>
    <row r="17" spans="1:12" s="46" customFormat="1" x14ac:dyDescent="0.2">
      <c r="A17" s="47" t="s">
        <v>54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ht="18.95" customHeight="1" x14ac:dyDescent="0.25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19" spans="1:12" s="36" customFormat="1" x14ac:dyDescent="0.25">
      <c r="A19" s="36" t="s">
        <v>41</v>
      </c>
      <c r="C19" s="50"/>
    </row>
    <row r="20" spans="1:12" s="36" customFormat="1" x14ac:dyDescent="0.25">
      <c r="C20" s="50"/>
    </row>
    <row r="21" spans="1:12" x14ac:dyDescent="0.25">
      <c r="A21" s="94" t="s">
        <v>42</v>
      </c>
      <c r="B21" s="94"/>
    </row>
    <row r="22" spans="1:12" x14ac:dyDescent="0.25">
      <c r="A22" s="86" t="s">
        <v>43</v>
      </c>
      <c r="B22" s="86"/>
    </row>
    <row r="23" spans="1:12" x14ac:dyDescent="0.25">
      <c r="A23" s="87" t="s">
        <v>44</v>
      </c>
      <c r="B23" s="87"/>
    </row>
  </sheetData>
  <mergeCells count="32">
    <mergeCell ref="J15:K15"/>
    <mergeCell ref="B16:E16"/>
    <mergeCell ref="F16:G16"/>
    <mergeCell ref="H16:I16"/>
    <mergeCell ref="J16:K16"/>
    <mergeCell ref="A2:L2"/>
    <mergeCell ref="A3:L3"/>
    <mergeCell ref="A4:L4"/>
    <mergeCell ref="A5:L5"/>
    <mergeCell ref="A10:L10"/>
    <mergeCell ref="J14:K14"/>
    <mergeCell ref="A18:L18"/>
    <mergeCell ref="A21:B21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B15:E15"/>
    <mergeCell ref="F15:G15"/>
    <mergeCell ref="A22:B22"/>
    <mergeCell ref="A23:B23"/>
    <mergeCell ref="B14:E14"/>
    <mergeCell ref="F14:G14"/>
    <mergeCell ref="H14:I14"/>
    <mergeCell ref="H15:I15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Other types of leave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2025-09-08T03:21:16Z</cp:lastPrinted>
  <dcterms:created xsi:type="dcterms:W3CDTF">2021-10-07T06:10:16Z</dcterms:created>
  <dcterms:modified xsi:type="dcterms:W3CDTF">2025-09-08T03:22:08Z</dcterms:modified>
</cp:coreProperties>
</file>