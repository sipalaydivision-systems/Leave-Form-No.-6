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7E8EA28-2461-40F8-94F1-9E235C118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6" l="1"/>
  <c r="H26" i="6" s="1"/>
  <c r="I25" i="6"/>
  <c r="I26" i="6" s="1"/>
  <c r="J25" i="6"/>
  <c r="I13" i="6"/>
  <c r="I14" i="6" s="1"/>
  <c r="I15" i="6" s="1"/>
  <c r="H13" i="6"/>
  <c r="H14" i="6" s="1"/>
  <c r="H15" i="6" s="1"/>
  <c r="H16" i="6" s="1"/>
  <c r="H17" i="6" s="1"/>
  <c r="J26" i="6" l="1"/>
  <c r="H18" i="6"/>
  <c r="H19" i="6" s="1"/>
  <c r="H20" i="6" s="1"/>
  <c r="H21" i="6" s="1"/>
  <c r="H22" i="6" s="1"/>
  <c r="H23" i="6" s="1"/>
  <c r="J15" i="6"/>
  <c r="I16" i="6"/>
  <c r="J14" i="6"/>
  <c r="J13" i="6"/>
  <c r="H24" i="6" l="1"/>
  <c r="J16" i="6"/>
  <c r="I17" i="6"/>
  <c r="I18" i="6" l="1"/>
  <c r="J17" i="6"/>
  <c r="J18" i="6" l="1"/>
  <c r="I19" i="6"/>
  <c r="J19" i="6" l="1"/>
  <c r="I20" i="6"/>
  <c r="J20" i="6" l="1"/>
  <c r="I21" i="6"/>
  <c r="J21" i="6" l="1"/>
  <c r="I22" i="6"/>
  <c r="J22" i="6" l="1"/>
  <c r="I23" i="6"/>
  <c r="I24" i="6" l="1"/>
  <c r="J24" i="6" s="1"/>
  <c r="J23" i="6"/>
</calcChain>
</file>

<file path=xl/sharedStrings.xml><?xml version="1.0" encoding="utf-8"?>
<sst xmlns="http://schemas.openxmlformats.org/spreadsheetml/2006/main" count="67" uniqueCount="50">
  <si>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</si>
  <si>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</si>
  <si>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</si>
  <si>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</si>
  <si>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</si>
  <si>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</si>
  <si>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</si>
  <si>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</si>
  <si>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</si>
  <si>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</si>
  <si>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</si>
  <si>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</si>
  <si>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</si>
  <si>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</si>
  <si>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</si>
  <si>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</si>
  <si>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</si>
  <si>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</si>
  <si>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</si>
  <si>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</si>
  <si>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</si>
  <si>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 xml:space="preserve">  </t>
  </si>
  <si>
    <t>ADD: 07/1/2024-12/31/2024</t>
  </si>
  <si>
    <t>LESS: 02/05/2025</t>
  </si>
  <si>
    <t>ADD: 01/1/2025-03/31/2025</t>
  </si>
  <si>
    <t>LESS: 05/2/2025</t>
  </si>
  <si>
    <t>ADD: 04/1/2025-05/31/2025</t>
  </si>
  <si>
    <t>LESS: 06/13/2025</t>
  </si>
  <si>
    <t>COMPENSATORY TIME OFF (CTO)</t>
  </si>
  <si>
    <t>Special Order No. and Date Issued</t>
  </si>
  <si>
    <t>No. of Days Granted</t>
  </si>
  <si>
    <t>No. of Days Used</t>
  </si>
  <si>
    <t>Balance</t>
  </si>
  <si>
    <t>ADD: 07/1/2025</t>
  </si>
  <si>
    <t>SO # 044, S. 2025 127TH PHIL. IND. DAY</t>
  </si>
  <si>
    <t>NOTE:  Valid for one (1) year only</t>
  </si>
  <si>
    <t>Certified Correct:</t>
  </si>
  <si>
    <t>MA. LUISA B. CATIGAN</t>
  </si>
  <si>
    <t>Administrative Officer IV</t>
  </si>
  <si>
    <t>HRMO</t>
  </si>
  <si>
    <t>LESS: 07/10/2025 PM &amp; 08/8/2025 PM</t>
  </si>
  <si>
    <t>ADD: 06/1/2025-08/31/2025</t>
  </si>
  <si>
    <t>LESS: MONETIZATION 2025</t>
  </si>
  <si>
    <t>NEGROS ISLAND REGION</t>
  </si>
  <si>
    <t>LESS: 08/15/2025</t>
  </si>
  <si>
    <t>LESS: 12/19, 22 &amp; 23/2025</t>
  </si>
  <si>
    <t>LESS: 09/11/2025</t>
  </si>
  <si>
    <t>ADD: 09/1/2025-11/30/2025</t>
  </si>
  <si>
    <t>LESS: 12/9/2025</t>
  </si>
  <si>
    <t xml:space="preserve">LESS: 09/22/2025 AM- work suspension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</si>
</sst>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0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0" borderId="0" xfId="1" applyFont="1"/>
    <xf numFmtId="0" fontId="8" fillId="0" borderId="1" xfId="1" applyFont="1" applyBorder="1" applyAlignment="1">
      <alignment horizontal="center" vertical="center" wrapText="1"/>
    </xf>
    <xf numFmtId="0" fontId="6" fillId="0" borderId="0" xfId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6" fillId="2" borderId="0" xfId="1" applyFill="1" applyAlignment="1">
      <alignment horizontal="center" vertical="center" wrapText="1"/>
    </xf>
    <xf numFmtId="0" fontId="6" fillId="2" borderId="0" xfId="1" applyFill="1" applyAlignment="1">
      <alignment horizontal="center"/>
    </xf>
    <xf numFmtId="0" fontId="6" fillId="0" borderId="0" xfId="1"/>
    <xf numFmtId="0" fontId="10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center" vertical="center"/>
    </xf>
    <xf numFmtId="164" fontId="11" fillId="2" borderId="14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11" fillId="0" borderId="7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6" fillId="0" borderId="0" xfId="1" applyAlignment="1">
      <alignment horizontal="center"/>
    </xf>
    <xf numFmtId="0" fontId="6" fillId="2" borderId="0" xfId="1" applyFill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7" fillId="9" borderId="11" xfId="1" applyFont="1" applyFill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8" borderId="8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8" fillId="10" borderId="18" xfId="1" applyFont="1" applyFill="1" applyBorder="1" applyAlignment="1">
      <alignment horizontal="center" vertical="center" wrapText="1"/>
    </xf>
    <xf numFmtId="0" fontId="8" fillId="10" borderId="19" xfId="1" applyFont="1" applyFill="1" applyBorder="1" applyAlignment="1">
      <alignment horizontal="center" vertical="center" wrapText="1"/>
    </xf>
    <xf numFmtId="0" fontId="8" fillId="10" borderId="2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5620212-D871-4115-A1F1-28FEDB208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178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JAIN, JALLEL S.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OSDS-CASH</a:t>
          </a:r>
          <a:r>
            <a:rPr lang="en-US" sz="1100" baseline="0"/>
            <a:t> SECTION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29</xdr:row>
      <xdr:rowOff>53914</xdr:rowOff>
    </xdr:from>
    <xdr:to>
      <xdr:col>9</xdr:col>
      <xdr:colOff>672043</xdr:colOff>
      <xdr:row>34</xdr:row>
      <xdr:rowOff>170731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873749" y="11951178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1E0F6D75-BB62-4610-A3DE-5FC12EBFC9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494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545367</xdr:colOff>
      <xdr:row>7</xdr:row>
      <xdr:rowOff>37611</xdr:rowOff>
    </xdr:from>
    <xdr:to>
      <xdr:col>1</xdr:col>
      <xdr:colOff>736600</xdr:colOff>
      <xdr:row>8</xdr:row>
      <xdr:rowOff>146050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A3EBB7-56A7-44B2-BAB1-4192FACE08FB}"/>
            </a:ext>
          </a:extLst>
        </xdr:cNvPr>
        <xdr:cNvSpPr txBox="1"/>
      </xdr:nvSpPr>
      <xdr:spPr>
        <a:xfrm>
          <a:off x="545367" y="1371111"/>
          <a:ext cx="177238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JAIN S. JALLEL</a:t>
          </a: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B41434-1A0E-43D5-BC72-02F53763827F}"/>
            </a:ext>
          </a:extLst>
        </xdr:cNvPr>
        <xdr:cNvSpPr txBox="1"/>
      </xdr:nvSpPr>
      <xdr:spPr>
        <a:xfrm>
          <a:off x="654051" y="1733551"/>
          <a:ext cx="92392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DDC119-1BBB-464F-8C7F-E82C237098B1}"/>
            </a:ext>
          </a:extLst>
        </xdr:cNvPr>
        <xdr:cNvSpPr txBox="1"/>
      </xdr:nvSpPr>
      <xdr:spPr>
        <a:xfrm>
          <a:off x="347957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tabSelected="1" view="pageBreakPreview" topLeftCell="A14" zoomScale="106" zoomScaleNormal="100" zoomScaleSheetLayoutView="106" workbookViewId="0">
      <selection activeCell="A25" sqref="A25:XFD25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6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s="1" customFormat="1" ht="15.95" customHeight="1" x14ac:dyDescent="0.25">
      <c r="A3" s="45" t="s">
        <v>14</v>
      </c>
      <c r="B3" s="45"/>
      <c r="C3" s="45"/>
      <c r="D3" s="45"/>
      <c r="E3" s="45"/>
      <c r="F3" s="45"/>
      <c r="G3" s="45"/>
      <c r="H3" s="45"/>
      <c r="I3" s="45"/>
      <c r="J3" s="45"/>
    </row>
    <row r="4" spans="1:11" s="1" customFormat="1" ht="15.95" customHeight="1" x14ac:dyDescent="0.25">
      <c r="A4" s="45" t="s">
        <v>43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s="1" customFormat="1" ht="15.95" customHeight="1" x14ac:dyDescent="0.25">
      <c r="A5" s="45" t="s">
        <v>16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43" t="s">
        <v>18</v>
      </c>
      <c r="C7" s="43"/>
      <c r="D7" s="43"/>
      <c r="H7" s="3" t="s">
        <v>9</v>
      </c>
      <c r="I7" s="7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19</v>
      </c>
      <c r="B9" s="43" t="s">
        <v>20</v>
      </c>
      <c r="C9" s="43"/>
      <c r="D9" s="43"/>
      <c r="H9" s="3" t="s">
        <v>10</v>
      </c>
      <c r="I9" s="4"/>
      <c r="J9" s="3"/>
    </row>
    <row r="10" spans="1:11" ht="23.25" customHeight="1" thickBot="1" x14ac:dyDescent="0.3">
      <c r="A10" s="44" t="s">
        <v>0</v>
      </c>
      <c r="B10" s="44"/>
      <c r="C10" s="44"/>
      <c r="D10" s="44"/>
      <c r="E10" s="44"/>
      <c r="F10" s="44"/>
      <c r="G10" s="44"/>
      <c r="H10" s="44"/>
      <c r="I10" s="44"/>
      <c r="J10" s="44"/>
      <c r="K10"/>
    </row>
    <row r="11" spans="1:11" ht="18.75" customHeight="1" x14ac:dyDescent="0.25">
      <c r="A11" s="54" t="s">
        <v>4</v>
      </c>
      <c r="B11" s="47" t="s">
        <v>5</v>
      </c>
      <c r="C11" s="48"/>
      <c r="D11" s="49" t="s">
        <v>6</v>
      </c>
      <c r="E11" s="50"/>
      <c r="F11" s="50"/>
      <c r="G11" s="51"/>
      <c r="H11" s="52" t="s">
        <v>7</v>
      </c>
      <c r="I11" s="53"/>
      <c r="J11" s="56" t="s">
        <v>8</v>
      </c>
      <c r="K11" s="46" t="s">
        <v>11</v>
      </c>
    </row>
    <row r="12" spans="1:11" ht="18.75" customHeight="1" thickBot="1" x14ac:dyDescent="0.3">
      <c r="A12" s="55"/>
      <c r="B12" s="8" t="s">
        <v>1</v>
      </c>
      <c r="C12" s="8" t="s">
        <v>2</v>
      </c>
      <c r="D12" s="8" t="s">
        <v>1</v>
      </c>
      <c r="E12" s="8" t="s">
        <v>2</v>
      </c>
      <c r="F12" s="8" t="s">
        <v>3</v>
      </c>
      <c r="G12" s="8" t="s">
        <v>12</v>
      </c>
      <c r="H12" s="8" t="s">
        <v>1</v>
      </c>
      <c r="I12" s="8" t="s">
        <v>2</v>
      </c>
      <c r="J12" s="57"/>
      <c r="K12" s="46"/>
    </row>
    <row r="13" spans="1:11" s="31" customFormat="1" ht="30.75" customHeight="1" x14ac:dyDescent="0.25">
      <c r="A13" s="26" t="s">
        <v>22</v>
      </c>
      <c r="B13" s="27">
        <v>7.5</v>
      </c>
      <c r="C13" s="27">
        <v>7.5</v>
      </c>
      <c r="D13" s="27"/>
      <c r="E13" s="27"/>
      <c r="F13" s="27"/>
      <c r="G13" s="27"/>
      <c r="H13" s="28">
        <f>B13</f>
        <v>7.5</v>
      </c>
      <c r="I13" s="28">
        <f>C13</f>
        <v>7.5</v>
      </c>
      <c r="J13" s="29">
        <f>SUM(H13:I13)</f>
        <v>15</v>
      </c>
      <c r="K13" s="30"/>
    </row>
    <row r="14" spans="1:11" s="31" customFormat="1" ht="15" customHeight="1" x14ac:dyDescent="0.25">
      <c r="A14" s="32" t="s">
        <v>23</v>
      </c>
      <c r="B14" s="33"/>
      <c r="C14" s="33"/>
      <c r="D14" s="33"/>
      <c r="E14" s="33"/>
      <c r="F14" s="33"/>
      <c r="G14" s="34">
        <v>1</v>
      </c>
      <c r="H14" s="35">
        <f>H13-F14-D14+B14</f>
        <v>7.5</v>
      </c>
      <c r="I14" s="35">
        <f>I13-E14+C14</f>
        <v>7.5</v>
      </c>
      <c r="J14" s="36">
        <f>SUM(H14:I14)</f>
        <v>15</v>
      </c>
      <c r="K14" s="30"/>
    </row>
    <row r="15" spans="1:11" s="31" customFormat="1" ht="18.75" customHeight="1" x14ac:dyDescent="0.25">
      <c r="A15" s="37" t="s">
        <v>24</v>
      </c>
      <c r="B15" s="33">
        <v>3.75</v>
      </c>
      <c r="C15" s="33">
        <v>3.75</v>
      </c>
      <c r="D15" s="33"/>
      <c r="E15" s="33"/>
      <c r="F15" s="33"/>
      <c r="G15" s="33"/>
      <c r="H15" s="35">
        <f t="shared" ref="H15:H16" si="0">H14-F15-D15+B15</f>
        <v>11.25</v>
      </c>
      <c r="I15" s="35">
        <f t="shared" ref="I15:I16" si="1">I14-E15+C15</f>
        <v>11.25</v>
      </c>
      <c r="J15" s="36">
        <f t="shared" ref="J15:J16" si="2">SUM(H15:I15)</f>
        <v>22.5</v>
      </c>
      <c r="K15" s="30"/>
    </row>
    <row r="16" spans="1:11" s="31" customFormat="1" ht="15.75" customHeight="1" x14ac:dyDescent="0.25">
      <c r="A16" s="37" t="s">
        <v>25</v>
      </c>
      <c r="B16" s="33"/>
      <c r="C16" s="33"/>
      <c r="D16" s="33"/>
      <c r="E16" s="33"/>
      <c r="F16" s="33"/>
      <c r="G16" s="34">
        <v>1</v>
      </c>
      <c r="H16" s="35">
        <f t="shared" si="0"/>
        <v>11.25</v>
      </c>
      <c r="I16" s="35">
        <f t="shared" si="1"/>
        <v>11.25</v>
      </c>
      <c r="J16" s="36">
        <f t="shared" si="2"/>
        <v>22.5</v>
      </c>
      <c r="K16" s="30"/>
    </row>
    <row r="17" spans="1:11" s="31" customFormat="1" ht="15.75" customHeight="1" x14ac:dyDescent="0.25">
      <c r="A17" s="37" t="s">
        <v>26</v>
      </c>
      <c r="B17" s="33">
        <v>2.5</v>
      </c>
      <c r="C17" s="33">
        <v>2.5</v>
      </c>
      <c r="D17" s="33"/>
      <c r="E17" s="33"/>
      <c r="F17" s="33"/>
      <c r="G17" s="33"/>
      <c r="H17" s="35">
        <f t="shared" ref="H17:H18" si="3">H16-F17-D17+B17</f>
        <v>13.75</v>
      </c>
      <c r="I17" s="35">
        <f t="shared" ref="I17:I18" si="4">I16-E17+C17</f>
        <v>13.75</v>
      </c>
      <c r="J17" s="36">
        <f t="shared" ref="J17:J18" si="5">SUM(H17:I17)</f>
        <v>27.5</v>
      </c>
      <c r="K17" s="30"/>
    </row>
    <row r="18" spans="1:11" s="31" customFormat="1" ht="14.25" customHeight="1" x14ac:dyDescent="0.25">
      <c r="A18" s="37" t="s">
        <v>27</v>
      </c>
      <c r="B18" s="33"/>
      <c r="C18" s="33"/>
      <c r="D18" s="33"/>
      <c r="E18" s="33"/>
      <c r="F18" s="33"/>
      <c r="G18" s="34">
        <v>1</v>
      </c>
      <c r="H18" s="35">
        <f t="shared" si="3"/>
        <v>13.75</v>
      </c>
      <c r="I18" s="35">
        <f t="shared" si="4"/>
        <v>13.75</v>
      </c>
      <c r="J18" s="36">
        <f t="shared" si="5"/>
        <v>27.5</v>
      </c>
      <c r="K18" s="30"/>
    </row>
    <row r="19" spans="1:11" s="31" customFormat="1" ht="15.75" customHeight="1" x14ac:dyDescent="0.25">
      <c r="A19" s="37" t="s">
        <v>41</v>
      </c>
      <c r="B19" s="33">
        <v>3.75</v>
      </c>
      <c r="C19" s="33">
        <v>3.75</v>
      </c>
      <c r="D19" s="33"/>
      <c r="E19" s="33"/>
      <c r="F19" s="33"/>
      <c r="G19" s="33"/>
      <c r="H19" s="35">
        <f t="shared" ref="H19" si="6">H18-F19-D19+B19</f>
        <v>17.5</v>
      </c>
      <c r="I19" s="35">
        <f t="shared" ref="I19" si="7">I18-E19+C19</f>
        <v>17.5</v>
      </c>
      <c r="J19" s="36">
        <f t="shared" ref="J19" si="8">SUM(H19:I19)</f>
        <v>35</v>
      </c>
      <c r="K19" s="30"/>
    </row>
    <row r="20" spans="1:11" s="31" customFormat="1" ht="16.5" customHeight="1" x14ac:dyDescent="0.25">
      <c r="A20" s="37" t="s">
        <v>42</v>
      </c>
      <c r="B20" s="33"/>
      <c r="C20" s="33"/>
      <c r="D20" s="33">
        <v>10</v>
      </c>
      <c r="E20" s="33"/>
      <c r="F20" s="33"/>
      <c r="G20" s="33"/>
      <c r="H20" s="35">
        <f t="shared" ref="H20" si="9">H19-F20-D20+B20</f>
        <v>7.5</v>
      </c>
      <c r="I20" s="35">
        <f t="shared" ref="I20" si="10">I19-E20+C20</f>
        <v>17.5</v>
      </c>
      <c r="J20" s="36">
        <f t="shared" ref="J20" si="11">SUM(H20:I20)</f>
        <v>25</v>
      </c>
      <c r="K20" s="30"/>
    </row>
    <row r="21" spans="1:11" s="31" customFormat="1" ht="16.5" customHeight="1" x14ac:dyDescent="0.25">
      <c r="A21" s="37" t="s">
        <v>44</v>
      </c>
      <c r="B21" s="33"/>
      <c r="C21" s="33"/>
      <c r="D21" s="33"/>
      <c r="E21" s="33">
        <v>1</v>
      </c>
      <c r="F21" s="33"/>
      <c r="G21" s="33"/>
      <c r="H21" s="35">
        <f t="shared" ref="H21" si="12">H20-F21-D21+B21</f>
        <v>7.5</v>
      </c>
      <c r="I21" s="35">
        <f t="shared" ref="I21" si="13">I20-E21+C21</f>
        <v>16.5</v>
      </c>
      <c r="J21" s="36">
        <f t="shared" ref="J21" si="14">SUM(H21:I21)</f>
        <v>24</v>
      </c>
      <c r="K21" s="30"/>
    </row>
    <row r="22" spans="1:11" s="31" customFormat="1" ht="16.5" customHeight="1" x14ac:dyDescent="0.25">
      <c r="A22" s="37" t="s">
        <v>45</v>
      </c>
      <c r="B22" s="33"/>
      <c r="C22" s="33"/>
      <c r="D22" s="33"/>
      <c r="E22" s="33"/>
      <c r="F22" s="41">
        <v>3</v>
      </c>
      <c r="G22" s="33"/>
      <c r="H22" s="35">
        <f t="shared" ref="H22" si="15">H21-F22-D22+B22</f>
        <v>4.5</v>
      </c>
      <c r="I22" s="35">
        <f t="shared" ref="I22" si="16">I21-E22+C22</f>
        <v>16.5</v>
      </c>
      <c r="J22" s="36">
        <f t="shared" ref="J22" si="17">SUM(H22:I22)</f>
        <v>21</v>
      </c>
      <c r="K22" s="30"/>
    </row>
    <row r="23" spans="1:11" s="31" customFormat="1" ht="16.5" customHeight="1" x14ac:dyDescent="0.25">
      <c r="A23" s="37" t="s">
        <v>46</v>
      </c>
      <c r="B23" s="33"/>
      <c r="C23" s="33"/>
      <c r="D23" s="33"/>
      <c r="E23" s="33">
        <v>1</v>
      </c>
      <c r="F23" s="33"/>
      <c r="G23" s="33"/>
      <c r="H23" s="35">
        <f t="shared" ref="H23:H24" si="18">H22-F23-D23+B23</f>
        <v>4.5</v>
      </c>
      <c r="I23" s="35">
        <f t="shared" ref="I23:I24" si="19">I22-E23+C23</f>
        <v>15.5</v>
      </c>
      <c r="J23" s="36">
        <f t="shared" ref="J23:J24" si="20">SUM(H23:I23)</f>
        <v>20</v>
      </c>
      <c r="K23" s="30"/>
    </row>
    <row r="24" spans="1:11" s="31" customFormat="1" ht="32.25" customHeight="1" x14ac:dyDescent="0.25">
      <c r="A24" s="42" t="s">
        <v>49</v>
      </c>
      <c r="B24" s="33"/>
      <c r="C24" s="33"/>
      <c r="D24" s="33"/>
      <c r="E24" s="33">
        <v>0.5</v>
      </c>
      <c r="F24" s="33"/>
      <c r="G24" s="33"/>
      <c r="H24" s="35">
        <f t="shared" si="18"/>
        <v>4.5</v>
      </c>
      <c r="I24" s="35">
        <f t="shared" si="19"/>
        <v>15</v>
      </c>
      <c r="J24" s="36">
        <f t="shared" si="20"/>
        <v>19.5</v>
      </c>
      <c r="K24" s="30"/>
    </row>
    <row r="25" spans="1:11" s="31" customFormat="1" ht="20.25" customHeight="1" x14ac:dyDescent="0.25">
      <c r="A25" s="42" t="s">
        <v>47</v>
      </c>
      <c r="B25" s="33">
        <v>3.75</v>
      </c>
      <c r="C25" s="33">
        <v>3.75</v>
      </c>
      <c r="D25" s="33"/>
      <c r="E25" s="33"/>
      <c r="F25" s="33"/>
      <c r="G25" s="33"/>
      <c r="H25" s="35">
        <f t="shared" ref="H25:H26" si="21">H24-F25-D25+B25</f>
        <v>8.25</v>
      </c>
      <c r="I25" s="35">
        <f t="shared" ref="I25:I26" si="22">I24-E25+C25</f>
        <v>18.75</v>
      </c>
      <c r="J25" s="36">
        <f t="shared" ref="J25:J26" si="23">SUM(H25:I25)</f>
        <v>27</v>
      </c>
      <c r="K25" s="30"/>
    </row>
    <row r="26" spans="1:11" s="31" customFormat="1" ht="20.25" customHeight="1" x14ac:dyDescent="0.25">
      <c r="A26" s="42" t="s">
        <v>48</v>
      </c>
      <c r="B26" s="33"/>
      <c r="C26" s="33"/>
      <c r="D26" s="33"/>
      <c r="E26" s="33">
        <v>1</v>
      </c>
      <c r="F26" s="33"/>
      <c r="G26" s="33"/>
      <c r="H26" s="35">
        <f t="shared" si="21"/>
        <v>8.25</v>
      </c>
      <c r="I26" s="35">
        <f t="shared" si="22"/>
        <v>17.75</v>
      </c>
      <c r="J26" s="36">
        <f t="shared" si="23"/>
        <v>26</v>
      </c>
      <c r="K26" s="30"/>
    </row>
    <row r="27" spans="1:11" s="31" customFormat="1" ht="20.25" customHeight="1" x14ac:dyDescent="0.25">
      <c r="A27" s="42"/>
      <c r="B27" s="33"/>
      <c r="C27" s="33"/>
      <c r="D27" s="33"/>
      <c r="E27" s="33"/>
      <c r="F27" s="33"/>
      <c r="G27" s="33"/>
      <c r="H27" s="35"/>
      <c r="I27" s="35"/>
      <c r="J27" s="35"/>
      <c r="K27" s="30"/>
    </row>
    <row r="28" spans="1:11" s="31" customFormat="1" ht="16.5" customHeight="1" x14ac:dyDescent="0.25">
      <c r="A28" s="38"/>
      <c r="B28" s="39"/>
      <c r="C28" s="39"/>
      <c r="D28" s="39"/>
      <c r="E28" s="39"/>
      <c r="F28" s="39"/>
      <c r="G28" s="39"/>
      <c r="H28" s="40"/>
      <c r="I28" s="40"/>
      <c r="J28" s="40"/>
      <c r="K28" s="30"/>
    </row>
    <row r="29" spans="1:11" ht="12" customHeight="1" x14ac:dyDescent="0.25">
      <c r="A29" s="6"/>
      <c r="B29" s="9"/>
      <c r="C29" s="9"/>
      <c r="D29" s="9"/>
      <c r="E29" s="9"/>
      <c r="F29" s="9"/>
      <c r="G29" s="9"/>
      <c r="H29" s="9"/>
      <c r="I29" s="9"/>
      <c r="J29" s="9"/>
    </row>
    <row r="33" spans="6:6" x14ac:dyDescent="0.25">
      <c r="F33" s="6" t="s">
        <v>21</v>
      </c>
    </row>
  </sheetData>
  <mergeCells count="13">
    <mergeCell ref="K11:K12"/>
    <mergeCell ref="B11:C11"/>
    <mergeCell ref="D11:G11"/>
    <mergeCell ref="H11:I11"/>
    <mergeCell ref="A11:A12"/>
    <mergeCell ref="J11:J12"/>
    <mergeCell ref="B9:D9"/>
    <mergeCell ref="A10:J10"/>
    <mergeCell ref="A2:J2"/>
    <mergeCell ref="A3:J3"/>
    <mergeCell ref="A4:J4"/>
    <mergeCell ref="A5:J5"/>
    <mergeCell ref="B7:D7"/>
  </mergeCells>
  <phoneticPr fontId="5" type="noConversion"/>
  <printOptions horizontalCentered="1"/>
  <pageMargins left="0.23622047244094491" right="0.23622047244094491" top="0.11811023622047245" bottom="0.11811023622047245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0D6-7B5B-43DD-97C7-D6CACC0F080F}">
  <sheetPr>
    <pageSetUpPr fitToPage="1"/>
  </sheetPr>
  <dimension ref="A1:L23"/>
  <sheetViews>
    <sheetView view="pageBreakPreview" zoomScaleNormal="100" zoomScaleSheetLayoutView="100" workbookViewId="0">
      <selection activeCell="A36" sqref="A36"/>
    </sheetView>
  </sheetViews>
  <sheetFormatPr defaultRowHeight="15" x14ac:dyDescent="0.25"/>
  <cols>
    <col min="1" max="1" width="23.7109375" style="23" customWidth="1"/>
    <col min="2" max="2" width="11.42578125" style="23" customWidth="1"/>
    <col min="3" max="4" width="9.140625" style="23"/>
    <col min="5" max="5" width="13" style="23" customWidth="1"/>
    <col min="6" max="11" width="9.140625" style="23"/>
    <col min="12" max="12" width="10.5703125" style="23" customWidth="1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65" t="s">
        <v>13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x14ac:dyDescent="0.25">
      <c r="A5" s="65" t="s">
        <v>14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x14ac:dyDescent="0.25">
      <c r="A6" s="65" t="s">
        <v>15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5" t="s">
        <v>16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 t="s">
        <v>17</v>
      </c>
      <c r="B9" s="10"/>
      <c r="C9" s="11" t="s">
        <v>18</v>
      </c>
      <c r="D9" s="11"/>
      <c r="E9" s="10"/>
      <c r="F9" s="10"/>
      <c r="G9" s="11" t="s">
        <v>9</v>
      </c>
      <c r="H9" s="12"/>
      <c r="I9" s="10"/>
      <c r="J9" s="10"/>
      <c r="K9" s="10"/>
      <c r="L9" s="10"/>
    </row>
    <row r="10" spans="1:12" x14ac:dyDescent="0.25">
      <c r="A10" s="10"/>
      <c r="B10" s="10"/>
      <c r="C10" s="13"/>
      <c r="D10" s="10"/>
      <c r="E10" s="10"/>
      <c r="F10" s="10"/>
      <c r="G10" s="13"/>
      <c r="H10" s="13"/>
      <c r="I10" s="10"/>
      <c r="J10" s="10"/>
      <c r="K10" s="10"/>
      <c r="L10" s="10"/>
    </row>
    <row r="11" spans="1:12" x14ac:dyDescent="0.25">
      <c r="A11" s="10" t="s">
        <v>19</v>
      </c>
      <c r="B11" s="10"/>
      <c r="C11" s="11" t="s">
        <v>20</v>
      </c>
      <c r="D11" s="11"/>
      <c r="E11" s="10"/>
      <c r="F11" s="10"/>
      <c r="G11" s="11" t="s">
        <v>10</v>
      </c>
      <c r="H11" s="14"/>
      <c r="I11" s="10"/>
      <c r="J11" s="10"/>
      <c r="K11" s="10"/>
      <c r="L11" s="10"/>
    </row>
    <row r="12" spans="1:12" ht="21.75" thickBot="1" x14ac:dyDescent="0.3">
      <c r="A12" s="66" t="s">
        <v>28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2" x14ac:dyDescent="0.25">
      <c r="A13" s="67" t="s">
        <v>4</v>
      </c>
      <c r="B13" s="69" t="s">
        <v>5</v>
      </c>
      <c r="C13" s="70"/>
      <c r="D13" s="70"/>
      <c r="E13" s="70"/>
      <c r="F13" s="70"/>
      <c r="G13" s="70"/>
      <c r="H13" s="70"/>
      <c r="I13" s="70"/>
      <c r="J13" s="70"/>
      <c r="K13" s="70"/>
      <c r="L13" s="71" t="s">
        <v>8</v>
      </c>
    </row>
    <row r="14" spans="1:12" x14ac:dyDescent="0.25">
      <c r="A14" s="68"/>
      <c r="B14" s="73" t="s">
        <v>29</v>
      </c>
      <c r="C14" s="74"/>
      <c r="D14" s="74"/>
      <c r="E14" s="75"/>
      <c r="F14" s="73" t="s">
        <v>30</v>
      </c>
      <c r="G14" s="75"/>
      <c r="H14" s="73" t="s">
        <v>31</v>
      </c>
      <c r="I14" s="75"/>
      <c r="J14" s="73" t="s">
        <v>32</v>
      </c>
      <c r="K14" s="75"/>
      <c r="L14" s="72"/>
    </row>
    <row r="15" spans="1:12" s="17" customFormat="1" ht="25.5" customHeight="1" x14ac:dyDescent="0.2">
      <c r="A15" s="15" t="s">
        <v>33</v>
      </c>
      <c r="B15" s="59" t="s">
        <v>34</v>
      </c>
      <c r="C15" s="59"/>
      <c r="D15" s="59"/>
      <c r="E15" s="59"/>
      <c r="F15" s="59">
        <v>1</v>
      </c>
      <c r="G15" s="59"/>
      <c r="H15" s="59">
        <v>0</v>
      </c>
      <c r="I15" s="59"/>
      <c r="J15" s="59">
        <v>1</v>
      </c>
      <c r="K15" s="59"/>
      <c r="L15" s="16">
        <v>1</v>
      </c>
    </row>
    <row r="16" spans="1:12" s="17" customFormat="1" ht="30.75" customHeight="1" x14ac:dyDescent="0.2">
      <c r="A16" s="15" t="s">
        <v>40</v>
      </c>
      <c r="B16" s="59" t="s">
        <v>34</v>
      </c>
      <c r="C16" s="59"/>
      <c r="D16" s="59"/>
      <c r="E16" s="59"/>
      <c r="F16" s="60"/>
      <c r="G16" s="61"/>
      <c r="H16" s="59">
        <v>1</v>
      </c>
      <c r="I16" s="59"/>
      <c r="J16" s="59">
        <v>0</v>
      </c>
      <c r="K16" s="59"/>
      <c r="L16" s="18">
        <v>0</v>
      </c>
    </row>
    <row r="17" spans="1:12" x14ac:dyDescent="0.25">
      <c r="A17" s="19" t="s">
        <v>35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4.5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</row>
    <row r="19" spans="1:12" x14ac:dyDescent="0.25">
      <c r="A19" s="10"/>
      <c r="B19" s="10"/>
      <c r="C19" s="22"/>
      <c r="D19" s="10"/>
      <c r="E19" s="10"/>
      <c r="F19" s="10"/>
      <c r="G19" s="10"/>
      <c r="H19" s="10"/>
      <c r="I19" s="10" t="s">
        <v>36</v>
      </c>
      <c r="J19" s="10"/>
      <c r="K19" s="10"/>
      <c r="L19" s="10"/>
    </row>
    <row r="20" spans="1:12" ht="12.75" customHeight="1" x14ac:dyDescent="0.25">
      <c r="A20" s="10"/>
      <c r="B20" s="10"/>
      <c r="C20" s="22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63"/>
      <c r="B21" s="63"/>
      <c r="I21" s="24" t="s">
        <v>37</v>
      </c>
      <c r="J21" s="25"/>
    </row>
    <row r="22" spans="1:12" x14ac:dyDescent="0.25">
      <c r="A22" s="64"/>
      <c r="B22" s="64"/>
      <c r="I22" s="23" t="s">
        <v>38</v>
      </c>
    </row>
    <row r="23" spans="1:12" x14ac:dyDescent="0.25">
      <c r="A23" s="58"/>
      <c r="B23" s="58"/>
      <c r="I23" s="58" t="s">
        <v>39</v>
      </c>
      <c r="J23" s="58"/>
    </row>
  </sheetData>
  <mergeCells count="25">
    <mergeCell ref="A13:A14"/>
    <mergeCell ref="B13:K13"/>
    <mergeCell ref="L13:L14"/>
    <mergeCell ref="B14:E14"/>
    <mergeCell ref="F14:G14"/>
    <mergeCell ref="H14:I14"/>
    <mergeCell ref="J14:K14"/>
    <mergeCell ref="A4:L4"/>
    <mergeCell ref="A5:L5"/>
    <mergeCell ref="A6:L6"/>
    <mergeCell ref="A7:L7"/>
    <mergeCell ref="A12:L12"/>
    <mergeCell ref="B15:E15"/>
    <mergeCell ref="F15:G15"/>
    <mergeCell ref="H15:I15"/>
    <mergeCell ref="J15:K15"/>
    <mergeCell ref="A22:B22"/>
    <mergeCell ref="A23:B23"/>
    <mergeCell ref="I23:J23"/>
    <mergeCell ref="B16:E16"/>
    <mergeCell ref="F16:G16"/>
    <mergeCell ref="H16:I16"/>
    <mergeCell ref="J16:K16"/>
    <mergeCell ref="A18:L18"/>
    <mergeCell ref="A21:B21"/>
  </mergeCells>
  <pageMargins left="0.7" right="0.7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2026-01-14T04:27:17Z</cp:lastPrinted>
  <dcterms:created xsi:type="dcterms:W3CDTF">2021-10-07T06:10:16Z</dcterms:created>
  <dcterms:modified xsi:type="dcterms:W3CDTF">2026-01-14T04:28:10Z</dcterms:modified>
</cp:coreProperties>
</file>