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2A98DDC-2B0B-4EDD-AA52-E3C6DA8B7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4" r:id="rId1"/>
  </sheets>
  <definedNames>
    <definedName name="_xlnm.Print_Area" localSheetId="0">'Leave Card (NE)'!$A$1:$K$42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4" l="1"/>
  <c r="I35" i="4" s="1"/>
  <c r="J34" i="4"/>
  <c r="J35" i="4" s="1"/>
  <c r="K34" i="4"/>
  <c r="J13" i="4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I13" i="4"/>
  <c r="I14" i="4" s="1"/>
  <c r="K35" i="4" l="1"/>
  <c r="K13" i="4"/>
  <c r="I15" i="4"/>
  <c r="I16" i="4" s="1"/>
  <c r="K14" i="4"/>
  <c r="K16" i="4" l="1"/>
  <c r="I17" i="4"/>
  <c r="K15" i="4"/>
  <c r="K17" i="4" l="1"/>
  <c r="I18" i="4"/>
  <c r="K18" i="4" l="1"/>
  <c r="I19" i="4"/>
  <c r="I20" i="4" l="1"/>
  <c r="K19" i="4"/>
  <c r="K20" i="4" l="1"/>
  <c r="I21" i="4"/>
  <c r="K21" i="4" l="1"/>
  <c r="I22" i="4"/>
  <c r="K22" i="4" l="1"/>
  <c r="I23" i="4"/>
  <c r="I24" i="4" l="1"/>
  <c r="K23" i="4"/>
  <c r="K24" i="4" l="1"/>
  <c r="I25" i="4"/>
  <c r="K25" i="4" l="1"/>
  <c r="I26" i="4"/>
  <c r="K26" i="4" l="1"/>
  <c r="I27" i="4"/>
  <c r="K27" i="4" l="1"/>
  <c r="I28" i="4"/>
  <c r="K28" i="4" l="1"/>
  <c r="I29" i="4"/>
  <c r="K29" i="4" l="1"/>
  <c r="I30" i="4"/>
  <c r="I31" i="4" l="1"/>
  <c r="K30" i="4"/>
  <c r="K31" i="4" l="1"/>
  <c r="I32" i="4"/>
  <c r="K32" i="4" l="1"/>
  <c r="I33" i="4"/>
  <c r="K33" i="4" s="1"/>
</calcChain>
</file>

<file path=xl/sharedStrings.xml><?xml version="1.0" encoding="utf-8"?>
<sst xmlns="http://schemas.openxmlformats.org/spreadsheetml/2006/main" count="50" uniqueCount="46">
  <si>
    <t>Republic of the Philippines</t>
  </si>
  <si>
    <t>Department of Education</t>
  </si>
  <si>
    <t>SCHOOLS DIVISION OF SIPALAY CITY</t>
  </si>
  <si>
    <t>PERIOD COVERED</t>
  </si>
  <si>
    <t>LEAVE EARNED</t>
  </si>
  <si>
    <t>TOTAL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</si>
  <si>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</si>
  <si>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</si>
  <si>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</si>
  <si>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</si>
  <si>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</si>
  <si>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</si>
  <si>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</si>
  <si>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</si>
  <si>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</si>
  <si>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</si>
  <si>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</si>
  <si>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</si>
  <si>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</si>
  <si>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</si>
  <si>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</si>
  <si>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HOME VISIT</t>
  </si>
  <si>
    <t>NEGROS ISLAND REGION</t>
  </si>
  <si>
    <t>Balance forwarded</t>
  </si>
  <si>
    <t>ADD: 01/1/2025-02/28/2025</t>
  </si>
  <si>
    <t>LESS: 03/5/2025</t>
  </si>
  <si>
    <t>ADD: 03/1-31/2025</t>
  </si>
  <si>
    <t>LESS: 04/14/2025</t>
  </si>
  <si>
    <t>LESS: 04/21-22/2025</t>
  </si>
  <si>
    <t>ADD: 04/1/2025-05/31/2025</t>
  </si>
  <si>
    <t>LESS: MONETIZATION 2025</t>
  </si>
  <si>
    <t>LESS: 06/19/2025</t>
  </si>
  <si>
    <t>ADD: 06/1-30/2025</t>
  </si>
  <si>
    <t>LESS: 07/10/2025</t>
  </si>
  <si>
    <t>LESS: 07/18/2025</t>
  </si>
  <si>
    <t>ADD: 07/1-31/2025</t>
  </si>
  <si>
    <t>LESS: 08/11 &amp; 22/2025</t>
  </si>
  <si>
    <t>LESS: 08/26/2025</t>
  </si>
  <si>
    <t>ADD: 08/1-31/2025</t>
  </si>
  <si>
    <t>LESS: 09/18-19/2025</t>
  </si>
  <si>
    <t>ADD: 09/1-30/2025</t>
  </si>
  <si>
    <t>LESS: 11/10/2025</t>
  </si>
  <si>
    <t>LESS: 10/30/2025</t>
  </si>
  <si>
    <t>LESS: 11/3-4/2025</t>
  </si>
  <si>
    <t>ADD: 10/1/2025-11/30/2025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</si>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</sst>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3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0" xfId="0" applyFont="1"/>
    <xf numFmtId="16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4">
    <cellStyle name="Normal" xfId="0" builtinId="0"/>
    <cellStyle name="Normal 2" xfId="2" xr:uid="{29DC33C2-ED34-47D9-B6FD-D61DD017D699}"/>
    <cellStyle name="Normal 2 2" xfId="3" xr:uid="{8C93AFBF-AD38-45F1-B434-5493638397D7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44931</xdr:colOff>
      <xdr:row>0</xdr:row>
      <xdr:rowOff>89858</xdr:rowOff>
    </xdr:from>
    <xdr:to>
      <xdr:col>4</xdr:col>
      <xdr:colOff>607697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02831-985E-4DCE-84FA-3E91C0C3E5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1039" y="89858"/>
          <a:ext cx="562766" cy="5750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403211</xdr:colOff>
      <xdr:row>4</xdr:row>
      <xdr:rowOff>152989</xdr:rowOff>
    </xdr:from>
    <xdr:to>
      <xdr:col>0</xdr:col>
      <xdr:colOff>2093703</xdr:colOff>
      <xdr:row>6</xdr:row>
      <xdr:rowOff>98038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01CBB5-752A-46F3-88E5-CF605BC06B6E}"/>
            </a:ext>
          </a:extLst>
        </xdr:cNvPr>
        <xdr:cNvSpPr txBox="1"/>
      </xdr:nvSpPr>
      <xdr:spPr>
        <a:xfrm>
          <a:off x="403211" y="1348107"/>
          <a:ext cx="1690492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DEPOSITARIO, DONDY A.</a:t>
          </a:r>
          <a:endParaRPr lang="en-PH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BDD85B-4FBE-4D7C-8527-A5B2D0A9CB48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SGOD-CHIEF/OIC-ASDS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E0935C-AD6C-406F-B165-6BBFD2D1A4D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  <xdr:twoCellAnchor>
    <xdr:from>
      <xdr:col>7</xdr:col>
      <xdr:colOff>293538</xdr:colOff>
      <xdr:row>36</xdr:row>
      <xdr:rowOff>44928</xdr:rowOff>
    </xdr:from>
    <xdr:to>
      <xdr:col>10</xdr:col>
      <xdr:colOff>557123</xdr:colOff>
      <xdr:row>41</xdr:row>
      <xdr:rowOff>161745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4CEBBA-43A8-4E52-963D-C27334DFD5DB}"/>
            </a:ext>
          </a:extLst>
        </xdr:cNvPr>
        <xdr:cNvSpPr txBox="1"/>
      </xdr:nvSpPr>
      <xdr:spPr>
        <a:xfrm>
          <a:off x="7365401" y="6406909"/>
          <a:ext cx="2644835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1C16-EFE6-4D0A-AF5E-D61149990B4B}">
  <dimension ref="A1:L38"/>
  <sheetViews>
    <sheetView tabSelected="1" view="pageBreakPreview" topLeftCell="A10" zoomScale="106" zoomScaleNormal="100" zoomScaleSheetLayoutView="106" workbookViewId="0">
      <selection activeCell="F30" sqref="F30"/>
    </sheetView>
  </sheetViews>
  <sheetFormatPr defaultRowHeight="15" x14ac:dyDescent="0.25"/>
  <cols>
    <col min="1" max="1" width="32.28515625" customWidth="1"/>
    <col min="2" max="2" width="11.5703125" customWidth="1"/>
    <col min="3" max="3" width="10.140625" customWidth="1"/>
    <col min="4" max="4" width="11.5703125" customWidth="1"/>
    <col min="5" max="5" width="9.85546875" customWidth="1"/>
    <col min="6" max="6" width="10.42578125" style="9" customWidth="1"/>
    <col min="7" max="7" width="9.85546875" style="9" customWidth="1"/>
    <col min="8" max="8" width="12.5703125" style="9" customWidth="1"/>
    <col min="9" max="9" width="11.5703125" customWidth="1"/>
    <col min="10" max="10" width="9.140625" customWidth="1"/>
    <col min="11" max="11" width="11.5703125" customWidth="1"/>
    <col min="12" max="12" width="26.42578125" style="7" customWidth="1"/>
  </cols>
  <sheetData>
    <row r="1" spans="1:12" s="1" customFormat="1" ht="52.5" customHeight="1" x14ac:dyDescent="0.25"/>
    <row r="2" spans="1:12" s="1" customFormat="1" ht="10.5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2" s="1" customFormat="1" ht="15.95" customHeight="1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2" s="1" customFormat="1" ht="15.95" customHeight="1" x14ac:dyDescent="0.25">
      <c r="A4" s="18" t="s">
        <v>22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2" s="1" customFormat="1" ht="15.95" customHeight="1" x14ac:dyDescent="0.25">
      <c r="A5" s="18" t="s">
        <v>2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2" s="1" customFormat="1" ht="8.25" customHeight="1" x14ac:dyDescent="0.25"/>
    <row r="7" spans="1:12" s="1" customFormat="1" ht="12" customHeight="1" x14ac:dyDescent="0.25">
      <c r="A7" s="1" t="s">
        <v>6</v>
      </c>
      <c r="B7" s="17" t="s">
        <v>7</v>
      </c>
      <c r="C7" s="17"/>
      <c r="D7" s="17"/>
      <c r="I7" s="2" t="s">
        <v>8</v>
      </c>
      <c r="J7" s="4"/>
      <c r="K7" s="2"/>
    </row>
    <row r="8" spans="1:12" s="1" customFormat="1" ht="12" customHeight="1" x14ac:dyDescent="0.25">
      <c r="B8" s="3"/>
      <c r="C8" s="3"/>
      <c r="I8" s="3"/>
      <c r="J8" s="3"/>
      <c r="K8" s="3"/>
    </row>
    <row r="9" spans="1:12" s="1" customFormat="1" ht="12" customHeight="1" x14ac:dyDescent="0.25">
      <c r="A9" s="1" t="s">
        <v>9</v>
      </c>
      <c r="B9" s="17" t="s">
        <v>10</v>
      </c>
      <c r="C9" s="17"/>
      <c r="D9" s="17"/>
      <c r="I9" s="2" t="s">
        <v>11</v>
      </c>
      <c r="J9" s="5"/>
      <c r="K9" s="2"/>
    </row>
    <row r="10" spans="1:12" ht="23.25" customHeight="1" thickBot="1" x14ac:dyDescent="0.3">
      <c r="A10" s="20" t="s">
        <v>12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/>
    </row>
    <row r="11" spans="1:12" ht="18.75" customHeight="1" x14ac:dyDescent="0.25">
      <c r="A11" s="21" t="s">
        <v>3</v>
      </c>
      <c r="B11" s="23" t="s">
        <v>4</v>
      </c>
      <c r="C11" s="24"/>
      <c r="D11" s="25" t="s">
        <v>13</v>
      </c>
      <c r="E11" s="26"/>
      <c r="F11" s="26"/>
      <c r="G11" s="27"/>
      <c r="H11" s="10"/>
      <c r="I11" s="28" t="s">
        <v>14</v>
      </c>
      <c r="J11" s="29"/>
      <c r="K11" s="30" t="s">
        <v>5</v>
      </c>
      <c r="L11" s="19" t="s">
        <v>15</v>
      </c>
    </row>
    <row r="12" spans="1:12" ht="18.75" customHeight="1" x14ac:dyDescent="0.25">
      <c r="A12" s="22"/>
      <c r="B12" s="6" t="s">
        <v>16</v>
      </c>
      <c r="C12" s="6" t="s">
        <v>17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21</v>
      </c>
      <c r="I12" s="6" t="s">
        <v>16</v>
      </c>
      <c r="J12" s="6" t="s">
        <v>17</v>
      </c>
      <c r="K12" s="31"/>
      <c r="L12" s="19"/>
    </row>
    <row r="13" spans="1:12" ht="24.75" customHeight="1" x14ac:dyDescent="0.25">
      <c r="A13" s="12" t="s">
        <v>23</v>
      </c>
      <c r="B13" s="13">
        <v>5.4</v>
      </c>
      <c r="C13" s="13">
        <v>8.2899999999999991</v>
      </c>
      <c r="D13" s="13"/>
      <c r="E13" s="13"/>
      <c r="F13" s="13"/>
      <c r="G13" s="13"/>
      <c r="H13" s="13"/>
      <c r="I13" s="8">
        <f>B13</f>
        <v>5.4</v>
      </c>
      <c r="J13" s="8">
        <f>C13</f>
        <v>8.2899999999999991</v>
      </c>
      <c r="K13" s="8">
        <f>SUM(I13:J13)</f>
        <v>13.69</v>
      </c>
    </row>
    <row r="14" spans="1:12" ht="12" customHeight="1" x14ac:dyDescent="0.25">
      <c r="A14" s="14" t="s">
        <v>24</v>
      </c>
      <c r="B14" s="13">
        <v>2.5</v>
      </c>
      <c r="C14" s="13">
        <v>2.5</v>
      </c>
      <c r="D14" s="13"/>
      <c r="E14" s="13"/>
      <c r="F14" s="13"/>
      <c r="G14" s="13"/>
      <c r="H14" s="13"/>
      <c r="I14" s="8">
        <f>I13-F14-D14+B14</f>
        <v>7.9</v>
      </c>
      <c r="J14" s="8">
        <f>J13-E14+C14</f>
        <v>10.79</v>
      </c>
      <c r="K14" s="8">
        <f>SUM(I14:J14)</f>
        <v>18.689999999999998</v>
      </c>
    </row>
    <row r="15" spans="1:12" ht="12" customHeight="1" x14ac:dyDescent="0.25">
      <c r="A15" s="14" t="s">
        <v>25</v>
      </c>
      <c r="B15" s="13"/>
      <c r="C15" s="13"/>
      <c r="D15" s="13"/>
      <c r="E15" s="13"/>
      <c r="F15" s="13"/>
      <c r="G15" s="16">
        <v>1</v>
      </c>
      <c r="H15" s="13"/>
      <c r="I15" s="8">
        <f t="shared" ref="I15" si="0">I14-F15-D15+B15</f>
        <v>7.9</v>
      </c>
      <c r="J15" s="8">
        <f t="shared" ref="J15" si="1">J14-E15+C15</f>
        <v>10.79</v>
      </c>
      <c r="K15" s="8">
        <f t="shared" ref="K15" si="2">SUM(I15:J15)</f>
        <v>18.689999999999998</v>
      </c>
    </row>
    <row r="16" spans="1:12" ht="12.75" customHeight="1" x14ac:dyDescent="0.25">
      <c r="A16" s="14" t="s">
        <v>26</v>
      </c>
      <c r="B16" s="13">
        <v>1.25</v>
      </c>
      <c r="C16" s="13">
        <v>1.25</v>
      </c>
      <c r="D16" s="13"/>
      <c r="E16" s="13"/>
      <c r="F16" s="13"/>
      <c r="G16" s="13"/>
      <c r="H16" s="13"/>
      <c r="I16" s="8">
        <f t="shared" ref="I16" si="3">I15-F16-D16+B16</f>
        <v>9.15</v>
      </c>
      <c r="J16" s="8">
        <f t="shared" ref="J16" si="4">J15-E16+C16</f>
        <v>12.04</v>
      </c>
      <c r="K16" s="8">
        <f t="shared" ref="K16" si="5">SUM(I16:J16)</f>
        <v>21.189999999999998</v>
      </c>
    </row>
    <row r="17" spans="1:11" ht="12" customHeight="1" x14ac:dyDescent="0.25">
      <c r="A17" s="14" t="s">
        <v>27</v>
      </c>
      <c r="B17" s="13"/>
      <c r="C17" s="13"/>
      <c r="D17" s="13"/>
      <c r="E17" s="13"/>
      <c r="F17" s="13"/>
      <c r="G17" s="16">
        <v>0.5</v>
      </c>
      <c r="H17" s="13"/>
      <c r="I17" s="8">
        <f t="shared" ref="I17" si="6">I16-F17-D17+B17</f>
        <v>9.15</v>
      </c>
      <c r="J17" s="8">
        <f t="shared" ref="J17" si="7">J16-E17+C17</f>
        <v>12.04</v>
      </c>
      <c r="K17" s="8">
        <f t="shared" ref="K17" si="8">SUM(I17:J17)</f>
        <v>21.189999999999998</v>
      </c>
    </row>
    <row r="18" spans="1:11" ht="12" customHeight="1" x14ac:dyDescent="0.25">
      <c r="A18" s="14" t="s">
        <v>28</v>
      </c>
      <c r="B18" s="13"/>
      <c r="C18" s="13"/>
      <c r="D18" s="13"/>
      <c r="E18" s="13"/>
      <c r="F18" s="11">
        <v>2</v>
      </c>
      <c r="G18" s="13"/>
      <c r="H18" s="13"/>
      <c r="I18" s="8">
        <f t="shared" ref="I18:I21" si="9">I17-F18-D18+B18</f>
        <v>7.15</v>
      </c>
      <c r="J18" s="8">
        <f t="shared" ref="J18:J21" si="10">J17-E18+C18</f>
        <v>12.04</v>
      </c>
      <c r="K18" s="8">
        <f t="shared" ref="K18:K21" si="11">SUM(I18:J18)</f>
        <v>19.189999999999998</v>
      </c>
    </row>
    <row r="19" spans="1:11" ht="12" customHeight="1" x14ac:dyDescent="0.25">
      <c r="A19" s="14" t="s">
        <v>29</v>
      </c>
      <c r="B19" s="13">
        <v>2.5</v>
      </c>
      <c r="C19" s="13">
        <v>2.5</v>
      </c>
      <c r="D19" s="13"/>
      <c r="E19" s="13"/>
      <c r="F19" s="13"/>
      <c r="G19" s="13"/>
      <c r="H19" s="13"/>
      <c r="I19" s="8">
        <f t="shared" si="9"/>
        <v>9.65</v>
      </c>
      <c r="J19" s="8">
        <f t="shared" si="10"/>
        <v>14.54</v>
      </c>
      <c r="K19" s="8">
        <f t="shared" si="11"/>
        <v>24.189999999999998</v>
      </c>
    </row>
    <row r="20" spans="1:11" ht="12" customHeight="1" x14ac:dyDescent="0.25">
      <c r="A20" s="14" t="s">
        <v>30</v>
      </c>
      <c r="B20" s="13"/>
      <c r="C20" s="13"/>
      <c r="D20" s="13">
        <v>3</v>
      </c>
      <c r="E20" s="13">
        <v>7</v>
      </c>
      <c r="F20" s="13"/>
      <c r="G20" s="13"/>
      <c r="H20" s="13"/>
      <c r="I20" s="8">
        <f t="shared" si="9"/>
        <v>6.65</v>
      </c>
      <c r="J20" s="8">
        <f t="shared" si="10"/>
        <v>7.5399999999999991</v>
      </c>
      <c r="K20" s="8">
        <f t="shared" si="11"/>
        <v>14.19</v>
      </c>
    </row>
    <row r="21" spans="1:11" ht="12" customHeight="1" x14ac:dyDescent="0.25">
      <c r="A21" s="14" t="s">
        <v>31</v>
      </c>
      <c r="B21" s="13"/>
      <c r="C21" s="13"/>
      <c r="D21" s="13"/>
      <c r="E21" s="13">
        <v>0.5</v>
      </c>
      <c r="F21" s="13"/>
      <c r="G21" s="13"/>
      <c r="H21" s="13"/>
      <c r="I21" s="8">
        <f t="shared" si="9"/>
        <v>6.65</v>
      </c>
      <c r="J21" s="8">
        <f t="shared" si="10"/>
        <v>7.0399999999999991</v>
      </c>
      <c r="K21" s="8">
        <f t="shared" si="11"/>
        <v>13.69</v>
      </c>
    </row>
    <row r="22" spans="1:11" ht="12" customHeight="1" x14ac:dyDescent="0.25">
      <c r="A22" s="14" t="s">
        <v>32</v>
      </c>
      <c r="B22" s="13">
        <v>1.25</v>
      </c>
      <c r="C22" s="13">
        <v>1.25</v>
      </c>
      <c r="D22" s="13"/>
      <c r="E22" s="13"/>
      <c r="F22" s="13"/>
      <c r="G22" s="13"/>
      <c r="H22" s="13"/>
      <c r="I22" s="8">
        <f t="shared" ref="I22:I27" si="12">I21-F22-D22+B22</f>
        <v>7.9</v>
      </c>
      <c r="J22" s="8">
        <f t="shared" ref="J22:J27" si="13">J21-E22+C22</f>
        <v>8.2899999999999991</v>
      </c>
      <c r="K22" s="8">
        <f t="shared" ref="K22:K27" si="14">SUM(I22:J22)</f>
        <v>16.189999999999998</v>
      </c>
    </row>
    <row r="23" spans="1:11" ht="12" customHeight="1" x14ac:dyDescent="0.25">
      <c r="A23" s="14" t="s">
        <v>33</v>
      </c>
      <c r="B23" s="13"/>
      <c r="C23" s="13"/>
      <c r="D23" s="13"/>
      <c r="E23" s="13"/>
      <c r="F23" s="13"/>
      <c r="G23" s="16">
        <v>0.5</v>
      </c>
      <c r="H23" s="13"/>
      <c r="I23" s="8">
        <f t="shared" si="12"/>
        <v>7.9</v>
      </c>
      <c r="J23" s="8">
        <f t="shared" si="13"/>
        <v>8.2899999999999991</v>
      </c>
      <c r="K23" s="8">
        <f t="shared" si="14"/>
        <v>16.189999999999998</v>
      </c>
    </row>
    <row r="24" spans="1:11" ht="14.25" customHeight="1" x14ac:dyDescent="0.25">
      <c r="A24" s="14" t="s">
        <v>34</v>
      </c>
      <c r="B24" s="13"/>
      <c r="C24" s="13"/>
      <c r="D24" s="13"/>
      <c r="E24" s="13"/>
      <c r="F24" s="13"/>
      <c r="G24" s="16">
        <v>0.5</v>
      </c>
      <c r="H24" s="13"/>
      <c r="I24" s="8">
        <f t="shared" si="12"/>
        <v>7.9</v>
      </c>
      <c r="J24" s="8">
        <f t="shared" si="13"/>
        <v>8.2899999999999991</v>
      </c>
      <c r="K24" s="8">
        <f t="shared" si="14"/>
        <v>16.189999999999998</v>
      </c>
    </row>
    <row r="25" spans="1:11" ht="12" customHeight="1" x14ac:dyDescent="0.25">
      <c r="A25" s="14" t="s">
        <v>35</v>
      </c>
      <c r="B25" s="13">
        <v>1.25</v>
      </c>
      <c r="C25" s="13">
        <v>1.25</v>
      </c>
      <c r="D25" s="13"/>
      <c r="E25" s="13"/>
      <c r="F25" s="13"/>
      <c r="G25" s="13"/>
      <c r="H25" s="13"/>
      <c r="I25" s="8">
        <f t="shared" si="12"/>
        <v>9.15</v>
      </c>
      <c r="J25" s="8">
        <f t="shared" si="13"/>
        <v>9.5399999999999991</v>
      </c>
      <c r="K25" s="8">
        <f t="shared" si="14"/>
        <v>18.689999999999998</v>
      </c>
    </row>
    <row r="26" spans="1:11" s="7" customFormat="1" ht="16.5" customHeight="1" x14ac:dyDescent="0.25">
      <c r="A26" s="12" t="s">
        <v>36</v>
      </c>
      <c r="B26" s="15"/>
      <c r="C26" s="13"/>
      <c r="D26" s="13"/>
      <c r="E26" s="13"/>
      <c r="F26" s="13"/>
      <c r="G26" s="13"/>
      <c r="H26" s="13">
        <v>2</v>
      </c>
      <c r="I26" s="8">
        <f t="shared" si="12"/>
        <v>9.15</v>
      </c>
      <c r="J26" s="8">
        <f t="shared" si="13"/>
        <v>9.5399999999999991</v>
      </c>
      <c r="K26" s="8">
        <f t="shared" si="14"/>
        <v>18.689999999999998</v>
      </c>
    </row>
    <row r="27" spans="1:11" s="7" customFormat="1" ht="16.5" customHeight="1" x14ac:dyDescent="0.25">
      <c r="A27" s="12" t="s">
        <v>37</v>
      </c>
      <c r="B27" s="15"/>
      <c r="C27" s="13"/>
      <c r="D27" s="13"/>
      <c r="E27" s="13"/>
      <c r="F27" s="11">
        <v>1</v>
      </c>
      <c r="G27" s="13"/>
      <c r="H27" s="13"/>
      <c r="I27" s="8">
        <f t="shared" si="12"/>
        <v>8.15</v>
      </c>
      <c r="J27" s="8">
        <f t="shared" si="13"/>
        <v>9.5399999999999991</v>
      </c>
      <c r="K27" s="8">
        <f t="shared" si="14"/>
        <v>17.689999999999998</v>
      </c>
    </row>
    <row r="28" spans="1:11" s="7" customFormat="1" ht="16.5" customHeight="1" x14ac:dyDescent="0.25">
      <c r="A28" s="12" t="s">
        <v>38</v>
      </c>
      <c r="B28" s="13">
        <v>1.25</v>
      </c>
      <c r="C28" s="13">
        <v>1.25</v>
      </c>
      <c r="D28" s="13"/>
      <c r="E28" s="13"/>
      <c r="F28" s="13"/>
      <c r="G28" s="13"/>
      <c r="H28" s="13"/>
      <c r="I28" s="8">
        <f t="shared" ref="I28:I29" si="15">I27-F28-D28+B28</f>
        <v>9.4</v>
      </c>
      <c r="J28" s="8">
        <f t="shared" ref="J28:J29" si="16">J27-E28+C28</f>
        <v>10.79</v>
      </c>
      <c r="K28" s="8">
        <f t="shared" ref="K28:K29" si="17">SUM(I28:J28)</f>
        <v>20.189999999999998</v>
      </c>
    </row>
    <row r="29" spans="1:11" s="7" customFormat="1" ht="16.5" customHeight="1" x14ac:dyDescent="0.25">
      <c r="A29" s="12" t="s">
        <v>39</v>
      </c>
      <c r="B29" s="15"/>
      <c r="C29" s="13"/>
      <c r="D29" s="13"/>
      <c r="E29" s="13"/>
      <c r="F29" s="13"/>
      <c r="G29" s="13"/>
      <c r="H29" s="13">
        <v>2</v>
      </c>
      <c r="I29" s="8">
        <f t="shared" si="15"/>
        <v>9.4</v>
      </c>
      <c r="J29" s="8">
        <f t="shared" si="16"/>
        <v>10.79</v>
      </c>
      <c r="K29" s="8">
        <f t="shared" si="17"/>
        <v>20.189999999999998</v>
      </c>
    </row>
    <row r="30" spans="1:11" s="7" customFormat="1" ht="16.5" customHeight="1" x14ac:dyDescent="0.25">
      <c r="A30" s="12" t="s">
        <v>40</v>
      </c>
      <c r="B30" s="13">
        <v>1.25</v>
      </c>
      <c r="C30" s="13">
        <v>1.25</v>
      </c>
      <c r="D30" s="13"/>
      <c r="E30" s="13"/>
      <c r="F30" s="13"/>
      <c r="G30" s="13"/>
      <c r="H30" s="13"/>
      <c r="I30" s="8">
        <f t="shared" ref="I30:I32" si="18">I29-F30-D30+B30</f>
        <v>10.65</v>
      </c>
      <c r="J30" s="8">
        <f t="shared" ref="J30:J32" si="19">J29-E30+C30</f>
        <v>12.04</v>
      </c>
      <c r="K30" s="8">
        <f t="shared" ref="K30:K32" si="20">SUM(I30:J30)</f>
        <v>22.689999999999998</v>
      </c>
    </row>
    <row r="31" spans="1:11" s="7" customFormat="1" ht="16.5" customHeight="1" x14ac:dyDescent="0.25">
      <c r="A31" s="12" t="s">
        <v>42</v>
      </c>
      <c r="B31" s="13"/>
      <c r="C31" s="13"/>
      <c r="D31" s="13"/>
      <c r="E31" s="13"/>
      <c r="F31" s="13"/>
      <c r="G31" s="13"/>
      <c r="H31" s="13">
        <v>1</v>
      </c>
      <c r="I31" s="8">
        <f t="shared" si="18"/>
        <v>10.65</v>
      </c>
      <c r="J31" s="8">
        <f t="shared" si="19"/>
        <v>12.04</v>
      </c>
      <c r="K31" s="8">
        <f t="shared" si="20"/>
        <v>22.689999999999998</v>
      </c>
    </row>
    <row r="32" spans="1:11" s="7" customFormat="1" ht="16.5" customHeight="1" x14ac:dyDescent="0.25">
      <c r="A32" s="12" t="s">
        <v>41</v>
      </c>
      <c r="B32" s="15"/>
      <c r="C32" s="13"/>
      <c r="D32" s="13"/>
      <c r="E32" s="13"/>
      <c r="F32" s="11">
        <v>1</v>
      </c>
      <c r="G32" s="13"/>
      <c r="H32" s="13"/>
      <c r="I32" s="8">
        <f t="shared" si="18"/>
        <v>9.65</v>
      </c>
      <c r="J32" s="8">
        <f t="shared" si="19"/>
        <v>12.04</v>
      </c>
      <c r="K32" s="8">
        <f t="shared" si="20"/>
        <v>21.689999999999998</v>
      </c>
    </row>
    <row r="33" spans="1:12" s="7" customFormat="1" ht="16.5" customHeight="1" x14ac:dyDescent="0.25">
      <c r="A33" s="12" t="s">
        <v>43</v>
      </c>
      <c r="B33" s="13"/>
      <c r="C33" s="13"/>
      <c r="D33" s="13"/>
      <c r="E33" s="13"/>
      <c r="F33" s="13"/>
      <c r="G33" s="13"/>
      <c r="H33" s="13">
        <v>2</v>
      </c>
      <c r="I33" s="8">
        <f t="shared" ref="I33" si="21">I32-F33-D33+B33</f>
        <v>9.65</v>
      </c>
      <c r="J33" s="8">
        <f t="shared" ref="J33" si="22">J32-E33+C33</f>
        <v>12.04</v>
      </c>
      <c r="K33" s="8">
        <f t="shared" ref="K33" si="23">SUM(I33:J33)</f>
        <v>21.689999999999998</v>
      </c>
    </row>
    <row r="34" spans="1:12" x14ac:dyDescent="0.25">
      <c r="A34" s="33" t="s">
        <v>44</v>
      </c>
      <c r="B34" s="33">
        <v>2.5</v>
      </c>
      <c r="C34" s="33">
        <v>2.5</v>
      </c>
      <c r="D34" s="33"/>
      <c r="E34" s="33"/>
      <c r="F34" s="14"/>
      <c r="G34" s="14"/>
      <c r="H34" s="14"/>
      <c r="I34" s="8">
        <f t="shared" ref="I34:I35" si="24">I33-F34-D34+B34</f>
        <v>12.15</v>
      </c>
      <c r="J34" s="8">
        <f t="shared" ref="J34:J35" si="25">J33-E34+C34</f>
        <v>14.54</v>
      </c>
      <c r="K34" s="8">
        <f t="shared" ref="K34:K35" si="26">SUM(I34:J34)</f>
        <v>26.689999999999998</v>
      </c>
    </row>
    <row r="35" spans="1:12" x14ac:dyDescent="0.25">
      <c r="A35" s="33" t="s">
        <v>45</v>
      </c>
      <c r="B35" s="33"/>
      <c r="C35" s="33"/>
      <c r="D35" s="33"/>
      <c r="E35" s="33"/>
      <c r="F35" s="14"/>
      <c r="G35" s="14"/>
      <c r="H35" s="14">
        <v>1</v>
      </c>
      <c r="I35" s="8">
        <f t="shared" si="24"/>
        <v>12.15</v>
      </c>
      <c r="J35" s="8">
        <f t="shared" si="25"/>
        <v>14.54</v>
      </c>
      <c r="K35" s="8">
        <f t="shared" si="26"/>
        <v>26.689999999999998</v>
      </c>
    </row>
    <row r="36" spans="1:12" x14ac:dyDescent="0.25">
      <c r="A36" s="33"/>
      <c r="B36" s="33"/>
      <c r="C36" s="33"/>
      <c r="D36" s="33"/>
      <c r="E36" s="33"/>
      <c r="F36" s="14"/>
      <c r="G36" s="14"/>
      <c r="H36" s="14"/>
      <c r="I36" s="32"/>
      <c r="J36" s="32"/>
      <c r="K36" s="32"/>
    </row>
    <row r="38" spans="1:12" s="9" customFormat="1" x14ac:dyDescent="0.25">
      <c r="A38"/>
      <c r="B38"/>
      <c r="C38"/>
      <c r="D38"/>
      <c r="E38"/>
      <c r="F38" s="9" t="s">
        <v>20</v>
      </c>
      <c r="I38"/>
      <c r="J38"/>
      <c r="K38"/>
      <c r="L38" s="7"/>
    </row>
  </sheetData>
  <mergeCells count="13">
    <mergeCell ref="L11:L12"/>
    <mergeCell ref="A10:K10"/>
    <mergeCell ref="A11:A12"/>
    <mergeCell ref="B11:C11"/>
    <mergeCell ref="D11:G11"/>
    <mergeCell ref="I11:J11"/>
    <mergeCell ref="K11:K12"/>
    <mergeCell ref="B9:D9"/>
    <mergeCell ref="A2:K2"/>
    <mergeCell ref="A3:K3"/>
    <mergeCell ref="A4:K4"/>
    <mergeCell ref="A5:K5"/>
    <mergeCell ref="B7:D7"/>
  </mergeCells>
  <phoneticPr fontId="7" type="noConversion"/>
  <printOptions horizontalCentered="1"/>
  <pageMargins left="0.23622047244094491" right="0.23622047244094491" top="0.70866141732283472" bottom="0.31496062992125984" header="0.31496062992125984" footer="0.31496062992125984"/>
  <pageSetup paperSize="9" scale="65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(NE)</vt:lpstr>
      <vt:lpstr>'Leave Card (NE)'!Print_Area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2026-01-14T03:58:43Z</cp:lastPrinted>
  <dcterms:created xsi:type="dcterms:W3CDTF">2022-11-24T07:01:13Z</dcterms:created>
  <dcterms:modified xsi:type="dcterms:W3CDTF">2026-01-14T04:00:03Z</dcterms:modified>
</cp:coreProperties>
</file>