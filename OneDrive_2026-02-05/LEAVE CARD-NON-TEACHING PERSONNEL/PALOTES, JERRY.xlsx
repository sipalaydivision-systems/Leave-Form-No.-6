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2" r:id="rId1"/>
    <sheet name="CTO" sheetId="1" r:id="rId2"/>
  </sheets>
  <definedNames>
    <definedName name="_xlnm.Print_Area" localSheetId="0">'Leave Card (NE)'!$A$1:$J$35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<sst xmlns="http://schemas.openxmlformats.org/spreadsheetml/2006/main" count="67" uniqueCount="56">
  <si>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</si>
  <si>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</si>
  <si>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</si>
  <si>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</si>
  <si>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</si>
  <si>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</si>
  <si>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</si>
  <si>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</si>
  <si>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</si>
  <si>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</si>
  <si>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</si>
  <si>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</si>
  <si>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</si>
  <si>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</si>
  <si>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</si>
  <si>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</si>
  <si>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</si>
  <si>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</si>
  <si>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</si>
  <si>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</si>
  <si>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</si>
  <si>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JANUARY 15, 2024                             (APPOINTMENT DATE AS HT-I)</t>
  </si>
  <si>
    <t>ADD: 01/15-31/2024</t>
  </si>
  <si>
    <t>ADD: 02/1/2024-06/30/2024</t>
  </si>
  <si>
    <t>LESS: 06/24/2024</t>
  </si>
  <si>
    <t>ADD: 07/1/2024-09/30/2024</t>
  </si>
  <si>
    <t>LESS: 10/16/2024</t>
  </si>
  <si>
    <t>ADD: 10/1/2024-12/31/2024</t>
  </si>
  <si>
    <t>ADD: 01/1/2025-03/31/2025</t>
  </si>
  <si>
    <t>LESS: 03/25/2025</t>
  </si>
  <si>
    <t>ADD: 04/1/2025-06/30/2025</t>
  </si>
  <si>
    <t>LESS: MONETIZATION 2025</t>
  </si>
  <si>
    <t>ADD: 07/1-31/2025</t>
  </si>
  <si>
    <t>LESS: 07/2/2025</t>
  </si>
  <si>
    <t>LESS: 07/9/2025</t>
  </si>
  <si>
    <t>ADD: 08/12025-12/31/2025</t>
  </si>
  <si>
    <t xml:space="preserve">  </t>
  </si>
  <si>
    <t>NAME         : PALOTES, JERRY L.</t>
  </si>
  <si>
    <t>DISTRICT             : _______________________</t>
  </si>
  <si>
    <t>EMPLOYEE NO   : __________</t>
  </si>
  <si>
    <t>SCHOOL/OFFICE : NABULAO ES</t>
  </si>
  <si>
    <t>STATION CODE   : __________</t>
  </si>
  <si>
    <t>POSITION   : TEACHER III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</si>
  <si>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</si>
  <si>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</si>
  <si>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</si>
  <si>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</si>
  <si>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</si>
  <si>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</si>
  <si>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</si>
  <si>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S.O. # 116, S. 2023. NATIONAL LEARNING CAMP 2023</t>
  </si>
  <si>
    <t>LESS: 12/05/2023</t>
  </si>
  <si>
    <t>LESS: 01/05/2024</t>
  </si>
  <si>
    <t>LESS: 05/15-17/2024</t>
  </si>
  <si>
    <t>NOTE:  Valid for one (1) year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</si>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</sst>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2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24" applyNumberFormat="0" applyAlignment="0" applyProtection="0">
      <alignment vertical="center"/>
    </xf>
    <xf numFmtId="0" fontId="19" fillId="14" borderId="25" applyNumberFormat="0" applyAlignment="0" applyProtection="0">
      <alignment vertical="center"/>
    </xf>
    <xf numFmtId="0" fontId="20" fillId="14" borderId="24" applyNumberFormat="0" applyAlignment="0" applyProtection="0">
      <alignment vertical="center"/>
    </xf>
    <xf numFmtId="0" fontId="21" fillId="15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6" fillId="0" borderId="0" xfId="0" applyFont="1"/>
    <xf numFmtId="0" fontId="3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5" fillId="0" borderId="0" xfId="0" applyFont="1"/>
    <xf numFmtId="0" fontId="0" fillId="0" borderId="9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5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1" fillId="6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vertical="center"/>
    </xf>
    <xf numFmtId="0" fontId="1" fillId="11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7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359433</xdr:colOff>
      <xdr:row>0</xdr:row>
      <xdr:rowOff>125801</xdr:rowOff>
    </xdr:from>
    <xdr:to>
      <xdr:col>4</xdr:col>
      <xdr:colOff>89859</xdr:colOff>
      <xdr:row>0</xdr:row>
      <xdr:rowOff>629009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5160" y="125730"/>
          <a:ext cx="523875" cy="5029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PALOTES, JERRY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 I 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MAUBOY</a:t>
          </a:r>
          <a:r>
            <a:rPr lang="en-US" sz="1100" baseline="0"/>
            <a:t> IS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29</xdr:row>
      <xdr:rowOff>53914</xdr:rowOff>
    </xdr:from>
    <xdr:to>
      <xdr:col>9</xdr:col>
      <xdr:colOff>672043</xdr:colOff>
      <xdr:row>34</xdr:row>
      <xdr:rowOff>170731</xdr:rowOff>
    </xdr:to>
    <xdr:sp>
      <xdr:nvSpPr>
        <xdr:cNvPr id="6" name="TextBox 5"/>
        <xdr:cNvSpPr txBox="1"/>
      </xdr:nvSpPr>
      <xdr:spPr>
        <a:xfrm>
          <a:off x="6030595" y="618172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259250</xdr:colOff>
      <xdr:row>0</xdr:row>
      <xdr:rowOff>76395</xdr:rowOff>
    </xdr:from>
    <xdr:to>
      <xdr:col>5</xdr:col>
      <xdr:colOff>240385</xdr:colOff>
      <xdr:row>3</xdr:row>
      <xdr:rowOff>152400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6875" y="76200"/>
          <a:ext cx="558800" cy="6248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30</xdr:row>
      <xdr:rowOff>66675</xdr:rowOff>
    </xdr:to>
    <xdr:sp>
      <xdr:nvSpPr>
        <xdr:cNvPr id="3" name="TextBox 2"/>
        <xdr:cNvSpPr txBox="1"/>
      </xdr:nvSpPr>
      <xdr:spPr>
        <a:xfrm>
          <a:off x="76200" y="5023485"/>
          <a:ext cx="3150870" cy="1529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3"/>
  <sheetViews>
    <sheetView tabSelected="1" view="pageBreakPreview" zoomScale="106" zoomScaleNormal="100" topLeftCell="A10" workbookViewId="0">
      <selection activeCell="A22" sqref="A22"/>
    </sheetView>
  </sheetViews>
  <sheetFormatPr defaultColWidth="9" defaultRowHeight="14.4"/>
  <cols>
    <col min="1" max="1" width="36.5740740740741" style="2" customWidth="1"/>
    <col min="2" max="5" width="11.5740740740741" customWidth="1"/>
    <col min="6" max="7" width="11.5740740740741" style="42" customWidth="1"/>
    <col min="8" max="10" width="11.5740740740741" customWidth="1"/>
    <col min="11" max="11" width="26.4259259259259" style="43" customWidth="1"/>
  </cols>
  <sheetData>
    <row r="1" s="5" customFormat="1" ht="52.5" customHeight="1" spans="1:1">
      <c r="A1" s="8"/>
    </row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 spans="1:1">
      <c r="A6" s="8"/>
    </row>
    <row r="7" s="5" customFormat="1" ht="12" customHeight="1" spans="1:10">
      <c r="A7" s="8" t="s">
        <v>4</v>
      </c>
      <c r="B7" s="11" t="s">
        <v>5</v>
      </c>
      <c r="C7" s="11"/>
      <c r="D7" s="11"/>
      <c r="H7" s="10" t="s">
        <v>6</v>
      </c>
      <c r="I7" s="69"/>
      <c r="J7" s="10"/>
    </row>
    <row r="8" s="5" customFormat="1" ht="12" customHeight="1" spans="1:10">
      <c r="A8" s="8"/>
      <c r="B8" s="12"/>
      <c r="C8" s="12"/>
      <c r="H8" s="12"/>
      <c r="I8" s="12"/>
      <c r="J8" s="12"/>
    </row>
    <row r="9" s="5" customFormat="1" ht="12" customHeight="1" spans="1:10">
      <c r="A9" s="8" t="s">
        <v>7</v>
      </c>
      <c r="B9" s="11" t="s">
        <v>8</v>
      </c>
      <c r="C9" s="11"/>
      <c r="D9" s="11"/>
      <c r="H9" s="10" t="s">
        <v>9</v>
      </c>
      <c r="I9" s="70"/>
      <c r="J9" s="10"/>
    </row>
    <row r="10" ht="23.25" customHeight="1" spans="1:11">
      <c r="A10" s="14" t="s">
        <v>10</v>
      </c>
      <c r="B10" s="14"/>
      <c r="C10" s="14"/>
      <c r="D10" s="14"/>
      <c r="E10" s="14"/>
      <c r="F10" s="14"/>
      <c r="G10" s="14"/>
      <c r="H10" s="14"/>
      <c r="I10" s="14"/>
      <c r="J10" s="14"/>
      <c r="K10"/>
    </row>
    <row r="11" ht="18.75" customHeight="1" spans="1:11">
      <c r="A11" s="44" t="s">
        <v>11</v>
      </c>
      <c r="B11" s="45" t="s">
        <v>12</v>
      </c>
      <c r="C11" s="46"/>
      <c r="D11" s="47" t="s">
        <v>13</v>
      </c>
      <c r="E11" s="48"/>
      <c r="F11" s="48"/>
      <c r="G11" s="49"/>
      <c r="H11" s="50" t="s">
        <v>14</v>
      </c>
      <c r="I11" s="71"/>
      <c r="J11" s="72" t="s">
        <v>15</v>
      </c>
      <c r="K11" s="73" t="s">
        <v>16</v>
      </c>
    </row>
    <row r="12" ht="18.75" customHeight="1" spans="1:11">
      <c r="A12" s="51"/>
      <c r="B12" s="52" t="s">
        <v>17</v>
      </c>
      <c r="C12" s="52" t="s">
        <v>18</v>
      </c>
      <c r="D12" s="52" t="s">
        <v>17</v>
      </c>
      <c r="E12" s="52" t="s">
        <v>18</v>
      </c>
      <c r="F12" s="52" t="s">
        <v>19</v>
      </c>
      <c r="G12" s="52" t="s">
        <v>20</v>
      </c>
      <c r="H12" s="52" t="s">
        <v>17</v>
      </c>
      <c r="I12" s="52" t="s">
        <v>18</v>
      </c>
      <c r="J12" s="74"/>
      <c r="K12" s="73"/>
    </row>
    <row r="13" ht="32.25" customHeight="1" spans="1:11">
      <c r="A13" s="53" t="s">
        <v>21</v>
      </c>
      <c r="B13" s="54"/>
      <c r="C13" s="54"/>
      <c r="D13" s="54"/>
      <c r="E13" s="54"/>
      <c r="F13" s="54"/>
      <c r="G13" s="54"/>
      <c r="H13" s="54"/>
      <c r="I13" s="54"/>
      <c r="J13" s="54"/>
      <c r="K13" s="75"/>
    </row>
    <row r="14" ht="16.5" customHeight="1" spans="1:10">
      <c r="A14" s="55" t="s">
        <v>22</v>
      </c>
      <c r="B14" s="56">
        <v>0.708</v>
      </c>
      <c r="C14" s="56">
        <v>0.708</v>
      </c>
      <c r="D14" s="56"/>
      <c r="E14" s="56"/>
      <c r="F14" s="56"/>
      <c r="G14" s="56"/>
      <c r="H14" s="57">
        <f>B14</f>
        <v>0.708</v>
      </c>
      <c r="I14" s="57">
        <f>C14</f>
        <v>0.708</v>
      </c>
      <c r="J14" s="76">
        <f>SUM(H14:I14)</f>
        <v>1.416</v>
      </c>
    </row>
    <row r="15" ht="15" customHeight="1" spans="1:10">
      <c r="A15" s="58" t="s">
        <v>23</v>
      </c>
      <c r="B15" s="59">
        <v>6.25</v>
      </c>
      <c r="C15" s="59">
        <v>6.25</v>
      </c>
      <c r="D15" s="59"/>
      <c r="E15" s="59"/>
      <c r="F15" s="59"/>
      <c r="G15" s="59"/>
      <c r="H15" s="60">
        <f>H14-F15-D15+B15</f>
        <v>6.958</v>
      </c>
      <c r="I15" s="60">
        <f>I14-E15+C15</f>
        <v>6.958</v>
      </c>
      <c r="J15" s="77">
        <f>SUM(H15:I15)</f>
        <v>13.916</v>
      </c>
    </row>
    <row r="16" s="5" customFormat="1" ht="15.75" customHeight="1" spans="1:11">
      <c r="A16" s="61" t="s">
        <v>24</v>
      </c>
      <c r="B16" s="59"/>
      <c r="C16" s="59"/>
      <c r="D16" s="59"/>
      <c r="E16" s="62">
        <v>1</v>
      </c>
      <c r="F16" s="59"/>
      <c r="G16" s="59"/>
      <c r="H16" s="60">
        <f>H15-F16-D16+B16</f>
        <v>6.958</v>
      </c>
      <c r="I16" s="60">
        <f>I15-E16+C16</f>
        <v>5.958</v>
      </c>
      <c r="J16" s="77">
        <f>SUM(H16:I16)</f>
        <v>12.916</v>
      </c>
      <c r="K16" s="78"/>
    </row>
    <row r="17" spans="1:10">
      <c r="A17" s="63" t="s">
        <v>25</v>
      </c>
      <c r="B17" s="63">
        <v>3.75</v>
      </c>
      <c r="C17" s="63">
        <v>3.75</v>
      </c>
      <c r="D17" s="64"/>
      <c r="E17" s="64"/>
      <c r="F17" s="61"/>
      <c r="G17" s="61"/>
      <c r="H17" s="60">
        <f>H16-F17-D17+B17</f>
        <v>10.708</v>
      </c>
      <c r="I17" s="60">
        <f>I16-E17+C17</f>
        <v>9.708</v>
      </c>
      <c r="J17" s="77">
        <f>SUM(H17:I17)</f>
        <v>20.416</v>
      </c>
    </row>
    <row r="18" spans="1:10">
      <c r="A18" s="63" t="s">
        <v>26</v>
      </c>
      <c r="B18" s="63"/>
      <c r="C18" s="63"/>
      <c r="D18" s="64"/>
      <c r="E18" s="63">
        <v>1</v>
      </c>
      <c r="F18" s="61"/>
      <c r="G18" s="61"/>
      <c r="H18" s="60">
        <f>H17-F18-D18+B18</f>
        <v>10.708</v>
      </c>
      <c r="I18" s="60">
        <f>I17-E18+C18</f>
        <v>8.708</v>
      </c>
      <c r="J18" s="77">
        <f>SUM(H18:I18)</f>
        <v>19.416</v>
      </c>
    </row>
    <row r="19" spans="1:10">
      <c r="A19" s="63" t="s">
        <v>27</v>
      </c>
      <c r="B19" s="63">
        <v>3.75</v>
      </c>
      <c r="C19" s="63">
        <v>3.75</v>
      </c>
      <c r="D19" s="64"/>
      <c r="E19" s="63"/>
      <c r="F19" s="61"/>
      <c r="G19" s="61"/>
      <c r="H19" s="60">
        <f t="shared" ref="H19" si="0">H18-F19-D19+B19</f>
        <v>14.458</v>
      </c>
      <c r="I19" s="60">
        <f t="shared" ref="I19" si="1">I18-E19+C19</f>
        <v>12.458</v>
      </c>
      <c r="J19" s="77">
        <f t="shared" ref="J19" si="2">SUM(H19:I19)</f>
        <v>26.916</v>
      </c>
    </row>
    <row r="20" spans="1:10">
      <c r="A20" s="63" t="s">
        <v>28</v>
      </c>
      <c r="B20" s="63">
        <v>3.75</v>
      </c>
      <c r="C20" s="63">
        <v>3.75</v>
      </c>
      <c r="D20" s="64"/>
      <c r="E20" s="63"/>
      <c r="F20" s="61"/>
      <c r="G20" s="61"/>
      <c r="H20" s="60">
        <f t="shared" ref="H20:H21" si="3">H19-F20-D20+B20</f>
        <v>18.208</v>
      </c>
      <c r="I20" s="60">
        <f t="shared" ref="I20:I21" si="4">I19-E20+C20</f>
        <v>16.208</v>
      </c>
      <c r="J20" s="77">
        <f t="shared" ref="J20:J21" si="5">SUM(H20:I20)</f>
        <v>34.416</v>
      </c>
    </row>
    <row r="21" spans="1:10">
      <c r="A21" s="63" t="s">
        <v>29</v>
      </c>
      <c r="B21" s="63"/>
      <c r="C21" s="63"/>
      <c r="D21" s="64"/>
      <c r="E21" s="63">
        <v>1</v>
      </c>
      <c r="F21" s="61"/>
      <c r="G21" s="61"/>
      <c r="H21" s="60">
        <f t="shared" si="3"/>
        <v>18.208</v>
      </c>
      <c r="I21" s="60">
        <f t="shared" si="4"/>
        <v>15.208</v>
      </c>
      <c r="J21" s="77">
        <f t="shared" si="5"/>
        <v>33.416</v>
      </c>
    </row>
    <row r="22" spans="1:10">
      <c r="A22" s="63" t="s">
        <v>30</v>
      </c>
      <c r="B22" s="63">
        <v>3.75</v>
      </c>
      <c r="C22" s="63">
        <v>3.75</v>
      </c>
      <c r="D22" s="64"/>
      <c r="E22" s="63"/>
      <c r="F22" s="61"/>
      <c r="G22" s="61"/>
      <c r="H22" s="60">
        <f t="shared" ref="H22" si="6">H21-F22-D22+B22</f>
        <v>21.958</v>
      </c>
      <c r="I22" s="60">
        <f t="shared" ref="I22" si="7">I21-E22+C22</f>
        <v>18.958</v>
      </c>
      <c r="J22" s="77">
        <f t="shared" ref="J22" si="8">SUM(H22:I22)</f>
        <v>40.916</v>
      </c>
    </row>
    <row r="23" spans="1:10">
      <c r="A23" s="63" t="s">
        <v>31</v>
      </c>
      <c r="B23" s="63"/>
      <c r="C23" s="63"/>
      <c r="D23" s="63">
        <v>15</v>
      </c>
      <c r="E23" s="63"/>
      <c r="F23" s="61"/>
      <c r="G23" s="61"/>
      <c r="H23" s="60">
        <f t="shared" ref="H23" si="9">H22-F23-D23+B23</f>
        <v>6.958</v>
      </c>
      <c r="I23" s="60">
        <f t="shared" ref="I23" si="10">I22-E23+C23</f>
        <v>18.958</v>
      </c>
      <c r="J23" s="77">
        <f t="shared" ref="J23" si="11">SUM(H23:I23)</f>
        <v>25.916</v>
      </c>
    </row>
    <row r="24" spans="1:10">
      <c r="A24" s="63" t="s">
        <v>32</v>
      </c>
      <c r="B24" s="63">
        <v>1.25</v>
      </c>
      <c r="C24" s="63">
        <v>1.25</v>
      </c>
      <c r="D24" s="63"/>
      <c r="E24" s="63"/>
      <c r="F24" s="61"/>
      <c r="G24" s="61"/>
      <c r="H24" s="60">
        <f t="shared" ref="H24:H26" si="12">H23-F24-D24+B24</f>
        <v>8.208</v>
      </c>
      <c r="I24" s="60">
        <f t="shared" ref="I24:I26" si="13">I23-E24+C24</f>
        <v>20.208</v>
      </c>
      <c r="J24" s="77">
        <f t="shared" ref="J24:J26" si="14">SUM(H24:I24)</f>
        <v>28.416</v>
      </c>
    </row>
    <row r="25" spans="1:10">
      <c r="A25" s="63" t="s">
        <v>33</v>
      </c>
      <c r="B25" s="63"/>
      <c r="C25" s="63"/>
      <c r="D25" s="63"/>
      <c r="E25" s="63">
        <v>1</v>
      </c>
      <c r="F25" s="61"/>
      <c r="G25" s="61"/>
      <c r="H25" s="60">
        <f t="shared" si="12"/>
        <v>8.208</v>
      </c>
      <c r="I25" s="60">
        <f t="shared" si="13"/>
        <v>19.208</v>
      </c>
      <c r="J25" s="77">
        <f t="shared" si="14"/>
        <v>27.416</v>
      </c>
    </row>
    <row r="26" spans="1:10">
      <c r="A26" s="63" t="s">
        <v>34</v>
      </c>
      <c r="B26" s="63"/>
      <c r="C26" s="63"/>
      <c r="D26" s="63"/>
      <c r="E26" s="63">
        <v>1</v>
      </c>
      <c r="F26" s="61"/>
      <c r="G26" s="61"/>
      <c r="H26" s="60">
        <f t="shared" si="12"/>
        <v>8.208</v>
      </c>
      <c r="I26" s="60">
        <f t="shared" si="13"/>
        <v>18.208</v>
      </c>
      <c r="J26" s="77">
        <f t="shared" si="14"/>
        <v>26.416</v>
      </c>
    </row>
    <row r="27" spans="1:10">
      <c r="A27" s="65" t="s">
        <v>35</v>
      </c>
      <c r="B27" s="65">
        <v>6.25</v>
      </c>
      <c r="C27" s="65">
        <v>6.25</v>
      </c>
      <c r="D27" s="65"/>
      <c r="E27" s="65"/>
      <c r="F27" s="66"/>
      <c r="G27" s="66"/>
      <c r="H27" s="60">
        <f>H26-F27-D27+B27</f>
        <v>14.458</v>
      </c>
      <c r="I27" s="60">
        <f>I26-E27+C27</f>
        <v>24.458</v>
      </c>
      <c r="J27" s="77">
        <f>SUM(H27:I27)</f>
        <v>38.916</v>
      </c>
    </row>
    <row r="28" spans="1:10">
      <c r="A28" s="65"/>
      <c r="B28" s="65"/>
      <c r="C28" s="65"/>
      <c r="D28" s="65"/>
      <c r="E28" s="65"/>
      <c r="F28" s="66"/>
      <c r="G28" s="66"/>
      <c r="H28" s="67"/>
      <c r="I28" s="67"/>
      <c r="J28" s="67"/>
    </row>
    <row r="29" spans="2:10">
      <c r="B29" s="2"/>
      <c r="C29" s="2"/>
      <c r="E29" s="2"/>
      <c r="H29" s="68"/>
      <c r="I29" s="68"/>
      <c r="J29" s="68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6:6">
      <c r="F33" s="42" t="s">
        <v>36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A3" workbookViewId="0">
      <selection activeCell="G18" sqref="G18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6.85185185185185" style="4" customWidth="1"/>
    <col min="12" max="12" width="7.57407407407407" customWidth="1"/>
  </cols>
  <sheetData>
    <row r="1" spans="1:15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  <c r="O1" s="5"/>
    </row>
    <row r="2" spans="1:15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  <c r="O2" s="5"/>
    </row>
    <row r="3" spans="1:15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  <c r="O3" s="5"/>
    </row>
    <row r="4" spans="1:15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  <c r="O4" s="5"/>
    </row>
    <row r="5" spans="1:1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  <c r="O5" s="5"/>
    </row>
    <row r="6" spans="1:1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5"/>
    </row>
    <row r="7" spans="1:1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  <c r="O7" s="5"/>
    </row>
    <row r="8" spans="1:1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  <c r="O8" s="5"/>
    </row>
    <row r="9" spans="1:15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  <c r="O9" s="5"/>
    </row>
    <row r="10" spans="1:15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  <c r="O10" s="5"/>
    </row>
    <row r="11" spans="1:15">
      <c r="A11" s="10" t="s">
        <v>37</v>
      </c>
      <c r="B11" s="10"/>
      <c r="C11" s="11" t="s">
        <v>38</v>
      </c>
      <c r="D11" s="11"/>
      <c r="E11" s="11"/>
      <c r="F11" s="11"/>
      <c r="G11" s="11"/>
      <c r="H11" s="5"/>
      <c r="I11" s="11" t="s">
        <v>39</v>
      </c>
      <c r="J11" s="11"/>
      <c r="K11" s="11"/>
      <c r="L11" s="10"/>
      <c r="M11" s="5"/>
      <c r="N11" s="5"/>
      <c r="O11" s="5"/>
    </row>
    <row r="12" spans="1:15">
      <c r="A12" s="5"/>
      <c r="B12" s="12"/>
      <c r="C12" s="11" t="s">
        <v>40</v>
      </c>
      <c r="D12" s="11"/>
      <c r="E12" s="11"/>
      <c r="F12" s="11"/>
      <c r="G12" s="11"/>
      <c r="H12" s="5"/>
      <c r="I12" s="33" t="s">
        <v>41</v>
      </c>
      <c r="J12" s="33"/>
      <c r="K12" s="33"/>
      <c r="L12" s="12"/>
      <c r="M12" s="5"/>
      <c r="N12" s="5"/>
      <c r="O12" s="5"/>
    </row>
    <row r="13" spans="1:15">
      <c r="A13" s="10" t="s">
        <v>42</v>
      </c>
      <c r="B13" s="10"/>
      <c r="C13" s="13"/>
      <c r="D13" s="12"/>
      <c r="E13" s="12"/>
      <c r="F13" s="5"/>
      <c r="G13" s="5"/>
      <c r="H13" s="5"/>
      <c r="I13" s="11" t="s">
        <v>43</v>
      </c>
      <c r="J13" s="11"/>
      <c r="K13" s="11"/>
      <c r="L13" s="10"/>
      <c r="M13" s="5"/>
      <c r="N13" s="5"/>
      <c r="O13" s="5"/>
    </row>
    <row r="14" ht="21.75" spans="1:12">
      <c r="A14" s="14" t="s">
        <v>44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5">
      <c r="A15" s="15" t="s">
        <v>11</v>
      </c>
      <c r="B15" s="16" t="s">
        <v>12</v>
      </c>
      <c r="C15" s="17"/>
      <c r="D15" s="17"/>
      <c r="E15" s="17"/>
      <c r="F15" s="17"/>
      <c r="G15" s="17"/>
      <c r="H15" s="17"/>
      <c r="I15" s="17"/>
      <c r="J15" s="17"/>
      <c r="K15" s="17"/>
      <c r="L15" s="34" t="s">
        <v>15</v>
      </c>
      <c r="M15" s="35"/>
      <c r="N15" s="35"/>
      <c r="O15" s="35"/>
    </row>
    <row r="16" spans="1:15">
      <c r="A16" s="18"/>
      <c r="B16" s="19" t="s">
        <v>45</v>
      </c>
      <c r="C16" s="20"/>
      <c r="D16" s="20"/>
      <c r="E16" s="21"/>
      <c r="F16" s="19" t="s">
        <v>46</v>
      </c>
      <c r="G16" s="21"/>
      <c r="H16" s="19" t="s">
        <v>47</v>
      </c>
      <c r="I16" s="21"/>
      <c r="J16" s="19" t="s">
        <v>48</v>
      </c>
      <c r="K16" s="21"/>
      <c r="L16" s="36"/>
      <c r="M16" s="35"/>
      <c r="N16" s="35"/>
      <c r="O16" s="35"/>
    </row>
    <row r="17" ht="32.25" customHeight="1" spans="1:15">
      <c r="A17" s="22" t="s">
        <v>49</v>
      </c>
      <c r="B17" s="23" t="s">
        <v>50</v>
      </c>
      <c r="C17" s="24"/>
      <c r="D17" s="24"/>
      <c r="E17" s="25"/>
      <c r="F17" s="26">
        <v>15</v>
      </c>
      <c r="G17" s="27"/>
      <c r="H17" s="23">
        <v>0</v>
      </c>
      <c r="I17" s="25"/>
      <c r="J17" s="23">
        <v>15</v>
      </c>
      <c r="K17" s="25"/>
      <c r="L17" s="37">
        <v>15</v>
      </c>
      <c r="M17" s="35"/>
      <c r="N17" s="35"/>
      <c r="O17" s="35"/>
    </row>
    <row r="18" ht="32.25" customHeight="1" spans="1:15">
      <c r="A18" s="28" t="s">
        <v>51</v>
      </c>
      <c r="B18" s="23"/>
      <c r="C18" s="24"/>
      <c r="D18" s="24"/>
      <c r="E18" s="25"/>
      <c r="F18" s="26"/>
      <c r="G18" s="27"/>
      <c r="H18" s="23">
        <v>1</v>
      </c>
      <c r="I18" s="25"/>
      <c r="J18" s="23">
        <v>14</v>
      </c>
      <c r="K18" s="25"/>
      <c r="L18" s="37">
        <v>14</v>
      </c>
      <c r="M18" s="38"/>
      <c r="N18" s="38"/>
      <c r="O18" s="38"/>
    </row>
    <row r="19" ht="32.25" customHeight="1" spans="1:15">
      <c r="A19" s="29" t="s">
        <v>52</v>
      </c>
      <c r="B19" s="23"/>
      <c r="C19" s="24"/>
      <c r="D19" s="24"/>
      <c r="E19" s="25"/>
      <c r="F19" s="26"/>
      <c r="G19" s="27"/>
      <c r="H19" s="23">
        <v>1</v>
      </c>
      <c r="I19" s="25"/>
      <c r="J19" s="23">
        <v>13</v>
      </c>
      <c r="K19" s="25"/>
      <c r="L19" s="39">
        <v>13</v>
      </c>
      <c r="M19" s="38"/>
      <c r="N19" s="38"/>
      <c r="O19" s="38"/>
    </row>
    <row r="20" ht="32.25" customHeight="1" spans="1:15">
      <c r="A20" s="29" t="s">
        <v>53</v>
      </c>
      <c r="B20" s="23"/>
      <c r="C20" s="24"/>
      <c r="D20" s="24"/>
      <c r="E20" s="25"/>
      <c r="F20" s="26"/>
      <c r="G20" s="27"/>
      <c r="H20" s="23">
        <v>3</v>
      </c>
      <c r="I20" s="25"/>
      <c r="J20" s="23">
        <v>10</v>
      </c>
      <c r="K20" s="25"/>
      <c r="L20" s="39">
        <v>10</v>
      </c>
      <c r="M20" s="38"/>
      <c r="N20" s="38"/>
      <c r="O20" s="38"/>
    </row>
    <row r="21" spans="1:15">
      <c r="A21" s="30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40"/>
      <c r="M21" s="41"/>
      <c r="N21" s="41"/>
      <c r="O21" s="38"/>
    </row>
    <row r="22" spans="1:1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5"/>
      <c r="N22" s="5"/>
    </row>
    <row r="23" spans="1:15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4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5"/>
      <c r="B27" s="5"/>
      <c r="C27" s="8"/>
      <c r="D27" s="5"/>
      <c r="E27" s="5"/>
      <c r="F27" s="5"/>
      <c r="G27" s="5"/>
      <c r="H27" s="5" t="s">
        <v>55</v>
      </c>
      <c r="I27" s="5"/>
      <c r="J27" s="5"/>
      <c r="K27" s="5"/>
      <c r="L27" s="5"/>
      <c r="M27" s="5"/>
      <c r="N27" s="5"/>
    </row>
    <row r="28" spans="1:14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A22:L22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2023-12-05T00:25:00Z</dcterms:created>
  <cp:lastPrinted>2025-08-18T07:41:00Z</cp:lastPrinted>
  <dcterms:modified xsi:type="dcterms:W3CDTF">2026-01-01T02:08:15Z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822DDC73BBBA4053B260A299D7CD6B61_12</vt:lpwstr>
  </property>
  <property fmtid="{D5CDD505-2E9C-101B-9397-08002B2CF9AE}" pid="3" name="KSOProductBuildVer">
    <vt:lpwstr>1033-12.2.0.23196</vt:lpwstr>
  </property>
</Properties>
</file>