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9" r:id="rId2"/>
    <sheet name="Other types of leave" sheetId="8" r:id="rId3"/>
  </sheets>
  <definedNames>
    <definedName name="_xlnm.Print_Area" localSheetId="0">'Leave Card (NE)'!$A$1:$J$94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<sst xmlns="http://schemas.openxmlformats.org/spreadsheetml/2006/main" count="165" uniqueCount="135">
  <si>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</si>
  <si>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</si>
  <si>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</si>
  <si>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</si>
  <si>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</si>
  <si>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</si>
  <si>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</si>
  <si>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</si>
  <si>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</si>
  <si>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</si>
  <si>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</si>
  <si>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</si>
  <si>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</si>
  <si>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</si>
  <si>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</si>
  <si>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</si>
  <si>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</si>
  <si>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</si>
  <si>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</si>
  <si>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 PRIVILEGE LEAVE</t>
  </si>
  <si>
    <t>ADD: 09/16/2019 - 09/30/2019</t>
  </si>
  <si>
    <t>ADD: 10/01/2019 - 12/31/2019</t>
  </si>
  <si>
    <t>ADD: 01/01/2020 - 07/31/2020</t>
  </si>
  <si>
    <t>LESS: 08/3,4,5 &amp; 6/2020</t>
  </si>
  <si>
    <t>ADD: 08/1/2020-12/31/2020</t>
  </si>
  <si>
    <t>LESS: MONETIZATION 2020</t>
  </si>
  <si>
    <t>LESS: FL 2020</t>
  </si>
  <si>
    <t>ADD: 01/01/2021 - 05/31/2021</t>
  </si>
  <si>
    <t>LESS: 06/04/2021</t>
  </si>
  <si>
    <t>ADD: 06/1/2021-09/30/2021</t>
  </si>
  <si>
    <t>LESS: 10/10/2021</t>
  </si>
  <si>
    <t>ADD: 10/1/2021-11/30/2021</t>
  </si>
  <si>
    <t>LESS: MONETIZATION 2021</t>
  </si>
  <si>
    <t>ADD: 12/1-31/2021</t>
  </si>
  <si>
    <t>LESS: 12/27, 28 &amp; 29/2021</t>
  </si>
  <si>
    <t>ADD: 01/01/21 - 02/28/22</t>
  </si>
  <si>
    <t>LESS: 03/29/22</t>
  </si>
  <si>
    <t>ADD: 03/01/21 - 08/31/22</t>
  </si>
  <si>
    <t>LESS: MONETIZATION 2022</t>
  </si>
  <si>
    <t>ADD: 09/01/21 - 10/31/22</t>
  </si>
  <si>
    <t>LESS: 11/18/2022</t>
  </si>
  <si>
    <t>ADD: 11/01/22 - 11/30/22</t>
  </si>
  <si>
    <t>LESS: 12/14 &amp; 15/2022</t>
  </si>
  <si>
    <t>LESS: 12/16/2022</t>
  </si>
  <si>
    <t>LESS: 12/27/2022</t>
  </si>
  <si>
    <t>LESS: 12/28 &amp; 29/2022</t>
  </si>
  <si>
    <t>ADD: 12/01/22 - 12/31/22</t>
  </si>
  <si>
    <t>LESS: 01/13/23</t>
  </si>
  <si>
    <t>LESS: 01/26/23</t>
  </si>
  <si>
    <t>ADD: 01/01/23 - 03/31/23</t>
  </si>
  <si>
    <t>LESS: 04/24 &amp; 05/02/23</t>
  </si>
  <si>
    <t>LESS: 06/02/23</t>
  </si>
  <si>
    <t>ADD: 04/01/23 - 06/30/23</t>
  </si>
  <si>
    <t>LESS: 06/30/23</t>
  </si>
  <si>
    <t>ADD: 07/01/23 - 08/31/23</t>
  </si>
  <si>
    <t>LESS: MONETIZATION 2023</t>
  </si>
  <si>
    <t>LESS: 10/06/2023</t>
  </si>
  <si>
    <t>ADD: 09/01/2023-09/30/2023</t>
  </si>
  <si>
    <t>LESS: 10/20/2023</t>
  </si>
  <si>
    <t>ADD: 10/01/2023-11/30/2023</t>
  </si>
  <si>
    <t>LESS: 12/15/2023</t>
  </si>
  <si>
    <t>LESS: 12/27/2023</t>
  </si>
  <si>
    <t>ADD: 12/01/2023- 12/31/2023</t>
  </si>
  <si>
    <t>LESS: 01/30/2024</t>
  </si>
  <si>
    <t>ADD: 01/01/2024-02/29/2024</t>
  </si>
  <si>
    <t>LESS: 02/26/2024</t>
  </si>
  <si>
    <t>LESS: 03/12/2024</t>
  </si>
  <si>
    <t>ADD: 03/01-31/2024</t>
  </si>
  <si>
    <t>LESS: 04/03/2024</t>
  </si>
  <si>
    <t>ADD: 04/1-30/2024</t>
  </si>
  <si>
    <t>LESS: 05/29/2024</t>
  </si>
  <si>
    <t>LESS: 07/29/2024</t>
  </si>
  <si>
    <t>ADD: MAY-JULY 31, 2024</t>
  </si>
  <si>
    <t>LESS: 08/09/2024</t>
  </si>
  <si>
    <t>LESS: 08/30/2024</t>
  </si>
  <si>
    <t>ADD: 08/1-31/2024</t>
  </si>
  <si>
    <t>LESS: 09/27/2024</t>
  </si>
  <si>
    <t>ADD: 09/1/2024-10/31/2024</t>
  </si>
  <si>
    <t>LESS: 11/22/2024</t>
  </si>
  <si>
    <t>ADD: 11/1-30/2024</t>
  </si>
  <si>
    <t>LESS: 11/25/2024 (AM)</t>
  </si>
  <si>
    <t>LESS: 12/27/2024</t>
  </si>
  <si>
    <t>ADD: 12/1-31/2024</t>
  </si>
  <si>
    <t>LESS: 01/13/2025</t>
  </si>
  <si>
    <t>LESS: 01/22/2025</t>
  </si>
  <si>
    <t>ADD: 01/1/2025-03/31/2025</t>
  </si>
  <si>
    <t>LESS: MONETIZATION 2025</t>
  </si>
  <si>
    <t>ADD: 04/1-30/2025</t>
  </si>
  <si>
    <t>LESS: 05/16/2025</t>
  </si>
  <si>
    <t>ADD: 05/1/2025-09/30/2025</t>
  </si>
  <si>
    <t>LESS: 10/24/2025</t>
  </si>
  <si>
    <t>ADD: 10/1-31/2025</t>
  </si>
  <si>
    <t>LESS: 12/3 &amp; 19/2025</t>
  </si>
  <si>
    <t>ADD: 11/1-30/2025</t>
  </si>
  <si>
    <t>LESS: 12/4/2025</t>
  </si>
  <si>
    <t>LESS: 12/26/2025</t>
  </si>
  <si>
    <t>DATE FILED: 12/26,29/2025</t>
  </si>
  <si>
    <t>Certified Correct:</t>
  </si>
  <si>
    <t>MA. LUISA B. CATIGAN</t>
  </si>
  <si>
    <t>Administrative Officer IV</t>
  </si>
  <si>
    <t>HRMO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</si>
  <si>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</si>
  <si>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</si>
  <si>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</si>
  <si>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</si>
  <si>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</si>
  <si>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</si>
  <si>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 xml:space="preserve">SO # 159, S.2023, 125TH PHILIPPINE INDEPENDENCE DAY CELEBRATION </t>
  </si>
  <si>
    <t>LESS: 06/19/2024</t>
  </si>
  <si>
    <t>ADD: 06/26/2024</t>
  </si>
  <si>
    <t>S.O. # 024, S. 2024. 126TH PHILIPPINE INDEPENDENCE DAY CELEBRATION</t>
  </si>
  <si>
    <t>LESS: 05/30/2025</t>
  </si>
  <si>
    <t>ADD: 02/5/2025</t>
  </si>
  <si>
    <t>S.O. # 002, S. 2025. RIZAL DAY 2024</t>
  </si>
  <si>
    <t>LESS: 06/13/2025</t>
  </si>
  <si>
    <t>NOTE:  Valid for one (1) year only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</si>
  <si>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</si>
  <si>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</si>
  <si>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</si>
  <si>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</si>
  <si>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</si>
  <si>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</si>
  <si>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</si>
  <si>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</si>
  <si>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</si>
  <si>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</si>
  <si>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</si>
  <si>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</si>
  <si>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</si>
  <si>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</si>
  <si>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</si>
  <si>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</si>
  <si>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</si>
  <si>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</si>
  <si>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01/11 &amp; 14/22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</si>
</sst>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30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8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3" borderId="2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5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0" borderId="2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4" borderId="27" applyNumberFormat="0" applyAlignment="0" applyProtection="0">
      <alignment vertical="center"/>
    </xf>
    <xf numFmtId="0" fontId="20" fillId="15" borderId="28" applyNumberFormat="0" applyAlignment="0" applyProtection="0">
      <alignment vertical="center"/>
    </xf>
    <xf numFmtId="0" fontId="21" fillId="15" borderId="27" applyNumberFormat="0" applyAlignment="0" applyProtection="0">
      <alignment vertical="center"/>
    </xf>
    <xf numFmtId="0" fontId="22" fillId="16" borderId="29" applyNumberFormat="0" applyAlignment="0" applyProtection="0">
      <alignment vertical="center"/>
    </xf>
    <xf numFmtId="0" fontId="23" fillId="0" borderId="30" applyNumberFormat="0" applyFill="0" applyAlignment="0" applyProtection="0">
      <alignment vertical="center"/>
    </xf>
    <xf numFmtId="0" fontId="24" fillId="0" borderId="31" applyNumberFormat="0" applyFill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0" fillId="0" borderId="0"/>
  </cellStyleXfs>
  <cellXfs count="85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3" borderId="6" xfId="0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76" fontId="0" fillId="2" borderId="3" xfId="0" applyNumberFormat="1" applyFill="1" applyBorder="1" applyAlignment="1">
      <alignment horizontal="center" vertical="center"/>
    </xf>
    <xf numFmtId="0" fontId="2" fillId="0" borderId="0" xfId="49" applyFont="1"/>
    <xf numFmtId="0" fontId="3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3" borderId="9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3" xfId="49" applyFont="1" applyFill="1" applyBorder="1" applyAlignment="1">
      <alignment horizontal="center" vertical="center" wrapText="1"/>
    </xf>
    <xf numFmtId="0" fontId="6" fillId="2" borderId="12" xfId="49" applyFont="1" applyFill="1" applyBorder="1" applyAlignment="1">
      <alignment horizontal="center" vertical="center" wrapText="1"/>
    </xf>
    <xf numFmtId="0" fontId="6" fillId="2" borderId="13" xfId="49" applyFont="1" applyFill="1" applyBorder="1" applyAlignment="1">
      <alignment horizontal="center" vertical="center" wrapText="1"/>
    </xf>
    <xf numFmtId="0" fontId="6" fillId="2" borderId="14" xfId="49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0" borderId="3" xfId="49" applyBorder="1" applyAlignment="1">
      <alignment horizontal="center" vertical="center" wrapText="1"/>
    </xf>
    <xf numFmtId="0" fontId="0" fillId="6" borderId="3" xfId="49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/>
    </xf>
    <xf numFmtId="0" fontId="3" fillId="7" borderId="9" xfId="0" applyFont="1" applyFill="1" applyBorder="1" applyAlignment="1">
      <alignment horizontal="center" vertical="center"/>
    </xf>
    <xf numFmtId="0" fontId="3" fillId="8" borderId="16" xfId="0" applyFont="1" applyFill="1" applyBorder="1" applyAlignment="1">
      <alignment horizontal="center" vertical="center"/>
    </xf>
    <xf numFmtId="0" fontId="3" fillId="9" borderId="10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10" borderId="16" xfId="0" applyFont="1" applyFill="1" applyBorder="1" applyAlignment="1">
      <alignment horizontal="center" vertical="center"/>
    </xf>
    <xf numFmtId="0" fontId="3" fillId="7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76" fontId="0" fillId="2" borderId="20" xfId="0" applyNumberForma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176" fontId="3" fillId="2" borderId="22" xfId="0" applyNumberFormat="1" applyFont="1" applyFill="1" applyBorder="1" applyAlignment="1">
      <alignment horizontal="center" vertical="center" wrapText="1"/>
    </xf>
    <xf numFmtId="176" fontId="0" fillId="2" borderId="22" xfId="0" applyNumberFormat="1" applyFill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/>
    </xf>
    <xf numFmtId="176" fontId="0" fillId="0" borderId="2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7" borderId="15" xfId="0" applyFont="1" applyFill="1" applyBorder="1" applyAlignment="1">
      <alignment horizontal="center" vertical="center"/>
    </xf>
    <xf numFmtId="0" fontId="3" fillId="7" borderId="23" xfId="0" applyFont="1" applyFill="1" applyBorder="1" applyAlignment="1">
      <alignment horizontal="center" vertical="center"/>
    </xf>
    <xf numFmtId="176" fontId="0" fillId="2" borderId="6" xfId="0" applyNumberFormat="1" applyFill="1" applyBorder="1" applyAlignment="1">
      <alignment horizontal="center" vertical="center"/>
    </xf>
    <xf numFmtId="0" fontId="0" fillId="11" borderId="3" xfId="0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12" borderId="3" xfId="0" applyFill="1" applyBorder="1" applyAlignment="1">
      <alignment horizontal="center"/>
    </xf>
    <xf numFmtId="176" fontId="0" fillId="2" borderId="0" xfId="0" applyNumberFormat="1" applyFill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9" fillId="0" borderId="0" xfId="0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384176</xdr:colOff>
      <xdr:row>0</xdr:row>
      <xdr:rowOff>101600</xdr:rowOff>
    </xdr:from>
    <xdr:to>
      <xdr:col>4</xdr:col>
      <xdr:colOff>435105</xdr:colOff>
      <xdr:row>0</xdr:row>
      <xdr:rowOff>631825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01185" y="101600"/>
          <a:ext cx="844550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139701</xdr:rowOff>
    </xdr:from>
    <xdr:to>
      <xdr:col>1</xdr:col>
      <xdr:colOff>393700</xdr:colOff>
      <xdr:row>6</xdr:row>
      <xdr:rowOff>116011</xdr:rowOff>
    </xdr:to>
    <xdr:sp>
      <xdr:nvSpPr>
        <xdr:cNvPr id="4" name="TextBox 3"/>
        <xdr:cNvSpPr txBox="1"/>
      </xdr:nvSpPr>
      <xdr:spPr>
        <a:xfrm>
          <a:off x="573405" y="1344930"/>
          <a:ext cx="2249805" cy="283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CORREA, LANIE MAY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81292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63791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38100</xdr:colOff>
      <xdr:row>0</xdr:row>
      <xdr:rowOff>169864</xdr:rowOff>
    </xdr:from>
    <xdr:to>
      <xdr:col>5</xdr:col>
      <xdr:colOff>146050</xdr:colOff>
      <xdr:row>4</xdr:row>
      <xdr:rowOff>4446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57320" y="169545"/>
          <a:ext cx="725170" cy="566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654051</xdr:colOff>
      <xdr:row>10</xdr:row>
      <xdr:rowOff>19051</xdr:rowOff>
    </xdr:from>
    <xdr:to>
      <xdr:col>0</xdr:col>
      <xdr:colOff>1720850</xdr:colOff>
      <xdr:row>11</xdr:row>
      <xdr:rowOff>114301</xdr:rowOff>
    </xdr:to>
    <xdr:sp>
      <xdr:nvSpPr>
        <xdr:cNvPr id="3" name="TextBox 2"/>
        <xdr:cNvSpPr txBox="1"/>
      </xdr:nvSpPr>
      <xdr:spPr>
        <a:xfrm>
          <a:off x="654050" y="1847850"/>
          <a:ext cx="825500" cy="2781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10</xdr:row>
      <xdr:rowOff>42410</xdr:rowOff>
    </xdr:from>
    <xdr:to>
      <xdr:col>5</xdr:col>
      <xdr:colOff>463323</xdr:colOff>
      <xdr:row>12</xdr:row>
      <xdr:rowOff>10714</xdr:rowOff>
    </xdr:to>
    <xdr:sp>
      <xdr:nvSpPr>
        <xdr:cNvPr id="4" name="TextBox 3"/>
        <xdr:cNvSpPr txBox="1"/>
      </xdr:nvSpPr>
      <xdr:spPr>
        <a:xfrm>
          <a:off x="3828415" y="1870710"/>
          <a:ext cx="1170940" cy="3340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GMNHS-MAIN</a:t>
          </a:r>
          <a:endParaRPr lang="en-US" sz="1100"/>
        </a:p>
        <a:p>
          <a:endParaRPr lang="en-US" sz="1100"/>
        </a:p>
      </xdr:txBody>
    </xdr:sp>
    <xdr:clientData/>
  </xdr:twoCellAnchor>
  <xdr:twoCellAnchor>
    <xdr:from>
      <xdr:col>0</xdr:col>
      <xdr:colOff>562183</xdr:colOff>
      <xdr:row>7</xdr:row>
      <xdr:rowOff>148618</xdr:rowOff>
    </xdr:from>
    <xdr:to>
      <xdr:col>1</xdr:col>
      <xdr:colOff>1065797</xdr:colOff>
      <xdr:row>9</xdr:row>
      <xdr:rowOff>93215</xdr:rowOff>
    </xdr:to>
    <xdr:sp>
      <xdr:nvSpPr>
        <xdr:cNvPr id="5" name="TextBox 4"/>
        <xdr:cNvSpPr txBox="1"/>
      </xdr:nvSpPr>
      <xdr:spPr>
        <a:xfrm>
          <a:off x="561975" y="1428750"/>
          <a:ext cx="1983105" cy="3098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CORREA, LANIE MAY Z.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385" y="28575"/>
          <a:ext cx="683895" cy="6254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2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749165"/>
          <a:ext cx="2974975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>
      <xdr:nvSpPr>
        <xdr:cNvPr id="4" name="TextBox 3"/>
        <xdr:cNvSpPr txBox="1"/>
      </xdr:nvSpPr>
      <xdr:spPr>
        <a:xfrm>
          <a:off x="777240" y="1485265"/>
          <a:ext cx="1498600" cy="2482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CORREA,</a:t>
          </a:r>
          <a:r>
            <a:rPr lang="en-US" sz="1100" baseline="0"/>
            <a:t> LANIE MAY</a:t>
          </a:r>
          <a:endParaRPr lang="en-US" sz="1100"/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>
      <xdr:nvSpPr>
        <xdr:cNvPr id="5" name="TextBox 4"/>
        <xdr:cNvSpPr txBox="1"/>
      </xdr:nvSpPr>
      <xdr:spPr>
        <a:xfrm>
          <a:off x="751205" y="1808480"/>
          <a:ext cx="1323340" cy="229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 II</a:t>
          </a:r>
          <a:endParaRPr lang="en-US" sz="1100"/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>
      <xdr:nvSpPr>
        <xdr:cNvPr id="6" name="TextBox 5"/>
        <xdr:cNvSpPr txBox="1"/>
      </xdr:nvSpPr>
      <xdr:spPr>
        <a:xfrm>
          <a:off x="3672840" y="1714500"/>
          <a:ext cx="1480820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94"/>
  <sheetViews>
    <sheetView tabSelected="1" view="pageBreakPreview" zoomScaleNormal="100" topLeftCell="A72" workbookViewId="0">
      <selection activeCell="A86" sqref="$A86:$XFD86"/>
    </sheetView>
  </sheetViews>
  <sheetFormatPr defaultColWidth="9" defaultRowHeight="14.4"/>
  <cols>
    <col min="1" max="1" width="35.4259259259259" customWidth="1"/>
    <col min="2" max="5" width="11.5740740740741" customWidth="1"/>
    <col min="6" max="6" width="11.5740740740741" style="53" customWidth="1"/>
    <col min="7" max="10" width="11.5740740740741" customWidth="1"/>
  </cols>
  <sheetData>
    <row r="1" s="1" customFormat="1" ht="52.5" customHeight="1" spans="6:6">
      <c r="F1" s="6"/>
    </row>
    <row r="2" s="1" customFormat="1" ht="10.5" customHeight="1" spans="1:10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</row>
    <row r="3" s="1" customFormat="1" ht="15.95" customHeight="1" spans="1:10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</row>
    <row r="4" s="1" customFormat="1" ht="15.95" customHeight="1" spans="1:10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</row>
    <row r="5" s="1" customFormat="1" ht="15.95" customHeight="1" spans="1:10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</row>
    <row r="6" s="1" customFormat="1" ht="8.25" customHeight="1" spans="6:6">
      <c r="F6" s="6"/>
    </row>
    <row r="7" s="1" customFormat="1" ht="12" customHeight="1" spans="1:10">
      <c r="A7" s="1" t="s">
        <v>4</v>
      </c>
      <c r="B7" s="9" t="s">
        <v>5</v>
      </c>
      <c r="C7" s="9"/>
      <c r="D7" s="9"/>
      <c r="F7" s="6"/>
      <c r="H7" s="8" t="s">
        <v>6</v>
      </c>
      <c r="I7" s="27"/>
      <c r="J7" s="8"/>
    </row>
    <row r="8" s="1" customFormat="1" ht="12" customHeight="1" spans="2:10">
      <c r="B8" s="10"/>
      <c r="C8" s="10"/>
      <c r="F8" s="6"/>
      <c r="H8" s="10"/>
      <c r="I8" s="10"/>
      <c r="J8" s="10"/>
    </row>
    <row r="9" s="1" customFormat="1" ht="12" customHeight="1" spans="1:10">
      <c r="A9" s="1" t="s">
        <v>7</v>
      </c>
      <c r="B9" s="9" t="s">
        <v>8</v>
      </c>
      <c r="C9" s="9"/>
      <c r="D9" s="9"/>
      <c r="F9" s="6"/>
      <c r="H9" s="8" t="s">
        <v>9</v>
      </c>
      <c r="I9" s="28"/>
      <c r="J9" s="8"/>
    </row>
    <row r="10" ht="16.5" customHeight="1" spans="1:10">
      <c r="A10" s="12" t="s">
        <v>10</v>
      </c>
      <c r="B10" s="12"/>
      <c r="C10" s="12"/>
      <c r="D10" s="12"/>
      <c r="E10" s="12"/>
      <c r="F10" s="12"/>
      <c r="G10" s="12"/>
      <c r="H10" s="12"/>
      <c r="I10" s="12"/>
      <c r="J10" s="12"/>
    </row>
    <row r="11" ht="18.75" customHeight="1" spans="1:10">
      <c r="A11" s="54" t="s">
        <v>11</v>
      </c>
      <c r="B11" s="55" t="s">
        <v>12</v>
      </c>
      <c r="C11" s="55"/>
      <c r="D11" s="56" t="s">
        <v>13</v>
      </c>
      <c r="E11" s="57"/>
      <c r="F11" s="57"/>
      <c r="G11" s="58"/>
      <c r="H11" s="59" t="s">
        <v>14</v>
      </c>
      <c r="I11" s="59"/>
      <c r="J11" s="73" t="s">
        <v>15</v>
      </c>
    </row>
    <row r="12" ht="37.5" customHeight="1" spans="1:10">
      <c r="A12" s="60"/>
      <c r="B12" s="61" t="s">
        <v>16</v>
      </c>
      <c r="C12" s="61" t="s">
        <v>17</v>
      </c>
      <c r="D12" s="61" t="s">
        <v>16</v>
      </c>
      <c r="E12" s="61" t="s">
        <v>17</v>
      </c>
      <c r="F12" s="61" t="s">
        <v>18</v>
      </c>
      <c r="G12" s="62" t="s">
        <v>19</v>
      </c>
      <c r="H12" s="61" t="s">
        <v>16</v>
      </c>
      <c r="I12" s="61" t="s">
        <v>17</v>
      </c>
      <c r="J12" s="74"/>
    </row>
    <row r="13" ht="18.75" customHeight="1" spans="1:10">
      <c r="A13" s="63" t="s">
        <v>20</v>
      </c>
      <c r="B13" s="64">
        <v>0.667</v>
      </c>
      <c r="C13" s="64">
        <v>0.667</v>
      </c>
      <c r="D13" s="64"/>
      <c r="E13" s="64"/>
      <c r="F13" s="64"/>
      <c r="G13" s="64"/>
      <c r="H13" s="64">
        <f>B13</f>
        <v>0.667</v>
      </c>
      <c r="I13" s="64">
        <f>C13</f>
        <v>0.667</v>
      </c>
      <c r="J13" s="75">
        <f>SUM(H13:I13)</f>
        <v>1.334</v>
      </c>
    </row>
    <row r="14" ht="18.75" customHeight="1" spans="1:10">
      <c r="A14" s="63" t="s">
        <v>21</v>
      </c>
      <c r="B14" s="64">
        <v>3.75</v>
      </c>
      <c r="C14" s="64">
        <v>3.75</v>
      </c>
      <c r="D14" s="64"/>
      <c r="E14" s="64"/>
      <c r="F14" s="64"/>
      <c r="G14" s="64"/>
      <c r="H14" s="64">
        <f>H13-F14-D14+B14</f>
        <v>4.417</v>
      </c>
      <c r="I14" s="64">
        <f>I13-E14+C14</f>
        <v>4.417</v>
      </c>
      <c r="J14" s="75">
        <f>SUM(H14:I14)</f>
        <v>8.834</v>
      </c>
    </row>
    <row r="15" ht="18.75" customHeight="1" spans="1:10">
      <c r="A15" s="63" t="s">
        <v>22</v>
      </c>
      <c r="B15" s="64">
        <v>8.75</v>
      </c>
      <c r="C15" s="64">
        <v>8.75</v>
      </c>
      <c r="D15" s="64"/>
      <c r="E15" s="64"/>
      <c r="F15" s="64"/>
      <c r="G15" s="64"/>
      <c r="H15" s="64">
        <f t="shared" ref="H15:H16" si="0">H14-F15-D15+B15</f>
        <v>13.167</v>
      </c>
      <c r="I15" s="64">
        <f t="shared" ref="I15:I16" si="1">I14-E15+C15</f>
        <v>13.167</v>
      </c>
      <c r="J15" s="75">
        <f t="shared" ref="J15:J16" si="2">SUM(H15:I15)</f>
        <v>26.334</v>
      </c>
    </row>
    <row r="16" ht="18.75" customHeight="1" spans="1:10">
      <c r="A16" s="63" t="s">
        <v>23</v>
      </c>
      <c r="B16" s="64"/>
      <c r="C16" s="64"/>
      <c r="D16" s="64"/>
      <c r="E16" s="64"/>
      <c r="F16" s="64">
        <v>4</v>
      </c>
      <c r="G16" s="64"/>
      <c r="H16" s="64">
        <f t="shared" si="0"/>
        <v>9.167</v>
      </c>
      <c r="I16" s="64">
        <f t="shared" si="1"/>
        <v>13.167</v>
      </c>
      <c r="J16" s="75">
        <f t="shared" si="2"/>
        <v>22.334</v>
      </c>
    </row>
    <row r="17" ht="18.75" customHeight="1" spans="1:10">
      <c r="A17" s="63" t="s">
        <v>24</v>
      </c>
      <c r="B17" s="64">
        <v>6.25</v>
      </c>
      <c r="C17" s="64">
        <v>6.25</v>
      </c>
      <c r="D17" s="64"/>
      <c r="E17" s="64"/>
      <c r="F17" s="64"/>
      <c r="G17" s="64"/>
      <c r="H17" s="64">
        <f t="shared" ref="H17:H21" si="3">H16-F17-D17+B17</f>
        <v>15.417</v>
      </c>
      <c r="I17" s="64">
        <f t="shared" ref="I17:I21" si="4">I16-E17+C17</f>
        <v>19.417</v>
      </c>
      <c r="J17" s="75">
        <f t="shared" ref="J17:J21" si="5">SUM(H17:I17)</f>
        <v>34.834</v>
      </c>
    </row>
    <row r="18" ht="18.75" customHeight="1" spans="1:10">
      <c r="A18" s="63" t="s">
        <v>25</v>
      </c>
      <c r="B18" s="64"/>
      <c r="C18" s="64"/>
      <c r="D18" s="64">
        <v>10</v>
      </c>
      <c r="E18" s="64"/>
      <c r="F18" s="64"/>
      <c r="G18" s="64"/>
      <c r="H18" s="64">
        <f t="shared" si="3"/>
        <v>5.417</v>
      </c>
      <c r="I18" s="64">
        <f t="shared" si="4"/>
        <v>19.417</v>
      </c>
      <c r="J18" s="75">
        <f t="shared" si="5"/>
        <v>24.834</v>
      </c>
    </row>
    <row r="19" ht="18.75" customHeight="1" spans="1:10">
      <c r="A19" s="63" t="s">
        <v>26</v>
      </c>
      <c r="B19" s="64"/>
      <c r="C19" s="64"/>
      <c r="D19" s="64"/>
      <c r="E19" s="64"/>
      <c r="F19" s="64">
        <v>1</v>
      </c>
      <c r="G19" s="64"/>
      <c r="H19" s="64">
        <f t="shared" si="3"/>
        <v>4.417</v>
      </c>
      <c r="I19" s="64">
        <f t="shared" si="4"/>
        <v>19.417</v>
      </c>
      <c r="J19" s="75">
        <f t="shared" si="5"/>
        <v>23.834</v>
      </c>
    </row>
    <row r="20" ht="18.75" customHeight="1" spans="1:10">
      <c r="A20" s="63" t="s">
        <v>27</v>
      </c>
      <c r="B20" s="64">
        <v>6.25</v>
      </c>
      <c r="C20" s="64">
        <v>6.25</v>
      </c>
      <c r="D20" s="64"/>
      <c r="E20" s="64"/>
      <c r="F20" s="64"/>
      <c r="G20" s="64"/>
      <c r="H20" s="64">
        <f t="shared" si="3"/>
        <v>10.667</v>
      </c>
      <c r="I20" s="64">
        <f t="shared" si="4"/>
        <v>25.667</v>
      </c>
      <c r="J20" s="75">
        <f t="shared" si="5"/>
        <v>36.334</v>
      </c>
    </row>
    <row r="21" ht="18.75" customHeight="1" spans="1:10">
      <c r="A21" s="63" t="s">
        <v>28</v>
      </c>
      <c r="B21" s="64"/>
      <c r="C21" s="64"/>
      <c r="D21" s="64"/>
      <c r="E21" s="64"/>
      <c r="F21" s="64">
        <v>1</v>
      </c>
      <c r="G21" s="64"/>
      <c r="H21" s="64">
        <f t="shared" si="3"/>
        <v>9.667</v>
      </c>
      <c r="I21" s="64">
        <f t="shared" si="4"/>
        <v>25.667</v>
      </c>
      <c r="J21" s="75">
        <f t="shared" si="5"/>
        <v>35.334</v>
      </c>
    </row>
    <row r="22" ht="18.75" customHeight="1" spans="1:10">
      <c r="A22" s="63" t="s">
        <v>29</v>
      </c>
      <c r="B22" s="64">
        <v>5</v>
      </c>
      <c r="C22" s="64">
        <v>5</v>
      </c>
      <c r="D22" s="64"/>
      <c r="E22" s="64"/>
      <c r="F22" s="64"/>
      <c r="G22" s="64"/>
      <c r="H22" s="64">
        <f t="shared" ref="H22:H23" si="6">H21-F22-D22+B22</f>
        <v>14.667</v>
      </c>
      <c r="I22" s="64">
        <f t="shared" ref="I22:I23" si="7">I21-E22+C22</f>
        <v>30.667</v>
      </c>
      <c r="J22" s="75">
        <f t="shared" ref="J22:J23" si="8">SUM(H22:I22)</f>
        <v>45.334</v>
      </c>
    </row>
    <row r="23" ht="18.75" customHeight="1" spans="1:10">
      <c r="A23" s="63" t="s">
        <v>30</v>
      </c>
      <c r="B23" s="64"/>
      <c r="C23" s="64"/>
      <c r="D23" s="64"/>
      <c r="E23" s="64"/>
      <c r="F23" s="64">
        <v>1</v>
      </c>
      <c r="G23" s="64"/>
      <c r="H23" s="64">
        <f t="shared" si="6"/>
        <v>13.667</v>
      </c>
      <c r="I23" s="64">
        <f t="shared" si="7"/>
        <v>30.667</v>
      </c>
      <c r="J23" s="75">
        <f t="shared" si="8"/>
        <v>44.334</v>
      </c>
    </row>
    <row r="24" ht="18.75" customHeight="1" spans="1:10">
      <c r="A24" s="63" t="s">
        <v>31</v>
      </c>
      <c r="B24" s="64">
        <v>2.5</v>
      </c>
      <c r="C24" s="64">
        <v>2.5</v>
      </c>
      <c r="D24" s="64"/>
      <c r="E24" s="64"/>
      <c r="F24" s="64"/>
      <c r="G24" s="64"/>
      <c r="H24" s="64">
        <f t="shared" ref="H24:H30" si="9">H23-F24-D24+B24</f>
        <v>16.167</v>
      </c>
      <c r="I24" s="64">
        <f t="shared" ref="I24:I30" si="10">I23-E24+C24</f>
        <v>33.167</v>
      </c>
      <c r="J24" s="75">
        <f t="shared" ref="J24:J30" si="11">SUM(H24:I24)</f>
        <v>49.334</v>
      </c>
    </row>
    <row r="25" ht="18.75" customHeight="1" spans="1:10">
      <c r="A25" s="63" t="s">
        <v>32</v>
      </c>
      <c r="B25" s="64"/>
      <c r="C25" s="64"/>
      <c r="D25" s="64">
        <v>9</v>
      </c>
      <c r="E25" s="64">
        <v>11</v>
      </c>
      <c r="F25" s="64"/>
      <c r="G25" s="64"/>
      <c r="H25" s="64">
        <f t="shared" si="9"/>
        <v>7.167</v>
      </c>
      <c r="I25" s="64">
        <f t="shared" si="10"/>
        <v>22.167</v>
      </c>
      <c r="J25" s="75">
        <f t="shared" si="11"/>
        <v>29.334</v>
      </c>
    </row>
    <row r="26" ht="18.75" customHeight="1" spans="1:10">
      <c r="A26" s="63" t="s">
        <v>33</v>
      </c>
      <c r="B26" s="64">
        <v>1.25</v>
      </c>
      <c r="C26" s="64">
        <v>1.25</v>
      </c>
      <c r="D26" s="64"/>
      <c r="E26" s="64"/>
      <c r="F26" s="64"/>
      <c r="G26" s="64"/>
      <c r="H26" s="64">
        <f t="shared" si="9"/>
        <v>8.417</v>
      </c>
      <c r="I26" s="64">
        <f t="shared" si="10"/>
        <v>23.417</v>
      </c>
      <c r="J26" s="75">
        <f t="shared" si="11"/>
        <v>31.834</v>
      </c>
    </row>
    <row r="27" ht="18.75" customHeight="1" spans="1:10">
      <c r="A27" s="63" t="s">
        <v>34</v>
      </c>
      <c r="B27" s="64"/>
      <c r="C27" s="64"/>
      <c r="D27" s="64"/>
      <c r="E27" s="64"/>
      <c r="F27" s="64">
        <v>3</v>
      </c>
      <c r="G27" s="64"/>
      <c r="H27" s="64">
        <f t="shared" si="9"/>
        <v>5.417</v>
      </c>
      <c r="I27" s="64">
        <f t="shared" si="10"/>
        <v>23.417</v>
      </c>
      <c r="J27" s="75">
        <f t="shared" si="11"/>
        <v>28.834</v>
      </c>
    </row>
    <row r="28" ht="18.75" customHeight="1" spans="1:10">
      <c r="A28" s="18" t="s">
        <v>35</v>
      </c>
      <c r="B28" s="25">
        <v>2.5</v>
      </c>
      <c r="C28" s="25">
        <v>2.5</v>
      </c>
      <c r="D28" s="25"/>
      <c r="E28" s="25"/>
      <c r="F28" s="25"/>
      <c r="G28" s="25"/>
      <c r="H28" s="64">
        <f t="shared" si="9"/>
        <v>7.917</v>
      </c>
      <c r="I28" s="64">
        <f t="shared" si="10"/>
        <v>25.917</v>
      </c>
      <c r="J28" s="75">
        <f t="shared" si="11"/>
        <v>33.834</v>
      </c>
    </row>
    <row r="29" ht="18.75" customHeight="1" spans="1:10">
      <c r="A29" s="18" t="s">
        <v>36</v>
      </c>
      <c r="B29" s="25"/>
      <c r="C29" s="25"/>
      <c r="D29" s="25">
        <v>1</v>
      </c>
      <c r="E29" s="25"/>
      <c r="F29" s="25"/>
      <c r="G29" s="25"/>
      <c r="H29" s="64">
        <f t="shared" si="9"/>
        <v>6.917</v>
      </c>
      <c r="I29" s="64">
        <f t="shared" si="10"/>
        <v>25.917</v>
      </c>
      <c r="J29" s="75">
        <f t="shared" si="11"/>
        <v>32.834</v>
      </c>
    </row>
    <row r="30" ht="18.75" customHeight="1" spans="1:10">
      <c r="A30" s="18" t="s">
        <v>37</v>
      </c>
      <c r="B30" s="25">
        <v>7.5</v>
      </c>
      <c r="C30" s="25">
        <v>7.5</v>
      </c>
      <c r="D30" s="25"/>
      <c r="E30" s="25"/>
      <c r="F30" s="25"/>
      <c r="G30" s="25"/>
      <c r="H30" s="64">
        <f t="shared" si="9"/>
        <v>14.417</v>
      </c>
      <c r="I30" s="64">
        <f t="shared" si="10"/>
        <v>33.417</v>
      </c>
      <c r="J30" s="75">
        <f t="shared" si="11"/>
        <v>47.834</v>
      </c>
    </row>
    <row r="31" ht="18.75" customHeight="1" spans="1:10">
      <c r="A31" s="18" t="s">
        <v>38</v>
      </c>
      <c r="B31" s="25"/>
      <c r="C31" s="25"/>
      <c r="D31" s="25">
        <v>6</v>
      </c>
      <c r="E31" s="25">
        <v>23</v>
      </c>
      <c r="F31" s="25"/>
      <c r="G31" s="25"/>
      <c r="H31" s="64">
        <f t="shared" ref="H31:H81" si="12">H30-F31-D31+B31</f>
        <v>8.417</v>
      </c>
      <c r="I31" s="64">
        <f t="shared" ref="I31:I81" si="13">I30-E31+C31</f>
        <v>10.417</v>
      </c>
      <c r="J31" s="75">
        <f t="shared" ref="J31:J81" si="14">SUM(H31:I31)</f>
        <v>18.834</v>
      </c>
    </row>
    <row r="32" ht="18.75" customHeight="1" spans="1:10">
      <c r="A32" s="18" t="s">
        <v>39</v>
      </c>
      <c r="B32" s="25">
        <v>2.5</v>
      </c>
      <c r="C32" s="25">
        <v>2.5</v>
      </c>
      <c r="D32" s="25"/>
      <c r="E32" s="25"/>
      <c r="F32" s="25"/>
      <c r="G32" s="25"/>
      <c r="H32" s="64">
        <f t="shared" si="12"/>
        <v>10.917</v>
      </c>
      <c r="I32" s="64">
        <f t="shared" si="13"/>
        <v>12.917</v>
      </c>
      <c r="J32" s="75">
        <f t="shared" si="14"/>
        <v>23.834</v>
      </c>
    </row>
    <row r="33" ht="18.75" customHeight="1" spans="1:10">
      <c r="A33" s="18" t="s">
        <v>40</v>
      </c>
      <c r="B33" s="25"/>
      <c r="C33" s="25"/>
      <c r="D33" s="25"/>
      <c r="E33" s="25"/>
      <c r="F33" s="25">
        <v>1</v>
      </c>
      <c r="G33" s="25"/>
      <c r="H33" s="64">
        <f t="shared" si="12"/>
        <v>9.917</v>
      </c>
      <c r="I33" s="64">
        <f t="shared" si="13"/>
        <v>12.917</v>
      </c>
      <c r="J33" s="75">
        <f t="shared" si="14"/>
        <v>22.834</v>
      </c>
    </row>
    <row r="34" ht="18.75" customHeight="1" spans="1:10">
      <c r="A34" s="18" t="s">
        <v>41</v>
      </c>
      <c r="B34" s="25">
        <v>1.25</v>
      </c>
      <c r="C34" s="25">
        <v>1.25</v>
      </c>
      <c r="D34" s="25"/>
      <c r="E34" s="25"/>
      <c r="F34" s="25"/>
      <c r="G34" s="25"/>
      <c r="H34" s="64">
        <f t="shared" si="12"/>
        <v>11.167</v>
      </c>
      <c r="I34" s="64">
        <f t="shared" si="13"/>
        <v>14.167</v>
      </c>
      <c r="J34" s="75">
        <f t="shared" si="14"/>
        <v>25.334</v>
      </c>
    </row>
    <row r="35" ht="18.75" customHeight="1" spans="1:10">
      <c r="A35" s="18" t="s">
        <v>42</v>
      </c>
      <c r="B35" s="25"/>
      <c r="C35" s="25"/>
      <c r="D35" s="25"/>
      <c r="E35" s="25"/>
      <c r="F35" s="25">
        <v>2</v>
      </c>
      <c r="G35" s="25"/>
      <c r="H35" s="64">
        <f t="shared" si="12"/>
        <v>9.167</v>
      </c>
      <c r="I35" s="64">
        <f t="shared" si="13"/>
        <v>14.167</v>
      </c>
      <c r="J35" s="75">
        <f t="shared" si="14"/>
        <v>23.334</v>
      </c>
    </row>
    <row r="36" ht="18.75" customHeight="1" spans="1:10">
      <c r="A36" s="18" t="s">
        <v>43</v>
      </c>
      <c r="B36" s="25"/>
      <c r="C36" s="25"/>
      <c r="D36" s="25"/>
      <c r="E36" s="25"/>
      <c r="F36" s="25"/>
      <c r="G36" s="25">
        <v>1</v>
      </c>
      <c r="H36" s="64">
        <f t="shared" si="12"/>
        <v>9.167</v>
      </c>
      <c r="I36" s="64">
        <f t="shared" si="13"/>
        <v>14.167</v>
      </c>
      <c r="J36" s="75">
        <f t="shared" si="14"/>
        <v>23.334</v>
      </c>
    </row>
    <row r="37" ht="18.75" customHeight="1" spans="1:10">
      <c r="A37" s="18" t="s">
        <v>44</v>
      </c>
      <c r="B37" s="25"/>
      <c r="C37" s="25"/>
      <c r="D37" s="25"/>
      <c r="E37" s="25"/>
      <c r="F37" s="25"/>
      <c r="G37" s="25">
        <v>1</v>
      </c>
      <c r="H37" s="64">
        <f t="shared" si="12"/>
        <v>9.167</v>
      </c>
      <c r="I37" s="64">
        <f t="shared" si="13"/>
        <v>14.167</v>
      </c>
      <c r="J37" s="75">
        <f t="shared" si="14"/>
        <v>23.334</v>
      </c>
    </row>
    <row r="38" ht="18.75" customHeight="1" spans="1:10">
      <c r="A38" s="18" t="s">
        <v>45</v>
      </c>
      <c r="B38" s="25"/>
      <c r="C38" s="25"/>
      <c r="D38" s="25"/>
      <c r="E38" s="25"/>
      <c r="F38" s="25">
        <v>2</v>
      </c>
      <c r="G38" s="25"/>
      <c r="H38" s="64">
        <f t="shared" si="12"/>
        <v>7.167</v>
      </c>
      <c r="I38" s="64">
        <f t="shared" si="13"/>
        <v>14.167</v>
      </c>
      <c r="J38" s="75">
        <f t="shared" si="14"/>
        <v>21.334</v>
      </c>
    </row>
    <row r="39" ht="18.75" customHeight="1" spans="1:10">
      <c r="A39" s="18" t="s">
        <v>46</v>
      </c>
      <c r="B39" s="25">
        <v>1.25</v>
      </c>
      <c r="C39" s="25">
        <v>1.25</v>
      </c>
      <c r="D39" s="25"/>
      <c r="E39" s="25"/>
      <c r="F39" s="25"/>
      <c r="G39" s="25"/>
      <c r="H39" s="64">
        <f t="shared" si="12"/>
        <v>8.417</v>
      </c>
      <c r="I39" s="64">
        <f t="shared" si="13"/>
        <v>15.417</v>
      </c>
      <c r="J39" s="75">
        <f t="shared" si="14"/>
        <v>23.834</v>
      </c>
    </row>
    <row r="40" ht="18.75" customHeight="1" spans="1:10">
      <c r="A40" s="65" t="s">
        <v>47</v>
      </c>
      <c r="B40" s="25"/>
      <c r="C40" s="25"/>
      <c r="D40" s="25"/>
      <c r="E40" s="25"/>
      <c r="F40" s="25"/>
      <c r="G40" s="25">
        <v>1</v>
      </c>
      <c r="H40" s="64">
        <f t="shared" si="12"/>
        <v>8.417</v>
      </c>
      <c r="I40" s="64">
        <f t="shared" si="13"/>
        <v>15.417</v>
      </c>
      <c r="J40" s="75">
        <f t="shared" si="14"/>
        <v>23.834</v>
      </c>
    </row>
    <row r="41" ht="18.75" customHeight="1" spans="1:10">
      <c r="A41" s="65" t="s">
        <v>48</v>
      </c>
      <c r="B41" s="25"/>
      <c r="C41" s="25"/>
      <c r="D41" s="25"/>
      <c r="E41" s="25"/>
      <c r="F41" s="25">
        <v>1</v>
      </c>
      <c r="G41" s="25"/>
      <c r="H41" s="64">
        <f t="shared" si="12"/>
        <v>7.417</v>
      </c>
      <c r="I41" s="64">
        <f t="shared" si="13"/>
        <v>15.417</v>
      </c>
      <c r="J41" s="75">
        <f t="shared" si="14"/>
        <v>22.834</v>
      </c>
    </row>
    <row r="42" ht="18.75" customHeight="1" spans="1:10">
      <c r="A42" s="65" t="s">
        <v>49</v>
      </c>
      <c r="B42" s="25">
        <v>3.75</v>
      </c>
      <c r="C42" s="25">
        <v>3.75</v>
      </c>
      <c r="D42" s="25"/>
      <c r="E42" s="25"/>
      <c r="F42" s="25"/>
      <c r="G42" s="25"/>
      <c r="H42" s="64">
        <f t="shared" si="12"/>
        <v>11.167</v>
      </c>
      <c r="I42" s="64">
        <f t="shared" si="13"/>
        <v>19.167</v>
      </c>
      <c r="J42" s="75">
        <f t="shared" si="14"/>
        <v>30.334</v>
      </c>
    </row>
    <row r="43" ht="18.75" customHeight="1" spans="1:10">
      <c r="A43" s="65" t="s">
        <v>50</v>
      </c>
      <c r="B43" s="25"/>
      <c r="C43" s="25"/>
      <c r="D43" s="25"/>
      <c r="E43" s="25"/>
      <c r="F43" s="25">
        <v>2</v>
      </c>
      <c r="G43" s="25"/>
      <c r="H43" s="64">
        <f t="shared" si="12"/>
        <v>9.167</v>
      </c>
      <c r="I43" s="64">
        <f t="shared" si="13"/>
        <v>19.167</v>
      </c>
      <c r="J43" s="75">
        <f t="shared" si="14"/>
        <v>28.334</v>
      </c>
    </row>
    <row r="44" ht="18.75" customHeight="1" spans="1:10">
      <c r="A44" s="66" t="s">
        <v>51</v>
      </c>
      <c r="B44" s="67"/>
      <c r="C44" s="67"/>
      <c r="D44" s="67"/>
      <c r="E44" s="67"/>
      <c r="F44" s="68">
        <v>1</v>
      </c>
      <c r="G44" s="67"/>
      <c r="H44" s="64">
        <f t="shared" si="12"/>
        <v>8.167</v>
      </c>
      <c r="I44" s="64">
        <f t="shared" si="13"/>
        <v>19.167</v>
      </c>
      <c r="J44" s="75">
        <f t="shared" si="14"/>
        <v>27.334</v>
      </c>
    </row>
    <row r="45" spans="1:10">
      <c r="A45" s="65" t="s">
        <v>52</v>
      </c>
      <c r="B45" s="69">
        <v>3.75</v>
      </c>
      <c r="C45" s="69">
        <v>3.75</v>
      </c>
      <c r="D45" s="69"/>
      <c r="E45" s="69"/>
      <c r="F45" s="69"/>
      <c r="G45" s="70"/>
      <c r="H45" s="64">
        <f t="shared" si="12"/>
        <v>11.917</v>
      </c>
      <c r="I45" s="64">
        <f t="shared" si="13"/>
        <v>22.917</v>
      </c>
      <c r="J45" s="75">
        <f t="shared" si="14"/>
        <v>34.834</v>
      </c>
    </row>
    <row r="46" spans="1:10">
      <c r="A46" s="66" t="s">
        <v>53</v>
      </c>
      <c r="B46" s="69"/>
      <c r="C46" s="69"/>
      <c r="D46" s="69"/>
      <c r="E46" s="69"/>
      <c r="F46" s="69">
        <v>1</v>
      </c>
      <c r="G46" s="70"/>
      <c r="H46" s="64">
        <f t="shared" si="12"/>
        <v>10.917</v>
      </c>
      <c r="I46" s="64">
        <f t="shared" si="13"/>
        <v>22.917</v>
      </c>
      <c r="J46" s="75">
        <f t="shared" si="14"/>
        <v>33.834</v>
      </c>
    </row>
    <row r="47" spans="1:10">
      <c r="A47" s="65" t="s">
        <v>54</v>
      </c>
      <c r="B47" s="69">
        <v>2.5</v>
      </c>
      <c r="C47" s="69">
        <v>2.5</v>
      </c>
      <c r="D47" s="69"/>
      <c r="E47" s="69"/>
      <c r="F47" s="69"/>
      <c r="G47" s="70"/>
      <c r="H47" s="64">
        <f t="shared" si="12"/>
        <v>13.417</v>
      </c>
      <c r="I47" s="64">
        <f t="shared" si="13"/>
        <v>25.417</v>
      </c>
      <c r="J47" s="75">
        <f t="shared" si="14"/>
        <v>38.834</v>
      </c>
    </row>
    <row r="48" spans="1:10">
      <c r="A48" s="71" t="s">
        <v>55</v>
      </c>
      <c r="B48" s="71"/>
      <c r="C48" s="71"/>
      <c r="D48" s="69">
        <v>8</v>
      </c>
      <c r="E48" s="69">
        <v>16</v>
      </c>
      <c r="F48" s="71"/>
      <c r="G48" s="71"/>
      <c r="H48" s="64">
        <f t="shared" si="12"/>
        <v>5.417</v>
      </c>
      <c r="I48" s="64">
        <f t="shared" si="13"/>
        <v>9.417</v>
      </c>
      <c r="J48" s="75">
        <f t="shared" si="14"/>
        <v>14.834</v>
      </c>
    </row>
    <row r="49" spans="1:10">
      <c r="A49" s="71" t="s">
        <v>56</v>
      </c>
      <c r="B49" s="71"/>
      <c r="C49" s="71"/>
      <c r="D49" s="71">
        <v>1</v>
      </c>
      <c r="E49" s="71"/>
      <c r="F49" s="71"/>
      <c r="G49" s="71"/>
      <c r="H49" s="64">
        <f t="shared" si="12"/>
        <v>4.417</v>
      </c>
      <c r="I49" s="64">
        <f t="shared" si="13"/>
        <v>9.417</v>
      </c>
      <c r="J49" s="75">
        <f t="shared" si="14"/>
        <v>13.834</v>
      </c>
    </row>
    <row r="50" spans="1:10">
      <c r="A50" s="71" t="s">
        <v>57</v>
      </c>
      <c r="B50" s="71">
        <v>1.25</v>
      </c>
      <c r="C50" s="71">
        <v>1.25</v>
      </c>
      <c r="D50" s="71"/>
      <c r="E50" s="71"/>
      <c r="F50" s="71"/>
      <c r="G50" s="71"/>
      <c r="H50" s="64">
        <f t="shared" si="12"/>
        <v>5.667</v>
      </c>
      <c r="I50" s="64">
        <f t="shared" si="13"/>
        <v>10.667</v>
      </c>
      <c r="J50" s="75">
        <f t="shared" si="14"/>
        <v>16.334</v>
      </c>
    </row>
    <row r="51" spans="1:10">
      <c r="A51" s="71" t="s">
        <v>58</v>
      </c>
      <c r="B51" s="71"/>
      <c r="C51" s="71"/>
      <c r="D51" s="71">
        <v>1</v>
      </c>
      <c r="E51" s="71"/>
      <c r="F51" s="71"/>
      <c r="G51" s="71"/>
      <c r="H51" s="64">
        <f t="shared" si="12"/>
        <v>4.667</v>
      </c>
      <c r="I51" s="64">
        <f t="shared" si="13"/>
        <v>10.667</v>
      </c>
      <c r="J51" s="75">
        <f t="shared" si="14"/>
        <v>15.334</v>
      </c>
    </row>
    <row r="52" spans="1:10">
      <c r="A52" s="71" t="s">
        <v>59</v>
      </c>
      <c r="B52" s="71">
        <v>2.5</v>
      </c>
      <c r="C52" s="71">
        <v>2.5</v>
      </c>
      <c r="D52" s="71"/>
      <c r="E52" s="71"/>
      <c r="F52" s="71"/>
      <c r="G52" s="71"/>
      <c r="H52" s="64">
        <f t="shared" si="12"/>
        <v>7.167</v>
      </c>
      <c r="I52" s="64">
        <f t="shared" si="13"/>
        <v>13.167</v>
      </c>
      <c r="J52" s="75">
        <f t="shared" si="14"/>
        <v>20.334</v>
      </c>
    </row>
    <row r="53" spans="1:10">
      <c r="A53" s="71" t="s">
        <v>60</v>
      </c>
      <c r="B53" s="71"/>
      <c r="C53" s="71"/>
      <c r="D53" s="71">
        <v>1</v>
      </c>
      <c r="E53" s="71"/>
      <c r="F53" s="71"/>
      <c r="G53" s="71"/>
      <c r="H53" s="64">
        <f t="shared" si="12"/>
        <v>6.167</v>
      </c>
      <c r="I53" s="64">
        <f t="shared" si="13"/>
        <v>13.167</v>
      </c>
      <c r="J53" s="75">
        <f t="shared" si="14"/>
        <v>19.334</v>
      </c>
    </row>
    <row r="54" spans="1:10">
      <c r="A54" s="71" t="s">
        <v>61</v>
      </c>
      <c r="B54" s="71"/>
      <c r="C54" s="71"/>
      <c r="D54" s="71">
        <v>1</v>
      </c>
      <c r="E54" s="71"/>
      <c r="F54" s="71"/>
      <c r="G54" s="71"/>
      <c r="H54" s="64">
        <f t="shared" si="12"/>
        <v>5.167</v>
      </c>
      <c r="I54" s="64">
        <f t="shared" si="13"/>
        <v>13.167</v>
      </c>
      <c r="J54" s="75">
        <f t="shared" si="14"/>
        <v>18.334</v>
      </c>
    </row>
    <row r="55" spans="1:10">
      <c r="A55" s="71" t="s">
        <v>62</v>
      </c>
      <c r="B55" s="71">
        <v>1.25</v>
      </c>
      <c r="C55" s="71">
        <v>1.25</v>
      </c>
      <c r="D55" s="71"/>
      <c r="E55" s="71"/>
      <c r="F55" s="71"/>
      <c r="G55" s="71"/>
      <c r="H55" s="64">
        <f t="shared" si="12"/>
        <v>6.417</v>
      </c>
      <c r="I55" s="64">
        <f t="shared" si="13"/>
        <v>14.417</v>
      </c>
      <c r="J55" s="75">
        <f t="shared" si="14"/>
        <v>20.834</v>
      </c>
    </row>
    <row r="56" spans="1:10">
      <c r="A56" s="71" t="s">
        <v>63</v>
      </c>
      <c r="B56" s="71"/>
      <c r="C56" s="71"/>
      <c r="D56" s="71"/>
      <c r="E56" s="71"/>
      <c r="F56" s="71">
        <v>1</v>
      </c>
      <c r="G56" s="71"/>
      <c r="H56" s="64">
        <f t="shared" si="12"/>
        <v>5.417</v>
      </c>
      <c r="I56" s="64">
        <f t="shared" si="13"/>
        <v>14.417</v>
      </c>
      <c r="J56" s="75">
        <f t="shared" si="14"/>
        <v>19.834</v>
      </c>
    </row>
    <row r="57" spans="1:10">
      <c r="A57" s="71" t="s">
        <v>64</v>
      </c>
      <c r="B57" s="71">
        <v>2.5</v>
      </c>
      <c r="C57" s="71">
        <v>2.5</v>
      </c>
      <c r="D57" s="71"/>
      <c r="E57" s="71"/>
      <c r="F57" s="71"/>
      <c r="G57" s="71"/>
      <c r="H57" s="64">
        <f t="shared" si="12"/>
        <v>7.917</v>
      </c>
      <c r="I57" s="64">
        <f t="shared" si="13"/>
        <v>16.917</v>
      </c>
      <c r="J57" s="75">
        <f t="shared" si="14"/>
        <v>24.834</v>
      </c>
    </row>
    <row r="58" spans="1:10">
      <c r="A58" s="71" t="s">
        <v>65</v>
      </c>
      <c r="B58" s="71"/>
      <c r="C58" s="71"/>
      <c r="D58" s="71"/>
      <c r="E58" s="71"/>
      <c r="F58" s="71">
        <v>1</v>
      </c>
      <c r="G58" s="71"/>
      <c r="H58" s="64">
        <f t="shared" si="12"/>
        <v>6.917</v>
      </c>
      <c r="I58" s="64">
        <f t="shared" si="13"/>
        <v>16.917</v>
      </c>
      <c r="J58" s="75">
        <f t="shared" si="14"/>
        <v>23.834</v>
      </c>
    </row>
    <row r="59" spans="1:10">
      <c r="A59" s="71" t="s">
        <v>66</v>
      </c>
      <c r="B59" s="72"/>
      <c r="C59" s="72"/>
      <c r="D59" s="72"/>
      <c r="E59" s="72"/>
      <c r="F59" s="71">
        <v>1</v>
      </c>
      <c r="G59" s="72"/>
      <c r="H59" s="64">
        <f t="shared" si="12"/>
        <v>5.917</v>
      </c>
      <c r="I59" s="64">
        <f t="shared" si="13"/>
        <v>16.917</v>
      </c>
      <c r="J59" s="75">
        <f t="shared" si="14"/>
        <v>22.834</v>
      </c>
    </row>
    <row r="60" spans="1:10">
      <c r="A60" s="71" t="s">
        <v>67</v>
      </c>
      <c r="B60" s="71">
        <v>1.25</v>
      </c>
      <c r="C60" s="71">
        <v>1.25</v>
      </c>
      <c r="D60" s="72"/>
      <c r="E60" s="72"/>
      <c r="F60" s="71"/>
      <c r="G60" s="72"/>
      <c r="H60" s="64">
        <f t="shared" si="12"/>
        <v>7.167</v>
      </c>
      <c r="I60" s="64">
        <f t="shared" si="13"/>
        <v>18.167</v>
      </c>
      <c r="J60" s="75">
        <f t="shared" si="14"/>
        <v>25.334</v>
      </c>
    </row>
    <row r="61" spans="1:10">
      <c r="A61" s="71" t="s">
        <v>68</v>
      </c>
      <c r="B61" s="71"/>
      <c r="C61" s="71"/>
      <c r="D61" s="72"/>
      <c r="E61" s="72"/>
      <c r="F61" s="71"/>
      <c r="G61" s="71">
        <v>1</v>
      </c>
      <c r="H61" s="64">
        <f t="shared" si="12"/>
        <v>7.167</v>
      </c>
      <c r="I61" s="64">
        <f t="shared" si="13"/>
        <v>18.167</v>
      </c>
      <c r="J61" s="75">
        <f t="shared" si="14"/>
        <v>25.334</v>
      </c>
    </row>
    <row r="62" spans="1:10">
      <c r="A62" s="71" t="s">
        <v>69</v>
      </c>
      <c r="B62" s="71">
        <v>1.25</v>
      </c>
      <c r="C62" s="71">
        <v>1.25</v>
      </c>
      <c r="D62" s="72"/>
      <c r="E62" s="72"/>
      <c r="F62" s="71"/>
      <c r="G62" s="71"/>
      <c r="H62" s="64">
        <f t="shared" si="12"/>
        <v>8.417</v>
      </c>
      <c r="I62" s="64">
        <f t="shared" si="13"/>
        <v>19.417</v>
      </c>
      <c r="J62" s="75">
        <f t="shared" si="14"/>
        <v>27.834</v>
      </c>
    </row>
    <row r="63" spans="1:10">
      <c r="A63" s="71" t="s">
        <v>70</v>
      </c>
      <c r="B63" s="71"/>
      <c r="C63" s="71"/>
      <c r="D63" s="72"/>
      <c r="E63" s="72"/>
      <c r="F63" s="71"/>
      <c r="G63" s="71">
        <v>1</v>
      </c>
      <c r="H63" s="64">
        <f t="shared" si="12"/>
        <v>8.417</v>
      </c>
      <c r="I63" s="64">
        <f t="shared" si="13"/>
        <v>19.417</v>
      </c>
      <c r="J63" s="75">
        <f t="shared" si="14"/>
        <v>27.834</v>
      </c>
    </row>
    <row r="64" spans="1:10">
      <c r="A64" s="71" t="s">
        <v>71</v>
      </c>
      <c r="B64" s="71"/>
      <c r="C64" s="71"/>
      <c r="D64" s="72"/>
      <c r="E64" s="72"/>
      <c r="F64" s="71">
        <v>1</v>
      </c>
      <c r="G64" s="72"/>
      <c r="H64" s="64">
        <f t="shared" si="12"/>
        <v>7.417</v>
      </c>
      <c r="I64" s="64">
        <f t="shared" si="13"/>
        <v>19.417</v>
      </c>
      <c r="J64" s="75">
        <f t="shared" si="14"/>
        <v>26.834</v>
      </c>
    </row>
    <row r="65" spans="1:10">
      <c r="A65" s="71" t="s">
        <v>72</v>
      </c>
      <c r="B65" s="71">
        <v>3.75</v>
      </c>
      <c r="C65" s="71">
        <v>3.75</v>
      </c>
      <c r="D65" s="72"/>
      <c r="E65" s="72"/>
      <c r="F65" s="71"/>
      <c r="G65" s="72"/>
      <c r="H65" s="64">
        <f t="shared" si="12"/>
        <v>11.167</v>
      </c>
      <c r="I65" s="64">
        <f t="shared" si="13"/>
        <v>23.167</v>
      </c>
      <c r="J65" s="75">
        <f t="shared" si="14"/>
        <v>34.334</v>
      </c>
    </row>
    <row r="66" spans="1:10">
      <c r="A66" s="71" t="s">
        <v>73</v>
      </c>
      <c r="B66" s="72"/>
      <c r="C66" s="72"/>
      <c r="D66" s="71"/>
      <c r="E66" s="71">
        <v>1</v>
      </c>
      <c r="F66" s="71"/>
      <c r="G66" s="72"/>
      <c r="H66" s="64">
        <f t="shared" si="12"/>
        <v>11.167</v>
      </c>
      <c r="I66" s="64">
        <f t="shared" si="13"/>
        <v>22.167</v>
      </c>
      <c r="J66" s="75">
        <f t="shared" si="14"/>
        <v>33.334</v>
      </c>
    </row>
    <row r="67" spans="1:10">
      <c r="A67" s="71" t="s">
        <v>74</v>
      </c>
      <c r="B67" s="72"/>
      <c r="C67" s="72"/>
      <c r="D67" s="71"/>
      <c r="E67" s="71"/>
      <c r="F67" s="71">
        <v>1</v>
      </c>
      <c r="G67" s="72"/>
      <c r="H67" s="64">
        <f t="shared" si="12"/>
        <v>10.167</v>
      </c>
      <c r="I67" s="64">
        <f t="shared" si="13"/>
        <v>22.167</v>
      </c>
      <c r="J67" s="75">
        <f t="shared" si="14"/>
        <v>32.334</v>
      </c>
    </row>
    <row r="68" spans="1:10">
      <c r="A68" s="71" t="s">
        <v>75</v>
      </c>
      <c r="B68" s="71">
        <v>1.25</v>
      </c>
      <c r="C68" s="71">
        <v>1.25</v>
      </c>
      <c r="D68" s="71"/>
      <c r="E68" s="71"/>
      <c r="F68" s="71"/>
      <c r="G68" s="71"/>
      <c r="H68" s="64">
        <f t="shared" si="12"/>
        <v>11.417</v>
      </c>
      <c r="I68" s="64">
        <f t="shared" si="13"/>
        <v>23.417</v>
      </c>
      <c r="J68" s="75">
        <f t="shared" si="14"/>
        <v>34.834</v>
      </c>
    </row>
    <row r="69" spans="1:10">
      <c r="A69" s="71" t="s">
        <v>76</v>
      </c>
      <c r="B69" s="71"/>
      <c r="C69" s="71"/>
      <c r="D69" s="71">
        <v>1</v>
      </c>
      <c r="E69" s="71"/>
      <c r="F69" s="71"/>
      <c r="G69" s="71"/>
      <c r="H69" s="64">
        <f t="shared" si="12"/>
        <v>10.417</v>
      </c>
      <c r="I69" s="64">
        <f t="shared" si="13"/>
        <v>23.417</v>
      </c>
      <c r="J69" s="75">
        <f t="shared" si="14"/>
        <v>33.834</v>
      </c>
    </row>
    <row r="70" spans="1:10">
      <c r="A70" s="71" t="s">
        <v>77</v>
      </c>
      <c r="B70" s="71">
        <v>2.5</v>
      </c>
      <c r="C70" s="71">
        <v>2.5</v>
      </c>
      <c r="D70" s="71"/>
      <c r="E70" s="71"/>
      <c r="F70" s="71"/>
      <c r="G70" s="71"/>
      <c r="H70" s="64">
        <f t="shared" si="12"/>
        <v>12.917</v>
      </c>
      <c r="I70" s="64">
        <f t="shared" si="13"/>
        <v>25.917</v>
      </c>
      <c r="J70" s="75">
        <f t="shared" si="14"/>
        <v>38.834</v>
      </c>
    </row>
    <row r="71" spans="1:10">
      <c r="A71" s="71" t="s">
        <v>78</v>
      </c>
      <c r="B71" s="71"/>
      <c r="C71" s="71"/>
      <c r="D71" s="71">
        <v>1</v>
      </c>
      <c r="E71" s="71"/>
      <c r="F71" s="71"/>
      <c r="G71" s="71"/>
      <c r="H71" s="64">
        <f t="shared" si="12"/>
        <v>11.917</v>
      </c>
      <c r="I71" s="64">
        <f t="shared" si="13"/>
        <v>25.917</v>
      </c>
      <c r="J71" s="75">
        <f t="shared" si="14"/>
        <v>37.834</v>
      </c>
    </row>
    <row r="72" spans="1:10">
      <c r="A72" s="71" t="s">
        <v>79</v>
      </c>
      <c r="B72" s="71">
        <v>1.25</v>
      </c>
      <c r="C72" s="71">
        <v>1.25</v>
      </c>
      <c r="D72" s="71"/>
      <c r="E72" s="71"/>
      <c r="F72" s="71"/>
      <c r="G72" s="71"/>
      <c r="H72" s="64">
        <f t="shared" si="12"/>
        <v>13.167</v>
      </c>
      <c r="I72" s="64">
        <f t="shared" si="13"/>
        <v>27.167</v>
      </c>
      <c r="J72" s="75">
        <f t="shared" si="14"/>
        <v>40.334</v>
      </c>
    </row>
    <row r="73" spans="1:10">
      <c r="A73" s="71" t="s">
        <v>80</v>
      </c>
      <c r="B73" s="71"/>
      <c r="C73" s="71"/>
      <c r="D73" s="71">
        <v>0.5</v>
      </c>
      <c r="E73" s="71"/>
      <c r="F73" s="71"/>
      <c r="G73" s="71"/>
      <c r="H73" s="64">
        <f t="shared" si="12"/>
        <v>12.667</v>
      </c>
      <c r="I73" s="64">
        <f t="shared" si="13"/>
        <v>27.167</v>
      </c>
      <c r="J73" s="75">
        <f t="shared" si="14"/>
        <v>39.834</v>
      </c>
    </row>
    <row r="74" spans="1:10">
      <c r="A74" s="71" t="s">
        <v>81</v>
      </c>
      <c r="B74" s="71"/>
      <c r="C74" s="71"/>
      <c r="D74" s="71"/>
      <c r="E74" s="71"/>
      <c r="F74" s="71"/>
      <c r="G74" s="71">
        <v>1</v>
      </c>
      <c r="H74" s="64">
        <f t="shared" si="12"/>
        <v>12.667</v>
      </c>
      <c r="I74" s="64">
        <f t="shared" si="13"/>
        <v>27.167</v>
      </c>
      <c r="J74" s="75">
        <f t="shared" si="14"/>
        <v>39.834</v>
      </c>
    </row>
    <row r="75" spans="1:10">
      <c r="A75" s="71" t="s">
        <v>82</v>
      </c>
      <c r="B75" s="71">
        <v>1.25</v>
      </c>
      <c r="C75" s="71">
        <v>1.25</v>
      </c>
      <c r="D75" s="71"/>
      <c r="E75" s="71"/>
      <c r="F75" s="71"/>
      <c r="G75" s="71"/>
      <c r="H75" s="64">
        <f t="shared" si="12"/>
        <v>13.917</v>
      </c>
      <c r="I75" s="64">
        <f t="shared" si="13"/>
        <v>28.417</v>
      </c>
      <c r="J75" s="75">
        <f t="shared" si="14"/>
        <v>42.334</v>
      </c>
    </row>
    <row r="76" spans="1:10">
      <c r="A76" s="71" t="s">
        <v>83</v>
      </c>
      <c r="B76" s="71"/>
      <c r="C76" s="71"/>
      <c r="D76" s="71"/>
      <c r="E76" s="71"/>
      <c r="F76" s="71"/>
      <c r="G76" s="76">
        <v>1</v>
      </c>
      <c r="H76" s="64">
        <f t="shared" si="12"/>
        <v>13.917</v>
      </c>
      <c r="I76" s="64">
        <f t="shared" si="13"/>
        <v>28.417</v>
      </c>
      <c r="J76" s="75">
        <f t="shared" si="14"/>
        <v>42.334</v>
      </c>
    </row>
    <row r="77" spans="1:10">
      <c r="A77" s="71" t="s">
        <v>84</v>
      </c>
      <c r="B77" s="71"/>
      <c r="C77" s="71"/>
      <c r="D77" s="71"/>
      <c r="E77" s="71"/>
      <c r="F77" s="71"/>
      <c r="G77" s="76">
        <v>1</v>
      </c>
      <c r="H77" s="64">
        <f t="shared" si="12"/>
        <v>13.917</v>
      </c>
      <c r="I77" s="64">
        <f t="shared" si="13"/>
        <v>28.417</v>
      </c>
      <c r="J77" s="75">
        <f t="shared" si="14"/>
        <v>42.334</v>
      </c>
    </row>
    <row r="78" spans="1:10">
      <c r="A78" s="71" t="s">
        <v>85</v>
      </c>
      <c r="B78" s="71">
        <v>3.75</v>
      </c>
      <c r="C78" s="71">
        <v>3.75</v>
      </c>
      <c r="D78" s="71"/>
      <c r="E78" s="71"/>
      <c r="F78" s="71"/>
      <c r="G78" s="71"/>
      <c r="H78" s="64">
        <f t="shared" si="12"/>
        <v>17.667</v>
      </c>
      <c r="I78" s="64">
        <f t="shared" si="13"/>
        <v>32.167</v>
      </c>
      <c r="J78" s="75">
        <f t="shared" si="14"/>
        <v>49.834</v>
      </c>
    </row>
    <row r="79" spans="1:10">
      <c r="A79" s="71" t="s">
        <v>86</v>
      </c>
      <c r="B79" s="71"/>
      <c r="C79" s="71"/>
      <c r="D79" s="71">
        <v>10</v>
      </c>
      <c r="E79" s="71"/>
      <c r="F79" s="71"/>
      <c r="G79" s="71"/>
      <c r="H79" s="64">
        <f t="shared" si="12"/>
        <v>7.667</v>
      </c>
      <c r="I79" s="64">
        <f t="shared" si="13"/>
        <v>32.167</v>
      </c>
      <c r="J79" s="75">
        <f t="shared" si="14"/>
        <v>39.834</v>
      </c>
    </row>
    <row r="80" spans="1:10">
      <c r="A80" s="71" t="s">
        <v>87</v>
      </c>
      <c r="B80" s="71">
        <v>1.25</v>
      </c>
      <c r="C80" s="71">
        <v>1.25</v>
      </c>
      <c r="D80" s="71"/>
      <c r="E80" s="71"/>
      <c r="F80" s="71"/>
      <c r="G80" s="71"/>
      <c r="H80" s="64">
        <f t="shared" si="12"/>
        <v>8.917</v>
      </c>
      <c r="I80" s="64">
        <f t="shared" si="13"/>
        <v>33.417</v>
      </c>
      <c r="J80" s="75">
        <f t="shared" si="14"/>
        <v>42.334</v>
      </c>
    </row>
    <row r="81" spans="1:10">
      <c r="A81" s="71" t="s">
        <v>88</v>
      </c>
      <c r="B81" s="71"/>
      <c r="C81" s="71"/>
      <c r="D81" s="71"/>
      <c r="E81" s="71"/>
      <c r="F81" s="71"/>
      <c r="G81" s="76">
        <v>1</v>
      </c>
      <c r="H81" s="64">
        <f t="shared" si="12"/>
        <v>8.917</v>
      </c>
      <c r="I81" s="64">
        <f t="shared" si="13"/>
        <v>33.417</v>
      </c>
      <c r="J81" s="75">
        <f t="shared" si="14"/>
        <v>42.334</v>
      </c>
    </row>
    <row r="82" spans="1:10">
      <c r="A82" s="71" t="s">
        <v>89</v>
      </c>
      <c r="B82" s="71">
        <v>6.25</v>
      </c>
      <c r="C82" s="71">
        <v>6.25</v>
      </c>
      <c r="D82" s="71"/>
      <c r="E82" s="71"/>
      <c r="F82" s="71"/>
      <c r="G82" s="71"/>
      <c r="H82" s="64">
        <f t="shared" ref="H82" si="15">H81-F82-D82+B82</f>
        <v>15.167</v>
      </c>
      <c r="I82" s="64">
        <f t="shared" ref="I82" si="16">I81-E82+C82</f>
        <v>39.667</v>
      </c>
      <c r="J82" s="75">
        <f t="shared" ref="J82" si="17">SUM(H82:I82)</f>
        <v>54.834</v>
      </c>
    </row>
    <row r="83" spans="1:10">
      <c r="A83" s="71" t="s">
        <v>90</v>
      </c>
      <c r="B83" s="71"/>
      <c r="C83" s="71"/>
      <c r="D83" s="71"/>
      <c r="E83" s="71">
        <v>1</v>
      </c>
      <c r="F83" s="71"/>
      <c r="G83" s="71"/>
      <c r="H83" s="64">
        <f t="shared" ref="H83" si="18">H82-F83-D83+B83</f>
        <v>15.167</v>
      </c>
      <c r="I83" s="64">
        <f t="shared" ref="I83" si="19">I82-E83+C83</f>
        <v>38.667</v>
      </c>
      <c r="J83" s="75">
        <f t="shared" ref="J83" si="20">SUM(H83:I83)</f>
        <v>53.834</v>
      </c>
    </row>
    <row r="84" spans="1:10">
      <c r="A84" s="71" t="s">
        <v>91</v>
      </c>
      <c r="B84" s="71">
        <v>1.25</v>
      </c>
      <c r="C84" s="71">
        <v>1.25</v>
      </c>
      <c r="D84" s="71"/>
      <c r="E84" s="71"/>
      <c r="F84" s="71"/>
      <c r="G84" s="71"/>
      <c r="H84" s="64">
        <f t="shared" ref="H84:H85" si="21">H83-F84-D84+B84</f>
        <v>16.417</v>
      </c>
      <c r="I84" s="64">
        <f t="shared" ref="I84:I85" si="22">I83-E84+C84</f>
        <v>39.917</v>
      </c>
      <c r="J84" s="75">
        <f t="shared" ref="J84:J85" si="23">SUM(H84:I84)</f>
        <v>56.334</v>
      </c>
    </row>
    <row r="85" spans="1:10">
      <c r="A85" s="71" t="s">
        <v>92</v>
      </c>
      <c r="B85" s="71"/>
      <c r="C85" s="71"/>
      <c r="D85" s="71"/>
      <c r="E85" s="71"/>
      <c r="F85" s="77">
        <v>2</v>
      </c>
      <c r="G85" s="71"/>
      <c r="H85" s="64">
        <f t="shared" si="21"/>
        <v>14.417</v>
      </c>
      <c r="I85" s="64">
        <f t="shared" si="22"/>
        <v>39.917</v>
      </c>
      <c r="J85" s="75">
        <f t="shared" si="23"/>
        <v>54.334</v>
      </c>
    </row>
    <row r="86" spans="1:10">
      <c r="A86" s="71" t="s">
        <v>93</v>
      </c>
      <c r="B86" s="71">
        <v>1.25</v>
      </c>
      <c r="C86" s="71">
        <v>1.25</v>
      </c>
      <c r="D86" s="71"/>
      <c r="E86" s="71"/>
      <c r="F86" s="78"/>
      <c r="G86" s="71"/>
      <c r="H86" s="64">
        <f>H85-F86-D86+B86</f>
        <v>15.667</v>
      </c>
      <c r="I86" s="64">
        <f>I85-E86+C86</f>
        <v>41.167</v>
      </c>
      <c r="J86" s="75">
        <f>SUM(H86:I86)</f>
        <v>56.834</v>
      </c>
    </row>
    <row r="87" spans="1:10">
      <c r="A87" s="71" t="s">
        <v>94</v>
      </c>
      <c r="B87" s="71"/>
      <c r="C87" s="71"/>
      <c r="D87" s="71"/>
      <c r="E87" s="71"/>
      <c r="F87" s="77">
        <v>1</v>
      </c>
      <c r="G87" s="71"/>
      <c r="H87" s="64">
        <f>H86-F87-D87+B87</f>
        <v>14.667</v>
      </c>
      <c r="I87" s="64">
        <f>I86-E87+C87</f>
        <v>41.167</v>
      </c>
      <c r="J87" s="75">
        <f>SUM(H87:I87)</f>
        <v>55.834</v>
      </c>
    </row>
    <row r="88" spans="1:11">
      <c r="A88" s="79" t="s">
        <v>95</v>
      </c>
      <c r="B88" s="79"/>
      <c r="C88" s="79"/>
      <c r="D88" s="79"/>
      <c r="E88" s="79"/>
      <c r="F88" s="80">
        <v>1</v>
      </c>
      <c r="G88" s="79"/>
      <c r="H88" s="64">
        <f>H87-F88-D88+B88</f>
        <v>13.667</v>
      </c>
      <c r="I88" s="64">
        <f>I87-E88+C88</f>
        <v>41.167</v>
      </c>
      <c r="J88" s="75">
        <f>SUM(H88:I88)</f>
        <v>54.834</v>
      </c>
      <c r="K88" t="s">
        <v>96</v>
      </c>
    </row>
    <row r="89" spans="1:10">
      <c r="A89" s="53"/>
      <c r="H89" s="81"/>
      <c r="I89" s="81"/>
      <c r="J89" s="84"/>
    </row>
    <row r="90" s="52" customFormat="1" ht="15" customHeight="1" spans="6:6">
      <c r="F90" s="52" t="s">
        <v>97</v>
      </c>
    </row>
    <row r="91" s="52" customFormat="1" ht="15" customHeight="1"/>
    <row r="92" s="52" customFormat="1" ht="15" customHeight="1" spans="6:7">
      <c r="F92" s="82"/>
      <c r="G92" s="83" t="s">
        <v>98</v>
      </c>
    </row>
    <row r="93" s="52" customFormat="1" ht="15" customHeight="1" spans="7:7">
      <c r="G93" s="7" t="s">
        <v>99</v>
      </c>
    </row>
    <row r="94" ht="15" customHeight="1" spans="2:11">
      <c r="B94" s="1"/>
      <c r="C94" s="1"/>
      <c r="D94" s="1"/>
      <c r="E94" s="1"/>
      <c r="G94" s="7" t="s">
        <v>100</v>
      </c>
      <c r="H94" s="1"/>
      <c r="I94" s="1"/>
      <c r="J94" s="1"/>
      <c r="K94" s="1"/>
    </row>
  </sheetData>
  <mergeCells count="12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1:A12"/>
    <mergeCell ref="J11:J12"/>
  </mergeCells>
  <printOptions horizontalCentered="1"/>
  <pageMargins left="0.236220472440945" right="0.236220472440945" top="0.511811023622047" bottom="0.511811023622047" header="0.31496062992126" footer="0.31496062992126"/>
  <pageSetup paperSize="9" scale="71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28"/>
  <sheetViews>
    <sheetView workbookViewId="0">
      <selection activeCell="O19" sqref="O19"/>
    </sheetView>
  </sheetViews>
  <sheetFormatPr defaultColWidth="9" defaultRowHeight="14.4"/>
  <cols>
    <col min="1" max="1" width="21.5740740740741" customWidth="1"/>
    <col min="2" max="2" width="17.574074074074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7" t="s">
        <v>0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>
      <c r="A6" s="7" t="s">
        <v>1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>
      <c r="A7" s="7" t="s">
        <v>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>
      <c r="A8" s="7" t="s">
        <v>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1" t="s">
        <v>4</v>
      </c>
      <c r="B10" s="1"/>
      <c r="C10" s="8" t="s">
        <v>5</v>
      </c>
      <c r="D10" s="8"/>
      <c r="E10" s="1"/>
      <c r="F10" s="1"/>
      <c r="G10" s="8" t="s">
        <v>6</v>
      </c>
      <c r="H10" s="27"/>
      <c r="I10" s="1"/>
      <c r="J10" s="1"/>
      <c r="K10" s="1"/>
      <c r="L10" s="1"/>
    </row>
    <row r="11" spans="1:12">
      <c r="A11" s="1"/>
      <c r="B11" s="1"/>
      <c r="C11" s="10"/>
      <c r="D11" s="1"/>
      <c r="E11" s="1"/>
      <c r="F11" s="1"/>
      <c r="G11" s="10"/>
      <c r="H11" s="10"/>
      <c r="I11" s="1"/>
      <c r="J11" s="1"/>
      <c r="K11" s="1"/>
      <c r="L11" s="1"/>
    </row>
    <row r="12" spans="1:12">
      <c r="A12" s="1" t="s">
        <v>7</v>
      </c>
      <c r="B12" s="1"/>
      <c r="C12" s="8" t="s">
        <v>8</v>
      </c>
      <c r="D12" s="8"/>
      <c r="E12" s="1"/>
      <c r="F12" s="1"/>
      <c r="G12" s="8" t="s">
        <v>9</v>
      </c>
      <c r="H12" s="28"/>
      <c r="I12" s="1"/>
      <c r="J12" s="1"/>
      <c r="K12" s="1"/>
      <c r="L12" s="1"/>
    </row>
    <row r="13" ht="21.75" spans="1:12">
      <c r="A13" s="12" t="s">
        <v>101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 spans="1:12">
      <c r="A14" s="29" t="s">
        <v>11</v>
      </c>
      <c r="B14" s="30" t="s">
        <v>12</v>
      </c>
      <c r="C14" s="31"/>
      <c r="D14" s="31"/>
      <c r="E14" s="31"/>
      <c r="F14" s="31"/>
      <c r="G14" s="31"/>
      <c r="H14" s="31"/>
      <c r="I14" s="31"/>
      <c r="J14" s="31"/>
      <c r="K14" s="31"/>
      <c r="L14" s="45" t="s">
        <v>15</v>
      </c>
    </row>
    <row r="15" spans="1:12">
      <c r="A15" s="32"/>
      <c r="B15" s="33" t="s">
        <v>102</v>
      </c>
      <c r="C15" s="34"/>
      <c r="D15" s="34"/>
      <c r="E15" s="35"/>
      <c r="F15" s="33" t="s">
        <v>103</v>
      </c>
      <c r="G15" s="35"/>
      <c r="H15" s="33" t="s">
        <v>104</v>
      </c>
      <c r="I15" s="35"/>
      <c r="J15" s="33" t="s">
        <v>105</v>
      </c>
      <c r="K15" s="35"/>
      <c r="L15" s="23"/>
    </row>
    <row r="16" ht="29.25" customHeight="1" spans="1:12">
      <c r="A16" s="15" t="s">
        <v>106</v>
      </c>
      <c r="B16" s="36" t="s">
        <v>107</v>
      </c>
      <c r="C16" s="37"/>
      <c r="D16" s="37"/>
      <c r="E16" s="38"/>
      <c r="F16" s="36">
        <v>1</v>
      </c>
      <c r="G16" s="38"/>
      <c r="H16" s="36">
        <v>0</v>
      </c>
      <c r="I16" s="38"/>
      <c r="J16" s="36">
        <v>1</v>
      </c>
      <c r="K16" s="38"/>
      <c r="L16" s="24">
        <v>1</v>
      </c>
    </row>
    <row r="17" ht="29.25" customHeight="1" spans="1:12">
      <c r="A17" s="15" t="s">
        <v>108</v>
      </c>
      <c r="B17" s="36" t="s">
        <v>107</v>
      </c>
      <c r="C17" s="37"/>
      <c r="D17" s="37"/>
      <c r="E17" s="38"/>
      <c r="F17" s="36"/>
      <c r="G17" s="38"/>
      <c r="H17" s="36">
        <v>1</v>
      </c>
      <c r="I17" s="38"/>
      <c r="J17" s="36">
        <v>0</v>
      </c>
      <c r="K17" s="38"/>
      <c r="L17" s="46">
        <v>0</v>
      </c>
    </row>
    <row r="18" s="26" customFormat="1" ht="25.5" customHeight="1" spans="1:12">
      <c r="A18" s="39" t="s">
        <v>109</v>
      </c>
      <c r="B18" s="40" t="s">
        <v>110</v>
      </c>
      <c r="C18" s="41"/>
      <c r="D18" s="41"/>
      <c r="E18" s="42"/>
      <c r="F18" s="40">
        <v>1</v>
      </c>
      <c r="G18" s="42"/>
      <c r="H18" s="40">
        <v>1</v>
      </c>
      <c r="I18" s="42"/>
      <c r="J18" s="40">
        <v>0</v>
      </c>
      <c r="K18" s="42"/>
      <c r="L18" s="47">
        <v>0</v>
      </c>
    </row>
    <row r="19" s="26" customFormat="1" ht="25.5" customHeight="1" spans="1:12">
      <c r="A19" s="39" t="s">
        <v>111</v>
      </c>
      <c r="B19" s="40" t="s">
        <v>110</v>
      </c>
      <c r="C19" s="41"/>
      <c r="D19" s="41"/>
      <c r="E19" s="42"/>
      <c r="F19" s="40"/>
      <c r="G19" s="42"/>
      <c r="H19" s="40">
        <v>1</v>
      </c>
      <c r="I19" s="42"/>
      <c r="J19" s="40">
        <v>0</v>
      </c>
      <c r="K19" s="42"/>
      <c r="L19" s="48">
        <v>0</v>
      </c>
    </row>
    <row r="20" spans="1:12">
      <c r="A20" s="39" t="s">
        <v>112</v>
      </c>
      <c r="B20" s="40" t="s">
        <v>113</v>
      </c>
      <c r="C20" s="41"/>
      <c r="D20" s="41"/>
      <c r="E20" s="42"/>
      <c r="F20" s="40">
        <v>1</v>
      </c>
      <c r="G20" s="42"/>
      <c r="H20" s="40">
        <v>1</v>
      </c>
      <c r="I20" s="42"/>
      <c r="J20" s="40">
        <v>0</v>
      </c>
      <c r="K20" s="42"/>
      <c r="L20" s="47">
        <v>0</v>
      </c>
    </row>
    <row r="21" spans="1:12">
      <c r="A21" s="39" t="s">
        <v>114</v>
      </c>
      <c r="B21" s="40" t="s">
        <v>113</v>
      </c>
      <c r="C21" s="41"/>
      <c r="D21" s="41"/>
      <c r="E21" s="42"/>
      <c r="F21" s="40"/>
      <c r="G21" s="42"/>
      <c r="H21" s="40">
        <v>1</v>
      </c>
      <c r="I21" s="42"/>
      <c r="J21" s="40">
        <v>0</v>
      </c>
      <c r="K21" s="42"/>
      <c r="L21" s="48">
        <v>0</v>
      </c>
    </row>
    <row r="22" spans="1:12">
      <c r="A22" s="43" t="s">
        <v>115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9"/>
    </row>
    <row r="23" spans="1:12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</row>
    <row r="24" spans="3:12">
      <c r="C24" s="6"/>
      <c r="D24" s="1"/>
      <c r="E24" s="1"/>
      <c r="F24" s="1"/>
      <c r="G24" s="1"/>
      <c r="H24" s="1"/>
      <c r="I24" s="1" t="s">
        <v>97</v>
      </c>
      <c r="J24" s="1"/>
      <c r="K24" s="1"/>
      <c r="L24" s="1"/>
    </row>
    <row r="25" spans="3:12">
      <c r="C25" s="6"/>
      <c r="D25" s="1"/>
      <c r="E25" s="1"/>
      <c r="F25" s="1"/>
      <c r="G25" s="1"/>
      <c r="H25" s="1"/>
      <c r="I25" s="1"/>
      <c r="J25" s="1"/>
      <c r="K25" s="1"/>
      <c r="L25" s="1"/>
    </row>
    <row r="26" spans="9:11">
      <c r="I26" s="50" t="s">
        <v>98</v>
      </c>
      <c r="J26" s="50"/>
      <c r="K26" s="50"/>
    </row>
    <row r="27" spans="9:9">
      <c r="I27" t="s">
        <v>99</v>
      </c>
    </row>
    <row r="28" spans="9:10">
      <c r="I28" s="51" t="s">
        <v>100</v>
      </c>
      <c r="J28" s="51"/>
    </row>
  </sheetData>
  <mergeCells count="38">
    <mergeCell ref="A5:L5"/>
    <mergeCell ref="A6:L6"/>
    <mergeCell ref="A7:L7"/>
    <mergeCell ref="A8:L8"/>
    <mergeCell ref="A13:L13"/>
    <mergeCell ref="B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23:L23"/>
    <mergeCell ref="I28:J28"/>
    <mergeCell ref="A14:A15"/>
    <mergeCell ref="L14:L15"/>
  </mergeCells>
  <pageMargins left="0.7" right="0.7" top="0.75" bottom="0.75" header="0.3" footer="0.3"/>
  <pageSetup paperSize="9" scale="67" fitToHeight="0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4"/>
  <sheetViews>
    <sheetView view="pageBreakPreview" zoomScale="98" zoomScaleNormal="100" topLeftCell="A3" workbookViewId="0">
      <selection activeCell="K17" sqref="K17"/>
    </sheetView>
  </sheetViews>
  <sheetFormatPr defaultColWidth="9" defaultRowHeight="14.4"/>
  <cols>
    <col min="1" max="1" width="27.1388888888889" customWidth="1"/>
    <col min="2" max="11" width="9.57407407407407" customWidth="1"/>
    <col min="12" max="12" width="7.57407407407407" customWidth="1"/>
    <col min="13" max="13" width="8.71296296296296" hidden="1" customWidth="1"/>
  </cols>
  <sheetData>
    <row r="1" s="1" customFormat="1" ht="52.5" customHeight="1" spans="3:8">
      <c r="C1" s="4"/>
      <c r="D1" s="5"/>
      <c r="H1" s="6"/>
    </row>
    <row r="2" s="1" customFormat="1" ht="10.5" customHeight="1" spans="1:12">
      <c r="A2" s="7" t="s">
        <v>0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="1" customFormat="1" ht="15.95" customHeight="1" spans="1:12">
      <c r="A3" s="7" t="s">
        <v>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="1" customFormat="1" ht="15.95" customHeight="1" spans="1:12">
      <c r="A4" s="7" t="s">
        <v>2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="1" customFormat="1" ht="15.95" customHeight="1" spans="1:12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="1" customFormat="1" ht="8.25" customHeight="1" spans="3:8">
      <c r="C6" s="6"/>
      <c r="H6" s="6"/>
    </row>
    <row r="7" s="1" customFormat="1" ht="8.25" customHeight="1" spans="3:8">
      <c r="C7" s="6"/>
      <c r="H7" s="6"/>
    </row>
    <row r="8" s="1" customFormat="1" ht="12" customHeight="1" spans="1:12">
      <c r="A8" s="8" t="s">
        <v>116</v>
      </c>
      <c r="B8" s="8"/>
      <c r="C8" s="9" t="s">
        <v>117</v>
      </c>
      <c r="D8" s="9"/>
      <c r="E8" s="9"/>
      <c r="F8" s="9"/>
      <c r="G8" s="9"/>
      <c r="I8" s="9" t="s">
        <v>118</v>
      </c>
      <c r="J8" s="9"/>
      <c r="K8" s="9"/>
      <c r="L8" s="8"/>
    </row>
    <row r="9" s="1" customFormat="1" ht="12" customHeight="1" spans="2:12">
      <c r="B9" s="10"/>
      <c r="C9" s="9" t="s">
        <v>119</v>
      </c>
      <c r="D9" s="9"/>
      <c r="E9" s="9"/>
      <c r="F9" s="9"/>
      <c r="G9" s="9"/>
      <c r="I9" s="22" t="s">
        <v>120</v>
      </c>
      <c r="J9" s="22"/>
      <c r="K9" s="22"/>
      <c r="L9" s="10"/>
    </row>
    <row r="10" s="1" customFormat="1" ht="12" customHeight="1" spans="1:12">
      <c r="A10" s="8" t="s">
        <v>121</v>
      </c>
      <c r="B10" s="8"/>
      <c r="C10" s="11"/>
      <c r="D10" s="10"/>
      <c r="E10" s="10"/>
      <c r="I10" s="9" t="s">
        <v>122</v>
      </c>
      <c r="J10" s="9"/>
      <c r="K10" s="9"/>
      <c r="L10" s="8"/>
    </row>
    <row r="11" ht="16.5" customHeight="1" spans="1:12">
      <c r="A11" s="12" t="s">
        <v>123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 s="2" customFormat="1" ht="48" spans="1:12">
      <c r="A12" s="13" t="s">
        <v>11</v>
      </c>
      <c r="B12" s="14" t="s">
        <v>124</v>
      </c>
      <c r="C12" s="14" t="s">
        <v>125</v>
      </c>
      <c r="D12" s="14" t="s">
        <v>126</v>
      </c>
      <c r="E12" s="14" t="s">
        <v>127</v>
      </c>
      <c r="F12" s="14" t="s">
        <v>128</v>
      </c>
      <c r="G12" s="14" t="s">
        <v>129</v>
      </c>
      <c r="H12" s="14" t="s">
        <v>130</v>
      </c>
      <c r="I12" s="14" t="s">
        <v>131</v>
      </c>
      <c r="J12" s="14" t="s">
        <v>132</v>
      </c>
      <c r="K12" s="14" t="s">
        <v>133</v>
      </c>
      <c r="L12" s="23" t="s">
        <v>15</v>
      </c>
    </row>
    <row r="13" s="2" customFormat="1" spans="1:12">
      <c r="A13" s="15" t="s">
        <v>134</v>
      </c>
      <c r="B13" s="16"/>
      <c r="C13" s="17"/>
      <c r="D13" s="17"/>
      <c r="E13" s="16"/>
      <c r="F13" s="16"/>
      <c r="G13" s="16"/>
      <c r="H13" s="17"/>
      <c r="I13" s="16"/>
      <c r="J13" s="16">
        <v>2</v>
      </c>
      <c r="K13" s="16"/>
      <c r="L13" s="24">
        <v>2</v>
      </c>
    </row>
    <row r="14" s="2" customFormat="1" spans="1:12">
      <c r="A14" s="15"/>
      <c r="B14" s="16"/>
      <c r="C14" s="17"/>
      <c r="D14" s="17"/>
      <c r="E14" s="16"/>
      <c r="F14" s="16"/>
      <c r="G14" s="16"/>
      <c r="H14" s="17"/>
      <c r="I14" s="16"/>
      <c r="J14" s="16"/>
      <c r="K14" s="16"/>
      <c r="L14" s="24"/>
    </row>
    <row r="15" s="3" customFormat="1" spans="1:12">
      <c r="A15" s="18"/>
      <c r="B15" s="16"/>
      <c r="C15" s="17"/>
      <c r="D15" s="17"/>
      <c r="E15" s="16"/>
      <c r="F15" s="16"/>
      <c r="G15" s="16"/>
      <c r="H15" s="17"/>
      <c r="I15" s="16"/>
      <c r="J15" s="16"/>
      <c r="K15" s="16"/>
      <c r="L15" s="24"/>
    </row>
    <row r="16" s="3" customFormat="1" spans="1:12">
      <c r="A16" s="19"/>
      <c r="B16" s="16"/>
      <c r="C16" s="17"/>
      <c r="D16" s="17"/>
      <c r="E16" s="16"/>
      <c r="F16" s="16"/>
      <c r="G16" s="16"/>
      <c r="H16" s="17"/>
      <c r="I16" s="16"/>
      <c r="J16" s="16"/>
      <c r="K16" s="16"/>
      <c r="L16" s="24"/>
    </row>
    <row r="17" s="3" customFormat="1" spans="1:12">
      <c r="A17" s="17"/>
      <c r="B17" s="16"/>
      <c r="C17" s="17"/>
      <c r="D17" s="17"/>
      <c r="E17" s="16"/>
      <c r="F17" s="16"/>
      <c r="G17" s="16"/>
      <c r="H17" s="17"/>
      <c r="I17" s="16"/>
      <c r="J17" s="16"/>
      <c r="K17" s="16"/>
      <c r="L17" s="24"/>
    </row>
    <row r="18" s="3" customFormat="1" spans="1:12">
      <c r="A18" s="15"/>
      <c r="B18" s="16"/>
      <c r="C18" s="17"/>
      <c r="D18" s="17"/>
      <c r="E18" s="16"/>
      <c r="F18" s="16"/>
      <c r="G18" s="16"/>
      <c r="H18" s="17"/>
      <c r="I18" s="16"/>
      <c r="J18" s="16"/>
      <c r="K18" s="16"/>
      <c r="L18" s="24"/>
    </row>
    <row r="19" s="3" customFormat="1" spans="1:12">
      <c r="A19" s="15"/>
      <c r="B19" s="16"/>
      <c r="C19" s="17"/>
      <c r="D19" s="17"/>
      <c r="E19" s="16"/>
      <c r="F19" s="16"/>
      <c r="G19" s="16"/>
      <c r="H19" s="17"/>
      <c r="I19" s="16"/>
      <c r="J19" s="16"/>
      <c r="K19" s="16"/>
      <c r="L19" s="24"/>
    </row>
    <row r="20" s="3" customFormat="1" spans="1:12">
      <c r="A20" s="15"/>
      <c r="B20" s="16"/>
      <c r="C20" s="17"/>
      <c r="D20" s="17"/>
      <c r="E20" s="16"/>
      <c r="F20" s="16"/>
      <c r="G20" s="16"/>
      <c r="H20" s="17"/>
      <c r="I20" s="16"/>
      <c r="J20" s="16"/>
      <c r="K20" s="16"/>
      <c r="L20" s="24"/>
    </row>
    <row r="21" s="3" customFormat="1" spans="1:12">
      <c r="A21" s="20"/>
      <c r="B21" s="16"/>
      <c r="C21" s="17"/>
      <c r="D21" s="17"/>
      <c r="E21" s="16"/>
      <c r="F21" s="16"/>
      <c r="G21" s="16"/>
      <c r="H21" s="17"/>
      <c r="I21" s="16"/>
      <c r="J21" s="16"/>
      <c r="K21" s="25"/>
      <c r="L21" s="24"/>
    </row>
    <row r="22" ht="75.75" customHeight="1" spans="1:1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</row>
    <row r="23" s="1" customFormat="1" spans="3:3">
      <c r="C23" s="6"/>
    </row>
    <row r="24" s="1" customFormat="1" spans="3:3">
      <c r="C24" s="6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2:L22"/>
  </mergeCells>
  <printOptions horizontalCentered="1"/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Leave Card (NE)</vt:lpstr>
      <vt:lpstr>CTO</vt:lpstr>
      <vt:lpstr>Other types of leave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2025-12-22T06:18:00Z</cp:lastPrinted>
  <dcterms:modified xsi:type="dcterms:W3CDTF">2026-01-02T07:56:04Z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0BB4B224E4BF496A86502DDC2F554E65_12</vt:lpwstr>
  </property>
  <property fmtid="{D5CDD505-2E9C-101B-9397-08002B2CF9AE}" pid="3" name="KSOProductBuildVer">
    <vt:lpwstr>1033-12.2.0.23196</vt:lpwstr>
  </property>
</Properties>
</file>